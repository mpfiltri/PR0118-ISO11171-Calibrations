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NCE COUNTER\"/>
    </mc:Choice>
  </mc:AlternateContent>
  <xr:revisionPtr revIDLastSave="0" documentId="13_ncr:1_{2B492212-A5FE-4CB4-9DF3-B05DE74BD5D3}" xr6:coauthVersionLast="47" xr6:coauthVersionMax="47" xr10:uidLastSave="{00000000-0000-0000-0000-000000000000}"/>
  <bookViews>
    <workbookView xWindow="-98" yWindow="-98" windowWidth="28996" windowHeight="17745" tabRatio="500" activeTab="1" xr2:uid="{00000000-000D-0000-FFFF-FFFF00000000}"/>
  </bookViews>
  <sheets>
    <sheet name="ISO 11171_2020 Summary" sheetId="1" r:id="rId1"/>
    <sheet name="Annex A Preliminary Check" sheetId="2" r:id="rId2"/>
    <sheet name="Annex B Coincidence Limit" sheetId="3" r:id="rId3"/>
    <sheet name="Clause 6 Sizing Calibration" sheetId="4" r:id="rId4"/>
    <sheet name="6 - B1" sheetId="5" r:id="rId5"/>
    <sheet name="6 - B2" sheetId="6" r:id="rId6"/>
    <sheet name="6 - B3" sheetId="7" r:id="rId7"/>
    <sheet name="6 - Interpolated Thresholds" sheetId="8" r:id="rId8"/>
    <sheet name="Clause 6 - Spheres" sheetId="9" r:id="rId9"/>
    <sheet name="6 - Calibration Curve" sheetId="10" r:id="rId10"/>
    <sheet name="Annex C - Flow Rate" sheetId="11" r:id="rId11"/>
    <sheet name="D1" sheetId="19" r:id="rId12"/>
    <sheet name="Annex D Resolution" sheetId="18" r:id="rId13"/>
    <sheet name="ANNEX E - B1" sheetId="13" r:id="rId14"/>
    <sheet name="ANNEX E - B2" sheetId="14" r:id="rId15"/>
    <sheet name="ANNEX E - B3" sheetId="15" r:id="rId16"/>
    <sheet name="Annex E Verify Counting Accurac" sheetId="16" r:id="rId17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P27" i="2" l="1"/>
  <c r="P26" i="2"/>
  <c r="P25" i="2"/>
  <c r="P24" i="2"/>
  <c r="P23" i="2"/>
  <c r="O30" i="2"/>
  <c r="O29" i="2"/>
  <c r="F38" i="6"/>
  <c r="E38" i="6"/>
  <c r="D38" i="6"/>
  <c r="C38" i="6"/>
  <c r="B38" i="6"/>
  <c r="F37" i="6"/>
  <c r="E37" i="6"/>
  <c r="D37" i="6"/>
  <c r="C37" i="6"/>
  <c r="B37" i="6"/>
  <c r="F36" i="6"/>
  <c r="E36" i="6"/>
  <c r="D36" i="6"/>
  <c r="C36" i="6"/>
  <c r="B36" i="6"/>
  <c r="F35" i="6"/>
  <c r="E35" i="6"/>
  <c r="D35" i="6"/>
  <c r="C35" i="6"/>
  <c r="B35" i="6"/>
  <c r="F34" i="6"/>
  <c r="E34" i="6"/>
  <c r="D34" i="6"/>
  <c r="C34" i="6"/>
  <c r="B34" i="6"/>
  <c r="F33" i="6"/>
  <c r="E33" i="6"/>
  <c r="D33" i="6"/>
  <c r="C33" i="6"/>
  <c r="B33" i="6"/>
  <c r="F32" i="6"/>
  <c r="E32" i="6"/>
  <c r="D32" i="6"/>
  <c r="C32" i="6"/>
  <c r="B32" i="6"/>
  <c r="F31" i="6"/>
  <c r="E31" i="6"/>
  <c r="D31" i="6"/>
  <c r="C31" i="6"/>
  <c r="B31" i="6"/>
  <c r="F30" i="6"/>
  <c r="E30" i="6"/>
  <c r="D30" i="6"/>
  <c r="C30" i="6"/>
  <c r="B30" i="6"/>
  <c r="F29" i="6"/>
  <c r="E29" i="6"/>
  <c r="D29" i="6"/>
  <c r="C29" i="6"/>
  <c r="B29" i="6"/>
  <c r="F28" i="6"/>
  <c r="E28" i="6"/>
  <c r="D28" i="6"/>
  <c r="C28" i="6"/>
  <c r="B28" i="6"/>
  <c r="F27" i="6"/>
  <c r="E27" i="6"/>
  <c r="D27" i="6"/>
  <c r="C27" i="6"/>
  <c r="B27" i="6"/>
  <c r="F26" i="6"/>
  <c r="E26" i="6"/>
  <c r="D26" i="6"/>
  <c r="C26" i="6"/>
  <c r="B26" i="6"/>
  <c r="F25" i="6"/>
  <c r="E25" i="6"/>
  <c r="D25" i="6"/>
  <c r="C25" i="6"/>
  <c r="B25" i="6"/>
  <c r="F24" i="6"/>
  <c r="E24" i="6"/>
  <c r="D24" i="6"/>
  <c r="C24" i="6"/>
  <c r="B24" i="6"/>
  <c r="F23" i="6"/>
  <c r="E23" i="6"/>
  <c r="D23" i="6"/>
  <c r="C23" i="6"/>
  <c r="B23" i="6"/>
  <c r="F22" i="6"/>
  <c r="E22" i="6"/>
  <c r="D22" i="6"/>
  <c r="C22" i="6"/>
  <c r="B22" i="6"/>
  <c r="F21" i="6"/>
  <c r="E21" i="6"/>
  <c r="D21" i="6"/>
  <c r="C21" i="6"/>
  <c r="B21" i="6"/>
  <c r="F20" i="6"/>
  <c r="E20" i="6"/>
  <c r="D20" i="6"/>
  <c r="C20" i="6"/>
  <c r="B20" i="6"/>
  <c r="F19" i="6"/>
  <c r="E19" i="6"/>
  <c r="D19" i="6"/>
  <c r="C19" i="6"/>
  <c r="B19" i="6"/>
  <c r="F18" i="6"/>
  <c r="E18" i="6"/>
  <c r="D18" i="6"/>
  <c r="C18" i="6"/>
  <c r="B18" i="6"/>
  <c r="F17" i="6"/>
  <c r="E17" i="6"/>
  <c r="D17" i="6"/>
  <c r="C17" i="6"/>
  <c r="B17" i="6"/>
  <c r="F16" i="6"/>
  <c r="E16" i="6"/>
  <c r="D16" i="6"/>
  <c r="C16" i="6"/>
  <c r="B16" i="6"/>
  <c r="F15" i="6"/>
  <c r="E15" i="6"/>
  <c r="D15" i="6"/>
  <c r="C15" i="6"/>
  <c r="B15" i="6"/>
  <c r="F14" i="6"/>
  <c r="E14" i="6"/>
  <c r="D14" i="6"/>
  <c r="C14" i="6"/>
  <c r="B14" i="6"/>
  <c r="F13" i="6"/>
  <c r="E13" i="6"/>
  <c r="D13" i="6"/>
  <c r="C13" i="6"/>
  <c r="B13" i="6"/>
  <c r="F12" i="6"/>
  <c r="E12" i="6"/>
  <c r="D12" i="6"/>
  <c r="C12" i="6"/>
  <c r="B12" i="6"/>
  <c r="F11" i="6"/>
  <c r="E11" i="6"/>
  <c r="D11" i="6"/>
  <c r="C11" i="6"/>
  <c r="B11" i="6"/>
  <c r="F10" i="6"/>
  <c r="E10" i="6"/>
  <c r="D10" i="6"/>
  <c r="C10" i="6"/>
  <c r="B10" i="6"/>
  <c r="F9" i="6"/>
  <c r="E9" i="6"/>
  <c r="D9" i="6"/>
  <c r="C9" i="6"/>
  <c r="E38" i="5"/>
  <c r="D38" i="5"/>
  <c r="C38" i="5"/>
  <c r="B38" i="5"/>
  <c r="E36" i="5"/>
  <c r="D36" i="5"/>
  <c r="C36" i="5"/>
  <c r="B36" i="5"/>
  <c r="E35" i="5"/>
  <c r="D35" i="5"/>
  <c r="C35" i="5"/>
  <c r="B35" i="5"/>
  <c r="E34" i="5"/>
  <c r="D34" i="5"/>
  <c r="C34" i="5"/>
  <c r="B34" i="5"/>
  <c r="E28" i="5"/>
  <c r="D28" i="5"/>
  <c r="C28" i="5"/>
  <c r="B28" i="5"/>
  <c r="E27" i="5"/>
  <c r="D27" i="5"/>
  <c r="C27" i="5"/>
  <c r="B27" i="5"/>
  <c r="H8" i="13"/>
  <c r="G9" i="13"/>
  <c r="H9" i="13" s="1"/>
  <c r="I9" i="13"/>
  <c r="G10" i="13"/>
  <c r="H10" i="13" s="1"/>
  <c r="I10" i="13"/>
  <c r="G11" i="13"/>
  <c r="H11" i="13"/>
  <c r="I11" i="13"/>
  <c r="J11" i="13"/>
  <c r="K11" i="13"/>
  <c r="G12" i="13"/>
  <c r="H12" i="13"/>
  <c r="J12" i="13" s="1"/>
  <c r="I12" i="13"/>
  <c r="K12" i="13"/>
  <c r="G13" i="13"/>
  <c r="H13" i="13" s="1"/>
  <c r="I13" i="13"/>
  <c r="G14" i="13"/>
  <c r="H14" i="13" s="1"/>
  <c r="I14" i="13"/>
  <c r="G15" i="13"/>
  <c r="H15" i="13" s="1"/>
  <c r="I15" i="13"/>
  <c r="G16" i="13"/>
  <c r="H16" i="13" s="1"/>
  <c r="I16" i="13"/>
  <c r="G17" i="13"/>
  <c r="H17" i="13"/>
  <c r="I17" i="13"/>
  <c r="J17" i="13"/>
  <c r="K17" i="13"/>
  <c r="G18" i="13"/>
  <c r="H18" i="13" s="1"/>
  <c r="J18" i="13" s="1"/>
  <c r="I18" i="13"/>
  <c r="G19" i="13"/>
  <c r="H19" i="13"/>
  <c r="I19" i="13"/>
  <c r="J19" i="13"/>
  <c r="K19" i="13"/>
  <c r="G20" i="13"/>
  <c r="H20" i="13" s="1"/>
  <c r="I20" i="13"/>
  <c r="G21" i="13"/>
  <c r="H21" i="13" s="1"/>
  <c r="J21" i="13" s="1"/>
  <c r="I21" i="13"/>
  <c r="G22" i="13"/>
  <c r="H22" i="13"/>
  <c r="K22" i="13" s="1"/>
  <c r="I22" i="13"/>
  <c r="J22" i="13"/>
  <c r="G23" i="13"/>
  <c r="H23" i="13"/>
  <c r="I23" i="13"/>
  <c r="J23" i="13"/>
  <c r="K23" i="13"/>
  <c r="G24" i="13"/>
  <c r="H24" i="13"/>
  <c r="K24" i="13" s="1"/>
  <c r="I24" i="13"/>
  <c r="G25" i="13"/>
  <c r="H25" i="13" s="1"/>
  <c r="I25" i="13"/>
  <c r="G26" i="13"/>
  <c r="H26" i="13" s="1"/>
  <c r="I26" i="13"/>
  <c r="G27" i="13"/>
  <c r="H27" i="13"/>
  <c r="K27" i="13" s="1"/>
  <c r="I27" i="13"/>
  <c r="G28" i="13"/>
  <c r="H28" i="13" s="1"/>
  <c r="I28" i="13"/>
  <c r="G29" i="13"/>
  <c r="H29" i="13"/>
  <c r="J29" i="13" s="1"/>
  <c r="I29" i="13"/>
  <c r="G30" i="13"/>
  <c r="H30" i="13" s="1"/>
  <c r="I30" i="13"/>
  <c r="G31" i="13"/>
  <c r="H31" i="13" s="1"/>
  <c r="I31" i="13"/>
  <c r="G32" i="13"/>
  <c r="H32" i="13"/>
  <c r="J32" i="13" s="1"/>
  <c r="I32" i="13"/>
  <c r="G33" i="13"/>
  <c r="H33" i="13"/>
  <c r="I33" i="13"/>
  <c r="J33" i="13"/>
  <c r="K33" i="13"/>
  <c r="G34" i="13"/>
  <c r="H34" i="13"/>
  <c r="J34" i="13" s="1"/>
  <c r="I34" i="13"/>
  <c r="G35" i="13"/>
  <c r="H35" i="13"/>
  <c r="I35" i="13"/>
  <c r="J35" i="13"/>
  <c r="K35" i="13"/>
  <c r="G36" i="13"/>
  <c r="H36" i="13" s="1"/>
  <c r="I36" i="13"/>
  <c r="G37" i="13"/>
  <c r="H37" i="13"/>
  <c r="J37" i="13" s="1"/>
  <c r="I37" i="13"/>
  <c r="G38" i="13"/>
  <c r="H38" i="13" s="1"/>
  <c r="I38" i="13"/>
  <c r="B34" i="10"/>
  <c r="B32" i="10"/>
  <c r="B33" i="10"/>
  <c r="H46" i="9"/>
  <c r="O37" i="2" l="1"/>
  <c r="P37" i="2" s="1"/>
  <c r="J16" i="13"/>
  <c r="K16" i="13"/>
  <c r="J10" i="13"/>
  <c r="K10" i="13"/>
  <c r="J9" i="13"/>
  <c r="K9" i="13"/>
  <c r="J14" i="13"/>
  <c r="K14" i="13"/>
  <c r="K32" i="13"/>
  <c r="J27" i="13"/>
  <c r="K29" i="13"/>
  <c r="J24" i="13"/>
  <c r="J28" i="13"/>
  <c r="K28" i="13"/>
  <c r="J31" i="13"/>
  <c r="K31" i="13"/>
  <c r="J30" i="13"/>
  <c r="K30" i="13"/>
  <c r="K36" i="13"/>
  <c r="J36" i="13"/>
  <c r="J13" i="13"/>
  <c r="K13" i="13"/>
  <c r="J20" i="13"/>
  <c r="K20" i="13"/>
  <c r="K26" i="13"/>
  <c r="J26" i="13"/>
  <c r="K25" i="13"/>
  <c r="J25" i="13"/>
  <c r="K38" i="13"/>
  <c r="J38" i="13"/>
  <c r="J15" i="13"/>
  <c r="K15" i="13"/>
  <c r="K34" i="13"/>
  <c r="K18" i="13"/>
  <c r="K37" i="13"/>
  <c r="K21" i="13"/>
  <c r="A35" i="9"/>
  <c r="M35" i="9"/>
  <c r="M34" i="9"/>
  <c r="G29" i="9"/>
  <c r="F29" i="9"/>
  <c r="F27" i="9"/>
  <c r="M12" i="4"/>
  <c r="M10" i="4"/>
  <c r="M8" i="4"/>
  <c r="F3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P8" i="4" l="1"/>
  <c r="O8" i="4"/>
  <c r="N8" i="4"/>
  <c r="P12" i="4"/>
  <c r="B6" i="7" s="1"/>
  <c r="O12" i="4"/>
  <c r="N12" i="4"/>
  <c r="P10" i="4"/>
  <c r="O10" i="4"/>
  <c r="N10" i="4"/>
  <c r="B65" i="18"/>
  <c r="B64" i="18"/>
  <c r="N9" i="19"/>
  <c r="O9" i="19" s="1"/>
  <c r="N10" i="19"/>
  <c r="O10" i="19" s="1"/>
  <c r="N11" i="19"/>
  <c r="O11" i="19" s="1"/>
  <c r="N12" i="19"/>
  <c r="O12" i="19" s="1"/>
  <c r="N13" i="19"/>
  <c r="O13" i="19" s="1"/>
  <c r="N14" i="19"/>
  <c r="O14" i="19" s="1"/>
  <c r="N15" i="19"/>
  <c r="O15" i="19" s="1"/>
  <c r="N16" i="19"/>
  <c r="O16" i="19" s="1"/>
  <c r="N17" i="19"/>
  <c r="O17" i="19" s="1"/>
  <c r="N18" i="19"/>
  <c r="O18" i="19" s="1"/>
  <c r="N19" i="19"/>
  <c r="O19" i="19" s="1"/>
  <c r="N20" i="19"/>
  <c r="O20" i="19" s="1"/>
  <c r="N21" i="19"/>
  <c r="O21" i="19" s="1"/>
  <c r="N22" i="19"/>
  <c r="O22" i="19" s="1"/>
  <c r="N23" i="19"/>
  <c r="O23" i="19" s="1"/>
  <c r="N24" i="19"/>
  <c r="O24" i="19" s="1"/>
  <c r="N25" i="19"/>
  <c r="O25" i="19" s="1"/>
  <c r="N26" i="19"/>
  <c r="O26" i="19" s="1"/>
  <c r="N27" i="19"/>
  <c r="O27" i="19" s="1"/>
  <c r="N28" i="19"/>
  <c r="O28" i="19" s="1"/>
  <c r="N29" i="19"/>
  <c r="O29" i="19" s="1"/>
  <c r="N30" i="19"/>
  <c r="O30" i="19" s="1"/>
  <c r="N31" i="19"/>
  <c r="O31" i="19" s="1"/>
  <c r="N32" i="19"/>
  <c r="O32" i="19" s="1"/>
  <c r="N33" i="19"/>
  <c r="O33" i="19" s="1"/>
  <c r="N34" i="19"/>
  <c r="O34" i="19" s="1"/>
  <c r="N35" i="19"/>
  <c r="O35" i="19" s="1"/>
  <c r="N36" i="19"/>
  <c r="O36" i="19" s="1"/>
  <c r="N37" i="19"/>
  <c r="O37" i="19" s="1"/>
  <c r="N38" i="19"/>
  <c r="O38" i="19" s="1"/>
  <c r="F38" i="19"/>
  <c r="E38" i="19"/>
  <c r="D38" i="19"/>
  <c r="C38" i="19"/>
  <c r="B38" i="19"/>
  <c r="L38" i="19" s="1"/>
  <c r="L37" i="19"/>
  <c r="I37" i="19"/>
  <c r="F37" i="19"/>
  <c r="E37" i="19"/>
  <c r="D37" i="19"/>
  <c r="C37" i="19"/>
  <c r="B37" i="19"/>
  <c r="G37" i="19" s="1"/>
  <c r="F36" i="19"/>
  <c r="E36" i="19"/>
  <c r="D36" i="19"/>
  <c r="C36" i="19"/>
  <c r="L36" i="19" s="1"/>
  <c r="B36" i="19"/>
  <c r="F35" i="19"/>
  <c r="E35" i="19"/>
  <c r="D35" i="19"/>
  <c r="C35" i="19"/>
  <c r="B35" i="19"/>
  <c r="L35" i="19" s="1"/>
  <c r="L34" i="19"/>
  <c r="I34" i="19"/>
  <c r="F34" i="19"/>
  <c r="E34" i="19"/>
  <c r="D34" i="19"/>
  <c r="C34" i="19"/>
  <c r="B34" i="19"/>
  <c r="G34" i="19" s="1"/>
  <c r="F33" i="19"/>
  <c r="E33" i="19"/>
  <c r="D33" i="19"/>
  <c r="L33" i="19" s="1"/>
  <c r="C33" i="19"/>
  <c r="B33" i="19"/>
  <c r="F32" i="19"/>
  <c r="E32" i="19"/>
  <c r="D32" i="19"/>
  <c r="C32" i="19"/>
  <c r="B32" i="19"/>
  <c r="L32" i="19" s="1"/>
  <c r="L31" i="19"/>
  <c r="F31" i="19"/>
  <c r="E31" i="19"/>
  <c r="D31" i="19"/>
  <c r="C31" i="19"/>
  <c r="B31" i="19"/>
  <c r="I31" i="19" s="1"/>
  <c r="F30" i="19"/>
  <c r="E30" i="19"/>
  <c r="L30" i="19" s="1"/>
  <c r="D30" i="19"/>
  <c r="C30" i="19"/>
  <c r="B30" i="19"/>
  <c r="F29" i="19"/>
  <c r="E29" i="19"/>
  <c r="D29" i="19"/>
  <c r="C29" i="19"/>
  <c r="B29" i="19"/>
  <c r="L29" i="19" s="1"/>
  <c r="L28" i="19"/>
  <c r="F28" i="19"/>
  <c r="E28" i="19"/>
  <c r="D28" i="19"/>
  <c r="C28" i="19"/>
  <c r="B28" i="19"/>
  <c r="I28" i="19" s="1"/>
  <c r="F27" i="19"/>
  <c r="L27" i="19" s="1"/>
  <c r="E27" i="19"/>
  <c r="D27" i="19"/>
  <c r="C27" i="19"/>
  <c r="B27" i="19"/>
  <c r="F26" i="19"/>
  <c r="E26" i="19"/>
  <c r="D26" i="19"/>
  <c r="C26" i="19"/>
  <c r="B26" i="19"/>
  <c r="L26" i="19" s="1"/>
  <c r="L25" i="19"/>
  <c r="F25" i="19"/>
  <c r="E25" i="19"/>
  <c r="D25" i="19"/>
  <c r="C25" i="19"/>
  <c r="B25" i="19"/>
  <c r="I25" i="19" s="1"/>
  <c r="L24" i="19"/>
  <c r="I24" i="19"/>
  <c r="G24" i="19"/>
  <c r="H24" i="19" s="1"/>
  <c r="J24" i="19" s="1"/>
  <c r="F24" i="19"/>
  <c r="E24" i="19"/>
  <c r="D24" i="19"/>
  <c r="C24" i="19"/>
  <c r="B24" i="19"/>
  <c r="F23" i="19"/>
  <c r="E23" i="19"/>
  <c r="D23" i="19"/>
  <c r="C23" i="19"/>
  <c r="B23" i="19"/>
  <c r="L23" i="19" s="1"/>
  <c r="F22" i="19"/>
  <c r="E22" i="19"/>
  <c r="D22" i="19"/>
  <c r="C22" i="19"/>
  <c r="B22" i="19"/>
  <c r="L22" i="19" s="1"/>
  <c r="L21" i="19"/>
  <c r="I21" i="19"/>
  <c r="F21" i="19"/>
  <c r="E21" i="19"/>
  <c r="D21" i="19"/>
  <c r="C21" i="19"/>
  <c r="B21" i="19"/>
  <c r="G21" i="19" s="1"/>
  <c r="F20" i="19"/>
  <c r="E20" i="19"/>
  <c r="D20" i="19"/>
  <c r="C20" i="19"/>
  <c r="L20" i="19" s="1"/>
  <c r="B20" i="19"/>
  <c r="F19" i="19"/>
  <c r="E19" i="19"/>
  <c r="D19" i="19"/>
  <c r="C19" i="19"/>
  <c r="B19" i="19"/>
  <c r="L19" i="19" s="1"/>
  <c r="L18" i="19"/>
  <c r="I18" i="19"/>
  <c r="F18" i="19"/>
  <c r="E18" i="19"/>
  <c r="D18" i="19"/>
  <c r="C18" i="19"/>
  <c r="B18" i="19"/>
  <c r="G18" i="19" s="1"/>
  <c r="F17" i="19"/>
  <c r="E17" i="19"/>
  <c r="D17" i="19"/>
  <c r="L17" i="19" s="1"/>
  <c r="C17" i="19"/>
  <c r="B17" i="19"/>
  <c r="F16" i="19"/>
  <c r="E16" i="19"/>
  <c r="D16" i="19"/>
  <c r="C16" i="19"/>
  <c r="B16" i="19"/>
  <c r="L16" i="19" s="1"/>
  <c r="L15" i="19"/>
  <c r="F15" i="19"/>
  <c r="E15" i="19"/>
  <c r="D15" i="19"/>
  <c r="C15" i="19"/>
  <c r="B15" i="19"/>
  <c r="I15" i="19" s="1"/>
  <c r="F14" i="19"/>
  <c r="E14" i="19"/>
  <c r="L14" i="19" s="1"/>
  <c r="D14" i="19"/>
  <c r="C14" i="19"/>
  <c r="B14" i="19"/>
  <c r="F13" i="19"/>
  <c r="E13" i="19"/>
  <c r="D13" i="19"/>
  <c r="C13" i="19"/>
  <c r="B13" i="19"/>
  <c r="L13" i="19" s="1"/>
  <c r="L12" i="19"/>
  <c r="F12" i="19"/>
  <c r="E12" i="19"/>
  <c r="D12" i="19"/>
  <c r="C12" i="19"/>
  <c r="B12" i="19"/>
  <c r="I12" i="19" s="1"/>
  <c r="F11" i="19"/>
  <c r="G11" i="19" s="1"/>
  <c r="E11" i="19"/>
  <c r="D11" i="19"/>
  <c r="C11" i="19"/>
  <c r="B11" i="19"/>
  <c r="F10" i="19"/>
  <c r="E10" i="19"/>
  <c r="D10" i="19"/>
  <c r="C10" i="19"/>
  <c r="B10" i="19"/>
  <c r="L10" i="19" s="1"/>
  <c r="L9" i="19"/>
  <c r="F9" i="19"/>
  <c r="E9" i="19"/>
  <c r="D9" i="19"/>
  <c r="C9" i="19"/>
  <c r="B9" i="19"/>
  <c r="I9" i="19" s="1"/>
  <c r="G8" i="19"/>
  <c r="B6" i="19"/>
  <c r="B63" i="18"/>
  <c r="B62" i="18"/>
  <c r="A32" i="18"/>
  <c r="A26" i="18"/>
  <c r="A27" i="18" s="1"/>
  <c r="A28" i="18" s="1"/>
  <c r="A21" i="18"/>
  <c r="A9" i="18"/>
  <c r="A10" i="18" s="1"/>
  <c r="A11" i="18" s="1"/>
  <c r="O1002" i="18"/>
  <c r="O1001" i="18"/>
  <c r="O1000" i="18"/>
  <c r="O999" i="18"/>
  <c r="O998" i="18"/>
  <c r="O997" i="18"/>
  <c r="O996" i="18"/>
  <c r="O995" i="18"/>
  <c r="O994" i="18"/>
  <c r="O993" i="18"/>
  <c r="O992" i="18"/>
  <c r="O991" i="18"/>
  <c r="O990" i="18"/>
  <c r="O989" i="18"/>
  <c r="O988" i="18"/>
  <c r="O987" i="18"/>
  <c r="O986" i="18"/>
  <c r="O985" i="18"/>
  <c r="O984" i="18"/>
  <c r="O983" i="18"/>
  <c r="O982" i="18"/>
  <c r="O981" i="18"/>
  <c r="O980" i="18"/>
  <c r="O979" i="18"/>
  <c r="O978" i="18"/>
  <c r="O977" i="18"/>
  <c r="O976" i="18"/>
  <c r="O975" i="18"/>
  <c r="O974" i="18"/>
  <c r="O973" i="18"/>
  <c r="O972" i="18"/>
  <c r="O971" i="18"/>
  <c r="O970" i="18"/>
  <c r="O969" i="18"/>
  <c r="O968" i="18"/>
  <c r="O967" i="18"/>
  <c r="O966" i="18"/>
  <c r="O965" i="18"/>
  <c r="O964" i="18"/>
  <c r="O963" i="18"/>
  <c r="O962" i="18"/>
  <c r="O961" i="18"/>
  <c r="O960" i="18"/>
  <c r="O959" i="18"/>
  <c r="O958" i="18"/>
  <c r="O957" i="18"/>
  <c r="O956" i="18"/>
  <c r="O955" i="18"/>
  <c r="O954" i="18"/>
  <c r="O953" i="18"/>
  <c r="O952" i="18"/>
  <c r="O951" i="18"/>
  <c r="O950" i="18"/>
  <c r="O949" i="18"/>
  <c r="O948" i="18"/>
  <c r="O947" i="18"/>
  <c r="O946" i="18"/>
  <c r="O945" i="18"/>
  <c r="O944" i="18"/>
  <c r="O943" i="18"/>
  <c r="O942" i="18"/>
  <c r="O941" i="18"/>
  <c r="O940" i="18"/>
  <c r="O939" i="18"/>
  <c r="O938" i="18"/>
  <c r="O937" i="18"/>
  <c r="O936" i="18"/>
  <c r="O935" i="18"/>
  <c r="O934" i="18"/>
  <c r="O933" i="18"/>
  <c r="O932" i="18"/>
  <c r="O931" i="18"/>
  <c r="O930" i="18"/>
  <c r="O929" i="18"/>
  <c r="O928" i="18"/>
  <c r="O927" i="18"/>
  <c r="O926" i="18"/>
  <c r="O925" i="18"/>
  <c r="O924" i="18"/>
  <c r="O923" i="18"/>
  <c r="O922" i="18"/>
  <c r="O921" i="18"/>
  <c r="O920" i="18"/>
  <c r="O919" i="18"/>
  <c r="O918" i="18"/>
  <c r="O917" i="18"/>
  <c r="O916" i="18"/>
  <c r="O915" i="18"/>
  <c r="O914" i="18"/>
  <c r="O913" i="18"/>
  <c r="O912" i="18"/>
  <c r="O911" i="18"/>
  <c r="O910" i="18"/>
  <c r="O909" i="18"/>
  <c r="O908" i="18"/>
  <c r="O907" i="18"/>
  <c r="O906" i="18"/>
  <c r="O905" i="18"/>
  <c r="O904" i="18"/>
  <c r="O903" i="18"/>
  <c r="O902" i="18"/>
  <c r="O901" i="18"/>
  <c r="O900" i="18"/>
  <c r="O899" i="18"/>
  <c r="O898" i="18"/>
  <c r="O897" i="18"/>
  <c r="O896" i="18"/>
  <c r="O895" i="18"/>
  <c r="O894" i="18"/>
  <c r="O893" i="18"/>
  <c r="O892" i="18"/>
  <c r="O891" i="18"/>
  <c r="O890" i="18"/>
  <c r="O889" i="18"/>
  <c r="O888" i="18"/>
  <c r="O887" i="18"/>
  <c r="O886" i="18"/>
  <c r="O885" i="18"/>
  <c r="O884" i="18"/>
  <c r="O883" i="18"/>
  <c r="O882" i="18"/>
  <c r="O881" i="18"/>
  <c r="O880" i="18"/>
  <c r="O879" i="18"/>
  <c r="O878" i="18"/>
  <c r="O877" i="18"/>
  <c r="O876" i="18"/>
  <c r="O875" i="18"/>
  <c r="O874" i="18"/>
  <c r="O873" i="18"/>
  <c r="O872" i="18"/>
  <c r="O871" i="18"/>
  <c r="O870" i="18"/>
  <c r="O869" i="18"/>
  <c r="O868" i="18"/>
  <c r="O867" i="18"/>
  <c r="O866" i="18"/>
  <c r="O865" i="18"/>
  <c r="O864" i="18"/>
  <c r="O863" i="18"/>
  <c r="O862" i="18"/>
  <c r="O861" i="18"/>
  <c r="O860" i="18"/>
  <c r="O859" i="18"/>
  <c r="O858" i="18"/>
  <c r="O857" i="18"/>
  <c r="O856" i="18"/>
  <c r="O855" i="18"/>
  <c r="O854" i="18"/>
  <c r="O853" i="18"/>
  <c r="O852" i="18"/>
  <c r="O851" i="18"/>
  <c r="O850" i="18"/>
  <c r="O849" i="18"/>
  <c r="O848" i="18"/>
  <c r="O847" i="18"/>
  <c r="O846" i="18"/>
  <c r="O845" i="18"/>
  <c r="O844" i="18"/>
  <c r="O843" i="18"/>
  <c r="O842" i="18"/>
  <c r="O841" i="18"/>
  <c r="O840" i="18"/>
  <c r="O839" i="18"/>
  <c r="O838" i="18"/>
  <c r="O837" i="18"/>
  <c r="O836" i="18"/>
  <c r="O835" i="18"/>
  <c r="O834" i="18"/>
  <c r="O833" i="18"/>
  <c r="O832" i="18"/>
  <c r="O831" i="18"/>
  <c r="O830" i="18"/>
  <c r="O829" i="18"/>
  <c r="O828" i="18"/>
  <c r="O827" i="18"/>
  <c r="O826" i="18"/>
  <c r="O825" i="18"/>
  <c r="O824" i="18"/>
  <c r="O823" i="18"/>
  <c r="O822" i="18"/>
  <c r="O821" i="18"/>
  <c r="O820" i="18"/>
  <c r="O819" i="18"/>
  <c r="O818" i="18"/>
  <c r="O817" i="18"/>
  <c r="O816" i="18"/>
  <c r="O815" i="18"/>
  <c r="O814" i="18"/>
  <c r="O813" i="18"/>
  <c r="O812" i="18"/>
  <c r="O811" i="18"/>
  <c r="O810" i="18"/>
  <c r="O809" i="18"/>
  <c r="O808" i="18"/>
  <c r="O807" i="18"/>
  <c r="O806" i="18"/>
  <c r="O805" i="18"/>
  <c r="O804" i="18"/>
  <c r="O803" i="18"/>
  <c r="O802" i="18"/>
  <c r="O801" i="18"/>
  <c r="O800" i="18"/>
  <c r="O799" i="18"/>
  <c r="O798" i="18"/>
  <c r="O797" i="18"/>
  <c r="O796" i="18"/>
  <c r="O795" i="18"/>
  <c r="O794" i="18"/>
  <c r="O793" i="18"/>
  <c r="O792" i="18"/>
  <c r="O791" i="18"/>
  <c r="O790" i="18"/>
  <c r="O789" i="18"/>
  <c r="O788" i="18"/>
  <c r="O787" i="18"/>
  <c r="O786" i="18"/>
  <c r="O785" i="18"/>
  <c r="O784" i="18"/>
  <c r="O783" i="18"/>
  <c r="O782" i="18"/>
  <c r="O781" i="18"/>
  <c r="O780" i="18"/>
  <c r="O779" i="18"/>
  <c r="O778" i="18"/>
  <c r="O777" i="18"/>
  <c r="O776" i="18"/>
  <c r="O775" i="18"/>
  <c r="O774" i="18"/>
  <c r="O773" i="18"/>
  <c r="O772" i="18"/>
  <c r="O771" i="18"/>
  <c r="O770" i="18"/>
  <c r="O769" i="18"/>
  <c r="O768" i="18"/>
  <c r="O767" i="18"/>
  <c r="O766" i="18"/>
  <c r="O765" i="18"/>
  <c r="O764" i="18"/>
  <c r="O763" i="18"/>
  <c r="O762" i="18"/>
  <c r="O761" i="18"/>
  <c r="O760" i="18"/>
  <c r="O759" i="18"/>
  <c r="O758" i="18"/>
  <c r="O757" i="18"/>
  <c r="O756" i="18"/>
  <c r="O755" i="18"/>
  <c r="O754" i="18"/>
  <c r="O753" i="18"/>
  <c r="O752" i="18"/>
  <c r="O751" i="18"/>
  <c r="O750" i="18"/>
  <c r="O749" i="18"/>
  <c r="O748" i="18"/>
  <c r="O747" i="18"/>
  <c r="O746" i="18"/>
  <c r="O745" i="18"/>
  <c r="O744" i="18"/>
  <c r="O743" i="18"/>
  <c r="O742" i="18"/>
  <c r="O741" i="18"/>
  <c r="O740" i="18"/>
  <c r="O739" i="18"/>
  <c r="O738" i="18"/>
  <c r="O737" i="18"/>
  <c r="O736" i="18"/>
  <c r="O735" i="18"/>
  <c r="O734" i="18"/>
  <c r="O733" i="18"/>
  <c r="O732" i="18"/>
  <c r="O731" i="18"/>
  <c r="O730" i="18"/>
  <c r="O729" i="18"/>
  <c r="O728" i="18"/>
  <c r="O727" i="18"/>
  <c r="O726" i="18"/>
  <c r="O725" i="18"/>
  <c r="O724" i="18"/>
  <c r="O723" i="18"/>
  <c r="O722" i="18"/>
  <c r="O721" i="18"/>
  <c r="O720" i="18"/>
  <c r="O719" i="18"/>
  <c r="O718" i="18"/>
  <c r="O717" i="18"/>
  <c r="O716" i="18"/>
  <c r="O715" i="18"/>
  <c r="O714" i="18"/>
  <c r="O713" i="18"/>
  <c r="O712" i="18"/>
  <c r="O711" i="18"/>
  <c r="O710" i="18"/>
  <c r="O709" i="18"/>
  <c r="O708" i="18"/>
  <c r="O707" i="18"/>
  <c r="O706" i="18"/>
  <c r="O705" i="18"/>
  <c r="O704" i="18"/>
  <c r="O703" i="18"/>
  <c r="O702" i="18"/>
  <c r="O701" i="18"/>
  <c r="O700" i="18"/>
  <c r="O699" i="18"/>
  <c r="O698" i="18"/>
  <c r="O697" i="18"/>
  <c r="O696" i="18"/>
  <c r="O695" i="18"/>
  <c r="O694" i="18"/>
  <c r="O693" i="18"/>
  <c r="O692" i="18"/>
  <c r="O691" i="18"/>
  <c r="O690" i="18"/>
  <c r="O689" i="18"/>
  <c r="O688" i="18"/>
  <c r="O687" i="18"/>
  <c r="O686" i="18"/>
  <c r="N685" i="18"/>
  <c r="N684" i="18"/>
  <c r="N683" i="18"/>
  <c r="N682" i="18"/>
  <c r="N681" i="18"/>
  <c r="N680" i="18"/>
  <c r="N679" i="18"/>
  <c r="N678" i="18"/>
  <c r="N677" i="18"/>
  <c r="N676" i="18"/>
  <c r="N675" i="18"/>
  <c r="N674" i="18"/>
  <c r="N673" i="18"/>
  <c r="N672" i="18"/>
  <c r="N671" i="18"/>
  <c r="N670" i="18"/>
  <c r="N669" i="18"/>
  <c r="N668" i="18"/>
  <c r="N667" i="18"/>
  <c r="N666" i="18"/>
  <c r="N665" i="18"/>
  <c r="N664" i="18"/>
  <c r="N663" i="18"/>
  <c r="N662" i="18"/>
  <c r="N661" i="18"/>
  <c r="N660" i="18"/>
  <c r="N659" i="18"/>
  <c r="N658" i="18"/>
  <c r="N657" i="18"/>
  <c r="N656" i="18"/>
  <c r="N655" i="18"/>
  <c r="N654" i="18"/>
  <c r="N653" i="18"/>
  <c r="N652" i="18"/>
  <c r="N651" i="18"/>
  <c r="N650" i="18"/>
  <c r="N649" i="18"/>
  <c r="N648" i="18"/>
  <c r="N647" i="18"/>
  <c r="N646" i="18"/>
  <c r="N645" i="18"/>
  <c r="N644" i="18"/>
  <c r="N643" i="18"/>
  <c r="N642" i="18"/>
  <c r="N641" i="18"/>
  <c r="N640" i="18"/>
  <c r="N639" i="18"/>
  <c r="N638" i="18"/>
  <c r="N637" i="18"/>
  <c r="N636" i="18"/>
  <c r="N635" i="18"/>
  <c r="N634" i="18"/>
  <c r="N633" i="18"/>
  <c r="N632" i="18"/>
  <c r="N631" i="18"/>
  <c r="N630" i="18"/>
  <c r="N629" i="18"/>
  <c r="N628" i="18"/>
  <c r="N627" i="18"/>
  <c r="N626" i="18"/>
  <c r="N625" i="18"/>
  <c r="N624" i="18"/>
  <c r="N623" i="18"/>
  <c r="N622" i="18"/>
  <c r="N621" i="18"/>
  <c r="N620" i="18"/>
  <c r="N619" i="18"/>
  <c r="N618" i="18"/>
  <c r="N617" i="18"/>
  <c r="N616" i="18"/>
  <c r="N615" i="18"/>
  <c r="N614" i="18"/>
  <c r="N613" i="18"/>
  <c r="N612" i="18"/>
  <c r="N611" i="18"/>
  <c r="N610" i="18"/>
  <c r="N609" i="18"/>
  <c r="N608" i="18"/>
  <c r="N607" i="18"/>
  <c r="N606" i="18"/>
  <c r="N605" i="18"/>
  <c r="N604" i="18"/>
  <c r="N603" i="18"/>
  <c r="N602" i="18"/>
  <c r="N601" i="18"/>
  <c r="N600" i="18"/>
  <c r="N599" i="18"/>
  <c r="N598" i="18"/>
  <c r="N597" i="18"/>
  <c r="N596" i="18"/>
  <c r="N595" i="18"/>
  <c r="N594" i="18"/>
  <c r="N593" i="18"/>
  <c r="N592" i="18"/>
  <c r="N591" i="18"/>
  <c r="N590" i="18"/>
  <c r="N589" i="18"/>
  <c r="N588" i="18"/>
  <c r="N587" i="18"/>
  <c r="N586" i="18"/>
  <c r="N585" i="18"/>
  <c r="N584" i="18"/>
  <c r="N583" i="18"/>
  <c r="N582" i="18"/>
  <c r="N581" i="18"/>
  <c r="N580" i="18"/>
  <c r="N579" i="18"/>
  <c r="N578" i="18"/>
  <c r="N577" i="18"/>
  <c r="N576" i="18"/>
  <c r="N575" i="18"/>
  <c r="N574" i="18"/>
  <c r="N573" i="18"/>
  <c r="N572" i="18"/>
  <c r="N571" i="18"/>
  <c r="N570" i="18"/>
  <c r="N569" i="18"/>
  <c r="N568" i="18"/>
  <c r="N567" i="18"/>
  <c r="N566" i="18"/>
  <c r="N565" i="18"/>
  <c r="N564" i="18"/>
  <c r="N563" i="18"/>
  <c r="N562" i="18"/>
  <c r="N561" i="18"/>
  <c r="N560" i="18"/>
  <c r="N559" i="18"/>
  <c r="N558" i="18"/>
  <c r="N557" i="18"/>
  <c r="N556" i="18"/>
  <c r="N555" i="18"/>
  <c r="N554" i="18"/>
  <c r="N553" i="18"/>
  <c r="N552" i="18"/>
  <c r="N551" i="18"/>
  <c r="N550" i="18"/>
  <c r="N549" i="18"/>
  <c r="N548" i="18"/>
  <c r="N547" i="18"/>
  <c r="N546" i="18"/>
  <c r="N545" i="18"/>
  <c r="N544" i="18"/>
  <c r="N543" i="18"/>
  <c r="N542" i="18"/>
  <c r="N541" i="18"/>
  <c r="N540" i="18"/>
  <c r="N539" i="18"/>
  <c r="N538" i="18"/>
  <c r="N537" i="18"/>
  <c r="N536" i="18"/>
  <c r="N535" i="18"/>
  <c r="N534" i="18"/>
  <c r="N533" i="18"/>
  <c r="N532" i="18"/>
  <c r="N531" i="18"/>
  <c r="N530" i="18"/>
  <c r="N529" i="18"/>
  <c r="N528" i="18"/>
  <c r="N527" i="18"/>
  <c r="N526" i="18"/>
  <c r="N525" i="18"/>
  <c r="N524" i="18"/>
  <c r="N523" i="18"/>
  <c r="N522" i="18"/>
  <c r="N521" i="18"/>
  <c r="N520" i="18"/>
  <c r="N519" i="18"/>
  <c r="N518" i="18"/>
  <c r="N517" i="18"/>
  <c r="N516" i="18"/>
  <c r="N515" i="18"/>
  <c r="N514" i="18"/>
  <c r="N513" i="18"/>
  <c r="N512" i="18"/>
  <c r="N511" i="18"/>
  <c r="N510" i="18"/>
  <c r="N509" i="18"/>
  <c r="N508" i="18"/>
  <c r="N507" i="18"/>
  <c r="N506" i="18"/>
  <c r="N505" i="18"/>
  <c r="N504" i="18"/>
  <c r="N503" i="18"/>
  <c r="N502" i="18"/>
  <c r="N501" i="18"/>
  <c r="N500" i="18"/>
  <c r="N499" i="18"/>
  <c r="N498" i="18"/>
  <c r="N497" i="18"/>
  <c r="N496" i="18"/>
  <c r="N495" i="18"/>
  <c r="N494" i="18"/>
  <c r="N493" i="18"/>
  <c r="N492" i="18"/>
  <c r="N491" i="18"/>
  <c r="N490" i="18"/>
  <c r="N489" i="18"/>
  <c r="N488" i="18"/>
  <c r="N487" i="18"/>
  <c r="N486" i="18"/>
  <c r="N485" i="18"/>
  <c r="N484" i="18"/>
  <c r="N483" i="18"/>
  <c r="N482" i="18"/>
  <c r="N481" i="18"/>
  <c r="N480" i="18"/>
  <c r="N479" i="18"/>
  <c r="N478" i="18"/>
  <c r="N477" i="18"/>
  <c r="N476" i="18"/>
  <c r="N475" i="18"/>
  <c r="N474" i="18"/>
  <c r="N473" i="18"/>
  <c r="N472" i="18"/>
  <c r="N471" i="18"/>
  <c r="N470" i="18"/>
  <c r="N469" i="18"/>
  <c r="N468" i="18"/>
  <c r="N467" i="18"/>
  <c r="N466" i="18"/>
  <c r="N465" i="18"/>
  <c r="N464" i="18"/>
  <c r="N463" i="18"/>
  <c r="N462" i="18"/>
  <c r="N461" i="18"/>
  <c r="N460" i="18"/>
  <c r="N459" i="18"/>
  <c r="N458" i="18"/>
  <c r="N457" i="18"/>
  <c r="N456" i="18"/>
  <c r="N455" i="18"/>
  <c r="N454" i="18"/>
  <c r="N453" i="18"/>
  <c r="N452" i="18"/>
  <c r="N451" i="18"/>
  <c r="N450" i="18"/>
  <c r="N449" i="18"/>
  <c r="N448" i="18"/>
  <c r="N447" i="18"/>
  <c r="N446" i="18"/>
  <c r="N445" i="18"/>
  <c r="N444" i="18"/>
  <c r="N443" i="18"/>
  <c r="N442" i="18"/>
  <c r="N441" i="18"/>
  <c r="N440" i="18"/>
  <c r="N439" i="18"/>
  <c r="N438" i="18"/>
  <c r="N437" i="18"/>
  <c r="N436" i="18"/>
  <c r="N435" i="18"/>
  <c r="N434" i="18"/>
  <c r="N433" i="18"/>
  <c r="N432" i="18"/>
  <c r="N431" i="18"/>
  <c r="N430" i="18"/>
  <c r="N429" i="18"/>
  <c r="N428" i="18"/>
  <c r="N427" i="18"/>
  <c r="N426" i="18"/>
  <c r="N425" i="18"/>
  <c r="N424" i="18"/>
  <c r="N423" i="18"/>
  <c r="N422" i="18"/>
  <c r="N421" i="18"/>
  <c r="N420" i="18"/>
  <c r="N419" i="18"/>
  <c r="N418" i="18"/>
  <c r="N417" i="18"/>
  <c r="N416" i="18"/>
  <c r="N415" i="18"/>
  <c r="N414" i="18"/>
  <c r="N413" i="18"/>
  <c r="N412" i="18"/>
  <c r="N411" i="18"/>
  <c r="N410" i="18"/>
  <c r="N409" i="18"/>
  <c r="N408" i="18"/>
  <c r="N407" i="18"/>
  <c r="N406" i="18"/>
  <c r="N405" i="18"/>
  <c r="N404" i="18"/>
  <c r="N403" i="18"/>
  <c r="N402" i="18"/>
  <c r="N401" i="18"/>
  <c r="N400" i="18"/>
  <c r="N399" i="18"/>
  <c r="N398" i="18"/>
  <c r="N397" i="18"/>
  <c r="N396" i="18"/>
  <c r="N395" i="18"/>
  <c r="N394" i="18"/>
  <c r="N393" i="18"/>
  <c r="N392" i="18"/>
  <c r="N391" i="18"/>
  <c r="N390" i="18"/>
  <c r="N389" i="18"/>
  <c r="N388" i="18"/>
  <c r="N387" i="18"/>
  <c r="N386" i="18"/>
  <c r="N385" i="18"/>
  <c r="N384" i="18"/>
  <c r="N383" i="18"/>
  <c r="N382" i="18"/>
  <c r="N381" i="18"/>
  <c r="N380" i="18"/>
  <c r="N379" i="18"/>
  <c r="N378" i="18"/>
  <c r="N377" i="18"/>
  <c r="N376" i="18"/>
  <c r="N375" i="18"/>
  <c r="N374" i="18"/>
  <c r="N373" i="18"/>
  <c r="N372" i="18"/>
  <c r="N371" i="18"/>
  <c r="N370" i="18"/>
  <c r="N369" i="18"/>
  <c r="N368" i="18"/>
  <c r="N367" i="18"/>
  <c r="N366" i="18"/>
  <c r="N365" i="18"/>
  <c r="N364" i="18"/>
  <c r="N363" i="18"/>
  <c r="N362" i="18"/>
  <c r="N361" i="18"/>
  <c r="N360" i="18"/>
  <c r="N359" i="18"/>
  <c r="N358" i="18"/>
  <c r="N357" i="18"/>
  <c r="N356" i="18"/>
  <c r="N355" i="18"/>
  <c r="N354" i="18"/>
  <c r="N353" i="18"/>
  <c r="N352" i="18"/>
  <c r="N351" i="18"/>
  <c r="N350" i="18"/>
  <c r="N349" i="18"/>
  <c r="N348" i="18"/>
  <c r="N347" i="18"/>
  <c r="N346" i="18"/>
  <c r="N345" i="18"/>
  <c r="N344" i="18"/>
  <c r="N343" i="18"/>
  <c r="N342" i="18"/>
  <c r="N341" i="18"/>
  <c r="N340" i="18"/>
  <c r="N339" i="18"/>
  <c r="N338" i="18"/>
  <c r="N337" i="18"/>
  <c r="N336" i="18"/>
  <c r="N335" i="18"/>
  <c r="N334" i="18"/>
  <c r="N333" i="18"/>
  <c r="N332" i="18"/>
  <c r="N331" i="18"/>
  <c r="N330" i="18"/>
  <c r="N329" i="18"/>
  <c r="N328" i="18"/>
  <c r="N327" i="18"/>
  <c r="N326" i="18"/>
  <c r="N325" i="18"/>
  <c r="N324" i="18"/>
  <c r="N323" i="18"/>
  <c r="N322" i="18"/>
  <c r="N321" i="18"/>
  <c r="N320" i="18"/>
  <c r="N319" i="18"/>
  <c r="N318" i="18"/>
  <c r="N317" i="18"/>
  <c r="N316" i="18"/>
  <c r="N315" i="18"/>
  <c r="N314" i="18"/>
  <c r="N313" i="18"/>
  <c r="N312" i="18"/>
  <c r="N311" i="18"/>
  <c r="N310" i="18"/>
  <c r="N309" i="18"/>
  <c r="N308" i="18"/>
  <c r="N307" i="18"/>
  <c r="N306" i="18"/>
  <c r="N305" i="18"/>
  <c r="N304" i="18"/>
  <c r="N303" i="18"/>
  <c r="N302" i="18"/>
  <c r="N301" i="18"/>
  <c r="N300" i="18"/>
  <c r="N299" i="18"/>
  <c r="N298" i="18"/>
  <c r="N297" i="18"/>
  <c r="N296" i="18"/>
  <c r="N295" i="18"/>
  <c r="N294" i="18"/>
  <c r="N293" i="18"/>
  <c r="N292" i="18"/>
  <c r="N291" i="18"/>
  <c r="N290" i="18"/>
  <c r="N289" i="18"/>
  <c r="N288" i="18"/>
  <c r="N287" i="18"/>
  <c r="N286" i="18"/>
  <c r="N285" i="18"/>
  <c r="N284" i="18"/>
  <c r="N283" i="18"/>
  <c r="N282" i="18"/>
  <c r="N281" i="18"/>
  <c r="N280" i="18"/>
  <c r="N279" i="18"/>
  <c r="N278" i="18"/>
  <c r="N277" i="18"/>
  <c r="N276" i="18"/>
  <c r="N275" i="18"/>
  <c r="N274" i="18"/>
  <c r="N273" i="18"/>
  <c r="N272" i="18"/>
  <c r="N271" i="18"/>
  <c r="N270" i="18"/>
  <c r="N269" i="18"/>
  <c r="N268" i="18"/>
  <c r="N267" i="18"/>
  <c r="N266" i="18"/>
  <c r="N265" i="18"/>
  <c r="N264" i="18"/>
  <c r="N263" i="18"/>
  <c r="N262" i="18"/>
  <c r="N261" i="18"/>
  <c r="N260" i="18"/>
  <c r="N259" i="18"/>
  <c r="N258" i="18"/>
  <c r="N257" i="18"/>
  <c r="N256" i="18"/>
  <c r="N255" i="18"/>
  <c r="N254" i="18"/>
  <c r="N253" i="18"/>
  <c r="N252" i="18"/>
  <c r="N251" i="18"/>
  <c r="N250" i="18"/>
  <c r="N249" i="18"/>
  <c r="N248" i="18"/>
  <c r="N247" i="18"/>
  <c r="N246" i="18"/>
  <c r="N245" i="18"/>
  <c r="N244" i="18"/>
  <c r="N243" i="18"/>
  <c r="N242" i="18"/>
  <c r="N241" i="18"/>
  <c r="N240" i="18"/>
  <c r="N239" i="18"/>
  <c r="N238" i="18"/>
  <c r="N237" i="18"/>
  <c r="N236" i="18"/>
  <c r="N235" i="18"/>
  <c r="N234" i="18"/>
  <c r="N233" i="18"/>
  <c r="N232" i="18"/>
  <c r="N231" i="18"/>
  <c r="N230" i="18"/>
  <c r="N229" i="18"/>
  <c r="N228" i="18"/>
  <c r="N227" i="18"/>
  <c r="N226" i="18"/>
  <c r="N225" i="18"/>
  <c r="N224" i="18"/>
  <c r="N223" i="18"/>
  <c r="N222" i="18"/>
  <c r="N221" i="18"/>
  <c r="N220" i="18"/>
  <c r="N219" i="18"/>
  <c r="N218" i="18"/>
  <c r="N217" i="18"/>
  <c r="N216" i="18"/>
  <c r="N215" i="18"/>
  <c r="N214" i="18"/>
  <c r="N213" i="18"/>
  <c r="N212" i="18"/>
  <c r="N211" i="18"/>
  <c r="N210" i="18"/>
  <c r="N209" i="18"/>
  <c r="N208" i="18"/>
  <c r="N207" i="18"/>
  <c r="N206" i="18"/>
  <c r="N205" i="18"/>
  <c r="N204" i="18"/>
  <c r="N203" i="18"/>
  <c r="N202" i="18"/>
  <c r="N201" i="18"/>
  <c r="N200" i="18"/>
  <c r="N199" i="18"/>
  <c r="N198" i="18"/>
  <c r="N197" i="18"/>
  <c r="N196" i="18"/>
  <c r="N195" i="18"/>
  <c r="N194" i="18"/>
  <c r="N193" i="18"/>
  <c r="N192" i="18"/>
  <c r="N191" i="18"/>
  <c r="N190" i="18"/>
  <c r="N189" i="18"/>
  <c r="N188" i="18"/>
  <c r="N187" i="18"/>
  <c r="N186" i="18"/>
  <c r="N185" i="18"/>
  <c r="N184" i="18"/>
  <c r="N183" i="18"/>
  <c r="N182" i="18"/>
  <c r="N181" i="18"/>
  <c r="N180" i="18"/>
  <c r="N179" i="18"/>
  <c r="N178" i="18"/>
  <c r="N177" i="18"/>
  <c r="N176" i="18"/>
  <c r="N175" i="18"/>
  <c r="N174" i="18"/>
  <c r="N173" i="18"/>
  <c r="N172" i="18"/>
  <c r="N171" i="18"/>
  <c r="N170" i="18"/>
  <c r="N169" i="18"/>
  <c r="N168" i="18"/>
  <c r="N167" i="18"/>
  <c r="N166" i="18"/>
  <c r="N165" i="18"/>
  <c r="N164" i="18"/>
  <c r="N163" i="18"/>
  <c r="N162" i="18"/>
  <c r="N161" i="18"/>
  <c r="N160" i="18"/>
  <c r="N159" i="18"/>
  <c r="N158" i="18"/>
  <c r="N157" i="18"/>
  <c r="N156" i="18"/>
  <c r="N155" i="18"/>
  <c r="N154" i="18"/>
  <c r="N153" i="18"/>
  <c r="N152" i="18"/>
  <c r="N151" i="18"/>
  <c r="N150" i="18"/>
  <c r="N149" i="18"/>
  <c r="N148" i="18"/>
  <c r="N147" i="18"/>
  <c r="N146" i="18"/>
  <c r="N145" i="18"/>
  <c r="N144" i="18"/>
  <c r="N143" i="18"/>
  <c r="N142" i="18"/>
  <c r="N141" i="18"/>
  <c r="N140" i="18"/>
  <c r="N139" i="18"/>
  <c r="N138" i="18"/>
  <c r="N137" i="18"/>
  <c r="N136" i="18"/>
  <c r="N135" i="18"/>
  <c r="N134" i="18"/>
  <c r="N133" i="18"/>
  <c r="N132" i="18"/>
  <c r="N131" i="18"/>
  <c r="N130" i="18"/>
  <c r="N129" i="18"/>
  <c r="N128" i="18"/>
  <c r="N127" i="18"/>
  <c r="N126" i="18"/>
  <c r="N125" i="18"/>
  <c r="N124" i="18"/>
  <c r="N123" i="18"/>
  <c r="N122" i="18"/>
  <c r="N121" i="18"/>
  <c r="N120" i="18"/>
  <c r="N119" i="18"/>
  <c r="N118" i="18"/>
  <c r="N117" i="18"/>
  <c r="N116" i="18"/>
  <c r="N115" i="18"/>
  <c r="N114" i="18"/>
  <c r="N113" i="18"/>
  <c r="N112" i="18"/>
  <c r="N111" i="18"/>
  <c r="N110" i="18"/>
  <c r="N109" i="18"/>
  <c r="N108" i="18"/>
  <c r="N107" i="18"/>
  <c r="N106" i="18"/>
  <c r="N105" i="18"/>
  <c r="N104" i="18"/>
  <c r="N103" i="18"/>
  <c r="N102" i="18"/>
  <c r="N101" i="18"/>
  <c r="N100" i="18"/>
  <c r="N99" i="18"/>
  <c r="N98" i="18"/>
  <c r="N97" i="18"/>
  <c r="N96" i="18"/>
  <c r="N95" i="18"/>
  <c r="N94" i="18"/>
  <c r="N93" i="18"/>
  <c r="N92" i="18"/>
  <c r="N91" i="18"/>
  <c r="N90" i="18"/>
  <c r="N89" i="18"/>
  <c r="N88" i="18"/>
  <c r="N87" i="18"/>
  <c r="N86" i="18"/>
  <c r="N85" i="18"/>
  <c r="N84" i="18"/>
  <c r="N83" i="18"/>
  <c r="N82" i="18"/>
  <c r="N81" i="18"/>
  <c r="N80" i="18"/>
  <c r="N79" i="18"/>
  <c r="N78" i="18"/>
  <c r="N77" i="18"/>
  <c r="N76" i="18"/>
  <c r="N75" i="18"/>
  <c r="N74" i="18"/>
  <c r="N73" i="18"/>
  <c r="N72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N58" i="18"/>
  <c r="N57" i="18"/>
  <c r="N56" i="18"/>
  <c r="N55" i="18"/>
  <c r="N54" i="18"/>
  <c r="N53" i="18"/>
  <c r="N52" i="18"/>
  <c r="N51" i="18"/>
  <c r="N50" i="18"/>
  <c r="N49" i="18"/>
  <c r="N48" i="18"/>
  <c r="N4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H34" i="19" l="1"/>
  <c r="J34" i="19" s="1"/>
  <c r="K34" i="19"/>
  <c r="H37" i="19"/>
  <c r="J37" i="19" s="1"/>
  <c r="K37" i="19"/>
  <c r="K11" i="19"/>
  <c r="H11" i="19"/>
  <c r="J11" i="19" s="1"/>
  <c r="H18" i="19"/>
  <c r="J18" i="19" s="1"/>
  <c r="K18" i="19"/>
  <c r="K21" i="19"/>
  <c r="H21" i="19"/>
  <c r="J21" i="19" s="1"/>
  <c r="G14" i="19"/>
  <c r="G30" i="19"/>
  <c r="I11" i="19"/>
  <c r="G17" i="19"/>
  <c r="I27" i="19"/>
  <c r="G33" i="19"/>
  <c r="I14" i="19"/>
  <c r="G20" i="19"/>
  <c r="K24" i="19"/>
  <c r="I30" i="19"/>
  <c r="G36" i="19"/>
  <c r="I17" i="19"/>
  <c r="G23" i="19"/>
  <c r="I33" i="19"/>
  <c r="G27" i="19"/>
  <c r="G10" i="19"/>
  <c r="L11" i="19"/>
  <c r="I20" i="19"/>
  <c r="G26" i="19"/>
  <c r="I36" i="19"/>
  <c r="G13" i="19"/>
  <c r="I23" i="19"/>
  <c r="G29" i="19"/>
  <c r="I10" i="19"/>
  <c r="G16" i="19"/>
  <c r="I26" i="19"/>
  <c r="G32" i="19"/>
  <c r="I13" i="19"/>
  <c r="G19" i="19"/>
  <c r="I29" i="19"/>
  <c r="G35" i="19"/>
  <c r="I16" i="19"/>
  <c r="G22" i="19"/>
  <c r="I32" i="19"/>
  <c r="G38" i="19"/>
  <c r="G9" i="19"/>
  <c r="I19" i="19"/>
  <c r="G25" i="19"/>
  <c r="I35" i="19"/>
  <c r="G12" i="19"/>
  <c r="I22" i="19"/>
  <c r="G28" i="19"/>
  <c r="I38" i="19"/>
  <c r="G15" i="19"/>
  <c r="G31" i="19"/>
  <c r="A35" i="18"/>
  <c r="O571" i="18" s="1"/>
  <c r="A18" i="18"/>
  <c r="A13" i="18"/>
  <c r="A15" i="18" s="1"/>
  <c r="A17" i="18" s="1"/>
  <c r="A19" i="18" s="1"/>
  <c r="A20" i="18" s="1"/>
  <c r="O494" i="18"/>
  <c r="O302" i="18"/>
  <c r="O262" i="18"/>
  <c r="O166" i="18"/>
  <c r="O84" i="18"/>
  <c r="O324" i="18"/>
  <c r="O508" i="18"/>
  <c r="O380" i="18"/>
  <c r="O244" i="18"/>
  <c r="O556" i="18"/>
  <c r="K9" i="19" l="1"/>
  <c r="H9" i="19"/>
  <c r="J9" i="19" s="1"/>
  <c r="K17" i="19"/>
  <c r="H17" i="19"/>
  <c r="J17" i="19" s="1"/>
  <c r="K33" i="19"/>
  <c r="H33" i="19"/>
  <c r="J33" i="19" s="1"/>
  <c r="K38" i="19"/>
  <c r="H38" i="19"/>
  <c r="J38" i="19" s="1"/>
  <c r="K26" i="19"/>
  <c r="H26" i="19"/>
  <c r="J26" i="19" s="1"/>
  <c r="K30" i="19"/>
  <c r="H30" i="19"/>
  <c r="J30" i="19" s="1"/>
  <c r="K22" i="19"/>
  <c r="H22" i="19"/>
  <c r="J22" i="19" s="1"/>
  <c r="K14" i="19"/>
  <c r="H14" i="19"/>
  <c r="J14" i="19" s="1"/>
  <c r="K10" i="19"/>
  <c r="H10" i="19"/>
  <c r="J10" i="19" s="1"/>
  <c r="K35" i="19"/>
  <c r="H35" i="19"/>
  <c r="J35" i="19" s="1"/>
  <c r="K27" i="19"/>
  <c r="H27" i="19"/>
  <c r="J27" i="19" s="1"/>
  <c r="H31" i="19"/>
  <c r="J31" i="19" s="1"/>
  <c r="K31" i="19"/>
  <c r="K19" i="19"/>
  <c r="H19" i="19"/>
  <c r="J19" i="19" s="1"/>
  <c r="K23" i="19"/>
  <c r="H23" i="19"/>
  <c r="J23" i="19" s="1"/>
  <c r="H15" i="19"/>
  <c r="J15" i="19" s="1"/>
  <c r="K15" i="19"/>
  <c r="K25" i="19"/>
  <c r="H25" i="19"/>
  <c r="J25" i="19" s="1"/>
  <c r="K32" i="19"/>
  <c r="H32" i="19"/>
  <c r="J32" i="19" s="1"/>
  <c r="K36" i="19"/>
  <c r="H36" i="19"/>
  <c r="J36" i="19" s="1"/>
  <c r="H28" i="19"/>
  <c r="J28" i="19" s="1"/>
  <c r="K28" i="19"/>
  <c r="K16" i="19"/>
  <c r="H16" i="19"/>
  <c r="J16" i="19" s="1"/>
  <c r="H12" i="19"/>
  <c r="J12" i="19" s="1"/>
  <c r="K12" i="19"/>
  <c r="K20" i="19"/>
  <c r="H20" i="19"/>
  <c r="J20" i="19" s="1"/>
  <c r="K13" i="19"/>
  <c r="H13" i="19"/>
  <c r="J13" i="19" s="1"/>
  <c r="K29" i="19"/>
  <c r="H29" i="19"/>
  <c r="J29" i="19" s="1"/>
  <c r="O630" i="18"/>
  <c r="O444" i="18"/>
  <c r="O596" i="18"/>
  <c r="O638" i="18"/>
  <c r="O188" i="18"/>
  <c r="O45" i="18"/>
  <c r="O77" i="18"/>
  <c r="O143" i="18"/>
  <c r="O468" i="18"/>
  <c r="O460" i="18"/>
  <c r="O205" i="18"/>
  <c r="O391" i="18"/>
  <c r="O484" i="18"/>
  <c r="O229" i="18"/>
  <c r="O623" i="18"/>
  <c r="O12" i="18"/>
  <c r="O237" i="18"/>
  <c r="O639" i="18"/>
  <c r="O148" i="18"/>
  <c r="O341" i="18"/>
  <c r="O200" i="18"/>
  <c r="O604" i="18"/>
  <c r="O485" i="18"/>
  <c r="O512" i="18"/>
  <c r="O55" i="18"/>
  <c r="O509" i="18"/>
  <c r="O145" i="18"/>
  <c r="O292" i="18"/>
  <c r="O517" i="18"/>
  <c r="O169" i="18"/>
  <c r="O364" i="18"/>
  <c r="O629" i="18"/>
  <c r="O436" i="18"/>
  <c r="O134" i="18"/>
  <c r="O572" i="18"/>
  <c r="O14" i="18"/>
  <c r="O420" i="18"/>
  <c r="O636" i="18"/>
  <c r="O18" i="18"/>
  <c r="O245" i="18"/>
  <c r="O525" i="18"/>
  <c r="O278" i="18"/>
  <c r="O646" i="18"/>
  <c r="O647" i="18"/>
  <c r="O177" i="18"/>
  <c r="O172" i="18"/>
  <c r="O59" i="18"/>
  <c r="O38" i="18"/>
  <c r="O23" i="18"/>
  <c r="O57" i="18"/>
  <c r="O42" i="18"/>
  <c r="O253" i="18"/>
  <c r="O613" i="18"/>
  <c r="O286" i="18"/>
  <c r="O662" i="18"/>
  <c r="O655" i="18"/>
  <c r="O185" i="18"/>
  <c r="O428" i="18"/>
  <c r="O356" i="18"/>
  <c r="O46" i="18"/>
  <c r="O236" i="18"/>
  <c r="O196" i="18"/>
  <c r="O69" i="18"/>
  <c r="O293" i="18"/>
  <c r="O621" i="18"/>
  <c r="O294" i="18"/>
  <c r="O670" i="18"/>
  <c r="O663" i="18"/>
  <c r="O489" i="18"/>
  <c r="O497" i="18"/>
  <c r="O684" i="18"/>
  <c r="O53" i="18"/>
  <c r="O276" i="18"/>
  <c r="O492" i="18"/>
  <c r="O452" i="18"/>
  <c r="O85" i="18"/>
  <c r="O349" i="18"/>
  <c r="O637" i="18"/>
  <c r="O310" i="18"/>
  <c r="O151" i="18"/>
  <c r="O216" i="18"/>
  <c r="O505" i="18"/>
  <c r="O228" i="18"/>
  <c r="O132" i="18"/>
  <c r="O660" i="18"/>
  <c r="O620" i="18"/>
  <c r="O580" i="18"/>
  <c r="O93" i="18"/>
  <c r="O357" i="18"/>
  <c r="O645" i="18"/>
  <c r="O326" i="18"/>
  <c r="O159" i="18"/>
  <c r="O256" i="18"/>
  <c r="O513" i="18"/>
  <c r="O612" i="18"/>
  <c r="O260" i="18"/>
  <c r="O22" i="18"/>
  <c r="O39" i="18"/>
  <c r="O68" i="18"/>
  <c r="O101" i="18"/>
  <c r="O365" i="18"/>
  <c r="O653" i="18"/>
  <c r="O430" i="18"/>
  <c r="O167" i="18"/>
  <c r="O272" i="18"/>
  <c r="O529" i="18"/>
  <c r="O3" i="18"/>
  <c r="O516" i="18"/>
  <c r="O92" i="18"/>
  <c r="O8" i="18"/>
  <c r="O25" i="18"/>
  <c r="O109" i="18"/>
  <c r="O373" i="18"/>
  <c r="O669" i="18"/>
  <c r="O438" i="18"/>
  <c r="O183" i="18"/>
  <c r="O280" i="18"/>
  <c r="O258" i="18"/>
  <c r="O27" i="18"/>
  <c r="O644" i="18"/>
  <c r="O220" i="18"/>
  <c r="O48" i="18"/>
  <c r="O652" i="18"/>
  <c r="O117" i="18"/>
  <c r="O381" i="18"/>
  <c r="O110" i="18"/>
  <c r="O454" i="18"/>
  <c r="O215" i="18"/>
  <c r="O480" i="18"/>
  <c r="O378" i="18"/>
  <c r="O52" i="18"/>
  <c r="O21" i="18"/>
  <c r="O348" i="18"/>
  <c r="O56" i="18"/>
  <c r="O50" i="18"/>
  <c r="O133" i="18"/>
  <c r="O389" i="18"/>
  <c r="O118" i="18"/>
  <c r="O470" i="18"/>
  <c r="O375" i="18"/>
  <c r="O488" i="18"/>
  <c r="O402" i="18"/>
  <c r="O60" i="18"/>
  <c r="O332" i="18"/>
  <c r="O476" i="18"/>
  <c r="O180" i="18"/>
  <c r="O58" i="18"/>
  <c r="O157" i="18"/>
  <c r="O477" i="18"/>
  <c r="O126" i="18"/>
  <c r="O478" i="18"/>
  <c r="O383" i="18"/>
  <c r="O496" i="18"/>
  <c r="O482" i="18"/>
  <c r="O490" i="18"/>
  <c r="O372" i="18"/>
  <c r="O588" i="18"/>
  <c r="O31" i="18"/>
  <c r="O564" i="18"/>
  <c r="O212" i="18"/>
  <c r="O213" i="18"/>
  <c r="O493" i="18"/>
  <c r="O150" i="18"/>
  <c r="O502" i="18"/>
  <c r="O407" i="18"/>
  <c r="O552" i="18"/>
  <c r="O4" i="18"/>
  <c r="O51" i="18"/>
  <c r="O47" i="18"/>
  <c r="O124" i="18"/>
  <c r="O340" i="18"/>
  <c r="O221" i="18"/>
  <c r="O501" i="18"/>
  <c r="O158" i="18"/>
  <c r="O622" i="18"/>
  <c r="O415" i="18"/>
  <c r="O137" i="18"/>
  <c r="O423" i="18"/>
  <c r="O679" i="18"/>
  <c r="O288" i="18"/>
  <c r="O592" i="18"/>
  <c r="O225" i="18"/>
  <c r="O537" i="18"/>
  <c r="O498" i="18"/>
  <c r="O678" i="18"/>
  <c r="O231" i="18"/>
  <c r="O439" i="18"/>
  <c r="O17" i="18"/>
  <c r="O296" i="18"/>
  <c r="O600" i="18"/>
  <c r="O265" i="18"/>
  <c r="O601" i="18"/>
  <c r="O610" i="18"/>
  <c r="O34" i="18"/>
  <c r="O125" i="18"/>
  <c r="O261" i="18"/>
  <c r="O397" i="18"/>
  <c r="O541" i="18"/>
  <c r="O677" i="18"/>
  <c r="O174" i="18"/>
  <c r="O342" i="18"/>
  <c r="O510" i="18"/>
  <c r="O2" i="18"/>
  <c r="O239" i="18"/>
  <c r="O487" i="18"/>
  <c r="O30" i="18"/>
  <c r="O328" i="18"/>
  <c r="O608" i="18"/>
  <c r="O281" i="18"/>
  <c r="O617" i="18"/>
  <c r="O618" i="18"/>
  <c r="O269" i="18"/>
  <c r="O413" i="18"/>
  <c r="O549" i="18"/>
  <c r="O685" i="18"/>
  <c r="O182" i="18"/>
  <c r="O350" i="18"/>
  <c r="O518" i="18"/>
  <c r="O10" i="18"/>
  <c r="O247" i="18"/>
  <c r="O503" i="18"/>
  <c r="O80" i="18"/>
  <c r="O336" i="18"/>
  <c r="O616" i="18"/>
  <c r="O297" i="18"/>
  <c r="O90" i="18"/>
  <c r="O626" i="18"/>
  <c r="O116" i="18"/>
  <c r="O388" i="18"/>
  <c r="O54" i="18"/>
  <c r="O164" i="18"/>
  <c r="O308" i="18"/>
  <c r="O9" i="18"/>
  <c r="O35" i="18"/>
  <c r="O141" i="18"/>
  <c r="O285" i="18"/>
  <c r="O421" i="18"/>
  <c r="O557" i="18"/>
  <c r="O28" i="18"/>
  <c r="O190" i="18"/>
  <c r="O366" i="18"/>
  <c r="O534" i="18"/>
  <c r="O36" i="18"/>
  <c r="O255" i="18"/>
  <c r="O511" i="18"/>
  <c r="O120" i="18"/>
  <c r="O344" i="18"/>
  <c r="O632" i="18"/>
  <c r="O305" i="18"/>
  <c r="O106" i="18"/>
  <c r="O67" i="18"/>
  <c r="O429" i="18"/>
  <c r="O565" i="18"/>
  <c r="A36" i="18"/>
  <c r="O198" i="18"/>
  <c r="O374" i="18"/>
  <c r="O542" i="18"/>
  <c r="O79" i="18"/>
  <c r="O271" i="18"/>
  <c r="O519" i="18"/>
  <c r="O136" i="18"/>
  <c r="O360" i="18"/>
  <c r="O640" i="18"/>
  <c r="O313" i="18"/>
  <c r="O114" i="18"/>
  <c r="O331" i="18"/>
  <c r="O140" i="18"/>
  <c r="O284" i="18"/>
  <c r="O165" i="18"/>
  <c r="O301" i="18"/>
  <c r="O437" i="18"/>
  <c r="O573" i="18"/>
  <c r="O62" i="18"/>
  <c r="O214" i="18"/>
  <c r="O382" i="18"/>
  <c r="O550" i="18"/>
  <c r="O95" i="18"/>
  <c r="O279" i="18"/>
  <c r="O527" i="18"/>
  <c r="O144" i="18"/>
  <c r="O400" i="18"/>
  <c r="O648" i="18"/>
  <c r="O353" i="18"/>
  <c r="O122" i="18"/>
  <c r="O459" i="18"/>
  <c r="O11" i="18"/>
  <c r="O500" i="18"/>
  <c r="O20" i="18"/>
  <c r="O404" i="18"/>
  <c r="O548" i="18"/>
  <c r="O16" i="18"/>
  <c r="O396" i="18"/>
  <c r="O412" i="18"/>
  <c r="O173" i="18"/>
  <c r="O309" i="18"/>
  <c r="O445" i="18"/>
  <c r="O581" i="18"/>
  <c r="O70" i="18"/>
  <c r="O222" i="18"/>
  <c r="O390" i="18"/>
  <c r="O558" i="18"/>
  <c r="O103" i="18"/>
  <c r="O287" i="18"/>
  <c r="O543" i="18"/>
  <c r="O152" i="18"/>
  <c r="O416" i="18"/>
  <c r="O664" i="18"/>
  <c r="O361" i="18"/>
  <c r="O130" i="18"/>
  <c r="O579" i="18"/>
  <c r="A37" i="18"/>
  <c r="A38" i="18" s="1" a="1"/>
  <c r="A38" i="18" s="1"/>
  <c r="A39" i="18" s="1"/>
  <c r="O628" i="18"/>
  <c r="O5" i="18"/>
  <c r="O532" i="18"/>
  <c r="O676" i="18"/>
  <c r="O40" i="18"/>
  <c r="O524" i="18"/>
  <c r="O540" i="18"/>
  <c r="O181" i="18"/>
  <c r="O317" i="18"/>
  <c r="O453" i="18"/>
  <c r="O589" i="18"/>
  <c r="O78" i="18"/>
  <c r="O238" i="18"/>
  <c r="O406" i="18"/>
  <c r="O566" i="18"/>
  <c r="O111" i="18"/>
  <c r="O303" i="18"/>
  <c r="O551" i="18"/>
  <c r="O160" i="18"/>
  <c r="O424" i="18"/>
  <c r="O105" i="18"/>
  <c r="O369" i="18"/>
  <c r="O226" i="18"/>
  <c r="O587" i="18"/>
  <c r="O668" i="18"/>
  <c r="O189" i="18"/>
  <c r="O325" i="18"/>
  <c r="O461" i="18"/>
  <c r="O597" i="18"/>
  <c r="O86" i="18"/>
  <c r="O246" i="18"/>
  <c r="O414" i="18"/>
  <c r="O582" i="18"/>
  <c r="O119" i="18"/>
  <c r="O351" i="18"/>
  <c r="O559" i="18"/>
  <c r="O176" i="18"/>
  <c r="O456" i="18"/>
  <c r="O121" i="18"/>
  <c r="O385" i="18"/>
  <c r="O234" i="18"/>
  <c r="O300" i="18"/>
  <c r="O37" i="18"/>
  <c r="O76" i="18"/>
  <c r="O6" i="18"/>
  <c r="O108" i="18"/>
  <c r="O252" i="18"/>
  <c r="O49" i="18"/>
  <c r="O61" i="18"/>
  <c r="O197" i="18"/>
  <c r="O333" i="18"/>
  <c r="O469" i="18"/>
  <c r="O605" i="18"/>
  <c r="O94" i="18"/>
  <c r="O254" i="18"/>
  <c r="O422" i="18"/>
  <c r="O606" i="18"/>
  <c r="O135" i="18"/>
  <c r="O367" i="18"/>
  <c r="O583" i="18"/>
  <c r="O184" i="18"/>
  <c r="O464" i="18"/>
  <c r="O129" i="18"/>
  <c r="O473" i="18"/>
  <c r="O242" i="18"/>
  <c r="O295" i="18"/>
  <c r="O431" i="18"/>
  <c r="O567" i="18"/>
  <c r="O72" i="18"/>
  <c r="O208" i="18"/>
  <c r="O352" i="18"/>
  <c r="O504" i="18"/>
  <c r="O656" i="18"/>
  <c r="O217" i="18"/>
  <c r="O377" i="18"/>
  <c r="O609" i="18"/>
  <c r="O250" i="18"/>
  <c r="O658" i="18"/>
  <c r="O318" i="18"/>
  <c r="O446" i="18"/>
  <c r="O574" i="18"/>
  <c r="O29" i="18"/>
  <c r="O175" i="18"/>
  <c r="O311" i="18"/>
  <c r="O455" i="18"/>
  <c r="O591" i="18"/>
  <c r="O88" i="18"/>
  <c r="O224" i="18"/>
  <c r="O368" i="18"/>
  <c r="O520" i="18"/>
  <c r="O672" i="18"/>
  <c r="O233" i="18"/>
  <c r="O393" i="18"/>
  <c r="O625" i="18"/>
  <c r="O274" i="18"/>
  <c r="O75" i="18"/>
  <c r="O327" i="18"/>
  <c r="O463" i="18"/>
  <c r="O599" i="18"/>
  <c r="O96" i="18"/>
  <c r="O232" i="18"/>
  <c r="O376" i="18"/>
  <c r="O528" i="18"/>
  <c r="O680" i="18"/>
  <c r="O241" i="18"/>
  <c r="O401" i="18"/>
  <c r="O633" i="18"/>
  <c r="O354" i="18"/>
  <c r="O195" i="18"/>
  <c r="O206" i="18"/>
  <c r="O334" i="18"/>
  <c r="O462" i="18"/>
  <c r="O590" i="18"/>
  <c r="O41" i="18"/>
  <c r="O199" i="18"/>
  <c r="O335" i="18"/>
  <c r="O471" i="18"/>
  <c r="O607" i="18"/>
  <c r="O104" i="18"/>
  <c r="O240" i="18"/>
  <c r="O384" i="18"/>
  <c r="O536" i="18"/>
  <c r="O89" i="18"/>
  <c r="O249" i="18"/>
  <c r="O409" i="18"/>
  <c r="O641" i="18"/>
  <c r="O362" i="18"/>
  <c r="O203" i="18"/>
  <c r="O598" i="18"/>
  <c r="O71" i="18"/>
  <c r="O207" i="18"/>
  <c r="O343" i="18"/>
  <c r="O479" i="18"/>
  <c r="O615" i="18"/>
  <c r="O112" i="18"/>
  <c r="O248" i="18"/>
  <c r="O392" i="18"/>
  <c r="O544" i="18"/>
  <c r="O97" i="18"/>
  <c r="O257" i="18"/>
  <c r="O425" i="18"/>
  <c r="O657" i="18"/>
  <c r="O370" i="18"/>
  <c r="O323" i="18"/>
  <c r="O102" i="18"/>
  <c r="O230" i="18"/>
  <c r="O358" i="18"/>
  <c r="O486" i="18"/>
  <c r="O614" i="18"/>
  <c r="O87" i="18"/>
  <c r="O223" i="18"/>
  <c r="O359" i="18"/>
  <c r="O495" i="18"/>
  <c r="O631" i="18"/>
  <c r="O128" i="18"/>
  <c r="O264" i="18"/>
  <c r="O408" i="18"/>
  <c r="O584" i="18"/>
  <c r="O113" i="18"/>
  <c r="O273" i="18"/>
  <c r="O481" i="18"/>
  <c r="O98" i="18"/>
  <c r="O386" i="18"/>
  <c r="O451" i="18"/>
  <c r="O316" i="18"/>
  <c r="O204" i="18"/>
  <c r="O100" i="18"/>
  <c r="O15" i="18"/>
  <c r="O24" i="18"/>
  <c r="O268" i="18"/>
  <c r="O156" i="18"/>
  <c r="O149" i="18"/>
  <c r="O277" i="18"/>
  <c r="O405" i="18"/>
  <c r="O533" i="18"/>
  <c r="O661" i="18"/>
  <c r="O142" i="18"/>
  <c r="O270" i="18"/>
  <c r="O398" i="18"/>
  <c r="O526" i="18"/>
  <c r="O654" i="18"/>
  <c r="O127" i="18"/>
  <c r="O263" i="18"/>
  <c r="O399" i="18"/>
  <c r="O535" i="18"/>
  <c r="O671" i="18"/>
  <c r="O168" i="18"/>
  <c r="O312" i="18"/>
  <c r="O472" i="18"/>
  <c r="O624" i="18"/>
  <c r="O153" i="18"/>
  <c r="O345" i="18"/>
  <c r="O521" i="18"/>
  <c r="O146" i="18"/>
  <c r="O530" i="18"/>
  <c r="O83" i="18"/>
  <c r="O211" i="18"/>
  <c r="O339" i="18"/>
  <c r="O467" i="18"/>
  <c r="O595" i="18"/>
  <c r="O506" i="18"/>
  <c r="O634" i="18"/>
  <c r="O91" i="18"/>
  <c r="O219" i="18"/>
  <c r="O347" i="18"/>
  <c r="O475" i="18"/>
  <c r="O603" i="18"/>
  <c r="O514" i="18"/>
  <c r="O642" i="18"/>
  <c r="O99" i="18"/>
  <c r="O227" i="18"/>
  <c r="O355" i="18"/>
  <c r="O483" i="18"/>
  <c r="O611" i="18"/>
  <c r="O649" i="18"/>
  <c r="O138" i="18"/>
  <c r="O266" i="18"/>
  <c r="O394" i="18"/>
  <c r="O522" i="18"/>
  <c r="O650" i="18"/>
  <c r="O107" i="18"/>
  <c r="O235" i="18"/>
  <c r="O363" i="18"/>
  <c r="O491" i="18"/>
  <c r="O619" i="18"/>
  <c r="O115" i="18"/>
  <c r="O243" i="18"/>
  <c r="O371" i="18"/>
  <c r="O499" i="18"/>
  <c r="O627" i="18"/>
  <c r="O665" i="18"/>
  <c r="O154" i="18"/>
  <c r="O282" i="18"/>
  <c r="O410" i="18"/>
  <c r="O538" i="18"/>
  <c r="O666" i="18"/>
  <c r="O123" i="18"/>
  <c r="O251" i="18"/>
  <c r="O379" i="18"/>
  <c r="O507" i="18"/>
  <c r="O635" i="18"/>
  <c r="O161" i="18"/>
  <c r="O289" i="18"/>
  <c r="O417" i="18"/>
  <c r="O545" i="18"/>
  <c r="O673" i="18"/>
  <c r="O162" i="18"/>
  <c r="O290" i="18"/>
  <c r="O418" i="18"/>
  <c r="O546" i="18"/>
  <c r="O674" i="18"/>
  <c r="O131" i="18"/>
  <c r="O259" i="18"/>
  <c r="O387" i="18"/>
  <c r="O515" i="18"/>
  <c r="O643" i="18"/>
  <c r="O553" i="18"/>
  <c r="O681" i="18"/>
  <c r="O170" i="18"/>
  <c r="O298" i="18"/>
  <c r="O426" i="18"/>
  <c r="O554" i="18"/>
  <c r="O682" i="18"/>
  <c r="O139" i="18"/>
  <c r="O267" i="18"/>
  <c r="O395" i="18"/>
  <c r="O523" i="18"/>
  <c r="O651" i="18"/>
  <c r="O433" i="18"/>
  <c r="O561" i="18"/>
  <c r="O32" i="18"/>
  <c r="O178" i="18"/>
  <c r="O306" i="18"/>
  <c r="O434" i="18"/>
  <c r="O562" i="18"/>
  <c r="O7" i="18"/>
  <c r="O147" i="18"/>
  <c r="O275" i="18"/>
  <c r="O403" i="18"/>
  <c r="O531" i="18"/>
  <c r="O659" i="18"/>
  <c r="O441" i="18"/>
  <c r="O569" i="18"/>
  <c r="O43" i="18"/>
  <c r="O186" i="18"/>
  <c r="O314" i="18"/>
  <c r="O442" i="18"/>
  <c r="O570" i="18"/>
  <c r="O13" i="18"/>
  <c r="O155" i="18"/>
  <c r="O283" i="18"/>
  <c r="O411" i="18"/>
  <c r="O539" i="18"/>
  <c r="O667" i="18"/>
  <c r="O304" i="18"/>
  <c r="O432" i="18"/>
  <c r="O560" i="18"/>
  <c r="O65" i="18"/>
  <c r="O193" i="18"/>
  <c r="O321" i="18"/>
  <c r="O449" i="18"/>
  <c r="O577" i="18"/>
  <c r="O66" i="18"/>
  <c r="O194" i="18"/>
  <c r="O322" i="18"/>
  <c r="O450" i="18"/>
  <c r="O578" i="18"/>
  <c r="O19" i="18"/>
  <c r="O163" i="18"/>
  <c r="O291" i="18"/>
  <c r="O419" i="18"/>
  <c r="O547" i="18"/>
  <c r="O675" i="18"/>
  <c r="O440" i="18"/>
  <c r="O568" i="18"/>
  <c r="O73" i="18"/>
  <c r="O201" i="18"/>
  <c r="O329" i="18"/>
  <c r="O457" i="18"/>
  <c r="O585" i="18"/>
  <c r="O74" i="18"/>
  <c r="O202" i="18"/>
  <c r="O330" i="18"/>
  <c r="O458" i="18"/>
  <c r="O586" i="18"/>
  <c r="O26" i="18"/>
  <c r="O171" i="18"/>
  <c r="O299" i="18"/>
  <c r="O427" i="18"/>
  <c r="O555" i="18"/>
  <c r="O683" i="18"/>
  <c r="O63" i="18"/>
  <c r="O191" i="18"/>
  <c r="O319" i="18"/>
  <c r="O447" i="18"/>
  <c r="O575" i="18"/>
  <c r="O64" i="18"/>
  <c r="O192" i="18"/>
  <c r="O320" i="18"/>
  <c r="O448" i="18"/>
  <c r="O576" i="18"/>
  <c r="O81" i="18"/>
  <c r="O209" i="18"/>
  <c r="O337" i="18"/>
  <c r="O465" i="18"/>
  <c r="O593" i="18"/>
  <c r="O82" i="18"/>
  <c r="O210" i="18"/>
  <c r="O338" i="18"/>
  <c r="O466" i="18"/>
  <c r="O594" i="18"/>
  <c r="O33" i="18"/>
  <c r="O179" i="18"/>
  <c r="O307" i="18"/>
  <c r="O435" i="18"/>
  <c r="O563" i="18"/>
  <c r="O218" i="18"/>
  <c r="O346" i="18"/>
  <c r="O474" i="18"/>
  <c r="O602" i="18"/>
  <c r="O44" i="18"/>
  <c r="O187" i="18"/>
  <c r="O315" i="18"/>
  <c r="O443" i="18"/>
  <c r="A40" i="18" l="1"/>
  <c r="A41" i="18" s="1"/>
  <c r="A42" i="18" s="1"/>
  <c r="A43" i="18" s="1"/>
  <c r="A45" i="18" s="1"/>
  <c r="M9" i="5" l="1"/>
  <c r="M9" i="7" s="1"/>
  <c r="M10" i="5"/>
  <c r="M10" i="7" s="1"/>
  <c r="M11" i="5"/>
  <c r="M11" i="7" s="1"/>
  <c r="M12" i="5"/>
  <c r="M12" i="6" s="1"/>
  <c r="M13" i="5"/>
  <c r="M13" i="6" s="1"/>
  <c r="M14" i="5"/>
  <c r="M14" i="7" s="1"/>
  <c r="M15" i="5"/>
  <c r="M15" i="7" s="1"/>
  <c r="M16" i="5"/>
  <c r="M16" i="6" s="1"/>
  <c r="M17" i="5"/>
  <c r="M17" i="7" s="1"/>
  <c r="M18" i="5"/>
  <c r="M18" i="7" s="1"/>
  <c r="M19" i="5"/>
  <c r="M19" i="7" s="1"/>
  <c r="M20" i="5"/>
  <c r="M20" i="6" s="1"/>
  <c r="M21" i="5"/>
  <c r="M21" i="7" s="1"/>
  <c r="M22" i="5"/>
  <c r="M22" i="7" s="1"/>
  <c r="M23" i="5"/>
  <c r="M23" i="6" s="1"/>
  <c r="M24" i="5"/>
  <c r="M24" i="6" s="1"/>
  <c r="M25" i="5"/>
  <c r="M25" i="7" s="1"/>
  <c r="M26" i="5"/>
  <c r="M26" i="7" s="1"/>
  <c r="M27" i="5"/>
  <c r="M27" i="7" s="1"/>
  <c r="M28" i="5"/>
  <c r="M28" i="6" s="1"/>
  <c r="M29" i="5"/>
  <c r="M29" i="6" s="1"/>
  <c r="M30" i="5"/>
  <c r="M30" i="7" s="1"/>
  <c r="M31" i="5"/>
  <c r="M31" i="7" s="1"/>
  <c r="M32" i="5"/>
  <c r="M32" i="6" s="1"/>
  <c r="M33" i="5"/>
  <c r="M33" i="6" s="1"/>
  <c r="M34" i="5"/>
  <c r="M34" i="7" s="1"/>
  <c r="M35" i="5"/>
  <c r="M35" i="7" s="1"/>
  <c r="M36" i="5"/>
  <c r="M36" i="6" s="1"/>
  <c r="M37" i="5"/>
  <c r="M37" i="7" s="1"/>
  <c r="M38" i="5"/>
  <c r="M38" i="7" s="1"/>
  <c r="B12" i="4"/>
  <c r="D8" i="2"/>
  <c r="D7" i="2"/>
  <c r="H8" i="14"/>
  <c r="G9" i="14"/>
  <c r="H9" i="14" s="1"/>
  <c r="I9" i="14"/>
  <c r="G10" i="14"/>
  <c r="H10" i="14"/>
  <c r="J10" i="14" s="1"/>
  <c r="I10" i="14"/>
  <c r="G11" i="14"/>
  <c r="H11" i="14" s="1"/>
  <c r="I11" i="14"/>
  <c r="G12" i="14"/>
  <c r="H12" i="14" s="1"/>
  <c r="I12" i="14"/>
  <c r="A34" i="10"/>
  <c r="D21" i="2"/>
  <c r="J11" i="14" l="1"/>
  <c r="K11" i="14"/>
  <c r="K10" i="14"/>
  <c r="M35" i="6"/>
  <c r="M37" i="6"/>
  <c r="M26" i="6"/>
  <c r="M25" i="6"/>
  <c r="M11" i="6"/>
  <c r="M31" i="6"/>
  <c r="M10" i="6"/>
  <c r="M9" i="6"/>
  <c r="M22" i="6"/>
  <c r="M21" i="6"/>
  <c r="M19" i="6"/>
  <c r="M18" i="6"/>
  <c r="M24" i="7"/>
  <c r="M23" i="7"/>
  <c r="M38" i="6"/>
  <c r="M34" i="6"/>
  <c r="M30" i="6"/>
  <c r="M36" i="7"/>
  <c r="M27" i="6"/>
  <c r="M20" i="7"/>
  <c r="M15" i="6"/>
  <c r="M14" i="6"/>
  <c r="M33" i="7"/>
  <c r="M17" i="6"/>
  <c r="M32" i="7"/>
  <c r="M16" i="7"/>
  <c r="M29" i="7"/>
  <c r="M13" i="7"/>
  <c r="M28" i="7"/>
  <c r="M12" i="7"/>
  <c r="K12" i="14"/>
  <c r="J12" i="14"/>
  <c r="K9" i="14"/>
  <c r="J9" i="14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C8" i="7" s="1"/>
  <c r="N52" i="7"/>
  <c r="D8" i="7" s="1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B10" i="7" s="1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B11" i="7" s="1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B12" i="7" s="1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B14" i="7" s="1"/>
  <c r="M58" i="7"/>
  <c r="N58" i="7"/>
  <c r="O58" i="7"/>
  <c r="P58" i="7"/>
  <c r="A59" i="7"/>
  <c r="B59" i="7"/>
  <c r="C59" i="7"/>
  <c r="D59" i="7"/>
  <c r="E59" i="7"/>
  <c r="F59" i="7"/>
  <c r="G59" i="7"/>
  <c r="H59" i="7"/>
  <c r="I59" i="7"/>
  <c r="J59" i="7"/>
  <c r="K59" i="7"/>
  <c r="L59" i="7"/>
  <c r="B15" i="7" s="1"/>
  <c r="M59" i="7"/>
  <c r="C15" i="7" s="1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B16" i="7" s="1"/>
  <c r="M60" i="7"/>
  <c r="C16" i="7" s="1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B17" i="7" s="1"/>
  <c r="M61" i="7"/>
  <c r="C17" i="7" s="1"/>
  <c r="N61" i="7"/>
  <c r="O61" i="7"/>
  <c r="P61" i="7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C18" i="7" s="1"/>
  <c r="N62" i="7"/>
  <c r="O62" i="7"/>
  <c r="P62" i="7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C19" i="7" s="1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C20" i="7" s="1"/>
  <c r="N64" i="7"/>
  <c r="O64" i="7"/>
  <c r="P64" i="7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C21" i="7" s="1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C22" i="7" s="1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B23" i="7" s="1"/>
  <c r="M67" i="7"/>
  <c r="C23" i="7" s="1"/>
  <c r="N67" i="7"/>
  <c r="O67" i="7"/>
  <c r="P67" i="7"/>
  <c r="A68" i="7"/>
  <c r="B68" i="7"/>
  <c r="C68" i="7"/>
  <c r="D68" i="7"/>
  <c r="E68" i="7"/>
  <c r="F68" i="7"/>
  <c r="G68" i="7"/>
  <c r="H68" i="7"/>
  <c r="I68" i="7"/>
  <c r="J68" i="7"/>
  <c r="K68" i="7"/>
  <c r="L68" i="7"/>
  <c r="B24" i="7" s="1"/>
  <c r="M68" i="7"/>
  <c r="C24" i="7" s="1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B25" i="7" s="1"/>
  <c r="M69" i="7"/>
  <c r="C25" i="7" s="1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B26" i="7" s="1"/>
  <c r="M70" i="7"/>
  <c r="C26" i="7" s="1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B27" i="7" s="1"/>
  <c r="M71" i="7"/>
  <c r="C27" i="7" s="1"/>
  <c r="N71" i="7"/>
  <c r="O71" i="7"/>
  <c r="P71" i="7"/>
  <c r="A72" i="7"/>
  <c r="B72" i="7"/>
  <c r="C72" i="7"/>
  <c r="D72" i="7"/>
  <c r="E72" i="7"/>
  <c r="F72" i="7"/>
  <c r="G72" i="7"/>
  <c r="H72" i="7"/>
  <c r="I72" i="7"/>
  <c r="J72" i="7"/>
  <c r="K72" i="7"/>
  <c r="L72" i="7"/>
  <c r="B28" i="7" s="1"/>
  <c r="M72" i="7"/>
  <c r="C28" i="7" s="1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B29" i="7" s="1"/>
  <c r="M73" i="7"/>
  <c r="C29" i="7" s="1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B30" i="7" s="1"/>
  <c r="M74" i="7"/>
  <c r="C30" i="7" s="1"/>
  <c r="N74" i="7"/>
  <c r="O74" i="7"/>
  <c r="P74" i="7"/>
  <c r="A75" i="7"/>
  <c r="B75" i="7"/>
  <c r="C75" i="7"/>
  <c r="D75" i="7"/>
  <c r="E75" i="7"/>
  <c r="F75" i="7"/>
  <c r="G75" i="7"/>
  <c r="H75" i="7"/>
  <c r="I75" i="7"/>
  <c r="J75" i="7"/>
  <c r="K75" i="7"/>
  <c r="L75" i="7"/>
  <c r="B31" i="7" s="1"/>
  <c r="M75" i="7"/>
  <c r="C31" i="7" s="1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B32" i="7" s="1"/>
  <c r="M76" i="7"/>
  <c r="C32" i="7" s="1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B33" i="7" s="1"/>
  <c r="M77" i="7"/>
  <c r="C33" i="7" s="1"/>
  <c r="N77" i="7"/>
  <c r="O77" i="7"/>
  <c r="P77" i="7"/>
  <c r="F33" i="7" s="1"/>
  <c r="A78" i="7"/>
  <c r="B78" i="7"/>
  <c r="C78" i="7"/>
  <c r="D78" i="7"/>
  <c r="E78" i="7"/>
  <c r="F78" i="7"/>
  <c r="G78" i="7"/>
  <c r="H78" i="7"/>
  <c r="I78" i="7"/>
  <c r="J78" i="7"/>
  <c r="K78" i="7"/>
  <c r="L78" i="7"/>
  <c r="B34" i="7" s="1"/>
  <c r="M78" i="7"/>
  <c r="C34" i="7" s="1"/>
  <c r="N78" i="7"/>
  <c r="O78" i="7"/>
  <c r="P78" i="7"/>
  <c r="F34" i="7" s="1"/>
  <c r="A79" i="7"/>
  <c r="B79" i="7"/>
  <c r="C79" i="7"/>
  <c r="D79" i="7"/>
  <c r="E79" i="7"/>
  <c r="F79" i="7"/>
  <c r="G79" i="7"/>
  <c r="H79" i="7"/>
  <c r="I79" i="7"/>
  <c r="J79" i="7"/>
  <c r="K79" i="7"/>
  <c r="L79" i="7"/>
  <c r="B35" i="7" s="1"/>
  <c r="M79" i="7"/>
  <c r="C35" i="7" s="1"/>
  <c r="N79" i="7"/>
  <c r="O79" i="7"/>
  <c r="P79" i="7"/>
  <c r="F35" i="7" s="1"/>
  <c r="A80" i="7"/>
  <c r="B80" i="7"/>
  <c r="C80" i="7"/>
  <c r="D80" i="7"/>
  <c r="E80" i="7"/>
  <c r="F80" i="7"/>
  <c r="G80" i="7"/>
  <c r="H80" i="7"/>
  <c r="I80" i="7"/>
  <c r="J80" i="7"/>
  <c r="K80" i="7"/>
  <c r="L80" i="7"/>
  <c r="B36" i="7" s="1"/>
  <c r="M80" i="7"/>
  <c r="C36" i="7" s="1"/>
  <c r="N80" i="7"/>
  <c r="O80" i="7"/>
  <c r="P80" i="7"/>
  <c r="F36" i="7" s="1"/>
  <c r="A81" i="7"/>
  <c r="B81" i="7"/>
  <c r="C81" i="7"/>
  <c r="D81" i="7"/>
  <c r="E81" i="7"/>
  <c r="F81" i="7"/>
  <c r="G81" i="7"/>
  <c r="H81" i="7"/>
  <c r="I81" i="7"/>
  <c r="J81" i="7"/>
  <c r="K81" i="7"/>
  <c r="L81" i="7"/>
  <c r="B37" i="7" s="1"/>
  <c r="M81" i="7"/>
  <c r="C37" i="7" s="1"/>
  <c r="N81" i="7"/>
  <c r="O81" i="7"/>
  <c r="P81" i="7"/>
  <c r="F37" i="7" s="1"/>
  <c r="A82" i="7"/>
  <c r="B82" i="7"/>
  <c r="C82" i="7"/>
  <c r="D82" i="7"/>
  <c r="E82" i="7"/>
  <c r="F82" i="7"/>
  <c r="G82" i="7"/>
  <c r="H82" i="7"/>
  <c r="I82" i="7"/>
  <c r="J82" i="7"/>
  <c r="K82" i="7"/>
  <c r="L82" i="7"/>
  <c r="B38" i="7" s="1"/>
  <c r="M82" i="7"/>
  <c r="C38" i="7" s="1"/>
  <c r="N82" i="7"/>
  <c r="O82" i="7"/>
  <c r="P82" i="7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B8" i="6" s="1"/>
  <c r="H52" i="6"/>
  <c r="C8" i="6" s="1"/>
  <c r="I52" i="6"/>
  <c r="D8" i="6" s="1"/>
  <c r="J52" i="6"/>
  <c r="E8" i="6" s="1"/>
  <c r="K52" i="6"/>
  <c r="F8" i="6" s="1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B27" i="16"/>
  <c r="C25" i="16"/>
  <c r="B20" i="16"/>
  <c r="B19" i="16"/>
  <c r="B18" i="16"/>
  <c r="B15" i="16"/>
  <c r="I38" i="15"/>
  <c r="G38" i="15"/>
  <c r="I37" i="15"/>
  <c r="G37" i="15"/>
  <c r="I36" i="15"/>
  <c r="G36" i="15"/>
  <c r="I35" i="15"/>
  <c r="G35" i="15"/>
  <c r="I34" i="15"/>
  <c r="G34" i="15"/>
  <c r="I33" i="15"/>
  <c r="G33" i="15"/>
  <c r="I32" i="15"/>
  <c r="G32" i="15"/>
  <c r="I31" i="15"/>
  <c r="G31" i="15"/>
  <c r="I30" i="15"/>
  <c r="G30" i="15"/>
  <c r="I29" i="15"/>
  <c r="G29" i="15"/>
  <c r="I28" i="15"/>
  <c r="G28" i="15"/>
  <c r="I27" i="15"/>
  <c r="G27" i="15"/>
  <c r="I26" i="15"/>
  <c r="G26" i="15"/>
  <c r="I25" i="15"/>
  <c r="G25" i="15"/>
  <c r="I24" i="15"/>
  <c r="G24" i="15"/>
  <c r="I23" i="15"/>
  <c r="G23" i="15"/>
  <c r="I22" i="15"/>
  <c r="G22" i="15"/>
  <c r="I21" i="15"/>
  <c r="G21" i="15"/>
  <c r="I20" i="15"/>
  <c r="G20" i="15"/>
  <c r="I19" i="15"/>
  <c r="G19" i="15"/>
  <c r="I18" i="15"/>
  <c r="G18" i="15"/>
  <c r="I17" i="15"/>
  <c r="G17" i="15"/>
  <c r="I16" i="15"/>
  <c r="G16" i="15"/>
  <c r="I15" i="15"/>
  <c r="G15" i="15"/>
  <c r="I14" i="15"/>
  <c r="G14" i="15"/>
  <c r="I13" i="15"/>
  <c r="G13" i="15"/>
  <c r="I12" i="15"/>
  <c r="G12" i="15"/>
  <c r="I11" i="15"/>
  <c r="G11" i="15"/>
  <c r="D25" i="16" s="1"/>
  <c r="I10" i="15"/>
  <c r="G10" i="15"/>
  <c r="I9" i="15"/>
  <c r="G9" i="15"/>
  <c r="H8" i="15"/>
  <c r="H38" i="15" s="1"/>
  <c r="J38" i="15" s="1"/>
  <c r="I38" i="14"/>
  <c r="G38" i="14"/>
  <c r="H38" i="14" s="1"/>
  <c r="I37" i="14"/>
  <c r="G37" i="14"/>
  <c r="H37" i="14" s="1"/>
  <c r="I36" i="14"/>
  <c r="G36" i="14"/>
  <c r="H36" i="14" s="1"/>
  <c r="I35" i="14"/>
  <c r="G35" i="14"/>
  <c r="H35" i="14" s="1"/>
  <c r="I34" i="14"/>
  <c r="G34" i="14"/>
  <c r="H34" i="14" s="1"/>
  <c r="K34" i="14" s="1"/>
  <c r="I33" i="14"/>
  <c r="G33" i="14"/>
  <c r="I32" i="14"/>
  <c r="G32" i="14"/>
  <c r="H32" i="14" s="1"/>
  <c r="J32" i="14" s="1"/>
  <c r="I31" i="14"/>
  <c r="G31" i="14"/>
  <c r="H31" i="14" s="1"/>
  <c r="I30" i="14"/>
  <c r="G30" i="14"/>
  <c r="I29" i="14"/>
  <c r="G29" i="14"/>
  <c r="H29" i="14" s="1"/>
  <c r="I28" i="14"/>
  <c r="G28" i="14"/>
  <c r="H28" i="14" s="1"/>
  <c r="I27" i="14"/>
  <c r="G27" i="14"/>
  <c r="H27" i="14" s="1"/>
  <c r="I26" i="14"/>
  <c r="G26" i="14"/>
  <c r="H26" i="14" s="1"/>
  <c r="I25" i="14"/>
  <c r="G25" i="14"/>
  <c r="H25" i="14" s="1"/>
  <c r="K25" i="14" s="1"/>
  <c r="I24" i="14"/>
  <c r="G24" i="14"/>
  <c r="H24" i="14" s="1"/>
  <c r="I23" i="14"/>
  <c r="G23" i="14"/>
  <c r="H23" i="14" s="1"/>
  <c r="I22" i="14"/>
  <c r="G22" i="14"/>
  <c r="H22" i="14" s="1"/>
  <c r="I21" i="14"/>
  <c r="G21" i="14"/>
  <c r="H21" i="14" s="1"/>
  <c r="I20" i="14"/>
  <c r="G20" i="14"/>
  <c r="H20" i="14" s="1"/>
  <c r="I19" i="14"/>
  <c r="G19" i="14"/>
  <c r="H19" i="14" s="1"/>
  <c r="I18" i="14"/>
  <c r="G18" i="14"/>
  <c r="H18" i="14" s="1"/>
  <c r="K18" i="14" s="1"/>
  <c r="I17" i="14"/>
  <c r="G17" i="14"/>
  <c r="I16" i="14"/>
  <c r="G16" i="14"/>
  <c r="H16" i="14" s="1"/>
  <c r="J16" i="14" s="1"/>
  <c r="I15" i="14"/>
  <c r="G15" i="14"/>
  <c r="H15" i="14" s="1"/>
  <c r="I14" i="14"/>
  <c r="G14" i="14"/>
  <c r="C28" i="16" s="1"/>
  <c r="I13" i="14"/>
  <c r="G13" i="14"/>
  <c r="C27" i="16" s="1"/>
  <c r="C26" i="16"/>
  <c r="C23" i="16"/>
  <c r="H30" i="14"/>
  <c r="K30" i="14" s="1"/>
  <c r="B28" i="16"/>
  <c r="B26" i="16"/>
  <c r="B24" i="16"/>
  <c r="B23" i="16"/>
  <c r="B27" i="11"/>
  <c r="B34" i="11" s="1"/>
  <c r="C34" i="11" s="1"/>
  <c r="B26" i="11"/>
  <c r="C22" i="11" s="1"/>
  <c r="C24" i="11"/>
  <c r="C23" i="11"/>
  <c r="C21" i="11"/>
  <c r="C20" i="11"/>
  <c r="B50" i="9"/>
  <c r="H48" i="9"/>
  <c r="D48" i="9"/>
  <c r="O46" i="9"/>
  <c r="M46" i="9"/>
  <c r="F46" i="9"/>
  <c r="D46" i="9"/>
  <c r="B46" i="9"/>
  <c r="G44" i="9"/>
  <c r="A32" i="10" s="1"/>
  <c r="C44" i="9"/>
  <c r="A33" i="10" s="1"/>
  <c r="F34" i="9"/>
  <c r="F35" i="9" s="1"/>
  <c r="A34" i="9"/>
  <c r="M17" i="9"/>
  <c r="M18" i="9" s="1"/>
  <c r="M19" i="9" s="1"/>
  <c r="M26" i="9" s="1"/>
  <c r="F17" i="9"/>
  <c r="F18" i="9" s="1"/>
  <c r="F19" i="9" s="1"/>
  <c r="A17" i="9"/>
  <c r="A18" i="9" s="1"/>
  <c r="A19" i="9" s="1"/>
  <c r="A21" i="9" s="1"/>
  <c r="A23" i="9" s="1"/>
  <c r="A25" i="9" s="1"/>
  <c r="E8" i="7"/>
  <c r="B5" i="7"/>
  <c r="A5" i="7"/>
  <c r="B4" i="7"/>
  <c r="A4" i="7"/>
  <c r="B3" i="7"/>
  <c r="A3" i="7"/>
  <c r="A1" i="7"/>
  <c r="A5" i="6"/>
  <c r="B4" i="6"/>
  <c r="A4" i="6"/>
  <c r="B3" i="6"/>
  <c r="A3" i="6"/>
  <c r="A1" i="6"/>
  <c r="E8" i="5"/>
  <c r="D8" i="5"/>
  <c r="C8" i="5"/>
  <c r="B8" i="5"/>
  <c r="B9" i="5" s="1"/>
  <c r="G48" i="4"/>
  <c r="E19" i="4"/>
  <c r="B14" i="4"/>
  <c r="B16" i="4" s="1"/>
  <c r="D102" i="3" a="1"/>
  <c r="D106" i="3" s="1"/>
  <c r="B102" i="3" a="1"/>
  <c r="B106" i="3" s="1"/>
  <c r="D101" i="3"/>
  <c r="B101" i="3"/>
  <c r="AD99" i="3"/>
  <c r="AC99" i="3"/>
  <c r="I99" i="3"/>
  <c r="B99" i="3"/>
  <c r="I98" i="3"/>
  <c r="B98" i="3"/>
  <c r="O97" i="3"/>
  <c r="N97" i="3"/>
  <c r="H97" i="3"/>
  <c r="G97" i="3"/>
  <c r="J91" i="3"/>
  <c r="C91" i="3"/>
  <c r="AC89" i="3"/>
  <c r="AD89" i="3" s="1"/>
  <c r="J86" i="3"/>
  <c r="C86" i="3"/>
  <c r="J85" i="3"/>
  <c r="C85" i="3"/>
  <c r="AC84" i="3"/>
  <c r="AD84" i="3" s="1"/>
  <c r="AC79" i="3"/>
  <c r="AD79" i="3" s="1"/>
  <c r="AC69" i="3"/>
  <c r="AD69" i="3" s="1"/>
  <c r="AC64" i="3"/>
  <c r="AD64" i="3" s="1"/>
  <c r="AC59" i="3"/>
  <c r="AD59" i="3" s="1"/>
  <c r="AD54" i="3"/>
  <c r="AC54" i="3"/>
  <c r="AC44" i="3"/>
  <c r="AD44" i="3" s="1"/>
  <c r="AC38" i="3"/>
  <c r="AD38" i="3" s="1"/>
  <c r="G37" i="3"/>
  <c r="G36" i="3"/>
  <c r="L36" i="3" s="1"/>
  <c r="L35" i="3"/>
  <c r="G35" i="3"/>
  <c r="G34" i="3"/>
  <c r="G33" i="3"/>
  <c r="L32" i="3"/>
  <c r="G32" i="3"/>
  <c r="G31" i="3"/>
  <c r="G30" i="3"/>
  <c r="L30" i="3" s="1"/>
  <c r="AC29" i="3"/>
  <c r="AD29" i="3" s="1"/>
  <c r="G29" i="3"/>
  <c r="L28" i="3"/>
  <c r="L27" i="3"/>
  <c r="L26" i="3"/>
  <c r="L25" i="3"/>
  <c r="L24" i="3"/>
  <c r="L23" i="3"/>
  <c r="C23" i="3"/>
  <c r="C24" i="3" s="1"/>
  <c r="L22" i="3"/>
  <c r="K22" i="3"/>
  <c r="AD21" i="3"/>
  <c r="AC21" i="3"/>
  <c r="K21" i="3"/>
  <c r="A13" i="3"/>
  <c r="A16" i="3" s="1"/>
  <c r="AD11" i="3"/>
  <c r="AC11" i="3"/>
  <c r="A9" i="3"/>
  <c r="A10" i="3" s="1"/>
  <c r="A11" i="3" s="1"/>
  <c r="A15" i="3" s="1"/>
  <c r="AD7" i="3"/>
  <c r="AC7" i="3"/>
  <c r="H35" i="2"/>
  <c r="H36" i="2" s="1"/>
  <c r="H33" i="2"/>
  <c r="C31" i="2"/>
  <c r="C30" i="2"/>
  <c r="D28" i="2" s="1"/>
  <c r="D19" i="2"/>
  <c r="D20" i="2" s="1"/>
  <c r="D15" i="2"/>
  <c r="H13" i="15" l="1"/>
  <c r="H24" i="15"/>
  <c r="K24" i="15" s="1"/>
  <c r="H17" i="15"/>
  <c r="H18" i="15"/>
  <c r="K18" i="15" s="1"/>
  <c r="H35" i="15"/>
  <c r="K35" i="15" s="1"/>
  <c r="H12" i="15"/>
  <c r="J12" i="15" s="1"/>
  <c r="D32" i="7"/>
  <c r="D19" i="7"/>
  <c r="B22" i="7"/>
  <c r="B21" i="7"/>
  <c r="B20" i="7"/>
  <c r="B19" i="7"/>
  <c r="B18" i="7"/>
  <c r="B13" i="7"/>
  <c r="E33" i="5"/>
  <c r="E37" i="5"/>
  <c r="E12" i="5"/>
  <c r="E16" i="5"/>
  <c r="E20" i="5"/>
  <c r="E24" i="5"/>
  <c r="E29" i="5"/>
  <c r="E30" i="5"/>
  <c r="E9" i="5"/>
  <c r="E18" i="5"/>
  <c r="E31" i="5"/>
  <c r="E26" i="5"/>
  <c r="E21" i="5"/>
  <c r="E10" i="5"/>
  <c r="E15" i="5"/>
  <c r="E13" i="5"/>
  <c r="E32" i="5"/>
  <c r="E11" i="5"/>
  <c r="E19" i="5"/>
  <c r="E23" i="5"/>
  <c r="E25" i="5"/>
  <c r="E14" i="5"/>
  <c r="E17" i="5"/>
  <c r="E22" i="5"/>
  <c r="D24" i="7"/>
  <c r="D12" i="7"/>
  <c r="C13" i="7"/>
  <c r="D31" i="7"/>
  <c r="D15" i="7"/>
  <c r="D38" i="7"/>
  <c r="D28" i="7"/>
  <c r="D22" i="7"/>
  <c r="D17" i="7"/>
  <c r="C29" i="5"/>
  <c r="C17" i="5"/>
  <c r="C14" i="5"/>
  <c r="C32" i="5"/>
  <c r="C30" i="5"/>
  <c r="C12" i="5"/>
  <c r="C20" i="5"/>
  <c r="C9" i="5"/>
  <c r="C31" i="5"/>
  <c r="C10" i="5"/>
  <c r="C11" i="5"/>
  <c r="C15" i="5"/>
  <c r="C19" i="5"/>
  <c r="C23" i="5"/>
  <c r="C21" i="5"/>
  <c r="C33" i="5"/>
  <c r="C16" i="5"/>
  <c r="C25" i="5"/>
  <c r="C18" i="5"/>
  <c r="C22" i="5"/>
  <c r="C24" i="5"/>
  <c r="C13" i="5"/>
  <c r="C26" i="5"/>
  <c r="C12" i="7"/>
  <c r="D16" i="7"/>
  <c r="D29" i="7"/>
  <c r="D14" i="7"/>
  <c r="D25" i="7"/>
  <c r="D9" i="7"/>
  <c r="D20" i="7"/>
  <c r="C10" i="7"/>
  <c r="D30" i="7"/>
  <c r="D18" i="7"/>
  <c r="C11" i="7"/>
  <c r="D12" i="5"/>
  <c r="D16" i="5"/>
  <c r="D20" i="5"/>
  <c r="D24" i="5"/>
  <c r="D29" i="5"/>
  <c r="D22" i="5"/>
  <c r="D30" i="5"/>
  <c r="D21" i="5"/>
  <c r="D31" i="5"/>
  <c r="D14" i="5"/>
  <c r="D32" i="5"/>
  <c r="D37" i="5"/>
  <c r="D25" i="5"/>
  <c r="D11" i="5"/>
  <c r="D15" i="5"/>
  <c r="D19" i="5"/>
  <c r="D23" i="5"/>
  <c r="D33" i="5"/>
  <c r="D9" i="5"/>
  <c r="D18" i="5"/>
  <c r="D13" i="5"/>
  <c r="D10" i="5"/>
  <c r="D17" i="5"/>
  <c r="D26" i="5"/>
  <c r="D27" i="7"/>
  <c r="D10" i="7"/>
  <c r="D26" i="7"/>
  <c r="D13" i="7"/>
  <c r="C9" i="7"/>
  <c r="D23" i="7"/>
  <c r="D11" i="7"/>
  <c r="C14" i="7"/>
  <c r="B20" i="5"/>
  <c r="B21" i="5"/>
  <c r="B37" i="5"/>
  <c r="B11" i="5"/>
  <c r="B29" i="5"/>
  <c r="B13" i="5"/>
  <c r="B14" i="5"/>
  <c r="B30" i="5"/>
  <c r="B33" i="5"/>
  <c r="B18" i="5"/>
  <c r="B19" i="5"/>
  <c r="B22" i="5"/>
  <c r="B23" i="5"/>
  <c r="B12" i="5"/>
  <c r="B15" i="5"/>
  <c r="B31" i="5"/>
  <c r="B17" i="5"/>
  <c r="B25" i="5"/>
  <c r="B26" i="5"/>
  <c r="B16" i="5"/>
  <c r="B32" i="5"/>
  <c r="B24" i="5"/>
  <c r="B10" i="5"/>
  <c r="D21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F50" i="9"/>
  <c r="A36" i="9"/>
  <c r="M50" i="9"/>
  <c r="C52" i="4"/>
  <c r="C53" i="4"/>
  <c r="H38" i="2"/>
  <c r="C38" i="2"/>
  <c r="D38" i="2" s="1"/>
  <c r="H33" i="15"/>
  <c r="J33" i="15" s="1"/>
  <c r="H34" i="15"/>
  <c r="K34" i="15" s="1"/>
  <c r="H19" i="15"/>
  <c r="J19" i="15" s="1"/>
  <c r="D27" i="16"/>
  <c r="H27" i="15"/>
  <c r="H29" i="15"/>
  <c r="J29" i="15" s="1"/>
  <c r="H23" i="15"/>
  <c r="K23" i="15" s="1"/>
  <c r="H31" i="15"/>
  <c r="K19" i="14"/>
  <c r="J19" i="14"/>
  <c r="E27" i="16"/>
  <c r="I27" i="16" s="1"/>
  <c r="H13" i="14"/>
  <c r="K13" i="14" s="1"/>
  <c r="H14" i="14"/>
  <c r="K14" i="14" s="1"/>
  <c r="J27" i="15"/>
  <c r="K27" i="15"/>
  <c r="K19" i="15"/>
  <c r="K33" i="15"/>
  <c r="K17" i="15"/>
  <c r="J17" i="15"/>
  <c r="D26" i="16"/>
  <c r="E26" i="16" s="1"/>
  <c r="I26" i="16" s="1"/>
  <c r="H30" i="15"/>
  <c r="K30" i="15" s="1"/>
  <c r="H14" i="15"/>
  <c r="D28" i="16"/>
  <c r="E28" i="16" s="1"/>
  <c r="I28" i="16" s="1"/>
  <c r="H9" i="15"/>
  <c r="H15" i="15"/>
  <c r="K15" i="15" s="1"/>
  <c r="H20" i="15"/>
  <c r="K20" i="15" s="1"/>
  <c r="H26" i="15"/>
  <c r="K26" i="15" s="1"/>
  <c r="H32" i="15"/>
  <c r="K32" i="15" s="1"/>
  <c r="H37" i="15"/>
  <c r="J37" i="15" s="1"/>
  <c r="H16" i="15"/>
  <c r="K16" i="15" s="1"/>
  <c r="H21" i="15"/>
  <c r="H25" i="15"/>
  <c r="K25" i="15" s="1"/>
  <c r="H11" i="15"/>
  <c r="K38" i="15"/>
  <c r="H36" i="15"/>
  <c r="K36" i="15" s="1"/>
  <c r="H28" i="15"/>
  <c r="K28" i="15" s="1"/>
  <c r="J22" i="14"/>
  <c r="K22" i="14"/>
  <c r="J38" i="14"/>
  <c r="K38" i="14"/>
  <c r="K35" i="14"/>
  <c r="J35" i="14"/>
  <c r="K28" i="14"/>
  <c r="J28" i="14"/>
  <c r="K29" i="14"/>
  <c r="J29" i="14"/>
  <c r="D27" i="2"/>
  <c r="G8" i="6"/>
  <c r="D24" i="3"/>
  <c r="E24" i="3" s="1"/>
  <c r="C25" i="3"/>
  <c r="D23" i="3"/>
  <c r="E23" i="3" s="1"/>
  <c r="L29" i="3"/>
  <c r="L33" i="3"/>
  <c r="B9" i="6"/>
  <c r="G38" i="6"/>
  <c r="C4" i="8" s="1"/>
  <c r="F19" i="4"/>
  <c r="L34" i="3"/>
  <c r="D26" i="2"/>
  <c r="D25" i="2"/>
  <c r="D24" i="2"/>
  <c r="L31" i="3"/>
  <c r="L37" i="3"/>
  <c r="D102" i="3"/>
  <c r="D103" i="3"/>
  <c r="F26" i="9"/>
  <c r="F21" i="9"/>
  <c r="F23" i="9" s="1"/>
  <c r="F25" i="9" s="1"/>
  <c r="F28" i="9" s="1"/>
  <c r="D104" i="3"/>
  <c r="B9" i="7"/>
  <c r="G8" i="7"/>
  <c r="B102" i="3"/>
  <c r="D105" i="3"/>
  <c r="G8" i="5"/>
  <c r="B103" i="3"/>
  <c r="B104" i="3"/>
  <c r="M21" i="9"/>
  <c r="M23" i="9" s="1"/>
  <c r="M25" i="9" s="1"/>
  <c r="M27" i="9" s="1"/>
  <c r="M28" i="9" s="1"/>
  <c r="B105" i="3"/>
  <c r="K21" i="14"/>
  <c r="J21" i="14"/>
  <c r="K37" i="14"/>
  <c r="J37" i="14"/>
  <c r="K27" i="14"/>
  <c r="J27" i="14"/>
  <c r="K16" i="14"/>
  <c r="K32" i="14"/>
  <c r="J13" i="15"/>
  <c r="K13" i="15"/>
  <c r="J18" i="15"/>
  <c r="K29" i="15"/>
  <c r="B25" i="16"/>
  <c r="E25" i="16" s="1"/>
  <c r="I25" i="16" s="1"/>
  <c r="J34" i="15"/>
  <c r="K23" i="14"/>
  <c r="J23" i="14"/>
  <c r="K9" i="15"/>
  <c r="J9" i="15"/>
  <c r="D23" i="16"/>
  <c r="E23" i="16" s="1"/>
  <c r="I23" i="16" s="1"/>
  <c r="H10" i="15"/>
  <c r="D24" i="16"/>
  <c r="K31" i="15"/>
  <c r="J31" i="15"/>
  <c r="C24" i="16"/>
  <c r="J24" i="14"/>
  <c r="K24" i="14"/>
  <c r="J36" i="15"/>
  <c r="K20" i="14"/>
  <c r="J20" i="14"/>
  <c r="J25" i="14"/>
  <c r="J30" i="14"/>
  <c r="K36" i="14"/>
  <c r="J36" i="14"/>
  <c r="K37" i="15"/>
  <c r="K15" i="14"/>
  <c r="J15" i="14"/>
  <c r="K26" i="14"/>
  <c r="J26" i="14"/>
  <c r="K31" i="14"/>
  <c r="J31" i="14"/>
  <c r="J18" i="14"/>
  <c r="J34" i="14"/>
  <c r="H17" i="14"/>
  <c r="H33" i="14"/>
  <c r="H22" i="15"/>
  <c r="J30" i="15" l="1"/>
  <c r="J25" i="15"/>
  <c r="J28" i="15"/>
  <c r="J23" i="15"/>
  <c r="J35" i="15"/>
  <c r="J24" i="15"/>
  <c r="K12" i="15"/>
  <c r="J16" i="15"/>
  <c r="J14" i="14"/>
  <c r="M36" i="9"/>
  <c r="I34" i="5"/>
  <c r="L35" i="6"/>
  <c r="L30" i="5"/>
  <c r="J20" i="15"/>
  <c r="J32" i="15"/>
  <c r="J26" i="15"/>
  <c r="J13" i="14"/>
  <c r="K14" i="15"/>
  <c r="J14" i="15"/>
  <c r="J15" i="15"/>
  <c r="J11" i="15"/>
  <c r="K11" i="15"/>
  <c r="J21" i="15"/>
  <c r="K21" i="15"/>
  <c r="E24" i="16"/>
  <c r="I24" i="16" s="1"/>
  <c r="G11" i="5"/>
  <c r="B31" i="8" s="1"/>
  <c r="L18" i="7"/>
  <c r="I23" i="5"/>
  <c r="G34" i="5"/>
  <c r="B8" i="8" s="1"/>
  <c r="L34" i="5"/>
  <c r="G36" i="7"/>
  <c r="H36" i="7" s="1"/>
  <c r="J36" i="7" s="1"/>
  <c r="L23" i="5"/>
  <c r="L27" i="5"/>
  <c r="L19" i="5"/>
  <c r="L15" i="5"/>
  <c r="L13" i="6"/>
  <c r="I11" i="5"/>
  <c r="L11" i="5"/>
  <c r="G26" i="7"/>
  <c r="D16" i="8" s="1"/>
  <c r="G35" i="6"/>
  <c r="C7" i="8" s="1"/>
  <c r="I27" i="5"/>
  <c r="G13" i="7"/>
  <c r="G23" i="5"/>
  <c r="H23" i="5" s="1"/>
  <c r="J23" i="5" s="1"/>
  <c r="I35" i="6"/>
  <c r="G10" i="7"/>
  <c r="D32" i="8" s="1"/>
  <c r="G37" i="5"/>
  <c r="B5" i="8" s="1"/>
  <c r="L37" i="5"/>
  <c r="L36" i="7"/>
  <c r="G28" i="7"/>
  <c r="H28" i="7" s="1"/>
  <c r="J28" i="7" s="1"/>
  <c r="L34" i="7"/>
  <c r="G23" i="7"/>
  <c r="L29" i="6"/>
  <c r="I29" i="6"/>
  <c r="I22" i="6"/>
  <c r="G13" i="6"/>
  <c r="L26" i="7"/>
  <c r="L23" i="7"/>
  <c r="G18" i="7"/>
  <c r="G34" i="7"/>
  <c r="L13" i="7"/>
  <c r="L10" i="7"/>
  <c r="L28" i="7"/>
  <c r="G22" i="6"/>
  <c r="C20" i="8" s="1"/>
  <c r="L22" i="6"/>
  <c r="G29" i="6"/>
  <c r="I13" i="6"/>
  <c r="L17" i="6"/>
  <c r="G17" i="6"/>
  <c r="C25" i="8" s="1"/>
  <c r="I17" i="6"/>
  <c r="L35" i="7"/>
  <c r="G35" i="7"/>
  <c r="D7" i="8" s="1"/>
  <c r="L11" i="7"/>
  <c r="G11" i="7"/>
  <c r="D31" i="8" s="1"/>
  <c r="L17" i="7"/>
  <c r="G17" i="7"/>
  <c r="D25" i="8" s="1"/>
  <c r="L17" i="5"/>
  <c r="G17" i="5"/>
  <c r="B25" i="8" s="1"/>
  <c r="I17" i="5"/>
  <c r="G11" i="6"/>
  <c r="C31" i="8" s="1"/>
  <c r="L11" i="6"/>
  <c r="I11" i="6"/>
  <c r="G19" i="5"/>
  <c r="B23" i="8" s="1"/>
  <c r="L29" i="7"/>
  <c r="G29" i="7"/>
  <c r="D13" i="8" s="1"/>
  <c r="L33" i="7"/>
  <c r="G33" i="7"/>
  <c r="D9" i="8" s="1"/>
  <c r="I22" i="5"/>
  <c r="G22" i="5"/>
  <c r="B20" i="8" s="1"/>
  <c r="L22" i="5"/>
  <c r="L33" i="5"/>
  <c r="I33" i="5"/>
  <c r="G33" i="5"/>
  <c r="B9" i="8" s="1"/>
  <c r="L10" i="6"/>
  <c r="I10" i="6"/>
  <c r="G10" i="6"/>
  <c r="C32" i="8" s="1"/>
  <c r="I19" i="5"/>
  <c r="F23" i="3"/>
  <c r="H23" i="3" s="1"/>
  <c r="I26" i="5"/>
  <c r="G26" i="5"/>
  <c r="B16" i="8" s="1"/>
  <c r="L26" i="5"/>
  <c r="L31" i="5"/>
  <c r="I31" i="5"/>
  <c r="G31" i="5"/>
  <c r="B11" i="8" s="1"/>
  <c r="L28" i="5"/>
  <c r="G28" i="5"/>
  <c r="B14" i="8" s="1"/>
  <c r="I28" i="5"/>
  <c r="L13" i="5"/>
  <c r="G13" i="5"/>
  <c r="B29" i="8" s="1"/>
  <c r="I13" i="5"/>
  <c r="G16" i="7"/>
  <c r="D26" i="8" s="1"/>
  <c r="L16" i="7"/>
  <c r="I18" i="5"/>
  <c r="G18" i="5"/>
  <c r="B24" i="8" s="1"/>
  <c r="L18" i="5"/>
  <c r="L16" i="6"/>
  <c r="I16" i="6"/>
  <c r="G16" i="6"/>
  <c r="C26" i="8" s="1"/>
  <c r="L21" i="5"/>
  <c r="G21" i="5"/>
  <c r="B21" i="8" s="1"/>
  <c r="I21" i="5"/>
  <c r="I15" i="6"/>
  <c r="G15" i="6"/>
  <c r="C27" i="8" s="1"/>
  <c r="L15" i="6"/>
  <c r="L20" i="7"/>
  <c r="G20" i="7"/>
  <c r="D22" i="8" s="1"/>
  <c r="K13" i="7"/>
  <c r="I14" i="5"/>
  <c r="G14" i="5"/>
  <c r="B28" i="8" s="1"/>
  <c r="L14" i="5"/>
  <c r="L32" i="6"/>
  <c r="I32" i="6"/>
  <c r="G32" i="6"/>
  <c r="C10" i="8" s="1"/>
  <c r="G12" i="7"/>
  <c r="D30" i="8" s="1"/>
  <c r="L12" i="7"/>
  <c r="G32" i="7"/>
  <c r="D10" i="8" s="1"/>
  <c r="L32" i="7"/>
  <c r="L9" i="5"/>
  <c r="G9" i="5"/>
  <c r="B33" i="8" s="1"/>
  <c r="I9" i="5"/>
  <c r="I10" i="5"/>
  <c r="G10" i="5"/>
  <c r="B32" i="8" s="1"/>
  <c r="L10" i="5"/>
  <c r="I38" i="6"/>
  <c r="L38" i="6"/>
  <c r="L9" i="6"/>
  <c r="I9" i="6"/>
  <c r="G9" i="6"/>
  <c r="C33" i="8" s="1"/>
  <c r="G22" i="7"/>
  <c r="D20" i="8" s="1"/>
  <c r="L22" i="7"/>
  <c r="I37" i="5"/>
  <c r="F36" i="9"/>
  <c r="G36" i="6"/>
  <c r="C6" i="8" s="1"/>
  <c r="L36" i="6"/>
  <c r="I36" i="6"/>
  <c r="L25" i="6"/>
  <c r="I25" i="6"/>
  <c r="G25" i="6"/>
  <c r="C17" i="8" s="1"/>
  <c r="G15" i="5"/>
  <c r="B27" i="8" s="1"/>
  <c r="L14" i="6"/>
  <c r="I14" i="6"/>
  <c r="G14" i="6"/>
  <c r="C28" i="8" s="1"/>
  <c r="I15" i="5"/>
  <c r="G30" i="5"/>
  <c r="B12" i="8" s="1"/>
  <c r="L19" i="7"/>
  <c r="G19" i="7"/>
  <c r="D23" i="8" s="1"/>
  <c r="L19" i="6"/>
  <c r="I19" i="6"/>
  <c r="G19" i="6"/>
  <c r="C23" i="8" s="1"/>
  <c r="L33" i="6"/>
  <c r="G33" i="6"/>
  <c r="C9" i="8" s="1"/>
  <c r="I33" i="6"/>
  <c r="K10" i="15"/>
  <c r="J10" i="15"/>
  <c r="G9" i="7"/>
  <c r="D33" i="8" s="1"/>
  <c r="L9" i="7"/>
  <c r="I29" i="5"/>
  <c r="G29" i="5"/>
  <c r="B13" i="8" s="1"/>
  <c r="L29" i="5"/>
  <c r="I31" i="6"/>
  <c r="G31" i="6"/>
  <c r="C11" i="8" s="1"/>
  <c r="L31" i="6"/>
  <c r="L28" i="6"/>
  <c r="I28" i="6"/>
  <c r="G28" i="6"/>
  <c r="C14" i="8" s="1"/>
  <c r="I30" i="5"/>
  <c r="J22" i="15"/>
  <c r="K22" i="15"/>
  <c r="L24" i="5"/>
  <c r="I24" i="5"/>
  <c r="G24" i="5"/>
  <c r="B18" i="8" s="1"/>
  <c r="G38" i="7"/>
  <c r="D4" i="8" s="1"/>
  <c r="L38" i="7"/>
  <c r="L12" i="6"/>
  <c r="I12" i="6"/>
  <c r="G12" i="6"/>
  <c r="C30" i="8" s="1"/>
  <c r="J33" i="14"/>
  <c r="K33" i="14"/>
  <c r="J17" i="14"/>
  <c r="K17" i="14"/>
  <c r="L20" i="5"/>
  <c r="I20" i="5"/>
  <c r="G20" i="5"/>
  <c r="B22" i="8" s="1"/>
  <c r="G25" i="7"/>
  <c r="D17" i="8" s="1"/>
  <c r="L25" i="7"/>
  <c r="L30" i="6"/>
  <c r="I30" i="6"/>
  <c r="G30" i="6"/>
  <c r="C12" i="8" s="1"/>
  <c r="L37" i="6"/>
  <c r="I37" i="6"/>
  <c r="G37" i="6"/>
  <c r="C5" i="8" s="1"/>
  <c r="D25" i="3"/>
  <c r="E25" i="3" s="1"/>
  <c r="C26" i="3"/>
  <c r="L27" i="7"/>
  <c r="G27" i="7"/>
  <c r="D15" i="8" s="1"/>
  <c r="L36" i="5"/>
  <c r="I36" i="5"/>
  <c r="G36" i="5"/>
  <c r="B6" i="8" s="1"/>
  <c r="F24" i="3"/>
  <c r="H24" i="3" s="1"/>
  <c r="G14" i="7"/>
  <c r="D28" i="8" s="1"/>
  <c r="L14" i="7"/>
  <c r="I32" i="5"/>
  <c r="G32" i="5"/>
  <c r="B10" i="8" s="1"/>
  <c r="L32" i="5"/>
  <c r="L15" i="7"/>
  <c r="G15" i="7"/>
  <c r="D27" i="8" s="1"/>
  <c r="G27" i="6"/>
  <c r="C15" i="8" s="1"/>
  <c r="L27" i="6"/>
  <c r="I27" i="6"/>
  <c r="I18" i="6"/>
  <c r="G18" i="6"/>
  <c r="C24" i="8" s="1"/>
  <c r="L18" i="6"/>
  <c r="L16" i="5"/>
  <c r="I16" i="5"/>
  <c r="G16" i="5"/>
  <c r="B26" i="8" s="1"/>
  <c r="L30" i="7"/>
  <c r="G30" i="7"/>
  <c r="D12" i="8" s="1"/>
  <c r="L31" i="7"/>
  <c r="G31" i="7"/>
  <c r="D11" i="8" s="1"/>
  <c r="L26" i="6"/>
  <c r="I26" i="6"/>
  <c r="G26" i="6"/>
  <c r="C16" i="8" s="1"/>
  <c r="I34" i="6"/>
  <c r="G34" i="6"/>
  <c r="C8" i="8" s="1"/>
  <c r="L34" i="6"/>
  <c r="G27" i="5"/>
  <c r="B15" i="8" s="1"/>
  <c r="L21" i="7"/>
  <c r="G21" i="7"/>
  <c r="D21" i="8" s="1"/>
  <c r="I21" i="6"/>
  <c r="G21" i="6"/>
  <c r="C21" i="8" s="1"/>
  <c r="L21" i="6"/>
  <c r="L24" i="7"/>
  <c r="G24" i="7"/>
  <c r="D18" i="8" s="1"/>
  <c r="L38" i="5"/>
  <c r="G38" i="5"/>
  <c r="B4" i="8" s="1"/>
  <c r="I38" i="5"/>
  <c r="L23" i="6"/>
  <c r="I23" i="6"/>
  <c r="G23" i="6"/>
  <c r="C19" i="8" s="1"/>
  <c r="L12" i="5"/>
  <c r="I12" i="5"/>
  <c r="G12" i="5"/>
  <c r="B30" i="8" s="1"/>
  <c r="L25" i="5"/>
  <c r="I25" i="5"/>
  <c r="G25" i="5"/>
  <c r="B17" i="8" s="1"/>
  <c r="G35" i="5"/>
  <c r="B7" i="8" s="1"/>
  <c r="L35" i="5"/>
  <c r="I35" i="5"/>
  <c r="G37" i="7"/>
  <c r="D5" i="8" s="1"/>
  <c r="L37" i="7"/>
  <c r="L20" i="6"/>
  <c r="I20" i="6"/>
  <c r="G20" i="6"/>
  <c r="C22" i="8" s="1"/>
  <c r="G24" i="6"/>
  <c r="C18" i="8" s="1"/>
  <c r="L24" i="6"/>
  <c r="I24" i="6"/>
  <c r="I36" i="7" l="1"/>
  <c r="H11" i="5"/>
  <c r="J11" i="5" s="1"/>
  <c r="K11" i="5"/>
  <c r="E4" i="8"/>
  <c r="K22" i="6"/>
  <c r="K29" i="6"/>
  <c r="C13" i="8"/>
  <c r="I28" i="7"/>
  <c r="D14" i="8"/>
  <c r="K36" i="7"/>
  <c r="D6" i="8"/>
  <c r="K34" i="7"/>
  <c r="D8" i="8"/>
  <c r="K23" i="5"/>
  <c r="B19" i="8"/>
  <c r="I23" i="7"/>
  <c r="D19" i="8"/>
  <c r="H18" i="7"/>
  <c r="J18" i="7" s="1"/>
  <c r="D24" i="8"/>
  <c r="I13" i="7"/>
  <c r="D29" i="8"/>
  <c r="G4" i="8"/>
  <c r="H4" i="8" s="1"/>
  <c r="K13" i="6"/>
  <c r="C29" i="8"/>
  <c r="H13" i="7"/>
  <c r="J13" i="7" s="1"/>
  <c r="H34" i="5"/>
  <c r="J34" i="5" s="1"/>
  <c r="K34" i="5"/>
  <c r="G5" i="8"/>
  <c r="H5" i="8" s="1"/>
  <c r="K37" i="5"/>
  <c r="E5" i="8"/>
  <c r="K35" i="6"/>
  <c r="H35" i="6"/>
  <c r="J35" i="6" s="1"/>
  <c r="I26" i="7"/>
  <c r="K26" i="7"/>
  <c r="H26" i="7"/>
  <c r="J26" i="7" s="1"/>
  <c r="G19" i="8"/>
  <c r="H19" i="8" s="1"/>
  <c r="H13" i="6"/>
  <c r="J13" i="6" s="1"/>
  <c r="G31" i="8"/>
  <c r="H31" i="8" s="1"/>
  <c r="H10" i="7"/>
  <c r="J10" i="7" s="1"/>
  <c r="I10" i="7"/>
  <c r="H37" i="5"/>
  <c r="J37" i="5" s="1"/>
  <c r="K10" i="7"/>
  <c r="G15" i="8"/>
  <c r="H15" i="8" s="1"/>
  <c r="G7" i="8"/>
  <c r="H7" i="8" s="1"/>
  <c r="I34" i="7"/>
  <c r="G8" i="8"/>
  <c r="H8" i="8" s="1"/>
  <c r="H23" i="7"/>
  <c r="J23" i="7" s="1"/>
  <c r="H34" i="7"/>
  <c r="J34" i="7" s="1"/>
  <c r="K23" i="7"/>
  <c r="K28" i="7"/>
  <c r="G10" i="8"/>
  <c r="H10" i="8" s="1"/>
  <c r="G17" i="8"/>
  <c r="H17" i="8" s="1"/>
  <c r="H29" i="6"/>
  <c r="J29" i="6" s="1"/>
  <c r="G20" i="8"/>
  <c r="H20" i="8" s="1"/>
  <c r="G6" i="8"/>
  <c r="H6" i="8" s="1"/>
  <c r="G27" i="8"/>
  <c r="H27" i="8" s="1"/>
  <c r="G23" i="8"/>
  <c r="H23" i="8" s="1"/>
  <c r="G13" i="8"/>
  <c r="H13" i="8" s="1"/>
  <c r="G12" i="8"/>
  <c r="H12" i="8" s="1"/>
  <c r="I18" i="7"/>
  <c r="K18" i="7"/>
  <c r="G29" i="8"/>
  <c r="H29" i="8" s="1"/>
  <c r="G30" i="8"/>
  <c r="H30" i="8" s="1"/>
  <c r="H22" i="6"/>
  <c r="J22" i="6" s="1"/>
  <c r="G22" i="8"/>
  <c r="H22" i="8" s="1"/>
  <c r="H9" i="7"/>
  <c r="J9" i="7" s="1"/>
  <c r="I9" i="7"/>
  <c r="K9" i="7"/>
  <c r="H11" i="6"/>
  <c r="J11" i="6" s="1"/>
  <c r="K11" i="6"/>
  <c r="K17" i="6"/>
  <c r="H17" i="6"/>
  <c r="J17" i="6" s="1"/>
  <c r="K27" i="5"/>
  <c r="H27" i="5"/>
  <c r="J27" i="5" s="1"/>
  <c r="K25" i="5"/>
  <c r="H25" i="5"/>
  <c r="J25" i="5" s="1"/>
  <c r="K27" i="7"/>
  <c r="H27" i="7"/>
  <c r="J27" i="7" s="1"/>
  <c r="I27" i="7"/>
  <c r="K28" i="6"/>
  <c r="H28" i="6"/>
  <c r="J28" i="6" s="1"/>
  <c r="K9" i="6"/>
  <c r="H9" i="6"/>
  <c r="J9" i="6" s="1"/>
  <c r="K16" i="6"/>
  <c r="H16" i="6"/>
  <c r="J16" i="6" s="1"/>
  <c r="K28" i="5"/>
  <c r="H28" i="5"/>
  <c r="J28" i="5" s="1"/>
  <c r="K17" i="5"/>
  <c r="H17" i="5"/>
  <c r="J17" i="5" s="1"/>
  <c r="H27" i="6"/>
  <c r="J27" i="6" s="1"/>
  <c r="K27" i="6"/>
  <c r="K15" i="5"/>
  <c r="H15" i="5"/>
  <c r="J15" i="5" s="1"/>
  <c r="G14" i="8"/>
  <c r="H14" i="8" s="1"/>
  <c r="K33" i="5"/>
  <c r="H33" i="5"/>
  <c r="J33" i="5" s="1"/>
  <c r="G25" i="8"/>
  <c r="H25" i="8" s="1"/>
  <c r="H35" i="5"/>
  <c r="J35" i="5" s="1"/>
  <c r="K35" i="5"/>
  <c r="D26" i="3"/>
  <c r="E26" i="3" s="1"/>
  <c r="C27" i="3"/>
  <c r="K33" i="6"/>
  <c r="H33" i="6"/>
  <c r="J33" i="6" s="1"/>
  <c r="K25" i="6"/>
  <c r="H25" i="6"/>
  <c r="J25" i="6" s="1"/>
  <c r="K20" i="7"/>
  <c r="I20" i="7"/>
  <c r="H20" i="7"/>
  <c r="J20" i="7" s="1"/>
  <c r="K31" i="5"/>
  <c r="H31" i="5"/>
  <c r="J31" i="5" s="1"/>
  <c r="K26" i="6"/>
  <c r="H26" i="6"/>
  <c r="J26" i="6" s="1"/>
  <c r="F25" i="3"/>
  <c r="H25" i="3" s="1"/>
  <c r="G9" i="8"/>
  <c r="H9" i="8" s="1"/>
  <c r="I12" i="7"/>
  <c r="H12" i="7"/>
  <c r="J12" i="7" s="1"/>
  <c r="K12" i="7"/>
  <c r="K37" i="6"/>
  <c r="H37" i="6"/>
  <c r="J37" i="6" s="1"/>
  <c r="K12" i="6"/>
  <c r="H12" i="6"/>
  <c r="J12" i="6" s="1"/>
  <c r="K31" i="6"/>
  <c r="H31" i="6"/>
  <c r="J31" i="6" s="1"/>
  <c r="K19" i="6"/>
  <c r="H19" i="6"/>
  <c r="J19" i="6" s="1"/>
  <c r="K38" i="6"/>
  <c r="H38" i="6"/>
  <c r="J38" i="6" s="1"/>
  <c r="K32" i="6"/>
  <c r="H32" i="6"/>
  <c r="J32" i="6" s="1"/>
  <c r="G11" i="8"/>
  <c r="H11" i="8" s="1"/>
  <c r="E8" i="8"/>
  <c r="H34" i="6"/>
  <c r="J34" i="6" s="1"/>
  <c r="K34" i="6"/>
  <c r="K12" i="5"/>
  <c r="H12" i="5"/>
  <c r="J12" i="5" s="1"/>
  <c r="K23" i="6"/>
  <c r="H23" i="6"/>
  <c r="J23" i="6" s="1"/>
  <c r="H31" i="7"/>
  <c r="J31" i="7" s="1"/>
  <c r="K31" i="7"/>
  <c r="I31" i="7"/>
  <c r="H32" i="5"/>
  <c r="J32" i="5" s="1"/>
  <c r="K32" i="5"/>
  <c r="G16" i="8"/>
  <c r="H16" i="8" s="1"/>
  <c r="H22" i="5"/>
  <c r="J22" i="5" s="1"/>
  <c r="K22" i="5"/>
  <c r="I17" i="7"/>
  <c r="H17" i="7"/>
  <c r="J17" i="7" s="1"/>
  <c r="K17" i="7"/>
  <c r="H15" i="7"/>
  <c r="J15" i="7" s="1"/>
  <c r="K15" i="7"/>
  <c r="I15" i="7"/>
  <c r="H24" i="6"/>
  <c r="J24" i="6" s="1"/>
  <c r="K24" i="6"/>
  <c r="G32" i="8"/>
  <c r="H32" i="8" s="1"/>
  <c r="K26" i="5"/>
  <c r="H26" i="5"/>
  <c r="J26" i="5" s="1"/>
  <c r="K20" i="6"/>
  <c r="H20" i="6"/>
  <c r="J20" i="6" s="1"/>
  <c r="H21" i="6"/>
  <c r="J21" i="6" s="1"/>
  <c r="K21" i="6"/>
  <c r="K30" i="7"/>
  <c r="I30" i="7"/>
  <c r="H30" i="7"/>
  <c r="J30" i="7" s="1"/>
  <c r="K30" i="6"/>
  <c r="H30" i="6"/>
  <c r="J30" i="6" s="1"/>
  <c r="I19" i="7"/>
  <c r="H19" i="7"/>
  <c r="J19" i="7" s="1"/>
  <c r="K19" i="7"/>
  <c r="H36" i="6"/>
  <c r="J36" i="6" s="1"/>
  <c r="K36" i="6"/>
  <c r="H10" i="5"/>
  <c r="J10" i="5" s="1"/>
  <c r="K10" i="5"/>
  <c r="K15" i="6"/>
  <c r="H15" i="6"/>
  <c r="J15" i="6" s="1"/>
  <c r="G24" i="8"/>
  <c r="H24" i="8" s="1"/>
  <c r="I33" i="7"/>
  <c r="K33" i="7"/>
  <c r="H33" i="7"/>
  <c r="J33" i="7" s="1"/>
  <c r="H18" i="5"/>
  <c r="J18" i="5" s="1"/>
  <c r="K18" i="5"/>
  <c r="K24" i="5"/>
  <c r="H24" i="5"/>
  <c r="J24" i="5" s="1"/>
  <c r="K30" i="5"/>
  <c r="H30" i="5"/>
  <c r="J30" i="5" s="1"/>
  <c r="B76" i="3" a="1"/>
  <c r="K29" i="7"/>
  <c r="H29" i="7"/>
  <c r="J29" i="7" s="1"/>
  <c r="I29" i="7"/>
  <c r="K11" i="7"/>
  <c r="I11" i="7"/>
  <c r="H11" i="7"/>
  <c r="J11" i="7" s="1"/>
  <c r="K21" i="7"/>
  <c r="I21" i="7"/>
  <c r="H21" i="7"/>
  <c r="J21" i="7" s="1"/>
  <c r="K9" i="5"/>
  <c r="H9" i="5"/>
  <c r="J9" i="5" s="1"/>
  <c r="K21" i="5"/>
  <c r="H21" i="5"/>
  <c r="J21" i="5" s="1"/>
  <c r="K14" i="7"/>
  <c r="H14" i="7"/>
  <c r="J14" i="7" s="1"/>
  <c r="I14" i="7"/>
  <c r="K38" i="5"/>
  <c r="H38" i="5"/>
  <c r="J38" i="5" s="1"/>
  <c r="K37" i="7"/>
  <c r="I37" i="7"/>
  <c r="H37" i="7"/>
  <c r="J37" i="7" s="1"/>
  <c r="G26" i="8"/>
  <c r="H26" i="8" s="1"/>
  <c r="G18" i="8"/>
  <c r="H18" i="8" s="1"/>
  <c r="H29" i="5"/>
  <c r="J29" i="5" s="1"/>
  <c r="K29" i="5"/>
  <c r="K14" i="6"/>
  <c r="H14" i="6"/>
  <c r="J14" i="6" s="1"/>
  <c r="G33" i="8"/>
  <c r="H33" i="8" s="1"/>
  <c r="G28" i="8"/>
  <c r="H28" i="8" s="1"/>
  <c r="G21" i="8"/>
  <c r="H21" i="8" s="1"/>
  <c r="K16" i="7"/>
  <c r="I16" i="7"/>
  <c r="H16" i="7"/>
  <c r="J16" i="7" s="1"/>
  <c r="K19" i="5"/>
  <c r="H19" i="5"/>
  <c r="J19" i="5" s="1"/>
  <c r="I35" i="7"/>
  <c r="H35" i="7"/>
  <c r="J35" i="7" s="1"/>
  <c r="K35" i="7"/>
  <c r="H25" i="7"/>
  <c r="J25" i="7" s="1"/>
  <c r="I25" i="7"/>
  <c r="K25" i="7"/>
  <c r="K22" i="7"/>
  <c r="I22" i="7"/>
  <c r="H22" i="7"/>
  <c r="J22" i="7" s="1"/>
  <c r="H14" i="5"/>
  <c r="J14" i="5" s="1"/>
  <c r="K14" i="5"/>
  <c r="K38" i="7"/>
  <c r="I38" i="7"/>
  <c r="H38" i="7"/>
  <c r="J38" i="7" s="1"/>
  <c r="K16" i="5"/>
  <c r="H16" i="5"/>
  <c r="J16" i="5" s="1"/>
  <c r="K24" i="7"/>
  <c r="I24" i="7"/>
  <c r="H24" i="7"/>
  <c r="J24" i="7" s="1"/>
  <c r="H18" i="6"/>
  <c r="J18" i="6" s="1"/>
  <c r="K18" i="6"/>
  <c r="K36" i="5"/>
  <c r="H36" i="5"/>
  <c r="J36" i="5" s="1"/>
  <c r="K20" i="5"/>
  <c r="H20" i="5"/>
  <c r="J20" i="5" s="1"/>
  <c r="K32" i="7"/>
  <c r="I32" i="7"/>
  <c r="H32" i="7"/>
  <c r="J32" i="7" s="1"/>
  <c r="K13" i="5"/>
  <c r="H13" i="5"/>
  <c r="J13" i="5" s="1"/>
  <c r="K10" i="6"/>
  <c r="H10" i="6"/>
  <c r="J10" i="6" s="1"/>
  <c r="E19" i="8" l="1"/>
  <c r="E29" i="8"/>
  <c r="E7" i="8"/>
  <c r="E16" i="8"/>
  <c r="E9" i="8"/>
  <c r="E22" i="8"/>
  <c r="E33" i="8"/>
  <c r="E31" i="8"/>
  <c r="E23" i="8"/>
  <c r="E20" i="8"/>
  <c r="E17" i="8"/>
  <c r="E15" i="8"/>
  <c r="E21" i="8"/>
  <c r="E13" i="8"/>
  <c r="E10" i="8"/>
  <c r="E6" i="8"/>
  <c r="E18" i="8"/>
  <c r="E32" i="8"/>
  <c r="E11" i="8"/>
  <c r="E14" i="8"/>
  <c r="B76" i="3"/>
  <c r="B80" i="3"/>
  <c r="C79" i="3"/>
  <c r="B79" i="3"/>
  <c r="C78" i="3"/>
  <c r="C84" i="3" s="1"/>
  <c r="B78" i="3"/>
  <c r="C76" i="3"/>
  <c r="C98" i="3" s="1" a="1"/>
  <c r="C77" i="3"/>
  <c r="D98" i="3" s="1" a="1"/>
  <c r="C80" i="3"/>
  <c r="B77" i="3"/>
  <c r="E26" i="8"/>
  <c r="E12" i="8"/>
  <c r="E27" i="8"/>
  <c r="E24" i="8"/>
  <c r="E28" i="8"/>
  <c r="C28" i="3"/>
  <c r="D27" i="3"/>
  <c r="E27" i="3" s="1"/>
  <c r="F26" i="3"/>
  <c r="H26" i="3" s="1"/>
  <c r="E30" i="8"/>
  <c r="E25" i="8"/>
  <c r="M4" i="8"/>
  <c r="B5" i="10" l="1"/>
  <c r="C83" i="3"/>
  <c r="C87" i="3"/>
  <c r="F27" i="3"/>
  <c r="H27" i="3" s="1"/>
  <c r="D98" i="3"/>
  <c r="D99" i="3"/>
  <c r="C29" i="3"/>
  <c r="D28" i="3"/>
  <c r="E28" i="3" s="1"/>
  <c r="E91" i="3"/>
  <c r="D93" i="3"/>
  <c r="D91" i="3"/>
  <c r="C98" i="3"/>
  <c r="C99" i="3"/>
  <c r="F91" i="3"/>
  <c r="G91" i="3"/>
  <c r="E92" i="3"/>
  <c r="D92" i="3"/>
  <c r="C92" i="3"/>
  <c r="C93" i="3"/>
  <c r="M22" i="8"/>
  <c r="M15" i="8"/>
  <c r="M16" i="8"/>
  <c r="M20" i="8"/>
  <c r="M7" i="8"/>
  <c r="M17" i="8"/>
  <c r="M18" i="8"/>
  <c r="M30" i="8"/>
  <c r="M21" i="8"/>
  <c r="M27" i="8"/>
  <c r="M14" i="8"/>
  <c r="M13" i="8"/>
  <c r="M24" i="8"/>
  <c r="M28" i="8"/>
  <c r="M5" i="8"/>
  <c r="M8" i="8"/>
  <c r="M12" i="8"/>
  <c r="M25" i="8"/>
  <c r="M10" i="8"/>
  <c r="M23" i="8"/>
  <c r="M6" i="8"/>
  <c r="M29" i="8"/>
  <c r="M11" i="8"/>
  <c r="M9" i="8"/>
  <c r="M19" i="8"/>
  <c r="M26" i="8"/>
  <c r="B28" i="10" l="1"/>
  <c r="B30" i="10"/>
  <c r="B31" i="10"/>
  <c r="B27" i="10"/>
  <c r="B29" i="10"/>
  <c r="B10" i="10"/>
  <c r="B9" i="10"/>
  <c r="B19" i="10"/>
  <c r="B8" i="10"/>
  <c r="B26" i="10"/>
  <c r="B23" i="10"/>
  <c r="B14" i="10"/>
  <c r="B15" i="10"/>
  <c r="B22" i="10"/>
  <c r="B20" i="10"/>
  <c r="B16" i="10"/>
  <c r="B18" i="10"/>
  <c r="B11" i="10"/>
  <c r="B13" i="10"/>
  <c r="B25" i="10"/>
  <c r="B21" i="10"/>
  <c r="B24" i="10"/>
  <c r="B12" i="10"/>
  <c r="B17" i="10"/>
  <c r="B7" i="10"/>
  <c r="B6" i="10"/>
  <c r="H98" i="3" a="1"/>
  <c r="G98" i="3" a="1"/>
  <c r="E98" i="3" a="1"/>
  <c r="C102" i="3" a="1"/>
  <c r="I24" i="3"/>
  <c r="I23" i="3"/>
  <c r="I25" i="3"/>
  <c r="I26" i="3"/>
  <c r="D29" i="3"/>
  <c r="E29" i="3" s="1"/>
  <c r="C30" i="3"/>
  <c r="I27" i="3"/>
  <c r="F28" i="3"/>
  <c r="H28" i="3" s="1"/>
  <c r="I28" i="3"/>
  <c r="D16" i="10"/>
  <c r="D11" i="10"/>
  <c r="D31" i="10"/>
  <c r="D26" i="10"/>
  <c r="D19" i="10"/>
  <c r="D30" i="10"/>
  <c r="D20" i="10"/>
  <c r="D21" i="10"/>
  <c r="G27" i="10"/>
  <c r="D34" i="10"/>
  <c r="D8" i="10"/>
  <c r="D13" i="10"/>
  <c r="D7" i="10"/>
  <c r="D24" i="10"/>
  <c r="D5" i="10"/>
  <c r="G29" i="10"/>
  <c r="D6" i="10"/>
  <c r="D17" i="10"/>
  <c r="G28" i="10"/>
  <c r="D25" i="10"/>
  <c r="D9" i="10"/>
  <c r="D10" i="10"/>
  <c r="D32" i="10"/>
  <c r="D27" i="10"/>
  <c r="D12" i="10"/>
  <c r="D18" i="10"/>
  <c r="D23" i="10"/>
  <c r="D22" i="10"/>
  <c r="D33" i="10"/>
  <c r="D14" i="10"/>
  <c r="D15" i="10"/>
  <c r="D28" i="10"/>
  <c r="D29" i="10"/>
  <c r="Z22" i="10" l="1"/>
  <c r="Z23" i="10" s="1"/>
  <c r="O22" i="10"/>
  <c r="O23" i="10" s="1"/>
  <c r="K22" i="10"/>
  <c r="K23" i="10" s="1"/>
  <c r="AA22" i="10"/>
  <c r="AA23" i="10" s="1"/>
  <c r="AC22" i="10"/>
  <c r="AC23" i="10" s="1"/>
  <c r="X22" i="10"/>
  <c r="X23" i="10" s="1"/>
  <c r="M22" i="10"/>
  <c r="M23" i="10" s="1"/>
  <c r="I22" i="10"/>
  <c r="I23" i="10" s="1"/>
  <c r="J22" i="10"/>
  <c r="J23" i="10" s="1"/>
  <c r="U22" i="10"/>
  <c r="U23" i="10" s="1"/>
  <c r="AH22" i="10"/>
  <c r="AH23" i="10" s="1"/>
  <c r="AG22" i="10"/>
  <c r="AG23" i="10" s="1"/>
  <c r="Y22" i="10"/>
  <c r="Y23" i="10" s="1"/>
  <c r="AB22" i="10"/>
  <c r="AB23" i="10" s="1"/>
  <c r="L22" i="10"/>
  <c r="L23" i="10" s="1"/>
  <c r="H22" i="10"/>
  <c r="H23" i="10" s="1"/>
  <c r="AF22" i="10"/>
  <c r="AF23" i="10" s="1"/>
  <c r="T22" i="10"/>
  <c r="T23" i="10" s="1"/>
  <c r="P22" i="10"/>
  <c r="P23" i="10" s="1"/>
  <c r="AJ22" i="10"/>
  <c r="AJ23" i="10" s="1"/>
  <c r="G22" i="10"/>
  <c r="G23" i="10" s="1"/>
  <c r="AE22" i="10"/>
  <c r="AE23" i="10" s="1"/>
  <c r="V22" i="10"/>
  <c r="V23" i="10" s="1"/>
  <c r="S22" i="10"/>
  <c r="S23" i="10" s="1"/>
  <c r="N22" i="10"/>
  <c r="N23" i="10" s="1"/>
  <c r="W22" i="10"/>
  <c r="W23" i="10" s="1"/>
  <c r="AD22" i="10"/>
  <c r="AD23" i="10" s="1"/>
  <c r="R22" i="10"/>
  <c r="R23" i="10" s="1"/>
  <c r="AI22" i="10"/>
  <c r="AI23" i="10" s="1"/>
  <c r="Q22" i="10"/>
  <c r="Q23" i="10" s="1"/>
  <c r="K28" i="3"/>
  <c r="J28" i="3"/>
  <c r="M28" i="3"/>
  <c r="D30" i="3"/>
  <c r="E30" i="3" s="1"/>
  <c r="C31" i="3"/>
  <c r="K26" i="3"/>
  <c r="J26" i="3"/>
  <c r="M26" i="3"/>
  <c r="K27" i="3"/>
  <c r="M27" i="3"/>
  <c r="J27" i="3"/>
  <c r="I29" i="3"/>
  <c r="F29" i="3"/>
  <c r="H29" i="3" s="1"/>
  <c r="K25" i="3"/>
  <c r="J25" i="3"/>
  <c r="M25" i="3"/>
  <c r="J23" i="3"/>
  <c r="M23" i="3"/>
  <c r="K23" i="3"/>
  <c r="M24" i="3"/>
  <c r="K24" i="3"/>
  <c r="J24" i="3"/>
  <c r="C102" i="3"/>
  <c r="C106" i="3"/>
  <c r="C103" i="3"/>
  <c r="C105" i="3"/>
  <c r="C104" i="3"/>
  <c r="E99" i="3"/>
  <c r="E98" i="3"/>
  <c r="F98" i="3" s="1" a="1"/>
  <c r="G99" i="3"/>
  <c r="G98" i="3"/>
  <c r="H99" i="3"/>
  <c r="H98" i="3"/>
  <c r="F99" i="3" l="1"/>
  <c r="F98" i="3"/>
  <c r="D31" i="3"/>
  <c r="E31" i="3" s="1"/>
  <c r="C32" i="3"/>
  <c r="K29" i="3"/>
  <c r="J29" i="3"/>
  <c r="M29" i="3"/>
  <c r="E102" i="3" a="1"/>
  <c r="F30" i="3"/>
  <c r="H30" i="3" s="1"/>
  <c r="I30" i="3"/>
  <c r="E105" i="3" l="1"/>
  <c r="E104" i="3"/>
  <c r="E103" i="3"/>
  <c r="E102" i="3"/>
  <c r="E106" i="3"/>
  <c r="C33" i="3"/>
  <c r="D32" i="3"/>
  <c r="E32" i="3" s="1"/>
  <c r="K30" i="3"/>
  <c r="J30" i="3"/>
  <c r="M30" i="3"/>
  <c r="I31" i="3"/>
  <c r="F31" i="3"/>
  <c r="H31" i="3" s="1"/>
  <c r="I32" i="3" l="1"/>
  <c r="F32" i="3"/>
  <c r="H32" i="3" s="1"/>
  <c r="D33" i="3"/>
  <c r="E33" i="3" s="1"/>
  <c r="C34" i="3"/>
  <c r="K31" i="3"/>
  <c r="J31" i="3"/>
  <c r="M31" i="3"/>
  <c r="F33" i="3" l="1"/>
  <c r="H33" i="3" s="1"/>
  <c r="I33" i="3"/>
  <c r="D34" i="3"/>
  <c r="E34" i="3" s="1"/>
  <c r="C35" i="3"/>
  <c r="M32" i="3"/>
  <c r="K32" i="3"/>
  <c r="J32" i="3"/>
  <c r="I34" i="3" l="1"/>
  <c r="F34" i="3"/>
  <c r="H34" i="3" s="1"/>
  <c r="C36" i="3"/>
  <c r="D35" i="3"/>
  <c r="E35" i="3" s="1"/>
  <c r="K33" i="3"/>
  <c r="J33" i="3"/>
  <c r="M33" i="3"/>
  <c r="I35" i="3" l="1"/>
  <c r="F35" i="3"/>
  <c r="H35" i="3" s="1"/>
  <c r="D36" i="3"/>
  <c r="E36" i="3" s="1"/>
  <c r="C37" i="3"/>
  <c r="D37" i="3" s="1"/>
  <c r="E37" i="3" s="1"/>
  <c r="K34" i="3"/>
  <c r="J34" i="3"/>
  <c r="M34" i="3"/>
  <c r="I36" i="3" l="1"/>
  <c r="F36" i="3"/>
  <c r="H36" i="3" s="1"/>
  <c r="I37" i="3"/>
  <c r="F37" i="3"/>
  <c r="H37" i="3" s="1"/>
  <c r="J35" i="3"/>
  <c r="K35" i="3"/>
  <c r="M35" i="3"/>
  <c r="K37" i="3" l="1"/>
  <c r="J37" i="3"/>
  <c r="M37" i="3"/>
  <c r="K36" i="3"/>
  <c r="J36" i="3"/>
  <c r="M36" i="3"/>
  <c r="I76" i="3" l="1" a="1"/>
  <c r="J78" i="3"/>
  <c r="J79" i="3"/>
  <c r="J92" i="3"/>
  <c r="I80" i="3"/>
  <c r="K91" i="3"/>
  <c r="J80" i="3"/>
  <c r="K93" i="3"/>
  <c r="L91" i="3"/>
  <c r="I79" i="3"/>
  <c r="M91" i="3"/>
  <c r="N91" i="3"/>
  <c r="L92" i="3"/>
  <c r="J76" i="3"/>
  <c r="I77" i="3"/>
  <c r="J77" i="3"/>
  <c r="K98" i="3" a="1"/>
  <c r="K98" i="3"/>
  <c r="K99" i="3"/>
  <c r="I78" i="3"/>
  <c r="J83" i="3"/>
  <c r="I76" i="3"/>
  <c r="J98" i="3" a="1"/>
  <c r="J99" i="3"/>
  <c r="J98" i="3"/>
  <c r="O98" i="3" a="1"/>
  <c r="O98" i="3"/>
  <c r="O99" i="3"/>
  <c r="L98" i="3" a="1"/>
  <c r="L98" i="3"/>
  <c r="M98" i="3" a="1"/>
  <c r="M98" i="3"/>
  <c r="L99" i="3"/>
  <c r="M99" i="3"/>
  <c r="N98" i="3" a="1"/>
  <c r="N98" i="3"/>
  <c r="N99" i="3"/>
  <c r="J87" i="3"/>
  <c r="J84" i="3"/>
  <c r="K92" i="3"/>
  <c r="J93" i="3"/>
  <c r="E20" i="4" l="1"/>
  <c r="G47" i="4"/>
  <c r="G46" i="4" s="1"/>
  <c r="G45" i="4" s="1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D52" i="4" l="1"/>
  <c r="D53" i="4"/>
  <c r="F20" i="4"/>
  <c r="E21" i="4"/>
  <c r="E52" i="4" s="1"/>
  <c r="E53" i="4" s="1"/>
  <c r="E22" i="4" l="1"/>
  <c r="F52" i="4" s="1"/>
  <c r="F53" i="4" s="1"/>
  <c r="F21" i="4"/>
  <c r="E23" i="4" l="1"/>
  <c r="G52" i="4" s="1"/>
  <c r="G53" i="4" s="1"/>
  <c r="F22" i="4"/>
  <c r="E24" i="4" l="1"/>
  <c r="H52" i="4" s="1"/>
  <c r="H53" i="4" s="1"/>
  <c r="F23" i="4"/>
  <c r="E25" i="4" l="1"/>
  <c r="I52" i="4" s="1"/>
  <c r="I53" i="4" s="1"/>
  <c r="F24" i="4"/>
  <c r="E26" i="4" l="1"/>
  <c r="J52" i="4" s="1"/>
  <c r="J53" i="4" s="1"/>
  <c r="F25" i="4"/>
  <c r="E27" i="4" l="1"/>
  <c r="K52" i="4" s="1"/>
  <c r="K53" i="4" s="1"/>
  <c r="F26" i="4"/>
  <c r="E28" i="4" l="1"/>
  <c r="L52" i="4" s="1"/>
  <c r="L53" i="4" s="1"/>
  <c r="F27" i="4"/>
  <c r="E29" i="4" l="1"/>
  <c r="M52" i="4" s="1"/>
  <c r="M53" i="4" s="1"/>
  <c r="F28" i="4"/>
  <c r="E30" i="4" l="1"/>
  <c r="N52" i="4" s="1"/>
  <c r="N53" i="4" s="1"/>
  <c r="F29" i="4"/>
  <c r="E31" i="4" l="1"/>
  <c r="O52" i="4" s="1"/>
  <c r="O53" i="4" s="1"/>
  <c r="F30" i="4"/>
  <c r="E32" i="4" l="1"/>
  <c r="P52" i="4" s="1"/>
  <c r="P53" i="4" s="1"/>
  <c r="F31" i="4"/>
  <c r="E33" i="4" l="1"/>
  <c r="Q52" i="4" s="1"/>
  <c r="Q53" i="4" s="1"/>
  <c r="F32" i="4"/>
  <c r="E34" i="4" l="1"/>
  <c r="R52" i="4" s="1"/>
  <c r="R53" i="4" s="1"/>
  <c r="F33" i="4"/>
  <c r="E35" i="4" l="1"/>
  <c r="S52" i="4" s="1"/>
  <c r="S53" i="4" s="1"/>
  <c r="F34" i="4"/>
  <c r="E36" i="4" l="1"/>
  <c r="T52" i="4" s="1"/>
  <c r="T53" i="4" s="1"/>
  <c r="F35" i="4"/>
  <c r="E37" i="4" l="1"/>
  <c r="U52" i="4" s="1"/>
  <c r="U53" i="4" s="1"/>
  <c r="F36" i="4"/>
  <c r="E38" i="4" l="1"/>
  <c r="V52" i="4" s="1"/>
  <c r="V53" i="4" s="1"/>
  <c r="F37" i="4"/>
  <c r="E39" i="4" l="1"/>
  <c r="W52" i="4" s="1"/>
  <c r="W53" i="4" s="1"/>
  <c r="F38" i="4"/>
  <c r="E40" i="4" l="1"/>
  <c r="X52" i="4" s="1"/>
  <c r="X53" i="4" s="1"/>
  <c r="F39" i="4"/>
  <c r="E41" i="4" l="1"/>
  <c r="Y52" i="4" s="1"/>
  <c r="Y53" i="4" s="1"/>
  <c r="F40" i="4"/>
  <c r="E42" i="4" l="1"/>
  <c r="Z52" i="4" s="1"/>
  <c r="Z53" i="4" s="1"/>
  <c r="F41" i="4"/>
  <c r="E43" i="4" l="1"/>
  <c r="AA52" i="4" s="1"/>
  <c r="AA53" i="4" s="1"/>
  <c r="F42" i="4"/>
  <c r="E44" i="4" l="1"/>
  <c r="AB52" i="4" s="1"/>
  <c r="AB53" i="4" s="1"/>
  <c r="F43" i="4"/>
  <c r="E45" i="4" l="1"/>
  <c r="F44" i="4"/>
  <c r="AC52" i="4" l="1"/>
  <c r="AC53" i="4" s="1"/>
  <c r="E46" i="4"/>
  <c r="F45" i="4"/>
  <c r="AD52" i="4" l="1"/>
  <c r="AD53" i="4" s="1"/>
  <c r="E47" i="4"/>
  <c r="F46" i="4"/>
  <c r="AE52" i="4" l="1"/>
  <c r="AE53" i="4" s="1"/>
  <c r="F47" i="4"/>
  <c r="E48" i="4"/>
  <c r="AF52" i="4" l="1"/>
  <c r="AF53" i="4" s="1"/>
  <c r="F48" i="4"/>
</calcChain>
</file>

<file path=xl/sharedStrings.xml><?xml version="1.0" encoding="utf-8"?>
<sst xmlns="http://schemas.openxmlformats.org/spreadsheetml/2006/main" count="1038" uniqueCount="360">
  <si>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</si>
  <si>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</si>
  <si>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</si>
  <si>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</si>
  <si>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</si>
  <si>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</si>
  <si>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</si>
  <si>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</si>
  <si>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</si>
  <si>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</si>
  <si>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</si>
  <si>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</si>
  <si>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</si>
  <si>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</si>
  <si>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</si>
  <si>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</si>
  <si>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</si>
  <si>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</si>
  <si>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</si>
  <si>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</si>
  <si>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</si>
  <si>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</si>
  <si>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</si>
  <si>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</si>
  <si>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</si>
  <si>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</si>
  <si>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</si>
  <si>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</si>
  <si>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</si>
  <si>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</si>
  <si>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</si>
  <si>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</si>
  <si>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</si>
  <si>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</si>
  <si>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</si>
  <si>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</si>
  <si>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</si>
  <si>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</si>
  <si>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</si>
  <si>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</si>
  <si>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</si>
  <si>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</si>
  <si>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</si>
  <si>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</si>
  <si>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</si>
  <si>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</si>
  <si>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</si>
  <si>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</si>
  <si>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Mean</t>
  </si>
  <si>
    <t>Sample StdDev</t>
  </si>
  <si>
    <t>Flush</t>
  </si>
  <si>
    <t>ml</t>
  </si>
  <si>
    <t>Sample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</si>
  <si>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</si>
  <si>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</si>
  <si>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</si>
  <si>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</si>
  <si>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portion</t>
  </si>
  <si>
    <t>11171-00011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</si>
  <si>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</t>
    </r>
  </si>
  <si>
    <t>counts</t>
  </si>
  <si>
    <t>Averaged</t>
  </si>
  <si>
    <t>Dq % (&lt;11%)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</si>
  <si>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</si>
  <si>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</si>
  <si>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</si>
  <si>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</si>
  <si>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</si>
  <si>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</si>
  <si>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</si>
  <si>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</si>
  <si>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</si>
  <si>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ENABLED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</si>
  <si>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</si>
  <si>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</si>
  <si>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</si>
  <si>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</si>
  <si>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</si>
  <si>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</si>
  <si>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</si>
  <si>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correction threshold</t>
  </si>
  <si>
    <t>correction factor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</si>
  <si>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</si>
  <si>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</si>
  <si>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</si>
  <si>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</si>
  <si>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</si>
  <si>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</si>
  <si>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</si>
  <si>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</si>
  <si>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</si>
  <si>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</si>
  <si>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</si>
  <si>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</si>
  <si>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</si>
  <si>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4μm/100ml</t>
  </si>
  <si>
    <t>Actual</t>
  </si>
  <si>
    <t>RM8632a</t>
  </si>
  <si>
    <t>Line 0-40%</t>
  </si>
  <si>
    <t>fraction</t>
  </si>
  <si>
    <t>Regression Model</t>
  </si>
  <si>
    <t>Linear</t>
  </si>
  <si>
    <t>Power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</si>
  <si>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</si>
  <si>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</si>
  <si>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</si>
  <si>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</si>
  <si>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</si>
  <si>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</si>
  <si>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</si>
  <si>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</si>
  <si>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</si>
  <si>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</si>
  <si>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</si>
  <si>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</si>
  <si>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</si>
  <si>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</si>
  <si>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</si>
  <si>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</si>
  <si>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</si>
  <si>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</si>
  <si>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</si>
  <si>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</si>
  <si>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Bottle Sampler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</si>
  <si>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</si>
  <si>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</si>
  <si>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</si>
  <si>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</si>
  <si>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</si>
  <si>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</si>
  <si>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</si>
  <si>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</si>
  <si>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</si>
  <si>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</si>
  <si>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Thresholds to Load into Instrument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</si>
  <si>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</si>
  <si>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</si>
  <si>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</si>
  <si>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</si>
  <si>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</si>
  <si>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</si>
  <si>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</si>
  <si>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</si>
  <si>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</si>
  <si>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</si>
  <si>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</si>
  <si>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</si>
  <si>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</si>
  <si>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</si>
  <si>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</si>
  <si>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</si>
  <si>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</si>
  <si>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</si>
  <si>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</si>
  <si>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</si>
  <si>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</si>
  <si>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</si>
  <si>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</si>
  <si>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</si>
  <si>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</si>
  <si>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</si>
  <si>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</si>
  <si>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</si>
  <si>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</si>
  <si>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</si>
  <si>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</si>
  <si>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</si>
  <si>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</si>
  <si>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</si>
  <si>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</si>
  <si>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</si>
  <si>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</si>
  <si>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</si>
  <si>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</si>
  <si>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</si>
  <si>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</si>
  <si>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</si>
  <si>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</si>
  <si>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</si>
  <si>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</si>
  <si>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</si>
  <si>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</si>
  <si>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</si>
  <si>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</si>
  <si>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</si>
  <si>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</si>
  <si>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</si>
  <si>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</si>
  <si>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</si>
  <si>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</si>
  <si>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</si>
  <si>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</si>
  <si>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t>Uncertainty
S</t>
  </si>
  <si>
    <t xml:space="preserve"> Particle Size</t>
  </si>
  <si>
    <t>Interpolated Threshold Voltage Setting</t>
  </si>
  <si>
    <t>Dilution</t>
  </si>
  <si>
    <t>mV</t>
  </si>
  <si>
    <t>samples</t>
  </si>
  <si>
    <t xml:space="preserve">µm(c) 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</si>
  <si>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</si>
  <si>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</si>
  <si>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</si>
  <si>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</si>
  <si>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</si>
  <si>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</si>
  <si>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</si>
  <si>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</si>
  <si>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</si>
  <si>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</si>
  <si>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</si>
  <si>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</si>
  <si>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</si>
  <si>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</si>
  <si>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</si>
  <si>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</si>
  <si>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</si>
  <si>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</si>
  <si>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</si>
  <si>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</si>
  <si>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</si>
  <si>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</si>
  <si>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</si>
  <si>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</si>
  <si>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</si>
  <si>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</si>
  <si>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</si>
  <si>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</si>
  <si>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</si>
  <si>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</si>
  <si>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</si>
  <si>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</si>
  <si>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</si>
  <si>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</si>
  <si>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</si>
  <si>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</si>
  <si>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</si>
  <si>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</si>
  <si>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</si>
  <si>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</si>
  <si>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</si>
  <si>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</si>
  <si>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</si>
  <si>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</si>
  <si>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</si>
  <si>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</si>
  <si>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</si>
  <si>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</si>
  <si>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</si>
  <si>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</si>
  <si>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</si>
  <si>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</si>
  <si>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</si>
  <si>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</si>
  <si>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</si>
  <si>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</si>
  <si>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</si>
  <si>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</si>
  <si>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</si>
  <si>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</si>
  <si>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</si>
  <si>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</si>
  <si>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</si>
  <si>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</si>
  <si>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</si>
  <si>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</si>
  <si>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</si>
  <si>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</si>
  <si>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</si>
  <si>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</si>
  <si>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</si>
  <si>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</si>
  <si>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</si>
  <si>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</si>
  <si>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</si>
  <si>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</si>
  <si>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</si>
  <si>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</si>
  <si>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</si>
  <si>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</si>
  <si>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</si>
  <si>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</si>
  <si>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</si>
  <si>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</si>
  <si>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</si>
  <si>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</si>
  <si>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</si>
  <si>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</si>
  <si>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</si>
  <si>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</si>
  <si>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</si>
  <si>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</si>
  <si>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</si>
  <si>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</si>
  <si>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</si>
  <si>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</si>
  <si>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</si>
  <si>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Annex C - Flow Rate</t>
  </si>
  <si>
    <t>Wanted fluid volume ml</t>
  </si>
  <si>
    <t>Clean fluid to add</t>
  </si>
  <si>
    <t>Total Fluid Programmed</t>
  </si>
  <si>
    <t>Final Measured Weight</t>
  </si>
  <si>
    <t>REF CTR</t>
  </si>
  <si>
    <t>11171-00002</t>
  </si>
  <si>
    <t>BS500 HP</t>
  </si>
  <si>
    <t>20'C</t>
  </si>
  <si>
    <t>Initial Fluid Weight</t>
  </si>
  <si>
    <t>Initial Fluid Volume</t>
  </si>
  <si>
    <t>Volume Sampling Accuracy</t>
  </si>
  <si>
    <t>Label</t>
  </si>
  <si>
    <t>Threshold</t>
  </si>
  <si>
    <t>Initial Threshold</t>
  </si>
  <si>
    <t>All 30 reported thresholds can be used for constructing a calibration curve</t>
  </si>
  <si>
    <r>
      <rPr>
        <sz val="10"/>
        <color rgb="FF006600"/>
        <rFont val="Arial"/>
        <family val="2"/>
      </rPr>
      <t>Cv</t>
    </r>
    <r>
      <rPr>
        <vertAlign val="subscript"/>
        <sz val="10"/>
        <color rgb="FF006600"/>
        <rFont val="Arial"/>
        <family val="2"/>
      </rPr>
      <t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>SIGNAL_10</t>
    </r>
    <r>
      <rPr>
        <sz val="10"/>
        <color rgb="FF006600"/>
        <rFont val="Arial"/>
        <family val="2"/>
      </rPr>
      <t xml:space="preserve"> &lt; +/-32%
</t>
    </r>
  </si>
  <si>
    <t>dsp.height</t>
  </si>
  <si>
    <t>Max/2</t>
  </si>
  <si>
    <t>μm certified mean diamater</t>
  </si>
  <si>
    <t>Firmware</t>
  </si>
  <si>
    <t>Concentration / ml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</si>
  <si>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</si>
  <si>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</si>
  <si>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Boxcar_n</t>
  </si>
  <si>
    <t>Flow</t>
  </si>
  <si>
    <t>ml/min</t>
  </si>
  <si>
    <t>Detection Threshold</t>
  </si>
  <si>
    <t>ADU</t>
  </si>
  <si>
    <t>Volume scanned</t>
  </si>
  <si>
    <t>Total Sample</t>
  </si>
  <si>
    <t>Initial Concentration</t>
  </si>
  <si>
    <t>Final Concentration</t>
  </si>
  <si>
    <t>Spheres sized</t>
  </si>
  <si>
    <t>Expected spheres</t>
  </si>
  <si>
    <t>Histogram Spheres</t>
  </si>
  <si>
    <t>Proportion</t>
  </si>
  <si>
    <t>Counted</t>
  </si>
  <si>
    <t>REFERENCE COUNTER</t>
  </si>
  <si>
    <t>Dulution</t>
  </si>
  <si>
    <r>
      <t>D</t>
    </r>
    <r>
      <rPr>
        <vertAlign val="subscript"/>
        <sz val="10"/>
        <rFont val="Arial"/>
        <family val="2"/>
      </rPr>
      <t>R</t>
    </r>
  </si>
  <si>
    <t>B1</t>
  </si>
  <si>
    <t>B2</t>
  </si>
  <si>
    <t>B3</t>
  </si>
  <si>
    <t>Ref Fluid</t>
  </si>
  <si>
    <t>Diluent to add</t>
  </si>
  <si>
    <t>Diluent Added</t>
  </si>
  <si>
    <t>Target Concentration</t>
  </si>
  <si>
    <t>Reference Fluid Dilution</t>
  </si>
  <si>
    <t>Ref Fluid to Add</t>
  </si>
  <si>
    <t>Density</t>
  </si>
  <si>
    <t>Reference Distribution</t>
  </si>
  <si>
    <t xml:space="preserve">Mean X̅N </t>
  </si>
  <si>
    <r>
      <t>Bottle 1 X̅</t>
    </r>
    <r>
      <rPr>
        <vertAlign val="subscript"/>
        <sz val="10"/>
        <rFont val="Arial"/>
        <family val="2"/>
      </rPr>
      <t>N</t>
    </r>
  </si>
  <si>
    <r>
      <t>Bottle 2 X̅</t>
    </r>
    <r>
      <rPr>
        <vertAlign val="subscript"/>
        <sz val="10"/>
        <rFont val="Arial"/>
        <family val="2"/>
      </rPr>
      <t>N</t>
    </r>
  </si>
  <si>
    <r>
      <t>Bottle 3 X̅</t>
    </r>
    <r>
      <rPr>
        <vertAlign val="subscript"/>
        <sz val="10"/>
        <rFont val="Arial"/>
        <family val="2"/>
      </rPr>
      <t>N</t>
    </r>
  </si>
  <si>
    <t>Interpolated Thresholds for Reference Distribution Calibration</t>
  </si>
  <si>
    <t>Interpolated Threshold Setting</t>
  </si>
  <si>
    <t>PSL SPHERES CALIBRATION</t>
  </si>
  <si>
    <t>B0</t>
  </si>
  <si>
    <t>Size</t>
  </si>
  <si>
    <t>BS500 HP 5000327</t>
  </si>
  <si>
    <t>REFERENCE</t>
  </si>
  <si>
    <t>SRM2806d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</si>
</sst>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"/>
    <numFmt numFmtId="166" formatCode="0.0"/>
    <numFmt numFmtId="167" formatCode="0.0%"/>
    <numFmt numFmtId="168" formatCode="0.000E+00"/>
  </numFmts>
  <fonts count="31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  <font>
      <sz val="11"/>
      <color rgb="FF3F3F76"/>
      <name val="Arial"/>
      <family val="2"/>
      <scheme val="minor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vertAlign val="subscript"/>
      <sz val="10"/>
      <color rgb="FF006600"/>
      <name val="Arial"/>
      <family val="2"/>
    </font>
    <font>
      <sz val="20"/>
      <name val="Arial Black"/>
      <family val="2"/>
    </font>
    <font>
      <sz val="10"/>
      <color theme="1"/>
      <name val="Arial"/>
      <family val="2"/>
      <scheme val="minor"/>
    </font>
    <font>
      <sz val="10"/>
      <name val="Arial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E7E7E7"/>
        <bgColor rgb="FFDDDDDD"/>
      </patternFill>
    </fill>
    <fill>
      <patternFill patternType="solid">
        <fgColor rgb="FFE4F2FC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E0FFFF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0" fontId="20" fillId="2" borderId="0" applyBorder="0" applyAlignment="0" applyProtection="0"/>
    <xf numFmtId="0" fontId="23" fillId="9" borderId="16" applyNumberFormat="0" applyAlignment="0" applyProtection="0"/>
    <xf numFmtId="0" fontId="1" fillId="10" borderId="0" applyNumberFormat="0" applyBorder="0" applyAlignment="0" applyProtection="0"/>
    <xf numFmtId="0" fontId="25" fillId="0" borderId="0"/>
  </cellStyleXfs>
  <cellXfs count="190"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0" fontId="2" fillId="3" borderId="0" xfId="0" applyFont="1" applyFill="1" applyAlignment="1">
      <alignment wrapText="1"/>
    </xf>
    <xf numFmtId="0" fontId="2" fillId="3" borderId="0" xfId="0" applyFon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164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right"/>
    </xf>
    <xf numFmtId="0" fontId="7" fillId="0" borderId="2" xfId="0" applyFont="1" applyBorder="1"/>
    <xf numFmtId="10" fontId="5" fillId="0" borderId="0" xfId="0" applyNumberFormat="1" applyFont="1"/>
    <xf numFmtId="0" fontId="7" fillId="0" borderId="3" xfId="0" applyFont="1" applyBorder="1"/>
    <xf numFmtId="0" fontId="7" fillId="0" borderId="4" xfId="0" applyFont="1" applyBorder="1"/>
    <xf numFmtId="1" fontId="5" fillId="0" borderId="0" xfId="0" applyNumberFormat="1" applyFont="1"/>
    <xf numFmtId="0" fontId="5" fillId="0" borderId="1" xfId="0" applyFont="1" applyBorder="1"/>
    <xf numFmtId="0" fontId="7" fillId="0" borderId="1" xfId="0" applyFont="1" applyBorder="1"/>
    <xf numFmtId="2" fontId="5" fillId="4" borderId="1" xfId="0" applyNumberFormat="1" applyFont="1" applyFill="1" applyBorder="1" applyAlignment="1">
      <alignment horizontal="right"/>
    </xf>
    <xf numFmtId="10" fontId="5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5" fillId="0" borderId="0" xfId="0" applyNumberFormat="1" applyFont="1"/>
    <xf numFmtId="1" fontId="2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9" fillId="0" borderId="0" xfId="0" applyFont="1"/>
    <xf numFmtId="164" fontId="2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2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2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2" fillId="0" borderId="0" xfId="0" applyNumberFormat="1" applyFont="1"/>
    <xf numFmtId="11" fontId="0" fillId="0" borderId="0" xfId="0" applyNumberFormat="1"/>
    <xf numFmtId="1" fontId="2" fillId="0" borderId="0" xfId="0" applyNumberFormat="1" applyFont="1"/>
    <xf numFmtId="164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/>
    <xf numFmtId="0" fontId="2" fillId="0" borderId="14" xfId="0" applyFont="1" applyBorder="1"/>
    <xf numFmtId="0" fontId="11" fillId="0" borderId="0" xfId="0" applyFont="1"/>
    <xf numFmtId="0" fontId="2" fillId="0" borderId="2" xfId="0" applyFont="1" applyBorder="1"/>
    <xf numFmtId="164" fontId="2" fillId="0" borderId="3" xfId="0" applyNumberFormat="1" applyFont="1" applyBorder="1"/>
    <xf numFmtId="0" fontId="10" fillId="0" borderId="0" xfId="0" applyFont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 wrapText="1"/>
    </xf>
    <xf numFmtId="166" fontId="2" fillId="0" borderId="0" xfId="0" applyNumberFormat="1" applyFont="1" applyAlignment="1">
      <alignment horizontal="right"/>
    </xf>
    <xf numFmtId="167" fontId="0" fillId="0" borderId="0" xfId="0" applyNumberFormat="1"/>
    <xf numFmtId="166" fontId="2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2" fillId="0" borderId="4" xfId="0" applyFont="1" applyBorder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right"/>
    </xf>
    <xf numFmtId="3" fontId="0" fillId="0" borderId="0" xfId="0" applyNumberFormat="1"/>
    <xf numFmtId="164" fontId="7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2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2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8" fillId="0" borderId="5" xfId="0" applyFont="1" applyBorder="1"/>
    <xf numFmtId="0" fontId="18" fillId="0" borderId="7" xfId="0" applyFont="1" applyBorder="1"/>
    <xf numFmtId="0" fontId="18" fillId="0" borderId="0" xfId="0" applyFont="1"/>
    <xf numFmtId="10" fontId="17" fillId="0" borderId="0" xfId="0" applyNumberFormat="1" applyFont="1"/>
    <xf numFmtId="0" fontId="16" fillId="6" borderId="15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wrapText="1"/>
    </xf>
    <xf numFmtId="0" fontId="19" fillId="0" borderId="0" xfId="0" applyFont="1" applyAlignment="1">
      <alignment vertical="center"/>
    </xf>
    <xf numFmtId="166" fontId="2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2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8" fillId="0" borderId="0" xfId="0" applyNumberFormat="1" applyFont="1"/>
    <xf numFmtId="0" fontId="18" fillId="0" borderId="0" xfId="0" applyFont="1" applyAlignment="1">
      <alignment horizontal="right"/>
    </xf>
    <xf numFmtId="1" fontId="18" fillId="0" borderId="11" xfId="0" applyNumberFormat="1" applyFont="1" applyBorder="1"/>
    <xf numFmtId="1" fontId="0" fillId="0" borderId="11" xfId="0" applyNumberFormat="1" applyBorder="1"/>
    <xf numFmtId="0" fontId="18" fillId="0" borderId="11" xfId="0" applyFont="1" applyBorder="1" applyAlignment="1">
      <alignment horizontal="right"/>
    </xf>
    <xf numFmtId="166" fontId="18" fillId="0" borderId="0" xfId="0" applyNumberFormat="1" applyFont="1"/>
    <xf numFmtId="0" fontId="2" fillId="8" borderId="0" xfId="0" applyFont="1" applyFill="1"/>
    <xf numFmtId="0" fontId="21" fillId="0" borderId="0" xfId="0" applyFont="1"/>
    <xf numFmtId="0" fontId="22" fillId="0" borderId="0" xfId="0" applyFont="1" applyAlignment="1">
      <alignment vertical="center"/>
    </xf>
    <xf numFmtId="0" fontId="20" fillId="2" borderId="0" xfId="1"/>
    <xf numFmtId="1" fontId="2" fillId="0" borderId="13" xfId="0" applyNumberFormat="1" applyFont="1" applyBorder="1"/>
    <xf numFmtId="1" fontId="2" fillId="0" borderId="1" xfId="0" applyNumberFormat="1" applyFont="1" applyBorder="1"/>
    <xf numFmtId="2" fontId="23" fillId="9" borderId="16" xfId="2" applyNumberFormat="1" applyAlignment="1">
      <alignment horizontal="right"/>
    </xf>
    <xf numFmtId="165" fontId="5" fillId="0" borderId="0" xfId="0" applyNumberFormat="1" applyFont="1" applyAlignment="1">
      <alignment horizontal="right"/>
    </xf>
    <xf numFmtId="166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9" borderId="16" xfId="2" applyAlignment="1">
      <alignment horizontal="right"/>
    </xf>
    <xf numFmtId="164" fontId="23" fillId="9" borderId="16" xfId="2" applyNumberFormat="1" applyAlignment="1">
      <alignment horizontal="right"/>
    </xf>
    <xf numFmtId="0" fontId="23" fillId="9" borderId="16" xfId="2"/>
    <xf numFmtId="164" fontId="23" fillId="9" borderId="16" xfId="2" applyNumberFormat="1"/>
    <xf numFmtId="0" fontId="23" fillId="9" borderId="16" xfId="2" applyAlignment="1">
      <alignment horizontal="left" indent="1"/>
    </xf>
    <xf numFmtId="165" fontId="0" fillId="0" borderId="0" xfId="0" applyNumberFormat="1" applyAlignment="1">
      <alignment horizontal="right"/>
    </xf>
    <xf numFmtId="0" fontId="25" fillId="0" borderId="0" xfId="4" applyProtection="1">
      <protection locked="0"/>
    </xf>
    <xf numFmtId="0" fontId="20" fillId="11" borderId="0" xfId="4" applyFont="1" applyFill="1" applyAlignment="1">
      <alignment vertical="center" wrapText="1"/>
    </xf>
    <xf numFmtId="0" fontId="25" fillId="0" borderId="0" xfId="4" applyAlignment="1">
      <alignment vertical="center"/>
    </xf>
    <xf numFmtId="0" fontId="25" fillId="0" borderId="0" xfId="4"/>
    <xf numFmtId="0" fontId="25" fillId="0" borderId="0" xfId="4" applyAlignment="1">
      <alignment horizontal="right"/>
    </xf>
    <xf numFmtId="10" fontId="25" fillId="0" borderId="0" xfId="4" applyNumberFormat="1"/>
    <xf numFmtId="0" fontId="24" fillId="0" borderId="0" xfId="4" applyFont="1"/>
    <xf numFmtId="2" fontId="25" fillId="0" borderId="0" xfId="4" applyNumberFormat="1"/>
    <xf numFmtId="0" fontId="2" fillId="0" borderId="8" xfId="0" applyFont="1" applyBorder="1"/>
    <xf numFmtId="164" fontId="1" fillId="10" borderId="0" xfId="3" applyNumberFormat="1"/>
    <xf numFmtId="0" fontId="1" fillId="10" borderId="0" xfId="3" applyAlignment="1">
      <alignment horizontal="right"/>
    </xf>
    <xf numFmtId="0" fontId="1" fillId="10" borderId="0" xfId="3"/>
    <xf numFmtId="1" fontId="1" fillId="10" borderId="0" xfId="3" applyNumberFormat="1" applyProtection="1">
      <protection locked="0"/>
    </xf>
    <xf numFmtId="0" fontId="1" fillId="10" borderId="5" xfId="3" applyBorder="1" applyProtection="1">
      <protection locked="0"/>
    </xf>
    <xf numFmtId="0" fontId="26" fillId="0" borderId="0" xfId="4" applyFont="1"/>
    <xf numFmtId="165" fontId="2" fillId="0" borderId="0" xfId="0" applyNumberFormat="1" applyFont="1"/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28" fillId="0" borderId="0" xfId="0" applyFont="1"/>
    <xf numFmtId="0" fontId="29" fillId="10" borderId="0" xfId="3" applyFont="1"/>
    <xf numFmtId="0" fontId="24" fillId="0" borderId="0" xfId="0" applyFont="1"/>
    <xf numFmtId="2" fontId="24" fillId="0" borderId="0" xfId="0" applyNumberFormat="1" applyFont="1"/>
    <xf numFmtId="165" fontId="20" fillId="2" borderId="0" xfId="1" applyNumberFormat="1"/>
    <xf numFmtId="0" fontId="0" fillId="0" borderId="0" xfId="0" applyAlignment="1">
      <alignment horizontal="right" wrapText="1"/>
    </xf>
    <xf numFmtId="0" fontId="0" fillId="0" borderId="17" xfId="0" applyBorder="1"/>
    <xf numFmtId="166" fontId="0" fillId="0" borderId="17" xfId="0" applyNumberFormat="1" applyBorder="1"/>
    <xf numFmtId="1" fontId="0" fillId="0" borderId="17" xfId="0" applyNumberFormat="1" applyBorder="1"/>
    <xf numFmtId="0" fontId="0" fillId="0" borderId="18" xfId="0" applyBorder="1"/>
    <xf numFmtId="166" fontId="0" fillId="0" borderId="18" xfId="0" applyNumberFormat="1" applyBorder="1"/>
    <xf numFmtId="1" fontId="0" fillId="0" borderId="18" xfId="0" applyNumberFormat="1" applyBorder="1"/>
    <xf numFmtId="0" fontId="0" fillId="0" borderId="17" xfId="0" applyBorder="1" applyAlignment="1">
      <alignment horizontal="right" wrapText="1"/>
    </xf>
    <xf numFmtId="0" fontId="2" fillId="0" borderId="17" xfId="0" applyFont="1" applyBorder="1" applyAlignment="1">
      <alignment horizontal="right"/>
    </xf>
    <xf numFmtId="0" fontId="2" fillId="0" borderId="17" xfId="0" applyFont="1" applyBorder="1" applyAlignment="1">
      <alignment horizontal="right" wrapText="1"/>
    </xf>
    <xf numFmtId="166" fontId="0" fillId="7" borderId="17" xfId="0" applyNumberFormat="1" applyFill="1" applyBorder="1"/>
    <xf numFmtId="166" fontId="0" fillId="7" borderId="0" xfId="0" applyNumberFormat="1" applyFill="1"/>
    <xf numFmtId="166" fontId="0" fillId="7" borderId="18" xfId="0" applyNumberFormat="1" applyFill="1" applyBorder="1"/>
    <xf numFmtId="0" fontId="0" fillId="0" borderId="18" xfId="0" applyBorder="1" applyAlignment="1">
      <alignment horizontal="right" wrapText="1"/>
    </xf>
    <xf numFmtId="1" fontId="20" fillId="2" borderId="17" xfId="1" applyNumberFormat="1" applyBorder="1"/>
    <xf numFmtId="1" fontId="20" fillId="2" borderId="0" xfId="1" applyNumberFormat="1" applyBorder="1"/>
    <xf numFmtId="1" fontId="20" fillId="2" borderId="18" xfId="1" applyNumberFormat="1" applyBorder="1"/>
    <xf numFmtId="0" fontId="30" fillId="0" borderId="0" xfId="0" applyFont="1"/>
    <xf numFmtId="0" fontId="0" fillId="0" borderId="17" xfId="0" applyBorder="1" applyAlignment="1">
      <alignment horizontal="center" wrapText="1"/>
    </xf>
    <xf numFmtId="0" fontId="1" fillId="10" borderId="6" xfId="3" applyBorder="1"/>
    <xf numFmtId="0" fontId="4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10" fillId="0" borderId="0" xfId="0" applyFont="1" applyAlignment="1">
      <alignment horizontal="left" vertical="center"/>
    </xf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6" borderId="15" xfId="0" applyFill="1" applyBorder="1" applyAlignment="1">
      <alignment wrapText="1"/>
    </xf>
    <xf numFmtId="0" fontId="4" fillId="0" borderId="0" xfId="0" applyFont="1" applyAlignment="1">
      <alignment horizontal="left" vertical="center" wrapText="1"/>
    </xf>
    <xf numFmtId="0" fontId="25" fillId="0" borderId="0" xfId="4" applyAlignment="1">
      <alignment vertical="center" wrapText="1"/>
    </xf>
    <xf numFmtId="0" fontId="0" fillId="0" borderId="0" xfId="0" applyAlignment="1">
      <alignment vertical="center" wrapText="1"/>
    </xf>
  </cellXfs>
  <cellStyles count="5">
    <cellStyle name="20% - Accent2" xfId="3" builtinId="34"/>
    <cellStyle name="Good" xfId="1" xr:uid="{00000000-0005-0000-0000-000006000000}"/>
    <cellStyle name="Input" xfId="2" builtinId="20" customBuiltin="1"/>
    <cellStyle name="Normal" xfId="0" builtinId="0"/>
    <cellStyle name="Normal 2" xfId="4" xr:uid="{D0440DFE-71FC-4B0F-923F-69821FA8148B}"/>
  </cellStyles>
  <dxfs count="30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4F2FC"/>
      <color rgb="FFE8F1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Limit'!$G$22:$G$37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Limit'!$L$21:$L$21</c15:sqref>
                        </c15:formulaRef>
                      </c:ext>
                    </c:extLst>
                    <c:strCache>
                      <c:ptCount val="1"/>
                      <c:pt idx="0">
                        <c:v>corrected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Limit'!$K$22:$K$37</c:f>
              <c:numCache>
                <c:formatCode>General</c:formatCode>
                <c:ptCount val="32"/>
                <c:pt idx="16">
                  <c:v>0.95</c:v>
                </c:pt>
                <c:pt idx="17">
                  <c:v>148655.463751551</c:v>
                </c:pt>
                <c:pt idx="18">
                  <c:v>297059.35241786198</c:v>
                </c:pt>
                <c:pt idx="19">
                  <c:v>445212.30408360198</c:v>
                </c:pt>
                <c:pt idx="20">
                  <c:v>593114.95467737794</c:v>
                </c:pt>
                <c:pt idx="21">
                  <c:v>740767.93798083905</c:v>
                </c:pt>
                <c:pt idx="22">
                  <c:v>888171.88563772396</c:v>
                </c:pt>
                <c:pt idx="23">
                  <c:v>1035327.4271628699</c:v>
                </c:pt>
                <c:pt idx="24">
                  <c:v>1182235.18995119</c:v>
                </c:pt>
                <c:pt idx="25">
                  <c:v>1328895.7992865399</c:v>
                </c:pt>
                <c:pt idx="26">
                  <c:v>1475309.87835067</c:v>
                </c:pt>
                <c:pt idx="27">
                  <c:v>1621478.04823196</c:v>
                </c:pt>
                <c:pt idx="28">
                  <c:v>1767400.9279342799</c:v>
                </c:pt>
                <c:pt idx="29">
                  <c:v>1913079.1343856901</c:v>
                </c:pt>
                <c:pt idx="30">
                  <c:v>2058513.2824471199</c:v>
                </c:pt>
                <c:pt idx="31">
                  <c:v>2203703.98492106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Limit'!$K$21:$K$21</c15:sqref>
                        </c15:formulaRef>
                      </c:ext>
                    </c:extLst>
                    <c:strCache>
                      <c:ptCount val="1"/>
                      <c:pt idx="0">
                        <c:v>95%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Limit'!$I$22:$I$37</c:f>
              <c:numCache>
                <c:formatCode>General</c:formatCode>
                <c:ptCount val="32"/>
                <c:pt idx="16">
                  <c:v>1</c:v>
                </c:pt>
                <c:pt idx="17">
                  <c:v>156479.43552794799</c:v>
                </c:pt>
                <c:pt idx="18">
                  <c:v>312694.05517669697</c:v>
                </c:pt>
                <c:pt idx="19">
                  <c:v>468644.53061431798</c:v>
                </c:pt>
                <c:pt idx="20">
                  <c:v>624331.53123934602</c:v>
                </c:pt>
                <c:pt idx="21">
                  <c:v>779755.72419035702</c:v>
                </c:pt>
                <c:pt idx="22">
                  <c:v>934917.77435549896</c:v>
                </c:pt>
                <c:pt idx="23">
                  <c:v>1089818.3443819699</c:v>
                </c:pt>
                <c:pt idx="24">
                  <c:v>1244458.09468546</c:v>
                </c:pt>
                <c:pt idx="25">
                  <c:v>1398837.6834595201</c:v>
                </c:pt>
                <c:pt idx="26">
                  <c:v>1552957.76668491</c:v>
                </c:pt>
                <c:pt idx="27">
                  <c:v>1706818.9981389099</c:v>
                </c:pt>
                <c:pt idx="28">
                  <c:v>1860422.02940451</c:v>
                </c:pt>
                <c:pt idx="29">
                  <c:v>2013767.5098796701</c:v>
                </c:pt>
                <c:pt idx="30">
                  <c:v>2166856.0867864401</c:v>
                </c:pt>
                <c:pt idx="31">
                  <c:v>2319688.4051800598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Limit'!$I$21:$I$21</c15:sqref>
                        </c15:formulaRef>
                      </c:ext>
                    </c:extLst>
                    <c:strCache>
                      <c:ptCount val="1"/>
                      <c:pt idx="0">
                        <c:v>Line 0-40%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1.00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Limit'!$M$22:$M$22</c:f>
              <c:numCache>
                <c:formatCode>General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Limit'!$M$22:$M$37</c:f>
              <c:numCache>
                <c:formatCode>General</c:formatCode>
                <c:ptCount val="32"/>
                <c:pt idx="16">
                  <c:v>1</c:v>
                </c:pt>
                <c:pt idx="17">
                  <c:v>1.01337916682143</c:v>
                </c:pt>
                <c:pt idx="18">
                  <c:v>1.0101439242953001</c:v>
                </c:pt>
                <c:pt idx="19">
                  <c:v>1.00522244307956</c:v>
                </c:pt>
                <c:pt idx="20">
                  <c:v>0.99367238231344301</c:v>
                </c:pt>
                <c:pt idx="21">
                  <c:v>0.97506049191168298</c:v>
                </c:pt>
                <c:pt idx="22">
                  <c:v>0.98660120205315904</c:v>
                </c:pt>
                <c:pt idx="23">
                  <c:v>0.99378488679614496</c:v>
                </c:pt>
                <c:pt idx="24">
                  <c:v>0.99974439100294399</c:v>
                </c:pt>
                <c:pt idx="25">
                  <c:v>1.0062139565178001</c:v>
                </c:pt>
                <c:pt idx="26">
                  <c:v>1.0062244019267299</c:v>
                </c:pt>
                <c:pt idx="27">
                  <c:v>1.0038516104333599</c:v>
                </c:pt>
                <c:pt idx="28">
                  <c:v>1.0068715433344899</c:v>
                </c:pt>
                <c:pt idx="29">
                  <c:v>1.00800464305897</c:v>
                </c:pt>
                <c:pt idx="30">
                  <c:v>1.0140945738850899</c:v>
                </c:pt>
                <c:pt idx="31">
                  <c:v>1.0031274005610999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2582071948103"/>
          <c:h val="7.1466071662947897E-2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69.7</c:v>
                </c:pt>
              </c:numCache>
            </c:numRef>
          </c:xVal>
          <c:yVal>
            <c:numRef>
              <c:f>'6 - Calibration Curve'!$D$5:$D$34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25089.304131116369</c:v>
                </c:pt>
                <c:pt idx="28">
                  <c:v>39999.881580996342</c:v>
                </c:pt>
                <c:pt idx="29">
                  <c:v>59300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'Annex D Resolution'!$M$1</c:f>
              <c:strCache>
                <c:ptCount val="1"/>
                <c:pt idx="0">
                  <c:v>dsp.height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3</c:v>
                </c:pt>
                <c:pt idx="301">
                  <c:v>1</c:v>
                </c:pt>
                <c:pt idx="302">
                  <c:v>7</c:v>
                </c:pt>
                <c:pt idx="303">
                  <c:v>4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4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1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4</c:v>
                </c:pt>
                <c:pt idx="318">
                  <c:v>4</c:v>
                </c:pt>
                <c:pt idx="319">
                  <c:v>6</c:v>
                </c:pt>
                <c:pt idx="320">
                  <c:v>3</c:v>
                </c:pt>
                <c:pt idx="321">
                  <c:v>2</c:v>
                </c:pt>
                <c:pt idx="322">
                  <c:v>8</c:v>
                </c:pt>
                <c:pt idx="323">
                  <c:v>1</c:v>
                </c:pt>
                <c:pt idx="324">
                  <c:v>2</c:v>
                </c:pt>
                <c:pt idx="325">
                  <c:v>8</c:v>
                </c:pt>
                <c:pt idx="326">
                  <c:v>1</c:v>
                </c:pt>
                <c:pt idx="327">
                  <c:v>10</c:v>
                </c:pt>
                <c:pt idx="328">
                  <c:v>5</c:v>
                </c:pt>
                <c:pt idx="329">
                  <c:v>6</c:v>
                </c:pt>
                <c:pt idx="330">
                  <c:v>4</c:v>
                </c:pt>
                <c:pt idx="331">
                  <c:v>2</c:v>
                </c:pt>
                <c:pt idx="332">
                  <c:v>6</c:v>
                </c:pt>
                <c:pt idx="333">
                  <c:v>7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6</c:v>
                </c:pt>
                <c:pt idx="338">
                  <c:v>7</c:v>
                </c:pt>
                <c:pt idx="339">
                  <c:v>3</c:v>
                </c:pt>
                <c:pt idx="340">
                  <c:v>9</c:v>
                </c:pt>
                <c:pt idx="341">
                  <c:v>4</c:v>
                </c:pt>
                <c:pt idx="342">
                  <c:v>12</c:v>
                </c:pt>
                <c:pt idx="343">
                  <c:v>4</c:v>
                </c:pt>
                <c:pt idx="344">
                  <c:v>9</c:v>
                </c:pt>
                <c:pt idx="345">
                  <c:v>6</c:v>
                </c:pt>
                <c:pt idx="346">
                  <c:v>7</c:v>
                </c:pt>
                <c:pt idx="347">
                  <c:v>12</c:v>
                </c:pt>
                <c:pt idx="348">
                  <c:v>12</c:v>
                </c:pt>
                <c:pt idx="349">
                  <c:v>7</c:v>
                </c:pt>
                <c:pt idx="350">
                  <c:v>12</c:v>
                </c:pt>
                <c:pt idx="351">
                  <c:v>6</c:v>
                </c:pt>
                <c:pt idx="352">
                  <c:v>10</c:v>
                </c:pt>
                <c:pt idx="353">
                  <c:v>11</c:v>
                </c:pt>
                <c:pt idx="354">
                  <c:v>8</c:v>
                </c:pt>
                <c:pt idx="355">
                  <c:v>13</c:v>
                </c:pt>
                <c:pt idx="356">
                  <c:v>6</c:v>
                </c:pt>
                <c:pt idx="357">
                  <c:v>10</c:v>
                </c:pt>
                <c:pt idx="358">
                  <c:v>6</c:v>
                </c:pt>
                <c:pt idx="359">
                  <c:v>12</c:v>
                </c:pt>
                <c:pt idx="360">
                  <c:v>10</c:v>
                </c:pt>
                <c:pt idx="361">
                  <c:v>7</c:v>
                </c:pt>
                <c:pt idx="362">
                  <c:v>23</c:v>
                </c:pt>
                <c:pt idx="363">
                  <c:v>15</c:v>
                </c:pt>
                <c:pt idx="364">
                  <c:v>23</c:v>
                </c:pt>
                <c:pt idx="365">
                  <c:v>11</c:v>
                </c:pt>
                <c:pt idx="366">
                  <c:v>8</c:v>
                </c:pt>
                <c:pt idx="367">
                  <c:v>13</c:v>
                </c:pt>
                <c:pt idx="368">
                  <c:v>17</c:v>
                </c:pt>
                <c:pt idx="369">
                  <c:v>28</c:v>
                </c:pt>
                <c:pt idx="370">
                  <c:v>19</c:v>
                </c:pt>
                <c:pt idx="371">
                  <c:v>16</c:v>
                </c:pt>
                <c:pt idx="372">
                  <c:v>17</c:v>
                </c:pt>
                <c:pt idx="373">
                  <c:v>18</c:v>
                </c:pt>
                <c:pt idx="374">
                  <c:v>25</c:v>
                </c:pt>
                <c:pt idx="375">
                  <c:v>25</c:v>
                </c:pt>
                <c:pt idx="376">
                  <c:v>24</c:v>
                </c:pt>
                <c:pt idx="377">
                  <c:v>24</c:v>
                </c:pt>
                <c:pt idx="378">
                  <c:v>25</c:v>
                </c:pt>
                <c:pt idx="379">
                  <c:v>23</c:v>
                </c:pt>
                <c:pt idx="380">
                  <c:v>24</c:v>
                </c:pt>
                <c:pt idx="381">
                  <c:v>30</c:v>
                </c:pt>
                <c:pt idx="382">
                  <c:v>25</c:v>
                </c:pt>
                <c:pt idx="383">
                  <c:v>32</c:v>
                </c:pt>
                <c:pt idx="384">
                  <c:v>36</c:v>
                </c:pt>
                <c:pt idx="385">
                  <c:v>35</c:v>
                </c:pt>
                <c:pt idx="386">
                  <c:v>37</c:v>
                </c:pt>
                <c:pt idx="387">
                  <c:v>37</c:v>
                </c:pt>
                <c:pt idx="388">
                  <c:v>40</c:v>
                </c:pt>
                <c:pt idx="389">
                  <c:v>40</c:v>
                </c:pt>
                <c:pt idx="390">
                  <c:v>56</c:v>
                </c:pt>
                <c:pt idx="391">
                  <c:v>48</c:v>
                </c:pt>
                <c:pt idx="392">
                  <c:v>57</c:v>
                </c:pt>
                <c:pt idx="393">
                  <c:v>43</c:v>
                </c:pt>
                <c:pt idx="394">
                  <c:v>50</c:v>
                </c:pt>
                <c:pt idx="395">
                  <c:v>60</c:v>
                </c:pt>
                <c:pt idx="396">
                  <c:v>61</c:v>
                </c:pt>
                <c:pt idx="397">
                  <c:v>67</c:v>
                </c:pt>
                <c:pt idx="398">
                  <c:v>70</c:v>
                </c:pt>
                <c:pt idx="399">
                  <c:v>63</c:v>
                </c:pt>
                <c:pt idx="400">
                  <c:v>58</c:v>
                </c:pt>
                <c:pt idx="401">
                  <c:v>65</c:v>
                </c:pt>
                <c:pt idx="402">
                  <c:v>61</c:v>
                </c:pt>
                <c:pt idx="403">
                  <c:v>79</c:v>
                </c:pt>
                <c:pt idx="404">
                  <c:v>69</c:v>
                </c:pt>
                <c:pt idx="405">
                  <c:v>68</c:v>
                </c:pt>
                <c:pt idx="406">
                  <c:v>80</c:v>
                </c:pt>
                <c:pt idx="407">
                  <c:v>90</c:v>
                </c:pt>
                <c:pt idx="408">
                  <c:v>90</c:v>
                </c:pt>
                <c:pt idx="409">
                  <c:v>88</c:v>
                </c:pt>
                <c:pt idx="410">
                  <c:v>112</c:v>
                </c:pt>
                <c:pt idx="411">
                  <c:v>100</c:v>
                </c:pt>
                <c:pt idx="412">
                  <c:v>108</c:v>
                </c:pt>
                <c:pt idx="413">
                  <c:v>96</c:v>
                </c:pt>
                <c:pt idx="414">
                  <c:v>100</c:v>
                </c:pt>
                <c:pt idx="415">
                  <c:v>119</c:v>
                </c:pt>
                <c:pt idx="416">
                  <c:v>122</c:v>
                </c:pt>
                <c:pt idx="417">
                  <c:v>117</c:v>
                </c:pt>
                <c:pt idx="418">
                  <c:v>117</c:v>
                </c:pt>
                <c:pt idx="419">
                  <c:v>133</c:v>
                </c:pt>
                <c:pt idx="420">
                  <c:v>133</c:v>
                </c:pt>
                <c:pt idx="421">
                  <c:v>119</c:v>
                </c:pt>
                <c:pt idx="422">
                  <c:v>135</c:v>
                </c:pt>
                <c:pt idx="423">
                  <c:v>139</c:v>
                </c:pt>
                <c:pt idx="424">
                  <c:v>156</c:v>
                </c:pt>
                <c:pt idx="425">
                  <c:v>151</c:v>
                </c:pt>
                <c:pt idx="426">
                  <c:v>172</c:v>
                </c:pt>
                <c:pt idx="427">
                  <c:v>170</c:v>
                </c:pt>
                <c:pt idx="428">
                  <c:v>177</c:v>
                </c:pt>
                <c:pt idx="429">
                  <c:v>156</c:v>
                </c:pt>
                <c:pt idx="430">
                  <c:v>181</c:v>
                </c:pt>
                <c:pt idx="431">
                  <c:v>181</c:v>
                </c:pt>
                <c:pt idx="432">
                  <c:v>202</c:v>
                </c:pt>
                <c:pt idx="433">
                  <c:v>190</c:v>
                </c:pt>
                <c:pt idx="434">
                  <c:v>189</c:v>
                </c:pt>
                <c:pt idx="435">
                  <c:v>197</c:v>
                </c:pt>
                <c:pt idx="436">
                  <c:v>207</c:v>
                </c:pt>
                <c:pt idx="437">
                  <c:v>202</c:v>
                </c:pt>
                <c:pt idx="438">
                  <c:v>198</c:v>
                </c:pt>
                <c:pt idx="439">
                  <c:v>260</c:v>
                </c:pt>
                <c:pt idx="440">
                  <c:v>237</c:v>
                </c:pt>
                <c:pt idx="441">
                  <c:v>259</c:v>
                </c:pt>
                <c:pt idx="442">
                  <c:v>263</c:v>
                </c:pt>
                <c:pt idx="443">
                  <c:v>258</c:v>
                </c:pt>
                <c:pt idx="444">
                  <c:v>267</c:v>
                </c:pt>
                <c:pt idx="445">
                  <c:v>271</c:v>
                </c:pt>
                <c:pt idx="446">
                  <c:v>272</c:v>
                </c:pt>
                <c:pt idx="447">
                  <c:v>263</c:v>
                </c:pt>
                <c:pt idx="448">
                  <c:v>285</c:v>
                </c:pt>
                <c:pt idx="449">
                  <c:v>308</c:v>
                </c:pt>
                <c:pt idx="450">
                  <c:v>309</c:v>
                </c:pt>
                <c:pt idx="451">
                  <c:v>321</c:v>
                </c:pt>
                <c:pt idx="452">
                  <c:v>314</c:v>
                </c:pt>
                <c:pt idx="453">
                  <c:v>381</c:v>
                </c:pt>
                <c:pt idx="454">
                  <c:v>325</c:v>
                </c:pt>
                <c:pt idx="455">
                  <c:v>328</c:v>
                </c:pt>
                <c:pt idx="456">
                  <c:v>355</c:v>
                </c:pt>
                <c:pt idx="457">
                  <c:v>353</c:v>
                </c:pt>
                <c:pt idx="458">
                  <c:v>342</c:v>
                </c:pt>
                <c:pt idx="459">
                  <c:v>367</c:v>
                </c:pt>
                <c:pt idx="460">
                  <c:v>345</c:v>
                </c:pt>
                <c:pt idx="461">
                  <c:v>346</c:v>
                </c:pt>
                <c:pt idx="462">
                  <c:v>373</c:v>
                </c:pt>
                <c:pt idx="463">
                  <c:v>389</c:v>
                </c:pt>
                <c:pt idx="464">
                  <c:v>362</c:v>
                </c:pt>
                <c:pt idx="465">
                  <c:v>391</c:v>
                </c:pt>
                <c:pt idx="466">
                  <c:v>378</c:v>
                </c:pt>
                <c:pt idx="467">
                  <c:v>388</c:v>
                </c:pt>
                <c:pt idx="468">
                  <c:v>384</c:v>
                </c:pt>
                <c:pt idx="469">
                  <c:v>385</c:v>
                </c:pt>
                <c:pt idx="470">
                  <c:v>442</c:v>
                </c:pt>
                <c:pt idx="471">
                  <c:v>404</c:v>
                </c:pt>
                <c:pt idx="472">
                  <c:v>400</c:v>
                </c:pt>
                <c:pt idx="473">
                  <c:v>454</c:v>
                </c:pt>
                <c:pt idx="474">
                  <c:v>431</c:v>
                </c:pt>
                <c:pt idx="475">
                  <c:v>428</c:v>
                </c:pt>
                <c:pt idx="476">
                  <c:v>391</c:v>
                </c:pt>
                <c:pt idx="477">
                  <c:v>449</c:v>
                </c:pt>
                <c:pt idx="478">
                  <c:v>463</c:v>
                </c:pt>
                <c:pt idx="479">
                  <c:v>444</c:v>
                </c:pt>
                <c:pt idx="480">
                  <c:v>465</c:v>
                </c:pt>
                <c:pt idx="481">
                  <c:v>451</c:v>
                </c:pt>
                <c:pt idx="482">
                  <c:v>441</c:v>
                </c:pt>
                <c:pt idx="483">
                  <c:v>446</c:v>
                </c:pt>
                <c:pt idx="484">
                  <c:v>487</c:v>
                </c:pt>
                <c:pt idx="485">
                  <c:v>465</c:v>
                </c:pt>
                <c:pt idx="486">
                  <c:v>457</c:v>
                </c:pt>
                <c:pt idx="487">
                  <c:v>496</c:v>
                </c:pt>
                <c:pt idx="488">
                  <c:v>508</c:v>
                </c:pt>
                <c:pt idx="489">
                  <c:v>482</c:v>
                </c:pt>
                <c:pt idx="490">
                  <c:v>481</c:v>
                </c:pt>
                <c:pt idx="491">
                  <c:v>526</c:v>
                </c:pt>
                <c:pt idx="492">
                  <c:v>436</c:v>
                </c:pt>
                <c:pt idx="493">
                  <c:v>477</c:v>
                </c:pt>
                <c:pt idx="494">
                  <c:v>483</c:v>
                </c:pt>
                <c:pt idx="495">
                  <c:v>489</c:v>
                </c:pt>
                <c:pt idx="496">
                  <c:v>490</c:v>
                </c:pt>
                <c:pt idx="497">
                  <c:v>473</c:v>
                </c:pt>
                <c:pt idx="498">
                  <c:v>476</c:v>
                </c:pt>
                <c:pt idx="499">
                  <c:v>515</c:v>
                </c:pt>
                <c:pt idx="500">
                  <c:v>452</c:v>
                </c:pt>
                <c:pt idx="501">
                  <c:v>502</c:v>
                </c:pt>
                <c:pt idx="502">
                  <c:v>484</c:v>
                </c:pt>
                <c:pt idx="503">
                  <c:v>445</c:v>
                </c:pt>
                <c:pt idx="504">
                  <c:v>461</c:v>
                </c:pt>
                <c:pt idx="505">
                  <c:v>491</c:v>
                </c:pt>
                <c:pt idx="506">
                  <c:v>495</c:v>
                </c:pt>
                <c:pt idx="507">
                  <c:v>475</c:v>
                </c:pt>
                <c:pt idx="508">
                  <c:v>480</c:v>
                </c:pt>
                <c:pt idx="509">
                  <c:v>492</c:v>
                </c:pt>
                <c:pt idx="510">
                  <c:v>465</c:v>
                </c:pt>
                <c:pt idx="511">
                  <c:v>480</c:v>
                </c:pt>
                <c:pt idx="512">
                  <c:v>498</c:v>
                </c:pt>
                <c:pt idx="513">
                  <c:v>495</c:v>
                </c:pt>
                <c:pt idx="514">
                  <c:v>439</c:v>
                </c:pt>
                <c:pt idx="515">
                  <c:v>450</c:v>
                </c:pt>
                <c:pt idx="516">
                  <c:v>471</c:v>
                </c:pt>
                <c:pt idx="517">
                  <c:v>468</c:v>
                </c:pt>
                <c:pt idx="518">
                  <c:v>474</c:v>
                </c:pt>
                <c:pt idx="519">
                  <c:v>479</c:v>
                </c:pt>
                <c:pt idx="520">
                  <c:v>491</c:v>
                </c:pt>
                <c:pt idx="521">
                  <c:v>468</c:v>
                </c:pt>
                <c:pt idx="522">
                  <c:v>430</c:v>
                </c:pt>
                <c:pt idx="523">
                  <c:v>473</c:v>
                </c:pt>
                <c:pt idx="524">
                  <c:v>450</c:v>
                </c:pt>
                <c:pt idx="525">
                  <c:v>445</c:v>
                </c:pt>
                <c:pt idx="526">
                  <c:v>468</c:v>
                </c:pt>
                <c:pt idx="527">
                  <c:v>431</c:v>
                </c:pt>
                <c:pt idx="528">
                  <c:v>428</c:v>
                </c:pt>
                <c:pt idx="529">
                  <c:v>418</c:v>
                </c:pt>
                <c:pt idx="530">
                  <c:v>443</c:v>
                </c:pt>
                <c:pt idx="531">
                  <c:v>446</c:v>
                </c:pt>
                <c:pt idx="532">
                  <c:v>420</c:v>
                </c:pt>
                <c:pt idx="533">
                  <c:v>447</c:v>
                </c:pt>
                <c:pt idx="534">
                  <c:v>473</c:v>
                </c:pt>
                <c:pt idx="535">
                  <c:v>448</c:v>
                </c:pt>
                <c:pt idx="536">
                  <c:v>379</c:v>
                </c:pt>
                <c:pt idx="537">
                  <c:v>400</c:v>
                </c:pt>
                <c:pt idx="538">
                  <c:v>417</c:v>
                </c:pt>
                <c:pt idx="539">
                  <c:v>392</c:v>
                </c:pt>
                <c:pt idx="540">
                  <c:v>366</c:v>
                </c:pt>
                <c:pt idx="541">
                  <c:v>379</c:v>
                </c:pt>
                <c:pt idx="542">
                  <c:v>372</c:v>
                </c:pt>
                <c:pt idx="543">
                  <c:v>387</c:v>
                </c:pt>
                <c:pt idx="544">
                  <c:v>342</c:v>
                </c:pt>
                <c:pt idx="545">
                  <c:v>352</c:v>
                </c:pt>
                <c:pt idx="546">
                  <c:v>339</c:v>
                </c:pt>
                <c:pt idx="547">
                  <c:v>336</c:v>
                </c:pt>
                <c:pt idx="548">
                  <c:v>318</c:v>
                </c:pt>
                <c:pt idx="549">
                  <c:v>348</c:v>
                </c:pt>
                <c:pt idx="550">
                  <c:v>362</c:v>
                </c:pt>
                <c:pt idx="551">
                  <c:v>337</c:v>
                </c:pt>
                <c:pt idx="552">
                  <c:v>334</c:v>
                </c:pt>
                <c:pt idx="553">
                  <c:v>334</c:v>
                </c:pt>
                <c:pt idx="554">
                  <c:v>330</c:v>
                </c:pt>
                <c:pt idx="555">
                  <c:v>333</c:v>
                </c:pt>
                <c:pt idx="556">
                  <c:v>315</c:v>
                </c:pt>
                <c:pt idx="557">
                  <c:v>260</c:v>
                </c:pt>
                <c:pt idx="558">
                  <c:v>290</c:v>
                </c:pt>
                <c:pt idx="559">
                  <c:v>305</c:v>
                </c:pt>
                <c:pt idx="560">
                  <c:v>302</c:v>
                </c:pt>
                <c:pt idx="561">
                  <c:v>305</c:v>
                </c:pt>
                <c:pt idx="562">
                  <c:v>263</c:v>
                </c:pt>
                <c:pt idx="563">
                  <c:v>273</c:v>
                </c:pt>
                <c:pt idx="564">
                  <c:v>253</c:v>
                </c:pt>
                <c:pt idx="565">
                  <c:v>277</c:v>
                </c:pt>
                <c:pt idx="566">
                  <c:v>259</c:v>
                </c:pt>
                <c:pt idx="567">
                  <c:v>270</c:v>
                </c:pt>
                <c:pt idx="568">
                  <c:v>254</c:v>
                </c:pt>
                <c:pt idx="569">
                  <c:v>248</c:v>
                </c:pt>
                <c:pt idx="570">
                  <c:v>243</c:v>
                </c:pt>
                <c:pt idx="571">
                  <c:v>235</c:v>
                </c:pt>
                <c:pt idx="572">
                  <c:v>221</c:v>
                </c:pt>
                <c:pt idx="573">
                  <c:v>254</c:v>
                </c:pt>
                <c:pt idx="574">
                  <c:v>225</c:v>
                </c:pt>
                <c:pt idx="575">
                  <c:v>212</c:v>
                </c:pt>
                <c:pt idx="576">
                  <c:v>216</c:v>
                </c:pt>
                <c:pt idx="577">
                  <c:v>213</c:v>
                </c:pt>
                <c:pt idx="578">
                  <c:v>187</c:v>
                </c:pt>
                <c:pt idx="579">
                  <c:v>206</c:v>
                </c:pt>
                <c:pt idx="580">
                  <c:v>185</c:v>
                </c:pt>
                <c:pt idx="581">
                  <c:v>208</c:v>
                </c:pt>
                <c:pt idx="582">
                  <c:v>191</c:v>
                </c:pt>
                <c:pt idx="583">
                  <c:v>185</c:v>
                </c:pt>
                <c:pt idx="584">
                  <c:v>193</c:v>
                </c:pt>
                <c:pt idx="585">
                  <c:v>171</c:v>
                </c:pt>
                <c:pt idx="586">
                  <c:v>177</c:v>
                </c:pt>
                <c:pt idx="587">
                  <c:v>175</c:v>
                </c:pt>
                <c:pt idx="588">
                  <c:v>154</c:v>
                </c:pt>
                <c:pt idx="589">
                  <c:v>169</c:v>
                </c:pt>
                <c:pt idx="590">
                  <c:v>179</c:v>
                </c:pt>
                <c:pt idx="591">
                  <c:v>164</c:v>
                </c:pt>
                <c:pt idx="592">
                  <c:v>172</c:v>
                </c:pt>
                <c:pt idx="593">
                  <c:v>133</c:v>
                </c:pt>
                <c:pt idx="594">
                  <c:v>168</c:v>
                </c:pt>
                <c:pt idx="595">
                  <c:v>135</c:v>
                </c:pt>
                <c:pt idx="596">
                  <c:v>141</c:v>
                </c:pt>
                <c:pt idx="597">
                  <c:v>121</c:v>
                </c:pt>
                <c:pt idx="598">
                  <c:v>145</c:v>
                </c:pt>
                <c:pt idx="599">
                  <c:v>134</c:v>
                </c:pt>
                <c:pt idx="600">
                  <c:v>132</c:v>
                </c:pt>
                <c:pt idx="601">
                  <c:v>141</c:v>
                </c:pt>
                <c:pt idx="602">
                  <c:v>111</c:v>
                </c:pt>
                <c:pt idx="603">
                  <c:v>114</c:v>
                </c:pt>
                <c:pt idx="604">
                  <c:v>131</c:v>
                </c:pt>
                <c:pt idx="605">
                  <c:v>97</c:v>
                </c:pt>
                <c:pt idx="606">
                  <c:v>115</c:v>
                </c:pt>
                <c:pt idx="607">
                  <c:v>114</c:v>
                </c:pt>
                <c:pt idx="608">
                  <c:v>98</c:v>
                </c:pt>
                <c:pt idx="609">
                  <c:v>99</c:v>
                </c:pt>
                <c:pt idx="610">
                  <c:v>86</c:v>
                </c:pt>
                <c:pt idx="611">
                  <c:v>90</c:v>
                </c:pt>
                <c:pt idx="612">
                  <c:v>104</c:v>
                </c:pt>
                <c:pt idx="613">
                  <c:v>97</c:v>
                </c:pt>
                <c:pt idx="614">
                  <c:v>76</c:v>
                </c:pt>
                <c:pt idx="615">
                  <c:v>79</c:v>
                </c:pt>
                <c:pt idx="616">
                  <c:v>87</c:v>
                </c:pt>
                <c:pt idx="617">
                  <c:v>93</c:v>
                </c:pt>
                <c:pt idx="618">
                  <c:v>62</c:v>
                </c:pt>
                <c:pt idx="619">
                  <c:v>74</c:v>
                </c:pt>
                <c:pt idx="620">
                  <c:v>73</c:v>
                </c:pt>
                <c:pt idx="621">
                  <c:v>80</c:v>
                </c:pt>
                <c:pt idx="622">
                  <c:v>79</c:v>
                </c:pt>
                <c:pt idx="623">
                  <c:v>48</c:v>
                </c:pt>
                <c:pt idx="624">
                  <c:v>86</c:v>
                </c:pt>
                <c:pt idx="625">
                  <c:v>71</c:v>
                </c:pt>
                <c:pt idx="626">
                  <c:v>61</c:v>
                </c:pt>
                <c:pt idx="627">
                  <c:v>62</c:v>
                </c:pt>
                <c:pt idx="628">
                  <c:v>44</c:v>
                </c:pt>
                <c:pt idx="629">
                  <c:v>57</c:v>
                </c:pt>
                <c:pt idx="630">
                  <c:v>59</c:v>
                </c:pt>
                <c:pt idx="631">
                  <c:v>55</c:v>
                </c:pt>
                <c:pt idx="632">
                  <c:v>49</c:v>
                </c:pt>
                <c:pt idx="633">
                  <c:v>46</c:v>
                </c:pt>
                <c:pt idx="634">
                  <c:v>51</c:v>
                </c:pt>
                <c:pt idx="635">
                  <c:v>54</c:v>
                </c:pt>
                <c:pt idx="636">
                  <c:v>55</c:v>
                </c:pt>
                <c:pt idx="637">
                  <c:v>42</c:v>
                </c:pt>
                <c:pt idx="638">
                  <c:v>40</c:v>
                </c:pt>
                <c:pt idx="639">
                  <c:v>35</c:v>
                </c:pt>
                <c:pt idx="640">
                  <c:v>39</c:v>
                </c:pt>
                <c:pt idx="641">
                  <c:v>51</c:v>
                </c:pt>
                <c:pt idx="642">
                  <c:v>37</c:v>
                </c:pt>
                <c:pt idx="643">
                  <c:v>30</c:v>
                </c:pt>
                <c:pt idx="644">
                  <c:v>38</c:v>
                </c:pt>
                <c:pt idx="645">
                  <c:v>44</c:v>
                </c:pt>
                <c:pt idx="646">
                  <c:v>31</c:v>
                </c:pt>
                <c:pt idx="647">
                  <c:v>42</c:v>
                </c:pt>
                <c:pt idx="648">
                  <c:v>33</c:v>
                </c:pt>
                <c:pt idx="649">
                  <c:v>33</c:v>
                </c:pt>
                <c:pt idx="650">
                  <c:v>31</c:v>
                </c:pt>
                <c:pt idx="651">
                  <c:v>29</c:v>
                </c:pt>
                <c:pt idx="652">
                  <c:v>29</c:v>
                </c:pt>
                <c:pt idx="653">
                  <c:v>16</c:v>
                </c:pt>
                <c:pt idx="654">
                  <c:v>33</c:v>
                </c:pt>
                <c:pt idx="655">
                  <c:v>24</c:v>
                </c:pt>
                <c:pt idx="656">
                  <c:v>24</c:v>
                </c:pt>
                <c:pt idx="657">
                  <c:v>28</c:v>
                </c:pt>
                <c:pt idx="658">
                  <c:v>18</c:v>
                </c:pt>
                <c:pt idx="659">
                  <c:v>21</c:v>
                </c:pt>
                <c:pt idx="660">
                  <c:v>21</c:v>
                </c:pt>
                <c:pt idx="661">
                  <c:v>28</c:v>
                </c:pt>
                <c:pt idx="662">
                  <c:v>29</c:v>
                </c:pt>
                <c:pt idx="663">
                  <c:v>11</c:v>
                </c:pt>
                <c:pt idx="664">
                  <c:v>12</c:v>
                </c:pt>
                <c:pt idx="665">
                  <c:v>16</c:v>
                </c:pt>
                <c:pt idx="666">
                  <c:v>16</c:v>
                </c:pt>
                <c:pt idx="667">
                  <c:v>10</c:v>
                </c:pt>
                <c:pt idx="668">
                  <c:v>19</c:v>
                </c:pt>
                <c:pt idx="669">
                  <c:v>9</c:v>
                </c:pt>
                <c:pt idx="670">
                  <c:v>15</c:v>
                </c:pt>
                <c:pt idx="671">
                  <c:v>12</c:v>
                </c:pt>
                <c:pt idx="672">
                  <c:v>21</c:v>
                </c:pt>
                <c:pt idx="673">
                  <c:v>10</c:v>
                </c:pt>
                <c:pt idx="674">
                  <c:v>19</c:v>
                </c:pt>
                <c:pt idx="675">
                  <c:v>12</c:v>
                </c:pt>
                <c:pt idx="676">
                  <c:v>13</c:v>
                </c:pt>
                <c:pt idx="677">
                  <c:v>14</c:v>
                </c:pt>
                <c:pt idx="678">
                  <c:v>13</c:v>
                </c:pt>
                <c:pt idx="679">
                  <c:v>12</c:v>
                </c:pt>
                <c:pt idx="680">
                  <c:v>12</c:v>
                </c:pt>
                <c:pt idx="681">
                  <c:v>5</c:v>
                </c:pt>
                <c:pt idx="682">
                  <c:v>8</c:v>
                </c:pt>
                <c:pt idx="683">
                  <c:v>11</c:v>
                </c:pt>
                <c:pt idx="684">
                  <c:v>17</c:v>
                </c:pt>
                <c:pt idx="685">
                  <c:v>13</c:v>
                </c:pt>
                <c:pt idx="686">
                  <c:v>11</c:v>
                </c:pt>
                <c:pt idx="687">
                  <c:v>7</c:v>
                </c:pt>
                <c:pt idx="688">
                  <c:v>10</c:v>
                </c:pt>
                <c:pt idx="689">
                  <c:v>7</c:v>
                </c:pt>
                <c:pt idx="690">
                  <c:v>3</c:v>
                </c:pt>
                <c:pt idx="691">
                  <c:v>11</c:v>
                </c:pt>
                <c:pt idx="692">
                  <c:v>4</c:v>
                </c:pt>
                <c:pt idx="693">
                  <c:v>5</c:v>
                </c:pt>
                <c:pt idx="694">
                  <c:v>4</c:v>
                </c:pt>
                <c:pt idx="695">
                  <c:v>6</c:v>
                </c:pt>
                <c:pt idx="696">
                  <c:v>4</c:v>
                </c:pt>
                <c:pt idx="697">
                  <c:v>6</c:v>
                </c:pt>
                <c:pt idx="698">
                  <c:v>10</c:v>
                </c:pt>
                <c:pt idx="699">
                  <c:v>7</c:v>
                </c:pt>
                <c:pt idx="700">
                  <c:v>5</c:v>
                </c:pt>
                <c:pt idx="701">
                  <c:v>3</c:v>
                </c:pt>
                <c:pt idx="702">
                  <c:v>12</c:v>
                </c:pt>
                <c:pt idx="703">
                  <c:v>5</c:v>
                </c:pt>
                <c:pt idx="704">
                  <c:v>2</c:v>
                </c:pt>
                <c:pt idx="705">
                  <c:v>4</c:v>
                </c:pt>
                <c:pt idx="706">
                  <c:v>6</c:v>
                </c:pt>
                <c:pt idx="707">
                  <c:v>7</c:v>
                </c:pt>
                <c:pt idx="708">
                  <c:v>2</c:v>
                </c:pt>
                <c:pt idx="709">
                  <c:v>7</c:v>
                </c:pt>
                <c:pt idx="710">
                  <c:v>4</c:v>
                </c:pt>
                <c:pt idx="711">
                  <c:v>8</c:v>
                </c:pt>
                <c:pt idx="712">
                  <c:v>3</c:v>
                </c:pt>
                <c:pt idx="713">
                  <c:v>2</c:v>
                </c:pt>
                <c:pt idx="714">
                  <c:v>3</c:v>
                </c:pt>
                <c:pt idx="715">
                  <c:v>8</c:v>
                </c:pt>
                <c:pt idx="716">
                  <c:v>4</c:v>
                </c:pt>
                <c:pt idx="717">
                  <c:v>4</c:v>
                </c:pt>
                <c:pt idx="718">
                  <c:v>7</c:v>
                </c:pt>
                <c:pt idx="719">
                  <c:v>6</c:v>
                </c:pt>
                <c:pt idx="720">
                  <c:v>6</c:v>
                </c:pt>
                <c:pt idx="721">
                  <c:v>5</c:v>
                </c:pt>
                <c:pt idx="722">
                  <c:v>0</c:v>
                </c:pt>
                <c:pt idx="723">
                  <c:v>4</c:v>
                </c:pt>
                <c:pt idx="724">
                  <c:v>3</c:v>
                </c:pt>
                <c:pt idx="725">
                  <c:v>0</c:v>
                </c:pt>
                <c:pt idx="726">
                  <c:v>4</c:v>
                </c:pt>
                <c:pt idx="727">
                  <c:v>3</c:v>
                </c:pt>
                <c:pt idx="728">
                  <c:v>2</c:v>
                </c:pt>
                <c:pt idx="729">
                  <c:v>6</c:v>
                </c:pt>
                <c:pt idx="730">
                  <c:v>2</c:v>
                </c:pt>
                <c:pt idx="731">
                  <c:v>3</c:v>
                </c:pt>
                <c:pt idx="732">
                  <c:v>2</c:v>
                </c:pt>
                <c:pt idx="733">
                  <c:v>3</c:v>
                </c:pt>
                <c:pt idx="734">
                  <c:v>5</c:v>
                </c:pt>
                <c:pt idx="735">
                  <c:v>4</c:v>
                </c:pt>
                <c:pt idx="736">
                  <c:v>3</c:v>
                </c:pt>
                <c:pt idx="737">
                  <c:v>4</c:v>
                </c:pt>
                <c:pt idx="738">
                  <c:v>1</c:v>
                </c:pt>
                <c:pt idx="739">
                  <c:v>3</c:v>
                </c:pt>
                <c:pt idx="740">
                  <c:v>4</c:v>
                </c:pt>
                <c:pt idx="741">
                  <c:v>4</c:v>
                </c:pt>
                <c:pt idx="742">
                  <c:v>2</c:v>
                </c:pt>
                <c:pt idx="743">
                  <c:v>2</c:v>
                </c:pt>
                <c:pt idx="744">
                  <c:v>5</c:v>
                </c:pt>
                <c:pt idx="745">
                  <c:v>2</c:v>
                </c:pt>
                <c:pt idx="746">
                  <c:v>2</c:v>
                </c:pt>
                <c:pt idx="747">
                  <c:v>4</c:v>
                </c:pt>
                <c:pt idx="748">
                  <c:v>9</c:v>
                </c:pt>
                <c:pt idx="749">
                  <c:v>4</c:v>
                </c:pt>
                <c:pt idx="750">
                  <c:v>6</c:v>
                </c:pt>
                <c:pt idx="751">
                  <c:v>7</c:v>
                </c:pt>
                <c:pt idx="752">
                  <c:v>3</c:v>
                </c:pt>
                <c:pt idx="753">
                  <c:v>2</c:v>
                </c:pt>
                <c:pt idx="754">
                  <c:v>6</c:v>
                </c:pt>
                <c:pt idx="755">
                  <c:v>3</c:v>
                </c:pt>
                <c:pt idx="756">
                  <c:v>4</c:v>
                </c:pt>
                <c:pt idx="757">
                  <c:v>2</c:v>
                </c:pt>
                <c:pt idx="758">
                  <c:v>1</c:v>
                </c:pt>
                <c:pt idx="759">
                  <c:v>2</c:v>
                </c:pt>
                <c:pt idx="760">
                  <c:v>1</c:v>
                </c:pt>
                <c:pt idx="761">
                  <c:v>2</c:v>
                </c:pt>
                <c:pt idx="762">
                  <c:v>1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1</c:v>
                </c:pt>
                <c:pt idx="767">
                  <c:v>3</c:v>
                </c:pt>
                <c:pt idx="768">
                  <c:v>3</c:v>
                </c:pt>
                <c:pt idx="769">
                  <c:v>5</c:v>
                </c:pt>
                <c:pt idx="770">
                  <c:v>0</c:v>
                </c:pt>
                <c:pt idx="771">
                  <c:v>3</c:v>
                </c:pt>
                <c:pt idx="772">
                  <c:v>4</c:v>
                </c:pt>
                <c:pt idx="773">
                  <c:v>5</c:v>
                </c:pt>
                <c:pt idx="774">
                  <c:v>1</c:v>
                </c:pt>
                <c:pt idx="775">
                  <c:v>5</c:v>
                </c:pt>
                <c:pt idx="776">
                  <c:v>5</c:v>
                </c:pt>
                <c:pt idx="777">
                  <c:v>2</c:v>
                </c:pt>
                <c:pt idx="778">
                  <c:v>6</c:v>
                </c:pt>
                <c:pt idx="779">
                  <c:v>3</c:v>
                </c:pt>
                <c:pt idx="780">
                  <c:v>3</c:v>
                </c:pt>
                <c:pt idx="781">
                  <c:v>4</c:v>
                </c:pt>
                <c:pt idx="782">
                  <c:v>2</c:v>
                </c:pt>
                <c:pt idx="783">
                  <c:v>1</c:v>
                </c:pt>
                <c:pt idx="784">
                  <c:v>2</c:v>
                </c:pt>
                <c:pt idx="785">
                  <c:v>1</c:v>
                </c:pt>
                <c:pt idx="786">
                  <c:v>2</c:v>
                </c:pt>
                <c:pt idx="787">
                  <c:v>2</c:v>
                </c:pt>
                <c:pt idx="788">
                  <c:v>0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</c:v>
                </c:pt>
                <c:pt idx="793">
                  <c:v>2</c:v>
                </c:pt>
                <c:pt idx="794">
                  <c:v>1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5</c:v>
                </c:pt>
                <c:pt idx="799">
                  <c:v>1</c:v>
                </c:pt>
                <c:pt idx="800">
                  <c:v>2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7</c:v>
                </c:pt>
                <c:pt idx="806">
                  <c:v>2</c:v>
                </c:pt>
                <c:pt idx="807">
                  <c:v>2</c:v>
                </c:pt>
                <c:pt idx="808">
                  <c:v>1</c:v>
                </c:pt>
                <c:pt idx="809">
                  <c:v>3</c:v>
                </c:pt>
                <c:pt idx="810">
                  <c:v>6</c:v>
                </c:pt>
                <c:pt idx="811">
                  <c:v>6</c:v>
                </c:pt>
                <c:pt idx="812">
                  <c:v>7</c:v>
                </c:pt>
                <c:pt idx="813">
                  <c:v>1</c:v>
                </c:pt>
                <c:pt idx="814">
                  <c:v>5</c:v>
                </c:pt>
                <c:pt idx="815">
                  <c:v>2</c:v>
                </c:pt>
                <c:pt idx="816">
                  <c:v>5</c:v>
                </c:pt>
                <c:pt idx="817">
                  <c:v>1</c:v>
                </c:pt>
                <c:pt idx="818">
                  <c:v>3</c:v>
                </c:pt>
                <c:pt idx="819">
                  <c:v>4</c:v>
                </c:pt>
                <c:pt idx="820">
                  <c:v>2</c:v>
                </c:pt>
                <c:pt idx="821">
                  <c:v>4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2</c:v>
                </c:pt>
                <c:pt idx="826">
                  <c:v>7</c:v>
                </c:pt>
                <c:pt idx="827">
                  <c:v>3</c:v>
                </c:pt>
                <c:pt idx="828">
                  <c:v>2</c:v>
                </c:pt>
                <c:pt idx="829">
                  <c:v>4</c:v>
                </c:pt>
                <c:pt idx="830">
                  <c:v>4</c:v>
                </c:pt>
                <c:pt idx="831">
                  <c:v>0</c:v>
                </c:pt>
                <c:pt idx="832">
                  <c:v>3</c:v>
                </c:pt>
                <c:pt idx="833">
                  <c:v>2</c:v>
                </c:pt>
                <c:pt idx="834">
                  <c:v>3</c:v>
                </c:pt>
                <c:pt idx="835">
                  <c:v>3</c:v>
                </c:pt>
                <c:pt idx="836">
                  <c:v>6</c:v>
                </c:pt>
                <c:pt idx="837">
                  <c:v>2</c:v>
                </c:pt>
                <c:pt idx="838">
                  <c:v>1</c:v>
                </c:pt>
                <c:pt idx="839">
                  <c:v>2</c:v>
                </c:pt>
                <c:pt idx="840">
                  <c:v>2</c:v>
                </c:pt>
                <c:pt idx="841">
                  <c:v>4</c:v>
                </c:pt>
                <c:pt idx="842">
                  <c:v>3</c:v>
                </c:pt>
                <c:pt idx="843">
                  <c:v>4</c:v>
                </c:pt>
                <c:pt idx="844">
                  <c:v>6</c:v>
                </c:pt>
                <c:pt idx="845">
                  <c:v>4</c:v>
                </c:pt>
                <c:pt idx="846">
                  <c:v>1</c:v>
                </c:pt>
                <c:pt idx="847">
                  <c:v>6</c:v>
                </c:pt>
                <c:pt idx="848">
                  <c:v>2</c:v>
                </c:pt>
                <c:pt idx="849">
                  <c:v>2</c:v>
                </c:pt>
                <c:pt idx="850">
                  <c:v>3</c:v>
                </c:pt>
                <c:pt idx="851">
                  <c:v>1</c:v>
                </c:pt>
                <c:pt idx="852">
                  <c:v>2</c:v>
                </c:pt>
                <c:pt idx="853">
                  <c:v>2</c:v>
                </c:pt>
                <c:pt idx="854">
                  <c:v>1</c:v>
                </c:pt>
                <c:pt idx="855">
                  <c:v>3</c:v>
                </c:pt>
                <c:pt idx="856">
                  <c:v>2</c:v>
                </c:pt>
                <c:pt idx="857">
                  <c:v>5</c:v>
                </c:pt>
                <c:pt idx="858">
                  <c:v>6</c:v>
                </c:pt>
                <c:pt idx="859">
                  <c:v>5</c:v>
                </c:pt>
                <c:pt idx="860">
                  <c:v>3</c:v>
                </c:pt>
                <c:pt idx="861">
                  <c:v>5</c:v>
                </c:pt>
                <c:pt idx="862">
                  <c:v>2</c:v>
                </c:pt>
                <c:pt idx="863">
                  <c:v>5</c:v>
                </c:pt>
                <c:pt idx="864">
                  <c:v>2</c:v>
                </c:pt>
                <c:pt idx="865">
                  <c:v>5</c:v>
                </c:pt>
                <c:pt idx="866">
                  <c:v>4</c:v>
                </c:pt>
                <c:pt idx="867">
                  <c:v>2</c:v>
                </c:pt>
                <c:pt idx="868">
                  <c:v>4</c:v>
                </c:pt>
                <c:pt idx="869">
                  <c:v>3</c:v>
                </c:pt>
                <c:pt idx="870">
                  <c:v>3</c:v>
                </c:pt>
                <c:pt idx="871">
                  <c:v>7</c:v>
                </c:pt>
                <c:pt idx="872">
                  <c:v>2</c:v>
                </c:pt>
                <c:pt idx="873">
                  <c:v>5</c:v>
                </c:pt>
                <c:pt idx="874">
                  <c:v>1</c:v>
                </c:pt>
                <c:pt idx="875">
                  <c:v>3</c:v>
                </c:pt>
                <c:pt idx="876">
                  <c:v>4</c:v>
                </c:pt>
                <c:pt idx="877">
                  <c:v>4</c:v>
                </c:pt>
                <c:pt idx="878">
                  <c:v>1</c:v>
                </c:pt>
                <c:pt idx="879">
                  <c:v>6</c:v>
                </c:pt>
                <c:pt idx="880">
                  <c:v>7</c:v>
                </c:pt>
                <c:pt idx="881">
                  <c:v>5</c:v>
                </c:pt>
                <c:pt idx="882">
                  <c:v>6</c:v>
                </c:pt>
                <c:pt idx="883">
                  <c:v>6</c:v>
                </c:pt>
                <c:pt idx="884">
                  <c:v>3</c:v>
                </c:pt>
                <c:pt idx="885">
                  <c:v>10</c:v>
                </c:pt>
                <c:pt idx="886">
                  <c:v>9</c:v>
                </c:pt>
                <c:pt idx="887">
                  <c:v>4</c:v>
                </c:pt>
                <c:pt idx="888">
                  <c:v>0</c:v>
                </c:pt>
                <c:pt idx="889">
                  <c:v>10</c:v>
                </c:pt>
                <c:pt idx="890">
                  <c:v>3</c:v>
                </c:pt>
                <c:pt idx="891">
                  <c:v>5</c:v>
                </c:pt>
                <c:pt idx="892">
                  <c:v>5</c:v>
                </c:pt>
                <c:pt idx="893">
                  <c:v>2</c:v>
                </c:pt>
                <c:pt idx="894">
                  <c:v>11</c:v>
                </c:pt>
                <c:pt idx="895">
                  <c:v>2</c:v>
                </c:pt>
                <c:pt idx="896">
                  <c:v>3</c:v>
                </c:pt>
                <c:pt idx="897">
                  <c:v>3</c:v>
                </c:pt>
                <c:pt idx="898">
                  <c:v>7</c:v>
                </c:pt>
                <c:pt idx="899">
                  <c:v>2</c:v>
                </c:pt>
                <c:pt idx="900">
                  <c:v>1</c:v>
                </c:pt>
                <c:pt idx="901">
                  <c:v>5</c:v>
                </c:pt>
                <c:pt idx="902">
                  <c:v>3</c:v>
                </c:pt>
                <c:pt idx="903">
                  <c:v>2</c:v>
                </c:pt>
                <c:pt idx="904">
                  <c:v>4</c:v>
                </c:pt>
                <c:pt idx="905">
                  <c:v>3</c:v>
                </c:pt>
                <c:pt idx="906">
                  <c:v>6</c:v>
                </c:pt>
                <c:pt idx="907">
                  <c:v>2</c:v>
                </c:pt>
                <c:pt idx="908">
                  <c:v>7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3</c:v>
                </c:pt>
                <c:pt idx="913">
                  <c:v>3</c:v>
                </c:pt>
                <c:pt idx="914">
                  <c:v>2</c:v>
                </c:pt>
                <c:pt idx="915">
                  <c:v>7</c:v>
                </c:pt>
                <c:pt idx="916">
                  <c:v>4</c:v>
                </c:pt>
                <c:pt idx="917">
                  <c:v>2</c:v>
                </c:pt>
                <c:pt idx="918">
                  <c:v>3</c:v>
                </c:pt>
                <c:pt idx="919">
                  <c:v>5</c:v>
                </c:pt>
                <c:pt idx="920">
                  <c:v>4</c:v>
                </c:pt>
                <c:pt idx="921">
                  <c:v>2</c:v>
                </c:pt>
                <c:pt idx="922">
                  <c:v>5</c:v>
                </c:pt>
                <c:pt idx="923">
                  <c:v>5</c:v>
                </c:pt>
                <c:pt idx="924">
                  <c:v>1</c:v>
                </c:pt>
                <c:pt idx="925">
                  <c:v>0</c:v>
                </c:pt>
                <c:pt idx="926">
                  <c:v>2</c:v>
                </c:pt>
                <c:pt idx="927">
                  <c:v>5</c:v>
                </c:pt>
                <c:pt idx="928">
                  <c:v>6</c:v>
                </c:pt>
                <c:pt idx="929">
                  <c:v>7</c:v>
                </c:pt>
                <c:pt idx="930">
                  <c:v>3</c:v>
                </c:pt>
                <c:pt idx="931">
                  <c:v>3</c:v>
                </c:pt>
                <c:pt idx="932">
                  <c:v>2</c:v>
                </c:pt>
                <c:pt idx="933">
                  <c:v>9</c:v>
                </c:pt>
                <c:pt idx="934">
                  <c:v>5</c:v>
                </c:pt>
                <c:pt idx="935">
                  <c:v>2</c:v>
                </c:pt>
                <c:pt idx="936">
                  <c:v>6</c:v>
                </c:pt>
                <c:pt idx="937">
                  <c:v>4</c:v>
                </c:pt>
                <c:pt idx="938">
                  <c:v>4</c:v>
                </c:pt>
                <c:pt idx="939">
                  <c:v>3</c:v>
                </c:pt>
                <c:pt idx="940">
                  <c:v>4</c:v>
                </c:pt>
                <c:pt idx="941">
                  <c:v>4</c:v>
                </c:pt>
                <c:pt idx="942">
                  <c:v>3</c:v>
                </c:pt>
                <c:pt idx="943">
                  <c:v>4</c:v>
                </c:pt>
                <c:pt idx="944">
                  <c:v>5</c:v>
                </c:pt>
                <c:pt idx="945">
                  <c:v>3</c:v>
                </c:pt>
                <c:pt idx="946">
                  <c:v>3</c:v>
                </c:pt>
                <c:pt idx="947">
                  <c:v>8</c:v>
                </c:pt>
                <c:pt idx="948">
                  <c:v>2</c:v>
                </c:pt>
                <c:pt idx="949">
                  <c:v>9</c:v>
                </c:pt>
                <c:pt idx="950">
                  <c:v>6</c:v>
                </c:pt>
                <c:pt idx="951">
                  <c:v>1</c:v>
                </c:pt>
                <c:pt idx="952">
                  <c:v>2</c:v>
                </c:pt>
                <c:pt idx="953">
                  <c:v>5</c:v>
                </c:pt>
                <c:pt idx="954">
                  <c:v>4</c:v>
                </c:pt>
                <c:pt idx="955">
                  <c:v>1</c:v>
                </c:pt>
                <c:pt idx="956">
                  <c:v>4</c:v>
                </c:pt>
                <c:pt idx="957">
                  <c:v>2</c:v>
                </c:pt>
                <c:pt idx="958">
                  <c:v>2</c:v>
                </c:pt>
                <c:pt idx="959">
                  <c:v>5</c:v>
                </c:pt>
                <c:pt idx="960">
                  <c:v>6</c:v>
                </c:pt>
                <c:pt idx="961">
                  <c:v>3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4</c:v>
                </c:pt>
                <c:pt idx="967">
                  <c:v>4</c:v>
                </c:pt>
                <c:pt idx="968">
                  <c:v>2</c:v>
                </c:pt>
                <c:pt idx="969">
                  <c:v>5</c:v>
                </c:pt>
                <c:pt idx="970">
                  <c:v>4</c:v>
                </c:pt>
                <c:pt idx="971">
                  <c:v>6</c:v>
                </c:pt>
                <c:pt idx="972">
                  <c:v>5</c:v>
                </c:pt>
                <c:pt idx="973">
                  <c:v>2</c:v>
                </c:pt>
                <c:pt idx="974">
                  <c:v>2</c:v>
                </c:pt>
                <c:pt idx="975">
                  <c:v>0</c:v>
                </c:pt>
                <c:pt idx="976">
                  <c:v>2</c:v>
                </c:pt>
                <c:pt idx="977">
                  <c:v>9</c:v>
                </c:pt>
                <c:pt idx="978">
                  <c:v>5</c:v>
                </c:pt>
                <c:pt idx="979">
                  <c:v>2</c:v>
                </c:pt>
                <c:pt idx="980">
                  <c:v>3</c:v>
                </c:pt>
                <c:pt idx="981">
                  <c:v>3</c:v>
                </c:pt>
                <c:pt idx="982">
                  <c:v>2</c:v>
                </c:pt>
                <c:pt idx="983">
                  <c:v>4</c:v>
                </c:pt>
                <c:pt idx="984">
                  <c:v>6</c:v>
                </c:pt>
                <c:pt idx="985">
                  <c:v>2</c:v>
                </c:pt>
                <c:pt idx="986">
                  <c:v>2</c:v>
                </c:pt>
                <c:pt idx="987">
                  <c:v>5</c:v>
                </c:pt>
                <c:pt idx="988">
                  <c:v>3</c:v>
                </c:pt>
                <c:pt idx="989">
                  <c:v>2</c:v>
                </c:pt>
                <c:pt idx="990">
                  <c:v>1</c:v>
                </c:pt>
                <c:pt idx="991">
                  <c:v>6</c:v>
                </c:pt>
                <c:pt idx="992">
                  <c:v>0</c:v>
                </c:pt>
                <c:pt idx="993">
                  <c:v>5</c:v>
                </c:pt>
                <c:pt idx="994">
                  <c:v>2</c:v>
                </c:pt>
                <c:pt idx="995">
                  <c:v>4</c:v>
                </c:pt>
                <c:pt idx="996">
                  <c:v>3</c:v>
                </c:pt>
                <c:pt idx="997">
                  <c:v>3</c:v>
                </c:pt>
                <c:pt idx="998">
                  <c:v>7</c:v>
                </c:pt>
                <c:pt idx="999">
                  <c:v>4</c:v>
                </c:pt>
                <c:pt idx="100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7-4033-BB2B-972C92FEFAA3}"/>
            </c:ext>
          </c:extLst>
        </c:ser>
        <c:ser>
          <c:idx val="1"/>
          <c:order val="1"/>
          <c:tx>
            <c:strRef>
              <c:f>'Annex D Resolution'!$N$1</c:f>
              <c:strCache>
                <c:ptCount val="1"/>
                <c:pt idx="0">
                  <c:v>Average</c:v>
                </c:pt>
              </c:strCache>
            </c:strRef>
          </c:tx>
          <c:spPr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0.375</c:v>
                </c:pt>
                <c:pt idx="297">
                  <c:v>0.5</c:v>
                </c:pt>
                <c:pt idx="298">
                  <c:v>1.375</c:v>
                </c:pt>
                <c:pt idx="299">
                  <c:v>1.875</c:v>
                </c:pt>
                <c:pt idx="300">
                  <c:v>2.25</c:v>
                </c:pt>
                <c:pt idx="301">
                  <c:v>2.625</c:v>
                </c:pt>
                <c:pt idx="302">
                  <c:v>3</c:v>
                </c:pt>
                <c:pt idx="303">
                  <c:v>3.5</c:v>
                </c:pt>
                <c:pt idx="304">
                  <c:v>3.375</c:v>
                </c:pt>
                <c:pt idx="305">
                  <c:v>3.5</c:v>
                </c:pt>
                <c:pt idx="306">
                  <c:v>2.75</c:v>
                </c:pt>
                <c:pt idx="307">
                  <c:v>2.5</c:v>
                </c:pt>
                <c:pt idx="308">
                  <c:v>2.5</c:v>
                </c:pt>
                <c:pt idx="309">
                  <c:v>2.25</c:v>
                </c:pt>
                <c:pt idx="310">
                  <c:v>2.125</c:v>
                </c:pt>
                <c:pt idx="311">
                  <c:v>1.875</c:v>
                </c:pt>
                <c:pt idx="312">
                  <c:v>1.75</c:v>
                </c:pt>
                <c:pt idx="313">
                  <c:v>2</c:v>
                </c:pt>
                <c:pt idx="314">
                  <c:v>2.375</c:v>
                </c:pt>
                <c:pt idx="315">
                  <c:v>2.875</c:v>
                </c:pt>
                <c:pt idx="316">
                  <c:v>2.875</c:v>
                </c:pt>
                <c:pt idx="317">
                  <c:v>3</c:v>
                </c:pt>
                <c:pt idx="318">
                  <c:v>3.75</c:v>
                </c:pt>
                <c:pt idx="319">
                  <c:v>3.625</c:v>
                </c:pt>
                <c:pt idx="320">
                  <c:v>3.75</c:v>
                </c:pt>
                <c:pt idx="321">
                  <c:v>4.25</c:v>
                </c:pt>
                <c:pt idx="322">
                  <c:v>3.875</c:v>
                </c:pt>
                <c:pt idx="323">
                  <c:v>4.375</c:v>
                </c:pt>
                <c:pt idx="324">
                  <c:v>4.625</c:v>
                </c:pt>
                <c:pt idx="325">
                  <c:v>5.125</c:v>
                </c:pt>
                <c:pt idx="326">
                  <c:v>4.625</c:v>
                </c:pt>
                <c:pt idx="327">
                  <c:v>4.75</c:v>
                </c:pt>
                <c:pt idx="328">
                  <c:v>5.25</c:v>
                </c:pt>
                <c:pt idx="329">
                  <c:v>5.125</c:v>
                </c:pt>
                <c:pt idx="330">
                  <c:v>5.75</c:v>
                </c:pt>
                <c:pt idx="331">
                  <c:v>5</c:v>
                </c:pt>
                <c:pt idx="332">
                  <c:v>4.875</c:v>
                </c:pt>
                <c:pt idx="333">
                  <c:v>4.875</c:v>
                </c:pt>
                <c:pt idx="334">
                  <c:v>5.25</c:v>
                </c:pt>
                <c:pt idx="335">
                  <c:v>5.375</c:v>
                </c:pt>
                <c:pt idx="336">
                  <c:v>5.75</c:v>
                </c:pt>
                <c:pt idx="337">
                  <c:v>5.375</c:v>
                </c:pt>
                <c:pt idx="338">
                  <c:v>6.125</c:v>
                </c:pt>
                <c:pt idx="339">
                  <c:v>6.125</c:v>
                </c:pt>
                <c:pt idx="340">
                  <c:v>6.75</c:v>
                </c:pt>
                <c:pt idx="341">
                  <c:v>6.75</c:v>
                </c:pt>
                <c:pt idx="342">
                  <c:v>6.75</c:v>
                </c:pt>
                <c:pt idx="343">
                  <c:v>7.875</c:v>
                </c:pt>
                <c:pt idx="344">
                  <c:v>8.25</c:v>
                </c:pt>
                <c:pt idx="345">
                  <c:v>8.625</c:v>
                </c:pt>
                <c:pt idx="346">
                  <c:v>8.625</c:v>
                </c:pt>
                <c:pt idx="347">
                  <c:v>8.875</c:v>
                </c:pt>
                <c:pt idx="348">
                  <c:v>9</c:v>
                </c:pt>
                <c:pt idx="349">
                  <c:v>9.625</c:v>
                </c:pt>
                <c:pt idx="350">
                  <c:v>9.75</c:v>
                </c:pt>
                <c:pt idx="351">
                  <c:v>9.875</c:v>
                </c:pt>
                <c:pt idx="352">
                  <c:v>9.125</c:v>
                </c:pt>
                <c:pt idx="353">
                  <c:v>9.5</c:v>
                </c:pt>
                <c:pt idx="354">
                  <c:v>8.75</c:v>
                </c:pt>
                <c:pt idx="355">
                  <c:v>9.5</c:v>
                </c:pt>
                <c:pt idx="356">
                  <c:v>9.5</c:v>
                </c:pt>
                <c:pt idx="357">
                  <c:v>9</c:v>
                </c:pt>
                <c:pt idx="358">
                  <c:v>10.875</c:v>
                </c:pt>
                <c:pt idx="359">
                  <c:v>11.125</c:v>
                </c:pt>
                <c:pt idx="360">
                  <c:v>13.25</c:v>
                </c:pt>
                <c:pt idx="361">
                  <c:v>13.375</c:v>
                </c:pt>
                <c:pt idx="362">
                  <c:v>13.625</c:v>
                </c:pt>
                <c:pt idx="363">
                  <c:v>13.75</c:v>
                </c:pt>
                <c:pt idx="364">
                  <c:v>14.625</c:v>
                </c:pt>
                <c:pt idx="365">
                  <c:v>17.25</c:v>
                </c:pt>
                <c:pt idx="366">
                  <c:v>16.75</c:v>
                </c:pt>
                <c:pt idx="367">
                  <c:v>16.875</c:v>
                </c:pt>
                <c:pt idx="368">
                  <c:v>16.125</c:v>
                </c:pt>
                <c:pt idx="369">
                  <c:v>17</c:v>
                </c:pt>
                <c:pt idx="370">
                  <c:v>19.125</c:v>
                </c:pt>
                <c:pt idx="371">
                  <c:v>20.625</c:v>
                </c:pt>
                <c:pt idx="372">
                  <c:v>21.5</c:v>
                </c:pt>
                <c:pt idx="373">
                  <c:v>21</c:v>
                </c:pt>
                <c:pt idx="374">
                  <c:v>21.75</c:v>
                </c:pt>
                <c:pt idx="375">
                  <c:v>22.625</c:v>
                </c:pt>
                <c:pt idx="376">
                  <c:v>23.5</c:v>
                </c:pt>
                <c:pt idx="377">
                  <c:v>25</c:v>
                </c:pt>
                <c:pt idx="378">
                  <c:v>25</c:v>
                </c:pt>
                <c:pt idx="379">
                  <c:v>25.875</c:v>
                </c:pt>
                <c:pt idx="380">
                  <c:v>27.375</c:v>
                </c:pt>
                <c:pt idx="381">
                  <c:v>28.75</c:v>
                </c:pt>
                <c:pt idx="382">
                  <c:v>30.25</c:v>
                </c:pt>
                <c:pt idx="383">
                  <c:v>32</c:v>
                </c:pt>
                <c:pt idx="384">
                  <c:v>34</c:v>
                </c:pt>
                <c:pt idx="385">
                  <c:v>35.25</c:v>
                </c:pt>
                <c:pt idx="386">
                  <c:v>39.125</c:v>
                </c:pt>
                <c:pt idx="387">
                  <c:v>41.125</c:v>
                </c:pt>
                <c:pt idx="388">
                  <c:v>43.75</c:v>
                </c:pt>
                <c:pt idx="389">
                  <c:v>44.75</c:v>
                </c:pt>
                <c:pt idx="390">
                  <c:v>46.375</c:v>
                </c:pt>
                <c:pt idx="391">
                  <c:v>49.25</c:v>
                </c:pt>
                <c:pt idx="392">
                  <c:v>51.875</c:v>
                </c:pt>
                <c:pt idx="393">
                  <c:v>55.25</c:v>
                </c:pt>
                <c:pt idx="394">
                  <c:v>57</c:v>
                </c:pt>
                <c:pt idx="395">
                  <c:v>58.875</c:v>
                </c:pt>
                <c:pt idx="396">
                  <c:v>59</c:v>
                </c:pt>
                <c:pt idx="397">
                  <c:v>61.75</c:v>
                </c:pt>
                <c:pt idx="398">
                  <c:v>63.125</c:v>
                </c:pt>
                <c:pt idx="399">
                  <c:v>65.5</c:v>
                </c:pt>
                <c:pt idx="400">
                  <c:v>66.5</c:v>
                </c:pt>
                <c:pt idx="401">
                  <c:v>66.625</c:v>
                </c:pt>
                <c:pt idx="402">
                  <c:v>67.875</c:v>
                </c:pt>
                <c:pt idx="403">
                  <c:v>71.25</c:v>
                </c:pt>
                <c:pt idx="404">
                  <c:v>75.25</c:v>
                </c:pt>
                <c:pt idx="405">
                  <c:v>78.125</c:v>
                </c:pt>
                <c:pt idx="406">
                  <c:v>84.5</c:v>
                </c:pt>
                <c:pt idx="407">
                  <c:v>87.125</c:v>
                </c:pt>
                <c:pt idx="408">
                  <c:v>92</c:v>
                </c:pt>
                <c:pt idx="409">
                  <c:v>95.5</c:v>
                </c:pt>
                <c:pt idx="410">
                  <c:v>98</c:v>
                </c:pt>
                <c:pt idx="411">
                  <c:v>101.625</c:v>
                </c:pt>
                <c:pt idx="412">
                  <c:v>105.625</c:v>
                </c:pt>
                <c:pt idx="413">
                  <c:v>109.25</c:v>
                </c:pt>
                <c:pt idx="414">
                  <c:v>109.875</c:v>
                </c:pt>
                <c:pt idx="415">
                  <c:v>114</c:v>
                </c:pt>
                <c:pt idx="416">
                  <c:v>117.125</c:v>
                </c:pt>
                <c:pt idx="417">
                  <c:v>120</c:v>
                </c:pt>
                <c:pt idx="418">
                  <c:v>124.375</c:v>
                </c:pt>
                <c:pt idx="419">
                  <c:v>126.875</c:v>
                </c:pt>
                <c:pt idx="420">
                  <c:v>131.125</c:v>
                </c:pt>
                <c:pt idx="421">
                  <c:v>135.375</c:v>
                </c:pt>
                <c:pt idx="422">
                  <c:v>142.25</c:v>
                </c:pt>
                <c:pt idx="423">
                  <c:v>146.875</c:v>
                </c:pt>
                <c:pt idx="424">
                  <c:v>152.375</c:v>
                </c:pt>
                <c:pt idx="425">
                  <c:v>157</c:v>
                </c:pt>
                <c:pt idx="426">
                  <c:v>162.75</c:v>
                </c:pt>
                <c:pt idx="427">
                  <c:v>168</c:v>
                </c:pt>
                <c:pt idx="428">
                  <c:v>173.75</c:v>
                </c:pt>
                <c:pt idx="429">
                  <c:v>178.625</c:v>
                </c:pt>
                <c:pt idx="430">
                  <c:v>180.75</c:v>
                </c:pt>
                <c:pt idx="431">
                  <c:v>184.125</c:v>
                </c:pt>
                <c:pt idx="432">
                  <c:v>187.875</c:v>
                </c:pt>
                <c:pt idx="433">
                  <c:v>193.625</c:v>
                </c:pt>
                <c:pt idx="434">
                  <c:v>195.75</c:v>
                </c:pt>
                <c:pt idx="435">
                  <c:v>205.625</c:v>
                </c:pt>
                <c:pt idx="436">
                  <c:v>210</c:v>
                </c:pt>
                <c:pt idx="437">
                  <c:v>218.625</c:v>
                </c:pt>
                <c:pt idx="438">
                  <c:v>227.875</c:v>
                </c:pt>
                <c:pt idx="439">
                  <c:v>235.5</c:v>
                </c:pt>
                <c:pt idx="440">
                  <c:v>243</c:v>
                </c:pt>
                <c:pt idx="441">
                  <c:v>251.625</c:v>
                </c:pt>
                <c:pt idx="442">
                  <c:v>260.875</c:v>
                </c:pt>
                <c:pt idx="443">
                  <c:v>261.25</c:v>
                </c:pt>
                <c:pt idx="444">
                  <c:v>267.25</c:v>
                </c:pt>
                <c:pt idx="445">
                  <c:v>273.375</c:v>
                </c:pt>
                <c:pt idx="446">
                  <c:v>279.125</c:v>
                </c:pt>
                <c:pt idx="447">
                  <c:v>287</c:v>
                </c:pt>
                <c:pt idx="448">
                  <c:v>292.875</c:v>
                </c:pt>
                <c:pt idx="449">
                  <c:v>306.625</c:v>
                </c:pt>
                <c:pt idx="450">
                  <c:v>313.25</c:v>
                </c:pt>
                <c:pt idx="451">
                  <c:v>321.375</c:v>
                </c:pt>
                <c:pt idx="452">
                  <c:v>330.125</c:v>
                </c:pt>
                <c:pt idx="453">
                  <c:v>335.75</c:v>
                </c:pt>
                <c:pt idx="454">
                  <c:v>339.875</c:v>
                </c:pt>
                <c:pt idx="455">
                  <c:v>345.625</c:v>
                </c:pt>
                <c:pt idx="456">
                  <c:v>349.5</c:v>
                </c:pt>
                <c:pt idx="457">
                  <c:v>345.125</c:v>
                </c:pt>
                <c:pt idx="458">
                  <c:v>351.125</c:v>
                </c:pt>
                <c:pt idx="459">
                  <c:v>358.75</c:v>
                </c:pt>
                <c:pt idx="460">
                  <c:v>359.625</c:v>
                </c:pt>
                <c:pt idx="461">
                  <c:v>364.375</c:v>
                </c:pt>
                <c:pt idx="462">
                  <c:v>368.875</c:v>
                </c:pt>
                <c:pt idx="463">
                  <c:v>371.5</c:v>
                </c:pt>
                <c:pt idx="464">
                  <c:v>376.375</c:v>
                </c:pt>
                <c:pt idx="465">
                  <c:v>381.25</c:v>
                </c:pt>
                <c:pt idx="466">
                  <c:v>389.875</c:v>
                </c:pt>
                <c:pt idx="467">
                  <c:v>391.75</c:v>
                </c:pt>
                <c:pt idx="468">
                  <c:v>396.5</c:v>
                </c:pt>
                <c:pt idx="469">
                  <c:v>404.375</c:v>
                </c:pt>
                <c:pt idx="470">
                  <c:v>411</c:v>
                </c:pt>
                <c:pt idx="471">
                  <c:v>416</c:v>
                </c:pt>
                <c:pt idx="472">
                  <c:v>416.875</c:v>
                </c:pt>
                <c:pt idx="473">
                  <c:v>424.875</c:v>
                </c:pt>
                <c:pt idx="474">
                  <c:v>427.5</c:v>
                </c:pt>
                <c:pt idx="475">
                  <c:v>432.5</c:v>
                </c:pt>
                <c:pt idx="476">
                  <c:v>440.625</c:v>
                </c:pt>
                <c:pt idx="477">
                  <c:v>440.25</c:v>
                </c:pt>
                <c:pt idx="478">
                  <c:v>441.5</c:v>
                </c:pt>
                <c:pt idx="479">
                  <c:v>443.75</c:v>
                </c:pt>
                <c:pt idx="480">
                  <c:v>455.75</c:v>
                </c:pt>
                <c:pt idx="481">
                  <c:v>457.75</c:v>
                </c:pt>
                <c:pt idx="482">
                  <c:v>457</c:v>
                </c:pt>
                <c:pt idx="483">
                  <c:v>463.5</c:v>
                </c:pt>
                <c:pt idx="484">
                  <c:v>468.875</c:v>
                </c:pt>
                <c:pt idx="485">
                  <c:v>472.75</c:v>
                </c:pt>
                <c:pt idx="486">
                  <c:v>477.75</c:v>
                </c:pt>
                <c:pt idx="487">
                  <c:v>487.75</c:v>
                </c:pt>
                <c:pt idx="488">
                  <c:v>481.375</c:v>
                </c:pt>
                <c:pt idx="489">
                  <c:v>482.875</c:v>
                </c:pt>
                <c:pt idx="490">
                  <c:v>486.125</c:v>
                </c:pt>
                <c:pt idx="491">
                  <c:v>485.25</c:v>
                </c:pt>
                <c:pt idx="492">
                  <c:v>483</c:v>
                </c:pt>
                <c:pt idx="493">
                  <c:v>481.875</c:v>
                </c:pt>
                <c:pt idx="494">
                  <c:v>481.25</c:v>
                </c:pt>
                <c:pt idx="495">
                  <c:v>479.875</c:v>
                </c:pt>
                <c:pt idx="496">
                  <c:v>481.875</c:v>
                </c:pt>
                <c:pt idx="497">
                  <c:v>485</c:v>
                </c:pt>
                <c:pt idx="498">
                  <c:v>485.125</c:v>
                </c:pt>
                <c:pt idx="499">
                  <c:v>479.625</c:v>
                </c:pt>
                <c:pt idx="500">
                  <c:v>476</c:v>
                </c:pt>
                <c:pt idx="501">
                  <c:v>478.25</c:v>
                </c:pt>
                <c:pt idx="502">
                  <c:v>480.625</c:v>
                </c:pt>
                <c:pt idx="503">
                  <c:v>475.625</c:v>
                </c:pt>
                <c:pt idx="504">
                  <c:v>479.125</c:v>
                </c:pt>
                <c:pt idx="505">
                  <c:v>477.875</c:v>
                </c:pt>
                <c:pt idx="506">
                  <c:v>475.5</c:v>
                </c:pt>
                <c:pt idx="507">
                  <c:v>479.875</c:v>
                </c:pt>
                <c:pt idx="508">
                  <c:v>484.5</c:v>
                </c:pt>
                <c:pt idx="509">
                  <c:v>485</c:v>
                </c:pt>
                <c:pt idx="510">
                  <c:v>478</c:v>
                </c:pt>
                <c:pt idx="511">
                  <c:v>474.875</c:v>
                </c:pt>
                <c:pt idx="512">
                  <c:v>473.75</c:v>
                </c:pt>
                <c:pt idx="513">
                  <c:v>470.75</c:v>
                </c:pt>
                <c:pt idx="514">
                  <c:v>471.875</c:v>
                </c:pt>
                <c:pt idx="515">
                  <c:v>471.75</c:v>
                </c:pt>
                <c:pt idx="516">
                  <c:v>470.875</c:v>
                </c:pt>
                <c:pt idx="517">
                  <c:v>467.5</c:v>
                </c:pt>
                <c:pt idx="518">
                  <c:v>466.375</c:v>
                </c:pt>
                <c:pt idx="519">
                  <c:v>469.25</c:v>
                </c:pt>
                <c:pt idx="520">
                  <c:v>466.625</c:v>
                </c:pt>
                <c:pt idx="521">
                  <c:v>463.75</c:v>
                </c:pt>
                <c:pt idx="522">
                  <c:v>463</c:v>
                </c:pt>
                <c:pt idx="523">
                  <c:v>457</c:v>
                </c:pt>
                <c:pt idx="524">
                  <c:v>449.125</c:v>
                </c:pt>
                <c:pt idx="525">
                  <c:v>442.875</c:v>
                </c:pt>
                <c:pt idx="526">
                  <c:v>444.5</c:v>
                </c:pt>
                <c:pt idx="527">
                  <c:v>441.125</c:v>
                </c:pt>
                <c:pt idx="528">
                  <c:v>437.375</c:v>
                </c:pt>
                <c:pt idx="529">
                  <c:v>437.625</c:v>
                </c:pt>
                <c:pt idx="530">
                  <c:v>438.25</c:v>
                </c:pt>
                <c:pt idx="531">
                  <c:v>440.375</c:v>
                </c:pt>
                <c:pt idx="532">
                  <c:v>434.25</c:v>
                </c:pt>
                <c:pt idx="533">
                  <c:v>432</c:v>
                </c:pt>
                <c:pt idx="534">
                  <c:v>428.75</c:v>
                </c:pt>
                <c:pt idx="535">
                  <c:v>422</c:v>
                </c:pt>
                <c:pt idx="536">
                  <c:v>415.25</c:v>
                </c:pt>
                <c:pt idx="537">
                  <c:v>406.75</c:v>
                </c:pt>
                <c:pt idx="538">
                  <c:v>394.125</c:v>
                </c:pt>
                <c:pt idx="539">
                  <c:v>386.5</c:v>
                </c:pt>
                <c:pt idx="540">
                  <c:v>381.875</c:v>
                </c:pt>
                <c:pt idx="541">
                  <c:v>375.875</c:v>
                </c:pt>
                <c:pt idx="542">
                  <c:v>366.125</c:v>
                </c:pt>
                <c:pt idx="543">
                  <c:v>359.125</c:v>
                </c:pt>
                <c:pt idx="544">
                  <c:v>353.125</c:v>
                </c:pt>
                <c:pt idx="545">
                  <c:v>349.25</c:v>
                </c:pt>
                <c:pt idx="546">
                  <c:v>348</c:v>
                </c:pt>
                <c:pt idx="547">
                  <c:v>341.75</c:v>
                </c:pt>
                <c:pt idx="548">
                  <c:v>340.75</c:v>
                </c:pt>
                <c:pt idx="549">
                  <c:v>338.5</c:v>
                </c:pt>
                <c:pt idx="550">
                  <c:v>337.375</c:v>
                </c:pt>
                <c:pt idx="551">
                  <c:v>337</c:v>
                </c:pt>
                <c:pt idx="552">
                  <c:v>336.625</c:v>
                </c:pt>
                <c:pt idx="553">
                  <c:v>325.625</c:v>
                </c:pt>
                <c:pt idx="554">
                  <c:v>316.625</c:v>
                </c:pt>
                <c:pt idx="555">
                  <c:v>312.625</c:v>
                </c:pt>
                <c:pt idx="556">
                  <c:v>308.625</c:v>
                </c:pt>
                <c:pt idx="557">
                  <c:v>305</c:v>
                </c:pt>
                <c:pt idx="558">
                  <c:v>296.625</c:v>
                </c:pt>
                <c:pt idx="559">
                  <c:v>289.125</c:v>
                </c:pt>
                <c:pt idx="560">
                  <c:v>281.375</c:v>
                </c:pt>
                <c:pt idx="561">
                  <c:v>283.5</c:v>
                </c:pt>
                <c:pt idx="562">
                  <c:v>279.625</c:v>
                </c:pt>
                <c:pt idx="563">
                  <c:v>275.25</c:v>
                </c:pt>
                <c:pt idx="564">
                  <c:v>269.25</c:v>
                </c:pt>
                <c:pt idx="565">
                  <c:v>262.125</c:v>
                </c:pt>
                <c:pt idx="566">
                  <c:v>259.625</c:v>
                </c:pt>
                <c:pt idx="567">
                  <c:v>254.875</c:v>
                </c:pt>
                <c:pt idx="568">
                  <c:v>250.875</c:v>
                </c:pt>
                <c:pt idx="569">
                  <c:v>248</c:v>
                </c:pt>
                <c:pt idx="570">
                  <c:v>243.75</c:v>
                </c:pt>
                <c:pt idx="571">
                  <c:v>236.5</c:v>
                </c:pt>
                <c:pt idx="572">
                  <c:v>231.75</c:v>
                </c:pt>
                <c:pt idx="573">
                  <c:v>227.375</c:v>
                </c:pt>
                <c:pt idx="574">
                  <c:v>220.375</c:v>
                </c:pt>
                <c:pt idx="575">
                  <c:v>216.75</c:v>
                </c:pt>
                <c:pt idx="576">
                  <c:v>212.25</c:v>
                </c:pt>
                <c:pt idx="577">
                  <c:v>206.5</c:v>
                </c:pt>
                <c:pt idx="578">
                  <c:v>202.25</c:v>
                </c:pt>
                <c:pt idx="579">
                  <c:v>198.875</c:v>
                </c:pt>
                <c:pt idx="580">
                  <c:v>196</c:v>
                </c:pt>
                <c:pt idx="581">
                  <c:v>190.75</c:v>
                </c:pt>
                <c:pt idx="582">
                  <c:v>189.5</c:v>
                </c:pt>
                <c:pt idx="583">
                  <c:v>185.625</c:v>
                </c:pt>
                <c:pt idx="584">
                  <c:v>181.75</c:v>
                </c:pt>
                <c:pt idx="585">
                  <c:v>176.875</c:v>
                </c:pt>
                <c:pt idx="586">
                  <c:v>175.375</c:v>
                </c:pt>
                <c:pt idx="587">
                  <c:v>172.75</c:v>
                </c:pt>
                <c:pt idx="588">
                  <c:v>170.125</c:v>
                </c:pt>
                <c:pt idx="589">
                  <c:v>165.375</c:v>
                </c:pt>
                <c:pt idx="590">
                  <c:v>164.25</c:v>
                </c:pt>
                <c:pt idx="591">
                  <c:v>159.25</c:v>
                </c:pt>
                <c:pt idx="592">
                  <c:v>157.625</c:v>
                </c:pt>
                <c:pt idx="593">
                  <c:v>151.625</c:v>
                </c:pt>
                <c:pt idx="594">
                  <c:v>147.375</c:v>
                </c:pt>
                <c:pt idx="595">
                  <c:v>143.625</c:v>
                </c:pt>
                <c:pt idx="596">
                  <c:v>138.625</c:v>
                </c:pt>
                <c:pt idx="597">
                  <c:v>139.625</c:v>
                </c:pt>
                <c:pt idx="598">
                  <c:v>132.5</c:v>
                </c:pt>
                <c:pt idx="599">
                  <c:v>129.875</c:v>
                </c:pt>
                <c:pt idx="600">
                  <c:v>128.625</c:v>
                </c:pt>
                <c:pt idx="601">
                  <c:v>125.625</c:v>
                </c:pt>
                <c:pt idx="602">
                  <c:v>121.875</c:v>
                </c:pt>
                <c:pt idx="603">
                  <c:v>119.375</c:v>
                </c:pt>
                <c:pt idx="604">
                  <c:v>115.125</c:v>
                </c:pt>
                <c:pt idx="605">
                  <c:v>109.875</c:v>
                </c:pt>
                <c:pt idx="606">
                  <c:v>106.75</c:v>
                </c:pt>
                <c:pt idx="607">
                  <c:v>103.75</c:v>
                </c:pt>
                <c:pt idx="608">
                  <c:v>100.375</c:v>
                </c:pt>
                <c:pt idx="609">
                  <c:v>100.375</c:v>
                </c:pt>
                <c:pt idx="610">
                  <c:v>95.5</c:v>
                </c:pt>
                <c:pt idx="611">
                  <c:v>91.125</c:v>
                </c:pt>
                <c:pt idx="612">
                  <c:v>89.75</c:v>
                </c:pt>
                <c:pt idx="613">
                  <c:v>89</c:v>
                </c:pt>
                <c:pt idx="614">
                  <c:v>86</c:v>
                </c:pt>
                <c:pt idx="615">
                  <c:v>84</c:v>
                </c:pt>
                <c:pt idx="616">
                  <c:v>80.125</c:v>
                </c:pt>
                <c:pt idx="617">
                  <c:v>78</c:v>
                </c:pt>
                <c:pt idx="618">
                  <c:v>78.375</c:v>
                </c:pt>
                <c:pt idx="619">
                  <c:v>74.5</c:v>
                </c:pt>
                <c:pt idx="620">
                  <c:v>74.375</c:v>
                </c:pt>
                <c:pt idx="621">
                  <c:v>71.625</c:v>
                </c:pt>
                <c:pt idx="622">
                  <c:v>71.5</c:v>
                </c:pt>
                <c:pt idx="623">
                  <c:v>70</c:v>
                </c:pt>
                <c:pt idx="624">
                  <c:v>66.375</c:v>
                </c:pt>
                <c:pt idx="625">
                  <c:v>63.5</c:v>
                </c:pt>
                <c:pt idx="626">
                  <c:v>61</c:v>
                </c:pt>
                <c:pt idx="627">
                  <c:v>61.875</c:v>
                </c:pt>
                <c:pt idx="628">
                  <c:v>57.25</c:v>
                </c:pt>
                <c:pt idx="629">
                  <c:v>54.125</c:v>
                </c:pt>
                <c:pt idx="630">
                  <c:v>52.875</c:v>
                </c:pt>
                <c:pt idx="631">
                  <c:v>51.875</c:v>
                </c:pt>
                <c:pt idx="632">
                  <c:v>53.25</c:v>
                </c:pt>
                <c:pt idx="633">
                  <c:v>51.375</c:v>
                </c:pt>
                <c:pt idx="634">
                  <c:v>49</c:v>
                </c:pt>
                <c:pt idx="635">
                  <c:v>46.5</c:v>
                </c:pt>
                <c:pt idx="636">
                  <c:v>45.25</c:v>
                </c:pt>
                <c:pt idx="637">
                  <c:v>45.875</c:v>
                </c:pt>
                <c:pt idx="638">
                  <c:v>44.125</c:v>
                </c:pt>
                <c:pt idx="639">
                  <c:v>41.125</c:v>
                </c:pt>
                <c:pt idx="640">
                  <c:v>39</c:v>
                </c:pt>
                <c:pt idx="641">
                  <c:v>39.25</c:v>
                </c:pt>
                <c:pt idx="642">
                  <c:v>38.125</c:v>
                </c:pt>
                <c:pt idx="643">
                  <c:v>39</c:v>
                </c:pt>
                <c:pt idx="644">
                  <c:v>38.25</c:v>
                </c:pt>
                <c:pt idx="645">
                  <c:v>36</c:v>
                </c:pt>
                <c:pt idx="646">
                  <c:v>35.25</c:v>
                </c:pt>
                <c:pt idx="647">
                  <c:v>35.125</c:v>
                </c:pt>
                <c:pt idx="648">
                  <c:v>34</c:v>
                </c:pt>
                <c:pt idx="649">
                  <c:v>30.5</c:v>
                </c:pt>
                <c:pt idx="650">
                  <c:v>30.75</c:v>
                </c:pt>
                <c:pt idx="651">
                  <c:v>28.5</c:v>
                </c:pt>
                <c:pt idx="652">
                  <c:v>27.375</c:v>
                </c:pt>
                <c:pt idx="653">
                  <c:v>26.75</c:v>
                </c:pt>
                <c:pt idx="654">
                  <c:v>25.125</c:v>
                </c:pt>
                <c:pt idx="655">
                  <c:v>24.125</c:v>
                </c:pt>
                <c:pt idx="656">
                  <c:v>23.125</c:v>
                </c:pt>
                <c:pt idx="657">
                  <c:v>24.625</c:v>
                </c:pt>
                <c:pt idx="658">
                  <c:v>24.125</c:v>
                </c:pt>
                <c:pt idx="659">
                  <c:v>22.5</c:v>
                </c:pt>
                <c:pt idx="660">
                  <c:v>21</c:v>
                </c:pt>
                <c:pt idx="661">
                  <c:v>19.5</c:v>
                </c:pt>
                <c:pt idx="662">
                  <c:v>19.25</c:v>
                </c:pt>
                <c:pt idx="663">
                  <c:v>17.875</c:v>
                </c:pt>
                <c:pt idx="664">
                  <c:v>17.625</c:v>
                </c:pt>
                <c:pt idx="665">
                  <c:v>15.25</c:v>
                </c:pt>
                <c:pt idx="666">
                  <c:v>13.5</c:v>
                </c:pt>
                <c:pt idx="667">
                  <c:v>13.625</c:v>
                </c:pt>
                <c:pt idx="668">
                  <c:v>14.75</c:v>
                </c:pt>
                <c:pt idx="669">
                  <c:v>14</c:v>
                </c:pt>
                <c:pt idx="670">
                  <c:v>14.375</c:v>
                </c:pt>
                <c:pt idx="671">
                  <c:v>14.625</c:v>
                </c:pt>
                <c:pt idx="672">
                  <c:v>13.875</c:v>
                </c:pt>
                <c:pt idx="673">
                  <c:v>14.5</c:v>
                </c:pt>
                <c:pt idx="674">
                  <c:v>14.25</c:v>
                </c:pt>
                <c:pt idx="675">
                  <c:v>14.25</c:v>
                </c:pt>
                <c:pt idx="676">
                  <c:v>13.125</c:v>
                </c:pt>
                <c:pt idx="677">
                  <c:v>12.5</c:v>
                </c:pt>
                <c:pt idx="678">
                  <c:v>11.125</c:v>
                </c:pt>
                <c:pt idx="679">
                  <c:v>11</c:v>
                </c:pt>
                <c:pt idx="680">
                  <c:v>11.5</c:v>
                </c:pt>
                <c:pt idx="681">
                  <c:v>11.375</c:v>
                </c:pt>
                <c:pt idx="682">
                  <c:v>11.125</c:v>
                </c:pt>
                <c:pt idx="683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E7-4033-BB2B-972C92FE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100275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94020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Principle: Measure</a:t>
          </a:r>
          <a:r>
            <a:rPr lang="en-GB" sz="1200" b="0" strike="noStrike" spc="-1" baseline="0">
              <a:latin typeface="Calibri"/>
            </a:rPr>
            <a:t> initial and final weights using 100ml of fluid in plastic 100ml bottle, before and after a tests cycle.</a:t>
          </a:r>
          <a:endParaRPr lang="en-GB" sz="1200" b="0" strike="noStrike" spc="-1">
            <a:latin typeface="Calibri"/>
          </a:endParaRPr>
        </a:p>
        <a:p>
          <a:endParaRPr lang="en-GB" sz="1200" b="0" strike="noStrike" spc="-1">
            <a:latin typeface="Calibri"/>
          </a:endParaRPr>
        </a:p>
        <a:p>
          <a:r>
            <a:rPr lang="en-GB" sz="1200" b="0" strike="noStrike" spc="-1">
              <a:latin typeface="Calibri"/>
            </a:rPr>
            <a:t>Used microbalance to weigh 100.0ml sample of fluid, added using precision digital pipette. Add 10x 10ml total to plastic sample bottle and weigh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10ml pumped flush + 50ml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 final weight of remaining fluid in bottle.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  <xdr:oneCellAnchor>
    <xdr:from>
      <xdr:col>14</xdr:col>
      <xdr:colOff>0</xdr:colOff>
      <xdr:row>30</xdr:row>
      <xdr:rowOff>160920</xdr:rowOff>
    </xdr:from>
    <xdr:ext cx="1609151" cy="617310"/>
    <xdr:pic>
      <xdr:nvPicPr>
        <xdr:cNvPr id="4" name="Image 3">
          <a:extLst>
            <a:ext uri="{FF2B5EF4-FFF2-40B4-BE49-F238E27FC236}">
              <a16:creationId xmlns:a16="http://schemas.microsoft.com/office/drawing/2014/main" id="{9B62D6B9-73E6-44CE-B852-0F35CB7B4FD1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910604" y="5657406"/>
          <a:ext cx="1609151" cy="617310"/>
        </a:xfrm>
        <a:prstGeom prst="rect">
          <a:avLst/>
        </a:prstGeom>
        <a:ln w="0"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37</xdr:row>
      <xdr:rowOff>1800</xdr:rowOff>
    </xdr:from>
    <xdr:to>
      <xdr:col>10</xdr:col>
      <xdr:colOff>268685</xdr:colOff>
      <xdr:row>70</xdr:row>
      <xdr:rowOff>123481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36</xdr:row>
      <xdr:rowOff>158760</xdr:rowOff>
    </xdr:from>
    <xdr:to>
      <xdr:col>19</xdr:col>
      <xdr:colOff>686155</xdr:colOff>
      <xdr:row>70</xdr:row>
      <xdr:rowOff>117361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378913</xdr:colOff>
      <xdr:row>13</xdr:row>
      <xdr:rowOff>19080</xdr:rowOff>
    </xdr:from>
    <xdr:to>
      <xdr:col>22</xdr:col>
      <xdr:colOff>140247</xdr:colOff>
      <xdr:row>36</xdr:row>
      <xdr:rowOff>48131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374920" y="2642400"/>
          <a:ext cx="7057440" cy="374724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Procedure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ENSURE UNIT REMAINS ONLINE 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100</xdr:row>
      <xdr:rowOff>107130</xdr:rowOff>
    </xdr:from>
    <xdr:to>
      <xdr:col>10</xdr:col>
      <xdr:colOff>181028</xdr:colOff>
      <xdr:row>108</xdr:row>
      <xdr:rowOff>155010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139247</xdr:colOff>
      <xdr:row>32</xdr:row>
      <xdr:rowOff>154080</xdr:rowOff>
    </xdr:from>
    <xdr:to>
      <xdr:col>10</xdr:col>
      <xdr:colOff>535247</xdr:colOff>
      <xdr:row>52</xdr:row>
      <xdr:rowOff>20881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B68288-8329-42D2-8286-3619427DEC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B8" sqref="B8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/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2"/>
      <c r="B13" s="9"/>
      <c r="C13" s="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2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0"/>
  <sheetViews>
    <sheetView tabSelected="1" zoomScale="85" zoomScaleNormal="85" workbookViewId="0">
      <selection activeCell="O37" sqref="O37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27.75" x14ac:dyDescent="0.4">
      <c r="A1" s="181" t="s">
        <v>293</v>
      </c>
      <c r="B1" s="181"/>
      <c r="C1" s="181"/>
      <c r="D1" s="181"/>
      <c r="E1" s="181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9" x14ac:dyDescent="0.4">
      <c r="A5" s="10" t="s">
        <v>22</v>
      </c>
      <c r="B5" s="10"/>
      <c r="C5" s="10"/>
      <c r="D5" s="131" t="s">
        <v>301</v>
      </c>
      <c r="E5" s="10"/>
      <c r="G5" s="10"/>
      <c r="H5" s="10"/>
      <c r="I5" s="10"/>
      <c r="K5" s="10"/>
      <c r="L5" s="10"/>
      <c r="M5" s="10"/>
      <c r="N5" s="10"/>
      <c r="O5" s="10"/>
    </row>
    <row r="6" spans="1:15" ht="13.9" x14ac:dyDescent="0.4">
      <c r="A6" s="10" t="s">
        <v>24</v>
      </c>
      <c r="B6" s="10"/>
      <c r="C6" s="10"/>
      <c r="D6" s="131" t="s">
        <v>302</v>
      </c>
      <c r="E6" s="10"/>
      <c r="F6" s="10"/>
      <c r="G6" s="10"/>
      <c r="H6" s="10"/>
      <c r="I6" s="10"/>
      <c r="K6" s="10"/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tr">
        <f>D5</f>
        <v>REF CTR</v>
      </c>
      <c r="E7" s="10"/>
      <c r="F7" s="10"/>
      <c r="G7" s="10"/>
      <c r="H7" s="10"/>
      <c r="I7" s="10"/>
      <c r="K7" s="10"/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2" t="str">
        <f>D6</f>
        <v>11171-00002</v>
      </c>
      <c r="E8" s="10"/>
      <c r="F8" s="10"/>
      <c r="G8" s="10"/>
      <c r="H8" s="10"/>
      <c r="I8" s="10"/>
      <c r="K8" s="10"/>
      <c r="L8" s="10"/>
      <c r="M8" s="10"/>
      <c r="N8" s="10"/>
      <c r="O8" s="10"/>
    </row>
    <row r="9" spans="1:15" ht="13.9" x14ac:dyDescent="0.4">
      <c r="A9" s="10" t="s">
        <v>28</v>
      </c>
      <c r="B9" s="10"/>
      <c r="C9" s="10"/>
      <c r="D9" s="132">
        <v>45835</v>
      </c>
      <c r="E9" s="10"/>
      <c r="F9" s="10"/>
      <c r="G9" s="10"/>
      <c r="H9" s="10"/>
      <c r="I9" s="10"/>
      <c r="K9" s="10"/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3" t="s">
        <v>30</v>
      </c>
      <c r="E10" s="10"/>
      <c r="F10" s="10"/>
      <c r="G10" s="10"/>
      <c r="H10" s="10"/>
      <c r="I10" s="10"/>
      <c r="K10" s="10"/>
      <c r="L10" s="10"/>
      <c r="M10" s="10"/>
      <c r="N10" s="10"/>
      <c r="O10" s="10"/>
    </row>
    <row r="11" spans="1:15" ht="13.9" x14ac:dyDescent="0.4">
      <c r="A11" s="10" t="s">
        <v>31</v>
      </c>
      <c r="B11" s="10"/>
      <c r="C11" s="10"/>
      <c r="D11" s="131">
        <v>110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2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28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D16" s="57"/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6" ht="13.15" x14ac:dyDescent="0.4">
      <c r="A17" t="s">
        <v>35</v>
      </c>
      <c r="B17" s="10"/>
      <c r="C17" s="10"/>
      <c r="D17" s="55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6" ht="13.15" x14ac:dyDescent="0.4">
      <c r="A18" t="s">
        <v>297</v>
      </c>
      <c r="D18" s="55">
        <v>100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6" ht="13.15" x14ac:dyDescent="0.4">
      <c r="A19" t="s">
        <v>36</v>
      </c>
      <c r="D19" s="15">
        <f>D18*D15/1000</f>
        <v>0.15873015873015872</v>
      </c>
      <c r="E19" s="10"/>
      <c r="F19" s="10"/>
      <c r="G19" s="10"/>
      <c r="H19" s="10"/>
      <c r="I19" s="10"/>
      <c r="K19" s="10"/>
      <c r="L19" s="10"/>
      <c r="M19" s="10"/>
      <c r="N19" s="13"/>
      <c r="O19" s="10"/>
    </row>
    <row r="20" spans="1:16" ht="13.15" x14ac:dyDescent="0.4">
      <c r="A20" t="s">
        <v>37</v>
      </c>
      <c r="D20" s="129">
        <f>D19/D17*1000</f>
        <v>1.5873015873015872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6" ht="13.15" x14ac:dyDescent="0.4">
      <c r="A21" t="s">
        <v>298</v>
      </c>
      <c r="D21" s="130">
        <f>D18-D20</f>
        <v>98.412698412698418</v>
      </c>
      <c r="E21" s="10"/>
      <c r="K21" s="10"/>
      <c r="L21" s="10"/>
      <c r="M21" s="10"/>
      <c r="N21" s="12"/>
      <c r="O21" s="10"/>
    </row>
    <row r="22" spans="1:16" ht="13.15" x14ac:dyDescent="0.4">
      <c r="A22" s="10"/>
      <c r="B22" s="10"/>
      <c r="E22" s="10"/>
      <c r="K22" s="10"/>
      <c r="L22" s="10"/>
      <c r="M22" s="10"/>
      <c r="N22" s="10"/>
      <c r="O22" s="12" t="s">
        <v>38</v>
      </c>
      <c r="P22" s="12" t="s">
        <v>39</v>
      </c>
    </row>
    <row r="23" spans="1:16" ht="13.9" x14ac:dyDescent="0.4">
      <c r="A23" s="10"/>
      <c r="B23" s="10"/>
      <c r="C23" s="12" t="s">
        <v>38</v>
      </c>
      <c r="D23" s="12" t="s">
        <v>39</v>
      </c>
      <c r="E23" s="10"/>
      <c r="F23" s="10" t="s">
        <v>28</v>
      </c>
      <c r="G23" s="10"/>
      <c r="H23" s="134">
        <v>45835</v>
      </c>
      <c r="I23" s="10"/>
      <c r="K23" s="10"/>
      <c r="L23" s="10"/>
      <c r="M23" s="10"/>
      <c r="N23" s="10" t="s">
        <v>40</v>
      </c>
      <c r="O23" s="133">
        <v>1863</v>
      </c>
      <c r="P23" s="18">
        <f>(O23-O$29)/$O$29</f>
        <v>-1.0621348911311737E-2</v>
      </c>
    </row>
    <row r="24" spans="1:16" ht="13.9" x14ac:dyDescent="0.4">
      <c r="A24" s="10"/>
      <c r="B24" s="10" t="s">
        <v>40</v>
      </c>
      <c r="C24" s="133">
        <v>10921</v>
      </c>
      <c r="D24" s="18">
        <f>(C24-$C$30)/$C$30</f>
        <v>-2.0286570655750351E-3</v>
      </c>
      <c r="E24" s="10"/>
      <c r="F24" s="10" t="s">
        <v>29</v>
      </c>
      <c r="G24" s="10"/>
      <c r="H24" s="12" t="s">
        <v>30</v>
      </c>
      <c r="I24" s="10"/>
      <c r="K24" s="10"/>
      <c r="L24" s="10"/>
      <c r="M24" s="10"/>
      <c r="N24" s="10" t="s">
        <v>41</v>
      </c>
      <c r="O24" s="133">
        <v>1896</v>
      </c>
      <c r="P24" s="18">
        <f t="shared" ref="P24:P27" si="0">(O24-O$29)/$O$29</f>
        <v>6.9038767923526286E-3</v>
      </c>
    </row>
    <row r="25" spans="1:16" ht="13.9" x14ac:dyDescent="0.4">
      <c r="A25" s="10"/>
      <c r="B25" s="10" t="s">
        <v>41</v>
      </c>
      <c r="C25" s="133">
        <v>10874</v>
      </c>
      <c r="D25" s="18">
        <f>(C25-$C$30)/$C$30</f>
        <v>-6.3235616638643837E-3</v>
      </c>
      <c r="E25" s="10"/>
      <c r="F25" s="10" t="s">
        <v>42</v>
      </c>
      <c r="G25" s="10"/>
      <c r="H25" s="135" t="s">
        <v>302</v>
      </c>
      <c r="I25" s="10"/>
      <c r="K25" s="10"/>
      <c r="L25" s="10"/>
      <c r="M25" s="10"/>
      <c r="N25" s="10" t="s">
        <v>43</v>
      </c>
      <c r="O25" s="133">
        <v>1865</v>
      </c>
      <c r="P25" s="18">
        <f t="shared" si="0"/>
        <v>-9.5592140201805637E-3</v>
      </c>
    </row>
    <row r="26" spans="1:16" ht="13.9" customHeight="1" x14ac:dyDescent="0.4">
      <c r="A26" s="10"/>
      <c r="B26" s="10" t="s">
        <v>43</v>
      </c>
      <c r="C26" s="133">
        <v>11193</v>
      </c>
      <c r="D26" s="18">
        <f>(C26-$C$30)/$C$30</f>
        <v>2.282696103516332E-2</v>
      </c>
      <c r="E26" s="10"/>
      <c r="F26" s="10"/>
      <c r="G26" s="10"/>
      <c r="H26" s="12"/>
      <c r="I26" s="10"/>
      <c r="N26" s="10" t="s">
        <v>44</v>
      </c>
      <c r="O26" s="133">
        <v>1916</v>
      </c>
      <c r="P26" s="18">
        <f t="shared" si="0"/>
        <v>1.7525225703664365E-2</v>
      </c>
    </row>
    <row r="27" spans="1:16" ht="13.9" x14ac:dyDescent="0.4">
      <c r="A27" s="10"/>
      <c r="B27" s="10" t="s">
        <v>44</v>
      </c>
      <c r="C27" s="133">
        <v>10768</v>
      </c>
      <c r="D27" s="18">
        <f>(C27-$C$30)/$C$30</f>
        <v>-1.6009942247240359E-2</v>
      </c>
      <c r="E27" s="10"/>
      <c r="F27" s="10" t="s">
        <v>45</v>
      </c>
      <c r="G27" s="10"/>
      <c r="H27" s="12"/>
      <c r="I27" s="10"/>
      <c r="N27" s="10" t="s">
        <v>46</v>
      </c>
      <c r="O27" s="133">
        <v>1875</v>
      </c>
      <c r="P27" s="18">
        <f t="shared" si="0"/>
        <v>-4.2485395645246943E-3</v>
      </c>
    </row>
    <row r="28" spans="1:16" ht="13.9" x14ac:dyDescent="0.4">
      <c r="A28" s="10"/>
      <c r="B28" s="10" t="s">
        <v>46</v>
      </c>
      <c r="C28" s="133">
        <v>10960</v>
      </c>
      <c r="D28" s="18">
        <f>(C28-$C$30)/$C$30</f>
        <v>1.535199941516126E-3</v>
      </c>
      <c r="E28" s="10"/>
      <c r="F28" s="10" t="s">
        <v>47</v>
      </c>
      <c r="G28" s="10"/>
      <c r="H28" s="131" t="s">
        <v>304</v>
      </c>
      <c r="I28" s="10"/>
      <c r="N28" s="10"/>
      <c r="O28" s="10"/>
      <c r="P28" s="10"/>
    </row>
    <row r="29" spans="1:16" ht="13.9" x14ac:dyDescent="0.4">
      <c r="A29" s="10"/>
      <c r="B29" s="10"/>
      <c r="C29" s="10"/>
      <c r="D29" s="10"/>
      <c r="E29" s="10"/>
      <c r="F29" s="10" t="s">
        <v>306</v>
      </c>
      <c r="G29" s="10"/>
      <c r="H29" s="127">
        <v>100</v>
      </c>
      <c r="I29" s="10" t="s">
        <v>51</v>
      </c>
      <c r="N29" s="10" t="s">
        <v>48</v>
      </c>
      <c r="O29" s="21">
        <f>AVERAGE(O23:O27)</f>
        <v>1883</v>
      </c>
      <c r="P29" s="10"/>
    </row>
    <row r="30" spans="1:16" ht="13.9" x14ac:dyDescent="0.4">
      <c r="A30" s="10"/>
      <c r="B30" s="10" t="s">
        <v>48</v>
      </c>
      <c r="C30" s="21">
        <f>AVERAGE(C24:C28)</f>
        <v>10943.2</v>
      </c>
      <c r="D30" s="10"/>
      <c r="E30" s="10"/>
      <c r="F30" s="10" t="s">
        <v>305</v>
      </c>
      <c r="G30" s="10"/>
      <c r="H30" s="127">
        <v>85.879000000000005</v>
      </c>
      <c r="I30" s="10" t="s">
        <v>53</v>
      </c>
      <c r="N30" s="10" t="s">
        <v>49</v>
      </c>
      <c r="O30" s="21">
        <f>STDEVP(O23:O27)</f>
        <v>20.228692493584454</v>
      </c>
      <c r="P30" s="10"/>
    </row>
    <row r="31" spans="1:16" ht="13.15" x14ac:dyDescent="0.4">
      <c r="A31" s="10"/>
      <c r="B31" s="10" t="s">
        <v>49</v>
      </c>
      <c r="C31" s="21">
        <f>STDEVP(C24:C28)</f>
        <v>140.4697832275682</v>
      </c>
      <c r="D31" s="10"/>
      <c r="E31" s="10"/>
      <c r="F31" s="10" t="s">
        <v>50</v>
      </c>
      <c r="G31" s="10"/>
      <c r="H31" s="12">
        <v>10</v>
      </c>
      <c r="I31" s="10" t="s">
        <v>51</v>
      </c>
      <c r="N31" s="10"/>
      <c r="O31" s="21"/>
      <c r="P31" s="10"/>
    </row>
    <row r="32" spans="1:16" ht="13.15" x14ac:dyDescent="0.4">
      <c r="A32" s="10"/>
      <c r="B32" s="10"/>
      <c r="C32" s="21"/>
      <c r="D32" s="10"/>
      <c r="E32" s="10"/>
      <c r="F32" s="10" t="s">
        <v>52</v>
      </c>
      <c r="G32" s="10"/>
      <c r="H32" s="12">
        <v>50</v>
      </c>
      <c r="I32" s="10" t="s">
        <v>51</v>
      </c>
      <c r="N32" s="10"/>
      <c r="O32" s="10"/>
      <c r="P32" s="10"/>
    </row>
    <row r="33" spans="1:16" ht="13.15" x14ac:dyDescent="0.4">
      <c r="A33" s="10"/>
      <c r="B33" s="10"/>
      <c r="C33" s="10"/>
      <c r="D33" s="10"/>
      <c r="E33" s="10"/>
      <c r="F33" s="10" t="s">
        <v>299</v>
      </c>
      <c r="G33" s="10"/>
      <c r="H33" s="12">
        <f>H31+H32</f>
        <v>60</v>
      </c>
      <c r="I33" s="10" t="s">
        <v>51</v>
      </c>
      <c r="N33" s="10"/>
      <c r="O33" s="18"/>
      <c r="P33" s="10"/>
    </row>
    <row r="34" spans="1:16" ht="13.9" x14ac:dyDescent="0.4">
      <c r="A34" s="10"/>
      <c r="B34" s="10"/>
      <c r="C34" s="18"/>
      <c r="D34" s="10"/>
      <c r="E34" s="10"/>
      <c r="F34" s="10" t="s">
        <v>300</v>
      </c>
      <c r="G34" s="10"/>
      <c r="H34" s="127">
        <v>34.341000000000001</v>
      </c>
      <c r="I34" s="10" t="s">
        <v>53</v>
      </c>
      <c r="N34" s="10"/>
      <c r="O34" s="10"/>
      <c r="P34" s="10"/>
    </row>
    <row r="35" spans="1:16" ht="13.15" x14ac:dyDescent="0.4">
      <c r="A35" s="10"/>
      <c r="B35" s="10"/>
      <c r="C35" s="10"/>
      <c r="D35" s="10"/>
      <c r="F35" s="10" t="s">
        <v>54</v>
      </c>
      <c r="G35" s="10"/>
      <c r="H35" s="16">
        <f>H30-H34</f>
        <v>51.538000000000004</v>
      </c>
      <c r="I35" s="10"/>
      <c r="N35" s="10"/>
      <c r="O35" s="10"/>
      <c r="P35" s="10"/>
    </row>
    <row r="36" spans="1:16" ht="13.15" x14ac:dyDescent="0.4">
      <c r="A36" s="10"/>
      <c r="B36" s="10"/>
      <c r="C36" s="10"/>
      <c r="D36" s="10"/>
      <c r="F36" s="22" t="s">
        <v>55</v>
      </c>
      <c r="G36" s="23"/>
      <c r="H36" s="24">
        <f>H35/H30*H29</f>
        <v>60.012342947635631</v>
      </c>
      <c r="I36" s="10"/>
      <c r="N36" s="10"/>
      <c r="O36" s="10"/>
      <c r="P36" s="10"/>
    </row>
    <row r="37" spans="1:16" ht="15.4" x14ac:dyDescent="0.55000000000000004">
      <c r="A37" s="10"/>
      <c r="B37" s="10"/>
      <c r="C37" s="10"/>
      <c r="D37" s="10"/>
      <c r="F37" s="10"/>
      <c r="G37" s="10"/>
      <c r="H37" s="12"/>
      <c r="I37" s="10"/>
      <c r="N37" s="10" t="s">
        <v>56</v>
      </c>
      <c r="O37" s="18">
        <f>O30/O29</f>
        <v>1.0742800049699656E-2</v>
      </c>
      <c r="P37" s="10" t="str">
        <f>IF(O37&lt;0.03,"&lt;3% = PASS","&gt;3% = FAIL")</f>
        <v>&lt;3% = PASS</v>
      </c>
    </row>
    <row r="38" spans="1:16" ht="15.4" x14ac:dyDescent="0.55000000000000004">
      <c r="A38" s="10"/>
      <c r="B38" s="10" t="s">
        <v>56</v>
      </c>
      <c r="C38" s="18">
        <f>C31/C30</f>
        <v>1.2836262083080653E-2</v>
      </c>
      <c r="D38" s="10" t="str">
        <f>IF(C38&lt;0.03,"&lt;3% = PASS","&gt;3% = FAIL")</f>
        <v>&lt;3% = PASS</v>
      </c>
      <c r="F38" s="10" t="s">
        <v>307</v>
      </c>
      <c r="G38" s="10"/>
      <c r="H38" s="25">
        <f>H36/H33-1</f>
        <v>2.0571579392725248E-4</v>
      </c>
      <c r="I38" s="10"/>
      <c r="J38" s="26"/>
    </row>
    <row r="39" spans="1:16" ht="13.15" x14ac:dyDescent="0.4">
      <c r="A39" s="10"/>
      <c r="B39" s="10"/>
      <c r="C39" s="10"/>
      <c r="D39" s="10"/>
      <c r="F39" s="10"/>
      <c r="G39" s="10"/>
      <c r="H39" s="27"/>
      <c r="I39" s="26"/>
      <c r="J39" s="26"/>
    </row>
    <row r="40" spans="1:16" ht="13.15" x14ac:dyDescent="0.4">
      <c r="A40" s="8"/>
      <c r="F40" s="10"/>
      <c r="G40" s="10"/>
      <c r="H40" s="28"/>
      <c r="I40" s="26"/>
      <c r="J40" s="26"/>
    </row>
    <row r="41" spans="1:16" ht="13.15" x14ac:dyDescent="0.4">
      <c r="B41" s="29"/>
      <c r="E41" s="10"/>
      <c r="F41" s="10"/>
      <c r="G41" s="10"/>
      <c r="H41" s="27"/>
      <c r="I41" s="26"/>
      <c r="J41" s="26"/>
    </row>
    <row r="42" spans="1:16" ht="13.15" x14ac:dyDescent="0.4">
      <c r="E42" s="10"/>
      <c r="F42" s="10"/>
      <c r="G42" s="10"/>
      <c r="H42" s="28"/>
      <c r="I42" s="26"/>
      <c r="J42" s="26"/>
    </row>
    <row r="43" spans="1:16" ht="13.15" x14ac:dyDescent="0.4">
      <c r="E43" s="10"/>
      <c r="F43" s="10"/>
      <c r="G43" s="10"/>
      <c r="H43" s="27"/>
      <c r="I43" s="26"/>
      <c r="J43" s="26"/>
    </row>
    <row r="44" spans="1:16" ht="13.15" x14ac:dyDescent="0.4">
      <c r="C44" s="8"/>
      <c r="E44" s="30"/>
      <c r="F44" s="10"/>
      <c r="G44" s="10"/>
      <c r="H44" s="31"/>
      <c r="I44" s="26"/>
      <c r="J44" s="26"/>
    </row>
    <row r="45" spans="1:16" ht="13.15" x14ac:dyDescent="0.4">
      <c r="E45" s="10"/>
      <c r="F45" s="10"/>
      <c r="G45" s="10"/>
      <c r="H45" s="10"/>
      <c r="I45" s="10"/>
    </row>
    <row r="46" spans="1:16" ht="13.15" x14ac:dyDescent="0.4">
      <c r="E46" s="10"/>
      <c r="F46" s="10"/>
      <c r="G46" s="10"/>
      <c r="H46" s="10"/>
      <c r="I46" s="18"/>
    </row>
    <row r="47" spans="1:16" ht="13.15" x14ac:dyDescent="0.4">
      <c r="E47" s="10"/>
      <c r="F47" s="10"/>
      <c r="G47" s="10"/>
      <c r="H47" s="10"/>
      <c r="I47" s="10"/>
    </row>
    <row r="48" spans="1:16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18"/>
    </row>
  </sheetData>
  <mergeCells count="1">
    <mergeCell ref="A1:E1"/>
  </mergeCells>
  <conditionalFormatting sqref="C38">
    <cfRule type="cellIs" dxfId="29" priority="8" operator="lessThan">
      <formula>0.03</formula>
    </cfRule>
    <cfRule type="cellIs" dxfId="28" priority="9" operator="greaterThanOrEqual">
      <formula>0.03</formula>
    </cfRule>
  </conditionalFormatting>
  <conditionalFormatting sqref="D38">
    <cfRule type="cellIs" dxfId="27" priority="6" operator="equal">
      <formula>"&lt;3% = PASS"</formula>
    </cfRule>
    <cfRule type="cellIs" dxfId="26" priority="7" operator="notEqual">
      <formula>"&lt;3% = PASS"</formula>
    </cfRule>
  </conditionalFormatting>
  <conditionalFormatting sqref="O37">
    <cfRule type="cellIs" dxfId="25" priority="3" operator="lessThan">
      <formula>0.03</formula>
    </cfRule>
    <cfRule type="cellIs" dxfId="24" priority="4" operator="greaterThanOrEqual">
      <formula>0.03</formula>
    </cfRule>
  </conditionalFormatting>
  <conditionalFormatting sqref="P37">
    <cfRule type="cellIs" dxfId="23" priority="1" operator="equal">
      <formula>"&lt;3% = PASS"</formula>
    </cfRule>
    <cfRule type="cellIs" dxfId="22" priority="2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06"/>
  <sheetViews>
    <sheetView zoomScale="70" zoomScaleNormal="70" workbookViewId="0">
      <selection activeCell="G22" sqref="G22"/>
    </sheetView>
  </sheetViews>
  <sheetFormatPr defaultColWidth="11.53125" defaultRowHeight="12.75" x14ac:dyDescent="0.35"/>
  <cols>
    <col min="4" max="5" width="11.59765625" bestFit="1" customWidth="1"/>
    <col min="6" max="7" width="12.796875" bestFit="1" customWidth="1"/>
    <col min="8" max="8" width="11.59765625" bestFit="1" customWidth="1"/>
    <col min="9" max="9" width="12.796875" bestFit="1" customWidth="1"/>
    <col min="10" max="10" width="11.59765625" bestFit="1" customWidth="1"/>
    <col min="11" max="12" width="12.796875" bestFit="1" customWidth="1"/>
    <col min="13" max="13" width="11.1328125" customWidth="1"/>
    <col min="14" max="14" width="11.33203125" customWidth="1"/>
    <col min="21" max="21" width="11.33203125" customWidth="1"/>
    <col min="24" max="24" width="11.33203125" customWidth="1"/>
    <col min="28" max="28" width="11.33203125" customWidth="1"/>
  </cols>
  <sheetData>
    <row r="1" spans="1:1009" ht="53" customHeight="1" x14ac:dyDescent="1.05">
      <c r="A1" s="3" t="s">
        <v>10</v>
      </c>
      <c r="B1" s="32" t="s">
        <v>8</v>
      </c>
      <c r="C1" s="182" t="s">
        <v>11</v>
      </c>
      <c r="D1" s="182"/>
      <c r="E1" s="182"/>
      <c r="F1" s="182"/>
      <c r="G1" s="182"/>
      <c r="H1" s="182"/>
      <c r="I1" s="182"/>
      <c r="J1" s="182"/>
      <c r="K1" s="182"/>
      <c r="L1" s="182"/>
      <c r="M1" s="9"/>
      <c r="N1" s="33" t="s">
        <v>334</v>
      </c>
      <c r="P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</row>
    <row r="2" spans="1:1009" ht="13.15" x14ac:dyDescent="0.4">
      <c r="A2" s="34">
        <v>45786</v>
      </c>
    </row>
    <row r="3" spans="1:1009" ht="13.15" x14ac:dyDescent="0.4">
      <c r="N3" s="35" t="s">
        <v>22</v>
      </c>
      <c r="O3" s="36"/>
      <c r="P3" s="36"/>
      <c r="Q3" s="37" t="s">
        <v>23</v>
      </c>
      <c r="AB3" s="8" t="s">
        <v>57</v>
      </c>
      <c r="AC3" s="8"/>
    </row>
    <row r="4" spans="1:1009" ht="15" x14ac:dyDescent="0.5">
      <c r="N4" s="38" t="s">
        <v>24</v>
      </c>
      <c r="Q4" s="39" t="s">
        <v>58</v>
      </c>
      <c r="AA4" t="s">
        <v>59</v>
      </c>
      <c r="AB4" s="8" t="s">
        <v>60</v>
      </c>
      <c r="AC4" s="8" t="s">
        <v>61</v>
      </c>
      <c r="AD4" t="s">
        <v>62</v>
      </c>
    </row>
    <row r="5" spans="1:1009" x14ac:dyDescent="0.35">
      <c r="N5" s="38" t="s">
        <v>27</v>
      </c>
      <c r="Q5" s="39" t="s">
        <v>58</v>
      </c>
      <c r="AB5">
        <v>167569</v>
      </c>
      <c r="AC5" s="9"/>
    </row>
    <row r="6" spans="1:1009" ht="13.15" x14ac:dyDescent="0.4">
      <c r="A6">
        <v>6300</v>
      </c>
      <c r="B6" t="s">
        <v>63</v>
      </c>
      <c r="C6" t="s">
        <v>64</v>
      </c>
      <c r="I6">
        <v>60000</v>
      </c>
      <c r="N6" s="38" t="s">
        <v>28</v>
      </c>
      <c r="Q6" s="40">
        <v>45791</v>
      </c>
      <c r="AB6">
        <v>169407</v>
      </c>
    </row>
    <row r="7" spans="1:1009" x14ac:dyDescent="0.35">
      <c r="A7">
        <v>11.68</v>
      </c>
      <c r="B7" t="s">
        <v>65</v>
      </c>
      <c r="C7" t="s">
        <v>66</v>
      </c>
      <c r="N7" s="38" t="s">
        <v>29</v>
      </c>
      <c r="Q7" s="41" t="s">
        <v>30</v>
      </c>
      <c r="AB7">
        <v>169243</v>
      </c>
      <c r="AC7" s="42">
        <f>SUM(AB5:AB7)/3</f>
        <v>168739.66666666666</v>
      </c>
      <c r="AD7" s="43">
        <f>(MAX(AB5:AB6)-MIN(AB5:AB6))/AC7*100</f>
        <v>1.0892518850537021</v>
      </c>
    </row>
    <row r="8" spans="1:1009" ht="13.15" x14ac:dyDescent="0.4">
      <c r="A8">
        <v>20000</v>
      </c>
      <c r="B8" t="s">
        <v>38</v>
      </c>
      <c r="C8" t="s">
        <v>67</v>
      </c>
      <c r="N8" s="38" t="s">
        <v>31</v>
      </c>
      <c r="Q8" s="44">
        <v>38</v>
      </c>
      <c r="AB8">
        <v>292859</v>
      </c>
      <c r="AC8" s="42"/>
      <c r="AD8" s="43"/>
    </row>
    <row r="9" spans="1:1009" x14ac:dyDescent="0.35">
      <c r="A9">
        <f>A8/10</f>
        <v>2000</v>
      </c>
      <c r="B9" t="s">
        <v>38</v>
      </c>
      <c r="C9" t="s">
        <v>68</v>
      </c>
      <c r="N9" s="38"/>
      <c r="Q9" s="45"/>
      <c r="AB9">
        <v>301110</v>
      </c>
      <c r="AC9" s="42"/>
      <c r="AD9" s="43"/>
    </row>
    <row r="10" spans="1:1009" x14ac:dyDescent="0.35">
      <c r="A10" s="46">
        <f>A9/A6*A7</f>
        <v>3.7079365079365076</v>
      </c>
      <c r="B10" t="s">
        <v>69</v>
      </c>
      <c r="C10" t="s">
        <v>70</v>
      </c>
      <c r="N10" s="47" t="s">
        <v>71</v>
      </c>
      <c r="O10" s="48"/>
      <c r="P10" s="48"/>
      <c r="Q10" s="49" t="s">
        <v>72</v>
      </c>
      <c r="AB10">
        <v>299624</v>
      </c>
      <c r="AC10" s="42"/>
      <c r="AD10" s="43"/>
    </row>
    <row r="11" spans="1:1009" x14ac:dyDescent="0.35">
      <c r="A11" s="50">
        <f>A10*100</f>
        <v>370.79365079365078</v>
      </c>
      <c r="B11" t="s">
        <v>73</v>
      </c>
      <c r="C11" t="s">
        <v>74</v>
      </c>
      <c r="AB11">
        <v>285382</v>
      </c>
      <c r="AC11" s="42">
        <f>SUM(AB8:AB11)/4</f>
        <v>294743.75</v>
      </c>
      <c r="AD11" s="43">
        <f>(MAX(AB8:AB10)-MIN(AB8:AB10))/AC11*100</f>
        <v>2.7993808180835047</v>
      </c>
    </row>
    <row r="12" spans="1:1009" x14ac:dyDescent="0.35">
      <c r="A12">
        <v>200</v>
      </c>
      <c r="B12" t="s">
        <v>51</v>
      </c>
      <c r="C12" t="s">
        <v>75</v>
      </c>
      <c r="AB12">
        <v>458207</v>
      </c>
      <c r="AC12" s="42"/>
      <c r="AD12" s="43"/>
    </row>
    <row r="13" spans="1:1009" ht="13.15" x14ac:dyDescent="0.4">
      <c r="A13" s="51">
        <f>A11*A12/1000</f>
        <v>74.158730158730165</v>
      </c>
      <c r="B13" t="s">
        <v>69</v>
      </c>
      <c r="C13" t="s">
        <v>76</v>
      </c>
      <c r="AB13">
        <v>465138</v>
      </c>
      <c r="AC13" s="42"/>
      <c r="AD13" s="43"/>
    </row>
    <row r="14" spans="1:1009" x14ac:dyDescent="0.35">
      <c r="A14">
        <v>74.66</v>
      </c>
      <c r="B14" t="s">
        <v>69</v>
      </c>
      <c r="C14" t="s">
        <v>77</v>
      </c>
      <c r="AB14">
        <v>454200</v>
      </c>
      <c r="AC14" s="42"/>
      <c r="AD14" s="43"/>
    </row>
    <row r="15" spans="1:1009" x14ac:dyDescent="0.35">
      <c r="A15" s="50">
        <f>A11*A14/A13</f>
        <v>373.29999999999995</v>
      </c>
      <c r="B15" t="s">
        <v>73</v>
      </c>
      <c r="C15" t="s">
        <v>78</v>
      </c>
      <c r="AB15">
        <v>445750</v>
      </c>
      <c r="AC15" s="42"/>
      <c r="AD15" s="43"/>
    </row>
    <row r="16" spans="1:1009" x14ac:dyDescent="0.35">
      <c r="A16" s="50">
        <f>A13/A14*10</f>
        <v>9.9328596515845398</v>
      </c>
      <c r="B16" t="s">
        <v>51</v>
      </c>
      <c r="C16" t="s">
        <v>79</v>
      </c>
      <c r="AB16">
        <v>443747</v>
      </c>
      <c r="AC16" s="42"/>
      <c r="AD16" s="43"/>
    </row>
    <row r="17" spans="1:1009" x14ac:dyDescent="0.35">
      <c r="AB17">
        <v>453143</v>
      </c>
      <c r="AC17" s="42"/>
      <c r="AD17" s="43"/>
    </row>
    <row r="18" spans="1:1009" x14ac:dyDescent="0.35">
      <c r="A18" s="52">
        <v>1000000000</v>
      </c>
      <c r="C18" t="s">
        <v>80</v>
      </c>
      <c r="AB18">
        <v>436276</v>
      </c>
      <c r="AC18" s="42"/>
      <c r="AD18" s="43"/>
    </row>
    <row r="19" spans="1:1009" x14ac:dyDescent="0.35">
      <c r="A19">
        <v>0</v>
      </c>
      <c r="C19" t="s">
        <v>81</v>
      </c>
      <c r="AB19">
        <v>454474</v>
      </c>
      <c r="AC19" s="42"/>
      <c r="AD19" s="43"/>
    </row>
    <row r="20" spans="1:1009" x14ac:dyDescent="0.35">
      <c r="C20" t="s">
        <v>82</v>
      </c>
      <c r="D20" t="s">
        <v>83</v>
      </c>
      <c r="E20" t="s">
        <v>84</v>
      </c>
      <c r="F20" t="s">
        <v>85</v>
      </c>
      <c r="G20" t="s">
        <v>86</v>
      </c>
      <c r="H20" t="s">
        <v>87</v>
      </c>
      <c r="I20" t="s">
        <v>88</v>
      </c>
      <c r="J20" t="s">
        <v>89</v>
      </c>
      <c r="M20" t="s">
        <v>90</v>
      </c>
      <c r="AB20">
        <v>454993</v>
      </c>
      <c r="AC20" s="42"/>
      <c r="AD20" s="43"/>
    </row>
    <row r="21" spans="1:1009" x14ac:dyDescent="0.35">
      <c r="A21" t="s">
        <v>91</v>
      </c>
      <c r="B21" t="s">
        <v>92</v>
      </c>
      <c r="C21" t="s">
        <v>77</v>
      </c>
      <c r="D21" t="s">
        <v>93</v>
      </c>
      <c r="E21" t="s">
        <v>94</v>
      </c>
      <c r="F21" t="s">
        <v>95</v>
      </c>
      <c r="G21" t="s">
        <v>96</v>
      </c>
      <c r="H21" t="s">
        <v>97</v>
      </c>
      <c r="I21" t="s">
        <v>98</v>
      </c>
      <c r="J21" t="s">
        <v>39</v>
      </c>
      <c r="K21" t="str">
        <f>"95%"</f>
        <v>95%</v>
      </c>
      <c r="L21" t="s">
        <v>90</v>
      </c>
      <c r="M21" t="s">
        <v>99</v>
      </c>
      <c r="AB21">
        <v>462615</v>
      </c>
      <c r="AC21" s="42">
        <f>SUM(AB12:AB21)/(17-8+1)</f>
        <v>452854.3</v>
      </c>
      <c r="AD21" s="43">
        <f>(MAX(AB12:AB20)-MIN(AB12:AB20))/AC21*100</f>
        <v>6.3733523122116758</v>
      </c>
    </row>
    <row r="22" spans="1:1009" x14ac:dyDescent="0.35">
      <c r="A22">
        <v>0</v>
      </c>
      <c r="B22">
        <v>0</v>
      </c>
      <c r="C22">
        <v>0</v>
      </c>
      <c r="D22">
        <v>0</v>
      </c>
      <c r="E22">
        <v>0</v>
      </c>
      <c r="F22">
        <v>1</v>
      </c>
      <c r="G22">
        <v>1</v>
      </c>
      <c r="I22">
        <v>1</v>
      </c>
      <c r="J22">
        <v>1</v>
      </c>
      <c r="K22">
        <f t="shared" ref="K22:K37" si="0">I22*0.95</f>
        <v>0.95</v>
      </c>
      <c r="L22">
        <f t="shared" ref="L22:L37" si="1">IF(G22&lt;$A$18, G22, G22*(1+G22/$A$18*$A$19))</f>
        <v>1</v>
      </c>
      <c r="M22">
        <v>1</v>
      </c>
      <c r="AB22">
        <v>578672</v>
      </c>
      <c r="AC22" s="42"/>
      <c r="AD22" s="43"/>
    </row>
    <row r="23" spans="1:1009" x14ac:dyDescent="0.35">
      <c r="A23">
        <v>10</v>
      </c>
      <c r="B23">
        <v>9.9</v>
      </c>
      <c r="C23">
        <f>B23</f>
        <v>9.9</v>
      </c>
      <c r="D23" s="42">
        <f t="shared" ref="D23:D37" si="2">C23*$A$15/1000</f>
        <v>3.6956699999999998</v>
      </c>
      <c r="E23" s="42">
        <f t="shared" ref="E23:E37" si="3">D23/($A$7+C23/1000)</f>
        <v>0.31614213979589217</v>
      </c>
      <c r="F23" s="42">
        <f t="shared" ref="F23:F37" si="4">$A$6*E23*100</f>
        <v>199169.54807141208</v>
      </c>
      <c r="G23" s="42">
        <v>158573</v>
      </c>
      <c r="H23" s="42">
        <f t="shared" ref="H23:H37" si="5">G23/F23</f>
        <v>0.79617090833154769</v>
      </c>
      <c r="I23" s="42">
        <f t="shared" ref="I23:I37" si="6">E23*$C$99</f>
        <v>156479.43552794794</v>
      </c>
      <c r="J23" s="42">
        <f t="shared" ref="J23:J37" si="7">G23/I23</f>
        <v>1.0133791668214329</v>
      </c>
      <c r="K23" s="42">
        <f t="shared" si="0"/>
        <v>148655.46375155053</v>
      </c>
      <c r="L23" s="42">
        <f t="shared" si="1"/>
        <v>158573</v>
      </c>
      <c r="M23" s="42">
        <f t="shared" ref="M23:M37" si="8">L23/I23</f>
        <v>1.0133791668214329</v>
      </c>
      <c r="AB23">
        <v>581090</v>
      </c>
      <c r="AC23" s="42"/>
      <c r="AD23" s="43"/>
    </row>
    <row r="24" spans="1:1009" x14ac:dyDescent="0.35">
      <c r="A24">
        <v>20</v>
      </c>
      <c r="B24">
        <v>9.9</v>
      </c>
      <c r="C24">
        <f t="shared" ref="C24:C37" si="9">C23+B24</f>
        <v>19.8</v>
      </c>
      <c r="D24" s="42">
        <f t="shared" si="2"/>
        <v>7.3913399999999996</v>
      </c>
      <c r="E24" s="42">
        <f t="shared" si="3"/>
        <v>0.63174926067112258</v>
      </c>
      <c r="F24" s="42">
        <f t="shared" si="4"/>
        <v>398002.03422280727</v>
      </c>
      <c r="G24" s="42">
        <v>315866</v>
      </c>
      <c r="H24" s="42">
        <f t="shared" si="5"/>
        <v>0.79362910950141941</v>
      </c>
      <c r="I24" s="42">
        <f t="shared" si="6"/>
        <v>312694.0551766968</v>
      </c>
      <c r="J24" s="42">
        <f t="shared" si="7"/>
        <v>1.0101439242953014</v>
      </c>
      <c r="K24" s="42">
        <f t="shared" si="0"/>
        <v>297059.35241786193</v>
      </c>
      <c r="L24" s="42">
        <f t="shared" si="1"/>
        <v>315866</v>
      </c>
      <c r="M24" s="42">
        <f t="shared" si="8"/>
        <v>1.0101439242953014</v>
      </c>
      <c r="AB24">
        <v>592101</v>
      </c>
      <c r="AC24" s="42"/>
      <c r="AD24" s="43"/>
    </row>
    <row r="25" spans="1:1009" x14ac:dyDescent="0.35">
      <c r="A25">
        <v>30</v>
      </c>
      <c r="B25">
        <v>9.9</v>
      </c>
      <c r="C25">
        <f t="shared" si="9"/>
        <v>29.700000000000003</v>
      </c>
      <c r="D25" s="42">
        <f t="shared" si="2"/>
        <v>11.087009999999999</v>
      </c>
      <c r="E25" s="42">
        <f t="shared" si="3"/>
        <v>0.94682271962560949</v>
      </c>
      <c r="F25" s="42">
        <f t="shared" si="4"/>
        <v>596498.31336413394</v>
      </c>
      <c r="G25" s="42">
        <v>471092</v>
      </c>
      <c r="H25" s="42">
        <f t="shared" si="5"/>
        <v>0.78976250132734349</v>
      </c>
      <c r="I25" s="42">
        <f t="shared" si="6"/>
        <v>468644.53061431763</v>
      </c>
      <c r="J25" s="42">
        <f t="shared" si="7"/>
        <v>1.0052224430795642</v>
      </c>
      <c r="K25" s="42">
        <f t="shared" si="0"/>
        <v>445212.30408360175</v>
      </c>
      <c r="L25" s="42">
        <f t="shared" si="1"/>
        <v>471092</v>
      </c>
      <c r="M25" s="42">
        <f t="shared" si="8"/>
        <v>1.0052224430795642</v>
      </c>
      <c r="AB25">
        <v>600145</v>
      </c>
      <c r="AC25" s="42"/>
      <c r="AD25" s="43"/>
    </row>
    <row r="26" spans="1:1009" ht="13.15" x14ac:dyDescent="0.4">
      <c r="A26">
        <v>40</v>
      </c>
      <c r="B26">
        <v>9.9</v>
      </c>
      <c r="C26">
        <f t="shared" si="9"/>
        <v>39.6</v>
      </c>
      <c r="D26" s="42">
        <f t="shared" si="2"/>
        <v>14.782679999999999</v>
      </c>
      <c r="E26" s="42">
        <f t="shared" si="3"/>
        <v>1.2613638690740299</v>
      </c>
      <c r="F26" s="42">
        <f t="shared" si="4"/>
        <v>794659.23751663882</v>
      </c>
      <c r="G26" s="42">
        <v>620381</v>
      </c>
      <c r="H26" s="42">
        <f t="shared" si="5"/>
        <v>0.78068808705820936</v>
      </c>
      <c r="I26" s="42">
        <f t="shared" si="6"/>
        <v>624331.53123934555</v>
      </c>
      <c r="J26" s="42">
        <f t="shared" si="7"/>
        <v>0.99367238231344257</v>
      </c>
      <c r="K26" s="42">
        <f t="shared" si="0"/>
        <v>593114.95467737829</v>
      </c>
      <c r="L26" s="42">
        <f t="shared" si="1"/>
        <v>620381</v>
      </c>
      <c r="M26" s="42">
        <f t="shared" si="8"/>
        <v>0.99367238231344257</v>
      </c>
      <c r="P26" s="8"/>
      <c r="Q26" s="8"/>
      <c r="AB26">
        <v>599839</v>
      </c>
      <c r="AC26" s="42"/>
      <c r="AD26" s="43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</row>
    <row r="27" spans="1:1009" x14ac:dyDescent="0.35">
      <c r="A27">
        <v>50</v>
      </c>
      <c r="B27">
        <v>9.9</v>
      </c>
      <c r="C27">
        <f t="shared" si="9"/>
        <v>49.5</v>
      </c>
      <c r="D27" s="42">
        <f t="shared" si="2"/>
        <v>18.478349999999999</v>
      </c>
      <c r="E27" s="42">
        <f t="shared" si="3"/>
        <v>1.5753740568651688</v>
      </c>
      <c r="F27" s="42">
        <f t="shared" si="4"/>
        <v>992485.65582505637</v>
      </c>
      <c r="G27" s="42">
        <v>760309</v>
      </c>
      <c r="H27" s="42">
        <f t="shared" si="5"/>
        <v>0.76606547967481986</v>
      </c>
      <c r="I27" s="42">
        <f t="shared" si="6"/>
        <v>779755.72419035691</v>
      </c>
      <c r="J27" s="42">
        <f t="shared" si="7"/>
        <v>0.97506049191168298</v>
      </c>
      <c r="K27" s="42">
        <f t="shared" si="0"/>
        <v>740767.93798083905</v>
      </c>
      <c r="L27" s="42">
        <f t="shared" si="1"/>
        <v>760309</v>
      </c>
      <c r="M27" s="42">
        <f t="shared" si="8"/>
        <v>0.97506049191168298</v>
      </c>
      <c r="AB27">
        <v>606849</v>
      </c>
      <c r="AC27" s="42"/>
      <c r="AD27" s="43"/>
    </row>
    <row r="28" spans="1:1009" x14ac:dyDescent="0.35">
      <c r="A28">
        <v>60</v>
      </c>
      <c r="B28">
        <v>9.9</v>
      </c>
      <c r="C28">
        <f t="shared" si="9"/>
        <v>59.4</v>
      </c>
      <c r="D28" s="42">
        <f t="shared" si="2"/>
        <v>22.174019999999995</v>
      </c>
      <c r="E28" s="42">
        <f t="shared" si="3"/>
        <v>1.8888546263011734</v>
      </c>
      <c r="F28" s="42">
        <f t="shared" si="4"/>
        <v>1189978.4145697393</v>
      </c>
      <c r="G28" s="42">
        <v>922391</v>
      </c>
      <c r="H28" s="42">
        <f t="shared" si="5"/>
        <v>0.7751325475374351</v>
      </c>
      <c r="I28" s="42">
        <f t="shared" si="6"/>
        <v>934917.77435549931</v>
      </c>
      <c r="J28" s="42">
        <f t="shared" si="7"/>
        <v>0.98660120205315938</v>
      </c>
      <c r="K28" s="42">
        <f t="shared" si="0"/>
        <v>888171.88563772431</v>
      </c>
      <c r="L28" s="42">
        <f t="shared" si="1"/>
        <v>922391</v>
      </c>
      <c r="M28" s="42">
        <f t="shared" si="8"/>
        <v>0.98660120205315938</v>
      </c>
      <c r="AB28">
        <v>607236</v>
      </c>
      <c r="AC28" s="42"/>
      <c r="AD28" s="43"/>
    </row>
    <row r="29" spans="1:1009" x14ac:dyDescent="0.35">
      <c r="A29">
        <v>70</v>
      </c>
      <c r="B29">
        <v>9.9</v>
      </c>
      <c r="C29">
        <f t="shared" si="9"/>
        <v>69.3</v>
      </c>
      <c r="D29" s="42">
        <f t="shared" si="2"/>
        <v>25.869689999999995</v>
      </c>
      <c r="E29" s="42">
        <f t="shared" si="3"/>
        <v>2.2018069161567069</v>
      </c>
      <c r="F29" s="42">
        <f t="shared" si="4"/>
        <v>1387138.3571787253</v>
      </c>
      <c r="G29" s="42">
        <f>1143045-$I$6</f>
        <v>1083045</v>
      </c>
      <c r="H29" s="42">
        <f t="shared" si="5"/>
        <v>0.78077647726704413</v>
      </c>
      <c r="I29" s="42">
        <f t="shared" si="6"/>
        <v>1089818.3443819722</v>
      </c>
      <c r="J29" s="42">
        <f t="shared" si="7"/>
        <v>0.99378488679614463</v>
      </c>
      <c r="K29" s="42">
        <f t="shared" si="0"/>
        <v>1035327.4271628736</v>
      </c>
      <c r="L29" s="42">
        <f t="shared" si="1"/>
        <v>1083045</v>
      </c>
      <c r="M29" s="42">
        <f t="shared" si="8"/>
        <v>0.99378488679614463</v>
      </c>
      <c r="AB29">
        <v>615108</v>
      </c>
      <c r="AC29" s="42">
        <f>SUM(AB22:AB29)/8</f>
        <v>597630</v>
      </c>
      <c r="AD29" s="43">
        <f>(MAX(AB22:AB28)-MIN(AB22:AB28))/AC29*100</f>
        <v>4.7795458728644817</v>
      </c>
    </row>
    <row r="30" spans="1:1009" ht="13.15" x14ac:dyDescent="0.4">
      <c r="A30">
        <v>80</v>
      </c>
      <c r="B30">
        <v>9.9</v>
      </c>
      <c r="C30">
        <f t="shared" si="9"/>
        <v>79.2</v>
      </c>
      <c r="D30" s="42">
        <f t="shared" si="2"/>
        <v>29.565359999999998</v>
      </c>
      <c r="E30" s="42">
        <f t="shared" si="3"/>
        <v>2.5142322606980065</v>
      </c>
      <c r="F30" s="42">
        <f t="shared" si="4"/>
        <v>1583966.3242397441</v>
      </c>
      <c r="G30" s="42">
        <f>1304140 -$I$6</f>
        <v>1244140</v>
      </c>
      <c r="H30" s="42">
        <f t="shared" si="5"/>
        <v>0.7854586180025952</v>
      </c>
      <c r="I30" s="42">
        <f t="shared" si="6"/>
        <v>1244458.0946854604</v>
      </c>
      <c r="J30" s="42">
        <f t="shared" si="7"/>
        <v>0.99974439100294421</v>
      </c>
      <c r="K30" s="42">
        <f t="shared" si="0"/>
        <v>1182235.1899511875</v>
      </c>
      <c r="L30" s="42">
        <f t="shared" si="1"/>
        <v>1244140</v>
      </c>
      <c r="M30" s="42">
        <f t="shared" si="8"/>
        <v>0.99974439100294421</v>
      </c>
      <c r="AB30" s="8">
        <v>723681</v>
      </c>
      <c r="AC30" s="53"/>
      <c r="AD30" s="43"/>
    </row>
    <row r="31" spans="1:1009" x14ac:dyDescent="0.35">
      <c r="A31">
        <v>90</v>
      </c>
      <c r="B31">
        <v>9.9</v>
      </c>
      <c r="C31">
        <f t="shared" si="9"/>
        <v>89.100000000000009</v>
      </c>
      <c r="D31" s="42">
        <f t="shared" si="2"/>
        <v>33.261029999999998</v>
      </c>
      <c r="E31" s="42">
        <f t="shared" si="3"/>
        <v>2.8261319897018464</v>
      </c>
      <c r="F31" s="42">
        <f t="shared" si="4"/>
        <v>1780463.1535121633</v>
      </c>
      <c r="G31" s="42">
        <f>1467530-$I$6</f>
        <v>1407530</v>
      </c>
      <c r="H31" s="42">
        <f t="shared" si="5"/>
        <v>0.79054149321960931</v>
      </c>
      <c r="I31" s="42">
        <f t="shared" si="6"/>
        <v>1398837.6834595192</v>
      </c>
      <c r="J31" s="42">
        <f t="shared" si="7"/>
        <v>1.0062139565178023</v>
      </c>
      <c r="K31" s="42">
        <f t="shared" si="0"/>
        <v>1328895.7992865432</v>
      </c>
      <c r="L31" s="42">
        <f t="shared" si="1"/>
        <v>1407530</v>
      </c>
      <c r="M31" s="42">
        <f t="shared" si="8"/>
        <v>1.0062139565178023</v>
      </c>
      <c r="AB31">
        <v>707528</v>
      </c>
      <c r="AC31" s="42"/>
      <c r="AD31" s="43"/>
    </row>
    <row r="32" spans="1:1009" x14ac:dyDescent="0.35">
      <c r="A32">
        <v>100</v>
      </c>
      <c r="B32">
        <v>9.9</v>
      </c>
      <c r="C32">
        <f t="shared" si="9"/>
        <v>99.000000000000014</v>
      </c>
      <c r="D32" s="42">
        <f t="shared" si="2"/>
        <v>36.956700000000005</v>
      </c>
      <c r="E32" s="42">
        <f t="shared" si="3"/>
        <v>3.1375074284744042</v>
      </c>
      <c r="F32" s="42">
        <f t="shared" si="4"/>
        <v>1976629.6799388747</v>
      </c>
      <c r="G32" s="42">
        <f>1622624-$I$6</f>
        <v>1562624</v>
      </c>
      <c r="H32" s="42">
        <f t="shared" si="5"/>
        <v>0.79054969975373568</v>
      </c>
      <c r="I32" s="42">
        <f t="shared" si="6"/>
        <v>1552957.7666849128</v>
      </c>
      <c r="J32" s="42">
        <f t="shared" si="7"/>
        <v>1.0062244019267321</v>
      </c>
      <c r="K32" s="42">
        <f t="shared" si="0"/>
        <v>1475309.8783506672</v>
      </c>
      <c r="L32" s="42">
        <f t="shared" si="1"/>
        <v>1562624</v>
      </c>
      <c r="M32" s="42">
        <f t="shared" si="8"/>
        <v>1.0062244019267321</v>
      </c>
      <c r="AB32">
        <v>726643</v>
      </c>
      <c r="AC32" s="42"/>
      <c r="AD32" s="43"/>
    </row>
    <row r="33" spans="1:30" x14ac:dyDescent="0.35">
      <c r="A33">
        <v>110</v>
      </c>
      <c r="B33">
        <v>9.9</v>
      </c>
      <c r="C33">
        <f t="shared" si="9"/>
        <v>108.90000000000002</v>
      </c>
      <c r="D33" s="42">
        <f t="shared" si="2"/>
        <v>40.652370000000005</v>
      </c>
      <c r="E33" s="42">
        <f t="shared" si="3"/>
        <v>3.4483598978700307</v>
      </c>
      <c r="F33" s="42">
        <f t="shared" si="4"/>
        <v>2172466.7356581194</v>
      </c>
      <c r="G33" s="42">
        <f>1773393-$I$6</f>
        <v>1713393</v>
      </c>
      <c r="H33" s="42">
        <f t="shared" si="5"/>
        <v>0.78868549371871088</v>
      </c>
      <c r="I33" s="42">
        <f t="shared" si="6"/>
        <v>1706818.9981389057</v>
      </c>
      <c r="J33" s="42">
        <f t="shared" si="7"/>
        <v>1.0038516104333632</v>
      </c>
      <c r="K33" s="42">
        <f t="shared" si="0"/>
        <v>1621478.0482319603</v>
      </c>
      <c r="L33" s="42">
        <f t="shared" si="1"/>
        <v>1713393</v>
      </c>
      <c r="M33" s="42">
        <f t="shared" si="8"/>
        <v>1.0038516104333632</v>
      </c>
      <c r="AB33">
        <v>726839</v>
      </c>
      <c r="AC33" s="42"/>
      <c r="AD33" s="43"/>
    </row>
    <row r="34" spans="1:30" x14ac:dyDescent="0.35">
      <c r="A34">
        <v>120</v>
      </c>
      <c r="B34">
        <v>9.9</v>
      </c>
      <c r="C34">
        <f t="shared" si="9"/>
        <v>118.80000000000003</v>
      </c>
      <c r="D34" s="42">
        <f t="shared" si="2"/>
        <v>44.348039999999997</v>
      </c>
      <c r="E34" s="42">
        <f t="shared" si="3"/>
        <v>3.7586907143099295</v>
      </c>
      <c r="F34" s="42">
        <f t="shared" si="4"/>
        <v>2367975.1500152559</v>
      </c>
      <c r="G34" s="42">
        <f>1933206-$I$6</f>
        <v>1873206</v>
      </c>
      <c r="H34" s="42">
        <f t="shared" si="5"/>
        <v>0.79105813250951207</v>
      </c>
      <c r="I34" s="42">
        <f t="shared" si="6"/>
        <v>1860422.0294045073</v>
      </c>
      <c r="J34" s="42">
        <f t="shared" si="7"/>
        <v>1.0068715433344899</v>
      </c>
      <c r="K34" s="42">
        <f t="shared" si="0"/>
        <v>1767400.9279342818</v>
      </c>
      <c r="L34" s="42">
        <f t="shared" si="1"/>
        <v>1873206</v>
      </c>
      <c r="M34" s="42">
        <f t="shared" si="8"/>
        <v>1.0068715433344899</v>
      </c>
      <c r="AB34">
        <v>732858</v>
      </c>
      <c r="AC34" s="42"/>
      <c r="AD34" s="43"/>
    </row>
    <row r="35" spans="1:30" x14ac:dyDescent="0.35">
      <c r="A35">
        <v>130</v>
      </c>
      <c r="B35">
        <v>9.9</v>
      </c>
      <c r="C35">
        <f t="shared" si="9"/>
        <v>128.70000000000002</v>
      </c>
      <c r="D35" s="42">
        <f t="shared" si="2"/>
        <v>48.043709999999997</v>
      </c>
      <c r="E35" s="42">
        <f t="shared" si="3"/>
        <v>4.0685011898007399</v>
      </c>
      <c r="F35" s="42">
        <f t="shared" si="4"/>
        <v>2563155.7495744661</v>
      </c>
      <c r="G35" s="42">
        <f>2089887-$I$6</f>
        <v>2029887</v>
      </c>
      <c r="H35" s="42">
        <f t="shared" si="5"/>
        <v>0.79194836300408233</v>
      </c>
      <c r="I35" s="42">
        <f t="shared" si="6"/>
        <v>2013767.5098796701</v>
      </c>
      <c r="J35" s="42">
        <f t="shared" si="7"/>
        <v>1.0080046430589662</v>
      </c>
      <c r="K35" s="42">
        <f t="shared" si="0"/>
        <v>1913079.1343856866</v>
      </c>
      <c r="L35" s="42">
        <f t="shared" si="1"/>
        <v>2029887</v>
      </c>
      <c r="M35" s="42">
        <f t="shared" si="8"/>
        <v>1.0080046430589662</v>
      </c>
      <c r="AB35">
        <v>705786</v>
      </c>
      <c r="AC35" s="42"/>
      <c r="AD35" s="43"/>
    </row>
    <row r="36" spans="1:30" x14ac:dyDescent="0.35">
      <c r="A36">
        <v>140</v>
      </c>
      <c r="B36">
        <v>9.9</v>
      </c>
      <c r="C36">
        <f t="shared" si="9"/>
        <v>138.60000000000002</v>
      </c>
      <c r="D36" s="42">
        <f t="shared" si="2"/>
        <v>51.739380000000004</v>
      </c>
      <c r="E36" s="42">
        <f t="shared" si="3"/>
        <v>4.3777926319530236</v>
      </c>
      <c r="F36" s="42">
        <f t="shared" si="4"/>
        <v>2758009.3581304047</v>
      </c>
      <c r="G36" s="42">
        <f>2257397-$I$6</f>
        <v>2197397</v>
      </c>
      <c r="H36" s="42">
        <f t="shared" si="5"/>
        <v>0.7967329746442805</v>
      </c>
      <c r="I36" s="42">
        <f t="shared" si="6"/>
        <v>2166856.0867864401</v>
      </c>
      <c r="J36" s="42">
        <f t="shared" si="7"/>
        <v>1.0140945738850859</v>
      </c>
      <c r="K36" s="42">
        <f t="shared" si="0"/>
        <v>2058513.2824471181</v>
      </c>
      <c r="L36" s="42">
        <f t="shared" si="1"/>
        <v>2197397</v>
      </c>
      <c r="M36" s="42">
        <f t="shared" si="8"/>
        <v>1.0140945738850859</v>
      </c>
      <c r="AB36">
        <v>700985</v>
      </c>
      <c r="AC36" s="42"/>
      <c r="AD36" s="43"/>
    </row>
    <row r="37" spans="1:30" x14ac:dyDescent="0.35">
      <c r="A37">
        <v>150</v>
      </c>
      <c r="B37">
        <v>9.9</v>
      </c>
      <c r="C37">
        <f t="shared" si="9"/>
        <v>148.50000000000003</v>
      </c>
      <c r="D37" s="42">
        <f t="shared" si="2"/>
        <v>55.435050000000004</v>
      </c>
      <c r="E37" s="42">
        <f t="shared" si="3"/>
        <v>4.6865663439996625</v>
      </c>
      <c r="F37" s="42">
        <f t="shared" si="4"/>
        <v>2952536.7967197876</v>
      </c>
      <c r="G37" s="42">
        <f>2386943-$I$6</f>
        <v>2326943</v>
      </c>
      <c r="H37" s="42">
        <f t="shared" si="5"/>
        <v>0.78811651139629813</v>
      </c>
      <c r="I37" s="42">
        <f t="shared" si="6"/>
        <v>2319688.4051800636</v>
      </c>
      <c r="J37" s="42">
        <f t="shared" si="7"/>
        <v>1.0031274005610997</v>
      </c>
      <c r="K37" s="42">
        <f t="shared" si="0"/>
        <v>2203703.9849210605</v>
      </c>
      <c r="L37" s="42">
        <f t="shared" si="1"/>
        <v>2326943</v>
      </c>
      <c r="M37" s="42">
        <f t="shared" si="8"/>
        <v>1.0031274005610997</v>
      </c>
      <c r="AB37">
        <v>726528</v>
      </c>
      <c r="AC37" s="42"/>
      <c r="AD37" s="43"/>
    </row>
    <row r="38" spans="1:30" x14ac:dyDescent="0.35">
      <c r="AB38">
        <v>735848</v>
      </c>
      <c r="AC38" s="42">
        <f>SUM(AB30:AB38)/9</f>
        <v>720744</v>
      </c>
      <c r="AD38" s="43">
        <f>(MAX(AB30:AB37)-MIN(AB30:AB37))/AC38*100</f>
        <v>4.4222359117800494</v>
      </c>
    </row>
    <row r="39" spans="1:30" x14ac:dyDescent="0.35">
      <c r="AB39">
        <v>731747</v>
      </c>
      <c r="AC39" s="42"/>
      <c r="AD39" s="43"/>
    </row>
    <row r="40" spans="1:30" x14ac:dyDescent="0.35">
      <c r="AB40">
        <v>836817</v>
      </c>
      <c r="AC40" s="42"/>
      <c r="AD40" s="43"/>
    </row>
    <row r="41" spans="1:30" x14ac:dyDescent="0.35">
      <c r="AB41">
        <v>827707</v>
      </c>
      <c r="AC41" s="42"/>
      <c r="AD41" s="43"/>
    </row>
    <row r="42" spans="1:30" x14ac:dyDescent="0.35">
      <c r="AB42">
        <v>822322</v>
      </c>
      <c r="AC42" s="42"/>
      <c r="AD42" s="43"/>
    </row>
    <row r="43" spans="1:30" x14ac:dyDescent="0.35">
      <c r="AB43">
        <v>853847</v>
      </c>
      <c r="AC43" s="42"/>
      <c r="AD43" s="43"/>
    </row>
    <row r="44" spans="1:30" x14ac:dyDescent="0.35">
      <c r="AB44">
        <v>848079</v>
      </c>
      <c r="AC44" s="42">
        <f>SUM(AB40:AB44)/5</f>
        <v>837754.4</v>
      </c>
      <c r="AD44" s="43">
        <f>(MAX(AB40:AB43)-MIN(AB40:AB43))/AC44*100</f>
        <v>3.7630360401568765</v>
      </c>
    </row>
    <row r="45" spans="1:30" x14ac:dyDescent="0.35">
      <c r="AB45">
        <v>954372</v>
      </c>
      <c r="AC45" s="42"/>
      <c r="AD45" s="43"/>
    </row>
    <row r="46" spans="1:30" x14ac:dyDescent="0.35">
      <c r="AB46">
        <v>944582</v>
      </c>
      <c r="AC46" s="42"/>
      <c r="AD46" s="43"/>
    </row>
    <row r="47" spans="1:30" x14ac:dyDescent="0.35">
      <c r="AB47">
        <v>968293</v>
      </c>
      <c r="AC47" s="42"/>
      <c r="AD47" s="43"/>
    </row>
    <row r="48" spans="1:30" x14ac:dyDescent="0.35">
      <c r="AB48">
        <v>955723</v>
      </c>
      <c r="AC48" s="42"/>
      <c r="AD48" s="43"/>
    </row>
    <row r="49" spans="28:30" x14ac:dyDescent="0.35">
      <c r="AB49">
        <v>964172</v>
      </c>
      <c r="AC49" s="42"/>
      <c r="AD49" s="43"/>
    </row>
    <row r="50" spans="28:30" x14ac:dyDescent="0.35">
      <c r="AB50">
        <v>920144</v>
      </c>
      <c r="AC50" s="42"/>
      <c r="AD50" s="43"/>
    </row>
    <row r="51" spans="28:30" x14ac:dyDescent="0.35">
      <c r="AB51">
        <v>949327</v>
      </c>
      <c r="AC51" s="42"/>
      <c r="AD51" s="43"/>
    </row>
    <row r="52" spans="28:30" x14ac:dyDescent="0.35">
      <c r="AB52">
        <v>956910</v>
      </c>
      <c r="AC52" s="42"/>
      <c r="AD52" s="43"/>
    </row>
    <row r="53" spans="28:30" x14ac:dyDescent="0.35">
      <c r="AB53">
        <v>951584</v>
      </c>
      <c r="AC53" s="42"/>
      <c r="AD53" s="43"/>
    </row>
    <row r="54" spans="28:30" x14ac:dyDescent="0.35">
      <c r="AB54">
        <v>971636</v>
      </c>
      <c r="AC54" s="42">
        <f>SUM(AB45:AB54)/10</f>
        <v>953674.3</v>
      </c>
      <c r="AD54" s="43">
        <f>(MAX(AB45:AB53)-MIN(AB45:AB53))/AC54*100</f>
        <v>5.0487886692553214</v>
      </c>
    </row>
    <row r="55" spans="28:30" x14ac:dyDescent="0.35">
      <c r="AB55">
        <v>1084905</v>
      </c>
      <c r="AC55" s="42"/>
      <c r="AD55" s="43"/>
    </row>
    <row r="56" spans="28:30" x14ac:dyDescent="0.35">
      <c r="AB56">
        <v>1073791</v>
      </c>
      <c r="AC56" s="42"/>
      <c r="AD56" s="43"/>
    </row>
    <row r="57" spans="28:30" x14ac:dyDescent="0.35">
      <c r="AB57">
        <v>1082662</v>
      </c>
      <c r="AC57" s="42"/>
      <c r="AD57" s="43"/>
    </row>
    <row r="58" spans="28:30" x14ac:dyDescent="0.35">
      <c r="AB58">
        <v>1095580</v>
      </c>
      <c r="AC58" s="42"/>
      <c r="AD58" s="43"/>
    </row>
    <row r="59" spans="28:30" x14ac:dyDescent="0.35">
      <c r="AB59">
        <v>1092684</v>
      </c>
      <c r="AC59" s="42">
        <f>SUM(AB55:AB59)/5</f>
        <v>1085924.3999999999</v>
      </c>
      <c r="AD59" s="43">
        <f>(MAX(AB55:AB58)-MIN(AB55:AB58))/AC59*100</f>
        <v>2.0064932696972275</v>
      </c>
    </row>
    <row r="60" spans="28:30" x14ac:dyDescent="0.35">
      <c r="AB60">
        <v>1205750</v>
      </c>
      <c r="AC60" s="42"/>
      <c r="AD60" s="43"/>
    </row>
    <row r="61" spans="28:30" x14ac:dyDescent="0.35">
      <c r="AB61">
        <v>1188471</v>
      </c>
      <c r="AC61" s="42"/>
      <c r="AD61" s="43"/>
    </row>
    <row r="62" spans="28:30" x14ac:dyDescent="0.35">
      <c r="AB62">
        <v>1219844</v>
      </c>
      <c r="AC62" s="42"/>
      <c r="AD62" s="43"/>
    </row>
    <row r="63" spans="28:30" x14ac:dyDescent="0.35">
      <c r="AB63">
        <v>1175662</v>
      </c>
      <c r="AC63" s="42"/>
      <c r="AD63" s="43"/>
    </row>
    <row r="64" spans="28:30" x14ac:dyDescent="0.35">
      <c r="AB64">
        <v>1207639</v>
      </c>
      <c r="AC64" s="42">
        <f>SUM(AB60:AB64)/5</f>
        <v>1199473.2</v>
      </c>
      <c r="AD64" s="43">
        <f>(MAX(AB60:AB63)-MIN(AB60:AB63))/AC64*100</f>
        <v>3.6834503680449049</v>
      </c>
    </row>
    <row r="65" spans="2:30" x14ac:dyDescent="0.35">
      <c r="AB65">
        <v>1404845</v>
      </c>
      <c r="AC65" s="42"/>
      <c r="AD65" s="43"/>
    </row>
    <row r="66" spans="2:30" x14ac:dyDescent="0.35">
      <c r="AB66">
        <v>1399177</v>
      </c>
      <c r="AC66" s="42"/>
      <c r="AD66" s="43"/>
    </row>
    <row r="67" spans="2:30" x14ac:dyDescent="0.35">
      <c r="AB67">
        <v>1434430</v>
      </c>
      <c r="AC67" s="42"/>
      <c r="AD67" s="43"/>
    </row>
    <row r="68" spans="2:30" x14ac:dyDescent="0.35">
      <c r="AB68">
        <v>1417323</v>
      </c>
      <c r="AC68" s="42"/>
      <c r="AD68" s="43"/>
    </row>
    <row r="69" spans="2:30" x14ac:dyDescent="0.35">
      <c r="AB69">
        <v>1428968</v>
      </c>
      <c r="AC69" s="42">
        <f>SUM(AB65:AB69)/5</f>
        <v>1416948.6</v>
      </c>
      <c r="AD69" s="43">
        <f>(MAX(AB65:AB68)-MIN(AB65:AB68))/AC69*100</f>
        <v>2.4879519271200095</v>
      </c>
    </row>
    <row r="70" spans="2:30" x14ac:dyDescent="0.35">
      <c r="AB70">
        <v>1502457</v>
      </c>
      <c r="AC70" s="42"/>
      <c r="AD70" s="43"/>
    </row>
    <row r="71" spans="2:30" x14ac:dyDescent="0.35">
      <c r="AB71">
        <v>1504837</v>
      </c>
      <c r="AC71" s="42"/>
      <c r="AD71" s="43"/>
    </row>
    <row r="72" spans="2:30" ht="13.15" x14ac:dyDescent="0.4">
      <c r="B72" s="8" t="s">
        <v>88</v>
      </c>
      <c r="I72" s="8" t="s">
        <v>88</v>
      </c>
      <c r="AB72">
        <v>1524086</v>
      </c>
      <c r="AC72" s="42"/>
      <c r="AD72" s="43"/>
    </row>
    <row r="73" spans="2:30" x14ac:dyDescent="0.35">
      <c r="B73" t="s">
        <v>100</v>
      </c>
      <c r="C73" t="s">
        <v>101</v>
      </c>
      <c r="I73" t="s">
        <v>100</v>
      </c>
      <c r="J73" t="s">
        <v>102</v>
      </c>
      <c r="AB73">
        <v>1554010</v>
      </c>
      <c r="AC73" s="42"/>
      <c r="AD73" s="43"/>
    </row>
    <row r="74" spans="2:30" x14ac:dyDescent="0.35">
      <c r="AB74">
        <v>1549983</v>
      </c>
      <c r="AC74" s="42"/>
      <c r="AD74" s="43"/>
    </row>
    <row r="75" spans="2:30" x14ac:dyDescent="0.35">
      <c r="B75" t="s">
        <v>103</v>
      </c>
      <c r="I75" t="s">
        <v>103</v>
      </c>
      <c r="AB75">
        <v>1512338</v>
      </c>
      <c r="AC75" s="42"/>
      <c r="AD75" s="43"/>
    </row>
    <row r="76" spans="2:30" x14ac:dyDescent="0.35">
      <c r="B76">
        <f t="array" ref="B76:C80">LINEST($G$22:$G$26, $E$22:$E$26, 0, 1)</f>
        <v>494965.44696311047</v>
      </c>
      <c r="C76">
        <v>0</v>
      </c>
      <c r="I76">
        <f t="array" ref="I76:J80">LINEST(LN($J$22:$J$36), LN($G$22:$G$36), 1, 1)</f>
        <v>1.0811750846014074E-4</v>
      </c>
      <c r="J76">
        <v>8.3215736731011248E-5</v>
      </c>
      <c r="AB76">
        <v>1494015</v>
      </c>
      <c r="AC76" s="42"/>
      <c r="AD76" s="43"/>
    </row>
    <row r="77" spans="2:30" x14ac:dyDescent="0.35">
      <c r="B77">
        <v>1736.9316789731779</v>
      </c>
      <c r="C77" t="e">
        <v>#N/A</v>
      </c>
      <c r="I77">
        <v>8.0891524189165341E-4</v>
      </c>
      <c r="J77">
        <v>1.0765894584772222E-2</v>
      </c>
      <c r="AB77">
        <v>1540956</v>
      </c>
      <c r="AC77" s="42"/>
      <c r="AD77" s="43"/>
    </row>
    <row r="78" spans="2:30" x14ac:dyDescent="0.35">
      <c r="B78">
        <v>0.99995074454820643</v>
      </c>
      <c r="C78">
        <v>3001.7099554927154</v>
      </c>
      <c r="I78">
        <v>1.37229120669095E-3</v>
      </c>
      <c r="J78">
        <v>1.0982714893946437E-2</v>
      </c>
      <c r="AB78">
        <v>1535685</v>
      </c>
      <c r="AC78" s="42"/>
      <c r="AD78" s="43"/>
    </row>
    <row r="79" spans="2:30" x14ac:dyDescent="0.35">
      <c r="B79">
        <v>81205.284542923371</v>
      </c>
      <c r="C79">
        <v>4</v>
      </c>
      <c r="I79">
        <v>1.7864300709760035E-2</v>
      </c>
      <c r="J79">
        <v>13</v>
      </c>
      <c r="AB79">
        <v>1543844</v>
      </c>
      <c r="AC79" s="42">
        <f>SUM(AB70:AB79)/10</f>
        <v>1526221.1</v>
      </c>
      <c r="AD79" s="43">
        <f>(MAX(AB70:AB78)-MIN(AB70:AB78))/AC79*100</f>
        <v>3.9309507646041584</v>
      </c>
    </row>
    <row r="80" spans="2:30" x14ac:dyDescent="0.35">
      <c r="B80">
        <v>731680942860.37244</v>
      </c>
      <c r="C80">
        <v>36041050.627616316</v>
      </c>
      <c r="I80">
        <v>2.1547924239739662E-6</v>
      </c>
      <c r="J80">
        <v>1.5680603437422677E-3</v>
      </c>
      <c r="AB80">
        <v>1665079</v>
      </c>
      <c r="AC80" s="42"/>
      <c r="AD80" s="43"/>
    </row>
    <row r="81" spans="2:30" x14ac:dyDescent="0.35">
      <c r="AB81">
        <v>1647703</v>
      </c>
      <c r="AC81" s="42"/>
      <c r="AD81" s="43"/>
    </row>
    <row r="82" spans="2:30" x14ac:dyDescent="0.35">
      <c r="B82" t="s">
        <v>104</v>
      </c>
      <c r="I82" t="s">
        <v>104</v>
      </c>
      <c r="AB82">
        <v>1659088</v>
      </c>
      <c r="AC82" s="42"/>
      <c r="AD82" s="43"/>
    </row>
    <row r="83" spans="2:30" x14ac:dyDescent="0.35">
      <c r="B83" t="s">
        <v>105</v>
      </c>
      <c r="C83">
        <f>$B$78</f>
        <v>0.99995074454820643</v>
      </c>
      <c r="I83" t="s">
        <v>105</v>
      </c>
      <c r="J83">
        <f>$I$78</f>
        <v>1.37229120669095E-3</v>
      </c>
      <c r="AB83">
        <v>1647890</v>
      </c>
      <c r="AC83" s="42"/>
      <c r="AD83" s="43"/>
    </row>
    <row r="84" spans="2:30" x14ac:dyDescent="0.35">
      <c r="B84" t="s">
        <v>106</v>
      </c>
      <c r="C84">
        <f>$C$78</f>
        <v>3001.7099554927154</v>
      </c>
      <c r="I84" t="s">
        <v>106</v>
      </c>
      <c r="J84">
        <f>$J$78</f>
        <v>1.0982714893946437E-2</v>
      </c>
      <c r="AB84">
        <v>1649454</v>
      </c>
      <c r="AC84" s="42">
        <f>SUM(AB80:AB84)/5</f>
        <v>1653842.8</v>
      </c>
      <c r="AD84" s="43">
        <f>(MAX(AB80:AB83)-MIN(AB80:AB83))/AC84*100</f>
        <v>1.0506439910733958</v>
      </c>
    </row>
    <row r="85" spans="2:30" x14ac:dyDescent="0.35">
      <c r="B85" t="s">
        <v>107</v>
      </c>
      <c r="C85">
        <f>1</f>
        <v>1</v>
      </c>
      <c r="I85" t="s">
        <v>107</v>
      </c>
      <c r="J85">
        <f>1</f>
        <v>1</v>
      </c>
      <c r="AB85">
        <v>1793367</v>
      </c>
      <c r="AC85" s="42"/>
      <c r="AD85" s="43"/>
    </row>
    <row r="86" spans="2:30" x14ac:dyDescent="0.35">
      <c r="B86" t="s">
        <v>108</v>
      </c>
      <c r="C86">
        <f>5</f>
        <v>5</v>
      </c>
      <c r="I86" t="s">
        <v>108</v>
      </c>
      <c r="J86">
        <f>15</f>
        <v>15</v>
      </c>
      <c r="AB86">
        <v>1751541</v>
      </c>
      <c r="AC86" s="42"/>
      <c r="AD86" s="43"/>
    </row>
    <row r="87" spans="2:30" x14ac:dyDescent="0.35">
      <c r="B87" t="s">
        <v>109</v>
      </c>
      <c r="C87">
        <f>1 - (1 - $B$78)*($C$86 - 1)/($C$86 - $C$85)</f>
        <v>0.99995074454820643</v>
      </c>
      <c r="I87" t="s">
        <v>109</v>
      </c>
      <c r="J87">
        <f>1 - (1 - $I$78)*($J$86 - 1)/($J$86 - $J$85 - 1)</f>
        <v>-7.5445224854332915E-2</v>
      </c>
      <c r="AB87">
        <v>1770996</v>
      </c>
      <c r="AC87" s="42"/>
      <c r="AD87" s="43"/>
    </row>
    <row r="88" spans="2:30" x14ac:dyDescent="0.35">
      <c r="AB88">
        <v>1775754</v>
      </c>
      <c r="AC88" s="42"/>
      <c r="AD88" s="43"/>
    </row>
    <row r="89" spans="2:30" x14ac:dyDescent="0.35">
      <c r="B89" t="s">
        <v>110</v>
      </c>
      <c r="I89" t="s">
        <v>110</v>
      </c>
      <c r="AB89">
        <v>1762332</v>
      </c>
      <c r="AC89" s="42">
        <f>SUM(AB85:AB89)/5</f>
        <v>1770798</v>
      </c>
      <c r="AD89" s="43">
        <f>(MAX(AB85:AB88)-MIN(AB85:AB88))/AC89*100</f>
        <v>2.3619859520961737</v>
      </c>
    </row>
    <row r="90" spans="2:30" x14ac:dyDescent="0.35">
      <c r="C90" t="s">
        <v>111</v>
      </c>
      <c r="D90" t="s">
        <v>112</v>
      </c>
      <c r="E90" t="s">
        <v>113</v>
      </c>
      <c r="F90" t="s">
        <v>114</v>
      </c>
      <c r="G90" t="s">
        <v>115</v>
      </c>
      <c r="J90" t="s">
        <v>111</v>
      </c>
      <c r="K90" t="s">
        <v>112</v>
      </c>
      <c r="L90" t="s">
        <v>113</v>
      </c>
      <c r="M90" t="s">
        <v>114</v>
      </c>
      <c r="N90" t="s">
        <v>115</v>
      </c>
      <c r="AB90">
        <v>1847092</v>
      </c>
      <c r="AC90" s="42"/>
      <c r="AD90" s="43"/>
    </row>
    <row r="91" spans="2:30" x14ac:dyDescent="0.35">
      <c r="B91" t="s">
        <v>88</v>
      </c>
      <c r="C91">
        <f>$C$85</f>
        <v>1</v>
      </c>
      <c r="D91">
        <f>$B$80</f>
        <v>731680942860.37244</v>
      </c>
      <c r="E91">
        <f>$B$80 / $C$91</f>
        <v>731680942860.37244</v>
      </c>
      <c r="F91">
        <f>$B$79</f>
        <v>81205.284542923371</v>
      </c>
      <c r="G91">
        <f>FDIST($B$79, $C$91, $C$79)</f>
        <v>9.0980226201580063E-10</v>
      </c>
      <c r="I91" t="s">
        <v>88</v>
      </c>
      <c r="J91">
        <f>$J$85</f>
        <v>1</v>
      </c>
      <c r="K91">
        <f>$I$80</f>
        <v>2.1547924239739662E-6</v>
      </c>
      <c r="L91">
        <f>$I$80 / $J$91</f>
        <v>2.1547924239739662E-6</v>
      </c>
      <c r="M91">
        <f>$I$79</f>
        <v>1.7864300709760035E-2</v>
      </c>
      <c r="N91">
        <f>FDIST($I$79, $J$91, $J$79)</f>
        <v>0.89572042249465933</v>
      </c>
      <c r="AB91">
        <v>1833359</v>
      </c>
      <c r="AC91" s="42"/>
      <c r="AD91" s="43"/>
    </row>
    <row r="92" spans="2:30" x14ac:dyDescent="0.35">
      <c r="B92" t="s">
        <v>116</v>
      </c>
      <c r="C92">
        <f>$C$79</f>
        <v>4</v>
      </c>
      <c r="D92">
        <f>$C$80</f>
        <v>36041050.627616316</v>
      </c>
      <c r="E92">
        <f>$C$80 / $C$79</f>
        <v>9010262.656904079</v>
      </c>
      <c r="I92" t="s">
        <v>116</v>
      </c>
      <c r="J92">
        <f>$J$79</f>
        <v>13</v>
      </c>
      <c r="K92">
        <f>$J$80</f>
        <v>1.5680603437422677E-3</v>
      </c>
      <c r="L92">
        <f>$J$80 / $J$79</f>
        <v>1.2062002644171291E-4</v>
      </c>
      <c r="AB92">
        <v>1903999</v>
      </c>
      <c r="AC92" s="42"/>
      <c r="AD92" s="43"/>
    </row>
    <row r="93" spans="2:30" x14ac:dyDescent="0.35">
      <c r="B93" t="s">
        <v>82</v>
      </c>
      <c r="C93">
        <f>$C$91 + $C$79</f>
        <v>5</v>
      </c>
      <c r="D93">
        <f>$B$80 + $C$80</f>
        <v>731716983911</v>
      </c>
      <c r="I93" t="s">
        <v>82</v>
      </c>
      <c r="J93">
        <f>$J$91 + $J$79</f>
        <v>14</v>
      </c>
      <c r="K93">
        <f>$I$80 + $J$80</f>
        <v>1.5702151361662417E-3</v>
      </c>
      <c r="AB93">
        <v>1839722</v>
      </c>
      <c r="AC93" s="42"/>
      <c r="AD93" s="43"/>
    </row>
    <row r="94" spans="2:30" x14ac:dyDescent="0.35">
      <c r="AB94">
        <v>1879761</v>
      </c>
      <c r="AC94" s="42"/>
      <c r="AD94" s="43"/>
    </row>
    <row r="95" spans="2:30" x14ac:dyDescent="0.35">
      <c r="B95" t="s">
        <v>117</v>
      </c>
      <c r="C95">
        <v>0.95</v>
      </c>
      <c r="I95" t="s">
        <v>117</v>
      </c>
      <c r="J95">
        <v>0.95</v>
      </c>
      <c r="AB95">
        <v>1826056</v>
      </c>
      <c r="AC95" s="42"/>
      <c r="AD95" s="43"/>
    </row>
    <row r="96" spans="2:30" x14ac:dyDescent="0.35">
      <c r="AB96">
        <v>1813477</v>
      </c>
      <c r="AC96" s="42"/>
      <c r="AD96" s="43"/>
    </row>
    <row r="97" spans="2:30" x14ac:dyDescent="0.35">
      <c r="C97" t="s">
        <v>118</v>
      </c>
      <c r="D97" t="s">
        <v>106</v>
      </c>
      <c r="E97" t="s">
        <v>119</v>
      </c>
      <c r="F97" t="s">
        <v>120</v>
      </c>
      <c r="G97" t="str">
        <f>_xlfn.CONCAT("Lower ", INT($C$95 * 100), "%")</f>
        <v>Lower 95%</v>
      </c>
      <c r="H97" t="str">
        <f>_xlfn.CONCAT("Upper ", INT($C$95 * 100), "%")</f>
        <v>Upper 95%</v>
      </c>
      <c r="J97" t="s">
        <v>118</v>
      </c>
      <c r="K97" t="s">
        <v>106</v>
      </c>
      <c r="L97" t="s">
        <v>119</v>
      </c>
      <c r="M97" t="s">
        <v>120</v>
      </c>
      <c r="N97" t="str">
        <f>_xlfn.CONCAT("Lower ", INT($J$95 * 100), "%")</f>
        <v>Lower 95%</v>
      </c>
      <c r="O97" t="str">
        <f>_xlfn.CONCAT("Upper ", INT($J$95 * 100), "%")</f>
        <v>Upper 95%</v>
      </c>
      <c r="AB97">
        <v>1885554</v>
      </c>
      <c r="AC97" s="42"/>
      <c r="AD97" s="43"/>
    </row>
    <row r="98" spans="2:30" x14ac:dyDescent="0.35">
      <c r="B98" t="str">
        <f>"Intercept"</f>
        <v>Intercept</v>
      </c>
      <c r="C98">
        <f t="array" ref="C98:C99">INDEX($B$76:$C$76, 1, ROW($C$99)+1 - ROW())</f>
        <v>0</v>
      </c>
      <c r="D98" t="e">
        <f t="array" ref="D98:D99">INDEX($B$77:$C$77, 1, ROW($D$99)+1 - ROW())</f>
        <v>#N/A</v>
      </c>
      <c r="E98" t="e">
        <f t="array" ref="E98:E99">$C$98:$C$99 / $D$98:$D$99</f>
        <v>#N/A</v>
      </c>
      <c r="F98" t="e">
        <f t="array" ref="F98:F99">TDIST(ABS($E$98:$E$99), $C$79, 2 )</f>
        <v>#N/A</v>
      </c>
      <c r="G98" t="e">
        <f t="array" ref="G98:G99">$C$98:$C$99 - $D$98:$D$99 * TINV(1 - $C$95, $C$79)</f>
        <v>#N/A</v>
      </c>
      <c r="H98" t="e">
        <f t="array" ref="H98:H99">$C$98:$C$99 + $D$98:$D$99 * TINV(1 - $C$95, $C$79)</f>
        <v>#N/A</v>
      </c>
      <c r="I98" t="str">
        <f>"Intercept"</f>
        <v>Intercept</v>
      </c>
      <c r="J98">
        <f t="array" ref="J98:J99">INDEX($I$76:$J$76, 1, ROW($J$99)+1 - ROW())</f>
        <v>8.3215736731011248E-5</v>
      </c>
      <c r="K98">
        <f t="array" ref="K98:K99">INDEX($I$77:$J$77, 1, ROW($K$99)+1 - ROW())</f>
        <v>1.0765894584772222E-2</v>
      </c>
      <c r="L98">
        <f t="array" ref="L98:L99">$J$98:$J$99 / $K$98:$K$99</f>
        <v>7.7295700859560173E-3</v>
      </c>
      <c r="M98">
        <f t="array" ref="M98:M99">TDIST(ABS($L$98:$L$99), $J$79, 2 )</f>
        <v>0.99395011519008203</v>
      </c>
      <c r="N98">
        <f t="array" ref="N98:N99">$J$98:$J$99 - $K$98:$K$99 * TINV(1 - $J$95, $J$79)</f>
        <v>-2.31750854829934E-2</v>
      </c>
      <c r="O98">
        <f t="array" ref="O98:O99">$J$98:$J$99 + $K$98:$K$99 * TINV(1 - $J$95, $J$79)</f>
        <v>2.3341516956455421E-2</v>
      </c>
      <c r="AB98">
        <v>1836044</v>
      </c>
      <c r="AC98" s="42"/>
      <c r="AD98" s="43"/>
    </row>
    <row r="99" spans="2:30" ht="13.15" x14ac:dyDescent="0.4">
      <c r="B99" t="str">
        <f>"X1"</f>
        <v>X1</v>
      </c>
      <c r="C99" s="8">
        <v>494965.44696311047</v>
      </c>
      <c r="D99">
        <v>1736.9316789731779</v>
      </c>
      <c r="E99">
        <v>284.96540937967075</v>
      </c>
      <c r="F99">
        <v>9.0980226201580393E-10</v>
      </c>
      <c r="G99">
        <v>490142.9515049624</v>
      </c>
      <c r="H99">
        <v>499787.94242125854</v>
      </c>
      <c r="I99" t="str">
        <f>"LN(X1)"</f>
        <v>LN(X1)</v>
      </c>
      <c r="J99">
        <v>1.0811750846014074E-4</v>
      </c>
      <c r="K99">
        <v>8.0891524189165341E-4</v>
      </c>
      <c r="L99">
        <v>0.13365740050503594</v>
      </c>
      <c r="M99">
        <v>0.89572042249464912</v>
      </c>
      <c r="N99">
        <v>-1.6394376258576048E-3</v>
      </c>
      <c r="O99">
        <v>1.8556726427778863E-3</v>
      </c>
      <c r="AB99">
        <v>1841236</v>
      </c>
      <c r="AC99" s="42">
        <f>SUM(AB90:AB99)/10</f>
        <v>1850630</v>
      </c>
      <c r="AD99" s="43">
        <f>(MAX(AB90:AB98)-MIN(AB90:AB98))/AC99*100</f>
        <v>4.891415355851791</v>
      </c>
    </row>
    <row r="101" spans="2:30" x14ac:dyDescent="0.35">
      <c r="B101" t="str">
        <f>"X1"</f>
        <v>X1</v>
      </c>
      <c r="C101" t="s">
        <v>121</v>
      </c>
      <c r="D101" t="str">
        <f>"Y"</f>
        <v>Y</v>
      </c>
      <c r="E101" t="s">
        <v>116</v>
      </c>
    </row>
    <row r="102" spans="2:30" x14ac:dyDescent="0.35">
      <c r="B102">
        <f t="array" ref="B102:B106">$A$22:$A$26</f>
        <v>0</v>
      </c>
      <c r="C102">
        <f t="array" ref="C102:C106">MMULT($B$102:$B$106, $C$99) + $C$98</f>
        <v>0</v>
      </c>
      <c r="D102">
        <f t="array" ref="D102:D106">$G$22:$G$26</f>
        <v>1</v>
      </c>
      <c r="E102">
        <f t="array" ref="E102:E106">$D$102:$D$106 - $C$102:$C$106</f>
        <v>1</v>
      </c>
    </row>
    <row r="103" spans="2:30" x14ac:dyDescent="0.35">
      <c r="B103">
        <v>10</v>
      </c>
      <c r="C103">
        <v>4949654.4696311047</v>
      </c>
      <c r="D103">
        <v>158573</v>
      </c>
      <c r="E103">
        <v>-4791081.4696311047</v>
      </c>
    </row>
    <row r="104" spans="2:30" x14ac:dyDescent="0.35">
      <c r="B104">
        <v>20</v>
      </c>
      <c r="C104">
        <v>9899308.9392622095</v>
      </c>
      <c r="D104">
        <v>315866</v>
      </c>
      <c r="E104">
        <v>-9583442.9392622095</v>
      </c>
    </row>
    <row r="105" spans="2:30" x14ac:dyDescent="0.35">
      <c r="B105">
        <v>30</v>
      </c>
      <c r="C105">
        <v>14848963.408893313</v>
      </c>
      <c r="D105">
        <v>471092</v>
      </c>
      <c r="E105">
        <v>-14377871.408893313</v>
      </c>
    </row>
    <row r="106" spans="2:30" x14ac:dyDescent="0.35">
      <c r="B106">
        <v>40</v>
      </c>
      <c r="C106">
        <v>19798617.878524419</v>
      </c>
      <c r="D106">
        <v>620381</v>
      </c>
      <c r="E106">
        <v>-19178236.878524419</v>
      </c>
    </row>
  </sheetData>
  <mergeCells count="1">
    <mergeCell ref="C1:L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55"/>
  <sheetViews>
    <sheetView zoomScale="85" zoomScaleNormal="85" workbookViewId="0">
      <selection activeCell="M9" sqref="M9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1.1000000000000001">
      <c r="A1" s="123" t="s">
        <v>294</v>
      </c>
      <c r="B1" s="9"/>
      <c r="C1" s="2"/>
      <c r="D1" s="2"/>
      <c r="E1" s="2"/>
      <c r="F1" s="2"/>
      <c r="G1" s="2"/>
      <c r="H1" s="9"/>
      <c r="I1" s="9"/>
      <c r="J1" s="9"/>
      <c r="K1" s="9"/>
      <c r="L1" s="156" t="s">
        <v>344</v>
      </c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L2" s="57"/>
    </row>
    <row r="3" spans="1:1024" ht="13.9" x14ac:dyDescent="0.4">
      <c r="A3" s="10" t="s">
        <v>22</v>
      </c>
      <c r="B3" s="10"/>
      <c r="C3" s="10"/>
      <c r="D3" s="131" t="s">
        <v>301</v>
      </c>
      <c r="L3" s="57"/>
    </row>
    <row r="4" spans="1:1024" ht="13.9" x14ac:dyDescent="0.4">
      <c r="A4" s="10" t="s">
        <v>24</v>
      </c>
      <c r="B4" s="10"/>
      <c r="C4" s="10"/>
      <c r="D4" s="131" t="s">
        <v>302</v>
      </c>
      <c r="L4" s="153" t="s">
        <v>343</v>
      </c>
      <c r="M4" s="157">
        <v>0.3</v>
      </c>
      <c r="N4" s="158"/>
      <c r="O4" s="158"/>
    </row>
    <row r="5" spans="1:1024" ht="13.15" x14ac:dyDescent="0.4">
      <c r="A5" s="10" t="s">
        <v>26</v>
      </c>
      <c r="B5" s="10"/>
      <c r="C5" s="10"/>
      <c r="D5" s="12" t="s">
        <v>301</v>
      </c>
      <c r="L5" s="154" t="s">
        <v>346</v>
      </c>
      <c r="M5" s="158">
        <v>0.86799999999999999</v>
      </c>
      <c r="N5" s="158"/>
      <c r="O5" s="158"/>
    </row>
    <row r="6" spans="1:1024" ht="13.15" x14ac:dyDescent="0.4">
      <c r="A6" s="10" t="s">
        <v>27</v>
      </c>
      <c r="B6" s="10"/>
      <c r="C6" s="10"/>
      <c r="D6" s="12" t="s">
        <v>302</v>
      </c>
    </row>
    <row r="7" spans="1:1024" ht="13.9" x14ac:dyDescent="0.4">
      <c r="A7" s="10" t="s">
        <v>28</v>
      </c>
      <c r="B7" s="10"/>
      <c r="C7" s="10"/>
      <c r="D7" s="132">
        <v>45841</v>
      </c>
      <c r="L7" s="153"/>
      <c r="M7" t="s">
        <v>355</v>
      </c>
      <c r="N7" s="55" t="s">
        <v>337</v>
      </c>
      <c r="O7" s="55" t="s">
        <v>338</v>
      </c>
      <c r="P7" s="55" t="s">
        <v>339</v>
      </c>
    </row>
    <row r="8" spans="1:1024" ht="13.15" x14ac:dyDescent="0.4">
      <c r="A8" s="10" t="s">
        <v>29</v>
      </c>
      <c r="B8" s="10"/>
      <c r="C8" s="10"/>
      <c r="D8" s="13" t="s">
        <v>30</v>
      </c>
      <c r="L8" s="153" t="s">
        <v>345</v>
      </c>
      <c r="M8" s="99">
        <f>$M4*$M5*100</f>
        <v>26.039999999999996</v>
      </c>
      <c r="N8" s="99">
        <f>$M4*$M5*100</f>
        <v>26.039999999999996</v>
      </c>
      <c r="O8" s="99">
        <f>$M4*$M5*100</f>
        <v>26.039999999999996</v>
      </c>
      <c r="P8" s="99">
        <f>$M4*$M5*100</f>
        <v>26.039999999999996</v>
      </c>
    </row>
    <row r="9" spans="1:1024" ht="13.9" x14ac:dyDescent="0.4">
      <c r="A9" s="10" t="s">
        <v>31</v>
      </c>
      <c r="B9" s="10"/>
      <c r="C9" s="10"/>
      <c r="D9" s="131">
        <v>110</v>
      </c>
      <c r="L9" s="153" t="s">
        <v>340</v>
      </c>
      <c r="M9" s="157">
        <v>26.26</v>
      </c>
      <c r="N9" s="157">
        <v>26.17</v>
      </c>
      <c r="O9" s="157">
        <v>26.38</v>
      </c>
      <c r="P9" s="157">
        <v>26.05</v>
      </c>
    </row>
    <row r="10" spans="1:1024" ht="13.15" x14ac:dyDescent="0.4">
      <c r="A10" s="56" t="s">
        <v>123</v>
      </c>
      <c r="C10" s="58" t="s">
        <v>303</v>
      </c>
      <c r="D10">
        <v>5000327</v>
      </c>
      <c r="L10" s="155" t="s">
        <v>341</v>
      </c>
      <c r="M10" s="159">
        <f>(1/$M$4-1)*M9</f>
        <v>61.273333333333341</v>
      </c>
      <c r="N10" s="159">
        <f>(1/$M$4-1)*N9</f>
        <v>61.06333333333334</v>
      </c>
      <c r="O10" s="159">
        <f>(1/$M$4-1)*O9</f>
        <v>61.553333333333335</v>
      </c>
      <c r="P10" s="159">
        <f>(1/$M$4-1)*P9</f>
        <v>60.783333333333339</v>
      </c>
    </row>
    <row r="11" spans="1:1024" x14ac:dyDescent="0.35">
      <c r="B11" s="59"/>
      <c r="L11" s="153" t="s">
        <v>342</v>
      </c>
      <c r="M11" s="157">
        <v>61.25</v>
      </c>
      <c r="N11" s="157">
        <v>61.34</v>
      </c>
      <c r="O11" s="157">
        <v>61.59</v>
      </c>
      <c r="P11" s="157">
        <v>60.86</v>
      </c>
    </row>
    <row r="12" spans="1:1024" ht="13.15" x14ac:dyDescent="0.4">
      <c r="A12" s="10" t="s">
        <v>31</v>
      </c>
      <c r="B12" s="57">
        <f>D9</f>
        <v>110</v>
      </c>
      <c r="C12" s="10"/>
      <c r="L12" s="153" t="s">
        <v>328</v>
      </c>
      <c r="M12" s="160">
        <f>M9/(M9+M11)</f>
        <v>0.30007999085818765</v>
      </c>
      <c r="N12" s="160">
        <f>N9/(N9+N11)</f>
        <v>0.29905153696720377</v>
      </c>
      <c r="O12" s="160">
        <f>O9/(O9+O11)</f>
        <v>0.29987495737183129</v>
      </c>
      <c r="P12" s="160">
        <f>P9/(P9+P11)</f>
        <v>0.29973535841675297</v>
      </c>
    </row>
    <row r="13" spans="1:1024" hidden="1" x14ac:dyDescent="0.35">
      <c r="B13" s="57"/>
      <c r="L13" s="57"/>
    </row>
    <row r="14" spans="1:1024" x14ac:dyDescent="0.35">
      <c r="A14" t="s">
        <v>124</v>
      </c>
      <c r="B14" s="57">
        <f>B12*1.5</f>
        <v>165</v>
      </c>
      <c r="L14" s="57"/>
    </row>
    <row r="15" spans="1:1024" ht="13.5" x14ac:dyDescent="0.35">
      <c r="A15" t="s">
        <v>125</v>
      </c>
      <c r="B15" s="131">
        <v>20000</v>
      </c>
    </row>
    <row r="16" spans="1:1024" x14ac:dyDescent="0.35">
      <c r="A16" t="s">
        <v>126</v>
      </c>
      <c r="B16" s="136">
        <f>10^((LOG(B15)-LOG(B14))/29)</f>
        <v>1.1799032994137952</v>
      </c>
      <c r="D16" t="s">
        <v>311</v>
      </c>
    </row>
    <row r="18" spans="1:7" x14ac:dyDescent="0.35">
      <c r="C18" t="s">
        <v>308</v>
      </c>
      <c r="D18" s="57" t="s">
        <v>127</v>
      </c>
      <c r="E18" s="57" t="s">
        <v>128</v>
      </c>
      <c r="F18" s="57" t="s">
        <v>129</v>
      </c>
      <c r="G18" s="57" t="s">
        <v>130</v>
      </c>
    </row>
    <row r="19" spans="1:7" x14ac:dyDescent="0.35">
      <c r="A19" t="s">
        <v>131</v>
      </c>
      <c r="B19" s="57" t="s">
        <v>132</v>
      </c>
      <c r="C19" s="99">
        <v>4</v>
      </c>
      <c r="D19">
        <v>0</v>
      </c>
      <c r="E19" s="42">
        <f>B12*1.5</f>
        <v>165</v>
      </c>
      <c r="F19">
        <f t="shared" ref="F19:F48" si="0">INT(E19)</f>
        <v>165</v>
      </c>
      <c r="G19" s="42">
        <f t="shared" ref="G19:G47" si="1">G20*B$16</f>
        <v>20000.000000000033</v>
      </c>
    </row>
    <row r="20" spans="1:7" x14ac:dyDescent="0.35">
      <c r="C20" s="116">
        <v>5</v>
      </c>
      <c r="D20">
        <v>1</v>
      </c>
      <c r="E20" s="42">
        <f t="shared" ref="E20:E48" si="2">E19*B$16</f>
        <v>194.6840444032762</v>
      </c>
      <c r="F20">
        <f t="shared" si="0"/>
        <v>194</v>
      </c>
      <c r="G20" s="42">
        <f t="shared" si="1"/>
        <v>16950.541633315646</v>
      </c>
    </row>
    <row r="21" spans="1:7" x14ac:dyDescent="0.35">
      <c r="C21" s="99">
        <v>6</v>
      </c>
      <c r="D21">
        <v>2</v>
      </c>
      <c r="E21" s="42">
        <f t="shared" si="2"/>
        <v>229.70834633464742</v>
      </c>
      <c r="F21">
        <f t="shared" si="0"/>
        <v>229</v>
      </c>
      <c r="G21" s="42">
        <f t="shared" si="1"/>
        <v>14366.043083138329</v>
      </c>
    </row>
    <row r="22" spans="1:7" x14ac:dyDescent="0.35">
      <c r="C22" s="116">
        <v>7</v>
      </c>
      <c r="D22">
        <v>3</v>
      </c>
      <c r="E22" s="42">
        <f t="shared" si="2"/>
        <v>271.03363574313727</v>
      </c>
      <c r="F22">
        <f t="shared" si="0"/>
        <v>271</v>
      </c>
      <c r="G22" s="42">
        <f t="shared" si="1"/>
        <v>12175.610569337106</v>
      </c>
    </row>
    <row r="23" spans="1:7" x14ac:dyDescent="0.35">
      <c r="C23" s="99">
        <v>8</v>
      </c>
      <c r="D23">
        <v>4</v>
      </c>
      <c r="E23" s="42">
        <f t="shared" si="2"/>
        <v>319.79348106544438</v>
      </c>
      <c r="F23">
        <f t="shared" si="0"/>
        <v>319</v>
      </c>
      <c r="G23" s="42">
        <f t="shared" si="1"/>
        <v>10319.159693329315</v>
      </c>
    </row>
    <row r="24" spans="1:7" x14ac:dyDescent="0.35">
      <c r="C24" s="116">
        <v>9</v>
      </c>
      <c r="D24">
        <v>5</v>
      </c>
      <c r="E24" s="42">
        <f t="shared" si="2"/>
        <v>377.32538344014085</v>
      </c>
      <c r="F24">
        <f t="shared" si="0"/>
        <v>377</v>
      </c>
      <c r="G24" s="42">
        <f t="shared" si="1"/>
        <v>8745.7673001305484</v>
      </c>
    </row>
    <row r="25" spans="1:7" x14ac:dyDescent="0.35">
      <c r="C25" s="99">
        <v>10</v>
      </c>
      <c r="D25">
        <v>6</v>
      </c>
      <c r="E25" s="42">
        <f t="shared" si="2"/>
        <v>445.20746487359759</v>
      </c>
      <c r="F25">
        <f t="shared" si="0"/>
        <v>445</v>
      </c>
      <c r="G25" s="42">
        <f t="shared" si="1"/>
        <v>7412.2746368076596</v>
      </c>
    </row>
    <row r="26" spans="1:7" x14ac:dyDescent="0.35">
      <c r="C26" s="116">
        <v>11</v>
      </c>
      <c r="D26">
        <v>7</v>
      </c>
      <c r="E26" s="42">
        <f t="shared" si="2"/>
        <v>525.3017567280092</v>
      </c>
      <c r="F26">
        <f t="shared" si="0"/>
        <v>525</v>
      </c>
      <c r="G26" s="42">
        <f t="shared" si="1"/>
        <v>6282.103491438882</v>
      </c>
    </row>
    <row r="27" spans="1:7" x14ac:dyDescent="0.35">
      <c r="C27" s="99">
        <v>12</v>
      </c>
      <c r="D27">
        <v>8</v>
      </c>
      <c r="E27" s="42">
        <f t="shared" si="2"/>
        <v>619.8052759512409</v>
      </c>
      <c r="F27">
        <f t="shared" si="0"/>
        <v>619</v>
      </c>
      <c r="G27" s="42">
        <f t="shared" si="1"/>
        <v>5324.2528388216087</v>
      </c>
    </row>
    <row r="28" spans="1:7" x14ac:dyDescent="0.35">
      <c r="C28" s="116">
        <v>13</v>
      </c>
      <c r="D28">
        <v>9</v>
      </c>
      <c r="E28" s="42">
        <f t="shared" si="2"/>
        <v>731.310290088947</v>
      </c>
      <c r="F28">
        <f t="shared" si="0"/>
        <v>731</v>
      </c>
      <c r="G28" s="42">
        <f t="shared" si="1"/>
        <v>4512.4484705372279</v>
      </c>
    </row>
    <row r="29" spans="1:7" x14ac:dyDescent="0.35">
      <c r="C29" s="99">
        <v>14</v>
      </c>
      <c r="D29">
        <v>10</v>
      </c>
      <c r="E29" s="42">
        <f t="shared" si="2"/>
        <v>862.87542417120824</v>
      </c>
      <c r="F29">
        <f t="shared" si="0"/>
        <v>862</v>
      </c>
      <c r="G29" s="42">
        <f t="shared" si="1"/>
        <v>3824.4222834016332</v>
      </c>
    </row>
    <row r="30" spans="1:7" x14ac:dyDescent="0.35">
      <c r="C30" s="116">
        <v>15</v>
      </c>
      <c r="D30">
        <v>11</v>
      </c>
      <c r="E30" s="42">
        <f t="shared" si="2"/>
        <v>1018.1095599626867</v>
      </c>
      <c r="F30">
        <f t="shared" si="0"/>
        <v>1018</v>
      </c>
      <c r="G30" s="42">
        <f t="shared" si="1"/>
        <v>3241.3014569089682</v>
      </c>
    </row>
    <row r="31" spans="1:7" x14ac:dyDescent="0.35">
      <c r="C31" s="99">
        <v>16</v>
      </c>
      <c r="D31">
        <v>12</v>
      </c>
      <c r="E31" s="42">
        <f t="shared" si="2"/>
        <v>1201.2708289647012</v>
      </c>
      <c r="F31">
        <f t="shared" si="0"/>
        <v>1201</v>
      </c>
      <c r="G31" s="42">
        <f t="shared" si="1"/>
        <v>2747.0907645731018</v>
      </c>
    </row>
    <row r="32" spans="1:7" x14ac:dyDescent="0.35">
      <c r="C32" s="116">
        <v>17</v>
      </c>
      <c r="D32">
        <v>13</v>
      </c>
      <c r="E32" s="42">
        <f t="shared" si="2"/>
        <v>1417.3834145849958</v>
      </c>
      <c r="F32">
        <f t="shared" si="0"/>
        <v>1417</v>
      </c>
      <c r="G32" s="42">
        <f t="shared" si="1"/>
        <v>2328.2338187696596</v>
      </c>
    </row>
    <row r="33" spans="2:7" x14ac:dyDescent="0.35">
      <c r="C33" s="99">
        <v>18</v>
      </c>
      <c r="D33">
        <v>14</v>
      </c>
      <c r="E33" s="42">
        <f t="shared" si="2"/>
        <v>1672.3753674032278</v>
      </c>
      <c r="F33">
        <f t="shared" si="0"/>
        <v>1672</v>
      </c>
      <c r="G33" s="42">
        <f t="shared" si="1"/>
        <v>1973.2412138574264</v>
      </c>
    </row>
    <row r="34" spans="2:7" x14ac:dyDescent="0.35">
      <c r="C34" s="116">
        <v>19</v>
      </c>
      <c r="D34">
        <v>15</v>
      </c>
      <c r="E34" s="42">
        <f t="shared" si="2"/>
        <v>1973.2412138574264</v>
      </c>
      <c r="F34">
        <f t="shared" si="0"/>
        <v>1973</v>
      </c>
      <c r="G34" s="42">
        <f t="shared" si="1"/>
        <v>1672.3753674032278</v>
      </c>
    </row>
    <row r="35" spans="2:7" x14ac:dyDescent="0.35">
      <c r="C35" s="99">
        <v>20</v>
      </c>
      <c r="D35">
        <v>16</v>
      </c>
      <c r="E35" s="42">
        <f t="shared" si="2"/>
        <v>2328.2338187696596</v>
      </c>
      <c r="F35">
        <f t="shared" si="0"/>
        <v>2328</v>
      </c>
      <c r="G35" s="42">
        <f t="shared" si="1"/>
        <v>1417.3834145849958</v>
      </c>
    </row>
    <row r="36" spans="2:7" x14ac:dyDescent="0.35">
      <c r="C36" s="116">
        <v>21</v>
      </c>
      <c r="D36">
        <v>17</v>
      </c>
      <c r="E36" s="42">
        <f t="shared" si="2"/>
        <v>2747.0907645731018</v>
      </c>
      <c r="F36">
        <f t="shared" si="0"/>
        <v>2747</v>
      </c>
      <c r="G36" s="42">
        <f t="shared" si="1"/>
        <v>1201.2708289647012</v>
      </c>
    </row>
    <row r="37" spans="2:7" x14ac:dyDescent="0.35">
      <c r="C37" s="99">
        <v>22</v>
      </c>
      <c r="D37">
        <v>18</v>
      </c>
      <c r="E37" s="42">
        <f t="shared" si="2"/>
        <v>3241.3014569089682</v>
      </c>
      <c r="F37">
        <f t="shared" si="0"/>
        <v>3241</v>
      </c>
      <c r="G37" s="42">
        <f t="shared" si="1"/>
        <v>1018.1095599626867</v>
      </c>
    </row>
    <row r="38" spans="2:7" x14ac:dyDescent="0.35">
      <c r="C38" s="116">
        <v>23</v>
      </c>
      <c r="D38">
        <v>19</v>
      </c>
      <c r="E38" s="42">
        <f t="shared" si="2"/>
        <v>3824.4222834016332</v>
      </c>
      <c r="F38">
        <f t="shared" si="0"/>
        <v>3824</v>
      </c>
      <c r="G38" s="42">
        <f t="shared" si="1"/>
        <v>862.87542417120824</v>
      </c>
    </row>
    <row r="39" spans="2:7" x14ac:dyDescent="0.35">
      <c r="C39" s="99">
        <v>24</v>
      </c>
      <c r="D39">
        <v>20</v>
      </c>
      <c r="E39" s="42">
        <f t="shared" si="2"/>
        <v>4512.4484705372279</v>
      </c>
      <c r="F39">
        <f t="shared" si="0"/>
        <v>4512</v>
      </c>
      <c r="G39" s="42">
        <f t="shared" si="1"/>
        <v>731.310290088947</v>
      </c>
    </row>
    <row r="40" spans="2:7" x14ac:dyDescent="0.35">
      <c r="C40" s="116">
        <v>25</v>
      </c>
      <c r="D40">
        <v>21</v>
      </c>
      <c r="E40" s="42">
        <f t="shared" si="2"/>
        <v>5324.2528388216087</v>
      </c>
      <c r="F40">
        <f t="shared" si="0"/>
        <v>5324</v>
      </c>
      <c r="G40" s="42">
        <f t="shared" si="1"/>
        <v>619.8052759512409</v>
      </c>
    </row>
    <row r="41" spans="2:7" x14ac:dyDescent="0.35">
      <c r="C41" s="99">
        <v>26</v>
      </c>
      <c r="D41">
        <v>22</v>
      </c>
      <c r="E41" s="42">
        <f t="shared" si="2"/>
        <v>6282.103491438882</v>
      </c>
      <c r="F41">
        <f t="shared" si="0"/>
        <v>6282</v>
      </c>
      <c r="G41" s="42">
        <f t="shared" si="1"/>
        <v>525.3017567280092</v>
      </c>
    </row>
    <row r="42" spans="2:7" x14ac:dyDescent="0.35">
      <c r="C42" s="116">
        <v>27</v>
      </c>
      <c r="D42">
        <v>23</v>
      </c>
      <c r="E42" s="42">
        <f t="shared" si="2"/>
        <v>7412.2746368076596</v>
      </c>
      <c r="F42">
        <f t="shared" si="0"/>
        <v>7412</v>
      </c>
      <c r="G42" s="42">
        <f t="shared" si="1"/>
        <v>445.20746487359759</v>
      </c>
    </row>
    <row r="43" spans="2:7" x14ac:dyDescent="0.35">
      <c r="C43" s="99">
        <v>28</v>
      </c>
      <c r="D43">
        <v>24</v>
      </c>
      <c r="E43" s="42">
        <f t="shared" si="2"/>
        <v>8745.7673001305484</v>
      </c>
      <c r="F43">
        <f t="shared" si="0"/>
        <v>8745</v>
      </c>
      <c r="G43" s="42">
        <f t="shared" si="1"/>
        <v>377.32538344014085</v>
      </c>
    </row>
    <row r="44" spans="2:7" x14ac:dyDescent="0.35">
      <c r="C44" s="116">
        <v>29</v>
      </c>
      <c r="D44">
        <v>25</v>
      </c>
      <c r="E44" s="42">
        <f t="shared" si="2"/>
        <v>10319.159693329315</v>
      </c>
      <c r="F44">
        <f t="shared" si="0"/>
        <v>10319</v>
      </c>
      <c r="G44" s="42">
        <f t="shared" si="1"/>
        <v>319.79348106544438</v>
      </c>
    </row>
    <row r="45" spans="2:7" x14ac:dyDescent="0.35">
      <c r="C45" s="99">
        <v>30</v>
      </c>
      <c r="D45">
        <v>26</v>
      </c>
      <c r="E45" s="42">
        <f t="shared" si="2"/>
        <v>12175.610569337106</v>
      </c>
      <c r="F45">
        <f t="shared" si="0"/>
        <v>12175</v>
      </c>
      <c r="G45" s="42">
        <f t="shared" si="1"/>
        <v>271.03363574313727</v>
      </c>
    </row>
    <row r="46" spans="2:7" x14ac:dyDescent="0.35">
      <c r="C46" s="116">
        <v>38</v>
      </c>
      <c r="D46">
        <v>27</v>
      </c>
      <c r="E46" s="42">
        <f t="shared" si="2"/>
        <v>14366.043083138329</v>
      </c>
      <c r="F46">
        <f t="shared" si="0"/>
        <v>14366</v>
      </c>
      <c r="G46" s="42">
        <f t="shared" si="1"/>
        <v>229.70834633464742</v>
      </c>
    </row>
    <row r="47" spans="2:7" x14ac:dyDescent="0.35">
      <c r="C47" s="99">
        <v>50</v>
      </c>
      <c r="D47">
        <v>28</v>
      </c>
      <c r="E47" s="42">
        <f t="shared" si="2"/>
        <v>16950.541633315646</v>
      </c>
      <c r="F47">
        <f t="shared" si="0"/>
        <v>16950</v>
      </c>
      <c r="G47" s="42">
        <f t="shared" si="1"/>
        <v>194.6840444032762</v>
      </c>
    </row>
    <row r="48" spans="2:7" x14ac:dyDescent="0.35">
      <c r="B48" s="57" t="s">
        <v>133</v>
      </c>
      <c r="C48" s="116">
        <v>70</v>
      </c>
      <c r="D48">
        <v>29</v>
      </c>
      <c r="E48" s="42">
        <f t="shared" si="2"/>
        <v>20000.000000000033</v>
      </c>
      <c r="F48">
        <f t="shared" si="0"/>
        <v>20000</v>
      </c>
      <c r="G48" s="42">
        <f>B12*1.5</f>
        <v>165</v>
      </c>
    </row>
    <row r="49" spans="1:34" x14ac:dyDescent="0.35">
      <c r="E49" s="42"/>
    </row>
    <row r="50" spans="1:34" x14ac:dyDescent="0.35">
      <c r="E50" s="42"/>
    </row>
    <row r="51" spans="1:34" x14ac:dyDescent="0.35">
      <c r="B51" s="57" t="s">
        <v>308</v>
      </c>
      <c r="C51">
        <v>4</v>
      </c>
      <c r="D51">
        <v>5</v>
      </c>
      <c r="E51">
        <v>6</v>
      </c>
      <c r="F51">
        <v>7</v>
      </c>
      <c r="G51">
        <v>8</v>
      </c>
      <c r="H51">
        <v>9</v>
      </c>
      <c r="I51">
        <v>10</v>
      </c>
      <c r="J51">
        <v>11</v>
      </c>
      <c r="K51">
        <v>12</v>
      </c>
      <c r="L51">
        <v>13</v>
      </c>
      <c r="M51">
        <v>14</v>
      </c>
      <c r="N51">
        <v>15</v>
      </c>
      <c r="O51">
        <v>16</v>
      </c>
      <c r="P51">
        <v>17</v>
      </c>
      <c r="Q51">
        <v>18</v>
      </c>
      <c r="R51">
        <v>19</v>
      </c>
      <c r="S51">
        <v>20</v>
      </c>
      <c r="T51">
        <v>21</v>
      </c>
      <c r="U51">
        <v>22</v>
      </c>
      <c r="V51">
        <v>23</v>
      </c>
      <c r="W51">
        <v>24</v>
      </c>
      <c r="X51">
        <v>25</v>
      </c>
      <c r="Y51">
        <v>26</v>
      </c>
      <c r="Z51">
        <v>27</v>
      </c>
      <c r="AA51">
        <v>28</v>
      </c>
      <c r="AB51">
        <v>29</v>
      </c>
      <c r="AC51">
        <v>30</v>
      </c>
      <c r="AD51">
        <v>38</v>
      </c>
      <c r="AE51">
        <v>50</v>
      </c>
      <c r="AF51">
        <v>70</v>
      </c>
    </row>
    <row r="52" spans="1:34" x14ac:dyDescent="0.35">
      <c r="B52" s="57" t="s">
        <v>310</v>
      </c>
      <c r="C52" s="42">
        <f>E19</f>
        <v>165</v>
      </c>
      <c r="D52" s="42">
        <f>E20</f>
        <v>194.6840444032762</v>
      </c>
      <c r="E52" s="42">
        <f>E21</f>
        <v>229.70834633464742</v>
      </c>
      <c r="F52" s="42">
        <f>E22</f>
        <v>271.03363574313727</v>
      </c>
      <c r="G52" s="42">
        <f>E23</f>
        <v>319.79348106544438</v>
      </c>
      <c r="H52" s="42">
        <f>E24</f>
        <v>377.32538344014085</v>
      </c>
      <c r="I52" s="42">
        <f>E25</f>
        <v>445.20746487359759</v>
      </c>
      <c r="J52" s="42">
        <f>E26</f>
        <v>525.3017567280092</v>
      </c>
      <c r="K52" s="42">
        <f>E27</f>
        <v>619.8052759512409</v>
      </c>
      <c r="L52" s="42">
        <f>E28</f>
        <v>731.310290088947</v>
      </c>
      <c r="M52" s="42">
        <f>E29</f>
        <v>862.87542417120824</v>
      </c>
      <c r="N52" s="42">
        <f>E30</f>
        <v>1018.1095599626867</v>
      </c>
      <c r="O52" s="42">
        <f>E31</f>
        <v>1201.2708289647012</v>
      </c>
      <c r="P52" s="42">
        <f>E32</f>
        <v>1417.3834145849958</v>
      </c>
      <c r="Q52" s="42">
        <f>E33</f>
        <v>1672.3753674032278</v>
      </c>
      <c r="R52" s="42">
        <f>E34</f>
        <v>1973.2412138574264</v>
      </c>
      <c r="S52" s="42">
        <f>E35</f>
        <v>2328.2338187696596</v>
      </c>
      <c r="T52" s="42">
        <f>E36</f>
        <v>2747.0907645731018</v>
      </c>
      <c r="U52" s="42">
        <f>E37</f>
        <v>3241.3014569089682</v>
      </c>
      <c r="V52" s="42">
        <f>E38</f>
        <v>3824.4222834016332</v>
      </c>
      <c r="W52" s="42">
        <f>E39</f>
        <v>4512.4484705372279</v>
      </c>
      <c r="X52" s="42">
        <f>E40</f>
        <v>5324.2528388216087</v>
      </c>
      <c r="Y52" s="42">
        <f>E41</f>
        <v>6282.103491438882</v>
      </c>
      <c r="Z52" s="42">
        <f>E42</f>
        <v>7412.2746368076596</v>
      </c>
      <c r="AA52" s="42">
        <f>E43</f>
        <v>8745.7673001305484</v>
      </c>
      <c r="AB52" s="42">
        <f>E44</f>
        <v>10319.159693329315</v>
      </c>
      <c r="AC52" s="42">
        <f>E45</f>
        <v>12175.610569337106</v>
      </c>
      <c r="AD52" s="42">
        <f>E46</f>
        <v>14366.043083138329</v>
      </c>
      <c r="AE52" s="42">
        <f>E47</f>
        <v>16950.541633315646</v>
      </c>
      <c r="AF52" s="42">
        <f>E48</f>
        <v>20000.000000000033</v>
      </c>
      <c r="AG52" s="42"/>
      <c r="AH52" s="42"/>
    </row>
    <row r="53" spans="1:34" ht="13.15" x14ac:dyDescent="0.4">
      <c r="A53" s="8"/>
      <c r="B53" s="55" t="s">
        <v>134</v>
      </c>
      <c r="C53" s="125">
        <f>E19</f>
        <v>165</v>
      </c>
      <c r="D53" s="126">
        <f>E20</f>
        <v>194.6840444032762</v>
      </c>
      <c r="E53" s="60">
        <f t="shared" ref="E53:AF53" si="3">INT(E52+0.5)</f>
        <v>230</v>
      </c>
      <c r="F53" s="60">
        <f t="shared" si="3"/>
        <v>271</v>
      </c>
      <c r="G53" s="60">
        <f t="shared" si="3"/>
        <v>320</v>
      </c>
      <c r="H53" s="60">
        <f t="shared" si="3"/>
        <v>377</v>
      </c>
      <c r="I53" s="60">
        <f t="shared" si="3"/>
        <v>445</v>
      </c>
      <c r="J53" s="60">
        <f t="shared" si="3"/>
        <v>525</v>
      </c>
      <c r="K53" s="60">
        <f t="shared" si="3"/>
        <v>620</v>
      </c>
      <c r="L53" s="60">
        <f t="shared" si="3"/>
        <v>731</v>
      </c>
      <c r="M53" s="60">
        <f t="shared" si="3"/>
        <v>863</v>
      </c>
      <c r="N53" s="60">
        <f t="shared" si="3"/>
        <v>1018</v>
      </c>
      <c r="O53" s="60">
        <f t="shared" si="3"/>
        <v>1201</v>
      </c>
      <c r="P53" s="60">
        <f t="shared" si="3"/>
        <v>1417</v>
      </c>
      <c r="Q53" s="60">
        <f t="shared" si="3"/>
        <v>1672</v>
      </c>
      <c r="R53" s="60">
        <f t="shared" si="3"/>
        <v>1973</v>
      </c>
      <c r="S53" s="60">
        <f t="shared" si="3"/>
        <v>2328</v>
      </c>
      <c r="T53" s="60">
        <f t="shared" si="3"/>
        <v>2747</v>
      </c>
      <c r="U53" s="60">
        <f t="shared" si="3"/>
        <v>3241</v>
      </c>
      <c r="V53" s="60">
        <f t="shared" si="3"/>
        <v>3824</v>
      </c>
      <c r="W53" s="60">
        <f t="shared" si="3"/>
        <v>4512</v>
      </c>
      <c r="X53" s="60">
        <f t="shared" si="3"/>
        <v>5324</v>
      </c>
      <c r="Y53" s="60">
        <f t="shared" si="3"/>
        <v>6282</v>
      </c>
      <c r="Z53" s="60">
        <f t="shared" si="3"/>
        <v>7412</v>
      </c>
      <c r="AA53" s="60">
        <f t="shared" si="3"/>
        <v>8746</v>
      </c>
      <c r="AB53" s="60">
        <f t="shared" si="3"/>
        <v>10319</v>
      </c>
      <c r="AC53" s="60">
        <f t="shared" si="3"/>
        <v>12176</v>
      </c>
      <c r="AD53" s="61">
        <f t="shared" si="3"/>
        <v>14366</v>
      </c>
      <c r="AE53" s="61">
        <f t="shared" si="3"/>
        <v>16951</v>
      </c>
      <c r="AF53" s="61">
        <f t="shared" si="3"/>
        <v>20000</v>
      </c>
      <c r="AG53" s="61"/>
      <c r="AH53" s="61"/>
    </row>
    <row r="55" spans="1:34" x14ac:dyDescent="0.35">
      <c r="A55" t="s">
        <v>335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133"/>
  <sheetViews>
    <sheetView topLeftCell="A28" zoomScaleNormal="100" workbookViewId="0">
      <selection activeCell="L47" sqref="L47"/>
    </sheetView>
  </sheetViews>
  <sheetFormatPr defaultColWidth="11.53125" defaultRowHeight="12.75" x14ac:dyDescent="0.35"/>
  <cols>
    <col min="5" max="5" width="16.06640625" bestFit="1" customWidth="1"/>
  </cols>
  <sheetData>
    <row r="1" spans="1:49" x14ac:dyDescent="0.35">
      <c r="A1" t="s">
        <v>135</v>
      </c>
    </row>
    <row r="2" spans="1:49" ht="40.15" x14ac:dyDescent="0.4">
      <c r="A2" s="183" t="s">
        <v>270</v>
      </c>
      <c r="B2" s="183"/>
      <c r="C2" s="183"/>
      <c r="D2" s="183"/>
      <c r="E2" s="183"/>
      <c r="H2" s="62" t="s">
        <v>136</v>
      </c>
    </row>
    <row r="3" spans="1:49" ht="13.15" x14ac:dyDescent="0.4">
      <c r="A3" t="s">
        <v>137</v>
      </c>
      <c r="B3" s="63" t="s">
        <v>25</v>
      </c>
      <c r="E3" s="152"/>
    </row>
    <row r="4" spans="1:49" ht="18.100000000000001" customHeight="1" x14ac:dyDescent="1.05">
      <c r="A4" s="8" t="s">
        <v>28</v>
      </c>
      <c r="B4" s="64">
        <v>45845</v>
      </c>
      <c r="O4" s="65"/>
    </row>
    <row r="5" spans="1:49" ht="13.15" x14ac:dyDescent="0.4">
      <c r="A5" s="8" t="s">
        <v>122</v>
      </c>
      <c r="B5" s="66" t="s">
        <v>139</v>
      </c>
      <c r="O5" s="29"/>
    </row>
    <row r="6" spans="1:49" ht="15" x14ac:dyDescent="0.5">
      <c r="A6" t="s">
        <v>336</v>
      </c>
      <c r="B6" s="152">
        <v>0.1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M7" s="55" t="s">
        <v>309</v>
      </c>
      <c r="N7" s="55" t="s">
        <v>356</v>
      </c>
      <c r="P7" s="55"/>
    </row>
    <row r="8" spans="1:49" ht="13.15" x14ac:dyDescent="0.4">
      <c r="A8" s="57" t="s">
        <v>147</v>
      </c>
      <c r="B8" s="46">
        <f>B52</f>
        <v>7.5035889999999998</v>
      </c>
      <c r="C8" s="46">
        <f>C52</f>
        <v>7.8647749999999998</v>
      </c>
      <c r="D8" s="46">
        <f>D52</f>
        <v>7.7853899999999996</v>
      </c>
      <c r="E8" s="46">
        <f>E52</f>
        <v>7.8457220000000003</v>
      </c>
      <c r="F8" s="46"/>
      <c r="G8" s="68">
        <f>AVERAGE(B$8:F$8)*5</f>
        <v>38.749345000000005</v>
      </c>
      <c r="I8" s="69"/>
      <c r="K8" s="69"/>
    </row>
    <row r="9" spans="1:49" ht="13.15" x14ac:dyDescent="0.4">
      <c r="A9" s="57" t="s">
        <v>148</v>
      </c>
      <c r="B9" s="42">
        <f>B53/B$8</f>
        <v>1812.3327383735971</v>
      </c>
      <c r="C9" s="42">
        <f t="shared" ref="C9:E9" si="0">C53/C$8</f>
        <v>1826.625682235029</v>
      </c>
      <c r="D9" s="42">
        <f t="shared" si="0"/>
        <v>1799.2676025221601</v>
      </c>
      <c r="E9" s="42">
        <f t="shared" si="0"/>
        <v>1789.5102579469421</v>
      </c>
      <c r="F9" s="42"/>
      <c r="G9" s="70">
        <f t="shared" ref="G9:G38" si="1">AVERAGE(B9:F9)</f>
        <v>1806.9340702694321</v>
      </c>
      <c r="H9" s="71">
        <f t="shared" ref="H9:H38" si="2">G9*G$8</f>
        <v>70017.511681124481</v>
      </c>
      <c r="I9" s="69">
        <f t="shared" ref="I9:I38" si="3">STDEVP(B9:F9)/AVERAGE(B9:F9)</f>
        <v>7.7245189499518356E-3</v>
      </c>
      <c r="J9" s="69">
        <f t="shared" ref="J9:J38" si="4">IF(H9&gt;$A$43, $C$43, IF(H9&gt;$A$44, $C$44, IF(H9&gt;$A$45,$C$45,IF(H9&gt;$A$46,$C$46, IF(H9&gt;$A$47,$C$47,IF(H9&gt;$A$48,$C$48,$C$49))))))/100</f>
        <v>0.11</v>
      </c>
      <c r="K9" s="69">
        <f t="shared" ref="K9:K38" si="5">(MAX(B9:F9)-MIN(B9:F9))/G9</f>
        <v>2.0540552585049523E-2</v>
      </c>
      <c r="L9">
        <f t="shared" ref="L9:L38" si="6">COUNTA(B9:F9)</f>
        <v>4</v>
      </c>
      <c r="M9">
        <f>'Clause 6 Sizing Calibration'!F19</f>
        <v>165</v>
      </c>
      <c r="P9" s="42"/>
    </row>
    <row r="10" spans="1:49" ht="13.15" x14ac:dyDescent="0.4">
      <c r="A10" s="57" t="s">
        <v>149</v>
      </c>
      <c r="B10" s="42">
        <f t="shared" ref="B10:E10" si="7">B54/B$8</f>
        <v>1535.7984026044071</v>
      </c>
      <c r="C10" s="42">
        <f t="shared" si="7"/>
        <v>1554.0177563884536</v>
      </c>
      <c r="D10" s="42">
        <f t="shared" si="7"/>
        <v>1535.6969914159729</v>
      </c>
      <c r="E10" s="42">
        <f t="shared" si="7"/>
        <v>1525.7996650913708</v>
      </c>
      <c r="F10" s="42"/>
      <c r="G10" s="70">
        <f t="shared" si="1"/>
        <v>1537.828203875051</v>
      </c>
      <c r="H10" s="71">
        <f t="shared" si="2"/>
        <v>59589.835622684695</v>
      </c>
      <c r="I10" s="69">
        <f t="shared" si="3"/>
        <v>6.6270662342297199E-3</v>
      </c>
      <c r="J10" s="69">
        <f t="shared" si="4"/>
        <v>0.11</v>
      </c>
      <c r="K10" s="69">
        <f t="shared" si="5"/>
        <v>1.8349313158633872E-2</v>
      </c>
      <c r="L10">
        <f t="shared" si="6"/>
        <v>4</v>
      </c>
      <c r="M10">
        <f>'Clause 6 Sizing Calibration'!F20</f>
        <v>194</v>
      </c>
      <c r="P10" s="42"/>
    </row>
    <row r="11" spans="1:49" ht="13.15" x14ac:dyDescent="0.4">
      <c r="A11" s="57" t="s">
        <v>150</v>
      </c>
      <c r="B11" s="42">
        <f t="shared" ref="B11:E11" si="8">B55/B$8</f>
        <v>1313.5047775138005</v>
      </c>
      <c r="C11" s="42">
        <f t="shared" si="8"/>
        <v>1335.4482486784427</v>
      </c>
      <c r="D11" s="42">
        <f t="shared" si="8"/>
        <v>1315.9263697772367</v>
      </c>
      <c r="E11" s="42">
        <f t="shared" si="8"/>
        <v>1299.5617229363977</v>
      </c>
      <c r="F11" s="42"/>
      <c r="G11" s="70">
        <f t="shared" si="1"/>
        <v>1316.1102797264693</v>
      </c>
      <c r="H11" s="71">
        <f t="shared" si="2"/>
        <v>50998.411287167473</v>
      </c>
      <c r="I11" s="69">
        <f t="shared" si="3"/>
        <v>9.7202420880317577E-3</v>
      </c>
      <c r="J11" s="69">
        <f t="shared" si="4"/>
        <v>0.11</v>
      </c>
      <c r="K11" s="69">
        <f t="shared" si="5"/>
        <v>2.7267111498820155E-2</v>
      </c>
      <c r="L11">
        <f t="shared" si="6"/>
        <v>4</v>
      </c>
      <c r="M11">
        <f>'Clause 6 Sizing Calibration'!F21</f>
        <v>229</v>
      </c>
      <c r="P11" s="42"/>
    </row>
    <row r="12" spans="1:49" ht="13.15" x14ac:dyDescent="0.4">
      <c r="A12" s="57" t="s">
        <v>151</v>
      </c>
      <c r="B12" s="42">
        <f t="shared" ref="B12:E12" si="9">B56/B$8</f>
        <v>1113.4671688441358</v>
      </c>
      <c r="C12" s="42">
        <f t="shared" si="9"/>
        <v>1135.6968254018709</v>
      </c>
      <c r="D12" s="42">
        <f t="shared" si="9"/>
        <v>1120.817325785863</v>
      </c>
      <c r="E12" s="42">
        <f t="shared" si="9"/>
        <v>1109.6493095218004</v>
      </c>
      <c r="F12" s="42"/>
      <c r="G12" s="70">
        <f t="shared" si="1"/>
        <v>1119.9076573884176</v>
      </c>
      <c r="H12" s="71">
        <f t="shared" si="2"/>
        <v>43395.688184285602</v>
      </c>
      <c r="I12" s="69">
        <f t="shared" si="3"/>
        <v>8.8939547990370266E-3</v>
      </c>
      <c r="J12" s="69">
        <f t="shared" si="4"/>
        <v>0.11</v>
      </c>
      <c r="K12" s="69">
        <f t="shared" si="5"/>
        <v>2.3258628252272425E-2</v>
      </c>
      <c r="L12">
        <f t="shared" si="6"/>
        <v>4</v>
      </c>
      <c r="M12">
        <f>'Clause 6 Sizing Calibration'!F22</f>
        <v>271</v>
      </c>
      <c r="P12" s="42"/>
    </row>
    <row r="13" spans="1:49" ht="13.15" x14ac:dyDescent="0.4">
      <c r="A13" s="57" t="s">
        <v>152</v>
      </c>
      <c r="B13" s="42">
        <f t="shared" ref="B13:E13" si="10">B57/B$8</f>
        <v>941.14962853109364</v>
      </c>
      <c r="C13" s="42">
        <f t="shared" si="10"/>
        <v>966.07976706263059</v>
      </c>
      <c r="D13" s="42">
        <f t="shared" si="10"/>
        <v>949.72763085728525</v>
      </c>
      <c r="E13" s="42">
        <f t="shared" si="10"/>
        <v>937.5810154884407</v>
      </c>
      <c r="F13" s="42"/>
      <c r="G13" s="70">
        <f t="shared" si="1"/>
        <v>948.63451048486252</v>
      </c>
      <c r="H13" s="71">
        <f t="shared" si="2"/>
        <v>36758.96592568406</v>
      </c>
      <c r="I13" s="69">
        <f t="shared" si="3"/>
        <v>1.1592440739323228E-2</v>
      </c>
      <c r="J13" s="69">
        <f t="shared" si="4"/>
        <v>0.11</v>
      </c>
      <c r="K13" s="69">
        <f t="shared" si="5"/>
        <v>3.0041866766605106E-2</v>
      </c>
      <c r="L13">
        <f t="shared" si="6"/>
        <v>4</v>
      </c>
      <c r="M13">
        <f>'Clause 6 Sizing Calibration'!F23</f>
        <v>319</v>
      </c>
      <c r="P13" s="42"/>
    </row>
    <row r="14" spans="1:49" ht="13.15" x14ac:dyDescent="0.4">
      <c r="A14" s="57" t="s">
        <v>153</v>
      </c>
      <c r="B14" s="42">
        <f t="shared" ref="B14:E14" si="11">B58/B$8</f>
        <v>795.75253921823276</v>
      </c>
      <c r="C14" s="42">
        <f t="shared" si="11"/>
        <v>817.44232988229157</v>
      </c>
      <c r="D14" s="42">
        <f t="shared" si="11"/>
        <v>802.01505640693665</v>
      </c>
      <c r="E14" s="42">
        <f t="shared" si="11"/>
        <v>792.15144253135657</v>
      </c>
      <c r="F14" s="42"/>
      <c r="G14" s="70">
        <f t="shared" si="1"/>
        <v>801.84034200970439</v>
      </c>
      <c r="H14" s="71">
        <f t="shared" si="2"/>
        <v>31070.788047452032</v>
      </c>
      <c r="I14" s="69">
        <f t="shared" si="3"/>
        <v>1.2065447894759248E-2</v>
      </c>
      <c r="J14" s="69">
        <f t="shared" si="4"/>
        <v>0.11</v>
      </c>
      <c r="K14" s="69">
        <f t="shared" si="5"/>
        <v>3.1541051286527712E-2</v>
      </c>
      <c r="L14">
        <f t="shared" si="6"/>
        <v>4</v>
      </c>
      <c r="M14">
        <f>'Clause 6 Sizing Calibration'!F24</f>
        <v>377</v>
      </c>
      <c r="P14" s="42"/>
    </row>
    <row r="15" spans="1:49" ht="13.15" x14ac:dyDescent="0.4">
      <c r="A15" s="57" t="s">
        <v>154</v>
      </c>
      <c r="B15" s="42">
        <f t="shared" ref="B15:E15" si="12">B59/B$8</f>
        <v>665.6814492371584</v>
      </c>
      <c r="C15" s="42">
        <f t="shared" si="12"/>
        <v>679.10397945268619</v>
      </c>
      <c r="D15" s="42">
        <f t="shared" si="12"/>
        <v>665.34881361113571</v>
      </c>
      <c r="E15" s="42">
        <f t="shared" si="12"/>
        <v>673.2331326549679</v>
      </c>
      <c r="F15" s="42"/>
      <c r="G15" s="70">
        <f t="shared" si="1"/>
        <v>670.84184373898711</v>
      </c>
      <c r="H15" s="71">
        <f t="shared" si="2"/>
        <v>25994.682043478104</v>
      </c>
      <c r="I15" s="69">
        <f t="shared" si="3"/>
        <v>8.5236871582845836E-3</v>
      </c>
      <c r="J15" s="69">
        <f t="shared" si="4"/>
        <v>0.11</v>
      </c>
      <c r="K15" s="69">
        <f t="shared" si="5"/>
        <v>2.0504334918771665E-2</v>
      </c>
      <c r="L15">
        <f t="shared" si="6"/>
        <v>4</v>
      </c>
      <c r="M15">
        <f>'Clause 6 Sizing Calibration'!F25</f>
        <v>445</v>
      </c>
      <c r="P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 s="42">
        <f t="shared" ref="B16:E16" si="13">B60/B$8</f>
        <v>550.93635858787047</v>
      </c>
      <c r="C16" s="42">
        <f t="shared" si="13"/>
        <v>559.20226579908513</v>
      </c>
      <c r="D16" s="42">
        <f t="shared" si="13"/>
        <v>548.33476550307694</v>
      </c>
      <c r="E16" s="42">
        <f t="shared" si="13"/>
        <v>549.72633493768956</v>
      </c>
      <c r="F16" s="42"/>
      <c r="G16" s="70">
        <f t="shared" si="1"/>
        <v>552.04993120693052</v>
      </c>
      <c r="H16" s="71">
        <f t="shared" si="2"/>
        <v>21391.573241563619</v>
      </c>
      <c r="I16" s="69">
        <f t="shared" si="3"/>
        <v>7.6637361231030885E-3</v>
      </c>
      <c r="J16" s="69">
        <f t="shared" si="4"/>
        <v>0.11</v>
      </c>
      <c r="K16" s="69">
        <f t="shared" si="5"/>
        <v>1.9685719862782867E-2</v>
      </c>
      <c r="L16">
        <f t="shared" si="6"/>
        <v>4</v>
      </c>
      <c r="M16">
        <f>'Clause 6 Sizing Calibration'!F26</f>
        <v>525</v>
      </c>
      <c r="P16" s="42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 s="42">
        <f t="shared" ref="B17:E17" si="14">B61/B$8</f>
        <v>457.24785832486293</v>
      </c>
      <c r="C17" s="42">
        <f t="shared" si="14"/>
        <v>453.6684139088531</v>
      </c>
      <c r="D17" s="42">
        <f t="shared" si="14"/>
        <v>445.83508340622632</v>
      </c>
      <c r="E17" s="42">
        <f t="shared" si="14"/>
        <v>449.67180840718038</v>
      </c>
      <c r="F17" s="42"/>
      <c r="G17" s="70">
        <f t="shared" si="1"/>
        <v>451.60579101178064</v>
      </c>
      <c r="H17" s="71">
        <f t="shared" si="2"/>
        <v>17499.42859991339</v>
      </c>
      <c r="I17" s="69">
        <f t="shared" si="3"/>
        <v>9.4679161728737117E-3</v>
      </c>
      <c r="J17" s="69">
        <f t="shared" si="4"/>
        <v>0.11</v>
      </c>
      <c r="K17" s="69">
        <f t="shared" si="5"/>
        <v>2.5271542450922422E-2</v>
      </c>
      <c r="L17">
        <f t="shared" si="6"/>
        <v>4</v>
      </c>
      <c r="M17">
        <f>'Clause 6 Sizing Calibration'!F27</f>
        <v>619</v>
      </c>
      <c r="P17" s="42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 s="42">
        <f t="shared" ref="B18:E18" si="15">B62/B$8</f>
        <v>367.95725352228112</v>
      </c>
      <c r="C18" s="42">
        <f t="shared" si="15"/>
        <v>367.84269098607399</v>
      </c>
      <c r="D18" s="42">
        <f t="shared" si="15"/>
        <v>354.89551583157686</v>
      </c>
      <c r="E18" s="42">
        <f t="shared" si="15"/>
        <v>361.47087546563591</v>
      </c>
      <c r="F18" s="42"/>
      <c r="G18" s="70">
        <f t="shared" si="1"/>
        <v>363.041583951392</v>
      </c>
      <c r="H18" s="71">
        <f t="shared" si="2"/>
        <v>14067.623585878953</v>
      </c>
      <c r="I18" s="69">
        <f t="shared" si="3"/>
        <v>1.4836021936106001E-2</v>
      </c>
      <c r="J18" s="69">
        <f t="shared" si="4"/>
        <v>0.11</v>
      </c>
      <c r="K18" s="69">
        <f t="shared" si="5"/>
        <v>3.5978626879429633E-2</v>
      </c>
      <c r="L18">
        <f t="shared" si="6"/>
        <v>4</v>
      </c>
      <c r="M18">
        <f>'Clause 6 Sizing Calibration'!F28</f>
        <v>731</v>
      </c>
      <c r="P18" s="42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 s="42">
        <f t="shared" ref="B19:E19" si="16">B63/B$8</f>
        <v>291.86033510097633</v>
      </c>
      <c r="C19" s="42">
        <f t="shared" si="16"/>
        <v>291.0445626225798</v>
      </c>
      <c r="D19" s="42">
        <f t="shared" si="16"/>
        <v>276.92896566517544</v>
      </c>
      <c r="E19" s="42">
        <f t="shared" si="16"/>
        <v>282.06454421912986</v>
      </c>
      <c r="F19" s="42"/>
      <c r="G19" s="70">
        <f t="shared" si="1"/>
        <v>285.47460190196534</v>
      </c>
      <c r="H19" s="71">
        <f t="shared" si="2"/>
        <v>11061.953837836912</v>
      </c>
      <c r="I19" s="69">
        <f t="shared" si="3"/>
        <v>2.1907964593367045E-2</v>
      </c>
      <c r="J19" s="69">
        <f t="shared" si="4"/>
        <v>0.11</v>
      </c>
      <c r="K19" s="69">
        <f t="shared" si="5"/>
        <v>5.2303670226076578E-2</v>
      </c>
      <c r="L19">
        <f t="shared" si="6"/>
        <v>4</v>
      </c>
      <c r="M19">
        <f>'Clause 6 Sizing Calibration'!F29</f>
        <v>862</v>
      </c>
      <c r="P19" s="42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 s="42">
        <f t="shared" ref="B20:E20" si="17">B64/B$8</f>
        <v>223.09324244704769</v>
      </c>
      <c r="C20" s="42">
        <f t="shared" si="17"/>
        <v>228.86859446074428</v>
      </c>
      <c r="D20" s="42">
        <f t="shared" si="17"/>
        <v>216.0456958482491</v>
      </c>
      <c r="E20" s="42">
        <f t="shared" si="17"/>
        <v>216.4236764952926</v>
      </c>
      <c r="F20" s="42"/>
      <c r="G20" s="70">
        <f t="shared" si="1"/>
        <v>221.10780231283343</v>
      </c>
      <c r="H20" s="71">
        <f t="shared" si="2"/>
        <v>8567.782514011782</v>
      </c>
      <c r="I20" s="69">
        <f t="shared" si="3"/>
        <v>2.3903750153232612E-2</v>
      </c>
      <c r="J20" s="69">
        <f t="shared" si="4"/>
        <v>0.113</v>
      </c>
      <c r="K20" s="69">
        <f t="shared" si="5"/>
        <v>5.7993876644627664E-2</v>
      </c>
      <c r="L20">
        <f t="shared" si="6"/>
        <v>4</v>
      </c>
      <c r="M20">
        <f>'Clause 6 Sizing Calibration'!F30</f>
        <v>1018</v>
      </c>
      <c r="P20" s="42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 s="42">
        <f t="shared" ref="B21:E21" si="18">B65/B$8</f>
        <v>170.85157515956698</v>
      </c>
      <c r="C21" s="42">
        <f t="shared" si="18"/>
        <v>174.70302710503481</v>
      </c>
      <c r="D21" s="42">
        <f t="shared" si="18"/>
        <v>168.77767202413753</v>
      </c>
      <c r="E21" s="42">
        <f t="shared" si="18"/>
        <v>164.5482722941241</v>
      </c>
      <c r="F21" s="42"/>
      <c r="G21" s="70">
        <f t="shared" si="1"/>
        <v>169.72013664571585</v>
      </c>
      <c r="H21" s="71">
        <f t="shared" si="2"/>
        <v>6576.5441283319869</v>
      </c>
      <c r="I21" s="69">
        <f t="shared" si="3"/>
        <v>2.159776342557616E-2</v>
      </c>
      <c r="J21" s="69">
        <f t="shared" si="4"/>
        <v>0.113</v>
      </c>
      <c r="K21" s="69">
        <f t="shared" si="5"/>
        <v>5.9832351137616369E-2</v>
      </c>
      <c r="L21">
        <f t="shared" si="6"/>
        <v>4</v>
      </c>
      <c r="M21">
        <f>'Clause 6 Sizing Calibration'!F31</f>
        <v>1201</v>
      </c>
      <c r="P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 s="42">
        <f t="shared" ref="B22:E22" si="19">B66/B$8</f>
        <v>129.80455086226073</v>
      </c>
      <c r="C22" s="42">
        <f t="shared" si="19"/>
        <v>133.12523244466624</v>
      </c>
      <c r="D22" s="42">
        <f t="shared" si="19"/>
        <v>128.44571691334667</v>
      </c>
      <c r="E22" s="42">
        <f t="shared" si="19"/>
        <v>125.29120965540201</v>
      </c>
      <c r="F22" s="42"/>
      <c r="G22" s="70">
        <f t="shared" si="1"/>
        <v>129.16667746891892</v>
      </c>
      <c r="H22" s="71">
        <f t="shared" si="2"/>
        <v>5005.1241477468666</v>
      </c>
      <c r="I22" s="69">
        <f t="shared" si="3"/>
        <v>2.1765742728281499E-2</v>
      </c>
      <c r="J22" s="69">
        <f t="shared" si="4"/>
        <v>0.113</v>
      </c>
      <c r="K22" s="69">
        <f t="shared" si="5"/>
        <v>6.0650493941437081E-2</v>
      </c>
      <c r="L22">
        <f t="shared" si="6"/>
        <v>4</v>
      </c>
      <c r="M22">
        <f>'Clause 6 Sizing Calibration'!F32</f>
        <v>1417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 s="42">
        <f t="shared" ref="B23:E23" si="20">B67/B$8</f>
        <v>102.48429118385882</v>
      </c>
      <c r="C23" s="42">
        <f t="shared" si="20"/>
        <v>104.89810579450779</v>
      </c>
      <c r="D23" s="42">
        <f t="shared" si="20"/>
        <v>96.719624835750039</v>
      </c>
      <c r="E23" s="42">
        <f t="shared" si="20"/>
        <v>94.956206707298577</v>
      </c>
      <c r="F23" s="42"/>
      <c r="G23" s="70">
        <f t="shared" si="1"/>
        <v>99.764557130353808</v>
      </c>
      <c r="H23" s="71">
        <f t="shared" si="2"/>
        <v>3865.8112430162901</v>
      </c>
      <c r="I23" s="69">
        <f t="shared" si="3"/>
        <v>4.0759869634294475E-2</v>
      </c>
      <c r="J23" s="69">
        <f t="shared" si="4"/>
        <v>0.11900000000000001</v>
      </c>
      <c r="K23" s="69">
        <f t="shared" si="5"/>
        <v>9.9653618210513176E-2</v>
      </c>
      <c r="L23">
        <f t="shared" si="6"/>
        <v>4</v>
      </c>
      <c r="M23">
        <f>'Clause 6 Sizing Calibration'!F33</f>
        <v>1672</v>
      </c>
      <c r="P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 s="42">
        <f t="shared" ref="B24:E24" si="21">B68/B$8</f>
        <v>81.427700797578339</v>
      </c>
      <c r="C24" s="42">
        <f t="shared" si="21"/>
        <v>84.299932293040811</v>
      </c>
      <c r="D24" s="42">
        <f t="shared" si="21"/>
        <v>77.709658732574738</v>
      </c>
      <c r="E24" s="42">
        <f t="shared" si="21"/>
        <v>75.327675387937532</v>
      </c>
      <c r="F24" s="42"/>
      <c r="G24" s="70">
        <f t="shared" si="1"/>
        <v>79.691241802782855</v>
      </c>
      <c r="H24" s="71">
        <f t="shared" si="2"/>
        <v>3087.9834220944554</v>
      </c>
      <c r="I24" s="69">
        <f t="shared" si="3"/>
        <v>4.3115638584090343E-2</v>
      </c>
      <c r="J24" s="69">
        <f t="shared" si="4"/>
        <v>0.11900000000000001</v>
      </c>
      <c r="K24" s="69">
        <f t="shared" si="5"/>
        <v>0.11258774116367157</v>
      </c>
      <c r="L24">
        <f t="shared" si="6"/>
        <v>4</v>
      </c>
      <c r="M24">
        <f>'Clause 6 Sizing Calibration'!F34</f>
        <v>1973</v>
      </c>
      <c r="P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 s="42">
        <f t="shared" ref="B25:E25" si="22">B69/B$8</f>
        <v>63.969388515282489</v>
      </c>
      <c r="C25" s="42">
        <f t="shared" si="22"/>
        <v>67.389086146774702</v>
      </c>
      <c r="D25" s="42">
        <f t="shared" si="22"/>
        <v>59.598812647792855</v>
      </c>
      <c r="E25" s="42">
        <f t="shared" si="22"/>
        <v>59.650341931564739</v>
      </c>
      <c r="F25" s="42"/>
      <c r="G25" s="70">
        <f t="shared" si="1"/>
        <v>62.651907310353693</v>
      </c>
      <c r="H25" s="71">
        <f t="shared" si="2"/>
        <v>2427.7203712769178</v>
      </c>
      <c r="I25" s="69">
        <f t="shared" si="3"/>
        <v>5.20316966566901E-2</v>
      </c>
      <c r="J25" s="69">
        <f t="shared" si="4"/>
        <v>0.11900000000000001</v>
      </c>
      <c r="K25" s="69">
        <f t="shared" si="5"/>
        <v>0.12434216025366632</v>
      </c>
      <c r="L25">
        <f t="shared" si="6"/>
        <v>4</v>
      </c>
      <c r="M25">
        <f>'Clause 6 Sizing Calibration'!F35</f>
        <v>2328</v>
      </c>
      <c r="P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 s="42">
        <f t="shared" ref="B26:E28" si="23">B70/B$8</f>
        <v>47.710502267648188</v>
      </c>
      <c r="C26" s="42">
        <f t="shared" si="23"/>
        <v>52.639776725971181</v>
      </c>
      <c r="D26" s="42">
        <f t="shared" si="23"/>
        <v>47.139578107198226</v>
      </c>
      <c r="E26" s="42">
        <f t="shared" si="23"/>
        <v>46.52216838679729</v>
      </c>
      <c r="F26" s="42"/>
      <c r="G26" s="70">
        <f t="shared" si="1"/>
        <v>48.503006371903723</v>
      </c>
      <c r="H26" s="71">
        <f t="shared" si="2"/>
        <v>1879.459727442096</v>
      </c>
      <c r="I26" s="69">
        <f t="shared" si="3"/>
        <v>4.9998056535047727E-2</v>
      </c>
      <c r="J26" s="69">
        <f t="shared" si="4"/>
        <v>0.13400000000000001</v>
      </c>
      <c r="K26" s="69">
        <f t="shared" si="5"/>
        <v>0.12612843608633775</v>
      </c>
      <c r="L26">
        <f t="shared" si="6"/>
        <v>4</v>
      </c>
      <c r="M26">
        <f>'Clause 6 Sizing Calibration'!F36</f>
        <v>2747</v>
      </c>
      <c r="P26" s="42"/>
    </row>
    <row r="27" spans="1:49" ht="13.15" x14ac:dyDescent="0.4">
      <c r="A27" s="57" t="s">
        <v>166</v>
      </c>
      <c r="B27" s="42">
        <f t="shared" si="23"/>
        <v>38.115093990355817</v>
      </c>
      <c r="C27" s="42">
        <f t="shared" si="23"/>
        <v>41.704943879513401</v>
      </c>
      <c r="D27" s="42">
        <f t="shared" si="23"/>
        <v>37.89148648943727</v>
      </c>
      <c r="E27" s="42">
        <f t="shared" si="23"/>
        <v>35.688238762474633</v>
      </c>
      <c r="F27" s="42"/>
      <c r="G27" s="70">
        <f t="shared" si="1"/>
        <v>38.34994078044528</v>
      </c>
      <c r="H27" s="71">
        <f t="shared" si="2"/>
        <v>1486.0350860310436</v>
      </c>
      <c r="I27" s="69">
        <f t="shared" si="3"/>
        <v>5.6238307782420539E-2</v>
      </c>
      <c r="J27" s="69">
        <f t="shared" si="4"/>
        <v>0.13400000000000001</v>
      </c>
      <c r="K27" s="69">
        <f t="shared" si="5"/>
        <v>0.15688955431468879</v>
      </c>
      <c r="L27">
        <f t="shared" si="6"/>
        <v>4</v>
      </c>
      <c r="M27">
        <f>'Clause 6 Sizing Calibration'!F37</f>
        <v>3241</v>
      </c>
      <c r="P27" s="42"/>
    </row>
    <row r="28" spans="1:49" ht="13.15" x14ac:dyDescent="0.4">
      <c r="A28" s="57" t="s">
        <v>167</v>
      </c>
      <c r="B28" s="42">
        <f t="shared" si="23"/>
        <v>31.851424698234407</v>
      </c>
      <c r="C28" s="42">
        <f t="shared" si="23"/>
        <v>31.151558690490191</v>
      </c>
      <c r="D28" s="42">
        <f t="shared" si="23"/>
        <v>29.799406323896427</v>
      </c>
      <c r="E28" s="42">
        <f t="shared" si="23"/>
        <v>27.27601105417704</v>
      </c>
      <c r="F28" s="42"/>
      <c r="G28" s="70">
        <f t="shared" si="1"/>
        <v>30.019600191699517</v>
      </c>
      <c r="H28" s="71">
        <f t="shared" si="2"/>
        <v>1163.2398445902309</v>
      </c>
      <c r="I28" s="69">
        <f t="shared" si="3"/>
        <v>5.8206374534190149E-2</v>
      </c>
      <c r="J28" s="69">
        <f t="shared" si="4"/>
        <v>0.13400000000000001</v>
      </c>
      <c r="K28" s="69">
        <f t="shared" si="5"/>
        <v>0.15241420987753454</v>
      </c>
      <c r="L28">
        <f t="shared" si="6"/>
        <v>4</v>
      </c>
      <c r="M28">
        <f>'Clause 6 Sizing Calibration'!F38</f>
        <v>3824</v>
      </c>
      <c r="P28" s="42"/>
    </row>
    <row r="29" spans="1:49" ht="13.15" x14ac:dyDescent="0.4">
      <c r="A29" s="57" t="s">
        <v>168</v>
      </c>
      <c r="B29" s="42">
        <f t="shared" ref="B29:E29" si="24">B73/B$8</f>
        <v>25.854294524926672</v>
      </c>
      <c r="C29" s="42">
        <f t="shared" si="24"/>
        <v>23.776903980088434</v>
      </c>
      <c r="D29" s="42">
        <f t="shared" si="24"/>
        <v>21.707326158355588</v>
      </c>
      <c r="E29" s="42">
        <f t="shared" si="24"/>
        <v>20.903111275163713</v>
      </c>
      <c r="F29" s="42"/>
      <c r="G29" s="70">
        <f t="shared" si="1"/>
        <v>23.0604089846336</v>
      </c>
      <c r="H29" s="71">
        <f t="shared" si="2"/>
        <v>893.57574358666716</v>
      </c>
      <c r="I29" s="69">
        <f t="shared" si="3"/>
        <v>8.3424090673868828E-2</v>
      </c>
      <c r="J29" s="69">
        <f t="shared" si="4"/>
        <v>0.156</v>
      </c>
      <c r="K29" s="69">
        <f t="shared" si="5"/>
        <v>0.21470491928665275</v>
      </c>
      <c r="L29">
        <f t="shared" si="6"/>
        <v>4</v>
      </c>
      <c r="M29">
        <f>'Clause 6 Sizing Calibration'!F39</f>
        <v>4512</v>
      </c>
      <c r="P29" s="42"/>
    </row>
    <row r="30" spans="1:49" ht="13.15" x14ac:dyDescent="0.4">
      <c r="A30" s="57" t="s">
        <v>169</v>
      </c>
      <c r="B30" s="42">
        <f t="shared" ref="B30:E30" si="25">B74/B$8</f>
        <v>19.324086113991584</v>
      </c>
      <c r="C30" s="42">
        <f t="shared" si="25"/>
        <v>19.58097974830812</v>
      </c>
      <c r="D30" s="42">
        <f t="shared" si="25"/>
        <v>16.697943198735068</v>
      </c>
      <c r="E30" s="42">
        <f t="shared" si="25"/>
        <v>16.696997421014917</v>
      </c>
      <c r="F30" s="42"/>
      <c r="G30" s="70">
        <f t="shared" si="1"/>
        <v>18.075001620512424</v>
      </c>
      <c r="H30" s="71">
        <f t="shared" si="2"/>
        <v>700.39447366879506</v>
      </c>
      <c r="I30" s="69">
        <f t="shared" si="3"/>
        <v>7.6377439043785258E-2</v>
      </c>
      <c r="J30" s="69">
        <f t="shared" si="4"/>
        <v>0.156</v>
      </c>
      <c r="K30" s="69">
        <f t="shared" si="5"/>
        <v>0.15955640767524551</v>
      </c>
      <c r="L30">
        <f t="shared" si="6"/>
        <v>4</v>
      </c>
      <c r="M30">
        <f>'Clause 6 Sizing Calibration'!F40</f>
        <v>5324</v>
      </c>
      <c r="P30" s="42"/>
    </row>
    <row r="31" spans="1:49" ht="13.15" x14ac:dyDescent="0.4">
      <c r="A31" s="57" t="s">
        <v>170</v>
      </c>
      <c r="B31" s="42">
        <f t="shared" ref="B31:E31" si="26">B75/B$8</f>
        <v>14.259842856531721</v>
      </c>
      <c r="C31" s="42">
        <f t="shared" si="26"/>
        <v>14.876458639948378</v>
      </c>
      <c r="D31" s="42">
        <f t="shared" si="26"/>
        <v>12.587680257507975</v>
      </c>
      <c r="E31" s="42">
        <f t="shared" si="26"/>
        <v>12.873257553606921</v>
      </c>
      <c r="F31" s="42"/>
      <c r="G31" s="70">
        <f t="shared" si="1"/>
        <v>13.649309826898749</v>
      </c>
      <c r="H31" s="71">
        <f t="shared" si="2"/>
        <v>528.90181549439001</v>
      </c>
      <c r="I31" s="69">
        <f t="shared" si="3"/>
        <v>6.958091332646002E-2</v>
      </c>
      <c r="J31" s="69">
        <f t="shared" si="4"/>
        <v>0.156</v>
      </c>
      <c r="K31" s="69">
        <f t="shared" si="5"/>
        <v>0.16768455046202402</v>
      </c>
      <c r="L31">
        <f t="shared" si="6"/>
        <v>4</v>
      </c>
      <c r="M31">
        <f>'Clause 6 Sizing Calibration'!F41</f>
        <v>6282</v>
      </c>
      <c r="P31" s="42"/>
    </row>
    <row r="32" spans="1:49" ht="13.15" x14ac:dyDescent="0.4">
      <c r="A32" s="57" t="s">
        <v>171</v>
      </c>
      <c r="B32" s="42">
        <f t="shared" ref="B32:E32" si="27">B76/B$8</f>
        <v>10.661564752547081</v>
      </c>
      <c r="C32" s="42">
        <f t="shared" si="27"/>
        <v>10.680534408168066</v>
      </c>
      <c r="D32" s="42">
        <f t="shared" si="27"/>
        <v>9.8903202023276933</v>
      </c>
      <c r="E32" s="42">
        <f t="shared" si="27"/>
        <v>9.3044336773594569</v>
      </c>
      <c r="F32" s="42"/>
      <c r="G32" s="70">
        <f t="shared" si="1"/>
        <v>10.134213260100575</v>
      </c>
      <c r="H32" s="71">
        <f t="shared" si="2"/>
        <v>392.69412591921196</v>
      </c>
      <c r="I32" s="69">
        <f t="shared" si="3"/>
        <v>5.6783188925502652E-2</v>
      </c>
      <c r="J32" s="69">
        <f t="shared" si="4"/>
        <v>0.193</v>
      </c>
      <c r="K32" s="69">
        <f t="shared" si="5"/>
        <v>0.13578762312279902</v>
      </c>
      <c r="L32">
        <f t="shared" si="6"/>
        <v>4</v>
      </c>
      <c r="M32">
        <f>'Clause 6 Sizing Calibration'!F42</f>
        <v>7412</v>
      </c>
      <c r="P32" s="42"/>
    </row>
    <row r="33" spans="1:16" ht="13.15" x14ac:dyDescent="0.4">
      <c r="A33" s="57" t="s">
        <v>172</v>
      </c>
      <c r="B33" s="42">
        <f t="shared" ref="B33:E36" si="28">B77/B$8</f>
        <v>7.4630953267829572</v>
      </c>
      <c r="C33" s="42">
        <f t="shared" si="28"/>
        <v>8.1375500252709081</v>
      </c>
      <c r="D33" s="42">
        <f t="shared" si="28"/>
        <v>6.5507315625806806</v>
      </c>
      <c r="E33" s="42">
        <f t="shared" si="28"/>
        <v>6.8827317613343935</v>
      </c>
      <c r="F33" s="42"/>
      <c r="G33" s="70">
        <f t="shared" si="1"/>
        <v>7.2585271689922353</v>
      </c>
      <c r="H33" s="71">
        <f t="shared" si="2"/>
        <v>281.26317346315346</v>
      </c>
      <c r="I33" s="69">
        <f t="shared" si="3"/>
        <v>8.3140082592112682E-2</v>
      </c>
      <c r="J33" s="69">
        <f t="shared" si="4"/>
        <v>0.193</v>
      </c>
      <c r="K33" s="69">
        <f t="shared" si="5"/>
        <v>0.21861438632743169</v>
      </c>
      <c r="L33">
        <f t="shared" si="6"/>
        <v>4</v>
      </c>
      <c r="M33">
        <f>'Clause 6 Sizing Calibration'!F43</f>
        <v>8745</v>
      </c>
      <c r="P33" s="42"/>
    </row>
    <row r="34" spans="1:16" ht="13.15" x14ac:dyDescent="0.4">
      <c r="A34" s="57" t="s">
        <v>173</v>
      </c>
      <c r="B34" s="42">
        <f t="shared" si="28"/>
        <v>5.0642432574598635</v>
      </c>
      <c r="C34" s="42">
        <f t="shared" si="28"/>
        <v>7.1203562721120441</v>
      </c>
      <c r="D34" s="42">
        <f t="shared" si="28"/>
        <v>5.2662743934472136</v>
      </c>
      <c r="E34" s="42">
        <f t="shared" si="28"/>
        <v>4.9708618276303946</v>
      </c>
      <c r="F34" s="42"/>
      <c r="G34" s="70">
        <f t="shared" si="1"/>
        <v>5.6054339376623794</v>
      </c>
      <c r="H34" s="71">
        <f t="shared" si="2"/>
        <v>217.20689352518806</v>
      </c>
      <c r="I34" s="69">
        <f t="shared" si="3"/>
        <v>0.15719281273325167</v>
      </c>
      <c r="J34" s="69">
        <f t="shared" si="4"/>
        <v>0.193</v>
      </c>
      <c r="K34" s="69">
        <f t="shared" si="5"/>
        <v>0.38346619876106292</v>
      </c>
      <c r="L34">
        <f t="shared" si="6"/>
        <v>4</v>
      </c>
      <c r="M34">
        <f>'Clause 6 Sizing Calibration'!F44</f>
        <v>10319</v>
      </c>
      <c r="P34" s="42"/>
    </row>
    <row r="35" spans="1:16" ht="13.15" x14ac:dyDescent="0.4">
      <c r="A35" s="57" t="s">
        <v>174</v>
      </c>
      <c r="B35" s="42">
        <f t="shared" si="28"/>
        <v>3.9980867822051556</v>
      </c>
      <c r="C35" s="42">
        <f t="shared" si="28"/>
        <v>5.3402672040840331</v>
      </c>
      <c r="D35" s="42">
        <f t="shared" si="28"/>
        <v>3.7249257904870534</v>
      </c>
      <c r="E35" s="42">
        <f t="shared" si="28"/>
        <v>3.1864498895066635</v>
      </c>
      <c r="F35" s="42"/>
      <c r="G35" s="70">
        <f t="shared" si="1"/>
        <v>4.0624324165707257</v>
      </c>
      <c r="H35" s="71">
        <f t="shared" si="2"/>
        <v>157.4165952488828</v>
      </c>
      <c r="I35" s="69">
        <f t="shared" si="3"/>
        <v>0.19531427460728637</v>
      </c>
      <c r="J35" s="69">
        <f t="shared" si="4"/>
        <v>0.27500000000000002</v>
      </c>
      <c r="K35" s="69">
        <f t="shared" si="5"/>
        <v>0.53017923591588012</v>
      </c>
      <c r="L35">
        <f t="shared" si="6"/>
        <v>4</v>
      </c>
      <c r="M35">
        <f>'Clause 6 Sizing Calibration'!F45</f>
        <v>12175</v>
      </c>
      <c r="P35" s="42"/>
    </row>
    <row r="36" spans="1:16" ht="13.15" x14ac:dyDescent="0.4">
      <c r="A36" s="57" t="s">
        <v>175</v>
      </c>
      <c r="B36" s="42">
        <f t="shared" si="28"/>
        <v>2.3988520693230933</v>
      </c>
      <c r="C36" s="42">
        <f t="shared" si="28"/>
        <v>4.195924231780312</v>
      </c>
      <c r="D36" s="42">
        <f t="shared" si="28"/>
        <v>2.8258057720936267</v>
      </c>
      <c r="E36" s="42">
        <f t="shared" si="28"/>
        <v>2.2942439204447975</v>
      </c>
      <c r="F36" s="42"/>
      <c r="G36" s="70">
        <f t="shared" si="1"/>
        <v>2.9287064984104574</v>
      </c>
      <c r="H36" s="71">
        <f t="shared" si="2"/>
        <v>113.48545851064878</v>
      </c>
      <c r="I36" s="69">
        <f t="shared" si="3"/>
        <v>0.25889962949225004</v>
      </c>
      <c r="J36" s="69">
        <f t="shared" si="4"/>
        <v>0.27500000000000002</v>
      </c>
      <c r="K36" s="69">
        <f t="shared" si="5"/>
        <v>0.6493243048996693</v>
      </c>
      <c r="L36">
        <f t="shared" si="6"/>
        <v>4</v>
      </c>
      <c r="M36">
        <f>'Clause 6 Sizing Calibration'!F46</f>
        <v>14366</v>
      </c>
      <c r="P36" s="42"/>
    </row>
    <row r="37" spans="1:16" ht="13.15" x14ac:dyDescent="0.4">
      <c r="A37" s="57" t="s">
        <v>176</v>
      </c>
      <c r="B37" s="42">
        <f t="shared" ref="B37:E38" si="29">B81/B$8</f>
        <v>1.5992347128820623</v>
      </c>
      <c r="C37" s="42"/>
      <c r="D37" s="42">
        <f t="shared" si="29"/>
        <v>1.7982400367868534</v>
      </c>
      <c r="E37" s="42">
        <f t="shared" si="29"/>
        <v>1.5294959469631986</v>
      </c>
      <c r="F37" s="42"/>
      <c r="G37" s="70">
        <f t="shared" si="1"/>
        <v>1.6423235655440382</v>
      </c>
      <c r="H37" s="71">
        <f t="shared" si="2"/>
        <v>63.638962442896059</v>
      </c>
      <c r="I37" s="69">
        <f t="shared" si="3"/>
        <v>6.9332496922760736E-2</v>
      </c>
      <c r="J37" s="69">
        <f t="shared" si="4"/>
        <v>0.27500000000000002</v>
      </c>
      <c r="K37" s="69">
        <f t="shared" si="5"/>
        <v>0.16363650590048637</v>
      </c>
      <c r="L37">
        <f t="shared" si="6"/>
        <v>3</v>
      </c>
      <c r="M37">
        <f>'Clause 6 Sizing Calibration'!F47</f>
        <v>16950</v>
      </c>
    </row>
    <row r="38" spans="1:16" ht="13.15" x14ac:dyDescent="0.4">
      <c r="A38" s="57" t="s">
        <v>177</v>
      </c>
      <c r="B38" s="42">
        <f t="shared" si="29"/>
        <v>0.93288691584786965</v>
      </c>
      <c r="C38" s="42">
        <f t="shared" si="29"/>
        <v>1.907238287172869</v>
      </c>
      <c r="D38" s="42">
        <f t="shared" si="29"/>
        <v>1.0275657353067733</v>
      </c>
      <c r="E38" s="42">
        <f t="shared" si="29"/>
        <v>1.1471219602223988</v>
      </c>
      <c r="F38" s="42"/>
      <c r="G38" s="70">
        <f t="shared" si="1"/>
        <v>1.2537032246374777</v>
      </c>
      <c r="H38" s="71">
        <f t="shared" si="2"/>
        <v>48.580178779090133</v>
      </c>
      <c r="I38" s="69">
        <f t="shared" si="3"/>
        <v>0.30699410390466714</v>
      </c>
      <c r="J38" s="69">
        <f t="shared" si="4"/>
        <v>0.27500000000000002</v>
      </c>
      <c r="K38" s="69">
        <f t="shared" si="5"/>
        <v>0.77717864338009013</v>
      </c>
      <c r="L38">
        <f t="shared" si="6"/>
        <v>4</v>
      </c>
      <c r="M38">
        <f>'Clause 6 Sizing Calibration'!F48</f>
        <v>20000</v>
      </c>
    </row>
    <row r="40" spans="1:16" x14ac:dyDescent="0.35">
      <c r="A40" t="s">
        <v>178</v>
      </c>
    </row>
    <row r="41" spans="1:16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6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ht="13.15" x14ac:dyDescent="0.4">
      <c r="B51" s="55" t="s">
        <v>40</v>
      </c>
      <c r="C51" s="55" t="s">
        <v>41</v>
      </c>
      <c r="D51" s="55" t="s">
        <v>43</v>
      </c>
      <c r="E51" s="55" t="s">
        <v>44</v>
      </c>
      <c r="F51" s="55" t="s">
        <v>46</v>
      </c>
      <c r="G51" s="55" t="s">
        <v>40</v>
      </c>
      <c r="H51" s="55" t="s">
        <v>41</v>
      </c>
      <c r="I51" s="55" t="s">
        <v>43</v>
      </c>
      <c r="J51" s="55" t="s">
        <v>44</v>
      </c>
      <c r="K51" s="55" t="s">
        <v>46</v>
      </c>
      <c r="L51" s="55" t="s">
        <v>40</v>
      </c>
      <c r="M51" s="55" t="s">
        <v>41</v>
      </c>
      <c r="N51" s="55" t="s">
        <v>43</v>
      </c>
      <c r="O51" s="55" t="s">
        <v>44</v>
      </c>
      <c r="P51" s="55" t="s">
        <v>46</v>
      </c>
    </row>
    <row r="52" spans="1:16" ht="13.9" x14ac:dyDescent="0.4">
      <c r="A52" s="55" t="s">
        <v>189</v>
      </c>
      <c r="B52" s="133">
        <v>7.5035889999999998</v>
      </c>
      <c r="C52" s="133">
        <v>7.8647749999999998</v>
      </c>
      <c r="D52" s="133">
        <v>7.7853899999999996</v>
      </c>
      <c r="E52" s="133">
        <v>7.8457220000000003</v>
      </c>
      <c r="F52" s="133"/>
      <c r="G52" s="133">
        <v>7.5165899999999999</v>
      </c>
      <c r="H52" s="133">
        <v>7.8852779999999996</v>
      </c>
      <c r="I52" s="133">
        <v>7.829955</v>
      </c>
      <c r="J52" s="133">
        <v>7.8763930000000002</v>
      </c>
      <c r="K52" s="133">
        <v>7.8680279999999998</v>
      </c>
      <c r="L52" s="133"/>
      <c r="M52" s="133"/>
      <c r="N52" s="133"/>
      <c r="O52" s="133"/>
      <c r="P52" s="133"/>
    </row>
    <row r="53" spans="1:16" ht="13.9" x14ac:dyDescent="0.4">
      <c r="A53" s="8">
        <v>4</v>
      </c>
      <c r="B53" s="133">
        <v>13599</v>
      </c>
      <c r="C53" s="133">
        <v>14366</v>
      </c>
      <c r="D53" s="133">
        <v>14008</v>
      </c>
      <c r="E53" s="133">
        <v>14040</v>
      </c>
      <c r="F53" s="133"/>
      <c r="G53" s="133">
        <v>18965</v>
      </c>
      <c r="H53" s="133">
        <v>20000</v>
      </c>
      <c r="I53" s="133">
        <v>19324</v>
      </c>
      <c r="J53" s="133">
        <v>19276</v>
      </c>
      <c r="K53" s="133">
        <v>18453</v>
      </c>
      <c r="L53" s="133"/>
      <c r="M53" s="133"/>
      <c r="N53" s="133"/>
      <c r="O53" s="133"/>
      <c r="P53" s="133"/>
    </row>
    <row r="54" spans="1:16" ht="13.9" x14ac:dyDescent="0.4">
      <c r="A54" s="8">
        <v>5</v>
      </c>
      <c r="B54" s="133">
        <v>11524</v>
      </c>
      <c r="C54" s="133">
        <v>12222</v>
      </c>
      <c r="D54" s="133">
        <v>11956</v>
      </c>
      <c r="E54" s="133">
        <v>11971</v>
      </c>
      <c r="F54" s="133"/>
      <c r="G54" s="133">
        <v>15918</v>
      </c>
      <c r="H54" s="133">
        <v>16885</v>
      </c>
      <c r="I54" s="133">
        <v>16311</v>
      </c>
      <c r="J54" s="133">
        <v>16259</v>
      </c>
      <c r="K54" s="133">
        <v>15456</v>
      </c>
      <c r="L54" s="133"/>
      <c r="M54" s="133"/>
      <c r="N54" s="133"/>
      <c r="O54" s="133"/>
      <c r="P54" s="133"/>
    </row>
    <row r="55" spans="1:16" ht="13.9" x14ac:dyDescent="0.4">
      <c r="A55" s="8">
        <v>6</v>
      </c>
      <c r="B55" s="133">
        <v>9856</v>
      </c>
      <c r="C55" s="133">
        <v>10503</v>
      </c>
      <c r="D55" s="133">
        <v>10245</v>
      </c>
      <c r="E55" s="133">
        <v>10196</v>
      </c>
      <c r="F55" s="133"/>
      <c r="G55" s="133">
        <v>13384</v>
      </c>
      <c r="H55" s="133">
        <v>14269</v>
      </c>
      <c r="I55" s="133">
        <v>13787</v>
      </c>
      <c r="J55" s="133">
        <v>13804</v>
      </c>
      <c r="K55" s="133">
        <v>13008</v>
      </c>
      <c r="L55" s="133"/>
      <c r="M55" s="133"/>
      <c r="N55" s="133"/>
      <c r="O55" s="133"/>
      <c r="P55" s="133"/>
    </row>
    <row r="56" spans="1:16" ht="13.9" x14ac:dyDescent="0.4">
      <c r="A56" s="8">
        <v>7</v>
      </c>
      <c r="B56" s="133">
        <v>8355</v>
      </c>
      <c r="C56" s="133">
        <v>8932</v>
      </c>
      <c r="D56" s="133">
        <v>8726</v>
      </c>
      <c r="E56" s="133">
        <v>8706</v>
      </c>
      <c r="F56" s="133"/>
      <c r="G56" s="133">
        <v>11335</v>
      </c>
      <c r="H56" s="133">
        <v>12120</v>
      </c>
      <c r="I56" s="133">
        <v>11603</v>
      </c>
      <c r="J56" s="133">
        <v>11713</v>
      </c>
      <c r="K56" s="133">
        <v>11118</v>
      </c>
      <c r="L56" s="133"/>
      <c r="M56" s="133"/>
      <c r="N56" s="133"/>
      <c r="O56" s="133"/>
      <c r="P56" s="133"/>
    </row>
    <row r="57" spans="1:16" ht="13.9" x14ac:dyDescent="0.4">
      <c r="A57" s="8">
        <v>8</v>
      </c>
      <c r="B57" s="133">
        <v>7062</v>
      </c>
      <c r="C57" s="133">
        <v>7598</v>
      </c>
      <c r="D57" s="133">
        <v>7394</v>
      </c>
      <c r="E57" s="133">
        <v>7356</v>
      </c>
      <c r="F57" s="133"/>
      <c r="G57" s="133">
        <v>9607</v>
      </c>
      <c r="H57" s="133">
        <v>10219</v>
      </c>
      <c r="I57" s="133">
        <v>9729</v>
      </c>
      <c r="J57" s="133">
        <v>9847</v>
      </c>
      <c r="K57" s="133">
        <v>9385</v>
      </c>
      <c r="L57" s="133"/>
      <c r="M57" s="133"/>
      <c r="N57" s="133"/>
      <c r="O57" s="133"/>
      <c r="P57" s="133"/>
    </row>
    <row r="58" spans="1:16" ht="13.9" x14ac:dyDescent="0.4">
      <c r="A58" s="8">
        <v>9</v>
      </c>
      <c r="B58" s="133">
        <v>5971</v>
      </c>
      <c r="C58" s="133">
        <v>6429</v>
      </c>
      <c r="D58" s="133">
        <v>6244</v>
      </c>
      <c r="E58" s="133">
        <v>6215</v>
      </c>
      <c r="F58" s="133"/>
      <c r="G58" s="133">
        <v>8058</v>
      </c>
      <c r="H58" s="133">
        <v>8564</v>
      </c>
      <c r="I58" s="133">
        <v>8234</v>
      </c>
      <c r="J58" s="133">
        <v>8285</v>
      </c>
      <c r="K58" s="133">
        <v>7853</v>
      </c>
      <c r="L58" s="133"/>
      <c r="M58" s="133"/>
      <c r="N58" s="133"/>
      <c r="O58" s="133"/>
      <c r="P58" s="133"/>
    </row>
    <row r="59" spans="1:16" ht="13.9" x14ac:dyDescent="0.4">
      <c r="A59" s="8">
        <v>10</v>
      </c>
      <c r="B59" s="133">
        <v>4995</v>
      </c>
      <c r="C59" s="133">
        <v>5341</v>
      </c>
      <c r="D59" s="133">
        <v>5180</v>
      </c>
      <c r="E59" s="133">
        <v>5282</v>
      </c>
      <c r="F59" s="133"/>
      <c r="G59" s="133">
        <v>6750</v>
      </c>
      <c r="H59" s="133">
        <v>7101</v>
      </c>
      <c r="I59" s="133">
        <v>6817</v>
      </c>
      <c r="J59" s="133">
        <v>6860</v>
      </c>
      <c r="K59" s="133">
        <v>6571</v>
      </c>
      <c r="L59" s="133"/>
      <c r="M59" s="133"/>
      <c r="N59" s="133"/>
      <c r="O59" s="133"/>
      <c r="P59" s="133"/>
    </row>
    <row r="60" spans="1:16" ht="13.9" x14ac:dyDescent="0.4">
      <c r="A60" s="8">
        <v>11</v>
      </c>
      <c r="B60" s="133">
        <v>4134</v>
      </c>
      <c r="C60" s="133">
        <v>4398</v>
      </c>
      <c r="D60" s="133">
        <v>4269</v>
      </c>
      <c r="E60" s="133">
        <v>4313</v>
      </c>
      <c r="F60" s="133"/>
      <c r="G60" s="133">
        <v>5540</v>
      </c>
      <c r="H60" s="133">
        <v>5812</v>
      </c>
      <c r="I60" s="133">
        <v>5604</v>
      </c>
      <c r="J60" s="133">
        <v>5683</v>
      </c>
      <c r="K60" s="133">
        <v>5365</v>
      </c>
      <c r="L60" s="133"/>
      <c r="M60" s="133"/>
      <c r="N60" s="133"/>
      <c r="O60" s="133"/>
      <c r="P60" s="133"/>
    </row>
    <row r="61" spans="1:16" ht="13.9" x14ac:dyDescent="0.4">
      <c r="A61" s="8">
        <v>12</v>
      </c>
      <c r="B61" s="133">
        <v>3431</v>
      </c>
      <c r="C61" s="133">
        <v>3568</v>
      </c>
      <c r="D61" s="133">
        <v>3471</v>
      </c>
      <c r="E61" s="133">
        <v>3528</v>
      </c>
      <c r="F61" s="133"/>
      <c r="G61" s="133">
        <v>4479</v>
      </c>
      <c r="H61" s="133">
        <v>4790</v>
      </c>
      <c r="I61" s="133">
        <v>4519</v>
      </c>
      <c r="J61" s="133">
        <v>4609</v>
      </c>
      <c r="K61" s="133">
        <v>4381</v>
      </c>
      <c r="L61" s="133"/>
      <c r="M61" s="133"/>
      <c r="N61" s="133"/>
      <c r="O61" s="133"/>
      <c r="P61" s="133"/>
    </row>
    <row r="62" spans="1:16" ht="13.9" x14ac:dyDescent="0.4">
      <c r="A62" s="8">
        <v>13</v>
      </c>
      <c r="B62" s="133">
        <v>2761</v>
      </c>
      <c r="C62" s="133">
        <v>2893</v>
      </c>
      <c r="D62" s="133">
        <v>2763</v>
      </c>
      <c r="E62" s="133">
        <v>2836</v>
      </c>
      <c r="F62" s="133"/>
      <c r="G62" s="133">
        <v>3582</v>
      </c>
      <c r="H62" s="133">
        <v>3832</v>
      </c>
      <c r="I62" s="133">
        <v>3619</v>
      </c>
      <c r="J62" s="133">
        <v>3657</v>
      </c>
      <c r="K62" s="133">
        <v>3521</v>
      </c>
      <c r="L62" s="133"/>
      <c r="M62" s="133"/>
      <c r="N62" s="133"/>
      <c r="O62" s="133"/>
      <c r="P62" s="133"/>
    </row>
    <row r="63" spans="1:16" ht="13.9" x14ac:dyDescent="0.4">
      <c r="A63" s="8">
        <v>14</v>
      </c>
      <c r="B63" s="133">
        <v>2190</v>
      </c>
      <c r="C63" s="133">
        <v>2289</v>
      </c>
      <c r="D63" s="133">
        <v>2156</v>
      </c>
      <c r="E63" s="133">
        <v>2213</v>
      </c>
      <c r="F63" s="133"/>
      <c r="G63" s="133">
        <v>2795</v>
      </c>
      <c r="H63" s="133">
        <v>3042</v>
      </c>
      <c r="I63" s="133">
        <v>2839</v>
      </c>
      <c r="J63" s="133">
        <v>2852</v>
      </c>
      <c r="K63" s="133">
        <v>2737</v>
      </c>
      <c r="L63" s="133"/>
      <c r="M63" s="133"/>
      <c r="N63" s="133"/>
      <c r="O63" s="133"/>
      <c r="P63" s="133"/>
    </row>
    <row r="64" spans="1:16" ht="13.9" x14ac:dyDescent="0.4">
      <c r="A64" s="8">
        <v>15</v>
      </c>
      <c r="B64" s="133">
        <v>1674</v>
      </c>
      <c r="C64" s="133">
        <v>1800</v>
      </c>
      <c r="D64" s="133">
        <v>1682</v>
      </c>
      <c r="E64" s="133">
        <v>1698</v>
      </c>
      <c r="F64" s="133"/>
      <c r="G64" s="133">
        <v>2199</v>
      </c>
      <c r="H64" s="133">
        <v>2357</v>
      </c>
      <c r="I64" s="133">
        <v>2227</v>
      </c>
      <c r="J64" s="133">
        <v>2186</v>
      </c>
      <c r="K64" s="133">
        <v>2093</v>
      </c>
      <c r="L64" s="133"/>
      <c r="M64" s="133"/>
      <c r="N64" s="133"/>
      <c r="O64" s="133"/>
      <c r="P64" s="133"/>
    </row>
    <row r="65" spans="1:16" ht="13.9" x14ac:dyDescent="0.4">
      <c r="A65" s="8">
        <v>16</v>
      </c>
      <c r="B65" s="133">
        <v>1282</v>
      </c>
      <c r="C65" s="133">
        <v>1374</v>
      </c>
      <c r="D65" s="133">
        <v>1314</v>
      </c>
      <c r="E65" s="133">
        <v>1291</v>
      </c>
      <c r="F65" s="133"/>
      <c r="G65" s="133">
        <v>1706</v>
      </c>
      <c r="H65" s="133">
        <v>1824</v>
      </c>
      <c r="I65" s="133">
        <v>1699</v>
      </c>
      <c r="J65" s="133">
        <v>1697</v>
      </c>
      <c r="K65" s="133">
        <v>1648</v>
      </c>
      <c r="L65" s="133"/>
      <c r="M65" s="133"/>
      <c r="N65" s="133"/>
      <c r="O65" s="133"/>
      <c r="P65" s="133"/>
    </row>
    <row r="66" spans="1:16" ht="13.9" x14ac:dyDescent="0.4">
      <c r="A66" s="8">
        <v>17</v>
      </c>
      <c r="B66" s="133">
        <v>974</v>
      </c>
      <c r="C66" s="133">
        <v>1047</v>
      </c>
      <c r="D66" s="133">
        <v>1000</v>
      </c>
      <c r="E66" s="133">
        <v>983</v>
      </c>
      <c r="F66" s="133"/>
      <c r="G66" s="133">
        <v>1309</v>
      </c>
      <c r="H66" s="133">
        <v>1424</v>
      </c>
      <c r="I66" s="133">
        <v>1290</v>
      </c>
      <c r="J66" s="133">
        <v>1305</v>
      </c>
      <c r="K66" s="133">
        <v>1252</v>
      </c>
      <c r="L66" s="133"/>
      <c r="M66" s="133"/>
      <c r="N66" s="133"/>
      <c r="O66" s="133"/>
      <c r="P66" s="133"/>
    </row>
    <row r="67" spans="1:16" ht="13.9" x14ac:dyDescent="0.4">
      <c r="A67" s="8">
        <v>18</v>
      </c>
      <c r="B67" s="133">
        <v>769</v>
      </c>
      <c r="C67" s="133">
        <v>825</v>
      </c>
      <c r="D67" s="133">
        <v>753</v>
      </c>
      <c r="E67" s="133">
        <v>745</v>
      </c>
      <c r="F67" s="133"/>
      <c r="G67" s="133">
        <v>1005</v>
      </c>
      <c r="H67" s="133">
        <v>1091</v>
      </c>
      <c r="I67" s="133">
        <v>991</v>
      </c>
      <c r="J67" s="133">
        <v>1035</v>
      </c>
      <c r="K67" s="133">
        <v>957</v>
      </c>
      <c r="L67" s="133"/>
      <c r="M67" s="133"/>
      <c r="N67" s="133"/>
      <c r="O67" s="133"/>
      <c r="P67" s="133"/>
    </row>
    <row r="68" spans="1:16" ht="13.9" x14ac:dyDescent="0.4">
      <c r="A68" s="8">
        <v>19</v>
      </c>
      <c r="B68" s="133">
        <v>611</v>
      </c>
      <c r="C68" s="133">
        <v>663</v>
      </c>
      <c r="D68" s="133">
        <v>605</v>
      </c>
      <c r="E68" s="133">
        <v>591</v>
      </c>
      <c r="F68" s="133"/>
      <c r="G68" s="133">
        <v>785</v>
      </c>
      <c r="H68" s="133">
        <v>824</v>
      </c>
      <c r="I68" s="133">
        <v>760</v>
      </c>
      <c r="J68" s="133">
        <v>795</v>
      </c>
      <c r="K68" s="133">
        <v>726</v>
      </c>
      <c r="L68" s="133"/>
      <c r="M68" s="133"/>
      <c r="N68" s="133"/>
      <c r="O68" s="133"/>
      <c r="P68" s="133"/>
    </row>
    <row r="69" spans="1:16" ht="13.9" x14ac:dyDescent="0.4">
      <c r="A69" s="8">
        <v>20</v>
      </c>
      <c r="B69" s="133">
        <v>480</v>
      </c>
      <c r="C69" s="133">
        <v>530</v>
      </c>
      <c r="D69" s="133">
        <v>464</v>
      </c>
      <c r="E69" s="133">
        <v>468</v>
      </c>
      <c r="F69" s="133"/>
      <c r="G69" s="133">
        <v>602</v>
      </c>
      <c r="H69" s="133">
        <v>644</v>
      </c>
      <c r="I69" s="133">
        <v>588</v>
      </c>
      <c r="J69" s="133">
        <v>588</v>
      </c>
      <c r="K69" s="133">
        <v>556</v>
      </c>
      <c r="L69" s="133"/>
      <c r="M69" s="133"/>
      <c r="N69" s="133"/>
      <c r="O69" s="133"/>
      <c r="P69" s="133"/>
    </row>
    <row r="70" spans="1:16" ht="13.9" x14ac:dyDescent="0.4">
      <c r="A70" s="8">
        <v>21</v>
      </c>
      <c r="B70" s="133">
        <v>358</v>
      </c>
      <c r="C70" s="133">
        <v>414</v>
      </c>
      <c r="D70" s="133">
        <v>367</v>
      </c>
      <c r="E70" s="133">
        <v>365</v>
      </c>
      <c r="F70" s="133"/>
      <c r="G70" s="133">
        <v>474</v>
      </c>
      <c r="H70" s="133">
        <v>511</v>
      </c>
      <c r="I70" s="133">
        <v>466</v>
      </c>
      <c r="J70" s="133">
        <v>447</v>
      </c>
      <c r="K70" s="133">
        <v>418</v>
      </c>
      <c r="L70" s="133"/>
      <c r="M70" s="133"/>
      <c r="N70" s="133"/>
      <c r="O70" s="133"/>
      <c r="P70" s="133"/>
    </row>
    <row r="71" spans="1:16" ht="13.9" x14ac:dyDescent="0.4">
      <c r="A71" s="8">
        <v>22</v>
      </c>
      <c r="B71" s="133">
        <v>286</v>
      </c>
      <c r="C71" s="133">
        <v>328</v>
      </c>
      <c r="D71" s="133">
        <v>295</v>
      </c>
      <c r="E71" s="133">
        <v>280</v>
      </c>
      <c r="F71" s="133"/>
      <c r="G71" s="133">
        <v>371</v>
      </c>
      <c r="H71" s="133">
        <v>390</v>
      </c>
      <c r="I71" s="133">
        <v>347</v>
      </c>
      <c r="J71" s="133">
        <v>338</v>
      </c>
      <c r="K71" s="133">
        <v>334</v>
      </c>
      <c r="L71" s="133"/>
      <c r="M71" s="133"/>
      <c r="N71" s="133"/>
      <c r="O71" s="133"/>
      <c r="P71" s="133"/>
    </row>
    <row r="72" spans="1:16" ht="13.9" x14ac:dyDescent="0.4">
      <c r="A72" s="8">
        <v>23</v>
      </c>
      <c r="B72" s="133">
        <v>239</v>
      </c>
      <c r="C72" s="133">
        <v>245</v>
      </c>
      <c r="D72" s="133">
        <v>232</v>
      </c>
      <c r="E72" s="133">
        <v>214</v>
      </c>
      <c r="F72" s="133"/>
      <c r="G72" s="133">
        <v>271</v>
      </c>
      <c r="H72" s="133">
        <v>302</v>
      </c>
      <c r="I72" s="133">
        <v>257</v>
      </c>
      <c r="J72" s="133">
        <v>253</v>
      </c>
      <c r="K72" s="133">
        <v>259</v>
      </c>
      <c r="L72" s="133"/>
      <c r="M72" s="133"/>
      <c r="N72" s="133"/>
      <c r="O72" s="133"/>
      <c r="P72" s="133"/>
    </row>
    <row r="73" spans="1:16" ht="13.9" x14ac:dyDescent="0.4">
      <c r="A73" s="8">
        <v>24</v>
      </c>
      <c r="B73" s="133">
        <v>194</v>
      </c>
      <c r="C73" s="133">
        <v>187</v>
      </c>
      <c r="D73" s="133">
        <v>169</v>
      </c>
      <c r="E73" s="133">
        <v>164</v>
      </c>
      <c r="F73" s="133"/>
      <c r="G73" s="133">
        <v>204</v>
      </c>
      <c r="H73" s="133">
        <v>218</v>
      </c>
      <c r="I73" s="133">
        <v>193</v>
      </c>
      <c r="J73" s="133">
        <v>203</v>
      </c>
      <c r="K73" s="133">
        <v>195</v>
      </c>
      <c r="L73" s="133"/>
      <c r="M73" s="133"/>
      <c r="N73" s="133"/>
      <c r="O73" s="133"/>
      <c r="P73" s="133"/>
    </row>
    <row r="74" spans="1:16" ht="13.9" x14ac:dyDescent="0.4">
      <c r="A74" s="8">
        <v>25</v>
      </c>
      <c r="B74" s="133">
        <v>145</v>
      </c>
      <c r="C74" s="133">
        <v>154</v>
      </c>
      <c r="D74" s="133">
        <v>130</v>
      </c>
      <c r="E74" s="133">
        <v>131</v>
      </c>
      <c r="F74" s="133"/>
      <c r="G74" s="133">
        <v>149</v>
      </c>
      <c r="H74" s="133">
        <v>169</v>
      </c>
      <c r="I74" s="133">
        <v>139</v>
      </c>
      <c r="J74" s="133">
        <v>156</v>
      </c>
      <c r="K74" s="133">
        <v>154</v>
      </c>
      <c r="L74" s="133"/>
      <c r="M74" s="133"/>
      <c r="N74" s="133"/>
      <c r="O74" s="133"/>
      <c r="P74" s="133"/>
    </row>
    <row r="75" spans="1:16" ht="13.9" x14ac:dyDescent="0.4">
      <c r="A75" s="8">
        <v>26</v>
      </c>
      <c r="B75" s="133">
        <v>107</v>
      </c>
      <c r="C75" s="133">
        <v>117</v>
      </c>
      <c r="D75" s="133">
        <v>98</v>
      </c>
      <c r="E75" s="133">
        <v>101</v>
      </c>
      <c r="F75" s="133"/>
      <c r="G75" s="133">
        <v>107</v>
      </c>
      <c r="H75" s="133">
        <v>135</v>
      </c>
      <c r="I75" s="133">
        <v>103</v>
      </c>
      <c r="J75" s="133">
        <v>120</v>
      </c>
      <c r="K75" s="133">
        <v>115</v>
      </c>
      <c r="L75" s="133"/>
      <c r="M75" s="133"/>
      <c r="N75" s="133"/>
      <c r="O75" s="133"/>
      <c r="P75" s="133"/>
    </row>
    <row r="76" spans="1:16" ht="13.9" x14ac:dyDescent="0.4">
      <c r="A76" s="8">
        <v>27</v>
      </c>
      <c r="B76" s="133">
        <v>80</v>
      </c>
      <c r="C76" s="133">
        <v>84</v>
      </c>
      <c r="D76" s="133">
        <v>77</v>
      </c>
      <c r="E76" s="133">
        <v>73</v>
      </c>
      <c r="F76" s="133"/>
      <c r="G76" s="133">
        <v>86</v>
      </c>
      <c r="H76" s="133">
        <v>98</v>
      </c>
      <c r="I76" s="133">
        <v>73</v>
      </c>
      <c r="J76" s="133">
        <v>88</v>
      </c>
      <c r="K76" s="133">
        <v>73</v>
      </c>
      <c r="L76" s="133"/>
      <c r="M76" s="133"/>
      <c r="N76" s="133"/>
      <c r="O76" s="133"/>
      <c r="P76" s="133"/>
    </row>
    <row r="77" spans="1:16" ht="13.9" x14ac:dyDescent="0.4">
      <c r="A77" s="8">
        <v>28</v>
      </c>
      <c r="B77" s="133">
        <v>56</v>
      </c>
      <c r="C77" s="133">
        <v>64</v>
      </c>
      <c r="D77" s="133">
        <v>51</v>
      </c>
      <c r="E77" s="133">
        <v>54</v>
      </c>
      <c r="F77" s="133"/>
      <c r="G77" s="133">
        <v>64</v>
      </c>
      <c r="H77" s="133">
        <v>74</v>
      </c>
      <c r="I77" s="133">
        <v>45</v>
      </c>
      <c r="J77" s="133">
        <v>63</v>
      </c>
      <c r="K77" s="133">
        <v>52</v>
      </c>
      <c r="L77" s="133"/>
      <c r="M77" s="133"/>
      <c r="N77" s="133"/>
      <c r="O77" s="133"/>
      <c r="P77" s="133"/>
    </row>
    <row r="78" spans="1:16" ht="13.9" x14ac:dyDescent="0.4">
      <c r="A78" s="8">
        <v>29</v>
      </c>
      <c r="B78" s="133">
        <v>38</v>
      </c>
      <c r="C78" s="133">
        <v>56</v>
      </c>
      <c r="D78" s="133">
        <v>41</v>
      </c>
      <c r="E78" s="133">
        <v>39</v>
      </c>
      <c r="F78" s="133"/>
      <c r="G78" s="133">
        <v>42</v>
      </c>
      <c r="H78" s="133">
        <v>55</v>
      </c>
      <c r="I78" s="133">
        <v>32</v>
      </c>
      <c r="J78" s="133">
        <v>45</v>
      </c>
      <c r="K78" s="133">
        <v>39</v>
      </c>
      <c r="L78" s="133"/>
      <c r="M78" s="133"/>
      <c r="N78" s="133"/>
      <c r="O78" s="133"/>
      <c r="P78" s="133"/>
    </row>
    <row r="79" spans="1:16" ht="13.9" x14ac:dyDescent="0.4">
      <c r="A79" s="8">
        <v>30</v>
      </c>
      <c r="B79" s="133">
        <v>30</v>
      </c>
      <c r="C79" s="133">
        <v>42</v>
      </c>
      <c r="D79" s="133">
        <v>29</v>
      </c>
      <c r="E79" s="133">
        <v>25</v>
      </c>
      <c r="F79" s="133"/>
      <c r="G79" s="133">
        <v>32</v>
      </c>
      <c r="H79" s="133">
        <v>38</v>
      </c>
      <c r="I79" s="133">
        <v>24</v>
      </c>
      <c r="J79" s="133">
        <v>35</v>
      </c>
      <c r="K79" s="133">
        <v>27</v>
      </c>
      <c r="L79" s="133"/>
      <c r="M79" s="133"/>
      <c r="N79" s="133"/>
      <c r="O79" s="133"/>
      <c r="P79" s="133"/>
    </row>
    <row r="80" spans="1:16" ht="13.9" x14ac:dyDescent="0.4">
      <c r="A80" s="8">
        <v>38</v>
      </c>
      <c r="B80" s="133">
        <v>18</v>
      </c>
      <c r="C80" s="133">
        <v>33</v>
      </c>
      <c r="D80" s="133">
        <v>22</v>
      </c>
      <c r="E80" s="133">
        <v>18</v>
      </c>
      <c r="F80" s="133"/>
      <c r="G80" s="133">
        <v>20</v>
      </c>
      <c r="H80" s="133">
        <v>27</v>
      </c>
      <c r="I80" s="133">
        <v>14</v>
      </c>
      <c r="J80" s="133">
        <v>23</v>
      </c>
      <c r="K80" s="133">
        <v>19</v>
      </c>
      <c r="L80" s="133"/>
      <c r="M80" s="133"/>
      <c r="N80" s="133"/>
      <c r="O80" s="133"/>
      <c r="P80" s="133"/>
    </row>
    <row r="81" spans="1:32" ht="13.9" x14ac:dyDescent="0.4">
      <c r="A81" s="8">
        <v>50</v>
      </c>
      <c r="B81" s="133">
        <v>12</v>
      </c>
      <c r="C81" s="133">
        <v>20</v>
      </c>
      <c r="D81" s="133">
        <v>14</v>
      </c>
      <c r="E81" s="133">
        <v>12</v>
      </c>
      <c r="F81" s="133"/>
      <c r="G81" s="133">
        <v>12</v>
      </c>
      <c r="H81" s="133">
        <v>19</v>
      </c>
      <c r="I81" s="133">
        <v>6</v>
      </c>
      <c r="J81" s="133">
        <v>15</v>
      </c>
      <c r="K81" s="133">
        <v>12</v>
      </c>
      <c r="L81" s="133"/>
      <c r="M81" s="133"/>
      <c r="N81" s="133"/>
      <c r="O81" s="133"/>
      <c r="P81" s="133"/>
    </row>
    <row r="82" spans="1:32" ht="13.9" x14ac:dyDescent="0.4">
      <c r="A82" s="8">
        <v>70</v>
      </c>
      <c r="B82" s="133">
        <v>7</v>
      </c>
      <c r="C82" s="133">
        <v>15</v>
      </c>
      <c r="D82" s="133">
        <v>8</v>
      </c>
      <c r="E82" s="133">
        <v>9</v>
      </c>
      <c r="F82" s="133"/>
      <c r="G82" s="133">
        <v>9</v>
      </c>
      <c r="H82" s="133">
        <v>14</v>
      </c>
      <c r="I82" s="133">
        <v>2</v>
      </c>
      <c r="J82" s="133">
        <v>8</v>
      </c>
      <c r="K82" s="133">
        <v>8</v>
      </c>
      <c r="L82" s="133"/>
      <c r="M82" s="133"/>
      <c r="N82" s="133"/>
      <c r="O82" s="133"/>
      <c r="P82" s="133"/>
    </row>
    <row r="85" spans="1:32" x14ac:dyDescent="0.35">
      <c r="A85">
        <v>1</v>
      </c>
      <c r="B85">
        <v>7.5035889999999998</v>
      </c>
      <c r="C85">
        <v>13599</v>
      </c>
      <c r="D85">
        <v>11524</v>
      </c>
      <c r="E85">
        <v>9856</v>
      </c>
      <c r="F85">
        <v>8355</v>
      </c>
      <c r="G85">
        <v>7062</v>
      </c>
      <c r="H85">
        <v>5971</v>
      </c>
      <c r="I85">
        <v>4995</v>
      </c>
      <c r="J85">
        <v>4134</v>
      </c>
      <c r="K85">
        <v>3431</v>
      </c>
      <c r="L85">
        <v>2761</v>
      </c>
      <c r="M85">
        <v>2190</v>
      </c>
      <c r="N85">
        <v>1674</v>
      </c>
      <c r="O85">
        <v>1282</v>
      </c>
      <c r="P85">
        <v>974</v>
      </c>
      <c r="Q85">
        <v>769</v>
      </c>
      <c r="R85">
        <v>611</v>
      </c>
      <c r="S85">
        <v>480</v>
      </c>
      <c r="T85">
        <v>358</v>
      </c>
      <c r="U85">
        <v>286</v>
      </c>
      <c r="V85">
        <v>239</v>
      </c>
      <c r="W85">
        <v>194</v>
      </c>
      <c r="X85">
        <v>145</v>
      </c>
      <c r="Y85">
        <v>107</v>
      </c>
      <c r="Z85">
        <v>80</v>
      </c>
      <c r="AA85">
        <v>56</v>
      </c>
      <c r="AB85">
        <v>38</v>
      </c>
      <c r="AC85">
        <v>30</v>
      </c>
      <c r="AD85">
        <v>18</v>
      </c>
      <c r="AE85">
        <v>12</v>
      </c>
      <c r="AF85">
        <v>7</v>
      </c>
    </row>
    <row r="86" spans="1:32" x14ac:dyDescent="0.35">
      <c r="A86">
        <v>2</v>
      </c>
      <c r="B86">
        <v>7.8647749999999998</v>
      </c>
      <c r="C86">
        <v>14366</v>
      </c>
      <c r="D86">
        <v>12222</v>
      </c>
      <c r="E86">
        <v>10503</v>
      </c>
      <c r="F86">
        <v>8932</v>
      </c>
      <c r="G86">
        <v>7598</v>
      </c>
      <c r="H86">
        <v>6429</v>
      </c>
      <c r="I86">
        <v>5341</v>
      </c>
      <c r="J86">
        <v>4398</v>
      </c>
      <c r="K86">
        <v>3568</v>
      </c>
      <c r="L86">
        <v>2893</v>
      </c>
      <c r="M86">
        <v>2289</v>
      </c>
      <c r="N86">
        <v>1800</v>
      </c>
      <c r="O86">
        <v>1374</v>
      </c>
      <c r="P86">
        <v>1047</v>
      </c>
      <c r="Q86">
        <v>825</v>
      </c>
      <c r="R86">
        <v>663</v>
      </c>
      <c r="S86">
        <v>530</v>
      </c>
      <c r="T86">
        <v>414</v>
      </c>
      <c r="U86">
        <v>328</v>
      </c>
      <c r="V86">
        <v>245</v>
      </c>
      <c r="W86">
        <v>187</v>
      </c>
      <c r="X86">
        <v>154</v>
      </c>
      <c r="Y86">
        <v>117</v>
      </c>
      <c r="Z86">
        <v>84</v>
      </c>
      <c r="AA86">
        <v>64</v>
      </c>
      <c r="AB86">
        <v>56</v>
      </c>
      <c r="AC86">
        <v>42</v>
      </c>
      <c r="AD86">
        <v>33</v>
      </c>
      <c r="AE86">
        <v>20</v>
      </c>
      <c r="AF86">
        <v>15</v>
      </c>
    </row>
    <row r="87" spans="1:32" x14ac:dyDescent="0.35">
      <c r="A87">
        <v>3</v>
      </c>
      <c r="B87">
        <v>7.7853899999999996</v>
      </c>
      <c r="C87">
        <v>14008</v>
      </c>
      <c r="D87">
        <v>11956</v>
      </c>
      <c r="E87">
        <v>10245</v>
      </c>
      <c r="F87">
        <v>8726</v>
      </c>
      <c r="G87">
        <v>7394</v>
      </c>
      <c r="H87">
        <v>6244</v>
      </c>
      <c r="I87">
        <v>5180</v>
      </c>
      <c r="J87">
        <v>4269</v>
      </c>
      <c r="K87">
        <v>3471</v>
      </c>
      <c r="L87">
        <v>2763</v>
      </c>
      <c r="M87">
        <v>2156</v>
      </c>
      <c r="N87">
        <v>1682</v>
      </c>
      <c r="O87">
        <v>1314</v>
      </c>
      <c r="P87">
        <v>1000</v>
      </c>
      <c r="Q87">
        <v>753</v>
      </c>
      <c r="R87">
        <v>605</v>
      </c>
      <c r="S87">
        <v>464</v>
      </c>
      <c r="T87">
        <v>367</v>
      </c>
      <c r="U87">
        <v>295</v>
      </c>
      <c r="V87">
        <v>232</v>
      </c>
      <c r="W87">
        <v>169</v>
      </c>
      <c r="X87">
        <v>130</v>
      </c>
      <c r="Y87">
        <v>98</v>
      </c>
      <c r="Z87">
        <v>77</v>
      </c>
      <c r="AA87">
        <v>51</v>
      </c>
      <c r="AB87">
        <v>41</v>
      </c>
      <c r="AC87">
        <v>29</v>
      </c>
      <c r="AD87">
        <v>22</v>
      </c>
      <c r="AE87">
        <v>14</v>
      </c>
      <c r="AF87">
        <v>8</v>
      </c>
    </row>
    <row r="88" spans="1:32" x14ac:dyDescent="0.35">
      <c r="A88">
        <v>4</v>
      </c>
      <c r="B88">
        <v>7.8457220000000003</v>
      </c>
      <c r="C88">
        <v>14040</v>
      </c>
      <c r="D88">
        <v>11971</v>
      </c>
      <c r="E88">
        <v>10196</v>
      </c>
      <c r="F88">
        <v>8706</v>
      </c>
      <c r="G88">
        <v>7356</v>
      </c>
      <c r="H88">
        <v>6215</v>
      </c>
      <c r="I88">
        <v>5282</v>
      </c>
      <c r="J88">
        <v>4313</v>
      </c>
      <c r="K88">
        <v>3528</v>
      </c>
      <c r="L88">
        <v>2836</v>
      </c>
      <c r="M88">
        <v>2213</v>
      </c>
      <c r="N88">
        <v>1698</v>
      </c>
      <c r="O88">
        <v>1291</v>
      </c>
      <c r="P88">
        <v>983</v>
      </c>
      <c r="Q88">
        <v>745</v>
      </c>
      <c r="R88">
        <v>591</v>
      </c>
      <c r="S88">
        <v>468</v>
      </c>
      <c r="T88">
        <v>365</v>
      </c>
      <c r="U88">
        <v>280</v>
      </c>
      <c r="V88">
        <v>214</v>
      </c>
      <c r="W88">
        <v>164</v>
      </c>
      <c r="X88">
        <v>131</v>
      </c>
      <c r="Y88">
        <v>101</v>
      </c>
      <c r="Z88">
        <v>73</v>
      </c>
      <c r="AA88">
        <v>54</v>
      </c>
      <c r="AB88">
        <v>39</v>
      </c>
      <c r="AC88">
        <v>25</v>
      </c>
      <c r="AD88">
        <v>18</v>
      </c>
      <c r="AE88">
        <v>12</v>
      </c>
      <c r="AF88">
        <v>9</v>
      </c>
    </row>
    <row r="89" spans="1:32" x14ac:dyDescent="0.35">
      <c r="A89">
        <v>1</v>
      </c>
      <c r="B89">
        <v>7.5165899999999999</v>
      </c>
      <c r="C89">
        <v>18965</v>
      </c>
      <c r="D89">
        <v>15918</v>
      </c>
      <c r="E89">
        <v>13384</v>
      </c>
      <c r="F89">
        <v>11335</v>
      </c>
      <c r="G89">
        <v>9607</v>
      </c>
      <c r="H89">
        <v>8058</v>
      </c>
      <c r="I89">
        <v>6750</v>
      </c>
      <c r="J89">
        <v>5540</v>
      </c>
      <c r="K89">
        <v>4479</v>
      </c>
      <c r="L89">
        <v>3582</v>
      </c>
      <c r="M89">
        <v>2795</v>
      </c>
      <c r="N89">
        <v>2199</v>
      </c>
      <c r="O89">
        <v>1706</v>
      </c>
      <c r="P89">
        <v>1309</v>
      </c>
      <c r="Q89">
        <v>1005</v>
      </c>
      <c r="R89">
        <v>785</v>
      </c>
      <c r="S89">
        <v>602</v>
      </c>
      <c r="T89">
        <v>474</v>
      </c>
      <c r="U89">
        <v>371</v>
      </c>
      <c r="V89">
        <v>271</v>
      </c>
      <c r="W89">
        <v>204</v>
      </c>
      <c r="X89">
        <v>149</v>
      </c>
      <c r="Y89">
        <v>107</v>
      </c>
      <c r="Z89">
        <v>86</v>
      </c>
      <c r="AA89">
        <v>64</v>
      </c>
      <c r="AB89">
        <v>42</v>
      </c>
      <c r="AC89">
        <v>32</v>
      </c>
      <c r="AD89">
        <v>20</v>
      </c>
      <c r="AE89">
        <v>12</v>
      </c>
      <c r="AF89">
        <v>9</v>
      </c>
    </row>
    <row r="90" spans="1:32" x14ac:dyDescent="0.35">
      <c r="A90">
        <v>2</v>
      </c>
      <c r="B90">
        <v>7.8852779999999996</v>
      </c>
      <c r="C90">
        <v>20000</v>
      </c>
      <c r="D90">
        <v>16885</v>
      </c>
      <c r="E90">
        <v>14269</v>
      </c>
      <c r="F90">
        <v>12120</v>
      </c>
      <c r="G90">
        <v>10219</v>
      </c>
      <c r="H90">
        <v>8564</v>
      </c>
      <c r="I90">
        <v>7101</v>
      </c>
      <c r="J90">
        <v>5812</v>
      </c>
      <c r="K90">
        <v>4790</v>
      </c>
      <c r="L90">
        <v>3832</v>
      </c>
      <c r="M90">
        <v>3042</v>
      </c>
      <c r="N90">
        <v>2357</v>
      </c>
      <c r="O90">
        <v>1824</v>
      </c>
      <c r="P90">
        <v>1424</v>
      </c>
      <c r="Q90">
        <v>1091</v>
      </c>
      <c r="R90">
        <v>824</v>
      </c>
      <c r="S90">
        <v>644</v>
      </c>
      <c r="T90">
        <v>511</v>
      </c>
      <c r="U90">
        <v>390</v>
      </c>
      <c r="V90">
        <v>302</v>
      </c>
      <c r="W90">
        <v>218</v>
      </c>
      <c r="X90">
        <v>169</v>
      </c>
      <c r="Y90">
        <v>135</v>
      </c>
      <c r="Z90">
        <v>98</v>
      </c>
      <c r="AA90">
        <v>74</v>
      </c>
      <c r="AB90">
        <v>55</v>
      </c>
      <c r="AC90">
        <v>38</v>
      </c>
      <c r="AD90">
        <v>27</v>
      </c>
      <c r="AE90">
        <v>19</v>
      </c>
      <c r="AF90">
        <v>14</v>
      </c>
    </row>
    <row r="91" spans="1:32" x14ac:dyDescent="0.35">
      <c r="A91">
        <v>3</v>
      </c>
      <c r="B91">
        <v>7.829955</v>
      </c>
      <c r="C91">
        <v>19324</v>
      </c>
      <c r="D91">
        <v>16311</v>
      </c>
      <c r="E91">
        <v>13787</v>
      </c>
      <c r="F91">
        <v>11603</v>
      </c>
      <c r="G91">
        <v>9729</v>
      </c>
      <c r="H91">
        <v>8234</v>
      </c>
      <c r="I91">
        <v>6817</v>
      </c>
      <c r="J91">
        <v>5604</v>
      </c>
      <c r="K91">
        <v>4519</v>
      </c>
      <c r="L91">
        <v>3619</v>
      </c>
      <c r="M91">
        <v>2839</v>
      </c>
      <c r="N91">
        <v>2227</v>
      </c>
      <c r="O91">
        <v>1699</v>
      </c>
      <c r="P91">
        <v>1290</v>
      </c>
      <c r="Q91">
        <v>991</v>
      </c>
      <c r="R91">
        <v>760</v>
      </c>
      <c r="S91">
        <v>588</v>
      </c>
      <c r="T91">
        <v>466</v>
      </c>
      <c r="U91">
        <v>347</v>
      </c>
      <c r="V91">
        <v>257</v>
      </c>
      <c r="W91">
        <v>193</v>
      </c>
      <c r="X91">
        <v>139</v>
      </c>
      <c r="Y91">
        <v>103</v>
      </c>
      <c r="Z91">
        <v>73</v>
      </c>
      <c r="AA91">
        <v>45</v>
      </c>
      <c r="AB91">
        <v>32</v>
      </c>
      <c r="AC91">
        <v>24</v>
      </c>
      <c r="AD91">
        <v>14</v>
      </c>
      <c r="AE91">
        <v>6</v>
      </c>
      <c r="AF91">
        <v>2</v>
      </c>
    </row>
    <row r="92" spans="1:32" x14ac:dyDescent="0.35">
      <c r="A92">
        <v>4</v>
      </c>
      <c r="B92">
        <v>7.8763930000000002</v>
      </c>
      <c r="C92">
        <v>19276</v>
      </c>
      <c r="D92">
        <v>16259</v>
      </c>
      <c r="E92">
        <v>13804</v>
      </c>
      <c r="F92">
        <v>11713</v>
      </c>
      <c r="G92">
        <v>9847</v>
      </c>
      <c r="H92">
        <v>8285</v>
      </c>
      <c r="I92">
        <v>6860</v>
      </c>
      <c r="J92">
        <v>5683</v>
      </c>
      <c r="K92">
        <v>4609</v>
      </c>
      <c r="L92">
        <v>3657</v>
      </c>
      <c r="M92">
        <v>2852</v>
      </c>
      <c r="N92">
        <v>2186</v>
      </c>
      <c r="O92">
        <v>1697</v>
      </c>
      <c r="P92">
        <v>1305</v>
      </c>
      <c r="Q92">
        <v>1035</v>
      </c>
      <c r="R92">
        <v>795</v>
      </c>
      <c r="S92">
        <v>588</v>
      </c>
      <c r="T92">
        <v>447</v>
      </c>
      <c r="U92">
        <v>338</v>
      </c>
      <c r="V92">
        <v>253</v>
      </c>
      <c r="W92">
        <v>203</v>
      </c>
      <c r="X92">
        <v>156</v>
      </c>
      <c r="Y92">
        <v>120</v>
      </c>
      <c r="Z92">
        <v>88</v>
      </c>
      <c r="AA92">
        <v>63</v>
      </c>
      <c r="AB92">
        <v>45</v>
      </c>
      <c r="AC92">
        <v>35</v>
      </c>
      <c r="AD92">
        <v>23</v>
      </c>
      <c r="AE92">
        <v>15</v>
      </c>
      <c r="AF92">
        <v>8</v>
      </c>
    </row>
    <row r="93" spans="1:32" x14ac:dyDescent="0.35">
      <c r="A93">
        <v>5</v>
      </c>
      <c r="B93">
        <v>7.8680279999999998</v>
      </c>
      <c r="C93">
        <v>18453</v>
      </c>
      <c r="D93">
        <v>15456</v>
      </c>
      <c r="E93">
        <v>13008</v>
      </c>
      <c r="F93">
        <v>11118</v>
      </c>
      <c r="G93">
        <v>9385</v>
      </c>
      <c r="H93">
        <v>7853</v>
      </c>
      <c r="I93">
        <v>6571</v>
      </c>
      <c r="J93">
        <v>5365</v>
      </c>
      <c r="K93">
        <v>4381</v>
      </c>
      <c r="L93">
        <v>3521</v>
      </c>
      <c r="M93">
        <v>2737</v>
      </c>
      <c r="N93">
        <v>2093</v>
      </c>
      <c r="O93">
        <v>1648</v>
      </c>
      <c r="P93">
        <v>1252</v>
      </c>
      <c r="Q93">
        <v>957</v>
      </c>
      <c r="R93">
        <v>726</v>
      </c>
      <c r="S93">
        <v>556</v>
      </c>
      <c r="T93">
        <v>418</v>
      </c>
      <c r="U93">
        <v>334</v>
      </c>
      <c r="V93">
        <v>259</v>
      </c>
      <c r="W93">
        <v>195</v>
      </c>
      <c r="X93">
        <v>154</v>
      </c>
      <c r="Y93">
        <v>115</v>
      </c>
      <c r="Z93">
        <v>73</v>
      </c>
      <c r="AA93">
        <v>52</v>
      </c>
      <c r="AB93">
        <v>39</v>
      </c>
      <c r="AC93">
        <v>27</v>
      </c>
      <c r="AD93">
        <v>19</v>
      </c>
      <c r="AE93">
        <v>12</v>
      </c>
      <c r="AF93">
        <v>8</v>
      </c>
    </row>
    <row r="114" spans="1:31" x14ac:dyDescent="0.35">
      <c r="A114">
        <v>4.4343669999999999</v>
      </c>
      <c r="B114">
        <v>64388</v>
      </c>
      <c r="C114">
        <v>55855</v>
      </c>
      <c r="D114">
        <v>48137</v>
      </c>
      <c r="E114">
        <v>41840</v>
      </c>
      <c r="F114">
        <v>35689</v>
      </c>
      <c r="G114">
        <v>30519</v>
      </c>
      <c r="H114">
        <v>25683</v>
      </c>
      <c r="I114">
        <v>21466</v>
      </c>
      <c r="J114">
        <v>17695</v>
      </c>
      <c r="K114">
        <v>14470</v>
      </c>
      <c r="L114">
        <v>11469</v>
      </c>
      <c r="M114">
        <v>9003</v>
      </c>
      <c r="N114">
        <v>7009</v>
      </c>
      <c r="O114">
        <v>5349</v>
      </c>
      <c r="P114">
        <v>4093</v>
      </c>
      <c r="Q114">
        <v>3121</v>
      </c>
      <c r="R114">
        <v>2397</v>
      </c>
      <c r="S114">
        <v>1877</v>
      </c>
      <c r="T114">
        <v>1438</v>
      </c>
      <c r="U114">
        <v>1115</v>
      </c>
      <c r="V114">
        <v>863</v>
      </c>
      <c r="W114">
        <v>671</v>
      </c>
      <c r="X114">
        <v>498</v>
      </c>
      <c r="Y114">
        <v>384</v>
      </c>
      <c r="Z114">
        <v>291</v>
      </c>
      <c r="AA114">
        <v>221</v>
      </c>
      <c r="AB114">
        <v>152</v>
      </c>
      <c r="AC114">
        <v>98</v>
      </c>
      <c r="AD114">
        <v>59</v>
      </c>
      <c r="AE114">
        <v>23</v>
      </c>
    </row>
    <row r="115" spans="1:31" x14ac:dyDescent="0.35">
      <c r="A115">
        <v>4.6901989999999998</v>
      </c>
      <c r="B115">
        <v>72121</v>
      </c>
      <c r="C115">
        <v>62239</v>
      </c>
      <c r="D115">
        <v>53670</v>
      </c>
      <c r="E115">
        <v>46644</v>
      </c>
      <c r="F115">
        <v>39776</v>
      </c>
      <c r="G115">
        <v>33796</v>
      </c>
      <c r="H115">
        <v>28315</v>
      </c>
      <c r="I115">
        <v>23678</v>
      </c>
      <c r="J115">
        <v>19431</v>
      </c>
      <c r="K115">
        <v>15862</v>
      </c>
      <c r="L115">
        <v>12657</v>
      </c>
      <c r="M115">
        <v>9859</v>
      </c>
      <c r="N115">
        <v>7679</v>
      </c>
      <c r="O115">
        <v>5856</v>
      </c>
      <c r="P115">
        <v>4497</v>
      </c>
      <c r="Q115">
        <v>3396</v>
      </c>
      <c r="R115">
        <v>2623</v>
      </c>
      <c r="S115">
        <v>2003</v>
      </c>
      <c r="T115">
        <v>1572</v>
      </c>
      <c r="U115">
        <v>1243</v>
      </c>
      <c r="V115">
        <v>940</v>
      </c>
      <c r="W115">
        <v>716</v>
      </c>
      <c r="X115">
        <v>537</v>
      </c>
      <c r="Y115">
        <v>402</v>
      </c>
      <c r="Z115">
        <v>276</v>
      </c>
      <c r="AA115">
        <v>189</v>
      </c>
      <c r="AB115">
        <v>133</v>
      </c>
      <c r="AC115">
        <v>93</v>
      </c>
      <c r="AD115">
        <v>49</v>
      </c>
      <c r="AE115">
        <v>16</v>
      </c>
    </row>
    <row r="116" spans="1:31" x14ac:dyDescent="0.35">
      <c r="A116">
        <v>4.744955</v>
      </c>
      <c r="B116">
        <v>67935</v>
      </c>
      <c r="C116">
        <v>58667</v>
      </c>
      <c r="D116">
        <v>50384</v>
      </c>
      <c r="E116">
        <v>43870</v>
      </c>
      <c r="F116">
        <v>37413</v>
      </c>
      <c r="G116">
        <v>32036</v>
      </c>
      <c r="H116">
        <v>27063</v>
      </c>
      <c r="I116">
        <v>22678</v>
      </c>
      <c r="J116">
        <v>18623</v>
      </c>
      <c r="K116">
        <v>15134</v>
      </c>
      <c r="L116">
        <v>12108</v>
      </c>
      <c r="M116">
        <v>9484</v>
      </c>
      <c r="N116">
        <v>7373</v>
      </c>
      <c r="O116">
        <v>5618</v>
      </c>
      <c r="P116">
        <v>4342</v>
      </c>
      <c r="Q116">
        <v>3291</v>
      </c>
      <c r="R116">
        <v>2498</v>
      </c>
      <c r="S116">
        <v>1917</v>
      </c>
      <c r="T116">
        <v>1464</v>
      </c>
      <c r="U116">
        <v>1102</v>
      </c>
      <c r="V116">
        <v>838</v>
      </c>
      <c r="W116">
        <v>635</v>
      </c>
      <c r="X116">
        <v>490</v>
      </c>
      <c r="Y116">
        <v>377</v>
      </c>
      <c r="Z116">
        <v>280</v>
      </c>
      <c r="AA116">
        <v>198</v>
      </c>
      <c r="AB116">
        <v>146</v>
      </c>
      <c r="AC116">
        <v>98</v>
      </c>
      <c r="AD116">
        <v>43</v>
      </c>
      <c r="AE116">
        <v>17</v>
      </c>
    </row>
    <row r="117" spans="1:31" x14ac:dyDescent="0.35">
      <c r="A117">
        <v>4.748761</v>
      </c>
      <c r="B117">
        <v>69981</v>
      </c>
      <c r="C117">
        <v>60722</v>
      </c>
      <c r="D117">
        <v>52333</v>
      </c>
      <c r="E117">
        <v>45693</v>
      </c>
      <c r="F117">
        <v>39015</v>
      </c>
      <c r="G117">
        <v>33220</v>
      </c>
      <c r="H117">
        <v>28116</v>
      </c>
      <c r="I117">
        <v>23506</v>
      </c>
      <c r="J117">
        <v>19272</v>
      </c>
      <c r="K117">
        <v>15653</v>
      </c>
      <c r="L117">
        <v>12506</v>
      </c>
      <c r="M117">
        <v>9774</v>
      </c>
      <c r="N117">
        <v>7584</v>
      </c>
      <c r="O117">
        <v>5798</v>
      </c>
      <c r="P117">
        <v>4410</v>
      </c>
      <c r="Q117">
        <v>3377</v>
      </c>
      <c r="R117">
        <v>2577</v>
      </c>
      <c r="S117">
        <v>1999</v>
      </c>
      <c r="T117">
        <v>1558</v>
      </c>
      <c r="U117">
        <v>1174</v>
      </c>
      <c r="V117">
        <v>904</v>
      </c>
      <c r="W117">
        <v>677</v>
      </c>
      <c r="X117">
        <v>517</v>
      </c>
      <c r="Y117">
        <v>378</v>
      </c>
      <c r="Z117">
        <v>265</v>
      </c>
      <c r="AA117">
        <v>196</v>
      </c>
      <c r="AB117">
        <v>133</v>
      </c>
      <c r="AC117">
        <v>89</v>
      </c>
      <c r="AD117">
        <v>53</v>
      </c>
      <c r="AE117">
        <v>24</v>
      </c>
    </row>
    <row r="118" spans="1:31" x14ac:dyDescent="0.35">
      <c r="A118">
        <v>4.7359669999999996</v>
      </c>
      <c r="B118">
        <v>69252</v>
      </c>
      <c r="C118">
        <v>59916</v>
      </c>
      <c r="D118">
        <v>51684</v>
      </c>
      <c r="E118">
        <v>44966</v>
      </c>
      <c r="F118">
        <v>38376</v>
      </c>
      <c r="G118">
        <v>32825</v>
      </c>
      <c r="H118">
        <v>27781</v>
      </c>
      <c r="I118">
        <v>23207</v>
      </c>
      <c r="J118">
        <v>19138</v>
      </c>
      <c r="K118">
        <v>15491</v>
      </c>
      <c r="L118">
        <v>12385</v>
      </c>
      <c r="M118">
        <v>9698</v>
      </c>
      <c r="N118">
        <v>7464</v>
      </c>
      <c r="O118">
        <v>5724</v>
      </c>
      <c r="P118">
        <v>4343</v>
      </c>
      <c r="Q118">
        <v>3335</v>
      </c>
      <c r="R118">
        <v>2504</v>
      </c>
      <c r="S118">
        <v>1927</v>
      </c>
      <c r="T118">
        <v>1458</v>
      </c>
      <c r="U118">
        <v>1114</v>
      </c>
      <c r="V118">
        <v>834</v>
      </c>
      <c r="W118">
        <v>611</v>
      </c>
      <c r="X118">
        <v>443</v>
      </c>
      <c r="Y118">
        <v>315</v>
      </c>
      <c r="Z118">
        <v>229</v>
      </c>
      <c r="AA118">
        <v>158</v>
      </c>
      <c r="AB118">
        <v>107</v>
      </c>
      <c r="AC118">
        <v>68</v>
      </c>
      <c r="AD118">
        <v>25</v>
      </c>
      <c r="AE118">
        <v>7</v>
      </c>
    </row>
    <row r="119" spans="1:31" x14ac:dyDescent="0.35">
      <c r="A119">
        <v>4.4241849999999996</v>
      </c>
      <c r="B119">
        <v>72019</v>
      </c>
      <c r="C119">
        <v>62253</v>
      </c>
      <c r="D119">
        <v>53440</v>
      </c>
      <c r="E119">
        <v>46394</v>
      </c>
      <c r="F119">
        <v>39493</v>
      </c>
      <c r="G119">
        <v>33581</v>
      </c>
      <c r="H119">
        <v>28267</v>
      </c>
      <c r="I119">
        <v>23493</v>
      </c>
      <c r="J119">
        <v>19157</v>
      </c>
      <c r="K119">
        <v>15619</v>
      </c>
      <c r="L119">
        <v>12358</v>
      </c>
      <c r="M119">
        <v>9666</v>
      </c>
      <c r="N119">
        <v>7498</v>
      </c>
      <c r="O119">
        <v>5730</v>
      </c>
      <c r="P119">
        <v>4390</v>
      </c>
      <c r="Q119">
        <v>3309</v>
      </c>
      <c r="R119">
        <v>2571</v>
      </c>
      <c r="S119">
        <v>1989</v>
      </c>
      <c r="T119">
        <v>1548</v>
      </c>
      <c r="U119">
        <v>1198</v>
      </c>
      <c r="V119">
        <v>931</v>
      </c>
      <c r="W119">
        <v>696</v>
      </c>
      <c r="X119">
        <v>507</v>
      </c>
      <c r="Y119">
        <v>387</v>
      </c>
      <c r="Z119">
        <v>277</v>
      </c>
      <c r="AA119">
        <v>212</v>
      </c>
      <c r="AB119">
        <v>152</v>
      </c>
      <c r="AC119">
        <v>111</v>
      </c>
      <c r="AD119">
        <v>57</v>
      </c>
      <c r="AE119">
        <v>17</v>
      </c>
    </row>
    <row r="120" spans="1:31" x14ac:dyDescent="0.35">
      <c r="A120">
        <v>4.7640890000000002</v>
      </c>
      <c r="B120">
        <v>75027</v>
      </c>
      <c r="C120">
        <v>65005</v>
      </c>
      <c r="D120">
        <v>55921</v>
      </c>
      <c r="E120">
        <v>48541</v>
      </c>
      <c r="F120">
        <v>41293</v>
      </c>
      <c r="G120">
        <v>35240</v>
      </c>
      <c r="H120">
        <v>29563</v>
      </c>
      <c r="I120">
        <v>24597</v>
      </c>
      <c r="J120">
        <v>20087</v>
      </c>
      <c r="K120">
        <v>16355</v>
      </c>
      <c r="L120">
        <v>12923</v>
      </c>
      <c r="M120">
        <v>10067</v>
      </c>
      <c r="N120">
        <v>7769</v>
      </c>
      <c r="O120">
        <v>5933</v>
      </c>
      <c r="P120">
        <v>4448</v>
      </c>
      <c r="Q120">
        <v>3387</v>
      </c>
      <c r="R120">
        <v>2609</v>
      </c>
      <c r="S120">
        <v>2006</v>
      </c>
      <c r="T120">
        <v>1562</v>
      </c>
      <c r="U120">
        <v>1218</v>
      </c>
      <c r="V120">
        <v>930</v>
      </c>
      <c r="W120">
        <v>703</v>
      </c>
      <c r="X120">
        <v>533</v>
      </c>
      <c r="Y120">
        <v>393</v>
      </c>
      <c r="Z120">
        <v>290</v>
      </c>
      <c r="AA120">
        <v>214</v>
      </c>
      <c r="AB120">
        <v>161</v>
      </c>
      <c r="AC120">
        <v>108</v>
      </c>
      <c r="AD120">
        <v>54</v>
      </c>
      <c r="AE120">
        <v>17</v>
      </c>
    </row>
    <row r="121" spans="1:31" x14ac:dyDescent="0.35">
      <c r="A121">
        <v>4.6754949999999997</v>
      </c>
      <c r="B121">
        <v>74111</v>
      </c>
      <c r="C121">
        <v>64302</v>
      </c>
      <c r="D121">
        <v>55417</v>
      </c>
      <c r="E121">
        <v>48023</v>
      </c>
      <c r="F121">
        <v>40879</v>
      </c>
      <c r="G121">
        <v>34764</v>
      </c>
      <c r="H121">
        <v>29194</v>
      </c>
      <c r="I121">
        <v>24200</v>
      </c>
      <c r="J121">
        <v>19890</v>
      </c>
      <c r="K121">
        <v>16155</v>
      </c>
      <c r="L121">
        <v>12761</v>
      </c>
      <c r="M121">
        <v>10011</v>
      </c>
      <c r="N121">
        <v>7776</v>
      </c>
      <c r="O121">
        <v>5879</v>
      </c>
      <c r="P121">
        <v>4502</v>
      </c>
      <c r="Q121">
        <v>3426</v>
      </c>
      <c r="R121">
        <v>2633</v>
      </c>
      <c r="S121">
        <v>2014</v>
      </c>
      <c r="T121">
        <v>1552</v>
      </c>
      <c r="U121">
        <v>1183</v>
      </c>
      <c r="V121">
        <v>930</v>
      </c>
      <c r="W121">
        <v>721</v>
      </c>
      <c r="X121">
        <v>539</v>
      </c>
      <c r="Y121">
        <v>388</v>
      </c>
      <c r="Z121">
        <v>278</v>
      </c>
      <c r="AA121">
        <v>202</v>
      </c>
      <c r="AB121">
        <v>143</v>
      </c>
      <c r="AC121">
        <v>98</v>
      </c>
      <c r="AD121">
        <v>55</v>
      </c>
      <c r="AE121">
        <v>13</v>
      </c>
    </row>
    <row r="122" spans="1:31" x14ac:dyDescent="0.35">
      <c r="A122">
        <v>4.7296820000000004</v>
      </c>
      <c r="B122">
        <v>75639</v>
      </c>
      <c r="C122">
        <v>65594</v>
      </c>
      <c r="D122">
        <v>56511</v>
      </c>
      <c r="E122">
        <v>49104</v>
      </c>
      <c r="F122">
        <v>41679</v>
      </c>
      <c r="G122">
        <v>35572</v>
      </c>
      <c r="H122">
        <v>29931</v>
      </c>
      <c r="I122">
        <v>24913</v>
      </c>
      <c r="J122">
        <v>20448</v>
      </c>
      <c r="K122">
        <v>16600</v>
      </c>
      <c r="L122">
        <v>13099</v>
      </c>
      <c r="M122">
        <v>10150</v>
      </c>
      <c r="N122">
        <v>7757</v>
      </c>
      <c r="O122">
        <v>5971</v>
      </c>
      <c r="P122">
        <v>4543</v>
      </c>
      <c r="Q122">
        <v>3457</v>
      </c>
      <c r="R122">
        <v>2637</v>
      </c>
      <c r="S122">
        <v>2041</v>
      </c>
      <c r="T122">
        <v>1596</v>
      </c>
      <c r="U122">
        <v>1233</v>
      </c>
      <c r="V122">
        <v>929</v>
      </c>
      <c r="W122">
        <v>682</v>
      </c>
      <c r="X122">
        <v>499</v>
      </c>
      <c r="Y122">
        <v>364</v>
      </c>
      <c r="Z122">
        <v>264</v>
      </c>
      <c r="AA122">
        <v>189</v>
      </c>
      <c r="AB122">
        <v>129</v>
      </c>
      <c r="AC122">
        <v>80</v>
      </c>
      <c r="AD122">
        <v>38</v>
      </c>
      <c r="AE122">
        <v>15</v>
      </c>
    </row>
    <row r="123" spans="1:31" x14ac:dyDescent="0.35">
      <c r="A123">
        <v>4.7067110000000003</v>
      </c>
      <c r="B123">
        <v>73651</v>
      </c>
      <c r="C123">
        <v>63784</v>
      </c>
      <c r="D123">
        <v>54796</v>
      </c>
      <c r="E123">
        <v>47633</v>
      </c>
      <c r="F123">
        <v>40571</v>
      </c>
      <c r="G123">
        <v>34548</v>
      </c>
      <c r="H123">
        <v>29074</v>
      </c>
      <c r="I123">
        <v>24164</v>
      </c>
      <c r="J123">
        <v>19874</v>
      </c>
      <c r="K123">
        <v>16059</v>
      </c>
      <c r="L123">
        <v>12665</v>
      </c>
      <c r="M123">
        <v>9871</v>
      </c>
      <c r="N123">
        <v>7588</v>
      </c>
      <c r="O123">
        <v>5812</v>
      </c>
      <c r="P123">
        <v>4402</v>
      </c>
      <c r="Q123">
        <v>3313</v>
      </c>
      <c r="R123">
        <v>2513</v>
      </c>
      <c r="S123">
        <v>1883</v>
      </c>
      <c r="T123">
        <v>1436</v>
      </c>
      <c r="U123">
        <v>1084</v>
      </c>
      <c r="V123">
        <v>810</v>
      </c>
      <c r="W123">
        <v>615</v>
      </c>
      <c r="X123">
        <v>461</v>
      </c>
      <c r="Y123">
        <v>341</v>
      </c>
      <c r="Z123">
        <v>253</v>
      </c>
      <c r="AA123">
        <v>181</v>
      </c>
      <c r="AB123">
        <v>128</v>
      </c>
      <c r="AC123">
        <v>93</v>
      </c>
      <c r="AD123">
        <v>55</v>
      </c>
      <c r="AE123">
        <v>20</v>
      </c>
    </row>
    <row r="124" spans="1:31" x14ac:dyDescent="0.35">
      <c r="A124">
        <v>4.4284780000000001</v>
      </c>
      <c r="B124">
        <v>67545</v>
      </c>
      <c r="C124">
        <v>58592</v>
      </c>
      <c r="D124">
        <v>50620</v>
      </c>
      <c r="E124">
        <v>44243</v>
      </c>
      <c r="F124">
        <v>37930</v>
      </c>
      <c r="G124">
        <v>32599</v>
      </c>
      <c r="H124">
        <v>27589</v>
      </c>
      <c r="I124">
        <v>23077</v>
      </c>
      <c r="J124">
        <v>19065</v>
      </c>
      <c r="K124">
        <v>15535</v>
      </c>
      <c r="L124">
        <v>12348</v>
      </c>
      <c r="M124">
        <v>9653</v>
      </c>
      <c r="N124">
        <v>7444</v>
      </c>
      <c r="O124">
        <v>5689</v>
      </c>
      <c r="P124">
        <v>4351</v>
      </c>
      <c r="Q124">
        <v>3371</v>
      </c>
      <c r="R124">
        <v>2583</v>
      </c>
      <c r="S124">
        <v>1954</v>
      </c>
      <c r="T124">
        <v>1498</v>
      </c>
      <c r="U124">
        <v>1149</v>
      </c>
      <c r="V124">
        <v>869</v>
      </c>
      <c r="W124">
        <v>660</v>
      </c>
      <c r="X124">
        <v>490</v>
      </c>
      <c r="Y124">
        <v>358</v>
      </c>
      <c r="Z124">
        <v>262</v>
      </c>
      <c r="AA124">
        <v>176</v>
      </c>
      <c r="AB124">
        <v>125</v>
      </c>
      <c r="AC124">
        <v>94</v>
      </c>
      <c r="AD124">
        <v>49</v>
      </c>
      <c r="AE124">
        <v>16</v>
      </c>
    </row>
    <row r="125" spans="1:31" x14ac:dyDescent="0.35">
      <c r="A125">
        <v>4.7481179999999998</v>
      </c>
      <c r="B125">
        <v>73194</v>
      </c>
      <c r="C125">
        <v>63602</v>
      </c>
      <c r="D125">
        <v>55077</v>
      </c>
      <c r="E125">
        <v>47886</v>
      </c>
      <c r="F125">
        <v>40829</v>
      </c>
      <c r="G125">
        <v>35025</v>
      </c>
      <c r="H125">
        <v>29567</v>
      </c>
      <c r="I125">
        <v>24763</v>
      </c>
      <c r="J125">
        <v>20448</v>
      </c>
      <c r="K125">
        <v>16608</v>
      </c>
      <c r="L125">
        <v>13267</v>
      </c>
      <c r="M125">
        <v>10343</v>
      </c>
      <c r="N125">
        <v>7929</v>
      </c>
      <c r="O125">
        <v>6044</v>
      </c>
      <c r="P125">
        <v>4532</v>
      </c>
      <c r="Q125">
        <v>3445</v>
      </c>
      <c r="R125">
        <v>2638</v>
      </c>
      <c r="S125">
        <v>1977</v>
      </c>
      <c r="T125">
        <v>1549</v>
      </c>
      <c r="U125">
        <v>1180</v>
      </c>
      <c r="V125">
        <v>925</v>
      </c>
      <c r="W125">
        <v>695</v>
      </c>
      <c r="X125">
        <v>534</v>
      </c>
      <c r="Y125">
        <v>401</v>
      </c>
      <c r="Z125">
        <v>293</v>
      </c>
      <c r="AA125">
        <v>203</v>
      </c>
      <c r="AB125">
        <v>144</v>
      </c>
      <c r="AC125">
        <v>93</v>
      </c>
      <c r="AD125">
        <v>45</v>
      </c>
      <c r="AE125">
        <v>17</v>
      </c>
    </row>
    <row r="126" spans="1:31" x14ac:dyDescent="0.35">
      <c r="A126">
        <v>4.6873889999999996</v>
      </c>
      <c r="B126">
        <v>72415</v>
      </c>
      <c r="C126">
        <v>62891</v>
      </c>
      <c r="D126">
        <v>54292</v>
      </c>
      <c r="E126">
        <v>47503</v>
      </c>
      <c r="F126">
        <v>40710</v>
      </c>
      <c r="G126">
        <v>34886</v>
      </c>
      <c r="H126">
        <v>29562</v>
      </c>
      <c r="I126">
        <v>24671</v>
      </c>
      <c r="J126">
        <v>20262</v>
      </c>
      <c r="K126">
        <v>16473</v>
      </c>
      <c r="L126">
        <v>13153</v>
      </c>
      <c r="M126">
        <v>10260</v>
      </c>
      <c r="N126">
        <v>7902</v>
      </c>
      <c r="O126">
        <v>6015</v>
      </c>
      <c r="P126">
        <v>4604</v>
      </c>
      <c r="Q126">
        <v>3459</v>
      </c>
      <c r="R126">
        <v>2559</v>
      </c>
      <c r="S126">
        <v>1977</v>
      </c>
      <c r="T126">
        <v>1531</v>
      </c>
      <c r="U126">
        <v>1175</v>
      </c>
      <c r="V126">
        <v>915</v>
      </c>
      <c r="W126">
        <v>677</v>
      </c>
      <c r="X126">
        <v>505</v>
      </c>
      <c r="Y126">
        <v>363</v>
      </c>
      <c r="Z126">
        <v>267</v>
      </c>
      <c r="AA126">
        <v>188</v>
      </c>
      <c r="AB126">
        <v>139</v>
      </c>
      <c r="AC126">
        <v>100</v>
      </c>
      <c r="AD126">
        <v>54</v>
      </c>
      <c r="AE126">
        <v>20</v>
      </c>
    </row>
    <row r="127" spans="1:31" x14ac:dyDescent="0.35">
      <c r="A127">
        <v>4.7422009999999997</v>
      </c>
      <c r="B127">
        <v>73656</v>
      </c>
      <c r="C127">
        <v>63930</v>
      </c>
      <c r="D127">
        <v>55164</v>
      </c>
      <c r="E127">
        <v>48023</v>
      </c>
      <c r="F127">
        <v>41004</v>
      </c>
      <c r="G127">
        <v>35088</v>
      </c>
      <c r="H127">
        <v>29577</v>
      </c>
      <c r="I127">
        <v>24747</v>
      </c>
      <c r="J127">
        <v>20390</v>
      </c>
      <c r="K127">
        <v>16595</v>
      </c>
      <c r="L127">
        <v>13206</v>
      </c>
      <c r="M127">
        <v>10334</v>
      </c>
      <c r="N127">
        <v>8072</v>
      </c>
      <c r="O127">
        <v>6104</v>
      </c>
      <c r="P127">
        <v>4731</v>
      </c>
      <c r="Q127">
        <v>3590</v>
      </c>
      <c r="R127">
        <v>2717</v>
      </c>
      <c r="S127">
        <v>2070</v>
      </c>
      <c r="T127">
        <v>1589</v>
      </c>
      <c r="U127">
        <v>1234</v>
      </c>
      <c r="V127">
        <v>886</v>
      </c>
      <c r="W127">
        <v>676</v>
      </c>
      <c r="X127">
        <v>514</v>
      </c>
      <c r="Y127">
        <v>396</v>
      </c>
      <c r="Z127">
        <v>297</v>
      </c>
      <c r="AA127">
        <v>215</v>
      </c>
      <c r="AB127">
        <v>165</v>
      </c>
      <c r="AC127">
        <v>118</v>
      </c>
      <c r="AD127">
        <v>59</v>
      </c>
      <c r="AE127">
        <v>19</v>
      </c>
    </row>
    <row r="128" spans="1:31" x14ac:dyDescent="0.35">
      <c r="A128">
        <v>4.7405759999999999</v>
      </c>
      <c r="B128">
        <v>71927</v>
      </c>
      <c r="C128">
        <v>62465</v>
      </c>
      <c r="D128">
        <v>54115</v>
      </c>
      <c r="E128">
        <v>47095</v>
      </c>
      <c r="F128">
        <v>40304</v>
      </c>
      <c r="G128">
        <v>34333</v>
      </c>
      <c r="H128">
        <v>29023</v>
      </c>
      <c r="I128">
        <v>24286</v>
      </c>
      <c r="J128">
        <v>19906</v>
      </c>
      <c r="K128">
        <v>16166</v>
      </c>
      <c r="L128">
        <v>12862</v>
      </c>
      <c r="M128">
        <v>10104</v>
      </c>
      <c r="N128">
        <v>7831</v>
      </c>
      <c r="O128">
        <v>5988</v>
      </c>
      <c r="P128">
        <v>4564</v>
      </c>
      <c r="Q128">
        <v>3495</v>
      </c>
      <c r="R128">
        <v>2639</v>
      </c>
      <c r="S128">
        <v>2052</v>
      </c>
      <c r="T128">
        <v>1595</v>
      </c>
      <c r="U128">
        <v>1220</v>
      </c>
      <c r="V128">
        <v>944</v>
      </c>
      <c r="W128">
        <v>717</v>
      </c>
      <c r="X128">
        <v>531</v>
      </c>
      <c r="Y128">
        <v>405</v>
      </c>
      <c r="Z128">
        <v>296</v>
      </c>
      <c r="AA128">
        <v>195</v>
      </c>
      <c r="AB128">
        <v>143</v>
      </c>
      <c r="AC128">
        <v>103</v>
      </c>
      <c r="AD128">
        <v>55</v>
      </c>
      <c r="AE128">
        <v>21</v>
      </c>
    </row>
    <row r="129" spans="1:31" x14ac:dyDescent="0.35">
      <c r="A129">
        <v>4.47241</v>
      </c>
      <c r="B129">
        <v>67387</v>
      </c>
      <c r="C129">
        <v>58253</v>
      </c>
      <c r="D129">
        <v>50053</v>
      </c>
      <c r="E129">
        <v>43690</v>
      </c>
      <c r="F129">
        <v>37464</v>
      </c>
      <c r="G129">
        <v>32054</v>
      </c>
      <c r="H129">
        <v>27181</v>
      </c>
      <c r="I129">
        <v>22708</v>
      </c>
      <c r="J129">
        <v>18734</v>
      </c>
      <c r="K129">
        <v>15251</v>
      </c>
      <c r="L129">
        <v>12197</v>
      </c>
      <c r="M129">
        <v>9591</v>
      </c>
      <c r="N129">
        <v>7441</v>
      </c>
      <c r="O129">
        <v>5766</v>
      </c>
      <c r="P129">
        <v>4363</v>
      </c>
      <c r="Q129">
        <v>3412</v>
      </c>
      <c r="R129">
        <v>2606</v>
      </c>
      <c r="S129">
        <v>2020</v>
      </c>
      <c r="T129">
        <v>1578</v>
      </c>
      <c r="U129">
        <v>1236</v>
      </c>
      <c r="V129">
        <v>923</v>
      </c>
      <c r="W129">
        <v>710</v>
      </c>
      <c r="X129">
        <v>520</v>
      </c>
      <c r="Y129">
        <v>403</v>
      </c>
      <c r="Z129">
        <v>302</v>
      </c>
      <c r="AA129">
        <v>214</v>
      </c>
      <c r="AB129">
        <v>156</v>
      </c>
      <c r="AC129">
        <v>120</v>
      </c>
      <c r="AD129">
        <v>57</v>
      </c>
      <c r="AE129">
        <v>28</v>
      </c>
    </row>
    <row r="130" spans="1:31" x14ac:dyDescent="0.35">
      <c r="A130">
        <v>4.749409</v>
      </c>
      <c r="B130">
        <v>70861</v>
      </c>
      <c r="C130">
        <v>61219</v>
      </c>
      <c r="D130">
        <v>52736</v>
      </c>
      <c r="E130">
        <v>45829</v>
      </c>
      <c r="F130">
        <v>39124</v>
      </c>
      <c r="G130">
        <v>33483</v>
      </c>
      <c r="H130">
        <v>28246</v>
      </c>
      <c r="I130">
        <v>23679</v>
      </c>
      <c r="J130">
        <v>19649</v>
      </c>
      <c r="K130">
        <v>16079</v>
      </c>
      <c r="L130">
        <v>12742</v>
      </c>
      <c r="M130">
        <v>9987</v>
      </c>
      <c r="N130">
        <v>7706</v>
      </c>
      <c r="O130">
        <v>5894</v>
      </c>
      <c r="P130">
        <v>4520</v>
      </c>
      <c r="Q130">
        <v>3463</v>
      </c>
      <c r="R130">
        <v>2660</v>
      </c>
      <c r="S130">
        <v>2047</v>
      </c>
      <c r="T130">
        <v>1574</v>
      </c>
      <c r="U130">
        <v>1189</v>
      </c>
      <c r="V130">
        <v>918</v>
      </c>
      <c r="W130">
        <v>700</v>
      </c>
      <c r="X130">
        <v>515</v>
      </c>
      <c r="Y130">
        <v>371</v>
      </c>
      <c r="Z130">
        <v>278</v>
      </c>
      <c r="AA130">
        <v>201</v>
      </c>
      <c r="AB130">
        <v>149</v>
      </c>
      <c r="AC130">
        <v>110</v>
      </c>
      <c r="AD130">
        <v>60</v>
      </c>
      <c r="AE130">
        <v>17</v>
      </c>
    </row>
    <row r="131" spans="1:31" x14ac:dyDescent="0.35">
      <c r="A131">
        <v>4.6970419999999997</v>
      </c>
      <c r="B131">
        <v>69446</v>
      </c>
      <c r="C131">
        <v>60098</v>
      </c>
      <c r="D131">
        <v>51723</v>
      </c>
      <c r="E131">
        <v>44972</v>
      </c>
      <c r="F131">
        <v>38431</v>
      </c>
      <c r="G131">
        <v>32834</v>
      </c>
      <c r="H131">
        <v>27733</v>
      </c>
      <c r="I131">
        <v>23155</v>
      </c>
      <c r="J131">
        <v>19202</v>
      </c>
      <c r="K131">
        <v>15691</v>
      </c>
      <c r="L131">
        <v>12480</v>
      </c>
      <c r="M131">
        <v>9754</v>
      </c>
      <c r="N131">
        <v>7608</v>
      </c>
      <c r="O131">
        <v>5858</v>
      </c>
      <c r="P131">
        <v>4485</v>
      </c>
      <c r="Q131">
        <v>3420</v>
      </c>
      <c r="R131">
        <v>2638</v>
      </c>
      <c r="S131">
        <v>1992</v>
      </c>
      <c r="T131">
        <v>1556</v>
      </c>
      <c r="U131">
        <v>1206</v>
      </c>
      <c r="V131">
        <v>936</v>
      </c>
      <c r="W131">
        <v>726</v>
      </c>
      <c r="X131">
        <v>546</v>
      </c>
      <c r="Y131">
        <v>396</v>
      </c>
      <c r="Z131">
        <v>302</v>
      </c>
      <c r="AA131">
        <v>222</v>
      </c>
      <c r="AB131">
        <v>148</v>
      </c>
      <c r="AC131">
        <v>103</v>
      </c>
      <c r="AD131">
        <v>54</v>
      </c>
      <c r="AE131">
        <v>21</v>
      </c>
    </row>
    <row r="132" spans="1:31" x14ac:dyDescent="0.35">
      <c r="A132">
        <v>4.7490690000000004</v>
      </c>
      <c r="B132">
        <v>71773</v>
      </c>
      <c r="C132">
        <v>62085</v>
      </c>
      <c r="D132">
        <v>53532</v>
      </c>
      <c r="E132">
        <v>46518</v>
      </c>
      <c r="F132">
        <v>39495</v>
      </c>
      <c r="G132">
        <v>33655</v>
      </c>
      <c r="H132">
        <v>28434</v>
      </c>
      <c r="I132">
        <v>23695</v>
      </c>
      <c r="J132">
        <v>19454</v>
      </c>
      <c r="K132">
        <v>15991</v>
      </c>
      <c r="L132">
        <v>12663</v>
      </c>
      <c r="M132">
        <v>9911</v>
      </c>
      <c r="N132">
        <v>7739</v>
      </c>
      <c r="O132">
        <v>5917</v>
      </c>
      <c r="P132">
        <v>4488</v>
      </c>
      <c r="Q132">
        <v>3418</v>
      </c>
      <c r="R132">
        <v>2604</v>
      </c>
      <c r="S132">
        <v>2019</v>
      </c>
      <c r="T132">
        <v>1552</v>
      </c>
      <c r="U132">
        <v>1194</v>
      </c>
      <c r="V132">
        <v>904</v>
      </c>
      <c r="W132">
        <v>688</v>
      </c>
      <c r="X132">
        <v>527</v>
      </c>
      <c r="Y132">
        <v>393</v>
      </c>
      <c r="Z132">
        <v>286</v>
      </c>
      <c r="AA132">
        <v>204</v>
      </c>
      <c r="AB132">
        <v>143</v>
      </c>
      <c r="AC132">
        <v>100</v>
      </c>
      <c r="AD132">
        <v>49</v>
      </c>
      <c r="AE132">
        <v>20</v>
      </c>
    </row>
    <row r="133" spans="1:31" x14ac:dyDescent="0.35">
      <c r="A133">
        <v>4.766686</v>
      </c>
      <c r="B133">
        <v>70552</v>
      </c>
      <c r="C133">
        <v>60984</v>
      </c>
      <c r="D133">
        <v>52623</v>
      </c>
      <c r="E133">
        <v>45715</v>
      </c>
      <c r="F133">
        <v>39063</v>
      </c>
      <c r="G133">
        <v>33430</v>
      </c>
      <c r="H133">
        <v>28179</v>
      </c>
      <c r="I133">
        <v>23574</v>
      </c>
      <c r="J133">
        <v>19471</v>
      </c>
      <c r="K133">
        <v>15805</v>
      </c>
      <c r="L133">
        <v>12586</v>
      </c>
      <c r="M133">
        <v>9871</v>
      </c>
      <c r="N133">
        <v>7649</v>
      </c>
      <c r="O133">
        <v>5822</v>
      </c>
      <c r="P133">
        <v>4405</v>
      </c>
      <c r="Q133">
        <v>3355</v>
      </c>
      <c r="R133">
        <v>2521</v>
      </c>
      <c r="S133">
        <v>1895</v>
      </c>
      <c r="T133">
        <v>1451</v>
      </c>
      <c r="U133">
        <v>1108</v>
      </c>
      <c r="V133">
        <v>843</v>
      </c>
      <c r="W133">
        <v>657</v>
      </c>
      <c r="X133">
        <v>498</v>
      </c>
      <c r="Y133">
        <v>361</v>
      </c>
      <c r="Z133">
        <v>260</v>
      </c>
      <c r="AA133">
        <v>179</v>
      </c>
      <c r="AB133">
        <v>120</v>
      </c>
      <c r="AC133">
        <v>79</v>
      </c>
      <c r="AD133">
        <v>41</v>
      </c>
      <c r="AE133">
        <v>15</v>
      </c>
    </row>
  </sheetData>
  <mergeCells count="1">
    <mergeCell ref="A2:E2"/>
  </mergeCells>
  <conditionalFormatting sqref="H9:H40">
    <cfRule type="cellIs" dxfId="21" priority="2" operator="greaterThan">
      <formula>1000</formula>
    </cfRule>
  </conditionalFormatting>
  <conditionalFormatting sqref="K9:K40">
    <cfRule type="cellIs" dxfId="20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85" zoomScaleNormal="85" workbookViewId="0">
      <selection activeCell="B9" sqref="B9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65" t="s">
        <v>190</v>
      </c>
      <c r="O2" s="65"/>
    </row>
    <row r="3" spans="1:49" ht="13.15" x14ac:dyDescent="0.4">
      <c r="A3" t="str">
        <f>'6 - B1'!$A$3</f>
        <v>Serial #</v>
      </c>
      <c r="B3" s="63" t="str">
        <f>'6 - B1'!$B$3</f>
        <v>11171-00009</v>
      </c>
      <c r="E3" s="152"/>
    </row>
    <row r="4" spans="1:49" ht="19.149999999999999" customHeight="1" x14ac:dyDescent="1.05">
      <c r="A4" s="8" t="str">
        <f>'6 - B1'!$A$4</f>
        <v>Date</v>
      </c>
      <c r="B4" s="64">
        <f>'6 - B1'!$B$4</f>
        <v>45845</v>
      </c>
      <c r="O4" s="65"/>
    </row>
    <row r="5" spans="1:49" ht="13.15" x14ac:dyDescent="0.4">
      <c r="A5" s="8" t="str">
        <f>'6 - B1'!$A$5</f>
        <v>RM</v>
      </c>
      <c r="B5" s="80" t="s">
        <v>359</v>
      </c>
      <c r="O5" s="29"/>
    </row>
    <row r="6" spans="1:49" ht="15" x14ac:dyDescent="0.5">
      <c r="A6" t="s">
        <v>336</v>
      </c>
      <c r="B6" s="152">
        <v>0.1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M7" s="55" t="s">
        <v>309</v>
      </c>
      <c r="O7" s="55"/>
    </row>
    <row r="8" spans="1:49" ht="13.15" x14ac:dyDescent="0.4">
      <c r="A8" s="57" t="s">
        <v>147</v>
      </c>
      <c r="B8" s="46">
        <f>G52</f>
        <v>7.5165899999999999</v>
      </c>
      <c r="C8" s="46">
        <f>H52</f>
        <v>7.8852779999999996</v>
      </c>
      <c r="D8" s="46">
        <f>I52</f>
        <v>7.829955</v>
      </c>
      <c r="E8" s="46">
        <f>J52</f>
        <v>7.8763930000000002</v>
      </c>
      <c r="F8" s="46">
        <f>K52</f>
        <v>7.8680279999999998</v>
      </c>
      <c r="G8" s="68">
        <f>AVERAGE(B$8:F$8)*5</f>
        <v>38.976244000000001</v>
      </c>
      <c r="I8" s="69"/>
      <c r="K8" s="69"/>
    </row>
    <row r="9" spans="1:49" ht="13.15" x14ac:dyDescent="0.4">
      <c r="A9" s="57" t="s">
        <v>148</v>
      </c>
      <c r="B9" s="42">
        <f t="shared" ref="B9" si="0">G53/B$8</f>
        <v>2523.0856013165544</v>
      </c>
      <c r="C9" s="42">
        <f t="shared" ref="C9:C38" si="1">H53/C$8</f>
        <v>2536.3722116075046</v>
      </c>
      <c r="D9" s="42">
        <f t="shared" ref="D9:D38" si="2">I53/D$8</f>
        <v>2467.9579895414468</v>
      </c>
      <c r="E9" s="42">
        <f t="shared" ref="E9:E38" si="3">J53/E$8</f>
        <v>2447.3131292458361</v>
      </c>
      <c r="F9" s="42">
        <f t="shared" ref="F9:F38" si="4">K53/F$8</f>
        <v>2345.314480324676</v>
      </c>
      <c r="G9" s="70">
        <f t="shared" ref="G9:G38" si="5">AVERAGE(B9:F9)</f>
        <v>2464.0086824072037</v>
      </c>
      <c r="H9" s="71">
        <f t="shared" ref="H9:H38" si="6">G9*G$8</f>
        <v>96037.803623621687</v>
      </c>
      <c r="I9" s="69">
        <f t="shared" ref="I9:I38" si="7">STDEVP(B9:F9)/AVERAGE(B9:F9)</f>
        <v>2.7590867719143916E-2</v>
      </c>
      <c r="J9" s="69">
        <f t="shared" ref="J9:J38" si="8">IF(H9&gt;$A$43, $C$43, IF(H9&gt;$A$44, $C$44, IF(H9&gt;$A$45,$C$45,IF(H9&gt;$A$46,$C$46, IF(H9&gt;$A$47,$C$47,IF(H9&gt;$A$48,$C$48,$C$49))))))/100</f>
        <v>0.11</v>
      </c>
      <c r="K9" s="69">
        <f t="shared" ref="K9:K38" si="9">(MAX(B9:F9)-MIN(B9:F9))/G9</f>
        <v>7.7539390444101658E-2</v>
      </c>
      <c r="L9">
        <f t="shared" ref="L9:L38" si="10">COUNTA(B9:F9)</f>
        <v>5</v>
      </c>
      <c r="M9">
        <f>'6 - B1'!M9</f>
        <v>165</v>
      </c>
      <c r="O9" s="42"/>
    </row>
    <row r="10" spans="1:49" ht="13.15" x14ac:dyDescent="0.4">
      <c r="A10" s="57" t="s">
        <v>149</v>
      </c>
      <c r="B10" s="42">
        <f t="shared" ref="B10:B38" si="11">G54/B$8</f>
        <v>2117.7156130639028</v>
      </c>
      <c r="C10" s="42">
        <f t="shared" si="1"/>
        <v>2141.332239649636</v>
      </c>
      <c r="D10" s="42">
        <f t="shared" si="2"/>
        <v>2083.1537346000073</v>
      </c>
      <c r="E10" s="42">
        <f t="shared" si="3"/>
        <v>2064.2697742481869</v>
      </c>
      <c r="F10" s="42">
        <f t="shared" si="4"/>
        <v>1964.4058206198556</v>
      </c>
      <c r="G10" s="70">
        <f t="shared" si="5"/>
        <v>2074.1754364363178</v>
      </c>
      <c r="H10" s="71">
        <f t="shared" si="6"/>
        <v>80843.567909348421</v>
      </c>
      <c r="I10" s="69">
        <f t="shared" si="7"/>
        <v>2.9432096703028345E-2</v>
      </c>
      <c r="J10" s="69">
        <f t="shared" si="8"/>
        <v>0.11</v>
      </c>
      <c r="K10" s="69">
        <f t="shared" si="9"/>
        <v>8.5299640484491124E-2</v>
      </c>
      <c r="L10">
        <f t="shared" si="10"/>
        <v>5</v>
      </c>
      <c r="M10">
        <f>'6 - B1'!M10</f>
        <v>194</v>
      </c>
      <c r="O10" s="42"/>
    </row>
    <row r="11" spans="1:49" ht="13.15" x14ac:dyDescent="0.4">
      <c r="A11" s="57" t="s">
        <v>150</v>
      </c>
      <c r="B11" s="42">
        <f t="shared" si="11"/>
        <v>1780.594657949948</v>
      </c>
      <c r="C11" s="42">
        <f t="shared" si="1"/>
        <v>1809.5747543713742</v>
      </c>
      <c r="D11" s="42">
        <f t="shared" si="2"/>
        <v>1760.8019458604806</v>
      </c>
      <c r="E11" s="42">
        <f t="shared" si="3"/>
        <v>1752.5788771586181</v>
      </c>
      <c r="F11" s="42">
        <f t="shared" si="4"/>
        <v>1653.2732217018038</v>
      </c>
      <c r="G11" s="70">
        <f t="shared" si="5"/>
        <v>1751.364691408445</v>
      </c>
      <c r="H11" s="71">
        <f t="shared" si="6"/>
        <v>68261.61754532026</v>
      </c>
      <c r="I11" s="69">
        <f t="shared" si="7"/>
        <v>3.0165296939908215E-2</v>
      </c>
      <c r="J11" s="69">
        <f t="shared" si="8"/>
        <v>0.11</v>
      </c>
      <c r="K11" s="69">
        <f t="shared" si="9"/>
        <v>8.924556572159334E-2</v>
      </c>
      <c r="L11">
        <f t="shared" si="10"/>
        <v>5</v>
      </c>
      <c r="M11">
        <f>'6 - B1'!M11</f>
        <v>229</v>
      </c>
      <c r="O11" s="42"/>
    </row>
    <row r="12" spans="1:49" ht="13.15" x14ac:dyDescent="0.4">
      <c r="A12" s="57" t="s">
        <v>151</v>
      </c>
      <c r="B12" s="42">
        <f t="shared" si="11"/>
        <v>1507.9976425480172</v>
      </c>
      <c r="C12" s="42">
        <f t="shared" si="1"/>
        <v>1537.0415602341477</v>
      </c>
      <c r="D12" s="42">
        <f t="shared" si="2"/>
        <v>1481.873139756231</v>
      </c>
      <c r="E12" s="42">
        <f t="shared" si="3"/>
        <v>1487.1020275397634</v>
      </c>
      <c r="F12" s="42">
        <f t="shared" si="4"/>
        <v>1413.0605534194844</v>
      </c>
      <c r="G12" s="70">
        <f t="shared" si="5"/>
        <v>1485.4149846995288</v>
      </c>
      <c r="H12" s="71">
        <f t="shared" si="6"/>
        <v>57895.896884905102</v>
      </c>
      <c r="I12" s="69">
        <f t="shared" si="7"/>
        <v>2.7635902556502785E-2</v>
      </c>
      <c r="J12" s="69">
        <f t="shared" si="8"/>
        <v>0.11</v>
      </c>
      <c r="K12" s="69">
        <f t="shared" si="9"/>
        <v>8.3465568943174667E-2</v>
      </c>
      <c r="L12">
        <f t="shared" si="10"/>
        <v>5</v>
      </c>
      <c r="M12">
        <f>'6 - B1'!M12</f>
        <v>271</v>
      </c>
      <c r="O12" s="42"/>
    </row>
    <row r="13" spans="1:49" ht="13.15" x14ac:dyDescent="0.4">
      <c r="A13" s="57" t="s">
        <v>152</v>
      </c>
      <c r="B13" s="42">
        <f t="shared" si="11"/>
        <v>1278.1061625018792</v>
      </c>
      <c r="C13" s="42">
        <f t="shared" si="1"/>
        <v>1295.9593815208545</v>
      </c>
      <c r="D13" s="42">
        <f t="shared" si="2"/>
        <v>1242.5358766429692</v>
      </c>
      <c r="E13" s="42">
        <f t="shared" si="3"/>
        <v>1250.1915534179161</v>
      </c>
      <c r="F13" s="42">
        <f t="shared" si="4"/>
        <v>1192.8020591690829</v>
      </c>
      <c r="G13" s="70">
        <f t="shared" si="5"/>
        <v>1251.9190066505403</v>
      </c>
      <c r="H13" s="71">
        <f t="shared" si="6"/>
        <v>48795.10067144908</v>
      </c>
      <c r="I13" s="69">
        <f t="shared" si="7"/>
        <v>2.8153034276333776E-2</v>
      </c>
      <c r="J13" s="69">
        <f t="shared" si="8"/>
        <v>0.11</v>
      </c>
      <c r="K13" s="69">
        <f t="shared" si="9"/>
        <v>8.2399357948694296E-2</v>
      </c>
      <c r="L13">
        <f t="shared" si="10"/>
        <v>5</v>
      </c>
      <c r="M13">
        <f>'6 - B1'!M13</f>
        <v>319</v>
      </c>
      <c r="O13" s="42"/>
    </row>
    <row r="14" spans="1:49" ht="13.15" x14ac:dyDescent="0.4">
      <c r="A14" s="57" t="s">
        <v>153</v>
      </c>
      <c r="B14" s="42">
        <f t="shared" si="11"/>
        <v>1072.0286725762612</v>
      </c>
      <c r="C14" s="42">
        <f t="shared" si="1"/>
        <v>1086.0745810103335</v>
      </c>
      <c r="D14" s="42">
        <f t="shared" si="2"/>
        <v>1051.6024677025603</v>
      </c>
      <c r="E14" s="42">
        <f t="shared" si="3"/>
        <v>1051.8774266342475</v>
      </c>
      <c r="F14" s="42">
        <f t="shared" si="4"/>
        <v>998.08999154553089</v>
      </c>
      <c r="G14" s="70">
        <f t="shared" si="5"/>
        <v>1051.9346278937867</v>
      </c>
      <c r="H14" s="71">
        <f t="shared" si="6"/>
        <v>41000.460728837439</v>
      </c>
      <c r="I14" s="69">
        <f t="shared" si="7"/>
        <v>2.8419417330408842E-2</v>
      </c>
      <c r="J14" s="69">
        <f t="shared" si="8"/>
        <v>0.11</v>
      </c>
      <c r="K14" s="69">
        <f t="shared" si="9"/>
        <v>8.3640738817551685E-2</v>
      </c>
      <c r="L14">
        <f t="shared" si="10"/>
        <v>5</v>
      </c>
      <c r="M14">
        <f>'6 - B1'!M14</f>
        <v>377</v>
      </c>
      <c r="O14" s="42"/>
    </row>
    <row r="15" spans="1:49" ht="13.15" x14ac:dyDescent="0.4">
      <c r="A15" s="57" t="s">
        <v>154</v>
      </c>
      <c r="B15" s="42">
        <f t="shared" si="11"/>
        <v>898.01359393022631</v>
      </c>
      <c r="C15" s="42">
        <f t="shared" si="1"/>
        <v>900.53895373124453</v>
      </c>
      <c r="D15" s="42">
        <f t="shared" si="2"/>
        <v>870.63080183730301</v>
      </c>
      <c r="E15" s="42">
        <f t="shared" si="3"/>
        <v>870.9570484865344</v>
      </c>
      <c r="F15" s="42">
        <f t="shared" si="4"/>
        <v>835.15208639318519</v>
      </c>
      <c r="G15" s="70">
        <f t="shared" si="5"/>
        <v>875.05849687569867</v>
      </c>
      <c r="H15" s="71">
        <f t="shared" si="6"/>
        <v>34106.49348850047</v>
      </c>
      <c r="I15" s="69">
        <f t="shared" si="7"/>
        <v>2.7067929509159892E-2</v>
      </c>
      <c r="J15" s="69">
        <f t="shared" si="8"/>
        <v>0.11</v>
      </c>
      <c r="K15" s="69">
        <f t="shared" si="9"/>
        <v>7.4722852896710393E-2</v>
      </c>
      <c r="L15">
        <f t="shared" si="10"/>
        <v>5</v>
      </c>
      <c r="M15">
        <f>'6 - B1'!M15</f>
        <v>445</v>
      </c>
      <c r="O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 s="42">
        <f t="shared" si="11"/>
        <v>737.03634227754878</v>
      </c>
      <c r="C16" s="42">
        <f t="shared" si="1"/>
        <v>737.06976469314088</v>
      </c>
      <c r="D16" s="42">
        <f t="shared" si="2"/>
        <v>715.71292555321202</v>
      </c>
      <c r="E16" s="42">
        <f t="shared" si="3"/>
        <v>721.52316421996716</v>
      </c>
      <c r="F16" s="42">
        <f t="shared" si="4"/>
        <v>681.87352663208628</v>
      </c>
      <c r="G16" s="70">
        <f t="shared" si="5"/>
        <v>718.64314467519102</v>
      </c>
      <c r="H16" s="71">
        <f t="shared" si="6"/>
        <v>28010.010555787547</v>
      </c>
      <c r="I16" s="69">
        <f t="shared" si="7"/>
        <v>2.8153511925411965E-2</v>
      </c>
      <c r="J16" s="69">
        <f t="shared" si="8"/>
        <v>0.11</v>
      </c>
      <c r="K16" s="69">
        <f t="shared" si="9"/>
        <v>7.6806184641198996E-2</v>
      </c>
      <c r="L16">
        <f t="shared" si="10"/>
        <v>5</v>
      </c>
      <c r="M16">
        <f>'6 - B1'!M16</f>
        <v>525</v>
      </c>
      <c r="O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 s="42">
        <f t="shared" si="11"/>
        <v>595.88190921681246</v>
      </c>
      <c r="C17" s="42">
        <f t="shared" si="1"/>
        <v>607.46114467999735</v>
      </c>
      <c r="D17" s="42">
        <f t="shared" si="2"/>
        <v>577.14252508475465</v>
      </c>
      <c r="E17" s="42">
        <f t="shared" si="3"/>
        <v>585.16633184758552</v>
      </c>
      <c r="F17" s="42">
        <f t="shared" si="4"/>
        <v>556.81042314541844</v>
      </c>
      <c r="G17" s="70">
        <f t="shared" si="5"/>
        <v>584.49246679491375</v>
      </c>
      <c r="H17" s="71">
        <f t="shared" si="6"/>
        <v>22781.321001960456</v>
      </c>
      <c r="I17" s="69">
        <f t="shared" si="7"/>
        <v>2.9415806905637533E-2</v>
      </c>
      <c r="J17" s="69">
        <f t="shared" si="8"/>
        <v>0.11</v>
      </c>
      <c r="K17" s="69">
        <f t="shared" si="9"/>
        <v>8.6657612222658789E-2</v>
      </c>
      <c r="L17">
        <f t="shared" si="10"/>
        <v>5</v>
      </c>
      <c r="M17">
        <f>'6 - B1'!M17</f>
        <v>619</v>
      </c>
      <c r="O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 s="42">
        <f t="shared" si="11"/>
        <v>476.54588051230678</v>
      </c>
      <c r="C18" s="42">
        <f t="shared" si="1"/>
        <v>485.96891574399791</v>
      </c>
      <c r="D18" s="42">
        <f t="shared" si="2"/>
        <v>462.19933575608036</v>
      </c>
      <c r="E18" s="42">
        <f t="shared" si="3"/>
        <v>464.29882307802569</v>
      </c>
      <c r="F18" s="42">
        <f t="shared" si="4"/>
        <v>447.50730424446891</v>
      </c>
      <c r="G18" s="70">
        <f t="shared" si="5"/>
        <v>467.3040518669759</v>
      </c>
      <c r="H18" s="71">
        <f t="shared" si="6"/>
        <v>18213.75674775591</v>
      </c>
      <c r="I18" s="69">
        <f t="shared" si="7"/>
        <v>2.8077851764764017E-2</v>
      </c>
      <c r="J18" s="69">
        <f t="shared" si="8"/>
        <v>0.11</v>
      </c>
      <c r="K18" s="69">
        <f t="shared" si="9"/>
        <v>8.2305324222777324E-2</v>
      </c>
      <c r="L18">
        <f t="shared" si="10"/>
        <v>5</v>
      </c>
      <c r="M18">
        <f>'6 - B1'!M18</f>
        <v>731</v>
      </c>
      <c r="O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 s="42">
        <f t="shared" si="11"/>
        <v>371.84414741259002</v>
      </c>
      <c r="C19" s="42">
        <f t="shared" si="1"/>
        <v>385.78221338550145</v>
      </c>
      <c r="D19" s="42">
        <f t="shared" si="2"/>
        <v>362.5819050045626</v>
      </c>
      <c r="E19" s="42">
        <f t="shared" si="3"/>
        <v>362.09467963317724</v>
      </c>
      <c r="F19" s="42">
        <f t="shared" si="4"/>
        <v>347.86353073476607</v>
      </c>
      <c r="G19" s="70">
        <f t="shared" si="5"/>
        <v>366.03329523411946</v>
      </c>
      <c r="H19" s="71">
        <f t="shared" si="6"/>
        <v>14266.603027169078</v>
      </c>
      <c r="I19" s="69">
        <f t="shared" si="7"/>
        <v>3.4152104032252217E-2</v>
      </c>
      <c r="J19" s="69">
        <f t="shared" si="8"/>
        <v>0.11</v>
      </c>
      <c r="K19" s="69">
        <f t="shared" si="9"/>
        <v>0.10359353409771675</v>
      </c>
      <c r="L19">
        <f t="shared" si="10"/>
        <v>5</v>
      </c>
      <c r="M19">
        <f>'6 - B1'!M19</f>
        <v>862</v>
      </c>
      <c r="O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 s="42">
        <f t="shared" si="11"/>
        <v>292.55287304482488</v>
      </c>
      <c r="C20" s="42">
        <f t="shared" si="1"/>
        <v>298.91146513794445</v>
      </c>
      <c r="D20" s="42">
        <f t="shared" si="2"/>
        <v>284.42053626106406</v>
      </c>
      <c r="E20" s="42">
        <f t="shared" si="3"/>
        <v>277.53820816203557</v>
      </c>
      <c r="F20" s="42">
        <f t="shared" si="4"/>
        <v>266.01328820893877</v>
      </c>
      <c r="G20" s="70">
        <f t="shared" si="5"/>
        <v>283.88727416296155</v>
      </c>
      <c r="H20" s="71">
        <f t="shared" si="6"/>
        <v>11064.859666270486</v>
      </c>
      <c r="I20" s="69">
        <f t="shared" si="7"/>
        <v>4.0498109241468738E-2</v>
      </c>
      <c r="J20" s="69">
        <f t="shared" si="8"/>
        <v>0.11</v>
      </c>
      <c r="K20" s="69">
        <f t="shared" si="9"/>
        <v>0.11588464832037849</v>
      </c>
      <c r="L20">
        <f t="shared" si="10"/>
        <v>5</v>
      </c>
      <c r="M20">
        <f>'6 - B1'!M20</f>
        <v>1018</v>
      </c>
      <c r="O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 s="42">
        <f t="shared" si="11"/>
        <v>226.96462092518018</v>
      </c>
      <c r="C21" s="42">
        <f t="shared" si="1"/>
        <v>231.31714569860443</v>
      </c>
      <c r="D21" s="42">
        <f t="shared" si="2"/>
        <v>216.98719852157515</v>
      </c>
      <c r="E21" s="42">
        <f t="shared" si="3"/>
        <v>215.45395208187301</v>
      </c>
      <c r="F21" s="42">
        <f t="shared" si="4"/>
        <v>209.45527901019162</v>
      </c>
      <c r="G21" s="70">
        <f t="shared" si="5"/>
        <v>220.03563924748488</v>
      </c>
      <c r="H21" s="71">
        <f t="shared" si="6"/>
        <v>8576.1627640059469</v>
      </c>
      <c r="I21" s="69">
        <f t="shared" si="7"/>
        <v>3.6216132600587439E-2</v>
      </c>
      <c r="J21" s="69">
        <f t="shared" si="8"/>
        <v>0.113</v>
      </c>
      <c r="K21" s="69">
        <f t="shared" si="9"/>
        <v>9.9356025974609061E-2</v>
      </c>
      <c r="L21">
        <f t="shared" si="10"/>
        <v>5</v>
      </c>
      <c r="M21">
        <f>'6 - B1'!M21</f>
        <v>1201</v>
      </c>
      <c r="O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 s="42">
        <f t="shared" si="11"/>
        <v>174.14811769698761</v>
      </c>
      <c r="C22" s="42">
        <f t="shared" si="1"/>
        <v>180.58970146645433</v>
      </c>
      <c r="D22" s="42">
        <f t="shared" si="2"/>
        <v>164.75190470443317</v>
      </c>
      <c r="E22" s="42">
        <f t="shared" si="3"/>
        <v>165.68497788264247</v>
      </c>
      <c r="F22" s="42">
        <f t="shared" si="4"/>
        <v>159.12500565580092</v>
      </c>
      <c r="G22" s="70">
        <f t="shared" si="5"/>
        <v>168.85994148126369</v>
      </c>
      <c r="H22" s="71">
        <f t="shared" si="6"/>
        <v>6581.5262809994556</v>
      </c>
      <c r="I22" s="69">
        <f t="shared" si="7"/>
        <v>4.4888914520789233E-2</v>
      </c>
      <c r="J22" s="69">
        <f t="shared" si="8"/>
        <v>0.113</v>
      </c>
      <c r="K22" s="69">
        <f t="shared" si="9"/>
        <v>0.1271153810806874</v>
      </c>
      <c r="L22">
        <f t="shared" si="10"/>
        <v>5</v>
      </c>
      <c r="M22">
        <f>'6 - B1'!M22</f>
        <v>1417</v>
      </c>
      <c r="O22" s="42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 s="42">
        <f t="shared" si="11"/>
        <v>133.70424620738925</v>
      </c>
      <c r="C23" s="42">
        <f t="shared" si="1"/>
        <v>138.35910414318937</v>
      </c>
      <c r="D23" s="42">
        <f t="shared" si="2"/>
        <v>126.56522291635137</v>
      </c>
      <c r="E23" s="42">
        <f t="shared" si="3"/>
        <v>131.40532728623367</v>
      </c>
      <c r="F23" s="42">
        <f t="shared" si="4"/>
        <v>121.63149393977754</v>
      </c>
      <c r="G23" s="70">
        <f t="shared" si="5"/>
        <v>130.33307889858824</v>
      </c>
      <c r="H23" s="71">
        <f t="shared" si="6"/>
        <v>5079.8938844226268</v>
      </c>
      <c r="I23" s="69">
        <f t="shared" si="7"/>
        <v>4.4321871950764001E-2</v>
      </c>
      <c r="J23" s="69">
        <f t="shared" si="8"/>
        <v>0.113</v>
      </c>
      <c r="K23" s="69">
        <f t="shared" si="9"/>
        <v>0.1283450858736141</v>
      </c>
      <c r="L23">
        <f t="shared" si="10"/>
        <v>5</v>
      </c>
      <c r="M23">
        <f>'6 - B1'!M23</f>
        <v>1672</v>
      </c>
      <c r="O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 s="42">
        <f t="shared" si="11"/>
        <v>104.43565499781151</v>
      </c>
      <c r="C24" s="42">
        <f t="shared" si="1"/>
        <v>104.49853511822919</v>
      </c>
      <c r="D24" s="42">
        <f t="shared" si="2"/>
        <v>97.063137655324965</v>
      </c>
      <c r="E24" s="42">
        <f t="shared" si="3"/>
        <v>100.93452675609254</v>
      </c>
      <c r="F24" s="42">
        <f t="shared" si="4"/>
        <v>92.272167816382961</v>
      </c>
      <c r="G24" s="70">
        <f t="shared" si="5"/>
        <v>99.840804468768241</v>
      </c>
      <c r="H24" s="71">
        <f t="shared" si="6"/>
        <v>3891.4195561310016</v>
      </c>
      <c r="I24" s="69">
        <f t="shared" si="7"/>
        <v>4.6765567405978897E-2</v>
      </c>
      <c r="J24" s="69">
        <f t="shared" si="8"/>
        <v>0.11900000000000001</v>
      </c>
      <c r="K24" s="69">
        <f t="shared" si="9"/>
        <v>0.12245862167177171</v>
      </c>
      <c r="L24">
        <f t="shared" si="10"/>
        <v>5</v>
      </c>
      <c r="M24">
        <f>'6 - B1'!M24</f>
        <v>1973</v>
      </c>
      <c r="O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 s="42">
        <f t="shared" si="11"/>
        <v>80.089508673480921</v>
      </c>
      <c r="C25" s="42">
        <f t="shared" si="1"/>
        <v>81.671185213761646</v>
      </c>
      <c r="D25" s="42">
        <f t="shared" si="2"/>
        <v>75.096217028067215</v>
      </c>
      <c r="E25" s="42">
        <f t="shared" si="3"/>
        <v>74.653461298845798</v>
      </c>
      <c r="F25" s="42">
        <f t="shared" si="4"/>
        <v>70.665737335962717</v>
      </c>
      <c r="G25" s="70">
        <f t="shared" si="5"/>
        <v>76.435221910023657</v>
      </c>
      <c r="H25" s="71">
        <f t="shared" si="6"/>
        <v>2979.157859359228</v>
      </c>
      <c r="I25" s="69">
        <f t="shared" si="7"/>
        <v>5.2011585637262187E-2</v>
      </c>
      <c r="J25" s="69">
        <f t="shared" si="8"/>
        <v>0.11900000000000001</v>
      </c>
      <c r="K25" s="69">
        <f t="shared" si="9"/>
        <v>0.14398398542957175</v>
      </c>
      <c r="L25">
        <f t="shared" si="10"/>
        <v>5</v>
      </c>
      <c r="M25">
        <f>'6 - B1'!M25</f>
        <v>2328</v>
      </c>
      <c r="O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 s="42">
        <f t="shared" si="11"/>
        <v>63.060510151544783</v>
      </c>
      <c r="C26" s="42">
        <f t="shared" si="1"/>
        <v>64.80431000657174</v>
      </c>
      <c r="D26" s="42">
        <f t="shared" si="2"/>
        <v>59.515029141291365</v>
      </c>
      <c r="E26" s="42">
        <f t="shared" si="3"/>
        <v>56.75186598738788</v>
      </c>
      <c r="F26" s="42">
        <f t="shared" si="4"/>
        <v>53.126399651856858</v>
      </c>
      <c r="G26" s="70">
        <f t="shared" si="5"/>
        <v>59.451622987730524</v>
      </c>
      <c r="H26" s="71">
        <f t="shared" si="6"/>
        <v>2317.2009637657939</v>
      </c>
      <c r="I26" s="69">
        <f t="shared" si="7"/>
        <v>7.0955963431290528E-2</v>
      </c>
      <c r="J26" s="69">
        <f t="shared" si="8"/>
        <v>0.11900000000000001</v>
      </c>
      <c r="K26" s="69">
        <f t="shared" si="9"/>
        <v>0.19642710775322214</v>
      </c>
      <c r="L26">
        <f t="shared" si="10"/>
        <v>5</v>
      </c>
      <c r="M26">
        <f>'6 - B1'!M26</f>
        <v>2747</v>
      </c>
      <c r="O26" s="42"/>
    </row>
    <row r="27" spans="1:49" ht="13.15" x14ac:dyDescent="0.4">
      <c r="A27" s="57" t="s">
        <v>166</v>
      </c>
      <c r="B27" s="42">
        <f t="shared" si="11"/>
        <v>49.357487903424293</v>
      </c>
      <c r="C27" s="42">
        <f t="shared" si="1"/>
        <v>49.459258126346342</v>
      </c>
      <c r="D27" s="42">
        <f t="shared" si="2"/>
        <v>44.316985218944424</v>
      </c>
      <c r="E27" s="42">
        <f t="shared" si="3"/>
        <v>42.913044079948776</v>
      </c>
      <c r="F27" s="42">
        <f t="shared" si="4"/>
        <v>42.450281061531555</v>
      </c>
      <c r="G27" s="70">
        <f t="shared" si="5"/>
        <v>45.699411278039079</v>
      </c>
      <c r="H27" s="71">
        <f t="shared" si="6"/>
        <v>1781.1914046292031</v>
      </c>
      <c r="I27" s="69">
        <f t="shared" si="7"/>
        <v>6.7622310805424565E-2</v>
      </c>
      <c r="J27" s="69">
        <f t="shared" si="8"/>
        <v>0.13400000000000001</v>
      </c>
      <c r="K27" s="69">
        <f t="shared" si="9"/>
        <v>0.1533712769771054</v>
      </c>
      <c r="L27">
        <f t="shared" si="10"/>
        <v>5</v>
      </c>
      <c r="M27">
        <f>'6 - B1'!M27</f>
        <v>3241</v>
      </c>
      <c r="O27" s="42"/>
    </row>
    <row r="28" spans="1:49" ht="13.15" x14ac:dyDescent="0.4">
      <c r="A28" s="57" t="s">
        <v>167</v>
      </c>
      <c r="B28" s="42">
        <f t="shared" si="11"/>
        <v>36.053582808161678</v>
      </c>
      <c r="C28" s="42">
        <f t="shared" si="1"/>
        <v>38.299220395273323</v>
      </c>
      <c r="D28" s="42">
        <f t="shared" si="2"/>
        <v>32.822666286076995</v>
      </c>
      <c r="E28" s="42">
        <f t="shared" si="3"/>
        <v>32.121302225523792</v>
      </c>
      <c r="F28" s="42">
        <f t="shared" si="4"/>
        <v>32.918032320169679</v>
      </c>
      <c r="G28" s="70">
        <f t="shared" si="5"/>
        <v>34.442960807041096</v>
      </c>
      <c r="H28" s="71">
        <f t="shared" si="6"/>
        <v>1342.4572444976707</v>
      </c>
      <c r="I28" s="69">
        <f t="shared" si="7"/>
        <v>6.8467023004117097E-2</v>
      </c>
      <c r="J28" s="69">
        <f t="shared" si="8"/>
        <v>0.13400000000000001</v>
      </c>
      <c r="K28" s="69">
        <f t="shared" si="9"/>
        <v>0.1793666405266354</v>
      </c>
      <c r="L28">
        <f t="shared" si="10"/>
        <v>5</v>
      </c>
      <c r="M28">
        <f>'6 - B1'!M28</f>
        <v>3824</v>
      </c>
      <c r="O28" s="42"/>
    </row>
    <row r="29" spans="1:49" ht="13.15" x14ac:dyDescent="0.4">
      <c r="A29" s="57" t="s">
        <v>168</v>
      </c>
      <c r="B29" s="42">
        <f t="shared" si="11"/>
        <v>27.13996639433573</v>
      </c>
      <c r="C29" s="42">
        <f t="shared" si="1"/>
        <v>27.646457106521801</v>
      </c>
      <c r="D29" s="42">
        <f t="shared" si="2"/>
        <v>24.648928378260155</v>
      </c>
      <c r="E29" s="42">
        <f t="shared" si="3"/>
        <v>25.773218781744383</v>
      </c>
      <c r="F29" s="42">
        <f t="shared" si="4"/>
        <v>24.78384672754088</v>
      </c>
      <c r="G29" s="70">
        <f t="shared" si="5"/>
        <v>25.998483477680594</v>
      </c>
      <c r="H29" s="71">
        <f t="shared" si="6"/>
        <v>1013.3232356560475</v>
      </c>
      <c r="I29" s="69">
        <f t="shared" si="7"/>
        <v>4.6686177827643727E-2</v>
      </c>
      <c r="J29" s="69">
        <f t="shared" si="8"/>
        <v>0.13400000000000001</v>
      </c>
      <c r="K29" s="69">
        <f t="shared" si="9"/>
        <v>0.11529629144849893</v>
      </c>
      <c r="L29">
        <f t="shared" si="10"/>
        <v>5</v>
      </c>
      <c r="M29">
        <f>'6 - B1'!M29</f>
        <v>4512</v>
      </c>
      <c r="O29" s="42"/>
    </row>
    <row r="30" spans="1:49" ht="13.15" x14ac:dyDescent="0.4">
      <c r="A30" s="57" t="s">
        <v>169</v>
      </c>
      <c r="B30" s="42">
        <f t="shared" si="11"/>
        <v>19.822818591941292</v>
      </c>
      <c r="C30" s="42">
        <f t="shared" si="1"/>
        <v>21.432345188083413</v>
      </c>
      <c r="D30" s="42">
        <f t="shared" si="2"/>
        <v>17.752337018539698</v>
      </c>
      <c r="E30" s="42">
        <f t="shared" si="3"/>
        <v>19.806020344591744</v>
      </c>
      <c r="F30" s="42">
        <f t="shared" si="4"/>
        <v>19.572884082263052</v>
      </c>
      <c r="G30" s="70">
        <f t="shared" si="5"/>
        <v>19.677281045083838</v>
      </c>
      <c r="H30" s="71">
        <f t="shared" si="6"/>
        <v>766.94650726976272</v>
      </c>
      <c r="I30" s="69">
        <f t="shared" si="7"/>
        <v>5.9415171248120582E-2</v>
      </c>
      <c r="J30" s="69">
        <f t="shared" si="8"/>
        <v>0.156</v>
      </c>
      <c r="K30" s="69">
        <f t="shared" si="9"/>
        <v>0.18701812313968685</v>
      </c>
      <c r="L30">
        <f t="shared" si="10"/>
        <v>5</v>
      </c>
      <c r="M30">
        <f>'6 - B1'!M30</f>
        <v>5324</v>
      </c>
      <c r="O30" s="42"/>
    </row>
    <row r="31" spans="1:49" ht="13.15" x14ac:dyDescent="0.4">
      <c r="A31" s="57" t="s">
        <v>170</v>
      </c>
      <c r="B31" s="42">
        <f t="shared" si="11"/>
        <v>14.235178451930995</v>
      </c>
      <c r="C31" s="42">
        <f t="shared" si="1"/>
        <v>17.120512428350658</v>
      </c>
      <c r="D31" s="42">
        <f t="shared" si="2"/>
        <v>13.154609445392726</v>
      </c>
      <c r="E31" s="42">
        <f t="shared" si="3"/>
        <v>15.235400265070572</v>
      </c>
      <c r="F31" s="42">
        <f t="shared" si="4"/>
        <v>14.616114736754877</v>
      </c>
      <c r="G31" s="70">
        <f t="shared" si="5"/>
        <v>14.872363065499965</v>
      </c>
      <c r="H31" s="71">
        <f t="shared" si="6"/>
        <v>579.66885169751458</v>
      </c>
      <c r="I31" s="69">
        <f t="shared" si="7"/>
        <v>8.8225500767196888E-2</v>
      </c>
      <c r="J31" s="69">
        <f t="shared" si="8"/>
        <v>0.156</v>
      </c>
      <c r="K31" s="69">
        <f t="shared" si="9"/>
        <v>0.26666259863960695</v>
      </c>
      <c r="L31">
        <f t="shared" si="10"/>
        <v>5</v>
      </c>
      <c r="M31">
        <f>'6 - B1'!M31</f>
        <v>6282</v>
      </c>
      <c r="O31" s="42"/>
    </row>
    <row r="32" spans="1:49" ht="13.15" x14ac:dyDescent="0.4">
      <c r="A32" s="57" t="s">
        <v>171</v>
      </c>
      <c r="B32" s="42">
        <f t="shared" si="11"/>
        <v>11.441358381925847</v>
      </c>
      <c r="C32" s="42">
        <f t="shared" si="1"/>
        <v>12.428223836876773</v>
      </c>
      <c r="D32" s="42">
        <f t="shared" si="2"/>
        <v>9.3231698011035817</v>
      </c>
      <c r="E32" s="42">
        <f t="shared" si="3"/>
        <v>11.172626861051752</v>
      </c>
      <c r="F32" s="42">
        <f t="shared" si="4"/>
        <v>9.2780554415922261</v>
      </c>
      <c r="G32" s="70">
        <f t="shared" si="5"/>
        <v>10.728686864510035</v>
      </c>
      <c r="H32" s="71">
        <f t="shared" si="6"/>
        <v>418.16391703073805</v>
      </c>
      <c r="I32" s="69">
        <f t="shared" si="7"/>
        <v>0.11546682571164997</v>
      </c>
      <c r="J32" s="69">
        <f t="shared" si="8"/>
        <v>0.193</v>
      </c>
      <c r="K32" s="69">
        <f t="shared" si="9"/>
        <v>0.29362105866889904</v>
      </c>
      <c r="L32">
        <f t="shared" si="10"/>
        <v>5</v>
      </c>
      <c r="M32">
        <f>'6 - B1'!M32</f>
        <v>7412</v>
      </c>
      <c r="O32" s="42"/>
    </row>
    <row r="33" spans="1:15" ht="13.15" x14ac:dyDescent="0.4">
      <c r="A33" s="57" t="s">
        <v>172</v>
      </c>
      <c r="B33" s="42">
        <f t="shared" si="11"/>
        <v>8.5144992609680727</v>
      </c>
      <c r="C33" s="42">
        <f t="shared" si="1"/>
        <v>9.3845771829477673</v>
      </c>
      <c r="D33" s="42">
        <f t="shared" si="2"/>
        <v>5.7471594664337156</v>
      </c>
      <c r="E33" s="42">
        <f t="shared" si="3"/>
        <v>7.9985851391620502</v>
      </c>
      <c r="F33" s="42">
        <f t="shared" si="4"/>
        <v>6.6090257940109014</v>
      </c>
      <c r="G33" s="70">
        <f t="shared" si="5"/>
        <v>7.6507693687045002</v>
      </c>
      <c r="H33" s="71">
        <f t="shared" si="6"/>
        <v>298.19825370235259</v>
      </c>
      <c r="I33" s="69">
        <f t="shared" si="7"/>
        <v>0.17124012428987678</v>
      </c>
      <c r="J33" s="69">
        <f t="shared" si="8"/>
        <v>0.193</v>
      </c>
      <c r="K33" s="69">
        <f t="shared" si="9"/>
        <v>0.47543162539873729</v>
      </c>
      <c r="L33">
        <f t="shared" si="10"/>
        <v>5</v>
      </c>
      <c r="M33">
        <f>'6 - B1'!M33</f>
        <v>8745</v>
      </c>
      <c r="O33" s="42"/>
    </row>
    <row r="34" spans="1:15" ht="13.15" x14ac:dyDescent="0.4">
      <c r="A34" s="57" t="s">
        <v>173</v>
      </c>
      <c r="B34" s="42">
        <f t="shared" si="11"/>
        <v>5.5876401400102971</v>
      </c>
      <c r="C34" s="42">
        <f t="shared" si="1"/>
        <v>6.9750235819206381</v>
      </c>
      <c r="D34" s="42">
        <f t="shared" si="2"/>
        <v>4.0868689539084198</v>
      </c>
      <c r="E34" s="42">
        <f t="shared" si="3"/>
        <v>5.7132750994014643</v>
      </c>
      <c r="F34" s="42">
        <f t="shared" si="4"/>
        <v>4.9567693455081754</v>
      </c>
      <c r="G34" s="70">
        <f t="shared" si="5"/>
        <v>5.463915424149798</v>
      </c>
      <c r="H34" s="71">
        <f t="shared" si="6"/>
        <v>212.96290076702601</v>
      </c>
      <c r="I34" s="69">
        <f t="shared" si="7"/>
        <v>0.17390439957085677</v>
      </c>
      <c r="J34" s="69">
        <f t="shared" si="8"/>
        <v>0.193</v>
      </c>
      <c r="K34" s="69">
        <f t="shared" si="9"/>
        <v>0.52858699372375884</v>
      </c>
      <c r="L34">
        <f t="shared" si="10"/>
        <v>5</v>
      </c>
      <c r="M34">
        <f>'6 - B1'!M34</f>
        <v>10319</v>
      </c>
      <c r="O34" s="42"/>
    </row>
    <row r="35" spans="1:15" ht="13.15" x14ac:dyDescent="0.4">
      <c r="A35" s="57" t="s">
        <v>174</v>
      </c>
      <c r="B35" s="42">
        <f t="shared" si="11"/>
        <v>4.2572496304840364</v>
      </c>
      <c r="C35" s="42">
        <f t="shared" si="1"/>
        <v>4.8191072020542585</v>
      </c>
      <c r="D35" s="42">
        <f t="shared" si="2"/>
        <v>3.0651517154313148</v>
      </c>
      <c r="E35" s="42">
        <f t="shared" si="3"/>
        <v>4.4436584106455834</v>
      </c>
      <c r="F35" s="42">
        <f t="shared" si="4"/>
        <v>3.4316095468902756</v>
      </c>
      <c r="G35" s="70">
        <f t="shared" si="5"/>
        <v>4.0033553011010934</v>
      </c>
      <c r="H35" s="71">
        <f t="shared" si="6"/>
        <v>156.03575303440968</v>
      </c>
      <c r="I35" s="69">
        <f t="shared" si="7"/>
        <v>0.16306935206517284</v>
      </c>
      <c r="J35" s="69">
        <f t="shared" si="8"/>
        <v>0.27500000000000002</v>
      </c>
      <c r="K35" s="69">
        <f t="shared" si="9"/>
        <v>0.43812136438165533</v>
      </c>
      <c r="L35">
        <f t="shared" si="10"/>
        <v>5</v>
      </c>
      <c r="M35">
        <f>'6 - B1'!M35</f>
        <v>12175</v>
      </c>
      <c r="O35" s="42"/>
    </row>
    <row r="36" spans="1:15" ht="13.15" x14ac:dyDescent="0.4">
      <c r="A36" s="57" t="s">
        <v>175</v>
      </c>
      <c r="B36" s="42">
        <f t="shared" si="11"/>
        <v>2.6607810190525227</v>
      </c>
      <c r="C36" s="42">
        <f t="shared" si="1"/>
        <v>3.4241024856701312</v>
      </c>
      <c r="D36" s="42">
        <f t="shared" si="2"/>
        <v>1.7880051673349335</v>
      </c>
      <c r="E36" s="42">
        <f t="shared" si="3"/>
        <v>2.9201183841385263</v>
      </c>
      <c r="F36" s="42">
        <f t="shared" si="4"/>
        <v>2.4148363478116752</v>
      </c>
      <c r="G36" s="70">
        <f t="shared" si="5"/>
        <v>2.6415686808015577</v>
      </c>
      <c r="H36" s="71">
        <f t="shared" si="6"/>
        <v>102.95842544567964</v>
      </c>
      <c r="I36" s="69">
        <f t="shared" si="7"/>
        <v>0.20528420837487452</v>
      </c>
      <c r="J36" s="69">
        <f t="shared" si="8"/>
        <v>0.27500000000000002</v>
      </c>
      <c r="K36" s="69">
        <f t="shared" si="9"/>
        <v>0.61936580722888501</v>
      </c>
      <c r="L36">
        <f t="shared" si="10"/>
        <v>5</v>
      </c>
      <c r="M36">
        <f>'6 - B1'!M36</f>
        <v>14366</v>
      </c>
      <c r="O36" s="42"/>
    </row>
    <row r="37" spans="1:15" ht="13.15" x14ac:dyDescent="0.4">
      <c r="A37" s="57" t="s">
        <v>176</v>
      </c>
      <c r="B37" s="42">
        <f t="shared" si="11"/>
        <v>1.5964686114315134</v>
      </c>
      <c r="C37" s="42">
        <f t="shared" si="1"/>
        <v>2.4095536010271292</v>
      </c>
      <c r="D37" s="42">
        <f t="shared" si="2"/>
        <v>0.7662879288578287</v>
      </c>
      <c r="E37" s="42">
        <f t="shared" si="3"/>
        <v>1.9044250331338215</v>
      </c>
      <c r="F37" s="42">
        <f t="shared" si="4"/>
        <v>1.5251597986179002</v>
      </c>
      <c r="G37" s="70">
        <f t="shared" si="5"/>
        <v>1.6403789946136385</v>
      </c>
      <c r="H37" s="71">
        <f t="shared" si="6"/>
        <v>63.935811946535857</v>
      </c>
      <c r="I37" s="69">
        <f t="shared" si="7"/>
        <v>0.32722071898620264</v>
      </c>
      <c r="J37" s="69">
        <f t="shared" si="8"/>
        <v>0.27500000000000002</v>
      </c>
      <c r="K37" s="69">
        <f t="shared" si="9"/>
        <v>1.0017597625701993</v>
      </c>
      <c r="L37">
        <f t="shared" si="10"/>
        <v>5</v>
      </c>
      <c r="M37">
        <f>'6 - B1'!M37</f>
        <v>16950</v>
      </c>
    </row>
    <row r="38" spans="1:15" ht="13.15" x14ac:dyDescent="0.4">
      <c r="A38" s="57" t="s">
        <v>177</v>
      </c>
      <c r="B38" s="42">
        <f t="shared" si="11"/>
        <v>1.1973514585736351</v>
      </c>
      <c r="C38" s="42">
        <f t="shared" si="1"/>
        <v>1.7754605481252532</v>
      </c>
      <c r="D38" s="42">
        <f t="shared" si="2"/>
        <v>0.25542930961927623</v>
      </c>
      <c r="E38" s="42">
        <f t="shared" si="3"/>
        <v>1.0156933510047048</v>
      </c>
      <c r="F38" s="42">
        <f t="shared" si="4"/>
        <v>1.0167731990786002</v>
      </c>
      <c r="G38" s="68">
        <f t="shared" si="5"/>
        <v>1.0521415732802939</v>
      </c>
      <c r="H38" s="71">
        <f t="shared" si="6"/>
        <v>41.008526682716614</v>
      </c>
      <c r="I38" s="69">
        <f t="shared" si="7"/>
        <v>0.46203744581949474</v>
      </c>
      <c r="J38" s="69">
        <f t="shared" si="8"/>
        <v>0.27500000000000002</v>
      </c>
      <c r="K38" s="69">
        <f t="shared" si="9"/>
        <v>1.4447021932294999</v>
      </c>
      <c r="L38">
        <f t="shared" si="10"/>
        <v>5</v>
      </c>
      <c r="M38">
        <f>'6 - B1'!M38</f>
        <v>20000</v>
      </c>
    </row>
    <row r="40" spans="1:15" x14ac:dyDescent="0.35">
      <c r="A40" t="s">
        <v>178</v>
      </c>
    </row>
    <row r="41" spans="1:15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5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x14ac:dyDescent="0.35">
      <c r="A51" s="81">
        <f>'6 - B1'!A51</f>
        <v>0</v>
      </c>
      <c r="B51" s="82" t="str">
        <f>'6 - B1'!B51</f>
        <v>Portion 1</v>
      </c>
      <c r="C51" s="82" t="str">
        <f>'6 - B1'!C51</f>
        <v>Portion 2</v>
      </c>
      <c r="D51" s="82" t="str">
        <f>'6 - B1'!D51</f>
        <v>Portion 3</v>
      </c>
      <c r="E51" s="82" t="str">
        <f>'6 - B1'!E51</f>
        <v>Portion 4</v>
      </c>
      <c r="F51" s="82" t="str">
        <f>'6 - B1'!F51</f>
        <v>Portion 5</v>
      </c>
      <c r="G51" s="82" t="str">
        <f>'6 - B1'!G51</f>
        <v>Portion 1</v>
      </c>
      <c r="H51" s="82" t="str">
        <f>'6 - B1'!H51</f>
        <v>Portion 2</v>
      </c>
      <c r="I51" s="82" t="str">
        <f>'6 - B1'!I51</f>
        <v>Portion 3</v>
      </c>
      <c r="J51" s="82" t="str">
        <f>'6 - B1'!J51</f>
        <v>Portion 4</v>
      </c>
      <c r="K51" s="82" t="str">
        <f>'6 - B1'!K51</f>
        <v>Portion 5</v>
      </c>
      <c r="L51" s="82" t="str">
        <f>'6 - B1'!L51</f>
        <v>Portion 1</v>
      </c>
      <c r="M51" s="82" t="str">
        <f>'6 - B1'!M51</f>
        <v>Portion 2</v>
      </c>
      <c r="N51" s="82" t="str">
        <f>'6 - B1'!N51</f>
        <v>Portion 3</v>
      </c>
      <c r="O51" s="82" t="str">
        <f>'6 - B1'!O51</f>
        <v>Portion 4</v>
      </c>
      <c r="P51" s="82" t="str">
        <f>'6 - B1'!P51</f>
        <v>Portion 5</v>
      </c>
    </row>
    <row r="52" spans="1:16" x14ac:dyDescent="0.35">
      <c r="A52" s="83" t="str">
        <f>'6 - B1'!A52</f>
        <v>NAME\mL</v>
      </c>
      <c r="B52" s="81">
        <f>'6 - B1'!B52</f>
        <v>7.5035889999999998</v>
      </c>
      <c r="C52" s="81">
        <f>'6 - B1'!C52</f>
        <v>7.8647749999999998</v>
      </c>
      <c r="D52" s="81">
        <f>'6 - B1'!D52</f>
        <v>7.7853899999999996</v>
      </c>
      <c r="E52" s="81">
        <f>'6 - B1'!E52</f>
        <v>7.8457220000000003</v>
      </c>
      <c r="F52" s="81">
        <f>'6 - B1'!F52</f>
        <v>0</v>
      </c>
      <c r="G52" s="81">
        <f>'6 - B1'!G52</f>
        <v>7.5165899999999999</v>
      </c>
      <c r="H52" s="81">
        <f>'6 - B1'!H52</f>
        <v>7.8852779999999996</v>
      </c>
      <c r="I52" s="81">
        <f>'6 - B1'!I52</f>
        <v>7.829955</v>
      </c>
      <c r="J52" s="81">
        <f>'6 - B1'!J52</f>
        <v>7.8763930000000002</v>
      </c>
      <c r="K52" s="81">
        <f>'6 - B1'!K52</f>
        <v>7.8680279999999998</v>
      </c>
      <c r="L52" s="81">
        <f>'6 - B1'!L52</f>
        <v>0</v>
      </c>
      <c r="M52" s="81">
        <f>'6 - B1'!M52</f>
        <v>0</v>
      </c>
      <c r="N52" s="81">
        <f>'6 - B1'!N52</f>
        <v>0</v>
      </c>
      <c r="O52" s="81">
        <f>'6 - B1'!O52</f>
        <v>0</v>
      </c>
      <c r="P52" s="81">
        <f>'6 - B1'!P52</f>
        <v>0</v>
      </c>
    </row>
    <row r="53" spans="1:16" x14ac:dyDescent="0.35">
      <c r="A53" s="83">
        <f>'6 - B1'!A53</f>
        <v>4</v>
      </c>
      <c r="B53" s="81">
        <f>'6 - B1'!B53</f>
        <v>13599</v>
      </c>
      <c r="C53" s="81">
        <f>'6 - B1'!C53</f>
        <v>14366</v>
      </c>
      <c r="D53" s="81">
        <f>'6 - B1'!D53</f>
        <v>14008</v>
      </c>
      <c r="E53" s="81">
        <f>'6 - B1'!E53</f>
        <v>14040</v>
      </c>
      <c r="F53" s="81">
        <f>'6 - B1'!F53</f>
        <v>0</v>
      </c>
      <c r="G53" s="81">
        <f>'6 - B1'!G53</f>
        <v>18965</v>
      </c>
      <c r="H53" s="81">
        <f>'6 - B1'!H53</f>
        <v>20000</v>
      </c>
      <c r="I53" s="81">
        <f>'6 - B1'!I53</f>
        <v>19324</v>
      </c>
      <c r="J53" s="81">
        <f>'6 - B1'!J53</f>
        <v>19276</v>
      </c>
      <c r="K53" s="81">
        <f>'6 - B1'!K53</f>
        <v>18453</v>
      </c>
      <c r="L53" s="81">
        <f>'6 - B1'!L53</f>
        <v>0</v>
      </c>
      <c r="M53" s="81">
        <f>'6 - B1'!M53</f>
        <v>0</v>
      </c>
      <c r="N53" s="81">
        <f>'6 - B1'!N53</f>
        <v>0</v>
      </c>
      <c r="O53" s="81">
        <f>'6 - B1'!O53</f>
        <v>0</v>
      </c>
      <c r="P53" s="81">
        <f>'6 - B1'!P53</f>
        <v>0</v>
      </c>
    </row>
    <row r="54" spans="1:16" x14ac:dyDescent="0.35">
      <c r="A54" s="83">
        <f>'6 - B1'!A54</f>
        <v>5</v>
      </c>
      <c r="B54" s="81">
        <f>'6 - B1'!B54</f>
        <v>11524</v>
      </c>
      <c r="C54" s="81">
        <f>'6 - B1'!C54</f>
        <v>12222</v>
      </c>
      <c r="D54" s="81">
        <f>'6 - B1'!D54</f>
        <v>11956</v>
      </c>
      <c r="E54" s="81">
        <f>'6 - B1'!E54</f>
        <v>11971</v>
      </c>
      <c r="F54" s="81">
        <f>'6 - B1'!F54</f>
        <v>0</v>
      </c>
      <c r="G54" s="81">
        <f>'6 - B1'!G54</f>
        <v>15918</v>
      </c>
      <c r="H54" s="81">
        <f>'6 - B1'!H54</f>
        <v>16885</v>
      </c>
      <c r="I54" s="81">
        <f>'6 - B1'!I54</f>
        <v>16311</v>
      </c>
      <c r="J54" s="81">
        <f>'6 - B1'!J54</f>
        <v>16259</v>
      </c>
      <c r="K54" s="81">
        <f>'6 - B1'!K54</f>
        <v>15456</v>
      </c>
      <c r="L54" s="81">
        <f>'6 - B1'!L54</f>
        <v>0</v>
      </c>
      <c r="M54" s="81">
        <f>'6 - B1'!M54</f>
        <v>0</v>
      </c>
      <c r="N54" s="81">
        <f>'6 - B1'!N54</f>
        <v>0</v>
      </c>
      <c r="O54" s="81">
        <f>'6 - B1'!O54</f>
        <v>0</v>
      </c>
      <c r="P54" s="81">
        <f>'6 - B1'!P54</f>
        <v>0</v>
      </c>
    </row>
    <row r="55" spans="1:16" x14ac:dyDescent="0.35">
      <c r="A55" s="83">
        <f>'6 - B1'!A55</f>
        <v>6</v>
      </c>
      <c r="B55" s="81">
        <f>'6 - B1'!B55</f>
        <v>9856</v>
      </c>
      <c r="C55" s="81">
        <f>'6 - B1'!C55</f>
        <v>10503</v>
      </c>
      <c r="D55" s="81">
        <f>'6 - B1'!D55</f>
        <v>10245</v>
      </c>
      <c r="E55" s="81">
        <f>'6 - B1'!E55</f>
        <v>10196</v>
      </c>
      <c r="F55" s="81">
        <f>'6 - B1'!F55</f>
        <v>0</v>
      </c>
      <c r="G55" s="81">
        <f>'6 - B1'!G55</f>
        <v>13384</v>
      </c>
      <c r="H55" s="81">
        <f>'6 - B1'!H55</f>
        <v>14269</v>
      </c>
      <c r="I55" s="81">
        <f>'6 - B1'!I55</f>
        <v>13787</v>
      </c>
      <c r="J55" s="81">
        <f>'6 - B1'!J55</f>
        <v>13804</v>
      </c>
      <c r="K55" s="81">
        <f>'6 - B1'!K55</f>
        <v>13008</v>
      </c>
      <c r="L55" s="81">
        <f>'6 - B1'!L55</f>
        <v>0</v>
      </c>
      <c r="M55" s="81">
        <f>'6 - B1'!M55</f>
        <v>0</v>
      </c>
      <c r="N55" s="81">
        <f>'6 - B1'!N55</f>
        <v>0</v>
      </c>
      <c r="O55" s="81">
        <f>'6 - B1'!O55</f>
        <v>0</v>
      </c>
      <c r="P55" s="81">
        <f>'6 - B1'!P55</f>
        <v>0</v>
      </c>
    </row>
    <row r="56" spans="1:16" x14ac:dyDescent="0.35">
      <c r="A56" s="83">
        <f>'6 - B1'!A56</f>
        <v>7</v>
      </c>
      <c r="B56" s="81">
        <f>'6 - B1'!B56</f>
        <v>8355</v>
      </c>
      <c r="C56" s="81">
        <f>'6 - B1'!C56</f>
        <v>8932</v>
      </c>
      <c r="D56" s="81">
        <f>'6 - B1'!D56</f>
        <v>8726</v>
      </c>
      <c r="E56" s="81">
        <f>'6 - B1'!E56</f>
        <v>8706</v>
      </c>
      <c r="F56" s="81">
        <f>'6 - B1'!F56</f>
        <v>0</v>
      </c>
      <c r="G56" s="81">
        <f>'6 - B1'!G56</f>
        <v>11335</v>
      </c>
      <c r="H56" s="81">
        <f>'6 - B1'!H56</f>
        <v>12120</v>
      </c>
      <c r="I56" s="81">
        <f>'6 - B1'!I56</f>
        <v>11603</v>
      </c>
      <c r="J56" s="81">
        <f>'6 - B1'!J56</f>
        <v>11713</v>
      </c>
      <c r="K56" s="81">
        <f>'6 - B1'!K56</f>
        <v>11118</v>
      </c>
      <c r="L56" s="81">
        <f>'6 - B1'!L56</f>
        <v>0</v>
      </c>
      <c r="M56" s="81">
        <f>'6 - B1'!M56</f>
        <v>0</v>
      </c>
      <c r="N56" s="81">
        <f>'6 - B1'!N56</f>
        <v>0</v>
      </c>
      <c r="O56" s="81">
        <f>'6 - B1'!O56</f>
        <v>0</v>
      </c>
      <c r="P56" s="81">
        <f>'6 - B1'!P56</f>
        <v>0</v>
      </c>
    </row>
    <row r="57" spans="1:16" x14ac:dyDescent="0.35">
      <c r="A57" s="83">
        <f>'6 - B1'!A57</f>
        <v>8</v>
      </c>
      <c r="B57" s="81">
        <f>'6 - B1'!B57</f>
        <v>7062</v>
      </c>
      <c r="C57" s="81">
        <f>'6 - B1'!C57</f>
        <v>7598</v>
      </c>
      <c r="D57" s="81">
        <f>'6 - B1'!D57</f>
        <v>7394</v>
      </c>
      <c r="E57" s="81">
        <f>'6 - B1'!E57</f>
        <v>7356</v>
      </c>
      <c r="F57" s="81">
        <f>'6 - B1'!F57</f>
        <v>0</v>
      </c>
      <c r="G57" s="81">
        <f>'6 - B1'!G57</f>
        <v>9607</v>
      </c>
      <c r="H57" s="81">
        <f>'6 - B1'!H57</f>
        <v>10219</v>
      </c>
      <c r="I57" s="81">
        <f>'6 - B1'!I57</f>
        <v>9729</v>
      </c>
      <c r="J57" s="81">
        <f>'6 - B1'!J57</f>
        <v>9847</v>
      </c>
      <c r="K57" s="81">
        <f>'6 - B1'!K57</f>
        <v>9385</v>
      </c>
      <c r="L57" s="81">
        <f>'6 - B1'!L57</f>
        <v>0</v>
      </c>
      <c r="M57" s="81">
        <f>'6 - B1'!M57</f>
        <v>0</v>
      </c>
      <c r="N57" s="81">
        <f>'6 - B1'!N57</f>
        <v>0</v>
      </c>
      <c r="O57" s="81">
        <f>'6 - B1'!O57</f>
        <v>0</v>
      </c>
      <c r="P57" s="81">
        <f>'6 - B1'!P57</f>
        <v>0</v>
      </c>
    </row>
    <row r="58" spans="1:16" x14ac:dyDescent="0.35">
      <c r="A58" s="83">
        <f>'6 - B1'!A58</f>
        <v>9</v>
      </c>
      <c r="B58" s="81">
        <f>'6 - B1'!B58</f>
        <v>5971</v>
      </c>
      <c r="C58" s="81">
        <f>'6 - B1'!C58</f>
        <v>6429</v>
      </c>
      <c r="D58" s="81">
        <f>'6 - B1'!D58</f>
        <v>6244</v>
      </c>
      <c r="E58" s="81">
        <f>'6 - B1'!E58</f>
        <v>6215</v>
      </c>
      <c r="F58" s="81">
        <f>'6 - B1'!F58</f>
        <v>0</v>
      </c>
      <c r="G58" s="81">
        <f>'6 - B1'!G58</f>
        <v>8058</v>
      </c>
      <c r="H58" s="81">
        <f>'6 - B1'!H58</f>
        <v>8564</v>
      </c>
      <c r="I58" s="81">
        <f>'6 - B1'!I58</f>
        <v>8234</v>
      </c>
      <c r="J58" s="81">
        <f>'6 - B1'!J58</f>
        <v>8285</v>
      </c>
      <c r="K58" s="81">
        <f>'6 - B1'!K58</f>
        <v>7853</v>
      </c>
      <c r="L58" s="81">
        <f>'6 - B1'!L58</f>
        <v>0</v>
      </c>
      <c r="M58" s="81">
        <f>'6 - B1'!M58</f>
        <v>0</v>
      </c>
      <c r="N58" s="81">
        <f>'6 - B1'!N58</f>
        <v>0</v>
      </c>
      <c r="O58" s="81">
        <f>'6 - B1'!O58</f>
        <v>0</v>
      </c>
      <c r="P58" s="81">
        <f>'6 - B1'!P58</f>
        <v>0</v>
      </c>
    </row>
    <row r="59" spans="1:16" x14ac:dyDescent="0.35">
      <c r="A59" s="83">
        <f>'6 - B1'!A59</f>
        <v>10</v>
      </c>
      <c r="B59" s="81">
        <f>'6 - B1'!B59</f>
        <v>4995</v>
      </c>
      <c r="C59" s="81">
        <f>'6 - B1'!C59</f>
        <v>5341</v>
      </c>
      <c r="D59" s="81">
        <f>'6 - B1'!D59</f>
        <v>5180</v>
      </c>
      <c r="E59" s="81">
        <f>'6 - B1'!E59</f>
        <v>5282</v>
      </c>
      <c r="F59" s="81">
        <f>'6 - B1'!F59</f>
        <v>0</v>
      </c>
      <c r="G59" s="81">
        <f>'6 - B1'!G59</f>
        <v>6750</v>
      </c>
      <c r="H59" s="81">
        <f>'6 - B1'!H59</f>
        <v>7101</v>
      </c>
      <c r="I59" s="81">
        <f>'6 - B1'!I59</f>
        <v>6817</v>
      </c>
      <c r="J59" s="81">
        <f>'6 - B1'!J59</f>
        <v>6860</v>
      </c>
      <c r="K59" s="81">
        <f>'6 - B1'!K59</f>
        <v>6571</v>
      </c>
      <c r="L59" s="81">
        <f>'6 - B1'!L59</f>
        <v>0</v>
      </c>
      <c r="M59" s="81">
        <f>'6 - B1'!M59</f>
        <v>0</v>
      </c>
      <c r="N59" s="81">
        <f>'6 - B1'!N59</f>
        <v>0</v>
      </c>
      <c r="O59" s="81">
        <f>'6 - B1'!O59</f>
        <v>0</v>
      </c>
      <c r="P59" s="81">
        <f>'6 - B1'!P59</f>
        <v>0</v>
      </c>
    </row>
    <row r="60" spans="1:16" x14ac:dyDescent="0.35">
      <c r="A60" s="83">
        <f>'6 - B1'!A60</f>
        <v>11</v>
      </c>
      <c r="B60" s="81">
        <f>'6 - B1'!B60</f>
        <v>4134</v>
      </c>
      <c r="C60" s="81">
        <f>'6 - B1'!C60</f>
        <v>4398</v>
      </c>
      <c r="D60" s="81">
        <f>'6 - B1'!D60</f>
        <v>4269</v>
      </c>
      <c r="E60" s="81">
        <f>'6 - B1'!E60</f>
        <v>4313</v>
      </c>
      <c r="F60" s="81">
        <f>'6 - B1'!F60</f>
        <v>0</v>
      </c>
      <c r="G60" s="81">
        <f>'6 - B1'!G60</f>
        <v>5540</v>
      </c>
      <c r="H60" s="81">
        <f>'6 - B1'!H60</f>
        <v>5812</v>
      </c>
      <c r="I60" s="81">
        <f>'6 - B1'!I60</f>
        <v>5604</v>
      </c>
      <c r="J60" s="81">
        <f>'6 - B1'!J60</f>
        <v>5683</v>
      </c>
      <c r="K60" s="81">
        <f>'6 - B1'!K60</f>
        <v>5365</v>
      </c>
      <c r="L60" s="81">
        <f>'6 - B1'!L60</f>
        <v>0</v>
      </c>
      <c r="M60" s="81">
        <f>'6 - B1'!M60</f>
        <v>0</v>
      </c>
      <c r="N60" s="81">
        <f>'6 - B1'!N60</f>
        <v>0</v>
      </c>
      <c r="O60" s="81">
        <f>'6 - B1'!O60</f>
        <v>0</v>
      </c>
      <c r="P60" s="81">
        <f>'6 - B1'!P60</f>
        <v>0</v>
      </c>
    </row>
    <row r="61" spans="1:16" x14ac:dyDescent="0.35">
      <c r="A61" s="83">
        <f>'6 - B1'!A61</f>
        <v>12</v>
      </c>
      <c r="B61" s="81">
        <f>'6 - B1'!B61</f>
        <v>3431</v>
      </c>
      <c r="C61" s="81">
        <f>'6 - B1'!C61</f>
        <v>3568</v>
      </c>
      <c r="D61" s="81">
        <f>'6 - B1'!D61</f>
        <v>3471</v>
      </c>
      <c r="E61" s="81">
        <f>'6 - B1'!E61</f>
        <v>3528</v>
      </c>
      <c r="F61" s="81">
        <f>'6 - B1'!F61</f>
        <v>0</v>
      </c>
      <c r="G61" s="81">
        <f>'6 - B1'!G61</f>
        <v>4479</v>
      </c>
      <c r="H61" s="81">
        <f>'6 - B1'!H61</f>
        <v>4790</v>
      </c>
      <c r="I61" s="81">
        <f>'6 - B1'!I61</f>
        <v>4519</v>
      </c>
      <c r="J61" s="81">
        <f>'6 - B1'!J61</f>
        <v>4609</v>
      </c>
      <c r="K61" s="81">
        <f>'6 - B1'!K61</f>
        <v>4381</v>
      </c>
      <c r="L61" s="81">
        <f>'6 - B1'!L61</f>
        <v>0</v>
      </c>
      <c r="M61" s="81">
        <f>'6 - B1'!M61</f>
        <v>0</v>
      </c>
      <c r="N61" s="81">
        <f>'6 - B1'!N61</f>
        <v>0</v>
      </c>
      <c r="O61" s="81">
        <f>'6 - B1'!O61</f>
        <v>0</v>
      </c>
      <c r="P61" s="81">
        <f>'6 - B1'!P61</f>
        <v>0</v>
      </c>
    </row>
    <row r="62" spans="1:16" x14ac:dyDescent="0.35">
      <c r="A62" s="83">
        <f>'6 - B1'!A62</f>
        <v>13</v>
      </c>
      <c r="B62" s="81">
        <f>'6 - B1'!B62</f>
        <v>2761</v>
      </c>
      <c r="C62" s="81">
        <f>'6 - B1'!C62</f>
        <v>2893</v>
      </c>
      <c r="D62" s="81">
        <f>'6 - B1'!D62</f>
        <v>2763</v>
      </c>
      <c r="E62" s="81">
        <f>'6 - B1'!E62</f>
        <v>2836</v>
      </c>
      <c r="F62" s="81">
        <f>'6 - B1'!F62</f>
        <v>0</v>
      </c>
      <c r="G62" s="81">
        <f>'6 - B1'!G62</f>
        <v>3582</v>
      </c>
      <c r="H62" s="81">
        <f>'6 - B1'!H62</f>
        <v>3832</v>
      </c>
      <c r="I62" s="81">
        <f>'6 - B1'!I62</f>
        <v>3619</v>
      </c>
      <c r="J62" s="81">
        <f>'6 - B1'!J62</f>
        <v>3657</v>
      </c>
      <c r="K62" s="81">
        <f>'6 - B1'!K62</f>
        <v>3521</v>
      </c>
      <c r="L62" s="81">
        <f>'6 - B1'!L62</f>
        <v>0</v>
      </c>
      <c r="M62" s="81">
        <f>'6 - B1'!M62</f>
        <v>0</v>
      </c>
      <c r="N62" s="81">
        <f>'6 - B1'!N62</f>
        <v>0</v>
      </c>
      <c r="O62" s="81">
        <f>'6 - B1'!O62</f>
        <v>0</v>
      </c>
      <c r="P62" s="81">
        <f>'6 - B1'!P62</f>
        <v>0</v>
      </c>
    </row>
    <row r="63" spans="1:16" x14ac:dyDescent="0.35">
      <c r="A63" s="83">
        <f>'6 - B1'!A63</f>
        <v>14</v>
      </c>
      <c r="B63" s="81">
        <f>'6 - B1'!B63</f>
        <v>2190</v>
      </c>
      <c r="C63" s="81">
        <f>'6 - B1'!C63</f>
        <v>2289</v>
      </c>
      <c r="D63" s="81">
        <f>'6 - B1'!D63</f>
        <v>2156</v>
      </c>
      <c r="E63" s="81">
        <f>'6 - B1'!E63</f>
        <v>2213</v>
      </c>
      <c r="F63" s="81">
        <f>'6 - B1'!F63</f>
        <v>0</v>
      </c>
      <c r="G63" s="81">
        <f>'6 - B1'!G63</f>
        <v>2795</v>
      </c>
      <c r="H63" s="81">
        <f>'6 - B1'!H63</f>
        <v>3042</v>
      </c>
      <c r="I63" s="81">
        <f>'6 - B1'!I63</f>
        <v>2839</v>
      </c>
      <c r="J63" s="81">
        <f>'6 - B1'!J63</f>
        <v>2852</v>
      </c>
      <c r="K63" s="81">
        <f>'6 - B1'!K63</f>
        <v>2737</v>
      </c>
      <c r="L63" s="81">
        <f>'6 - B1'!L63</f>
        <v>0</v>
      </c>
      <c r="M63" s="81">
        <f>'6 - B1'!M63</f>
        <v>0</v>
      </c>
      <c r="N63" s="81">
        <f>'6 - B1'!N63</f>
        <v>0</v>
      </c>
      <c r="O63" s="81">
        <f>'6 - B1'!O63</f>
        <v>0</v>
      </c>
      <c r="P63" s="81">
        <f>'6 - B1'!P63</f>
        <v>0</v>
      </c>
    </row>
    <row r="64" spans="1:16" x14ac:dyDescent="0.35">
      <c r="A64" s="83">
        <f>'6 - B1'!A64</f>
        <v>15</v>
      </c>
      <c r="B64" s="81">
        <f>'6 - B1'!B64</f>
        <v>1674</v>
      </c>
      <c r="C64" s="81">
        <f>'6 - B1'!C64</f>
        <v>1800</v>
      </c>
      <c r="D64" s="81">
        <f>'6 - B1'!D64</f>
        <v>1682</v>
      </c>
      <c r="E64" s="81">
        <f>'6 - B1'!E64</f>
        <v>1698</v>
      </c>
      <c r="F64" s="81">
        <f>'6 - B1'!F64</f>
        <v>0</v>
      </c>
      <c r="G64" s="81">
        <f>'6 - B1'!G64</f>
        <v>2199</v>
      </c>
      <c r="H64" s="81">
        <f>'6 - B1'!H64</f>
        <v>2357</v>
      </c>
      <c r="I64" s="81">
        <f>'6 - B1'!I64</f>
        <v>2227</v>
      </c>
      <c r="J64" s="81">
        <f>'6 - B1'!J64</f>
        <v>2186</v>
      </c>
      <c r="K64" s="81">
        <f>'6 - B1'!K64</f>
        <v>2093</v>
      </c>
      <c r="L64" s="81">
        <f>'6 - B1'!L64</f>
        <v>0</v>
      </c>
      <c r="M64" s="81">
        <f>'6 - B1'!M64</f>
        <v>0</v>
      </c>
      <c r="N64" s="81">
        <f>'6 - B1'!N64</f>
        <v>0</v>
      </c>
      <c r="O64" s="81">
        <f>'6 - B1'!O64</f>
        <v>0</v>
      </c>
      <c r="P64" s="81">
        <f>'6 - B1'!P64</f>
        <v>0</v>
      </c>
    </row>
    <row r="65" spans="1:16" x14ac:dyDescent="0.35">
      <c r="A65" s="83">
        <f>'6 - B1'!A65</f>
        <v>16</v>
      </c>
      <c r="B65" s="81">
        <f>'6 - B1'!B65</f>
        <v>1282</v>
      </c>
      <c r="C65" s="81">
        <f>'6 - B1'!C65</f>
        <v>1374</v>
      </c>
      <c r="D65" s="81">
        <f>'6 - B1'!D65</f>
        <v>1314</v>
      </c>
      <c r="E65" s="81">
        <f>'6 - B1'!E65</f>
        <v>1291</v>
      </c>
      <c r="F65" s="81">
        <f>'6 - B1'!F65</f>
        <v>0</v>
      </c>
      <c r="G65" s="81">
        <f>'6 - B1'!G65</f>
        <v>1706</v>
      </c>
      <c r="H65" s="81">
        <f>'6 - B1'!H65</f>
        <v>1824</v>
      </c>
      <c r="I65" s="81">
        <f>'6 - B1'!I65</f>
        <v>1699</v>
      </c>
      <c r="J65" s="81">
        <f>'6 - B1'!J65</f>
        <v>1697</v>
      </c>
      <c r="K65" s="81">
        <f>'6 - B1'!K65</f>
        <v>1648</v>
      </c>
      <c r="L65" s="81">
        <f>'6 - B1'!L65</f>
        <v>0</v>
      </c>
      <c r="M65" s="81">
        <f>'6 - B1'!M65</f>
        <v>0</v>
      </c>
      <c r="N65" s="81">
        <f>'6 - B1'!N65</f>
        <v>0</v>
      </c>
      <c r="O65" s="81">
        <f>'6 - B1'!O65</f>
        <v>0</v>
      </c>
      <c r="P65" s="81">
        <f>'6 - B1'!P65</f>
        <v>0</v>
      </c>
    </row>
    <row r="66" spans="1:16" x14ac:dyDescent="0.35">
      <c r="A66" s="83">
        <f>'6 - B1'!A66</f>
        <v>17</v>
      </c>
      <c r="B66" s="81">
        <f>'6 - B1'!B66</f>
        <v>974</v>
      </c>
      <c r="C66" s="81">
        <f>'6 - B1'!C66</f>
        <v>1047</v>
      </c>
      <c r="D66" s="81">
        <f>'6 - B1'!D66</f>
        <v>1000</v>
      </c>
      <c r="E66" s="81">
        <f>'6 - B1'!E66</f>
        <v>983</v>
      </c>
      <c r="F66" s="81">
        <f>'6 - B1'!F66</f>
        <v>0</v>
      </c>
      <c r="G66" s="81">
        <f>'6 - B1'!G66</f>
        <v>1309</v>
      </c>
      <c r="H66" s="81">
        <f>'6 - B1'!H66</f>
        <v>1424</v>
      </c>
      <c r="I66" s="81">
        <f>'6 - B1'!I66</f>
        <v>1290</v>
      </c>
      <c r="J66" s="81">
        <f>'6 - B1'!J66</f>
        <v>1305</v>
      </c>
      <c r="K66" s="81">
        <f>'6 - B1'!K66</f>
        <v>1252</v>
      </c>
      <c r="L66" s="81">
        <f>'6 - B1'!L66</f>
        <v>0</v>
      </c>
      <c r="M66" s="81">
        <f>'6 - B1'!M66</f>
        <v>0</v>
      </c>
      <c r="N66" s="81">
        <f>'6 - B1'!N66</f>
        <v>0</v>
      </c>
      <c r="O66" s="81">
        <f>'6 - B1'!O66</f>
        <v>0</v>
      </c>
      <c r="P66" s="81">
        <f>'6 - B1'!P66</f>
        <v>0</v>
      </c>
    </row>
    <row r="67" spans="1:16" x14ac:dyDescent="0.35">
      <c r="A67" s="83">
        <f>'6 - B1'!A67</f>
        <v>18</v>
      </c>
      <c r="B67" s="81">
        <f>'6 - B1'!B67</f>
        <v>769</v>
      </c>
      <c r="C67" s="81">
        <f>'6 - B1'!C67</f>
        <v>825</v>
      </c>
      <c r="D67" s="81">
        <f>'6 - B1'!D67</f>
        <v>753</v>
      </c>
      <c r="E67" s="81">
        <f>'6 - B1'!E67</f>
        <v>745</v>
      </c>
      <c r="F67" s="81">
        <f>'6 - B1'!F67</f>
        <v>0</v>
      </c>
      <c r="G67" s="81">
        <f>'6 - B1'!G67</f>
        <v>1005</v>
      </c>
      <c r="H67" s="81">
        <f>'6 - B1'!H67</f>
        <v>1091</v>
      </c>
      <c r="I67" s="81">
        <f>'6 - B1'!I67</f>
        <v>991</v>
      </c>
      <c r="J67" s="81">
        <f>'6 - B1'!J67</f>
        <v>1035</v>
      </c>
      <c r="K67" s="81">
        <f>'6 - B1'!K67</f>
        <v>957</v>
      </c>
      <c r="L67" s="81">
        <f>'6 - B1'!L67</f>
        <v>0</v>
      </c>
      <c r="M67" s="81">
        <f>'6 - B1'!M67</f>
        <v>0</v>
      </c>
      <c r="N67" s="81">
        <f>'6 - B1'!N67</f>
        <v>0</v>
      </c>
      <c r="O67" s="81">
        <f>'6 - B1'!O67</f>
        <v>0</v>
      </c>
      <c r="P67" s="81">
        <f>'6 - B1'!P67</f>
        <v>0</v>
      </c>
    </row>
    <row r="68" spans="1:16" x14ac:dyDescent="0.35">
      <c r="A68" s="83">
        <f>'6 - B1'!A68</f>
        <v>19</v>
      </c>
      <c r="B68" s="81">
        <f>'6 - B1'!B68</f>
        <v>611</v>
      </c>
      <c r="C68" s="81">
        <f>'6 - B1'!C68</f>
        <v>663</v>
      </c>
      <c r="D68" s="81">
        <f>'6 - B1'!D68</f>
        <v>605</v>
      </c>
      <c r="E68" s="81">
        <f>'6 - B1'!E68</f>
        <v>591</v>
      </c>
      <c r="F68" s="81">
        <f>'6 - B1'!F68</f>
        <v>0</v>
      </c>
      <c r="G68" s="81">
        <f>'6 - B1'!G68</f>
        <v>785</v>
      </c>
      <c r="H68" s="81">
        <f>'6 - B1'!H68</f>
        <v>824</v>
      </c>
      <c r="I68" s="81">
        <f>'6 - B1'!I68</f>
        <v>760</v>
      </c>
      <c r="J68" s="81">
        <f>'6 - B1'!J68</f>
        <v>795</v>
      </c>
      <c r="K68" s="81">
        <f>'6 - B1'!K68</f>
        <v>726</v>
      </c>
      <c r="L68" s="81">
        <f>'6 - B1'!L68</f>
        <v>0</v>
      </c>
      <c r="M68" s="81">
        <f>'6 - B1'!M68</f>
        <v>0</v>
      </c>
      <c r="N68" s="81">
        <f>'6 - B1'!N68</f>
        <v>0</v>
      </c>
      <c r="O68" s="81">
        <f>'6 - B1'!O68</f>
        <v>0</v>
      </c>
      <c r="P68" s="81">
        <f>'6 - B1'!P68</f>
        <v>0</v>
      </c>
    </row>
    <row r="69" spans="1:16" x14ac:dyDescent="0.35">
      <c r="A69" s="83">
        <f>'6 - B1'!A69</f>
        <v>20</v>
      </c>
      <c r="B69" s="81">
        <f>'6 - B1'!B69</f>
        <v>480</v>
      </c>
      <c r="C69" s="81">
        <f>'6 - B1'!C69</f>
        <v>530</v>
      </c>
      <c r="D69" s="81">
        <f>'6 - B1'!D69</f>
        <v>464</v>
      </c>
      <c r="E69" s="81">
        <f>'6 - B1'!E69</f>
        <v>468</v>
      </c>
      <c r="F69" s="81">
        <f>'6 - B1'!F69</f>
        <v>0</v>
      </c>
      <c r="G69" s="81">
        <f>'6 - B1'!G69</f>
        <v>602</v>
      </c>
      <c r="H69" s="81">
        <f>'6 - B1'!H69</f>
        <v>644</v>
      </c>
      <c r="I69" s="81">
        <f>'6 - B1'!I69</f>
        <v>588</v>
      </c>
      <c r="J69" s="81">
        <f>'6 - B1'!J69</f>
        <v>588</v>
      </c>
      <c r="K69" s="81">
        <f>'6 - B1'!K69</f>
        <v>556</v>
      </c>
      <c r="L69" s="81">
        <f>'6 - B1'!L69</f>
        <v>0</v>
      </c>
      <c r="M69" s="81">
        <f>'6 - B1'!M69</f>
        <v>0</v>
      </c>
      <c r="N69" s="81">
        <f>'6 - B1'!N69</f>
        <v>0</v>
      </c>
      <c r="O69" s="81">
        <f>'6 - B1'!O69</f>
        <v>0</v>
      </c>
      <c r="P69" s="81">
        <f>'6 - B1'!P69</f>
        <v>0</v>
      </c>
    </row>
    <row r="70" spans="1:16" x14ac:dyDescent="0.35">
      <c r="A70" s="83">
        <f>'6 - B1'!A70</f>
        <v>21</v>
      </c>
      <c r="B70" s="81">
        <f>'6 - B1'!B70</f>
        <v>358</v>
      </c>
      <c r="C70" s="81">
        <f>'6 - B1'!C70</f>
        <v>414</v>
      </c>
      <c r="D70" s="81">
        <f>'6 - B1'!D70</f>
        <v>367</v>
      </c>
      <c r="E70" s="81">
        <f>'6 - B1'!E70</f>
        <v>365</v>
      </c>
      <c r="F70" s="81">
        <f>'6 - B1'!F70</f>
        <v>0</v>
      </c>
      <c r="G70" s="81">
        <f>'6 - B1'!G70</f>
        <v>474</v>
      </c>
      <c r="H70" s="81">
        <f>'6 - B1'!H70</f>
        <v>511</v>
      </c>
      <c r="I70" s="81">
        <f>'6 - B1'!I70</f>
        <v>466</v>
      </c>
      <c r="J70" s="81">
        <f>'6 - B1'!J70</f>
        <v>447</v>
      </c>
      <c r="K70" s="81">
        <f>'6 - B1'!K70</f>
        <v>418</v>
      </c>
      <c r="L70" s="81">
        <f>'6 - B1'!L70</f>
        <v>0</v>
      </c>
      <c r="M70" s="81">
        <f>'6 - B1'!M70</f>
        <v>0</v>
      </c>
      <c r="N70" s="81">
        <f>'6 - B1'!N70</f>
        <v>0</v>
      </c>
      <c r="O70" s="81">
        <f>'6 - B1'!O70</f>
        <v>0</v>
      </c>
      <c r="P70" s="81">
        <f>'6 - B1'!P70</f>
        <v>0</v>
      </c>
    </row>
    <row r="71" spans="1:16" x14ac:dyDescent="0.35">
      <c r="A71" s="83">
        <f>'6 - B1'!A71</f>
        <v>22</v>
      </c>
      <c r="B71" s="81">
        <f>'6 - B1'!B71</f>
        <v>286</v>
      </c>
      <c r="C71" s="81">
        <f>'6 - B1'!C71</f>
        <v>328</v>
      </c>
      <c r="D71" s="81">
        <f>'6 - B1'!D71</f>
        <v>295</v>
      </c>
      <c r="E71" s="81">
        <f>'6 - B1'!E71</f>
        <v>280</v>
      </c>
      <c r="F71" s="81">
        <f>'6 - B1'!F71</f>
        <v>0</v>
      </c>
      <c r="G71" s="81">
        <f>'6 - B1'!G71</f>
        <v>371</v>
      </c>
      <c r="H71" s="81">
        <f>'6 - B1'!H71</f>
        <v>390</v>
      </c>
      <c r="I71" s="81">
        <f>'6 - B1'!I71</f>
        <v>347</v>
      </c>
      <c r="J71" s="81">
        <f>'6 - B1'!J71</f>
        <v>338</v>
      </c>
      <c r="K71" s="81">
        <f>'6 - B1'!K71</f>
        <v>334</v>
      </c>
      <c r="L71" s="81">
        <f>'6 - B1'!L71</f>
        <v>0</v>
      </c>
      <c r="M71" s="81">
        <f>'6 - B1'!M71</f>
        <v>0</v>
      </c>
      <c r="N71" s="81">
        <f>'6 - B1'!N71</f>
        <v>0</v>
      </c>
      <c r="O71" s="81">
        <f>'6 - B1'!O71</f>
        <v>0</v>
      </c>
      <c r="P71" s="81">
        <f>'6 - B1'!P71</f>
        <v>0</v>
      </c>
    </row>
    <row r="72" spans="1:16" x14ac:dyDescent="0.35">
      <c r="A72" s="83">
        <f>'6 - B1'!A72</f>
        <v>23</v>
      </c>
      <c r="B72" s="81">
        <f>'6 - B1'!B72</f>
        <v>239</v>
      </c>
      <c r="C72" s="81">
        <f>'6 - B1'!C72</f>
        <v>245</v>
      </c>
      <c r="D72" s="81">
        <f>'6 - B1'!D72</f>
        <v>232</v>
      </c>
      <c r="E72" s="81">
        <f>'6 - B1'!E72</f>
        <v>214</v>
      </c>
      <c r="F72" s="81">
        <f>'6 - B1'!F72</f>
        <v>0</v>
      </c>
      <c r="G72" s="81">
        <f>'6 - B1'!G72</f>
        <v>271</v>
      </c>
      <c r="H72" s="81">
        <f>'6 - B1'!H72</f>
        <v>302</v>
      </c>
      <c r="I72" s="81">
        <f>'6 - B1'!I72</f>
        <v>257</v>
      </c>
      <c r="J72" s="81">
        <f>'6 - B1'!J72</f>
        <v>253</v>
      </c>
      <c r="K72" s="81">
        <f>'6 - B1'!K72</f>
        <v>259</v>
      </c>
      <c r="L72" s="81">
        <f>'6 - B1'!L72</f>
        <v>0</v>
      </c>
      <c r="M72" s="81">
        <f>'6 - B1'!M72</f>
        <v>0</v>
      </c>
      <c r="N72" s="81">
        <f>'6 - B1'!N72</f>
        <v>0</v>
      </c>
      <c r="O72" s="81">
        <f>'6 - B1'!O72</f>
        <v>0</v>
      </c>
      <c r="P72" s="81">
        <f>'6 - B1'!P72</f>
        <v>0</v>
      </c>
    </row>
    <row r="73" spans="1:16" x14ac:dyDescent="0.35">
      <c r="A73" s="83">
        <f>'6 - B1'!A73</f>
        <v>24</v>
      </c>
      <c r="B73" s="81">
        <f>'6 - B1'!B73</f>
        <v>194</v>
      </c>
      <c r="C73" s="81">
        <f>'6 - B1'!C73</f>
        <v>187</v>
      </c>
      <c r="D73" s="81">
        <f>'6 - B1'!D73</f>
        <v>169</v>
      </c>
      <c r="E73" s="81">
        <f>'6 - B1'!E73</f>
        <v>164</v>
      </c>
      <c r="F73" s="81">
        <f>'6 - B1'!F73</f>
        <v>0</v>
      </c>
      <c r="G73" s="81">
        <f>'6 - B1'!G73</f>
        <v>204</v>
      </c>
      <c r="H73" s="81">
        <f>'6 - B1'!H73</f>
        <v>218</v>
      </c>
      <c r="I73" s="81">
        <f>'6 - B1'!I73</f>
        <v>193</v>
      </c>
      <c r="J73" s="81">
        <f>'6 - B1'!J73</f>
        <v>203</v>
      </c>
      <c r="K73" s="81">
        <f>'6 - B1'!K73</f>
        <v>195</v>
      </c>
      <c r="L73" s="81">
        <f>'6 - B1'!L73</f>
        <v>0</v>
      </c>
      <c r="M73" s="81">
        <f>'6 - B1'!M73</f>
        <v>0</v>
      </c>
      <c r="N73" s="81">
        <f>'6 - B1'!N73</f>
        <v>0</v>
      </c>
      <c r="O73" s="81">
        <f>'6 - B1'!O73</f>
        <v>0</v>
      </c>
      <c r="P73" s="81">
        <f>'6 - B1'!P73</f>
        <v>0</v>
      </c>
    </row>
    <row r="74" spans="1:16" x14ac:dyDescent="0.35">
      <c r="A74" s="83">
        <f>'6 - B1'!A74</f>
        <v>25</v>
      </c>
      <c r="B74" s="81">
        <f>'6 - B1'!B74</f>
        <v>145</v>
      </c>
      <c r="C74" s="81">
        <f>'6 - B1'!C74</f>
        <v>154</v>
      </c>
      <c r="D74" s="81">
        <f>'6 - B1'!D74</f>
        <v>130</v>
      </c>
      <c r="E74" s="81">
        <f>'6 - B1'!E74</f>
        <v>131</v>
      </c>
      <c r="F74" s="81">
        <f>'6 - B1'!F74</f>
        <v>0</v>
      </c>
      <c r="G74" s="81">
        <f>'6 - B1'!G74</f>
        <v>149</v>
      </c>
      <c r="H74" s="81">
        <f>'6 - B1'!H74</f>
        <v>169</v>
      </c>
      <c r="I74" s="81">
        <f>'6 - B1'!I74</f>
        <v>139</v>
      </c>
      <c r="J74" s="81">
        <f>'6 - B1'!J74</f>
        <v>156</v>
      </c>
      <c r="K74" s="81">
        <f>'6 - B1'!K74</f>
        <v>154</v>
      </c>
      <c r="L74" s="81">
        <f>'6 - B1'!L74</f>
        <v>0</v>
      </c>
      <c r="M74" s="81">
        <f>'6 - B1'!M74</f>
        <v>0</v>
      </c>
      <c r="N74" s="81">
        <f>'6 - B1'!N74</f>
        <v>0</v>
      </c>
      <c r="O74" s="81">
        <f>'6 - B1'!O74</f>
        <v>0</v>
      </c>
      <c r="P74" s="81">
        <f>'6 - B1'!P74</f>
        <v>0</v>
      </c>
    </row>
    <row r="75" spans="1:16" x14ac:dyDescent="0.35">
      <c r="A75" s="83">
        <f>'6 - B1'!A75</f>
        <v>26</v>
      </c>
      <c r="B75" s="81">
        <f>'6 - B1'!B75</f>
        <v>107</v>
      </c>
      <c r="C75" s="81">
        <f>'6 - B1'!C75</f>
        <v>117</v>
      </c>
      <c r="D75" s="81">
        <f>'6 - B1'!D75</f>
        <v>98</v>
      </c>
      <c r="E75" s="81">
        <f>'6 - B1'!E75</f>
        <v>101</v>
      </c>
      <c r="F75" s="81">
        <f>'6 - B1'!F75</f>
        <v>0</v>
      </c>
      <c r="G75" s="81">
        <f>'6 - B1'!G75</f>
        <v>107</v>
      </c>
      <c r="H75" s="81">
        <f>'6 - B1'!H75</f>
        <v>135</v>
      </c>
      <c r="I75" s="81">
        <f>'6 - B1'!I75</f>
        <v>103</v>
      </c>
      <c r="J75" s="81">
        <f>'6 - B1'!J75</f>
        <v>120</v>
      </c>
      <c r="K75" s="81">
        <f>'6 - B1'!K75</f>
        <v>115</v>
      </c>
      <c r="L75" s="81">
        <f>'6 - B1'!L75</f>
        <v>0</v>
      </c>
      <c r="M75" s="81">
        <f>'6 - B1'!M75</f>
        <v>0</v>
      </c>
      <c r="N75" s="81">
        <f>'6 - B1'!N75</f>
        <v>0</v>
      </c>
      <c r="O75" s="81">
        <f>'6 - B1'!O75</f>
        <v>0</v>
      </c>
      <c r="P75" s="81">
        <f>'6 - B1'!P75</f>
        <v>0</v>
      </c>
    </row>
    <row r="76" spans="1:16" x14ac:dyDescent="0.35">
      <c r="A76" s="83">
        <f>'6 - B1'!A76</f>
        <v>27</v>
      </c>
      <c r="B76" s="81">
        <f>'6 - B1'!B76</f>
        <v>80</v>
      </c>
      <c r="C76" s="81">
        <f>'6 - B1'!C76</f>
        <v>84</v>
      </c>
      <c r="D76" s="81">
        <f>'6 - B1'!D76</f>
        <v>77</v>
      </c>
      <c r="E76" s="81">
        <f>'6 - B1'!E76</f>
        <v>73</v>
      </c>
      <c r="F76" s="81">
        <f>'6 - B1'!F76</f>
        <v>0</v>
      </c>
      <c r="G76" s="81">
        <f>'6 - B1'!G76</f>
        <v>86</v>
      </c>
      <c r="H76" s="81">
        <f>'6 - B1'!H76</f>
        <v>98</v>
      </c>
      <c r="I76" s="81">
        <f>'6 - B1'!I76</f>
        <v>73</v>
      </c>
      <c r="J76" s="81">
        <f>'6 - B1'!J76</f>
        <v>88</v>
      </c>
      <c r="K76" s="81">
        <f>'6 - B1'!K76</f>
        <v>73</v>
      </c>
      <c r="L76" s="81">
        <f>'6 - B1'!L76</f>
        <v>0</v>
      </c>
      <c r="M76" s="81">
        <f>'6 - B1'!M76</f>
        <v>0</v>
      </c>
      <c r="N76" s="81">
        <f>'6 - B1'!N76</f>
        <v>0</v>
      </c>
      <c r="O76" s="81">
        <f>'6 - B1'!O76</f>
        <v>0</v>
      </c>
      <c r="P76" s="81">
        <f>'6 - B1'!P76</f>
        <v>0</v>
      </c>
    </row>
    <row r="77" spans="1:16" x14ac:dyDescent="0.35">
      <c r="A77" s="83">
        <f>'6 - B1'!A77</f>
        <v>28</v>
      </c>
      <c r="B77" s="81">
        <f>'6 - B1'!B77</f>
        <v>56</v>
      </c>
      <c r="C77" s="81">
        <f>'6 - B1'!C77</f>
        <v>64</v>
      </c>
      <c r="D77" s="81">
        <f>'6 - B1'!D77</f>
        <v>51</v>
      </c>
      <c r="E77" s="81">
        <f>'6 - B1'!E77</f>
        <v>54</v>
      </c>
      <c r="F77" s="81">
        <f>'6 - B1'!F77</f>
        <v>0</v>
      </c>
      <c r="G77" s="81">
        <f>'6 - B1'!G77</f>
        <v>64</v>
      </c>
      <c r="H77" s="81">
        <f>'6 - B1'!H77</f>
        <v>74</v>
      </c>
      <c r="I77" s="81">
        <f>'6 - B1'!I77</f>
        <v>45</v>
      </c>
      <c r="J77" s="81">
        <f>'6 - B1'!J77</f>
        <v>63</v>
      </c>
      <c r="K77" s="81">
        <f>'6 - B1'!K77</f>
        <v>52</v>
      </c>
      <c r="L77" s="81">
        <f>'6 - B1'!L77</f>
        <v>0</v>
      </c>
      <c r="M77" s="81">
        <f>'6 - B1'!M77</f>
        <v>0</v>
      </c>
      <c r="N77" s="81">
        <f>'6 - B1'!N77</f>
        <v>0</v>
      </c>
      <c r="O77" s="81">
        <f>'6 - B1'!O77</f>
        <v>0</v>
      </c>
      <c r="P77" s="81">
        <f>'6 - B1'!P77</f>
        <v>0</v>
      </c>
    </row>
    <row r="78" spans="1:16" x14ac:dyDescent="0.35">
      <c r="A78" s="83">
        <f>'6 - B1'!A78</f>
        <v>29</v>
      </c>
      <c r="B78" s="81">
        <f>'6 - B1'!B78</f>
        <v>38</v>
      </c>
      <c r="C78" s="81">
        <f>'6 - B1'!C78</f>
        <v>56</v>
      </c>
      <c r="D78" s="81">
        <f>'6 - B1'!D78</f>
        <v>41</v>
      </c>
      <c r="E78" s="81">
        <f>'6 - B1'!E78</f>
        <v>39</v>
      </c>
      <c r="F78" s="81">
        <f>'6 - B1'!F78</f>
        <v>0</v>
      </c>
      <c r="G78" s="81">
        <f>'6 - B1'!G78</f>
        <v>42</v>
      </c>
      <c r="H78" s="81">
        <f>'6 - B1'!H78</f>
        <v>55</v>
      </c>
      <c r="I78" s="81">
        <f>'6 - B1'!I78</f>
        <v>32</v>
      </c>
      <c r="J78" s="81">
        <f>'6 - B1'!J78</f>
        <v>45</v>
      </c>
      <c r="K78" s="81">
        <f>'6 - B1'!K78</f>
        <v>39</v>
      </c>
      <c r="L78" s="81">
        <f>'6 - B1'!L78</f>
        <v>0</v>
      </c>
      <c r="M78" s="81">
        <f>'6 - B1'!M78</f>
        <v>0</v>
      </c>
      <c r="N78" s="81">
        <f>'6 - B1'!N78</f>
        <v>0</v>
      </c>
      <c r="O78" s="81">
        <f>'6 - B1'!O78</f>
        <v>0</v>
      </c>
      <c r="P78" s="81">
        <f>'6 - B1'!P78</f>
        <v>0</v>
      </c>
    </row>
    <row r="79" spans="1:16" x14ac:dyDescent="0.35">
      <c r="A79" s="83">
        <f>'6 - B1'!A79</f>
        <v>30</v>
      </c>
      <c r="B79" s="81">
        <f>'6 - B1'!B79</f>
        <v>30</v>
      </c>
      <c r="C79" s="81">
        <f>'6 - B1'!C79</f>
        <v>42</v>
      </c>
      <c r="D79" s="81">
        <f>'6 - B1'!D79</f>
        <v>29</v>
      </c>
      <c r="E79" s="81">
        <f>'6 - B1'!E79</f>
        <v>25</v>
      </c>
      <c r="F79" s="81">
        <f>'6 - B1'!F79</f>
        <v>0</v>
      </c>
      <c r="G79" s="81">
        <f>'6 - B1'!G79</f>
        <v>32</v>
      </c>
      <c r="H79" s="81">
        <f>'6 - B1'!H79</f>
        <v>38</v>
      </c>
      <c r="I79" s="81">
        <f>'6 - B1'!I79</f>
        <v>24</v>
      </c>
      <c r="J79" s="81">
        <f>'6 - B1'!J79</f>
        <v>35</v>
      </c>
      <c r="K79" s="84">
        <f>'6 - B1'!K79</f>
        <v>27</v>
      </c>
      <c r="L79" s="81">
        <f>'6 - B1'!L79</f>
        <v>0</v>
      </c>
      <c r="M79" s="81">
        <f>'6 - B1'!M79</f>
        <v>0</v>
      </c>
      <c r="N79" s="81">
        <f>'6 - B1'!N79</f>
        <v>0</v>
      </c>
      <c r="O79" s="81">
        <f>'6 - B1'!O79</f>
        <v>0</v>
      </c>
      <c r="P79" s="81">
        <f>'6 - B1'!P79</f>
        <v>0</v>
      </c>
    </row>
    <row r="80" spans="1:16" x14ac:dyDescent="0.35">
      <c r="A80" s="83">
        <f>'6 - B1'!A80</f>
        <v>38</v>
      </c>
      <c r="B80" s="81">
        <f>'6 - B1'!B80</f>
        <v>18</v>
      </c>
      <c r="C80" s="81">
        <f>'6 - B1'!C80</f>
        <v>33</v>
      </c>
      <c r="D80" s="81">
        <f>'6 - B1'!D80</f>
        <v>22</v>
      </c>
      <c r="E80" s="81">
        <f>'6 - B1'!E80</f>
        <v>18</v>
      </c>
      <c r="F80" s="81">
        <f>'6 - B1'!F80</f>
        <v>0</v>
      </c>
      <c r="G80" s="81">
        <f>'6 - B1'!G80</f>
        <v>20</v>
      </c>
      <c r="H80" s="81">
        <f>'6 - B1'!H80</f>
        <v>27</v>
      </c>
      <c r="I80" s="81">
        <f>'6 - B1'!I80</f>
        <v>14</v>
      </c>
      <c r="J80" s="81">
        <f>'6 - B1'!J80</f>
        <v>23</v>
      </c>
      <c r="K80" s="81">
        <f>'6 - B1'!K80</f>
        <v>19</v>
      </c>
      <c r="L80" s="81">
        <f>'6 - B1'!L80</f>
        <v>0</v>
      </c>
      <c r="M80" s="81">
        <f>'6 - B1'!M80</f>
        <v>0</v>
      </c>
      <c r="N80" s="81">
        <f>'6 - B1'!N80</f>
        <v>0</v>
      </c>
      <c r="O80" s="81">
        <f>'6 - B1'!O80</f>
        <v>0</v>
      </c>
      <c r="P80" s="81">
        <f>'6 - B1'!P80</f>
        <v>0</v>
      </c>
    </row>
    <row r="81" spans="1:16" x14ac:dyDescent="0.35">
      <c r="A81" s="83">
        <f>'6 - B1'!A81</f>
        <v>50</v>
      </c>
      <c r="B81" s="81">
        <f>'6 - B1'!B81</f>
        <v>12</v>
      </c>
      <c r="C81" s="81">
        <f>'6 - B1'!C81</f>
        <v>20</v>
      </c>
      <c r="D81" s="81">
        <f>'6 - B1'!D81</f>
        <v>14</v>
      </c>
      <c r="E81" s="81">
        <f>'6 - B1'!E81</f>
        <v>12</v>
      </c>
      <c r="F81" s="81">
        <f>'6 - B1'!F81</f>
        <v>0</v>
      </c>
      <c r="G81" s="81">
        <f>'6 - B1'!G81</f>
        <v>12</v>
      </c>
      <c r="H81" s="81">
        <f>'6 - B1'!H81</f>
        <v>19</v>
      </c>
      <c r="I81" s="81">
        <f>'6 - B1'!I81</f>
        <v>6</v>
      </c>
      <c r="J81" s="81">
        <f>'6 - B1'!J81</f>
        <v>15</v>
      </c>
      <c r="K81" s="81">
        <f>'6 - B1'!K81</f>
        <v>12</v>
      </c>
      <c r="L81" s="81">
        <f>'6 - B1'!L81</f>
        <v>0</v>
      </c>
      <c r="M81" s="81">
        <f>'6 - B1'!M81</f>
        <v>0</v>
      </c>
      <c r="N81" s="81">
        <f>'6 - B1'!N81</f>
        <v>0</v>
      </c>
      <c r="O81" s="81">
        <f>'6 - B1'!O81</f>
        <v>0</v>
      </c>
      <c r="P81" s="81">
        <f>'6 - B1'!P81</f>
        <v>0</v>
      </c>
    </row>
    <row r="82" spans="1:16" x14ac:dyDescent="0.35">
      <c r="A82" s="83">
        <f>'6 - B1'!A82</f>
        <v>70</v>
      </c>
      <c r="B82" s="81">
        <f>'6 - B1'!B82</f>
        <v>7</v>
      </c>
      <c r="C82" s="81">
        <f>'6 - B1'!C82</f>
        <v>15</v>
      </c>
      <c r="D82" s="81">
        <f>'6 - B1'!D82</f>
        <v>8</v>
      </c>
      <c r="E82" s="81">
        <f>'6 - B1'!E82</f>
        <v>9</v>
      </c>
      <c r="F82" s="81">
        <f>'6 - B1'!F82</f>
        <v>0</v>
      </c>
      <c r="G82" s="81">
        <f>'6 - B1'!G82</f>
        <v>9</v>
      </c>
      <c r="H82" s="81">
        <f>'6 - B1'!H82</f>
        <v>14</v>
      </c>
      <c r="I82" s="81">
        <f>'6 - B1'!I82</f>
        <v>2</v>
      </c>
      <c r="J82" s="81">
        <f>'6 - B1'!J82</f>
        <v>8</v>
      </c>
      <c r="K82" s="81">
        <f>'6 - B1'!K82</f>
        <v>8</v>
      </c>
      <c r="L82" s="81">
        <f>'6 - B1'!L82</f>
        <v>0</v>
      </c>
      <c r="M82" s="81">
        <f>'6 - B1'!M82</f>
        <v>0</v>
      </c>
      <c r="N82" s="81">
        <f>'6 - B1'!N82</f>
        <v>0</v>
      </c>
      <c r="O82" s="81">
        <f>'6 - B1'!O82</f>
        <v>0</v>
      </c>
      <c r="P82" s="81">
        <f>'6 - B1'!P82</f>
        <v>0</v>
      </c>
    </row>
  </sheetData>
  <conditionalFormatting sqref="H9:H40">
    <cfRule type="cellIs" dxfId="19" priority="2" operator="greaterThan">
      <formula>1000</formula>
    </cfRule>
  </conditionalFormatting>
  <conditionalFormatting sqref="K9:K40">
    <cfRule type="cellIs" dxfId="1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zoomScale="85" zoomScaleNormal="85" workbookViewId="0">
      <selection activeCell="B9" sqref="B9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65" t="s">
        <v>191</v>
      </c>
      <c r="O2" s="65"/>
    </row>
    <row r="3" spans="1:49" ht="13.15" x14ac:dyDescent="0.4">
      <c r="A3" t="str">
        <f>'6 - B1'!$A$3</f>
        <v>Serial #</v>
      </c>
      <c r="B3" s="63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64">
        <f>'6 - B1'!$B$4</f>
        <v>45845</v>
      </c>
      <c r="O4" s="65"/>
    </row>
    <row r="5" spans="1:49" ht="13.15" x14ac:dyDescent="0.4">
      <c r="A5" s="8" t="str">
        <f>'6 - B1'!$A$5</f>
        <v>RM</v>
      </c>
      <c r="B5" s="80" t="str">
        <f>'6 - B1'!$B$5</f>
        <v>34D</v>
      </c>
    </row>
    <row r="6" spans="1:49" ht="15" x14ac:dyDescent="0.5">
      <c r="A6" t="s">
        <v>336</v>
      </c>
      <c r="B6" s="152">
        <f>'Clause 6 Sizing Calibration'!$P$12</f>
        <v>0.29973535841675297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M7" s="55" t="s">
        <v>309</v>
      </c>
      <c r="O7" s="55"/>
    </row>
    <row r="8" spans="1:49" ht="13.15" x14ac:dyDescent="0.4">
      <c r="A8" s="57" t="s">
        <v>147</v>
      </c>
      <c r="B8" s="46">
        <f>L52</f>
        <v>0</v>
      </c>
      <c r="C8" s="46">
        <f>M52</f>
        <v>0</v>
      </c>
      <c r="D8" s="46">
        <f>N52</f>
        <v>0</v>
      </c>
      <c r="E8" s="46">
        <f>O52</f>
        <v>0</v>
      </c>
      <c r="F8" s="46">
        <f>P52</f>
        <v>0</v>
      </c>
      <c r="G8" s="68">
        <f>AVERAGE(B$8:F$8)*5</f>
        <v>0</v>
      </c>
      <c r="I8" s="69"/>
      <c r="K8" s="69"/>
    </row>
    <row r="9" spans="1:49" x14ac:dyDescent="0.35">
      <c r="A9" s="57" t="s">
        <v>148</v>
      </c>
      <c r="B9" s="42" t="e">
        <f t="shared" ref="B9:B38" si="0">L53/B$8</f>
        <v>#DIV/0!</v>
      </c>
      <c r="C9" s="42" t="e">
        <f t="shared" ref="C9:C38" si="1">M53/C$8</f>
        <v>#DIV/0!</v>
      </c>
      <c r="D9" s="42" t="e">
        <f t="shared" ref="D9:D38" si="2">N53/D$8</f>
        <v>#DIV/0!</v>
      </c>
      <c r="E9" s="42" t="e">
        <f t="shared" ref="E9:E38" si="3">O53/E$8</f>
        <v>#DIV/0!</v>
      </c>
      <c r="F9" s="42"/>
      <c r="G9" s="43" t="e">
        <f t="shared" ref="G9:G38" si="4">AVERAGE(B9:F9)</f>
        <v>#DIV/0!</v>
      </c>
      <c r="H9" s="71" t="e">
        <f t="shared" ref="H9:H38" si="5">G9*G$8</f>
        <v>#DIV/0!</v>
      </c>
      <c r="I9" s="69" t="e">
        <f t="shared" ref="I9:I38" si="6">STDEVP(B9:F9)/G9</f>
        <v>#DIV/0!</v>
      </c>
      <c r="J9" s="69" t="e">
        <f t="shared" ref="J9:J38" si="7">IF(H9&gt;$A$43, $C$43, IF(H9&gt;$A$44, $C$44, IF(H9&gt;$A$45,$C$45,IF(H9&gt;$A$46,$C$46, IF(H9&gt;$A$47,$C$47,IF(H9&gt;$A$48,$C$48,$C$49))))))/100</f>
        <v>#DIV/0!</v>
      </c>
      <c r="K9" s="69" t="e">
        <f t="shared" ref="K9:K38" si="8">(MAX(B9:F9)-MIN(B9:F9))/G9</f>
        <v>#DIV/0!</v>
      </c>
      <c r="L9">
        <f t="shared" ref="L9:L38" si="9">COUNTA(B9:F9)</f>
        <v>4</v>
      </c>
      <c r="M9">
        <f>'6 - B1'!M9</f>
        <v>165</v>
      </c>
      <c r="O9" s="42"/>
    </row>
    <row r="10" spans="1:49" x14ac:dyDescent="0.35">
      <c r="A10" s="57" t="s">
        <v>149</v>
      </c>
      <c r="B10" s="42" t="e">
        <f t="shared" si="0"/>
        <v>#DIV/0!</v>
      </c>
      <c r="C10" s="42" t="e">
        <f t="shared" si="1"/>
        <v>#DIV/0!</v>
      </c>
      <c r="D10" s="42" t="e">
        <f t="shared" si="2"/>
        <v>#DIV/0!</v>
      </c>
      <c r="E10" s="42" t="e">
        <f t="shared" si="3"/>
        <v>#DIV/0!</v>
      </c>
      <c r="F10" s="42"/>
      <c r="G10" s="43" t="e">
        <f t="shared" si="4"/>
        <v>#DIV/0!</v>
      </c>
      <c r="H10" s="71" t="e">
        <f t="shared" si="5"/>
        <v>#DIV/0!</v>
      </c>
      <c r="I10" s="69" t="e">
        <f t="shared" si="6"/>
        <v>#DIV/0!</v>
      </c>
      <c r="J10" s="69" t="e">
        <f t="shared" si="7"/>
        <v>#DIV/0!</v>
      </c>
      <c r="K10" s="69" t="e">
        <f t="shared" si="8"/>
        <v>#DIV/0!</v>
      </c>
      <c r="L10">
        <f t="shared" si="9"/>
        <v>4</v>
      </c>
      <c r="M10">
        <f>'6 - B1'!M10</f>
        <v>194</v>
      </c>
      <c r="O10" s="42"/>
    </row>
    <row r="11" spans="1:49" x14ac:dyDescent="0.35">
      <c r="A11" s="57" t="s">
        <v>150</v>
      </c>
      <c r="B11" s="42" t="e">
        <f t="shared" si="0"/>
        <v>#DIV/0!</v>
      </c>
      <c r="C11" s="42" t="e">
        <f t="shared" si="1"/>
        <v>#DIV/0!</v>
      </c>
      <c r="D11" s="42" t="e">
        <f t="shared" si="2"/>
        <v>#DIV/0!</v>
      </c>
      <c r="E11" s="42" t="e">
        <f t="shared" si="3"/>
        <v>#DIV/0!</v>
      </c>
      <c r="F11" s="42"/>
      <c r="G11" s="43" t="e">
        <f t="shared" si="4"/>
        <v>#DIV/0!</v>
      </c>
      <c r="H11" s="71" t="e">
        <f t="shared" si="5"/>
        <v>#DIV/0!</v>
      </c>
      <c r="I11" s="69" t="e">
        <f t="shared" si="6"/>
        <v>#DIV/0!</v>
      </c>
      <c r="J11" s="69" t="e">
        <f t="shared" si="7"/>
        <v>#DIV/0!</v>
      </c>
      <c r="K11" s="69" t="e">
        <f t="shared" si="8"/>
        <v>#DIV/0!</v>
      </c>
      <c r="L11">
        <f t="shared" si="9"/>
        <v>4</v>
      </c>
      <c r="M11">
        <f>'6 - B1'!M11</f>
        <v>229</v>
      </c>
      <c r="O11" s="42"/>
    </row>
    <row r="12" spans="1:49" x14ac:dyDescent="0.35">
      <c r="A12" s="57" t="s">
        <v>151</v>
      </c>
      <c r="B12" s="42" t="e">
        <f t="shared" si="0"/>
        <v>#DIV/0!</v>
      </c>
      <c r="C12" s="42" t="e">
        <f t="shared" si="1"/>
        <v>#DIV/0!</v>
      </c>
      <c r="D12" s="42" t="e">
        <f t="shared" si="2"/>
        <v>#DIV/0!</v>
      </c>
      <c r="E12" s="42" t="e">
        <f t="shared" si="3"/>
        <v>#DIV/0!</v>
      </c>
      <c r="F12" s="42"/>
      <c r="G12" s="43" t="e">
        <f t="shared" si="4"/>
        <v>#DIV/0!</v>
      </c>
      <c r="H12" s="71" t="e">
        <f t="shared" si="5"/>
        <v>#DIV/0!</v>
      </c>
      <c r="I12" s="69" t="e">
        <f t="shared" si="6"/>
        <v>#DIV/0!</v>
      </c>
      <c r="J12" s="69" t="e">
        <f t="shared" si="7"/>
        <v>#DIV/0!</v>
      </c>
      <c r="K12" s="69" t="e">
        <f t="shared" si="8"/>
        <v>#DIV/0!</v>
      </c>
      <c r="L12">
        <f t="shared" si="9"/>
        <v>4</v>
      </c>
      <c r="M12">
        <f>'6 - B1'!M12</f>
        <v>271</v>
      </c>
      <c r="O12" s="42"/>
    </row>
    <row r="13" spans="1:49" x14ac:dyDescent="0.35">
      <c r="A13" s="57" t="s">
        <v>152</v>
      </c>
      <c r="B13" s="42" t="e">
        <f t="shared" si="0"/>
        <v>#DIV/0!</v>
      </c>
      <c r="C13" s="42" t="e">
        <f t="shared" si="1"/>
        <v>#DIV/0!</v>
      </c>
      <c r="D13" s="42" t="e">
        <f t="shared" si="2"/>
        <v>#DIV/0!</v>
      </c>
      <c r="E13" s="42" t="e">
        <f t="shared" si="3"/>
        <v>#DIV/0!</v>
      </c>
      <c r="F13" s="42"/>
      <c r="G13" s="43" t="e">
        <f t="shared" si="4"/>
        <v>#DIV/0!</v>
      </c>
      <c r="H13" s="71" t="e">
        <f t="shared" si="5"/>
        <v>#DIV/0!</v>
      </c>
      <c r="I13" s="69" t="e">
        <f t="shared" si="6"/>
        <v>#DIV/0!</v>
      </c>
      <c r="J13" s="69" t="e">
        <f t="shared" si="7"/>
        <v>#DIV/0!</v>
      </c>
      <c r="K13" s="69" t="e">
        <f t="shared" si="8"/>
        <v>#DIV/0!</v>
      </c>
      <c r="L13">
        <f t="shared" si="9"/>
        <v>4</v>
      </c>
      <c r="M13">
        <f>'6 - B1'!M13</f>
        <v>319</v>
      </c>
      <c r="O13" s="42"/>
    </row>
    <row r="14" spans="1:49" x14ac:dyDescent="0.35">
      <c r="A14" s="57" t="s">
        <v>153</v>
      </c>
      <c r="B14" s="42" t="e">
        <f t="shared" si="0"/>
        <v>#DIV/0!</v>
      </c>
      <c r="C14" s="42" t="e">
        <f t="shared" si="1"/>
        <v>#DIV/0!</v>
      </c>
      <c r="D14" s="42" t="e">
        <f t="shared" si="2"/>
        <v>#DIV/0!</v>
      </c>
      <c r="E14" s="42" t="e">
        <f t="shared" si="3"/>
        <v>#DIV/0!</v>
      </c>
      <c r="F14" s="42"/>
      <c r="G14" s="43" t="e">
        <f t="shared" si="4"/>
        <v>#DIV/0!</v>
      </c>
      <c r="H14" s="71" t="e">
        <f t="shared" si="5"/>
        <v>#DIV/0!</v>
      </c>
      <c r="I14" s="69" t="e">
        <f t="shared" si="6"/>
        <v>#DIV/0!</v>
      </c>
      <c r="J14" s="69" t="e">
        <f t="shared" si="7"/>
        <v>#DIV/0!</v>
      </c>
      <c r="K14" s="69" t="e">
        <f t="shared" si="8"/>
        <v>#DIV/0!</v>
      </c>
      <c r="L14">
        <f t="shared" si="9"/>
        <v>4</v>
      </c>
      <c r="M14">
        <f>'6 - B1'!M14</f>
        <v>377</v>
      </c>
      <c r="O14" s="42"/>
    </row>
    <row r="15" spans="1:49" x14ac:dyDescent="0.35">
      <c r="A15" s="57" t="s">
        <v>154</v>
      </c>
      <c r="B15" s="42" t="e">
        <f t="shared" si="0"/>
        <v>#DIV/0!</v>
      </c>
      <c r="C15" s="42" t="e">
        <f t="shared" si="1"/>
        <v>#DIV/0!</v>
      </c>
      <c r="D15" s="42" t="e">
        <f t="shared" si="2"/>
        <v>#DIV/0!</v>
      </c>
      <c r="E15" s="42" t="e">
        <f t="shared" si="3"/>
        <v>#DIV/0!</v>
      </c>
      <c r="F15" s="42"/>
      <c r="G15" s="43" t="e">
        <f t="shared" si="4"/>
        <v>#DIV/0!</v>
      </c>
      <c r="H15" s="71" t="e">
        <f t="shared" si="5"/>
        <v>#DIV/0!</v>
      </c>
      <c r="I15" s="69" t="e">
        <f t="shared" si="6"/>
        <v>#DIV/0!</v>
      </c>
      <c r="J15" s="69" t="e">
        <f t="shared" si="7"/>
        <v>#DIV/0!</v>
      </c>
      <c r="K15" s="69" t="e">
        <f t="shared" si="8"/>
        <v>#DIV/0!</v>
      </c>
      <c r="L15">
        <f t="shared" si="9"/>
        <v>4</v>
      </c>
      <c r="M15">
        <f>'6 - B1'!M15</f>
        <v>445</v>
      </c>
      <c r="O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 s="42" t="e">
        <f t="shared" si="0"/>
        <v>#DIV/0!</v>
      </c>
      <c r="C16" s="42" t="e">
        <f t="shared" si="1"/>
        <v>#DIV/0!</v>
      </c>
      <c r="D16" s="42" t="e">
        <f t="shared" si="2"/>
        <v>#DIV/0!</v>
      </c>
      <c r="E16" s="42" t="e">
        <f t="shared" si="3"/>
        <v>#DIV/0!</v>
      </c>
      <c r="F16" s="42"/>
      <c r="G16" s="43" t="e">
        <f t="shared" si="4"/>
        <v>#DIV/0!</v>
      </c>
      <c r="H16" s="71" t="e">
        <f t="shared" si="5"/>
        <v>#DIV/0!</v>
      </c>
      <c r="I16" s="69" t="e">
        <f t="shared" si="6"/>
        <v>#DIV/0!</v>
      </c>
      <c r="J16" s="69" t="e">
        <f t="shared" si="7"/>
        <v>#DIV/0!</v>
      </c>
      <c r="K16" s="69" t="e">
        <f t="shared" si="8"/>
        <v>#DIV/0!</v>
      </c>
      <c r="L16">
        <f t="shared" si="9"/>
        <v>4</v>
      </c>
      <c r="M16">
        <f>'6 - B1'!M16</f>
        <v>525</v>
      </c>
      <c r="O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 s="42" t="e">
        <f t="shared" si="0"/>
        <v>#DIV/0!</v>
      </c>
      <c r="C17" s="42" t="e">
        <f t="shared" si="1"/>
        <v>#DIV/0!</v>
      </c>
      <c r="D17" s="42" t="e">
        <f t="shared" si="2"/>
        <v>#DIV/0!</v>
      </c>
      <c r="E17" s="42" t="e">
        <f t="shared" si="3"/>
        <v>#DIV/0!</v>
      </c>
      <c r="F17" s="42"/>
      <c r="G17" s="43" t="e">
        <f t="shared" si="4"/>
        <v>#DIV/0!</v>
      </c>
      <c r="H17" s="71" t="e">
        <f t="shared" si="5"/>
        <v>#DIV/0!</v>
      </c>
      <c r="I17" s="69" t="e">
        <f t="shared" si="6"/>
        <v>#DIV/0!</v>
      </c>
      <c r="J17" s="69" t="e">
        <f t="shared" si="7"/>
        <v>#DIV/0!</v>
      </c>
      <c r="K17" s="69" t="e">
        <f t="shared" si="8"/>
        <v>#DIV/0!</v>
      </c>
      <c r="L17">
        <f t="shared" si="9"/>
        <v>4</v>
      </c>
      <c r="M17">
        <f>'6 - B1'!M17</f>
        <v>619</v>
      </c>
      <c r="O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 s="42" t="e">
        <f t="shared" si="0"/>
        <v>#DIV/0!</v>
      </c>
      <c r="C18" s="42" t="e">
        <f t="shared" si="1"/>
        <v>#DIV/0!</v>
      </c>
      <c r="D18" s="42" t="e">
        <f t="shared" si="2"/>
        <v>#DIV/0!</v>
      </c>
      <c r="E18" s="42" t="e">
        <f t="shared" si="3"/>
        <v>#DIV/0!</v>
      </c>
      <c r="F18" s="42"/>
      <c r="G18" s="43" t="e">
        <f t="shared" si="4"/>
        <v>#DIV/0!</v>
      </c>
      <c r="H18" s="71" t="e">
        <f t="shared" si="5"/>
        <v>#DIV/0!</v>
      </c>
      <c r="I18" s="69" t="e">
        <f t="shared" si="6"/>
        <v>#DIV/0!</v>
      </c>
      <c r="J18" s="69" t="e">
        <f t="shared" si="7"/>
        <v>#DIV/0!</v>
      </c>
      <c r="K18" s="69" t="e">
        <f t="shared" si="8"/>
        <v>#DIV/0!</v>
      </c>
      <c r="L18">
        <f t="shared" si="9"/>
        <v>4</v>
      </c>
      <c r="M18">
        <f>'6 - B1'!M18</f>
        <v>731</v>
      </c>
      <c r="O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 s="42" t="e">
        <f t="shared" si="0"/>
        <v>#DIV/0!</v>
      </c>
      <c r="C19" s="42" t="e">
        <f t="shared" si="1"/>
        <v>#DIV/0!</v>
      </c>
      <c r="D19" s="42" t="e">
        <f t="shared" si="2"/>
        <v>#DIV/0!</v>
      </c>
      <c r="E19" s="42" t="e">
        <f t="shared" si="3"/>
        <v>#DIV/0!</v>
      </c>
      <c r="F19" s="42"/>
      <c r="G19" s="43" t="e">
        <f t="shared" si="4"/>
        <v>#DIV/0!</v>
      </c>
      <c r="H19" s="71" t="e">
        <f t="shared" si="5"/>
        <v>#DIV/0!</v>
      </c>
      <c r="I19" s="69" t="e">
        <f t="shared" si="6"/>
        <v>#DIV/0!</v>
      </c>
      <c r="J19" s="69" t="e">
        <f t="shared" si="7"/>
        <v>#DIV/0!</v>
      </c>
      <c r="K19" s="69" t="e">
        <f t="shared" si="8"/>
        <v>#DIV/0!</v>
      </c>
      <c r="L19">
        <f t="shared" si="9"/>
        <v>4</v>
      </c>
      <c r="M19">
        <f>'6 - B1'!M19</f>
        <v>862</v>
      </c>
      <c r="O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 s="42" t="e">
        <f t="shared" si="0"/>
        <v>#DIV/0!</v>
      </c>
      <c r="C20" s="42" t="e">
        <f t="shared" si="1"/>
        <v>#DIV/0!</v>
      </c>
      <c r="D20" s="42" t="e">
        <f t="shared" si="2"/>
        <v>#DIV/0!</v>
      </c>
      <c r="E20" s="42" t="e">
        <f t="shared" si="3"/>
        <v>#DIV/0!</v>
      </c>
      <c r="F20" s="42"/>
      <c r="G20" s="43" t="e">
        <f t="shared" si="4"/>
        <v>#DIV/0!</v>
      </c>
      <c r="H20" s="71" t="e">
        <f t="shared" si="5"/>
        <v>#DIV/0!</v>
      </c>
      <c r="I20" s="69" t="e">
        <f t="shared" si="6"/>
        <v>#DIV/0!</v>
      </c>
      <c r="J20" s="69" t="e">
        <f t="shared" si="7"/>
        <v>#DIV/0!</v>
      </c>
      <c r="K20" s="69" t="e">
        <f t="shared" si="8"/>
        <v>#DIV/0!</v>
      </c>
      <c r="L20">
        <f t="shared" si="9"/>
        <v>4</v>
      </c>
      <c r="M20">
        <f>'6 - B1'!M20</f>
        <v>1018</v>
      </c>
      <c r="O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 s="42" t="e">
        <f t="shared" si="0"/>
        <v>#DIV/0!</v>
      </c>
      <c r="C21" s="42" t="e">
        <f t="shared" si="1"/>
        <v>#DIV/0!</v>
      </c>
      <c r="D21" s="42" t="e">
        <f t="shared" si="2"/>
        <v>#DIV/0!</v>
      </c>
      <c r="E21" s="42" t="e">
        <f t="shared" si="3"/>
        <v>#DIV/0!</v>
      </c>
      <c r="F21" s="42"/>
      <c r="G21" s="43" t="e">
        <f t="shared" si="4"/>
        <v>#DIV/0!</v>
      </c>
      <c r="H21" s="71" t="e">
        <f t="shared" si="5"/>
        <v>#DIV/0!</v>
      </c>
      <c r="I21" s="69" t="e">
        <f t="shared" si="6"/>
        <v>#DIV/0!</v>
      </c>
      <c r="J21" s="69" t="e">
        <f t="shared" si="7"/>
        <v>#DIV/0!</v>
      </c>
      <c r="K21" s="69" t="e">
        <f t="shared" si="8"/>
        <v>#DIV/0!</v>
      </c>
      <c r="L21">
        <f t="shared" si="9"/>
        <v>4</v>
      </c>
      <c r="M21">
        <f>'6 - B1'!M21</f>
        <v>1201</v>
      </c>
      <c r="O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x14ac:dyDescent="0.35">
      <c r="A22" s="57" t="s">
        <v>161</v>
      </c>
      <c r="B22" s="42" t="e">
        <f t="shared" si="0"/>
        <v>#DIV/0!</v>
      </c>
      <c r="C22" s="42" t="e">
        <f t="shared" si="1"/>
        <v>#DIV/0!</v>
      </c>
      <c r="D22" s="42" t="e">
        <f t="shared" si="2"/>
        <v>#DIV/0!</v>
      </c>
      <c r="E22" s="42" t="e">
        <f t="shared" si="3"/>
        <v>#DIV/0!</v>
      </c>
      <c r="F22" s="42"/>
      <c r="G22" s="43" t="e">
        <f t="shared" si="4"/>
        <v>#DIV/0!</v>
      </c>
      <c r="H22" s="71" t="e">
        <f t="shared" si="5"/>
        <v>#DIV/0!</v>
      </c>
      <c r="I22" s="69" t="e">
        <f t="shared" si="6"/>
        <v>#DIV/0!</v>
      </c>
      <c r="J22" s="69" t="e">
        <f t="shared" si="7"/>
        <v>#DIV/0!</v>
      </c>
      <c r="K22" s="69" t="e">
        <f t="shared" si="8"/>
        <v>#DIV/0!</v>
      </c>
      <c r="L22">
        <f t="shared" si="9"/>
        <v>4</v>
      </c>
      <c r="M22">
        <f>'6 - B1'!M22</f>
        <v>1417</v>
      </c>
      <c r="O22" s="42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x14ac:dyDescent="0.35">
      <c r="A23" s="57" t="s">
        <v>162</v>
      </c>
      <c r="B23" s="42" t="e">
        <f t="shared" si="0"/>
        <v>#DIV/0!</v>
      </c>
      <c r="C23" s="42" t="e">
        <f t="shared" si="1"/>
        <v>#DIV/0!</v>
      </c>
      <c r="D23" s="42" t="e">
        <f t="shared" si="2"/>
        <v>#DIV/0!</v>
      </c>
      <c r="E23" s="42" t="e">
        <f t="shared" si="3"/>
        <v>#DIV/0!</v>
      </c>
      <c r="F23" s="42"/>
      <c r="G23" s="43" t="e">
        <f t="shared" si="4"/>
        <v>#DIV/0!</v>
      </c>
      <c r="H23" s="71" t="e">
        <f t="shared" si="5"/>
        <v>#DIV/0!</v>
      </c>
      <c r="I23" s="69" t="e">
        <f t="shared" si="6"/>
        <v>#DIV/0!</v>
      </c>
      <c r="J23" s="69" t="e">
        <f t="shared" si="7"/>
        <v>#DIV/0!</v>
      </c>
      <c r="K23" s="69" t="e">
        <f t="shared" si="8"/>
        <v>#DIV/0!</v>
      </c>
      <c r="L23">
        <f t="shared" si="9"/>
        <v>4</v>
      </c>
      <c r="M23">
        <f>'6 - B1'!M23</f>
        <v>1672</v>
      </c>
      <c r="O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x14ac:dyDescent="0.35">
      <c r="A24" s="57" t="s">
        <v>163</v>
      </c>
      <c r="B24" s="42" t="e">
        <f t="shared" si="0"/>
        <v>#DIV/0!</v>
      </c>
      <c r="C24" s="42" t="e">
        <f t="shared" si="1"/>
        <v>#DIV/0!</v>
      </c>
      <c r="D24" s="42" t="e">
        <f t="shared" si="2"/>
        <v>#DIV/0!</v>
      </c>
      <c r="E24" s="42" t="e">
        <f t="shared" si="3"/>
        <v>#DIV/0!</v>
      </c>
      <c r="F24" s="42"/>
      <c r="G24" s="43" t="e">
        <f t="shared" si="4"/>
        <v>#DIV/0!</v>
      </c>
      <c r="H24" s="71" t="e">
        <f t="shared" si="5"/>
        <v>#DIV/0!</v>
      </c>
      <c r="I24" s="69" t="e">
        <f t="shared" si="6"/>
        <v>#DIV/0!</v>
      </c>
      <c r="J24" s="69" t="e">
        <f t="shared" si="7"/>
        <v>#DIV/0!</v>
      </c>
      <c r="K24" s="69" t="e">
        <f t="shared" si="8"/>
        <v>#DIV/0!</v>
      </c>
      <c r="L24">
        <f t="shared" si="9"/>
        <v>4</v>
      </c>
      <c r="M24">
        <f>'6 - B1'!M24</f>
        <v>1973</v>
      </c>
      <c r="O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x14ac:dyDescent="0.35">
      <c r="A25" s="57" t="s">
        <v>164</v>
      </c>
      <c r="B25" s="42" t="e">
        <f t="shared" si="0"/>
        <v>#DIV/0!</v>
      </c>
      <c r="C25" s="42" t="e">
        <f t="shared" si="1"/>
        <v>#DIV/0!</v>
      </c>
      <c r="D25" s="42" t="e">
        <f t="shared" si="2"/>
        <v>#DIV/0!</v>
      </c>
      <c r="E25" s="42" t="e">
        <f t="shared" si="3"/>
        <v>#DIV/0!</v>
      </c>
      <c r="F25" s="42"/>
      <c r="G25" s="43" t="e">
        <f t="shared" si="4"/>
        <v>#DIV/0!</v>
      </c>
      <c r="H25" s="71" t="e">
        <f t="shared" si="5"/>
        <v>#DIV/0!</v>
      </c>
      <c r="I25" s="69" t="e">
        <f t="shared" si="6"/>
        <v>#DIV/0!</v>
      </c>
      <c r="J25" s="69" t="e">
        <f t="shared" si="7"/>
        <v>#DIV/0!</v>
      </c>
      <c r="K25" s="69" t="e">
        <f t="shared" si="8"/>
        <v>#DIV/0!</v>
      </c>
      <c r="L25">
        <f t="shared" si="9"/>
        <v>4</v>
      </c>
      <c r="M25">
        <f>'6 - B1'!M25</f>
        <v>2328</v>
      </c>
      <c r="O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x14ac:dyDescent="0.35">
      <c r="A26" s="57" t="s">
        <v>165</v>
      </c>
      <c r="B26" s="42" t="e">
        <f t="shared" si="0"/>
        <v>#DIV/0!</v>
      </c>
      <c r="C26" s="42" t="e">
        <f t="shared" si="1"/>
        <v>#DIV/0!</v>
      </c>
      <c r="D26" s="42" t="e">
        <f t="shared" si="2"/>
        <v>#DIV/0!</v>
      </c>
      <c r="E26" s="42" t="e">
        <f t="shared" si="3"/>
        <v>#DIV/0!</v>
      </c>
      <c r="F26" s="42"/>
      <c r="G26" s="43" t="e">
        <f t="shared" si="4"/>
        <v>#DIV/0!</v>
      </c>
      <c r="H26" s="71" t="e">
        <f t="shared" si="5"/>
        <v>#DIV/0!</v>
      </c>
      <c r="I26" s="69" t="e">
        <f t="shared" si="6"/>
        <v>#DIV/0!</v>
      </c>
      <c r="J26" s="69" t="e">
        <f t="shared" si="7"/>
        <v>#DIV/0!</v>
      </c>
      <c r="K26" s="69" t="e">
        <f t="shared" si="8"/>
        <v>#DIV/0!</v>
      </c>
      <c r="L26">
        <f t="shared" si="9"/>
        <v>4</v>
      </c>
      <c r="M26">
        <f>'6 - B1'!M26</f>
        <v>2747</v>
      </c>
      <c r="O26" s="42"/>
    </row>
    <row r="27" spans="1:49" x14ac:dyDescent="0.35">
      <c r="A27" s="57" t="s">
        <v>166</v>
      </c>
      <c r="B27" s="42" t="e">
        <f t="shared" si="0"/>
        <v>#DIV/0!</v>
      </c>
      <c r="C27" s="42" t="e">
        <f t="shared" si="1"/>
        <v>#DIV/0!</v>
      </c>
      <c r="D27" s="42" t="e">
        <f t="shared" si="2"/>
        <v>#DIV/0!</v>
      </c>
      <c r="E27" s="42" t="e">
        <f t="shared" si="3"/>
        <v>#DIV/0!</v>
      </c>
      <c r="F27" s="42"/>
      <c r="G27" s="43" t="e">
        <f t="shared" si="4"/>
        <v>#DIV/0!</v>
      </c>
      <c r="H27" s="71" t="e">
        <f t="shared" si="5"/>
        <v>#DIV/0!</v>
      </c>
      <c r="I27" s="69" t="e">
        <f t="shared" si="6"/>
        <v>#DIV/0!</v>
      </c>
      <c r="J27" s="69" t="e">
        <f t="shared" si="7"/>
        <v>#DIV/0!</v>
      </c>
      <c r="K27" s="69" t="e">
        <f t="shared" si="8"/>
        <v>#DIV/0!</v>
      </c>
      <c r="L27">
        <f t="shared" si="9"/>
        <v>4</v>
      </c>
      <c r="M27">
        <f>'6 - B1'!M27</f>
        <v>3241</v>
      </c>
      <c r="O27" s="42"/>
    </row>
    <row r="28" spans="1:49" x14ac:dyDescent="0.35">
      <c r="A28" s="57" t="s">
        <v>167</v>
      </c>
      <c r="B28" s="42" t="e">
        <f t="shared" si="0"/>
        <v>#DIV/0!</v>
      </c>
      <c r="C28" s="42" t="e">
        <f t="shared" si="1"/>
        <v>#DIV/0!</v>
      </c>
      <c r="D28" s="42" t="e">
        <f t="shared" si="2"/>
        <v>#DIV/0!</v>
      </c>
      <c r="E28" s="42" t="e">
        <f t="shared" si="3"/>
        <v>#DIV/0!</v>
      </c>
      <c r="F28" s="42"/>
      <c r="G28" s="43" t="e">
        <f t="shared" si="4"/>
        <v>#DIV/0!</v>
      </c>
      <c r="H28" s="71" t="e">
        <f t="shared" si="5"/>
        <v>#DIV/0!</v>
      </c>
      <c r="I28" s="69" t="e">
        <f t="shared" si="6"/>
        <v>#DIV/0!</v>
      </c>
      <c r="J28" s="69" t="e">
        <f t="shared" si="7"/>
        <v>#DIV/0!</v>
      </c>
      <c r="K28" s="69" t="e">
        <f t="shared" si="8"/>
        <v>#DIV/0!</v>
      </c>
      <c r="L28">
        <f t="shared" si="9"/>
        <v>4</v>
      </c>
      <c r="M28">
        <f>'6 - B1'!M28</f>
        <v>3824</v>
      </c>
      <c r="O28" s="42"/>
    </row>
    <row r="29" spans="1:49" x14ac:dyDescent="0.35">
      <c r="A29" s="57" t="s">
        <v>168</v>
      </c>
      <c r="B29" s="42" t="e">
        <f t="shared" si="0"/>
        <v>#DIV/0!</v>
      </c>
      <c r="C29" s="42" t="e">
        <f t="shared" si="1"/>
        <v>#DIV/0!</v>
      </c>
      <c r="D29" s="42" t="e">
        <f t="shared" si="2"/>
        <v>#DIV/0!</v>
      </c>
      <c r="E29" s="42" t="e">
        <f t="shared" si="3"/>
        <v>#DIV/0!</v>
      </c>
      <c r="F29" s="42"/>
      <c r="G29" s="43" t="e">
        <f t="shared" si="4"/>
        <v>#DIV/0!</v>
      </c>
      <c r="H29" s="71" t="e">
        <f t="shared" si="5"/>
        <v>#DIV/0!</v>
      </c>
      <c r="I29" s="69" t="e">
        <f t="shared" si="6"/>
        <v>#DIV/0!</v>
      </c>
      <c r="J29" s="69" t="e">
        <f t="shared" si="7"/>
        <v>#DIV/0!</v>
      </c>
      <c r="K29" s="69" t="e">
        <f t="shared" si="8"/>
        <v>#DIV/0!</v>
      </c>
      <c r="L29">
        <f t="shared" si="9"/>
        <v>4</v>
      </c>
      <c r="M29">
        <f>'6 - B1'!M29</f>
        <v>4512</v>
      </c>
      <c r="O29" s="42"/>
    </row>
    <row r="30" spans="1:49" x14ac:dyDescent="0.35">
      <c r="A30" s="57" t="s">
        <v>169</v>
      </c>
      <c r="B30" s="42" t="e">
        <f t="shared" si="0"/>
        <v>#DIV/0!</v>
      </c>
      <c r="C30" s="42" t="e">
        <f t="shared" si="1"/>
        <v>#DIV/0!</v>
      </c>
      <c r="D30" s="42" t="e">
        <f t="shared" si="2"/>
        <v>#DIV/0!</v>
      </c>
      <c r="E30" s="42" t="e">
        <f t="shared" si="3"/>
        <v>#DIV/0!</v>
      </c>
      <c r="F30" s="42"/>
      <c r="G30" s="43" t="e">
        <f t="shared" si="4"/>
        <v>#DIV/0!</v>
      </c>
      <c r="H30" s="71" t="e">
        <f t="shared" si="5"/>
        <v>#DIV/0!</v>
      </c>
      <c r="I30" s="69" t="e">
        <f t="shared" si="6"/>
        <v>#DIV/0!</v>
      </c>
      <c r="J30" s="69" t="e">
        <f t="shared" si="7"/>
        <v>#DIV/0!</v>
      </c>
      <c r="K30" s="69" t="e">
        <f t="shared" si="8"/>
        <v>#DIV/0!</v>
      </c>
      <c r="L30">
        <f t="shared" si="9"/>
        <v>4</v>
      </c>
      <c r="M30">
        <f>'6 - B1'!M30</f>
        <v>5324</v>
      </c>
      <c r="O30" s="42"/>
    </row>
    <row r="31" spans="1:49" x14ac:dyDescent="0.35">
      <c r="A31" s="57" t="s">
        <v>170</v>
      </c>
      <c r="B31" s="42" t="e">
        <f t="shared" si="0"/>
        <v>#DIV/0!</v>
      </c>
      <c r="C31" s="42" t="e">
        <f t="shared" si="1"/>
        <v>#DIV/0!</v>
      </c>
      <c r="D31" s="42" t="e">
        <f t="shared" si="2"/>
        <v>#DIV/0!</v>
      </c>
      <c r="E31" s="42" t="e">
        <f t="shared" si="3"/>
        <v>#DIV/0!</v>
      </c>
      <c r="F31" s="42"/>
      <c r="G31" s="43" t="e">
        <f t="shared" si="4"/>
        <v>#DIV/0!</v>
      </c>
      <c r="H31" s="71" t="e">
        <f t="shared" si="5"/>
        <v>#DIV/0!</v>
      </c>
      <c r="I31" s="69" t="e">
        <f t="shared" si="6"/>
        <v>#DIV/0!</v>
      </c>
      <c r="J31" s="69" t="e">
        <f t="shared" si="7"/>
        <v>#DIV/0!</v>
      </c>
      <c r="K31" s="69" t="e">
        <f t="shared" si="8"/>
        <v>#DIV/0!</v>
      </c>
      <c r="L31">
        <f t="shared" si="9"/>
        <v>4</v>
      </c>
      <c r="M31">
        <f>'6 - B1'!M31</f>
        <v>6282</v>
      </c>
      <c r="O31" s="42"/>
    </row>
    <row r="32" spans="1:49" x14ac:dyDescent="0.35">
      <c r="A32" s="57" t="s">
        <v>171</v>
      </c>
      <c r="B32" s="42" t="e">
        <f t="shared" si="0"/>
        <v>#DIV/0!</v>
      </c>
      <c r="C32" s="42" t="e">
        <f t="shared" si="1"/>
        <v>#DIV/0!</v>
      </c>
      <c r="D32" s="42" t="e">
        <f t="shared" si="2"/>
        <v>#DIV/0!</v>
      </c>
      <c r="E32" s="42" t="e">
        <f t="shared" si="3"/>
        <v>#DIV/0!</v>
      </c>
      <c r="F32" s="42"/>
      <c r="G32" s="43" t="e">
        <f t="shared" si="4"/>
        <v>#DIV/0!</v>
      </c>
      <c r="H32" s="71" t="e">
        <f t="shared" si="5"/>
        <v>#DIV/0!</v>
      </c>
      <c r="I32" s="69" t="e">
        <f t="shared" si="6"/>
        <v>#DIV/0!</v>
      </c>
      <c r="J32" s="69" t="e">
        <f t="shared" si="7"/>
        <v>#DIV/0!</v>
      </c>
      <c r="K32" s="69" t="e">
        <f t="shared" si="8"/>
        <v>#DIV/0!</v>
      </c>
      <c r="L32">
        <f t="shared" si="9"/>
        <v>4</v>
      </c>
      <c r="M32">
        <f>'6 - B1'!M32</f>
        <v>7412</v>
      </c>
      <c r="O32" s="42"/>
    </row>
    <row r="33" spans="1:15" x14ac:dyDescent="0.35">
      <c r="A33" s="57" t="s">
        <v>172</v>
      </c>
      <c r="B33" s="42" t="e">
        <f t="shared" si="0"/>
        <v>#DIV/0!</v>
      </c>
      <c r="C33" s="42" t="e">
        <f t="shared" si="1"/>
        <v>#DIV/0!</v>
      </c>
      <c r="D33" s="42"/>
      <c r="E33" s="42" t="e">
        <f t="shared" si="3"/>
        <v>#DIV/0!</v>
      </c>
      <c r="F33" s="42" t="e">
        <f t="shared" ref="F33:F37" si="10">P77/F$8</f>
        <v>#DIV/0!</v>
      </c>
      <c r="G33" s="43" t="e">
        <f t="shared" si="4"/>
        <v>#DIV/0!</v>
      </c>
      <c r="H33" s="71" t="e">
        <f t="shared" si="5"/>
        <v>#DIV/0!</v>
      </c>
      <c r="I33" s="69" t="e">
        <f t="shared" si="6"/>
        <v>#DIV/0!</v>
      </c>
      <c r="J33" s="69" t="e">
        <f t="shared" si="7"/>
        <v>#DIV/0!</v>
      </c>
      <c r="K33" s="69" t="e">
        <f t="shared" si="8"/>
        <v>#DIV/0!</v>
      </c>
      <c r="L33">
        <f t="shared" si="9"/>
        <v>4</v>
      </c>
      <c r="M33">
        <f>'6 - B1'!M33</f>
        <v>8745</v>
      </c>
      <c r="O33" s="42"/>
    </row>
    <row r="34" spans="1:15" x14ac:dyDescent="0.35">
      <c r="A34" s="57" t="s">
        <v>173</v>
      </c>
      <c r="B34" s="42" t="e">
        <f t="shared" si="0"/>
        <v>#DIV/0!</v>
      </c>
      <c r="C34" s="42" t="e">
        <f t="shared" si="1"/>
        <v>#DIV/0!</v>
      </c>
      <c r="D34" s="42"/>
      <c r="E34" s="42" t="e">
        <f t="shared" si="3"/>
        <v>#DIV/0!</v>
      </c>
      <c r="F34" s="42" t="e">
        <f t="shared" si="10"/>
        <v>#DIV/0!</v>
      </c>
      <c r="G34" s="43" t="e">
        <f t="shared" si="4"/>
        <v>#DIV/0!</v>
      </c>
      <c r="H34" s="71" t="e">
        <f t="shared" si="5"/>
        <v>#DIV/0!</v>
      </c>
      <c r="I34" s="69" t="e">
        <f t="shared" si="6"/>
        <v>#DIV/0!</v>
      </c>
      <c r="J34" s="69" t="e">
        <f t="shared" si="7"/>
        <v>#DIV/0!</v>
      </c>
      <c r="K34" s="69" t="e">
        <f t="shared" si="8"/>
        <v>#DIV/0!</v>
      </c>
      <c r="L34">
        <f t="shared" si="9"/>
        <v>4</v>
      </c>
      <c r="M34">
        <f>'6 - B1'!M34</f>
        <v>10319</v>
      </c>
      <c r="O34" s="42"/>
    </row>
    <row r="35" spans="1:15" x14ac:dyDescent="0.35">
      <c r="A35" s="57" t="s">
        <v>174</v>
      </c>
      <c r="B35" s="42" t="e">
        <f t="shared" si="0"/>
        <v>#DIV/0!</v>
      </c>
      <c r="C35" s="42" t="e">
        <f t="shared" si="1"/>
        <v>#DIV/0!</v>
      </c>
      <c r="D35" s="42"/>
      <c r="E35" s="42" t="e">
        <f t="shared" si="3"/>
        <v>#DIV/0!</v>
      </c>
      <c r="F35" s="42" t="e">
        <f t="shared" si="10"/>
        <v>#DIV/0!</v>
      </c>
      <c r="G35" s="43" t="e">
        <f t="shared" si="4"/>
        <v>#DIV/0!</v>
      </c>
      <c r="H35" s="71" t="e">
        <f t="shared" si="5"/>
        <v>#DIV/0!</v>
      </c>
      <c r="I35" s="69" t="e">
        <f t="shared" si="6"/>
        <v>#DIV/0!</v>
      </c>
      <c r="J35" s="69" t="e">
        <f t="shared" si="7"/>
        <v>#DIV/0!</v>
      </c>
      <c r="K35" s="69" t="e">
        <f t="shared" si="8"/>
        <v>#DIV/0!</v>
      </c>
      <c r="L35">
        <f t="shared" si="9"/>
        <v>4</v>
      </c>
      <c r="M35">
        <f>'6 - B1'!M35</f>
        <v>12175</v>
      </c>
      <c r="O35" s="42"/>
    </row>
    <row r="36" spans="1:15" x14ac:dyDescent="0.35">
      <c r="A36" s="57" t="s">
        <v>175</v>
      </c>
      <c r="B36" s="42" t="e">
        <f t="shared" si="0"/>
        <v>#DIV/0!</v>
      </c>
      <c r="C36" s="42" t="e">
        <f t="shared" si="1"/>
        <v>#DIV/0!</v>
      </c>
      <c r="D36" s="42"/>
      <c r="E36" s="42" t="e">
        <f t="shared" si="3"/>
        <v>#DIV/0!</v>
      </c>
      <c r="F36" s="42" t="e">
        <f t="shared" si="10"/>
        <v>#DIV/0!</v>
      </c>
      <c r="G36" s="43" t="e">
        <f t="shared" si="4"/>
        <v>#DIV/0!</v>
      </c>
      <c r="H36" s="71" t="e">
        <f t="shared" si="5"/>
        <v>#DIV/0!</v>
      </c>
      <c r="I36" s="69" t="e">
        <f t="shared" si="6"/>
        <v>#DIV/0!</v>
      </c>
      <c r="J36" s="69" t="e">
        <f t="shared" si="7"/>
        <v>#DIV/0!</v>
      </c>
      <c r="K36" s="69" t="e">
        <f t="shared" si="8"/>
        <v>#DIV/0!</v>
      </c>
      <c r="L36">
        <f t="shared" si="9"/>
        <v>4</v>
      </c>
      <c r="M36">
        <f>'6 - B1'!M36</f>
        <v>14366</v>
      </c>
      <c r="O36" s="42"/>
    </row>
    <row r="37" spans="1:15" x14ac:dyDescent="0.35">
      <c r="A37" s="57" t="s">
        <v>176</v>
      </c>
      <c r="B37" s="42" t="e">
        <f t="shared" si="0"/>
        <v>#DIV/0!</v>
      </c>
      <c r="C37" s="42" t="e">
        <f t="shared" si="1"/>
        <v>#DIV/0!</v>
      </c>
      <c r="D37" s="42"/>
      <c r="E37" s="42" t="e">
        <f t="shared" si="3"/>
        <v>#DIV/0!</v>
      </c>
      <c r="F37" s="42" t="e">
        <f t="shared" si="10"/>
        <v>#DIV/0!</v>
      </c>
      <c r="G37" s="43" t="e">
        <f t="shared" si="4"/>
        <v>#DIV/0!</v>
      </c>
      <c r="H37" s="71" t="e">
        <f t="shared" si="5"/>
        <v>#DIV/0!</v>
      </c>
      <c r="I37" s="69" t="e">
        <f t="shared" si="6"/>
        <v>#DIV/0!</v>
      </c>
      <c r="J37" s="69" t="e">
        <f t="shared" si="7"/>
        <v>#DIV/0!</v>
      </c>
      <c r="K37" s="69" t="e">
        <f t="shared" si="8"/>
        <v>#DIV/0!</v>
      </c>
      <c r="L37">
        <f t="shared" si="9"/>
        <v>4</v>
      </c>
      <c r="M37">
        <f>'6 - B1'!M37</f>
        <v>16950</v>
      </c>
    </row>
    <row r="38" spans="1:15" x14ac:dyDescent="0.35">
      <c r="A38" s="57" t="s">
        <v>177</v>
      </c>
      <c r="B38" s="42" t="e">
        <f t="shared" si="0"/>
        <v>#DIV/0!</v>
      </c>
      <c r="C38" s="42" t="e">
        <f t="shared" si="1"/>
        <v>#DIV/0!</v>
      </c>
      <c r="D38" s="42" t="e">
        <f t="shared" si="2"/>
        <v>#DIV/0!</v>
      </c>
      <c r="E38" s="42" t="e">
        <f t="shared" si="3"/>
        <v>#DIV/0!</v>
      </c>
      <c r="F38" s="42"/>
      <c r="G38" s="43" t="e">
        <f t="shared" si="4"/>
        <v>#DIV/0!</v>
      </c>
      <c r="H38" s="71" t="e">
        <f t="shared" si="5"/>
        <v>#DIV/0!</v>
      </c>
      <c r="I38" s="69" t="e">
        <f t="shared" si="6"/>
        <v>#DIV/0!</v>
      </c>
      <c r="J38" s="69" t="e">
        <f t="shared" si="7"/>
        <v>#DIV/0!</v>
      </c>
      <c r="K38" s="69" t="e">
        <f t="shared" si="8"/>
        <v>#DIV/0!</v>
      </c>
      <c r="L38">
        <f t="shared" si="9"/>
        <v>4</v>
      </c>
      <c r="M38">
        <f>'6 - B1'!M38</f>
        <v>20000</v>
      </c>
    </row>
    <row r="40" spans="1:15" x14ac:dyDescent="0.35">
      <c r="A40" t="s">
        <v>178</v>
      </c>
    </row>
    <row r="41" spans="1:15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5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x14ac:dyDescent="0.35">
      <c r="A51" s="81">
        <f>'6 - B1'!A51</f>
        <v>0</v>
      </c>
      <c r="B51" s="82" t="str">
        <f>'6 - B1'!B51</f>
        <v>Portion 1</v>
      </c>
      <c r="C51" s="82" t="str">
        <f>'6 - B1'!C51</f>
        <v>Portion 2</v>
      </c>
      <c r="D51" s="82" t="str">
        <f>'6 - B1'!D51</f>
        <v>Portion 3</v>
      </c>
      <c r="E51" s="82" t="str">
        <f>'6 - B1'!E51</f>
        <v>Portion 4</v>
      </c>
      <c r="F51" s="82" t="str">
        <f>'6 - B1'!F51</f>
        <v>Portion 5</v>
      </c>
      <c r="G51" s="82" t="str">
        <f>'6 - B1'!G51</f>
        <v>Portion 1</v>
      </c>
      <c r="H51" s="82" t="str">
        <f>'6 - B1'!H51</f>
        <v>Portion 2</v>
      </c>
      <c r="I51" s="82" t="str">
        <f>'6 - B1'!I51</f>
        <v>Portion 3</v>
      </c>
      <c r="J51" s="82" t="str">
        <f>'6 - B1'!J51</f>
        <v>Portion 4</v>
      </c>
      <c r="K51" s="82" t="str">
        <f>'6 - B1'!K51</f>
        <v>Portion 5</v>
      </c>
      <c r="L51" s="82" t="str">
        <f>'6 - B1'!L51</f>
        <v>Portion 1</v>
      </c>
      <c r="M51" s="82" t="str">
        <f>'6 - B1'!M51</f>
        <v>Portion 2</v>
      </c>
      <c r="N51" s="82" t="str">
        <f>'6 - B1'!N51</f>
        <v>Portion 3</v>
      </c>
      <c r="O51" s="82" t="str">
        <f>'6 - B1'!O51</f>
        <v>Portion 4</v>
      </c>
      <c r="P51" s="82" t="str">
        <f>'6 - B1'!P51</f>
        <v>Portion 5</v>
      </c>
    </row>
    <row r="52" spans="1:16" x14ac:dyDescent="0.35">
      <c r="A52" s="81" t="str">
        <f>'6 - B1'!A52</f>
        <v>NAME\mL</v>
      </c>
      <c r="B52" s="81">
        <f>'6 - B1'!B52</f>
        <v>7.5035889999999998</v>
      </c>
      <c r="C52" s="81">
        <f>'6 - B1'!C52</f>
        <v>7.8647749999999998</v>
      </c>
      <c r="D52" s="81">
        <f>'6 - B1'!D52</f>
        <v>7.7853899999999996</v>
      </c>
      <c r="E52" s="81">
        <f>'6 - B1'!E52</f>
        <v>7.8457220000000003</v>
      </c>
      <c r="F52" s="81">
        <f>'6 - B1'!F52</f>
        <v>0</v>
      </c>
      <c r="G52" s="81">
        <f>'6 - B1'!G52</f>
        <v>7.5165899999999999</v>
      </c>
      <c r="H52" s="81">
        <f>'6 - B1'!H52</f>
        <v>7.8852779999999996</v>
      </c>
      <c r="I52" s="81">
        <f>'6 - B1'!I52</f>
        <v>7.829955</v>
      </c>
      <c r="J52" s="81">
        <f>'6 - B1'!J52</f>
        <v>7.8763930000000002</v>
      </c>
      <c r="K52" s="81">
        <f>'6 - B1'!K52</f>
        <v>7.8680279999999998</v>
      </c>
      <c r="L52" s="81">
        <f>'6 - B1'!L52</f>
        <v>0</v>
      </c>
      <c r="M52" s="81">
        <f>'6 - B1'!M52</f>
        <v>0</v>
      </c>
      <c r="N52" s="81">
        <f>'6 - B1'!N52</f>
        <v>0</v>
      </c>
      <c r="O52" s="81">
        <f>'6 - B1'!O52</f>
        <v>0</v>
      </c>
      <c r="P52" s="81">
        <f>'6 - B1'!P52</f>
        <v>0</v>
      </c>
    </row>
    <row r="53" spans="1:16" x14ac:dyDescent="0.35">
      <c r="A53" s="81">
        <f>'6 - B1'!A53</f>
        <v>4</v>
      </c>
      <c r="B53" s="81">
        <f>'6 - B1'!B53</f>
        <v>13599</v>
      </c>
      <c r="C53" s="81">
        <f>'6 - B1'!C53</f>
        <v>14366</v>
      </c>
      <c r="D53" s="81">
        <f>'6 - B1'!D53</f>
        <v>14008</v>
      </c>
      <c r="E53" s="81">
        <f>'6 - B1'!E53</f>
        <v>14040</v>
      </c>
      <c r="F53" s="81">
        <f>'6 - B1'!F53</f>
        <v>0</v>
      </c>
      <c r="G53" s="81">
        <f>'6 - B1'!G53</f>
        <v>18965</v>
      </c>
      <c r="H53" s="81">
        <f>'6 - B1'!H53</f>
        <v>20000</v>
      </c>
      <c r="I53" s="81">
        <f>'6 - B1'!I53</f>
        <v>19324</v>
      </c>
      <c r="J53" s="81">
        <f>'6 - B1'!J53</f>
        <v>19276</v>
      </c>
      <c r="K53" s="81">
        <f>'6 - B1'!K53</f>
        <v>18453</v>
      </c>
      <c r="L53" s="81">
        <f>'6 - B1'!L53</f>
        <v>0</v>
      </c>
      <c r="M53" s="81">
        <f>'6 - B1'!M53</f>
        <v>0</v>
      </c>
      <c r="N53" s="81">
        <f>'6 - B1'!N53</f>
        <v>0</v>
      </c>
      <c r="O53" s="81">
        <f>'6 - B1'!O53</f>
        <v>0</v>
      </c>
      <c r="P53" s="81">
        <f>'6 - B1'!P53</f>
        <v>0</v>
      </c>
    </row>
    <row r="54" spans="1:16" x14ac:dyDescent="0.35">
      <c r="A54" s="81">
        <f>'6 - B1'!A54</f>
        <v>5</v>
      </c>
      <c r="B54" s="81">
        <f>'6 - B1'!B54</f>
        <v>11524</v>
      </c>
      <c r="C54" s="81">
        <f>'6 - B1'!C54</f>
        <v>12222</v>
      </c>
      <c r="D54" s="81">
        <f>'6 - B1'!D54</f>
        <v>11956</v>
      </c>
      <c r="E54" s="81">
        <f>'6 - B1'!E54</f>
        <v>11971</v>
      </c>
      <c r="F54" s="81">
        <f>'6 - B1'!F54</f>
        <v>0</v>
      </c>
      <c r="G54" s="81">
        <f>'6 - B1'!G54</f>
        <v>15918</v>
      </c>
      <c r="H54" s="81">
        <f>'6 - B1'!H54</f>
        <v>16885</v>
      </c>
      <c r="I54" s="81">
        <f>'6 - B1'!I54</f>
        <v>16311</v>
      </c>
      <c r="J54" s="81">
        <f>'6 - B1'!J54</f>
        <v>16259</v>
      </c>
      <c r="K54" s="81">
        <f>'6 - B1'!K54</f>
        <v>15456</v>
      </c>
      <c r="L54" s="81">
        <f>'6 - B1'!L54</f>
        <v>0</v>
      </c>
      <c r="M54" s="81">
        <f>'6 - B1'!M54</f>
        <v>0</v>
      </c>
      <c r="N54" s="81">
        <f>'6 - B1'!N54</f>
        <v>0</v>
      </c>
      <c r="O54" s="81">
        <f>'6 - B1'!O54</f>
        <v>0</v>
      </c>
      <c r="P54" s="81">
        <f>'6 - B1'!P54</f>
        <v>0</v>
      </c>
    </row>
    <row r="55" spans="1:16" x14ac:dyDescent="0.35">
      <c r="A55" s="81">
        <f>'6 - B1'!A55</f>
        <v>6</v>
      </c>
      <c r="B55" s="81">
        <f>'6 - B1'!B55</f>
        <v>9856</v>
      </c>
      <c r="C55" s="81">
        <f>'6 - B1'!C55</f>
        <v>10503</v>
      </c>
      <c r="D55" s="81">
        <f>'6 - B1'!D55</f>
        <v>10245</v>
      </c>
      <c r="E55" s="81">
        <f>'6 - B1'!E55</f>
        <v>10196</v>
      </c>
      <c r="F55" s="81">
        <f>'6 - B1'!F55</f>
        <v>0</v>
      </c>
      <c r="G55" s="81">
        <f>'6 - B1'!G55</f>
        <v>13384</v>
      </c>
      <c r="H55" s="81">
        <f>'6 - B1'!H55</f>
        <v>14269</v>
      </c>
      <c r="I55" s="81">
        <f>'6 - B1'!I55</f>
        <v>13787</v>
      </c>
      <c r="J55" s="81">
        <f>'6 - B1'!J55</f>
        <v>13804</v>
      </c>
      <c r="K55" s="81">
        <f>'6 - B1'!K55</f>
        <v>13008</v>
      </c>
      <c r="L55" s="81">
        <f>'6 - B1'!L55</f>
        <v>0</v>
      </c>
      <c r="M55" s="81">
        <f>'6 - B1'!M55</f>
        <v>0</v>
      </c>
      <c r="N55" s="81">
        <f>'6 - B1'!N55</f>
        <v>0</v>
      </c>
      <c r="O55" s="81">
        <f>'6 - B1'!O55</f>
        <v>0</v>
      </c>
      <c r="P55" s="81">
        <f>'6 - B1'!P55</f>
        <v>0</v>
      </c>
    </row>
    <row r="56" spans="1:16" x14ac:dyDescent="0.35">
      <c r="A56" s="81">
        <f>'6 - B1'!A56</f>
        <v>7</v>
      </c>
      <c r="B56" s="81">
        <f>'6 - B1'!B56</f>
        <v>8355</v>
      </c>
      <c r="C56" s="81">
        <f>'6 - B1'!C56</f>
        <v>8932</v>
      </c>
      <c r="D56" s="81">
        <f>'6 - B1'!D56</f>
        <v>8726</v>
      </c>
      <c r="E56" s="81">
        <f>'6 - B1'!E56</f>
        <v>8706</v>
      </c>
      <c r="F56" s="81">
        <f>'6 - B1'!F56</f>
        <v>0</v>
      </c>
      <c r="G56" s="81">
        <f>'6 - B1'!G56</f>
        <v>11335</v>
      </c>
      <c r="H56" s="81">
        <f>'6 - B1'!H56</f>
        <v>12120</v>
      </c>
      <c r="I56" s="81">
        <f>'6 - B1'!I56</f>
        <v>11603</v>
      </c>
      <c r="J56" s="81">
        <f>'6 - B1'!J56</f>
        <v>11713</v>
      </c>
      <c r="K56" s="81">
        <f>'6 - B1'!K56</f>
        <v>11118</v>
      </c>
      <c r="L56" s="81">
        <f>'6 - B1'!L56</f>
        <v>0</v>
      </c>
      <c r="M56" s="81">
        <f>'6 - B1'!M56</f>
        <v>0</v>
      </c>
      <c r="N56" s="81">
        <f>'6 - B1'!N56</f>
        <v>0</v>
      </c>
      <c r="O56" s="81">
        <f>'6 - B1'!O56</f>
        <v>0</v>
      </c>
      <c r="P56" s="81">
        <f>'6 - B1'!P56</f>
        <v>0</v>
      </c>
    </row>
    <row r="57" spans="1:16" x14ac:dyDescent="0.35">
      <c r="A57" s="81">
        <f>'6 - B1'!A57</f>
        <v>8</v>
      </c>
      <c r="B57" s="81">
        <f>'6 - B1'!B57</f>
        <v>7062</v>
      </c>
      <c r="C57" s="81">
        <f>'6 - B1'!C57</f>
        <v>7598</v>
      </c>
      <c r="D57" s="81">
        <f>'6 - B1'!D57</f>
        <v>7394</v>
      </c>
      <c r="E57" s="81">
        <f>'6 - B1'!E57</f>
        <v>7356</v>
      </c>
      <c r="F57" s="81">
        <f>'6 - B1'!F57</f>
        <v>0</v>
      </c>
      <c r="G57" s="81">
        <f>'6 - B1'!G57</f>
        <v>9607</v>
      </c>
      <c r="H57" s="81">
        <f>'6 - B1'!H57</f>
        <v>10219</v>
      </c>
      <c r="I57" s="81">
        <f>'6 - B1'!I57</f>
        <v>9729</v>
      </c>
      <c r="J57" s="81">
        <f>'6 - B1'!J57</f>
        <v>9847</v>
      </c>
      <c r="K57" s="81">
        <f>'6 - B1'!K57</f>
        <v>9385</v>
      </c>
      <c r="L57" s="81">
        <f>'6 - B1'!L57</f>
        <v>0</v>
      </c>
      <c r="M57" s="81">
        <f>'6 - B1'!M57</f>
        <v>0</v>
      </c>
      <c r="N57" s="81">
        <f>'6 - B1'!N57</f>
        <v>0</v>
      </c>
      <c r="O57" s="81">
        <f>'6 - B1'!O57</f>
        <v>0</v>
      </c>
      <c r="P57" s="81">
        <f>'6 - B1'!P57</f>
        <v>0</v>
      </c>
    </row>
    <row r="58" spans="1:16" x14ac:dyDescent="0.35">
      <c r="A58" s="81">
        <f>'6 - B1'!A58</f>
        <v>9</v>
      </c>
      <c r="B58" s="81">
        <f>'6 - B1'!B58</f>
        <v>5971</v>
      </c>
      <c r="C58" s="81">
        <f>'6 - B1'!C58</f>
        <v>6429</v>
      </c>
      <c r="D58" s="81">
        <f>'6 - B1'!D58</f>
        <v>6244</v>
      </c>
      <c r="E58" s="81">
        <f>'6 - B1'!E58</f>
        <v>6215</v>
      </c>
      <c r="F58" s="81">
        <f>'6 - B1'!F58</f>
        <v>0</v>
      </c>
      <c r="G58" s="81">
        <f>'6 - B1'!G58</f>
        <v>8058</v>
      </c>
      <c r="H58" s="81">
        <f>'6 - B1'!H58</f>
        <v>8564</v>
      </c>
      <c r="I58" s="81">
        <f>'6 - B1'!I58</f>
        <v>8234</v>
      </c>
      <c r="J58" s="81">
        <f>'6 - B1'!J58</f>
        <v>8285</v>
      </c>
      <c r="K58" s="81">
        <f>'6 - B1'!K58</f>
        <v>7853</v>
      </c>
      <c r="L58" s="81">
        <f>'6 - B1'!L58</f>
        <v>0</v>
      </c>
      <c r="M58" s="81">
        <f>'6 - B1'!M58</f>
        <v>0</v>
      </c>
      <c r="N58" s="81">
        <f>'6 - B1'!N58</f>
        <v>0</v>
      </c>
      <c r="O58" s="81">
        <f>'6 - B1'!O58</f>
        <v>0</v>
      </c>
      <c r="P58" s="81">
        <f>'6 - B1'!P58</f>
        <v>0</v>
      </c>
    </row>
    <row r="59" spans="1:16" x14ac:dyDescent="0.35">
      <c r="A59" s="81">
        <f>'6 - B1'!A59</f>
        <v>10</v>
      </c>
      <c r="B59" s="81">
        <f>'6 - B1'!B59</f>
        <v>4995</v>
      </c>
      <c r="C59" s="81">
        <f>'6 - B1'!C59</f>
        <v>5341</v>
      </c>
      <c r="D59" s="81">
        <f>'6 - B1'!D59</f>
        <v>5180</v>
      </c>
      <c r="E59" s="81">
        <f>'6 - B1'!E59</f>
        <v>5282</v>
      </c>
      <c r="F59" s="81">
        <f>'6 - B1'!F59</f>
        <v>0</v>
      </c>
      <c r="G59" s="81">
        <f>'6 - B1'!G59</f>
        <v>6750</v>
      </c>
      <c r="H59" s="81">
        <f>'6 - B1'!H59</f>
        <v>7101</v>
      </c>
      <c r="I59" s="81">
        <f>'6 - B1'!I59</f>
        <v>6817</v>
      </c>
      <c r="J59" s="81">
        <f>'6 - B1'!J59</f>
        <v>6860</v>
      </c>
      <c r="K59" s="81">
        <f>'6 - B1'!K59</f>
        <v>6571</v>
      </c>
      <c r="L59" s="81">
        <f>'6 - B1'!L59</f>
        <v>0</v>
      </c>
      <c r="M59" s="81">
        <f>'6 - B1'!M59</f>
        <v>0</v>
      </c>
      <c r="N59" s="81">
        <f>'6 - B1'!N59</f>
        <v>0</v>
      </c>
      <c r="O59" s="81">
        <f>'6 - B1'!O59</f>
        <v>0</v>
      </c>
      <c r="P59" s="81">
        <f>'6 - B1'!P59</f>
        <v>0</v>
      </c>
    </row>
    <row r="60" spans="1:16" x14ac:dyDescent="0.35">
      <c r="A60" s="81">
        <f>'6 - B1'!A60</f>
        <v>11</v>
      </c>
      <c r="B60" s="81">
        <f>'6 - B1'!B60</f>
        <v>4134</v>
      </c>
      <c r="C60" s="81">
        <f>'6 - B1'!C60</f>
        <v>4398</v>
      </c>
      <c r="D60" s="81">
        <f>'6 - B1'!D60</f>
        <v>4269</v>
      </c>
      <c r="E60" s="81">
        <f>'6 - B1'!E60</f>
        <v>4313</v>
      </c>
      <c r="F60" s="81">
        <f>'6 - B1'!F60</f>
        <v>0</v>
      </c>
      <c r="G60" s="81">
        <f>'6 - B1'!G60</f>
        <v>5540</v>
      </c>
      <c r="H60" s="81">
        <f>'6 - B1'!H60</f>
        <v>5812</v>
      </c>
      <c r="I60" s="81">
        <f>'6 - B1'!I60</f>
        <v>5604</v>
      </c>
      <c r="J60" s="81">
        <f>'6 - B1'!J60</f>
        <v>5683</v>
      </c>
      <c r="K60" s="81">
        <f>'6 - B1'!K60</f>
        <v>5365</v>
      </c>
      <c r="L60" s="81">
        <f>'6 - B1'!L60</f>
        <v>0</v>
      </c>
      <c r="M60" s="81">
        <f>'6 - B1'!M60</f>
        <v>0</v>
      </c>
      <c r="N60" s="81">
        <f>'6 - B1'!N60</f>
        <v>0</v>
      </c>
      <c r="O60" s="81">
        <f>'6 - B1'!O60</f>
        <v>0</v>
      </c>
      <c r="P60" s="81">
        <f>'6 - B1'!P60</f>
        <v>0</v>
      </c>
    </row>
    <row r="61" spans="1:16" x14ac:dyDescent="0.35">
      <c r="A61" s="81">
        <f>'6 - B1'!A61</f>
        <v>12</v>
      </c>
      <c r="B61" s="81">
        <f>'6 - B1'!B61</f>
        <v>3431</v>
      </c>
      <c r="C61" s="81">
        <f>'6 - B1'!C61</f>
        <v>3568</v>
      </c>
      <c r="D61" s="81">
        <f>'6 - B1'!D61</f>
        <v>3471</v>
      </c>
      <c r="E61" s="81">
        <f>'6 - B1'!E61</f>
        <v>3528</v>
      </c>
      <c r="F61" s="81">
        <f>'6 - B1'!F61</f>
        <v>0</v>
      </c>
      <c r="G61" s="81">
        <f>'6 - B1'!G61</f>
        <v>4479</v>
      </c>
      <c r="H61" s="81">
        <f>'6 - B1'!H61</f>
        <v>4790</v>
      </c>
      <c r="I61" s="81">
        <f>'6 - B1'!I61</f>
        <v>4519</v>
      </c>
      <c r="J61" s="81">
        <f>'6 - B1'!J61</f>
        <v>4609</v>
      </c>
      <c r="K61" s="81">
        <f>'6 - B1'!K61</f>
        <v>4381</v>
      </c>
      <c r="L61" s="81">
        <f>'6 - B1'!L61</f>
        <v>0</v>
      </c>
      <c r="M61" s="81">
        <f>'6 - B1'!M61</f>
        <v>0</v>
      </c>
      <c r="N61" s="81">
        <f>'6 - B1'!N61</f>
        <v>0</v>
      </c>
      <c r="O61" s="81">
        <f>'6 - B1'!O61</f>
        <v>0</v>
      </c>
      <c r="P61" s="81">
        <f>'6 - B1'!P61</f>
        <v>0</v>
      </c>
    </row>
    <row r="62" spans="1:16" x14ac:dyDescent="0.35">
      <c r="A62" s="81">
        <f>'6 - B1'!A62</f>
        <v>13</v>
      </c>
      <c r="B62" s="81">
        <f>'6 - B1'!B62</f>
        <v>2761</v>
      </c>
      <c r="C62" s="81">
        <f>'6 - B1'!C62</f>
        <v>2893</v>
      </c>
      <c r="D62" s="81">
        <f>'6 - B1'!D62</f>
        <v>2763</v>
      </c>
      <c r="E62" s="81">
        <f>'6 - B1'!E62</f>
        <v>2836</v>
      </c>
      <c r="F62" s="81">
        <f>'6 - B1'!F62</f>
        <v>0</v>
      </c>
      <c r="G62" s="81">
        <f>'6 - B1'!G62</f>
        <v>3582</v>
      </c>
      <c r="H62" s="81">
        <f>'6 - B1'!H62</f>
        <v>3832</v>
      </c>
      <c r="I62" s="81">
        <f>'6 - B1'!I62</f>
        <v>3619</v>
      </c>
      <c r="J62" s="81">
        <f>'6 - B1'!J62</f>
        <v>3657</v>
      </c>
      <c r="K62" s="81">
        <f>'6 - B1'!K62</f>
        <v>3521</v>
      </c>
      <c r="L62" s="81">
        <f>'6 - B1'!L62</f>
        <v>0</v>
      </c>
      <c r="M62" s="81">
        <f>'6 - B1'!M62</f>
        <v>0</v>
      </c>
      <c r="N62" s="81">
        <f>'6 - B1'!N62</f>
        <v>0</v>
      </c>
      <c r="O62" s="81">
        <f>'6 - B1'!O62</f>
        <v>0</v>
      </c>
      <c r="P62" s="81">
        <f>'6 - B1'!P62</f>
        <v>0</v>
      </c>
    </row>
    <row r="63" spans="1:16" x14ac:dyDescent="0.35">
      <c r="A63" s="81">
        <f>'6 - B1'!A63</f>
        <v>14</v>
      </c>
      <c r="B63" s="81">
        <f>'6 - B1'!B63</f>
        <v>2190</v>
      </c>
      <c r="C63" s="81">
        <f>'6 - B1'!C63</f>
        <v>2289</v>
      </c>
      <c r="D63" s="81">
        <f>'6 - B1'!D63</f>
        <v>2156</v>
      </c>
      <c r="E63" s="81">
        <f>'6 - B1'!E63</f>
        <v>2213</v>
      </c>
      <c r="F63" s="81">
        <f>'6 - B1'!F63</f>
        <v>0</v>
      </c>
      <c r="G63" s="81">
        <f>'6 - B1'!G63</f>
        <v>2795</v>
      </c>
      <c r="H63" s="81">
        <f>'6 - B1'!H63</f>
        <v>3042</v>
      </c>
      <c r="I63" s="81">
        <f>'6 - B1'!I63</f>
        <v>2839</v>
      </c>
      <c r="J63" s="81">
        <f>'6 - B1'!J63</f>
        <v>2852</v>
      </c>
      <c r="K63" s="81">
        <f>'6 - B1'!K63</f>
        <v>2737</v>
      </c>
      <c r="L63" s="81">
        <f>'6 - B1'!L63</f>
        <v>0</v>
      </c>
      <c r="M63" s="81">
        <f>'6 - B1'!M63</f>
        <v>0</v>
      </c>
      <c r="N63" s="81">
        <f>'6 - B1'!N63</f>
        <v>0</v>
      </c>
      <c r="O63" s="81">
        <f>'6 - B1'!O63</f>
        <v>0</v>
      </c>
      <c r="P63" s="81">
        <f>'6 - B1'!P63</f>
        <v>0</v>
      </c>
    </row>
    <row r="64" spans="1:16" x14ac:dyDescent="0.35">
      <c r="A64" s="81">
        <f>'6 - B1'!A64</f>
        <v>15</v>
      </c>
      <c r="B64" s="81">
        <f>'6 - B1'!B64</f>
        <v>1674</v>
      </c>
      <c r="C64" s="81">
        <f>'6 - B1'!C64</f>
        <v>1800</v>
      </c>
      <c r="D64" s="81">
        <f>'6 - B1'!D64</f>
        <v>1682</v>
      </c>
      <c r="E64" s="81">
        <f>'6 - B1'!E64</f>
        <v>1698</v>
      </c>
      <c r="F64" s="81">
        <f>'6 - B1'!F64</f>
        <v>0</v>
      </c>
      <c r="G64" s="81">
        <f>'6 - B1'!G64</f>
        <v>2199</v>
      </c>
      <c r="H64" s="81">
        <f>'6 - B1'!H64</f>
        <v>2357</v>
      </c>
      <c r="I64" s="81">
        <f>'6 - B1'!I64</f>
        <v>2227</v>
      </c>
      <c r="J64" s="81">
        <f>'6 - B1'!J64</f>
        <v>2186</v>
      </c>
      <c r="K64" s="81">
        <f>'6 - B1'!K64</f>
        <v>2093</v>
      </c>
      <c r="L64" s="81">
        <f>'6 - B1'!L64</f>
        <v>0</v>
      </c>
      <c r="M64" s="81">
        <f>'6 - B1'!M64</f>
        <v>0</v>
      </c>
      <c r="N64" s="81">
        <f>'6 - B1'!N64</f>
        <v>0</v>
      </c>
      <c r="O64" s="81">
        <f>'6 - B1'!O64</f>
        <v>0</v>
      </c>
      <c r="P64" s="81">
        <f>'6 - B1'!P64</f>
        <v>0</v>
      </c>
    </row>
    <row r="65" spans="1:16" x14ac:dyDescent="0.35">
      <c r="A65" s="81">
        <f>'6 - B1'!A65</f>
        <v>16</v>
      </c>
      <c r="B65" s="81">
        <f>'6 - B1'!B65</f>
        <v>1282</v>
      </c>
      <c r="C65" s="81">
        <f>'6 - B1'!C65</f>
        <v>1374</v>
      </c>
      <c r="D65" s="81">
        <f>'6 - B1'!D65</f>
        <v>1314</v>
      </c>
      <c r="E65" s="81">
        <f>'6 - B1'!E65</f>
        <v>1291</v>
      </c>
      <c r="F65" s="81">
        <f>'6 - B1'!F65</f>
        <v>0</v>
      </c>
      <c r="G65" s="81">
        <f>'6 - B1'!G65</f>
        <v>1706</v>
      </c>
      <c r="H65" s="81">
        <f>'6 - B1'!H65</f>
        <v>1824</v>
      </c>
      <c r="I65" s="81">
        <f>'6 - B1'!I65</f>
        <v>1699</v>
      </c>
      <c r="J65" s="81">
        <f>'6 - B1'!J65</f>
        <v>1697</v>
      </c>
      <c r="K65" s="81">
        <f>'6 - B1'!K65</f>
        <v>1648</v>
      </c>
      <c r="L65" s="81">
        <f>'6 - B1'!L65</f>
        <v>0</v>
      </c>
      <c r="M65" s="81">
        <f>'6 - B1'!M65</f>
        <v>0</v>
      </c>
      <c r="N65" s="81">
        <f>'6 - B1'!N65</f>
        <v>0</v>
      </c>
      <c r="O65" s="81">
        <f>'6 - B1'!O65</f>
        <v>0</v>
      </c>
      <c r="P65" s="81">
        <f>'6 - B1'!P65</f>
        <v>0</v>
      </c>
    </row>
    <row r="66" spans="1:16" x14ac:dyDescent="0.35">
      <c r="A66" s="81">
        <f>'6 - B1'!A66</f>
        <v>17</v>
      </c>
      <c r="B66" s="81">
        <f>'6 - B1'!B66</f>
        <v>974</v>
      </c>
      <c r="C66" s="81">
        <f>'6 - B1'!C66</f>
        <v>1047</v>
      </c>
      <c r="D66" s="81">
        <f>'6 - B1'!D66</f>
        <v>1000</v>
      </c>
      <c r="E66" s="81">
        <f>'6 - B1'!E66</f>
        <v>983</v>
      </c>
      <c r="F66" s="81">
        <f>'6 - B1'!F66</f>
        <v>0</v>
      </c>
      <c r="G66" s="81">
        <f>'6 - B1'!G66</f>
        <v>1309</v>
      </c>
      <c r="H66" s="81">
        <f>'6 - B1'!H66</f>
        <v>1424</v>
      </c>
      <c r="I66" s="81">
        <f>'6 - B1'!I66</f>
        <v>1290</v>
      </c>
      <c r="J66" s="81">
        <f>'6 - B1'!J66</f>
        <v>1305</v>
      </c>
      <c r="K66" s="81">
        <f>'6 - B1'!K66</f>
        <v>1252</v>
      </c>
      <c r="L66" s="81">
        <f>'6 - B1'!L66</f>
        <v>0</v>
      </c>
      <c r="M66" s="81">
        <f>'6 - B1'!M66</f>
        <v>0</v>
      </c>
      <c r="N66" s="81">
        <f>'6 - B1'!N66</f>
        <v>0</v>
      </c>
      <c r="O66" s="81">
        <f>'6 - B1'!O66</f>
        <v>0</v>
      </c>
      <c r="P66" s="81">
        <f>'6 - B1'!P66</f>
        <v>0</v>
      </c>
    </row>
    <row r="67" spans="1:16" x14ac:dyDescent="0.35">
      <c r="A67" s="81">
        <f>'6 - B1'!A67</f>
        <v>18</v>
      </c>
      <c r="B67" s="81">
        <f>'6 - B1'!B67</f>
        <v>769</v>
      </c>
      <c r="C67" s="81">
        <f>'6 - B1'!C67</f>
        <v>825</v>
      </c>
      <c r="D67" s="81">
        <f>'6 - B1'!D67</f>
        <v>753</v>
      </c>
      <c r="E67" s="81">
        <f>'6 - B1'!E67</f>
        <v>745</v>
      </c>
      <c r="F67" s="81">
        <f>'6 - B1'!F67</f>
        <v>0</v>
      </c>
      <c r="G67" s="81">
        <f>'6 - B1'!G67</f>
        <v>1005</v>
      </c>
      <c r="H67" s="81">
        <f>'6 - B1'!H67</f>
        <v>1091</v>
      </c>
      <c r="I67" s="81">
        <f>'6 - B1'!I67</f>
        <v>991</v>
      </c>
      <c r="J67" s="81">
        <f>'6 - B1'!J67</f>
        <v>1035</v>
      </c>
      <c r="K67" s="81">
        <f>'6 - B1'!K67</f>
        <v>957</v>
      </c>
      <c r="L67" s="81">
        <f>'6 - B1'!L67</f>
        <v>0</v>
      </c>
      <c r="M67" s="81">
        <f>'6 - B1'!M67</f>
        <v>0</v>
      </c>
      <c r="N67" s="81">
        <f>'6 - B1'!N67</f>
        <v>0</v>
      </c>
      <c r="O67" s="81">
        <f>'6 - B1'!O67</f>
        <v>0</v>
      </c>
      <c r="P67" s="81">
        <f>'6 - B1'!P67</f>
        <v>0</v>
      </c>
    </row>
    <row r="68" spans="1:16" x14ac:dyDescent="0.35">
      <c r="A68" s="81">
        <f>'6 - B1'!A68</f>
        <v>19</v>
      </c>
      <c r="B68" s="81">
        <f>'6 - B1'!B68</f>
        <v>611</v>
      </c>
      <c r="C68" s="81">
        <f>'6 - B1'!C68</f>
        <v>663</v>
      </c>
      <c r="D68" s="81">
        <f>'6 - B1'!D68</f>
        <v>605</v>
      </c>
      <c r="E68" s="81">
        <f>'6 - B1'!E68</f>
        <v>591</v>
      </c>
      <c r="F68" s="81">
        <f>'6 - B1'!F68</f>
        <v>0</v>
      </c>
      <c r="G68" s="81">
        <f>'6 - B1'!G68</f>
        <v>785</v>
      </c>
      <c r="H68" s="81">
        <f>'6 - B1'!H68</f>
        <v>824</v>
      </c>
      <c r="I68" s="81">
        <f>'6 - B1'!I68</f>
        <v>760</v>
      </c>
      <c r="J68" s="81">
        <f>'6 - B1'!J68</f>
        <v>795</v>
      </c>
      <c r="K68" s="81">
        <f>'6 - B1'!K68</f>
        <v>726</v>
      </c>
      <c r="L68" s="81">
        <f>'6 - B1'!L68</f>
        <v>0</v>
      </c>
      <c r="M68" s="81">
        <f>'6 - B1'!M68</f>
        <v>0</v>
      </c>
      <c r="N68" s="81">
        <f>'6 - B1'!N68</f>
        <v>0</v>
      </c>
      <c r="O68" s="81">
        <f>'6 - B1'!O68</f>
        <v>0</v>
      </c>
      <c r="P68" s="81">
        <f>'6 - B1'!P68</f>
        <v>0</v>
      </c>
    </row>
    <row r="69" spans="1:16" x14ac:dyDescent="0.35">
      <c r="A69" s="81">
        <f>'6 - B1'!A69</f>
        <v>20</v>
      </c>
      <c r="B69" s="81">
        <f>'6 - B1'!B69</f>
        <v>480</v>
      </c>
      <c r="C69" s="81">
        <f>'6 - B1'!C69</f>
        <v>530</v>
      </c>
      <c r="D69" s="81">
        <f>'6 - B1'!D69</f>
        <v>464</v>
      </c>
      <c r="E69" s="81">
        <f>'6 - B1'!E69</f>
        <v>468</v>
      </c>
      <c r="F69" s="81">
        <f>'6 - B1'!F69</f>
        <v>0</v>
      </c>
      <c r="G69" s="81">
        <f>'6 - B1'!G69</f>
        <v>602</v>
      </c>
      <c r="H69" s="81">
        <f>'6 - B1'!H69</f>
        <v>644</v>
      </c>
      <c r="I69" s="81">
        <f>'6 - B1'!I69</f>
        <v>588</v>
      </c>
      <c r="J69" s="81">
        <f>'6 - B1'!J69</f>
        <v>588</v>
      </c>
      <c r="K69" s="81">
        <f>'6 - B1'!K69</f>
        <v>556</v>
      </c>
      <c r="L69" s="81">
        <f>'6 - B1'!L69</f>
        <v>0</v>
      </c>
      <c r="M69" s="81">
        <f>'6 - B1'!M69</f>
        <v>0</v>
      </c>
      <c r="N69" s="81">
        <f>'6 - B1'!N69</f>
        <v>0</v>
      </c>
      <c r="O69" s="81">
        <f>'6 - B1'!O69</f>
        <v>0</v>
      </c>
      <c r="P69" s="81">
        <f>'6 - B1'!P69</f>
        <v>0</v>
      </c>
    </row>
    <row r="70" spans="1:16" x14ac:dyDescent="0.35">
      <c r="A70" s="81">
        <f>'6 - B1'!A70</f>
        <v>21</v>
      </c>
      <c r="B70" s="81">
        <f>'6 - B1'!B70</f>
        <v>358</v>
      </c>
      <c r="C70" s="81">
        <f>'6 - B1'!C70</f>
        <v>414</v>
      </c>
      <c r="D70" s="81">
        <f>'6 - B1'!D70</f>
        <v>367</v>
      </c>
      <c r="E70" s="81">
        <f>'6 - B1'!E70</f>
        <v>365</v>
      </c>
      <c r="F70" s="81">
        <f>'6 - B1'!F70</f>
        <v>0</v>
      </c>
      <c r="G70" s="81">
        <f>'6 - B1'!G70</f>
        <v>474</v>
      </c>
      <c r="H70" s="81">
        <f>'6 - B1'!H70</f>
        <v>511</v>
      </c>
      <c r="I70" s="81">
        <f>'6 - B1'!I70</f>
        <v>466</v>
      </c>
      <c r="J70" s="81">
        <f>'6 - B1'!J70</f>
        <v>447</v>
      </c>
      <c r="K70" s="81">
        <f>'6 - B1'!K70</f>
        <v>418</v>
      </c>
      <c r="L70" s="81">
        <f>'6 - B1'!L70</f>
        <v>0</v>
      </c>
      <c r="M70" s="81">
        <f>'6 - B1'!M70</f>
        <v>0</v>
      </c>
      <c r="N70" s="81">
        <f>'6 - B1'!N70</f>
        <v>0</v>
      </c>
      <c r="O70" s="81">
        <f>'6 - B1'!O70</f>
        <v>0</v>
      </c>
      <c r="P70" s="81">
        <f>'6 - B1'!P70</f>
        <v>0</v>
      </c>
    </row>
    <row r="71" spans="1:16" x14ac:dyDescent="0.35">
      <c r="A71" s="81">
        <f>'6 - B1'!A71</f>
        <v>22</v>
      </c>
      <c r="B71" s="81">
        <f>'6 - B1'!B71</f>
        <v>286</v>
      </c>
      <c r="C71" s="81">
        <f>'6 - B1'!C71</f>
        <v>328</v>
      </c>
      <c r="D71" s="81">
        <f>'6 - B1'!D71</f>
        <v>295</v>
      </c>
      <c r="E71" s="81">
        <f>'6 - B1'!E71</f>
        <v>280</v>
      </c>
      <c r="F71" s="81">
        <f>'6 - B1'!F71</f>
        <v>0</v>
      </c>
      <c r="G71" s="81">
        <f>'6 - B1'!G71</f>
        <v>371</v>
      </c>
      <c r="H71" s="81">
        <f>'6 - B1'!H71</f>
        <v>390</v>
      </c>
      <c r="I71" s="81">
        <f>'6 - B1'!I71</f>
        <v>347</v>
      </c>
      <c r="J71" s="81">
        <f>'6 - B1'!J71</f>
        <v>338</v>
      </c>
      <c r="K71" s="81">
        <f>'6 - B1'!K71</f>
        <v>334</v>
      </c>
      <c r="L71" s="81">
        <f>'6 - B1'!L71</f>
        <v>0</v>
      </c>
      <c r="M71" s="81">
        <f>'6 - B1'!M71</f>
        <v>0</v>
      </c>
      <c r="N71" s="81">
        <f>'6 - B1'!N71</f>
        <v>0</v>
      </c>
      <c r="O71" s="81">
        <f>'6 - B1'!O71</f>
        <v>0</v>
      </c>
      <c r="P71" s="81">
        <f>'6 - B1'!P71</f>
        <v>0</v>
      </c>
    </row>
    <row r="72" spans="1:16" x14ac:dyDescent="0.35">
      <c r="A72" s="81">
        <f>'6 - B1'!A72</f>
        <v>23</v>
      </c>
      <c r="B72" s="81">
        <f>'6 - B1'!B72</f>
        <v>239</v>
      </c>
      <c r="C72" s="81">
        <f>'6 - B1'!C72</f>
        <v>245</v>
      </c>
      <c r="D72" s="81">
        <f>'6 - B1'!D72</f>
        <v>232</v>
      </c>
      <c r="E72" s="81">
        <f>'6 - B1'!E72</f>
        <v>214</v>
      </c>
      <c r="F72" s="81">
        <f>'6 - B1'!F72</f>
        <v>0</v>
      </c>
      <c r="G72" s="81">
        <f>'6 - B1'!G72</f>
        <v>271</v>
      </c>
      <c r="H72" s="81">
        <f>'6 - B1'!H72</f>
        <v>302</v>
      </c>
      <c r="I72" s="81">
        <f>'6 - B1'!I72</f>
        <v>257</v>
      </c>
      <c r="J72" s="81">
        <f>'6 - B1'!J72</f>
        <v>253</v>
      </c>
      <c r="K72" s="81">
        <f>'6 - B1'!K72</f>
        <v>259</v>
      </c>
      <c r="L72" s="81">
        <f>'6 - B1'!L72</f>
        <v>0</v>
      </c>
      <c r="M72" s="81">
        <f>'6 - B1'!M72</f>
        <v>0</v>
      </c>
      <c r="N72" s="81">
        <f>'6 - B1'!N72</f>
        <v>0</v>
      </c>
      <c r="O72" s="81">
        <f>'6 - B1'!O72</f>
        <v>0</v>
      </c>
      <c r="P72" s="81">
        <f>'6 - B1'!P72</f>
        <v>0</v>
      </c>
    </row>
    <row r="73" spans="1:16" x14ac:dyDescent="0.35">
      <c r="A73" s="81">
        <f>'6 - B1'!A73</f>
        <v>24</v>
      </c>
      <c r="B73" s="81">
        <f>'6 - B1'!B73</f>
        <v>194</v>
      </c>
      <c r="C73" s="81">
        <f>'6 - B1'!C73</f>
        <v>187</v>
      </c>
      <c r="D73" s="81">
        <f>'6 - B1'!D73</f>
        <v>169</v>
      </c>
      <c r="E73" s="81">
        <f>'6 - B1'!E73</f>
        <v>164</v>
      </c>
      <c r="F73" s="81">
        <f>'6 - B1'!F73</f>
        <v>0</v>
      </c>
      <c r="G73" s="81">
        <f>'6 - B1'!G73</f>
        <v>204</v>
      </c>
      <c r="H73" s="81">
        <f>'6 - B1'!H73</f>
        <v>218</v>
      </c>
      <c r="I73" s="81">
        <f>'6 - B1'!I73</f>
        <v>193</v>
      </c>
      <c r="J73" s="81">
        <f>'6 - B1'!J73</f>
        <v>203</v>
      </c>
      <c r="K73" s="81">
        <f>'6 - B1'!K73</f>
        <v>195</v>
      </c>
      <c r="L73" s="81">
        <f>'6 - B1'!L73</f>
        <v>0</v>
      </c>
      <c r="M73" s="81">
        <f>'6 - B1'!M73</f>
        <v>0</v>
      </c>
      <c r="N73" s="81">
        <f>'6 - B1'!N73</f>
        <v>0</v>
      </c>
      <c r="O73" s="81">
        <f>'6 - B1'!O73</f>
        <v>0</v>
      </c>
      <c r="P73" s="81">
        <f>'6 - B1'!P73</f>
        <v>0</v>
      </c>
    </row>
    <row r="74" spans="1:16" x14ac:dyDescent="0.35">
      <c r="A74" s="81">
        <f>'6 - B1'!A74</f>
        <v>25</v>
      </c>
      <c r="B74" s="81">
        <f>'6 - B1'!B74</f>
        <v>145</v>
      </c>
      <c r="C74" s="81">
        <f>'6 - B1'!C74</f>
        <v>154</v>
      </c>
      <c r="D74" s="81">
        <f>'6 - B1'!D74</f>
        <v>130</v>
      </c>
      <c r="E74" s="81">
        <f>'6 - B1'!E74</f>
        <v>131</v>
      </c>
      <c r="F74" s="81">
        <f>'6 - B1'!F74</f>
        <v>0</v>
      </c>
      <c r="G74" s="81">
        <f>'6 - B1'!G74</f>
        <v>149</v>
      </c>
      <c r="H74" s="81">
        <f>'6 - B1'!H74</f>
        <v>169</v>
      </c>
      <c r="I74" s="81">
        <f>'6 - B1'!I74</f>
        <v>139</v>
      </c>
      <c r="J74" s="81">
        <f>'6 - B1'!J74</f>
        <v>156</v>
      </c>
      <c r="K74" s="81">
        <f>'6 - B1'!K74</f>
        <v>154</v>
      </c>
      <c r="L74" s="81">
        <f>'6 - B1'!L74</f>
        <v>0</v>
      </c>
      <c r="M74" s="81">
        <f>'6 - B1'!M74</f>
        <v>0</v>
      </c>
      <c r="N74" s="81">
        <f>'6 - B1'!N74</f>
        <v>0</v>
      </c>
      <c r="O74" s="81">
        <f>'6 - B1'!O74</f>
        <v>0</v>
      </c>
      <c r="P74" s="81">
        <f>'6 - B1'!P74</f>
        <v>0</v>
      </c>
    </row>
    <row r="75" spans="1:16" x14ac:dyDescent="0.35">
      <c r="A75" s="81">
        <f>'6 - B1'!A75</f>
        <v>26</v>
      </c>
      <c r="B75" s="81">
        <f>'6 - B1'!B75</f>
        <v>107</v>
      </c>
      <c r="C75" s="81">
        <f>'6 - B1'!C75</f>
        <v>117</v>
      </c>
      <c r="D75" s="81">
        <f>'6 - B1'!D75</f>
        <v>98</v>
      </c>
      <c r="E75" s="81">
        <f>'6 - B1'!E75</f>
        <v>101</v>
      </c>
      <c r="F75" s="81">
        <f>'6 - B1'!F75</f>
        <v>0</v>
      </c>
      <c r="G75" s="81">
        <f>'6 - B1'!G75</f>
        <v>107</v>
      </c>
      <c r="H75" s="81">
        <f>'6 - B1'!H75</f>
        <v>135</v>
      </c>
      <c r="I75" s="81">
        <f>'6 - B1'!I75</f>
        <v>103</v>
      </c>
      <c r="J75" s="81">
        <f>'6 - B1'!J75</f>
        <v>120</v>
      </c>
      <c r="K75" s="81">
        <f>'6 - B1'!K75</f>
        <v>115</v>
      </c>
      <c r="L75" s="81">
        <f>'6 - B1'!L75</f>
        <v>0</v>
      </c>
      <c r="M75" s="81">
        <f>'6 - B1'!M75</f>
        <v>0</v>
      </c>
      <c r="N75" s="81">
        <f>'6 - B1'!N75</f>
        <v>0</v>
      </c>
      <c r="O75" s="81">
        <f>'6 - B1'!O75</f>
        <v>0</v>
      </c>
      <c r="P75" s="81">
        <f>'6 - B1'!P75</f>
        <v>0</v>
      </c>
    </row>
    <row r="76" spans="1:16" x14ac:dyDescent="0.35">
      <c r="A76" s="81">
        <f>'6 - B1'!A76</f>
        <v>27</v>
      </c>
      <c r="B76" s="81">
        <f>'6 - B1'!B76</f>
        <v>80</v>
      </c>
      <c r="C76" s="81">
        <f>'6 - B1'!C76</f>
        <v>84</v>
      </c>
      <c r="D76" s="81">
        <f>'6 - B1'!D76</f>
        <v>77</v>
      </c>
      <c r="E76" s="81">
        <f>'6 - B1'!E76</f>
        <v>73</v>
      </c>
      <c r="F76" s="81">
        <f>'6 - B1'!F76</f>
        <v>0</v>
      </c>
      <c r="G76" s="81">
        <f>'6 - B1'!G76</f>
        <v>86</v>
      </c>
      <c r="H76" s="81">
        <f>'6 - B1'!H76</f>
        <v>98</v>
      </c>
      <c r="I76" s="81">
        <f>'6 - B1'!I76</f>
        <v>73</v>
      </c>
      <c r="J76" s="81">
        <f>'6 - B1'!J76</f>
        <v>88</v>
      </c>
      <c r="K76" s="81">
        <f>'6 - B1'!K76</f>
        <v>73</v>
      </c>
      <c r="L76" s="81">
        <f>'6 - B1'!L76</f>
        <v>0</v>
      </c>
      <c r="M76" s="81">
        <f>'6 - B1'!M76</f>
        <v>0</v>
      </c>
      <c r="N76" s="81">
        <f>'6 - B1'!N76</f>
        <v>0</v>
      </c>
      <c r="O76" s="81">
        <f>'6 - B1'!O76</f>
        <v>0</v>
      </c>
      <c r="P76" s="81">
        <f>'6 - B1'!P76</f>
        <v>0</v>
      </c>
    </row>
    <row r="77" spans="1:16" x14ac:dyDescent="0.35">
      <c r="A77" s="81">
        <f>'6 - B1'!A77</f>
        <v>28</v>
      </c>
      <c r="B77" s="81">
        <f>'6 - B1'!B77</f>
        <v>56</v>
      </c>
      <c r="C77" s="81">
        <f>'6 - B1'!C77</f>
        <v>64</v>
      </c>
      <c r="D77" s="81">
        <f>'6 - B1'!D77</f>
        <v>51</v>
      </c>
      <c r="E77" s="81">
        <f>'6 - B1'!E77</f>
        <v>54</v>
      </c>
      <c r="F77" s="81">
        <f>'6 - B1'!F77</f>
        <v>0</v>
      </c>
      <c r="G77" s="81">
        <f>'6 - B1'!G77</f>
        <v>64</v>
      </c>
      <c r="H77" s="81">
        <f>'6 - B1'!H77</f>
        <v>74</v>
      </c>
      <c r="I77" s="81">
        <f>'6 - B1'!I77</f>
        <v>45</v>
      </c>
      <c r="J77" s="81">
        <f>'6 - B1'!J77</f>
        <v>63</v>
      </c>
      <c r="K77" s="81">
        <f>'6 - B1'!K77</f>
        <v>52</v>
      </c>
      <c r="L77" s="81">
        <f>'6 - B1'!L77</f>
        <v>0</v>
      </c>
      <c r="M77" s="81">
        <f>'6 - B1'!M77</f>
        <v>0</v>
      </c>
      <c r="N77" s="81">
        <f>'6 - B1'!N77</f>
        <v>0</v>
      </c>
      <c r="O77" s="81">
        <f>'6 - B1'!O77</f>
        <v>0</v>
      </c>
      <c r="P77" s="81">
        <f>'6 - B1'!P77</f>
        <v>0</v>
      </c>
    </row>
    <row r="78" spans="1:16" x14ac:dyDescent="0.35">
      <c r="A78" s="81">
        <f>'6 - B1'!A78</f>
        <v>29</v>
      </c>
      <c r="B78" s="81">
        <f>'6 - B1'!B78</f>
        <v>38</v>
      </c>
      <c r="C78" s="81">
        <f>'6 - B1'!C78</f>
        <v>56</v>
      </c>
      <c r="D78" s="81">
        <f>'6 - B1'!D78</f>
        <v>41</v>
      </c>
      <c r="E78" s="81">
        <f>'6 - B1'!E78</f>
        <v>39</v>
      </c>
      <c r="F78" s="81">
        <f>'6 - B1'!F78</f>
        <v>0</v>
      </c>
      <c r="G78" s="81">
        <f>'6 - B1'!G78</f>
        <v>42</v>
      </c>
      <c r="H78" s="81">
        <f>'6 - B1'!H78</f>
        <v>55</v>
      </c>
      <c r="I78" s="81">
        <f>'6 - B1'!I78</f>
        <v>32</v>
      </c>
      <c r="J78" s="81">
        <f>'6 - B1'!J78</f>
        <v>45</v>
      </c>
      <c r="K78" s="81">
        <f>'6 - B1'!K78</f>
        <v>39</v>
      </c>
      <c r="L78" s="81">
        <f>'6 - B1'!L78</f>
        <v>0</v>
      </c>
      <c r="M78" s="81">
        <f>'6 - B1'!M78</f>
        <v>0</v>
      </c>
      <c r="N78" s="81">
        <f>'6 - B1'!N78</f>
        <v>0</v>
      </c>
      <c r="O78" s="81">
        <f>'6 - B1'!O78</f>
        <v>0</v>
      </c>
      <c r="P78" s="81">
        <f>'6 - B1'!P78</f>
        <v>0</v>
      </c>
    </row>
    <row r="79" spans="1:16" x14ac:dyDescent="0.35">
      <c r="A79" s="81">
        <f>'6 - B1'!A79</f>
        <v>30</v>
      </c>
      <c r="B79" s="81">
        <f>'6 - B1'!B79</f>
        <v>30</v>
      </c>
      <c r="C79" s="81">
        <f>'6 - B1'!C79</f>
        <v>42</v>
      </c>
      <c r="D79" s="81">
        <f>'6 - B1'!D79</f>
        <v>29</v>
      </c>
      <c r="E79" s="81">
        <f>'6 - B1'!E79</f>
        <v>25</v>
      </c>
      <c r="F79" s="81">
        <f>'6 - B1'!F79</f>
        <v>0</v>
      </c>
      <c r="G79" s="81">
        <f>'6 - B1'!G79</f>
        <v>32</v>
      </c>
      <c r="H79" s="81">
        <f>'6 - B1'!H79</f>
        <v>38</v>
      </c>
      <c r="I79" s="81">
        <f>'6 - B1'!I79</f>
        <v>24</v>
      </c>
      <c r="J79" s="81">
        <f>'6 - B1'!J79</f>
        <v>35</v>
      </c>
      <c r="K79" s="84">
        <f>'6 - B1'!K79</f>
        <v>27</v>
      </c>
      <c r="L79" s="81">
        <f>'6 - B1'!L79</f>
        <v>0</v>
      </c>
      <c r="M79" s="81">
        <f>'6 - B1'!M79</f>
        <v>0</v>
      </c>
      <c r="N79" s="81">
        <f>'6 - B1'!N79</f>
        <v>0</v>
      </c>
      <c r="O79" s="81">
        <f>'6 - B1'!O79</f>
        <v>0</v>
      </c>
      <c r="P79" s="81">
        <f>'6 - B1'!P79</f>
        <v>0</v>
      </c>
    </row>
    <row r="80" spans="1:16" x14ac:dyDescent="0.35">
      <c r="A80" s="81">
        <f>'6 - B1'!A80</f>
        <v>38</v>
      </c>
      <c r="B80" s="81">
        <f>'6 - B1'!B80</f>
        <v>18</v>
      </c>
      <c r="C80" s="81">
        <f>'6 - B1'!C80</f>
        <v>33</v>
      </c>
      <c r="D80" s="81">
        <f>'6 - B1'!D80</f>
        <v>22</v>
      </c>
      <c r="E80" s="81">
        <f>'6 - B1'!E80</f>
        <v>18</v>
      </c>
      <c r="F80" s="81">
        <f>'6 - B1'!F80</f>
        <v>0</v>
      </c>
      <c r="G80" s="81">
        <f>'6 - B1'!G80</f>
        <v>20</v>
      </c>
      <c r="H80" s="81">
        <f>'6 - B1'!H80</f>
        <v>27</v>
      </c>
      <c r="I80" s="81">
        <f>'6 - B1'!I80</f>
        <v>14</v>
      </c>
      <c r="J80" s="81">
        <f>'6 - B1'!J80</f>
        <v>23</v>
      </c>
      <c r="K80" s="81">
        <f>'6 - B1'!K80</f>
        <v>19</v>
      </c>
      <c r="L80" s="81">
        <f>'6 - B1'!L80</f>
        <v>0</v>
      </c>
      <c r="M80" s="81">
        <f>'6 - B1'!M80</f>
        <v>0</v>
      </c>
      <c r="N80" s="81">
        <f>'6 - B1'!N80</f>
        <v>0</v>
      </c>
      <c r="O80" s="81">
        <f>'6 - B1'!O80</f>
        <v>0</v>
      </c>
      <c r="P80" s="81">
        <f>'6 - B1'!P80</f>
        <v>0</v>
      </c>
    </row>
    <row r="81" spans="1:16" x14ac:dyDescent="0.35">
      <c r="A81" s="81">
        <f>'6 - B1'!A81</f>
        <v>50</v>
      </c>
      <c r="B81" s="81">
        <f>'6 - B1'!B81</f>
        <v>12</v>
      </c>
      <c r="C81" s="81">
        <f>'6 - B1'!C81</f>
        <v>20</v>
      </c>
      <c r="D81" s="81">
        <f>'6 - B1'!D81</f>
        <v>14</v>
      </c>
      <c r="E81" s="81">
        <f>'6 - B1'!E81</f>
        <v>12</v>
      </c>
      <c r="F81" s="81">
        <f>'6 - B1'!F81</f>
        <v>0</v>
      </c>
      <c r="G81" s="81">
        <f>'6 - B1'!G81</f>
        <v>12</v>
      </c>
      <c r="H81" s="81">
        <f>'6 - B1'!H81</f>
        <v>19</v>
      </c>
      <c r="I81" s="81">
        <f>'6 - B1'!I81</f>
        <v>6</v>
      </c>
      <c r="J81" s="81">
        <f>'6 - B1'!J81</f>
        <v>15</v>
      </c>
      <c r="K81" s="81">
        <f>'6 - B1'!K81</f>
        <v>12</v>
      </c>
      <c r="L81" s="81">
        <f>'6 - B1'!L81</f>
        <v>0</v>
      </c>
      <c r="M81" s="81">
        <f>'6 - B1'!M81</f>
        <v>0</v>
      </c>
      <c r="N81" s="81">
        <f>'6 - B1'!N81</f>
        <v>0</v>
      </c>
      <c r="O81" s="81">
        <f>'6 - B1'!O81</f>
        <v>0</v>
      </c>
      <c r="P81" s="81">
        <f>'6 - B1'!P81</f>
        <v>0</v>
      </c>
    </row>
    <row r="82" spans="1:16" x14ac:dyDescent="0.35">
      <c r="A82" s="81">
        <f>'6 - B1'!A82</f>
        <v>70</v>
      </c>
      <c r="B82" s="81">
        <f>'6 - B1'!B82</f>
        <v>7</v>
      </c>
      <c r="C82" s="81">
        <f>'6 - B1'!C82</f>
        <v>15</v>
      </c>
      <c r="D82" s="81">
        <f>'6 - B1'!D82</f>
        <v>8</v>
      </c>
      <c r="E82" s="81">
        <f>'6 - B1'!E82</f>
        <v>9</v>
      </c>
      <c r="F82" s="81">
        <f>'6 - B1'!F82</f>
        <v>0</v>
      </c>
      <c r="G82" s="81">
        <f>'6 - B1'!G82</f>
        <v>9</v>
      </c>
      <c r="H82" s="81">
        <f>'6 - B1'!H82</f>
        <v>14</v>
      </c>
      <c r="I82" s="81">
        <f>'6 - B1'!I82</f>
        <v>2</v>
      </c>
      <c r="J82" s="81">
        <f>'6 - B1'!J82</f>
        <v>8</v>
      </c>
      <c r="K82" s="81">
        <f>'6 - B1'!K82</f>
        <v>8</v>
      </c>
      <c r="L82" s="81">
        <f>'6 - B1'!L82</f>
        <v>0</v>
      </c>
      <c r="M82" s="81">
        <f>'6 - B1'!M82</f>
        <v>0</v>
      </c>
      <c r="N82" s="81">
        <f>'6 - B1'!N82</f>
        <v>0</v>
      </c>
      <c r="O82" s="81">
        <f>'6 - B1'!O82</f>
        <v>0</v>
      </c>
      <c r="P82" s="81">
        <f>'6 - B1'!P82</f>
        <v>0</v>
      </c>
    </row>
  </sheetData>
  <conditionalFormatting sqref="H9:H40">
    <cfRule type="cellIs" dxfId="17" priority="2" operator="greaterThan">
      <formula>1000</formula>
    </cfRule>
  </conditionalFormatting>
  <conditionalFormatting sqref="K9:K40">
    <cfRule type="cellIs" dxfId="1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zoomScaleNormal="100" workbookViewId="0">
      <selection activeCell="I43" sqref="I43"/>
    </sheetView>
  </sheetViews>
  <sheetFormatPr defaultColWidth="11.53125" defaultRowHeight="12.75" x14ac:dyDescent="0.35"/>
  <cols>
    <col min="11" max="11" width="27.6640625" customWidth="1"/>
    <col min="12" max="12" width="13.73046875" customWidth="1"/>
  </cols>
  <sheetData>
    <row r="1" spans="1:17" ht="37.25" customHeight="1" thickBot="1" x14ac:dyDescent="0.4">
      <c r="K1" s="184" t="s">
        <v>352</v>
      </c>
      <c r="L1" s="184"/>
      <c r="M1" s="184"/>
      <c r="N1" s="184"/>
      <c r="O1" s="184"/>
    </row>
    <row r="2" spans="1:17" ht="39.4" x14ac:dyDescent="0.5">
      <c r="A2" s="162"/>
      <c r="B2" s="168" t="s">
        <v>349</v>
      </c>
      <c r="C2" s="168" t="s">
        <v>350</v>
      </c>
      <c r="D2" s="168" t="s">
        <v>351</v>
      </c>
      <c r="E2" s="168" t="s">
        <v>348</v>
      </c>
      <c r="F2" s="168" t="s">
        <v>238</v>
      </c>
      <c r="G2" s="169" t="s">
        <v>146</v>
      </c>
      <c r="H2" s="170" t="s">
        <v>192</v>
      </c>
      <c r="K2" s="168" t="s">
        <v>193</v>
      </c>
      <c r="L2" s="168" t="s">
        <v>347</v>
      </c>
      <c r="M2" s="179" t="s">
        <v>353</v>
      </c>
      <c r="N2" s="168"/>
      <c r="O2" s="168"/>
      <c r="Q2" s="161"/>
    </row>
    <row r="3" spans="1:17" ht="13.15" thickBot="1" x14ac:dyDescent="0.4">
      <c r="B3" s="174" t="s">
        <v>38</v>
      </c>
      <c r="C3" s="174" t="s">
        <v>38</v>
      </c>
      <c r="D3" s="174" t="s">
        <v>38</v>
      </c>
      <c r="E3" s="174" t="s">
        <v>38</v>
      </c>
      <c r="F3" s="161"/>
      <c r="G3" s="57" t="s">
        <v>197</v>
      </c>
      <c r="H3" s="57" t="s">
        <v>38</v>
      </c>
      <c r="K3" s="174" t="s">
        <v>198</v>
      </c>
      <c r="L3" s="174" t="s">
        <v>38</v>
      </c>
      <c r="M3" s="174" t="s">
        <v>196</v>
      </c>
      <c r="N3" s="174"/>
      <c r="O3" s="174"/>
      <c r="Q3" s="161"/>
    </row>
    <row r="4" spans="1:17" x14ac:dyDescent="0.35">
      <c r="A4" s="162">
        <v>30</v>
      </c>
      <c r="B4" s="163">
        <f>'6 - B1'!$G$38/'6 - B1'!$B$6</f>
        <v>12.537032246374777</v>
      </c>
      <c r="C4" s="163">
        <f>'6 - B2'!$G$38/'6 - B2'!$B$6</f>
        <v>10.521415732802938</v>
      </c>
      <c r="D4" s="163" t="e">
        <f>'6 - B3'!$G$38/'6 - B3'!$B$6</f>
        <v>#DIV/0!</v>
      </c>
      <c r="E4" s="171" t="e">
        <f t="shared" ref="E4:E33" si="0">AVERAGE(B4:D4)</f>
        <v>#DIV/0!</v>
      </c>
      <c r="F4" s="164">
        <f>'Clause 6 Sizing Calibration'!G19</f>
        <v>20000.000000000033</v>
      </c>
      <c r="G4" s="162">
        <f>'6 - B1'!$L38+'6 - B2'!$L38+'6 - B3'!$L38</f>
        <v>13</v>
      </c>
      <c r="H4" s="163" t="e">
        <f>STDEVP('6 - B1'!$B38:F38,'6 - B2'!B38:F38,'6 - B3'!B38:F38)/SQRT(G4)/AVERAGE('6 - B1'!$B$6, '6 - B2'!$B$6, '6 - B3'!$B$6)</f>
        <v>#DIV/0!</v>
      </c>
      <c r="K4" s="162">
        <v>4</v>
      </c>
      <c r="L4" s="162">
        <v>10750.3</v>
      </c>
      <c r="M4" s="175">
        <f t="shared" ref="M4:M30" si="1">CubicSpline(L4,$E$4:$E$33,$F$4:$F$33)</f>
        <v>0</v>
      </c>
      <c r="N4" s="162"/>
      <c r="O4" s="163"/>
    </row>
    <row r="5" spans="1:17" x14ac:dyDescent="0.35">
      <c r="A5">
        <v>29</v>
      </c>
      <c r="B5" s="43">
        <f>'6 - B1'!$G$37/'6 - B1'!$B$6</f>
        <v>16.423235655440383</v>
      </c>
      <c r="C5" s="43">
        <f>'6 - B2'!$G$37/'6 - B2'!$B$6</f>
        <v>16.403789946136385</v>
      </c>
      <c r="D5" s="43" t="e">
        <f>'6 - B3'!$G$37/'6 - B3'!$B$6</f>
        <v>#DIV/0!</v>
      </c>
      <c r="E5" s="172" t="e">
        <f t="shared" si="0"/>
        <v>#DIV/0!</v>
      </c>
      <c r="F5" s="42">
        <f>'Clause 6 Sizing Calibration'!G20</f>
        <v>16950.541633315646</v>
      </c>
      <c r="G5">
        <f>'6 - B1'!$L37+'6 - B2'!$L37+'6 - B3'!$L37</f>
        <v>12</v>
      </c>
      <c r="H5" s="43" t="e">
        <f>STDEVP('6 - B1'!$B37:F37,'6 - B2'!B37:F37,'6 - B3'!B37:F37)/SQRT(G5)/AVERAGE('6 - B1'!$B$6, '6 - B2'!$B$6, '6 - B3'!$B$6)</f>
        <v>#DIV/0!</v>
      </c>
      <c r="K5">
        <v>5</v>
      </c>
      <c r="L5">
        <v>7121.1</v>
      </c>
      <c r="M5" s="176">
        <f t="shared" si="1"/>
        <v>0</v>
      </c>
      <c r="O5" s="43"/>
    </row>
    <row r="6" spans="1:17" x14ac:dyDescent="0.35">
      <c r="A6">
        <v>28</v>
      </c>
      <c r="B6" s="43">
        <f>'6 - B1'!$G$36/'6 - B1'!$B$6</f>
        <v>29.287064984104571</v>
      </c>
      <c r="C6" s="43">
        <f>'6 - B2'!$G$36/'6 - B2'!$B$6</f>
        <v>26.415686808015575</v>
      </c>
      <c r="D6" s="43" t="e">
        <f>'6 - B3'!$G$36/'6 - B3'!$B$6</f>
        <v>#DIV/0!</v>
      </c>
      <c r="E6" s="172" t="e">
        <f t="shared" si="0"/>
        <v>#DIV/0!</v>
      </c>
      <c r="F6" s="42">
        <f>'Clause 6 Sizing Calibration'!G21</f>
        <v>14366.043083138329</v>
      </c>
      <c r="G6">
        <f>'6 - B1'!$L36+'6 - B2'!$L36+'6 - B3'!$L36</f>
        <v>13</v>
      </c>
      <c r="H6" s="43" t="e">
        <f>STDEVP('6 - B1'!$B36:F36,'6 - B2'!B36:F36,'6 - B3'!B36:F36)/SQRT(G6)/AVERAGE('6 - B1'!$B$6, '6 - B2'!$B$6, '6 - B3'!$B$6)</f>
        <v>#DIV/0!</v>
      </c>
      <c r="K6">
        <v>6</v>
      </c>
      <c r="L6">
        <v>4729.1000000000004</v>
      </c>
      <c r="M6" s="176">
        <f t="shared" si="1"/>
        <v>0</v>
      </c>
      <c r="O6" s="43"/>
    </row>
    <row r="7" spans="1:17" x14ac:dyDescent="0.35">
      <c r="A7">
        <v>27</v>
      </c>
      <c r="B7" s="43">
        <f>'6 - B1'!$G$35/'6 - B1'!$B$6</f>
        <v>40.624324165707257</v>
      </c>
      <c r="C7" s="43">
        <f>'6 - B2'!$G$35/'6 - B2'!$B$6</f>
        <v>40.03355301101093</v>
      </c>
      <c r="D7" s="43" t="e">
        <f>'6 - B3'!$G$35/'6 - B3'!$B$6</f>
        <v>#DIV/0!</v>
      </c>
      <c r="E7" s="172" t="e">
        <f t="shared" si="0"/>
        <v>#DIV/0!</v>
      </c>
      <c r="F7" s="42">
        <f>'Clause 6 Sizing Calibration'!G22</f>
        <v>12175.610569337106</v>
      </c>
      <c r="G7">
        <f>'6 - B1'!$L35+'6 - B2'!$L35+'6 - B3'!$L35</f>
        <v>13</v>
      </c>
      <c r="H7" s="43" t="e">
        <f>STDEVP('6 - B1'!$B35:F35,'6 - B2'!B35:F35,'6 - B3'!B35:F35)/SQRT(G7)/AVERAGE('6 - B1'!$B$6, '6 - B2'!$B$6, '6 - B3'!$B$6)</f>
        <v>#DIV/0!</v>
      </c>
      <c r="K7">
        <v>7</v>
      </c>
      <c r="L7">
        <v>3199.3</v>
      </c>
      <c r="M7" s="176">
        <f t="shared" si="1"/>
        <v>0</v>
      </c>
      <c r="O7" s="43"/>
    </row>
    <row r="8" spans="1:17" x14ac:dyDescent="0.35">
      <c r="A8">
        <v>26</v>
      </c>
      <c r="B8" s="43">
        <f>'6 - B1'!$G$34/'6 - B1'!$B$6</f>
        <v>56.054339376623794</v>
      </c>
      <c r="C8" s="43">
        <f>'6 - B2'!$G$34/'6 - B2'!$B$6</f>
        <v>54.639154241497977</v>
      </c>
      <c r="D8" s="43" t="e">
        <f>'6 - B3'!$G$34/'6 - B3'!$B$6</f>
        <v>#DIV/0!</v>
      </c>
      <c r="E8" s="172" t="e">
        <f t="shared" si="0"/>
        <v>#DIV/0!</v>
      </c>
      <c r="F8" s="42">
        <f>'Clause 6 Sizing Calibration'!G23</f>
        <v>10319.159693329315</v>
      </c>
      <c r="G8">
        <f>'6 - B1'!$L34+'6 - B2'!$L34+'6 - B3'!$L34</f>
        <v>13</v>
      </c>
      <c r="H8" s="43" t="e">
        <f>STDEVP('6 - B1'!$B34:F34,'6 - B2'!B34:F34,'6 - B3'!B34:F34)/SQRT(G8)/AVERAGE('6 - B1'!$B$6, '6 - B2'!$B$6, '6 - B3'!$B$6)</f>
        <v>#DIV/0!</v>
      </c>
      <c r="K8">
        <v>8</v>
      </c>
      <c r="L8">
        <v>2280.6</v>
      </c>
      <c r="M8" s="176">
        <f t="shared" si="1"/>
        <v>0</v>
      </c>
      <c r="O8" s="43"/>
    </row>
    <row r="9" spans="1:17" x14ac:dyDescent="0.35">
      <c r="A9">
        <v>25</v>
      </c>
      <c r="B9" s="43">
        <f>'6 - B1'!$G$33/'6 - B1'!$B$6</f>
        <v>72.585271689922351</v>
      </c>
      <c r="C9" s="43">
        <f>'6 - B2'!$G$33/'6 - B2'!$B$6</f>
        <v>76.507693687044991</v>
      </c>
      <c r="D9" s="43" t="e">
        <f>'6 - B3'!$G$33/'6 - B3'!$B$6</f>
        <v>#DIV/0!</v>
      </c>
      <c r="E9" s="172" t="e">
        <f t="shared" si="0"/>
        <v>#DIV/0!</v>
      </c>
      <c r="F9" s="42">
        <f>'Clause 6 Sizing Calibration'!G24</f>
        <v>8745.7673001305484</v>
      </c>
      <c r="G9">
        <f>'6 - B1'!$L33+'6 - B2'!$L33+'6 - B3'!$L33</f>
        <v>13</v>
      </c>
      <c r="H9" s="43" t="e">
        <f>STDEVP('6 - B1'!$B33:F33,'6 - B2'!B33:F33,'6 - B3'!B33:F33)/SQRT(G9)/AVERAGE('6 - B1'!$B$6, '6 - B2'!$B$6, '6 - B3'!$B$6)</f>
        <v>#DIV/0!</v>
      </c>
      <c r="K9">
        <v>9</v>
      </c>
      <c r="L9">
        <v>1615</v>
      </c>
      <c r="M9" s="176">
        <f t="shared" si="1"/>
        <v>0</v>
      </c>
      <c r="O9" s="43"/>
    </row>
    <row r="10" spans="1:17" x14ac:dyDescent="0.35">
      <c r="A10">
        <v>24</v>
      </c>
      <c r="B10" s="43">
        <f>'6 - B1'!$G$32/'6 - B1'!$B$6</f>
        <v>101.34213260100574</v>
      </c>
      <c r="C10" s="43">
        <f>'6 - B2'!$G$32/'6 - B2'!$B$6</f>
        <v>107.28686864510034</v>
      </c>
      <c r="D10" s="43" t="e">
        <f>'6 - B3'!$G$32/'6 - B3'!$B$6</f>
        <v>#DIV/0!</v>
      </c>
      <c r="E10" s="172" t="e">
        <f t="shared" si="0"/>
        <v>#DIV/0!</v>
      </c>
      <c r="F10" s="42">
        <f>'Clause 6 Sizing Calibration'!G25</f>
        <v>7412.2746368076596</v>
      </c>
      <c r="G10">
        <f>'6 - B1'!$L32+'6 - B2'!$L32+'6 - B3'!$L32</f>
        <v>13</v>
      </c>
      <c r="H10" s="43" t="e">
        <f>STDEVP('6 - B1'!$B32:F32,'6 - B2'!B32:F32,'6 - B3'!B32:F32)/SQRT(G10)/AVERAGE('6 - B1'!$B$6, '6 - B2'!$B$6, '6 - B3'!$B$6)</f>
        <v>#DIV/0!</v>
      </c>
      <c r="K10">
        <v>10</v>
      </c>
      <c r="L10">
        <v>1130.5</v>
      </c>
      <c r="M10" s="176">
        <f t="shared" si="1"/>
        <v>0</v>
      </c>
      <c r="O10" s="43"/>
    </row>
    <row r="11" spans="1:17" x14ac:dyDescent="0.35">
      <c r="A11">
        <v>23</v>
      </c>
      <c r="B11" s="43">
        <f>'6 - B1'!$G$31/'6 - B1'!$B$6</f>
        <v>136.4930982689875</v>
      </c>
      <c r="C11" s="43">
        <f>'6 - B2'!$G$31/'6 - B2'!$B$6</f>
        <v>148.72363065499962</v>
      </c>
      <c r="D11" s="43" t="e">
        <f>'6 - B3'!$G$31/'6 - B3'!$B$6</f>
        <v>#DIV/0!</v>
      </c>
      <c r="E11" s="172" t="e">
        <f t="shared" si="0"/>
        <v>#DIV/0!</v>
      </c>
      <c r="F11" s="42">
        <f>'Clause 6 Sizing Calibration'!G26</f>
        <v>6282.103491438882</v>
      </c>
      <c r="G11">
        <f>'6 - B1'!$L31+'6 - B2'!$L31+'6 - B3'!$L31</f>
        <v>13</v>
      </c>
      <c r="H11" s="43" t="e">
        <f>STDEVP('6 - B1'!$B31:F31,'6 - B2'!B31:F31,'6 - B3'!B31:F31)/SQRT(G11)/AVERAGE('6 - B1'!$B$6, '6 - B2'!$B$6, '6 - B3'!$B$6)</f>
        <v>#DIV/0!</v>
      </c>
      <c r="K11">
        <v>11</v>
      </c>
      <c r="L11">
        <v>816.2</v>
      </c>
      <c r="M11" s="176">
        <f t="shared" si="1"/>
        <v>0</v>
      </c>
      <c r="O11" s="43"/>
    </row>
    <row r="12" spans="1:17" x14ac:dyDescent="0.35">
      <c r="A12">
        <v>22</v>
      </c>
      <c r="B12" s="43">
        <f>'6 - B1'!$G$30/'6 - B1'!$B$6</f>
        <v>180.75001620512424</v>
      </c>
      <c r="C12" s="43">
        <f>'6 - B2'!$G$30/'6 - B2'!$B$6</f>
        <v>196.77281045083836</v>
      </c>
      <c r="D12" s="43" t="e">
        <f>'6 - B3'!$G$30/'6 - B3'!$B$6</f>
        <v>#DIV/0!</v>
      </c>
      <c r="E12" s="172" t="e">
        <f t="shared" si="0"/>
        <v>#DIV/0!</v>
      </c>
      <c r="F12" s="42">
        <f>'Clause 6 Sizing Calibration'!G27</f>
        <v>5324.2528388216087</v>
      </c>
      <c r="G12">
        <f>'6 - B1'!$L30+'6 - B2'!$L30+'6 - B3'!$L30</f>
        <v>13</v>
      </c>
      <c r="H12" s="43" t="e">
        <f>STDEVP('6 - B1'!$B30:F30,'6 - B2'!B30:F30,'6 - B3'!B30:F30)/SQRT(G12)/AVERAGE('6 - B1'!$B$6, '6 - B2'!$B$6, '6 - B3'!$B$6)</f>
        <v>#DIV/0!</v>
      </c>
      <c r="K12">
        <v>12</v>
      </c>
      <c r="L12">
        <v>618.6</v>
      </c>
      <c r="M12" s="176">
        <f t="shared" si="1"/>
        <v>0</v>
      </c>
      <c r="O12" s="43"/>
    </row>
    <row r="13" spans="1:17" x14ac:dyDescent="0.35">
      <c r="A13">
        <v>21</v>
      </c>
      <c r="B13" s="43">
        <f>'6 - B1'!$G$29/'6 - B1'!$B$6</f>
        <v>230.604089846336</v>
      </c>
      <c r="C13" s="43">
        <f>'6 - B2'!$G$29/'6 - B2'!$B$6</f>
        <v>259.98483477680594</v>
      </c>
      <c r="D13" s="43" t="e">
        <f>'6 - B3'!$G$29/'6 - B3'!$B$6</f>
        <v>#DIV/0!</v>
      </c>
      <c r="E13" s="172" t="e">
        <f t="shared" si="0"/>
        <v>#DIV/0!</v>
      </c>
      <c r="F13" s="42">
        <f>'Clause 6 Sizing Calibration'!G28</f>
        <v>4512.4484705372279</v>
      </c>
      <c r="G13">
        <f>'6 - B1'!$L29+'6 - B2'!$L29+'6 - B3'!$L29</f>
        <v>13</v>
      </c>
      <c r="H13" s="43" t="e">
        <f>STDEVP('6 - B1'!$B29:F29,'6 - B2'!B29:F29,'6 - B3'!B29:F29)/SQRT(G13)/AVERAGE('6 - B1'!$B$6, '6 - B2'!$B$6, '6 - B3'!$B$6)</f>
        <v>#DIV/0!</v>
      </c>
      <c r="K13">
        <v>13</v>
      </c>
      <c r="L13">
        <v>481.9</v>
      </c>
      <c r="M13" s="176">
        <f t="shared" si="1"/>
        <v>0</v>
      </c>
      <c r="O13" s="43"/>
    </row>
    <row r="14" spans="1:17" x14ac:dyDescent="0.35">
      <c r="A14">
        <v>20</v>
      </c>
      <c r="B14" s="43">
        <f>'6 - B1'!$G$28/'6 - B1'!$B$6</f>
        <v>300.19600191699516</v>
      </c>
      <c r="C14" s="43">
        <f>'6 - B2'!$G$28/'6 - B2'!$B$6</f>
        <v>344.42960807041095</v>
      </c>
      <c r="D14" s="43" t="e">
        <f>'6 - B3'!$G$28/'6 - B3'!$B$6</f>
        <v>#DIV/0!</v>
      </c>
      <c r="E14" s="172" t="e">
        <f t="shared" si="0"/>
        <v>#DIV/0!</v>
      </c>
      <c r="F14" s="42">
        <f>'Clause 6 Sizing Calibration'!G29</f>
        <v>3824.4222834016332</v>
      </c>
      <c r="G14">
        <f>'6 - B1'!$L28+'6 - B2'!$L28+'6 - B3'!$L28</f>
        <v>13</v>
      </c>
      <c r="H14" s="43" t="e">
        <f>STDEVP('6 - B1'!$B28:F28,'6 - B2'!B28:F28,'6 - B3'!B28:F28)/SQRT(G14)/AVERAGE('6 - B1'!$B$6, '6 - B2'!$B$6, '6 - B3'!$B$6)</f>
        <v>#DIV/0!</v>
      </c>
      <c r="K14">
        <v>14</v>
      </c>
      <c r="L14">
        <v>384.7</v>
      </c>
      <c r="M14" s="176">
        <f t="shared" si="1"/>
        <v>0</v>
      </c>
      <c r="O14" s="43"/>
    </row>
    <row r="15" spans="1:17" x14ac:dyDescent="0.35">
      <c r="A15">
        <v>19</v>
      </c>
      <c r="B15" s="43">
        <f>'6 - B1'!$G$27/'6 - B1'!$B$6</f>
        <v>383.4994078044528</v>
      </c>
      <c r="C15" s="43">
        <f>'6 - B2'!$G$27/'6 - B2'!$B$6</f>
        <v>456.99411278039076</v>
      </c>
      <c r="D15" s="43" t="e">
        <f>'6 - B3'!$G$27/'6 - B3'!$B$6</f>
        <v>#DIV/0!</v>
      </c>
      <c r="E15" s="172" t="e">
        <f t="shared" si="0"/>
        <v>#DIV/0!</v>
      </c>
      <c r="F15" s="42">
        <f>'Clause 6 Sizing Calibration'!G30</f>
        <v>3241.3014569089682</v>
      </c>
      <c r="G15">
        <f>'6 - B1'!$L27+'6 - B2'!$L27+'6 - B3'!$L27</f>
        <v>13</v>
      </c>
      <c r="H15" s="43" t="e">
        <f>STDEVP('6 - B1'!$B27:F27,'6 - B2'!B27:F27,'6 - B3'!B27:F27)/SQRT(G15)/AVERAGE('6 - B1'!$B$6, '6 - B2'!$B$6, '6 - B3'!$B$6)</f>
        <v>#DIV/0!</v>
      </c>
      <c r="K15">
        <v>15</v>
      </c>
      <c r="L15">
        <v>314.60000000000002</v>
      </c>
      <c r="M15" s="176">
        <f t="shared" si="1"/>
        <v>0</v>
      </c>
      <c r="O15" s="43"/>
    </row>
    <row r="16" spans="1:17" x14ac:dyDescent="0.35">
      <c r="A16">
        <v>18</v>
      </c>
      <c r="B16" s="43">
        <f>'6 - B1'!$G$26/'6 - B1'!$B$6</f>
        <v>485.03006371903723</v>
      </c>
      <c r="C16" s="43">
        <f>'6 - B2'!$G$26/'6 - B2'!$B$6</f>
        <v>594.51622987730525</v>
      </c>
      <c r="D16" s="43" t="e">
        <f>'6 - B3'!$G$26/'6 - B3'!$B$6</f>
        <v>#DIV/0!</v>
      </c>
      <c r="E16" s="172" t="e">
        <f t="shared" si="0"/>
        <v>#DIV/0!</v>
      </c>
      <c r="F16" s="42">
        <f>'Clause 6 Sizing Calibration'!G31</f>
        <v>2747.0907645731018</v>
      </c>
      <c r="G16">
        <f>'6 - B1'!$L26+'6 - B2'!$L26+'6 - B3'!$L26</f>
        <v>13</v>
      </c>
      <c r="H16" s="43" t="e">
        <f>STDEVP('6 - B1'!$B26:F26,'6 - B2'!B26:F26,'6 - B3'!B26:F26)/SQRT(G16)/AVERAGE('6 - B1'!$B$6, '6 - B2'!$B$6, '6 - B3'!$B$6)</f>
        <v>#DIV/0!</v>
      </c>
      <c r="K16">
        <v>16</v>
      </c>
      <c r="L16">
        <v>261.8</v>
      </c>
      <c r="M16" s="176">
        <f t="shared" si="1"/>
        <v>0</v>
      </c>
      <c r="O16" s="43"/>
    </row>
    <row r="17" spans="1:15" x14ac:dyDescent="0.35">
      <c r="A17">
        <v>17</v>
      </c>
      <c r="B17" s="43">
        <f>'6 - B1'!$G$25/'6 - B1'!$B$6</f>
        <v>626.51907310353693</v>
      </c>
      <c r="C17" s="43">
        <f>'6 - B2'!$G$25/'6 - B2'!$B$6</f>
        <v>764.35221910023654</v>
      </c>
      <c r="D17" s="43" t="e">
        <f>'6 - B3'!$G$25/'6 - B3'!$B$6</f>
        <v>#DIV/0!</v>
      </c>
      <c r="E17" s="172" t="e">
        <f t="shared" si="0"/>
        <v>#DIV/0!</v>
      </c>
      <c r="F17" s="42">
        <f>'Clause 6 Sizing Calibration'!G32</f>
        <v>2328.2338187696596</v>
      </c>
      <c r="G17">
        <f>'6 - B1'!$L25+'6 - B2'!$L25+'6 - B3'!$L25</f>
        <v>13</v>
      </c>
      <c r="H17" s="43" t="e">
        <f>STDEVP('6 - B1'!$B25:F25,'6 - B2'!B25:F25,'6 - B3'!B25:F25)/SQRT(G17)/AVERAGE('6 - B1'!$B$6, '6 - B2'!$B$6, '6 - B3'!$B$6)</f>
        <v>#DIV/0!</v>
      </c>
      <c r="K17">
        <v>17</v>
      </c>
      <c r="L17">
        <v>221.2</v>
      </c>
      <c r="M17" s="176">
        <f t="shared" si="1"/>
        <v>0</v>
      </c>
      <c r="O17" s="43"/>
    </row>
    <row r="18" spans="1:15" x14ac:dyDescent="0.35">
      <c r="A18">
        <v>16</v>
      </c>
      <c r="B18" s="43">
        <f>'6 - B1'!$G$24/'6 - B1'!$B$6</f>
        <v>796.91241802782849</v>
      </c>
      <c r="C18" s="43">
        <f>'6 - B2'!$G$24/'6 - B2'!$B$6</f>
        <v>998.40804468768238</v>
      </c>
      <c r="D18" s="43" t="e">
        <f>'6 - B3'!$G$24/'6 - B3'!$B$6</f>
        <v>#DIV/0!</v>
      </c>
      <c r="E18" s="172" t="e">
        <f t="shared" si="0"/>
        <v>#DIV/0!</v>
      </c>
      <c r="F18" s="42">
        <f>'Clause 6 Sizing Calibration'!G33</f>
        <v>1973.2412138574264</v>
      </c>
      <c r="G18">
        <f>'6 - B1'!$L24+'6 - B2'!$L24+'6 - B3'!$L24</f>
        <v>13</v>
      </c>
      <c r="H18" s="43" t="e">
        <f>STDEVP('6 - B1'!$B24:F24,'6 - B2'!B24:F24,'6 - B3'!B24:F24)/SQRT(G18)/AVERAGE('6 - B1'!$B$6, '6 - B2'!$B$6, '6 - B3'!$B$6)</f>
        <v>#DIV/0!</v>
      </c>
      <c r="K18">
        <v>18</v>
      </c>
      <c r="L18">
        <v>188.7</v>
      </c>
      <c r="M18" s="176">
        <f t="shared" si="1"/>
        <v>0</v>
      </c>
      <c r="O18" s="43"/>
    </row>
    <row r="19" spans="1:15" x14ac:dyDescent="0.35">
      <c r="A19">
        <v>15</v>
      </c>
      <c r="B19" s="43">
        <f>'6 - B1'!$G$23/'6 - B1'!$B$6</f>
        <v>997.64557130353808</v>
      </c>
      <c r="C19" s="43">
        <f>'6 - B2'!$G$23/'6 - B2'!$B$6</f>
        <v>1303.3307889858822</v>
      </c>
      <c r="D19" s="43" t="e">
        <f>'6 - B3'!$G$23/'6 - B3'!$B$6</f>
        <v>#DIV/0!</v>
      </c>
      <c r="E19" s="172" t="e">
        <f t="shared" si="0"/>
        <v>#DIV/0!</v>
      </c>
      <c r="F19" s="42">
        <f>'Clause 6 Sizing Calibration'!G34</f>
        <v>1672.3753674032278</v>
      </c>
      <c r="G19">
        <f>'6 - B1'!$L23+'6 - B2'!$L23+'6 - B3'!$L23</f>
        <v>13</v>
      </c>
      <c r="H19" s="43" t="e">
        <f>STDEVP('6 - B1'!$B23:F23,'6 - B2'!B23:F23,'6 - B3'!B23:F23)/SQRT(G19)/AVERAGE('6 - B1'!$B$6, '6 - B2'!$B$6, '6 - B3'!$B$6)</f>
        <v>#DIV/0!</v>
      </c>
      <c r="K19">
        <v>19</v>
      </c>
      <c r="L19">
        <v>161</v>
      </c>
      <c r="M19" s="176">
        <f t="shared" si="1"/>
        <v>0</v>
      </c>
      <c r="O19" s="43"/>
    </row>
    <row r="20" spans="1:15" x14ac:dyDescent="0.35">
      <c r="A20">
        <v>14</v>
      </c>
      <c r="B20" s="43">
        <f>'6 - B1'!$G$22/'6 - B1'!$B$6</f>
        <v>1291.6667746891892</v>
      </c>
      <c r="C20" s="43">
        <f>'6 - B2'!$G$22/'6 - B2'!$B$6</f>
        <v>1688.5994148126367</v>
      </c>
      <c r="D20" s="43" t="e">
        <f>'6 - B3'!$G$22/'6 - B3'!$B$6</f>
        <v>#DIV/0!</v>
      </c>
      <c r="E20" s="172" t="e">
        <f t="shared" si="0"/>
        <v>#DIV/0!</v>
      </c>
      <c r="F20" s="42">
        <f>'Clause 6 Sizing Calibration'!G35</f>
        <v>1417.3834145849958</v>
      </c>
      <c r="G20">
        <f>'6 - B1'!$L22+'6 - B2'!$L22+'6 - B3'!$L22</f>
        <v>13</v>
      </c>
      <c r="H20" s="43" t="e">
        <f>STDEVP('6 - B1'!$B22:F22,'6 - B2'!B22:F22,'6 - B3'!B22:F22)/SQRT(G20)/AVERAGE('6 - B1'!$B$6, '6 - B2'!$B$6, '6 - B3'!$B$6)</f>
        <v>#DIV/0!</v>
      </c>
      <c r="K20">
        <v>20</v>
      </c>
      <c r="L20">
        <v>136.4</v>
      </c>
      <c r="M20" s="176">
        <f t="shared" si="1"/>
        <v>0</v>
      </c>
      <c r="O20" s="43"/>
    </row>
    <row r="21" spans="1:15" x14ac:dyDescent="0.35">
      <c r="A21">
        <v>13</v>
      </c>
      <c r="B21" s="43">
        <f>'6 - B1'!$G$21/'6 - B1'!$B$6</f>
        <v>1697.2013664571584</v>
      </c>
      <c r="C21" s="43">
        <f>'6 - B2'!$G$21/'6 - B2'!$B$6</f>
        <v>2200.3563924748487</v>
      </c>
      <c r="D21" s="43" t="e">
        <f>'6 - B3'!$G$21/'6 - B3'!$B$6</f>
        <v>#DIV/0!</v>
      </c>
      <c r="E21" s="172" t="e">
        <f t="shared" si="0"/>
        <v>#DIV/0!</v>
      </c>
      <c r="F21" s="42">
        <f>'Clause 6 Sizing Calibration'!G36</f>
        <v>1201.2708289647012</v>
      </c>
      <c r="G21">
        <f>'6 - B1'!$L21+'6 - B2'!$L21+'6 - B3'!$L21</f>
        <v>13</v>
      </c>
      <c r="H21" s="43" t="e">
        <f>STDEVP('6 - B1'!$B21:F21,'6 - B2'!B21:F21,'6 - B3'!B21:F21)/SQRT(G21)/AVERAGE('6 - B1'!$B$6, '6 - B2'!$B$6, '6 - B3'!$B$6)</f>
        <v>#DIV/0!</v>
      </c>
      <c r="K21">
        <v>21</v>
      </c>
      <c r="L21">
        <v>114.4</v>
      </c>
      <c r="M21" s="176">
        <f t="shared" si="1"/>
        <v>0</v>
      </c>
      <c r="O21" s="43"/>
    </row>
    <row r="22" spans="1:15" x14ac:dyDescent="0.35">
      <c r="A22">
        <v>12</v>
      </c>
      <c r="B22" s="43">
        <f>'6 - B1'!$G$20/'6 - B1'!$B$6</f>
        <v>2211.0780231283343</v>
      </c>
      <c r="C22" s="43">
        <f>'6 - B2'!$G$20/'6 - B2'!$B$6</f>
        <v>2838.8727416296151</v>
      </c>
      <c r="D22" s="43" t="e">
        <f>'6 - B3'!$G$20/'6 - B3'!$B$6</f>
        <v>#DIV/0!</v>
      </c>
      <c r="E22" s="172" t="e">
        <f t="shared" si="0"/>
        <v>#DIV/0!</v>
      </c>
      <c r="F22" s="42">
        <f>'Clause 6 Sizing Calibration'!G37</f>
        <v>1018.1095599626867</v>
      </c>
      <c r="G22">
        <f>'6 - B1'!$L20+'6 - B2'!$L20+'6 - B3'!$L20</f>
        <v>13</v>
      </c>
      <c r="H22" s="43" t="e">
        <f>STDEVP('6 - B1'!$B20:F20,'6 - B2'!B20:F20,'6 - B3'!B20:F20)/SQRT(G22)/AVERAGE('6 - B1'!$B$6, '6 - B2'!$B$6, '6 - B3'!$B$6)</f>
        <v>#DIV/0!</v>
      </c>
      <c r="K22">
        <v>22</v>
      </c>
      <c r="L22">
        <v>95.3</v>
      </c>
      <c r="M22" s="176">
        <f t="shared" si="1"/>
        <v>0</v>
      </c>
      <c r="O22" s="43"/>
    </row>
    <row r="23" spans="1:15" x14ac:dyDescent="0.35">
      <c r="A23">
        <v>11</v>
      </c>
      <c r="B23" s="43">
        <f>'6 - B1'!$G$19/'6 - B1'!$B$6</f>
        <v>2854.7460190196534</v>
      </c>
      <c r="C23" s="43">
        <f>'6 - B2'!$G$19/'6 - B2'!$B$6</f>
        <v>3660.3329523411944</v>
      </c>
      <c r="D23" s="43" t="e">
        <f>'6 - B3'!$G$19/'6 - B3'!$B$6</f>
        <v>#DIV/0!</v>
      </c>
      <c r="E23" s="172" t="e">
        <f t="shared" si="0"/>
        <v>#DIV/0!</v>
      </c>
      <c r="F23" s="42">
        <f>'Clause 6 Sizing Calibration'!G38</f>
        <v>862.87542417120824</v>
      </c>
      <c r="G23">
        <f>'6 - B1'!$L19+'6 - B2'!$L19+'6 - B3'!$L19</f>
        <v>13</v>
      </c>
      <c r="H23" s="43" t="e">
        <f>STDEVP('6 - B1'!$B19:F19,'6 - B2'!B19:F19,'6 - B3'!B19:F19)/SQRT(G23)/AVERAGE('6 - B1'!$B$6, '6 - B2'!$B$6, '6 - B3'!$B$6)</f>
        <v>#DIV/0!</v>
      </c>
      <c r="K23">
        <v>23</v>
      </c>
      <c r="L23">
        <v>79</v>
      </c>
      <c r="M23" s="176">
        <f t="shared" si="1"/>
        <v>0</v>
      </c>
      <c r="O23" s="43"/>
    </row>
    <row r="24" spans="1:15" x14ac:dyDescent="0.35">
      <c r="A24">
        <v>10</v>
      </c>
      <c r="B24" s="43">
        <f>'6 - B1'!$G$18/'6 - B1'!$B$6</f>
        <v>3630.4158395139198</v>
      </c>
      <c r="C24" s="43">
        <f>'6 - B2'!$G$18/'6 - B2'!$B$6</f>
        <v>4673.040518669759</v>
      </c>
      <c r="D24" s="43" t="e">
        <f>'6 - B3'!$G$18/'6 - B3'!$B$6</f>
        <v>#DIV/0!</v>
      </c>
      <c r="E24" s="172" t="e">
        <f t="shared" si="0"/>
        <v>#DIV/0!</v>
      </c>
      <c r="F24" s="42">
        <f>'Clause 6 Sizing Calibration'!G39</f>
        <v>731.310290088947</v>
      </c>
      <c r="G24">
        <f>'6 - B1'!$L18+'6 - B2'!$L18+'6 - B3'!$L18</f>
        <v>13</v>
      </c>
      <c r="H24" s="43" t="e">
        <f>STDEVP('6 - B1'!$B18:F18,'6 - B2'!B18:F18,'6 - B3'!B18:F18)/SQRT(G24)/AVERAGE('6 - B1'!$B$6, '6 - B2'!$B$6, '6 - B3'!$B$6)</f>
        <v>#DIV/0!</v>
      </c>
      <c r="K24">
        <v>24</v>
      </c>
      <c r="L24">
        <v>65.3</v>
      </c>
      <c r="M24" s="176">
        <f t="shared" si="1"/>
        <v>0</v>
      </c>
      <c r="O24" s="43"/>
    </row>
    <row r="25" spans="1:15" x14ac:dyDescent="0.35">
      <c r="A25">
        <v>9</v>
      </c>
      <c r="B25" s="43">
        <f>'6 - B1'!$G$17/'6 - B1'!$B$6</f>
        <v>4516.0579101178064</v>
      </c>
      <c r="C25" s="43">
        <f>'6 - B2'!$G$17/'6 - B2'!$B$6</f>
        <v>5844.9246679491371</v>
      </c>
      <c r="D25" s="43" t="e">
        <f>'6 - B3'!$G$17/'6 - B3'!$B$6</f>
        <v>#DIV/0!</v>
      </c>
      <c r="E25" s="172" t="e">
        <f t="shared" si="0"/>
        <v>#DIV/0!</v>
      </c>
      <c r="F25" s="42">
        <f>'Clause 6 Sizing Calibration'!G40</f>
        <v>619.8052759512409</v>
      </c>
      <c r="G25">
        <f>'6 - B1'!$L17+'6 - B2'!$L17+'6 - B3'!$L17</f>
        <v>13</v>
      </c>
      <c r="H25" s="43" t="e">
        <f>STDEVP('6 - B1'!$B17:F17,'6 - B2'!B17:F17,'6 - B3'!B17:F17)/SQRT(G25)/AVERAGE('6 - B1'!$B$6, '6 - B2'!$B$6, '6 - B3'!$B$6)</f>
        <v>#DIV/0!</v>
      </c>
      <c r="K25">
        <v>25</v>
      </c>
      <c r="L25">
        <v>53.8</v>
      </c>
      <c r="M25" s="176">
        <f t="shared" si="1"/>
        <v>0</v>
      </c>
      <c r="O25" s="43"/>
    </row>
    <row r="26" spans="1:15" x14ac:dyDescent="0.35">
      <c r="A26">
        <v>8</v>
      </c>
      <c r="B26" s="43">
        <f>'6 - B1'!$G$16/'6 - B1'!$B$6</f>
        <v>5520.4993120693052</v>
      </c>
      <c r="C26" s="43">
        <f>'6 - B2'!$G$16/'6 - B2'!$B$6</f>
        <v>7186.4314467519098</v>
      </c>
      <c r="D26" s="43" t="e">
        <f>'6 - B3'!$G$16/'6 - B3'!$B$6</f>
        <v>#DIV/0!</v>
      </c>
      <c r="E26" s="172" t="e">
        <f t="shared" si="0"/>
        <v>#DIV/0!</v>
      </c>
      <c r="F26" s="42">
        <f>'Clause 6 Sizing Calibration'!G41</f>
        <v>525.3017567280092</v>
      </c>
      <c r="G26">
        <f>'6 - B1'!$L16+'6 - B2'!$L16+'6 - B3'!$L16</f>
        <v>13</v>
      </c>
      <c r="H26" s="43" t="e">
        <f>STDEVP('6 - B1'!$B16:F16,'6 - B2'!B16:F16,'6 - B3'!B16:F16)/SQRT(G26)/AVERAGE('6 - B1'!$B$6, '6 - B2'!$B$6, '6 - B3'!$B$6)</f>
        <v>#DIV/0!</v>
      </c>
      <c r="K26">
        <v>26</v>
      </c>
      <c r="L26">
        <v>44.6</v>
      </c>
      <c r="M26" s="176">
        <f t="shared" si="1"/>
        <v>0</v>
      </c>
      <c r="O26" s="43"/>
    </row>
    <row r="27" spans="1:15" x14ac:dyDescent="0.35">
      <c r="A27">
        <v>7</v>
      </c>
      <c r="B27" s="43">
        <f>'6 - B1'!$G$15/'6 - B1'!$B$6</f>
        <v>6708.4184373898706</v>
      </c>
      <c r="C27" s="43">
        <f>'6 - B2'!$G$15/'6 - B2'!$B$6</f>
        <v>8750.5849687569862</v>
      </c>
      <c r="D27" s="43" t="e">
        <f>'6 - B3'!$G$15/'6 - B3'!$B$6</f>
        <v>#DIV/0!</v>
      </c>
      <c r="E27" s="172" t="e">
        <f t="shared" si="0"/>
        <v>#DIV/0!</v>
      </c>
      <c r="F27" s="42">
        <f>'Clause 6 Sizing Calibration'!G42</f>
        <v>445.20746487359759</v>
      </c>
      <c r="G27">
        <f>'6 - B1'!$L15+'6 - B2'!$L15+'6 - B3'!$L15</f>
        <v>13</v>
      </c>
      <c r="H27" s="43" t="e">
        <f>STDEVP('6 - B1'!$B15:F15,'6 - B2'!B15:F15,'6 - B3'!B15:F15)/SQRT(G27)/AVERAGE('6 - B1'!$B$6, '6 - B2'!$B$6, '6 - B3'!$B$6)</f>
        <v>#DIV/0!</v>
      </c>
      <c r="K27">
        <v>27</v>
      </c>
      <c r="L27">
        <v>37</v>
      </c>
      <c r="M27" s="176">
        <f t="shared" si="1"/>
        <v>0</v>
      </c>
      <c r="O27" s="43"/>
    </row>
    <row r="28" spans="1:15" x14ac:dyDescent="0.35">
      <c r="A28">
        <v>6</v>
      </c>
      <c r="B28" s="43">
        <f>'6 - B1'!$G$14/'6 - B1'!$B$6</f>
        <v>8018.4034200970436</v>
      </c>
      <c r="C28" s="43">
        <f>'6 - B2'!$G$14/'6 - B2'!$B$6</f>
        <v>10519.346278937866</v>
      </c>
      <c r="D28" s="43" t="e">
        <f>'6 - B3'!$G$14/'6 - B3'!$B$6</f>
        <v>#DIV/0!</v>
      </c>
      <c r="E28" s="172" t="e">
        <f t="shared" si="0"/>
        <v>#DIV/0!</v>
      </c>
      <c r="F28" s="42">
        <f>'Clause 6 Sizing Calibration'!G43</f>
        <v>377.32538344014085</v>
      </c>
      <c r="G28">
        <f>'6 - B1'!$L14+'6 - B2'!$L14+'6 - B3'!$L14</f>
        <v>13</v>
      </c>
      <c r="H28" s="43" t="e">
        <f>STDEVP('6 - B1'!$B14:F14,'6 - B2'!B14:F14,'6 - B3'!B14:F14)/SQRT(G28)/AVERAGE('6 - B1'!$B$6, '6 - B2'!$B$6, '6 - B3'!$B$6)</f>
        <v>#DIV/0!</v>
      </c>
      <c r="K28">
        <v>28</v>
      </c>
      <c r="L28">
        <v>30.7</v>
      </c>
      <c r="M28" s="176">
        <f t="shared" si="1"/>
        <v>0</v>
      </c>
      <c r="O28" s="43"/>
    </row>
    <row r="29" spans="1:15" x14ac:dyDescent="0.35">
      <c r="A29">
        <v>5</v>
      </c>
      <c r="B29" s="43">
        <f>'6 - B1'!$G$13/'6 - B1'!$B$6</f>
        <v>9486.345104848624</v>
      </c>
      <c r="C29" s="43">
        <f>'6 - B2'!$G$13/'6 - B2'!$B$6</f>
        <v>12519.190066505402</v>
      </c>
      <c r="D29" s="43" t="e">
        <f>'6 - B3'!$G$13/'6 - B3'!$B$6</f>
        <v>#DIV/0!</v>
      </c>
      <c r="E29" s="172" t="e">
        <f t="shared" si="0"/>
        <v>#DIV/0!</v>
      </c>
      <c r="F29" s="42">
        <f>'Clause 6 Sizing Calibration'!G44</f>
        <v>319.79348106544438</v>
      </c>
      <c r="G29">
        <f>'6 - B1'!$L13+'6 - B2'!$L13+'6 - B3'!$L13</f>
        <v>13</v>
      </c>
      <c r="H29" s="43" t="e">
        <f>STDEVP('6 - B1'!$B13:F13,'6 - B2'!B13:F13,'6 - B3'!B13:F13)/SQRT(G29)/AVERAGE('6 - B1'!$B$6, '6 - B2'!$B$6, '6 - B3'!$B$6)</f>
        <v>#DIV/0!</v>
      </c>
      <c r="K29">
        <v>29</v>
      </c>
      <c r="L29">
        <v>25.2</v>
      </c>
      <c r="M29" s="176">
        <f t="shared" si="1"/>
        <v>0</v>
      </c>
      <c r="O29" s="43"/>
    </row>
    <row r="30" spans="1:15" ht="13.15" thickBot="1" x14ac:dyDescent="0.4">
      <c r="A30">
        <v>4</v>
      </c>
      <c r="B30" s="43">
        <f>'6 - B1'!$G$12/'6 - B1'!$B$6</f>
        <v>11199.076573884176</v>
      </c>
      <c r="C30" s="43">
        <f>'6 - B2'!$G$12/'6 - B2'!$B$6</f>
        <v>14854.149846995288</v>
      </c>
      <c r="D30" s="43" t="e">
        <f>'6 - B3'!$G$12/'6 - B3'!$B$6</f>
        <v>#DIV/0!</v>
      </c>
      <c r="E30" s="172" t="e">
        <f t="shared" si="0"/>
        <v>#DIV/0!</v>
      </c>
      <c r="F30" s="42">
        <f>'Clause 6 Sizing Calibration'!G45</f>
        <v>271.03363574313727</v>
      </c>
      <c r="G30">
        <f>'6 - B1'!$L12+'6 - B2'!$L12+'6 - B3'!$L12</f>
        <v>13</v>
      </c>
      <c r="H30" s="43" t="e">
        <f>STDEVP('6 - B1'!$B12:F12,'6 - B2'!B12:F12,'6 - B3'!B12:F12)/SQRT(G30)/AVERAGE('6 - B1'!$B$6, '6 - B2'!$B$6, '6 - B3'!$B$6)</f>
        <v>#DIV/0!</v>
      </c>
      <c r="K30" s="165">
        <v>30</v>
      </c>
      <c r="L30" s="165">
        <v>20.100000000000001</v>
      </c>
      <c r="M30" s="177">
        <f t="shared" si="1"/>
        <v>0</v>
      </c>
      <c r="N30" s="165"/>
      <c r="O30" s="166"/>
    </row>
    <row r="31" spans="1:15" x14ac:dyDescent="0.35">
      <c r="A31">
        <v>3</v>
      </c>
      <c r="B31" s="43">
        <f>'6 - B1'!$G$11/'6 - B1'!$B$6</f>
        <v>13161.102797264693</v>
      </c>
      <c r="C31" s="43">
        <f>'6 - B2'!$G$11/'6 - B2'!$B$6</f>
        <v>17513.646914084449</v>
      </c>
      <c r="D31" s="43" t="e">
        <f>'6 - B3'!$G$11/'6 - B3'!$B$6</f>
        <v>#DIV/0!</v>
      </c>
      <c r="E31" s="172" t="e">
        <f t="shared" si="0"/>
        <v>#DIV/0!</v>
      </c>
      <c r="F31" s="42">
        <f>'Clause 6 Sizing Calibration'!G46</f>
        <v>229.70834633464742</v>
      </c>
      <c r="G31">
        <f>'6 - B1'!$L11+'6 - B2'!$L11+'6 - B3'!$L11</f>
        <v>13</v>
      </c>
      <c r="H31" s="43" t="e">
        <f>STDEVP('6 - B1'!$B11:F11,'6 - B2'!B11:F11,'6 - B3'!B11:F11)/SQRT(G31)/AVERAGE('6 - B1'!$B$6, '6 - B2'!$B$6, '6 - B3'!$B$6)</f>
        <v>#DIV/0!</v>
      </c>
    </row>
    <row r="32" spans="1:15" x14ac:dyDescent="0.35">
      <c r="A32">
        <v>2</v>
      </c>
      <c r="B32" s="43">
        <f>'6 - B1'!$G$10/'6 - B1'!$B$6</f>
        <v>15378.282038750509</v>
      </c>
      <c r="C32" s="43">
        <f>'6 - B2'!$G$10/'6 - B2'!$B$6</f>
        <v>20741.754364363176</v>
      </c>
      <c r="D32" s="43" t="e">
        <f>'6 - B3'!$G$10/'6 - B3'!$B$6</f>
        <v>#DIV/0!</v>
      </c>
      <c r="E32" s="172" t="e">
        <f t="shared" si="0"/>
        <v>#DIV/0!</v>
      </c>
      <c r="F32" s="42">
        <f>'Clause 6 Sizing Calibration'!G47</f>
        <v>194.6840444032762</v>
      </c>
      <c r="G32">
        <f>'6 - B1'!$L10+'6 - B2'!$L10+'6 - B3'!$L10</f>
        <v>13</v>
      </c>
      <c r="H32" s="43" t="e">
        <f>STDEVP('6 - B1'!$B10:F10,'6 - B2'!B10:F10,'6 - B3'!B10:F10)/SQRT(G32)/AVERAGE('6 - B1'!$B$6, '6 - B2'!$B$6, '6 - B3'!$B$6)</f>
        <v>#DIV/0!</v>
      </c>
    </row>
    <row r="33" spans="1:40" ht="16.149999999999999" thickBot="1" x14ac:dyDescent="0.65">
      <c r="A33" s="165">
        <v>1</v>
      </c>
      <c r="B33" s="166">
        <f>'6 - B1'!$G$9/'6 - B1'!$B$6</f>
        <v>18069.34070269432</v>
      </c>
      <c r="C33" s="166">
        <f>'6 - B2'!$G$9/'6 - B2'!$B$6</f>
        <v>24640.086824072034</v>
      </c>
      <c r="D33" s="166" t="e">
        <f>'6 - B3'!$G$9/'6 - B3'!$B$6</f>
        <v>#DIV/0!</v>
      </c>
      <c r="E33" s="173" t="e">
        <f t="shared" si="0"/>
        <v>#DIV/0!</v>
      </c>
      <c r="F33" s="167">
        <f>'Clause 6 Sizing Calibration'!G48</f>
        <v>165</v>
      </c>
      <c r="G33" s="165">
        <f>'6 - B1'!$L9+'6 - B2'!$L9+'6 - B3'!$L9</f>
        <v>13</v>
      </c>
      <c r="H33" s="166" t="e">
        <f>STDEVP('6 - B1'!$B9:F9,'6 - B2'!B9:F9,'6 - B3'!B9:F9)/SQRT(G33)/AVERAGE('6 - B1'!$B$6, '6 - B2'!$B$6, '6 - B3'!$B$6)</f>
        <v>#DIV/0!</v>
      </c>
      <c r="K33" s="178"/>
    </row>
    <row r="34" spans="1:40" x14ac:dyDescent="0.35">
      <c r="B34" s="43"/>
    </row>
    <row r="42" spans="1:40" x14ac:dyDescent="0.35"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</row>
    <row r="45" spans="1:40" x14ac:dyDescent="0.35">
      <c r="M45" s="85"/>
    </row>
    <row r="46" spans="1:40" x14ac:dyDescent="0.35">
      <c r="M46" s="85"/>
    </row>
    <row r="47" spans="1:40" x14ac:dyDescent="0.35">
      <c r="M47" s="85"/>
    </row>
    <row r="48" spans="1:40" x14ac:dyDescent="0.35">
      <c r="M48" s="85"/>
    </row>
    <row r="49" spans="13:13" x14ac:dyDescent="0.35">
      <c r="M49" s="85"/>
    </row>
    <row r="50" spans="13:13" x14ac:dyDescent="0.35">
      <c r="M50" s="85"/>
    </row>
    <row r="51" spans="13:13" x14ac:dyDescent="0.35">
      <c r="M51" s="85"/>
    </row>
    <row r="52" spans="13:13" x14ac:dyDescent="0.35">
      <c r="M52" s="85"/>
    </row>
    <row r="53" spans="13:13" x14ac:dyDescent="0.35">
      <c r="M53" s="85"/>
    </row>
    <row r="54" spans="13:13" x14ac:dyDescent="0.35">
      <c r="M54" s="85"/>
    </row>
    <row r="55" spans="13:13" x14ac:dyDescent="0.35">
      <c r="M55" s="85"/>
    </row>
    <row r="56" spans="13:13" x14ac:dyDescent="0.35">
      <c r="M56" s="85"/>
    </row>
    <row r="57" spans="13:13" x14ac:dyDescent="0.35">
      <c r="M57" s="85"/>
    </row>
    <row r="58" spans="13:13" x14ac:dyDescent="0.35">
      <c r="M58" s="85"/>
    </row>
    <row r="59" spans="13:13" x14ac:dyDescent="0.35">
      <c r="M59" s="85"/>
    </row>
    <row r="60" spans="13:13" x14ac:dyDescent="0.35">
      <c r="M60" s="85"/>
    </row>
    <row r="61" spans="13:13" x14ac:dyDescent="0.35">
      <c r="M61" s="85"/>
    </row>
    <row r="62" spans="13:13" x14ac:dyDescent="0.35">
      <c r="M62" s="85"/>
    </row>
    <row r="63" spans="13:13" x14ac:dyDescent="0.35">
      <c r="M63" s="85"/>
    </row>
    <row r="64" spans="13:13" x14ac:dyDescent="0.35">
      <c r="M64" s="85"/>
    </row>
    <row r="65" spans="13:13" x14ac:dyDescent="0.35">
      <c r="M65" s="85"/>
    </row>
    <row r="66" spans="13:13" x14ac:dyDescent="0.35">
      <c r="M66" s="85"/>
    </row>
    <row r="67" spans="13:13" x14ac:dyDescent="0.35">
      <c r="M67" s="85"/>
    </row>
    <row r="68" spans="13:13" x14ac:dyDescent="0.35">
      <c r="M68" s="85"/>
    </row>
    <row r="69" spans="13:13" x14ac:dyDescent="0.35">
      <c r="M69" s="85"/>
    </row>
    <row r="70" spans="13:13" x14ac:dyDescent="0.35">
      <c r="M70" s="85"/>
    </row>
    <row r="71" spans="13:13" x14ac:dyDescent="0.35">
      <c r="M71" s="85"/>
    </row>
    <row r="72" spans="13:13" x14ac:dyDescent="0.35">
      <c r="M72" s="85"/>
    </row>
  </sheetData>
  <sortState xmlns:xlrd2="http://schemas.microsoft.com/office/spreadsheetml/2017/richdata2" ref="A5:H33">
    <sortCondition descending="1" ref="A5:A33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50"/>
  <sheetViews>
    <sheetView zoomScale="85" zoomScaleNormal="85" workbookViewId="0">
      <selection activeCell="D10" sqref="D10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40.15" x14ac:dyDescent="0.35">
      <c r="A1" s="104" t="s">
        <v>354</v>
      </c>
    </row>
    <row r="5" spans="1:17" ht="13.15" x14ac:dyDescent="0.4">
      <c r="A5" s="10" t="s">
        <v>22</v>
      </c>
      <c r="B5" s="10"/>
      <c r="C5" s="56"/>
      <c r="D5" s="14" t="s">
        <v>334</v>
      </c>
    </row>
    <row r="6" spans="1:17" ht="13.15" x14ac:dyDescent="0.4">
      <c r="A6" s="10" t="s">
        <v>24</v>
      </c>
      <c r="B6" s="10"/>
      <c r="C6" s="10"/>
      <c r="D6" s="10" t="s">
        <v>302</v>
      </c>
    </row>
    <row r="7" spans="1:17" ht="13.15" x14ac:dyDescent="0.4">
      <c r="A7" s="10" t="s">
        <v>28</v>
      </c>
      <c r="B7" s="10"/>
      <c r="C7" s="10"/>
      <c r="D7" s="86"/>
    </row>
    <row r="8" spans="1:17" ht="13.15" x14ac:dyDescent="0.4">
      <c r="A8" s="10" t="s">
        <v>27</v>
      </c>
      <c r="B8" s="10"/>
      <c r="C8" s="10"/>
      <c r="D8" s="10" t="s">
        <v>302</v>
      </c>
    </row>
    <row r="9" spans="1:17" ht="13.15" x14ac:dyDescent="0.4">
      <c r="A9" s="10" t="s">
        <v>26</v>
      </c>
      <c r="B9" s="10"/>
      <c r="C9" s="10"/>
      <c r="D9" s="14" t="s">
        <v>334</v>
      </c>
    </row>
    <row r="10" spans="1:17" ht="13.15" x14ac:dyDescent="0.4">
      <c r="A10" s="56" t="s">
        <v>123</v>
      </c>
      <c r="B10" s="10"/>
      <c r="C10" s="10"/>
      <c r="D10" s="12" t="s">
        <v>357</v>
      </c>
    </row>
    <row r="11" spans="1:17" ht="13.15" x14ac:dyDescent="0.4">
      <c r="A11" s="10" t="s">
        <v>29</v>
      </c>
      <c r="B11" s="10"/>
      <c r="C11" s="10"/>
      <c r="D11" s="13" t="s">
        <v>30</v>
      </c>
    </row>
    <row r="14" spans="1:17" x14ac:dyDescent="0.35">
      <c r="A14" s="26" t="s">
        <v>199</v>
      </c>
      <c r="B14" s="26"/>
      <c r="C14" s="26"/>
      <c r="D14" s="26"/>
    </row>
    <row r="15" spans="1:17" ht="13.15" x14ac:dyDescent="0.4">
      <c r="A15" s="26"/>
      <c r="B15" s="26"/>
      <c r="C15" s="26"/>
      <c r="D15" s="26"/>
      <c r="H15" s="8"/>
    </row>
    <row r="16" spans="1:17" ht="13.15" x14ac:dyDescent="0.4">
      <c r="A16" s="87">
        <v>49.4</v>
      </c>
      <c r="B16" s="88" t="s">
        <v>200</v>
      </c>
      <c r="C16" s="88" t="s">
        <v>201</v>
      </c>
      <c r="D16" s="89"/>
      <c r="F16" s="90">
        <v>39</v>
      </c>
      <c r="G16" s="88" t="s">
        <v>200</v>
      </c>
      <c r="H16" s="88" t="s">
        <v>201</v>
      </c>
      <c r="I16" s="36"/>
      <c r="J16" s="75"/>
      <c r="M16" s="87">
        <v>69.7</v>
      </c>
      <c r="N16" s="88" t="s">
        <v>200</v>
      </c>
      <c r="O16" s="88" t="s">
        <v>201</v>
      </c>
      <c r="P16" s="36"/>
      <c r="Q16" s="75"/>
    </row>
    <row r="17" spans="1:17" x14ac:dyDescent="0.35">
      <c r="A17" s="91">
        <f>(4/3)*(3.1415936)*((A16*0.000001/2)^3)</f>
        <v>6.3121832711697054E-14</v>
      </c>
      <c r="B17" s="26" t="s">
        <v>202</v>
      </c>
      <c r="C17" s="26" t="s">
        <v>203</v>
      </c>
      <c r="D17" s="92"/>
      <c r="F17" s="91">
        <f>(4/3)*(3.1415936)*((F16*0.000001/2)^3)</f>
        <v>3.1059365126399994E-14</v>
      </c>
      <c r="G17" s="26" t="s">
        <v>202</v>
      </c>
      <c r="H17" s="26" t="s">
        <v>203</v>
      </c>
      <c r="J17" s="45"/>
      <c r="M17" s="91">
        <f>(4/3)*(3.1415936)*((M16*0.000001/2)^3)</f>
        <v>1.7729524472000214E-13</v>
      </c>
      <c r="N17" s="26" t="s">
        <v>202</v>
      </c>
      <c r="O17" s="26" t="s">
        <v>203</v>
      </c>
      <c r="Q17" s="45"/>
    </row>
    <row r="18" spans="1:17" x14ac:dyDescent="0.35">
      <c r="A18" s="91">
        <f>A17*1.05*1000</f>
        <v>6.6277924347281912E-11</v>
      </c>
      <c r="B18" s="26" t="s">
        <v>204</v>
      </c>
      <c r="C18" s="26" t="s">
        <v>205</v>
      </c>
      <c r="D18" s="92"/>
      <c r="F18" s="91">
        <f>F17*1.05*1000</f>
        <v>3.2612333382719997E-11</v>
      </c>
      <c r="G18" s="26" t="s">
        <v>204</v>
      </c>
      <c r="H18" s="26" t="s">
        <v>205</v>
      </c>
      <c r="J18" s="45"/>
      <c r="M18" s="91">
        <f>M17*1.05*1000</f>
        <v>1.8616000695600225E-10</v>
      </c>
      <c r="N18" s="26" t="s">
        <v>204</v>
      </c>
      <c r="O18" s="26" t="s">
        <v>205</v>
      </c>
      <c r="Q18" s="45"/>
    </row>
    <row r="19" spans="1:17" x14ac:dyDescent="0.35">
      <c r="A19" s="91">
        <f>0.000001/A18</f>
        <v>15087.980045364991</v>
      </c>
      <c r="B19" s="26" t="s">
        <v>206</v>
      </c>
      <c r="C19" s="26" t="s">
        <v>207</v>
      </c>
      <c r="D19" s="92"/>
      <c r="F19" s="91">
        <f>0.000001/F18</f>
        <v>30663.245964787693</v>
      </c>
      <c r="G19" s="26" t="s">
        <v>206</v>
      </c>
      <c r="H19" s="26" t="s">
        <v>207</v>
      </c>
      <c r="J19" s="45"/>
      <c r="M19" s="91">
        <f>0.000001/M18</f>
        <v>5371.7230480999269</v>
      </c>
      <c r="N19" s="26" t="s">
        <v>206</v>
      </c>
      <c r="O19" s="26" t="s">
        <v>207</v>
      </c>
      <c r="Q19" s="45"/>
    </row>
    <row r="20" spans="1:17" ht="13.15" x14ac:dyDescent="0.4">
      <c r="A20" s="93">
        <v>5000</v>
      </c>
      <c r="B20" s="26"/>
      <c r="C20" s="26" t="s">
        <v>208</v>
      </c>
      <c r="D20" s="92"/>
      <c r="F20" s="93">
        <v>3000</v>
      </c>
      <c r="G20" s="26"/>
      <c r="H20" s="26" t="s">
        <v>208</v>
      </c>
      <c r="J20" s="45"/>
      <c r="M20" s="93">
        <v>2000</v>
      </c>
      <c r="N20" s="26"/>
      <c r="O20" s="26" t="s">
        <v>208</v>
      </c>
      <c r="Q20" s="45"/>
    </row>
    <row r="21" spans="1:17" x14ac:dyDescent="0.35">
      <c r="A21" s="94">
        <f>A20/A19*1000</f>
        <v>331.38962173640959</v>
      </c>
      <c r="B21" s="26" t="s">
        <v>73</v>
      </c>
      <c r="C21" s="26" t="s">
        <v>209</v>
      </c>
      <c r="D21" s="92"/>
      <c r="F21" s="94">
        <f>F20/F19*1000</f>
        <v>97.837000148159987</v>
      </c>
      <c r="G21" s="26" t="s">
        <v>73</v>
      </c>
      <c r="H21" s="26" t="s">
        <v>209</v>
      </c>
      <c r="J21" s="45"/>
      <c r="M21" s="94">
        <f>M20/M19*1000</f>
        <v>372.32001391200447</v>
      </c>
      <c r="N21" s="26" t="s">
        <v>73</v>
      </c>
      <c r="O21" s="26" t="s">
        <v>209</v>
      </c>
      <c r="Q21" s="45"/>
    </row>
    <row r="22" spans="1:17" ht="13.15" x14ac:dyDescent="0.4">
      <c r="A22" s="93">
        <v>0.20280000000000001</v>
      </c>
      <c r="B22" s="26" t="s">
        <v>210</v>
      </c>
      <c r="C22" s="26" t="s">
        <v>211</v>
      </c>
      <c r="D22" s="92"/>
      <c r="F22" s="93">
        <v>0.2</v>
      </c>
      <c r="G22" s="26" t="s">
        <v>210</v>
      </c>
      <c r="H22" s="26" t="s">
        <v>211</v>
      </c>
      <c r="J22" s="45"/>
      <c r="M22" s="93">
        <v>0.2</v>
      </c>
      <c r="N22" s="26" t="s">
        <v>210</v>
      </c>
      <c r="O22" s="26" t="s">
        <v>211</v>
      </c>
      <c r="Q22" s="45"/>
    </row>
    <row r="23" spans="1:17" x14ac:dyDescent="0.35">
      <c r="A23" s="94">
        <f>A22*A21</f>
        <v>67.205815288143867</v>
      </c>
      <c r="B23" s="26" t="s">
        <v>69</v>
      </c>
      <c r="C23" s="26" t="s">
        <v>212</v>
      </c>
      <c r="D23" s="92"/>
      <c r="F23" s="94">
        <f>F22*F21</f>
        <v>19.567400029631997</v>
      </c>
      <c r="G23" s="26" t="s">
        <v>69</v>
      </c>
      <c r="H23" s="26" t="s">
        <v>212</v>
      </c>
      <c r="J23" s="45"/>
      <c r="M23" s="94">
        <f>M22*M21</f>
        <v>74.464002782400897</v>
      </c>
      <c r="N23" s="26" t="s">
        <v>69</v>
      </c>
      <c r="O23" s="26" t="s">
        <v>212</v>
      </c>
      <c r="Q23" s="45"/>
    </row>
    <row r="24" spans="1:17" ht="13.15" x14ac:dyDescent="0.4">
      <c r="A24" s="93">
        <v>67.2</v>
      </c>
      <c r="B24" s="26" t="s">
        <v>69</v>
      </c>
      <c r="C24" s="26" t="s">
        <v>213</v>
      </c>
      <c r="D24" s="92"/>
      <c r="F24" s="93">
        <v>19.75</v>
      </c>
      <c r="G24" s="26" t="s">
        <v>69</v>
      </c>
      <c r="H24" s="26" t="s">
        <v>213</v>
      </c>
      <c r="J24" s="45"/>
      <c r="M24" s="93">
        <v>77.569999999999993</v>
      </c>
      <c r="N24" s="26" t="s">
        <v>69</v>
      </c>
      <c r="O24" s="26" t="s">
        <v>213</v>
      </c>
      <c r="Q24" s="45"/>
    </row>
    <row r="25" spans="1:17" ht="13.15" x14ac:dyDescent="0.4">
      <c r="A25" s="95">
        <f>A24/A23*A20</f>
        <v>4999.5673523102923</v>
      </c>
      <c r="B25" s="26" t="s">
        <v>214</v>
      </c>
      <c r="C25" s="26" t="s">
        <v>215</v>
      </c>
      <c r="D25" s="92"/>
      <c r="F25" s="95">
        <f>F24/F23*F20</f>
        <v>3027.9955390227851</v>
      </c>
      <c r="G25" s="26" t="s">
        <v>214</v>
      </c>
      <c r="H25" s="26" t="s">
        <v>215</v>
      </c>
      <c r="J25" s="45"/>
      <c r="M25" s="95">
        <f>M24/M23*M20</f>
        <v>2083.4227842055566</v>
      </c>
      <c r="N25" s="26" t="s">
        <v>214</v>
      </c>
      <c r="O25" s="26" t="s">
        <v>215</v>
      </c>
      <c r="Q25" s="45"/>
    </row>
    <row r="26" spans="1:17" x14ac:dyDescent="0.35">
      <c r="A26" s="38"/>
      <c r="D26" s="45"/>
      <c r="F26" s="96">
        <f>F24*F19</f>
        <v>605599.10780455696</v>
      </c>
      <c r="H26" t="s">
        <v>216</v>
      </c>
      <c r="J26" s="45"/>
      <c r="M26" s="96">
        <f>M24*M19</f>
        <v>416684.55684111128</v>
      </c>
      <c r="O26" t="s">
        <v>216</v>
      </c>
      <c r="Q26" s="45"/>
    </row>
    <row r="27" spans="1:17" x14ac:dyDescent="0.35">
      <c r="A27" s="38"/>
      <c r="D27" s="45"/>
      <c r="F27" s="96">
        <f>F25/F20*F22*1000</f>
        <v>201.86636926818568</v>
      </c>
      <c r="G27" t="s">
        <v>51</v>
      </c>
      <c r="H27" t="s">
        <v>217</v>
      </c>
      <c r="J27" s="45"/>
      <c r="M27" s="96">
        <f>M25/M20*M22*1000</f>
        <v>208.34227842055566</v>
      </c>
      <c r="N27" t="s">
        <v>51</v>
      </c>
      <c r="O27" t="s">
        <v>217</v>
      </c>
      <c r="Q27" s="45"/>
    </row>
    <row r="28" spans="1:17" x14ac:dyDescent="0.35">
      <c r="A28" s="38"/>
      <c r="D28" s="45"/>
      <c r="F28" s="96">
        <f>F27-F22*1000</f>
        <v>1.8663692681856787</v>
      </c>
      <c r="G28" t="s">
        <v>51</v>
      </c>
      <c r="H28" t="s">
        <v>218</v>
      </c>
      <c r="J28" s="45"/>
      <c r="M28" s="96">
        <f>M27-M22*1000</f>
        <v>8.3422784205556582</v>
      </c>
      <c r="N28" t="s">
        <v>51</v>
      </c>
      <c r="O28" t="s">
        <v>218</v>
      </c>
      <c r="Q28" s="45"/>
    </row>
    <row r="29" spans="1:17" x14ac:dyDescent="0.35">
      <c r="A29" s="38"/>
      <c r="D29" s="45"/>
      <c r="F29" s="38">
        <f>F26/F27</f>
        <v>2999.9999999999995</v>
      </c>
      <c r="G29" t="str">
        <f>"/ml"</f>
        <v>/ml</v>
      </c>
      <c r="H29" t="s">
        <v>328</v>
      </c>
      <c r="J29" s="45"/>
      <c r="M29" s="38"/>
      <c r="Q29" s="45"/>
    </row>
    <row r="30" spans="1:17" x14ac:dyDescent="0.35">
      <c r="A30" s="38"/>
      <c r="D30" s="45"/>
      <c r="F30" s="38"/>
      <c r="J30" s="45"/>
      <c r="M30" s="38"/>
      <c r="Q30" s="45"/>
    </row>
    <row r="31" spans="1:17" x14ac:dyDescent="0.35">
      <c r="A31" s="38" t="s">
        <v>195</v>
      </c>
      <c r="D31" s="45"/>
      <c r="F31" s="38" t="s">
        <v>195</v>
      </c>
      <c r="J31" s="45"/>
      <c r="M31" s="38" t="s">
        <v>195</v>
      </c>
      <c r="Q31" s="45"/>
    </row>
    <row r="32" spans="1:17" x14ac:dyDescent="0.35">
      <c r="A32" s="38">
        <v>100</v>
      </c>
      <c r="B32" t="s">
        <v>51</v>
      </c>
      <c r="C32" t="s">
        <v>219</v>
      </c>
      <c r="D32" s="45"/>
      <c r="F32" s="38">
        <v>100</v>
      </c>
      <c r="G32" t="s">
        <v>51</v>
      </c>
      <c r="H32" t="s">
        <v>219</v>
      </c>
      <c r="J32" s="45"/>
      <c r="M32" s="38">
        <v>100</v>
      </c>
      <c r="N32" t="s">
        <v>51</v>
      </c>
      <c r="O32" t="s">
        <v>219</v>
      </c>
      <c r="Q32" s="45"/>
    </row>
    <row r="33" spans="1:17" x14ac:dyDescent="0.35">
      <c r="A33" s="38">
        <v>300</v>
      </c>
      <c r="B33" t="s">
        <v>38</v>
      </c>
      <c r="C33" t="s">
        <v>220</v>
      </c>
      <c r="D33" s="45"/>
      <c r="F33" s="38">
        <v>283.5</v>
      </c>
      <c r="G33" t="s">
        <v>38</v>
      </c>
      <c r="H33" t="s">
        <v>221</v>
      </c>
      <c r="J33" s="45"/>
      <c r="M33" s="38">
        <v>300</v>
      </c>
      <c r="N33" t="s">
        <v>38</v>
      </c>
      <c r="O33" t="s">
        <v>221</v>
      </c>
      <c r="Q33" s="45"/>
    </row>
    <row r="34" spans="1:17" x14ac:dyDescent="0.35">
      <c r="A34" s="38">
        <f>A32*A33</f>
        <v>30000</v>
      </c>
      <c r="B34" t="s">
        <v>222</v>
      </c>
      <c r="C34" t="s">
        <v>223</v>
      </c>
      <c r="D34" s="45"/>
      <c r="F34" s="38">
        <f>F32*F33</f>
        <v>28350</v>
      </c>
      <c r="G34" t="s">
        <v>222</v>
      </c>
      <c r="H34" t="s">
        <v>223</v>
      </c>
      <c r="J34" s="45"/>
      <c r="M34" s="38">
        <f>M32*M33</f>
        <v>30000</v>
      </c>
      <c r="N34" t="s">
        <v>222</v>
      </c>
      <c r="O34" t="s">
        <v>223</v>
      </c>
      <c r="Q34" s="45"/>
    </row>
    <row r="35" spans="1:17" x14ac:dyDescent="0.35">
      <c r="A35" s="96">
        <f>A34/A25</f>
        <v>6.0005192221557024</v>
      </c>
      <c r="B35" t="s">
        <v>51</v>
      </c>
      <c r="C35" t="s">
        <v>224</v>
      </c>
      <c r="D35" s="45"/>
      <c r="F35" s="96">
        <f>F34/F29</f>
        <v>9.4500000000000011</v>
      </c>
      <c r="G35" t="s">
        <v>51</v>
      </c>
      <c r="H35" t="s">
        <v>224</v>
      </c>
      <c r="J35" s="45"/>
      <c r="M35" s="96">
        <f>M34/M25</f>
        <v>14.399381742116972</v>
      </c>
      <c r="N35" t="s">
        <v>51</v>
      </c>
      <c r="O35" t="s">
        <v>224</v>
      </c>
      <c r="Q35" s="45"/>
    </row>
    <row r="36" spans="1:17" x14ac:dyDescent="0.35">
      <c r="A36" s="96">
        <f>A32-A35</f>
        <v>93.999480777844298</v>
      </c>
      <c r="B36" t="s">
        <v>51</v>
      </c>
      <c r="C36" t="s">
        <v>225</v>
      </c>
      <c r="D36" s="45"/>
      <c r="F36" s="96">
        <f>F32-F35</f>
        <v>90.55</v>
      </c>
      <c r="G36" t="s">
        <v>51</v>
      </c>
      <c r="H36" t="s">
        <v>225</v>
      </c>
      <c r="J36" s="45"/>
      <c r="M36" s="96">
        <f>M32-M35</f>
        <v>85.600618257883028</v>
      </c>
      <c r="N36" t="s">
        <v>51</v>
      </c>
      <c r="O36" t="s">
        <v>225</v>
      </c>
      <c r="Q36" s="45"/>
    </row>
    <row r="37" spans="1:17" x14ac:dyDescent="0.35">
      <c r="A37" s="38"/>
      <c r="D37" s="45"/>
      <c r="F37" s="38"/>
      <c r="J37" s="45"/>
      <c r="M37" s="38"/>
      <c r="Q37" s="45"/>
    </row>
    <row r="38" spans="1:17" x14ac:dyDescent="0.35">
      <c r="A38" s="47"/>
      <c r="B38" s="48"/>
      <c r="C38" s="48"/>
      <c r="D38" s="79"/>
      <c r="F38" s="47"/>
      <c r="G38" s="48"/>
      <c r="H38" s="48"/>
      <c r="I38" s="48"/>
      <c r="J38" s="79"/>
      <c r="M38" s="47"/>
      <c r="N38" s="48"/>
      <c r="O38" s="48"/>
      <c r="P38" s="48"/>
      <c r="Q38" s="79"/>
    </row>
    <row r="41" spans="1:17" ht="13.15" x14ac:dyDescent="0.4">
      <c r="A41" s="8" t="s">
        <v>226</v>
      </c>
    </row>
    <row r="44" spans="1:17" ht="13.15" x14ac:dyDescent="0.4">
      <c r="A44" t="s">
        <v>227</v>
      </c>
      <c r="C44" s="8">
        <f>A16</f>
        <v>49.4</v>
      </c>
      <c r="D44" t="s">
        <v>228</v>
      </c>
      <c r="G44" s="8">
        <f>F16</f>
        <v>39</v>
      </c>
      <c r="H44" t="s">
        <v>228</v>
      </c>
      <c r="N44" s="8">
        <v>69.7</v>
      </c>
    </row>
    <row r="45" spans="1:17" x14ac:dyDescent="0.35">
      <c r="C45" s="29">
        <v>45842</v>
      </c>
      <c r="G45" s="29">
        <v>45841</v>
      </c>
      <c r="N45" s="29">
        <v>45842</v>
      </c>
    </row>
    <row r="46" spans="1:17" ht="13.5" x14ac:dyDescent="0.35">
      <c r="A46" t="s">
        <v>229</v>
      </c>
      <c r="B46" s="97">
        <f>0.56*C46</f>
        <v>22044.400000000001</v>
      </c>
      <c r="C46" s="180">
        <v>39365</v>
      </c>
      <c r="D46" s="98">
        <f>1.56*C46</f>
        <v>61409.4</v>
      </c>
      <c r="F46" s="97">
        <f>0.56*G46</f>
        <v>15316.000000000002</v>
      </c>
      <c r="G46" s="180">
        <v>27350</v>
      </c>
      <c r="H46" s="98">
        <f>1.56*G46</f>
        <v>42666</v>
      </c>
      <c r="M46" s="97">
        <f>0.56*N46</f>
        <v>33208</v>
      </c>
      <c r="N46" s="148">
        <v>59300</v>
      </c>
      <c r="O46" s="98">
        <f>1.56*N46</f>
        <v>92508</v>
      </c>
    </row>
    <row r="47" spans="1:17" x14ac:dyDescent="0.35">
      <c r="A47" t="s">
        <v>230</v>
      </c>
      <c r="B47" s="47">
        <v>41252</v>
      </c>
      <c r="C47" s="48">
        <v>20600</v>
      </c>
      <c r="D47" s="79">
        <v>92</v>
      </c>
      <c r="F47" s="47">
        <v>43502</v>
      </c>
      <c r="G47" s="48">
        <v>21877</v>
      </c>
      <c r="H47" s="79">
        <v>134</v>
      </c>
      <c r="M47" s="47">
        <v>20135</v>
      </c>
      <c r="N47" s="48">
        <v>10070</v>
      </c>
      <c r="O47" s="79">
        <v>0</v>
      </c>
    </row>
    <row r="48" spans="1:17" x14ac:dyDescent="0.35">
      <c r="A48" t="s">
        <v>231</v>
      </c>
      <c r="B48" s="98">
        <v>29274</v>
      </c>
      <c r="C48" s="99">
        <v>29286</v>
      </c>
      <c r="D48" s="99">
        <f>D47-L47</f>
        <v>92</v>
      </c>
      <c r="F48" s="99">
        <v>13268</v>
      </c>
      <c r="G48" s="99">
        <v>13273</v>
      </c>
      <c r="H48" s="99">
        <f>H47-P47</f>
        <v>134</v>
      </c>
      <c r="M48" s="99">
        <v>11943</v>
      </c>
      <c r="N48" s="99">
        <v>11980</v>
      </c>
      <c r="O48" s="99">
        <v>0</v>
      </c>
    </row>
    <row r="50" spans="1:13" ht="13.15" x14ac:dyDescent="0.4">
      <c r="A50" t="s">
        <v>232</v>
      </c>
      <c r="B50" s="100">
        <f>(1-B48/C48)</f>
        <v>4.0975209997951012E-4</v>
      </c>
      <c r="F50" s="100">
        <f>(1-F48/G48)</f>
        <v>3.7670458826188913E-4</v>
      </c>
      <c r="M50" s="100">
        <f>(1-M48/N48)</f>
        <v>3.0884808013356135E-3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zoomScale="70" zoomScaleNormal="70" workbookViewId="0">
      <selection activeCell="D34" sqref="D34"/>
    </sheetView>
  </sheetViews>
  <sheetFormatPr defaultColWidth="11.53125" defaultRowHeight="12.75" x14ac:dyDescent="0.35"/>
  <sheetData>
    <row r="1" spans="1:4" ht="14.25" x14ac:dyDescent="0.45">
      <c r="A1" s="185" t="s">
        <v>233</v>
      </c>
      <c r="B1" s="185"/>
      <c r="C1" s="185" t="s">
        <v>234</v>
      </c>
      <c r="D1" s="185"/>
    </row>
    <row r="2" spans="1:4" ht="92.85" customHeight="1" x14ac:dyDescent="0.45">
      <c r="A2" s="186" t="s">
        <v>235</v>
      </c>
      <c r="B2" s="186"/>
      <c r="C2" s="186" t="s">
        <v>236</v>
      </c>
      <c r="D2" s="186"/>
    </row>
    <row r="3" spans="1:4" ht="57" x14ac:dyDescent="0.45">
      <c r="A3" s="101" t="s">
        <v>237</v>
      </c>
      <c r="B3" s="102" t="s">
        <v>238</v>
      </c>
      <c r="C3" s="101" t="s">
        <v>193</v>
      </c>
      <c r="D3" s="103" t="s">
        <v>194</v>
      </c>
    </row>
    <row r="4" spans="1:4" ht="14.25" x14ac:dyDescent="0.45">
      <c r="A4" s="1" t="s">
        <v>198</v>
      </c>
      <c r="B4" s="103" t="s">
        <v>196</v>
      </c>
      <c r="C4" s="1" t="s">
        <v>198</v>
      </c>
      <c r="D4" s="103" t="s">
        <v>196</v>
      </c>
    </row>
    <row r="5" spans="1:4" ht="13.15" x14ac:dyDescent="0.4">
      <c r="A5">
        <v>4</v>
      </c>
      <c r="B5" s="42">
        <f>'6 - Interpolated Thresholds'!$M4</f>
        <v>0</v>
      </c>
      <c r="C5" s="8">
        <v>4</v>
      </c>
      <c r="D5" s="53">
        <f>CubicSpline(C5,$A$5:$A$107,$B$5:$B$107)</f>
        <v>0</v>
      </c>
    </row>
    <row r="6" spans="1:4" ht="13.15" x14ac:dyDescent="0.4">
      <c r="A6">
        <v>5</v>
      </c>
      <c r="B6" s="42">
        <f>'6 - Interpolated Thresholds'!$M5</f>
        <v>0</v>
      </c>
      <c r="C6">
        <v>5</v>
      </c>
      <c r="D6" s="53">
        <f t="shared" ref="D6:D34" si="0">CubicSpline(C6,$A$5:$A$107,$B$5:$B$107)</f>
        <v>0</v>
      </c>
    </row>
    <row r="7" spans="1:4" ht="13.15" x14ac:dyDescent="0.4">
      <c r="A7">
        <v>6</v>
      </c>
      <c r="B7" s="42">
        <f>'6 - Interpolated Thresholds'!$M6</f>
        <v>0</v>
      </c>
      <c r="C7" s="8">
        <v>6</v>
      </c>
      <c r="D7" s="53">
        <f t="shared" si="0"/>
        <v>0</v>
      </c>
    </row>
    <row r="8" spans="1:4" ht="13.15" x14ac:dyDescent="0.4">
      <c r="A8">
        <v>7</v>
      </c>
      <c r="B8" s="42">
        <f>'6 - Interpolated Thresholds'!$M7</f>
        <v>0</v>
      </c>
      <c r="C8">
        <v>7</v>
      </c>
      <c r="D8" s="53">
        <f t="shared" si="0"/>
        <v>0</v>
      </c>
    </row>
    <row r="9" spans="1:4" ht="13.15" x14ac:dyDescent="0.4">
      <c r="A9">
        <v>8</v>
      </c>
      <c r="B9" s="42">
        <f>'6 - Interpolated Thresholds'!$M8</f>
        <v>0</v>
      </c>
      <c r="C9">
        <v>8</v>
      </c>
      <c r="D9" s="53">
        <f t="shared" si="0"/>
        <v>0</v>
      </c>
    </row>
    <row r="10" spans="1:4" ht="13.15" x14ac:dyDescent="0.4">
      <c r="A10">
        <v>9</v>
      </c>
      <c r="B10" s="42">
        <f>'6 - Interpolated Thresholds'!$M9</f>
        <v>0</v>
      </c>
      <c r="C10">
        <v>9</v>
      </c>
      <c r="D10" s="53">
        <f t="shared" si="0"/>
        <v>0</v>
      </c>
    </row>
    <row r="11" spans="1:4" ht="13.15" x14ac:dyDescent="0.4">
      <c r="A11">
        <v>10</v>
      </c>
      <c r="B11" s="42">
        <f>'6 - Interpolated Thresholds'!$M10</f>
        <v>0</v>
      </c>
      <c r="C11">
        <v>10</v>
      </c>
      <c r="D11" s="53">
        <f t="shared" si="0"/>
        <v>0</v>
      </c>
    </row>
    <row r="12" spans="1:4" ht="13.15" x14ac:dyDescent="0.4">
      <c r="A12">
        <v>11</v>
      </c>
      <c r="B12" s="42">
        <f>'6 - Interpolated Thresholds'!$M11</f>
        <v>0</v>
      </c>
      <c r="C12">
        <v>11</v>
      </c>
      <c r="D12" s="53">
        <f t="shared" si="0"/>
        <v>0</v>
      </c>
    </row>
    <row r="13" spans="1:4" ht="13.15" x14ac:dyDescent="0.4">
      <c r="A13">
        <v>12</v>
      </c>
      <c r="B13" s="42">
        <f>'6 - Interpolated Thresholds'!$M12</f>
        <v>0</v>
      </c>
      <c r="C13">
        <v>12</v>
      </c>
      <c r="D13" s="53">
        <f t="shared" si="0"/>
        <v>0</v>
      </c>
    </row>
    <row r="14" spans="1:4" ht="13.15" x14ac:dyDescent="0.4">
      <c r="A14">
        <v>13</v>
      </c>
      <c r="B14" s="42">
        <f>'6 - Interpolated Thresholds'!$M13</f>
        <v>0</v>
      </c>
      <c r="C14">
        <v>13</v>
      </c>
      <c r="D14" s="53">
        <f t="shared" si="0"/>
        <v>0</v>
      </c>
    </row>
    <row r="15" spans="1:4" ht="13.15" x14ac:dyDescent="0.4">
      <c r="A15">
        <v>14</v>
      </c>
      <c r="B15" s="42">
        <f>'6 - Interpolated Thresholds'!$M14</f>
        <v>0</v>
      </c>
      <c r="C15" s="8">
        <v>14</v>
      </c>
      <c r="D15" s="53">
        <f t="shared" si="0"/>
        <v>0</v>
      </c>
    </row>
    <row r="16" spans="1:4" ht="13.15" x14ac:dyDescent="0.4">
      <c r="A16">
        <v>15</v>
      </c>
      <c r="B16" s="42">
        <f>'6 - Interpolated Thresholds'!$M15</f>
        <v>0</v>
      </c>
      <c r="C16">
        <v>15</v>
      </c>
      <c r="D16" s="53">
        <f t="shared" si="0"/>
        <v>0</v>
      </c>
    </row>
    <row r="17" spans="1:36" ht="13.15" x14ac:dyDescent="0.4">
      <c r="A17">
        <v>16</v>
      </c>
      <c r="B17" s="42">
        <f>'6 - Interpolated Thresholds'!$M16</f>
        <v>0</v>
      </c>
      <c r="C17">
        <v>16</v>
      </c>
      <c r="D17" s="53">
        <f t="shared" si="0"/>
        <v>0</v>
      </c>
    </row>
    <row r="18" spans="1:36" ht="13.15" x14ac:dyDescent="0.4">
      <c r="A18">
        <v>17</v>
      </c>
      <c r="B18" s="42">
        <f>'6 - Interpolated Thresholds'!$M17</f>
        <v>0</v>
      </c>
      <c r="C18">
        <v>17</v>
      </c>
      <c r="D18" s="53">
        <f t="shared" si="0"/>
        <v>0</v>
      </c>
    </row>
    <row r="19" spans="1:36" ht="13.15" x14ac:dyDescent="0.4">
      <c r="A19">
        <v>18</v>
      </c>
      <c r="B19" s="42">
        <f>'6 - Interpolated Thresholds'!$M18</f>
        <v>0</v>
      </c>
      <c r="C19">
        <v>18</v>
      </c>
      <c r="D19" s="53">
        <f t="shared" si="0"/>
        <v>0</v>
      </c>
    </row>
    <row r="20" spans="1:36" ht="13.15" x14ac:dyDescent="0.4">
      <c r="A20">
        <v>19</v>
      </c>
      <c r="B20" s="42">
        <f>'6 - Interpolated Thresholds'!$M19</f>
        <v>0</v>
      </c>
      <c r="C20">
        <v>19</v>
      </c>
      <c r="D20" s="53">
        <f t="shared" si="0"/>
        <v>0</v>
      </c>
    </row>
    <row r="21" spans="1:36" ht="13.15" x14ac:dyDescent="0.4">
      <c r="A21">
        <v>20</v>
      </c>
      <c r="B21" s="42">
        <f>'6 - Interpolated Thresholds'!$M20</f>
        <v>0</v>
      </c>
      <c r="C21">
        <v>20</v>
      </c>
      <c r="D21" s="53">
        <f t="shared" si="0"/>
        <v>0</v>
      </c>
      <c r="F21" t="s">
        <v>295</v>
      </c>
    </row>
    <row r="22" spans="1:36" ht="13.15" x14ac:dyDescent="0.4">
      <c r="A22">
        <v>21</v>
      </c>
      <c r="B22" s="42">
        <f>'6 - Interpolated Thresholds'!$M21</f>
        <v>0</v>
      </c>
      <c r="C22" s="8">
        <v>21</v>
      </c>
      <c r="D22" s="53">
        <f t="shared" si="0"/>
        <v>0</v>
      </c>
      <c r="G22" s="42">
        <f>'6 - Calibration Curve'!$D$5</f>
        <v>0</v>
      </c>
      <c r="H22" s="42">
        <f>'6 - Calibration Curve'!$D$6</f>
        <v>0</v>
      </c>
      <c r="I22" s="42">
        <f>'6 - Calibration Curve'!$D$7</f>
        <v>0</v>
      </c>
      <c r="J22" s="42">
        <f>'6 - Calibration Curve'!$D$8</f>
        <v>0</v>
      </c>
      <c r="K22" s="42">
        <f>'6 - Calibration Curve'!$D$9</f>
        <v>0</v>
      </c>
      <c r="L22" s="42">
        <f>'6 - Calibration Curve'!$D$10</f>
        <v>0</v>
      </c>
      <c r="M22" s="42">
        <f>'6 - Calibration Curve'!$D$11</f>
        <v>0</v>
      </c>
      <c r="N22" s="42">
        <f>'6 - Calibration Curve'!$D$12</f>
        <v>0</v>
      </c>
      <c r="O22" s="42">
        <f>'6 - Calibration Curve'!$D$13</f>
        <v>0</v>
      </c>
      <c r="P22" s="42">
        <f>'6 - Calibration Curve'!$D$14</f>
        <v>0</v>
      </c>
      <c r="Q22" s="42">
        <f>'6 - Calibration Curve'!$D$15</f>
        <v>0</v>
      </c>
      <c r="R22" s="42">
        <f>'6 - Calibration Curve'!$D$16</f>
        <v>0</v>
      </c>
      <c r="S22" s="42">
        <f>'6 - Calibration Curve'!$D$17</f>
        <v>0</v>
      </c>
      <c r="T22" s="42">
        <f>'6 - Calibration Curve'!$D$18</f>
        <v>0</v>
      </c>
      <c r="U22" s="42">
        <f>'6 - Calibration Curve'!$D$19</f>
        <v>0</v>
      </c>
      <c r="V22" s="42">
        <f>'6 - Calibration Curve'!$D$20</f>
        <v>0</v>
      </c>
      <c r="W22" s="42">
        <f>'6 - Calibration Curve'!$D$21</f>
        <v>0</v>
      </c>
      <c r="X22" s="42">
        <f>'6 - Calibration Curve'!$D$22</f>
        <v>0</v>
      </c>
      <c r="Y22" s="42">
        <f>'6 - Calibration Curve'!$D$23</f>
        <v>0</v>
      </c>
      <c r="Z22" s="42">
        <f>'6 - Calibration Curve'!$D$24</f>
        <v>0</v>
      </c>
      <c r="AA22" s="42">
        <f>'6 - Calibration Curve'!$D$25</f>
        <v>0</v>
      </c>
      <c r="AB22" s="42">
        <f>'6 - Calibration Curve'!$D$26</f>
        <v>0</v>
      </c>
      <c r="AC22" s="42">
        <f>'6 - Calibration Curve'!$D$27</f>
        <v>0</v>
      </c>
      <c r="AD22" s="42">
        <f>'6 - Calibration Curve'!$D$28</f>
        <v>0</v>
      </c>
      <c r="AE22" s="42">
        <f>'6 - Calibration Curve'!$D$29</f>
        <v>0</v>
      </c>
      <c r="AF22" s="42">
        <f>'6 - Calibration Curve'!$D$30</f>
        <v>0</v>
      </c>
      <c r="AG22" s="42">
        <f>'6 - Calibration Curve'!$D$31</f>
        <v>0</v>
      </c>
      <c r="AH22" s="42">
        <f>'6 - Calibration Curve'!$D$32</f>
        <v>25089.304131116369</v>
      </c>
      <c r="AI22" s="42">
        <f>'6 - Calibration Curve'!$D$33</f>
        <v>39999.881580996342</v>
      </c>
      <c r="AJ22" s="42">
        <f>'6 - Calibration Curve'!$D$34</f>
        <v>59300</v>
      </c>
    </row>
    <row r="23" spans="1:36" ht="13.15" x14ac:dyDescent="0.4">
      <c r="A23">
        <v>22</v>
      </c>
      <c r="B23" s="42">
        <f>'6 - Interpolated Thresholds'!$M22</f>
        <v>0</v>
      </c>
      <c r="C23">
        <v>22</v>
      </c>
      <c r="D23" s="53">
        <f t="shared" si="0"/>
        <v>0</v>
      </c>
      <c r="F23" s="124" t="s">
        <v>239</v>
      </c>
      <c r="G23" s="124">
        <f t="shared" ref="G23:AJ23" si="1">INT(G22+0.5)</f>
        <v>0</v>
      </c>
      <c r="H23" s="124">
        <f t="shared" si="1"/>
        <v>0</v>
      </c>
      <c r="I23" s="124">
        <f t="shared" si="1"/>
        <v>0</v>
      </c>
      <c r="J23" s="124">
        <f t="shared" si="1"/>
        <v>0</v>
      </c>
      <c r="K23" s="124">
        <f t="shared" si="1"/>
        <v>0</v>
      </c>
      <c r="L23" s="124">
        <f t="shared" si="1"/>
        <v>0</v>
      </c>
      <c r="M23" s="124">
        <f t="shared" si="1"/>
        <v>0</v>
      </c>
      <c r="N23" s="124">
        <f t="shared" si="1"/>
        <v>0</v>
      </c>
      <c r="O23" s="124">
        <f t="shared" si="1"/>
        <v>0</v>
      </c>
      <c r="P23" s="124">
        <f t="shared" si="1"/>
        <v>0</v>
      </c>
      <c r="Q23" s="124">
        <f t="shared" si="1"/>
        <v>0</v>
      </c>
      <c r="R23" s="124">
        <f t="shared" si="1"/>
        <v>0</v>
      </c>
      <c r="S23" s="124">
        <f t="shared" si="1"/>
        <v>0</v>
      </c>
      <c r="T23" s="124">
        <f t="shared" si="1"/>
        <v>0</v>
      </c>
      <c r="U23" s="124">
        <f t="shared" si="1"/>
        <v>0</v>
      </c>
      <c r="V23" s="124">
        <f t="shared" si="1"/>
        <v>0</v>
      </c>
      <c r="W23" s="124">
        <f t="shared" si="1"/>
        <v>0</v>
      </c>
      <c r="X23" s="124">
        <f t="shared" si="1"/>
        <v>0</v>
      </c>
      <c r="Y23" s="124">
        <f t="shared" si="1"/>
        <v>0</v>
      </c>
      <c r="Z23" s="124">
        <f t="shared" si="1"/>
        <v>0</v>
      </c>
      <c r="AA23" s="124">
        <f t="shared" si="1"/>
        <v>0</v>
      </c>
      <c r="AB23" s="124">
        <f t="shared" si="1"/>
        <v>0</v>
      </c>
      <c r="AC23" s="124">
        <f t="shared" si="1"/>
        <v>0</v>
      </c>
      <c r="AD23" s="124">
        <f t="shared" si="1"/>
        <v>0</v>
      </c>
      <c r="AE23" s="124">
        <f t="shared" si="1"/>
        <v>0</v>
      </c>
      <c r="AF23" s="124">
        <f t="shared" si="1"/>
        <v>0</v>
      </c>
      <c r="AG23" s="124">
        <f t="shared" si="1"/>
        <v>0</v>
      </c>
      <c r="AH23" s="124">
        <f t="shared" si="1"/>
        <v>25089</v>
      </c>
      <c r="AI23" s="124">
        <f t="shared" si="1"/>
        <v>40000</v>
      </c>
      <c r="AJ23" s="124">
        <f t="shared" si="1"/>
        <v>59300</v>
      </c>
    </row>
    <row r="24" spans="1:36" ht="13.15" x14ac:dyDescent="0.4">
      <c r="A24">
        <v>23</v>
      </c>
      <c r="B24" s="42">
        <f>'6 - Interpolated Thresholds'!$M23</f>
        <v>0</v>
      </c>
      <c r="C24">
        <v>23</v>
      </c>
      <c r="D24" s="53">
        <f t="shared" si="0"/>
        <v>0</v>
      </c>
    </row>
    <row r="25" spans="1:36" ht="13.15" x14ac:dyDescent="0.4">
      <c r="A25">
        <v>24</v>
      </c>
      <c r="B25" s="42">
        <f>'6 - Interpolated Thresholds'!$M24</f>
        <v>0</v>
      </c>
      <c r="C25">
        <v>24</v>
      </c>
      <c r="D25" s="53">
        <f t="shared" si="0"/>
        <v>0</v>
      </c>
    </row>
    <row r="26" spans="1:36" ht="13.15" x14ac:dyDescent="0.4">
      <c r="A26">
        <v>25</v>
      </c>
      <c r="B26" s="42">
        <f>'6 - Interpolated Thresholds'!$M25</f>
        <v>0</v>
      </c>
      <c r="C26" s="8">
        <v>25</v>
      </c>
      <c r="D26" s="53">
        <f t="shared" si="0"/>
        <v>0</v>
      </c>
    </row>
    <row r="27" spans="1:36" ht="13.15" x14ac:dyDescent="0.4">
      <c r="A27">
        <v>26</v>
      </c>
      <c r="B27" s="42">
        <f>'6 - Interpolated Thresholds'!$M26</f>
        <v>0</v>
      </c>
      <c r="C27">
        <v>26</v>
      </c>
      <c r="D27" s="53">
        <f t="shared" si="0"/>
        <v>0</v>
      </c>
      <c r="F27" s="50">
        <v>10</v>
      </c>
      <c r="G27">
        <f>CubicSpline(F27, $A$5:$A$107, $B$5:$B$107)</f>
        <v>0</v>
      </c>
    </row>
    <row r="28" spans="1:36" ht="13.15" x14ac:dyDescent="0.4">
      <c r="A28">
        <v>27</v>
      </c>
      <c r="B28" s="42">
        <f>'6 - Interpolated Thresholds'!$M27</f>
        <v>0</v>
      </c>
      <c r="C28">
        <v>27</v>
      </c>
      <c r="D28" s="53">
        <f t="shared" si="0"/>
        <v>0</v>
      </c>
      <c r="F28" s="50">
        <v>11</v>
      </c>
      <c r="G28">
        <f>CubicSpline(F28, $A$5:$A$107, $B$5:$B$107)</f>
        <v>0</v>
      </c>
    </row>
    <row r="29" spans="1:36" ht="13.15" x14ac:dyDescent="0.4">
      <c r="A29">
        <v>28</v>
      </c>
      <c r="B29" s="42">
        <f>'6 - Interpolated Thresholds'!$M28</f>
        <v>0</v>
      </c>
      <c r="C29">
        <v>28</v>
      </c>
      <c r="D29" s="53">
        <f t="shared" si="0"/>
        <v>0</v>
      </c>
      <c r="F29">
        <v>9</v>
      </c>
      <c r="G29">
        <f>CubicSpline(F29, $A$5:$A$107, $B$5:$B$107)</f>
        <v>0</v>
      </c>
    </row>
    <row r="30" spans="1:36" ht="13.15" x14ac:dyDescent="0.4">
      <c r="A30">
        <v>29</v>
      </c>
      <c r="B30" s="42">
        <f>'6 - Interpolated Thresholds'!$M29</f>
        <v>0</v>
      </c>
      <c r="C30">
        <v>29</v>
      </c>
      <c r="D30" s="53">
        <f t="shared" si="0"/>
        <v>0</v>
      </c>
    </row>
    <row r="31" spans="1:36" ht="13.15" x14ac:dyDescent="0.4">
      <c r="A31">
        <v>30</v>
      </c>
      <c r="B31" s="42">
        <f>'6 - Interpolated Thresholds'!$M30</f>
        <v>0</v>
      </c>
      <c r="C31">
        <v>30</v>
      </c>
      <c r="D31" s="53">
        <f t="shared" si="0"/>
        <v>0</v>
      </c>
    </row>
    <row r="32" spans="1:36" ht="13.15" x14ac:dyDescent="0.4">
      <c r="A32">
        <f>'Clause 6 - Spheres'!$G$44</f>
        <v>39</v>
      </c>
      <c r="B32">
        <f>'Clause 6 - Spheres'!$G$46</f>
        <v>27350</v>
      </c>
      <c r="C32" s="8">
        <v>38</v>
      </c>
      <c r="D32" s="53">
        <f t="shared" si="0"/>
        <v>25089.304131116369</v>
      </c>
    </row>
    <row r="33" spans="1:4" ht="13.15" x14ac:dyDescent="0.4">
      <c r="A33">
        <f>'Clause 6 - Spheres'!$C$44</f>
        <v>49.4</v>
      </c>
      <c r="B33">
        <f>'Clause 6 - Spheres'!$C$46</f>
        <v>39365</v>
      </c>
      <c r="C33" s="8">
        <v>50</v>
      </c>
      <c r="D33" s="53">
        <f t="shared" si="0"/>
        <v>39999.881580996342</v>
      </c>
    </row>
    <row r="34" spans="1:4" ht="13.15" x14ac:dyDescent="0.4">
      <c r="A34">
        <f>'Clause 6 - Spheres'!$N$44</f>
        <v>69.7</v>
      </c>
      <c r="B34">
        <f>'Clause 6 - Spheres'!$N$46</f>
        <v>59300</v>
      </c>
      <c r="C34" s="8">
        <v>69.7</v>
      </c>
      <c r="D34" s="53">
        <f t="shared" si="0"/>
        <v>59300</v>
      </c>
    </row>
    <row r="36" spans="1:4" ht="40.15" x14ac:dyDescent="0.35">
      <c r="A36" s="104" t="s">
        <v>240</v>
      </c>
    </row>
    <row r="39" spans="1:4" ht="13.15" x14ac:dyDescent="0.4">
      <c r="A39" t="s">
        <v>241</v>
      </c>
    </row>
    <row r="40" spans="1:4" ht="13.15" x14ac:dyDescent="0.4">
      <c r="A40" t="s">
        <v>242</v>
      </c>
    </row>
    <row r="41" spans="1:4" x14ac:dyDescent="0.35">
      <c r="A41" t="s">
        <v>243</v>
      </c>
    </row>
    <row r="42" spans="1:4" x14ac:dyDescent="0.35">
      <c r="A42" t="s">
        <v>244</v>
      </c>
    </row>
    <row r="44" spans="1:4" x14ac:dyDescent="0.35">
      <c r="A44" t="s">
        <v>245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Normal="100" workbookViewId="0">
      <selection activeCell="G39" sqref="G39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187" t="s">
        <v>296</v>
      </c>
      <c r="B1" s="187"/>
      <c r="C1" s="187"/>
      <c r="D1" s="187"/>
      <c r="E1" s="187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246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123</v>
      </c>
      <c r="B5" s="10"/>
      <c r="C5" s="12" t="s">
        <v>247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86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3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4">
        <v>36</v>
      </c>
      <c r="E12" s="10"/>
      <c r="F12" s="46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0"/>
      <c r="K13" s="10"/>
      <c r="L13" s="10"/>
      <c r="M13" s="10"/>
      <c r="N13" s="10"/>
      <c r="O13" s="10"/>
    </row>
    <row r="14" spans="1:15" ht="13.15" x14ac:dyDescent="0.4">
      <c r="A14" s="8" t="s">
        <v>248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0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6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6"/>
      <c r="O17" s="10"/>
    </row>
    <row r="18" spans="1:15" ht="13.15" x14ac:dyDescent="0.4">
      <c r="A18" s="10"/>
      <c r="B18" s="12" t="s">
        <v>249</v>
      </c>
      <c r="C18" s="12" t="s">
        <v>39</v>
      </c>
      <c r="E18" s="10"/>
      <c r="I18" s="10"/>
      <c r="M18" s="10"/>
      <c r="N18" s="16"/>
      <c r="O18" s="10"/>
    </row>
    <row r="19" spans="1:15" ht="13.15" x14ac:dyDescent="0.4">
      <c r="A19" s="10"/>
      <c r="B19" s="10"/>
      <c r="C19" s="10"/>
      <c r="F19" s="10"/>
      <c r="G19" s="10"/>
      <c r="H19" s="27"/>
      <c r="I19" s="26"/>
      <c r="J19" s="26"/>
    </row>
    <row r="20" spans="1:15" ht="13.15" x14ac:dyDescent="0.4">
      <c r="A20" s="10" t="s">
        <v>250</v>
      </c>
      <c r="B20" s="17">
        <v>9105</v>
      </c>
      <c r="C20" s="18">
        <f>(B20-$B$26)/$B$26</f>
        <v>-2.9347992728705483E-3</v>
      </c>
      <c r="F20" s="10"/>
      <c r="G20" s="10"/>
      <c r="H20" s="28"/>
      <c r="I20" s="26"/>
      <c r="J20" s="26"/>
    </row>
    <row r="21" spans="1:15" ht="13.15" x14ac:dyDescent="0.4">
      <c r="A21" s="10" t="s">
        <v>251</v>
      </c>
      <c r="B21" s="19">
        <v>9129</v>
      </c>
      <c r="C21" s="18">
        <f>(B21-$B$26)/$B$26</f>
        <v>-3.0662081955356804E-4</v>
      </c>
      <c r="E21" s="10"/>
      <c r="F21" s="10"/>
      <c r="G21" s="10"/>
      <c r="H21" s="27"/>
      <c r="I21" s="26"/>
      <c r="J21" s="26"/>
    </row>
    <row r="22" spans="1:15" ht="13.15" x14ac:dyDescent="0.4">
      <c r="A22" s="10" t="s">
        <v>252</v>
      </c>
      <c r="B22" s="19">
        <v>9164</v>
      </c>
      <c r="C22" s="18">
        <f>(B22-$B$26)/$B$26</f>
        <v>3.5261394248670285E-3</v>
      </c>
      <c r="E22" s="10"/>
      <c r="F22" s="10"/>
      <c r="G22" s="10"/>
      <c r="H22" s="28"/>
      <c r="I22" s="26"/>
      <c r="J22" s="26"/>
    </row>
    <row r="23" spans="1:15" ht="13.15" x14ac:dyDescent="0.4">
      <c r="A23" s="10" t="s">
        <v>253</v>
      </c>
      <c r="B23" s="19">
        <v>9170</v>
      </c>
      <c r="C23" s="18">
        <f>(B23-$B$26)/$B$26</f>
        <v>4.1831840381962738E-3</v>
      </c>
      <c r="E23" s="10"/>
      <c r="F23" s="10"/>
      <c r="G23" s="10"/>
      <c r="H23" s="27"/>
      <c r="I23" s="26"/>
      <c r="J23" s="26"/>
    </row>
    <row r="24" spans="1:15" ht="13.15" x14ac:dyDescent="0.4">
      <c r="A24" s="10" t="s">
        <v>254</v>
      </c>
      <c r="B24" s="20">
        <v>9091</v>
      </c>
      <c r="C24" s="18">
        <f>(B24-$B$26)/$B$26</f>
        <v>-4.4679033706387867E-3</v>
      </c>
      <c r="E24" s="30"/>
      <c r="F24" s="10"/>
      <c r="G24" s="10"/>
      <c r="H24" s="31"/>
      <c r="I24" s="26"/>
      <c r="J24" s="26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48</v>
      </c>
      <c r="B26" s="21">
        <f>AVERAGE(B20:B24)</f>
        <v>9131.7999999999993</v>
      </c>
      <c r="C26" s="10"/>
      <c r="E26" s="10"/>
      <c r="F26" s="10"/>
      <c r="G26" s="10"/>
      <c r="H26" s="10"/>
      <c r="I26" s="18"/>
    </row>
    <row r="27" spans="1:15" ht="13.15" x14ac:dyDescent="0.4">
      <c r="A27" s="10" t="s">
        <v>49</v>
      </c>
      <c r="B27" s="21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1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18"/>
      <c r="C30" s="10"/>
      <c r="E30" s="10"/>
      <c r="F30" s="10"/>
      <c r="G30" s="10"/>
      <c r="H30" s="10"/>
      <c r="I30" s="18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56</v>
      </c>
      <c r="B34" s="18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15" priority="2" operator="lessThan">
      <formula>0.03</formula>
    </cfRule>
    <cfRule type="cellIs" dxfId="14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9336-BCDF-48AF-BC1E-E6C6204FEFE1}">
  <dimension ref="A1:AE88"/>
  <sheetViews>
    <sheetView zoomScale="70" zoomScaleNormal="70" workbookViewId="0">
      <selection activeCell="N23" sqref="N23"/>
    </sheetView>
  </sheetViews>
  <sheetFormatPr defaultRowHeight="12.75" x14ac:dyDescent="0.35"/>
  <cols>
    <col min="2" max="2" width="11.796875" customWidth="1"/>
    <col min="15" max="15" width="9.6640625" bestFit="1" customWidth="1"/>
  </cols>
  <sheetData>
    <row r="1" spans="1:16" x14ac:dyDescent="0.35">
      <c r="A1" t="s">
        <v>135</v>
      </c>
    </row>
    <row r="2" spans="1:16" ht="40.15" x14ac:dyDescent="0.4">
      <c r="A2" s="183" t="s">
        <v>270</v>
      </c>
      <c r="B2" s="183"/>
      <c r="C2" s="183"/>
      <c r="D2" s="183"/>
      <c r="E2" s="183"/>
      <c r="H2" s="62" t="s">
        <v>136</v>
      </c>
    </row>
    <row r="3" spans="1:16" ht="13.15" x14ac:dyDescent="0.4">
      <c r="A3" t="s">
        <v>137</v>
      </c>
      <c r="B3" s="63" t="s">
        <v>25</v>
      </c>
      <c r="D3" t="s">
        <v>138</v>
      </c>
      <c r="E3" s="8">
        <v>1</v>
      </c>
    </row>
    <row r="4" spans="1:16" ht="40.15" x14ac:dyDescent="1.05">
      <c r="A4" s="8" t="s">
        <v>28</v>
      </c>
      <c r="B4" s="64">
        <v>45832</v>
      </c>
      <c r="O4" s="65"/>
    </row>
    <row r="5" spans="1:16" ht="13.15" x14ac:dyDescent="0.4">
      <c r="A5" s="8" t="s">
        <v>122</v>
      </c>
      <c r="B5" s="66" t="s">
        <v>139</v>
      </c>
      <c r="O5" s="29"/>
    </row>
    <row r="6" spans="1:16" ht="13.15" x14ac:dyDescent="0.4">
      <c r="A6" t="s">
        <v>140</v>
      </c>
      <c r="B6" s="67" t="str">
        <f ca="1">RIGHT(CELL("filename"),1)</f>
        <v>k</v>
      </c>
      <c r="C6" s="8"/>
      <c r="D6" s="8"/>
      <c r="E6" s="8"/>
      <c r="F6" s="8"/>
    </row>
    <row r="7" spans="1:16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N7" s="55" t="s">
        <v>131</v>
      </c>
      <c r="O7" s="55" t="s">
        <v>324</v>
      </c>
      <c r="P7" s="55"/>
    </row>
    <row r="8" spans="1:16" ht="13.15" x14ac:dyDescent="0.4">
      <c r="A8" s="57" t="s">
        <v>147</v>
      </c>
      <c r="B8" s="46">
        <v>1</v>
      </c>
      <c r="C8" s="46">
        <v>1</v>
      </c>
      <c r="D8" s="46">
        <v>1</v>
      </c>
      <c r="E8" s="46">
        <v>1</v>
      </c>
      <c r="F8" s="46">
        <v>1</v>
      </c>
      <c r="G8" s="68">
        <f>AVERAGE(B$8:F$8)*5</f>
        <v>5</v>
      </c>
      <c r="I8" s="69"/>
      <c r="K8" s="69"/>
    </row>
    <row r="9" spans="1:16" ht="13.15" x14ac:dyDescent="0.4">
      <c r="A9" s="57" t="s">
        <v>148</v>
      </c>
      <c r="B9" s="42">
        <f t="shared" ref="B9:F24" si="0">B53/B$8</f>
        <v>2034.239624</v>
      </c>
      <c r="C9" s="42">
        <f t="shared" si="0"/>
        <v>2120.9020999999998</v>
      </c>
      <c r="D9" s="42">
        <f t="shared" si="0"/>
        <v>2040.287842</v>
      </c>
      <c r="E9" s="42">
        <f t="shared" si="0"/>
        <v>2009.1099850000001</v>
      </c>
      <c r="F9" s="42">
        <f t="shared" si="0"/>
        <v>2122.880615</v>
      </c>
      <c r="G9" s="70">
        <f t="shared" ref="G9:G38" si="1">AVERAGE(B9:F9)</f>
        <v>2065.4840331999999</v>
      </c>
      <c r="H9" s="71">
        <f t="shared" ref="H9:H38" si="2">G9*G$8</f>
        <v>10327.420166</v>
      </c>
      <c r="I9" s="69">
        <f t="shared" ref="I9:I38" si="3">STDEVP(B9:F9)/AVERAGE(B9:F9)</f>
        <v>2.2867602131844397E-2</v>
      </c>
      <c r="J9" s="69">
        <f t="shared" ref="J9:J38" si="4">IF(H9&gt;$A$43, $C$43, IF(H9&gt;$A$44, $C$44, IF(H9&gt;$A$45,$C$45,IF(H9&gt;$A$46,$C$46, IF(H9&gt;$A$47,$C$47,IF(H9&gt;$A$48,$C$48,$C$49))))))/100</f>
        <v>0.11</v>
      </c>
      <c r="K9" s="69">
        <f t="shared" ref="K9:K38" si="5">(MAX(B9:F9)-MIN(B9:F9))/G9</f>
        <v>5.5081824972395527E-2</v>
      </c>
      <c r="L9">
        <f t="shared" ref="L9:L38" si="6">COUNTA(B9:F9)</f>
        <v>5</v>
      </c>
      <c r="N9">
        <f>'Clause 6 Sizing Calibration'!F19</f>
        <v>165</v>
      </c>
      <c r="O9" s="42">
        <f>N9/5</f>
        <v>33</v>
      </c>
      <c r="P9" s="42"/>
    </row>
    <row r="10" spans="1:16" ht="13.15" x14ac:dyDescent="0.4">
      <c r="A10" s="57" t="s">
        <v>149</v>
      </c>
      <c r="B10" s="42">
        <f t="shared" si="0"/>
        <v>1985.7957759999999</v>
      </c>
      <c r="C10" s="42">
        <f t="shared" si="0"/>
        <v>2075.6584469999998</v>
      </c>
      <c r="D10" s="42">
        <f t="shared" si="0"/>
        <v>2002.207764</v>
      </c>
      <c r="E10" s="42">
        <f t="shared" si="0"/>
        <v>1970.064087</v>
      </c>
      <c r="F10" s="42">
        <f t="shared" si="0"/>
        <v>2088.3842770000001</v>
      </c>
      <c r="G10" s="70">
        <f t="shared" si="1"/>
        <v>2024.4220701999998</v>
      </c>
      <c r="H10" s="71">
        <f t="shared" si="2"/>
        <v>10122.110350999999</v>
      </c>
      <c r="I10" s="69">
        <f t="shared" si="3"/>
        <v>2.3850617677986956E-2</v>
      </c>
      <c r="J10" s="69">
        <f t="shared" si="4"/>
        <v>0.11</v>
      </c>
      <c r="K10" s="69">
        <f t="shared" si="5"/>
        <v>5.8446403910381625E-2</v>
      </c>
      <c r="L10">
        <f t="shared" si="6"/>
        <v>5</v>
      </c>
      <c r="N10">
        <f>'Clause 6 Sizing Calibration'!F20</f>
        <v>194</v>
      </c>
      <c r="O10" s="42">
        <f t="shared" ref="O10:O38" si="7">N10/5</f>
        <v>38.799999999999997</v>
      </c>
      <c r="P10" s="42"/>
    </row>
    <row r="11" spans="1:16" ht="13.15" x14ac:dyDescent="0.4">
      <c r="A11" s="57" t="s">
        <v>150</v>
      </c>
      <c r="B11" s="42">
        <f t="shared" si="0"/>
        <v>1947.684814</v>
      </c>
      <c r="C11" s="42">
        <f t="shared" si="0"/>
        <v>2043.082764</v>
      </c>
      <c r="D11" s="42">
        <f t="shared" si="0"/>
        <v>1973.517212</v>
      </c>
      <c r="E11" s="42">
        <f t="shared" si="0"/>
        <v>1945.417236</v>
      </c>
      <c r="F11" s="42">
        <f t="shared" si="0"/>
        <v>2057.505615</v>
      </c>
      <c r="G11" s="70">
        <f t="shared" si="1"/>
        <v>1993.4415282000002</v>
      </c>
      <c r="H11" s="71">
        <f t="shared" si="2"/>
        <v>9967.2076410000009</v>
      </c>
      <c r="I11" s="69">
        <f t="shared" si="3"/>
        <v>2.3916893243391253E-2</v>
      </c>
      <c r="J11" s="69">
        <f t="shared" si="4"/>
        <v>0.113</v>
      </c>
      <c r="K11" s="69">
        <f t="shared" si="5"/>
        <v>5.6228576265897029E-2</v>
      </c>
      <c r="L11">
        <f t="shared" si="6"/>
        <v>5</v>
      </c>
      <c r="N11">
        <f>'Clause 6 Sizing Calibration'!F21</f>
        <v>229</v>
      </c>
      <c r="O11" s="42">
        <f t="shared" si="7"/>
        <v>45.8</v>
      </c>
      <c r="P11" s="42"/>
    </row>
    <row r="12" spans="1:16" ht="13.15" x14ac:dyDescent="0.4">
      <c r="A12" s="57" t="s">
        <v>151</v>
      </c>
      <c r="B12" s="42">
        <f t="shared" si="0"/>
        <v>1922.1881100000001</v>
      </c>
      <c r="C12" s="42">
        <f t="shared" si="0"/>
        <v>2019.2974850000001</v>
      </c>
      <c r="D12" s="42">
        <f t="shared" si="0"/>
        <v>1953.694702</v>
      </c>
      <c r="E12" s="42">
        <f t="shared" si="0"/>
        <v>1925.0511469999999</v>
      </c>
      <c r="F12" s="42">
        <f t="shared" si="0"/>
        <v>2038.384033</v>
      </c>
      <c r="G12" s="70">
        <f t="shared" si="1"/>
        <v>1971.7230953999999</v>
      </c>
      <c r="H12" s="71">
        <f t="shared" si="2"/>
        <v>9858.6154769999994</v>
      </c>
      <c r="I12" s="69">
        <f t="shared" si="3"/>
        <v>2.4495880061633529E-2</v>
      </c>
      <c r="J12" s="69">
        <f t="shared" si="4"/>
        <v>0.113</v>
      </c>
      <c r="K12" s="69">
        <f t="shared" si="5"/>
        <v>5.8931156850109086E-2</v>
      </c>
      <c r="L12">
        <f t="shared" si="6"/>
        <v>5</v>
      </c>
      <c r="N12">
        <f>'Clause 6 Sizing Calibration'!F22</f>
        <v>271</v>
      </c>
      <c r="O12" s="42">
        <f t="shared" si="7"/>
        <v>54.2</v>
      </c>
      <c r="P12" s="42"/>
    </row>
    <row r="13" spans="1:16" ht="13.15" x14ac:dyDescent="0.4">
      <c r="A13" s="57" t="s">
        <v>152</v>
      </c>
      <c r="B13" s="42">
        <f t="shared" si="0"/>
        <v>1900.3145750000001</v>
      </c>
      <c r="C13" s="42">
        <f t="shared" si="0"/>
        <v>2001.1998289999999</v>
      </c>
      <c r="D13" s="42">
        <f t="shared" si="0"/>
        <v>1935.8282469999999</v>
      </c>
      <c r="E13" s="42">
        <f t="shared" si="0"/>
        <v>1908.9658199999999</v>
      </c>
      <c r="F13" s="42">
        <f t="shared" si="0"/>
        <v>2019.6501459999999</v>
      </c>
      <c r="G13" s="70">
        <f t="shared" si="1"/>
        <v>1953.1917234</v>
      </c>
      <c r="H13" s="71">
        <f t="shared" si="2"/>
        <v>9765.9586170000002</v>
      </c>
      <c r="I13" s="69">
        <f t="shared" si="3"/>
        <v>2.4845571499462454E-2</v>
      </c>
      <c r="J13" s="69">
        <f t="shared" si="4"/>
        <v>0.113</v>
      </c>
      <c r="K13" s="69">
        <f t="shared" si="5"/>
        <v>6.1097725108248756E-2</v>
      </c>
      <c r="L13">
        <f t="shared" si="6"/>
        <v>5</v>
      </c>
      <c r="N13">
        <f>'Clause 6 Sizing Calibration'!F23</f>
        <v>319</v>
      </c>
      <c r="O13" s="42">
        <f t="shared" si="7"/>
        <v>63.8</v>
      </c>
      <c r="P13" s="42"/>
    </row>
    <row r="14" spans="1:16" ht="13.15" x14ac:dyDescent="0.4">
      <c r="A14" s="57" t="s">
        <v>153</v>
      </c>
      <c r="B14" s="42">
        <f t="shared" si="0"/>
        <v>1883.4061280000001</v>
      </c>
      <c r="C14" s="42">
        <f t="shared" si="0"/>
        <v>1987.755981</v>
      </c>
      <c r="D14" s="42">
        <f t="shared" si="0"/>
        <v>1922.6567379999999</v>
      </c>
      <c r="E14" s="42">
        <f t="shared" si="0"/>
        <v>1893.658813</v>
      </c>
      <c r="F14" s="42">
        <f t="shared" si="0"/>
        <v>2006.471802</v>
      </c>
      <c r="G14" s="70">
        <f t="shared" si="1"/>
        <v>1938.7898924000001</v>
      </c>
      <c r="H14" s="71">
        <f t="shared" si="2"/>
        <v>9693.9494620000005</v>
      </c>
      <c r="I14" s="69">
        <f t="shared" si="3"/>
        <v>2.5626785969904333E-2</v>
      </c>
      <c r="J14" s="69">
        <f t="shared" si="4"/>
        <v>0.113</v>
      </c>
      <c r="K14" s="69">
        <f t="shared" si="5"/>
        <v>6.3475508347971998E-2</v>
      </c>
      <c r="L14">
        <f t="shared" si="6"/>
        <v>5</v>
      </c>
      <c r="N14">
        <f>'Clause 6 Sizing Calibration'!F24</f>
        <v>377</v>
      </c>
      <c r="O14" s="42">
        <f t="shared" si="7"/>
        <v>75.400000000000006</v>
      </c>
      <c r="P14" s="42"/>
    </row>
    <row r="15" spans="1:16" ht="13.15" x14ac:dyDescent="0.4">
      <c r="A15" s="57" t="s">
        <v>154</v>
      </c>
      <c r="B15" s="42">
        <f t="shared" si="0"/>
        <v>1868.1080320000001</v>
      </c>
      <c r="C15" s="42">
        <f t="shared" si="0"/>
        <v>1973.795044</v>
      </c>
      <c r="D15" s="42">
        <f t="shared" si="0"/>
        <v>1912.3542480000001</v>
      </c>
      <c r="E15" s="42">
        <f t="shared" si="0"/>
        <v>1882.243408</v>
      </c>
      <c r="F15" s="42">
        <f t="shared" si="0"/>
        <v>1995.8773189999999</v>
      </c>
      <c r="G15" s="70">
        <f t="shared" si="1"/>
        <v>1926.4756101999999</v>
      </c>
      <c r="H15" s="71">
        <f t="shared" si="2"/>
        <v>9632.3780509999997</v>
      </c>
      <c r="I15" s="69">
        <f t="shared" si="3"/>
        <v>2.6076760669613286E-2</v>
      </c>
      <c r="J15" s="69">
        <f t="shared" si="4"/>
        <v>0.113</v>
      </c>
      <c r="K15" s="69">
        <f t="shared" si="5"/>
        <v>6.6322815780021888E-2</v>
      </c>
      <c r="L15">
        <f t="shared" si="6"/>
        <v>5</v>
      </c>
      <c r="N15">
        <f>'Clause 6 Sizing Calibration'!F25</f>
        <v>445</v>
      </c>
      <c r="O15" s="42">
        <f t="shared" si="7"/>
        <v>89</v>
      </c>
      <c r="P15" s="42"/>
    </row>
    <row r="16" spans="1:16" ht="13.15" x14ac:dyDescent="0.4">
      <c r="A16" s="57" t="s">
        <v>155</v>
      </c>
      <c r="B16" s="42">
        <f t="shared" si="0"/>
        <v>1856.0306399999999</v>
      </c>
      <c r="C16" s="42">
        <f t="shared" si="0"/>
        <v>1962.6779790000001</v>
      </c>
      <c r="D16" s="42">
        <f t="shared" si="0"/>
        <v>1902.3125</v>
      </c>
      <c r="E16" s="42">
        <f t="shared" si="0"/>
        <v>1872.7738039999999</v>
      </c>
      <c r="F16" s="42">
        <f t="shared" si="0"/>
        <v>1986.7042240000001</v>
      </c>
      <c r="G16" s="70">
        <f t="shared" si="1"/>
        <v>1916.0998293999996</v>
      </c>
      <c r="H16" s="71">
        <f t="shared" si="2"/>
        <v>9580.4991469999986</v>
      </c>
      <c r="I16" s="69">
        <f t="shared" si="3"/>
        <v>2.6436928063850413E-2</v>
      </c>
      <c r="J16" s="69">
        <f t="shared" si="4"/>
        <v>0.113</v>
      </c>
      <c r="K16" s="69">
        <f t="shared" si="5"/>
        <v>6.8197690952730136E-2</v>
      </c>
      <c r="L16">
        <f t="shared" si="6"/>
        <v>5</v>
      </c>
      <c r="N16">
        <f>'Clause 6 Sizing Calibration'!F26</f>
        <v>525</v>
      </c>
      <c r="O16" s="42">
        <f t="shared" si="7"/>
        <v>105</v>
      </c>
      <c r="P16" s="42"/>
    </row>
    <row r="17" spans="1:16" ht="13.15" x14ac:dyDescent="0.4">
      <c r="A17" s="57" t="s">
        <v>156</v>
      </c>
      <c r="B17" s="42">
        <f t="shared" si="0"/>
        <v>1846.100342</v>
      </c>
      <c r="C17" s="42">
        <f t="shared" si="0"/>
        <v>1952.4658199999999</v>
      </c>
      <c r="D17" s="42">
        <f t="shared" si="0"/>
        <v>1893.705322</v>
      </c>
      <c r="E17" s="42">
        <f t="shared" si="0"/>
        <v>1864.0825199999999</v>
      </c>
      <c r="F17" s="42">
        <f t="shared" si="0"/>
        <v>1978.8229980000001</v>
      </c>
      <c r="G17" s="70">
        <f t="shared" si="1"/>
        <v>1907.0354004000001</v>
      </c>
      <c r="H17" s="71">
        <f t="shared" si="2"/>
        <v>9535.1770020000004</v>
      </c>
      <c r="I17" s="69">
        <f t="shared" si="3"/>
        <v>2.6689668327816506E-2</v>
      </c>
      <c r="J17" s="69">
        <f t="shared" si="4"/>
        <v>0.113</v>
      </c>
      <c r="K17" s="69">
        <f t="shared" si="5"/>
        <v>6.9596325255504757E-2</v>
      </c>
      <c r="L17">
        <f t="shared" si="6"/>
        <v>5</v>
      </c>
      <c r="N17">
        <f>'Clause 6 Sizing Calibration'!F27</f>
        <v>619</v>
      </c>
      <c r="O17" s="42">
        <f t="shared" si="7"/>
        <v>123.8</v>
      </c>
      <c r="P17" s="42"/>
    </row>
    <row r="18" spans="1:16" ht="13.15" x14ac:dyDescent="0.4">
      <c r="A18" s="57" t="s">
        <v>157</v>
      </c>
      <c r="B18" s="42">
        <f t="shared" si="0"/>
        <v>1836.0357670000001</v>
      </c>
      <c r="C18" s="42">
        <f t="shared" si="0"/>
        <v>1945.873169</v>
      </c>
      <c r="D18" s="42">
        <f t="shared" si="0"/>
        <v>1886.5327150000001</v>
      </c>
      <c r="E18" s="42">
        <f t="shared" si="0"/>
        <v>1858.115356</v>
      </c>
      <c r="F18" s="42">
        <f t="shared" si="0"/>
        <v>1970.9417719999999</v>
      </c>
      <c r="G18" s="70">
        <f t="shared" si="1"/>
        <v>1899.4997558</v>
      </c>
      <c r="H18" s="71">
        <f t="shared" si="2"/>
        <v>9497.4987789999996</v>
      </c>
      <c r="I18" s="69">
        <f t="shared" si="3"/>
        <v>2.7011723818579966E-2</v>
      </c>
      <c r="J18" s="69">
        <f t="shared" si="4"/>
        <v>0.113</v>
      </c>
      <c r="K18" s="69">
        <f t="shared" si="5"/>
        <v>7.1021859617550906E-2</v>
      </c>
      <c r="L18">
        <f t="shared" si="6"/>
        <v>5</v>
      </c>
      <c r="N18">
        <f>'Clause 6 Sizing Calibration'!F28</f>
        <v>731</v>
      </c>
      <c r="O18" s="42">
        <f t="shared" si="7"/>
        <v>146.19999999999999</v>
      </c>
      <c r="P18" s="42"/>
    </row>
    <row r="19" spans="1:16" ht="13.15" x14ac:dyDescent="0.4">
      <c r="A19" s="57" t="s">
        <v>158</v>
      </c>
      <c r="B19" s="42">
        <f t="shared" si="0"/>
        <v>1829.460327</v>
      </c>
      <c r="C19" s="42">
        <f t="shared" si="0"/>
        <v>1940.8316649999999</v>
      </c>
      <c r="D19" s="42">
        <f t="shared" si="0"/>
        <v>1881.968384</v>
      </c>
      <c r="E19" s="42">
        <f t="shared" si="0"/>
        <v>1851.759033</v>
      </c>
      <c r="F19" s="42">
        <f t="shared" si="0"/>
        <v>1964.0942379999999</v>
      </c>
      <c r="G19" s="70">
        <f t="shared" si="1"/>
        <v>1893.6227294</v>
      </c>
      <c r="H19" s="71">
        <f t="shared" si="2"/>
        <v>9468.1136470000001</v>
      </c>
      <c r="I19" s="69">
        <f t="shared" si="3"/>
        <v>2.7133795216036049E-2</v>
      </c>
      <c r="J19" s="69">
        <f t="shared" si="4"/>
        <v>0.113</v>
      </c>
      <c r="K19" s="69">
        <f t="shared" si="5"/>
        <v>7.1098592612826875E-2</v>
      </c>
      <c r="L19">
        <f t="shared" si="6"/>
        <v>5</v>
      </c>
      <c r="N19">
        <f>'Clause 6 Sizing Calibration'!F29</f>
        <v>862</v>
      </c>
      <c r="O19" s="42">
        <f t="shared" si="7"/>
        <v>172.4</v>
      </c>
      <c r="P19" s="42"/>
    </row>
    <row r="20" spans="1:16" ht="13.15" x14ac:dyDescent="0.4">
      <c r="A20" s="57" t="s">
        <v>159</v>
      </c>
      <c r="B20" s="42">
        <f t="shared" si="0"/>
        <v>1823.287476</v>
      </c>
      <c r="C20" s="42">
        <f t="shared" si="0"/>
        <v>1935.402466</v>
      </c>
      <c r="D20" s="42">
        <f t="shared" si="0"/>
        <v>1876.360596</v>
      </c>
      <c r="E20" s="42">
        <f t="shared" si="0"/>
        <v>1845.013672</v>
      </c>
      <c r="F20" s="42">
        <f t="shared" si="0"/>
        <v>1959.9598390000001</v>
      </c>
      <c r="G20" s="70">
        <f t="shared" si="1"/>
        <v>1888.0048098</v>
      </c>
      <c r="H20" s="71">
        <f t="shared" si="2"/>
        <v>9440.0240489999996</v>
      </c>
      <c r="I20" s="69">
        <f t="shared" si="3"/>
        <v>2.7619832513569243E-2</v>
      </c>
      <c r="J20" s="69">
        <f t="shared" si="4"/>
        <v>0.113</v>
      </c>
      <c r="K20" s="69">
        <f t="shared" si="5"/>
        <v>7.2389838357709541E-2</v>
      </c>
      <c r="L20">
        <f t="shared" si="6"/>
        <v>5</v>
      </c>
      <c r="N20">
        <f>'Clause 6 Sizing Calibration'!F30</f>
        <v>1018</v>
      </c>
      <c r="O20" s="42">
        <f t="shared" si="7"/>
        <v>203.6</v>
      </c>
      <c r="P20" s="42"/>
    </row>
    <row r="21" spans="1:16" ht="13.15" x14ac:dyDescent="0.4">
      <c r="A21" s="57" t="s">
        <v>160</v>
      </c>
      <c r="B21" s="42">
        <f t="shared" si="0"/>
        <v>1818.1881100000001</v>
      </c>
      <c r="C21" s="42">
        <f t="shared" si="0"/>
        <v>1930.748779</v>
      </c>
      <c r="D21" s="42">
        <f t="shared" si="0"/>
        <v>1871.2745359999999</v>
      </c>
      <c r="E21" s="42">
        <f t="shared" si="0"/>
        <v>1841.1220699999999</v>
      </c>
      <c r="F21" s="42">
        <f t="shared" si="0"/>
        <v>1955.308716</v>
      </c>
      <c r="G21" s="70">
        <f t="shared" si="1"/>
        <v>1883.3284421999997</v>
      </c>
      <c r="H21" s="71">
        <f t="shared" si="2"/>
        <v>9416.6422109999985</v>
      </c>
      <c r="I21" s="69">
        <f t="shared" si="3"/>
        <v>2.7692040791104336E-2</v>
      </c>
      <c r="J21" s="69">
        <f t="shared" si="4"/>
        <v>0.113</v>
      </c>
      <c r="K21" s="69">
        <f t="shared" si="5"/>
        <v>7.2807590501751923E-2</v>
      </c>
      <c r="L21">
        <f t="shared" si="6"/>
        <v>5</v>
      </c>
      <c r="N21">
        <f>'Clause 6 Sizing Calibration'!F31</f>
        <v>1201</v>
      </c>
      <c r="O21" s="42">
        <f t="shared" si="7"/>
        <v>240.2</v>
      </c>
      <c r="P21" s="42"/>
    </row>
    <row r="22" spans="1:16" ht="13.15" x14ac:dyDescent="0.4">
      <c r="A22" s="57" t="s">
        <v>161</v>
      </c>
      <c r="B22" s="42">
        <f t="shared" si="0"/>
        <v>1815.1016850000001</v>
      </c>
      <c r="C22" s="42">
        <f t="shared" si="0"/>
        <v>1926.224365</v>
      </c>
      <c r="D22" s="42">
        <f t="shared" si="0"/>
        <v>1868.0142820000001</v>
      </c>
      <c r="E22" s="42">
        <f t="shared" si="0"/>
        <v>1837.2303469999999</v>
      </c>
      <c r="F22" s="42">
        <f t="shared" si="0"/>
        <v>1951.8203120000001</v>
      </c>
      <c r="G22" s="70">
        <f t="shared" si="1"/>
        <v>1879.6781982</v>
      </c>
      <c r="H22" s="71">
        <f t="shared" si="2"/>
        <v>9398.3909910000002</v>
      </c>
      <c r="I22" s="69">
        <f t="shared" si="3"/>
        <v>2.7622355198314016E-2</v>
      </c>
      <c r="J22" s="69">
        <f t="shared" si="4"/>
        <v>0.113</v>
      </c>
      <c r="K22" s="69">
        <f t="shared" si="5"/>
        <v>7.2735124092476677E-2</v>
      </c>
      <c r="L22">
        <f t="shared" si="6"/>
        <v>5</v>
      </c>
      <c r="N22">
        <f>'Clause 6 Sizing Calibration'!F32</f>
        <v>1417</v>
      </c>
      <c r="O22" s="42">
        <f t="shared" si="7"/>
        <v>283.39999999999998</v>
      </c>
      <c r="P22" s="42"/>
    </row>
    <row r="23" spans="1:16" ht="13.15" x14ac:dyDescent="0.4">
      <c r="A23" s="57" t="s">
        <v>162</v>
      </c>
      <c r="B23" s="42">
        <f t="shared" si="0"/>
        <v>1810.807495</v>
      </c>
      <c r="C23" s="42">
        <f t="shared" si="0"/>
        <v>1921.8292240000001</v>
      </c>
      <c r="D23" s="42">
        <f t="shared" si="0"/>
        <v>1863.580322</v>
      </c>
      <c r="E23" s="42">
        <f t="shared" si="0"/>
        <v>1832.9495850000001</v>
      </c>
      <c r="F23" s="42">
        <f t="shared" si="0"/>
        <v>1946.2646480000001</v>
      </c>
      <c r="G23" s="70">
        <f t="shared" si="1"/>
        <v>1875.0862548</v>
      </c>
      <c r="H23" s="71">
        <f t="shared" si="2"/>
        <v>9375.4312740000005</v>
      </c>
      <c r="I23" s="69">
        <f t="shared" si="3"/>
        <v>2.7496103809543569E-2</v>
      </c>
      <c r="J23" s="69">
        <f t="shared" si="4"/>
        <v>0.113</v>
      </c>
      <c r="K23" s="69">
        <f t="shared" si="5"/>
        <v>7.2240491685780159E-2</v>
      </c>
      <c r="L23">
        <f t="shared" si="6"/>
        <v>5</v>
      </c>
      <c r="N23">
        <f>'Clause 6 Sizing Calibration'!F33</f>
        <v>1672</v>
      </c>
      <c r="O23" s="42">
        <f t="shared" si="7"/>
        <v>334.4</v>
      </c>
      <c r="P23" s="42"/>
    </row>
    <row r="24" spans="1:16" ht="13.15" x14ac:dyDescent="0.4">
      <c r="A24" s="57" t="s">
        <v>163</v>
      </c>
      <c r="B24" s="42">
        <f t="shared" si="0"/>
        <v>1787.457764</v>
      </c>
      <c r="C24" s="42">
        <f t="shared" si="0"/>
        <v>1891.9682620000001</v>
      </c>
      <c r="D24" s="42">
        <f t="shared" si="0"/>
        <v>1831.4990230000001</v>
      </c>
      <c r="E24" s="42">
        <f t="shared" si="0"/>
        <v>1807.524414</v>
      </c>
      <c r="F24" s="42">
        <f t="shared" si="0"/>
        <v>1909.1843260000001</v>
      </c>
      <c r="G24" s="70">
        <f t="shared" si="1"/>
        <v>1845.5267578000003</v>
      </c>
      <c r="H24" s="71">
        <f t="shared" si="2"/>
        <v>9227.6337890000013</v>
      </c>
      <c r="I24" s="69">
        <f t="shared" si="3"/>
        <v>2.5670303259557509E-2</v>
      </c>
      <c r="J24" s="69">
        <f t="shared" si="4"/>
        <v>0.113</v>
      </c>
      <c r="K24" s="69">
        <f t="shared" si="5"/>
        <v>6.5957625098379394E-2</v>
      </c>
      <c r="L24">
        <f t="shared" si="6"/>
        <v>5</v>
      </c>
      <c r="N24">
        <f>'Clause 6 Sizing Calibration'!F34</f>
        <v>1973</v>
      </c>
      <c r="O24" s="42">
        <f t="shared" si="7"/>
        <v>394.6</v>
      </c>
      <c r="P24" s="42"/>
    </row>
    <row r="25" spans="1:16" ht="13.15" x14ac:dyDescent="0.4">
      <c r="A25" s="57" t="s">
        <v>164</v>
      </c>
      <c r="B25" s="42">
        <f t="shared" ref="B25:F38" si="8">B69/B$8</f>
        <v>1460.696533</v>
      </c>
      <c r="C25" s="42">
        <f t="shared" si="8"/>
        <v>1508.4298100000001</v>
      </c>
      <c r="D25" s="42">
        <f t="shared" si="8"/>
        <v>1483.3004149999999</v>
      </c>
      <c r="E25" s="42">
        <f t="shared" si="8"/>
        <v>1482.055908</v>
      </c>
      <c r="F25" s="42">
        <f t="shared" si="8"/>
        <v>1508.1484379999999</v>
      </c>
      <c r="G25" s="70">
        <f t="shared" si="1"/>
        <v>1488.5262207999999</v>
      </c>
      <c r="H25" s="71">
        <f t="shared" si="2"/>
        <v>7442.6311040000001</v>
      </c>
      <c r="I25" s="69">
        <f t="shared" si="3"/>
        <v>1.2110584872114576E-2</v>
      </c>
      <c r="J25" s="69">
        <f t="shared" si="4"/>
        <v>0.113</v>
      </c>
      <c r="K25" s="69">
        <f t="shared" si="5"/>
        <v>3.2067474749854302E-2</v>
      </c>
      <c r="L25">
        <f t="shared" si="6"/>
        <v>5</v>
      </c>
      <c r="N25">
        <f>'Clause 6 Sizing Calibration'!F35</f>
        <v>2328</v>
      </c>
      <c r="O25" s="42">
        <f t="shared" si="7"/>
        <v>465.6</v>
      </c>
      <c r="P25" s="42"/>
    </row>
    <row r="26" spans="1:16" ht="13.15" x14ac:dyDescent="0.4">
      <c r="A26" s="57" t="s">
        <v>165</v>
      </c>
      <c r="B26" s="42">
        <f t="shared" si="8"/>
        <v>496.24765000000002</v>
      </c>
      <c r="C26" s="42">
        <f t="shared" si="8"/>
        <v>508.15301499999998</v>
      </c>
      <c r="D26" s="42">
        <f t="shared" si="8"/>
        <v>505.08373999999998</v>
      </c>
      <c r="E26" s="42">
        <f t="shared" si="8"/>
        <v>505.131348</v>
      </c>
      <c r="F26" s="42">
        <f t="shared" si="8"/>
        <v>505.68774400000001</v>
      </c>
      <c r="G26" s="70">
        <f t="shared" si="1"/>
        <v>504.06069939999998</v>
      </c>
      <c r="H26" s="71">
        <f t="shared" si="2"/>
        <v>2520.3034969999999</v>
      </c>
      <c r="I26" s="69">
        <f t="shared" si="3"/>
        <v>8.0649850366757599E-3</v>
      </c>
      <c r="J26" s="69">
        <f t="shared" si="4"/>
        <v>0.11900000000000001</v>
      </c>
      <c r="K26" s="69">
        <f t="shared" si="5"/>
        <v>2.3618911401288193E-2</v>
      </c>
      <c r="L26">
        <f t="shared" si="6"/>
        <v>5</v>
      </c>
      <c r="N26">
        <f>'Clause 6 Sizing Calibration'!F36</f>
        <v>2747</v>
      </c>
      <c r="O26" s="42">
        <f t="shared" si="7"/>
        <v>549.4</v>
      </c>
      <c r="P26" s="42"/>
    </row>
    <row r="27" spans="1:16" ht="13.15" x14ac:dyDescent="0.4">
      <c r="A27" s="57" t="s">
        <v>166</v>
      </c>
      <c r="B27" s="42">
        <f t="shared" si="8"/>
        <v>86.152244999999994</v>
      </c>
      <c r="C27" s="42">
        <f t="shared" si="8"/>
        <v>93.590125999999998</v>
      </c>
      <c r="D27" s="42">
        <f t="shared" si="8"/>
        <v>91.288048000000003</v>
      </c>
      <c r="E27" s="42">
        <f t="shared" si="8"/>
        <v>86.653244000000001</v>
      </c>
      <c r="F27" s="42">
        <f t="shared" si="8"/>
        <v>91.731803999999997</v>
      </c>
      <c r="G27" s="70">
        <f t="shared" si="1"/>
        <v>89.883093400000007</v>
      </c>
      <c r="H27" s="71">
        <f t="shared" si="2"/>
        <v>449.41546700000004</v>
      </c>
      <c r="I27" s="69">
        <f t="shared" si="3"/>
        <v>3.280999052118877E-2</v>
      </c>
      <c r="J27" s="69">
        <f t="shared" si="4"/>
        <v>0.193</v>
      </c>
      <c r="K27" s="69">
        <f t="shared" si="5"/>
        <v>8.2750612141259519E-2</v>
      </c>
      <c r="L27">
        <f t="shared" si="6"/>
        <v>5</v>
      </c>
      <c r="N27">
        <f>'Clause 6 Sizing Calibration'!F37</f>
        <v>3241</v>
      </c>
      <c r="O27" s="42">
        <f t="shared" si="7"/>
        <v>648.20000000000005</v>
      </c>
      <c r="P27" s="42"/>
    </row>
    <row r="28" spans="1:16" ht="13.15" x14ac:dyDescent="0.4">
      <c r="A28" s="57" t="s">
        <v>167</v>
      </c>
      <c r="B28" s="42">
        <f t="shared" si="8"/>
        <v>55.958702000000002</v>
      </c>
      <c r="C28" s="42">
        <f t="shared" si="8"/>
        <v>61.790165000000002</v>
      </c>
      <c r="D28" s="42">
        <f t="shared" si="8"/>
        <v>59.598053</v>
      </c>
      <c r="E28" s="42">
        <f t="shared" si="8"/>
        <v>58.244472999999999</v>
      </c>
      <c r="F28" s="42">
        <f t="shared" si="8"/>
        <v>63.178665000000002</v>
      </c>
      <c r="G28" s="70">
        <f t="shared" si="1"/>
        <v>59.754011599999998</v>
      </c>
      <c r="H28" s="71">
        <f t="shared" si="2"/>
        <v>298.77005800000001</v>
      </c>
      <c r="I28" s="69">
        <f t="shared" si="3"/>
        <v>4.2720268867236524E-2</v>
      </c>
      <c r="J28" s="69">
        <f t="shared" si="4"/>
        <v>0.193</v>
      </c>
      <c r="K28" s="69">
        <f t="shared" si="5"/>
        <v>0.12082808846929367</v>
      </c>
      <c r="L28">
        <f t="shared" si="6"/>
        <v>5</v>
      </c>
      <c r="N28">
        <f>'Clause 6 Sizing Calibration'!F38</f>
        <v>3824</v>
      </c>
      <c r="O28" s="42">
        <f t="shared" si="7"/>
        <v>764.8</v>
      </c>
      <c r="P28" s="42"/>
    </row>
    <row r="29" spans="1:16" ht="13.15" x14ac:dyDescent="0.4">
      <c r="A29" s="57" t="s">
        <v>168</v>
      </c>
      <c r="B29" s="42">
        <f t="shared" si="8"/>
        <v>43.747089000000003</v>
      </c>
      <c r="C29" s="42">
        <f t="shared" si="8"/>
        <v>51.448715</v>
      </c>
      <c r="D29" s="42">
        <f t="shared" si="8"/>
        <v>46.948138999999998</v>
      </c>
      <c r="E29" s="42">
        <f t="shared" si="8"/>
        <v>47.607394999999997</v>
      </c>
      <c r="F29" s="42">
        <f t="shared" si="8"/>
        <v>49.741894000000002</v>
      </c>
      <c r="G29" s="70">
        <f t="shared" si="1"/>
        <v>47.898646400000004</v>
      </c>
      <c r="H29" s="71">
        <f t="shared" si="2"/>
        <v>239.49323200000003</v>
      </c>
      <c r="I29" s="69">
        <f t="shared" si="3"/>
        <v>5.4620899730067771E-2</v>
      </c>
      <c r="J29" s="69">
        <f t="shared" si="4"/>
        <v>0.193</v>
      </c>
      <c r="K29" s="69">
        <f t="shared" si="5"/>
        <v>0.16079005522794892</v>
      </c>
      <c r="L29">
        <f t="shared" si="6"/>
        <v>5</v>
      </c>
      <c r="N29">
        <f>'Clause 6 Sizing Calibration'!F39</f>
        <v>4512</v>
      </c>
      <c r="O29" s="42">
        <f t="shared" si="7"/>
        <v>902.4</v>
      </c>
      <c r="P29" s="42"/>
    </row>
    <row r="30" spans="1:16" ht="13.15" x14ac:dyDescent="0.4">
      <c r="A30" s="57" t="s">
        <v>169</v>
      </c>
      <c r="B30" s="42">
        <f t="shared" si="8"/>
        <v>29.790962</v>
      </c>
      <c r="C30" s="42">
        <f t="shared" si="8"/>
        <v>35.678001000000002</v>
      </c>
      <c r="D30" s="42">
        <f t="shared" si="8"/>
        <v>31.168348000000002</v>
      </c>
      <c r="E30" s="42">
        <f t="shared" si="8"/>
        <v>33.078709000000003</v>
      </c>
      <c r="F30" s="42">
        <f t="shared" si="8"/>
        <v>36.046722000000003</v>
      </c>
      <c r="G30" s="70">
        <f t="shared" si="1"/>
        <v>33.152548400000001</v>
      </c>
      <c r="H30" s="71">
        <f t="shared" si="2"/>
        <v>165.762742</v>
      </c>
      <c r="I30" s="69">
        <f t="shared" si="3"/>
        <v>7.3881618358012574E-2</v>
      </c>
      <c r="J30" s="69">
        <f t="shared" si="4"/>
        <v>0.27500000000000002</v>
      </c>
      <c r="K30" s="69">
        <f t="shared" si="5"/>
        <v>0.18869620291392145</v>
      </c>
      <c r="L30">
        <f t="shared" si="6"/>
        <v>5</v>
      </c>
      <c r="N30">
        <f>'Clause 6 Sizing Calibration'!F40</f>
        <v>5324</v>
      </c>
      <c r="O30" s="42">
        <f t="shared" si="7"/>
        <v>1064.8</v>
      </c>
      <c r="P30" s="42"/>
    </row>
    <row r="31" spans="1:16" ht="13.15" x14ac:dyDescent="0.4">
      <c r="A31" s="57" t="s">
        <v>170</v>
      </c>
      <c r="B31" s="42">
        <f t="shared" si="8"/>
        <v>23.483868000000001</v>
      </c>
      <c r="C31" s="42">
        <f t="shared" si="8"/>
        <v>28.438987999999998</v>
      </c>
      <c r="D31" s="42">
        <f t="shared" si="8"/>
        <v>25.039007000000002</v>
      </c>
      <c r="E31" s="42">
        <f t="shared" si="8"/>
        <v>25.814364999999999</v>
      </c>
      <c r="F31" s="42">
        <f t="shared" si="8"/>
        <v>30.103536999999999</v>
      </c>
      <c r="G31" s="70">
        <f t="shared" si="1"/>
        <v>26.575952999999998</v>
      </c>
      <c r="H31" s="71">
        <f t="shared" si="2"/>
        <v>132.87976499999999</v>
      </c>
      <c r="I31" s="69">
        <f t="shared" si="3"/>
        <v>8.9706224528794856E-2</v>
      </c>
      <c r="J31" s="69">
        <f t="shared" si="4"/>
        <v>0.27500000000000002</v>
      </c>
      <c r="K31" s="69">
        <f t="shared" si="5"/>
        <v>0.24908491522392437</v>
      </c>
      <c r="L31">
        <f t="shared" si="6"/>
        <v>5</v>
      </c>
      <c r="N31">
        <f>'Clause 6 Sizing Calibration'!F41</f>
        <v>6282</v>
      </c>
      <c r="O31" s="42">
        <f t="shared" si="7"/>
        <v>1256.4000000000001</v>
      </c>
      <c r="P31" s="42"/>
    </row>
    <row r="32" spans="1:16" ht="13.15" x14ac:dyDescent="0.4">
      <c r="A32" s="57" t="s">
        <v>171</v>
      </c>
      <c r="B32" s="42">
        <f t="shared" si="8"/>
        <v>20.263221999999999</v>
      </c>
      <c r="C32" s="42">
        <f t="shared" si="8"/>
        <v>24.690211999999999</v>
      </c>
      <c r="D32" s="42">
        <f t="shared" si="8"/>
        <v>21.387485999999999</v>
      </c>
      <c r="E32" s="42">
        <f t="shared" si="8"/>
        <v>21.53359</v>
      </c>
      <c r="F32" s="42">
        <f t="shared" si="8"/>
        <v>25.969145000000001</v>
      </c>
      <c r="G32" s="70">
        <f t="shared" si="1"/>
        <v>22.768730999999999</v>
      </c>
      <c r="H32" s="71">
        <f t="shared" si="2"/>
        <v>113.843655</v>
      </c>
      <c r="I32" s="69">
        <f t="shared" si="3"/>
        <v>9.5510802143787626E-2</v>
      </c>
      <c r="J32" s="69">
        <f t="shared" si="4"/>
        <v>0.27500000000000002</v>
      </c>
      <c r="K32" s="69">
        <f t="shared" si="5"/>
        <v>0.2506034701714383</v>
      </c>
      <c r="L32">
        <f t="shared" si="6"/>
        <v>5</v>
      </c>
      <c r="N32">
        <f>'Clause 6 Sizing Calibration'!F42</f>
        <v>7412</v>
      </c>
      <c r="O32" s="42">
        <f t="shared" si="7"/>
        <v>1482.4</v>
      </c>
      <c r="P32" s="42"/>
    </row>
    <row r="33" spans="1:16" ht="13.15" x14ac:dyDescent="0.4">
      <c r="A33" s="57" t="s">
        <v>172</v>
      </c>
      <c r="B33" s="42">
        <f t="shared" si="8"/>
        <v>18.116125</v>
      </c>
      <c r="C33" s="42">
        <f t="shared" si="8"/>
        <v>20.553633000000001</v>
      </c>
      <c r="D33" s="42">
        <f t="shared" si="8"/>
        <v>17.344728</v>
      </c>
      <c r="E33" s="42">
        <f t="shared" si="8"/>
        <v>17.641977000000001</v>
      </c>
      <c r="F33" s="42">
        <f t="shared" si="8"/>
        <v>20.284357</v>
      </c>
      <c r="G33" s="70">
        <f t="shared" si="1"/>
        <v>18.788164000000002</v>
      </c>
      <c r="H33" s="71">
        <f t="shared" si="2"/>
        <v>93.940820000000002</v>
      </c>
      <c r="I33" s="69">
        <f t="shared" si="3"/>
        <v>7.2215017406058568E-2</v>
      </c>
      <c r="J33" s="69">
        <f t="shared" si="4"/>
        <v>0.27500000000000002</v>
      </c>
      <c r="K33" s="69">
        <f t="shared" si="5"/>
        <v>0.1707939636890545</v>
      </c>
      <c r="L33">
        <f t="shared" si="6"/>
        <v>5</v>
      </c>
      <c r="N33">
        <f>'Clause 6 Sizing Calibration'!F43</f>
        <v>8745</v>
      </c>
      <c r="O33" s="42">
        <f t="shared" si="7"/>
        <v>1749</v>
      </c>
      <c r="P33" s="42"/>
    </row>
    <row r="34" spans="1:16" ht="13.15" x14ac:dyDescent="0.4">
      <c r="A34" s="57" t="s">
        <v>173</v>
      </c>
      <c r="B34" s="42">
        <f t="shared" si="8"/>
        <v>14.224513999999999</v>
      </c>
      <c r="C34" s="42">
        <f t="shared" si="8"/>
        <v>16.546320000000001</v>
      </c>
      <c r="D34" s="42">
        <f t="shared" si="8"/>
        <v>13.04115</v>
      </c>
      <c r="E34" s="42">
        <f t="shared" si="8"/>
        <v>14.528687</v>
      </c>
      <c r="F34" s="42">
        <f t="shared" si="8"/>
        <v>16.020765000000001</v>
      </c>
      <c r="G34" s="70">
        <f t="shared" si="1"/>
        <v>14.872287199999999</v>
      </c>
      <c r="H34" s="71">
        <f t="shared" si="2"/>
        <v>74.361435999999998</v>
      </c>
      <c r="I34" s="69">
        <f t="shared" si="3"/>
        <v>8.511596041104473E-2</v>
      </c>
      <c r="J34" s="69">
        <f t="shared" si="4"/>
        <v>0.27500000000000002</v>
      </c>
      <c r="K34" s="69">
        <f t="shared" si="5"/>
        <v>0.23568466321710099</v>
      </c>
      <c r="L34">
        <f t="shared" si="6"/>
        <v>5</v>
      </c>
      <c r="N34">
        <f>'Clause 6 Sizing Calibration'!F44</f>
        <v>10319</v>
      </c>
      <c r="O34" s="42">
        <f t="shared" si="7"/>
        <v>2063.8000000000002</v>
      </c>
      <c r="P34" s="42"/>
    </row>
    <row r="35" spans="1:16" ht="13.15" x14ac:dyDescent="0.4">
      <c r="A35" s="57" t="s">
        <v>174</v>
      </c>
      <c r="B35" s="42">
        <f t="shared" si="8"/>
        <v>11.943224000000001</v>
      </c>
      <c r="C35" s="42">
        <f t="shared" si="8"/>
        <v>13.314617</v>
      </c>
      <c r="D35" s="42">
        <f t="shared" si="8"/>
        <v>10.302508</v>
      </c>
      <c r="E35" s="42">
        <f t="shared" si="8"/>
        <v>11.545118</v>
      </c>
      <c r="F35" s="42">
        <f t="shared" si="8"/>
        <v>12.015574000000001</v>
      </c>
      <c r="G35" s="70">
        <f t="shared" si="1"/>
        <v>11.824208200000001</v>
      </c>
      <c r="H35" s="71">
        <f t="shared" si="2"/>
        <v>59.121041000000005</v>
      </c>
      <c r="I35" s="69">
        <f t="shared" si="3"/>
        <v>8.1694936285345868E-2</v>
      </c>
      <c r="J35" s="69">
        <f t="shared" si="4"/>
        <v>0.27500000000000002</v>
      </c>
      <c r="K35" s="69">
        <f t="shared" si="5"/>
        <v>0.25474086290192355</v>
      </c>
      <c r="L35">
        <f t="shared" si="6"/>
        <v>5</v>
      </c>
      <c r="N35">
        <f>'Clause 6 Sizing Calibration'!F45</f>
        <v>12175</v>
      </c>
      <c r="O35" s="42">
        <f t="shared" si="7"/>
        <v>2435</v>
      </c>
      <c r="P35" s="42"/>
    </row>
    <row r="36" spans="1:16" ht="13.15" x14ac:dyDescent="0.4">
      <c r="A36" s="57" t="s">
        <v>175</v>
      </c>
      <c r="B36" s="42">
        <f t="shared" si="8"/>
        <v>9.3935469999999999</v>
      </c>
      <c r="C36" s="42">
        <f t="shared" si="8"/>
        <v>10.729255</v>
      </c>
      <c r="D36" s="42">
        <f t="shared" si="8"/>
        <v>8.7375710000000009</v>
      </c>
      <c r="E36" s="42">
        <f t="shared" si="8"/>
        <v>9.4695909999999994</v>
      </c>
      <c r="F36" s="42">
        <f>F80/F$8</f>
        <v>10.077579</v>
      </c>
      <c r="G36" s="70">
        <f t="shared" si="1"/>
        <v>9.6815086000000008</v>
      </c>
      <c r="H36" s="71">
        <f t="shared" si="2"/>
        <v>48.407543000000004</v>
      </c>
      <c r="I36" s="69">
        <f t="shared" si="3"/>
        <v>6.9649629986138994E-2</v>
      </c>
      <c r="J36" s="69">
        <f t="shared" si="4"/>
        <v>0.27500000000000002</v>
      </c>
      <c r="K36" s="69">
        <f t="shared" si="5"/>
        <v>0.20572041840669328</v>
      </c>
      <c r="L36">
        <f t="shared" si="6"/>
        <v>5</v>
      </c>
      <c r="N36">
        <f>'Clause 6 Sizing Calibration'!F46</f>
        <v>14366</v>
      </c>
      <c r="O36" s="42">
        <f t="shared" si="7"/>
        <v>2873.2</v>
      </c>
      <c r="P36" s="42"/>
    </row>
    <row r="37" spans="1:16" ht="13.15" x14ac:dyDescent="0.4">
      <c r="A37" s="57" t="s">
        <v>176</v>
      </c>
      <c r="B37" s="42">
        <f t="shared" si="8"/>
        <v>6.9780639999999998</v>
      </c>
      <c r="C37" s="42">
        <f t="shared" si="8"/>
        <v>8.2731600000000007</v>
      </c>
      <c r="D37" s="42">
        <f t="shared" si="8"/>
        <v>6.9118089999999999</v>
      </c>
      <c r="E37" s="42">
        <f t="shared" si="8"/>
        <v>7.1346239999999996</v>
      </c>
      <c r="F37" s="42">
        <f>F81/F$8</f>
        <v>8.139583</v>
      </c>
      <c r="G37" s="70">
        <f t="shared" si="1"/>
        <v>7.4874479999999988</v>
      </c>
      <c r="H37" s="71">
        <f t="shared" si="2"/>
        <v>37.437239999999996</v>
      </c>
      <c r="I37" s="69">
        <f t="shared" si="3"/>
        <v>7.9192356107666201E-2</v>
      </c>
      <c r="J37" s="69">
        <f t="shared" si="4"/>
        <v>0.27500000000000002</v>
      </c>
      <c r="K37" s="69">
        <f t="shared" si="5"/>
        <v>0.18181775686455534</v>
      </c>
      <c r="L37">
        <f t="shared" si="6"/>
        <v>5</v>
      </c>
      <c r="N37">
        <f>'Clause 6 Sizing Calibration'!F47</f>
        <v>16950</v>
      </c>
      <c r="O37" s="42">
        <f t="shared" si="7"/>
        <v>3390</v>
      </c>
    </row>
    <row r="38" spans="1:16" ht="13.15" x14ac:dyDescent="0.4">
      <c r="A38" s="57" t="s">
        <v>177</v>
      </c>
      <c r="B38" s="42">
        <f t="shared" si="8"/>
        <v>5.0993539999999999</v>
      </c>
      <c r="C38" s="42">
        <f t="shared" si="8"/>
        <v>6.8512110000000002</v>
      </c>
      <c r="D38" s="42">
        <f t="shared" si="8"/>
        <v>4.8252249999999997</v>
      </c>
      <c r="E38" s="42">
        <f t="shared" si="8"/>
        <v>5.1888170000000002</v>
      </c>
      <c r="F38" s="42">
        <f>F82/F$8</f>
        <v>6.4599859999999998</v>
      </c>
      <c r="G38" s="70">
        <f t="shared" si="1"/>
        <v>5.6849186000000005</v>
      </c>
      <c r="H38" s="71">
        <f t="shared" si="2"/>
        <v>28.424593000000002</v>
      </c>
      <c r="I38" s="69">
        <f t="shared" si="3"/>
        <v>0.14266765980619892</v>
      </c>
      <c r="J38" s="69">
        <f t="shared" si="4"/>
        <v>0.27500000000000002</v>
      </c>
      <c r="K38" s="69">
        <f t="shared" si="5"/>
        <v>0.35637906935026303</v>
      </c>
      <c r="L38">
        <f t="shared" si="6"/>
        <v>5</v>
      </c>
      <c r="N38">
        <f>'Clause 6 Sizing Calibration'!F48</f>
        <v>20000</v>
      </c>
      <c r="O38" s="42">
        <f t="shared" si="7"/>
        <v>4000</v>
      </c>
    </row>
    <row r="40" spans="1:16" x14ac:dyDescent="0.35">
      <c r="A40" t="s">
        <v>178</v>
      </c>
    </row>
    <row r="41" spans="1:16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6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ht="13.15" x14ac:dyDescent="0.4">
      <c r="B51" s="55" t="s">
        <v>40</v>
      </c>
      <c r="C51" s="55" t="s">
        <v>41</v>
      </c>
      <c r="D51" s="55" t="s">
        <v>43</v>
      </c>
      <c r="E51" s="55" t="s">
        <v>44</v>
      </c>
      <c r="F51" s="55" t="s">
        <v>46</v>
      </c>
      <c r="G51" s="55"/>
      <c r="H51" s="55"/>
      <c r="I51" s="55"/>
      <c r="J51" s="55"/>
      <c r="K51" s="55"/>
      <c r="L51" s="55"/>
      <c r="M51" s="55"/>
      <c r="N51" s="55"/>
      <c r="O51" s="55"/>
      <c r="P51" s="55"/>
    </row>
    <row r="52" spans="1:16" ht="13.15" x14ac:dyDescent="0.4">
      <c r="A52" s="55" t="s">
        <v>189</v>
      </c>
      <c r="B52">
        <v>7.451924</v>
      </c>
      <c r="C52">
        <v>7.7358589999999996</v>
      </c>
      <c r="D52">
        <v>7.6680359999999999</v>
      </c>
      <c r="E52">
        <v>7.7088859999999997</v>
      </c>
      <c r="F52">
        <v>7.739954</v>
      </c>
    </row>
    <row r="53" spans="1:16" ht="13.15" x14ac:dyDescent="0.4">
      <c r="A53" s="8">
        <v>4</v>
      </c>
      <c r="B53">
        <v>2034.239624</v>
      </c>
      <c r="C53">
        <v>2120.9020999999998</v>
      </c>
      <c r="D53">
        <v>2040.287842</v>
      </c>
      <c r="E53">
        <v>2009.1099850000001</v>
      </c>
      <c r="F53">
        <v>2122.880615</v>
      </c>
    </row>
    <row r="54" spans="1:16" ht="13.15" x14ac:dyDescent="0.4">
      <c r="A54" s="8">
        <v>5</v>
      </c>
      <c r="B54">
        <v>1985.7957759999999</v>
      </c>
      <c r="C54">
        <v>2075.6584469999998</v>
      </c>
      <c r="D54">
        <v>2002.207764</v>
      </c>
      <c r="E54">
        <v>1970.064087</v>
      </c>
      <c r="F54">
        <v>2088.3842770000001</v>
      </c>
    </row>
    <row r="55" spans="1:16" ht="13.15" x14ac:dyDescent="0.4">
      <c r="A55" s="8">
        <v>6</v>
      </c>
      <c r="B55">
        <v>1947.684814</v>
      </c>
      <c r="C55">
        <v>2043.082764</v>
      </c>
      <c r="D55">
        <v>1973.517212</v>
      </c>
      <c r="E55">
        <v>1945.417236</v>
      </c>
      <c r="F55">
        <v>2057.505615</v>
      </c>
    </row>
    <row r="56" spans="1:16" ht="13.15" x14ac:dyDescent="0.4">
      <c r="A56" s="8">
        <v>7</v>
      </c>
      <c r="B56">
        <v>1922.1881100000001</v>
      </c>
      <c r="C56">
        <v>2019.2974850000001</v>
      </c>
      <c r="D56">
        <v>1953.694702</v>
      </c>
      <c r="E56">
        <v>1925.0511469999999</v>
      </c>
      <c r="F56">
        <v>2038.384033</v>
      </c>
    </row>
    <row r="57" spans="1:16" ht="13.15" x14ac:dyDescent="0.4">
      <c r="A57" s="8">
        <v>8</v>
      </c>
      <c r="B57">
        <v>1900.3145750000001</v>
      </c>
      <c r="C57">
        <v>2001.1998289999999</v>
      </c>
      <c r="D57">
        <v>1935.8282469999999</v>
      </c>
      <c r="E57">
        <v>1908.9658199999999</v>
      </c>
      <c r="F57">
        <v>2019.6501459999999</v>
      </c>
    </row>
    <row r="58" spans="1:16" ht="13.15" x14ac:dyDescent="0.4">
      <c r="A58" s="8">
        <v>9</v>
      </c>
      <c r="B58">
        <v>1883.4061280000001</v>
      </c>
      <c r="C58">
        <v>1987.755981</v>
      </c>
      <c r="D58">
        <v>1922.6567379999999</v>
      </c>
      <c r="E58">
        <v>1893.658813</v>
      </c>
      <c r="F58">
        <v>2006.471802</v>
      </c>
    </row>
    <row r="59" spans="1:16" ht="13.15" x14ac:dyDescent="0.4">
      <c r="A59" s="8">
        <v>10</v>
      </c>
      <c r="B59">
        <v>1868.1080320000001</v>
      </c>
      <c r="C59">
        <v>1973.795044</v>
      </c>
      <c r="D59">
        <v>1912.3542480000001</v>
      </c>
      <c r="E59">
        <v>1882.243408</v>
      </c>
      <c r="F59">
        <v>1995.8773189999999</v>
      </c>
    </row>
    <row r="60" spans="1:16" ht="13.15" x14ac:dyDescent="0.4">
      <c r="A60" s="8">
        <v>11</v>
      </c>
      <c r="B60">
        <v>1856.0306399999999</v>
      </c>
      <c r="C60">
        <v>1962.6779790000001</v>
      </c>
      <c r="D60">
        <v>1902.3125</v>
      </c>
      <c r="E60">
        <v>1872.7738039999999</v>
      </c>
      <c r="F60">
        <v>1986.7042240000001</v>
      </c>
    </row>
    <row r="61" spans="1:16" ht="13.15" x14ac:dyDescent="0.4">
      <c r="A61" s="8">
        <v>12</v>
      </c>
      <c r="B61">
        <v>1846.100342</v>
      </c>
      <c r="C61">
        <v>1952.4658199999999</v>
      </c>
      <c r="D61">
        <v>1893.705322</v>
      </c>
      <c r="E61">
        <v>1864.0825199999999</v>
      </c>
      <c r="F61">
        <v>1978.8229980000001</v>
      </c>
    </row>
    <row r="62" spans="1:16" ht="13.15" x14ac:dyDescent="0.4">
      <c r="A62" s="8">
        <v>13</v>
      </c>
      <c r="B62">
        <v>1836.0357670000001</v>
      </c>
      <c r="C62">
        <v>1945.873169</v>
      </c>
      <c r="D62">
        <v>1886.5327150000001</v>
      </c>
      <c r="E62">
        <v>1858.115356</v>
      </c>
      <c r="F62">
        <v>1970.9417719999999</v>
      </c>
    </row>
    <row r="63" spans="1:16" ht="13.15" x14ac:dyDescent="0.4">
      <c r="A63" s="8">
        <v>14</v>
      </c>
      <c r="B63">
        <v>1829.460327</v>
      </c>
      <c r="C63">
        <v>1940.8316649999999</v>
      </c>
      <c r="D63">
        <v>1881.968384</v>
      </c>
      <c r="E63">
        <v>1851.759033</v>
      </c>
      <c r="F63">
        <v>1964.0942379999999</v>
      </c>
    </row>
    <row r="64" spans="1:16" ht="13.15" x14ac:dyDescent="0.4">
      <c r="A64" s="8">
        <v>15</v>
      </c>
      <c r="B64">
        <v>1823.287476</v>
      </c>
      <c r="C64">
        <v>1935.402466</v>
      </c>
      <c r="D64">
        <v>1876.360596</v>
      </c>
      <c r="E64">
        <v>1845.013672</v>
      </c>
      <c r="F64">
        <v>1959.9598390000001</v>
      </c>
    </row>
    <row r="65" spans="1:6" ht="13.15" x14ac:dyDescent="0.4">
      <c r="A65" s="8">
        <v>16</v>
      </c>
      <c r="B65">
        <v>1818.1881100000001</v>
      </c>
      <c r="C65">
        <v>1930.748779</v>
      </c>
      <c r="D65">
        <v>1871.2745359999999</v>
      </c>
      <c r="E65">
        <v>1841.1220699999999</v>
      </c>
      <c r="F65">
        <v>1955.308716</v>
      </c>
    </row>
    <row r="66" spans="1:6" ht="13.15" x14ac:dyDescent="0.4">
      <c r="A66" s="8">
        <v>17</v>
      </c>
      <c r="B66">
        <v>1815.1016850000001</v>
      </c>
      <c r="C66">
        <v>1926.224365</v>
      </c>
      <c r="D66">
        <v>1868.0142820000001</v>
      </c>
      <c r="E66">
        <v>1837.2303469999999</v>
      </c>
      <c r="F66">
        <v>1951.8203120000001</v>
      </c>
    </row>
    <row r="67" spans="1:6" ht="13.15" x14ac:dyDescent="0.4">
      <c r="A67" s="8">
        <v>18</v>
      </c>
      <c r="B67">
        <v>1810.807495</v>
      </c>
      <c r="C67">
        <v>1921.8292240000001</v>
      </c>
      <c r="D67">
        <v>1863.580322</v>
      </c>
      <c r="E67">
        <v>1832.9495850000001</v>
      </c>
      <c r="F67">
        <v>1946.2646480000001</v>
      </c>
    </row>
    <row r="68" spans="1:6" ht="13.15" x14ac:dyDescent="0.4">
      <c r="A68" s="8">
        <v>19</v>
      </c>
      <c r="B68">
        <v>1787.457764</v>
      </c>
      <c r="C68">
        <v>1891.9682620000001</v>
      </c>
      <c r="D68">
        <v>1831.4990230000001</v>
      </c>
      <c r="E68">
        <v>1807.524414</v>
      </c>
      <c r="F68">
        <v>1909.1843260000001</v>
      </c>
    </row>
    <row r="69" spans="1:6" ht="13.15" x14ac:dyDescent="0.4">
      <c r="A69" s="8">
        <v>20</v>
      </c>
      <c r="B69">
        <v>1460.696533</v>
      </c>
      <c r="C69">
        <v>1508.4298100000001</v>
      </c>
      <c r="D69">
        <v>1483.3004149999999</v>
      </c>
      <c r="E69">
        <v>1482.055908</v>
      </c>
      <c r="F69">
        <v>1508.1484379999999</v>
      </c>
    </row>
    <row r="70" spans="1:6" ht="13.15" x14ac:dyDescent="0.4">
      <c r="A70" s="8">
        <v>21</v>
      </c>
      <c r="B70">
        <v>496.24765000000002</v>
      </c>
      <c r="C70">
        <v>508.15301499999998</v>
      </c>
      <c r="D70">
        <v>505.08373999999998</v>
      </c>
      <c r="E70">
        <v>505.131348</v>
      </c>
      <c r="F70">
        <v>505.68774400000001</v>
      </c>
    </row>
    <row r="71" spans="1:6" ht="13.15" x14ac:dyDescent="0.4">
      <c r="A71" s="8">
        <v>22</v>
      </c>
      <c r="B71">
        <v>86.152244999999994</v>
      </c>
      <c r="C71">
        <v>93.590125999999998</v>
      </c>
      <c r="D71">
        <v>91.288048000000003</v>
      </c>
      <c r="E71">
        <v>86.653244000000001</v>
      </c>
      <c r="F71">
        <v>91.731803999999997</v>
      </c>
    </row>
    <row r="72" spans="1:6" ht="13.15" x14ac:dyDescent="0.4">
      <c r="A72" s="8">
        <v>23</v>
      </c>
      <c r="B72">
        <v>55.958702000000002</v>
      </c>
      <c r="C72">
        <v>61.790165000000002</v>
      </c>
      <c r="D72">
        <v>59.598053</v>
      </c>
      <c r="E72">
        <v>58.244472999999999</v>
      </c>
      <c r="F72">
        <v>63.178665000000002</v>
      </c>
    </row>
    <row r="73" spans="1:6" ht="13.15" x14ac:dyDescent="0.4">
      <c r="A73" s="8">
        <v>24</v>
      </c>
      <c r="B73">
        <v>43.747089000000003</v>
      </c>
      <c r="C73">
        <v>51.448715</v>
      </c>
      <c r="D73">
        <v>46.948138999999998</v>
      </c>
      <c r="E73">
        <v>47.607394999999997</v>
      </c>
      <c r="F73">
        <v>49.741894000000002</v>
      </c>
    </row>
    <row r="74" spans="1:6" ht="13.15" x14ac:dyDescent="0.4">
      <c r="A74" s="8">
        <v>25</v>
      </c>
      <c r="B74">
        <v>29.790962</v>
      </c>
      <c r="C74">
        <v>35.678001000000002</v>
      </c>
      <c r="D74">
        <v>31.168348000000002</v>
      </c>
      <c r="E74">
        <v>33.078709000000003</v>
      </c>
      <c r="F74">
        <v>36.046722000000003</v>
      </c>
    </row>
    <row r="75" spans="1:6" ht="13.15" x14ac:dyDescent="0.4">
      <c r="A75" s="8">
        <v>26</v>
      </c>
      <c r="B75">
        <v>23.483868000000001</v>
      </c>
      <c r="C75">
        <v>28.438987999999998</v>
      </c>
      <c r="D75">
        <v>25.039007000000002</v>
      </c>
      <c r="E75">
        <v>25.814364999999999</v>
      </c>
      <c r="F75">
        <v>30.103536999999999</v>
      </c>
    </row>
    <row r="76" spans="1:6" ht="13.15" x14ac:dyDescent="0.4">
      <c r="A76" s="8">
        <v>27</v>
      </c>
      <c r="B76">
        <v>20.263221999999999</v>
      </c>
      <c r="C76">
        <v>24.690211999999999</v>
      </c>
      <c r="D76">
        <v>21.387485999999999</v>
      </c>
      <c r="E76">
        <v>21.53359</v>
      </c>
      <c r="F76">
        <v>25.969145000000001</v>
      </c>
    </row>
    <row r="77" spans="1:6" ht="13.15" x14ac:dyDescent="0.4">
      <c r="A77" s="8">
        <v>28</v>
      </c>
      <c r="B77">
        <v>18.116125</v>
      </c>
      <c r="C77">
        <v>20.553633000000001</v>
      </c>
      <c r="D77">
        <v>17.344728</v>
      </c>
      <c r="E77">
        <v>17.641977000000001</v>
      </c>
      <c r="F77">
        <v>20.284357</v>
      </c>
    </row>
    <row r="78" spans="1:6" ht="13.15" x14ac:dyDescent="0.4">
      <c r="A78" s="8">
        <v>29</v>
      </c>
      <c r="B78">
        <v>14.224513999999999</v>
      </c>
      <c r="C78">
        <v>16.546320000000001</v>
      </c>
      <c r="D78">
        <v>13.04115</v>
      </c>
      <c r="E78">
        <v>14.528687</v>
      </c>
      <c r="F78">
        <v>16.020765000000001</v>
      </c>
    </row>
    <row r="79" spans="1:6" ht="13.15" x14ac:dyDescent="0.4">
      <c r="A79" s="8">
        <v>30</v>
      </c>
      <c r="B79">
        <v>11.943224000000001</v>
      </c>
      <c r="C79">
        <v>13.314617</v>
      </c>
      <c r="D79">
        <v>10.302508</v>
      </c>
      <c r="E79">
        <v>11.545118</v>
      </c>
      <c r="F79">
        <v>12.015574000000001</v>
      </c>
    </row>
    <row r="80" spans="1:6" ht="13.15" x14ac:dyDescent="0.4">
      <c r="A80" s="8">
        <v>38</v>
      </c>
      <c r="B80">
        <v>9.3935469999999999</v>
      </c>
      <c r="C80">
        <v>10.729255</v>
      </c>
      <c r="D80">
        <v>8.7375710000000009</v>
      </c>
      <c r="E80">
        <v>9.4695909999999994</v>
      </c>
      <c r="F80">
        <v>10.077579</v>
      </c>
    </row>
    <row r="81" spans="1:31" ht="13.15" x14ac:dyDescent="0.4">
      <c r="A81" s="8">
        <v>50</v>
      </c>
      <c r="B81">
        <v>6.9780639999999998</v>
      </c>
      <c r="C81">
        <v>8.2731600000000007</v>
      </c>
      <c r="D81">
        <v>6.9118089999999999</v>
      </c>
      <c r="E81">
        <v>7.1346239999999996</v>
      </c>
      <c r="F81">
        <v>8.139583</v>
      </c>
    </row>
    <row r="82" spans="1:31" ht="13.15" x14ac:dyDescent="0.4">
      <c r="A82" s="8">
        <v>70</v>
      </c>
      <c r="B82">
        <v>5.0993539999999999</v>
      </c>
      <c r="C82">
        <v>6.8512110000000002</v>
      </c>
      <c r="D82">
        <v>4.8252249999999997</v>
      </c>
      <c r="E82">
        <v>5.1888170000000002</v>
      </c>
      <c r="F82">
        <v>6.4599859999999998</v>
      </c>
    </row>
    <row r="84" spans="1:31" x14ac:dyDescent="0.35">
      <c r="A84">
        <v>7.451924</v>
      </c>
      <c r="B84">
        <v>2034.239624</v>
      </c>
      <c r="C84">
        <v>1985.7957759999999</v>
      </c>
      <c r="D84">
        <v>1947.684814</v>
      </c>
      <c r="E84">
        <v>1922.1881100000001</v>
      </c>
      <c r="F84">
        <v>1900.3145750000001</v>
      </c>
      <c r="G84">
        <v>1883.4061280000001</v>
      </c>
      <c r="H84">
        <v>1868.1080320000001</v>
      </c>
      <c r="I84">
        <v>1856.0306399999999</v>
      </c>
      <c r="J84">
        <v>1846.100342</v>
      </c>
      <c r="K84">
        <v>1836.0357670000001</v>
      </c>
      <c r="L84">
        <v>1829.460327</v>
      </c>
      <c r="M84">
        <v>1823.287476</v>
      </c>
      <c r="N84">
        <v>1818.1881100000001</v>
      </c>
      <c r="O84">
        <v>1815.1016850000001</v>
      </c>
      <c r="P84">
        <v>1810.807495</v>
      </c>
      <c r="Q84">
        <v>1787.457764</v>
      </c>
      <c r="R84">
        <v>1460.696533</v>
      </c>
      <c r="S84">
        <v>496.24765000000002</v>
      </c>
      <c r="T84">
        <v>86.152244999999994</v>
      </c>
      <c r="U84">
        <v>55.958702000000002</v>
      </c>
      <c r="V84">
        <v>43.747089000000003</v>
      </c>
      <c r="W84">
        <v>29.790962</v>
      </c>
      <c r="X84">
        <v>23.483868000000001</v>
      </c>
      <c r="Y84">
        <v>20.263221999999999</v>
      </c>
      <c r="Z84">
        <v>18.116125</v>
      </c>
      <c r="AA84">
        <v>14.224513999999999</v>
      </c>
      <c r="AB84">
        <v>11.943224000000001</v>
      </c>
      <c r="AC84">
        <v>9.3935469999999999</v>
      </c>
      <c r="AD84">
        <v>6.9780639999999998</v>
      </c>
      <c r="AE84">
        <v>5.0993539999999999</v>
      </c>
    </row>
    <row r="85" spans="1:31" x14ac:dyDescent="0.35">
      <c r="A85">
        <v>7.7358589999999996</v>
      </c>
      <c r="B85">
        <v>2120.9020999999998</v>
      </c>
      <c r="C85">
        <v>2075.6584469999998</v>
      </c>
      <c r="D85">
        <v>2043.082764</v>
      </c>
      <c r="E85">
        <v>2019.2974850000001</v>
      </c>
      <c r="F85">
        <v>2001.1998289999999</v>
      </c>
      <c r="G85">
        <v>1987.755981</v>
      </c>
      <c r="H85">
        <v>1973.795044</v>
      </c>
      <c r="I85">
        <v>1962.6779790000001</v>
      </c>
      <c r="J85">
        <v>1952.4658199999999</v>
      </c>
      <c r="K85">
        <v>1945.873169</v>
      </c>
      <c r="L85">
        <v>1940.8316649999999</v>
      </c>
      <c r="M85">
        <v>1935.402466</v>
      </c>
      <c r="N85">
        <v>1930.748779</v>
      </c>
      <c r="O85">
        <v>1926.224365</v>
      </c>
      <c r="P85">
        <v>1921.8292240000001</v>
      </c>
      <c r="Q85">
        <v>1891.9682620000001</v>
      </c>
      <c r="R85">
        <v>1508.4298100000001</v>
      </c>
      <c r="S85">
        <v>508.15301499999998</v>
      </c>
      <c r="T85">
        <v>93.590125999999998</v>
      </c>
      <c r="U85">
        <v>61.790165000000002</v>
      </c>
      <c r="V85">
        <v>51.448715</v>
      </c>
      <c r="W85">
        <v>35.678001000000002</v>
      </c>
      <c r="X85">
        <v>28.438987999999998</v>
      </c>
      <c r="Y85">
        <v>24.690211999999999</v>
      </c>
      <c r="Z85">
        <v>20.553633000000001</v>
      </c>
      <c r="AA85">
        <v>16.546320000000001</v>
      </c>
      <c r="AB85">
        <v>13.314617</v>
      </c>
      <c r="AC85">
        <v>10.729255</v>
      </c>
      <c r="AD85">
        <v>8.2731600000000007</v>
      </c>
      <c r="AE85">
        <v>6.8512110000000002</v>
      </c>
    </row>
    <row r="86" spans="1:31" x14ac:dyDescent="0.35">
      <c r="A86">
        <v>7.6680359999999999</v>
      </c>
      <c r="B86">
        <v>2040.287842</v>
      </c>
      <c r="C86">
        <v>2002.207764</v>
      </c>
      <c r="D86">
        <v>1973.517212</v>
      </c>
      <c r="E86">
        <v>1953.694702</v>
      </c>
      <c r="F86">
        <v>1935.8282469999999</v>
      </c>
      <c r="G86">
        <v>1922.6567379999999</v>
      </c>
      <c r="H86">
        <v>1912.3542480000001</v>
      </c>
      <c r="I86">
        <v>1902.3125</v>
      </c>
      <c r="J86">
        <v>1893.705322</v>
      </c>
      <c r="K86">
        <v>1886.5327150000001</v>
      </c>
      <c r="L86">
        <v>1881.968384</v>
      </c>
      <c r="M86">
        <v>1876.360596</v>
      </c>
      <c r="N86">
        <v>1871.2745359999999</v>
      </c>
      <c r="O86">
        <v>1868.0142820000001</v>
      </c>
      <c r="P86">
        <v>1863.580322</v>
      </c>
      <c r="Q86">
        <v>1831.4990230000001</v>
      </c>
      <c r="R86">
        <v>1483.3004149999999</v>
      </c>
      <c r="S86">
        <v>505.08373999999998</v>
      </c>
      <c r="T86">
        <v>91.288048000000003</v>
      </c>
      <c r="U86">
        <v>59.598053</v>
      </c>
      <c r="V86">
        <v>46.948138999999998</v>
      </c>
      <c r="W86">
        <v>31.168348000000002</v>
      </c>
      <c r="X86">
        <v>25.039007000000002</v>
      </c>
      <c r="Y86">
        <v>21.387485999999999</v>
      </c>
      <c r="Z86">
        <v>17.344728</v>
      </c>
      <c r="AA86">
        <v>13.04115</v>
      </c>
      <c r="AB86">
        <v>10.302508</v>
      </c>
      <c r="AC86">
        <v>8.7375710000000009</v>
      </c>
      <c r="AD86">
        <v>6.9118089999999999</v>
      </c>
      <c r="AE86">
        <v>4.8252249999999997</v>
      </c>
    </row>
    <row r="87" spans="1:31" x14ac:dyDescent="0.35">
      <c r="A87">
        <v>7.7088859999999997</v>
      </c>
      <c r="B87">
        <v>2009.1099850000001</v>
      </c>
      <c r="C87">
        <v>1970.064087</v>
      </c>
      <c r="D87">
        <v>1945.417236</v>
      </c>
      <c r="E87">
        <v>1925.0511469999999</v>
      </c>
      <c r="F87">
        <v>1908.9658199999999</v>
      </c>
      <c r="G87">
        <v>1893.658813</v>
      </c>
      <c r="H87">
        <v>1882.243408</v>
      </c>
      <c r="I87">
        <v>1872.7738039999999</v>
      </c>
      <c r="J87">
        <v>1864.0825199999999</v>
      </c>
      <c r="K87">
        <v>1858.115356</v>
      </c>
      <c r="L87">
        <v>1851.759033</v>
      </c>
      <c r="M87">
        <v>1845.013672</v>
      </c>
      <c r="N87">
        <v>1841.1220699999999</v>
      </c>
      <c r="O87">
        <v>1837.2303469999999</v>
      </c>
      <c r="P87">
        <v>1832.9495850000001</v>
      </c>
      <c r="Q87">
        <v>1807.524414</v>
      </c>
      <c r="R87">
        <v>1482.055908</v>
      </c>
      <c r="S87">
        <v>505.131348</v>
      </c>
      <c r="T87">
        <v>86.653244000000001</v>
      </c>
      <c r="U87">
        <v>58.244472999999999</v>
      </c>
      <c r="V87">
        <v>47.607394999999997</v>
      </c>
      <c r="W87">
        <v>33.078709000000003</v>
      </c>
      <c r="X87">
        <v>25.814364999999999</v>
      </c>
      <c r="Y87">
        <v>21.53359</v>
      </c>
      <c r="Z87">
        <v>17.641977000000001</v>
      </c>
      <c r="AA87">
        <v>14.528687</v>
      </c>
      <c r="AB87">
        <v>11.545118</v>
      </c>
      <c r="AC87">
        <v>9.4695909999999994</v>
      </c>
      <c r="AD87">
        <v>7.1346239999999996</v>
      </c>
      <c r="AE87">
        <v>5.1888170000000002</v>
      </c>
    </row>
    <row r="88" spans="1:31" x14ac:dyDescent="0.35">
      <c r="A88">
        <v>7.739954</v>
      </c>
      <c r="B88">
        <v>2122.880615</v>
      </c>
      <c r="C88">
        <v>2088.3842770000001</v>
      </c>
      <c r="D88">
        <v>2057.505615</v>
      </c>
      <c r="E88">
        <v>2038.384033</v>
      </c>
      <c r="F88">
        <v>2019.6501459999999</v>
      </c>
      <c r="G88">
        <v>2006.471802</v>
      </c>
      <c r="H88">
        <v>1995.8773189999999</v>
      </c>
      <c r="I88">
        <v>1986.7042240000001</v>
      </c>
      <c r="J88">
        <v>1978.8229980000001</v>
      </c>
      <c r="K88">
        <v>1970.9417719999999</v>
      </c>
      <c r="L88">
        <v>1964.0942379999999</v>
      </c>
      <c r="M88">
        <v>1959.9598390000001</v>
      </c>
      <c r="N88">
        <v>1955.308716</v>
      </c>
      <c r="O88">
        <v>1951.8203120000001</v>
      </c>
      <c r="P88">
        <v>1946.2646480000001</v>
      </c>
      <c r="Q88">
        <v>1909.1843260000001</v>
      </c>
      <c r="R88">
        <v>1508.1484379999999</v>
      </c>
      <c r="S88">
        <v>505.68774400000001</v>
      </c>
      <c r="T88">
        <v>91.731803999999997</v>
      </c>
      <c r="U88">
        <v>63.178665000000002</v>
      </c>
      <c r="V88">
        <v>49.741894000000002</v>
      </c>
      <c r="W88">
        <v>36.046722000000003</v>
      </c>
      <c r="X88">
        <v>30.103536999999999</v>
      </c>
      <c r="Y88">
        <v>25.969145000000001</v>
      </c>
      <c r="Z88">
        <v>20.284357</v>
      </c>
      <c r="AA88">
        <v>16.020765000000001</v>
      </c>
      <c r="AB88">
        <v>12.015574000000001</v>
      </c>
      <c r="AC88">
        <v>10.077579</v>
      </c>
      <c r="AD88">
        <v>8.139583</v>
      </c>
      <c r="AE88">
        <v>6.4599859999999998</v>
      </c>
    </row>
  </sheetData>
  <mergeCells count="1">
    <mergeCell ref="A2:E2"/>
  </mergeCells>
  <conditionalFormatting sqref="H9:H40">
    <cfRule type="cellIs" dxfId="13" priority="1" operator="greaterThan">
      <formula>1000</formula>
    </cfRule>
  </conditionalFormatting>
  <conditionalFormatting sqref="K9:K40">
    <cfRule type="cellIs" dxfId="12" priority="2" operator="lessThan">
      <formula>J11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9095E-A218-410F-9CA6-AD02FF1829E6}">
  <dimension ref="A1:AMJ1003"/>
  <sheetViews>
    <sheetView zoomScale="70" zoomScaleNormal="70" workbookViewId="0">
      <selection activeCell="A32" sqref="A32"/>
    </sheetView>
  </sheetViews>
  <sheetFormatPr defaultColWidth="11.19921875" defaultRowHeight="13.5" x14ac:dyDescent="0.35"/>
  <cols>
    <col min="1" max="1" width="22.3984375" style="140" customWidth="1"/>
    <col min="2" max="2" width="15.265625" style="140" customWidth="1"/>
    <col min="3" max="11" width="11.19921875" style="140"/>
    <col min="12" max="12" width="5.265625" style="140" customWidth="1"/>
    <col min="13" max="13" width="9.53125" style="140" customWidth="1"/>
    <col min="14" max="16384" width="11.19921875" style="140"/>
  </cols>
  <sheetData>
    <row r="1" spans="1:1024" ht="44.75" customHeight="1" x14ac:dyDescent="0.35">
      <c r="A1" s="138" t="s">
        <v>312</v>
      </c>
      <c r="B1" s="139" t="s">
        <v>15</v>
      </c>
      <c r="C1" s="188" t="s">
        <v>16</v>
      </c>
      <c r="D1" s="188"/>
      <c r="E1" s="188"/>
      <c r="F1" s="188"/>
      <c r="G1" s="188"/>
      <c r="H1" s="188"/>
      <c r="I1" s="139"/>
      <c r="J1" s="139"/>
      <c r="K1" s="139"/>
      <c r="L1" s="140" t="s">
        <v>255</v>
      </c>
      <c r="M1" s="140" t="s">
        <v>313</v>
      </c>
      <c r="N1" s="139" t="s">
        <v>256</v>
      </c>
      <c r="O1" s="139" t="s">
        <v>314</v>
      </c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9"/>
      <c r="NQ1" s="139"/>
      <c r="NR1" s="139"/>
      <c r="NS1" s="139"/>
      <c r="NT1" s="139"/>
      <c r="NU1" s="139"/>
      <c r="NV1" s="139"/>
      <c r="NW1" s="139"/>
      <c r="NX1" s="139"/>
      <c r="NY1" s="139"/>
      <c r="NZ1" s="139"/>
      <c r="OA1" s="139"/>
      <c r="OB1" s="139"/>
      <c r="OC1" s="139"/>
      <c r="OD1" s="139"/>
      <c r="OE1" s="139"/>
      <c r="OF1" s="139"/>
      <c r="OG1" s="139"/>
      <c r="OH1" s="139"/>
      <c r="OI1" s="139"/>
      <c r="OJ1" s="139"/>
      <c r="OK1" s="139"/>
      <c r="OL1" s="139"/>
      <c r="OM1" s="139"/>
      <c r="ON1" s="139"/>
      <c r="OO1" s="139"/>
      <c r="OP1" s="139"/>
      <c r="OQ1" s="139"/>
      <c r="OR1" s="139"/>
      <c r="OS1" s="139"/>
      <c r="OT1" s="139"/>
      <c r="OU1" s="139"/>
      <c r="OV1" s="139"/>
      <c r="OW1" s="139"/>
      <c r="OX1" s="139"/>
      <c r="OY1" s="139"/>
      <c r="OZ1" s="139"/>
      <c r="PA1" s="139"/>
      <c r="PB1" s="139"/>
      <c r="PC1" s="139"/>
      <c r="PD1" s="139"/>
      <c r="PE1" s="139"/>
      <c r="PF1" s="139"/>
      <c r="PG1" s="139"/>
      <c r="PH1" s="139"/>
      <c r="PI1" s="139"/>
      <c r="PJ1" s="139"/>
      <c r="PK1" s="139"/>
      <c r="PL1" s="139"/>
      <c r="PM1" s="139"/>
      <c r="PN1" s="139"/>
      <c r="PO1" s="139"/>
      <c r="PP1" s="139"/>
      <c r="PQ1" s="139"/>
      <c r="PR1" s="139"/>
      <c r="PS1" s="139"/>
      <c r="PT1" s="139"/>
      <c r="PU1" s="139"/>
      <c r="PV1" s="139"/>
      <c r="PW1" s="139"/>
      <c r="PX1" s="139"/>
      <c r="PY1" s="139"/>
      <c r="PZ1" s="139"/>
      <c r="QA1" s="139"/>
      <c r="QB1" s="139"/>
      <c r="QC1" s="139"/>
      <c r="QD1" s="139"/>
      <c r="QE1" s="139"/>
      <c r="QF1" s="139"/>
      <c r="QG1" s="139"/>
      <c r="QH1" s="139"/>
      <c r="QI1" s="139"/>
      <c r="QJ1" s="139"/>
      <c r="QK1" s="139"/>
      <c r="QL1" s="139"/>
      <c r="QM1" s="139"/>
      <c r="QN1" s="139"/>
      <c r="QO1" s="139"/>
      <c r="QP1" s="139"/>
      <c r="QQ1" s="139"/>
      <c r="QR1" s="139"/>
      <c r="QS1" s="139"/>
      <c r="QT1" s="139"/>
      <c r="QU1" s="139"/>
      <c r="QV1" s="139"/>
      <c r="QW1" s="139"/>
      <c r="QX1" s="139"/>
      <c r="QY1" s="139"/>
      <c r="QZ1" s="139"/>
      <c r="RA1" s="139"/>
      <c r="RB1" s="139"/>
      <c r="RC1" s="139"/>
      <c r="RD1" s="139"/>
      <c r="RE1" s="139"/>
      <c r="RF1" s="139"/>
      <c r="RG1" s="139"/>
      <c r="RH1" s="139"/>
      <c r="RI1" s="139"/>
      <c r="RJ1" s="139"/>
      <c r="RK1" s="139"/>
      <c r="RL1" s="139"/>
      <c r="RM1" s="139"/>
      <c r="RN1" s="139"/>
      <c r="RO1" s="139"/>
      <c r="RP1" s="139"/>
      <c r="RQ1" s="139"/>
      <c r="RR1" s="139"/>
      <c r="RS1" s="139"/>
      <c r="RT1" s="139"/>
      <c r="RU1" s="139"/>
      <c r="RV1" s="139"/>
      <c r="RW1" s="139"/>
      <c r="RX1" s="139"/>
      <c r="RY1" s="139"/>
      <c r="RZ1" s="139"/>
      <c r="SA1" s="139"/>
      <c r="SB1" s="139"/>
      <c r="SC1" s="139"/>
      <c r="SD1" s="139"/>
      <c r="SE1" s="139"/>
      <c r="SF1" s="139"/>
      <c r="SG1" s="139"/>
      <c r="SH1" s="139"/>
      <c r="SI1" s="139"/>
      <c r="SJ1" s="139"/>
      <c r="SK1" s="139"/>
      <c r="SL1" s="139"/>
      <c r="SM1" s="139"/>
      <c r="SN1" s="139"/>
      <c r="SO1" s="139"/>
      <c r="SP1" s="139"/>
      <c r="SQ1" s="139"/>
      <c r="SR1" s="139"/>
      <c r="SS1" s="139"/>
      <c r="ST1" s="139"/>
      <c r="SU1" s="139"/>
      <c r="SV1" s="139"/>
      <c r="SW1" s="139"/>
      <c r="SX1" s="139"/>
      <c r="SY1" s="139"/>
      <c r="SZ1" s="139"/>
      <c r="TA1" s="139"/>
      <c r="TB1" s="139"/>
      <c r="TC1" s="139"/>
      <c r="TD1" s="139"/>
      <c r="TE1" s="139"/>
      <c r="TF1" s="139"/>
      <c r="TG1" s="139"/>
      <c r="TH1" s="139"/>
      <c r="TI1" s="139"/>
      <c r="TJ1" s="139"/>
      <c r="TK1" s="139"/>
      <c r="TL1" s="139"/>
      <c r="TM1" s="139"/>
      <c r="TN1" s="139"/>
      <c r="TO1" s="139"/>
      <c r="TP1" s="139"/>
      <c r="TQ1" s="139"/>
      <c r="TR1" s="139"/>
      <c r="TS1" s="139"/>
      <c r="TT1" s="139"/>
      <c r="TU1" s="139"/>
      <c r="TV1" s="139"/>
      <c r="TW1" s="139"/>
      <c r="TX1" s="139"/>
      <c r="TY1" s="139"/>
      <c r="TZ1" s="139"/>
      <c r="UA1" s="139"/>
      <c r="UB1" s="139"/>
      <c r="UC1" s="139"/>
      <c r="UD1" s="139"/>
      <c r="UE1" s="139"/>
      <c r="UF1" s="139"/>
      <c r="UG1" s="139"/>
      <c r="UH1" s="139"/>
      <c r="UI1" s="139"/>
      <c r="UJ1" s="139"/>
      <c r="UK1" s="139"/>
      <c r="UL1" s="139"/>
      <c r="UM1" s="139"/>
      <c r="UN1" s="139"/>
      <c r="UO1" s="139"/>
      <c r="UP1" s="139"/>
      <c r="UQ1" s="139"/>
      <c r="UR1" s="139"/>
      <c r="US1" s="139"/>
      <c r="UT1" s="139"/>
      <c r="UU1" s="139"/>
      <c r="UV1" s="139"/>
      <c r="UW1" s="139"/>
      <c r="UX1" s="139"/>
      <c r="UY1" s="139"/>
      <c r="UZ1" s="139"/>
      <c r="VA1" s="139"/>
      <c r="VB1" s="139"/>
      <c r="VC1" s="139"/>
      <c r="VD1" s="139"/>
      <c r="VE1" s="139"/>
      <c r="VF1" s="139"/>
      <c r="VG1" s="139"/>
      <c r="VH1" s="139"/>
      <c r="VI1" s="139"/>
      <c r="VJ1" s="139"/>
      <c r="VK1" s="139"/>
      <c r="VL1" s="139"/>
      <c r="VM1" s="139"/>
      <c r="VN1" s="139"/>
      <c r="VO1" s="139"/>
      <c r="VP1" s="139"/>
      <c r="VQ1" s="139"/>
      <c r="VR1" s="139"/>
      <c r="VS1" s="139"/>
      <c r="VT1" s="139"/>
      <c r="VU1" s="139"/>
      <c r="VV1" s="139"/>
      <c r="VW1" s="139"/>
      <c r="VX1" s="139"/>
      <c r="VY1" s="139"/>
      <c r="VZ1" s="139"/>
      <c r="WA1" s="139"/>
      <c r="WB1" s="139"/>
      <c r="WC1" s="139"/>
      <c r="WD1" s="139"/>
      <c r="WE1" s="139"/>
      <c r="WF1" s="139"/>
      <c r="WG1" s="139"/>
      <c r="WH1" s="139"/>
      <c r="WI1" s="139"/>
      <c r="WJ1" s="139"/>
      <c r="WK1" s="139"/>
      <c r="WL1" s="139"/>
      <c r="WM1" s="139"/>
      <c r="WN1" s="139"/>
      <c r="WO1" s="139"/>
      <c r="WP1" s="139"/>
      <c r="WQ1" s="139"/>
      <c r="WR1" s="139"/>
      <c r="WS1" s="139"/>
      <c r="WT1" s="139"/>
      <c r="WU1" s="139"/>
      <c r="WV1" s="139"/>
      <c r="WW1" s="139"/>
      <c r="WX1" s="139"/>
      <c r="WY1" s="139"/>
      <c r="WZ1" s="139"/>
      <c r="XA1" s="139"/>
      <c r="XB1" s="139"/>
      <c r="XC1" s="139"/>
      <c r="XD1" s="139"/>
      <c r="XE1" s="139"/>
      <c r="XF1" s="139"/>
      <c r="XG1" s="139"/>
      <c r="XH1" s="139"/>
      <c r="XI1" s="139"/>
      <c r="XJ1" s="139"/>
      <c r="XK1" s="139"/>
      <c r="XL1" s="139"/>
      <c r="XM1" s="139"/>
      <c r="XN1" s="139"/>
      <c r="XO1" s="139"/>
      <c r="XP1" s="139"/>
      <c r="XQ1" s="139"/>
      <c r="XR1" s="139"/>
      <c r="XS1" s="139"/>
      <c r="XT1" s="139"/>
      <c r="XU1" s="139"/>
      <c r="XV1" s="139"/>
      <c r="XW1" s="139"/>
      <c r="XX1" s="139"/>
      <c r="XY1" s="139"/>
      <c r="XZ1" s="139"/>
      <c r="YA1" s="139"/>
      <c r="YB1" s="139"/>
      <c r="YC1" s="139"/>
      <c r="YD1" s="139"/>
      <c r="YE1" s="139"/>
      <c r="YF1" s="139"/>
      <c r="YG1" s="139"/>
      <c r="YH1" s="139"/>
      <c r="YI1" s="139"/>
      <c r="YJ1" s="139"/>
      <c r="YK1" s="139"/>
      <c r="YL1" s="139"/>
      <c r="YM1" s="139"/>
      <c r="YN1" s="139"/>
      <c r="YO1" s="139"/>
      <c r="YP1" s="139"/>
      <c r="YQ1" s="139"/>
      <c r="YR1" s="139"/>
      <c r="YS1" s="139"/>
      <c r="YT1" s="139"/>
      <c r="YU1" s="139"/>
      <c r="YV1" s="139"/>
      <c r="YW1" s="139"/>
      <c r="YX1" s="139"/>
      <c r="YY1" s="139"/>
      <c r="YZ1" s="139"/>
      <c r="ZA1" s="139"/>
      <c r="ZB1" s="139"/>
      <c r="ZC1" s="139"/>
      <c r="ZD1" s="139"/>
      <c r="ZE1" s="139"/>
      <c r="ZF1" s="139"/>
      <c r="ZG1" s="139"/>
      <c r="ZH1" s="139"/>
      <c r="ZI1" s="139"/>
      <c r="ZJ1" s="139"/>
      <c r="ZK1" s="139"/>
      <c r="ZL1" s="139"/>
      <c r="ZM1" s="139"/>
      <c r="ZN1" s="139"/>
      <c r="ZO1" s="139"/>
      <c r="ZP1" s="139"/>
      <c r="ZQ1" s="139"/>
      <c r="ZR1" s="139"/>
      <c r="ZS1" s="139"/>
      <c r="ZT1" s="139"/>
      <c r="ZU1" s="139"/>
      <c r="ZV1" s="139"/>
      <c r="ZW1" s="139"/>
      <c r="ZX1" s="139"/>
      <c r="ZY1" s="139"/>
      <c r="ZZ1" s="139"/>
      <c r="AAA1" s="139"/>
      <c r="AAB1" s="139"/>
      <c r="AAC1" s="139"/>
      <c r="AAD1" s="139"/>
      <c r="AAE1" s="139"/>
      <c r="AAF1" s="139"/>
      <c r="AAG1" s="139"/>
      <c r="AAH1" s="139"/>
      <c r="AAI1" s="139"/>
      <c r="AAJ1" s="139"/>
      <c r="AAK1" s="139"/>
      <c r="AAL1" s="139"/>
      <c r="AAM1" s="139"/>
      <c r="AAN1" s="139"/>
      <c r="AAO1" s="139"/>
      <c r="AAP1" s="139"/>
      <c r="AAQ1" s="139"/>
      <c r="AAR1" s="139"/>
      <c r="AAS1" s="139"/>
      <c r="AAT1" s="139"/>
      <c r="AAU1" s="139"/>
      <c r="AAV1" s="139"/>
      <c r="AAW1" s="139"/>
      <c r="AAX1" s="139"/>
      <c r="AAY1" s="139"/>
      <c r="AAZ1" s="139"/>
      <c r="ABA1" s="139"/>
      <c r="ABB1" s="139"/>
      <c r="ABC1" s="139"/>
      <c r="ABD1" s="139"/>
      <c r="ABE1" s="139"/>
      <c r="ABF1" s="139"/>
      <c r="ABG1" s="139"/>
      <c r="ABH1" s="139"/>
      <c r="ABI1" s="139"/>
      <c r="ABJ1" s="139"/>
      <c r="ABK1" s="139"/>
      <c r="ABL1" s="139"/>
      <c r="ABM1" s="139"/>
      <c r="ABN1" s="139"/>
      <c r="ABO1" s="139"/>
      <c r="ABP1" s="139"/>
      <c r="ABQ1" s="139"/>
      <c r="ABR1" s="139"/>
      <c r="ABS1" s="139"/>
      <c r="ABT1" s="139"/>
      <c r="ABU1" s="139"/>
      <c r="ABV1" s="139"/>
      <c r="ABW1" s="139"/>
      <c r="ABX1" s="139"/>
      <c r="ABY1" s="139"/>
      <c r="ABZ1" s="139"/>
      <c r="ACA1" s="139"/>
      <c r="ACB1" s="139"/>
      <c r="ACC1" s="139"/>
      <c r="ACD1" s="139"/>
      <c r="ACE1" s="139"/>
      <c r="ACF1" s="139"/>
      <c r="ACG1" s="139"/>
      <c r="ACH1" s="139"/>
      <c r="ACI1" s="139"/>
      <c r="ACJ1" s="139"/>
      <c r="ACK1" s="139"/>
      <c r="ACL1" s="139"/>
      <c r="ACM1" s="139"/>
      <c r="ACN1" s="139"/>
      <c r="ACO1" s="139"/>
      <c r="ACP1" s="139"/>
      <c r="ACQ1" s="139"/>
      <c r="ACR1" s="139"/>
      <c r="ACS1" s="139"/>
      <c r="ACT1" s="139"/>
      <c r="ACU1" s="139"/>
      <c r="ACV1" s="139"/>
      <c r="ACW1" s="139"/>
      <c r="ACX1" s="139"/>
      <c r="ACY1" s="139"/>
      <c r="ACZ1" s="139"/>
      <c r="ADA1" s="139"/>
      <c r="ADB1" s="139"/>
      <c r="ADC1" s="139"/>
      <c r="ADD1" s="139"/>
      <c r="ADE1" s="139"/>
      <c r="ADF1" s="139"/>
      <c r="ADG1" s="139"/>
      <c r="ADH1" s="139"/>
      <c r="ADI1" s="139"/>
      <c r="ADJ1" s="139"/>
      <c r="ADK1" s="139"/>
      <c r="ADL1" s="139"/>
      <c r="ADM1" s="139"/>
      <c r="ADN1" s="139"/>
      <c r="ADO1" s="139"/>
      <c r="ADP1" s="139"/>
      <c r="ADQ1" s="139"/>
      <c r="ADR1" s="139"/>
      <c r="ADS1" s="139"/>
      <c r="ADT1" s="139"/>
      <c r="ADU1" s="139"/>
      <c r="ADV1" s="139"/>
      <c r="ADW1" s="139"/>
      <c r="ADX1" s="139"/>
      <c r="ADY1" s="139"/>
      <c r="ADZ1" s="139"/>
      <c r="AEA1" s="139"/>
      <c r="AEB1" s="139"/>
      <c r="AEC1" s="139"/>
      <c r="AED1" s="139"/>
      <c r="AEE1" s="139"/>
      <c r="AEF1" s="139"/>
      <c r="AEG1" s="139"/>
      <c r="AEH1" s="139"/>
      <c r="AEI1" s="139"/>
      <c r="AEJ1" s="139"/>
      <c r="AEK1" s="139"/>
      <c r="AEL1" s="139"/>
      <c r="AEM1" s="139"/>
      <c r="AEN1" s="139"/>
      <c r="AEO1" s="139"/>
      <c r="AEP1" s="139"/>
      <c r="AEQ1" s="139"/>
      <c r="AER1" s="139"/>
      <c r="AES1" s="139"/>
      <c r="AET1" s="139"/>
      <c r="AEU1" s="139"/>
      <c r="AEV1" s="139"/>
      <c r="AEW1" s="139"/>
      <c r="AEX1" s="139"/>
      <c r="AEY1" s="139"/>
      <c r="AEZ1" s="139"/>
      <c r="AFA1" s="139"/>
      <c r="AFB1" s="139"/>
      <c r="AFC1" s="139"/>
      <c r="AFD1" s="139"/>
      <c r="AFE1" s="139"/>
      <c r="AFF1" s="139"/>
      <c r="AFG1" s="139"/>
      <c r="AFH1" s="139"/>
      <c r="AFI1" s="139"/>
      <c r="AFJ1" s="139"/>
      <c r="AFK1" s="139"/>
      <c r="AFL1" s="139"/>
      <c r="AFM1" s="139"/>
      <c r="AFN1" s="139"/>
      <c r="AFO1" s="139"/>
      <c r="AFP1" s="139"/>
      <c r="AFQ1" s="139"/>
      <c r="AFR1" s="139"/>
      <c r="AFS1" s="139"/>
      <c r="AFT1" s="139"/>
      <c r="AFU1" s="139"/>
      <c r="AFV1" s="139"/>
      <c r="AFW1" s="139"/>
      <c r="AFX1" s="139"/>
      <c r="AFY1" s="139"/>
      <c r="AFZ1" s="139"/>
      <c r="AGA1" s="139"/>
      <c r="AGB1" s="139"/>
      <c r="AGC1" s="139"/>
      <c r="AGD1" s="139"/>
      <c r="AGE1" s="139"/>
      <c r="AGF1" s="139"/>
      <c r="AGG1" s="139"/>
      <c r="AGH1" s="139"/>
      <c r="AGI1" s="139"/>
      <c r="AGJ1" s="139"/>
      <c r="AGK1" s="139"/>
      <c r="AGL1" s="139"/>
      <c r="AGM1" s="139"/>
      <c r="AGN1" s="139"/>
      <c r="AGO1" s="139"/>
      <c r="AGP1" s="139"/>
      <c r="AGQ1" s="139"/>
      <c r="AGR1" s="139"/>
      <c r="AGS1" s="139"/>
      <c r="AGT1" s="139"/>
      <c r="AGU1" s="139"/>
      <c r="AGV1" s="139"/>
      <c r="AGW1" s="139"/>
      <c r="AGX1" s="139"/>
      <c r="AGY1" s="139"/>
      <c r="AGZ1" s="139"/>
      <c r="AHA1" s="139"/>
      <c r="AHB1" s="139"/>
      <c r="AHC1" s="139"/>
      <c r="AHD1" s="139"/>
      <c r="AHE1" s="139"/>
      <c r="AHF1" s="139"/>
      <c r="AHG1" s="139"/>
      <c r="AHH1" s="139"/>
      <c r="AHI1" s="139"/>
      <c r="AHJ1" s="139"/>
      <c r="AHK1" s="139"/>
      <c r="AHL1" s="139"/>
      <c r="AHM1" s="139"/>
      <c r="AHN1" s="139"/>
      <c r="AHO1" s="139"/>
      <c r="AHP1" s="139"/>
      <c r="AHQ1" s="139"/>
      <c r="AHR1" s="139"/>
      <c r="AHS1" s="139"/>
      <c r="AHT1" s="139"/>
      <c r="AHU1" s="139"/>
      <c r="AHV1" s="139"/>
      <c r="AHW1" s="139"/>
      <c r="AHX1" s="139"/>
      <c r="AHY1" s="139"/>
      <c r="AHZ1" s="139"/>
      <c r="AIA1" s="139"/>
      <c r="AIB1" s="139"/>
      <c r="AIC1" s="139"/>
      <c r="AID1" s="139"/>
      <c r="AIE1" s="139"/>
      <c r="AIF1" s="139"/>
      <c r="AIG1" s="139"/>
      <c r="AIH1" s="139"/>
      <c r="AII1" s="139"/>
      <c r="AIJ1" s="139"/>
      <c r="AIK1" s="139"/>
      <c r="AIL1" s="139"/>
      <c r="AIM1" s="139"/>
      <c r="AIN1" s="139"/>
      <c r="AIO1" s="139"/>
      <c r="AIP1" s="139"/>
      <c r="AIQ1" s="139"/>
      <c r="AIR1" s="139"/>
      <c r="AIS1" s="139"/>
      <c r="AIT1" s="139"/>
      <c r="AIU1" s="139"/>
      <c r="AIV1" s="139"/>
      <c r="AIW1" s="139"/>
      <c r="AIX1" s="139"/>
      <c r="AIY1" s="139"/>
      <c r="AIZ1" s="139"/>
      <c r="AJA1" s="139"/>
      <c r="AJB1" s="139"/>
      <c r="AJC1" s="139"/>
      <c r="AJD1" s="139"/>
      <c r="AJE1" s="139"/>
      <c r="AJF1" s="139"/>
      <c r="AJG1" s="139"/>
      <c r="AJH1" s="139"/>
      <c r="AJI1" s="139"/>
      <c r="AJJ1" s="139"/>
      <c r="AJK1" s="139"/>
      <c r="AJL1" s="139"/>
      <c r="AJM1" s="139"/>
      <c r="AJN1" s="139"/>
      <c r="AJO1" s="139"/>
      <c r="AJP1" s="139"/>
      <c r="AJQ1" s="139"/>
      <c r="AJR1" s="139"/>
      <c r="AJS1" s="139"/>
      <c r="AJT1" s="139"/>
      <c r="AJU1" s="139"/>
      <c r="AJV1" s="139"/>
      <c r="AJW1" s="139"/>
      <c r="AJX1" s="139"/>
      <c r="AJY1" s="139"/>
      <c r="AJZ1" s="139"/>
      <c r="AKA1" s="139"/>
      <c r="AKB1" s="139"/>
      <c r="AKC1" s="139"/>
      <c r="AKD1" s="139"/>
      <c r="AKE1" s="139"/>
      <c r="AKF1" s="139"/>
      <c r="AKG1" s="139"/>
      <c r="AKH1" s="139"/>
      <c r="AKI1" s="139"/>
      <c r="AKJ1" s="139"/>
      <c r="AKK1" s="139"/>
      <c r="AKL1" s="139"/>
      <c r="AKM1" s="139"/>
      <c r="AKN1" s="139"/>
      <c r="AKO1" s="139"/>
      <c r="AKP1" s="139"/>
      <c r="AKQ1" s="139"/>
      <c r="AKR1" s="139"/>
      <c r="AKS1" s="139"/>
      <c r="AKT1" s="139"/>
      <c r="AKU1" s="139"/>
      <c r="AKV1" s="139"/>
      <c r="AKW1" s="139"/>
      <c r="AKX1" s="139"/>
      <c r="AKY1" s="139"/>
      <c r="AKZ1" s="139"/>
      <c r="ALA1" s="139"/>
      <c r="ALB1" s="139"/>
      <c r="ALC1" s="139"/>
      <c r="ALD1" s="139"/>
      <c r="ALE1" s="139"/>
      <c r="ALF1" s="139"/>
      <c r="ALG1" s="139"/>
      <c r="ALH1" s="139"/>
      <c r="ALI1" s="139"/>
      <c r="ALJ1" s="139"/>
      <c r="ALK1" s="139"/>
      <c r="ALL1" s="139"/>
      <c r="ALM1" s="139"/>
      <c r="ALN1" s="139"/>
      <c r="ALO1" s="139"/>
      <c r="ALP1" s="139"/>
      <c r="ALQ1" s="139"/>
      <c r="ALR1" s="139"/>
      <c r="ALS1" s="139"/>
      <c r="ALT1" s="139"/>
      <c r="ALU1" s="139"/>
      <c r="ALV1" s="139"/>
      <c r="ALW1" s="139"/>
      <c r="ALX1" s="139"/>
      <c r="ALY1" s="139"/>
      <c r="ALZ1" s="139"/>
      <c r="AMA1" s="139"/>
      <c r="AMB1" s="139"/>
      <c r="AMC1" s="139"/>
      <c r="AMD1" s="139"/>
      <c r="AME1" s="139"/>
      <c r="AMF1" s="139"/>
      <c r="AMG1" s="139"/>
      <c r="AMH1" s="139"/>
      <c r="AMI1" s="139"/>
      <c r="AMJ1" s="139"/>
    </row>
    <row r="2" spans="1:1024" x14ac:dyDescent="0.35">
      <c r="A2" s="140" t="s">
        <v>28</v>
      </c>
      <c r="B2" s="146">
        <v>45838</v>
      </c>
      <c r="L2" s="140">
        <v>0</v>
      </c>
      <c r="M2" s="148">
        <v>0</v>
      </c>
      <c r="N2" s="140">
        <v>0</v>
      </c>
      <c r="O2" s="140">
        <f t="shared" ref="O2:O65" si="0">MAX($A$35)/2</f>
        <v>243.875</v>
      </c>
    </row>
    <row r="3" spans="1:1024" x14ac:dyDescent="0.35">
      <c r="A3" s="140" t="s">
        <v>29</v>
      </c>
      <c r="B3" s="147" t="s">
        <v>30</v>
      </c>
      <c r="H3" s="140" t="s">
        <v>257</v>
      </c>
      <c r="L3" s="140">
        <v>1</v>
      </c>
      <c r="M3" s="148">
        <v>0</v>
      </c>
      <c r="N3" s="140">
        <v>0</v>
      </c>
      <c r="O3" s="140">
        <f t="shared" si="0"/>
        <v>243.875</v>
      </c>
    </row>
    <row r="4" spans="1:1024" x14ac:dyDescent="0.35">
      <c r="A4" s="140" t="s">
        <v>42</v>
      </c>
      <c r="B4" s="147" t="s">
        <v>302</v>
      </c>
      <c r="H4" s="141" t="s">
        <v>258</v>
      </c>
      <c r="I4" s="140" t="s">
        <v>315</v>
      </c>
      <c r="L4" s="140">
        <v>2</v>
      </c>
      <c r="M4" s="148">
        <v>0</v>
      </c>
      <c r="N4" s="140">
        <v>0</v>
      </c>
      <c r="O4" s="140">
        <f t="shared" si="0"/>
        <v>243.875</v>
      </c>
    </row>
    <row r="5" spans="1:1024" x14ac:dyDescent="0.35">
      <c r="A5" s="140" t="s">
        <v>316</v>
      </c>
      <c r="B5" s="148">
        <v>5.4</v>
      </c>
      <c r="H5" s="142">
        <v>6.9000000000000006E-2</v>
      </c>
      <c r="I5" s="140" t="s">
        <v>143</v>
      </c>
      <c r="L5" s="140">
        <v>3</v>
      </c>
      <c r="M5" s="148">
        <v>0</v>
      </c>
      <c r="N5" s="140">
        <f t="shared" ref="N5:N68" si="1">AVERAGE(M2:M9)</f>
        <v>0</v>
      </c>
      <c r="O5" s="140">
        <f t="shared" si="0"/>
        <v>243.875</v>
      </c>
    </row>
    <row r="6" spans="1:1024" x14ac:dyDescent="0.35">
      <c r="A6" s="137" t="s">
        <v>317</v>
      </c>
      <c r="B6" s="149">
        <v>2000</v>
      </c>
      <c r="C6" s="137"/>
      <c r="H6" s="140" t="s">
        <v>259</v>
      </c>
      <c r="L6" s="140">
        <v>4</v>
      </c>
      <c r="M6" s="148">
        <v>0</v>
      </c>
      <c r="N6" s="140">
        <f t="shared" si="1"/>
        <v>0</v>
      </c>
      <c r="O6" s="140">
        <f t="shared" si="0"/>
        <v>243.875</v>
      </c>
    </row>
    <row r="7" spans="1:1024" x14ac:dyDescent="0.35">
      <c r="A7" s="137"/>
      <c r="B7" s="137"/>
      <c r="C7" s="137"/>
      <c r="L7" s="140">
        <v>5</v>
      </c>
      <c r="M7" s="148">
        <v>0</v>
      </c>
      <c r="N7" s="140">
        <f t="shared" si="1"/>
        <v>0</v>
      </c>
      <c r="O7" s="140">
        <f t="shared" si="0"/>
        <v>243.875</v>
      </c>
    </row>
    <row r="8" spans="1:1024" x14ac:dyDescent="0.35">
      <c r="A8" s="150">
        <v>10.199999999999999</v>
      </c>
      <c r="B8" s="88" t="s">
        <v>200</v>
      </c>
      <c r="C8" s="88" t="s">
        <v>201</v>
      </c>
      <c r="D8" s="36"/>
      <c r="E8" s="75"/>
      <c r="L8" s="140">
        <v>6</v>
      </c>
      <c r="M8" s="148">
        <v>0</v>
      </c>
      <c r="N8" s="140">
        <f t="shared" si="1"/>
        <v>0</v>
      </c>
      <c r="O8" s="140">
        <f t="shared" si="0"/>
        <v>243.875</v>
      </c>
    </row>
    <row r="9" spans="1:1024" x14ac:dyDescent="0.35">
      <c r="A9" s="91">
        <f>(4/3)*(3.1415936)*((A8*0.000001/2)^3)</f>
        <v>5.5564737684479979E-16</v>
      </c>
      <c r="B9" s="26" t="s">
        <v>202</v>
      </c>
      <c r="C9" s="26" t="s">
        <v>203</v>
      </c>
      <c r="D9"/>
      <c r="E9" s="45"/>
      <c r="L9" s="140">
        <v>7</v>
      </c>
      <c r="M9" s="148">
        <v>0</v>
      </c>
      <c r="N9" s="140">
        <f t="shared" si="1"/>
        <v>0</v>
      </c>
      <c r="O9" s="140">
        <f t="shared" si="0"/>
        <v>243.875</v>
      </c>
    </row>
    <row r="10" spans="1:1024" x14ac:dyDescent="0.35">
      <c r="A10" s="91">
        <f>A9*1.05*1000</f>
        <v>5.8342974568703982E-13</v>
      </c>
      <c r="B10" s="26" t="s">
        <v>204</v>
      </c>
      <c r="C10" s="26" t="s">
        <v>205</v>
      </c>
      <c r="D10"/>
      <c r="E10" s="45"/>
      <c r="L10" s="140">
        <v>8</v>
      </c>
      <c r="M10" s="148">
        <v>0</v>
      </c>
      <c r="N10" s="140">
        <f t="shared" si="1"/>
        <v>0</v>
      </c>
      <c r="O10" s="140">
        <f t="shared" si="0"/>
        <v>243.875</v>
      </c>
    </row>
    <row r="11" spans="1:1024" x14ac:dyDescent="0.35">
      <c r="A11" s="91">
        <f>0.000001/A10</f>
        <v>1714002.4268430332</v>
      </c>
      <c r="B11" s="26" t="s">
        <v>206</v>
      </c>
      <c r="C11" s="26" t="s">
        <v>207</v>
      </c>
      <c r="D11"/>
      <c r="E11" s="45"/>
      <c r="L11" s="140">
        <v>9</v>
      </c>
      <c r="M11" s="148">
        <v>0</v>
      </c>
      <c r="N11" s="140">
        <f t="shared" si="1"/>
        <v>0</v>
      </c>
      <c r="O11" s="140">
        <f t="shared" si="0"/>
        <v>243.875</v>
      </c>
    </row>
    <row r="12" spans="1:1024" ht="13.9" x14ac:dyDescent="0.4">
      <c r="A12" s="93">
        <v>200000</v>
      </c>
      <c r="B12" s="26"/>
      <c r="C12" s="26" t="s">
        <v>208</v>
      </c>
      <c r="D12"/>
      <c r="E12" s="45"/>
      <c r="L12" s="140">
        <v>10</v>
      </c>
      <c r="M12" s="148">
        <v>0</v>
      </c>
      <c r="N12" s="140">
        <f t="shared" si="1"/>
        <v>0</v>
      </c>
      <c r="O12" s="140">
        <f t="shared" si="0"/>
        <v>243.875</v>
      </c>
    </row>
    <row r="13" spans="1:1024" x14ac:dyDescent="0.35">
      <c r="A13" s="94">
        <f>A12/A11*1000</f>
        <v>116.68594913740797</v>
      </c>
      <c r="B13" s="26" t="s">
        <v>73</v>
      </c>
      <c r="C13" s="26" t="s">
        <v>209</v>
      </c>
      <c r="D13"/>
      <c r="E13" s="45"/>
      <c r="L13" s="140">
        <v>11</v>
      </c>
      <c r="M13" s="148">
        <v>0</v>
      </c>
      <c r="N13" s="140">
        <f t="shared" si="1"/>
        <v>0</v>
      </c>
      <c r="O13" s="140">
        <f t="shared" si="0"/>
        <v>243.875</v>
      </c>
    </row>
    <row r="14" spans="1:1024" ht="13.9" x14ac:dyDescent="0.4">
      <c r="A14" s="93">
        <v>0.25</v>
      </c>
      <c r="B14" s="26" t="s">
        <v>210</v>
      </c>
      <c r="C14" s="26" t="s">
        <v>211</v>
      </c>
      <c r="D14"/>
      <c r="E14" s="45"/>
      <c r="L14" s="140">
        <v>12</v>
      </c>
      <c r="M14" s="148">
        <v>0</v>
      </c>
      <c r="N14" s="140">
        <f t="shared" si="1"/>
        <v>0</v>
      </c>
      <c r="O14" s="140">
        <f t="shared" si="0"/>
        <v>243.875</v>
      </c>
    </row>
    <row r="15" spans="1:1024" x14ac:dyDescent="0.35">
      <c r="A15" s="94">
        <f>A14*A13</f>
        <v>29.171487284351993</v>
      </c>
      <c r="B15" s="26" t="s">
        <v>69</v>
      </c>
      <c r="C15" s="26" t="s">
        <v>212</v>
      </c>
      <c r="D15"/>
      <c r="E15" s="45"/>
      <c r="L15" s="140">
        <v>13</v>
      </c>
      <c r="M15" s="148">
        <v>0</v>
      </c>
      <c r="N15" s="140">
        <f t="shared" si="1"/>
        <v>0</v>
      </c>
      <c r="O15" s="140">
        <f t="shared" si="0"/>
        <v>243.875</v>
      </c>
    </row>
    <row r="16" spans="1:1024" ht="13.9" x14ac:dyDescent="0.4">
      <c r="A16" s="93">
        <v>29.64</v>
      </c>
      <c r="B16" s="26" t="s">
        <v>69</v>
      </c>
      <c r="C16" s="26" t="s">
        <v>213</v>
      </c>
      <c r="D16"/>
      <c r="E16" s="45"/>
      <c r="L16" s="140">
        <v>14</v>
      </c>
      <c r="M16" s="148">
        <v>0</v>
      </c>
      <c r="N16" s="140">
        <f t="shared" si="1"/>
        <v>0</v>
      </c>
      <c r="O16" s="140">
        <f t="shared" si="0"/>
        <v>243.875</v>
      </c>
    </row>
    <row r="17" spans="1:15" ht="13.9" x14ac:dyDescent="0.4">
      <c r="A17" s="95">
        <f>A16/A15*A12</f>
        <v>203212.12772651002</v>
      </c>
      <c r="B17" s="26" t="s">
        <v>214</v>
      </c>
      <c r="C17" s="26" t="s">
        <v>327</v>
      </c>
      <c r="D17"/>
      <c r="E17" s="45"/>
      <c r="L17" s="140">
        <v>15</v>
      </c>
      <c r="M17" s="148">
        <v>0</v>
      </c>
      <c r="N17" s="140">
        <f t="shared" si="1"/>
        <v>0</v>
      </c>
      <c r="O17" s="140">
        <f t="shared" si="0"/>
        <v>243.875</v>
      </c>
    </row>
    <row r="18" spans="1:15" x14ac:dyDescent="0.35">
      <c r="A18" s="96">
        <f>A16*A11</f>
        <v>50803031.931627505</v>
      </c>
      <c r="B18"/>
      <c r="C18" t="s">
        <v>216</v>
      </c>
      <c r="D18"/>
      <c r="E18" s="45"/>
      <c r="L18" s="140">
        <v>16</v>
      </c>
      <c r="M18" s="148">
        <v>0</v>
      </c>
      <c r="N18" s="140">
        <f t="shared" si="1"/>
        <v>0</v>
      </c>
      <c r="O18" s="140">
        <f t="shared" si="0"/>
        <v>243.875</v>
      </c>
    </row>
    <row r="19" spans="1:15" x14ac:dyDescent="0.35">
      <c r="A19" s="96">
        <f>A17/A12*A14*1000</f>
        <v>254.01515965813755</v>
      </c>
      <c r="B19" t="s">
        <v>51</v>
      </c>
      <c r="C19" t="s">
        <v>217</v>
      </c>
      <c r="D19"/>
      <c r="E19" s="45"/>
      <c r="L19" s="140">
        <v>17</v>
      </c>
      <c r="M19" s="148">
        <v>0</v>
      </c>
      <c r="N19" s="140">
        <f t="shared" si="1"/>
        <v>0</v>
      </c>
      <c r="O19" s="140">
        <f t="shared" si="0"/>
        <v>243.875</v>
      </c>
    </row>
    <row r="20" spans="1:15" x14ac:dyDescent="0.35">
      <c r="A20" s="96">
        <f>A19-A14*1000</f>
        <v>4.0151596581375486</v>
      </c>
      <c r="B20" t="s">
        <v>51</v>
      </c>
      <c r="C20" t="s">
        <v>218</v>
      </c>
      <c r="D20"/>
      <c r="E20" s="45"/>
      <c r="L20" s="140">
        <v>18</v>
      </c>
      <c r="M20" s="148">
        <v>0</v>
      </c>
      <c r="N20" s="140">
        <f t="shared" si="1"/>
        <v>0</v>
      </c>
      <c r="O20" s="140">
        <f t="shared" si="0"/>
        <v>243.875</v>
      </c>
    </row>
    <row r="21" spans="1:15" ht="13.9" x14ac:dyDescent="0.4">
      <c r="A21" s="145">
        <f>A12</f>
        <v>200000</v>
      </c>
      <c r="B21" t="s">
        <v>38</v>
      </c>
      <c r="C21" t="s">
        <v>328</v>
      </c>
      <c r="D21"/>
      <c r="E21" s="45"/>
      <c r="L21" s="140">
        <v>19</v>
      </c>
      <c r="M21" s="148">
        <v>0</v>
      </c>
      <c r="N21" s="140">
        <f t="shared" si="1"/>
        <v>0</v>
      </c>
      <c r="O21" s="140">
        <f t="shared" si="0"/>
        <v>243.875</v>
      </c>
    </row>
    <row r="22" spans="1:15" x14ac:dyDescent="0.35">
      <c r="A22" s="38"/>
      <c r="B22"/>
      <c r="C22"/>
      <c r="D22"/>
      <c r="E22" s="45"/>
      <c r="L22" s="140">
        <v>20</v>
      </c>
      <c r="M22" s="148">
        <v>0</v>
      </c>
      <c r="N22" s="140">
        <f t="shared" si="1"/>
        <v>0</v>
      </c>
      <c r="O22" s="140">
        <f t="shared" si="0"/>
        <v>243.875</v>
      </c>
    </row>
    <row r="23" spans="1:15" x14ac:dyDescent="0.35">
      <c r="A23" s="38" t="s">
        <v>195</v>
      </c>
      <c r="B23"/>
      <c r="C23"/>
      <c r="D23"/>
      <c r="E23" s="45"/>
      <c r="L23" s="140">
        <v>21</v>
      </c>
      <c r="M23" s="148">
        <v>0</v>
      </c>
      <c r="N23" s="140">
        <f t="shared" si="1"/>
        <v>0</v>
      </c>
      <c r="O23" s="140">
        <f t="shared" si="0"/>
        <v>243.875</v>
      </c>
    </row>
    <row r="24" spans="1:15" x14ac:dyDescent="0.35">
      <c r="A24" s="38">
        <v>500</v>
      </c>
      <c r="B24" t="s">
        <v>51</v>
      </c>
      <c r="C24" t="s">
        <v>219</v>
      </c>
      <c r="D24"/>
      <c r="E24" s="45"/>
      <c r="L24" s="140">
        <v>22</v>
      </c>
      <c r="M24" s="148">
        <v>0</v>
      </c>
      <c r="N24" s="140">
        <f t="shared" si="1"/>
        <v>0</v>
      </c>
      <c r="O24" s="140">
        <f t="shared" si="0"/>
        <v>243.875</v>
      </c>
    </row>
    <row r="25" spans="1:15" ht="13.9" x14ac:dyDescent="0.4">
      <c r="A25" s="145">
        <v>2000</v>
      </c>
      <c r="B25" t="s">
        <v>38</v>
      </c>
      <c r="C25" t="s">
        <v>221</v>
      </c>
      <c r="D25"/>
      <c r="E25" s="45"/>
      <c r="L25" s="140">
        <v>23</v>
      </c>
      <c r="M25" s="148">
        <v>0</v>
      </c>
      <c r="N25" s="140">
        <f t="shared" si="1"/>
        <v>0</v>
      </c>
      <c r="O25" s="140">
        <f t="shared" si="0"/>
        <v>243.875</v>
      </c>
    </row>
    <row r="26" spans="1:15" x14ac:dyDescent="0.35">
      <c r="A26" s="38">
        <f>A24*A25</f>
        <v>1000000</v>
      </c>
      <c r="B26" t="s">
        <v>222</v>
      </c>
      <c r="C26" t="s">
        <v>223</v>
      </c>
      <c r="D26"/>
      <c r="E26" s="45"/>
      <c r="L26" s="140">
        <v>24</v>
      </c>
      <c r="M26" s="148">
        <v>0</v>
      </c>
      <c r="N26" s="140">
        <f t="shared" si="1"/>
        <v>0</v>
      </c>
      <c r="O26" s="140">
        <f t="shared" si="0"/>
        <v>243.875</v>
      </c>
    </row>
    <row r="27" spans="1:15" x14ac:dyDescent="0.35">
      <c r="A27" s="96">
        <f>A26/A21</f>
        <v>5</v>
      </c>
      <c r="B27" t="s">
        <v>51</v>
      </c>
      <c r="C27" t="s">
        <v>224</v>
      </c>
      <c r="D27"/>
      <c r="E27" s="45"/>
      <c r="L27" s="140">
        <v>25</v>
      </c>
      <c r="M27" s="148">
        <v>0</v>
      </c>
      <c r="N27" s="140">
        <f t="shared" si="1"/>
        <v>0</v>
      </c>
      <c r="O27" s="140">
        <f t="shared" si="0"/>
        <v>243.875</v>
      </c>
    </row>
    <row r="28" spans="1:15" x14ac:dyDescent="0.35">
      <c r="A28" s="96">
        <f>A24-A27</f>
        <v>495</v>
      </c>
      <c r="B28" t="s">
        <v>51</v>
      </c>
      <c r="C28" t="s">
        <v>225</v>
      </c>
      <c r="D28"/>
      <c r="E28" s="45"/>
      <c r="L28" s="140">
        <v>26</v>
      </c>
      <c r="M28" s="148">
        <v>0</v>
      </c>
      <c r="N28" s="140">
        <f t="shared" si="1"/>
        <v>0</v>
      </c>
      <c r="O28" s="140">
        <f t="shared" si="0"/>
        <v>243.875</v>
      </c>
    </row>
    <row r="29" spans="1:15" x14ac:dyDescent="0.35">
      <c r="A29" s="38"/>
      <c r="B29"/>
      <c r="C29"/>
      <c r="D29"/>
      <c r="E29" s="45"/>
      <c r="L29" s="140">
        <v>27</v>
      </c>
      <c r="M29" s="148">
        <v>0</v>
      </c>
      <c r="N29" s="140">
        <f t="shared" si="1"/>
        <v>0</v>
      </c>
      <c r="O29" s="140">
        <f t="shared" si="0"/>
        <v>243.875</v>
      </c>
    </row>
    <row r="30" spans="1:15" x14ac:dyDescent="0.35">
      <c r="A30" s="47"/>
      <c r="B30" s="48"/>
      <c r="C30" s="48"/>
      <c r="D30" s="48"/>
      <c r="E30" s="79"/>
      <c r="L30" s="140">
        <v>28</v>
      </c>
      <c r="M30" s="148">
        <v>0</v>
      </c>
      <c r="N30" s="140">
        <f t="shared" si="1"/>
        <v>0</v>
      </c>
      <c r="O30" s="140">
        <f t="shared" si="0"/>
        <v>243.875</v>
      </c>
    </row>
    <row r="31" spans="1:15" x14ac:dyDescent="0.35">
      <c r="L31" s="140">
        <v>29</v>
      </c>
      <c r="M31" s="148">
        <v>0</v>
      </c>
      <c r="N31" s="140">
        <f t="shared" si="1"/>
        <v>0</v>
      </c>
      <c r="O31" s="140">
        <f t="shared" si="0"/>
        <v>243.875</v>
      </c>
    </row>
    <row r="32" spans="1:15" ht="13.9" x14ac:dyDescent="0.4">
      <c r="A32" s="151">
        <f>SUM(M2:M1000)</f>
        <v>69216</v>
      </c>
      <c r="B32" s="140" t="s">
        <v>329</v>
      </c>
      <c r="L32" s="140">
        <v>30</v>
      </c>
      <c r="M32" s="148">
        <v>0</v>
      </c>
      <c r="N32" s="140">
        <f t="shared" si="1"/>
        <v>0</v>
      </c>
      <c r="O32" s="140">
        <f t="shared" si="0"/>
        <v>243.875</v>
      </c>
    </row>
    <row r="33" spans="1:15" x14ac:dyDescent="0.35">
      <c r="L33" s="140">
        <v>31</v>
      </c>
      <c r="M33" s="148">
        <v>0</v>
      </c>
      <c r="N33" s="140">
        <f t="shared" si="1"/>
        <v>0</v>
      </c>
      <c r="O33" s="140">
        <f t="shared" si="0"/>
        <v>243.875</v>
      </c>
    </row>
    <row r="34" spans="1:15" x14ac:dyDescent="0.35">
      <c r="L34" s="140">
        <v>32</v>
      </c>
      <c r="M34" s="148">
        <v>0</v>
      </c>
      <c r="N34" s="140">
        <f t="shared" si="1"/>
        <v>0</v>
      </c>
      <c r="O34" s="140">
        <f t="shared" si="0"/>
        <v>243.875</v>
      </c>
    </row>
    <row r="35" spans="1:15" x14ac:dyDescent="0.35">
      <c r="A35" s="50">
        <f>MAX($N$2:$N$1000)</f>
        <v>487.75</v>
      </c>
      <c r="B35" s="140" t="s">
        <v>260</v>
      </c>
      <c r="L35" s="140">
        <v>33</v>
      </c>
      <c r="M35" s="148">
        <v>0</v>
      </c>
      <c r="N35" s="140">
        <f t="shared" si="1"/>
        <v>0</v>
      </c>
      <c r="O35" s="140">
        <f t="shared" si="0"/>
        <v>243.875</v>
      </c>
    </row>
    <row r="36" spans="1:15" x14ac:dyDescent="0.35">
      <c r="A36" s="50">
        <f>MATCH(A35, N2:N1000, 0)</f>
        <v>488</v>
      </c>
      <c r="B36" s="140" t="s">
        <v>261</v>
      </c>
      <c r="L36" s="140">
        <v>34</v>
      </c>
      <c r="M36" s="148">
        <v>0</v>
      </c>
      <c r="N36" s="140">
        <f t="shared" si="1"/>
        <v>0</v>
      </c>
      <c r="O36" s="140">
        <f t="shared" si="0"/>
        <v>243.875</v>
      </c>
    </row>
    <row r="37" spans="1:15" x14ac:dyDescent="0.35">
      <c r="A37" s="50">
        <f>A35/2</f>
        <v>243.875</v>
      </c>
      <c r="B37" s="140" t="s">
        <v>262</v>
      </c>
      <c r="L37" s="140">
        <v>35</v>
      </c>
      <c r="M37" s="148">
        <v>0</v>
      </c>
      <c r="N37" s="140">
        <f t="shared" si="1"/>
        <v>0</v>
      </c>
      <c r="O37" s="140">
        <f t="shared" si="0"/>
        <v>243.875</v>
      </c>
    </row>
    <row r="38" spans="1:15" x14ac:dyDescent="0.35">
      <c r="A38" s="50">
        <f t="array" ref="A38">MATCH(TRUE, IF(N2:N1000 &gt; A37, TRUE), 0)</f>
        <v>442</v>
      </c>
      <c r="B38" s="140" t="s">
        <v>263</v>
      </c>
      <c r="L38" s="140">
        <v>36</v>
      </c>
      <c r="M38" s="148">
        <v>0</v>
      </c>
      <c r="N38" s="140">
        <f t="shared" si="1"/>
        <v>0</v>
      </c>
      <c r="O38" s="140">
        <f t="shared" si="0"/>
        <v>243.875</v>
      </c>
    </row>
    <row r="39" spans="1:15" x14ac:dyDescent="0.35">
      <c r="A39" s="50">
        <f>INDEX(L2:L1000,A38)</f>
        <v>441</v>
      </c>
      <c r="B39" s="140" t="s">
        <v>264</v>
      </c>
      <c r="L39" s="140">
        <v>37</v>
      </c>
      <c r="M39" s="148">
        <v>0</v>
      </c>
      <c r="N39" s="140">
        <f t="shared" si="1"/>
        <v>0</v>
      </c>
      <c r="O39" s="140">
        <f t="shared" si="0"/>
        <v>243.875</v>
      </c>
    </row>
    <row r="40" spans="1:15" x14ac:dyDescent="0.35">
      <c r="A40" s="50">
        <f>A36-A39</f>
        <v>47</v>
      </c>
      <c r="B40" s="140" t="s">
        <v>265</v>
      </c>
      <c r="L40" s="140">
        <v>38</v>
      </c>
      <c r="M40" s="148">
        <v>0</v>
      </c>
      <c r="N40" s="140">
        <f t="shared" si="1"/>
        <v>0</v>
      </c>
      <c r="O40" s="140">
        <f t="shared" si="0"/>
        <v>243.875</v>
      </c>
    </row>
    <row r="41" spans="1:15" x14ac:dyDescent="0.35">
      <c r="A41" s="50">
        <f>A40*2</f>
        <v>94</v>
      </c>
      <c r="B41" s="140" t="s">
        <v>266</v>
      </c>
      <c r="L41" s="140">
        <v>39</v>
      </c>
      <c r="M41" s="148">
        <v>0</v>
      </c>
      <c r="N41" s="140">
        <f t="shared" si="1"/>
        <v>0</v>
      </c>
      <c r="O41" s="140">
        <f t="shared" si="0"/>
        <v>243.875</v>
      </c>
    </row>
    <row r="42" spans="1:15" x14ac:dyDescent="0.35">
      <c r="A42" s="50">
        <f>A41 / (2 * SQRT(2 * LN(2)))</f>
        <v>39.918124613536897</v>
      </c>
      <c r="B42" s="140" t="s">
        <v>267</v>
      </c>
      <c r="L42" s="140">
        <v>40</v>
      </c>
      <c r="M42" s="148">
        <v>0</v>
      </c>
      <c r="N42" s="140">
        <f t="shared" si="1"/>
        <v>0</v>
      </c>
      <c r="O42" s="140">
        <f t="shared" si="0"/>
        <v>243.875</v>
      </c>
    </row>
    <row r="43" spans="1:15" ht="15" x14ac:dyDescent="0.5">
      <c r="A43" s="142">
        <f>A42/A36</f>
        <v>8.1799435683477251E-2</v>
      </c>
      <c r="B43" s="143" t="s">
        <v>318</v>
      </c>
      <c r="L43" s="140">
        <v>41</v>
      </c>
      <c r="M43" s="148">
        <v>0</v>
      </c>
      <c r="N43" s="140">
        <f t="shared" si="1"/>
        <v>0</v>
      </c>
      <c r="O43" s="140">
        <f t="shared" si="0"/>
        <v>243.875</v>
      </c>
    </row>
    <row r="44" spans="1:15" x14ac:dyDescent="0.35">
      <c r="A44" s="144"/>
      <c r="L44" s="140">
        <v>42</v>
      </c>
      <c r="M44" s="148">
        <v>0</v>
      </c>
      <c r="N44" s="140">
        <f t="shared" si="1"/>
        <v>0</v>
      </c>
      <c r="O44" s="140">
        <f t="shared" si="0"/>
        <v>243.875</v>
      </c>
    </row>
    <row r="45" spans="1:15" ht="15" x14ac:dyDescent="0.5">
      <c r="A45" s="142">
        <f>A43/2</f>
        <v>4.0899717841738625E-2</v>
      </c>
      <c r="B45" s="143" t="s">
        <v>319</v>
      </c>
      <c r="L45" s="140">
        <v>43</v>
      </c>
      <c r="M45" s="148">
        <v>0</v>
      </c>
      <c r="N45" s="140">
        <f t="shared" si="1"/>
        <v>0</v>
      </c>
      <c r="O45" s="140">
        <f t="shared" si="0"/>
        <v>243.875</v>
      </c>
    </row>
    <row r="46" spans="1:15" x14ac:dyDescent="0.35">
      <c r="L46" s="140">
        <v>44</v>
      </c>
      <c r="M46" s="148">
        <v>0</v>
      </c>
      <c r="N46" s="140">
        <f t="shared" si="1"/>
        <v>0</v>
      </c>
      <c r="O46" s="140">
        <f t="shared" si="0"/>
        <v>243.875</v>
      </c>
    </row>
    <row r="47" spans="1:15" x14ac:dyDescent="0.35">
      <c r="L47" s="140">
        <v>45</v>
      </c>
      <c r="M47" s="148">
        <v>0</v>
      </c>
      <c r="N47" s="140">
        <f t="shared" si="1"/>
        <v>0</v>
      </c>
      <c r="O47" s="140">
        <f t="shared" si="0"/>
        <v>243.875</v>
      </c>
    </row>
    <row r="48" spans="1:15" x14ac:dyDescent="0.35">
      <c r="L48" s="140">
        <v>46</v>
      </c>
      <c r="M48" s="148">
        <v>0</v>
      </c>
      <c r="N48" s="140">
        <f t="shared" si="1"/>
        <v>0</v>
      </c>
      <c r="O48" s="140">
        <f t="shared" si="0"/>
        <v>243.875</v>
      </c>
    </row>
    <row r="49" spans="1:15" x14ac:dyDescent="0.35">
      <c r="L49" s="140">
        <v>47</v>
      </c>
      <c r="M49" s="148">
        <v>0</v>
      </c>
      <c r="N49" s="140">
        <f t="shared" si="1"/>
        <v>0</v>
      </c>
      <c r="O49" s="140">
        <f t="shared" si="0"/>
        <v>243.875</v>
      </c>
    </row>
    <row r="50" spans="1:15" x14ac:dyDescent="0.35">
      <c r="L50" s="140">
        <v>48</v>
      </c>
      <c r="M50" s="148">
        <v>0</v>
      </c>
      <c r="N50" s="140">
        <f t="shared" si="1"/>
        <v>0</v>
      </c>
      <c r="O50" s="140">
        <f t="shared" si="0"/>
        <v>243.875</v>
      </c>
    </row>
    <row r="51" spans="1:15" x14ac:dyDescent="0.35">
      <c r="L51" s="140">
        <v>49</v>
      </c>
      <c r="M51" s="148">
        <v>0</v>
      </c>
      <c r="N51" s="140">
        <f t="shared" si="1"/>
        <v>0</v>
      </c>
      <c r="O51" s="140">
        <f t="shared" si="0"/>
        <v>243.875</v>
      </c>
    </row>
    <row r="52" spans="1:15" x14ac:dyDescent="0.35">
      <c r="L52" s="140">
        <v>50</v>
      </c>
      <c r="M52" s="148">
        <v>0</v>
      </c>
      <c r="N52" s="140">
        <f t="shared" si="1"/>
        <v>0</v>
      </c>
      <c r="O52" s="140">
        <f t="shared" si="0"/>
        <v>243.875</v>
      </c>
    </row>
    <row r="53" spans="1:15" x14ac:dyDescent="0.35">
      <c r="L53" s="140">
        <v>51</v>
      </c>
      <c r="M53" s="148">
        <v>0</v>
      </c>
      <c r="N53" s="140">
        <f t="shared" si="1"/>
        <v>0</v>
      </c>
      <c r="O53" s="140">
        <f t="shared" si="0"/>
        <v>243.875</v>
      </c>
    </row>
    <row r="54" spans="1:15" x14ac:dyDescent="0.35">
      <c r="L54" s="140">
        <v>52</v>
      </c>
      <c r="M54" s="148">
        <v>0</v>
      </c>
      <c r="N54" s="140">
        <f t="shared" si="1"/>
        <v>0</v>
      </c>
      <c r="O54" s="140">
        <f t="shared" si="0"/>
        <v>243.875</v>
      </c>
    </row>
    <row r="55" spans="1:15" x14ac:dyDescent="0.35">
      <c r="A55" s="140" t="s">
        <v>320</v>
      </c>
      <c r="D55" s="140">
        <v>8</v>
      </c>
      <c r="L55" s="140">
        <v>53</v>
      </c>
      <c r="M55" s="148">
        <v>0</v>
      </c>
      <c r="N55" s="140">
        <f t="shared" si="1"/>
        <v>0</v>
      </c>
      <c r="O55" s="140">
        <f t="shared" si="0"/>
        <v>243.875</v>
      </c>
    </row>
    <row r="56" spans="1:15" x14ac:dyDescent="0.35">
      <c r="A56" s="140" t="s">
        <v>321</v>
      </c>
      <c r="D56" s="140">
        <v>20</v>
      </c>
      <c r="E56" s="140" t="s">
        <v>322</v>
      </c>
      <c r="L56" s="140">
        <v>54</v>
      </c>
      <c r="M56" s="148">
        <v>0</v>
      </c>
      <c r="N56" s="140">
        <f t="shared" si="1"/>
        <v>0</v>
      </c>
      <c r="O56" s="140">
        <f t="shared" si="0"/>
        <v>243.875</v>
      </c>
    </row>
    <row r="57" spans="1:15" x14ac:dyDescent="0.35">
      <c r="A57" s="140" t="s">
        <v>323</v>
      </c>
      <c r="D57" s="140">
        <v>10</v>
      </c>
      <c r="E57" s="140" t="s">
        <v>324</v>
      </c>
      <c r="L57" s="140">
        <v>55</v>
      </c>
      <c r="M57" s="148">
        <v>0</v>
      </c>
      <c r="N57" s="140">
        <f t="shared" si="1"/>
        <v>0</v>
      </c>
      <c r="O57" s="140">
        <f t="shared" si="0"/>
        <v>243.875</v>
      </c>
    </row>
    <row r="58" spans="1:15" x14ac:dyDescent="0.35">
      <c r="L58" s="140">
        <v>56</v>
      </c>
      <c r="M58" s="148">
        <v>0</v>
      </c>
      <c r="N58" s="140">
        <f t="shared" si="1"/>
        <v>0</v>
      </c>
      <c r="O58" s="140">
        <f t="shared" si="0"/>
        <v>243.875</v>
      </c>
    </row>
    <row r="59" spans="1:15" x14ac:dyDescent="0.35">
      <c r="A59" s="140" t="s">
        <v>325</v>
      </c>
      <c r="B59" s="140">
        <v>38.304000000000002</v>
      </c>
      <c r="C59" s="140" t="s">
        <v>51</v>
      </c>
      <c r="L59" s="140">
        <v>57</v>
      </c>
      <c r="M59" s="148">
        <v>0</v>
      </c>
      <c r="N59" s="140">
        <f t="shared" si="1"/>
        <v>0</v>
      </c>
      <c r="O59" s="140">
        <f t="shared" si="0"/>
        <v>243.875</v>
      </c>
    </row>
    <row r="60" spans="1:15" x14ac:dyDescent="0.35">
      <c r="A60" s="140" t="s">
        <v>326</v>
      </c>
      <c r="B60" s="140">
        <v>50</v>
      </c>
      <c r="C60" s="140" t="s">
        <v>51</v>
      </c>
      <c r="L60" s="140">
        <v>58</v>
      </c>
      <c r="M60" s="148">
        <v>0</v>
      </c>
      <c r="N60" s="140">
        <f t="shared" si="1"/>
        <v>0</v>
      </c>
      <c r="O60" s="140">
        <f t="shared" si="0"/>
        <v>243.875</v>
      </c>
    </row>
    <row r="61" spans="1:15" x14ac:dyDescent="0.35">
      <c r="B61" s="142"/>
      <c r="L61" s="140">
        <v>59</v>
      </c>
      <c r="M61" s="148">
        <v>0</v>
      </c>
      <c r="N61" s="140">
        <f t="shared" si="1"/>
        <v>0</v>
      </c>
      <c r="O61" s="140">
        <f t="shared" si="0"/>
        <v>243.875</v>
      </c>
    </row>
    <row r="62" spans="1:15" x14ac:dyDescent="0.35">
      <c r="A62" s="140" t="s">
        <v>330</v>
      </c>
      <c r="B62" s="140">
        <f>A25*B59</f>
        <v>76608</v>
      </c>
      <c r="L62" s="140">
        <v>60</v>
      </c>
      <c r="M62" s="148">
        <v>0</v>
      </c>
      <c r="N62" s="140">
        <f t="shared" si="1"/>
        <v>0</v>
      </c>
      <c r="O62" s="140">
        <f t="shared" si="0"/>
        <v>243.875</v>
      </c>
    </row>
    <row r="63" spans="1:15" x14ac:dyDescent="0.35">
      <c r="A63" s="140" t="s">
        <v>331</v>
      </c>
      <c r="B63" s="140">
        <f>A32</f>
        <v>69216</v>
      </c>
      <c r="L63" s="140">
        <v>61</v>
      </c>
      <c r="M63" s="148">
        <v>0</v>
      </c>
      <c r="N63" s="140">
        <f t="shared" si="1"/>
        <v>0</v>
      </c>
      <c r="O63" s="140">
        <f t="shared" si="0"/>
        <v>243.875</v>
      </c>
    </row>
    <row r="64" spans="1:15" x14ac:dyDescent="0.35">
      <c r="A64" s="140" t="s">
        <v>332</v>
      </c>
      <c r="B64" s="140">
        <f>B63/B62</f>
        <v>0.90350877192982459</v>
      </c>
      <c r="L64" s="140">
        <v>62</v>
      </c>
      <c r="M64" s="148">
        <v>0</v>
      </c>
      <c r="N64" s="140">
        <f t="shared" si="1"/>
        <v>0</v>
      </c>
      <c r="O64" s="140">
        <f t="shared" si="0"/>
        <v>243.875</v>
      </c>
    </row>
    <row r="65" spans="1:15" x14ac:dyDescent="0.35">
      <c r="A65" s="140" t="s">
        <v>333</v>
      </c>
      <c r="B65" s="140">
        <f>1875/A25</f>
        <v>0.9375</v>
      </c>
      <c r="L65" s="140">
        <v>63</v>
      </c>
      <c r="M65" s="148">
        <v>0</v>
      </c>
      <c r="N65" s="140">
        <f t="shared" si="1"/>
        <v>0</v>
      </c>
      <c r="O65" s="140">
        <f t="shared" si="0"/>
        <v>243.875</v>
      </c>
    </row>
    <row r="66" spans="1:15" x14ac:dyDescent="0.35">
      <c r="L66" s="140">
        <v>64</v>
      </c>
      <c r="M66" s="148">
        <v>0</v>
      </c>
      <c r="N66" s="140">
        <f t="shared" si="1"/>
        <v>0</v>
      </c>
      <c r="O66" s="140">
        <f t="shared" ref="O66:O129" si="2">MAX($A$35)/2</f>
        <v>243.875</v>
      </c>
    </row>
    <row r="67" spans="1:15" x14ac:dyDescent="0.35">
      <c r="L67" s="140">
        <v>65</v>
      </c>
      <c r="M67" s="148">
        <v>0</v>
      </c>
      <c r="N67" s="140">
        <f t="shared" si="1"/>
        <v>0</v>
      </c>
      <c r="O67" s="140">
        <f t="shared" si="2"/>
        <v>243.875</v>
      </c>
    </row>
    <row r="68" spans="1:15" x14ac:dyDescent="0.35">
      <c r="L68" s="140">
        <v>66</v>
      </c>
      <c r="M68" s="148">
        <v>0</v>
      </c>
      <c r="N68" s="140">
        <f t="shared" si="1"/>
        <v>0</v>
      </c>
      <c r="O68" s="140">
        <f t="shared" si="2"/>
        <v>243.875</v>
      </c>
    </row>
    <row r="69" spans="1:15" x14ac:dyDescent="0.35">
      <c r="L69" s="140">
        <v>67</v>
      </c>
      <c r="M69" s="148">
        <v>0</v>
      </c>
      <c r="N69" s="140">
        <f t="shared" ref="N69:N132" si="3">AVERAGE(M66:M73)</f>
        <v>0</v>
      </c>
      <c r="O69" s="140">
        <f t="shared" si="2"/>
        <v>243.875</v>
      </c>
    </row>
    <row r="70" spans="1:15" x14ac:dyDescent="0.35">
      <c r="L70" s="140">
        <v>68</v>
      </c>
      <c r="M70" s="148">
        <v>0</v>
      </c>
      <c r="N70" s="140">
        <f t="shared" si="3"/>
        <v>0</v>
      </c>
      <c r="O70" s="140">
        <f t="shared" si="2"/>
        <v>243.875</v>
      </c>
    </row>
    <row r="71" spans="1:15" x14ac:dyDescent="0.35">
      <c r="L71" s="140">
        <v>69</v>
      </c>
      <c r="M71" s="148">
        <v>0</v>
      </c>
      <c r="N71" s="140">
        <f t="shared" si="3"/>
        <v>0</v>
      </c>
      <c r="O71" s="140">
        <f t="shared" si="2"/>
        <v>243.875</v>
      </c>
    </row>
    <row r="72" spans="1:15" x14ac:dyDescent="0.35">
      <c r="L72" s="140">
        <v>70</v>
      </c>
      <c r="M72" s="148">
        <v>0</v>
      </c>
      <c r="N72" s="140">
        <f t="shared" si="3"/>
        <v>0</v>
      </c>
      <c r="O72" s="140">
        <f t="shared" si="2"/>
        <v>243.875</v>
      </c>
    </row>
    <row r="73" spans="1:15" x14ac:dyDescent="0.35">
      <c r="L73" s="140">
        <v>71</v>
      </c>
      <c r="M73" s="148">
        <v>0</v>
      </c>
      <c r="N73" s="140">
        <f t="shared" si="3"/>
        <v>0</v>
      </c>
      <c r="O73" s="140">
        <f t="shared" si="2"/>
        <v>243.875</v>
      </c>
    </row>
    <row r="74" spans="1:15" x14ac:dyDescent="0.35">
      <c r="L74" s="140">
        <v>72</v>
      </c>
      <c r="M74" s="148">
        <v>0</v>
      </c>
      <c r="N74" s="140">
        <f t="shared" si="3"/>
        <v>0</v>
      </c>
      <c r="O74" s="140">
        <f t="shared" si="2"/>
        <v>243.875</v>
      </c>
    </row>
    <row r="75" spans="1:15" x14ac:dyDescent="0.35">
      <c r="L75" s="140">
        <v>73</v>
      </c>
      <c r="M75" s="148">
        <v>0</v>
      </c>
      <c r="N75" s="140">
        <f t="shared" si="3"/>
        <v>0</v>
      </c>
      <c r="O75" s="140">
        <f t="shared" si="2"/>
        <v>243.875</v>
      </c>
    </row>
    <row r="76" spans="1:15" x14ac:dyDescent="0.35">
      <c r="L76" s="140">
        <v>74</v>
      </c>
      <c r="M76" s="148">
        <v>0</v>
      </c>
      <c r="N76" s="140">
        <f t="shared" si="3"/>
        <v>0</v>
      </c>
      <c r="O76" s="140">
        <f t="shared" si="2"/>
        <v>243.875</v>
      </c>
    </row>
    <row r="77" spans="1:15" x14ac:dyDescent="0.35">
      <c r="L77" s="140">
        <v>75</v>
      </c>
      <c r="M77" s="148">
        <v>0</v>
      </c>
      <c r="N77" s="140">
        <f t="shared" si="3"/>
        <v>0</v>
      </c>
      <c r="O77" s="140">
        <f t="shared" si="2"/>
        <v>243.875</v>
      </c>
    </row>
    <row r="78" spans="1:15" x14ac:dyDescent="0.35">
      <c r="L78" s="140">
        <v>76</v>
      </c>
      <c r="M78" s="148">
        <v>0</v>
      </c>
      <c r="N78" s="140">
        <f t="shared" si="3"/>
        <v>0</v>
      </c>
      <c r="O78" s="140">
        <f t="shared" si="2"/>
        <v>243.875</v>
      </c>
    </row>
    <row r="79" spans="1:15" x14ac:dyDescent="0.35">
      <c r="L79" s="140">
        <v>77</v>
      </c>
      <c r="M79" s="148">
        <v>0</v>
      </c>
      <c r="N79" s="140">
        <f t="shared" si="3"/>
        <v>0</v>
      </c>
      <c r="O79" s="140">
        <f t="shared" si="2"/>
        <v>243.875</v>
      </c>
    </row>
    <row r="80" spans="1:15" x14ac:dyDescent="0.35">
      <c r="L80" s="140">
        <v>78</v>
      </c>
      <c r="M80" s="148">
        <v>0</v>
      </c>
      <c r="N80" s="140">
        <f t="shared" si="3"/>
        <v>0</v>
      </c>
      <c r="O80" s="140">
        <f t="shared" si="2"/>
        <v>243.875</v>
      </c>
    </row>
    <row r="81" spans="12:15" x14ac:dyDescent="0.35">
      <c r="L81" s="140">
        <v>79</v>
      </c>
      <c r="M81" s="148">
        <v>0</v>
      </c>
      <c r="N81" s="140">
        <f t="shared" si="3"/>
        <v>0</v>
      </c>
      <c r="O81" s="140">
        <f t="shared" si="2"/>
        <v>243.875</v>
      </c>
    </row>
    <row r="82" spans="12:15" x14ac:dyDescent="0.35">
      <c r="L82" s="140">
        <v>80</v>
      </c>
      <c r="M82" s="148">
        <v>0</v>
      </c>
      <c r="N82" s="140">
        <f t="shared" si="3"/>
        <v>0</v>
      </c>
      <c r="O82" s="140">
        <f t="shared" si="2"/>
        <v>243.875</v>
      </c>
    </row>
    <row r="83" spans="12:15" x14ac:dyDescent="0.35">
      <c r="L83" s="140">
        <v>81</v>
      </c>
      <c r="M83" s="148">
        <v>0</v>
      </c>
      <c r="N83" s="140">
        <f t="shared" si="3"/>
        <v>0</v>
      </c>
      <c r="O83" s="140">
        <f t="shared" si="2"/>
        <v>243.875</v>
      </c>
    </row>
    <row r="84" spans="12:15" x14ac:dyDescent="0.35">
      <c r="L84" s="140">
        <v>82</v>
      </c>
      <c r="M84" s="148">
        <v>0</v>
      </c>
      <c r="N84" s="140">
        <f t="shared" si="3"/>
        <v>0</v>
      </c>
      <c r="O84" s="140">
        <f t="shared" si="2"/>
        <v>243.875</v>
      </c>
    </row>
    <row r="85" spans="12:15" x14ac:dyDescent="0.35">
      <c r="L85" s="140">
        <v>83</v>
      </c>
      <c r="M85" s="148">
        <v>0</v>
      </c>
      <c r="N85" s="140">
        <f t="shared" si="3"/>
        <v>0</v>
      </c>
      <c r="O85" s="140">
        <f t="shared" si="2"/>
        <v>243.875</v>
      </c>
    </row>
    <row r="86" spans="12:15" x14ac:dyDescent="0.35">
      <c r="L86" s="140">
        <v>84</v>
      </c>
      <c r="M86" s="148">
        <v>0</v>
      </c>
      <c r="N86" s="140">
        <f t="shared" si="3"/>
        <v>0</v>
      </c>
      <c r="O86" s="140">
        <f t="shared" si="2"/>
        <v>243.875</v>
      </c>
    </row>
    <row r="87" spans="12:15" x14ac:dyDescent="0.35">
      <c r="L87" s="140">
        <v>85</v>
      </c>
      <c r="M87" s="148">
        <v>0</v>
      </c>
      <c r="N87" s="140">
        <f t="shared" si="3"/>
        <v>0</v>
      </c>
      <c r="O87" s="140">
        <f t="shared" si="2"/>
        <v>243.875</v>
      </c>
    </row>
    <row r="88" spans="12:15" x14ac:dyDescent="0.35">
      <c r="L88" s="140">
        <v>86</v>
      </c>
      <c r="M88" s="148">
        <v>0</v>
      </c>
      <c r="N88" s="140">
        <f t="shared" si="3"/>
        <v>0</v>
      </c>
      <c r="O88" s="140">
        <f t="shared" si="2"/>
        <v>243.875</v>
      </c>
    </row>
    <row r="89" spans="12:15" x14ac:dyDescent="0.35">
      <c r="L89" s="140">
        <v>87</v>
      </c>
      <c r="M89" s="148">
        <v>0</v>
      </c>
      <c r="N89" s="140">
        <f t="shared" si="3"/>
        <v>0</v>
      </c>
      <c r="O89" s="140">
        <f t="shared" si="2"/>
        <v>243.875</v>
      </c>
    </row>
    <row r="90" spans="12:15" x14ac:dyDescent="0.35">
      <c r="L90" s="140">
        <v>88</v>
      </c>
      <c r="M90" s="148">
        <v>0</v>
      </c>
      <c r="N90" s="140">
        <f t="shared" si="3"/>
        <v>0</v>
      </c>
      <c r="O90" s="140">
        <f t="shared" si="2"/>
        <v>243.875</v>
      </c>
    </row>
    <row r="91" spans="12:15" x14ac:dyDescent="0.35">
      <c r="L91" s="140">
        <v>89</v>
      </c>
      <c r="M91" s="148">
        <v>0</v>
      </c>
      <c r="N91" s="140">
        <f t="shared" si="3"/>
        <v>0</v>
      </c>
      <c r="O91" s="140">
        <f t="shared" si="2"/>
        <v>243.875</v>
      </c>
    </row>
    <row r="92" spans="12:15" x14ac:dyDescent="0.35">
      <c r="L92" s="140">
        <v>90</v>
      </c>
      <c r="M92" s="148">
        <v>0</v>
      </c>
      <c r="N92" s="140">
        <f t="shared" si="3"/>
        <v>0</v>
      </c>
      <c r="O92" s="140">
        <f t="shared" si="2"/>
        <v>243.875</v>
      </c>
    </row>
    <row r="93" spans="12:15" x14ac:dyDescent="0.35">
      <c r="L93" s="140">
        <v>91</v>
      </c>
      <c r="M93" s="148">
        <v>0</v>
      </c>
      <c r="N93" s="140">
        <f t="shared" si="3"/>
        <v>0</v>
      </c>
      <c r="O93" s="140">
        <f t="shared" si="2"/>
        <v>243.875</v>
      </c>
    </row>
    <row r="94" spans="12:15" x14ac:dyDescent="0.35">
      <c r="L94" s="140">
        <v>92</v>
      </c>
      <c r="M94" s="148">
        <v>0</v>
      </c>
      <c r="N94" s="140">
        <f t="shared" si="3"/>
        <v>0</v>
      </c>
      <c r="O94" s="140">
        <f t="shared" si="2"/>
        <v>243.875</v>
      </c>
    </row>
    <row r="95" spans="12:15" x14ac:dyDescent="0.35">
      <c r="L95" s="140">
        <v>93</v>
      </c>
      <c r="M95" s="148">
        <v>0</v>
      </c>
      <c r="N95" s="140">
        <f t="shared" si="3"/>
        <v>0</v>
      </c>
      <c r="O95" s="140">
        <f t="shared" si="2"/>
        <v>243.875</v>
      </c>
    </row>
    <row r="96" spans="12:15" x14ac:dyDescent="0.35">
      <c r="L96" s="140">
        <v>94</v>
      </c>
      <c r="M96" s="148">
        <v>0</v>
      </c>
      <c r="N96" s="140">
        <f t="shared" si="3"/>
        <v>0</v>
      </c>
      <c r="O96" s="140">
        <f t="shared" si="2"/>
        <v>243.875</v>
      </c>
    </row>
    <row r="97" spans="12:15" x14ac:dyDescent="0.35">
      <c r="L97" s="140">
        <v>95</v>
      </c>
      <c r="M97" s="148">
        <v>0</v>
      </c>
      <c r="N97" s="140">
        <f t="shared" si="3"/>
        <v>0</v>
      </c>
      <c r="O97" s="140">
        <f t="shared" si="2"/>
        <v>243.875</v>
      </c>
    </row>
    <row r="98" spans="12:15" x14ac:dyDescent="0.35">
      <c r="L98" s="140">
        <v>96</v>
      </c>
      <c r="M98" s="148">
        <v>0</v>
      </c>
      <c r="N98" s="140">
        <f t="shared" si="3"/>
        <v>0</v>
      </c>
      <c r="O98" s="140">
        <f t="shared" si="2"/>
        <v>243.875</v>
      </c>
    </row>
    <row r="99" spans="12:15" x14ac:dyDescent="0.35">
      <c r="L99" s="140">
        <v>97</v>
      </c>
      <c r="M99" s="148">
        <v>0</v>
      </c>
      <c r="N99" s="140">
        <f t="shared" si="3"/>
        <v>0</v>
      </c>
      <c r="O99" s="140">
        <f t="shared" si="2"/>
        <v>243.875</v>
      </c>
    </row>
    <row r="100" spans="12:15" x14ac:dyDescent="0.35">
      <c r="L100" s="140">
        <v>98</v>
      </c>
      <c r="M100" s="148">
        <v>0</v>
      </c>
      <c r="N100" s="140">
        <f t="shared" si="3"/>
        <v>0</v>
      </c>
      <c r="O100" s="140">
        <f t="shared" si="2"/>
        <v>243.875</v>
      </c>
    </row>
    <row r="101" spans="12:15" x14ac:dyDescent="0.35">
      <c r="L101" s="140">
        <v>99</v>
      </c>
      <c r="M101" s="148">
        <v>0</v>
      </c>
      <c r="N101" s="140">
        <f t="shared" si="3"/>
        <v>0</v>
      </c>
      <c r="O101" s="140">
        <f t="shared" si="2"/>
        <v>243.875</v>
      </c>
    </row>
    <row r="102" spans="12:15" x14ac:dyDescent="0.35">
      <c r="L102" s="140">
        <v>100</v>
      </c>
      <c r="M102" s="148">
        <v>0</v>
      </c>
      <c r="N102" s="140">
        <f t="shared" si="3"/>
        <v>0</v>
      </c>
      <c r="O102" s="140">
        <f t="shared" si="2"/>
        <v>243.875</v>
      </c>
    </row>
    <row r="103" spans="12:15" x14ac:dyDescent="0.35">
      <c r="L103" s="140">
        <v>101</v>
      </c>
      <c r="M103" s="148">
        <v>0</v>
      </c>
      <c r="N103" s="140">
        <f t="shared" si="3"/>
        <v>0</v>
      </c>
      <c r="O103" s="140">
        <f t="shared" si="2"/>
        <v>243.875</v>
      </c>
    </row>
    <row r="104" spans="12:15" x14ac:dyDescent="0.35">
      <c r="L104" s="140">
        <v>102</v>
      </c>
      <c r="M104" s="148">
        <v>0</v>
      </c>
      <c r="N104" s="140">
        <f t="shared" si="3"/>
        <v>0</v>
      </c>
      <c r="O104" s="140">
        <f t="shared" si="2"/>
        <v>243.875</v>
      </c>
    </row>
    <row r="105" spans="12:15" x14ac:dyDescent="0.35">
      <c r="L105" s="140">
        <v>103</v>
      </c>
      <c r="M105" s="148">
        <v>0</v>
      </c>
      <c r="N105" s="140">
        <f t="shared" si="3"/>
        <v>0</v>
      </c>
      <c r="O105" s="140">
        <f t="shared" si="2"/>
        <v>243.875</v>
      </c>
    </row>
    <row r="106" spans="12:15" x14ac:dyDescent="0.35">
      <c r="L106" s="140">
        <v>104</v>
      </c>
      <c r="M106" s="148">
        <v>0</v>
      </c>
      <c r="N106" s="140">
        <f t="shared" si="3"/>
        <v>0</v>
      </c>
      <c r="O106" s="140">
        <f t="shared" si="2"/>
        <v>243.875</v>
      </c>
    </row>
    <row r="107" spans="12:15" x14ac:dyDescent="0.35">
      <c r="L107" s="140">
        <v>105</v>
      </c>
      <c r="M107" s="148">
        <v>0</v>
      </c>
      <c r="N107" s="140">
        <f t="shared" si="3"/>
        <v>0</v>
      </c>
      <c r="O107" s="140">
        <f t="shared" si="2"/>
        <v>243.875</v>
      </c>
    </row>
    <row r="108" spans="12:15" x14ac:dyDescent="0.35">
      <c r="L108" s="140">
        <v>106</v>
      </c>
      <c r="M108" s="148">
        <v>0</v>
      </c>
      <c r="N108" s="140">
        <f t="shared" si="3"/>
        <v>0</v>
      </c>
      <c r="O108" s="140">
        <f t="shared" si="2"/>
        <v>243.875</v>
      </c>
    </row>
    <row r="109" spans="12:15" x14ac:dyDescent="0.35">
      <c r="L109" s="140">
        <v>107</v>
      </c>
      <c r="M109" s="148">
        <v>0</v>
      </c>
      <c r="N109" s="140">
        <f t="shared" si="3"/>
        <v>0</v>
      </c>
      <c r="O109" s="140">
        <f t="shared" si="2"/>
        <v>243.875</v>
      </c>
    </row>
    <row r="110" spans="12:15" x14ac:dyDescent="0.35">
      <c r="L110" s="140">
        <v>108</v>
      </c>
      <c r="M110" s="148">
        <v>0</v>
      </c>
      <c r="N110" s="140">
        <f t="shared" si="3"/>
        <v>0</v>
      </c>
      <c r="O110" s="140">
        <f t="shared" si="2"/>
        <v>243.875</v>
      </c>
    </row>
    <row r="111" spans="12:15" x14ac:dyDescent="0.35">
      <c r="L111" s="140">
        <v>109</v>
      </c>
      <c r="M111" s="148">
        <v>0</v>
      </c>
      <c r="N111" s="140">
        <f t="shared" si="3"/>
        <v>0</v>
      </c>
      <c r="O111" s="140">
        <f t="shared" si="2"/>
        <v>243.875</v>
      </c>
    </row>
    <row r="112" spans="12:15" x14ac:dyDescent="0.35">
      <c r="L112" s="140">
        <v>110</v>
      </c>
      <c r="M112" s="148">
        <v>0</v>
      </c>
      <c r="N112" s="140">
        <f t="shared" si="3"/>
        <v>0</v>
      </c>
      <c r="O112" s="140">
        <f t="shared" si="2"/>
        <v>243.875</v>
      </c>
    </row>
    <row r="113" spans="12:15" x14ac:dyDescent="0.35">
      <c r="L113" s="140">
        <v>111</v>
      </c>
      <c r="M113" s="148">
        <v>0</v>
      </c>
      <c r="N113" s="140">
        <f t="shared" si="3"/>
        <v>0</v>
      </c>
      <c r="O113" s="140">
        <f t="shared" si="2"/>
        <v>243.875</v>
      </c>
    </row>
    <row r="114" spans="12:15" x14ac:dyDescent="0.35">
      <c r="L114" s="140">
        <v>112</v>
      </c>
      <c r="M114" s="148">
        <v>0</v>
      </c>
      <c r="N114" s="140">
        <f t="shared" si="3"/>
        <v>0</v>
      </c>
      <c r="O114" s="140">
        <f t="shared" si="2"/>
        <v>243.875</v>
      </c>
    </row>
    <row r="115" spans="12:15" x14ac:dyDescent="0.35">
      <c r="L115" s="140">
        <v>113</v>
      </c>
      <c r="M115" s="148">
        <v>0</v>
      </c>
      <c r="N115" s="140">
        <f t="shared" si="3"/>
        <v>0</v>
      </c>
      <c r="O115" s="140">
        <f t="shared" si="2"/>
        <v>243.875</v>
      </c>
    </row>
    <row r="116" spans="12:15" x14ac:dyDescent="0.35">
      <c r="L116" s="140">
        <v>114</v>
      </c>
      <c r="M116" s="148">
        <v>0</v>
      </c>
      <c r="N116" s="140">
        <f t="shared" si="3"/>
        <v>0</v>
      </c>
      <c r="O116" s="140">
        <f t="shared" si="2"/>
        <v>243.875</v>
      </c>
    </row>
    <row r="117" spans="12:15" x14ac:dyDescent="0.35">
      <c r="L117" s="140">
        <v>115</v>
      </c>
      <c r="M117" s="148">
        <v>0</v>
      </c>
      <c r="N117" s="140">
        <f t="shared" si="3"/>
        <v>0</v>
      </c>
      <c r="O117" s="140">
        <f t="shared" si="2"/>
        <v>243.875</v>
      </c>
    </row>
    <row r="118" spans="12:15" x14ac:dyDescent="0.35">
      <c r="L118" s="140">
        <v>116</v>
      </c>
      <c r="M118" s="148">
        <v>0</v>
      </c>
      <c r="N118" s="140">
        <f t="shared" si="3"/>
        <v>0</v>
      </c>
      <c r="O118" s="140">
        <f t="shared" si="2"/>
        <v>243.875</v>
      </c>
    </row>
    <row r="119" spans="12:15" x14ac:dyDescent="0.35">
      <c r="L119" s="140">
        <v>117</v>
      </c>
      <c r="M119" s="148">
        <v>0</v>
      </c>
      <c r="N119" s="140">
        <f t="shared" si="3"/>
        <v>0</v>
      </c>
      <c r="O119" s="140">
        <f t="shared" si="2"/>
        <v>243.875</v>
      </c>
    </row>
    <row r="120" spans="12:15" x14ac:dyDescent="0.35">
      <c r="L120" s="140">
        <v>118</v>
      </c>
      <c r="M120" s="148">
        <v>0</v>
      </c>
      <c r="N120" s="140">
        <f t="shared" si="3"/>
        <v>0</v>
      </c>
      <c r="O120" s="140">
        <f t="shared" si="2"/>
        <v>243.875</v>
      </c>
    </row>
    <row r="121" spans="12:15" x14ac:dyDescent="0.35">
      <c r="L121" s="140">
        <v>119</v>
      </c>
      <c r="M121" s="148">
        <v>0</v>
      </c>
      <c r="N121" s="140">
        <f t="shared" si="3"/>
        <v>0</v>
      </c>
      <c r="O121" s="140">
        <f t="shared" si="2"/>
        <v>243.875</v>
      </c>
    </row>
    <row r="122" spans="12:15" x14ac:dyDescent="0.35">
      <c r="L122" s="140">
        <v>120</v>
      </c>
      <c r="M122" s="148">
        <v>0</v>
      </c>
      <c r="N122" s="140">
        <f t="shared" si="3"/>
        <v>0</v>
      </c>
      <c r="O122" s="140">
        <f t="shared" si="2"/>
        <v>243.875</v>
      </c>
    </row>
    <row r="123" spans="12:15" x14ac:dyDescent="0.35">
      <c r="L123" s="140">
        <v>121</v>
      </c>
      <c r="M123" s="148">
        <v>0</v>
      </c>
      <c r="N123" s="140">
        <f t="shared" si="3"/>
        <v>0</v>
      </c>
      <c r="O123" s="140">
        <f t="shared" si="2"/>
        <v>243.875</v>
      </c>
    </row>
    <row r="124" spans="12:15" x14ac:dyDescent="0.35">
      <c r="L124" s="140">
        <v>122</v>
      </c>
      <c r="M124" s="148">
        <v>0</v>
      </c>
      <c r="N124" s="140">
        <f t="shared" si="3"/>
        <v>0</v>
      </c>
      <c r="O124" s="140">
        <f t="shared" si="2"/>
        <v>243.875</v>
      </c>
    </row>
    <row r="125" spans="12:15" x14ac:dyDescent="0.35">
      <c r="L125" s="140">
        <v>123</v>
      </c>
      <c r="M125" s="148">
        <v>0</v>
      </c>
      <c r="N125" s="140">
        <f t="shared" si="3"/>
        <v>0</v>
      </c>
      <c r="O125" s="140">
        <f t="shared" si="2"/>
        <v>243.875</v>
      </c>
    </row>
    <row r="126" spans="12:15" x14ac:dyDescent="0.35">
      <c r="L126" s="140">
        <v>124</v>
      </c>
      <c r="M126" s="148">
        <v>0</v>
      </c>
      <c r="N126" s="140">
        <f t="shared" si="3"/>
        <v>0</v>
      </c>
      <c r="O126" s="140">
        <f t="shared" si="2"/>
        <v>243.875</v>
      </c>
    </row>
    <row r="127" spans="12:15" x14ac:dyDescent="0.35">
      <c r="L127" s="140">
        <v>125</v>
      </c>
      <c r="M127" s="148">
        <v>0</v>
      </c>
      <c r="N127" s="140">
        <f t="shared" si="3"/>
        <v>0</v>
      </c>
      <c r="O127" s="140">
        <f t="shared" si="2"/>
        <v>243.875</v>
      </c>
    </row>
    <row r="128" spans="12:15" x14ac:dyDescent="0.35">
      <c r="L128" s="140">
        <v>126</v>
      </c>
      <c r="M128" s="148">
        <v>0</v>
      </c>
      <c r="N128" s="140">
        <f t="shared" si="3"/>
        <v>0</v>
      </c>
      <c r="O128" s="140">
        <f t="shared" si="2"/>
        <v>243.875</v>
      </c>
    </row>
    <row r="129" spans="12:15" x14ac:dyDescent="0.35">
      <c r="L129" s="140">
        <v>127</v>
      </c>
      <c r="M129" s="148">
        <v>0</v>
      </c>
      <c r="N129" s="140">
        <f t="shared" si="3"/>
        <v>0</v>
      </c>
      <c r="O129" s="140">
        <f t="shared" si="2"/>
        <v>243.875</v>
      </c>
    </row>
    <row r="130" spans="12:15" x14ac:dyDescent="0.35">
      <c r="L130" s="140">
        <v>128</v>
      </c>
      <c r="M130" s="148">
        <v>0</v>
      </c>
      <c r="N130" s="140">
        <f t="shared" si="3"/>
        <v>0</v>
      </c>
      <c r="O130" s="140">
        <f t="shared" ref="O130:O193" si="4">MAX($A$35)/2</f>
        <v>243.875</v>
      </c>
    </row>
    <row r="131" spans="12:15" x14ac:dyDescent="0.35">
      <c r="L131" s="140">
        <v>129</v>
      </c>
      <c r="M131" s="148">
        <v>0</v>
      </c>
      <c r="N131" s="140">
        <f t="shared" si="3"/>
        <v>0</v>
      </c>
      <c r="O131" s="140">
        <f t="shared" si="4"/>
        <v>243.875</v>
      </c>
    </row>
    <row r="132" spans="12:15" x14ac:dyDescent="0.35">
      <c r="L132" s="140">
        <v>130</v>
      </c>
      <c r="M132" s="148">
        <v>0</v>
      </c>
      <c r="N132" s="140">
        <f t="shared" si="3"/>
        <v>0</v>
      </c>
      <c r="O132" s="140">
        <f t="shared" si="4"/>
        <v>243.875</v>
      </c>
    </row>
    <row r="133" spans="12:15" x14ac:dyDescent="0.35">
      <c r="L133" s="140">
        <v>131</v>
      </c>
      <c r="M133" s="148">
        <v>0</v>
      </c>
      <c r="N133" s="140">
        <f t="shared" ref="N133:N196" si="5">AVERAGE(M130:M137)</f>
        <v>0</v>
      </c>
      <c r="O133" s="140">
        <f t="shared" si="4"/>
        <v>243.875</v>
      </c>
    </row>
    <row r="134" spans="12:15" x14ac:dyDescent="0.35">
      <c r="L134" s="140">
        <v>132</v>
      </c>
      <c r="M134" s="148">
        <v>0</v>
      </c>
      <c r="N134" s="140">
        <f t="shared" si="5"/>
        <v>0</v>
      </c>
      <c r="O134" s="140">
        <f t="shared" si="4"/>
        <v>243.875</v>
      </c>
    </row>
    <row r="135" spans="12:15" x14ac:dyDescent="0.35">
      <c r="L135" s="140">
        <v>133</v>
      </c>
      <c r="M135" s="148">
        <v>0</v>
      </c>
      <c r="N135" s="140">
        <f t="shared" si="5"/>
        <v>0</v>
      </c>
      <c r="O135" s="140">
        <f t="shared" si="4"/>
        <v>243.875</v>
      </c>
    </row>
    <row r="136" spans="12:15" x14ac:dyDescent="0.35">
      <c r="L136" s="140">
        <v>134</v>
      </c>
      <c r="M136" s="148">
        <v>0</v>
      </c>
      <c r="N136" s="140">
        <f t="shared" si="5"/>
        <v>0</v>
      </c>
      <c r="O136" s="140">
        <f t="shared" si="4"/>
        <v>243.875</v>
      </c>
    </row>
    <row r="137" spans="12:15" x14ac:dyDescent="0.35">
      <c r="L137" s="140">
        <v>135</v>
      </c>
      <c r="M137" s="148">
        <v>0</v>
      </c>
      <c r="N137" s="140">
        <f t="shared" si="5"/>
        <v>0</v>
      </c>
      <c r="O137" s="140">
        <f t="shared" si="4"/>
        <v>243.875</v>
      </c>
    </row>
    <row r="138" spans="12:15" x14ac:dyDescent="0.35">
      <c r="L138" s="140">
        <v>136</v>
      </c>
      <c r="M138" s="148">
        <v>0</v>
      </c>
      <c r="N138" s="140">
        <f t="shared" si="5"/>
        <v>0</v>
      </c>
      <c r="O138" s="140">
        <f t="shared" si="4"/>
        <v>243.875</v>
      </c>
    </row>
    <row r="139" spans="12:15" x14ac:dyDescent="0.35">
      <c r="L139" s="140">
        <v>137</v>
      </c>
      <c r="M139" s="148">
        <v>0</v>
      </c>
      <c r="N139" s="140">
        <f t="shared" si="5"/>
        <v>0</v>
      </c>
      <c r="O139" s="140">
        <f t="shared" si="4"/>
        <v>243.875</v>
      </c>
    </row>
    <row r="140" spans="12:15" x14ac:dyDescent="0.35">
      <c r="L140" s="140">
        <v>138</v>
      </c>
      <c r="M140" s="148">
        <v>0</v>
      </c>
      <c r="N140" s="140">
        <f t="shared" si="5"/>
        <v>0</v>
      </c>
      <c r="O140" s="140">
        <f t="shared" si="4"/>
        <v>243.875</v>
      </c>
    </row>
    <row r="141" spans="12:15" x14ac:dyDescent="0.35">
      <c r="L141" s="140">
        <v>139</v>
      </c>
      <c r="M141" s="148">
        <v>0</v>
      </c>
      <c r="N141" s="140">
        <f t="shared" si="5"/>
        <v>0</v>
      </c>
      <c r="O141" s="140">
        <f t="shared" si="4"/>
        <v>243.875</v>
      </c>
    </row>
    <row r="142" spans="12:15" x14ac:dyDescent="0.35">
      <c r="L142" s="140">
        <v>140</v>
      </c>
      <c r="M142" s="148">
        <v>0</v>
      </c>
      <c r="N142" s="140">
        <f t="shared" si="5"/>
        <v>0</v>
      </c>
      <c r="O142" s="140">
        <f t="shared" si="4"/>
        <v>243.875</v>
      </c>
    </row>
    <row r="143" spans="12:15" x14ac:dyDescent="0.35">
      <c r="L143" s="140">
        <v>141</v>
      </c>
      <c r="M143" s="148">
        <v>0</v>
      </c>
      <c r="N143" s="140">
        <f t="shared" si="5"/>
        <v>0</v>
      </c>
      <c r="O143" s="140">
        <f t="shared" si="4"/>
        <v>243.875</v>
      </c>
    </row>
    <row r="144" spans="12:15" x14ac:dyDescent="0.35">
      <c r="L144" s="140">
        <v>142</v>
      </c>
      <c r="M144" s="148">
        <v>0</v>
      </c>
      <c r="N144" s="140">
        <f t="shared" si="5"/>
        <v>0</v>
      </c>
      <c r="O144" s="140">
        <f t="shared" si="4"/>
        <v>243.875</v>
      </c>
    </row>
    <row r="145" spans="12:15" x14ac:dyDescent="0.35">
      <c r="L145" s="140">
        <v>143</v>
      </c>
      <c r="M145" s="148">
        <v>0</v>
      </c>
      <c r="N145" s="140">
        <f t="shared" si="5"/>
        <v>0</v>
      </c>
      <c r="O145" s="140">
        <f t="shared" si="4"/>
        <v>243.875</v>
      </c>
    </row>
    <row r="146" spans="12:15" x14ac:dyDescent="0.35">
      <c r="L146" s="140">
        <v>144</v>
      </c>
      <c r="M146" s="148">
        <v>0</v>
      </c>
      <c r="N146" s="140">
        <f t="shared" si="5"/>
        <v>0</v>
      </c>
      <c r="O146" s="140">
        <f t="shared" si="4"/>
        <v>243.875</v>
      </c>
    </row>
    <row r="147" spans="12:15" x14ac:dyDescent="0.35">
      <c r="L147" s="140">
        <v>145</v>
      </c>
      <c r="M147" s="148">
        <v>0</v>
      </c>
      <c r="N147" s="140">
        <f t="shared" si="5"/>
        <v>0</v>
      </c>
      <c r="O147" s="140">
        <f t="shared" si="4"/>
        <v>243.875</v>
      </c>
    </row>
    <row r="148" spans="12:15" x14ac:dyDescent="0.35">
      <c r="L148" s="140">
        <v>146</v>
      </c>
      <c r="M148" s="148">
        <v>0</v>
      </c>
      <c r="N148" s="140">
        <f t="shared" si="5"/>
        <v>0</v>
      </c>
      <c r="O148" s="140">
        <f t="shared" si="4"/>
        <v>243.875</v>
      </c>
    </row>
    <row r="149" spans="12:15" x14ac:dyDescent="0.35">
      <c r="L149" s="140">
        <v>147</v>
      </c>
      <c r="M149" s="148">
        <v>0</v>
      </c>
      <c r="N149" s="140">
        <f t="shared" si="5"/>
        <v>0</v>
      </c>
      <c r="O149" s="140">
        <f t="shared" si="4"/>
        <v>243.875</v>
      </c>
    </row>
    <row r="150" spans="12:15" x14ac:dyDescent="0.35">
      <c r="L150" s="140">
        <v>148</v>
      </c>
      <c r="M150" s="148">
        <v>0</v>
      </c>
      <c r="N150" s="140">
        <f t="shared" si="5"/>
        <v>0</v>
      </c>
      <c r="O150" s="140">
        <f t="shared" si="4"/>
        <v>243.875</v>
      </c>
    </row>
    <row r="151" spans="12:15" x14ac:dyDescent="0.35">
      <c r="L151" s="140">
        <v>149</v>
      </c>
      <c r="M151" s="148">
        <v>0</v>
      </c>
      <c r="N151" s="140">
        <f t="shared" si="5"/>
        <v>0</v>
      </c>
      <c r="O151" s="140">
        <f t="shared" si="4"/>
        <v>243.875</v>
      </c>
    </row>
    <row r="152" spans="12:15" x14ac:dyDescent="0.35">
      <c r="L152" s="140">
        <v>150</v>
      </c>
      <c r="M152" s="148">
        <v>0</v>
      </c>
      <c r="N152" s="140">
        <f t="shared" si="5"/>
        <v>0</v>
      </c>
      <c r="O152" s="140">
        <f t="shared" si="4"/>
        <v>243.875</v>
      </c>
    </row>
    <row r="153" spans="12:15" x14ac:dyDescent="0.35">
      <c r="L153" s="140">
        <v>151</v>
      </c>
      <c r="M153" s="148">
        <v>0</v>
      </c>
      <c r="N153" s="140">
        <f t="shared" si="5"/>
        <v>0</v>
      </c>
      <c r="O153" s="140">
        <f t="shared" si="4"/>
        <v>243.875</v>
      </c>
    </row>
    <row r="154" spans="12:15" x14ac:dyDescent="0.35">
      <c r="L154" s="140">
        <v>152</v>
      </c>
      <c r="M154" s="148">
        <v>0</v>
      </c>
      <c r="N154" s="140">
        <f t="shared" si="5"/>
        <v>0</v>
      </c>
      <c r="O154" s="140">
        <f t="shared" si="4"/>
        <v>243.875</v>
      </c>
    </row>
    <row r="155" spans="12:15" x14ac:dyDescent="0.35">
      <c r="L155" s="140">
        <v>153</v>
      </c>
      <c r="M155" s="148">
        <v>0</v>
      </c>
      <c r="N155" s="140">
        <f t="shared" si="5"/>
        <v>0</v>
      </c>
      <c r="O155" s="140">
        <f t="shared" si="4"/>
        <v>243.875</v>
      </c>
    </row>
    <row r="156" spans="12:15" x14ac:dyDescent="0.35">
      <c r="L156" s="140">
        <v>154</v>
      </c>
      <c r="M156" s="148">
        <v>0</v>
      </c>
      <c r="N156" s="140">
        <f t="shared" si="5"/>
        <v>0</v>
      </c>
      <c r="O156" s="140">
        <f t="shared" si="4"/>
        <v>243.875</v>
      </c>
    </row>
    <row r="157" spans="12:15" x14ac:dyDescent="0.35">
      <c r="L157" s="140">
        <v>155</v>
      </c>
      <c r="M157" s="148">
        <v>0</v>
      </c>
      <c r="N157" s="140">
        <f t="shared" si="5"/>
        <v>0</v>
      </c>
      <c r="O157" s="140">
        <f t="shared" si="4"/>
        <v>243.875</v>
      </c>
    </row>
    <row r="158" spans="12:15" x14ac:dyDescent="0.35">
      <c r="L158" s="140">
        <v>156</v>
      </c>
      <c r="M158" s="148">
        <v>0</v>
      </c>
      <c r="N158" s="140">
        <f t="shared" si="5"/>
        <v>0</v>
      </c>
      <c r="O158" s="140">
        <f t="shared" si="4"/>
        <v>243.875</v>
      </c>
    </row>
    <row r="159" spans="12:15" x14ac:dyDescent="0.35">
      <c r="L159" s="140">
        <v>157</v>
      </c>
      <c r="M159" s="148">
        <v>0</v>
      </c>
      <c r="N159" s="140">
        <f t="shared" si="5"/>
        <v>0</v>
      </c>
      <c r="O159" s="140">
        <f t="shared" si="4"/>
        <v>243.875</v>
      </c>
    </row>
    <row r="160" spans="12:15" x14ac:dyDescent="0.35">
      <c r="L160" s="140">
        <v>158</v>
      </c>
      <c r="M160" s="148">
        <v>0</v>
      </c>
      <c r="N160" s="140">
        <f t="shared" si="5"/>
        <v>0</v>
      </c>
      <c r="O160" s="140">
        <f t="shared" si="4"/>
        <v>243.875</v>
      </c>
    </row>
    <row r="161" spans="12:15" x14ac:dyDescent="0.35">
      <c r="L161" s="140">
        <v>159</v>
      </c>
      <c r="M161" s="148">
        <v>0</v>
      </c>
      <c r="N161" s="140">
        <f t="shared" si="5"/>
        <v>0</v>
      </c>
      <c r="O161" s="140">
        <f t="shared" si="4"/>
        <v>243.875</v>
      </c>
    </row>
    <row r="162" spans="12:15" x14ac:dyDescent="0.35">
      <c r="L162" s="140">
        <v>160</v>
      </c>
      <c r="M162" s="148">
        <v>0</v>
      </c>
      <c r="N162" s="140">
        <f t="shared" si="5"/>
        <v>0</v>
      </c>
      <c r="O162" s="140">
        <f t="shared" si="4"/>
        <v>243.875</v>
      </c>
    </row>
    <row r="163" spans="12:15" x14ac:dyDescent="0.35">
      <c r="L163" s="140">
        <v>161</v>
      </c>
      <c r="M163" s="148">
        <v>0</v>
      </c>
      <c r="N163" s="140">
        <f t="shared" si="5"/>
        <v>0</v>
      </c>
      <c r="O163" s="140">
        <f t="shared" si="4"/>
        <v>243.875</v>
      </c>
    </row>
    <row r="164" spans="12:15" x14ac:dyDescent="0.35">
      <c r="L164" s="140">
        <v>162</v>
      </c>
      <c r="M164" s="148">
        <v>0</v>
      </c>
      <c r="N164" s="140">
        <f t="shared" si="5"/>
        <v>0</v>
      </c>
      <c r="O164" s="140">
        <f t="shared" si="4"/>
        <v>243.875</v>
      </c>
    </row>
    <row r="165" spans="12:15" x14ac:dyDescent="0.35">
      <c r="L165" s="140">
        <v>163</v>
      </c>
      <c r="M165" s="148">
        <v>0</v>
      </c>
      <c r="N165" s="140">
        <f t="shared" si="5"/>
        <v>0</v>
      </c>
      <c r="O165" s="140">
        <f t="shared" si="4"/>
        <v>243.875</v>
      </c>
    </row>
    <row r="166" spans="12:15" x14ac:dyDescent="0.35">
      <c r="L166" s="140">
        <v>164</v>
      </c>
      <c r="M166" s="148">
        <v>0</v>
      </c>
      <c r="N166" s="140">
        <f t="shared" si="5"/>
        <v>0</v>
      </c>
      <c r="O166" s="140">
        <f t="shared" si="4"/>
        <v>243.875</v>
      </c>
    </row>
    <row r="167" spans="12:15" x14ac:dyDescent="0.35">
      <c r="L167" s="140">
        <v>165</v>
      </c>
      <c r="M167" s="148">
        <v>0</v>
      </c>
      <c r="N167" s="140">
        <f t="shared" si="5"/>
        <v>0</v>
      </c>
      <c r="O167" s="140">
        <f t="shared" si="4"/>
        <v>243.875</v>
      </c>
    </row>
    <row r="168" spans="12:15" x14ac:dyDescent="0.35">
      <c r="L168" s="140">
        <v>166</v>
      </c>
      <c r="M168" s="148">
        <v>0</v>
      </c>
      <c r="N168" s="140">
        <f t="shared" si="5"/>
        <v>0</v>
      </c>
      <c r="O168" s="140">
        <f t="shared" si="4"/>
        <v>243.875</v>
      </c>
    </row>
    <row r="169" spans="12:15" x14ac:dyDescent="0.35">
      <c r="L169" s="140">
        <v>167</v>
      </c>
      <c r="M169" s="148">
        <v>0</v>
      </c>
      <c r="N169" s="140">
        <f t="shared" si="5"/>
        <v>0</v>
      </c>
      <c r="O169" s="140">
        <f t="shared" si="4"/>
        <v>243.875</v>
      </c>
    </row>
    <row r="170" spans="12:15" x14ac:dyDescent="0.35">
      <c r="L170" s="140">
        <v>168</v>
      </c>
      <c r="M170" s="148">
        <v>0</v>
      </c>
      <c r="N170" s="140">
        <f t="shared" si="5"/>
        <v>0</v>
      </c>
      <c r="O170" s="140">
        <f t="shared" si="4"/>
        <v>243.875</v>
      </c>
    </row>
    <row r="171" spans="12:15" x14ac:dyDescent="0.35">
      <c r="L171" s="140">
        <v>169</v>
      </c>
      <c r="M171" s="148">
        <v>0</v>
      </c>
      <c r="N171" s="140">
        <f t="shared" si="5"/>
        <v>0</v>
      </c>
      <c r="O171" s="140">
        <f t="shared" si="4"/>
        <v>243.875</v>
      </c>
    </row>
    <row r="172" spans="12:15" x14ac:dyDescent="0.35">
      <c r="L172" s="140">
        <v>170</v>
      </c>
      <c r="M172" s="148">
        <v>0</v>
      </c>
      <c r="N172" s="140">
        <f t="shared" si="5"/>
        <v>0</v>
      </c>
      <c r="O172" s="140">
        <f t="shared" si="4"/>
        <v>243.875</v>
      </c>
    </row>
    <row r="173" spans="12:15" x14ac:dyDescent="0.35">
      <c r="L173" s="140">
        <v>171</v>
      </c>
      <c r="M173" s="148">
        <v>0</v>
      </c>
      <c r="N173" s="140">
        <f t="shared" si="5"/>
        <v>0</v>
      </c>
      <c r="O173" s="140">
        <f t="shared" si="4"/>
        <v>243.875</v>
      </c>
    </row>
    <row r="174" spans="12:15" x14ac:dyDescent="0.35">
      <c r="L174" s="140">
        <v>172</v>
      </c>
      <c r="M174" s="148">
        <v>0</v>
      </c>
      <c r="N174" s="140">
        <f t="shared" si="5"/>
        <v>0</v>
      </c>
      <c r="O174" s="140">
        <f t="shared" si="4"/>
        <v>243.875</v>
      </c>
    </row>
    <row r="175" spans="12:15" x14ac:dyDescent="0.35">
      <c r="L175" s="140">
        <v>173</v>
      </c>
      <c r="M175" s="148">
        <v>0</v>
      </c>
      <c r="N175" s="140">
        <f t="shared" si="5"/>
        <v>0</v>
      </c>
      <c r="O175" s="140">
        <f t="shared" si="4"/>
        <v>243.875</v>
      </c>
    </row>
    <row r="176" spans="12:15" x14ac:dyDescent="0.35">
      <c r="L176" s="140">
        <v>174</v>
      </c>
      <c r="M176" s="148">
        <v>0</v>
      </c>
      <c r="N176" s="140">
        <f t="shared" si="5"/>
        <v>0</v>
      </c>
      <c r="O176" s="140">
        <f t="shared" si="4"/>
        <v>243.875</v>
      </c>
    </row>
    <row r="177" spans="12:15" x14ac:dyDescent="0.35">
      <c r="L177" s="140">
        <v>175</v>
      </c>
      <c r="M177" s="148">
        <v>0</v>
      </c>
      <c r="N177" s="140">
        <f t="shared" si="5"/>
        <v>0</v>
      </c>
      <c r="O177" s="140">
        <f t="shared" si="4"/>
        <v>243.875</v>
      </c>
    </row>
    <row r="178" spans="12:15" x14ac:dyDescent="0.35">
      <c r="L178" s="140">
        <v>176</v>
      </c>
      <c r="M178" s="148">
        <v>0</v>
      </c>
      <c r="N178" s="140">
        <f t="shared" si="5"/>
        <v>0</v>
      </c>
      <c r="O178" s="140">
        <f t="shared" si="4"/>
        <v>243.875</v>
      </c>
    </row>
    <row r="179" spans="12:15" x14ac:dyDescent="0.35">
      <c r="L179" s="140">
        <v>177</v>
      </c>
      <c r="M179" s="148">
        <v>0</v>
      </c>
      <c r="N179" s="140">
        <f t="shared" si="5"/>
        <v>0</v>
      </c>
      <c r="O179" s="140">
        <f t="shared" si="4"/>
        <v>243.875</v>
      </c>
    </row>
    <row r="180" spans="12:15" x14ac:dyDescent="0.35">
      <c r="L180" s="140">
        <v>178</v>
      </c>
      <c r="M180" s="148">
        <v>0</v>
      </c>
      <c r="N180" s="140">
        <f t="shared" si="5"/>
        <v>0</v>
      </c>
      <c r="O180" s="140">
        <f t="shared" si="4"/>
        <v>243.875</v>
      </c>
    </row>
    <row r="181" spans="12:15" x14ac:dyDescent="0.35">
      <c r="L181" s="140">
        <v>179</v>
      </c>
      <c r="M181" s="148">
        <v>0</v>
      </c>
      <c r="N181" s="140">
        <f t="shared" si="5"/>
        <v>0</v>
      </c>
      <c r="O181" s="140">
        <f t="shared" si="4"/>
        <v>243.875</v>
      </c>
    </row>
    <row r="182" spans="12:15" x14ac:dyDescent="0.35">
      <c r="L182" s="140">
        <v>180</v>
      </c>
      <c r="M182" s="148">
        <v>0</v>
      </c>
      <c r="N182" s="140">
        <f t="shared" si="5"/>
        <v>0</v>
      </c>
      <c r="O182" s="140">
        <f t="shared" si="4"/>
        <v>243.875</v>
      </c>
    </row>
    <row r="183" spans="12:15" x14ac:dyDescent="0.35">
      <c r="L183" s="140">
        <v>181</v>
      </c>
      <c r="M183" s="148">
        <v>0</v>
      </c>
      <c r="N183" s="140">
        <f t="shared" si="5"/>
        <v>0</v>
      </c>
      <c r="O183" s="140">
        <f t="shared" si="4"/>
        <v>243.875</v>
      </c>
    </row>
    <row r="184" spans="12:15" x14ac:dyDescent="0.35">
      <c r="L184" s="140">
        <v>182</v>
      </c>
      <c r="M184" s="148">
        <v>0</v>
      </c>
      <c r="N184" s="140">
        <f t="shared" si="5"/>
        <v>0</v>
      </c>
      <c r="O184" s="140">
        <f t="shared" si="4"/>
        <v>243.875</v>
      </c>
    </row>
    <row r="185" spans="12:15" x14ac:dyDescent="0.35">
      <c r="L185" s="140">
        <v>183</v>
      </c>
      <c r="M185" s="148">
        <v>0</v>
      </c>
      <c r="N185" s="140">
        <f t="shared" si="5"/>
        <v>0</v>
      </c>
      <c r="O185" s="140">
        <f t="shared" si="4"/>
        <v>243.875</v>
      </c>
    </row>
    <row r="186" spans="12:15" x14ac:dyDescent="0.35">
      <c r="L186" s="140">
        <v>184</v>
      </c>
      <c r="M186" s="148">
        <v>0</v>
      </c>
      <c r="N186" s="140">
        <f t="shared" si="5"/>
        <v>0</v>
      </c>
      <c r="O186" s="140">
        <f t="shared" si="4"/>
        <v>243.875</v>
      </c>
    </row>
    <row r="187" spans="12:15" x14ac:dyDescent="0.35">
      <c r="L187" s="140">
        <v>185</v>
      </c>
      <c r="M187" s="148">
        <v>0</v>
      </c>
      <c r="N187" s="140">
        <f t="shared" si="5"/>
        <v>0</v>
      </c>
      <c r="O187" s="140">
        <f t="shared" si="4"/>
        <v>243.875</v>
      </c>
    </row>
    <row r="188" spans="12:15" x14ac:dyDescent="0.35">
      <c r="L188" s="140">
        <v>186</v>
      </c>
      <c r="M188" s="148">
        <v>0</v>
      </c>
      <c r="N188" s="140">
        <f t="shared" si="5"/>
        <v>0</v>
      </c>
      <c r="O188" s="140">
        <f t="shared" si="4"/>
        <v>243.875</v>
      </c>
    </row>
    <row r="189" spans="12:15" x14ac:dyDescent="0.35">
      <c r="L189" s="140">
        <v>187</v>
      </c>
      <c r="M189" s="148">
        <v>0</v>
      </c>
      <c r="N189" s="140">
        <f t="shared" si="5"/>
        <v>0</v>
      </c>
      <c r="O189" s="140">
        <f t="shared" si="4"/>
        <v>243.875</v>
      </c>
    </row>
    <row r="190" spans="12:15" x14ac:dyDescent="0.35">
      <c r="L190" s="140">
        <v>188</v>
      </c>
      <c r="M190" s="148">
        <v>0</v>
      </c>
      <c r="N190" s="140">
        <f t="shared" si="5"/>
        <v>0</v>
      </c>
      <c r="O190" s="140">
        <f t="shared" si="4"/>
        <v>243.875</v>
      </c>
    </row>
    <row r="191" spans="12:15" x14ac:dyDescent="0.35">
      <c r="L191" s="140">
        <v>189</v>
      </c>
      <c r="M191" s="148">
        <v>0</v>
      </c>
      <c r="N191" s="140">
        <f t="shared" si="5"/>
        <v>0</v>
      </c>
      <c r="O191" s="140">
        <f t="shared" si="4"/>
        <v>243.875</v>
      </c>
    </row>
    <row r="192" spans="12:15" x14ac:dyDescent="0.35">
      <c r="L192" s="140">
        <v>190</v>
      </c>
      <c r="M192" s="148">
        <v>0</v>
      </c>
      <c r="N192" s="140">
        <f t="shared" si="5"/>
        <v>0</v>
      </c>
      <c r="O192" s="140">
        <f t="shared" si="4"/>
        <v>243.875</v>
      </c>
    </row>
    <row r="193" spans="12:17" x14ac:dyDescent="0.35">
      <c r="L193" s="140">
        <v>191</v>
      </c>
      <c r="M193" s="148">
        <v>0</v>
      </c>
      <c r="N193" s="140">
        <f t="shared" si="5"/>
        <v>0</v>
      </c>
      <c r="O193" s="140">
        <f t="shared" si="4"/>
        <v>243.875</v>
      </c>
    </row>
    <row r="194" spans="12:17" x14ac:dyDescent="0.35">
      <c r="L194" s="140">
        <v>192</v>
      </c>
      <c r="M194" s="148">
        <v>0</v>
      </c>
      <c r="N194" s="140">
        <f t="shared" si="5"/>
        <v>0</v>
      </c>
      <c r="O194" s="140">
        <f t="shared" ref="O194:O257" si="6">MAX($A$35)/2</f>
        <v>243.875</v>
      </c>
    </row>
    <row r="195" spans="12:17" x14ac:dyDescent="0.35">
      <c r="L195" s="140">
        <v>193</v>
      </c>
      <c r="M195" s="148">
        <v>0</v>
      </c>
      <c r="N195" s="140">
        <f t="shared" si="5"/>
        <v>0</v>
      </c>
      <c r="O195" s="140">
        <f t="shared" si="6"/>
        <v>243.875</v>
      </c>
    </row>
    <row r="196" spans="12:17" x14ac:dyDescent="0.35">
      <c r="L196" s="140">
        <v>194</v>
      </c>
      <c r="M196" s="148">
        <v>0</v>
      </c>
      <c r="N196" s="140">
        <f t="shared" si="5"/>
        <v>0</v>
      </c>
      <c r="O196" s="140">
        <f t="shared" si="6"/>
        <v>243.875</v>
      </c>
    </row>
    <row r="197" spans="12:17" x14ac:dyDescent="0.35">
      <c r="L197" s="140">
        <v>195</v>
      </c>
      <c r="M197" s="148">
        <v>0</v>
      </c>
      <c r="N197" s="140">
        <f t="shared" ref="N197:N260" si="7">AVERAGE(M194:M201)</f>
        <v>0</v>
      </c>
      <c r="O197" s="140">
        <f t="shared" si="6"/>
        <v>243.875</v>
      </c>
    </row>
    <row r="198" spans="12:17" x14ac:dyDescent="0.35">
      <c r="L198" s="140">
        <v>196</v>
      </c>
      <c r="M198" s="148">
        <v>0</v>
      </c>
      <c r="N198" s="140">
        <f t="shared" si="7"/>
        <v>0</v>
      </c>
      <c r="O198" s="140">
        <f t="shared" si="6"/>
        <v>243.875</v>
      </c>
    </row>
    <row r="199" spans="12:17" x14ac:dyDescent="0.35">
      <c r="L199" s="140">
        <v>197</v>
      </c>
      <c r="M199" s="148">
        <v>0</v>
      </c>
      <c r="N199" s="140">
        <f t="shared" si="7"/>
        <v>0</v>
      </c>
      <c r="O199" s="140">
        <f t="shared" si="6"/>
        <v>243.875</v>
      </c>
    </row>
    <row r="200" spans="12:17" x14ac:dyDescent="0.35">
      <c r="L200" s="140">
        <v>198</v>
      </c>
      <c r="M200" s="148">
        <v>0</v>
      </c>
      <c r="N200" s="140">
        <f t="shared" si="7"/>
        <v>0</v>
      </c>
      <c r="O200" s="140">
        <f t="shared" si="6"/>
        <v>243.875</v>
      </c>
    </row>
    <row r="201" spans="12:17" x14ac:dyDescent="0.35">
      <c r="L201" s="140">
        <v>199</v>
      </c>
      <c r="M201" s="148">
        <v>0</v>
      </c>
      <c r="N201" s="140">
        <f t="shared" si="7"/>
        <v>0</v>
      </c>
      <c r="O201" s="140">
        <f t="shared" si="6"/>
        <v>243.875</v>
      </c>
    </row>
    <row r="202" spans="12:17" x14ac:dyDescent="0.35">
      <c r="L202" s="140">
        <v>200</v>
      </c>
      <c r="M202" s="148">
        <v>0</v>
      </c>
      <c r="N202" s="140">
        <f t="shared" si="7"/>
        <v>0</v>
      </c>
      <c r="O202" s="140">
        <f t="shared" si="6"/>
        <v>243.875</v>
      </c>
      <c r="Q202" s="140">
        <v>2</v>
      </c>
    </row>
    <row r="203" spans="12:17" x14ac:dyDescent="0.35">
      <c r="L203" s="140">
        <v>201</v>
      </c>
      <c r="M203" s="148">
        <v>0</v>
      </c>
      <c r="N203" s="140">
        <f t="shared" si="7"/>
        <v>0</v>
      </c>
      <c r="O203" s="140">
        <f t="shared" si="6"/>
        <v>243.875</v>
      </c>
      <c r="Q203" s="140">
        <v>2</v>
      </c>
    </row>
    <row r="204" spans="12:17" x14ac:dyDescent="0.35">
      <c r="L204" s="140">
        <v>202</v>
      </c>
      <c r="M204" s="148">
        <v>0</v>
      </c>
      <c r="N204" s="140">
        <f t="shared" si="7"/>
        <v>0</v>
      </c>
      <c r="O204" s="140">
        <f t="shared" si="6"/>
        <v>243.875</v>
      </c>
      <c r="Q204" s="140">
        <v>7</v>
      </c>
    </row>
    <row r="205" spans="12:17" x14ac:dyDescent="0.35">
      <c r="L205" s="140">
        <v>203</v>
      </c>
      <c r="M205" s="148">
        <v>0</v>
      </c>
      <c r="N205" s="140">
        <f t="shared" si="7"/>
        <v>0</v>
      </c>
      <c r="O205" s="140">
        <f t="shared" si="6"/>
        <v>243.875</v>
      </c>
      <c r="Q205" s="140">
        <v>12</v>
      </c>
    </row>
    <row r="206" spans="12:17" x14ac:dyDescent="0.35">
      <c r="L206" s="140">
        <v>204</v>
      </c>
      <c r="M206" s="148">
        <v>0</v>
      </c>
      <c r="N206" s="140">
        <f t="shared" si="7"/>
        <v>0</v>
      </c>
      <c r="O206" s="140">
        <f t="shared" si="6"/>
        <v>243.875</v>
      </c>
      <c r="Q206" s="140">
        <v>9</v>
      </c>
    </row>
    <row r="207" spans="12:17" x14ac:dyDescent="0.35">
      <c r="L207" s="140">
        <v>205</v>
      </c>
      <c r="M207" s="148">
        <v>0</v>
      </c>
      <c r="N207" s="140">
        <f t="shared" si="7"/>
        <v>0</v>
      </c>
      <c r="O207" s="140">
        <f t="shared" si="6"/>
        <v>243.875</v>
      </c>
      <c r="Q207" s="140">
        <v>2</v>
      </c>
    </row>
    <row r="208" spans="12:17" x14ac:dyDescent="0.35">
      <c r="L208" s="140">
        <v>206</v>
      </c>
      <c r="M208" s="148">
        <v>0</v>
      </c>
      <c r="N208" s="140">
        <f t="shared" si="7"/>
        <v>0</v>
      </c>
      <c r="O208" s="140">
        <f t="shared" si="6"/>
        <v>243.875</v>
      </c>
      <c r="Q208" s="140">
        <v>9</v>
      </c>
    </row>
    <row r="209" spans="12:17" x14ac:dyDescent="0.35">
      <c r="L209" s="140">
        <v>207</v>
      </c>
      <c r="M209" s="148">
        <v>0</v>
      </c>
      <c r="N209" s="140">
        <f t="shared" si="7"/>
        <v>0</v>
      </c>
      <c r="O209" s="140">
        <f t="shared" si="6"/>
        <v>243.875</v>
      </c>
      <c r="Q209" s="140">
        <v>8</v>
      </c>
    </row>
    <row r="210" spans="12:17" x14ac:dyDescent="0.35">
      <c r="L210" s="140">
        <v>208</v>
      </c>
      <c r="M210" s="148">
        <v>0</v>
      </c>
      <c r="N210" s="140">
        <f t="shared" si="7"/>
        <v>0</v>
      </c>
      <c r="O210" s="140">
        <f t="shared" si="6"/>
        <v>243.875</v>
      </c>
      <c r="Q210" s="140">
        <v>6</v>
      </c>
    </row>
    <row r="211" spans="12:17" x14ac:dyDescent="0.35">
      <c r="L211" s="140">
        <v>209</v>
      </c>
      <c r="M211" s="148">
        <v>0</v>
      </c>
      <c r="N211" s="140">
        <f t="shared" si="7"/>
        <v>0</v>
      </c>
      <c r="O211" s="140">
        <f t="shared" si="6"/>
        <v>243.875</v>
      </c>
      <c r="Q211" s="140">
        <v>7</v>
      </c>
    </row>
    <row r="212" spans="12:17" x14ac:dyDescent="0.35">
      <c r="L212" s="140">
        <v>210</v>
      </c>
      <c r="M212" s="148">
        <v>0</v>
      </c>
      <c r="N212" s="140">
        <f t="shared" si="7"/>
        <v>0</v>
      </c>
      <c r="O212" s="140">
        <f t="shared" si="6"/>
        <v>243.875</v>
      </c>
      <c r="Q212" s="140">
        <v>15</v>
      </c>
    </row>
    <row r="213" spans="12:17" x14ac:dyDescent="0.35">
      <c r="L213" s="140">
        <v>211</v>
      </c>
      <c r="M213" s="148">
        <v>0</v>
      </c>
      <c r="N213" s="140">
        <f t="shared" si="7"/>
        <v>0</v>
      </c>
      <c r="O213" s="140">
        <f t="shared" si="6"/>
        <v>243.875</v>
      </c>
      <c r="Q213" s="140">
        <v>6</v>
      </c>
    </row>
    <row r="214" spans="12:17" x14ac:dyDescent="0.35">
      <c r="L214" s="140">
        <v>212</v>
      </c>
      <c r="M214" s="148">
        <v>0</v>
      </c>
      <c r="N214" s="140">
        <f t="shared" si="7"/>
        <v>0</v>
      </c>
      <c r="O214" s="140">
        <f t="shared" si="6"/>
        <v>243.875</v>
      </c>
      <c r="Q214" s="140">
        <v>6</v>
      </c>
    </row>
    <row r="215" spans="12:17" x14ac:dyDescent="0.35">
      <c r="L215" s="140">
        <v>213</v>
      </c>
      <c r="M215" s="148">
        <v>0</v>
      </c>
      <c r="N215" s="140">
        <f t="shared" si="7"/>
        <v>0</v>
      </c>
      <c r="O215" s="140">
        <f t="shared" si="6"/>
        <v>243.875</v>
      </c>
      <c r="Q215" s="140">
        <v>3</v>
      </c>
    </row>
    <row r="216" spans="12:17" x14ac:dyDescent="0.35">
      <c r="L216" s="140">
        <v>214</v>
      </c>
      <c r="M216" s="148">
        <v>0</v>
      </c>
      <c r="N216" s="140">
        <f t="shared" si="7"/>
        <v>0</v>
      </c>
      <c r="O216" s="140">
        <f t="shared" si="6"/>
        <v>243.875</v>
      </c>
      <c r="Q216" s="140">
        <v>8</v>
      </c>
    </row>
    <row r="217" spans="12:17" x14ac:dyDescent="0.35">
      <c r="L217" s="140">
        <v>215</v>
      </c>
      <c r="M217" s="148">
        <v>0</v>
      </c>
      <c r="N217" s="140">
        <f t="shared" si="7"/>
        <v>0</v>
      </c>
      <c r="O217" s="140">
        <f t="shared" si="6"/>
        <v>243.875</v>
      </c>
      <c r="Q217" s="140">
        <v>9</v>
      </c>
    </row>
    <row r="218" spans="12:17" x14ac:dyDescent="0.35">
      <c r="L218" s="140">
        <v>216</v>
      </c>
      <c r="M218" s="148">
        <v>0</v>
      </c>
      <c r="N218" s="140">
        <f t="shared" si="7"/>
        <v>0</v>
      </c>
      <c r="O218" s="140">
        <f t="shared" si="6"/>
        <v>243.875</v>
      </c>
      <c r="Q218" s="140">
        <v>8</v>
      </c>
    </row>
    <row r="219" spans="12:17" x14ac:dyDescent="0.35">
      <c r="L219" s="140">
        <v>217</v>
      </c>
      <c r="M219" s="148">
        <v>0</v>
      </c>
      <c r="N219" s="140">
        <f t="shared" si="7"/>
        <v>0</v>
      </c>
      <c r="O219" s="140">
        <f t="shared" si="6"/>
        <v>243.875</v>
      </c>
      <c r="Q219" s="140">
        <v>6</v>
      </c>
    </row>
    <row r="220" spans="12:17" x14ac:dyDescent="0.35">
      <c r="L220" s="140">
        <v>218</v>
      </c>
      <c r="M220" s="148">
        <v>0</v>
      </c>
      <c r="N220" s="140">
        <f t="shared" si="7"/>
        <v>0</v>
      </c>
      <c r="O220" s="140">
        <f t="shared" si="6"/>
        <v>243.875</v>
      </c>
      <c r="Q220" s="140">
        <v>10</v>
      </c>
    </row>
    <row r="221" spans="12:17" x14ac:dyDescent="0.35">
      <c r="L221" s="140">
        <v>219</v>
      </c>
      <c r="M221" s="148">
        <v>0</v>
      </c>
      <c r="N221" s="140">
        <f t="shared" si="7"/>
        <v>0</v>
      </c>
      <c r="O221" s="140">
        <f t="shared" si="6"/>
        <v>243.875</v>
      </c>
      <c r="Q221" s="140">
        <v>8</v>
      </c>
    </row>
    <row r="222" spans="12:17" x14ac:dyDescent="0.35">
      <c r="L222" s="140">
        <v>220</v>
      </c>
      <c r="M222" s="148">
        <v>0</v>
      </c>
      <c r="N222" s="140">
        <f t="shared" si="7"/>
        <v>0</v>
      </c>
      <c r="O222" s="140">
        <f t="shared" si="6"/>
        <v>243.875</v>
      </c>
      <c r="Q222" s="140">
        <v>7</v>
      </c>
    </row>
    <row r="223" spans="12:17" x14ac:dyDescent="0.35">
      <c r="L223" s="140">
        <v>221</v>
      </c>
      <c r="M223" s="148">
        <v>0</v>
      </c>
      <c r="N223" s="140">
        <f t="shared" si="7"/>
        <v>0</v>
      </c>
      <c r="O223" s="140">
        <f t="shared" si="6"/>
        <v>243.875</v>
      </c>
      <c r="Q223" s="140">
        <v>9</v>
      </c>
    </row>
    <row r="224" spans="12:17" x14ac:dyDescent="0.35">
      <c r="L224" s="140">
        <v>222</v>
      </c>
      <c r="M224" s="148">
        <v>0</v>
      </c>
      <c r="N224" s="140">
        <f t="shared" si="7"/>
        <v>0</v>
      </c>
      <c r="O224" s="140">
        <f t="shared" si="6"/>
        <v>243.875</v>
      </c>
      <c r="Q224" s="140">
        <v>7</v>
      </c>
    </row>
    <row r="225" spans="12:17" x14ac:dyDescent="0.35">
      <c r="L225" s="140">
        <v>223</v>
      </c>
      <c r="M225" s="148">
        <v>0</v>
      </c>
      <c r="N225" s="140">
        <f t="shared" si="7"/>
        <v>0</v>
      </c>
      <c r="O225" s="140">
        <f t="shared" si="6"/>
        <v>243.875</v>
      </c>
      <c r="Q225" s="140">
        <v>7</v>
      </c>
    </row>
    <row r="226" spans="12:17" x14ac:dyDescent="0.35">
      <c r="L226" s="140">
        <v>224</v>
      </c>
      <c r="M226" s="148">
        <v>0</v>
      </c>
      <c r="N226" s="140">
        <f t="shared" si="7"/>
        <v>0</v>
      </c>
      <c r="O226" s="140">
        <f t="shared" si="6"/>
        <v>243.875</v>
      </c>
      <c r="Q226" s="140">
        <v>6</v>
      </c>
    </row>
    <row r="227" spans="12:17" x14ac:dyDescent="0.35">
      <c r="L227" s="140">
        <v>225</v>
      </c>
      <c r="M227" s="148">
        <v>0</v>
      </c>
      <c r="N227" s="140">
        <f t="shared" si="7"/>
        <v>0</v>
      </c>
      <c r="O227" s="140">
        <f t="shared" si="6"/>
        <v>243.875</v>
      </c>
      <c r="Q227" s="140">
        <v>5</v>
      </c>
    </row>
    <row r="228" spans="12:17" x14ac:dyDescent="0.35">
      <c r="L228" s="140">
        <v>226</v>
      </c>
      <c r="M228" s="148">
        <v>0</v>
      </c>
      <c r="N228" s="140">
        <f t="shared" si="7"/>
        <v>0</v>
      </c>
      <c r="O228" s="140">
        <f t="shared" si="6"/>
        <v>243.875</v>
      </c>
      <c r="Q228" s="140">
        <v>6</v>
      </c>
    </row>
    <row r="229" spans="12:17" x14ac:dyDescent="0.35">
      <c r="L229" s="140">
        <v>227</v>
      </c>
      <c r="M229" s="148">
        <v>0</v>
      </c>
      <c r="N229" s="140">
        <f t="shared" si="7"/>
        <v>0</v>
      </c>
      <c r="O229" s="140">
        <f t="shared" si="6"/>
        <v>243.875</v>
      </c>
      <c r="Q229" s="140">
        <v>6</v>
      </c>
    </row>
    <row r="230" spans="12:17" x14ac:dyDescent="0.35">
      <c r="L230" s="140">
        <v>228</v>
      </c>
      <c r="M230" s="148">
        <v>0</v>
      </c>
      <c r="N230" s="140">
        <f t="shared" si="7"/>
        <v>0</v>
      </c>
      <c r="O230" s="140">
        <f t="shared" si="6"/>
        <v>243.875</v>
      </c>
      <c r="Q230" s="140">
        <v>8</v>
      </c>
    </row>
    <row r="231" spans="12:17" x14ac:dyDescent="0.35">
      <c r="L231" s="140">
        <v>229</v>
      </c>
      <c r="M231" s="148">
        <v>0</v>
      </c>
      <c r="N231" s="140">
        <f t="shared" si="7"/>
        <v>0</v>
      </c>
      <c r="O231" s="140">
        <f t="shared" si="6"/>
        <v>243.875</v>
      </c>
      <c r="Q231" s="140">
        <v>8</v>
      </c>
    </row>
    <row r="232" spans="12:17" x14ac:dyDescent="0.35">
      <c r="L232" s="140">
        <v>230</v>
      </c>
      <c r="M232" s="148">
        <v>0</v>
      </c>
      <c r="N232" s="140">
        <f t="shared" si="7"/>
        <v>0</v>
      </c>
      <c r="O232" s="140">
        <f t="shared" si="6"/>
        <v>243.875</v>
      </c>
      <c r="Q232" s="140">
        <v>7</v>
      </c>
    </row>
    <row r="233" spans="12:17" x14ac:dyDescent="0.35">
      <c r="L233" s="140">
        <v>231</v>
      </c>
      <c r="M233" s="148">
        <v>0</v>
      </c>
      <c r="N233" s="140">
        <f t="shared" si="7"/>
        <v>0</v>
      </c>
      <c r="O233" s="140">
        <f t="shared" si="6"/>
        <v>243.875</v>
      </c>
      <c r="Q233" s="140">
        <v>3</v>
      </c>
    </row>
    <row r="234" spans="12:17" x14ac:dyDescent="0.35">
      <c r="L234" s="140">
        <v>232</v>
      </c>
      <c r="M234" s="148">
        <v>0</v>
      </c>
      <c r="N234" s="140">
        <f t="shared" si="7"/>
        <v>0</v>
      </c>
      <c r="O234" s="140">
        <f t="shared" si="6"/>
        <v>243.875</v>
      </c>
      <c r="Q234" s="140">
        <v>6</v>
      </c>
    </row>
    <row r="235" spans="12:17" x14ac:dyDescent="0.35">
      <c r="L235" s="140">
        <v>233</v>
      </c>
      <c r="M235" s="148">
        <v>0</v>
      </c>
      <c r="N235" s="140">
        <f t="shared" si="7"/>
        <v>0</v>
      </c>
      <c r="O235" s="140">
        <f t="shared" si="6"/>
        <v>243.875</v>
      </c>
      <c r="Q235" s="140">
        <v>2</v>
      </c>
    </row>
    <row r="236" spans="12:17" x14ac:dyDescent="0.35">
      <c r="L236" s="140">
        <v>234</v>
      </c>
      <c r="M236" s="148">
        <v>0</v>
      </c>
      <c r="N236" s="140">
        <f t="shared" si="7"/>
        <v>0</v>
      </c>
      <c r="O236" s="140">
        <f t="shared" si="6"/>
        <v>243.875</v>
      </c>
      <c r="Q236" s="140">
        <v>4</v>
      </c>
    </row>
    <row r="237" spans="12:17" x14ac:dyDescent="0.35">
      <c r="L237" s="140">
        <v>235</v>
      </c>
      <c r="M237" s="148">
        <v>0</v>
      </c>
      <c r="N237" s="140">
        <f t="shared" si="7"/>
        <v>0</v>
      </c>
      <c r="O237" s="140">
        <f t="shared" si="6"/>
        <v>243.875</v>
      </c>
      <c r="Q237" s="140">
        <v>5</v>
      </c>
    </row>
    <row r="238" spans="12:17" x14ac:dyDescent="0.35">
      <c r="L238" s="140">
        <v>236</v>
      </c>
      <c r="M238" s="148">
        <v>0</v>
      </c>
      <c r="N238" s="140">
        <f t="shared" si="7"/>
        <v>0</v>
      </c>
      <c r="O238" s="140">
        <f t="shared" si="6"/>
        <v>243.875</v>
      </c>
      <c r="Q238" s="140">
        <v>5</v>
      </c>
    </row>
    <row r="239" spans="12:17" x14ac:dyDescent="0.35">
      <c r="L239" s="140">
        <v>237</v>
      </c>
      <c r="M239" s="148">
        <v>0</v>
      </c>
      <c r="N239" s="140">
        <f t="shared" si="7"/>
        <v>0</v>
      </c>
      <c r="O239" s="140">
        <f t="shared" si="6"/>
        <v>243.875</v>
      </c>
      <c r="Q239" s="140">
        <v>3</v>
      </c>
    </row>
    <row r="240" spans="12:17" x14ac:dyDescent="0.35">
      <c r="L240" s="140">
        <v>238</v>
      </c>
      <c r="M240" s="148">
        <v>0</v>
      </c>
      <c r="N240" s="140">
        <f t="shared" si="7"/>
        <v>0</v>
      </c>
      <c r="O240" s="140">
        <f t="shared" si="6"/>
        <v>243.875</v>
      </c>
      <c r="Q240" s="140">
        <v>7</v>
      </c>
    </row>
    <row r="241" spans="12:17" x14ac:dyDescent="0.35">
      <c r="L241" s="140">
        <v>239</v>
      </c>
      <c r="M241" s="148">
        <v>0</v>
      </c>
      <c r="N241" s="140">
        <f t="shared" si="7"/>
        <v>0</v>
      </c>
      <c r="O241" s="140">
        <f t="shared" si="6"/>
        <v>243.875</v>
      </c>
      <c r="Q241" s="140">
        <v>12</v>
      </c>
    </row>
    <row r="242" spans="12:17" x14ac:dyDescent="0.35">
      <c r="L242" s="140">
        <v>240</v>
      </c>
      <c r="M242" s="148">
        <v>0</v>
      </c>
      <c r="N242" s="140">
        <f t="shared" si="7"/>
        <v>0</v>
      </c>
      <c r="O242" s="140">
        <f t="shared" si="6"/>
        <v>243.875</v>
      </c>
      <c r="Q242" s="140">
        <v>9</v>
      </c>
    </row>
    <row r="243" spans="12:17" x14ac:dyDescent="0.35">
      <c r="L243" s="140">
        <v>241</v>
      </c>
      <c r="M243" s="148">
        <v>0</v>
      </c>
      <c r="N243" s="140">
        <f t="shared" si="7"/>
        <v>0</v>
      </c>
      <c r="O243" s="140">
        <f t="shared" si="6"/>
        <v>243.875</v>
      </c>
      <c r="Q243" s="140">
        <v>6</v>
      </c>
    </row>
    <row r="244" spans="12:17" x14ac:dyDescent="0.35">
      <c r="L244" s="140">
        <v>242</v>
      </c>
      <c r="M244" s="148">
        <v>0</v>
      </c>
      <c r="N244" s="140">
        <f t="shared" si="7"/>
        <v>0</v>
      </c>
      <c r="O244" s="140">
        <f t="shared" si="6"/>
        <v>243.875</v>
      </c>
      <c r="Q244" s="140">
        <v>12</v>
      </c>
    </row>
    <row r="245" spans="12:17" x14ac:dyDescent="0.35">
      <c r="L245" s="140">
        <v>243</v>
      </c>
      <c r="M245" s="148">
        <v>0</v>
      </c>
      <c r="N245" s="140">
        <f t="shared" si="7"/>
        <v>0</v>
      </c>
      <c r="O245" s="140">
        <f t="shared" si="6"/>
        <v>243.875</v>
      </c>
      <c r="Q245" s="140">
        <v>8</v>
      </c>
    </row>
    <row r="246" spans="12:17" x14ac:dyDescent="0.35">
      <c r="L246" s="140">
        <v>244</v>
      </c>
      <c r="M246" s="148">
        <v>0</v>
      </c>
      <c r="N246" s="140">
        <f t="shared" si="7"/>
        <v>0</v>
      </c>
      <c r="O246" s="140">
        <f t="shared" si="6"/>
        <v>243.875</v>
      </c>
      <c r="Q246" s="140">
        <v>6</v>
      </c>
    </row>
    <row r="247" spans="12:17" x14ac:dyDescent="0.35">
      <c r="L247" s="140">
        <v>245</v>
      </c>
      <c r="M247" s="148">
        <v>0</v>
      </c>
      <c r="N247" s="140">
        <f t="shared" si="7"/>
        <v>0</v>
      </c>
      <c r="O247" s="140">
        <f t="shared" si="6"/>
        <v>243.875</v>
      </c>
      <c r="Q247" s="140">
        <v>8</v>
      </c>
    </row>
    <row r="248" spans="12:17" x14ac:dyDescent="0.35">
      <c r="L248" s="140">
        <v>246</v>
      </c>
      <c r="M248" s="148">
        <v>0</v>
      </c>
      <c r="N248" s="140">
        <f t="shared" si="7"/>
        <v>0</v>
      </c>
      <c r="O248" s="140">
        <f t="shared" si="6"/>
        <v>243.875</v>
      </c>
      <c r="Q248" s="140">
        <v>6</v>
      </c>
    </row>
    <row r="249" spans="12:17" x14ac:dyDescent="0.35">
      <c r="L249" s="140">
        <v>247</v>
      </c>
      <c r="M249" s="148">
        <v>0</v>
      </c>
      <c r="N249" s="140">
        <f t="shared" si="7"/>
        <v>0</v>
      </c>
      <c r="O249" s="140">
        <f t="shared" si="6"/>
        <v>243.875</v>
      </c>
      <c r="Q249" s="140">
        <v>9</v>
      </c>
    </row>
    <row r="250" spans="12:17" x14ac:dyDescent="0.35">
      <c r="L250" s="140">
        <v>248</v>
      </c>
      <c r="M250" s="148">
        <v>0</v>
      </c>
      <c r="N250" s="140">
        <f t="shared" si="7"/>
        <v>0</v>
      </c>
      <c r="O250" s="140">
        <f t="shared" si="6"/>
        <v>243.875</v>
      </c>
      <c r="Q250" s="140">
        <v>6</v>
      </c>
    </row>
    <row r="251" spans="12:17" x14ac:dyDescent="0.35">
      <c r="L251" s="140">
        <v>249</v>
      </c>
      <c r="M251" s="148">
        <v>0</v>
      </c>
      <c r="N251" s="140">
        <f t="shared" si="7"/>
        <v>0</v>
      </c>
      <c r="O251" s="140">
        <f t="shared" si="6"/>
        <v>243.875</v>
      </c>
      <c r="Q251" s="140">
        <v>9</v>
      </c>
    </row>
    <row r="252" spans="12:17" x14ac:dyDescent="0.35">
      <c r="L252" s="140">
        <v>250</v>
      </c>
      <c r="M252" s="148">
        <v>0</v>
      </c>
      <c r="N252" s="140">
        <f t="shared" si="7"/>
        <v>0</v>
      </c>
      <c r="O252" s="140">
        <f t="shared" si="6"/>
        <v>243.875</v>
      </c>
      <c r="Q252" s="140">
        <v>5</v>
      </c>
    </row>
    <row r="253" spans="12:17" x14ac:dyDescent="0.35">
      <c r="L253" s="140">
        <v>251</v>
      </c>
      <c r="M253" s="148">
        <v>0</v>
      </c>
      <c r="N253" s="140">
        <f t="shared" si="7"/>
        <v>0</v>
      </c>
      <c r="O253" s="140">
        <f t="shared" si="6"/>
        <v>243.875</v>
      </c>
      <c r="Q253" s="140">
        <v>8</v>
      </c>
    </row>
    <row r="254" spans="12:17" x14ac:dyDescent="0.35">
      <c r="L254" s="140">
        <v>252</v>
      </c>
      <c r="M254" s="148">
        <v>0</v>
      </c>
      <c r="N254" s="140">
        <f t="shared" si="7"/>
        <v>0</v>
      </c>
      <c r="O254" s="140">
        <f t="shared" si="6"/>
        <v>243.875</v>
      </c>
      <c r="Q254" s="140">
        <v>3</v>
      </c>
    </row>
    <row r="255" spans="12:17" x14ac:dyDescent="0.35">
      <c r="L255" s="140">
        <v>253</v>
      </c>
      <c r="M255" s="148">
        <v>0</v>
      </c>
      <c r="N255" s="140">
        <f t="shared" si="7"/>
        <v>0</v>
      </c>
      <c r="O255" s="140">
        <f t="shared" si="6"/>
        <v>243.875</v>
      </c>
      <c r="Q255" s="140">
        <v>4</v>
      </c>
    </row>
    <row r="256" spans="12:17" x14ac:dyDescent="0.35">
      <c r="L256" s="140">
        <v>254</v>
      </c>
      <c r="M256" s="148">
        <v>0</v>
      </c>
      <c r="N256" s="140">
        <f t="shared" si="7"/>
        <v>0</v>
      </c>
      <c r="O256" s="140">
        <f t="shared" si="6"/>
        <v>243.875</v>
      </c>
      <c r="Q256" s="140">
        <v>8</v>
      </c>
    </row>
    <row r="257" spans="12:17" x14ac:dyDescent="0.35">
      <c r="L257" s="140">
        <v>255</v>
      </c>
      <c r="M257" s="148">
        <v>0</v>
      </c>
      <c r="N257" s="140">
        <f t="shared" si="7"/>
        <v>0</v>
      </c>
      <c r="O257" s="140">
        <f t="shared" si="6"/>
        <v>243.875</v>
      </c>
      <c r="Q257" s="140">
        <v>4</v>
      </c>
    </row>
    <row r="258" spans="12:17" x14ac:dyDescent="0.35">
      <c r="L258" s="140">
        <v>256</v>
      </c>
      <c r="M258" s="148">
        <v>0</v>
      </c>
      <c r="N258" s="140">
        <f t="shared" si="7"/>
        <v>0</v>
      </c>
      <c r="O258" s="140">
        <f t="shared" ref="O258:O321" si="8">MAX($A$35)/2</f>
        <v>243.875</v>
      </c>
      <c r="Q258" s="140">
        <v>5</v>
      </c>
    </row>
    <row r="259" spans="12:17" x14ac:dyDescent="0.35">
      <c r="L259" s="140">
        <v>257</v>
      </c>
      <c r="M259" s="148">
        <v>0</v>
      </c>
      <c r="N259" s="140">
        <f t="shared" si="7"/>
        <v>0</v>
      </c>
      <c r="O259" s="140">
        <f t="shared" si="8"/>
        <v>243.875</v>
      </c>
      <c r="Q259" s="140">
        <v>4</v>
      </c>
    </row>
    <row r="260" spans="12:17" x14ac:dyDescent="0.35">
      <c r="L260" s="140">
        <v>258</v>
      </c>
      <c r="M260" s="148">
        <v>0</v>
      </c>
      <c r="N260" s="140">
        <f t="shared" si="7"/>
        <v>0</v>
      </c>
      <c r="O260" s="140">
        <f t="shared" si="8"/>
        <v>243.875</v>
      </c>
      <c r="Q260" s="140">
        <v>6</v>
      </c>
    </row>
    <row r="261" spans="12:17" x14ac:dyDescent="0.35">
      <c r="L261" s="140">
        <v>259</v>
      </c>
      <c r="M261" s="148">
        <v>0</v>
      </c>
      <c r="N261" s="140">
        <f t="shared" ref="N261:N324" si="9">AVERAGE(M258:M265)</f>
        <v>0</v>
      </c>
      <c r="O261" s="140">
        <f t="shared" si="8"/>
        <v>243.875</v>
      </c>
      <c r="Q261" s="140">
        <v>5</v>
      </c>
    </row>
    <row r="262" spans="12:17" x14ac:dyDescent="0.35">
      <c r="L262" s="140">
        <v>260</v>
      </c>
      <c r="M262" s="148">
        <v>0</v>
      </c>
      <c r="N262" s="140">
        <f t="shared" si="9"/>
        <v>0</v>
      </c>
      <c r="O262" s="140">
        <f t="shared" si="8"/>
        <v>243.875</v>
      </c>
      <c r="Q262" s="140">
        <v>10</v>
      </c>
    </row>
    <row r="263" spans="12:17" x14ac:dyDescent="0.35">
      <c r="L263" s="140">
        <v>261</v>
      </c>
      <c r="M263" s="148">
        <v>0</v>
      </c>
      <c r="N263" s="140">
        <f t="shared" si="9"/>
        <v>0</v>
      </c>
      <c r="O263" s="140">
        <f t="shared" si="8"/>
        <v>243.875</v>
      </c>
      <c r="Q263" s="140">
        <v>15</v>
      </c>
    </row>
    <row r="264" spans="12:17" x14ac:dyDescent="0.35">
      <c r="L264" s="140">
        <v>262</v>
      </c>
      <c r="M264" s="148">
        <v>0</v>
      </c>
      <c r="N264" s="140">
        <f t="shared" si="9"/>
        <v>0</v>
      </c>
      <c r="O264" s="140">
        <f t="shared" si="8"/>
        <v>243.875</v>
      </c>
      <c r="Q264" s="140">
        <v>6</v>
      </c>
    </row>
    <row r="265" spans="12:17" x14ac:dyDescent="0.35">
      <c r="L265" s="140">
        <v>263</v>
      </c>
      <c r="M265" s="148">
        <v>0</v>
      </c>
      <c r="N265" s="140">
        <f t="shared" si="9"/>
        <v>0</v>
      </c>
      <c r="O265" s="140">
        <f t="shared" si="8"/>
        <v>243.875</v>
      </c>
      <c r="Q265" s="140">
        <v>4</v>
      </c>
    </row>
    <row r="266" spans="12:17" x14ac:dyDescent="0.35">
      <c r="L266" s="140">
        <v>264</v>
      </c>
      <c r="M266" s="148">
        <v>0</v>
      </c>
      <c r="N266" s="140">
        <f t="shared" si="9"/>
        <v>0</v>
      </c>
      <c r="O266" s="140">
        <f t="shared" si="8"/>
        <v>243.875</v>
      </c>
      <c r="Q266" s="140">
        <v>5</v>
      </c>
    </row>
    <row r="267" spans="12:17" x14ac:dyDescent="0.35">
      <c r="L267" s="140">
        <v>265</v>
      </c>
      <c r="M267" s="148">
        <v>0</v>
      </c>
      <c r="N267" s="140">
        <f t="shared" si="9"/>
        <v>0</v>
      </c>
      <c r="O267" s="140">
        <f t="shared" si="8"/>
        <v>243.875</v>
      </c>
      <c r="Q267" s="140">
        <v>6</v>
      </c>
    </row>
    <row r="268" spans="12:17" x14ac:dyDescent="0.35">
      <c r="L268" s="140">
        <v>266</v>
      </c>
      <c r="M268" s="148">
        <v>0</v>
      </c>
      <c r="N268" s="140">
        <f t="shared" si="9"/>
        <v>0</v>
      </c>
      <c r="O268" s="140">
        <f t="shared" si="8"/>
        <v>243.875</v>
      </c>
      <c r="Q268" s="140">
        <v>8</v>
      </c>
    </row>
    <row r="269" spans="12:17" x14ac:dyDescent="0.35">
      <c r="L269" s="140">
        <v>267</v>
      </c>
      <c r="M269" s="148">
        <v>0</v>
      </c>
      <c r="N269" s="140">
        <f t="shared" si="9"/>
        <v>0</v>
      </c>
      <c r="O269" s="140">
        <f t="shared" si="8"/>
        <v>243.875</v>
      </c>
      <c r="Q269" s="140">
        <v>9</v>
      </c>
    </row>
    <row r="270" spans="12:17" x14ac:dyDescent="0.35">
      <c r="L270" s="140">
        <v>268</v>
      </c>
      <c r="M270" s="148">
        <v>0</v>
      </c>
      <c r="N270" s="140">
        <f t="shared" si="9"/>
        <v>0</v>
      </c>
      <c r="O270" s="140">
        <f t="shared" si="8"/>
        <v>243.875</v>
      </c>
      <c r="Q270" s="140">
        <v>8</v>
      </c>
    </row>
    <row r="271" spans="12:17" x14ac:dyDescent="0.35">
      <c r="L271" s="140">
        <v>269</v>
      </c>
      <c r="M271" s="148">
        <v>0</v>
      </c>
      <c r="N271" s="140">
        <f t="shared" si="9"/>
        <v>0</v>
      </c>
      <c r="O271" s="140">
        <f t="shared" si="8"/>
        <v>243.875</v>
      </c>
      <c r="Q271" s="140">
        <v>4</v>
      </c>
    </row>
    <row r="272" spans="12:17" x14ac:dyDescent="0.35">
      <c r="L272" s="140">
        <v>270</v>
      </c>
      <c r="M272" s="148">
        <v>0</v>
      </c>
      <c r="N272" s="140">
        <f t="shared" si="9"/>
        <v>0</v>
      </c>
      <c r="O272" s="140">
        <f t="shared" si="8"/>
        <v>243.875</v>
      </c>
      <c r="Q272" s="140">
        <v>9</v>
      </c>
    </row>
    <row r="273" spans="12:17" x14ac:dyDescent="0.35">
      <c r="L273" s="140">
        <v>271</v>
      </c>
      <c r="M273" s="148">
        <v>0</v>
      </c>
      <c r="N273" s="140">
        <f t="shared" si="9"/>
        <v>0</v>
      </c>
      <c r="O273" s="140">
        <f t="shared" si="8"/>
        <v>243.875</v>
      </c>
      <c r="Q273" s="140">
        <v>5</v>
      </c>
    </row>
    <row r="274" spans="12:17" x14ac:dyDescent="0.35">
      <c r="L274" s="140">
        <v>272</v>
      </c>
      <c r="M274" s="148">
        <v>0</v>
      </c>
      <c r="N274" s="140">
        <f t="shared" si="9"/>
        <v>0</v>
      </c>
      <c r="O274" s="140">
        <f t="shared" si="8"/>
        <v>243.875</v>
      </c>
      <c r="Q274" s="140">
        <v>10</v>
      </c>
    </row>
    <row r="275" spans="12:17" x14ac:dyDescent="0.35">
      <c r="L275" s="140">
        <v>273</v>
      </c>
      <c r="M275" s="148">
        <v>0</v>
      </c>
      <c r="N275" s="140">
        <f t="shared" si="9"/>
        <v>0</v>
      </c>
      <c r="O275" s="140">
        <f t="shared" si="8"/>
        <v>243.875</v>
      </c>
      <c r="Q275" s="140">
        <v>10</v>
      </c>
    </row>
    <row r="276" spans="12:17" x14ac:dyDescent="0.35">
      <c r="L276" s="140">
        <v>274</v>
      </c>
      <c r="M276" s="148">
        <v>0</v>
      </c>
      <c r="N276" s="140">
        <f t="shared" si="9"/>
        <v>0</v>
      </c>
      <c r="O276" s="140">
        <f t="shared" si="8"/>
        <v>243.875</v>
      </c>
      <c r="Q276" s="140">
        <v>5</v>
      </c>
    </row>
    <row r="277" spans="12:17" x14ac:dyDescent="0.35">
      <c r="L277" s="140">
        <v>275</v>
      </c>
      <c r="M277" s="148">
        <v>0</v>
      </c>
      <c r="N277" s="140">
        <f t="shared" si="9"/>
        <v>0</v>
      </c>
      <c r="O277" s="140">
        <f t="shared" si="8"/>
        <v>243.875</v>
      </c>
      <c r="Q277" s="140">
        <v>8</v>
      </c>
    </row>
    <row r="278" spans="12:17" x14ac:dyDescent="0.35">
      <c r="L278" s="140">
        <v>276</v>
      </c>
      <c r="M278" s="148">
        <v>0</v>
      </c>
      <c r="N278" s="140">
        <f t="shared" si="9"/>
        <v>0</v>
      </c>
      <c r="O278" s="140">
        <f t="shared" si="8"/>
        <v>243.875</v>
      </c>
      <c r="Q278" s="140">
        <v>3</v>
      </c>
    </row>
    <row r="279" spans="12:17" x14ac:dyDescent="0.35">
      <c r="L279" s="140">
        <v>277</v>
      </c>
      <c r="M279" s="148">
        <v>0</v>
      </c>
      <c r="N279" s="140">
        <f t="shared" si="9"/>
        <v>0</v>
      </c>
      <c r="O279" s="140">
        <f t="shared" si="8"/>
        <v>243.875</v>
      </c>
      <c r="Q279" s="140">
        <v>9</v>
      </c>
    </row>
    <row r="280" spans="12:17" x14ac:dyDescent="0.35">
      <c r="L280" s="140">
        <v>278</v>
      </c>
      <c r="M280" s="148">
        <v>0</v>
      </c>
      <c r="N280" s="140">
        <f t="shared" si="9"/>
        <v>0</v>
      </c>
      <c r="O280" s="140">
        <f t="shared" si="8"/>
        <v>243.875</v>
      </c>
      <c r="Q280" s="140">
        <v>5</v>
      </c>
    </row>
    <row r="281" spans="12:17" x14ac:dyDescent="0.35">
      <c r="L281" s="140">
        <v>279</v>
      </c>
      <c r="M281" s="148">
        <v>0</v>
      </c>
      <c r="N281" s="140">
        <f t="shared" si="9"/>
        <v>0</v>
      </c>
      <c r="O281" s="140">
        <f t="shared" si="8"/>
        <v>243.875</v>
      </c>
      <c r="Q281" s="140">
        <v>9</v>
      </c>
    </row>
    <row r="282" spans="12:17" x14ac:dyDescent="0.35">
      <c r="L282" s="140">
        <v>280</v>
      </c>
      <c r="M282" s="148">
        <v>0</v>
      </c>
      <c r="N282" s="140">
        <f t="shared" si="9"/>
        <v>0</v>
      </c>
      <c r="O282" s="140">
        <f t="shared" si="8"/>
        <v>243.875</v>
      </c>
      <c r="Q282" s="140">
        <v>3</v>
      </c>
    </row>
    <row r="283" spans="12:17" x14ac:dyDescent="0.35">
      <c r="L283" s="140">
        <v>281</v>
      </c>
      <c r="M283" s="148">
        <v>0</v>
      </c>
      <c r="N283" s="140">
        <f t="shared" si="9"/>
        <v>0</v>
      </c>
      <c r="O283" s="140">
        <f t="shared" si="8"/>
        <v>243.875</v>
      </c>
      <c r="Q283" s="140">
        <v>7</v>
      </c>
    </row>
    <row r="284" spans="12:17" x14ac:dyDescent="0.35">
      <c r="L284" s="140">
        <v>282</v>
      </c>
      <c r="M284" s="148">
        <v>0</v>
      </c>
      <c r="N284" s="140">
        <f t="shared" si="9"/>
        <v>0</v>
      </c>
      <c r="O284" s="140">
        <f t="shared" si="8"/>
        <v>243.875</v>
      </c>
      <c r="Q284" s="140">
        <v>5</v>
      </c>
    </row>
    <row r="285" spans="12:17" x14ac:dyDescent="0.35">
      <c r="L285" s="140">
        <v>283</v>
      </c>
      <c r="M285" s="148">
        <v>0</v>
      </c>
      <c r="N285" s="140">
        <f t="shared" si="9"/>
        <v>0</v>
      </c>
      <c r="O285" s="140">
        <f t="shared" si="8"/>
        <v>243.875</v>
      </c>
      <c r="Q285" s="140">
        <v>5</v>
      </c>
    </row>
    <row r="286" spans="12:17" x14ac:dyDescent="0.35">
      <c r="L286" s="140">
        <v>284</v>
      </c>
      <c r="M286" s="148">
        <v>0</v>
      </c>
      <c r="N286" s="140">
        <f t="shared" si="9"/>
        <v>0</v>
      </c>
      <c r="O286" s="140">
        <f t="shared" si="8"/>
        <v>243.875</v>
      </c>
      <c r="Q286" s="140">
        <v>10</v>
      </c>
    </row>
    <row r="287" spans="12:17" x14ac:dyDescent="0.35">
      <c r="L287" s="140">
        <v>285</v>
      </c>
      <c r="M287" s="148">
        <v>0</v>
      </c>
      <c r="N287" s="140">
        <f t="shared" si="9"/>
        <v>0</v>
      </c>
      <c r="O287" s="140">
        <f t="shared" si="8"/>
        <v>243.875</v>
      </c>
      <c r="Q287" s="140">
        <v>6</v>
      </c>
    </row>
    <row r="288" spans="12:17" x14ac:dyDescent="0.35">
      <c r="L288" s="140">
        <v>286</v>
      </c>
      <c r="M288" s="148">
        <v>0</v>
      </c>
      <c r="N288" s="140">
        <f t="shared" si="9"/>
        <v>0</v>
      </c>
      <c r="O288" s="140">
        <f t="shared" si="8"/>
        <v>243.875</v>
      </c>
      <c r="Q288" s="140">
        <v>7</v>
      </c>
    </row>
    <row r="289" spans="12:17" x14ac:dyDescent="0.35">
      <c r="L289" s="140">
        <v>287</v>
      </c>
      <c r="M289" s="148">
        <v>0</v>
      </c>
      <c r="N289" s="140">
        <f t="shared" si="9"/>
        <v>0</v>
      </c>
      <c r="O289" s="140">
        <f t="shared" si="8"/>
        <v>243.875</v>
      </c>
      <c r="Q289" s="140">
        <v>10</v>
      </c>
    </row>
    <row r="290" spans="12:17" x14ac:dyDescent="0.35">
      <c r="L290" s="140">
        <v>288</v>
      </c>
      <c r="M290" s="148">
        <v>0</v>
      </c>
      <c r="N290" s="140">
        <f t="shared" si="9"/>
        <v>0</v>
      </c>
      <c r="O290" s="140">
        <f t="shared" si="8"/>
        <v>243.875</v>
      </c>
      <c r="Q290" s="140">
        <v>5</v>
      </c>
    </row>
    <row r="291" spans="12:17" x14ac:dyDescent="0.35">
      <c r="L291" s="140">
        <v>289</v>
      </c>
      <c r="M291" s="148">
        <v>0</v>
      </c>
      <c r="N291" s="140">
        <f t="shared" si="9"/>
        <v>0</v>
      </c>
      <c r="O291" s="140">
        <f t="shared" si="8"/>
        <v>243.875</v>
      </c>
      <c r="Q291" s="140">
        <v>6</v>
      </c>
    </row>
    <row r="292" spans="12:17" x14ac:dyDescent="0.35">
      <c r="L292" s="140">
        <v>290</v>
      </c>
      <c r="M292" s="148">
        <v>0</v>
      </c>
      <c r="N292" s="140">
        <f t="shared" si="9"/>
        <v>0</v>
      </c>
      <c r="O292" s="140">
        <f t="shared" si="8"/>
        <v>243.875</v>
      </c>
      <c r="Q292" s="140">
        <v>6</v>
      </c>
    </row>
    <row r="293" spans="12:17" x14ac:dyDescent="0.35">
      <c r="L293" s="140">
        <v>291</v>
      </c>
      <c r="M293" s="148">
        <v>0</v>
      </c>
      <c r="N293" s="140">
        <f t="shared" si="9"/>
        <v>0</v>
      </c>
      <c r="O293" s="140">
        <f t="shared" si="8"/>
        <v>243.875</v>
      </c>
      <c r="Q293" s="140">
        <v>6</v>
      </c>
    </row>
    <row r="294" spans="12:17" x14ac:dyDescent="0.35">
      <c r="L294" s="140">
        <v>292</v>
      </c>
      <c r="M294" s="148">
        <v>0</v>
      </c>
      <c r="N294" s="140">
        <f t="shared" si="9"/>
        <v>0</v>
      </c>
      <c r="O294" s="140">
        <f t="shared" si="8"/>
        <v>243.875</v>
      </c>
      <c r="Q294" s="140">
        <v>7</v>
      </c>
    </row>
    <row r="295" spans="12:17" x14ac:dyDescent="0.35">
      <c r="L295" s="140">
        <v>293</v>
      </c>
      <c r="M295" s="148">
        <v>0</v>
      </c>
      <c r="N295" s="140">
        <f t="shared" si="9"/>
        <v>0</v>
      </c>
      <c r="O295" s="140">
        <f t="shared" si="8"/>
        <v>243.875</v>
      </c>
      <c r="Q295" s="140">
        <v>6</v>
      </c>
    </row>
    <row r="296" spans="12:17" x14ac:dyDescent="0.35">
      <c r="L296" s="140">
        <v>294</v>
      </c>
      <c r="M296" s="148">
        <v>0</v>
      </c>
      <c r="N296" s="140">
        <f t="shared" si="9"/>
        <v>0</v>
      </c>
      <c r="O296" s="140">
        <f t="shared" si="8"/>
        <v>243.875</v>
      </c>
      <c r="Q296" s="140">
        <v>9</v>
      </c>
    </row>
    <row r="297" spans="12:17" x14ac:dyDescent="0.35">
      <c r="L297" s="140">
        <v>295</v>
      </c>
      <c r="M297" s="148">
        <v>0</v>
      </c>
      <c r="N297" s="140">
        <f t="shared" si="9"/>
        <v>0</v>
      </c>
      <c r="O297" s="140">
        <f t="shared" si="8"/>
        <v>243.875</v>
      </c>
      <c r="Q297" s="140">
        <v>8</v>
      </c>
    </row>
    <row r="298" spans="12:17" x14ac:dyDescent="0.35">
      <c r="L298" s="140">
        <v>296</v>
      </c>
      <c r="M298" s="148">
        <v>0</v>
      </c>
      <c r="N298" s="140">
        <f t="shared" si="9"/>
        <v>0.375</v>
      </c>
      <c r="O298" s="140">
        <f t="shared" si="8"/>
        <v>243.875</v>
      </c>
      <c r="Q298" s="140">
        <v>10</v>
      </c>
    </row>
    <row r="299" spans="12:17" x14ac:dyDescent="0.35">
      <c r="L299" s="140">
        <v>297</v>
      </c>
      <c r="M299" s="148">
        <v>0</v>
      </c>
      <c r="N299" s="140">
        <f t="shared" si="9"/>
        <v>0.5</v>
      </c>
      <c r="O299" s="140">
        <f t="shared" si="8"/>
        <v>243.875</v>
      </c>
      <c r="Q299" s="140">
        <v>8</v>
      </c>
    </row>
    <row r="300" spans="12:17" x14ac:dyDescent="0.35">
      <c r="L300" s="140">
        <v>298</v>
      </c>
      <c r="M300" s="148">
        <v>0</v>
      </c>
      <c r="N300" s="140">
        <f t="shared" si="9"/>
        <v>1.375</v>
      </c>
      <c r="O300" s="140">
        <f t="shared" si="8"/>
        <v>243.875</v>
      </c>
      <c r="Q300" s="140">
        <v>8</v>
      </c>
    </row>
    <row r="301" spans="12:17" x14ac:dyDescent="0.35">
      <c r="L301" s="140">
        <v>299</v>
      </c>
      <c r="M301" s="148">
        <v>0</v>
      </c>
      <c r="N301" s="140">
        <f t="shared" si="9"/>
        <v>1.875</v>
      </c>
      <c r="O301" s="140">
        <f t="shared" si="8"/>
        <v>243.875</v>
      </c>
      <c r="Q301" s="140">
        <v>8</v>
      </c>
    </row>
    <row r="302" spans="12:17" x14ac:dyDescent="0.35">
      <c r="L302" s="140">
        <v>300</v>
      </c>
      <c r="M302" s="148">
        <v>3</v>
      </c>
      <c r="N302" s="140">
        <f t="shared" si="9"/>
        <v>2.25</v>
      </c>
      <c r="O302" s="140">
        <f t="shared" si="8"/>
        <v>243.875</v>
      </c>
      <c r="Q302" s="140">
        <v>12</v>
      </c>
    </row>
    <row r="303" spans="12:17" x14ac:dyDescent="0.35">
      <c r="L303" s="140">
        <v>301</v>
      </c>
      <c r="M303" s="148">
        <v>1</v>
      </c>
      <c r="N303" s="140">
        <f t="shared" si="9"/>
        <v>2.625</v>
      </c>
      <c r="O303" s="140">
        <f t="shared" si="8"/>
        <v>243.875</v>
      </c>
      <c r="Q303" s="140">
        <v>8</v>
      </c>
    </row>
    <row r="304" spans="12:17" x14ac:dyDescent="0.35">
      <c r="L304" s="140">
        <v>302</v>
      </c>
      <c r="M304" s="148">
        <v>7</v>
      </c>
      <c r="N304" s="140">
        <f t="shared" si="9"/>
        <v>3</v>
      </c>
      <c r="O304" s="140">
        <f t="shared" si="8"/>
        <v>243.875</v>
      </c>
      <c r="Q304" s="140">
        <v>11</v>
      </c>
    </row>
    <row r="305" spans="12:17" x14ac:dyDescent="0.35">
      <c r="L305" s="140">
        <v>303</v>
      </c>
      <c r="M305" s="148">
        <v>4</v>
      </c>
      <c r="N305" s="140">
        <f t="shared" si="9"/>
        <v>3.5</v>
      </c>
      <c r="O305" s="140">
        <f t="shared" si="8"/>
        <v>243.875</v>
      </c>
      <c r="Q305" s="140">
        <v>10</v>
      </c>
    </row>
    <row r="306" spans="12:17" x14ac:dyDescent="0.35">
      <c r="L306" s="140">
        <v>304</v>
      </c>
      <c r="M306" s="148">
        <v>3</v>
      </c>
      <c r="N306" s="140">
        <f t="shared" si="9"/>
        <v>3.375</v>
      </c>
      <c r="O306" s="140">
        <f t="shared" si="8"/>
        <v>243.875</v>
      </c>
      <c r="Q306" s="140">
        <v>15</v>
      </c>
    </row>
    <row r="307" spans="12:17" x14ac:dyDescent="0.35">
      <c r="L307" s="140">
        <v>305</v>
      </c>
      <c r="M307" s="148">
        <v>3</v>
      </c>
      <c r="N307" s="140">
        <f t="shared" si="9"/>
        <v>3.5</v>
      </c>
      <c r="O307" s="140">
        <f t="shared" si="8"/>
        <v>243.875</v>
      </c>
      <c r="Q307" s="140">
        <v>10</v>
      </c>
    </row>
    <row r="308" spans="12:17" x14ac:dyDescent="0.35">
      <c r="L308" s="140">
        <v>306</v>
      </c>
      <c r="M308" s="148">
        <v>3</v>
      </c>
      <c r="N308" s="140">
        <f t="shared" si="9"/>
        <v>2.75</v>
      </c>
      <c r="O308" s="140">
        <f t="shared" si="8"/>
        <v>243.875</v>
      </c>
      <c r="Q308" s="140">
        <v>16</v>
      </c>
    </row>
    <row r="309" spans="12:17" x14ac:dyDescent="0.35">
      <c r="L309" s="140">
        <v>307</v>
      </c>
      <c r="M309" s="148">
        <v>4</v>
      </c>
      <c r="N309" s="140">
        <f t="shared" si="9"/>
        <v>2.5</v>
      </c>
      <c r="O309" s="140">
        <f t="shared" si="8"/>
        <v>243.875</v>
      </c>
      <c r="Q309" s="140">
        <v>11</v>
      </c>
    </row>
    <row r="310" spans="12:17" x14ac:dyDescent="0.35">
      <c r="L310" s="140">
        <v>308</v>
      </c>
      <c r="M310" s="148">
        <v>2</v>
      </c>
      <c r="N310" s="140">
        <f t="shared" si="9"/>
        <v>2.5</v>
      </c>
      <c r="O310" s="140">
        <f t="shared" si="8"/>
        <v>243.875</v>
      </c>
      <c r="Q310" s="140">
        <v>12</v>
      </c>
    </row>
    <row r="311" spans="12:17" x14ac:dyDescent="0.35">
      <c r="L311" s="140">
        <v>309</v>
      </c>
      <c r="M311" s="148">
        <v>2</v>
      </c>
      <c r="N311" s="140">
        <f t="shared" si="9"/>
        <v>2.25</v>
      </c>
      <c r="O311" s="140">
        <f t="shared" si="8"/>
        <v>243.875</v>
      </c>
      <c r="Q311" s="140">
        <v>13</v>
      </c>
    </row>
    <row r="312" spans="12:17" x14ac:dyDescent="0.35">
      <c r="L312" s="140">
        <v>310</v>
      </c>
      <c r="M312" s="148">
        <v>1</v>
      </c>
      <c r="N312" s="140">
        <f t="shared" si="9"/>
        <v>2.125</v>
      </c>
      <c r="O312" s="140">
        <f t="shared" si="8"/>
        <v>243.875</v>
      </c>
      <c r="Q312" s="140">
        <v>16</v>
      </c>
    </row>
    <row r="313" spans="12:17" x14ac:dyDescent="0.35">
      <c r="L313" s="140">
        <v>311</v>
      </c>
      <c r="M313" s="148">
        <v>2</v>
      </c>
      <c r="N313" s="140">
        <f t="shared" si="9"/>
        <v>1.875</v>
      </c>
      <c r="O313" s="140">
        <f t="shared" si="8"/>
        <v>243.875</v>
      </c>
      <c r="Q313" s="140">
        <v>11</v>
      </c>
    </row>
    <row r="314" spans="12:17" x14ac:dyDescent="0.35">
      <c r="L314" s="140">
        <v>312</v>
      </c>
      <c r="M314" s="148">
        <v>3</v>
      </c>
      <c r="N314" s="140">
        <f t="shared" si="9"/>
        <v>1.75</v>
      </c>
      <c r="O314" s="140">
        <f t="shared" si="8"/>
        <v>243.875</v>
      </c>
      <c r="Q314" s="140">
        <v>18</v>
      </c>
    </row>
    <row r="315" spans="12:17" x14ac:dyDescent="0.35">
      <c r="L315" s="140">
        <v>313</v>
      </c>
      <c r="M315" s="148">
        <v>1</v>
      </c>
      <c r="N315" s="140">
        <f t="shared" si="9"/>
        <v>2</v>
      </c>
      <c r="O315" s="140">
        <f t="shared" si="8"/>
        <v>243.875</v>
      </c>
      <c r="Q315" s="140">
        <v>11</v>
      </c>
    </row>
    <row r="316" spans="12:17" x14ac:dyDescent="0.35">
      <c r="L316" s="140">
        <v>314</v>
      </c>
      <c r="M316" s="148">
        <v>2</v>
      </c>
      <c r="N316" s="140">
        <f t="shared" si="9"/>
        <v>2.375</v>
      </c>
      <c r="O316" s="140">
        <f t="shared" si="8"/>
        <v>243.875</v>
      </c>
      <c r="Q316" s="140">
        <v>10</v>
      </c>
    </row>
    <row r="317" spans="12:17" x14ac:dyDescent="0.35">
      <c r="L317" s="140">
        <v>315</v>
      </c>
      <c r="M317" s="148">
        <v>2</v>
      </c>
      <c r="N317" s="140">
        <f t="shared" si="9"/>
        <v>2.875</v>
      </c>
      <c r="O317" s="140">
        <f t="shared" si="8"/>
        <v>243.875</v>
      </c>
      <c r="Q317" s="140">
        <v>16</v>
      </c>
    </row>
    <row r="318" spans="12:17" x14ac:dyDescent="0.35">
      <c r="L318" s="140">
        <v>316</v>
      </c>
      <c r="M318" s="148">
        <v>1</v>
      </c>
      <c r="N318" s="140">
        <f t="shared" si="9"/>
        <v>2.875</v>
      </c>
      <c r="O318" s="140">
        <f t="shared" si="8"/>
        <v>243.875</v>
      </c>
      <c r="Q318" s="140">
        <v>13</v>
      </c>
    </row>
    <row r="319" spans="12:17" x14ac:dyDescent="0.35">
      <c r="L319" s="140">
        <v>317</v>
      </c>
      <c r="M319" s="148">
        <v>4</v>
      </c>
      <c r="N319" s="140">
        <f t="shared" si="9"/>
        <v>3</v>
      </c>
      <c r="O319" s="140">
        <f t="shared" si="8"/>
        <v>243.875</v>
      </c>
      <c r="Q319" s="140">
        <v>11</v>
      </c>
    </row>
    <row r="320" spans="12:17" x14ac:dyDescent="0.35">
      <c r="L320" s="140">
        <v>318</v>
      </c>
      <c r="M320" s="148">
        <v>4</v>
      </c>
      <c r="N320" s="140">
        <f t="shared" si="9"/>
        <v>3.75</v>
      </c>
      <c r="O320" s="140">
        <f t="shared" si="8"/>
        <v>243.875</v>
      </c>
      <c r="Q320" s="140">
        <v>16</v>
      </c>
    </row>
    <row r="321" spans="12:17" x14ac:dyDescent="0.35">
      <c r="L321" s="140">
        <v>319</v>
      </c>
      <c r="M321" s="148">
        <v>6</v>
      </c>
      <c r="N321" s="140">
        <f t="shared" si="9"/>
        <v>3.625</v>
      </c>
      <c r="O321" s="140">
        <f t="shared" si="8"/>
        <v>243.875</v>
      </c>
      <c r="Q321" s="140">
        <v>15</v>
      </c>
    </row>
    <row r="322" spans="12:17" x14ac:dyDescent="0.35">
      <c r="L322" s="140">
        <v>320</v>
      </c>
      <c r="M322" s="148">
        <v>3</v>
      </c>
      <c r="N322" s="140">
        <f t="shared" si="9"/>
        <v>3.75</v>
      </c>
      <c r="O322" s="140">
        <f t="shared" ref="O322:O385" si="10">MAX($A$35)/2</f>
        <v>243.875</v>
      </c>
      <c r="Q322" s="140">
        <v>17</v>
      </c>
    </row>
    <row r="323" spans="12:17" x14ac:dyDescent="0.35">
      <c r="L323" s="140">
        <v>321</v>
      </c>
      <c r="M323" s="148">
        <v>2</v>
      </c>
      <c r="N323" s="140">
        <f t="shared" si="9"/>
        <v>4.25</v>
      </c>
      <c r="O323" s="140">
        <f t="shared" si="10"/>
        <v>243.875</v>
      </c>
      <c r="Q323" s="140">
        <v>17</v>
      </c>
    </row>
    <row r="324" spans="12:17" x14ac:dyDescent="0.35">
      <c r="L324" s="140">
        <v>322</v>
      </c>
      <c r="M324" s="148">
        <v>8</v>
      </c>
      <c r="N324" s="140">
        <f t="shared" si="9"/>
        <v>3.875</v>
      </c>
      <c r="O324" s="140">
        <f t="shared" si="10"/>
        <v>243.875</v>
      </c>
      <c r="Q324" s="140">
        <v>16</v>
      </c>
    </row>
    <row r="325" spans="12:17" x14ac:dyDescent="0.35">
      <c r="L325" s="140">
        <v>323</v>
      </c>
      <c r="M325" s="148">
        <v>1</v>
      </c>
      <c r="N325" s="140">
        <f t="shared" ref="N325:N388" si="11">AVERAGE(M322:M329)</f>
        <v>4.375</v>
      </c>
      <c r="O325" s="140">
        <f t="shared" si="10"/>
        <v>243.875</v>
      </c>
      <c r="Q325" s="140">
        <v>22</v>
      </c>
    </row>
    <row r="326" spans="12:17" x14ac:dyDescent="0.35">
      <c r="L326" s="140">
        <v>324</v>
      </c>
      <c r="M326" s="148">
        <v>2</v>
      </c>
      <c r="N326" s="140">
        <f t="shared" si="11"/>
        <v>4.625</v>
      </c>
      <c r="O326" s="140">
        <f t="shared" si="10"/>
        <v>243.875</v>
      </c>
      <c r="Q326" s="140">
        <v>17</v>
      </c>
    </row>
    <row r="327" spans="12:17" x14ac:dyDescent="0.35">
      <c r="L327" s="140">
        <v>325</v>
      </c>
      <c r="M327" s="148">
        <v>8</v>
      </c>
      <c r="N327" s="140">
        <f t="shared" si="11"/>
        <v>5.125</v>
      </c>
      <c r="O327" s="140">
        <f t="shared" si="10"/>
        <v>243.875</v>
      </c>
      <c r="Q327" s="140">
        <v>25</v>
      </c>
    </row>
    <row r="328" spans="12:17" x14ac:dyDescent="0.35">
      <c r="L328" s="140">
        <v>326</v>
      </c>
      <c r="M328" s="148">
        <v>1</v>
      </c>
      <c r="N328" s="140">
        <f t="shared" si="11"/>
        <v>4.625</v>
      </c>
      <c r="O328" s="140">
        <f t="shared" si="10"/>
        <v>243.875</v>
      </c>
      <c r="Q328" s="140">
        <v>16</v>
      </c>
    </row>
    <row r="329" spans="12:17" x14ac:dyDescent="0.35">
      <c r="L329" s="140">
        <v>327</v>
      </c>
      <c r="M329" s="148">
        <v>10</v>
      </c>
      <c r="N329" s="140">
        <f t="shared" si="11"/>
        <v>4.75</v>
      </c>
      <c r="O329" s="140">
        <f t="shared" si="10"/>
        <v>243.875</v>
      </c>
      <c r="Q329" s="140">
        <v>20</v>
      </c>
    </row>
    <row r="330" spans="12:17" x14ac:dyDescent="0.35">
      <c r="L330" s="140">
        <v>328</v>
      </c>
      <c r="M330" s="148">
        <v>5</v>
      </c>
      <c r="N330" s="140">
        <f t="shared" si="11"/>
        <v>5.25</v>
      </c>
      <c r="O330" s="140">
        <f t="shared" si="10"/>
        <v>243.875</v>
      </c>
      <c r="Q330" s="140">
        <v>20</v>
      </c>
    </row>
    <row r="331" spans="12:17" x14ac:dyDescent="0.35">
      <c r="L331" s="140">
        <v>329</v>
      </c>
      <c r="M331" s="148">
        <v>6</v>
      </c>
      <c r="N331" s="140">
        <f t="shared" si="11"/>
        <v>5.125</v>
      </c>
      <c r="O331" s="140">
        <f t="shared" si="10"/>
        <v>243.875</v>
      </c>
      <c r="Q331" s="140">
        <v>31</v>
      </c>
    </row>
    <row r="332" spans="12:17" x14ac:dyDescent="0.35">
      <c r="L332" s="140">
        <v>330</v>
      </c>
      <c r="M332" s="148">
        <v>4</v>
      </c>
      <c r="N332" s="140">
        <f t="shared" si="11"/>
        <v>5.75</v>
      </c>
      <c r="O332" s="140">
        <f t="shared" si="10"/>
        <v>243.875</v>
      </c>
      <c r="Q332" s="140">
        <v>27</v>
      </c>
    </row>
    <row r="333" spans="12:17" x14ac:dyDescent="0.35">
      <c r="L333" s="140">
        <v>331</v>
      </c>
      <c r="M333" s="148">
        <v>2</v>
      </c>
      <c r="N333" s="140">
        <f t="shared" si="11"/>
        <v>5</v>
      </c>
      <c r="O333" s="140">
        <f t="shared" si="10"/>
        <v>243.875</v>
      </c>
      <c r="Q333" s="140">
        <v>21</v>
      </c>
    </row>
    <row r="334" spans="12:17" x14ac:dyDescent="0.35">
      <c r="L334" s="140">
        <v>332</v>
      </c>
      <c r="M334" s="148">
        <v>6</v>
      </c>
      <c r="N334" s="140">
        <f t="shared" si="11"/>
        <v>4.875</v>
      </c>
      <c r="O334" s="140">
        <f t="shared" si="10"/>
        <v>243.875</v>
      </c>
      <c r="Q334" s="140">
        <v>19</v>
      </c>
    </row>
    <row r="335" spans="12:17" x14ac:dyDescent="0.35">
      <c r="L335" s="140">
        <v>333</v>
      </c>
      <c r="M335" s="148">
        <v>7</v>
      </c>
      <c r="N335" s="140">
        <f t="shared" si="11"/>
        <v>4.875</v>
      </c>
      <c r="O335" s="140">
        <f t="shared" si="10"/>
        <v>243.875</v>
      </c>
      <c r="Q335" s="140">
        <v>27</v>
      </c>
    </row>
    <row r="336" spans="12:17" x14ac:dyDescent="0.35">
      <c r="L336" s="140">
        <v>334</v>
      </c>
      <c r="M336" s="148">
        <v>6</v>
      </c>
      <c r="N336" s="140">
        <f t="shared" si="11"/>
        <v>5.25</v>
      </c>
      <c r="O336" s="140">
        <f t="shared" si="10"/>
        <v>243.875</v>
      </c>
      <c r="Q336" s="140">
        <v>33</v>
      </c>
    </row>
    <row r="337" spans="12:17" x14ac:dyDescent="0.35">
      <c r="L337" s="140">
        <v>335</v>
      </c>
      <c r="M337" s="148">
        <v>4</v>
      </c>
      <c r="N337" s="140">
        <f t="shared" si="11"/>
        <v>5.375</v>
      </c>
      <c r="O337" s="140">
        <f t="shared" si="10"/>
        <v>243.875</v>
      </c>
      <c r="Q337" s="140">
        <v>32</v>
      </c>
    </row>
    <row r="338" spans="12:17" x14ac:dyDescent="0.35">
      <c r="L338" s="140">
        <v>336</v>
      </c>
      <c r="M338" s="148">
        <v>4</v>
      </c>
      <c r="N338" s="140">
        <f t="shared" si="11"/>
        <v>5.75</v>
      </c>
      <c r="O338" s="140">
        <f t="shared" si="10"/>
        <v>243.875</v>
      </c>
      <c r="Q338" s="140">
        <v>26</v>
      </c>
    </row>
    <row r="339" spans="12:17" x14ac:dyDescent="0.35">
      <c r="L339" s="140">
        <v>337</v>
      </c>
      <c r="M339" s="148">
        <v>6</v>
      </c>
      <c r="N339" s="140">
        <f t="shared" si="11"/>
        <v>5.375</v>
      </c>
      <c r="O339" s="140">
        <f t="shared" si="10"/>
        <v>243.875</v>
      </c>
      <c r="Q339" s="140">
        <v>29</v>
      </c>
    </row>
    <row r="340" spans="12:17" x14ac:dyDescent="0.35">
      <c r="L340" s="140">
        <v>338</v>
      </c>
      <c r="M340" s="148">
        <v>7</v>
      </c>
      <c r="N340" s="140">
        <f t="shared" si="11"/>
        <v>6.125</v>
      </c>
      <c r="O340" s="140">
        <f t="shared" si="10"/>
        <v>243.875</v>
      </c>
      <c r="Q340" s="140">
        <v>30</v>
      </c>
    </row>
    <row r="341" spans="12:17" x14ac:dyDescent="0.35">
      <c r="L341" s="140">
        <v>339</v>
      </c>
      <c r="M341" s="148">
        <v>3</v>
      </c>
      <c r="N341" s="140">
        <f t="shared" si="11"/>
        <v>6.125</v>
      </c>
      <c r="O341" s="140">
        <f t="shared" si="10"/>
        <v>243.875</v>
      </c>
      <c r="Q341" s="140">
        <v>38</v>
      </c>
    </row>
    <row r="342" spans="12:17" x14ac:dyDescent="0.35">
      <c r="L342" s="140">
        <v>340</v>
      </c>
      <c r="M342" s="148">
        <v>9</v>
      </c>
      <c r="N342" s="140">
        <f t="shared" si="11"/>
        <v>6.75</v>
      </c>
      <c r="O342" s="140">
        <f t="shared" si="10"/>
        <v>243.875</v>
      </c>
      <c r="Q342" s="140">
        <v>35</v>
      </c>
    </row>
    <row r="343" spans="12:17" x14ac:dyDescent="0.35">
      <c r="L343" s="140">
        <v>341</v>
      </c>
      <c r="M343" s="148">
        <v>4</v>
      </c>
      <c r="N343" s="140">
        <f t="shared" si="11"/>
        <v>6.75</v>
      </c>
      <c r="O343" s="140">
        <f t="shared" si="10"/>
        <v>243.875</v>
      </c>
      <c r="Q343" s="140">
        <v>45</v>
      </c>
    </row>
    <row r="344" spans="12:17" x14ac:dyDescent="0.35">
      <c r="L344" s="140">
        <v>342</v>
      </c>
      <c r="M344" s="148">
        <v>12</v>
      </c>
      <c r="N344" s="140">
        <f t="shared" si="11"/>
        <v>6.75</v>
      </c>
      <c r="O344" s="140">
        <f t="shared" si="10"/>
        <v>243.875</v>
      </c>
      <c r="Q344" s="140">
        <v>46</v>
      </c>
    </row>
    <row r="345" spans="12:17" x14ac:dyDescent="0.35">
      <c r="L345" s="140">
        <v>343</v>
      </c>
      <c r="M345" s="148">
        <v>4</v>
      </c>
      <c r="N345" s="140">
        <f t="shared" si="11"/>
        <v>7.875</v>
      </c>
      <c r="O345" s="140">
        <f t="shared" si="10"/>
        <v>243.875</v>
      </c>
      <c r="Q345" s="140">
        <v>28</v>
      </c>
    </row>
    <row r="346" spans="12:17" x14ac:dyDescent="0.35">
      <c r="L346" s="140">
        <v>344</v>
      </c>
      <c r="M346" s="148">
        <v>9</v>
      </c>
      <c r="N346" s="140">
        <f t="shared" si="11"/>
        <v>8.25</v>
      </c>
      <c r="O346" s="140">
        <f t="shared" si="10"/>
        <v>243.875</v>
      </c>
      <c r="Q346" s="140">
        <v>52</v>
      </c>
    </row>
    <row r="347" spans="12:17" x14ac:dyDescent="0.35">
      <c r="L347" s="140">
        <v>345</v>
      </c>
      <c r="M347" s="148">
        <v>6</v>
      </c>
      <c r="N347" s="140">
        <f t="shared" si="11"/>
        <v>8.625</v>
      </c>
      <c r="O347" s="140">
        <f t="shared" si="10"/>
        <v>243.875</v>
      </c>
      <c r="Q347" s="140">
        <v>39</v>
      </c>
    </row>
    <row r="348" spans="12:17" x14ac:dyDescent="0.35">
      <c r="L348" s="140">
        <v>346</v>
      </c>
      <c r="M348" s="148">
        <v>7</v>
      </c>
      <c r="N348" s="140">
        <f t="shared" si="11"/>
        <v>8.625</v>
      </c>
      <c r="O348" s="140">
        <f t="shared" si="10"/>
        <v>243.875</v>
      </c>
      <c r="Q348" s="140">
        <v>47</v>
      </c>
    </row>
    <row r="349" spans="12:17" x14ac:dyDescent="0.35">
      <c r="L349" s="140">
        <v>347</v>
      </c>
      <c r="M349" s="148">
        <v>12</v>
      </c>
      <c r="N349" s="140">
        <f t="shared" si="11"/>
        <v>8.875</v>
      </c>
      <c r="O349" s="140">
        <f t="shared" si="10"/>
        <v>243.875</v>
      </c>
      <c r="Q349" s="140">
        <v>62</v>
      </c>
    </row>
    <row r="350" spans="12:17" x14ac:dyDescent="0.35">
      <c r="L350" s="140">
        <v>348</v>
      </c>
      <c r="M350" s="148">
        <v>12</v>
      </c>
      <c r="N350" s="140">
        <f t="shared" si="11"/>
        <v>9</v>
      </c>
      <c r="O350" s="140">
        <f t="shared" si="10"/>
        <v>243.875</v>
      </c>
      <c r="Q350" s="140">
        <v>59</v>
      </c>
    </row>
    <row r="351" spans="12:17" x14ac:dyDescent="0.35">
      <c r="L351" s="140">
        <v>349</v>
      </c>
      <c r="M351" s="148">
        <v>7</v>
      </c>
      <c r="N351" s="140">
        <f t="shared" si="11"/>
        <v>9.625</v>
      </c>
      <c r="O351" s="140">
        <f t="shared" si="10"/>
        <v>243.875</v>
      </c>
      <c r="Q351" s="140">
        <v>51</v>
      </c>
    </row>
    <row r="352" spans="12:17" x14ac:dyDescent="0.35">
      <c r="L352" s="140">
        <v>350</v>
      </c>
      <c r="M352" s="148">
        <v>12</v>
      </c>
      <c r="N352" s="140">
        <f t="shared" si="11"/>
        <v>9.75</v>
      </c>
      <c r="O352" s="140">
        <f t="shared" si="10"/>
        <v>243.875</v>
      </c>
      <c r="Q352" s="140">
        <v>48</v>
      </c>
    </row>
    <row r="353" spans="12:17" x14ac:dyDescent="0.35">
      <c r="L353" s="140">
        <v>351</v>
      </c>
      <c r="M353" s="148">
        <v>6</v>
      </c>
      <c r="N353" s="140">
        <f t="shared" si="11"/>
        <v>9.875</v>
      </c>
      <c r="O353" s="140">
        <f t="shared" si="10"/>
        <v>243.875</v>
      </c>
      <c r="Q353" s="140">
        <v>62</v>
      </c>
    </row>
    <row r="354" spans="12:17" x14ac:dyDescent="0.35">
      <c r="L354" s="140">
        <v>352</v>
      </c>
      <c r="M354" s="148">
        <v>10</v>
      </c>
      <c r="N354" s="140">
        <f t="shared" si="11"/>
        <v>9.125</v>
      </c>
      <c r="O354" s="140">
        <f t="shared" si="10"/>
        <v>243.875</v>
      </c>
      <c r="Q354" s="140">
        <v>58</v>
      </c>
    </row>
    <row r="355" spans="12:17" x14ac:dyDescent="0.35">
      <c r="L355" s="140">
        <v>353</v>
      </c>
      <c r="M355" s="148">
        <v>11</v>
      </c>
      <c r="N355" s="140">
        <f t="shared" si="11"/>
        <v>9.5</v>
      </c>
      <c r="O355" s="140">
        <f t="shared" si="10"/>
        <v>243.875</v>
      </c>
      <c r="Q355" s="140">
        <v>57</v>
      </c>
    </row>
    <row r="356" spans="12:17" x14ac:dyDescent="0.35">
      <c r="L356" s="140">
        <v>354</v>
      </c>
      <c r="M356" s="148">
        <v>8</v>
      </c>
      <c r="N356" s="140">
        <f t="shared" si="11"/>
        <v>8.75</v>
      </c>
      <c r="O356" s="140">
        <f t="shared" si="10"/>
        <v>243.875</v>
      </c>
      <c r="Q356" s="140">
        <v>77</v>
      </c>
    </row>
    <row r="357" spans="12:17" x14ac:dyDescent="0.35">
      <c r="L357" s="140">
        <v>355</v>
      </c>
      <c r="M357" s="148">
        <v>13</v>
      </c>
      <c r="N357" s="140">
        <f t="shared" si="11"/>
        <v>9.5</v>
      </c>
      <c r="O357" s="140">
        <f t="shared" si="10"/>
        <v>243.875</v>
      </c>
      <c r="Q357" s="140">
        <v>65</v>
      </c>
    </row>
    <row r="358" spans="12:17" x14ac:dyDescent="0.35">
      <c r="L358" s="140">
        <v>356</v>
      </c>
      <c r="M358" s="148">
        <v>6</v>
      </c>
      <c r="N358" s="140">
        <f t="shared" si="11"/>
        <v>9.5</v>
      </c>
      <c r="O358" s="140">
        <f t="shared" si="10"/>
        <v>243.875</v>
      </c>
      <c r="Q358" s="140">
        <v>77</v>
      </c>
    </row>
    <row r="359" spans="12:17" x14ac:dyDescent="0.35">
      <c r="L359" s="140">
        <v>357</v>
      </c>
      <c r="M359" s="148">
        <v>10</v>
      </c>
      <c r="N359" s="140">
        <f t="shared" si="11"/>
        <v>9</v>
      </c>
      <c r="O359" s="140">
        <f t="shared" si="10"/>
        <v>243.875</v>
      </c>
      <c r="Q359" s="140">
        <v>67</v>
      </c>
    </row>
    <row r="360" spans="12:17" x14ac:dyDescent="0.35">
      <c r="L360" s="140">
        <v>358</v>
      </c>
      <c r="M360" s="148">
        <v>6</v>
      </c>
      <c r="N360" s="140">
        <f t="shared" si="11"/>
        <v>10.875</v>
      </c>
      <c r="O360" s="140">
        <f t="shared" si="10"/>
        <v>243.875</v>
      </c>
      <c r="Q360" s="140">
        <v>81</v>
      </c>
    </row>
    <row r="361" spans="12:17" x14ac:dyDescent="0.35">
      <c r="L361" s="140">
        <v>359</v>
      </c>
      <c r="M361" s="148">
        <v>12</v>
      </c>
      <c r="N361" s="140">
        <f t="shared" si="11"/>
        <v>11.125</v>
      </c>
      <c r="O361" s="140">
        <f t="shared" si="10"/>
        <v>243.875</v>
      </c>
      <c r="Q361" s="140">
        <v>80</v>
      </c>
    </row>
    <row r="362" spans="12:17" x14ac:dyDescent="0.35">
      <c r="L362" s="140">
        <v>360</v>
      </c>
      <c r="M362" s="148">
        <v>10</v>
      </c>
      <c r="N362" s="140">
        <f t="shared" si="11"/>
        <v>13.25</v>
      </c>
      <c r="O362" s="140">
        <f t="shared" si="10"/>
        <v>243.875</v>
      </c>
      <c r="Q362" s="140">
        <v>62</v>
      </c>
    </row>
    <row r="363" spans="12:17" x14ac:dyDescent="0.35">
      <c r="L363" s="140">
        <v>361</v>
      </c>
      <c r="M363" s="148">
        <v>7</v>
      </c>
      <c r="N363" s="140">
        <f t="shared" si="11"/>
        <v>13.375</v>
      </c>
      <c r="O363" s="140">
        <f t="shared" si="10"/>
        <v>243.875</v>
      </c>
      <c r="Q363" s="140">
        <v>86</v>
      </c>
    </row>
    <row r="364" spans="12:17" x14ac:dyDescent="0.35">
      <c r="L364" s="140">
        <v>362</v>
      </c>
      <c r="M364" s="148">
        <v>23</v>
      </c>
      <c r="N364" s="140">
        <f t="shared" si="11"/>
        <v>13.625</v>
      </c>
      <c r="O364" s="140">
        <f t="shared" si="10"/>
        <v>243.875</v>
      </c>
      <c r="Q364" s="140">
        <v>100</v>
      </c>
    </row>
    <row r="365" spans="12:17" x14ac:dyDescent="0.35">
      <c r="L365" s="140">
        <v>363</v>
      </c>
      <c r="M365" s="148">
        <v>15</v>
      </c>
      <c r="N365" s="140">
        <f t="shared" si="11"/>
        <v>13.75</v>
      </c>
      <c r="O365" s="140">
        <f t="shared" si="10"/>
        <v>243.875</v>
      </c>
      <c r="Q365" s="140">
        <v>77</v>
      </c>
    </row>
    <row r="366" spans="12:17" x14ac:dyDescent="0.35">
      <c r="L366" s="140">
        <v>364</v>
      </c>
      <c r="M366" s="148">
        <v>23</v>
      </c>
      <c r="N366" s="140">
        <f t="shared" si="11"/>
        <v>14.625</v>
      </c>
      <c r="O366" s="140">
        <f t="shared" si="10"/>
        <v>243.875</v>
      </c>
      <c r="Q366" s="140">
        <v>91</v>
      </c>
    </row>
    <row r="367" spans="12:17" x14ac:dyDescent="0.35">
      <c r="L367" s="140">
        <v>365</v>
      </c>
      <c r="M367" s="148">
        <v>11</v>
      </c>
      <c r="N367" s="140">
        <f t="shared" si="11"/>
        <v>17.25</v>
      </c>
      <c r="O367" s="140">
        <f t="shared" si="10"/>
        <v>243.875</v>
      </c>
      <c r="Q367" s="140">
        <v>96</v>
      </c>
    </row>
    <row r="368" spans="12:17" x14ac:dyDescent="0.35">
      <c r="L368" s="140">
        <v>366</v>
      </c>
      <c r="M368" s="148">
        <v>8</v>
      </c>
      <c r="N368" s="140">
        <f t="shared" si="11"/>
        <v>16.75</v>
      </c>
      <c r="O368" s="140">
        <f t="shared" si="10"/>
        <v>243.875</v>
      </c>
      <c r="Q368" s="140">
        <v>98</v>
      </c>
    </row>
    <row r="369" spans="12:17" x14ac:dyDescent="0.35">
      <c r="L369" s="140">
        <v>367</v>
      </c>
      <c r="M369" s="148">
        <v>13</v>
      </c>
      <c r="N369" s="140">
        <f t="shared" si="11"/>
        <v>16.875</v>
      </c>
      <c r="O369" s="140">
        <f t="shared" si="10"/>
        <v>243.875</v>
      </c>
      <c r="Q369" s="140">
        <v>97</v>
      </c>
    </row>
    <row r="370" spans="12:17" x14ac:dyDescent="0.35">
      <c r="L370" s="140">
        <v>368</v>
      </c>
      <c r="M370" s="148">
        <v>17</v>
      </c>
      <c r="N370" s="140">
        <f t="shared" si="11"/>
        <v>16.125</v>
      </c>
      <c r="O370" s="140">
        <f t="shared" si="10"/>
        <v>243.875</v>
      </c>
      <c r="Q370" s="140">
        <v>115</v>
      </c>
    </row>
    <row r="371" spans="12:17" x14ac:dyDescent="0.35">
      <c r="L371" s="140">
        <v>369</v>
      </c>
      <c r="M371" s="148">
        <v>28</v>
      </c>
      <c r="N371" s="140">
        <f t="shared" si="11"/>
        <v>17</v>
      </c>
      <c r="O371" s="140">
        <f t="shared" si="10"/>
        <v>243.875</v>
      </c>
      <c r="Q371" s="140">
        <v>106</v>
      </c>
    </row>
    <row r="372" spans="12:17" x14ac:dyDescent="0.35">
      <c r="L372" s="140">
        <v>370</v>
      </c>
      <c r="M372" s="148">
        <v>19</v>
      </c>
      <c r="N372" s="140">
        <f t="shared" si="11"/>
        <v>19.125</v>
      </c>
      <c r="O372" s="140">
        <f t="shared" si="10"/>
        <v>243.875</v>
      </c>
      <c r="Q372" s="140">
        <v>118</v>
      </c>
    </row>
    <row r="373" spans="12:17" x14ac:dyDescent="0.35">
      <c r="L373" s="140">
        <v>371</v>
      </c>
      <c r="M373" s="148">
        <v>16</v>
      </c>
      <c r="N373" s="140">
        <f t="shared" si="11"/>
        <v>20.625</v>
      </c>
      <c r="O373" s="140">
        <f t="shared" si="10"/>
        <v>243.875</v>
      </c>
      <c r="Q373" s="140">
        <v>114</v>
      </c>
    </row>
    <row r="374" spans="12:17" x14ac:dyDescent="0.35">
      <c r="L374" s="140">
        <v>372</v>
      </c>
      <c r="M374" s="148">
        <v>17</v>
      </c>
      <c r="N374" s="140">
        <f t="shared" si="11"/>
        <v>21.5</v>
      </c>
      <c r="O374" s="140">
        <f t="shared" si="10"/>
        <v>243.875</v>
      </c>
      <c r="Q374" s="140">
        <v>127</v>
      </c>
    </row>
    <row r="375" spans="12:17" x14ac:dyDescent="0.35">
      <c r="L375" s="140">
        <v>373</v>
      </c>
      <c r="M375" s="148">
        <v>18</v>
      </c>
      <c r="N375" s="140">
        <f t="shared" si="11"/>
        <v>21</v>
      </c>
      <c r="O375" s="140">
        <f t="shared" si="10"/>
        <v>243.875</v>
      </c>
      <c r="Q375" s="140">
        <v>142</v>
      </c>
    </row>
    <row r="376" spans="12:17" x14ac:dyDescent="0.35">
      <c r="L376" s="140">
        <v>374</v>
      </c>
      <c r="M376" s="148">
        <v>25</v>
      </c>
      <c r="N376" s="140">
        <f t="shared" si="11"/>
        <v>21.75</v>
      </c>
      <c r="O376" s="140">
        <f t="shared" si="10"/>
        <v>243.875</v>
      </c>
      <c r="Q376" s="140">
        <v>117</v>
      </c>
    </row>
    <row r="377" spans="12:17" x14ac:dyDescent="0.35">
      <c r="L377" s="140">
        <v>375</v>
      </c>
      <c r="M377" s="148">
        <v>25</v>
      </c>
      <c r="N377" s="140">
        <f t="shared" si="11"/>
        <v>22.625</v>
      </c>
      <c r="O377" s="140">
        <f t="shared" si="10"/>
        <v>243.875</v>
      </c>
      <c r="Q377" s="140">
        <v>148</v>
      </c>
    </row>
    <row r="378" spans="12:17" x14ac:dyDescent="0.35">
      <c r="L378" s="140">
        <v>376</v>
      </c>
      <c r="M378" s="148">
        <v>24</v>
      </c>
      <c r="N378" s="140">
        <f t="shared" si="11"/>
        <v>23.5</v>
      </c>
      <c r="O378" s="140">
        <f t="shared" si="10"/>
        <v>243.875</v>
      </c>
      <c r="Q378" s="140">
        <v>143</v>
      </c>
    </row>
    <row r="379" spans="12:17" x14ac:dyDescent="0.35">
      <c r="L379" s="140">
        <v>377</v>
      </c>
      <c r="M379" s="148">
        <v>24</v>
      </c>
      <c r="N379" s="140">
        <f t="shared" si="11"/>
        <v>25</v>
      </c>
      <c r="O379" s="140">
        <f t="shared" si="10"/>
        <v>243.875</v>
      </c>
      <c r="Q379" s="140">
        <v>148</v>
      </c>
    </row>
    <row r="380" spans="12:17" x14ac:dyDescent="0.35">
      <c r="L380" s="140">
        <v>378</v>
      </c>
      <c r="M380" s="148">
        <v>25</v>
      </c>
      <c r="N380" s="140">
        <f t="shared" si="11"/>
        <v>25</v>
      </c>
      <c r="O380" s="140">
        <f t="shared" si="10"/>
        <v>243.875</v>
      </c>
      <c r="Q380" s="140">
        <v>174</v>
      </c>
    </row>
    <row r="381" spans="12:17" x14ac:dyDescent="0.35">
      <c r="L381" s="140">
        <v>379</v>
      </c>
      <c r="M381" s="148">
        <v>23</v>
      </c>
      <c r="N381" s="140">
        <f t="shared" si="11"/>
        <v>25.875</v>
      </c>
      <c r="O381" s="140">
        <f t="shared" si="10"/>
        <v>243.875</v>
      </c>
      <c r="Q381" s="140">
        <v>181</v>
      </c>
    </row>
    <row r="382" spans="12:17" x14ac:dyDescent="0.35">
      <c r="L382" s="140">
        <v>380</v>
      </c>
      <c r="M382" s="148">
        <v>24</v>
      </c>
      <c r="N382" s="140">
        <f t="shared" si="11"/>
        <v>27.375</v>
      </c>
      <c r="O382" s="140">
        <f t="shared" si="10"/>
        <v>243.875</v>
      </c>
      <c r="Q382" s="140">
        <v>181</v>
      </c>
    </row>
    <row r="383" spans="12:17" x14ac:dyDescent="0.35">
      <c r="L383" s="140">
        <v>381</v>
      </c>
      <c r="M383" s="148">
        <v>30</v>
      </c>
      <c r="N383" s="140">
        <f t="shared" si="11"/>
        <v>28.75</v>
      </c>
      <c r="O383" s="140">
        <f t="shared" si="10"/>
        <v>243.875</v>
      </c>
      <c r="Q383" s="140">
        <v>178</v>
      </c>
    </row>
    <row r="384" spans="12:17" x14ac:dyDescent="0.35">
      <c r="L384" s="140">
        <v>382</v>
      </c>
      <c r="M384" s="148">
        <v>25</v>
      </c>
      <c r="N384" s="140">
        <f t="shared" si="11"/>
        <v>30.25</v>
      </c>
      <c r="O384" s="140">
        <f t="shared" si="10"/>
        <v>243.875</v>
      </c>
      <c r="Q384" s="140">
        <v>192</v>
      </c>
    </row>
    <row r="385" spans="12:17" x14ac:dyDescent="0.35">
      <c r="L385" s="140">
        <v>383</v>
      </c>
      <c r="M385" s="148">
        <v>32</v>
      </c>
      <c r="N385" s="140">
        <f t="shared" si="11"/>
        <v>32</v>
      </c>
      <c r="O385" s="140">
        <f t="shared" si="10"/>
        <v>243.875</v>
      </c>
      <c r="Q385" s="140">
        <v>210</v>
      </c>
    </row>
    <row r="386" spans="12:17" x14ac:dyDescent="0.35">
      <c r="L386" s="140">
        <v>384</v>
      </c>
      <c r="M386" s="148">
        <v>36</v>
      </c>
      <c r="N386" s="140">
        <f t="shared" si="11"/>
        <v>34</v>
      </c>
      <c r="O386" s="140">
        <f t="shared" ref="O386:O449" si="12">MAX($A$35)/2</f>
        <v>243.875</v>
      </c>
      <c r="Q386" s="140">
        <v>218</v>
      </c>
    </row>
    <row r="387" spans="12:17" x14ac:dyDescent="0.35">
      <c r="L387" s="140">
        <v>385</v>
      </c>
      <c r="M387" s="148">
        <v>35</v>
      </c>
      <c r="N387" s="140">
        <f t="shared" si="11"/>
        <v>35.25</v>
      </c>
      <c r="O387" s="140">
        <f t="shared" si="12"/>
        <v>243.875</v>
      </c>
      <c r="Q387" s="140">
        <v>193</v>
      </c>
    </row>
    <row r="388" spans="12:17" x14ac:dyDescent="0.35">
      <c r="L388" s="140">
        <v>386</v>
      </c>
      <c r="M388" s="148">
        <v>37</v>
      </c>
      <c r="N388" s="140">
        <f t="shared" si="11"/>
        <v>39.125</v>
      </c>
      <c r="O388" s="140">
        <f t="shared" si="12"/>
        <v>243.875</v>
      </c>
      <c r="Q388" s="140">
        <v>221</v>
      </c>
    </row>
    <row r="389" spans="12:17" x14ac:dyDescent="0.35">
      <c r="L389" s="140">
        <v>387</v>
      </c>
      <c r="M389" s="148">
        <v>37</v>
      </c>
      <c r="N389" s="140">
        <f t="shared" ref="N389:N452" si="13">AVERAGE(M386:M393)</f>
        <v>41.125</v>
      </c>
      <c r="O389" s="140">
        <f t="shared" si="12"/>
        <v>243.875</v>
      </c>
      <c r="Q389" s="140">
        <v>226</v>
      </c>
    </row>
    <row r="390" spans="12:17" x14ac:dyDescent="0.35">
      <c r="L390" s="140">
        <v>388</v>
      </c>
      <c r="M390" s="148">
        <v>40</v>
      </c>
      <c r="N390" s="140">
        <f t="shared" si="13"/>
        <v>43.75</v>
      </c>
      <c r="O390" s="140">
        <f t="shared" si="12"/>
        <v>243.875</v>
      </c>
      <c r="Q390" s="140">
        <v>271</v>
      </c>
    </row>
    <row r="391" spans="12:17" x14ac:dyDescent="0.35">
      <c r="L391" s="140">
        <v>389</v>
      </c>
      <c r="M391" s="148">
        <v>40</v>
      </c>
      <c r="N391" s="140">
        <f t="shared" si="13"/>
        <v>44.75</v>
      </c>
      <c r="O391" s="140">
        <f t="shared" si="12"/>
        <v>243.875</v>
      </c>
      <c r="Q391" s="140">
        <v>233</v>
      </c>
    </row>
    <row r="392" spans="12:17" x14ac:dyDescent="0.35">
      <c r="L392" s="140">
        <v>390</v>
      </c>
      <c r="M392" s="148">
        <v>56</v>
      </c>
      <c r="N392" s="140">
        <f t="shared" si="13"/>
        <v>46.375</v>
      </c>
      <c r="O392" s="140">
        <f t="shared" si="12"/>
        <v>243.875</v>
      </c>
      <c r="Q392" s="140">
        <v>260</v>
      </c>
    </row>
    <row r="393" spans="12:17" x14ac:dyDescent="0.35">
      <c r="L393" s="140">
        <v>391</v>
      </c>
      <c r="M393" s="148">
        <v>48</v>
      </c>
      <c r="N393" s="140">
        <f t="shared" si="13"/>
        <v>49.25</v>
      </c>
      <c r="O393" s="140">
        <f t="shared" si="12"/>
        <v>243.875</v>
      </c>
      <c r="Q393" s="140">
        <v>241</v>
      </c>
    </row>
    <row r="394" spans="12:17" x14ac:dyDescent="0.35">
      <c r="L394" s="140">
        <v>392</v>
      </c>
      <c r="M394" s="148">
        <v>57</v>
      </c>
      <c r="N394" s="140">
        <f t="shared" si="13"/>
        <v>51.875</v>
      </c>
      <c r="O394" s="140">
        <f t="shared" si="12"/>
        <v>243.875</v>
      </c>
      <c r="Q394" s="140">
        <v>280</v>
      </c>
    </row>
    <row r="395" spans="12:17" x14ac:dyDescent="0.35">
      <c r="L395" s="140">
        <v>393</v>
      </c>
      <c r="M395" s="148">
        <v>43</v>
      </c>
      <c r="N395" s="140">
        <f t="shared" si="13"/>
        <v>55.25</v>
      </c>
      <c r="O395" s="140">
        <f t="shared" si="12"/>
        <v>243.875</v>
      </c>
      <c r="Q395" s="140">
        <v>278</v>
      </c>
    </row>
    <row r="396" spans="12:17" x14ac:dyDescent="0.35">
      <c r="L396" s="140">
        <v>394</v>
      </c>
      <c r="M396" s="148">
        <v>50</v>
      </c>
      <c r="N396" s="140">
        <f t="shared" si="13"/>
        <v>57</v>
      </c>
      <c r="O396" s="140">
        <f t="shared" si="12"/>
        <v>243.875</v>
      </c>
      <c r="Q396" s="140">
        <v>276</v>
      </c>
    </row>
    <row r="397" spans="12:17" x14ac:dyDescent="0.35">
      <c r="L397" s="140">
        <v>395</v>
      </c>
      <c r="M397" s="148">
        <v>60</v>
      </c>
      <c r="N397" s="140">
        <f t="shared" si="13"/>
        <v>58.875</v>
      </c>
      <c r="O397" s="140">
        <f t="shared" si="12"/>
        <v>243.875</v>
      </c>
      <c r="Q397" s="140">
        <v>277</v>
      </c>
    </row>
    <row r="398" spans="12:17" x14ac:dyDescent="0.35">
      <c r="L398" s="140">
        <v>396</v>
      </c>
      <c r="M398" s="148">
        <v>61</v>
      </c>
      <c r="N398" s="140">
        <f t="shared" si="13"/>
        <v>59</v>
      </c>
      <c r="O398" s="140">
        <f t="shared" si="12"/>
        <v>243.875</v>
      </c>
      <c r="Q398" s="140">
        <v>300</v>
      </c>
    </row>
    <row r="399" spans="12:17" x14ac:dyDescent="0.35">
      <c r="L399" s="140">
        <v>397</v>
      </c>
      <c r="M399" s="148">
        <v>67</v>
      </c>
      <c r="N399" s="140">
        <f t="shared" si="13"/>
        <v>61.75</v>
      </c>
      <c r="O399" s="140">
        <f t="shared" si="12"/>
        <v>243.875</v>
      </c>
      <c r="Q399" s="140">
        <v>320</v>
      </c>
    </row>
    <row r="400" spans="12:17" x14ac:dyDescent="0.35">
      <c r="L400" s="140">
        <v>398</v>
      </c>
      <c r="M400" s="148">
        <v>70</v>
      </c>
      <c r="N400" s="140">
        <f t="shared" si="13"/>
        <v>63.125</v>
      </c>
      <c r="O400" s="140">
        <f t="shared" si="12"/>
        <v>243.875</v>
      </c>
      <c r="Q400" s="140">
        <v>320</v>
      </c>
    </row>
    <row r="401" spans="12:17" x14ac:dyDescent="0.35">
      <c r="L401" s="140">
        <v>399</v>
      </c>
      <c r="M401" s="148">
        <v>63</v>
      </c>
      <c r="N401" s="140">
        <f t="shared" si="13"/>
        <v>65.5</v>
      </c>
      <c r="O401" s="140">
        <f t="shared" si="12"/>
        <v>243.875</v>
      </c>
      <c r="Q401" s="140">
        <v>324</v>
      </c>
    </row>
    <row r="402" spans="12:17" x14ac:dyDescent="0.35">
      <c r="L402" s="140">
        <v>400</v>
      </c>
      <c r="M402" s="148">
        <v>58</v>
      </c>
      <c r="N402" s="140">
        <f t="shared" si="13"/>
        <v>66.5</v>
      </c>
      <c r="O402" s="140">
        <f t="shared" si="12"/>
        <v>243.875</v>
      </c>
      <c r="Q402" s="140">
        <v>322</v>
      </c>
    </row>
    <row r="403" spans="12:17" x14ac:dyDescent="0.35">
      <c r="L403" s="140">
        <v>401</v>
      </c>
      <c r="M403" s="148">
        <v>65</v>
      </c>
      <c r="N403" s="140">
        <f t="shared" si="13"/>
        <v>66.625</v>
      </c>
      <c r="O403" s="140">
        <f t="shared" si="12"/>
        <v>243.875</v>
      </c>
      <c r="Q403" s="140">
        <v>323</v>
      </c>
    </row>
    <row r="404" spans="12:17" x14ac:dyDescent="0.35">
      <c r="L404" s="140">
        <v>402</v>
      </c>
      <c r="M404" s="148">
        <v>61</v>
      </c>
      <c r="N404" s="140">
        <f t="shared" si="13"/>
        <v>67.875</v>
      </c>
      <c r="O404" s="140">
        <f t="shared" si="12"/>
        <v>243.875</v>
      </c>
      <c r="Q404" s="140">
        <v>373</v>
      </c>
    </row>
    <row r="405" spans="12:17" x14ac:dyDescent="0.35">
      <c r="L405" s="140">
        <v>403</v>
      </c>
      <c r="M405" s="148">
        <v>79</v>
      </c>
      <c r="N405" s="140">
        <f t="shared" si="13"/>
        <v>71.25</v>
      </c>
      <c r="O405" s="140">
        <f t="shared" si="12"/>
        <v>243.875</v>
      </c>
      <c r="Q405" s="140">
        <v>356</v>
      </c>
    </row>
    <row r="406" spans="12:17" x14ac:dyDescent="0.35">
      <c r="L406" s="140">
        <v>404</v>
      </c>
      <c r="M406" s="148">
        <v>69</v>
      </c>
      <c r="N406" s="140">
        <f t="shared" si="13"/>
        <v>75.25</v>
      </c>
      <c r="O406" s="140">
        <f t="shared" si="12"/>
        <v>243.875</v>
      </c>
      <c r="Q406" s="140">
        <v>388</v>
      </c>
    </row>
    <row r="407" spans="12:17" x14ac:dyDescent="0.35">
      <c r="L407" s="140">
        <v>405</v>
      </c>
      <c r="M407" s="148">
        <v>68</v>
      </c>
      <c r="N407" s="140">
        <f t="shared" si="13"/>
        <v>78.125</v>
      </c>
      <c r="O407" s="140">
        <f t="shared" si="12"/>
        <v>243.875</v>
      </c>
      <c r="Q407" s="140">
        <v>399</v>
      </c>
    </row>
    <row r="408" spans="12:17" x14ac:dyDescent="0.35">
      <c r="L408" s="140">
        <v>406</v>
      </c>
      <c r="M408" s="148">
        <v>80</v>
      </c>
      <c r="N408" s="140">
        <f t="shared" si="13"/>
        <v>84.5</v>
      </c>
      <c r="O408" s="140">
        <f t="shared" si="12"/>
        <v>243.875</v>
      </c>
      <c r="Q408" s="140">
        <v>404</v>
      </c>
    </row>
    <row r="409" spans="12:17" x14ac:dyDescent="0.35">
      <c r="L409" s="140">
        <v>407</v>
      </c>
      <c r="M409" s="148">
        <v>90</v>
      </c>
      <c r="N409" s="140">
        <f t="shared" si="13"/>
        <v>87.125</v>
      </c>
      <c r="O409" s="140">
        <f t="shared" si="12"/>
        <v>243.875</v>
      </c>
      <c r="Q409" s="140">
        <v>408</v>
      </c>
    </row>
    <row r="410" spans="12:17" x14ac:dyDescent="0.35">
      <c r="L410" s="140">
        <v>408</v>
      </c>
      <c r="M410" s="148">
        <v>90</v>
      </c>
      <c r="N410" s="140">
        <f t="shared" si="13"/>
        <v>92</v>
      </c>
      <c r="O410" s="140">
        <f t="shared" si="12"/>
        <v>243.875</v>
      </c>
      <c r="Q410" s="140">
        <v>403</v>
      </c>
    </row>
    <row r="411" spans="12:17" x14ac:dyDescent="0.35">
      <c r="L411" s="140">
        <v>409</v>
      </c>
      <c r="M411" s="148">
        <v>88</v>
      </c>
      <c r="N411" s="140">
        <f t="shared" si="13"/>
        <v>95.5</v>
      </c>
      <c r="O411" s="140">
        <f t="shared" si="12"/>
        <v>243.875</v>
      </c>
      <c r="Q411" s="140">
        <v>406</v>
      </c>
    </row>
    <row r="412" spans="12:17" x14ac:dyDescent="0.35">
      <c r="L412" s="140">
        <v>410</v>
      </c>
      <c r="M412" s="148">
        <v>112</v>
      </c>
      <c r="N412" s="140">
        <f t="shared" si="13"/>
        <v>98</v>
      </c>
      <c r="O412" s="140">
        <f t="shared" si="12"/>
        <v>243.875</v>
      </c>
      <c r="Q412" s="140">
        <v>390</v>
      </c>
    </row>
    <row r="413" spans="12:17" x14ac:dyDescent="0.35">
      <c r="L413" s="140">
        <v>411</v>
      </c>
      <c r="M413" s="148">
        <v>100</v>
      </c>
      <c r="N413" s="140">
        <f t="shared" si="13"/>
        <v>101.625</v>
      </c>
      <c r="O413" s="140">
        <f t="shared" si="12"/>
        <v>243.875</v>
      </c>
      <c r="Q413" s="140">
        <v>452</v>
      </c>
    </row>
    <row r="414" spans="12:17" x14ac:dyDescent="0.35">
      <c r="L414" s="140">
        <v>412</v>
      </c>
      <c r="M414" s="148">
        <v>108</v>
      </c>
      <c r="N414" s="140">
        <f t="shared" si="13"/>
        <v>105.625</v>
      </c>
      <c r="O414" s="140">
        <f t="shared" si="12"/>
        <v>243.875</v>
      </c>
      <c r="Q414" s="140">
        <v>440</v>
      </c>
    </row>
    <row r="415" spans="12:17" x14ac:dyDescent="0.35">
      <c r="L415" s="140">
        <v>413</v>
      </c>
      <c r="M415" s="148">
        <v>96</v>
      </c>
      <c r="N415" s="140">
        <f t="shared" si="13"/>
        <v>109.25</v>
      </c>
      <c r="O415" s="140">
        <f t="shared" si="12"/>
        <v>243.875</v>
      </c>
      <c r="Q415" s="140">
        <v>496</v>
      </c>
    </row>
    <row r="416" spans="12:17" x14ac:dyDescent="0.35">
      <c r="L416" s="140">
        <v>414</v>
      </c>
      <c r="M416" s="148">
        <v>100</v>
      </c>
      <c r="N416" s="140">
        <f t="shared" si="13"/>
        <v>109.875</v>
      </c>
      <c r="O416" s="140">
        <f t="shared" si="12"/>
        <v>243.875</v>
      </c>
      <c r="Q416" s="140">
        <v>476</v>
      </c>
    </row>
    <row r="417" spans="12:17" x14ac:dyDescent="0.35">
      <c r="L417" s="140">
        <v>415</v>
      </c>
      <c r="M417" s="148">
        <v>119</v>
      </c>
      <c r="N417" s="140">
        <f t="shared" si="13"/>
        <v>114</v>
      </c>
      <c r="O417" s="140">
        <f t="shared" si="12"/>
        <v>243.875</v>
      </c>
      <c r="Q417" s="140">
        <v>503</v>
      </c>
    </row>
    <row r="418" spans="12:17" x14ac:dyDescent="0.35">
      <c r="L418" s="140">
        <v>416</v>
      </c>
      <c r="M418" s="148">
        <v>122</v>
      </c>
      <c r="N418" s="140">
        <f t="shared" si="13"/>
        <v>117.125</v>
      </c>
      <c r="O418" s="140">
        <f t="shared" si="12"/>
        <v>243.875</v>
      </c>
      <c r="Q418" s="140">
        <v>499</v>
      </c>
    </row>
    <row r="419" spans="12:17" x14ac:dyDescent="0.35">
      <c r="L419" s="140">
        <v>417</v>
      </c>
      <c r="M419" s="148">
        <v>117</v>
      </c>
      <c r="N419" s="140">
        <f t="shared" si="13"/>
        <v>120</v>
      </c>
      <c r="O419" s="140">
        <f t="shared" si="12"/>
        <v>243.875</v>
      </c>
      <c r="Q419" s="140">
        <v>532</v>
      </c>
    </row>
    <row r="420" spans="12:17" x14ac:dyDescent="0.35">
      <c r="L420" s="140">
        <v>418</v>
      </c>
      <c r="M420" s="148">
        <v>117</v>
      </c>
      <c r="N420" s="140">
        <f t="shared" si="13"/>
        <v>124.375</v>
      </c>
      <c r="O420" s="140">
        <f t="shared" si="12"/>
        <v>243.875</v>
      </c>
      <c r="Q420" s="140">
        <v>495</v>
      </c>
    </row>
    <row r="421" spans="12:17" x14ac:dyDescent="0.35">
      <c r="L421" s="140">
        <v>419</v>
      </c>
      <c r="M421" s="148">
        <v>133</v>
      </c>
      <c r="N421" s="140">
        <f t="shared" si="13"/>
        <v>126.875</v>
      </c>
      <c r="O421" s="140">
        <f t="shared" si="12"/>
        <v>243.875</v>
      </c>
      <c r="Q421" s="140">
        <v>521</v>
      </c>
    </row>
    <row r="422" spans="12:17" x14ac:dyDescent="0.35">
      <c r="L422" s="140">
        <v>420</v>
      </c>
      <c r="M422" s="148">
        <v>133</v>
      </c>
      <c r="N422" s="140">
        <f t="shared" si="13"/>
        <v>131.125</v>
      </c>
      <c r="O422" s="140">
        <f t="shared" si="12"/>
        <v>243.875</v>
      </c>
      <c r="Q422" s="140">
        <v>548</v>
      </c>
    </row>
    <row r="423" spans="12:17" x14ac:dyDescent="0.35">
      <c r="L423" s="140">
        <v>421</v>
      </c>
      <c r="M423" s="148">
        <v>119</v>
      </c>
      <c r="N423" s="140">
        <f t="shared" si="13"/>
        <v>135.375</v>
      </c>
      <c r="O423" s="140">
        <f t="shared" si="12"/>
        <v>243.875</v>
      </c>
      <c r="Q423" s="140">
        <v>568</v>
      </c>
    </row>
    <row r="424" spans="12:17" x14ac:dyDescent="0.35">
      <c r="L424" s="140">
        <v>422</v>
      </c>
      <c r="M424" s="148">
        <v>135</v>
      </c>
      <c r="N424" s="140">
        <f t="shared" si="13"/>
        <v>142.25</v>
      </c>
      <c r="O424" s="140">
        <f t="shared" si="12"/>
        <v>243.875</v>
      </c>
      <c r="Q424" s="140">
        <v>568</v>
      </c>
    </row>
    <row r="425" spans="12:17" x14ac:dyDescent="0.35">
      <c r="L425" s="140">
        <v>423</v>
      </c>
      <c r="M425" s="148">
        <v>139</v>
      </c>
      <c r="N425" s="140">
        <f t="shared" si="13"/>
        <v>146.875</v>
      </c>
      <c r="O425" s="140">
        <f t="shared" si="12"/>
        <v>243.875</v>
      </c>
      <c r="Q425" s="140">
        <v>563</v>
      </c>
    </row>
    <row r="426" spans="12:17" x14ac:dyDescent="0.35">
      <c r="L426" s="140">
        <v>424</v>
      </c>
      <c r="M426" s="148">
        <v>156</v>
      </c>
      <c r="N426" s="140">
        <f t="shared" si="13"/>
        <v>152.375</v>
      </c>
      <c r="O426" s="140">
        <f t="shared" si="12"/>
        <v>243.875</v>
      </c>
      <c r="Q426" s="140">
        <v>589</v>
      </c>
    </row>
    <row r="427" spans="12:17" x14ac:dyDescent="0.35">
      <c r="L427" s="140">
        <v>425</v>
      </c>
      <c r="M427" s="148">
        <v>151</v>
      </c>
      <c r="N427" s="140">
        <f t="shared" si="13"/>
        <v>157</v>
      </c>
      <c r="O427" s="140">
        <f t="shared" si="12"/>
        <v>243.875</v>
      </c>
      <c r="Q427" s="140">
        <v>567</v>
      </c>
    </row>
    <row r="428" spans="12:17" x14ac:dyDescent="0.35">
      <c r="L428" s="140">
        <v>426</v>
      </c>
      <c r="M428" s="148">
        <v>172</v>
      </c>
      <c r="N428" s="140">
        <f t="shared" si="13"/>
        <v>162.75</v>
      </c>
      <c r="O428" s="140">
        <f t="shared" si="12"/>
        <v>243.875</v>
      </c>
      <c r="Q428" s="140">
        <v>651</v>
      </c>
    </row>
    <row r="429" spans="12:17" x14ac:dyDescent="0.35">
      <c r="L429" s="140">
        <v>427</v>
      </c>
      <c r="M429" s="148">
        <v>170</v>
      </c>
      <c r="N429" s="140">
        <f t="shared" si="13"/>
        <v>168</v>
      </c>
      <c r="O429" s="140">
        <f t="shared" si="12"/>
        <v>243.875</v>
      </c>
      <c r="Q429" s="140">
        <v>603</v>
      </c>
    </row>
    <row r="430" spans="12:17" x14ac:dyDescent="0.35">
      <c r="L430" s="140">
        <v>428</v>
      </c>
      <c r="M430" s="148">
        <v>177</v>
      </c>
      <c r="N430" s="140">
        <f t="shared" si="13"/>
        <v>173.75</v>
      </c>
      <c r="O430" s="140">
        <f t="shared" si="12"/>
        <v>243.875</v>
      </c>
      <c r="Q430" s="140">
        <v>604</v>
      </c>
    </row>
    <row r="431" spans="12:17" x14ac:dyDescent="0.35">
      <c r="L431" s="140">
        <v>429</v>
      </c>
      <c r="M431" s="148">
        <v>156</v>
      </c>
      <c r="N431" s="140">
        <f t="shared" si="13"/>
        <v>178.625</v>
      </c>
      <c r="O431" s="140">
        <f t="shared" si="12"/>
        <v>243.875</v>
      </c>
      <c r="Q431" s="140">
        <v>652</v>
      </c>
    </row>
    <row r="432" spans="12:17" x14ac:dyDescent="0.35">
      <c r="L432" s="140">
        <v>430</v>
      </c>
      <c r="M432" s="148">
        <v>181</v>
      </c>
      <c r="N432" s="140">
        <f t="shared" si="13"/>
        <v>180.75</v>
      </c>
      <c r="O432" s="140">
        <f t="shared" si="12"/>
        <v>243.875</v>
      </c>
      <c r="Q432" s="140">
        <v>662</v>
      </c>
    </row>
    <row r="433" spans="12:17" x14ac:dyDescent="0.35">
      <c r="L433" s="140">
        <v>431</v>
      </c>
      <c r="M433" s="148">
        <v>181</v>
      </c>
      <c r="N433" s="140">
        <f t="shared" si="13"/>
        <v>184.125</v>
      </c>
      <c r="O433" s="140">
        <f t="shared" si="12"/>
        <v>243.875</v>
      </c>
      <c r="Q433" s="140">
        <v>653</v>
      </c>
    </row>
    <row r="434" spans="12:17" x14ac:dyDescent="0.35">
      <c r="L434" s="140">
        <v>432</v>
      </c>
      <c r="M434" s="148">
        <v>202</v>
      </c>
      <c r="N434" s="140">
        <f t="shared" si="13"/>
        <v>187.875</v>
      </c>
      <c r="O434" s="140">
        <f t="shared" si="12"/>
        <v>243.875</v>
      </c>
      <c r="Q434" s="140">
        <v>667</v>
      </c>
    </row>
    <row r="435" spans="12:17" x14ac:dyDescent="0.35">
      <c r="L435" s="140">
        <v>433</v>
      </c>
      <c r="M435" s="148">
        <v>190</v>
      </c>
      <c r="N435" s="140">
        <f t="shared" si="13"/>
        <v>193.625</v>
      </c>
      <c r="O435" s="140">
        <f t="shared" si="12"/>
        <v>243.875</v>
      </c>
      <c r="Q435" s="140">
        <v>676</v>
      </c>
    </row>
    <row r="436" spans="12:17" x14ac:dyDescent="0.35">
      <c r="L436" s="140">
        <v>434</v>
      </c>
      <c r="M436" s="148">
        <v>189</v>
      </c>
      <c r="N436" s="140">
        <f t="shared" si="13"/>
        <v>195.75</v>
      </c>
      <c r="O436" s="140">
        <f t="shared" si="12"/>
        <v>243.875</v>
      </c>
      <c r="Q436" s="140">
        <v>704</v>
      </c>
    </row>
    <row r="437" spans="12:17" x14ac:dyDescent="0.35">
      <c r="L437" s="140">
        <v>435</v>
      </c>
      <c r="M437" s="148">
        <v>197</v>
      </c>
      <c r="N437" s="140">
        <f t="shared" si="13"/>
        <v>205.625</v>
      </c>
      <c r="O437" s="140">
        <f t="shared" si="12"/>
        <v>243.875</v>
      </c>
      <c r="Q437" s="140">
        <v>760</v>
      </c>
    </row>
    <row r="438" spans="12:17" x14ac:dyDescent="0.35">
      <c r="L438" s="140">
        <v>436</v>
      </c>
      <c r="M438" s="148">
        <v>207</v>
      </c>
      <c r="N438" s="140">
        <f t="shared" si="13"/>
        <v>210</v>
      </c>
      <c r="O438" s="140">
        <f t="shared" si="12"/>
        <v>243.875</v>
      </c>
      <c r="Q438" s="140">
        <v>713</v>
      </c>
    </row>
    <row r="439" spans="12:17" x14ac:dyDescent="0.35">
      <c r="L439" s="140">
        <v>437</v>
      </c>
      <c r="M439" s="148">
        <v>202</v>
      </c>
      <c r="N439" s="140">
        <f t="shared" si="13"/>
        <v>218.625</v>
      </c>
      <c r="O439" s="140">
        <f t="shared" si="12"/>
        <v>243.875</v>
      </c>
      <c r="Q439" s="140">
        <v>672</v>
      </c>
    </row>
    <row r="440" spans="12:17" x14ac:dyDescent="0.35">
      <c r="L440" s="140">
        <v>438</v>
      </c>
      <c r="M440" s="148">
        <v>198</v>
      </c>
      <c r="N440" s="140">
        <f t="shared" si="13"/>
        <v>227.875</v>
      </c>
      <c r="O440" s="140">
        <f t="shared" si="12"/>
        <v>243.875</v>
      </c>
      <c r="Q440" s="140">
        <v>739</v>
      </c>
    </row>
    <row r="441" spans="12:17" x14ac:dyDescent="0.35">
      <c r="L441" s="140">
        <v>439</v>
      </c>
      <c r="M441" s="148">
        <v>260</v>
      </c>
      <c r="N441" s="140">
        <f t="shared" si="13"/>
        <v>235.5</v>
      </c>
      <c r="O441" s="140">
        <f t="shared" si="12"/>
        <v>243.875</v>
      </c>
      <c r="Q441" s="140">
        <v>805</v>
      </c>
    </row>
    <row r="442" spans="12:17" x14ac:dyDescent="0.35">
      <c r="L442" s="140">
        <v>440</v>
      </c>
      <c r="M442" s="148">
        <v>237</v>
      </c>
      <c r="N442" s="140">
        <f t="shared" si="13"/>
        <v>243</v>
      </c>
      <c r="O442" s="140">
        <f t="shared" si="12"/>
        <v>243.875</v>
      </c>
      <c r="Q442" s="140">
        <v>798</v>
      </c>
    </row>
    <row r="443" spans="12:17" x14ac:dyDescent="0.35">
      <c r="L443" s="140">
        <v>441</v>
      </c>
      <c r="M443" s="148">
        <v>259</v>
      </c>
      <c r="N443" s="140">
        <f t="shared" si="13"/>
        <v>251.625</v>
      </c>
      <c r="O443" s="140">
        <f t="shared" si="12"/>
        <v>243.875</v>
      </c>
      <c r="Q443" s="140">
        <v>792</v>
      </c>
    </row>
    <row r="444" spans="12:17" x14ac:dyDescent="0.35">
      <c r="L444" s="140">
        <v>442</v>
      </c>
      <c r="M444" s="148">
        <v>263</v>
      </c>
      <c r="N444" s="140">
        <f t="shared" si="13"/>
        <v>260.875</v>
      </c>
      <c r="O444" s="140">
        <f t="shared" si="12"/>
        <v>243.875</v>
      </c>
      <c r="Q444" s="140">
        <v>736</v>
      </c>
    </row>
    <row r="445" spans="12:17" x14ac:dyDescent="0.35">
      <c r="L445" s="140">
        <v>443</v>
      </c>
      <c r="M445" s="148">
        <v>258</v>
      </c>
      <c r="N445" s="140">
        <f t="shared" si="13"/>
        <v>261.25</v>
      </c>
      <c r="O445" s="140">
        <f t="shared" si="12"/>
        <v>243.875</v>
      </c>
      <c r="Q445" s="140">
        <v>792</v>
      </c>
    </row>
    <row r="446" spans="12:17" x14ac:dyDescent="0.35">
      <c r="L446" s="140">
        <v>444</v>
      </c>
      <c r="M446" s="148">
        <v>267</v>
      </c>
      <c r="N446" s="140">
        <f t="shared" si="13"/>
        <v>267.25</v>
      </c>
      <c r="O446" s="140">
        <f t="shared" si="12"/>
        <v>243.875</v>
      </c>
      <c r="Q446" s="140">
        <v>803</v>
      </c>
    </row>
    <row r="447" spans="12:17" x14ac:dyDescent="0.35">
      <c r="L447" s="140">
        <v>445</v>
      </c>
      <c r="M447" s="148">
        <v>271</v>
      </c>
      <c r="N447" s="140">
        <f t="shared" si="13"/>
        <v>273.375</v>
      </c>
      <c r="O447" s="140">
        <f t="shared" si="12"/>
        <v>243.875</v>
      </c>
      <c r="Q447" s="140">
        <v>822</v>
      </c>
    </row>
    <row r="448" spans="12:17" x14ac:dyDescent="0.35">
      <c r="L448" s="140">
        <v>446</v>
      </c>
      <c r="M448" s="148">
        <v>272</v>
      </c>
      <c r="N448" s="140">
        <f t="shared" si="13"/>
        <v>279.125</v>
      </c>
      <c r="O448" s="140">
        <f t="shared" si="12"/>
        <v>243.875</v>
      </c>
      <c r="Q448" s="140">
        <v>861</v>
      </c>
    </row>
    <row r="449" spans="12:17" x14ac:dyDescent="0.35">
      <c r="L449" s="140">
        <v>447</v>
      </c>
      <c r="M449" s="148">
        <v>263</v>
      </c>
      <c r="N449" s="140">
        <f t="shared" si="13"/>
        <v>287</v>
      </c>
      <c r="O449" s="140">
        <f t="shared" si="12"/>
        <v>243.875</v>
      </c>
      <c r="Q449" s="140">
        <v>851</v>
      </c>
    </row>
    <row r="450" spans="12:17" x14ac:dyDescent="0.35">
      <c r="L450" s="140">
        <v>448</v>
      </c>
      <c r="M450" s="148">
        <v>285</v>
      </c>
      <c r="N450" s="140">
        <f t="shared" si="13"/>
        <v>292.875</v>
      </c>
      <c r="O450" s="140">
        <f t="shared" ref="O450:O513" si="14">MAX($A$35)/2</f>
        <v>243.875</v>
      </c>
      <c r="Q450" s="140">
        <v>849</v>
      </c>
    </row>
    <row r="451" spans="12:17" x14ac:dyDescent="0.35">
      <c r="L451" s="140">
        <v>449</v>
      </c>
      <c r="M451" s="148">
        <v>308</v>
      </c>
      <c r="N451" s="140">
        <f t="shared" si="13"/>
        <v>306.625</v>
      </c>
      <c r="O451" s="140">
        <f t="shared" si="14"/>
        <v>243.875</v>
      </c>
      <c r="Q451" s="140">
        <v>821</v>
      </c>
    </row>
    <row r="452" spans="12:17" x14ac:dyDescent="0.35">
      <c r="L452" s="140">
        <v>450</v>
      </c>
      <c r="M452" s="148">
        <v>309</v>
      </c>
      <c r="N452" s="140">
        <f t="shared" si="13"/>
        <v>313.25</v>
      </c>
      <c r="O452" s="140">
        <f t="shared" si="14"/>
        <v>243.875</v>
      </c>
      <c r="Q452" s="140">
        <v>837</v>
      </c>
    </row>
    <row r="453" spans="12:17" x14ac:dyDescent="0.35">
      <c r="L453" s="140">
        <v>451</v>
      </c>
      <c r="M453" s="148">
        <v>321</v>
      </c>
      <c r="N453" s="140">
        <f t="shared" ref="N453:N516" si="15">AVERAGE(M450:M457)</f>
        <v>321.375</v>
      </c>
      <c r="O453" s="140">
        <f t="shared" si="14"/>
        <v>243.875</v>
      </c>
      <c r="Q453" s="140">
        <v>888</v>
      </c>
    </row>
    <row r="454" spans="12:17" x14ac:dyDescent="0.35">
      <c r="L454" s="140">
        <v>452</v>
      </c>
      <c r="M454" s="148">
        <v>314</v>
      </c>
      <c r="N454" s="140">
        <f t="shared" si="15"/>
        <v>330.125</v>
      </c>
      <c r="O454" s="140">
        <f t="shared" si="14"/>
        <v>243.875</v>
      </c>
      <c r="Q454" s="140">
        <v>886</v>
      </c>
    </row>
    <row r="455" spans="12:17" x14ac:dyDescent="0.35">
      <c r="L455" s="140">
        <v>453</v>
      </c>
      <c r="M455" s="148">
        <v>381</v>
      </c>
      <c r="N455" s="140">
        <f t="shared" si="15"/>
        <v>335.75</v>
      </c>
      <c r="O455" s="140">
        <f t="shared" si="14"/>
        <v>243.875</v>
      </c>
      <c r="Q455" s="140">
        <v>890</v>
      </c>
    </row>
    <row r="456" spans="12:17" x14ac:dyDescent="0.35">
      <c r="L456" s="140">
        <v>454</v>
      </c>
      <c r="M456" s="148">
        <v>325</v>
      </c>
      <c r="N456" s="140">
        <f t="shared" si="15"/>
        <v>339.875</v>
      </c>
      <c r="O456" s="140">
        <f t="shared" si="14"/>
        <v>243.875</v>
      </c>
      <c r="Q456" s="140">
        <v>856</v>
      </c>
    </row>
    <row r="457" spans="12:17" x14ac:dyDescent="0.35">
      <c r="L457" s="140">
        <v>455</v>
      </c>
      <c r="M457" s="148">
        <v>328</v>
      </c>
      <c r="N457" s="140">
        <f t="shared" si="15"/>
        <v>345.625</v>
      </c>
      <c r="O457" s="140">
        <f t="shared" si="14"/>
        <v>243.875</v>
      </c>
      <c r="Q457" s="140">
        <v>896</v>
      </c>
    </row>
    <row r="458" spans="12:17" x14ac:dyDescent="0.35">
      <c r="L458" s="140">
        <v>456</v>
      </c>
      <c r="M458" s="148">
        <v>355</v>
      </c>
      <c r="N458" s="140">
        <f t="shared" si="15"/>
        <v>349.5</v>
      </c>
      <c r="O458" s="140">
        <f t="shared" si="14"/>
        <v>243.875</v>
      </c>
      <c r="Q458" s="140">
        <v>884</v>
      </c>
    </row>
    <row r="459" spans="12:17" x14ac:dyDescent="0.35">
      <c r="L459" s="140">
        <v>457</v>
      </c>
      <c r="M459" s="148">
        <v>353</v>
      </c>
      <c r="N459" s="140">
        <f t="shared" si="15"/>
        <v>345.125</v>
      </c>
      <c r="O459" s="140">
        <f t="shared" si="14"/>
        <v>243.875</v>
      </c>
      <c r="Q459" s="140">
        <v>882</v>
      </c>
    </row>
    <row r="460" spans="12:17" x14ac:dyDescent="0.35">
      <c r="L460" s="140">
        <v>458</v>
      </c>
      <c r="M460" s="148">
        <v>342</v>
      </c>
      <c r="N460" s="140">
        <f t="shared" si="15"/>
        <v>351.125</v>
      </c>
      <c r="O460" s="140">
        <f t="shared" si="14"/>
        <v>243.875</v>
      </c>
      <c r="Q460" s="140">
        <v>891</v>
      </c>
    </row>
    <row r="461" spans="12:17" x14ac:dyDescent="0.35">
      <c r="L461" s="140">
        <v>459</v>
      </c>
      <c r="M461" s="148">
        <v>367</v>
      </c>
      <c r="N461" s="140">
        <f t="shared" si="15"/>
        <v>358.75</v>
      </c>
      <c r="O461" s="140">
        <f t="shared" si="14"/>
        <v>243.875</v>
      </c>
      <c r="Q461" s="140">
        <v>951</v>
      </c>
    </row>
    <row r="462" spans="12:17" x14ac:dyDescent="0.35">
      <c r="L462" s="140">
        <v>460</v>
      </c>
      <c r="M462" s="148">
        <v>345</v>
      </c>
      <c r="N462" s="140">
        <f t="shared" si="15"/>
        <v>359.625</v>
      </c>
      <c r="O462" s="140">
        <f t="shared" si="14"/>
        <v>243.875</v>
      </c>
      <c r="Q462" s="140">
        <v>890</v>
      </c>
    </row>
    <row r="463" spans="12:17" x14ac:dyDescent="0.35">
      <c r="L463" s="140">
        <v>461</v>
      </c>
      <c r="M463" s="148">
        <v>346</v>
      </c>
      <c r="N463" s="140">
        <f t="shared" si="15"/>
        <v>364.375</v>
      </c>
      <c r="O463" s="140">
        <f t="shared" si="14"/>
        <v>243.875</v>
      </c>
      <c r="Q463" s="140">
        <v>889</v>
      </c>
    </row>
    <row r="464" spans="12:17" x14ac:dyDescent="0.35">
      <c r="L464" s="140">
        <v>462</v>
      </c>
      <c r="M464" s="148">
        <v>373</v>
      </c>
      <c r="N464" s="140">
        <f t="shared" si="15"/>
        <v>368.875</v>
      </c>
      <c r="O464" s="140">
        <f t="shared" si="14"/>
        <v>243.875</v>
      </c>
      <c r="Q464" s="140">
        <v>911</v>
      </c>
    </row>
    <row r="465" spans="12:17" x14ac:dyDescent="0.35">
      <c r="L465" s="140">
        <v>463</v>
      </c>
      <c r="M465" s="148">
        <v>389</v>
      </c>
      <c r="N465" s="140">
        <f t="shared" si="15"/>
        <v>371.5</v>
      </c>
      <c r="O465" s="140">
        <f t="shared" si="14"/>
        <v>243.875</v>
      </c>
      <c r="Q465" s="140">
        <v>974</v>
      </c>
    </row>
    <row r="466" spans="12:17" x14ac:dyDescent="0.35">
      <c r="L466" s="140">
        <v>464</v>
      </c>
      <c r="M466" s="148">
        <v>362</v>
      </c>
      <c r="N466" s="140">
        <f t="shared" si="15"/>
        <v>376.375</v>
      </c>
      <c r="O466" s="140">
        <f t="shared" si="14"/>
        <v>243.875</v>
      </c>
      <c r="Q466" s="140">
        <v>856</v>
      </c>
    </row>
    <row r="467" spans="12:17" x14ac:dyDescent="0.35">
      <c r="L467" s="140">
        <v>465</v>
      </c>
      <c r="M467" s="148">
        <v>391</v>
      </c>
      <c r="N467" s="140">
        <f t="shared" si="15"/>
        <v>381.25</v>
      </c>
      <c r="O467" s="140">
        <f t="shared" si="14"/>
        <v>243.875</v>
      </c>
      <c r="Q467" s="140">
        <v>932</v>
      </c>
    </row>
    <row r="468" spans="12:17" x14ac:dyDescent="0.35">
      <c r="L468" s="140">
        <v>466</v>
      </c>
      <c r="M468" s="148">
        <v>378</v>
      </c>
      <c r="N468" s="140">
        <f t="shared" si="15"/>
        <v>389.875</v>
      </c>
      <c r="O468" s="140">
        <f t="shared" si="14"/>
        <v>243.875</v>
      </c>
      <c r="Q468" s="140">
        <v>924</v>
      </c>
    </row>
    <row r="469" spans="12:17" x14ac:dyDescent="0.35">
      <c r="L469" s="140">
        <v>467</v>
      </c>
      <c r="M469" s="148">
        <v>388</v>
      </c>
      <c r="N469" s="140">
        <f t="shared" si="15"/>
        <v>391.75</v>
      </c>
      <c r="O469" s="140">
        <f t="shared" si="14"/>
        <v>243.875</v>
      </c>
      <c r="Q469" s="140">
        <v>910</v>
      </c>
    </row>
    <row r="470" spans="12:17" x14ac:dyDescent="0.35">
      <c r="L470" s="140">
        <v>468</v>
      </c>
      <c r="M470" s="148">
        <v>384</v>
      </c>
      <c r="N470" s="140">
        <f t="shared" si="15"/>
        <v>396.5</v>
      </c>
      <c r="O470" s="140">
        <f t="shared" si="14"/>
        <v>243.875</v>
      </c>
      <c r="Q470" s="140">
        <v>927</v>
      </c>
    </row>
    <row r="471" spans="12:17" x14ac:dyDescent="0.35">
      <c r="L471" s="140">
        <v>469</v>
      </c>
      <c r="M471" s="148">
        <v>385</v>
      </c>
      <c r="N471" s="140">
        <f t="shared" si="15"/>
        <v>404.375</v>
      </c>
      <c r="O471" s="140">
        <f t="shared" si="14"/>
        <v>243.875</v>
      </c>
      <c r="Q471" s="140">
        <v>997</v>
      </c>
    </row>
    <row r="472" spans="12:17" x14ac:dyDescent="0.35">
      <c r="L472" s="140">
        <v>470</v>
      </c>
      <c r="M472" s="148">
        <v>442</v>
      </c>
      <c r="N472" s="140">
        <f t="shared" si="15"/>
        <v>411</v>
      </c>
      <c r="O472" s="140">
        <f t="shared" si="14"/>
        <v>243.875</v>
      </c>
      <c r="Q472" s="140">
        <v>987</v>
      </c>
    </row>
    <row r="473" spans="12:17" x14ac:dyDescent="0.35">
      <c r="L473" s="140">
        <v>471</v>
      </c>
      <c r="M473" s="148">
        <v>404</v>
      </c>
      <c r="N473" s="140">
        <f t="shared" si="15"/>
        <v>416</v>
      </c>
      <c r="O473" s="140">
        <f t="shared" si="14"/>
        <v>243.875</v>
      </c>
      <c r="Q473" s="140">
        <v>946</v>
      </c>
    </row>
    <row r="474" spans="12:17" x14ac:dyDescent="0.35">
      <c r="L474" s="140">
        <v>472</v>
      </c>
      <c r="M474" s="148">
        <v>400</v>
      </c>
      <c r="N474" s="140">
        <f t="shared" si="15"/>
        <v>416.875</v>
      </c>
      <c r="O474" s="140">
        <f t="shared" si="14"/>
        <v>243.875</v>
      </c>
      <c r="Q474" s="140">
        <v>976</v>
      </c>
    </row>
    <row r="475" spans="12:17" x14ac:dyDescent="0.35">
      <c r="L475" s="140">
        <v>473</v>
      </c>
      <c r="M475" s="148">
        <v>454</v>
      </c>
      <c r="N475" s="140">
        <f t="shared" si="15"/>
        <v>424.875</v>
      </c>
      <c r="O475" s="140">
        <f t="shared" si="14"/>
        <v>243.875</v>
      </c>
      <c r="Q475" s="140">
        <v>891</v>
      </c>
    </row>
    <row r="476" spans="12:17" x14ac:dyDescent="0.35">
      <c r="L476" s="140">
        <v>474</v>
      </c>
      <c r="M476" s="148">
        <v>431</v>
      </c>
      <c r="N476" s="140">
        <f t="shared" si="15"/>
        <v>427.5</v>
      </c>
      <c r="O476" s="140">
        <f t="shared" si="14"/>
        <v>243.875</v>
      </c>
      <c r="Q476" s="140">
        <v>984</v>
      </c>
    </row>
    <row r="477" spans="12:17" x14ac:dyDescent="0.35">
      <c r="L477" s="140">
        <v>475</v>
      </c>
      <c r="M477" s="148">
        <v>428</v>
      </c>
      <c r="N477" s="140">
        <f t="shared" si="15"/>
        <v>432.5</v>
      </c>
      <c r="O477" s="140">
        <f t="shared" si="14"/>
        <v>243.875</v>
      </c>
      <c r="Q477" s="140">
        <v>951</v>
      </c>
    </row>
    <row r="478" spans="12:17" x14ac:dyDescent="0.35">
      <c r="L478" s="140">
        <v>476</v>
      </c>
      <c r="M478" s="148">
        <v>391</v>
      </c>
      <c r="N478" s="140">
        <f t="shared" si="15"/>
        <v>440.625</v>
      </c>
      <c r="O478" s="140">
        <f t="shared" si="14"/>
        <v>243.875</v>
      </c>
      <c r="Q478" s="140">
        <v>984</v>
      </c>
    </row>
    <row r="479" spans="12:17" x14ac:dyDescent="0.35">
      <c r="L479" s="140">
        <v>477</v>
      </c>
      <c r="M479" s="148">
        <v>449</v>
      </c>
      <c r="N479" s="140">
        <f t="shared" si="15"/>
        <v>440.25</v>
      </c>
      <c r="O479" s="140">
        <f t="shared" si="14"/>
        <v>243.875</v>
      </c>
      <c r="Q479" s="140">
        <v>973</v>
      </c>
    </row>
    <row r="480" spans="12:17" x14ac:dyDescent="0.35">
      <c r="L480" s="140">
        <v>478</v>
      </c>
      <c r="M480" s="148">
        <v>463</v>
      </c>
      <c r="N480" s="140">
        <f t="shared" si="15"/>
        <v>441.5</v>
      </c>
      <c r="O480" s="140">
        <f t="shared" si="14"/>
        <v>243.875</v>
      </c>
      <c r="Q480" s="140">
        <v>940</v>
      </c>
    </row>
    <row r="481" spans="12:17" x14ac:dyDescent="0.35">
      <c r="L481" s="140">
        <v>479</v>
      </c>
      <c r="M481" s="148">
        <v>444</v>
      </c>
      <c r="N481" s="140">
        <f t="shared" si="15"/>
        <v>443.75</v>
      </c>
      <c r="O481" s="140">
        <f t="shared" si="14"/>
        <v>243.875</v>
      </c>
      <c r="Q481" s="140">
        <v>990</v>
      </c>
    </row>
    <row r="482" spans="12:17" x14ac:dyDescent="0.35">
      <c r="L482" s="140">
        <v>480</v>
      </c>
      <c r="M482" s="148">
        <v>465</v>
      </c>
      <c r="N482" s="140">
        <f t="shared" si="15"/>
        <v>455.75</v>
      </c>
      <c r="O482" s="140">
        <f t="shared" si="14"/>
        <v>243.875</v>
      </c>
      <c r="Q482" s="140">
        <v>994</v>
      </c>
    </row>
    <row r="483" spans="12:17" x14ac:dyDescent="0.35">
      <c r="L483" s="140">
        <v>481</v>
      </c>
      <c r="M483" s="148">
        <v>451</v>
      </c>
      <c r="N483" s="140">
        <f t="shared" si="15"/>
        <v>457.75</v>
      </c>
      <c r="O483" s="140">
        <f t="shared" si="14"/>
        <v>243.875</v>
      </c>
      <c r="Q483" s="140">
        <v>958</v>
      </c>
    </row>
    <row r="484" spans="12:17" x14ac:dyDescent="0.35">
      <c r="L484" s="140">
        <v>482</v>
      </c>
      <c r="M484" s="148">
        <v>441</v>
      </c>
      <c r="N484" s="140">
        <f t="shared" si="15"/>
        <v>457</v>
      </c>
      <c r="O484" s="140">
        <f t="shared" si="14"/>
        <v>243.875</v>
      </c>
      <c r="Q484" s="140">
        <v>981</v>
      </c>
    </row>
    <row r="485" spans="12:17" x14ac:dyDescent="0.35">
      <c r="L485" s="140">
        <v>483</v>
      </c>
      <c r="M485" s="148">
        <v>446</v>
      </c>
      <c r="N485" s="140">
        <f t="shared" si="15"/>
        <v>463.5</v>
      </c>
      <c r="O485" s="140">
        <f t="shared" si="14"/>
        <v>243.875</v>
      </c>
      <c r="Q485" s="140">
        <v>976</v>
      </c>
    </row>
    <row r="486" spans="12:17" x14ac:dyDescent="0.35">
      <c r="L486" s="140">
        <v>484</v>
      </c>
      <c r="M486" s="148">
        <v>487</v>
      </c>
      <c r="N486" s="140">
        <f t="shared" si="15"/>
        <v>468.875</v>
      </c>
      <c r="O486" s="140">
        <f t="shared" si="14"/>
        <v>243.875</v>
      </c>
      <c r="Q486" s="140">
        <v>955</v>
      </c>
    </row>
    <row r="487" spans="12:17" x14ac:dyDescent="0.35">
      <c r="L487" s="140">
        <v>485</v>
      </c>
      <c r="M487" s="148">
        <v>465</v>
      </c>
      <c r="N487" s="140">
        <f t="shared" si="15"/>
        <v>472.75</v>
      </c>
      <c r="O487" s="140">
        <f t="shared" si="14"/>
        <v>243.875</v>
      </c>
      <c r="Q487" s="140">
        <v>906</v>
      </c>
    </row>
    <row r="488" spans="12:17" x14ac:dyDescent="0.35">
      <c r="L488" s="140">
        <v>486</v>
      </c>
      <c r="M488" s="148">
        <v>457</v>
      </c>
      <c r="N488" s="140">
        <f t="shared" si="15"/>
        <v>477.75</v>
      </c>
      <c r="O488" s="140">
        <f t="shared" si="14"/>
        <v>243.875</v>
      </c>
      <c r="Q488" s="140">
        <v>976</v>
      </c>
    </row>
    <row r="489" spans="12:17" x14ac:dyDescent="0.35">
      <c r="L489" s="140">
        <v>487</v>
      </c>
      <c r="M489" s="148">
        <v>496</v>
      </c>
      <c r="N489" s="140">
        <f t="shared" si="15"/>
        <v>487.75</v>
      </c>
      <c r="O489" s="140">
        <f t="shared" si="14"/>
        <v>243.875</v>
      </c>
      <c r="Q489" s="140">
        <v>936</v>
      </c>
    </row>
    <row r="490" spans="12:17" x14ac:dyDescent="0.35">
      <c r="L490" s="140">
        <v>488</v>
      </c>
      <c r="M490" s="148">
        <v>508</v>
      </c>
      <c r="N490" s="140">
        <f t="shared" si="15"/>
        <v>481.375</v>
      </c>
      <c r="O490" s="140">
        <f t="shared" si="14"/>
        <v>243.875</v>
      </c>
      <c r="Q490" s="140">
        <v>963</v>
      </c>
    </row>
    <row r="491" spans="12:17" x14ac:dyDescent="0.35">
      <c r="L491" s="140">
        <v>489</v>
      </c>
      <c r="M491" s="148">
        <v>482</v>
      </c>
      <c r="N491" s="140">
        <f t="shared" si="15"/>
        <v>482.875</v>
      </c>
      <c r="O491" s="140">
        <f t="shared" si="14"/>
        <v>243.875</v>
      </c>
      <c r="Q491" s="140">
        <v>932</v>
      </c>
    </row>
    <row r="492" spans="12:17" x14ac:dyDescent="0.35">
      <c r="L492" s="140">
        <v>490</v>
      </c>
      <c r="M492" s="148">
        <v>481</v>
      </c>
      <c r="N492" s="140">
        <f t="shared" si="15"/>
        <v>486.125</v>
      </c>
      <c r="O492" s="140">
        <f t="shared" si="14"/>
        <v>243.875</v>
      </c>
      <c r="Q492" s="140">
        <v>918</v>
      </c>
    </row>
    <row r="493" spans="12:17" x14ac:dyDescent="0.35">
      <c r="L493" s="140">
        <v>491</v>
      </c>
      <c r="M493" s="148">
        <v>526</v>
      </c>
      <c r="N493" s="140">
        <f t="shared" si="15"/>
        <v>485.25</v>
      </c>
      <c r="O493" s="140">
        <f t="shared" si="14"/>
        <v>243.875</v>
      </c>
      <c r="Q493" s="140">
        <v>935</v>
      </c>
    </row>
    <row r="494" spans="12:17" x14ac:dyDescent="0.35">
      <c r="L494" s="140">
        <v>492</v>
      </c>
      <c r="M494" s="148">
        <v>436</v>
      </c>
      <c r="N494" s="140">
        <f t="shared" si="15"/>
        <v>483</v>
      </c>
      <c r="O494" s="140">
        <f t="shared" si="14"/>
        <v>243.875</v>
      </c>
      <c r="Q494" s="140">
        <v>901</v>
      </c>
    </row>
    <row r="495" spans="12:17" x14ac:dyDescent="0.35">
      <c r="L495" s="140">
        <v>493</v>
      </c>
      <c r="M495" s="148">
        <v>477</v>
      </c>
      <c r="N495" s="140">
        <f t="shared" si="15"/>
        <v>481.875</v>
      </c>
      <c r="O495" s="140">
        <f t="shared" si="14"/>
        <v>243.875</v>
      </c>
      <c r="Q495" s="140">
        <v>910</v>
      </c>
    </row>
    <row r="496" spans="12:17" x14ac:dyDescent="0.35">
      <c r="L496" s="140">
        <v>494</v>
      </c>
      <c r="M496" s="148">
        <v>483</v>
      </c>
      <c r="N496" s="140">
        <f t="shared" si="15"/>
        <v>481.25</v>
      </c>
      <c r="O496" s="140">
        <f t="shared" si="14"/>
        <v>243.875</v>
      </c>
      <c r="Q496" s="140">
        <v>953</v>
      </c>
    </row>
    <row r="497" spans="12:17" x14ac:dyDescent="0.35">
      <c r="L497" s="140">
        <v>495</v>
      </c>
      <c r="M497" s="148">
        <v>489</v>
      </c>
      <c r="N497" s="140">
        <f t="shared" si="15"/>
        <v>479.875</v>
      </c>
      <c r="O497" s="140">
        <f t="shared" si="14"/>
        <v>243.875</v>
      </c>
      <c r="Q497" s="140">
        <v>982</v>
      </c>
    </row>
    <row r="498" spans="12:17" x14ac:dyDescent="0.35">
      <c r="L498" s="140">
        <v>496</v>
      </c>
      <c r="M498" s="148">
        <v>490</v>
      </c>
      <c r="N498" s="140">
        <f t="shared" si="15"/>
        <v>481.875</v>
      </c>
      <c r="O498" s="140">
        <f t="shared" si="14"/>
        <v>243.875</v>
      </c>
      <c r="Q498" s="140">
        <v>932</v>
      </c>
    </row>
    <row r="499" spans="12:17" x14ac:dyDescent="0.35">
      <c r="L499" s="140">
        <v>497</v>
      </c>
      <c r="M499" s="148">
        <v>473</v>
      </c>
      <c r="N499" s="140">
        <f t="shared" si="15"/>
        <v>485</v>
      </c>
      <c r="O499" s="140">
        <f t="shared" si="14"/>
        <v>243.875</v>
      </c>
      <c r="Q499" s="140">
        <v>915</v>
      </c>
    </row>
    <row r="500" spans="12:17" x14ac:dyDescent="0.35">
      <c r="L500" s="140">
        <v>498</v>
      </c>
      <c r="M500" s="148">
        <v>476</v>
      </c>
      <c r="N500" s="140">
        <f t="shared" si="15"/>
        <v>485.125</v>
      </c>
      <c r="O500" s="140">
        <f t="shared" si="14"/>
        <v>243.875</v>
      </c>
      <c r="Q500" s="140">
        <v>954</v>
      </c>
    </row>
    <row r="501" spans="12:17" x14ac:dyDescent="0.35">
      <c r="L501" s="140">
        <v>499</v>
      </c>
      <c r="M501" s="148">
        <v>515</v>
      </c>
      <c r="N501" s="140">
        <f t="shared" si="15"/>
        <v>479.625</v>
      </c>
      <c r="O501" s="140">
        <f t="shared" si="14"/>
        <v>243.875</v>
      </c>
      <c r="Q501" s="140">
        <v>960</v>
      </c>
    </row>
    <row r="502" spans="12:17" x14ac:dyDescent="0.35">
      <c r="L502" s="140">
        <v>500</v>
      </c>
      <c r="M502" s="148">
        <v>452</v>
      </c>
      <c r="N502" s="140">
        <f t="shared" si="15"/>
        <v>476</v>
      </c>
      <c r="O502" s="140">
        <f t="shared" si="14"/>
        <v>243.875</v>
      </c>
      <c r="Q502" s="140">
        <v>948</v>
      </c>
    </row>
    <row r="503" spans="12:17" x14ac:dyDescent="0.35">
      <c r="L503" s="140">
        <v>501</v>
      </c>
      <c r="M503" s="148">
        <v>502</v>
      </c>
      <c r="N503" s="140">
        <f t="shared" si="15"/>
        <v>478.25</v>
      </c>
      <c r="O503" s="140">
        <f t="shared" si="14"/>
        <v>243.875</v>
      </c>
      <c r="Q503" s="140">
        <v>942</v>
      </c>
    </row>
    <row r="504" spans="12:17" x14ac:dyDescent="0.35">
      <c r="L504" s="140">
        <v>502</v>
      </c>
      <c r="M504" s="148">
        <v>484</v>
      </c>
      <c r="N504" s="140">
        <f t="shared" si="15"/>
        <v>480.625</v>
      </c>
      <c r="O504" s="140">
        <f t="shared" si="14"/>
        <v>243.875</v>
      </c>
      <c r="Q504" s="140">
        <v>909</v>
      </c>
    </row>
    <row r="505" spans="12:17" x14ac:dyDescent="0.35">
      <c r="L505" s="140">
        <v>503</v>
      </c>
      <c r="M505" s="148">
        <v>445</v>
      </c>
      <c r="N505" s="140">
        <f t="shared" si="15"/>
        <v>475.625</v>
      </c>
      <c r="O505" s="140">
        <f t="shared" si="14"/>
        <v>243.875</v>
      </c>
      <c r="Q505" s="140">
        <v>988</v>
      </c>
    </row>
    <row r="506" spans="12:17" x14ac:dyDescent="0.35">
      <c r="L506" s="140">
        <v>504</v>
      </c>
      <c r="M506" s="148">
        <v>461</v>
      </c>
      <c r="N506" s="140">
        <f t="shared" si="15"/>
        <v>479.125</v>
      </c>
      <c r="O506" s="140">
        <f t="shared" si="14"/>
        <v>243.875</v>
      </c>
      <c r="Q506" s="140">
        <v>908</v>
      </c>
    </row>
    <row r="507" spans="12:17" x14ac:dyDescent="0.35">
      <c r="L507" s="140">
        <v>505</v>
      </c>
      <c r="M507" s="148">
        <v>491</v>
      </c>
      <c r="N507" s="140">
        <f t="shared" si="15"/>
        <v>477.875</v>
      </c>
      <c r="O507" s="140">
        <f t="shared" si="14"/>
        <v>243.875</v>
      </c>
      <c r="Q507" s="140">
        <v>941</v>
      </c>
    </row>
    <row r="508" spans="12:17" x14ac:dyDescent="0.35">
      <c r="L508" s="140">
        <v>506</v>
      </c>
      <c r="M508" s="148">
        <v>495</v>
      </c>
      <c r="N508" s="140">
        <f t="shared" si="15"/>
        <v>475.5</v>
      </c>
      <c r="O508" s="140">
        <f t="shared" si="14"/>
        <v>243.875</v>
      </c>
      <c r="Q508" s="140">
        <v>924</v>
      </c>
    </row>
    <row r="509" spans="12:17" x14ac:dyDescent="0.35">
      <c r="L509" s="140">
        <v>507</v>
      </c>
      <c r="M509" s="148">
        <v>475</v>
      </c>
      <c r="N509" s="140">
        <f t="shared" si="15"/>
        <v>479.875</v>
      </c>
      <c r="O509" s="140">
        <f t="shared" si="14"/>
        <v>243.875</v>
      </c>
      <c r="Q509" s="140">
        <v>893</v>
      </c>
    </row>
    <row r="510" spans="12:17" x14ac:dyDescent="0.35">
      <c r="L510" s="140">
        <v>508</v>
      </c>
      <c r="M510" s="148">
        <v>480</v>
      </c>
      <c r="N510" s="140">
        <f t="shared" si="15"/>
        <v>484.5</v>
      </c>
      <c r="O510" s="140">
        <f t="shared" si="14"/>
        <v>243.875</v>
      </c>
      <c r="Q510" s="140">
        <v>904</v>
      </c>
    </row>
    <row r="511" spans="12:17" x14ac:dyDescent="0.35">
      <c r="L511" s="140">
        <v>509</v>
      </c>
      <c r="M511" s="148">
        <v>492</v>
      </c>
      <c r="N511" s="140">
        <f t="shared" si="15"/>
        <v>485</v>
      </c>
      <c r="O511" s="140">
        <f t="shared" si="14"/>
        <v>243.875</v>
      </c>
      <c r="Q511" s="140">
        <v>901</v>
      </c>
    </row>
    <row r="512" spans="12:17" x14ac:dyDescent="0.35">
      <c r="L512" s="140">
        <v>510</v>
      </c>
      <c r="M512" s="148">
        <v>465</v>
      </c>
      <c r="N512" s="140">
        <f t="shared" si="15"/>
        <v>478</v>
      </c>
      <c r="O512" s="140">
        <f t="shared" si="14"/>
        <v>243.875</v>
      </c>
      <c r="Q512" s="140">
        <v>847</v>
      </c>
    </row>
    <row r="513" spans="12:17" x14ac:dyDescent="0.35">
      <c r="L513" s="140">
        <v>511</v>
      </c>
      <c r="M513" s="148">
        <v>480</v>
      </c>
      <c r="N513" s="140">
        <f t="shared" si="15"/>
        <v>474.875</v>
      </c>
      <c r="O513" s="140">
        <f t="shared" si="14"/>
        <v>243.875</v>
      </c>
      <c r="Q513" s="140">
        <v>875</v>
      </c>
    </row>
    <row r="514" spans="12:17" x14ac:dyDescent="0.35">
      <c r="L514" s="140">
        <v>512</v>
      </c>
      <c r="M514" s="148">
        <v>498</v>
      </c>
      <c r="N514" s="140">
        <f t="shared" si="15"/>
        <v>473.75</v>
      </c>
      <c r="O514" s="140">
        <f t="shared" ref="O514:O577" si="16">MAX($A$35)/2</f>
        <v>243.875</v>
      </c>
      <c r="Q514" s="140">
        <v>838</v>
      </c>
    </row>
    <row r="515" spans="12:17" x14ac:dyDescent="0.35">
      <c r="L515" s="140">
        <v>513</v>
      </c>
      <c r="M515" s="148">
        <v>495</v>
      </c>
      <c r="N515" s="140">
        <f t="shared" si="15"/>
        <v>470.75</v>
      </c>
      <c r="O515" s="140">
        <f t="shared" si="16"/>
        <v>243.875</v>
      </c>
      <c r="Q515" s="140">
        <v>837</v>
      </c>
    </row>
    <row r="516" spans="12:17" x14ac:dyDescent="0.35">
      <c r="L516" s="140">
        <v>514</v>
      </c>
      <c r="M516" s="148">
        <v>439</v>
      </c>
      <c r="N516" s="140">
        <f t="shared" si="15"/>
        <v>471.875</v>
      </c>
      <c r="O516" s="140">
        <f t="shared" si="16"/>
        <v>243.875</v>
      </c>
      <c r="Q516" s="140">
        <v>856</v>
      </c>
    </row>
    <row r="517" spans="12:17" x14ac:dyDescent="0.35">
      <c r="L517" s="140">
        <v>515</v>
      </c>
      <c r="M517" s="148">
        <v>450</v>
      </c>
      <c r="N517" s="140">
        <f t="shared" ref="N517:N580" si="17">AVERAGE(M514:M521)</f>
        <v>471.75</v>
      </c>
      <c r="O517" s="140">
        <f t="shared" si="16"/>
        <v>243.875</v>
      </c>
      <c r="Q517" s="140">
        <v>810</v>
      </c>
    </row>
    <row r="518" spans="12:17" x14ac:dyDescent="0.35">
      <c r="L518" s="140">
        <v>516</v>
      </c>
      <c r="M518" s="148">
        <v>471</v>
      </c>
      <c r="N518" s="140">
        <f t="shared" si="17"/>
        <v>470.875</v>
      </c>
      <c r="O518" s="140">
        <f t="shared" si="16"/>
        <v>243.875</v>
      </c>
      <c r="Q518" s="140">
        <v>872</v>
      </c>
    </row>
    <row r="519" spans="12:17" x14ac:dyDescent="0.35">
      <c r="L519" s="140">
        <v>517</v>
      </c>
      <c r="M519" s="148">
        <v>468</v>
      </c>
      <c r="N519" s="140">
        <f t="shared" si="17"/>
        <v>467.5</v>
      </c>
      <c r="O519" s="140">
        <f t="shared" si="16"/>
        <v>243.875</v>
      </c>
      <c r="Q519" s="140">
        <v>817</v>
      </c>
    </row>
    <row r="520" spans="12:17" x14ac:dyDescent="0.35">
      <c r="L520" s="140">
        <v>518</v>
      </c>
      <c r="M520" s="148">
        <v>474</v>
      </c>
      <c r="N520" s="140">
        <f t="shared" si="17"/>
        <v>466.375</v>
      </c>
      <c r="O520" s="140">
        <f t="shared" si="16"/>
        <v>243.875</v>
      </c>
      <c r="Q520" s="140">
        <v>857</v>
      </c>
    </row>
    <row r="521" spans="12:17" x14ac:dyDescent="0.35">
      <c r="L521" s="140">
        <v>519</v>
      </c>
      <c r="M521" s="148">
        <v>479</v>
      </c>
      <c r="N521" s="140">
        <f t="shared" si="17"/>
        <v>469.25</v>
      </c>
      <c r="O521" s="140">
        <f t="shared" si="16"/>
        <v>243.875</v>
      </c>
      <c r="Q521" s="140">
        <v>786</v>
      </c>
    </row>
    <row r="522" spans="12:17" x14ac:dyDescent="0.35">
      <c r="L522" s="140">
        <v>520</v>
      </c>
      <c r="M522" s="148">
        <v>491</v>
      </c>
      <c r="N522" s="140">
        <f t="shared" si="17"/>
        <v>466.625</v>
      </c>
      <c r="O522" s="140">
        <f t="shared" si="16"/>
        <v>243.875</v>
      </c>
      <c r="Q522" s="140">
        <v>826</v>
      </c>
    </row>
    <row r="523" spans="12:17" x14ac:dyDescent="0.35">
      <c r="L523" s="140">
        <v>521</v>
      </c>
      <c r="M523" s="148">
        <v>468</v>
      </c>
      <c r="N523" s="140">
        <f t="shared" si="17"/>
        <v>463.75</v>
      </c>
      <c r="O523" s="140">
        <f t="shared" si="16"/>
        <v>243.875</v>
      </c>
      <c r="Q523" s="140">
        <v>799</v>
      </c>
    </row>
    <row r="524" spans="12:17" x14ac:dyDescent="0.35">
      <c r="L524" s="140">
        <v>522</v>
      </c>
      <c r="M524" s="148">
        <v>430</v>
      </c>
      <c r="N524" s="140">
        <f t="shared" si="17"/>
        <v>463</v>
      </c>
      <c r="O524" s="140">
        <f t="shared" si="16"/>
        <v>243.875</v>
      </c>
      <c r="Q524" s="140">
        <v>811</v>
      </c>
    </row>
    <row r="525" spans="12:17" x14ac:dyDescent="0.35">
      <c r="L525" s="140">
        <v>523</v>
      </c>
      <c r="M525" s="148">
        <v>473</v>
      </c>
      <c r="N525" s="140">
        <f t="shared" si="17"/>
        <v>457</v>
      </c>
      <c r="O525" s="140">
        <f t="shared" si="16"/>
        <v>243.875</v>
      </c>
      <c r="Q525" s="140">
        <v>837</v>
      </c>
    </row>
    <row r="526" spans="12:17" x14ac:dyDescent="0.35">
      <c r="L526" s="140">
        <v>524</v>
      </c>
      <c r="M526" s="148">
        <v>450</v>
      </c>
      <c r="N526" s="140">
        <f t="shared" si="17"/>
        <v>449.125</v>
      </c>
      <c r="O526" s="140">
        <f t="shared" si="16"/>
        <v>243.875</v>
      </c>
      <c r="Q526" s="140">
        <v>821</v>
      </c>
    </row>
    <row r="527" spans="12:17" x14ac:dyDescent="0.35">
      <c r="L527" s="140">
        <v>525</v>
      </c>
      <c r="M527" s="148">
        <v>445</v>
      </c>
      <c r="N527" s="140">
        <f t="shared" si="17"/>
        <v>442.875</v>
      </c>
      <c r="O527" s="140">
        <f t="shared" si="16"/>
        <v>243.875</v>
      </c>
      <c r="Q527" s="140">
        <v>757</v>
      </c>
    </row>
    <row r="528" spans="12:17" x14ac:dyDescent="0.35">
      <c r="L528" s="140">
        <v>526</v>
      </c>
      <c r="M528" s="148">
        <v>468</v>
      </c>
      <c r="N528" s="140">
        <f t="shared" si="17"/>
        <v>444.5</v>
      </c>
      <c r="O528" s="140">
        <f t="shared" si="16"/>
        <v>243.875</v>
      </c>
      <c r="Q528" s="140">
        <v>824</v>
      </c>
    </row>
    <row r="529" spans="12:17" x14ac:dyDescent="0.35">
      <c r="L529" s="140">
        <v>527</v>
      </c>
      <c r="M529" s="148">
        <v>431</v>
      </c>
      <c r="N529" s="140">
        <f t="shared" si="17"/>
        <v>441.125</v>
      </c>
      <c r="O529" s="140">
        <f t="shared" si="16"/>
        <v>243.875</v>
      </c>
      <c r="Q529" s="140">
        <v>806</v>
      </c>
    </row>
    <row r="530" spans="12:17" x14ac:dyDescent="0.35">
      <c r="L530" s="140">
        <v>528</v>
      </c>
      <c r="M530" s="148">
        <v>428</v>
      </c>
      <c r="N530" s="140">
        <f t="shared" si="17"/>
        <v>437.375</v>
      </c>
      <c r="O530" s="140">
        <f t="shared" si="16"/>
        <v>243.875</v>
      </c>
      <c r="Q530" s="140">
        <v>739</v>
      </c>
    </row>
    <row r="531" spans="12:17" x14ac:dyDescent="0.35">
      <c r="L531" s="140">
        <v>529</v>
      </c>
      <c r="M531" s="148">
        <v>418</v>
      </c>
      <c r="N531" s="140">
        <f t="shared" si="17"/>
        <v>437.625</v>
      </c>
      <c r="O531" s="140">
        <f t="shared" si="16"/>
        <v>243.875</v>
      </c>
      <c r="Q531" s="140">
        <v>777</v>
      </c>
    </row>
    <row r="532" spans="12:17" x14ac:dyDescent="0.35">
      <c r="L532" s="140">
        <v>530</v>
      </c>
      <c r="M532" s="148">
        <v>443</v>
      </c>
      <c r="N532" s="140">
        <f t="shared" si="17"/>
        <v>438.25</v>
      </c>
      <c r="O532" s="140">
        <f t="shared" si="16"/>
        <v>243.875</v>
      </c>
      <c r="Q532" s="140">
        <v>729</v>
      </c>
    </row>
    <row r="533" spans="12:17" x14ac:dyDescent="0.35">
      <c r="L533" s="140">
        <v>531</v>
      </c>
      <c r="M533" s="148">
        <v>446</v>
      </c>
      <c r="N533" s="140">
        <f t="shared" si="17"/>
        <v>440.375</v>
      </c>
      <c r="O533" s="140">
        <f t="shared" si="16"/>
        <v>243.875</v>
      </c>
      <c r="Q533" s="140">
        <v>767</v>
      </c>
    </row>
    <row r="534" spans="12:17" x14ac:dyDescent="0.35">
      <c r="L534" s="140">
        <v>532</v>
      </c>
      <c r="M534" s="148">
        <v>420</v>
      </c>
      <c r="N534" s="140">
        <f t="shared" si="17"/>
        <v>434.25</v>
      </c>
      <c r="O534" s="140">
        <f t="shared" si="16"/>
        <v>243.875</v>
      </c>
      <c r="Q534" s="140">
        <v>708</v>
      </c>
    </row>
    <row r="535" spans="12:17" x14ac:dyDescent="0.35">
      <c r="L535" s="140">
        <v>533</v>
      </c>
      <c r="M535" s="148">
        <v>447</v>
      </c>
      <c r="N535" s="140">
        <f t="shared" si="17"/>
        <v>432</v>
      </c>
      <c r="O535" s="140">
        <f t="shared" si="16"/>
        <v>243.875</v>
      </c>
      <c r="Q535" s="140">
        <v>722</v>
      </c>
    </row>
    <row r="536" spans="12:17" x14ac:dyDescent="0.35">
      <c r="L536" s="140">
        <v>534</v>
      </c>
      <c r="M536" s="148">
        <v>473</v>
      </c>
      <c r="N536" s="140">
        <f t="shared" si="17"/>
        <v>428.75</v>
      </c>
      <c r="O536" s="140">
        <f t="shared" si="16"/>
        <v>243.875</v>
      </c>
      <c r="Q536" s="140">
        <v>706</v>
      </c>
    </row>
    <row r="537" spans="12:17" x14ac:dyDescent="0.35">
      <c r="L537" s="140">
        <v>535</v>
      </c>
      <c r="M537" s="148">
        <v>448</v>
      </c>
      <c r="N537" s="140">
        <f t="shared" si="17"/>
        <v>422</v>
      </c>
      <c r="O537" s="140">
        <f t="shared" si="16"/>
        <v>243.875</v>
      </c>
      <c r="Q537" s="140">
        <v>706</v>
      </c>
    </row>
    <row r="538" spans="12:17" x14ac:dyDescent="0.35">
      <c r="L538" s="140">
        <v>536</v>
      </c>
      <c r="M538" s="148">
        <v>379</v>
      </c>
      <c r="N538" s="140">
        <f t="shared" si="17"/>
        <v>415.25</v>
      </c>
      <c r="O538" s="140">
        <f t="shared" si="16"/>
        <v>243.875</v>
      </c>
      <c r="Q538" s="140">
        <v>715</v>
      </c>
    </row>
    <row r="539" spans="12:17" x14ac:dyDescent="0.35">
      <c r="L539" s="140">
        <v>537</v>
      </c>
      <c r="M539" s="148">
        <v>400</v>
      </c>
      <c r="N539" s="140">
        <f t="shared" si="17"/>
        <v>406.75</v>
      </c>
      <c r="O539" s="140">
        <f t="shared" si="16"/>
        <v>243.875</v>
      </c>
      <c r="Q539" s="140">
        <v>687</v>
      </c>
    </row>
    <row r="540" spans="12:17" x14ac:dyDescent="0.35">
      <c r="L540" s="140">
        <v>538</v>
      </c>
      <c r="M540" s="148">
        <v>417</v>
      </c>
      <c r="N540" s="140">
        <f t="shared" si="17"/>
        <v>394.125</v>
      </c>
      <c r="O540" s="140">
        <f t="shared" si="16"/>
        <v>243.875</v>
      </c>
      <c r="Q540" s="140">
        <v>695</v>
      </c>
    </row>
    <row r="541" spans="12:17" x14ac:dyDescent="0.35">
      <c r="L541" s="140">
        <v>539</v>
      </c>
      <c r="M541" s="148">
        <v>392</v>
      </c>
      <c r="N541" s="140">
        <f t="shared" si="17"/>
        <v>386.5</v>
      </c>
      <c r="O541" s="140">
        <f t="shared" si="16"/>
        <v>243.875</v>
      </c>
      <c r="Q541" s="140">
        <v>679</v>
      </c>
    </row>
    <row r="542" spans="12:17" x14ac:dyDescent="0.35">
      <c r="L542" s="140">
        <v>540</v>
      </c>
      <c r="M542" s="148">
        <v>366</v>
      </c>
      <c r="N542" s="140">
        <f t="shared" si="17"/>
        <v>381.875</v>
      </c>
      <c r="O542" s="140">
        <f t="shared" si="16"/>
        <v>243.875</v>
      </c>
      <c r="Q542" s="140">
        <v>643</v>
      </c>
    </row>
    <row r="543" spans="12:17" x14ac:dyDescent="0.35">
      <c r="L543" s="140">
        <v>541</v>
      </c>
      <c r="M543" s="148">
        <v>379</v>
      </c>
      <c r="N543" s="140">
        <f t="shared" si="17"/>
        <v>375.875</v>
      </c>
      <c r="O543" s="140">
        <f t="shared" si="16"/>
        <v>243.875</v>
      </c>
      <c r="Q543" s="140">
        <v>646</v>
      </c>
    </row>
    <row r="544" spans="12:17" x14ac:dyDescent="0.35">
      <c r="L544" s="140">
        <v>542</v>
      </c>
      <c r="M544" s="148">
        <v>372</v>
      </c>
      <c r="N544" s="140">
        <f t="shared" si="17"/>
        <v>366.125</v>
      </c>
      <c r="O544" s="140">
        <f t="shared" si="16"/>
        <v>243.875</v>
      </c>
      <c r="Q544" s="140">
        <v>627</v>
      </c>
    </row>
    <row r="545" spans="12:17" x14ac:dyDescent="0.35">
      <c r="L545" s="140">
        <v>543</v>
      </c>
      <c r="M545" s="148">
        <v>387</v>
      </c>
      <c r="N545" s="140">
        <f t="shared" si="17"/>
        <v>359.125</v>
      </c>
      <c r="O545" s="140">
        <f t="shared" si="16"/>
        <v>243.875</v>
      </c>
      <c r="Q545" s="140">
        <v>672</v>
      </c>
    </row>
    <row r="546" spans="12:17" x14ac:dyDescent="0.35">
      <c r="L546" s="140">
        <v>544</v>
      </c>
      <c r="M546" s="148">
        <v>342</v>
      </c>
      <c r="N546" s="140">
        <f t="shared" si="17"/>
        <v>353.125</v>
      </c>
      <c r="O546" s="140">
        <f t="shared" si="16"/>
        <v>243.875</v>
      </c>
      <c r="Q546" s="140">
        <v>660</v>
      </c>
    </row>
    <row r="547" spans="12:17" x14ac:dyDescent="0.35">
      <c r="L547" s="140">
        <v>545</v>
      </c>
      <c r="M547" s="148">
        <v>352</v>
      </c>
      <c r="N547" s="140">
        <f t="shared" si="17"/>
        <v>349.25</v>
      </c>
      <c r="O547" s="140">
        <f t="shared" si="16"/>
        <v>243.875</v>
      </c>
      <c r="Q547" s="140">
        <v>633</v>
      </c>
    </row>
    <row r="548" spans="12:17" x14ac:dyDescent="0.35">
      <c r="L548" s="140">
        <v>546</v>
      </c>
      <c r="M548" s="148">
        <v>339</v>
      </c>
      <c r="N548" s="140">
        <f t="shared" si="17"/>
        <v>348</v>
      </c>
      <c r="O548" s="140">
        <f t="shared" si="16"/>
        <v>243.875</v>
      </c>
      <c r="Q548" s="140">
        <v>616</v>
      </c>
    </row>
    <row r="549" spans="12:17" x14ac:dyDescent="0.35">
      <c r="L549" s="140">
        <v>547</v>
      </c>
      <c r="M549" s="148">
        <v>336</v>
      </c>
      <c r="N549" s="140">
        <f t="shared" si="17"/>
        <v>341.75</v>
      </c>
      <c r="O549" s="140">
        <f t="shared" si="16"/>
        <v>243.875</v>
      </c>
      <c r="Q549" s="140">
        <v>626</v>
      </c>
    </row>
    <row r="550" spans="12:17" x14ac:dyDescent="0.35">
      <c r="L550" s="140">
        <v>548</v>
      </c>
      <c r="M550" s="148">
        <v>318</v>
      </c>
      <c r="N550" s="140">
        <f t="shared" si="17"/>
        <v>340.75</v>
      </c>
      <c r="O550" s="140">
        <f t="shared" si="16"/>
        <v>243.875</v>
      </c>
      <c r="Q550" s="140">
        <v>552</v>
      </c>
    </row>
    <row r="551" spans="12:17" x14ac:dyDescent="0.35">
      <c r="L551" s="140">
        <v>549</v>
      </c>
      <c r="M551" s="148">
        <v>348</v>
      </c>
      <c r="N551" s="140">
        <f t="shared" si="17"/>
        <v>338.5</v>
      </c>
      <c r="O551" s="140">
        <f t="shared" si="16"/>
        <v>243.875</v>
      </c>
      <c r="Q551" s="140">
        <v>611</v>
      </c>
    </row>
    <row r="552" spans="12:17" x14ac:dyDescent="0.35">
      <c r="L552" s="140">
        <v>550</v>
      </c>
      <c r="M552" s="148">
        <v>362</v>
      </c>
      <c r="N552" s="140">
        <f t="shared" si="17"/>
        <v>337.375</v>
      </c>
      <c r="O552" s="140">
        <f t="shared" si="16"/>
        <v>243.875</v>
      </c>
      <c r="Q552" s="140">
        <v>589</v>
      </c>
    </row>
    <row r="553" spans="12:17" x14ac:dyDescent="0.35">
      <c r="L553" s="140">
        <v>551</v>
      </c>
      <c r="M553" s="148">
        <v>337</v>
      </c>
      <c r="N553" s="140">
        <f t="shared" si="17"/>
        <v>337</v>
      </c>
      <c r="O553" s="140">
        <f t="shared" si="16"/>
        <v>243.875</v>
      </c>
      <c r="Q553" s="140">
        <v>551</v>
      </c>
    </row>
    <row r="554" spans="12:17" x14ac:dyDescent="0.35">
      <c r="L554" s="140">
        <v>552</v>
      </c>
      <c r="M554" s="148">
        <v>334</v>
      </c>
      <c r="N554" s="140">
        <f t="shared" si="17"/>
        <v>336.625</v>
      </c>
      <c r="O554" s="140">
        <f t="shared" si="16"/>
        <v>243.875</v>
      </c>
      <c r="Q554" s="140">
        <v>607</v>
      </c>
    </row>
    <row r="555" spans="12:17" x14ac:dyDescent="0.35">
      <c r="L555" s="140">
        <v>553</v>
      </c>
      <c r="M555" s="148">
        <v>334</v>
      </c>
      <c r="N555" s="140">
        <f t="shared" si="17"/>
        <v>325.625</v>
      </c>
      <c r="O555" s="140">
        <f t="shared" si="16"/>
        <v>243.875</v>
      </c>
      <c r="Q555" s="140">
        <v>537</v>
      </c>
    </row>
    <row r="556" spans="12:17" x14ac:dyDescent="0.35">
      <c r="L556" s="140">
        <v>554</v>
      </c>
      <c r="M556" s="148">
        <v>330</v>
      </c>
      <c r="N556" s="140">
        <f t="shared" si="17"/>
        <v>316.625</v>
      </c>
      <c r="O556" s="140">
        <f t="shared" si="16"/>
        <v>243.875</v>
      </c>
      <c r="Q556" s="140">
        <v>612</v>
      </c>
    </row>
    <row r="557" spans="12:17" x14ac:dyDescent="0.35">
      <c r="L557" s="140">
        <v>555</v>
      </c>
      <c r="M557" s="148">
        <v>333</v>
      </c>
      <c r="N557" s="140">
        <f t="shared" si="17"/>
        <v>312.625</v>
      </c>
      <c r="O557" s="140">
        <f t="shared" si="16"/>
        <v>243.875</v>
      </c>
      <c r="Q557" s="140">
        <v>557</v>
      </c>
    </row>
    <row r="558" spans="12:17" x14ac:dyDescent="0.35">
      <c r="L558" s="140">
        <v>556</v>
      </c>
      <c r="M558" s="148">
        <v>315</v>
      </c>
      <c r="N558" s="140">
        <f t="shared" si="17"/>
        <v>308.625</v>
      </c>
      <c r="O558" s="140">
        <f t="shared" si="16"/>
        <v>243.875</v>
      </c>
      <c r="Q558" s="140">
        <v>557</v>
      </c>
    </row>
    <row r="559" spans="12:17" x14ac:dyDescent="0.35">
      <c r="L559" s="140">
        <v>557</v>
      </c>
      <c r="M559" s="148">
        <v>260</v>
      </c>
      <c r="N559" s="140">
        <f t="shared" si="17"/>
        <v>305</v>
      </c>
      <c r="O559" s="140">
        <f t="shared" si="16"/>
        <v>243.875</v>
      </c>
      <c r="Q559" s="140">
        <v>525</v>
      </c>
    </row>
    <row r="560" spans="12:17" x14ac:dyDescent="0.35">
      <c r="L560" s="140">
        <v>558</v>
      </c>
      <c r="M560" s="148">
        <v>290</v>
      </c>
      <c r="N560" s="140">
        <f t="shared" si="17"/>
        <v>296.625</v>
      </c>
      <c r="O560" s="140">
        <f t="shared" si="16"/>
        <v>243.875</v>
      </c>
      <c r="Q560" s="140">
        <v>500</v>
      </c>
    </row>
    <row r="561" spans="12:17" x14ac:dyDescent="0.35">
      <c r="L561" s="140">
        <v>559</v>
      </c>
      <c r="M561" s="148">
        <v>305</v>
      </c>
      <c r="N561" s="140">
        <f t="shared" si="17"/>
        <v>289.125</v>
      </c>
      <c r="O561" s="140">
        <f t="shared" si="16"/>
        <v>243.875</v>
      </c>
      <c r="Q561" s="140">
        <v>507</v>
      </c>
    </row>
    <row r="562" spans="12:17" x14ac:dyDescent="0.35">
      <c r="L562" s="140">
        <v>560</v>
      </c>
      <c r="M562" s="148">
        <v>302</v>
      </c>
      <c r="N562" s="140">
        <f t="shared" si="17"/>
        <v>281.375</v>
      </c>
      <c r="O562" s="140">
        <f t="shared" si="16"/>
        <v>243.875</v>
      </c>
      <c r="Q562" s="140">
        <v>475</v>
      </c>
    </row>
    <row r="563" spans="12:17" x14ac:dyDescent="0.35">
      <c r="L563" s="140">
        <v>561</v>
      </c>
      <c r="M563" s="148">
        <v>305</v>
      </c>
      <c r="N563" s="140">
        <f t="shared" si="17"/>
        <v>283.5</v>
      </c>
      <c r="O563" s="140">
        <f t="shared" si="16"/>
        <v>243.875</v>
      </c>
      <c r="Q563" s="140">
        <v>523</v>
      </c>
    </row>
    <row r="564" spans="12:17" x14ac:dyDescent="0.35">
      <c r="L564" s="140">
        <v>562</v>
      </c>
      <c r="M564" s="148">
        <v>263</v>
      </c>
      <c r="N564" s="140">
        <f t="shared" si="17"/>
        <v>279.625</v>
      </c>
      <c r="O564" s="140">
        <f t="shared" si="16"/>
        <v>243.875</v>
      </c>
      <c r="Q564" s="140">
        <v>442</v>
      </c>
    </row>
    <row r="565" spans="12:17" x14ac:dyDescent="0.35">
      <c r="L565" s="140">
        <v>563</v>
      </c>
      <c r="M565" s="148">
        <v>273</v>
      </c>
      <c r="N565" s="140">
        <f t="shared" si="17"/>
        <v>275.25</v>
      </c>
      <c r="O565" s="140">
        <f t="shared" si="16"/>
        <v>243.875</v>
      </c>
      <c r="Q565" s="140">
        <v>486</v>
      </c>
    </row>
    <row r="566" spans="12:17" x14ac:dyDescent="0.35">
      <c r="L566" s="140">
        <v>564</v>
      </c>
      <c r="M566" s="148">
        <v>253</v>
      </c>
      <c r="N566" s="140">
        <f t="shared" si="17"/>
        <v>269.25</v>
      </c>
      <c r="O566" s="140">
        <f t="shared" si="16"/>
        <v>243.875</v>
      </c>
      <c r="Q566" s="140">
        <v>447</v>
      </c>
    </row>
    <row r="567" spans="12:17" x14ac:dyDescent="0.35">
      <c r="L567" s="140">
        <v>565</v>
      </c>
      <c r="M567" s="148">
        <v>277</v>
      </c>
      <c r="N567" s="140">
        <f t="shared" si="17"/>
        <v>262.125</v>
      </c>
      <c r="O567" s="140">
        <f t="shared" si="16"/>
        <v>243.875</v>
      </c>
      <c r="Q567" s="140">
        <v>479</v>
      </c>
    </row>
    <row r="568" spans="12:17" x14ac:dyDescent="0.35">
      <c r="L568" s="140">
        <v>566</v>
      </c>
      <c r="M568" s="148">
        <v>259</v>
      </c>
      <c r="N568" s="140">
        <f t="shared" si="17"/>
        <v>259.625</v>
      </c>
      <c r="O568" s="140">
        <f t="shared" si="16"/>
        <v>243.875</v>
      </c>
      <c r="Q568" s="140">
        <v>450</v>
      </c>
    </row>
    <row r="569" spans="12:17" x14ac:dyDescent="0.35">
      <c r="L569" s="140">
        <v>567</v>
      </c>
      <c r="M569" s="148">
        <v>270</v>
      </c>
      <c r="N569" s="140">
        <f t="shared" si="17"/>
        <v>254.875</v>
      </c>
      <c r="O569" s="140">
        <f t="shared" si="16"/>
        <v>243.875</v>
      </c>
      <c r="Q569" s="140">
        <v>437</v>
      </c>
    </row>
    <row r="570" spans="12:17" x14ac:dyDescent="0.35">
      <c r="L570" s="140">
        <v>568</v>
      </c>
      <c r="M570" s="148">
        <v>254</v>
      </c>
      <c r="N570" s="140">
        <f t="shared" si="17"/>
        <v>250.875</v>
      </c>
      <c r="O570" s="140">
        <f t="shared" si="16"/>
        <v>243.875</v>
      </c>
      <c r="Q570" s="140">
        <v>420</v>
      </c>
    </row>
    <row r="571" spans="12:17" x14ac:dyDescent="0.35">
      <c r="L571" s="140">
        <v>569</v>
      </c>
      <c r="M571" s="148">
        <v>248</v>
      </c>
      <c r="N571" s="140">
        <f t="shared" si="17"/>
        <v>248</v>
      </c>
      <c r="O571" s="140">
        <f t="shared" si="16"/>
        <v>243.875</v>
      </c>
      <c r="Q571" s="140">
        <v>389</v>
      </c>
    </row>
    <row r="572" spans="12:17" x14ac:dyDescent="0.35">
      <c r="L572" s="140">
        <v>570</v>
      </c>
      <c r="M572" s="148">
        <v>243</v>
      </c>
      <c r="N572" s="140">
        <f t="shared" si="17"/>
        <v>243.75</v>
      </c>
      <c r="O572" s="140">
        <f t="shared" si="16"/>
        <v>243.875</v>
      </c>
      <c r="Q572" s="140">
        <v>442</v>
      </c>
    </row>
    <row r="573" spans="12:17" x14ac:dyDescent="0.35">
      <c r="L573" s="140">
        <v>571</v>
      </c>
      <c r="M573" s="148">
        <v>235</v>
      </c>
      <c r="N573" s="140">
        <f t="shared" si="17"/>
        <v>236.5</v>
      </c>
      <c r="O573" s="140">
        <f t="shared" si="16"/>
        <v>243.875</v>
      </c>
      <c r="Q573" s="140">
        <v>402</v>
      </c>
    </row>
    <row r="574" spans="12:17" x14ac:dyDescent="0.35">
      <c r="L574" s="140">
        <v>572</v>
      </c>
      <c r="M574" s="148">
        <v>221</v>
      </c>
      <c r="N574" s="140">
        <f t="shared" si="17"/>
        <v>231.75</v>
      </c>
      <c r="O574" s="140">
        <f t="shared" si="16"/>
        <v>243.875</v>
      </c>
      <c r="Q574" s="140">
        <v>429</v>
      </c>
    </row>
    <row r="575" spans="12:17" x14ac:dyDescent="0.35">
      <c r="L575" s="140">
        <v>573</v>
      </c>
      <c r="M575" s="148">
        <v>254</v>
      </c>
      <c r="N575" s="140">
        <f t="shared" si="17"/>
        <v>227.375</v>
      </c>
      <c r="O575" s="140">
        <f t="shared" si="16"/>
        <v>243.875</v>
      </c>
      <c r="Q575" s="140">
        <v>385</v>
      </c>
    </row>
    <row r="576" spans="12:17" x14ac:dyDescent="0.35">
      <c r="L576" s="140">
        <v>574</v>
      </c>
      <c r="M576" s="148">
        <v>225</v>
      </c>
      <c r="N576" s="140">
        <f t="shared" si="17"/>
        <v>220.375</v>
      </c>
      <c r="O576" s="140">
        <f t="shared" si="16"/>
        <v>243.875</v>
      </c>
      <c r="Q576" s="140">
        <v>424</v>
      </c>
    </row>
    <row r="577" spans="12:17" x14ac:dyDescent="0.35">
      <c r="L577" s="140">
        <v>575</v>
      </c>
      <c r="M577" s="148">
        <v>212</v>
      </c>
      <c r="N577" s="140">
        <f t="shared" si="17"/>
        <v>216.75</v>
      </c>
      <c r="O577" s="140">
        <f t="shared" si="16"/>
        <v>243.875</v>
      </c>
      <c r="Q577" s="140">
        <v>402</v>
      </c>
    </row>
    <row r="578" spans="12:17" x14ac:dyDescent="0.35">
      <c r="L578" s="140">
        <v>576</v>
      </c>
      <c r="M578" s="148">
        <v>216</v>
      </c>
      <c r="N578" s="140">
        <f t="shared" si="17"/>
        <v>212.25</v>
      </c>
      <c r="O578" s="140">
        <f t="shared" ref="O578:O641" si="18">MAX($A$35)/2</f>
        <v>243.875</v>
      </c>
      <c r="Q578" s="140">
        <v>380</v>
      </c>
    </row>
    <row r="579" spans="12:17" x14ac:dyDescent="0.35">
      <c r="L579" s="140">
        <v>577</v>
      </c>
      <c r="M579" s="148">
        <v>213</v>
      </c>
      <c r="N579" s="140">
        <f t="shared" si="17"/>
        <v>206.5</v>
      </c>
      <c r="O579" s="140">
        <f t="shared" si="18"/>
        <v>243.875</v>
      </c>
      <c r="Q579" s="140">
        <v>385</v>
      </c>
    </row>
    <row r="580" spans="12:17" x14ac:dyDescent="0.35">
      <c r="L580" s="140">
        <v>578</v>
      </c>
      <c r="M580" s="148">
        <v>187</v>
      </c>
      <c r="N580" s="140">
        <f t="shared" si="17"/>
        <v>202.25</v>
      </c>
      <c r="O580" s="140">
        <f t="shared" si="18"/>
        <v>243.875</v>
      </c>
      <c r="Q580" s="140">
        <v>391</v>
      </c>
    </row>
    <row r="581" spans="12:17" x14ac:dyDescent="0.35">
      <c r="L581" s="140">
        <v>579</v>
      </c>
      <c r="M581" s="148">
        <v>206</v>
      </c>
      <c r="N581" s="140">
        <f t="shared" ref="N581:N644" si="19">AVERAGE(M578:M585)</f>
        <v>198.875</v>
      </c>
      <c r="O581" s="140">
        <f t="shared" si="18"/>
        <v>243.875</v>
      </c>
      <c r="Q581" s="140">
        <v>363</v>
      </c>
    </row>
    <row r="582" spans="12:17" x14ac:dyDescent="0.35">
      <c r="L582" s="140">
        <v>580</v>
      </c>
      <c r="M582" s="148">
        <v>185</v>
      </c>
      <c r="N582" s="140">
        <f t="shared" si="19"/>
        <v>196</v>
      </c>
      <c r="O582" s="140">
        <f t="shared" si="18"/>
        <v>243.875</v>
      </c>
      <c r="Q582" s="140">
        <v>341</v>
      </c>
    </row>
    <row r="583" spans="12:17" x14ac:dyDescent="0.35">
      <c r="L583" s="140">
        <v>581</v>
      </c>
      <c r="M583" s="148">
        <v>208</v>
      </c>
      <c r="N583" s="140">
        <f t="shared" si="19"/>
        <v>190.75</v>
      </c>
      <c r="O583" s="140">
        <f t="shared" si="18"/>
        <v>243.875</v>
      </c>
      <c r="Q583" s="140">
        <v>340</v>
      </c>
    </row>
    <row r="584" spans="12:17" x14ac:dyDescent="0.35">
      <c r="L584" s="140">
        <v>582</v>
      </c>
      <c r="M584" s="148">
        <v>191</v>
      </c>
      <c r="N584" s="140">
        <f t="shared" si="19"/>
        <v>189.5</v>
      </c>
      <c r="O584" s="140">
        <f t="shared" si="18"/>
        <v>243.875</v>
      </c>
      <c r="Q584" s="140">
        <v>345</v>
      </c>
    </row>
    <row r="585" spans="12:17" x14ac:dyDescent="0.35">
      <c r="L585" s="140">
        <v>583</v>
      </c>
      <c r="M585" s="148">
        <v>185</v>
      </c>
      <c r="N585" s="140">
        <f t="shared" si="19"/>
        <v>185.625</v>
      </c>
      <c r="O585" s="140">
        <f t="shared" si="18"/>
        <v>243.875</v>
      </c>
      <c r="Q585" s="140">
        <v>289</v>
      </c>
    </row>
    <row r="586" spans="12:17" x14ac:dyDescent="0.35">
      <c r="L586" s="140">
        <v>584</v>
      </c>
      <c r="M586" s="148">
        <v>193</v>
      </c>
      <c r="N586" s="140">
        <f t="shared" si="19"/>
        <v>181.75</v>
      </c>
      <c r="O586" s="140">
        <f t="shared" si="18"/>
        <v>243.875</v>
      </c>
      <c r="Q586" s="140">
        <v>318</v>
      </c>
    </row>
    <row r="587" spans="12:17" x14ac:dyDescent="0.35">
      <c r="L587" s="140">
        <v>585</v>
      </c>
      <c r="M587" s="148">
        <v>171</v>
      </c>
      <c r="N587" s="140">
        <f t="shared" si="19"/>
        <v>176.875</v>
      </c>
      <c r="O587" s="140">
        <f t="shared" si="18"/>
        <v>243.875</v>
      </c>
      <c r="Q587" s="140">
        <v>311</v>
      </c>
    </row>
    <row r="588" spans="12:17" x14ac:dyDescent="0.35">
      <c r="L588" s="140">
        <v>586</v>
      </c>
      <c r="M588" s="148">
        <v>177</v>
      </c>
      <c r="N588" s="140">
        <f t="shared" si="19"/>
        <v>175.375</v>
      </c>
      <c r="O588" s="140">
        <f t="shared" si="18"/>
        <v>243.875</v>
      </c>
      <c r="Q588" s="140">
        <v>327</v>
      </c>
    </row>
    <row r="589" spans="12:17" x14ac:dyDescent="0.35">
      <c r="L589" s="140">
        <v>587</v>
      </c>
      <c r="M589" s="148">
        <v>175</v>
      </c>
      <c r="N589" s="140">
        <f t="shared" si="19"/>
        <v>172.75</v>
      </c>
      <c r="O589" s="140">
        <f t="shared" si="18"/>
        <v>243.875</v>
      </c>
      <c r="Q589" s="140">
        <v>282</v>
      </c>
    </row>
    <row r="590" spans="12:17" x14ac:dyDescent="0.35">
      <c r="L590" s="140">
        <v>588</v>
      </c>
      <c r="M590" s="148">
        <v>154</v>
      </c>
      <c r="N590" s="140">
        <f t="shared" si="19"/>
        <v>170.125</v>
      </c>
      <c r="O590" s="140">
        <f t="shared" si="18"/>
        <v>243.875</v>
      </c>
      <c r="Q590" s="140">
        <v>295</v>
      </c>
    </row>
    <row r="591" spans="12:17" x14ac:dyDescent="0.35">
      <c r="L591" s="140">
        <v>589</v>
      </c>
      <c r="M591" s="148">
        <v>169</v>
      </c>
      <c r="N591" s="140">
        <f t="shared" si="19"/>
        <v>165.375</v>
      </c>
      <c r="O591" s="140">
        <f t="shared" si="18"/>
        <v>243.875</v>
      </c>
      <c r="Q591" s="140">
        <v>269</v>
      </c>
    </row>
    <row r="592" spans="12:17" x14ac:dyDescent="0.35">
      <c r="L592" s="140">
        <v>590</v>
      </c>
      <c r="M592" s="148">
        <v>179</v>
      </c>
      <c r="N592" s="140">
        <f t="shared" si="19"/>
        <v>164.25</v>
      </c>
      <c r="O592" s="140">
        <f t="shared" si="18"/>
        <v>243.875</v>
      </c>
      <c r="Q592" s="140">
        <v>287</v>
      </c>
    </row>
    <row r="593" spans="12:17" x14ac:dyDescent="0.35">
      <c r="L593" s="140">
        <v>591</v>
      </c>
      <c r="M593" s="148">
        <v>164</v>
      </c>
      <c r="N593" s="140">
        <f t="shared" si="19"/>
        <v>159.25</v>
      </c>
      <c r="O593" s="140">
        <f t="shared" si="18"/>
        <v>243.875</v>
      </c>
      <c r="Q593" s="140">
        <v>290</v>
      </c>
    </row>
    <row r="594" spans="12:17" x14ac:dyDescent="0.35">
      <c r="L594" s="140">
        <v>592</v>
      </c>
      <c r="M594" s="148">
        <v>172</v>
      </c>
      <c r="N594" s="140">
        <f t="shared" si="19"/>
        <v>157.625</v>
      </c>
      <c r="O594" s="140">
        <f t="shared" si="18"/>
        <v>243.875</v>
      </c>
      <c r="Q594" s="140">
        <v>268</v>
      </c>
    </row>
    <row r="595" spans="12:17" x14ac:dyDescent="0.35">
      <c r="L595" s="140">
        <v>593</v>
      </c>
      <c r="M595" s="148">
        <v>133</v>
      </c>
      <c r="N595" s="140">
        <f t="shared" si="19"/>
        <v>151.625</v>
      </c>
      <c r="O595" s="140">
        <f t="shared" si="18"/>
        <v>243.875</v>
      </c>
      <c r="Q595" s="140">
        <v>280</v>
      </c>
    </row>
    <row r="596" spans="12:17" x14ac:dyDescent="0.35">
      <c r="L596" s="140">
        <v>594</v>
      </c>
      <c r="M596" s="148">
        <v>168</v>
      </c>
      <c r="N596" s="140">
        <f t="shared" si="19"/>
        <v>147.375</v>
      </c>
      <c r="O596" s="140">
        <f t="shared" si="18"/>
        <v>243.875</v>
      </c>
      <c r="Q596" s="140">
        <v>263</v>
      </c>
    </row>
    <row r="597" spans="12:17" x14ac:dyDescent="0.35">
      <c r="L597" s="140">
        <v>595</v>
      </c>
      <c r="M597" s="148">
        <v>135</v>
      </c>
      <c r="N597" s="140">
        <f t="shared" si="19"/>
        <v>143.625</v>
      </c>
      <c r="O597" s="140">
        <f t="shared" si="18"/>
        <v>243.875</v>
      </c>
      <c r="Q597" s="140">
        <v>237</v>
      </c>
    </row>
    <row r="598" spans="12:17" x14ac:dyDescent="0.35">
      <c r="L598" s="140">
        <v>596</v>
      </c>
      <c r="M598" s="148">
        <v>141</v>
      </c>
      <c r="N598" s="140">
        <f t="shared" si="19"/>
        <v>138.625</v>
      </c>
      <c r="O598" s="140">
        <f t="shared" si="18"/>
        <v>243.875</v>
      </c>
      <c r="Q598" s="140">
        <v>233</v>
      </c>
    </row>
    <row r="599" spans="12:17" x14ac:dyDescent="0.35">
      <c r="L599" s="140">
        <v>597</v>
      </c>
      <c r="M599" s="148">
        <v>121</v>
      </c>
      <c r="N599" s="140">
        <f t="shared" si="19"/>
        <v>139.625</v>
      </c>
      <c r="O599" s="140">
        <f t="shared" si="18"/>
        <v>243.875</v>
      </c>
      <c r="Q599" s="140">
        <v>229</v>
      </c>
    </row>
    <row r="600" spans="12:17" x14ac:dyDescent="0.35">
      <c r="L600" s="140">
        <v>598</v>
      </c>
      <c r="M600" s="148">
        <v>145</v>
      </c>
      <c r="N600" s="140">
        <f t="shared" si="19"/>
        <v>132.5</v>
      </c>
      <c r="O600" s="140">
        <f t="shared" si="18"/>
        <v>243.875</v>
      </c>
      <c r="Q600" s="140">
        <v>230</v>
      </c>
    </row>
    <row r="601" spans="12:17" x14ac:dyDescent="0.35">
      <c r="L601" s="140">
        <v>599</v>
      </c>
      <c r="M601" s="148">
        <v>134</v>
      </c>
      <c r="N601" s="140">
        <f t="shared" si="19"/>
        <v>129.875</v>
      </c>
      <c r="O601" s="140">
        <f t="shared" si="18"/>
        <v>243.875</v>
      </c>
      <c r="Q601" s="140">
        <v>235</v>
      </c>
    </row>
    <row r="602" spans="12:17" x14ac:dyDescent="0.35">
      <c r="L602" s="140">
        <v>600</v>
      </c>
      <c r="M602" s="148">
        <v>132</v>
      </c>
      <c r="N602" s="140">
        <f t="shared" si="19"/>
        <v>128.625</v>
      </c>
      <c r="O602" s="140">
        <f t="shared" si="18"/>
        <v>243.875</v>
      </c>
      <c r="Q602" s="140">
        <v>230</v>
      </c>
    </row>
    <row r="603" spans="12:17" x14ac:dyDescent="0.35">
      <c r="L603" s="140">
        <v>601</v>
      </c>
      <c r="M603" s="148">
        <v>141</v>
      </c>
      <c r="N603" s="140">
        <f t="shared" si="19"/>
        <v>125.625</v>
      </c>
      <c r="O603" s="140">
        <f t="shared" si="18"/>
        <v>243.875</v>
      </c>
      <c r="Q603" s="140">
        <v>227</v>
      </c>
    </row>
    <row r="604" spans="12:17" x14ac:dyDescent="0.35">
      <c r="L604" s="140">
        <v>602</v>
      </c>
      <c r="M604" s="148">
        <v>111</v>
      </c>
      <c r="N604" s="140">
        <f t="shared" si="19"/>
        <v>121.875</v>
      </c>
      <c r="O604" s="140">
        <f t="shared" si="18"/>
        <v>243.875</v>
      </c>
      <c r="Q604" s="140">
        <v>191</v>
      </c>
    </row>
    <row r="605" spans="12:17" x14ac:dyDescent="0.35">
      <c r="L605" s="140">
        <v>603</v>
      </c>
      <c r="M605" s="148">
        <v>114</v>
      </c>
      <c r="N605" s="140">
        <f t="shared" si="19"/>
        <v>119.375</v>
      </c>
      <c r="O605" s="140">
        <f t="shared" si="18"/>
        <v>243.875</v>
      </c>
      <c r="Q605" s="140">
        <v>206</v>
      </c>
    </row>
    <row r="606" spans="12:17" x14ac:dyDescent="0.35">
      <c r="L606" s="140">
        <v>604</v>
      </c>
      <c r="M606" s="148">
        <v>131</v>
      </c>
      <c r="N606" s="140">
        <f t="shared" si="19"/>
        <v>115.125</v>
      </c>
      <c r="O606" s="140">
        <f t="shared" si="18"/>
        <v>243.875</v>
      </c>
      <c r="Q606" s="140">
        <v>190</v>
      </c>
    </row>
    <row r="607" spans="12:17" x14ac:dyDescent="0.35">
      <c r="L607" s="140">
        <v>605</v>
      </c>
      <c r="M607" s="148">
        <v>97</v>
      </c>
      <c r="N607" s="140">
        <f t="shared" si="19"/>
        <v>109.875</v>
      </c>
      <c r="O607" s="140">
        <f t="shared" si="18"/>
        <v>243.875</v>
      </c>
      <c r="Q607" s="140">
        <v>157</v>
      </c>
    </row>
    <row r="608" spans="12:17" x14ac:dyDescent="0.35">
      <c r="L608" s="140">
        <v>606</v>
      </c>
      <c r="M608" s="148">
        <v>115</v>
      </c>
      <c r="N608" s="140">
        <f t="shared" si="19"/>
        <v>106.75</v>
      </c>
      <c r="O608" s="140">
        <f t="shared" si="18"/>
        <v>243.875</v>
      </c>
      <c r="Q608" s="140">
        <v>175</v>
      </c>
    </row>
    <row r="609" spans="12:17" x14ac:dyDescent="0.35">
      <c r="L609" s="140">
        <v>607</v>
      </c>
      <c r="M609" s="148">
        <v>114</v>
      </c>
      <c r="N609" s="140">
        <f t="shared" si="19"/>
        <v>103.75</v>
      </c>
      <c r="O609" s="140">
        <f t="shared" si="18"/>
        <v>243.875</v>
      </c>
      <c r="Q609" s="140">
        <v>190</v>
      </c>
    </row>
    <row r="610" spans="12:17" x14ac:dyDescent="0.35">
      <c r="L610" s="140">
        <v>608</v>
      </c>
      <c r="M610" s="148">
        <v>98</v>
      </c>
      <c r="N610" s="140">
        <f t="shared" si="19"/>
        <v>100.375</v>
      </c>
      <c r="O610" s="140">
        <f t="shared" si="18"/>
        <v>243.875</v>
      </c>
      <c r="Q610" s="140">
        <v>181</v>
      </c>
    </row>
    <row r="611" spans="12:17" x14ac:dyDescent="0.35">
      <c r="L611" s="140">
        <v>609</v>
      </c>
      <c r="M611" s="148">
        <v>99</v>
      </c>
      <c r="N611" s="140">
        <f t="shared" si="19"/>
        <v>100.375</v>
      </c>
      <c r="O611" s="140">
        <f t="shared" si="18"/>
        <v>243.875</v>
      </c>
      <c r="Q611" s="140">
        <v>170</v>
      </c>
    </row>
    <row r="612" spans="12:17" x14ac:dyDescent="0.35">
      <c r="L612" s="140">
        <v>610</v>
      </c>
      <c r="M612" s="148">
        <v>86</v>
      </c>
      <c r="N612" s="140">
        <f t="shared" si="19"/>
        <v>95.5</v>
      </c>
      <c r="O612" s="140">
        <f t="shared" si="18"/>
        <v>243.875</v>
      </c>
      <c r="Q612" s="140">
        <v>155</v>
      </c>
    </row>
    <row r="613" spans="12:17" x14ac:dyDescent="0.35">
      <c r="L613" s="140">
        <v>611</v>
      </c>
      <c r="M613" s="148">
        <v>90</v>
      </c>
      <c r="N613" s="140">
        <f t="shared" si="19"/>
        <v>91.125</v>
      </c>
      <c r="O613" s="140">
        <f t="shared" si="18"/>
        <v>243.875</v>
      </c>
      <c r="Q613" s="140">
        <v>196</v>
      </c>
    </row>
    <row r="614" spans="12:17" x14ac:dyDescent="0.35">
      <c r="L614" s="140">
        <v>612</v>
      </c>
      <c r="M614" s="148">
        <v>104</v>
      </c>
      <c r="N614" s="140">
        <f t="shared" si="19"/>
        <v>89.75</v>
      </c>
      <c r="O614" s="140">
        <f t="shared" si="18"/>
        <v>243.875</v>
      </c>
      <c r="Q614" s="140">
        <v>181</v>
      </c>
    </row>
    <row r="615" spans="12:17" x14ac:dyDescent="0.35">
      <c r="L615" s="140">
        <v>613</v>
      </c>
      <c r="M615" s="148">
        <v>97</v>
      </c>
      <c r="N615" s="140">
        <f t="shared" si="19"/>
        <v>89</v>
      </c>
      <c r="O615" s="140">
        <f t="shared" si="18"/>
        <v>243.875</v>
      </c>
      <c r="Q615" s="140">
        <v>173</v>
      </c>
    </row>
    <row r="616" spans="12:17" x14ac:dyDescent="0.35">
      <c r="L616" s="140">
        <v>614</v>
      </c>
      <c r="M616" s="148">
        <v>76</v>
      </c>
      <c r="N616" s="140">
        <f t="shared" si="19"/>
        <v>86</v>
      </c>
      <c r="O616" s="140">
        <f t="shared" si="18"/>
        <v>243.875</v>
      </c>
      <c r="Q616" s="140">
        <v>163</v>
      </c>
    </row>
    <row r="617" spans="12:17" x14ac:dyDescent="0.35">
      <c r="L617" s="140">
        <v>615</v>
      </c>
      <c r="M617" s="148">
        <v>79</v>
      </c>
      <c r="N617" s="140">
        <f t="shared" si="19"/>
        <v>84</v>
      </c>
      <c r="O617" s="140">
        <f t="shared" si="18"/>
        <v>243.875</v>
      </c>
      <c r="Q617" s="140">
        <v>180</v>
      </c>
    </row>
    <row r="618" spans="12:17" x14ac:dyDescent="0.35">
      <c r="L618" s="140">
        <v>616</v>
      </c>
      <c r="M618" s="148">
        <v>87</v>
      </c>
      <c r="N618" s="140">
        <f t="shared" si="19"/>
        <v>80.125</v>
      </c>
      <c r="O618" s="140">
        <f t="shared" si="18"/>
        <v>243.875</v>
      </c>
      <c r="Q618" s="140">
        <v>142</v>
      </c>
    </row>
    <row r="619" spans="12:17" x14ac:dyDescent="0.35">
      <c r="L619" s="140">
        <v>617</v>
      </c>
      <c r="M619" s="148">
        <v>93</v>
      </c>
      <c r="N619" s="140">
        <f t="shared" si="19"/>
        <v>78</v>
      </c>
      <c r="O619" s="140">
        <f t="shared" si="18"/>
        <v>243.875</v>
      </c>
      <c r="Q619" s="140">
        <v>138</v>
      </c>
    </row>
    <row r="620" spans="12:17" x14ac:dyDescent="0.35">
      <c r="L620" s="140">
        <v>618</v>
      </c>
      <c r="M620" s="148">
        <v>62</v>
      </c>
      <c r="N620" s="140">
        <f t="shared" si="19"/>
        <v>78.375</v>
      </c>
      <c r="O620" s="140">
        <f t="shared" si="18"/>
        <v>243.875</v>
      </c>
      <c r="Q620" s="140">
        <v>139</v>
      </c>
    </row>
    <row r="621" spans="12:17" x14ac:dyDescent="0.35">
      <c r="L621" s="140">
        <v>619</v>
      </c>
      <c r="M621" s="148">
        <v>74</v>
      </c>
      <c r="N621" s="140">
        <f t="shared" si="19"/>
        <v>74.5</v>
      </c>
      <c r="O621" s="140">
        <f t="shared" si="18"/>
        <v>243.875</v>
      </c>
      <c r="Q621" s="140">
        <v>137</v>
      </c>
    </row>
    <row r="622" spans="12:17" x14ac:dyDescent="0.35">
      <c r="L622" s="140">
        <v>620</v>
      </c>
      <c r="M622" s="148">
        <v>73</v>
      </c>
      <c r="N622" s="140">
        <f t="shared" si="19"/>
        <v>74.375</v>
      </c>
      <c r="O622" s="140">
        <f t="shared" si="18"/>
        <v>243.875</v>
      </c>
      <c r="Q622" s="140">
        <v>139</v>
      </c>
    </row>
    <row r="623" spans="12:17" x14ac:dyDescent="0.35">
      <c r="L623" s="140">
        <v>621</v>
      </c>
      <c r="M623" s="148">
        <v>80</v>
      </c>
      <c r="N623" s="140">
        <f t="shared" si="19"/>
        <v>71.625</v>
      </c>
      <c r="O623" s="140">
        <f t="shared" si="18"/>
        <v>243.875</v>
      </c>
      <c r="Q623" s="140">
        <v>127</v>
      </c>
    </row>
    <row r="624" spans="12:17" x14ac:dyDescent="0.35">
      <c r="L624" s="140">
        <v>622</v>
      </c>
      <c r="M624" s="148">
        <v>79</v>
      </c>
      <c r="N624" s="140">
        <f t="shared" si="19"/>
        <v>71.5</v>
      </c>
      <c r="O624" s="140">
        <f t="shared" si="18"/>
        <v>243.875</v>
      </c>
      <c r="Q624" s="140">
        <v>125</v>
      </c>
    </row>
    <row r="625" spans="12:17" x14ac:dyDescent="0.35">
      <c r="L625" s="140">
        <v>623</v>
      </c>
      <c r="M625" s="148">
        <v>48</v>
      </c>
      <c r="N625" s="140">
        <f t="shared" si="19"/>
        <v>70</v>
      </c>
      <c r="O625" s="140">
        <f t="shared" si="18"/>
        <v>243.875</v>
      </c>
      <c r="Q625" s="140">
        <v>140</v>
      </c>
    </row>
    <row r="626" spans="12:17" x14ac:dyDescent="0.35">
      <c r="L626" s="140">
        <v>624</v>
      </c>
      <c r="M626" s="148">
        <v>86</v>
      </c>
      <c r="N626" s="140">
        <f t="shared" si="19"/>
        <v>66.375</v>
      </c>
      <c r="O626" s="140">
        <f t="shared" si="18"/>
        <v>243.875</v>
      </c>
      <c r="Q626" s="140">
        <v>140</v>
      </c>
    </row>
    <row r="627" spans="12:17" x14ac:dyDescent="0.35">
      <c r="L627" s="140">
        <v>625</v>
      </c>
      <c r="M627" s="148">
        <v>71</v>
      </c>
      <c r="N627" s="140">
        <f t="shared" si="19"/>
        <v>63.5</v>
      </c>
      <c r="O627" s="140">
        <f t="shared" si="18"/>
        <v>243.875</v>
      </c>
      <c r="Q627" s="140">
        <v>110</v>
      </c>
    </row>
    <row r="628" spans="12:17" x14ac:dyDescent="0.35">
      <c r="L628" s="140">
        <v>626</v>
      </c>
      <c r="M628" s="148">
        <v>61</v>
      </c>
      <c r="N628" s="140">
        <f t="shared" si="19"/>
        <v>61</v>
      </c>
      <c r="O628" s="140">
        <f t="shared" si="18"/>
        <v>243.875</v>
      </c>
      <c r="Q628" s="140">
        <v>120</v>
      </c>
    </row>
    <row r="629" spans="12:17" x14ac:dyDescent="0.35">
      <c r="L629" s="140">
        <v>627</v>
      </c>
      <c r="M629" s="148">
        <v>62</v>
      </c>
      <c r="N629" s="140">
        <f t="shared" si="19"/>
        <v>61.875</v>
      </c>
      <c r="O629" s="140">
        <f t="shared" si="18"/>
        <v>243.875</v>
      </c>
      <c r="Q629" s="140">
        <v>123</v>
      </c>
    </row>
    <row r="630" spans="12:17" x14ac:dyDescent="0.35">
      <c r="L630" s="140">
        <v>628</v>
      </c>
      <c r="M630" s="148">
        <v>44</v>
      </c>
      <c r="N630" s="140">
        <f t="shared" si="19"/>
        <v>57.25</v>
      </c>
      <c r="O630" s="140">
        <f t="shared" si="18"/>
        <v>243.875</v>
      </c>
      <c r="Q630" s="140">
        <v>87</v>
      </c>
    </row>
    <row r="631" spans="12:17" x14ac:dyDescent="0.35">
      <c r="L631" s="140">
        <v>629</v>
      </c>
      <c r="M631" s="148">
        <v>57</v>
      </c>
      <c r="N631" s="140">
        <f t="shared" si="19"/>
        <v>54.125</v>
      </c>
      <c r="O631" s="140">
        <f t="shared" si="18"/>
        <v>243.875</v>
      </c>
      <c r="Q631" s="140">
        <v>105</v>
      </c>
    </row>
    <row r="632" spans="12:17" x14ac:dyDescent="0.35">
      <c r="L632" s="140">
        <v>630</v>
      </c>
      <c r="M632" s="148">
        <v>59</v>
      </c>
      <c r="N632" s="140">
        <f t="shared" si="19"/>
        <v>52.875</v>
      </c>
      <c r="O632" s="140">
        <f t="shared" si="18"/>
        <v>243.875</v>
      </c>
      <c r="Q632" s="140">
        <v>100</v>
      </c>
    </row>
    <row r="633" spans="12:17" x14ac:dyDescent="0.35">
      <c r="L633" s="140">
        <v>631</v>
      </c>
      <c r="M633" s="148">
        <v>55</v>
      </c>
      <c r="N633" s="140">
        <f t="shared" si="19"/>
        <v>51.875</v>
      </c>
      <c r="O633" s="140">
        <f t="shared" si="18"/>
        <v>243.875</v>
      </c>
      <c r="Q633" s="140">
        <v>93</v>
      </c>
    </row>
    <row r="634" spans="12:17" x14ac:dyDescent="0.35">
      <c r="L634" s="140">
        <v>632</v>
      </c>
      <c r="M634" s="148">
        <v>49</v>
      </c>
      <c r="N634" s="140">
        <f t="shared" si="19"/>
        <v>53.25</v>
      </c>
      <c r="O634" s="140">
        <f t="shared" si="18"/>
        <v>243.875</v>
      </c>
      <c r="Q634" s="140">
        <v>114</v>
      </c>
    </row>
    <row r="635" spans="12:17" x14ac:dyDescent="0.35">
      <c r="L635" s="140">
        <v>633</v>
      </c>
      <c r="M635" s="148">
        <v>46</v>
      </c>
      <c r="N635" s="140">
        <f t="shared" si="19"/>
        <v>51.375</v>
      </c>
      <c r="O635" s="140">
        <f t="shared" si="18"/>
        <v>243.875</v>
      </c>
      <c r="Q635" s="140">
        <v>88</v>
      </c>
    </row>
    <row r="636" spans="12:17" x14ac:dyDescent="0.35">
      <c r="L636" s="140">
        <v>634</v>
      </c>
      <c r="M636" s="148">
        <v>51</v>
      </c>
      <c r="N636" s="140">
        <f t="shared" si="19"/>
        <v>49</v>
      </c>
      <c r="O636" s="140">
        <f t="shared" si="18"/>
        <v>243.875</v>
      </c>
      <c r="Q636" s="140">
        <v>92</v>
      </c>
    </row>
    <row r="637" spans="12:17" x14ac:dyDescent="0.35">
      <c r="L637" s="140">
        <v>635</v>
      </c>
      <c r="M637" s="148">
        <v>54</v>
      </c>
      <c r="N637" s="140">
        <f t="shared" si="19"/>
        <v>46.5</v>
      </c>
      <c r="O637" s="140">
        <f t="shared" si="18"/>
        <v>243.875</v>
      </c>
      <c r="Q637" s="140">
        <v>94</v>
      </c>
    </row>
    <row r="638" spans="12:17" x14ac:dyDescent="0.35">
      <c r="L638" s="140">
        <v>636</v>
      </c>
      <c r="M638" s="148">
        <v>55</v>
      </c>
      <c r="N638" s="140">
        <f t="shared" si="19"/>
        <v>45.25</v>
      </c>
      <c r="O638" s="140">
        <f t="shared" si="18"/>
        <v>243.875</v>
      </c>
      <c r="Q638" s="140">
        <v>100</v>
      </c>
    </row>
    <row r="639" spans="12:17" x14ac:dyDescent="0.35">
      <c r="L639" s="140">
        <v>637</v>
      </c>
      <c r="M639" s="148">
        <v>42</v>
      </c>
      <c r="N639" s="140">
        <f t="shared" si="19"/>
        <v>45.875</v>
      </c>
      <c r="O639" s="140">
        <f t="shared" si="18"/>
        <v>243.875</v>
      </c>
      <c r="Q639" s="140">
        <v>92</v>
      </c>
    </row>
    <row r="640" spans="12:17" x14ac:dyDescent="0.35">
      <c r="L640" s="140">
        <v>638</v>
      </c>
      <c r="M640" s="148">
        <v>40</v>
      </c>
      <c r="N640" s="140">
        <f t="shared" si="19"/>
        <v>44.125</v>
      </c>
      <c r="O640" s="140">
        <f t="shared" si="18"/>
        <v>243.875</v>
      </c>
      <c r="Q640" s="140">
        <v>76</v>
      </c>
    </row>
    <row r="641" spans="12:17" x14ac:dyDescent="0.35">
      <c r="L641" s="140">
        <v>639</v>
      </c>
      <c r="M641" s="148">
        <v>35</v>
      </c>
      <c r="N641" s="140">
        <f t="shared" si="19"/>
        <v>41.125</v>
      </c>
      <c r="O641" s="140">
        <f t="shared" si="18"/>
        <v>243.875</v>
      </c>
      <c r="Q641" s="140">
        <v>81</v>
      </c>
    </row>
    <row r="642" spans="12:17" x14ac:dyDescent="0.35">
      <c r="L642" s="140">
        <v>640</v>
      </c>
      <c r="M642" s="148">
        <v>39</v>
      </c>
      <c r="N642" s="140">
        <f t="shared" si="19"/>
        <v>39</v>
      </c>
      <c r="O642" s="140">
        <f t="shared" ref="O642:O685" si="20">MAX($A$35)/2</f>
        <v>243.875</v>
      </c>
      <c r="Q642" s="140">
        <v>73</v>
      </c>
    </row>
    <row r="643" spans="12:17" x14ac:dyDescent="0.35">
      <c r="L643" s="140">
        <v>641</v>
      </c>
      <c r="M643" s="148">
        <v>51</v>
      </c>
      <c r="N643" s="140">
        <f t="shared" si="19"/>
        <v>39.25</v>
      </c>
      <c r="O643" s="140">
        <f t="shared" si="20"/>
        <v>243.875</v>
      </c>
      <c r="Q643" s="140">
        <v>76</v>
      </c>
    </row>
    <row r="644" spans="12:17" x14ac:dyDescent="0.35">
      <c r="L644" s="140">
        <v>642</v>
      </c>
      <c r="M644" s="148">
        <v>37</v>
      </c>
      <c r="N644" s="140">
        <f t="shared" si="19"/>
        <v>38.125</v>
      </c>
      <c r="O644" s="140">
        <f t="shared" si="20"/>
        <v>243.875</v>
      </c>
      <c r="Q644" s="140">
        <v>64</v>
      </c>
    </row>
    <row r="645" spans="12:17" x14ac:dyDescent="0.35">
      <c r="L645" s="140">
        <v>643</v>
      </c>
      <c r="M645" s="148">
        <v>30</v>
      </c>
      <c r="N645" s="140">
        <f t="shared" ref="N645:N685" si="21">AVERAGE(M642:M649)</f>
        <v>39</v>
      </c>
      <c r="O645" s="140">
        <f t="shared" si="20"/>
        <v>243.875</v>
      </c>
      <c r="Q645" s="140">
        <v>73</v>
      </c>
    </row>
    <row r="646" spans="12:17" x14ac:dyDescent="0.35">
      <c r="L646" s="140">
        <v>644</v>
      </c>
      <c r="M646" s="148">
        <v>38</v>
      </c>
      <c r="N646" s="140">
        <f t="shared" si="21"/>
        <v>38.25</v>
      </c>
      <c r="O646" s="140">
        <f t="shared" si="20"/>
        <v>243.875</v>
      </c>
      <c r="Q646" s="140">
        <v>67</v>
      </c>
    </row>
    <row r="647" spans="12:17" x14ac:dyDescent="0.35">
      <c r="L647" s="140">
        <v>645</v>
      </c>
      <c r="M647" s="148">
        <v>44</v>
      </c>
      <c r="N647" s="140">
        <f t="shared" si="21"/>
        <v>36</v>
      </c>
      <c r="O647" s="140">
        <f t="shared" si="20"/>
        <v>243.875</v>
      </c>
      <c r="Q647" s="140">
        <v>56</v>
      </c>
    </row>
    <row r="648" spans="12:17" x14ac:dyDescent="0.35">
      <c r="L648" s="140">
        <v>646</v>
      </c>
      <c r="M648" s="148">
        <v>31</v>
      </c>
      <c r="N648" s="140">
        <f t="shared" si="21"/>
        <v>35.25</v>
      </c>
      <c r="O648" s="140">
        <f t="shared" si="20"/>
        <v>243.875</v>
      </c>
      <c r="Q648" s="140">
        <v>68</v>
      </c>
    </row>
    <row r="649" spans="12:17" x14ac:dyDescent="0.35">
      <c r="L649" s="140">
        <v>647</v>
      </c>
      <c r="M649" s="148">
        <v>42</v>
      </c>
      <c r="N649" s="140">
        <f t="shared" si="21"/>
        <v>35.125</v>
      </c>
      <c r="O649" s="140">
        <f t="shared" si="20"/>
        <v>243.875</v>
      </c>
      <c r="Q649" s="140">
        <v>66</v>
      </c>
    </row>
    <row r="650" spans="12:17" x14ac:dyDescent="0.35">
      <c r="L650" s="140">
        <v>648</v>
      </c>
      <c r="M650" s="148">
        <v>33</v>
      </c>
      <c r="N650" s="140">
        <f t="shared" si="21"/>
        <v>34</v>
      </c>
      <c r="O650" s="140">
        <f t="shared" si="20"/>
        <v>243.875</v>
      </c>
      <c r="Q650" s="140">
        <v>63</v>
      </c>
    </row>
    <row r="651" spans="12:17" x14ac:dyDescent="0.35">
      <c r="L651" s="140">
        <v>649</v>
      </c>
      <c r="M651" s="148">
        <v>33</v>
      </c>
      <c r="N651" s="140">
        <f t="shared" si="21"/>
        <v>30.5</v>
      </c>
      <c r="O651" s="140">
        <f t="shared" si="20"/>
        <v>243.875</v>
      </c>
      <c r="Q651" s="140">
        <v>62</v>
      </c>
    </row>
    <row r="652" spans="12:17" x14ac:dyDescent="0.35">
      <c r="L652" s="140">
        <v>650</v>
      </c>
      <c r="M652" s="148">
        <v>31</v>
      </c>
      <c r="N652" s="140">
        <f t="shared" si="21"/>
        <v>30.75</v>
      </c>
      <c r="O652" s="140">
        <f t="shared" si="20"/>
        <v>243.875</v>
      </c>
      <c r="Q652" s="140">
        <v>54</v>
      </c>
    </row>
    <row r="653" spans="12:17" x14ac:dyDescent="0.35">
      <c r="L653" s="140">
        <v>651</v>
      </c>
      <c r="M653" s="148">
        <v>29</v>
      </c>
      <c r="N653" s="140">
        <f t="shared" si="21"/>
        <v>28.5</v>
      </c>
      <c r="O653" s="140">
        <f t="shared" si="20"/>
        <v>243.875</v>
      </c>
      <c r="Q653" s="140">
        <v>59</v>
      </c>
    </row>
    <row r="654" spans="12:17" x14ac:dyDescent="0.35">
      <c r="L654" s="140">
        <v>652</v>
      </c>
      <c r="M654" s="148">
        <v>29</v>
      </c>
      <c r="N654" s="140">
        <f t="shared" si="21"/>
        <v>27.375</v>
      </c>
      <c r="O654" s="140">
        <f t="shared" si="20"/>
        <v>243.875</v>
      </c>
      <c r="Q654" s="140">
        <v>43</v>
      </c>
    </row>
    <row r="655" spans="12:17" x14ac:dyDescent="0.35">
      <c r="L655" s="140">
        <v>653</v>
      </c>
      <c r="M655" s="148">
        <v>16</v>
      </c>
      <c r="N655" s="140">
        <f t="shared" si="21"/>
        <v>26.75</v>
      </c>
      <c r="O655" s="140">
        <f t="shared" si="20"/>
        <v>243.875</v>
      </c>
      <c r="Q655" s="140">
        <v>51</v>
      </c>
    </row>
    <row r="656" spans="12:17" x14ac:dyDescent="0.35">
      <c r="L656" s="140">
        <v>654</v>
      </c>
      <c r="M656" s="148">
        <v>33</v>
      </c>
      <c r="N656" s="140">
        <f t="shared" si="21"/>
        <v>25.125</v>
      </c>
      <c r="O656" s="140">
        <f t="shared" si="20"/>
        <v>243.875</v>
      </c>
      <c r="Q656" s="140">
        <v>55</v>
      </c>
    </row>
    <row r="657" spans="12:17" x14ac:dyDescent="0.35">
      <c r="L657" s="140">
        <v>655</v>
      </c>
      <c r="M657" s="148">
        <v>24</v>
      </c>
      <c r="N657" s="140">
        <f t="shared" si="21"/>
        <v>24.125</v>
      </c>
      <c r="O657" s="140">
        <f t="shared" si="20"/>
        <v>243.875</v>
      </c>
      <c r="Q657" s="140">
        <v>53</v>
      </c>
    </row>
    <row r="658" spans="12:17" x14ac:dyDescent="0.35">
      <c r="L658" s="140">
        <v>656</v>
      </c>
      <c r="M658" s="148">
        <v>24</v>
      </c>
      <c r="N658" s="140">
        <f t="shared" si="21"/>
        <v>23.125</v>
      </c>
      <c r="O658" s="140">
        <f t="shared" si="20"/>
        <v>243.875</v>
      </c>
      <c r="Q658" s="140">
        <v>46</v>
      </c>
    </row>
    <row r="659" spans="12:17" x14ac:dyDescent="0.35">
      <c r="L659" s="140">
        <v>657</v>
      </c>
      <c r="M659" s="148">
        <v>28</v>
      </c>
      <c r="N659" s="140">
        <f t="shared" si="21"/>
        <v>24.625</v>
      </c>
      <c r="O659" s="140">
        <f t="shared" si="20"/>
        <v>243.875</v>
      </c>
      <c r="Q659" s="140">
        <v>43</v>
      </c>
    </row>
    <row r="660" spans="12:17" x14ac:dyDescent="0.35">
      <c r="L660" s="140">
        <v>658</v>
      </c>
      <c r="M660" s="148">
        <v>18</v>
      </c>
      <c r="N660" s="140">
        <f t="shared" si="21"/>
        <v>24.125</v>
      </c>
      <c r="O660" s="140">
        <f t="shared" si="20"/>
        <v>243.875</v>
      </c>
      <c r="Q660" s="140">
        <v>36</v>
      </c>
    </row>
    <row r="661" spans="12:17" x14ac:dyDescent="0.35">
      <c r="L661" s="140">
        <v>659</v>
      </c>
      <c r="M661" s="148">
        <v>21</v>
      </c>
      <c r="N661" s="140">
        <f t="shared" si="21"/>
        <v>22.5</v>
      </c>
      <c r="O661" s="140">
        <f t="shared" si="20"/>
        <v>243.875</v>
      </c>
      <c r="Q661" s="140">
        <v>54</v>
      </c>
    </row>
    <row r="662" spans="12:17" x14ac:dyDescent="0.35">
      <c r="L662" s="140">
        <v>660</v>
      </c>
      <c r="M662" s="148">
        <v>21</v>
      </c>
      <c r="N662" s="140">
        <f t="shared" si="21"/>
        <v>21</v>
      </c>
      <c r="O662" s="140">
        <f t="shared" si="20"/>
        <v>243.875</v>
      </c>
      <c r="Q662" s="140">
        <v>37</v>
      </c>
    </row>
    <row r="663" spans="12:17" x14ac:dyDescent="0.35">
      <c r="L663" s="140">
        <v>661</v>
      </c>
      <c r="M663" s="148">
        <v>28</v>
      </c>
      <c r="N663" s="140">
        <f t="shared" si="21"/>
        <v>19.5</v>
      </c>
      <c r="O663" s="140">
        <f t="shared" si="20"/>
        <v>243.875</v>
      </c>
      <c r="Q663" s="140">
        <v>43</v>
      </c>
    </row>
    <row r="664" spans="12:17" x14ac:dyDescent="0.35">
      <c r="L664" s="140">
        <v>662</v>
      </c>
      <c r="M664" s="148">
        <v>29</v>
      </c>
      <c r="N664" s="140">
        <f t="shared" si="21"/>
        <v>19.25</v>
      </c>
      <c r="O664" s="140">
        <f t="shared" si="20"/>
        <v>243.875</v>
      </c>
      <c r="Q664" s="140">
        <v>40</v>
      </c>
    </row>
    <row r="665" spans="12:17" x14ac:dyDescent="0.35">
      <c r="L665" s="140">
        <v>663</v>
      </c>
      <c r="M665" s="148">
        <v>11</v>
      </c>
      <c r="N665" s="140">
        <f t="shared" si="21"/>
        <v>17.875</v>
      </c>
      <c r="O665" s="140">
        <f t="shared" si="20"/>
        <v>243.875</v>
      </c>
      <c r="Q665" s="140">
        <v>43</v>
      </c>
    </row>
    <row r="666" spans="12:17" x14ac:dyDescent="0.35">
      <c r="L666" s="140">
        <v>664</v>
      </c>
      <c r="M666" s="148">
        <v>12</v>
      </c>
      <c r="N666" s="140">
        <f t="shared" si="21"/>
        <v>17.625</v>
      </c>
      <c r="O666" s="140">
        <f t="shared" si="20"/>
        <v>243.875</v>
      </c>
      <c r="Q666" s="140">
        <v>40</v>
      </c>
    </row>
    <row r="667" spans="12:17" x14ac:dyDescent="0.35">
      <c r="L667" s="140">
        <v>665</v>
      </c>
      <c r="M667" s="148">
        <v>16</v>
      </c>
      <c r="N667" s="140">
        <f t="shared" si="21"/>
        <v>15.25</v>
      </c>
      <c r="O667" s="140">
        <f t="shared" si="20"/>
        <v>243.875</v>
      </c>
      <c r="Q667" s="140">
        <v>38</v>
      </c>
    </row>
    <row r="668" spans="12:17" x14ac:dyDescent="0.35">
      <c r="L668" s="140">
        <v>666</v>
      </c>
      <c r="M668" s="148">
        <v>16</v>
      </c>
      <c r="N668" s="140">
        <f t="shared" si="21"/>
        <v>13.5</v>
      </c>
      <c r="O668" s="140">
        <f t="shared" si="20"/>
        <v>243.875</v>
      </c>
      <c r="Q668" s="140">
        <v>36</v>
      </c>
    </row>
    <row r="669" spans="12:17" x14ac:dyDescent="0.35">
      <c r="L669" s="140">
        <v>667</v>
      </c>
      <c r="M669" s="148">
        <v>10</v>
      </c>
      <c r="N669" s="140">
        <f t="shared" si="21"/>
        <v>13.625</v>
      </c>
      <c r="O669" s="140">
        <f t="shared" si="20"/>
        <v>243.875</v>
      </c>
      <c r="Q669" s="140">
        <v>32</v>
      </c>
    </row>
    <row r="670" spans="12:17" x14ac:dyDescent="0.35">
      <c r="L670" s="140">
        <v>668</v>
      </c>
      <c r="M670" s="148">
        <v>19</v>
      </c>
      <c r="N670" s="140">
        <f t="shared" si="21"/>
        <v>14.75</v>
      </c>
      <c r="O670" s="140">
        <f t="shared" si="20"/>
        <v>243.875</v>
      </c>
      <c r="Q670" s="140">
        <v>31</v>
      </c>
    </row>
    <row r="671" spans="12:17" x14ac:dyDescent="0.35">
      <c r="L671" s="140">
        <v>669</v>
      </c>
      <c r="M671" s="148">
        <v>9</v>
      </c>
      <c r="N671" s="140">
        <f t="shared" si="21"/>
        <v>14</v>
      </c>
      <c r="O671" s="140">
        <f t="shared" si="20"/>
        <v>243.875</v>
      </c>
      <c r="Q671" s="140">
        <v>35</v>
      </c>
    </row>
    <row r="672" spans="12:17" x14ac:dyDescent="0.35">
      <c r="L672" s="140">
        <v>670</v>
      </c>
      <c r="M672" s="148">
        <v>15</v>
      </c>
      <c r="N672" s="140">
        <f t="shared" si="21"/>
        <v>14.375</v>
      </c>
      <c r="O672" s="140">
        <f t="shared" si="20"/>
        <v>243.875</v>
      </c>
      <c r="Q672" s="140">
        <v>25</v>
      </c>
    </row>
    <row r="673" spans="12:17" x14ac:dyDescent="0.35">
      <c r="L673" s="140">
        <v>671</v>
      </c>
      <c r="M673" s="148">
        <v>12</v>
      </c>
      <c r="N673" s="140">
        <f t="shared" si="21"/>
        <v>14.625</v>
      </c>
      <c r="O673" s="140">
        <f t="shared" si="20"/>
        <v>243.875</v>
      </c>
      <c r="Q673" s="140">
        <v>30</v>
      </c>
    </row>
    <row r="674" spans="12:17" x14ac:dyDescent="0.35">
      <c r="L674" s="140">
        <v>672</v>
      </c>
      <c r="M674" s="148">
        <v>21</v>
      </c>
      <c r="N674" s="140">
        <f t="shared" si="21"/>
        <v>13.875</v>
      </c>
      <c r="O674" s="140">
        <f t="shared" si="20"/>
        <v>243.875</v>
      </c>
      <c r="Q674" s="140">
        <v>28</v>
      </c>
    </row>
    <row r="675" spans="12:17" x14ac:dyDescent="0.35">
      <c r="L675" s="140">
        <v>673</v>
      </c>
      <c r="M675" s="148">
        <v>10</v>
      </c>
      <c r="N675" s="140">
        <f t="shared" si="21"/>
        <v>14.5</v>
      </c>
      <c r="O675" s="140">
        <f t="shared" si="20"/>
        <v>243.875</v>
      </c>
      <c r="Q675" s="140">
        <v>23</v>
      </c>
    </row>
    <row r="676" spans="12:17" x14ac:dyDescent="0.35">
      <c r="L676" s="140">
        <v>674</v>
      </c>
      <c r="M676" s="148">
        <v>19</v>
      </c>
      <c r="N676" s="140">
        <f t="shared" si="21"/>
        <v>14.25</v>
      </c>
      <c r="O676" s="140">
        <f t="shared" si="20"/>
        <v>243.875</v>
      </c>
      <c r="Q676" s="140">
        <v>32</v>
      </c>
    </row>
    <row r="677" spans="12:17" x14ac:dyDescent="0.35">
      <c r="L677" s="140">
        <v>675</v>
      </c>
      <c r="M677" s="148">
        <v>12</v>
      </c>
      <c r="N677" s="140">
        <f t="shared" si="21"/>
        <v>14.25</v>
      </c>
      <c r="O677" s="140">
        <f t="shared" si="20"/>
        <v>243.875</v>
      </c>
      <c r="Q677" s="140">
        <v>28</v>
      </c>
    </row>
    <row r="678" spans="12:17" x14ac:dyDescent="0.35">
      <c r="L678" s="140">
        <v>676</v>
      </c>
      <c r="M678" s="148">
        <v>13</v>
      </c>
      <c r="N678" s="140">
        <f t="shared" si="21"/>
        <v>13.125</v>
      </c>
      <c r="O678" s="140">
        <f t="shared" si="20"/>
        <v>243.875</v>
      </c>
      <c r="Q678" s="140">
        <v>26</v>
      </c>
    </row>
    <row r="679" spans="12:17" x14ac:dyDescent="0.35">
      <c r="L679" s="140">
        <v>677</v>
      </c>
      <c r="M679" s="148">
        <v>14</v>
      </c>
      <c r="N679" s="140">
        <f t="shared" si="21"/>
        <v>12.5</v>
      </c>
      <c r="O679" s="140">
        <f t="shared" si="20"/>
        <v>243.875</v>
      </c>
      <c r="Q679" s="140">
        <v>18</v>
      </c>
    </row>
    <row r="680" spans="12:17" x14ac:dyDescent="0.35">
      <c r="L680" s="140">
        <v>678</v>
      </c>
      <c r="M680" s="148">
        <v>13</v>
      </c>
      <c r="N680" s="140">
        <f t="shared" si="21"/>
        <v>11.125</v>
      </c>
      <c r="O680" s="140">
        <f t="shared" si="20"/>
        <v>243.875</v>
      </c>
      <c r="Q680" s="140">
        <v>17</v>
      </c>
    </row>
    <row r="681" spans="12:17" x14ac:dyDescent="0.35">
      <c r="L681" s="140">
        <v>679</v>
      </c>
      <c r="M681" s="148">
        <v>12</v>
      </c>
      <c r="N681" s="140">
        <f t="shared" si="21"/>
        <v>11</v>
      </c>
      <c r="O681" s="140">
        <f t="shared" si="20"/>
        <v>243.875</v>
      </c>
      <c r="Q681" s="140">
        <v>28</v>
      </c>
    </row>
    <row r="682" spans="12:17" x14ac:dyDescent="0.35">
      <c r="L682" s="140">
        <v>680</v>
      </c>
      <c r="M682" s="148">
        <v>12</v>
      </c>
      <c r="N682" s="140">
        <f t="shared" si="21"/>
        <v>11.5</v>
      </c>
      <c r="O682" s="140">
        <f t="shared" si="20"/>
        <v>243.875</v>
      </c>
      <c r="Q682" s="140">
        <v>16</v>
      </c>
    </row>
    <row r="683" spans="12:17" x14ac:dyDescent="0.35">
      <c r="L683" s="140">
        <v>681</v>
      </c>
      <c r="M683" s="148">
        <v>5</v>
      </c>
      <c r="N683" s="140">
        <f t="shared" si="21"/>
        <v>11.375</v>
      </c>
      <c r="O683" s="140">
        <f t="shared" si="20"/>
        <v>243.875</v>
      </c>
      <c r="Q683" s="140">
        <v>27</v>
      </c>
    </row>
    <row r="684" spans="12:17" x14ac:dyDescent="0.35">
      <c r="L684" s="140">
        <v>682</v>
      </c>
      <c r="M684" s="148">
        <v>8</v>
      </c>
      <c r="N684" s="140">
        <f t="shared" si="21"/>
        <v>11.125</v>
      </c>
      <c r="O684" s="140">
        <f t="shared" si="20"/>
        <v>243.875</v>
      </c>
      <c r="Q684" s="140">
        <v>22</v>
      </c>
    </row>
    <row r="685" spans="12:17" x14ac:dyDescent="0.35">
      <c r="L685" s="140">
        <v>683</v>
      </c>
      <c r="M685" s="148">
        <v>11</v>
      </c>
      <c r="N685" s="140">
        <f t="shared" si="21"/>
        <v>10.5</v>
      </c>
      <c r="O685" s="140">
        <f t="shared" si="20"/>
        <v>243.875</v>
      </c>
      <c r="Q685" s="140">
        <v>17</v>
      </c>
    </row>
    <row r="686" spans="12:17" x14ac:dyDescent="0.35">
      <c r="L686" s="140">
        <v>684</v>
      </c>
      <c r="M686" s="148">
        <v>17</v>
      </c>
      <c r="O686" s="140">
        <f t="shared" ref="O686:O749" si="22">MAX(N686:N1684)</f>
        <v>0</v>
      </c>
      <c r="Q686" s="140">
        <v>23</v>
      </c>
    </row>
    <row r="687" spans="12:17" x14ac:dyDescent="0.35">
      <c r="L687" s="140">
        <v>685</v>
      </c>
      <c r="M687" s="148">
        <v>13</v>
      </c>
      <c r="O687" s="140">
        <f t="shared" si="22"/>
        <v>0</v>
      </c>
      <c r="Q687" s="140">
        <v>34</v>
      </c>
    </row>
    <row r="688" spans="12:17" x14ac:dyDescent="0.35">
      <c r="L688" s="140">
        <v>686</v>
      </c>
      <c r="M688" s="148">
        <v>11</v>
      </c>
      <c r="O688" s="140">
        <f t="shared" si="22"/>
        <v>0</v>
      </c>
      <c r="Q688" s="140">
        <v>23</v>
      </c>
    </row>
    <row r="689" spans="12:17" x14ac:dyDescent="0.35">
      <c r="L689" s="140">
        <v>687</v>
      </c>
      <c r="M689" s="148">
        <v>7</v>
      </c>
      <c r="O689" s="140">
        <f t="shared" si="22"/>
        <v>0</v>
      </c>
      <c r="Q689" s="140">
        <v>26</v>
      </c>
    </row>
    <row r="690" spans="12:17" x14ac:dyDescent="0.35">
      <c r="L690" s="140">
        <v>688</v>
      </c>
      <c r="M690" s="148">
        <v>10</v>
      </c>
      <c r="O690" s="140">
        <f t="shared" si="22"/>
        <v>0</v>
      </c>
      <c r="Q690" s="140">
        <v>27</v>
      </c>
    </row>
    <row r="691" spans="12:17" x14ac:dyDescent="0.35">
      <c r="L691" s="140">
        <v>689</v>
      </c>
      <c r="M691" s="148">
        <v>7</v>
      </c>
      <c r="O691" s="140">
        <f t="shared" si="22"/>
        <v>0</v>
      </c>
      <c r="Q691" s="140">
        <v>27</v>
      </c>
    </row>
    <row r="692" spans="12:17" x14ac:dyDescent="0.35">
      <c r="L692" s="140">
        <v>690</v>
      </c>
      <c r="M692" s="148">
        <v>3</v>
      </c>
      <c r="O692" s="140">
        <f t="shared" si="22"/>
        <v>0</v>
      </c>
      <c r="Q692" s="140">
        <v>22</v>
      </c>
    </row>
    <row r="693" spans="12:17" x14ac:dyDescent="0.35">
      <c r="L693" s="140">
        <v>691</v>
      </c>
      <c r="M693" s="148">
        <v>11</v>
      </c>
      <c r="O693" s="140">
        <f t="shared" si="22"/>
        <v>0</v>
      </c>
      <c r="Q693" s="140">
        <v>16</v>
      </c>
    </row>
    <row r="694" spans="12:17" x14ac:dyDescent="0.35">
      <c r="L694" s="140">
        <v>692</v>
      </c>
      <c r="M694" s="148">
        <v>4</v>
      </c>
      <c r="O694" s="140">
        <f t="shared" si="22"/>
        <v>0</v>
      </c>
      <c r="Q694" s="140">
        <v>28</v>
      </c>
    </row>
    <row r="695" spans="12:17" x14ac:dyDescent="0.35">
      <c r="L695" s="140">
        <v>693</v>
      </c>
      <c r="M695" s="148">
        <v>5</v>
      </c>
      <c r="O695" s="140">
        <f t="shared" si="22"/>
        <v>0</v>
      </c>
      <c r="Q695" s="140">
        <v>23</v>
      </c>
    </row>
    <row r="696" spans="12:17" x14ac:dyDescent="0.35">
      <c r="L696" s="140">
        <v>694</v>
      </c>
      <c r="M696" s="148">
        <v>4</v>
      </c>
      <c r="O696" s="140">
        <f t="shared" si="22"/>
        <v>0</v>
      </c>
      <c r="Q696" s="140">
        <v>17</v>
      </c>
    </row>
    <row r="697" spans="12:17" x14ac:dyDescent="0.35">
      <c r="L697" s="140">
        <v>695</v>
      </c>
      <c r="M697" s="148">
        <v>6</v>
      </c>
      <c r="O697" s="140">
        <f t="shared" si="22"/>
        <v>0</v>
      </c>
      <c r="Q697" s="140">
        <v>18</v>
      </c>
    </row>
    <row r="698" spans="12:17" x14ac:dyDescent="0.35">
      <c r="L698" s="140">
        <v>696</v>
      </c>
      <c r="M698" s="148">
        <v>4</v>
      </c>
      <c r="O698" s="140">
        <f t="shared" si="22"/>
        <v>0</v>
      </c>
      <c r="Q698" s="140">
        <v>27</v>
      </c>
    </row>
    <row r="699" spans="12:17" x14ac:dyDescent="0.35">
      <c r="L699" s="140">
        <v>697</v>
      </c>
      <c r="M699" s="148">
        <v>6</v>
      </c>
      <c r="O699" s="140">
        <f t="shared" si="22"/>
        <v>0</v>
      </c>
      <c r="Q699" s="140">
        <v>25</v>
      </c>
    </row>
    <row r="700" spans="12:17" x14ac:dyDescent="0.35">
      <c r="L700" s="140">
        <v>698</v>
      </c>
      <c r="M700" s="148">
        <v>10</v>
      </c>
      <c r="O700" s="140">
        <f t="shared" si="22"/>
        <v>0</v>
      </c>
      <c r="Q700" s="140">
        <v>9</v>
      </c>
    </row>
    <row r="701" spans="12:17" x14ac:dyDescent="0.35">
      <c r="L701" s="140">
        <v>699</v>
      </c>
      <c r="M701" s="148">
        <v>7</v>
      </c>
      <c r="O701" s="140">
        <f t="shared" si="22"/>
        <v>0</v>
      </c>
      <c r="Q701" s="140">
        <v>20</v>
      </c>
    </row>
    <row r="702" spans="12:17" x14ac:dyDescent="0.35">
      <c r="L702" s="140">
        <v>700</v>
      </c>
      <c r="M702" s="148">
        <v>5</v>
      </c>
      <c r="O702" s="140">
        <f t="shared" si="22"/>
        <v>0</v>
      </c>
      <c r="Q702" s="140">
        <v>14</v>
      </c>
    </row>
    <row r="703" spans="12:17" x14ac:dyDescent="0.35">
      <c r="L703" s="140">
        <v>701</v>
      </c>
      <c r="M703" s="148">
        <v>3</v>
      </c>
      <c r="O703" s="140">
        <f t="shared" si="22"/>
        <v>0</v>
      </c>
      <c r="Q703" s="140">
        <v>14</v>
      </c>
    </row>
    <row r="704" spans="12:17" x14ac:dyDescent="0.35">
      <c r="L704" s="140">
        <v>702</v>
      </c>
      <c r="M704" s="148">
        <v>12</v>
      </c>
      <c r="O704" s="140">
        <f t="shared" si="22"/>
        <v>0</v>
      </c>
      <c r="Q704" s="140">
        <v>14</v>
      </c>
    </row>
    <row r="705" spans="12:17" x14ac:dyDescent="0.35">
      <c r="L705" s="140">
        <v>703</v>
      </c>
      <c r="M705" s="148">
        <v>5</v>
      </c>
      <c r="O705" s="140">
        <f t="shared" si="22"/>
        <v>0</v>
      </c>
      <c r="Q705" s="140">
        <v>11</v>
      </c>
    </row>
    <row r="706" spans="12:17" x14ac:dyDescent="0.35">
      <c r="L706" s="140">
        <v>704</v>
      </c>
      <c r="M706" s="148">
        <v>2</v>
      </c>
      <c r="O706" s="140">
        <f t="shared" si="22"/>
        <v>0</v>
      </c>
      <c r="Q706" s="140">
        <v>12</v>
      </c>
    </row>
    <row r="707" spans="12:17" x14ac:dyDescent="0.35">
      <c r="L707" s="140">
        <v>705</v>
      </c>
      <c r="M707" s="148">
        <v>4</v>
      </c>
      <c r="O707" s="140">
        <f t="shared" si="22"/>
        <v>0</v>
      </c>
      <c r="Q707" s="140">
        <v>12</v>
      </c>
    </row>
    <row r="708" spans="12:17" x14ac:dyDescent="0.35">
      <c r="L708" s="140">
        <v>706</v>
      </c>
      <c r="M708" s="148">
        <v>6</v>
      </c>
      <c r="O708" s="140">
        <f t="shared" si="22"/>
        <v>0</v>
      </c>
      <c r="Q708" s="140">
        <v>22</v>
      </c>
    </row>
    <row r="709" spans="12:17" x14ac:dyDescent="0.35">
      <c r="L709" s="140">
        <v>707</v>
      </c>
      <c r="M709" s="148">
        <v>7</v>
      </c>
      <c r="O709" s="140">
        <f t="shared" si="22"/>
        <v>0</v>
      </c>
      <c r="Q709" s="140">
        <v>21</v>
      </c>
    </row>
    <row r="710" spans="12:17" x14ac:dyDescent="0.35">
      <c r="L710" s="140">
        <v>708</v>
      </c>
      <c r="M710" s="148">
        <v>2</v>
      </c>
      <c r="O710" s="140">
        <f t="shared" si="22"/>
        <v>0</v>
      </c>
      <c r="Q710" s="140">
        <v>13</v>
      </c>
    </row>
    <row r="711" spans="12:17" x14ac:dyDescent="0.35">
      <c r="L711" s="140">
        <v>709</v>
      </c>
      <c r="M711" s="148">
        <v>7</v>
      </c>
      <c r="O711" s="140">
        <f t="shared" si="22"/>
        <v>0</v>
      </c>
      <c r="Q711" s="140">
        <v>14</v>
      </c>
    </row>
    <row r="712" spans="12:17" x14ac:dyDescent="0.35">
      <c r="L712" s="140">
        <v>710</v>
      </c>
      <c r="M712" s="148">
        <v>4</v>
      </c>
      <c r="O712" s="140">
        <f t="shared" si="22"/>
        <v>0</v>
      </c>
      <c r="Q712" s="140">
        <v>22</v>
      </c>
    </row>
    <row r="713" spans="12:17" x14ac:dyDescent="0.35">
      <c r="L713" s="140">
        <v>711</v>
      </c>
      <c r="M713" s="148">
        <v>8</v>
      </c>
      <c r="O713" s="140">
        <f t="shared" si="22"/>
        <v>0</v>
      </c>
      <c r="Q713" s="140">
        <v>21</v>
      </c>
    </row>
    <row r="714" spans="12:17" x14ac:dyDescent="0.35">
      <c r="L714" s="140">
        <v>712</v>
      </c>
      <c r="M714" s="148">
        <v>3</v>
      </c>
      <c r="O714" s="140">
        <f t="shared" si="22"/>
        <v>0</v>
      </c>
      <c r="Q714" s="140">
        <v>14</v>
      </c>
    </row>
    <row r="715" spans="12:17" x14ac:dyDescent="0.35">
      <c r="L715" s="140">
        <v>713</v>
      </c>
      <c r="M715" s="148">
        <v>2</v>
      </c>
      <c r="O715" s="140">
        <f t="shared" si="22"/>
        <v>0</v>
      </c>
      <c r="Q715" s="140">
        <v>12</v>
      </c>
    </row>
    <row r="716" spans="12:17" x14ac:dyDescent="0.35">
      <c r="L716" s="140">
        <v>714</v>
      </c>
      <c r="M716" s="148">
        <v>3</v>
      </c>
      <c r="O716" s="140">
        <f t="shared" si="22"/>
        <v>0</v>
      </c>
      <c r="Q716" s="140">
        <v>17</v>
      </c>
    </row>
    <row r="717" spans="12:17" x14ac:dyDescent="0.35">
      <c r="L717" s="140">
        <v>715</v>
      </c>
      <c r="M717" s="148">
        <v>8</v>
      </c>
      <c r="O717" s="140">
        <f t="shared" si="22"/>
        <v>0</v>
      </c>
      <c r="Q717" s="140">
        <v>13</v>
      </c>
    </row>
    <row r="718" spans="12:17" x14ac:dyDescent="0.35">
      <c r="L718" s="140">
        <v>716</v>
      </c>
      <c r="M718" s="148">
        <v>4</v>
      </c>
      <c r="O718" s="140">
        <f t="shared" si="22"/>
        <v>0</v>
      </c>
      <c r="Q718" s="140">
        <v>20</v>
      </c>
    </row>
    <row r="719" spans="12:17" x14ac:dyDescent="0.35">
      <c r="L719" s="140">
        <v>717</v>
      </c>
      <c r="M719" s="148">
        <v>4</v>
      </c>
      <c r="O719" s="140">
        <f t="shared" si="22"/>
        <v>0</v>
      </c>
      <c r="Q719" s="140">
        <v>10</v>
      </c>
    </row>
    <row r="720" spans="12:17" x14ac:dyDescent="0.35">
      <c r="L720" s="140">
        <v>718</v>
      </c>
      <c r="M720" s="148">
        <v>7</v>
      </c>
      <c r="O720" s="140">
        <f t="shared" si="22"/>
        <v>0</v>
      </c>
      <c r="Q720" s="140">
        <v>8</v>
      </c>
    </row>
    <row r="721" spans="12:17" x14ac:dyDescent="0.35">
      <c r="L721" s="140">
        <v>719</v>
      </c>
      <c r="M721" s="148">
        <v>6</v>
      </c>
      <c r="O721" s="140">
        <f t="shared" si="22"/>
        <v>0</v>
      </c>
      <c r="Q721" s="140">
        <v>12</v>
      </c>
    </row>
    <row r="722" spans="12:17" x14ac:dyDescent="0.35">
      <c r="L722" s="140">
        <v>720</v>
      </c>
      <c r="M722" s="148">
        <v>6</v>
      </c>
      <c r="O722" s="140">
        <f t="shared" si="22"/>
        <v>0</v>
      </c>
      <c r="Q722" s="140">
        <v>8</v>
      </c>
    </row>
    <row r="723" spans="12:17" x14ac:dyDescent="0.35">
      <c r="L723" s="140">
        <v>721</v>
      </c>
      <c r="M723" s="148">
        <v>5</v>
      </c>
      <c r="O723" s="140">
        <f t="shared" si="22"/>
        <v>0</v>
      </c>
      <c r="Q723" s="140">
        <v>16</v>
      </c>
    </row>
    <row r="724" spans="12:17" x14ac:dyDescent="0.35">
      <c r="L724" s="140">
        <v>722</v>
      </c>
      <c r="M724" s="148">
        <v>0</v>
      </c>
      <c r="O724" s="140">
        <f t="shared" si="22"/>
        <v>0</v>
      </c>
      <c r="Q724" s="140">
        <v>19</v>
      </c>
    </row>
    <row r="725" spans="12:17" x14ac:dyDescent="0.35">
      <c r="L725" s="140">
        <v>723</v>
      </c>
      <c r="M725" s="148">
        <v>4</v>
      </c>
      <c r="O725" s="140">
        <f t="shared" si="22"/>
        <v>0</v>
      </c>
      <c r="Q725" s="140">
        <v>12</v>
      </c>
    </row>
    <row r="726" spans="12:17" x14ac:dyDescent="0.35">
      <c r="L726" s="140">
        <v>724</v>
      </c>
      <c r="M726" s="148">
        <v>3</v>
      </c>
      <c r="O726" s="140">
        <f t="shared" si="22"/>
        <v>0</v>
      </c>
      <c r="Q726" s="140">
        <v>13</v>
      </c>
    </row>
    <row r="727" spans="12:17" x14ac:dyDescent="0.35">
      <c r="L727" s="140">
        <v>725</v>
      </c>
      <c r="M727" s="148">
        <v>0</v>
      </c>
      <c r="O727" s="140">
        <f t="shared" si="22"/>
        <v>0</v>
      </c>
      <c r="Q727" s="140">
        <v>8</v>
      </c>
    </row>
    <row r="728" spans="12:17" x14ac:dyDescent="0.35">
      <c r="L728" s="140">
        <v>726</v>
      </c>
      <c r="M728" s="148">
        <v>4</v>
      </c>
      <c r="O728" s="140">
        <f t="shared" si="22"/>
        <v>0</v>
      </c>
      <c r="Q728" s="140">
        <v>8</v>
      </c>
    </row>
    <row r="729" spans="12:17" x14ac:dyDescent="0.35">
      <c r="L729" s="140">
        <v>727</v>
      </c>
      <c r="M729" s="148">
        <v>3</v>
      </c>
      <c r="O729" s="140">
        <f t="shared" si="22"/>
        <v>0</v>
      </c>
      <c r="Q729" s="140">
        <v>18</v>
      </c>
    </row>
    <row r="730" spans="12:17" x14ac:dyDescent="0.35">
      <c r="L730" s="140">
        <v>728</v>
      </c>
      <c r="M730" s="148">
        <v>2</v>
      </c>
      <c r="O730" s="140">
        <f t="shared" si="22"/>
        <v>0</v>
      </c>
      <c r="Q730" s="140">
        <v>21</v>
      </c>
    </row>
    <row r="731" spans="12:17" x14ac:dyDescent="0.35">
      <c r="L731" s="140">
        <v>729</v>
      </c>
      <c r="M731" s="148">
        <v>6</v>
      </c>
      <c r="O731" s="140">
        <f t="shared" si="22"/>
        <v>0</v>
      </c>
      <c r="Q731" s="140">
        <v>15</v>
      </c>
    </row>
    <row r="732" spans="12:17" x14ac:dyDescent="0.35">
      <c r="L732" s="140">
        <v>730</v>
      </c>
      <c r="M732" s="148">
        <v>2</v>
      </c>
      <c r="O732" s="140">
        <f t="shared" si="22"/>
        <v>0</v>
      </c>
      <c r="Q732" s="140">
        <v>13</v>
      </c>
    </row>
    <row r="733" spans="12:17" x14ac:dyDescent="0.35">
      <c r="L733" s="140">
        <v>731</v>
      </c>
      <c r="M733" s="148">
        <v>3</v>
      </c>
      <c r="O733" s="140">
        <f t="shared" si="22"/>
        <v>0</v>
      </c>
      <c r="Q733" s="140">
        <v>19</v>
      </c>
    </row>
    <row r="734" spans="12:17" x14ac:dyDescent="0.35">
      <c r="L734" s="140">
        <v>732</v>
      </c>
      <c r="M734" s="148">
        <v>2</v>
      </c>
      <c r="O734" s="140">
        <f t="shared" si="22"/>
        <v>0</v>
      </c>
      <c r="Q734" s="140">
        <v>5</v>
      </c>
    </row>
    <row r="735" spans="12:17" x14ac:dyDescent="0.35">
      <c r="L735" s="140">
        <v>733</v>
      </c>
      <c r="M735" s="148">
        <v>3</v>
      </c>
      <c r="O735" s="140">
        <f t="shared" si="22"/>
        <v>0</v>
      </c>
      <c r="Q735" s="140">
        <v>12</v>
      </c>
    </row>
    <row r="736" spans="12:17" x14ac:dyDescent="0.35">
      <c r="L736" s="140">
        <v>734</v>
      </c>
      <c r="M736" s="148">
        <v>5</v>
      </c>
      <c r="O736" s="140">
        <f t="shared" si="22"/>
        <v>0</v>
      </c>
      <c r="Q736" s="140">
        <v>15</v>
      </c>
    </row>
    <row r="737" spans="12:17" x14ac:dyDescent="0.35">
      <c r="L737" s="140">
        <v>735</v>
      </c>
      <c r="M737" s="148">
        <v>4</v>
      </c>
      <c r="O737" s="140">
        <f t="shared" si="22"/>
        <v>0</v>
      </c>
      <c r="Q737" s="140">
        <v>8</v>
      </c>
    </row>
    <row r="738" spans="12:17" x14ac:dyDescent="0.35">
      <c r="L738" s="140">
        <v>736</v>
      </c>
      <c r="M738" s="148">
        <v>3</v>
      </c>
      <c r="O738" s="140">
        <f t="shared" si="22"/>
        <v>0</v>
      </c>
      <c r="Q738" s="140">
        <v>11</v>
      </c>
    </row>
    <row r="739" spans="12:17" x14ac:dyDescent="0.35">
      <c r="L739" s="140">
        <v>737</v>
      </c>
      <c r="M739" s="148">
        <v>4</v>
      </c>
      <c r="O739" s="140">
        <f t="shared" si="22"/>
        <v>0</v>
      </c>
      <c r="Q739" s="140">
        <v>14</v>
      </c>
    </row>
    <row r="740" spans="12:17" x14ac:dyDescent="0.35">
      <c r="L740" s="140">
        <v>738</v>
      </c>
      <c r="M740" s="148">
        <v>1</v>
      </c>
      <c r="O740" s="140">
        <f t="shared" si="22"/>
        <v>0</v>
      </c>
      <c r="Q740" s="140">
        <v>13</v>
      </c>
    </row>
    <row r="741" spans="12:17" x14ac:dyDescent="0.35">
      <c r="L741" s="140">
        <v>739</v>
      </c>
      <c r="M741" s="148">
        <v>3</v>
      </c>
      <c r="O741" s="140">
        <f t="shared" si="22"/>
        <v>0</v>
      </c>
      <c r="Q741" s="140">
        <v>15</v>
      </c>
    </row>
    <row r="742" spans="12:17" x14ac:dyDescent="0.35">
      <c r="L742" s="140">
        <v>740</v>
      </c>
      <c r="M742" s="148">
        <v>4</v>
      </c>
      <c r="O742" s="140">
        <f t="shared" si="22"/>
        <v>0</v>
      </c>
      <c r="Q742" s="140">
        <v>9</v>
      </c>
    </row>
    <row r="743" spans="12:17" x14ac:dyDescent="0.35">
      <c r="L743" s="140">
        <v>741</v>
      </c>
      <c r="M743" s="148">
        <v>4</v>
      </c>
      <c r="O743" s="140">
        <f t="shared" si="22"/>
        <v>0</v>
      </c>
      <c r="Q743" s="140">
        <v>14</v>
      </c>
    </row>
    <row r="744" spans="12:17" x14ac:dyDescent="0.35">
      <c r="L744" s="140">
        <v>742</v>
      </c>
      <c r="M744" s="148">
        <v>2</v>
      </c>
      <c r="O744" s="140">
        <f t="shared" si="22"/>
        <v>0</v>
      </c>
      <c r="Q744" s="140">
        <v>8</v>
      </c>
    </row>
    <row r="745" spans="12:17" x14ac:dyDescent="0.35">
      <c r="L745" s="140">
        <v>743</v>
      </c>
      <c r="M745" s="148">
        <v>2</v>
      </c>
      <c r="O745" s="140">
        <f t="shared" si="22"/>
        <v>0</v>
      </c>
      <c r="Q745" s="140">
        <v>10</v>
      </c>
    </row>
    <row r="746" spans="12:17" x14ac:dyDescent="0.35">
      <c r="L746" s="140">
        <v>744</v>
      </c>
      <c r="M746" s="148">
        <v>5</v>
      </c>
      <c r="O746" s="140">
        <f t="shared" si="22"/>
        <v>0</v>
      </c>
      <c r="Q746" s="140">
        <v>8</v>
      </c>
    </row>
    <row r="747" spans="12:17" x14ac:dyDescent="0.35">
      <c r="L747" s="140">
        <v>745</v>
      </c>
      <c r="M747" s="148">
        <v>2</v>
      </c>
      <c r="O747" s="140">
        <f t="shared" si="22"/>
        <v>0</v>
      </c>
      <c r="Q747" s="140">
        <v>14</v>
      </c>
    </row>
    <row r="748" spans="12:17" x14ac:dyDescent="0.35">
      <c r="L748" s="140">
        <v>746</v>
      </c>
      <c r="M748" s="148">
        <v>2</v>
      </c>
      <c r="O748" s="140">
        <f t="shared" si="22"/>
        <v>0</v>
      </c>
      <c r="Q748" s="140">
        <v>12</v>
      </c>
    </row>
    <row r="749" spans="12:17" x14ac:dyDescent="0.35">
      <c r="L749" s="140">
        <v>747</v>
      </c>
      <c r="M749" s="148">
        <v>4</v>
      </c>
      <c r="O749" s="140">
        <f t="shared" si="22"/>
        <v>0</v>
      </c>
      <c r="Q749" s="140">
        <v>14</v>
      </c>
    </row>
    <row r="750" spans="12:17" x14ac:dyDescent="0.35">
      <c r="L750" s="140">
        <v>748</v>
      </c>
      <c r="M750" s="148">
        <v>9</v>
      </c>
      <c r="O750" s="140">
        <f t="shared" ref="O750:O813" si="23">MAX(N750:N1748)</f>
        <v>0</v>
      </c>
      <c r="Q750" s="140">
        <v>13</v>
      </c>
    </row>
    <row r="751" spans="12:17" x14ac:dyDescent="0.35">
      <c r="L751" s="140">
        <v>749</v>
      </c>
      <c r="M751" s="148">
        <v>4</v>
      </c>
      <c r="O751" s="140">
        <f t="shared" si="23"/>
        <v>0</v>
      </c>
      <c r="Q751" s="140">
        <v>15</v>
      </c>
    </row>
    <row r="752" spans="12:17" x14ac:dyDescent="0.35">
      <c r="L752" s="140">
        <v>750</v>
      </c>
      <c r="M752" s="148">
        <v>6</v>
      </c>
      <c r="O752" s="140">
        <f t="shared" si="23"/>
        <v>0</v>
      </c>
      <c r="Q752" s="140">
        <v>13</v>
      </c>
    </row>
    <row r="753" spans="12:17" x14ac:dyDescent="0.35">
      <c r="L753" s="140">
        <v>751</v>
      </c>
      <c r="M753" s="148">
        <v>7</v>
      </c>
      <c r="O753" s="140">
        <f t="shared" si="23"/>
        <v>0</v>
      </c>
      <c r="Q753" s="140">
        <v>13</v>
      </c>
    </row>
    <row r="754" spans="12:17" x14ac:dyDescent="0.35">
      <c r="L754" s="140">
        <v>752</v>
      </c>
      <c r="M754" s="148">
        <v>3</v>
      </c>
      <c r="O754" s="140">
        <f t="shared" si="23"/>
        <v>0</v>
      </c>
      <c r="Q754" s="140">
        <v>10</v>
      </c>
    </row>
    <row r="755" spans="12:17" x14ac:dyDescent="0.35">
      <c r="L755" s="140">
        <v>753</v>
      </c>
      <c r="M755" s="148">
        <v>2</v>
      </c>
      <c r="O755" s="140">
        <f t="shared" si="23"/>
        <v>0</v>
      </c>
      <c r="Q755" s="140">
        <v>9</v>
      </c>
    </row>
    <row r="756" spans="12:17" x14ac:dyDescent="0.35">
      <c r="L756" s="140">
        <v>754</v>
      </c>
      <c r="M756" s="148">
        <v>6</v>
      </c>
      <c r="O756" s="140">
        <f t="shared" si="23"/>
        <v>0</v>
      </c>
      <c r="Q756" s="140">
        <v>13</v>
      </c>
    </row>
    <row r="757" spans="12:17" x14ac:dyDescent="0.35">
      <c r="L757" s="140">
        <v>755</v>
      </c>
      <c r="M757" s="148">
        <v>3</v>
      </c>
      <c r="O757" s="140">
        <f t="shared" si="23"/>
        <v>0</v>
      </c>
      <c r="Q757" s="140">
        <v>7</v>
      </c>
    </row>
    <row r="758" spans="12:17" x14ac:dyDescent="0.35">
      <c r="L758" s="140">
        <v>756</v>
      </c>
      <c r="M758" s="148">
        <v>4</v>
      </c>
      <c r="O758" s="140">
        <f t="shared" si="23"/>
        <v>0</v>
      </c>
      <c r="Q758" s="140">
        <v>7</v>
      </c>
    </row>
    <row r="759" spans="12:17" x14ac:dyDescent="0.35">
      <c r="L759" s="140">
        <v>757</v>
      </c>
      <c r="M759" s="148">
        <v>2</v>
      </c>
      <c r="O759" s="140">
        <f t="shared" si="23"/>
        <v>0</v>
      </c>
      <c r="Q759" s="140">
        <v>19</v>
      </c>
    </row>
    <row r="760" spans="12:17" x14ac:dyDescent="0.35">
      <c r="L760" s="140">
        <v>758</v>
      </c>
      <c r="M760" s="148">
        <v>1</v>
      </c>
      <c r="O760" s="140">
        <f t="shared" si="23"/>
        <v>0</v>
      </c>
      <c r="Q760" s="140">
        <v>19</v>
      </c>
    </row>
    <row r="761" spans="12:17" x14ac:dyDescent="0.35">
      <c r="L761" s="140">
        <v>759</v>
      </c>
      <c r="M761" s="148">
        <v>2</v>
      </c>
      <c r="O761" s="140">
        <f t="shared" si="23"/>
        <v>0</v>
      </c>
      <c r="Q761" s="140">
        <v>12</v>
      </c>
    </row>
    <row r="762" spans="12:17" x14ac:dyDescent="0.35">
      <c r="L762" s="140">
        <v>760</v>
      </c>
      <c r="M762" s="148">
        <v>1</v>
      </c>
      <c r="O762" s="140">
        <f t="shared" si="23"/>
        <v>0</v>
      </c>
      <c r="Q762" s="140">
        <v>14</v>
      </c>
    </row>
    <row r="763" spans="12:17" x14ac:dyDescent="0.35">
      <c r="L763" s="140">
        <v>761</v>
      </c>
      <c r="M763" s="148">
        <v>2</v>
      </c>
      <c r="O763" s="140">
        <f t="shared" si="23"/>
        <v>0</v>
      </c>
      <c r="Q763" s="140">
        <v>12</v>
      </c>
    </row>
    <row r="764" spans="12:17" x14ac:dyDescent="0.35">
      <c r="L764" s="140">
        <v>762</v>
      </c>
      <c r="M764" s="148">
        <v>1</v>
      </c>
      <c r="O764" s="140">
        <f t="shared" si="23"/>
        <v>0</v>
      </c>
      <c r="Q764" s="140">
        <v>15</v>
      </c>
    </row>
    <row r="765" spans="12:17" x14ac:dyDescent="0.35">
      <c r="L765" s="140">
        <v>763</v>
      </c>
      <c r="M765" s="148">
        <v>2</v>
      </c>
      <c r="O765" s="140">
        <f t="shared" si="23"/>
        <v>0</v>
      </c>
      <c r="Q765" s="140">
        <v>10</v>
      </c>
    </row>
    <row r="766" spans="12:17" x14ac:dyDescent="0.35">
      <c r="L766" s="140">
        <v>764</v>
      </c>
      <c r="M766" s="148">
        <v>2</v>
      </c>
      <c r="O766" s="140">
        <f t="shared" si="23"/>
        <v>0</v>
      </c>
      <c r="Q766" s="140">
        <v>11</v>
      </c>
    </row>
    <row r="767" spans="12:17" x14ac:dyDescent="0.35">
      <c r="L767" s="140">
        <v>765</v>
      </c>
      <c r="M767" s="148">
        <v>2</v>
      </c>
      <c r="O767" s="140">
        <f t="shared" si="23"/>
        <v>0</v>
      </c>
      <c r="Q767" s="140">
        <v>6</v>
      </c>
    </row>
    <row r="768" spans="12:17" x14ac:dyDescent="0.35">
      <c r="L768" s="140">
        <v>766</v>
      </c>
      <c r="M768" s="148">
        <v>1</v>
      </c>
      <c r="O768" s="140">
        <f t="shared" si="23"/>
        <v>0</v>
      </c>
      <c r="Q768" s="140">
        <v>17</v>
      </c>
    </row>
    <row r="769" spans="12:17" x14ac:dyDescent="0.35">
      <c r="L769" s="140">
        <v>767</v>
      </c>
      <c r="M769" s="148">
        <v>3</v>
      </c>
      <c r="O769" s="140">
        <f t="shared" si="23"/>
        <v>0</v>
      </c>
      <c r="Q769" s="140">
        <v>12</v>
      </c>
    </row>
    <row r="770" spans="12:17" x14ac:dyDescent="0.35">
      <c r="L770" s="140">
        <v>768</v>
      </c>
      <c r="M770" s="148">
        <v>3</v>
      </c>
      <c r="O770" s="140">
        <f t="shared" si="23"/>
        <v>0</v>
      </c>
      <c r="Q770" s="140">
        <v>14</v>
      </c>
    </row>
    <row r="771" spans="12:17" x14ac:dyDescent="0.35">
      <c r="L771" s="140">
        <v>769</v>
      </c>
      <c r="M771" s="148">
        <v>5</v>
      </c>
      <c r="O771" s="140">
        <f t="shared" si="23"/>
        <v>0</v>
      </c>
      <c r="Q771" s="140">
        <v>10</v>
      </c>
    </row>
    <row r="772" spans="12:17" x14ac:dyDescent="0.35">
      <c r="L772" s="140">
        <v>770</v>
      </c>
      <c r="M772" s="148">
        <v>0</v>
      </c>
      <c r="O772" s="140">
        <f t="shared" si="23"/>
        <v>0</v>
      </c>
      <c r="Q772" s="140">
        <v>9</v>
      </c>
    </row>
    <row r="773" spans="12:17" x14ac:dyDescent="0.35">
      <c r="L773" s="140">
        <v>771</v>
      </c>
      <c r="M773" s="148">
        <v>3</v>
      </c>
      <c r="O773" s="140">
        <f t="shared" si="23"/>
        <v>0</v>
      </c>
      <c r="Q773" s="140">
        <v>11</v>
      </c>
    </row>
    <row r="774" spans="12:17" x14ac:dyDescent="0.35">
      <c r="L774" s="140">
        <v>772</v>
      </c>
      <c r="M774" s="148">
        <v>4</v>
      </c>
      <c r="O774" s="140">
        <f t="shared" si="23"/>
        <v>0</v>
      </c>
      <c r="Q774" s="140">
        <v>11</v>
      </c>
    </row>
    <row r="775" spans="12:17" x14ac:dyDescent="0.35">
      <c r="L775" s="140">
        <v>773</v>
      </c>
      <c r="M775" s="148">
        <v>5</v>
      </c>
      <c r="O775" s="140">
        <f t="shared" si="23"/>
        <v>0</v>
      </c>
      <c r="Q775" s="140">
        <v>14</v>
      </c>
    </row>
    <row r="776" spans="12:17" x14ac:dyDescent="0.35">
      <c r="L776" s="140">
        <v>774</v>
      </c>
      <c r="M776" s="148">
        <v>1</v>
      </c>
      <c r="O776" s="140">
        <f t="shared" si="23"/>
        <v>0</v>
      </c>
      <c r="Q776" s="140">
        <v>14</v>
      </c>
    </row>
    <row r="777" spans="12:17" x14ac:dyDescent="0.35">
      <c r="L777" s="140">
        <v>775</v>
      </c>
      <c r="M777" s="148">
        <v>5</v>
      </c>
      <c r="O777" s="140">
        <f t="shared" si="23"/>
        <v>0</v>
      </c>
      <c r="Q777" s="140">
        <v>10</v>
      </c>
    </row>
    <row r="778" spans="12:17" x14ac:dyDescent="0.35">
      <c r="L778" s="140">
        <v>776</v>
      </c>
      <c r="M778" s="148">
        <v>5</v>
      </c>
      <c r="O778" s="140">
        <f t="shared" si="23"/>
        <v>0</v>
      </c>
      <c r="Q778" s="140">
        <v>14</v>
      </c>
    </row>
    <row r="779" spans="12:17" x14ac:dyDescent="0.35">
      <c r="L779" s="140">
        <v>777</v>
      </c>
      <c r="M779" s="148">
        <v>2</v>
      </c>
      <c r="O779" s="140">
        <f t="shared" si="23"/>
        <v>0</v>
      </c>
      <c r="Q779" s="140">
        <v>8</v>
      </c>
    </row>
    <row r="780" spans="12:17" x14ac:dyDescent="0.35">
      <c r="L780" s="140">
        <v>778</v>
      </c>
      <c r="M780" s="148">
        <v>6</v>
      </c>
      <c r="O780" s="140">
        <f t="shared" si="23"/>
        <v>0</v>
      </c>
      <c r="Q780" s="140">
        <v>4</v>
      </c>
    </row>
    <row r="781" spans="12:17" x14ac:dyDescent="0.35">
      <c r="L781" s="140">
        <v>779</v>
      </c>
      <c r="M781" s="148">
        <v>3</v>
      </c>
      <c r="O781" s="140">
        <f t="shared" si="23"/>
        <v>0</v>
      </c>
      <c r="Q781" s="140">
        <v>15</v>
      </c>
    </row>
    <row r="782" spans="12:17" x14ac:dyDescent="0.35">
      <c r="L782" s="140">
        <v>780</v>
      </c>
      <c r="M782" s="148">
        <v>3</v>
      </c>
      <c r="O782" s="140">
        <f t="shared" si="23"/>
        <v>0</v>
      </c>
      <c r="Q782" s="140">
        <v>11</v>
      </c>
    </row>
    <row r="783" spans="12:17" x14ac:dyDescent="0.35">
      <c r="L783" s="140">
        <v>781</v>
      </c>
      <c r="M783" s="148">
        <v>4</v>
      </c>
      <c r="O783" s="140">
        <f t="shared" si="23"/>
        <v>0</v>
      </c>
      <c r="Q783" s="140">
        <v>10</v>
      </c>
    </row>
    <row r="784" spans="12:17" x14ac:dyDescent="0.35">
      <c r="L784" s="140">
        <v>782</v>
      </c>
      <c r="M784" s="148">
        <v>2</v>
      </c>
      <c r="O784" s="140">
        <f t="shared" si="23"/>
        <v>0</v>
      </c>
      <c r="Q784" s="140">
        <v>9</v>
      </c>
    </row>
    <row r="785" spans="12:17" x14ac:dyDescent="0.35">
      <c r="L785" s="140">
        <v>783</v>
      </c>
      <c r="M785" s="148">
        <v>1</v>
      </c>
      <c r="O785" s="140">
        <f t="shared" si="23"/>
        <v>0</v>
      </c>
      <c r="Q785" s="140">
        <v>16</v>
      </c>
    </row>
    <row r="786" spans="12:17" x14ac:dyDescent="0.35">
      <c r="L786" s="140">
        <v>784</v>
      </c>
      <c r="M786" s="148">
        <v>2</v>
      </c>
      <c r="O786" s="140">
        <f t="shared" si="23"/>
        <v>0</v>
      </c>
      <c r="Q786" s="140">
        <v>13</v>
      </c>
    </row>
    <row r="787" spans="12:17" x14ac:dyDescent="0.35">
      <c r="L787" s="140">
        <v>785</v>
      </c>
      <c r="M787" s="148">
        <v>1</v>
      </c>
      <c r="O787" s="140">
        <f t="shared" si="23"/>
        <v>0</v>
      </c>
      <c r="Q787" s="140">
        <v>11</v>
      </c>
    </row>
    <row r="788" spans="12:17" x14ac:dyDescent="0.35">
      <c r="L788" s="140">
        <v>786</v>
      </c>
      <c r="M788" s="148">
        <v>2</v>
      </c>
      <c r="O788" s="140">
        <f t="shared" si="23"/>
        <v>0</v>
      </c>
      <c r="Q788" s="140">
        <v>10</v>
      </c>
    </row>
    <row r="789" spans="12:17" x14ac:dyDescent="0.35">
      <c r="L789" s="140">
        <v>787</v>
      </c>
      <c r="M789" s="148">
        <v>2</v>
      </c>
      <c r="O789" s="140">
        <f t="shared" si="23"/>
        <v>0</v>
      </c>
      <c r="Q789" s="140">
        <v>13</v>
      </c>
    </row>
    <row r="790" spans="12:17" x14ac:dyDescent="0.35">
      <c r="L790" s="140">
        <v>788</v>
      </c>
      <c r="M790" s="148">
        <v>0</v>
      </c>
      <c r="O790" s="140">
        <f t="shared" si="23"/>
        <v>0</v>
      </c>
      <c r="Q790" s="140">
        <v>9</v>
      </c>
    </row>
    <row r="791" spans="12:17" x14ac:dyDescent="0.35">
      <c r="L791" s="140">
        <v>789</v>
      </c>
      <c r="M791" s="148">
        <v>3</v>
      </c>
      <c r="O791" s="140">
        <f t="shared" si="23"/>
        <v>0</v>
      </c>
      <c r="Q791" s="140">
        <v>11</v>
      </c>
    </row>
    <row r="792" spans="12:17" x14ac:dyDescent="0.35">
      <c r="L792" s="140">
        <v>790</v>
      </c>
      <c r="M792" s="148">
        <v>3</v>
      </c>
      <c r="O792" s="140">
        <f t="shared" si="23"/>
        <v>0</v>
      </c>
      <c r="Q792" s="140">
        <v>12</v>
      </c>
    </row>
    <row r="793" spans="12:17" x14ac:dyDescent="0.35">
      <c r="L793" s="140">
        <v>791</v>
      </c>
      <c r="M793" s="148">
        <v>3</v>
      </c>
      <c r="O793" s="140">
        <f t="shared" si="23"/>
        <v>0</v>
      </c>
      <c r="Q793" s="140">
        <v>8</v>
      </c>
    </row>
    <row r="794" spans="12:17" x14ac:dyDescent="0.35">
      <c r="L794" s="140">
        <v>792</v>
      </c>
      <c r="M794" s="148">
        <v>2</v>
      </c>
      <c r="O794" s="140">
        <f t="shared" si="23"/>
        <v>0</v>
      </c>
      <c r="Q794" s="140">
        <v>15</v>
      </c>
    </row>
    <row r="795" spans="12:17" x14ac:dyDescent="0.35">
      <c r="L795" s="140">
        <v>793</v>
      </c>
      <c r="M795" s="148">
        <v>2</v>
      </c>
      <c r="O795" s="140">
        <f t="shared" si="23"/>
        <v>0</v>
      </c>
      <c r="Q795" s="140">
        <v>11</v>
      </c>
    </row>
    <row r="796" spans="12:17" x14ac:dyDescent="0.35">
      <c r="L796" s="140">
        <v>794</v>
      </c>
      <c r="M796" s="148">
        <v>1</v>
      </c>
      <c r="O796" s="140">
        <f t="shared" si="23"/>
        <v>0</v>
      </c>
      <c r="Q796" s="140">
        <v>16</v>
      </c>
    </row>
    <row r="797" spans="12:17" x14ac:dyDescent="0.35">
      <c r="L797" s="140">
        <v>795</v>
      </c>
      <c r="M797" s="148">
        <v>3</v>
      </c>
      <c r="O797" s="140">
        <f t="shared" si="23"/>
        <v>0</v>
      </c>
      <c r="Q797" s="140">
        <v>15</v>
      </c>
    </row>
    <row r="798" spans="12:17" x14ac:dyDescent="0.35">
      <c r="L798" s="140">
        <v>796</v>
      </c>
      <c r="M798" s="148">
        <v>3</v>
      </c>
      <c r="O798" s="140">
        <f t="shared" si="23"/>
        <v>0</v>
      </c>
      <c r="Q798" s="140">
        <v>6</v>
      </c>
    </row>
    <row r="799" spans="12:17" x14ac:dyDescent="0.35">
      <c r="L799" s="140">
        <v>797</v>
      </c>
      <c r="M799" s="148">
        <v>3</v>
      </c>
      <c r="O799" s="140">
        <f t="shared" si="23"/>
        <v>0</v>
      </c>
      <c r="Q799" s="140">
        <v>10</v>
      </c>
    </row>
    <row r="800" spans="12:17" x14ac:dyDescent="0.35">
      <c r="L800" s="140">
        <v>798</v>
      </c>
      <c r="M800" s="148">
        <v>5</v>
      </c>
      <c r="O800" s="140">
        <f t="shared" si="23"/>
        <v>0</v>
      </c>
      <c r="Q800" s="140">
        <v>8</v>
      </c>
    </row>
    <row r="801" spans="12:17" x14ac:dyDescent="0.35">
      <c r="L801" s="140">
        <v>799</v>
      </c>
      <c r="M801" s="148">
        <v>1</v>
      </c>
      <c r="O801" s="140">
        <f t="shared" si="23"/>
        <v>0</v>
      </c>
      <c r="Q801" s="140">
        <v>7</v>
      </c>
    </row>
    <row r="802" spans="12:17" x14ac:dyDescent="0.35">
      <c r="L802" s="140">
        <v>800</v>
      </c>
      <c r="M802" s="148">
        <v>2</v>
      </c>
      <c r="O802" s="140">
        <f t="shared" si="23"/>
        <v>0</v>
      </c>
      <c r="Q802" s="140">
        <v>11</v>
      </c>
    </row>
    <row r="803" spans="12:17" x14ac:dyDescent="0.35">
      <c r="L803" s="140">
        <v>801</v>
      </c>
      <c r="M803" s="148">
        <v>3</v>
      </c>
      <c r="O803" s="140">
        <f t="shared" si="23"/>
        <v>0</v>
      </c>
      <c r="Q803" s="140">
        <v>13</v>
      </c>
    </row>
    <row r="804" spans="12:17" x14ac:dyDescent="0.35">
      <c r="L804" s="140">
        <v>802</v>
      </c>
      <c r="M804" s="148">
        <v>3</v>
      </c>
      <c r="O804" s="140">
        <f t="shared" si="23"/>
        <v>0</v>
      </c>
      <c r="Q804" s="140">
        <v>11</v>
      </c>
    </row>
    <row r="805" spans="12:17" x14ac:dyDescent="0.35">
      <c r="L805" s="140">
        <v>803</v>
      </c>
      <c r="M805" s="148">
        <v>3</v>
      </c>
      <c r="O805" s="140">
        <f t="shared" si="23"/>
        <v>0</v>
      </c>
      <c r="Q805" s="140">
        <v>8</v>
      </c>
    </row>
    <row r="806" spans="12:17" x14ac:dyDescent="0.35">
      <c r="L806" s="140">
        <v>804</v>
      </c>
      <c r="M806" s="148">
        <v>3</v>
      </c>
      <c r="O806" s="140">
        <f t="shared" si="23"/>
        <v>0</v>
      </c>
      <c r="Q806" s="140">
        <v>13</v>
      </c>
    </row>
    <row r="807" spans="12:17" x14ac:dyDescent="0.35">
      <c r="L807" s="140">
        <v>805</v>
      </c>
      <c r="M807" s="148">
        <v>7</v>
      </c>
      <c r="O807" s="140">
        <f t="shared" si="23"/>
        <v>0</v>
      </c>
      <c r="Q807" s="140">
        <v>14</v>
      </c>
    </row>
    <row r="808" spans="12:17" x14ac:dyDescent="0.35">
      <c r="L808" s="140">
        <v>806</v>
      </c>
      <c r="M808" s="148">
        <v>2</v>
      </c>
      <c r="O808" s="140">
        <f t="shared" si="23"/>
        <v>0</v>
      </c>
      <c r="Q808" s="140">
        <v>9</v>
      </c>
    </row>
    <row r="809" spans="12:17" x14ac:dyDescent="0.35">
      <c r="L809" s="140">
        <v>807</v>
      </c>
      <c r="M809" s="148">
        <v>2</v>
      </c>
      <c r="O809" s="140">
        <f t="shared" si="23"/>
        <v>0</v>
      </c>
      <c r="Q809" s="140">
        <v>12</v>
      </c>
    </row>
    <row r="810" spans="12:17" x14ac:dyDescent="0.35">
      <c r="L810" s="140">
        <v>808</v>
      </c>
      <c r="M810" s="148">
        <v>1</v>
      </c>
      <c r="O810" s="140">
        <f t="shared" si="23"/>
        <v>0</v>
      </c>
      <c r="Q810" s="140">
        <v>7</v>
      </c>
    </row>
    <row r="811" spans="12:17" x14ac:dyDescent="0.35">
      <c r="L811" s="140">
        <v>809</v>
      </c>
      <c r="M811" s="148">
        <v>3</v>
      </c>
      <c r="O811" s="140">
        <f t="shared" si="23"/>
        <v>0</v>
      </c>
      <c r="Q811" s="140">
        <v>15</v>
      </c>
    </row>
    <row r="812" spans="12:17" x14ac:dyDescent="0.35">
      <c r="L812" s="140">
        <v>810</v>
      </c>
      <c r="M812" s="148">
        <v>6</v>
      </c>
      <c r="O812" s="140">
        <f t="shared" si="23"/>
        <v>0</v>
      </c>
      <c r="Q812" s="140">
        <v>16</v>
      </c>
    </row>
    <row r="813" spans="12:17" x14ac:dyDescent="0.35">
      <c r="L813" s="140">
        <v>811</v>
      </c>
      <c r="M813" s="148">
        <v>6</v>
      </c>
      <c r="O813" s="140">
        <f t="shared" si="23"/>
        <v>0</v>
      </c>
      <c r="Q813" s="140">
        <v>6</v>
      </c>
    </row>
    <row r="814" spans="12:17" x14ac:dyDescent="0.35">
      <c r="L814" s="140">
        <v>812</v>
      </c>
      <c r="M814" s="148">
        <v>7</v>
      </c>
      <c r="O814" s="140">
        <f t="shared" ref="O814:O877" si="24">MAX(N814:N1812)</f>
        <v>0</v>
      </c>
      <c r="Q814" s="140">
        <v>15</v>
      </c>
    </row>
    <row r="815" spans="12:17" x14ac:dyDescent="0.35">
      <c r="L815" s="140">
        <v>813</v>
      </c>
      <c r="M815" s="148">
        <v>1</v>
      </c>
      <c r="O815" s="140">
        <f t="shared" si="24"/>
        <v>0</v>
      </c>
      <c r="Q815" s="140">
        <v>13</v>
      </c>
    </row>
    <row r="816" spans="12:17" x14ac:dyDescent="0.35">
      <c r="L816" s="140">
        <v>814</v>
      </c>
      <c r="M816" s="148">
        <v>5</v>
      </c>
      <c r="O816" s="140">
        <f t="shared" si="24"/>
        <v>0</v>
      </c>
      <c r="Q816" s="140">
        <v>11</v>
      </c>
    </row>
    <row r="817" spans="12:17" x14ac:dyDescent="0.35">
      <c r="L817" s="140">
        <v>815</v>
      </c>
      <c r="M817" s="148">
        <v>2</v>
      </c>
      <c r="O817" s="140">
        <f t="shared" si="24"/>
        <v>0</v>
      </c>
      <c r="Q817" s="140">
        <v>15</v>
      </c>
    </row>
    <row r="818" spans="12:17" x14ac:dyDescent="0.35">
      <c r="L818" s="140">
        <v>816</v>
      </c>
      <c r="M818" s="148">
        <v>5</v>
      </c>
      <c r="O818" s="140">
        <f t="shared" si="24"/>
        <v>0</v>
      </c>
      <c r="Q818" s="140">
        <v>16</v>
      </c>
    </row>
    <row r="819" spans="12:17" x14ac:dyDescent="0.35">
      <c r="L819" s="140">
        <v>817</v>
      </c>
      <c r="M819" s="148">
        <v>1</v>
      </c>
      <c r="O819" s="140">
        <f t="shared" si="24"/>
        <v>0</v>
      </c>
      <c r="Q819" s="140">
        <v>12</v>
      </c>
    </row>
    <row r="820" spans="12:17" x14ac:dyDescent="0.35">
      <c r="L820" s="140">
        <v>818</v>
      </c>
      <c r="M820" s="148">
        <v>3</v>
      </c>
      <c r="O820" s="140">
        <f t="shared" si="24"/>
        <v>0</v>
      </c>
      <c r="Q820" s="140">
        <v>9</v>
      </c>
    </row>
    <row r="821" spans="12:17" x14ac:dyDescent="0.35">
      <c r="L821" s="140">
        <v>819</v>
      </c>
      <c r="M821" s="148">
        <v>4</v>
      </c>
      <c r="O821" s="140">
        <f t="shared" si="24"/>
        <v>0</v>
      </c>
      <c r="Q821" s="140">
        <v>4</v>
      </c>
    </row>
    <row r="822" spans="12:17" x14ac:dyDescent="0.35">
      <c r="L822" s="140">
        <v>820</v>
      </c>
      <c r="M822" s="148">
        <v>2</v>
      </c>
      <c r="O822" s="140">
        <f t="shared" si="24"/>
        <v>0</v>
      </c>
      <c r="Q822" s="140">
        <v>7</v>
      </c>
    </row>
    <row r="823" spans="12:17" x14ac:dyDescent="0.35">
      <c r="L823" s="140">
        <v>821</v>
      </c>
      <c r="M823" s="148">
        <v>4</v>
      </c>
      <c r="O823" s="140">
        <f t="shared" si="24"/>
        <v>0</v>
      </c>
      <c r="Q823" s="140">
        <v>9</v>
      </c>
    </row>
    <row r="824" spans="12:17" x14ac:dyDescent="0.35">
      <c r="L824" s="140">
        <v>822</v>
      </c>
      <c r="M824" s="148">
        <v>3</v>
      </c>
      <c r="O824" s="140">
        <f t="shared" si="24"/>
        <v>0</v>
      </c>
      <c r="Q824" s="140">
        <v>9</v>
      </c>
    </row>
    <row r="825" spans="12:17" x14ac:dyDescent="0.35">
      <c r="L825" s="140">
        <v>823</v>
      </c>
      <c r="M825" s="148">
        <v>2</v>
      </c>
      <c r="O825" s="140">
        <f t="shared" si="24"/>
        <v>0</v>
      </c>
      <c r="Q825" s="140">
        <v>5</v>
      </c>
    </row>
    <row r="826" spans="12:17" x14ac:dyDescent="0.35">
      <c r="L826" s="140">
        <v>824</v>
      </c>
      <c r="M826" s="148">
        <v>3</v>
      </c>
      <c r="O826" s="140">
        <f t="shared" si="24"/>
        <v>0</v>
      </c>
      <c r="Q826" s="140">
        <v>12</v>
      </c>
    </row>
    <row r="827" spans="12:17" x14ac:dyDescent="0.35">
      <c r="L827" s="140">
        <v>825</v>
      </c>
      <c r="M827" s="148">
        <v>2</v>
      </c>
      <c r="O827" s="140">
        <f t="shared" si="24"/>
        <v>0</v>
      </c>
      <c r="Q827" s="140">
        <v>17</v>
      </c>
    </row>
    <row r="828" spans="12:17" x14ac:dyDescent="0.35">
      <c r="L828" s="140">
        <v>826</v>
      </c>
      <c r="M828" s="148">
        <v>7</v>
      </c>
      <c r="O828" s="140">
        <f t="shared" si="24"/>
        <v>0</v>
      </c>
      <c r="Q828" s="140">
        <v>17</v>
      </c>
    </row>
    <row r="829" spans="12:17" x14ac:dyDescent="0.35">
      <c r="L829" s="140">
        <v>827</v>
      </c>
      <c r="M829" s="148">
        <v>3</v>
      </c>
      <c r="O829" s="140">
        <f t="shared" si="24"/>
        <v>0</v>
      </c>
      <c r="Q829" s="140">
        <v>10</v>
      </c>
    </row>
    <row r="830" spans="12:17" x14ac:dyDescent="0.35">
      <c r="L830" s="140">
        <v>828</v>
      </c>
      <c r="M830" s="148">
        <v>2</v>
      </c>
      <c r="O830" s="140">
        <f t="shared" si="24"/>
        <v>0</v>
      </c>
      <c r="Q830" s="140">
        <v>13</v>
      </c>
    </row>
    <row r="831" spans="12:17" x14ac:dyDescent="0.35">
      <c r="L831" s="140">
        <v>829</v>
      </c>
      <c r="M831" s="148">
        <v>4</v>
      </c>
      <c r="O831" s="140">
        <f t="shared" si="24"/>
        <v>0</v>
      </c>
      <c r="Q831" s="140">
        <v>13</v>
      </c>
    </row>
    <row r="832" spans="12:17" x14ac:dyDescent="0.35">
      <c r="L832" s="140">
        <v>830</v>
      </c>
      <c r="M832" s="148">
        <v>4</v>
      </c>
      <c r="O832" s="140">
        <f t="shared" si="24"/>
        <v>0</v>
      </c>
      <c r="Q832" s="140">
        <v>13</v>
      </c>
    </row>
    <row r="833" spans="12:17" x14ac:dyDescent="0.35">
      <c r="L833" s="140">
        <v>831</v>
      </c>
      <c r="M833" s="148">
        <v>0</v>
      </c>
      <c r="O833" s="140">
        <f t="shared" si="24"/>
        <v>0</v>
      </c>
      <c r="Q833" s="140">
        <v>12</v>
      </c>
    </row>
    <row r="834" spans="12:17" x14ac:dyDescent="0.35">
      <c r="L834" s="140">
        <v>832</v>
      </c>
      <c r="M834" s="148">
        <v>3</v>
      </c>
      <c r="O834" s="140">
        <f t="shared" si="24"/>
        <v>0</v>
      </c>
      <c r="Q834" s="140">
        <v>16</v>
      </c>
    </row>
    <row r="835" spans="12:17" x14ac:dyDescent="0.35">
      <c r="L835" s="140">
        <v>833</v>
      </c>
      <c r="M835" s="148">
        <v>2</v>
      </c>
      <c r="O835" s="140">
        <f t="shared" si="24"/>
        <v>0</v>
      </c>
      <c r="Q835" s="140">
        <v>13</v>
      </c>
    </row>
    <row r="836" spans="12:17" x14ac:dyDescent="0.35">
      <c r="L836" s="140">
        <v>834</v>
      </c>
      <c r="M836" s="148">
        <v>3</v>
      </c>
      <c r="O836" s="140">
        <f t="shared" si="24"/>
        <v>0</v>
      </c>
      <c r="Q836" s="140">
        <v>18</v>
      </c>
    </row>
    <row r="837" spans="12:17" x14ac:dyDescent="0.35">
      <c r="L837" s="140">
        <v>835</v>
      </c>
      <c r="M837" s="148">
        <v>3</v>
      </c>
      <c r="O837" s="140">
        <f t="shared" si="24"/>
        <v>0</v>
      </c>
      <c r="Q837" s="140">
        <v>18</v>
      </c>
    </row>
    <row r="838" spans="12:17" x14ac:dyDescent="0.35">
      <c r="L838" s="140">
        <v>836</v>
      </c>
      <c r="M838" s="148">
        <v>6</v>
      </c>
      <c r="O838" s="140">
        <f t="shared" si="24"/>
        <v>0</v>
      </c>
      <c r="Q838" s="140">
        <v>16</v>
      </c>
    </row>
    <row r="839" spans="12:17" x14ac:dyDescent="0.35">
      <c r="L839" s="140">
        <v>837</v>
      </c>
      <c r="M839" s="148">
        <v>2</v>
      </c>
      <c r="O839" s="140">
        <f t="shared" si="24"/>
        <v>0</v>
      </c>
      <c r="Q839" s="140">
        <v>8</v>
      </c>
    </row>
    <row r="840" spans="12:17" x14ac:dyDescent="0.35">
      <c r="L840" s="140">
        <v>838</v>
      </c>
      <c r="M840" s="148">
        <v>1</v>
      </c>
      <c r="O840" s="140">
        <f t="shared" si="24"/>
        <v>0</v>
      </c>
      <c r="Q840" s="140">
        <v>17</v>
      </c>
    </row>
    <row r="841" spans="12:17" x14ac:dyDescent="0.35">
      <c r="L841" s="140">
        <v>839</v>
      </c>
      <c r="M841" s="148">
        <v>2</v>
      </c>
      <c r="O841" s="140">
        <f t="shared" si="24"/>
        <v>0</v>
      </c>
      <c r="Q841" s="140">
        <v>9</v>
      </c>
    </row>
    <row r="842" spans="12:17" x14ac:dyDescent="0.35">
      <c r="L842" s="140">
        <v>840</v>
      </c>
      <c r="M842" s="148">
        <v>2</v>
      </c>
      <c r="O842" s="140">
        <f t="shared" si="24"/>
        <v>0</v>
      </c>
      <c r="Q842" s="140">
        <v>10</v>
      </c>
    </row>
    <row r="843" spans="12:17" x14ac:dyDescent="0.35">
      <c r="L843" s="140">
        <v>841</v>
      </c>
      <c r="M843" s="148">
        <v>4</v>
      </c>
      <c r="O843" s="140">
        <f t="shared" si="24"/>
        <v>0</v>
      </c>
      <c r="Q843" s="140">
        <v>14</v>
      </c>
    </row>
    <row r="844" spans="12:17" x14ac:dyDescent="0.35">
      <c r="L844" s="140">
        <v>842</v>
      </c>
      <c r="M844" s="148">
        <v>3</v>
      </c>
      <c r="O844" s="140">
        <f t="shared" si="24"/>
        <v>0</v>
      </c>
      <c r="Q844" s="140">
        <v>17</v>
      </c>
    </row>
    <row r="845" spans="12:17" x14ac:dyDescent="0.35">
      <c r="L845" s="140">
        <v>843</v>
      </c>
      <c r="M845" s="148">
        <v>4</v>
      </c>
      <c r="O845" s="140">
        <f t="shared" si="24"/>
        <v>0</v>
      </c>
      <c r="Q845" s="140">
        <v>9</v>
      </c>
    </row>
    <row r="846" spans="12:17" x14ac:dyDescent="0.35">
      <c r="L846" s="140">
        <v>844</v>
      </c>
      <c r="M846" s="148">
        <v>6</v>
      </c>
      <c r="O846" s="140">
        <f t="shared" si="24"/>
        <v>0</v>
      </c>
      <c r="Q846" s="140">
        <v>9</v>
      </c>
    </row>
    <row r="847" spans="12:17" x14ac:dyDescent="0.35">
      <c r="L847" s="140">
        <v>845</v>
      </c>
      <c r="M847" s="148">
        <v>4</v>
      </c>
      <c r="O847" s="140">
        <f t="shared" si="24"/>
        <v>0</v>
      </c>
      <c r="Q847" s="140">
        <v>13</v>
      </c>
    </row>
    <row r="848" spans="12:17" x14ac:dyDescent="0.35">
      <c r="L848" s="140">
        <v>846</v>
      </c>
      <c r="M848" s="148">
        <v>1</v>
      </c>
      <c r="O848" s="140">
        <f t="shared" si="24"/>
        <v>0</v>
      </c>
      <c r="Q848" s="140">
        <v>13</v>
      </c>
    </row>
    <row r="849" spans="12:17" x14ac:dyDescent="0.35">
      <c r="L849" s="140">
        <v>847</v>
      </c>
      <c r="M849" s="148">
        <v>6</v>
      </c>
      <c r="O849" s="140">
        <f t="shared" si="24"/>
        <v>0</v>
      </c>
      <c r="Q849" s="140">
        <v>16</v>
      </c>
    </row>
    <row r="850" spans="12:17" x14ac:dyDescent="0.35">
      <c r="L850" s="140">
        <v>848</v>
      </c>
      <c r="M850" s="148">
        <v>2</v>
      </c>
      <c r="O850" s="140">
        <f t="shared" si="24"/>
        <v>0</v>
      </c>
      <c r="Q850" s="140">
        <v>19</v>
      </c>
    </row>
    <row r="851" spans="12:17" x14ac:dyDescent="0.35">
      <c r="L851" s="140">
        <v>849</v>
      </c>
      <c r="M851" s="148">
        <v>2</v>
      </c>
      <c r="O851" s="140">
        <f t="shared" si="24"/>
        <v>0</v>
      </c>
      <c r="Q851" s="140">
        <v>16</v>
      </c>
    </row>
    <row r="852" spans="12:17" x14ac:dyDescent="0.35">
      <c r="L852" s="140">
        <v>850</v>
      </c>
      <c r="M852" s="148">
        <v>3</v>
      </c>
      <c r="O852" s="140">
        <f t="shared" si="24"/>
        <v>0</v>
      </c>
      <c r="Q852" s="140">
        <v>12</v>
      </c>
    </row>
    <row r="853" spans="12:17" x14ac:dyDescent="0.35">
      <c r="L853" s="140">
        <v>851</v>
      </c>
      <c r="M853" s="148">
        <v>1</v>
      </c>
      <c r="O853" s="140">
        <f t="shared" si="24"/>
        <v>0</v>
      </c>
      <c r="Q853" s="140">
        <v>14</v>
      </c>
    </row>
    <row r="854" spans="12:17" x14ac:dyDescent="0.35">
      <c r="L854" s="140">
        <v>852</v>
      </c>
      <c r="M854" s="148">
        <v>2</v>
      </c>
      <c r="O854" s="140">
        <f t="shared" si="24"/>
        <v>0</v>
      </c>
      <c r="Q854" s="140">
        <v>11</v>
      </c>
    </row>
    <row r="855" spans="12:17" x14ac:dyDescent="0.35">
      <c r="L855" s="140">
        <v>853</v>
      </c>
      <c r="M855" s="148">
        <v>2</v>
      </c>
      <c r="O855" s="140">
        <f t="shared" si="24"/>
        <v>0</v>
      </c>
      <c r="Q855" s="140">
        <v>10</v>
      </c>
    </row>
    <row r="856" spans="12:17" x14ac:dyDescent="0.35">
      <c r="L856" s="140">
        <v>854</v>
      </c>
      <c r="M856" s="148">
        <v>1</v>
      </c>
      <c r="O856" s="140">
        <f t="shared" si="24"/>
        <v>0</v>
      </c>
      <c r="Q856" s="140">
        <v>18</v>
      </c>
    </row>
    <row r="857" spans="12:17" x14ac:dyDescent="0.35">
      <c r="L857" s="140">
        <v>855</v>
      </c>
      <c r="M857" s="148">
        <v>3</v>
      </c>
      <c r="O857" s="140">
        <f t="shared" si="24"/>
        <v>0</v>
      </c>
      <c r="Q857" s="140">
        <v>14</v>
      </c>
    </row>
    <row r="858" spans="12:17" x14ac:dyDescent="0.35">
      <c r="L858" s="140">
        <v>856</v>
      </c>
      <c r="M858" s="148">
        <v>2</v>
      </c>
      <c r="O858" s="140">
        <f t="shared" si="24"/>
        <v>0</v>
      </c>
      <c r="Q858" s="140">
        <v>10</v>
      </c>
    </row>
    <row r="859" spans="12:17" x14ac:dyDescent="0.35">
      <c r="L859" s="140">
        <v>857</v>
      </c>
      <c r="M859" s="148">
        <v>5</v>
      </c>
      <c r="O859" s="140">
        <f t="shared" si="24"/>
        <v>0</v>
      </c>
      <c r="Q859" s="140">
        <v>10</v>
      </c>
    </row>
    <row r="860" spans="12:17" x14ac:dyDescent="0.35">
      <c r="L860" s="140">
        <v>858</v>
      </c>
      <c r="M860" s="148">
        <v>6</v>
      </c>
      <c r="O860" s="140">
        <f t="shared" si="24"/>
        <v>0</v>
      </c>
      <c r="Q860" s="140">
        <v>10</v>
      </c>
    </row>
    <row r="861" spans="12:17" x14ac:dyDescent="0.35">
      <c r="L861" s="140">
        <v>859</v>
      </c>
      <c r="M861" s="148">
        <v>5</v>
      </c>
      <c r="O861" s="140">
        <f t="shared" si="24"/>
        <v>0</v>
      </c>
      <c r="Q861" s="140">
        <v>16</v>
      </c>
    </row>
    <row r="862" spans="12:17" x14ac:dyDescent="0.35">
      <c r="L862" s="140">
        <v>860</v>
      </c>
      <c r="M862" s="148">
        <v>3</v>
      </c>
      <c r="O862" s="140">
        <f t="shared" si="24"/>
        <v>0</v>
      </c>
      <c r="Q862" s="140">
        <v>11</v>
      </c>
    </row>
    <row r="863" spans="12:17" x14ac:dyDescent="0.35">
      <c r="L863" s="140">
        <v>861</v>
      </c>
      <c r="M863" s="148">
        <v>5</v>
      </c>
      <c r="O863" s="140">
        <f t="shared" si="24"/>
        <v>0</v>
      </c>
      <c r="Q863" s="140">
        <v>12</v>
      </c>
    </row>
    <row r="864" spans="12:17" x14ac:dyDescent="0.35">
      <c r="L864" s="140">
        <v>862</v>
      </c>
      <c r="M864" s="148">
        <v>2</v>
      </c>
      <c r="O864" s="140">
        <f t="shared" si="24"/>
        <v>0</v>
      </c>
      <c r="Q864" s="140">
        <v>16</v>
      </c>
    </row>
    <row r="865" spans="12:17" x14ac:dyDescent="0.35">
      <c r="L865" s="140">
        <v>863</v>
      </c>
      <c r="M865" s="148">
        <v>5</v>
      </c>
      <c r="O865" s="140">
        <f t="shared" si="24"/>
        <v>0</v>
      </c>
      <c r="Q865" s="140">
        <v>14</v>
      </c>
    </row>
    <row r="866" spans="12:17" x14ac:dyDescent="0.35">
      <c r="L866" s="140">
        <v>864</v>
      </c>
      <c r="M866" s="148">
        <v>2</v>
      </c>
      <c r="O866" s="140">
        <f t="shared" si="24"/>
        <v>0</v>
      </c>
      <c r="Q866" s="140">
        <v>14</v>
      </c>
    </row>
    <row r="867" spans="12:17" x14ac:dyDescent="0.35">
      <c r="L867" s="140">
        <v>865</v>
      </c>
      <c r="M867" s="148">
        <v>5</v>
      </c>
      <c r="O867" s="140">
        <f t="shared" si="24"/>
        <v>0</v>
      </c>
      <c r="Q867" s="140">
        <v>14</v>
      </c>
    </row>
    <row r="868" spans="12:17" x14ac:dyDescent="0.35">
      <c r="L868" s="140">
        <v>866</v>
      </c>
      <c r="M868" s="148">
        <v>4</v>
      </c>
      <c r="O868" s="140">
        <f t="shared" si="24"/>
        <v>0</v>
      </c>
      <c r="Q868" s="140">
        <v>12</v>
      </c>
    </row>
    <row r="869" spans="12:17" x14ac:dyDescent="0.35">
      <c r="L869" s="140">
        <v>867</v>
      </c>
      <c r="M869" s="148">
        <v>2</v>
      </c>
      <c r="O869" s="140">
        <f t="shared" si="24"/>
        <v>0</v>
      </c>
      <c r="Q869" s="140">
        <v>21</v>
      </c>
    </row>
    <row r="870" spans="12:17" x14ac:dyDescent="0.35">
      <c r="L870" s="140">
        <v>868</v>
      </c>
      <c r="M870" s="148">
        <v>4</v>
      </c>
      <c r="O870" s="140">
        <f t="shared" si="24"/>
        <v>0</v>
      </c>
      <c r="Q870" s="140">
        <v>12</v>
      </c>
    </row>
    <row r="871" spans="12:17" x14ac:dyDescent="0.35">
      <c r="L871" s="140">
        <v>869</v>
      </c>
      <c r="M871" s="148">
        <v>3</v>
      </c>
      <c r="O871" s="140">
        <f t="shared" si="24"/>
        <v>0</v>
      </c>
      <c r="Q871" s="140">
        <v>11</v>
      </c>
    </row>
    <row r="872" spans="12:17" x14ac:dyDescent="0.35">
      <c r="L872" s="140">
        <v>870</v>
      </c>
      <c r="M872" s="148">
        <v>3</v>
      </c>
      <c r="O872" s="140">
        <f t="shared" si="24"/>
        <v>0</v>
      </c>
      <c r="Q872" s="140">
        <v>10</v>
      </c>
    </row>
    <row r="873" spans="12:17" x14ac:dyDescent="0.35">
      <c r="L873" s="140">
        <v>871</v>
      </c>
      <c r="M873" s="148">
        <v>7</v>
      </c>
      <c r="O873" s="140">
        <f t="shared" si="24"/>
        <v>0</v>
      </c>
      <c r="Q873" s="140">
        <v>11</v>
      </c>
    </row>
    <row r="874" spans="12:17" x14ac:dyDescent="0.35">
      <c r="L874" s="140">
        <v>872</v>
      </c>
      <c r="M874" s="148">
        <v>2</v>
      </c>
      <c r="O874" s="140">
        <f t="shared" si="24"/>
        <v>0</v>
      </c>
      <c r="Q874" s="140">
        <v>14</v>
      </c>
    </row>
    <row r="875" spans="12:17" x14ac:dyDescent="0.35">
      <c r="L875" s="140">
        <v>873</v>
      </c>
      <c r="M875" s="148">
        <v>5</v>
      </c>
      <c r="O875" s="140">
        <f t="shared" si="24"/>
        <v>0</v>
      </c>
      <c r="Q875" s="140">
        <v>12</v>
      </c>
    </row>
    <row r="876" spans="12:17" x14ac:dyDescent="0.35">
      <c r="L876" s="140">
        <v>874</v>
      </c>
      <c r="M876" s="148">
        <v>1</v>
      </c>
      <c r="O876" s="140">
        <f t="shared" si="24"/>
        <v>0</v>
      </c>
      <c r="Q876" s="140">
        <v>16</v>
      </c>
    </row>
    <row r="877" spans="12:17" x14ac:dyDescent="0.35">
      <c r="L877" s="140">
        <v>875</v>
      </c>
      <c r="M877" s="148">
        <v>3</v>
      </c>
      <c r="O877" s="140">
        <f t="shared" si="24"/>
        <v>0</v>
      </c>
      <c r="Q877" s="140">
        <v>13</v>
      </c>
    </row>
    <row r="878" spans="12:17" x14ac:dyDescent="0.35">
      <c r="L878" s="140">
        <v>876</v>
      </c>
      <c r="M878" s="148">
        <v>4</v>
      </c>
      <c r="O878" s="140">
        <f t="shared" ref="O878:O941" si="25">MAX(N878:N1876)</f>
        <v>0</v>
      </c>
      <c r="Q878" s="140">
        <v>13</v>
      </c>
    </row>
    <row r="879" spans="12:17" x14ac:dyDescent="0.35">
      <c r="L879" s="140">
        <v>877</v>
      </c>
      <c r="M879" s="148">
        <v>4</v>
      </c>
      <c r="O879" s="140">
        <f t="shared" si="25"/>
        <v>0</v>
      </c>
      <c r="Q879" s="140">
        <v>19</v>
      </c>
    </row>
    <row r="880" spans="12:17" x14ac:dyDescent="0.35">
      <c r="L880" s="140">
        <v>878</v>
      </c>
      <c r="M880" s="148">
        <v>1</v>
      </c>
      <c r="O880" s="140">
        <f t="shared" si="25"/>
        <v>0</v>
      </c>
      <c r="Q880" s="140">
        <v>17</v>
      </c>
    </row>
    <row r="881" spans="12:17" x14ac:dyDescent="0.35">
      <c r="L881" s="140">
        <v>879</v>
      </c>
      <c r="M881" s="148">
        <v>6</v>
      </c>
      <c r="O881" s="140">
        <f t="shared" si="25"/>
        <v>0</v>
      </c>
      <c r="Q881" s="140">
        <v>10</v>
      </c>
    </row>
    <row r="882" spans="12:17" x14ac:dyDescent="0.35">
      <c r="L882" s="140">
        <v>880</v>
      </c>
      <c r="M882" s="148">
        <v>7</v>
      </c>
      <c r="O882" s="140">
        <f t="shared" si="25"/>
        <v>0</v>
      </c>
      <c r="Q882" s="140">
        <v>13</v>
      </c>
    </row>
    <row r="883" spans="12:17" x14ac:dyDescent="0.35">
      <c r="L883" s="140">
        <v>881</v>
      </c>
      <c r="M883" s="148">
        <v>5</v>
      </c>
      <c r="O883" s="140">
        <f t="shared" si="25"/>
        <v>0</v>
      </c>
      <c r="Q883" s="140">
        <v>19</v>
      </c>
    </row>
    <row r="884" spans="12:17" x14ac:dyDescent="0.35">
      <c r="L884" s="140">
        <v>882</v>
      </c>
      <c r="M884" s="148">
        <v>6</v>
      </c>
      <c r="O884" s="140">
        <f t="shared" si="25"/>
        <v>0</v>
      </c>
      <c r="Q884" s="140">
        <v>16</v>
      </c>
    </row>
    <row r="885" spans="12:17" x14ac:dyDescent="0.35">
      <c r="L885" s="140">
        <v>883</v>
      </c>
      <c r="M885" s="148">
        <v>6</v>
      </c>
      <c r="O885" s="140">
        <f t="shared" si="25"/>
        <v>0</v>
      </c>
      <c r="Q885" s="140">
        <v>17</v>
      </c>
    </row>
    <row r="886" spans="12:17" x14ac:dyDescent="0.35">
      <c r="L886" s="140">
        <v>884</v>
      </c>
      <c r="M886" s="148">
        <v>3</v>
      </c>
      <c r="O886" s="140">
        <f t="shared" si="25"/>
        <v>0</v>
      </c>
      <c r="Q886" s="140">
        <v>9</v>
      </c>
    </row>
    <row r="887" spans="12:17" x14ac:dyDescent="0.35">
      <c r="L887" s="140">
        <v>885</v>
      </c>
      <c r="M887" s="148">
        <v>10</v>
      </c>
      <c r="O887" s="140">
        <f t="shared" si="25"/>
        <v>0</v>
      </c>
      <c r="Q887" s="140">
        <v>14</v>
      </c>
    </row>
    <row r="888" spans="12:17" x14ac:dyDescent="0.35">
      <c r="L888" s="140">
        <v>886</v>
      </c>
      <c r="M888" s="148">
        <v>9</v>
      </c>
      <c r="O888" s="140">
        <f t="shared" si="25"/>
        <v>0</v>
      </c>
      <c r="Q888" s="140">
        <v>16</v>
      </c>
    </row>
    <row r="889" spans="12:17" x14ac:dyDescent="0.35">
      <c r="L889" s="140">
        <v>887</v>
      </c>
      <c r="M889" s="148">
        <v>4</v>
      </c>
      <c r="O889" s="140">
        <f t="shared" si="25"/>
        <v>0</v>
      </c>
      <c r="Q889" s="140">
        <v>19</v>
      </c>
    </row>
    <row r="890" spans="12:17" x14ac:dyDescent="0.35">
      <c r="L890" s="140">
        <v>888</v>
      </c>
      <c r="M890" s="148">
        <v>0</v>
      </c>
      <c r="O890" s="140">
        <f t="shared" si="25"/>
        <v>0</v>
      </c>
      <c r="Q890" s="140">
        <v>14</v>
      </c>
    </row>
    <row r="891" spans="12:17" x14ac:dyDescent="0.35">
      <c r="L891" s="140">
        <v>889</v>
      </c>
      <c r="M891" s="148">
        <v>10</v>
      </c>
      <c r="O891" s="140">
        <f t="shared" si="25"/>
        <v>0</v>
      </c>
      <c r="Q891" s="140">
        <v>16</v>
      </c>
    </row>
    <row r="892" spans="12:17" x14ac:dyDescent="0.35">
      <c r="L892" s="140">
        <v>890</v>
      </c>
      <c r="M892" s="148">
        <v>3</v>
      </c>
      <c r="O892" s="140">
        <f t="shared" si="25"/>
        <v>0</v>
      </c>
      <c r="Q892" s="140">
        <v>9</v>
      </c>
    </row>
    <row r="893" spans="12:17" x14ac:dyDescent="0.35">
      <c r="L893" s="140">
        <v>891</v>
      </c>
      <c r="M893" s="148">
        <v>5</v>
      </c>
      <c r="O893" s="140">
        <f t="shared" si="25"/>
        <v>0</v>
      </c>
      <c r="Q893" s="140">
        <v>12</v>
      </c>
    </row>
    <row r="894" spans="12:17" x14ac:dyDescent="0.35">
      <c r="L894" s="140">
        <v>892</v>
      </c>
      <c r="M894" s="148">
        <v>5</v>
      </c>
      <c r="O894" s="140">
        <f t="shared" si="25"/>
        <v>0</v>
      </c>
      <c r="Q894" s="140">
        <v>13</v>
      </c>
    </row>
    <row r="895" spans="12:17" x14ac:dyDescent="0.35">
      <c r="L895" s="140">
        <v>893</v>
      </c>
      <c r="M895" s="148">
        <v>2</v>
      </c>
      <c r="O895" s="140">
        <f t="shared" si="25"/>
        <v>0</v>
      </c>
      <c r="Q895" s="140">
        <v>21</v>
      </c>
    </row>
    <row r="896" spans="12:17" x14ac:dyDescent="0.35">
      <c r="L896" s="140">
        <v>894</v>
      </c>
      <c r="M896" s="148">
        <v>11</v>
      </c>
      <c r="O896" s="140">
        <f t="shared" si="25"/>
        <v>0</v>
      </c>
      <c r="Q896" s="140">
        <v>11</v>
      </c>
    </row>
    <row r="897" spans="12:17" x14ac:dyDescent="0.35">
      <c r="L897" s="140">
        <v>895</v>
      </c>
      <c r="M897" s="148">
        <v>2</v>
      </c>
      <c r="O897" s="140">
        <f t="shared" si="25"/>
        <v>0</v>
      </c>
      <c r="Q897" s="140">
        <v>13</v>
      </c>
    </row>
    <row r="898" spans="12:17" x14ac:dyDescent="0.35">
      <c r="L898" s="140">
        <v>896</v>
      </c>
      <c r="M898" s="148">
        <v>3</v>
      </c>
      <c r="O898" s="140">
        <f t="shared" si="25"/>
        <v>0</v>
      </c>
      <c r="Q898" s="140">
        <v>15</v>
      </c>
    </row>
    <row r="899" spans="12:17" x14ac:dyDescent="0.35">
      <c r="L899" s="140">
        <v>897</v>
      </c>
      <c r="M899" s="148">
        <v>3</v>
      </c>
      <c r="O899" s="140">
        <f t="shared" si="25"/>
        <v>0</v>
      </c>
      <c r="Q899" s="140">
        <v>12</v>
      </c>
    </row>
    <row r="900" spans="12:17" x14ac:dyDescent="0.35">
      <c r="L900" s="140">
        <v>898</v>
      </c>
      <c r="M900" s="148">
        <v>7</v>
      </c>
      <c r="O900" s="140">
        <f t="shared" si="25"/>
        <v>0</v>
      </c>
      <c r="Q900" s="140">
        <v>11</v>
      </c>
    </row>
    <row r="901" spans="12:17" x14ac:dyDescent="0.35">
      <c r="L901" s="140">
        <v>899</v>
      </c>
      <c r="M901" s="148">
        <v>2</v>
      </c>
      <c r="O901" s="140">
        <f t="shared" si="25"/>
        <v>0</v>
      </c>
      <c r="Q901" s="140">
        <v>16</v>
      </c>
    </row>
    <row r="902" spans="12:17" x14ac:dyDescent="0.35">
      <c r="L902" s="140">
        <v>900</v>
      </c>
      <c r="M902" s="148">
        <v>1</v>
      </c>
      <c r="O902" s="140">
        <f t="shared" si="25"/>
        <v>0</v>
      </c>
      <c r="Q902" s="140">
        <v>13</v>
      </c>
    </row>
    <row r="903" spans="12:17" x14ac:dyDescent="0.35">
      <c r="L903" s="140">
        <v>901</v>
      </c>
      <c r="M903" s="148">
        <v>5</v>
      </c>
      <c r="O903" s="140">
        <f t="shared" si="25"/>
        <v>0</v>
      </c>
      <c r="Q903" s="140">
        <v>15</v>
      </c>
    </row>
    <row r="904" spans="12:17" x14ac:dyDescent="0.35">
      <c r="L904" s="140">
        <v>902</v>
      </c>
      <c r="M904" s="148">
        <v>3</v>
      </c>
      <c r="O904" s="140">
        <f t="shared" si="25"/>
        <v>0</v>
      </c>
      <c r="Q904" s="140">
        <v>13</v>
      </c>
    </row>
    <row r="905" spans="12:17" x14ac:dyDescent="0.35">
      <c r="L905" s="140">
        <v>903</v>
      </c>
      <c r="M905" s="148">
        <v>2</v>
      </c>
      <c r="O905" s="140">
        <f t="shared" si="25"/>
        <v>0</v>
      </c>
      <c r="Q905" s="140">
        <v>17</v>
      </c>
    </row>
    <row r="906" spans="12:17" x14ac:dyDescent="0.35">
      <c r="L906" s="140">
        <v>904</v>
      </c>
      <c r="M906" s="148">
        <v>4</v>
      </c>
      <c r="O906" s="140">
        <f t="shared" si="25"/>
        <v>0</v>
      </c>
      <c r="Q906" s="140">
        <v>16</v>
      </c>
    </row>
    <row r="907" spans="12:17" x14ac:dyDescent="0.35">
      <c r="L907" s="140">
        <v>905</v>
      </c>
      <c r="M907" s="148">
        <v>3</v>
      </c>
      <c r="O907" s="140">
        <f t="shared" si="25"/>
        <v>0</v>
      </c>
      <c r="Q907" s="140">
        <v>20</v>
      </c>
    </row>
    <row r="908" spans="12:17" x14ac:dyDescent="0.35">
      <c r="L908" s="140">
        <v>906</v>
      </c>
      <c r="M908" s="148">
        <v>6</v>
      </c>
      <c r="O908" s="140">
        <f t="shared" si="25"/>
        <v>0</v>
      </c>
      <c r="Q908" s="140">
        <v>18</v>
      </c>
    </row>
    <row r="909" spans="12:17" x14ac:dyDescent="0.35">
      <c r="L909" s="140">
        <v>907</v>
      </c>
      <c r="M909" s="148">
        <v>2</v>
      </c>
      <c r="O909" s="140">
        <f t="shared" si="25"/>
        <v>0</v>
      </c>
      <c r="Q909" s="140">
        <v>8</v>
      </c>
    </row>
    <row r="910" spans="12:17" x14ac:dyDescent="0.35">
      <c r="L910" s="140">
        <v>908</v>
      </c>
      <c r="M910" s="148">
        <v>7</v>
      </c>
      <c r="O910" s="140">
        <f t="shared" si="25"/>
        <v>0</v>
      </c>
      <c r="Q910" s="140">
        <v>11</v>
      </c>
    </row>
    <row r="911" spans="12:17" x14ac:dyDescent="0.35">
      <c r="L911" s="140">
        <v>909</v>
      </c>
      <c r="M911" s="148">
        <v>4</v>
      </c>
      <c r="O911" s="140">
        <f t="shared" si="25"/>
        <v>0</v>
      </c>
      <c r="Q911" s="140">
        <v>15</v>
      </c>
    </row>
    <row r="912" spans="12:17" x14ac:dyDescent="0.35">
      <c r="L912" s="140">
        <v>910</v>
      </c>
      <c r="M912" s="148">
        <v>4</v>
      </c>
      <c r="O912" s="140">
        <f t="shared" si="25"/>
        <v>0</v>
      </c>
      <c r="Q912" s="140">
        <v>16</v>
      </c>
    </row>
    <row r="913" spans="12:17" x14ac:dyDescent="0.35">
      <c r="L913" s="140">
        <v>911</v>
      </c>
      <c r="M913" s="148">
        <v>4</v>
      </c>
      <c r="O913" s="140">
        <f t="shared" si="25"/>
        <v>0</v>
      </c>
      <c r="Q913" s="140">
        <v>21</v>
      </c>
    </row>
    <row r="914" spans="12:17" x14ac:dyDescent="0.35">
      <c r="L914" s="140">
        <v>912</v>
      </c>
      <c r="M914" s="148">
        <v>3</v>
      </c>
      <c r="O914" s="140">
        <f t="shared" si="25"/>
        <v>0</v>
      </c>
      <c r="Q914" s="140">
        <v>16</v>
      </c>
    </row>
    <row r="915" spans="12:17" x14ac:dyDescent="0.35">
      <c r="L915" s="140">
        <v>913</v>
      </c>
      <c r="M915" s="148">
        <v>3</v>
      </c>
      <c r="O915" s="140">
        <f t="shared" si="25"/>
        <v>0</v>
      </c>
      <c r="Q915" s="140">
        <v>17</v>
      </c>
    </row>
    <row r="916" spans="12:17" x14ac:dyDescent="0.35">
      <c r="L916" s="140">
        <v>914</v>
      </c>
      <c r="M916" s="148">
        <v>2</v>
      </c>
      <c r="O916" s="140">
        <f t="shared" si="25"/>
        <v>0</v>
      </c>
      <c r="Q916" s="140">
        <v>16</v>
      </c>
    </row>
    <row r="917" spans="12:17" x14ac:dyDescent="0.35">
      <c r="L917" s="140">
        <v>915</v>
      </c>
      <c r="M917" s="148">
        <v>7</v>
      </c>
      <c r="O917" s="140">
        <f t="shared" si="25"/>
        <v>0</v>
      </c>
      <c r="Q917" s="140">
        <v>14</v>
      </c>
    </row>
    <row r="918" spans="12:17" x14ac:dyDescent="0.35">
      <c r="L918" s="140">
        <v>916</v>
      </c>
      <c r="M918" s="148">
        <v>4</v>
      </c>
      <c r="O918" s="140">
        <f t="shared" si="25"/>
        <v>0</v>
      </c>
      <c r="Q918" s="140">
        <v>11</v>
      </c>
    </row>
    <row r="919" spans="12:17" x14ac:dyDescent="0.35">
      <c r="L919" s="140">
        <v>917</v>
      </c>
      <c r="M919" s="148">
        <v>2</v>
      </c>
      <c r="O919" s="140">
        <f t="shared" si="25"/>
        <v>0</v>
      </c>
      <c r="Q919" s="140">
        <v>11</v>
      </c>
    </row>
    <row r="920" spans="12:17" x14ac:dyDescent="0.35">
      <c r="L920" s="140">
        <v>918</v>
      </c>
      <c r="M920" s="148">
        <v>3</v>
      </c>
      <c r="O920" s="140">
        <f t="shared" si="25"/>
        <v>0</v>
      </c>
      <c r="Q920" s="140">
        <v>10</v>
      </c>
    </row>
    <row r="921" spans="12:17" x14ac:dyDescent="0.35">
      <c r="L921" s="140">
        <v>919</v>
      </c>
      <c r="M921" s="148">
        <v>5</v>
      </c>
      <c r="O921" s="140">
        <f t="shared" si="25"/>
        <v>0</v>
      </c>
      <c r="Q921" s="140">
        <v>13</v>
      </c>
    </row>
    <row r="922" spans="12:17" x14ac:dyDescent="0.35">
      <c r="L922" s="140">
        <v>920</v>
      </c>
      <c r="M922" s="148">
        <v>4</v>
      </c>
      <c r="O922" s="140">
        <f t="shared" si="25"/>
        <v>0</v>
      </c>
      <c r="Q922" s="140">
        <v>24</v>
      </c>
    </row>
    <row r="923" spans="12:17" x14ac:dyDescent="0.35">
      <c r="L923" s="140">
        <v>921</v>
      </c>
      <c r="M923" s="148">
        <v>2</v>
      </c>
      <c r="O923" s="140">
        <f t="shared" si="25"/>
        <v>0</v>
      </c>
      <c r="Q923" s="140">
        <v>15</v>
      </c>
    </row>
    <row r="924" spans="12:17" x14ac:dyDescent="0.35">
      <c r="L924" s="140">
        <v>922</v>
      </c>
      <c r="M924" s="148">
        <v>5</v>
      </c>
      <c r="O924" s="140">
        <f t="shared" si="25"/>
        <v>0</v>
      </c>
      <c r="Q924" s="140">
        <v>13</v>
      </c>
    </row>
    <row r="925" spans="12:17" x14ac:dyDescent="0.35">
      <c r="L925" s="140">
        <v>923</v>
      </c>
      <c r="M925" s="148">
        <v>5</v>
      </c>
      <c r="O925" s="140">
        <f t="shared" si="25"/>
        <v>0</v>
      </c>
      <c r="Q925" s="140">
        <v>16</v>
      </c>
    </row>
    <row r="926" spans="12:17" x14ac:dyDescent="0.35">
      <c r="L926" s="140">
        <v>924</v>
      </c>
      <c r="M926" s="148">
        <v>1</v>
      </c>
      <c r="O926" s="140">
        <f t="shared" si="25"/>
        <v>0</v>
      </c>
      <c r="Q926" s="140">
        <v>23</v>
      </c>
    </row>
    <row r="927" spans="12:17" x14ac:dyDescent="0.35">
      <c r="L927" s="140">
        <v>925</v>
      </c>
      <c r="M927" s="148">
        <v>0</v>
      </c>
      <c r="O927" s="140">
        <f t="shared" si="25"/>
        <v>0</v>
      </c>
      <c r="Q927" s="140">
        <v>21</v>
      </c>
    </row>
    <row r="928" spans="12:17" x14ac:dyDescent="0.35">
      <c r="L928" s="140">
        <v>926</v>
      </c>
      <c r="M928" s="148">
        <v>2</v>
      </c>
      <c r="O928" s="140">
        <f t="shared" si="25"/>
        <v>0</v>
      </c>
      <c r="Q928" s="140">
        <v>27</v>
      </c>
    </row>
    <row r="929" spans="12:17" x14ac:dyDescent="0.35">
      <c r="L929" s="140">
        <v>927</v>
      </c>
      <c r="M929" s="148">
        <v>5</v>
      </c>
      <c r="O929" s="140">
        <f t="shared" si="25"/>
        <v>0</v>
      </c>
      <c r="Q929" s="140">
        <v>21</v>
      </c>
    </row>
    <row r="930" spans="12:17" x14ac:dyDescent="0.35">
      <c r="L930" s="140">
        <v>928</v>
      </c>
      <c r="M930" s="148">
        <v>6</v>
      </c>
      <c r="O930" s="140">
        <f t="shared" si="25"/>
        <v>0</v>
      </c>
      <c r="Q930" s="140">
        <v>18</v>
      </c>
    </row>
    <row r="931" spans="12:17" x14ac:dyDescent="0.35">
      <c r="L931" s="140">
        <v>929</v>
      </c>
      <c r="M931" s="148">
        <v>7</v>
      </c>
      <c r="O931" s="140">
        <f t="shared" si="25"/>
        <v>0</v>
      </c>
      <c r="Q931" s="140">
        <v>14</v>
      </c>
    </row>
    <row r="932" spans="12:17" x14ac:dyDescent="0.35">
      <c r="L932" s="140">
        <v>930</v>
      </c>
      <c r="M932" s="148">
        <v>3</v>
      </c>
      <c r="O932" s="140">
        <f t="shared" si="25"/>
        <v>0</v>
      </c>
      <c r="Q932" s="140">
        <v>23</v>
      </c>
    </row>
    <row r="933" spans="12:17" x14ac:dyDescent="0.35">
      <c r="L933" s="140">
        <v>931</v>
      </c>
      <c r="M933" s="148">
        <v>3</v>
      </c>
      <c r="O933" s="140">
        <f t="shared" si="25"/>
        <v>0</v>
      </c>
      <c r="Q933" s="140">
        <v>19</v>
      </c>
    </row>
    <row r="934" spans="12:17" x14ac:dyDescent="0.35">
      <c r="L934" s="140">
        <v>932</v>
      </c>
      <c r="M934" s="148">
        <v>2</v>
      </c>
      <c r="O934" s="140">
        <f t="shared" si="25"/>
        <v>0</v>
      </c>
      <c r="Q934" s="140">
        <v>19</v>
      </c>
    </row>
    <row r="935" spans="12:17" x14ac:dyDescent="0.35">
      <c r="L935" s="140">
        <v>933</v>
      </c>
      <c r="M935" s="148">
        <v>9</v>
      </c>
      <c r="O935" s="140">
        <f t="shared" si="25"/>
        <v>0</v>
      </c>
      <c r="Q935" s="140">
        <v>14</v>
      </c>
    </row>
    <row r="936" spans="12:17" x14ac:dyDescent="0.35">
      <c r="L936" s="140">
        <v>934</v>
      </c>
      <c r="M936" s="148">
        <v>5</v>
      </c>
      <c r="O936" s="140">
        <f t="shared" si="25"/>
        <v>0</v>
      </c>
      <c r="Q936" s="140">
        <v>18</v>
      </c>
    </row>
    <row r="937" spans="12:17" x14ac:dyDescent="0.35">
      <c r="L937" s="140">
        <v>935</v>
      </c>
      <c r="M937" s="148">
        <v>2</v>
      </c>
      <c r="O937" s="140">
        <f t="shared" si="25"/>
        <v>0</v>
      </c>
      <c r="Q937" s="140">
        <v>14</v>
      </c>
    </row>
    <row r="938" spans="12:17" x14ac:dyDescent="0.35">
      <c r="L938" s="140">
        <v>936</v>
      </c>
      <c r="M938" s="148">
        <v>6</v>
      </c>
      <c r="O938" s="140">
        <f t="shared" si="25"/>
        <v>0</v>
      </c>
      <c r="Q938" s="140">
        <v>22</v>
      </c>
    </row>
    <row r="939" spans="12:17" x14ac:dyDescent="0.35">
      <c r="L939" s="140">
        <v>937</v>
      </c>
      <c r="M939" s="148">
        <v>4</v>
      </c>
      <c r="O939" s="140">
        <f t="shared" si="25"/>
        <v>0</v>
      </c>
      <c r="Q939" s="140">
        <v>18</v>
      </c>
    </row>
    <row r="940" spans="12:17" x14ac:dyDescent="0.35">
      <c r="L940" s="140">
        <v>938</v>
      </c>
      <c r="M940" s="148">
        <v>4</v>
      </c>
      <c r="O940" s="140">
        <f t="shared" si="25"/>
        <v>0</v>
      </c>
      <c r="Q940" s="140">
        <v>14</v>
      </c>
    </row>
    <row r="941" spans="12:17" x14ac:dyDescent="0.35">
      <c r="L941" s="140">
        <v>939</v>
      </c>
      <c r="M941" s="148">
        <v>3</v>
      </c>
      <c r="O941" s="140">
        <f t="shared" si="25"/>
        <v>0</v>
      </c>
      <c r="Q941" s="140">
        <v>22</v>
      </c>
    </row>
    <row r="942" spans="12:17" x14ac:dyDescent="0.35">
      <c r="L942" s="140">
        <v>940</v>
      </c>
      <c r="M942" s="148">
        <v>4</v>
      </c>
      <c r="O942" s="140">
        <f t="shared" ref="O942:O1002" si="26">MAX(N942:N1940)</f>
        <v>0</v>
      </c>
      <c r="Q942" s="140">
        <v>14</v>
      </c>
    </row>
    <row r="943" spans="12:17" x14ac:dyDescent="0.35">
      <c r="L943" s="140">
        <v>941</v>
      </c>
      <c r="M943" s="148">
        <v>4</v>
      </c>
      <c r="O943" s="140">
        <f t="shared" si="26"/>
        <v>0</v>
      </c>
      <c r="Q943" s="140">
        <v>20</v>
      </c>
    </row>
    <row r="944" spans="12:17" x14ac:dyDescent="0.35">
      <c r="L944" s="140">
        <v>942</v>
      </c>
      <c r="M944" s="148">
        <v>3</v>
      </c>
      <c r="O944" s="140">
        <f t="shared" si="26"/>
        <v>0</v>
      </c>
      <c r="Q944" s="140">
        <v>9</v>
      </c>
    </row>
    <row r="945" spans="12:17" x14ac:dyDescent="0.35">
      <c r="L945" s="140">
        <v>943</v>
      </c>
      <c r="M945" s="148">
        <v>4</v>
      </c>
      <c r="O945" s="140">
        <f t="shared" si="26"/>
        <v>0</v>
      </c>
      <c r="Q945" s="140">
        <v>16</v>
      </c>
    </row>
    <row r="946" spans="12:17" x14ac:dyDescent="0.35">
      <c r="L946" s="140">
        <v>944</v>
      </c>
      <c r="M946" s="148">
        <v>5</v>
      </c>
      <c r="O946" s="140">
        <f t="shared" si="26"/>
        <v>0</v>
      </c>
      <c r="Q946" s="140">
        <v>16</v>
      </c>
    </row>
    <row r="947" spans="12:17" x14ac:dyDescent="0.35">
      <c r="L947" s="140">
        <v>945</v>
      </c>
      <c r="M947" s="148">
        <v>3</v>
      </c>
      <c r="O947" s="140">
        <f t="shared" si="26"/>
        <v>0</v>
      </c>
      <c r="Q947" s="140">
        <v>18</v>
      </c>
    </row>
    <row r="948" spans="12:17" x14ac:dyDescent="0.35">
      <c r="L948" s="140">
        <v>946</v>
      </c>
      <c r="M948" s="148">
        <v>3</v>
      </c>
      <c r="O948" s="140">
        <f t="shared" si="26"/>
        <v>0</v>
      </c>
      <c r="Q948" s="140">
        <v>16</v>
      </c>
    </row>
    <row r="949" spans="12:17" x14ac:dyDescent="0.35">
      <c r="L949" s="140">
        <v>947</v>
      </c>
      <c r="M949" s="148">
        <v>8</v>
      </c>
      <c r="O949" s="140">
        <f t="shared" si="26"/>
        <v>0</v>
      </c>
      <c r="Q949" s="140">
        <v>18</v>
      </c>
    </row>
    <row r="950" spans="12:17" x14ac:dyDescent="0.35">
      <c r="L950" s="140">
        <v>948</v>
      </c>
      <c r="M950" s="148">
        <v>2</v>
      </c>
      <c r="O950" s="140">
        <f t="shared" si="26"/>
        <v>0</v>
      </c>
      <c r="Q950" s="140">
        <v>19</v>
      </c>
    </row>
    <row r="951" spans="12:17" x14ac:dyDescent="0.35">
      <c r="L951" s="140">
        <v>949</v>
      </c>
      <c r="M951" s="148">
        <v>9</v>
      </c>
      <c r="O951" s="140">
        <f t="shared" si="26"/>
        <v>0</v>
      </c>
      <c r="Q951" s="140">
        <v>24</v>
      </c>
    </row>
    <row r="952" spans="12:17" x14ac:dyDescent="0.35">
      <c r="L952" s="140">
        <v>950</v>
      </c>
      <c r="M952" s="148">
        <v>6</v>
      </c>
      <c r="O952" s="140">
        <f t="shared" si="26"/>
        <v>0</v>
      </c>
      <c r="Q952" s="140">
        <v>20</v>
      </c>
    </row>
    <row r="953" spans="12:17" x14ac:dyDescent="0.35">
      <c r="L953" s="140">
        <v>951</v>
      </c>
      <c r="M953" s="148">
        <v>1</v>
      </c>
      <c r="O953" s="140">
        <f t="shared" si="26"/>
        <v>0</v>
      </c>
      <c r="Q953" s="140">
        <v>18</v>
      </c>
    </row>
    <row r="954" spans="12:17" x14ac:dyDescent="0.35">
      <c r="L954" s="140">
        <v>952</v>
      </c>
      <c r="M954" s="148">
        <v>2</v>
      </c>
      <c r="O954" s="140">
        <f t="shared" si="26"/>
        <v>0</v>
      </c>
      <c r="Q954" s="140">
        <v>8</v>
      </c>
    </row>
    <row r="955" spans="12:17" x14ac:dyDescent="0.35">
      <c r="L955" s="140">
        <v>953</v>
      </c>
      <c r="M955" s="148">
        <v>5</v>
      </c>
      <c r="O955" s="140">
        <f t="shared" si="26"/>
        <v>0</v>
      </c>
      <c r="Q955" s="140">
        <v>17</v>
      </c>
    </row>
    <row r="956" spans="12:17" x14ac:dyDescent="0.35">
      <c r="L956" s="140">
        <v>954</v>
      </c>
      <c r="M956" s="148">
        <v>4</v>
      </c>
      <c r="O956" s="140">
        <f t="shared" si="26"/>
        <v>0</v>
      </c>
      <c r="Q956" s="140">
        <v>16</v>
      </c>
    </row>
    <row r="957" spans="12:17" x14ac:dyDescent="0.35">
      <c r="L957" s="140">
        <v>955</v>
      </c>
      <c r="M957" s="148">
        <v>1</v>
      </c>
      <c r="O957" s="140">
        <f t="shared" si="26"/>
        <v>0</v>
      </c>
      <c r="Q957" s="140">
        <v>8</v>
      </c>
    </row>
    <row r="958" spans="12:17" x14ac:dyDescent="0.35">
      <c r="L958" s="140">
        <v>956</v>
      </c>
      <c r="M958" s="148">
        <v>4</v>
      </c>
      <c r="O958" s="140">
        <f t="shared" si="26"/>
        <v>0</v>
      </c>
      <c r="Q958" s="140">
        <v>13</v>
      </c>
    </row>
    <row r="959" spans="12:17" x14ac:dyDescent="0.35">
      <c r="L959" s="140">
        <v>957</v>
      </c>
      <c r="M959" s="148">
        <v>2</v>
      </c>
      <c r="O959" s="140">
        <f t="shared" si="26"/>
        <v>0</v>
      </c>
      <c r="Q959" s="140">
        <v>19</v>
      </c>
    </row>
    <row r="960" spans="12:17" x14ac:dyDescent="0.35">
      <c r="L960" s="140">
        <v>958</v>
      </c>
      <c r="M960" s="148">
        <v>2</v>
      </c>
      <c r="O960" s="140">
        <f t="shared" si="26"/>
        <v>0</v>
      </c>
      <c r="Q960" s="140">
        <v>20</v>
      </c>
    </row>
    <row r="961" spans="12:17" x14ac:dyDescent="0.35">
      <c r="L961" s="140">
        <v>959</v>
      </c>
      <c r="M961" s="148">
        <v>5</v>
      </c>
      <c r="O961" s="140">
        <f t="shared" si="26"/>
        <v>0</v>
      </c>
      <c r="Q961" s="140">
        <v>22</v>
      </c>
    </row>
    <row r="962" spans="12:17" x14ac:dyDescent="0.35">
      <c r="L962" s="140">
        <v>960</v>
      </c>
      <c r="M962" s="148">
        <v>6</v>
      </c>
      <c r="O962" s="140">
        <f t="shared" si="26"/>
        <v>0</v>
      </c>
      <c r="Q962" s="140">
        <v>17</v>
      </c>
    </row>
    <row r="963" spans="12:17" x14ac:dyDescent="0.35">
      <c r="L963" s="140">
        <v>961</v>
      </c>
      <c r="M963" s="148">
        <v>3</v>
      </c>
      <c r="O963" s="140">
        <f t="shared" si="26"/>
        <v>0</v>
      </c>
      <c r="Q963" s="140">
        <v>19</v>
      </c>
    </row>
    <row r="964" spans="12:17" x14ac:dyDescent="0.35">
      <c r="L964" s="140">
        <v>962</v>
      </c>
      <c r="M964" s="148">
        <v>6</v>
      </c>
      <c r="O964" s="140">
        <f t="shared" si="26"/>
        <v>0</v>
      </c>
      <c r="Q964" s="140">
        <v>18</v>
      </c>
    </row>
    <row r="965" spans="12:17" x14ac:dyDescent="0.35">
      <c r="L965" s="140">
        <v>963</v>
      </c>
      <c r="M965" s="148">
        <v>5</v>
      </c>
      <c r="O965" s="140">
        <f t="shared" si="26"/>
        <v>0</v>
      </c>
      <c r="Q965" s="140">
        <v>18</v>
      </c>
    </row>
    <row r="966" spans="12:17" x14ac:dyDescent="0.35">
      <c r="L966" s="140">
        <v>964</v>
      </c>
      <c r="M966" s="148">
        <v>5</v>
      </c>
      <c r="O966" s="140">
        <f t="shared" si="26"/>
        <v>0</v>
      </c>
      <c r="Q966" s="140">
        <v>19</v>
      </c>
    </row>
    <row r="967" spans="12:17" x14ac:dyDescent="0.35">
      <c r="L967" s="140">
        <v>965</v>
      </c>
      <c r="M967" s="148">
        <v>5</v>
      </c>
      <c r="O967" s="140">
        <f t="shared" si="26"/>
        <v>0</v>
      </c>
      <c r="Q967" s="140">
        <v>17</v>
      </c>
    </row>
    <row r="968" spans="12:17" x14ac:dyDescent="0.35">
      <c r="L968" s="140">
        <v>966</v>
      </c>
      <c r="M968" s="148">
        <v>4</v>
      </c>
      <c r="O968" s="140">
        <f t="shared" si="26"/>
        <v>0</v>
      </c>
      <c r="Q968" s="140">
        <v>13</v>
      </c>
    </row>
    <row r="969" spans="12:17" x14ac:dyDescent="0.35">
      <c r="L969" s="140">
        <v>967</v>
      </c>
      <c r="M969" s="148">
        <v>4</v>
      </c>
      <c r="O969" s="140">
        <f t="shared" si="26"/>
        <v>0</v>
      </c>
      <c r="Q969" s="140">
        <v>19</v>
      </c>
    </row>
    <row r="970" spans="12:17" x14ac:dyDescent="0.35">
      <c r="L970" s="140">
        <v>968</v>
      </c>
      <c r="M970" s="148">
        <v>2</v>
      </c>
      <c r="O970" s="140">
        <f t="shared" si="26"/>
        <v>0</v>
      </c>
      <c r="Q970" s="140">
        <v>19</v>
      </c>
    </row>
    <row r="971" spans="12:17" x14ac:dyDescent="0.35">
      <c r="L971" s="140">
        <v>969</v>
      </c>
      <c r="M971" s="148">
        <v>5</v>
      </c>
      <c r="O971" s="140">
        <f t="shared" si="26"/>
        <v>0</v>
      </c>
      <c r="Q971" s="140">
        <v>14</v>
      </c>
    </row>
    <row r="972" spans="12:17" x14ac:dyDescent="0.35">
      <c r="L972" s="140">
        <v>970</v>
      </c>
      <c r="M972" s="148">
        <v>4</v>
      </c>
      <c r="O972" s="140">
        <f t="shared" si="26"/>
        <v>0</v>
      </c>
      <c r="Q972" s="140">
        <v>28</v>
      </c>
    </row>
    <row r="973" spans="12:17" x14ac:dyDescent="0.35">
      <c r="L973" s="140">
        <v>971</v>
      </c>
      <c r="M973" s="148">
        <v>6</v>
      </c>
      <c r="O973" s="140">
        <f t="shared" si="26"/>
        <v>0</v>
      </c>
      <c r="Q973" s="140">
        <v>18</v>
      </c>
    </row>
    <row r="974" spans="12:17" x14ac:dyDescent="0.35">
      <c r="L974" s="140">
        <v>972</v>
      </c>
      <c r="M974" s="148">
        <v>5</v>
      </c>
      <c r="O974" s="140">
        <f t="shared" si="26"/>
        <v>0</v>
      </c>
      <c r="Q974" s="140">
        <v>27</v>
      </c>
    </row>
    <row r="975" spans="12:17" x14ac:dyDescent="0.35">
      <c r="L975" s="140">
        <v>973</v>
      </c>
      <c r="M975" s="148">
        <v>2</v>
      </c>
      <c r="O975" s="140">
        <f t="shared" si="26"/>
        <v>0</v>
      </c>
      <c r="Q975" s="140">
        <v>15</v>
      </c>
    </row>
    <row r="976" spans="12:17" x14ac:dyDescent="0.35">
      <c r="L976" s="140">
        <v>974</v>
      </c>
      <c r="M976" s="148">
        <v>2</v>
      </c>
      <c r="O976" s="140">
        <f t="shared" si="26"/>
        <v>0</v>
      </c>
      <c r="Q976" s="140">
        <v>21</v>
      </c>
    </row>
    <row r="977" spans="12:17" x14ac:dyDescent="0.35">
      <c r="L977" s="140">
        <v>975</v>
      </c>
      <c r="M977" s="148">
        <v>0</v>
      </c>
      <c r="O977" s="140">
        <f t="shared" si="26"/>
        <v>0</v>
      </c>
      <c r="Q977" s="140">
        <v>15</v>
      </c>
    </row>
    <row r="978" spans="12:17" x14ac:dyDescent="0.35">
      <c r="L978" s="140">
        <v>976</v>
      </c>
      <c r="M978" s="148">
        <v>2</v>
      </c>
      <c r="O978" s="140">
        <f t="shared" si="26"/>
        <v>0</v>
      </c>
      <c r="Q978" s="140">
        <v>12</v>
      </c>
    </row>
    <row r="979" spans="12:17" x14ac:dyDescent="0.35">
      <c r="L979" s="140">
        <v>977</v>
      </c>
      <c r="M979" s="148">
        <v>9</v>
      </c>
      <c r="O979" s="140">
        <f t="shared" si="26"/>
        <v>0</v>
      </c>
      <c r="Q979" s="140">
        <v>18</v>
      </c>
    </row>
    <row r="980" spans="12:17" x14ac:dyDescent="0.35">
      <c r="L980" s="140">
        <v>978</v>
      </c>
      <c r="M980" s="148">
        <v>5</v>
      </c>
      <c r="O980" s="140">
        <f t="shared" si="26"/>
        <v>0</v>
      </c>
      <c r="Q980" s="140">
        <v>19</v>
      </c>
    </row>
    <row r="981" spans="12:17" x14ac:dyDescent="0.35">
      <c r="L981" s="140">
        <v>979</v>
      </c>
      <c r="M981" s="148">
        <v>2</v>
      </c>
      <c r="O981" s="140">
        <f t="shared" si="26"/>
        <v>0</v>
      </c>
      <c r="Q981" s="140">
        <v>20</v>
      </c>
    </row>
    <row r="982" spans="12:17" x14ac:dyDescent="0.35">
      <c r="L982" s="140">
        <v>980</v>
      </c>
      <c r="M982" s="148">
        <v>3</v>
      </c>
      <c r="O982" s="140">
        <f t="shared" si="26"/>
        <v>0</v>
      </c>
      <c r="Q982" s="140">
        <v>19</v>
      </c>
    </row>
    <row r="983" spans="12:17" x14ac:dyDescent="0.35">
      <c r="L983" s="140">
        <v>981</v>
      </c>
      <c r="M983" s="148">
        <v>3</v>
      </c>
      <c r="O983" s="140">
        <f t="shared" si="26"/>
        <v>0</v>
      </c>
      <c r="Q983" s="140">
        <v>24</v>
      </c>
    </row>
    <row r="984" spans="12:17" x14ac:dyDescent="0.35">
      <c r="L984" s="140">
        <v>982</v>
      </c>
      <c r="M984" s="148">
        <v>2</v>
      </c>
      <c r="O984" s="140">
        <f t="shared" si="26"/>
        <v>0</v>
      </c>
      <c r="Q984" s="140">
        <v>17</v>
      </c>
    </row>
    <row r="985" spans="12:17" x14ac:dyDescent="0.35">
      <c r="L985" s="140">
        <v>983</v>
      </c>
      <c r="M985" s="148">
        <v>4</v>
      </c>
      <c r="O985" s="140">
        <f t="shared" si="26"/>
        <v>0</v>
      </c>
      <c r="Q985" s="140">
        <v>13</v>
      </c>
    </row>
    <row r="986" spans="12:17" x14ac:dyDescent="0.35">
      <c r="L986" s="140">
        <v>984</v>
      </c>
      <c r="M986" s="148">
        <v>6</v>
      </c>
      <c r="O986" s="140">
        <f t="shared" si="26"/>
        <v>0</v>
      </c>
      <c r="Q986" s="140">
        <v>20</v>
      </c>
    </row>
    <row r="987" spans="12:17" x14ac:dyDescent="0.35">
      <c r="L987" s="140">
        <v>985</v>
      </c>
      <c r="M987" s="148">
        <v>2</v>
      </c>
      <c r="O987" s="140">
        <f t="shared" si="26"/>
        <v>0</v>
      </c>
      <c r="Q987" s="140">
        <v>12</v>
      </c>
    </row>
    <row r="988" spans="12:17" x14ac:dyDescent="0.35">
      <c r="L988" s="140">
        <v>986</v>
      </c>
      <c r="M988" s="148">
        <v>2</v>
      </c>
      <c r="O988" s="140">
        <f t="shared" si="26"/>
        <v>0</v>
      </c>
      <c r="Q988" s="140">
        <v>20</v>
      </c>
    </row>
    <row r="989" spans="12:17" x14ac:dyDescent="0.35">
      <c r="L989" s="140">
        <v>987</v>
      </c>
      <c r="M989" s="148">
        <v>5</v>
      </c>
      <c r="O989" s="140">
        <f t="shared" si="26"/>
        <v>0</v>
      </c>
      <c r="Q989" s="140">
        <v>20</v>
      </c>
    </row>
    <row r="990" spans="12:17" x14ac:dyDescent="0.35">
      <c r="L990" s="140">
        <v>988</v>
      </c>
      <c r="M990" s="148">
        <v>3</v>
      </c>
      <c r="O990" s="140">
        <f t="shared" si="26"/>
        <v>0</v>
      </c>
      <c r="Q990" s="140">
        <v>23</v>
      </c>
    </row>
    <row r="991" spans="12:17" x14ac:dyDescent="0.35">
      <c r="L991" s="140">
        <v>989</v>
      </c>
      <c r="M991" s="148">
        <v>2</v>
      </c>
      <c r="O991" s="140">
        <f t="shared" si="26"/>
        <v>0</v>
      </c>
      <c r="Q991" s="140">
        <v>14</v>
      </c>
    </row>
    <row r="992" spans="12:17" x14ac:dyDescent="0.35">
      <c r="L992" s="140">
        <v>990</v>
      </c>
      <c r="M992" s="148">
        <v>1</v>
      </c>
      <c r="O992" s="140">
        <f t="shared" si="26"/>
        <v>0</v>
      </c>
      <c r="Q992" s="140">
        <v>16</v>
      </c>
    </row>
    <row r="993" spans="12:17" x14ac:dyDescent="0.35">
      <c r="L993" s="140">
        <v>991</v>
      </c>
      <c r="M993" s="148">
        <v>6</v>
      </c>
      <c r="O993" s="140">
        <f t="shared" si="26"/>
        <v>0</v>
      </c>
      <c r="Q993" s="140">
        <v>12</v>
      </c>
    </row>
    <row r="994" spans="12:17" x14ac:dyDescent="0.35">
      <c r="L994" s="140">
        <v>992</v>
      </c>
      <c r="M994" s="148">
        <v>0</v>
      </c>
      <c r="O994" s="140">
        <f t="shared" si="26"/>
        <v>0</v>
      </c>
      <c r="Q994" s="140">
        <v>23</v>
      </c>
    </row>
    <row r="995" spans="12:17" x14ac:dyDescent="0.35">
      <c r="L995" s="140">
        <v>993</v>
      </c>
      <c r="M995" s="148">
        <v>5</v>
      </c>
      <c r="O995" s="140">
        <f t="shared" si="26"/>
        <v>0</v>
      </c>
      <c r="Q995" s="140">
        <v>14</v>
      </c>
    </row>
    <row r="996" spans="12:17" x14ac:dyDescent="0.35">
      <c r="L996" s="140">
        <v>994</v>
      </c>
      <c r="M996" s="148">
        <v>2</v>
      </c>
      <c r="O996" s="140">
        <f t="shared" si="26"/>
        <v>0</v>
      </c>
      <c r="Q996" s="140">
        <v>19</v>
      </c>
    </row>
    <row r="997" spans="12:17" x14ac:dyDescent="0.35">
      <c r="L997" s="140">
        <v>995</v>
      </c>
      <c r="M997" s="148">
        <v>4</v>
      </c>
      <c r="O997" s="140">
        <f t="shared" si="26"/>
        <v>0</v>
      </c>
      <c r="Q997" s="140">
        <v>12</v>
      </c>
    </row>
    <row r="998" spans="12:17" x14ac:dyDescent="0.35">
      <c r="L998" s="140">
        <v>996</v>
      </c>
      <c r="M998" s="148">
        <v>3</v>
      </c>
      <c r="O998" s="140">
        <f t="shared" si="26"/>
        <v>0</v>
      </c>
      <c r="Q998" s="140">
        <v>18</v>
      </c>
    </row>
    <row r="999" spans="12:17" x14ac:dyDescent="0.35">
      <c r="L999" s="140">
        <v>997</v>
      </c>
      <c r="M999" s="148">
        <v>3</v>
      </c>
      <c r="O999" s="140">
        <f t="shared" si="26"/>
        <v>0</v>
      </c>
      <c r="Q999" s="140">
        <v>21</v>
      </c>
    </row>
    <row r="1000" spans="12:17" x14ac:dyDescent="0.35">
      <c r="L1000" s="140">
        <v>998</v>
      </c>
      <c r="M1000" s="148">
        <v>7</v>
      </c>
      <c r="O1000" s="140">
        <f t="shared" si="26"/>
        <v>0</v>
      </c>
      <c r="Q1000" s="140">
        <v>21</v>
      </c>
    </row>
    <row r="1001" spans="12:17" x14ac:dyDescent="0.35">
      <c r="L1001" s="140">
        <v>999</v>
      </c>
      <c r="M1001" s="148">
        <v>4</v>
      </c>
      <c r="O1001" s="140">
        <f t="shared" si="26"/>
        <v>0</v>
      </c>
      <c r="Q1001" s="140">
        <v>24</v>
      </c>
    </row>
    <row r="1002" spans="12:17" x14ac:dyDescent="0.35">
      <c r="L1002" s="140">
        <v>1000</v>
      </c>
      <c r="M1002" s="148">
        <v>3</v>
      </c>
      <c r="O1002" s="140">
        <f t="shared" si="26"/>
        <v>0</v>
      </c>
    </row>
    <row r="1003" spans="12:17" x14ac:dyDescent="0.35">
      <c r="M1003" s="140">
        <v>1</v>
      </c>
    </row>
  </sheetData>
  <mergeCells count="1">
    <mergeCell ref="C1:H1"/>
  </mergeCells>
  <conditionalFormatting sqref="A43">
    <cfRule type="cellIs" dxfId="11" priority="2" operator="lessThan">
      <formula>0.3</formula>
    </cfRule>
  </conditionalFormatting>
  <conditionalFormatting sqref="A45">
    <cfRule type="cellIs" dxfId="10" priority="1" operator="lessThan">
      <formula>0.15</formula>
    </cfRule>
  </conditionalFormatting>
  <pageMargins left="0.78749999999999998" right="0.78749999999999998" top="1.05277777777778" bottom="1.74166666666667" header="0.78749999999999998" footer="0.78749999999999998"/>
  <pageSetup paperSize="9" scale="110" orientation="landscape" horizontalDpi="300" verticalDpi="300"/>
  <headerFooter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zoomScale="70" zoomScaleNormal="70" workbookViewId="0">
      <selection activeCell="A63" sqref="A63:AE67"/>
    </sheetView>
  </sheetViews>
  <sheetFormatPr defaultColWidth="11.53125" defaultRowHeight="12.75" x14ac:dyDescent="0.35"/>
  <sheetData>
    <row r="1" spans="1:49" x14ac:dyDescent="0.35">
      <c r="A1" t="s">
        <v>269</v>
      </c>
    </row>
    <row r="2" spans="1:49" ht="40.15" x14ac:dyDescent="1.05">
      <c r="O2" s="65" t="s">
        <v>270</v>
      </c>
    </row>
    <row r="4" spans="1:49" ht="40.15" x14ac:dyDescent="1.05">
      <c r="A4" s="8" t="s">
        <v>28</v>
      </c>
      <c r="O4" s="65" t="s">
        <v>97</v>
      </c>
    </row>
    <row r="5" spans="1:49" x14ac:dyDescent="0.35">
      <c r="O5" s="29">
        <v>45831</v>
      </c>
    </row>
    <row r="6" spans="1:49" ht="13.15" x14ac:dyDescent="0.4">
      <c r="A6" t="s">
        <v>271</v>
      </c>
      <c r="B6" s="8"/>
      <c r="C6" s="8"/>
      <c r="D6" s="8"/>
      <c r="E6" s="8"/>
      <c r="F6" s="8"/>
      <c r="O6" t="s">
        <v>272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M7" s="55"/>
    </row>
    <row r="8" spans="1:49" ht="13.15" x14ac:dyDescent="0.4">
      <c r="A8" s="57" t="s">
        <v>147</v>
      </c>
      <c r="B8">
        <v>7.4796319999999996</v>
      </c>
      <c r="C8">
        <v>7.8067950000000002</v>
      </c>
      <c r="D8">
        <v>7.7537919999999998</v>
      </c>
      <c r="E8">
        <v>7.7436959999999999</v>
      </c>
      <c r="F8">
        <v>7.7375040000000004</v>
      </c>
      <c r="G8" s="68"/>
      <c r="H8" s="68">
        <f>AVERAGE(B$8:F$8)*5</f>
        <v>38.521419000000002</v>
      </c>
      <c r="I8" s="69"/>
      <c r="K8" s="69"/>
    </row>
    <row r="9" spans="1:49" ht="13.15" x14ac:dyDescent="0.4">
      <c r="A9" s="73" t="s">
        <v>148</v>
      </c>
      <c r="B9" s="36">
        <v>31430</v>
      </c>
      <c r="C9" s="36">
        <v>33840</v>
      </c>
      <c r="D9" s="36">
        <v>33260</v>
      </c>
      <c r="E9" s="36">
        <v>33027</v>
      </c>
      <c r="F9" s="36">
        <v>32256</v>
      </c>
      <c r="G9" s="105">
        <f t="shared" ref="G9:G38" si="0">AVERAGE(B9:F9)/AVERAGE(B$8:F$8)</f>
        <v>4252.5172813597537</v>
      </c>
      <c r="H9" s="106">
        <f t="shared" ref="H9:H38" si="1">G9*H$8</f>
        <v>163812.99999999997</v>
      </c>
      <c r="I9" s="107">
        <f t="shared" ref="I9:I38" si="2">STDEVP(B9:F9)/AVERAGE(B9:F9)</f>
        <v>2.5575582340497716E-2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7.3559485510917955E-2</v>
      </c>
      <c r="M9" s="42"/>
    </row>
    <row r="10" spans="1:49" ht="13.15" x14ac:dyDescent="0.4">
      <c r="A10" s="57" t="s">
        <v>149</v>
      </c>
      <c r="B10">
        <v>16204</v>
      </c>
      <c r="C10">
        <v>17512</v>
      </c>
      <c r="D10">
        <v>17243</v>
      </c>
      <c r="E10">
        <v>16954</v>
      </c>
      <c r="F10">
        <v>16813</v>
      </c>
      <c r="G10" s="70">
        <f t="shared" si="0"/>
        <v>2199.4516868654291</v>
      </c>
      <c r="H10" s="71">
        <f t="shared" si="1"/>
        <v>84726</v>
      </c>
      <c r="I10" s="69">
        <f t="shared" si="2"/>
        <v>2.6084867866252959E-2</v>
      </c>
      <c r="J10" s="69">
        <f t="shared" si="3"/>
        <v>0.11</v>
      </c>
      <c r="K10" s="69">
        <f t="shared" si="4"/>
        <v>7.7190000708165146E-2</v>
      </c>
      <c r="M10" s="42"/>
    </row>
    <row r="11" spans="1:49" ht="13.15" x14ac:dyDescent="0.4">
      <c r="A11" s="57" t="s">
        <v>150</v>
      </c>
      <c r="B11">
        <v>7721</v>
      </c>
      <c r="C11">
        <v>8329</v>
      </c>
      <c r="D11">
        <v>8204</v>
      </c>
      <c r="E11">
        <v>7982</v>
      </c>
      <c r="F11">
        <v>8065</v>
      </c>
      <c r="G11" s="70">
        <f t="shared" si="0"/>
        <v>1046.1971818847067</v>
      </c>
      <c r="H11" s="71">
        <f t="shared" si="1"/>
        <v>40300.999999999993</v>
      </c>
      <c r="I11" s="69">
        <f t="shared" si="2"/>
        <v>2.5674659521198618E-2</v>
      </c>
      <c r="J11" s="69">
        <f t="shared" si="3"/>
        <v>0.11</v>
      </c>
      <c r="K11" s="69">
        <f t="shared" si="4"/>
        <v>7.5432371405176071E-2</v>
      </c>
      <c r="M11" s="42"/>
    </row>
    <row r="12" spans="1:49" ht="13.15" x14ac:dyDescent="0.4">
      <c r="A12" s="57" t="s">
        <v>151</v>
      </c>
      <c r="B12">
        <v>3638</v>
      </c>
      <c r="C12">
        <v>3826</v>
      </c>
      <c r="D12">
        <v>3802</v>
      </c>
      <c r="E12">
        <v>3757</v>
      </c>
      <c r="F12">
        <v>3751</v>
      </c>
      <c r="G12" s="70">
        <f t="shared" si="0"/>
        <v>487.36522400693491</v>
      </c>
      <c r="H12" s="71">
        <f t="shared" si="1"/>
        <v>18774</v>
      </c>
      <c r="I12" s="69">
        <f t="shared" si="2"/>
        <v>1.7242943110747956E-2</v>
      </c>
      <c r="J12" s="69">
        <f t="shared" si="3"/>
        <v>0.11</v>
      </c>
      <c r="K12" s="69">
        <f t="shared" si="4"/>
        <v>5.0069244700117185E-2</v>
      </c>
      <c r="M12" s="42"/>
    </row>
    <row r="13" spans="1:49" ht="13.15" x14ac:dyDescent="0.4">
      <c r="A13" s="57" t="s">
        <v>152</v>
      </c>
      <c r="B13">
        <v>1824</v>
      </c>
      <c r="C13">
        <v>1948</v>
      </c>
      <c r="D13">
        <v>1955</v>
      </c>
      <c r="E13">
        <v>1946</v>
      </c>
      <c r="F13">
        <v>1890</v>
      </c>
      <c r="G13" s="70">
        <f t="shared" si="0"/>
        <v>248.25149873113446</v>
      </c>
      <c r="H13" s="71">
        <f t="shared" si="1"/>
        <v>9563</v>
      </c>
      <c r="I13" s="69">
        <f t="shared" si="2"/>
        <v>2.6170851426620369E-2</v>
      </c>
      <c r="J13" s="69">
        <f t="shared" si="3"/>
        <v>0.113</v>
      </c>
      <c r="K13" s="69">
        <f t="shared" si="4"/>
        <v>6.8493150684931503E-2</v>
      </c>
      <c r="M13" s="42"/>
    </row>
    <row r="14" spans="1:49" ht="13.15" x14ac:dyDescent="0.4">
      <c r="A14" s="77" t="s">
        <v>153</v>
      </c>
      <c r="B14" s="48">
        <v>925</v>
      </c>
      <c r="C14" s="48">
        <v>980</v>
      </c>
      <c r="D14" s="48">
        <v>947</v>
      </c>
      <c r="E14" s="48">
        <v>987</v>
      </c>
      <c r="F14" s="48">
        <v>909</v>
      </c>
      <c r="G14" s="108">
        <f t="shared" si="0"/>
        <v>123.25610331228971</v>
      </c>
      <c r="H14" s="109">
        <f t="shared" si="1"/>
        <v>4748</v>
      </c>
      <c r="I14" s="110">
        <f t="shared" si="2"/>
        <v>3.1882964566413249E-2</v>
      </c>
      <c r="J14" s="110">
        <f t="shared" si="3"/>
        <v>0.11900000000000001</v>
      </c>
      <c r="K14" s="110">
        <f t="shared" si="4"/>
        <v>8.2139848357203032E-2</v>
      </c>
      <c r="M14" s="42"/>
    </row>
    <row r="15" spans="1:49" ht="13.15" x14ac:dyDescent="0.4">
      <c r="A15" s="57" t="s">
        <v>154</v>
      </c>
      <c r="B15">
        <v>465</v>
      </c>
      <c r="C15">
        <v>487</v>
      </c>
      <c r="D15">
        <v>491</v>
      </c>
      <c r="E15">
        <v>486</v>
      </c>
      <c r="F15">
        <v>447</v>
      </c>
      <c r="G15" s="70">
        <f t="shared" si="0"/>
        <v>61.679970823504704</v>
      </c>
      <c r="H15" s="71">
        <f t="shared" si="1"/>
        <v>2376</v>
      </c>
      <c r="I15" s="69">
        <f t="shared" si="2"/>
        <v>3.5273277508008356E-2</v>
      </c>
      <c r="J15" s="69">
        <f t="shared" si="3"/>
        <v>0.11900000000000001</v>
      </c>
      <c r="K15" s="69">
        <f t="shared" si="4"/>
        <v>9.2592592592592587E-2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>
        <v>276</v>
      </c>
      <c r="C16">
        <v>279</v>
      </c>
      <c r="D16">
        <v>256</v>
      </c>
      <c r="E16">
        <v>285</v>
      </c>
      <c r="F16">
        <v>243</v>
      </c>
      <c r="G16" s="70">
        <f t="shared" si="0"/>
        <v>34.759882547421213</v>
      </c>
      <c r="H16" s="71">
        <f t="shared" si="1"/>
        <v>1339</v>
      </c>
      <c r="I16" s="69">
        <f t="shared" si="2"/>
        <v>5.8871492681154172E-2</v>
      </c>
      <c r="J16" s="69">
        <f t="shared" si="3"/>
        <v>0.13400000000000001</v>
      </c>
      <c r="K16" s="69">
        <f t="shared" si="4"/>
        <v>0.15683345780433161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>
        <v>178</v>
      </c>
      <c r="C17">
        <v>180</v>
      </c>
      <c r="D17">
        <v>164</v>
      </c>
      <c r="E17">
        <v>201</v>
      </c>
      <c r="F17">
        <v>164</v>
      </c>
      <c r="G17" s="70">
        <f t="shared" si="0"/>
        <v>23.02615072409456</v>
      </c>
      <c r="H17" s="71">
        <f t="shared" si="1"/>
        <v>887</v>
      </c>
      <c r="I17" s="69">
        <f t="shared" si="2"/>
        <v>7.6596562577059879E-2</v>
      </c>
      <c r="J17" s="69">
        <f t="shared" si="3"/>
        <v>0.156</v>
      </c>
      <c r="K17" s="69">
        <f t="shared" si="4"/>
        <v>0.20856820744081173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>
        <v>139</v>
      </c>
      <c r="C18">
        <v>125</v>
      </c>
      <c r="D18">
        <v>114</v>
      </c>
      <c r="E18">
        <v>150</v>
      </c>
      <c r="F18">
        <v>112</v>
      </c>
      <c r="G18" s="70">
        <f t="shared" si="0"/>
        <v>16.614133555152783</v>
      </c>
      <c r="H18" s="71">
        <f t="shared" si="1"/>
        <v>640</v>
      </c>
      <c r="I18" s="69">
        <f t="shared" si="2"/>
        <v>0.11407320155277487</v>
      </c>
      <c r="J18" s="69">
        <f t="shared" si="3"/>
        <v>0.156</v>
      </c>
      <c r="K18" s="69">
        <f t="shared" si="4"/>
        <v>0.296875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>
        <v>106</v>
      </c>
      <c r="C19">
        <v>100</v>
      </c>
      <c r="D19">
        <v>92</v>
      </c>
      <c r="E19">
        <v>124</v>
      </c>
      <c r="F19">
        <v>92</v>
      </c>
      <c r="G19" s="70">
        <f t="shared" si="0"/>
        <v>13.343226011482079</v>
      </c>
      <c r="H19" s="71">
        <f t="shared" si="1"/>
        <v>514</v>
      </c>
      <c r="I19" s="69">
        <f t="shared" si="2"/>
        <v>0.11516458044318087</v>
      </c>
      <c r="J19" s="69">
        <f t="shared" si="3"/>
        <v>0.156</v>
      </c>
      <c r="K19" s="69">
        <f t="shared" si="4"/>
        <v>0.31128404669260701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>
        <v>87</v>
      </c>
      <c r="C20">
        <v>78</v>
      </c>
      <c r="D20">
        <v>77</v>
      </c>
      <c r="E20">
        <v>95</v>
      </c>
      <c r="F20">
        <v>77</v>
      </c>
      <c r="G20" s="70">
        <f t="shared" si="0"/>
        <v>10.747267643489456</v>
      </c>
      <c r="H20" s="71">
        <f t="shared" si="1"/>
        <v>414</v>
      </c>
      <c r="I20" s="69">
        <f t="shared" si="2"/>
        <v>8.6553009020139696E-2</v>
      </c>
      <c r="J20" s="69">
        <f t="shared" si="3"/>
        <v>0.193</v>
      </c>
      <c r="K20" s="69">
        <f t="shared" si="4"/>
        <v>0.21739130434782608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>
        <v>80</v>
      </c>
      <c r="C21">
        <v>62</v>
      </c>
      <c r="D21">
        <v>60</v>
      </c>
      <c r="E21">
        <v>86</v>
      </c>
      <c r="F21">
        <v>69</v>
      </c>
      <c r="G21" s="70">
        <f t="shared" si="0"/>
        <v>9.2675713737336629</v>
      </c>
      <c r="H21" s="71">
        <f t="shared" si="1"/>
        <v>357.00000000000006</v>
      </c>
      <c r="I21" s="69">
        <f t="shared" si="2"/>
        <v>0.14161596257439257</v>
      </c>
      <c r="J21" s="69">
        <f t="shared" si="3"/>
        <v>0.193</v>
      </c>
      <c r="K21" s="69">
        <f t="shared" si="4"/>
        <v>0.36414565826330525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>
        <v>71</v>
      </c>
      <c r="C22">
        <v>56</v>
      </c>
      <c r="D22">
        <v>56</v>
      </c>
      <c r="E22">
        <v>78</v>
      </c>
      <c r="F22">
        <v>58</v>
      </c>
      <c r="G22" s="70">
        <f t="shared" si="0"/>
        <v>8.2811071938964638</v>
      </c>
      <c r="H22" s="71">
        <f t="shared" si="1"/>
        <v>318.99999999999994</v>
      </c>
      <c r="I22" s="69">
        <f t="shared" si="2"/>
        <v>0.14172607593049927</v>
      </c>
      <c r="J22" s="69">
        <f t="shared" si="3"/>
        <v>0.193</v>
      </c>
      <c r="K22" s="69">
        <f t="shared" si="4"/>
        <v>0.34482758620689663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>
        <v>67</v>
      </c>
      <c r="C23">
        <v>49</v>
      </c>
      <c r="D23">
        <v>52</v>
      </c>
      <c r="E23">
        <v>71</v>
      </c>
      <c r="F23">
        <v>51</v>
      </c>
      <c r="G23" s="70">
        <f t="shared" si="0"/>
        <v>7.528279267178605</v>
      </c>
      <c r="H23" s="71">
        <f t="shared" si="1"/>
        <v>290</v>
      </c>
      <c r="I23" s="69">
        <f t="shared" si="2"/>
        <v>0.15726557587574319</v>
      </c>
      <c r="J23" s="69">
        <f t="shared" si="3"/>
        <v>0.193</v>
      </c>
      <c r="K23" s="69">
        <f t="shared" si="4"/>
        <v>0.37931034482758619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>
        <v>59</v>
      </c>
      <c r="C24">
        <v>47</v>
      </c>
      <c r="D24">
        <v>47</v>
      </c>
      <c r="E24">
        <v>65</v>
      </c>
      <c r="F24">
        <v>47</v>
      </c>
      <c r="G24" s="70">
        <f t="shared" si="0"/>
        <v>6.8792896751804493</v>
      </c>
      <c r="H24" s="71">
        <f t="shared" si="1"/>
        <v>265</v>
      </c>
      <c r="I24" s="69">
        <f t="shared" si="2"/>
        <v>0.14319747895102095</v>
      </c>
      <c r="J24" s="69">
        <f t="shared" si="3"/>
        <v>0.193</v>
      </c>
      <c r="K24" s="69">
        <f t="shared" si="4"/>
        <v>0.33962264150943394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>
        <v>54</v>
      </c>
      <c r="C25">
        <v>44</v>
      </c>
      <c r="D25">
        <v>45</v>
      </c>
      <c r="E25">
        <v>60</v>
      </c>
      <c r="F25">
        <v>45</v>
      </c>
      <c r="G25" s="70">
        <f t="shared" si="0"/>
        <v>6.4379767526217035</v>
      </c>
      <c r="H25" s="71">
        <f t="shared" si="1"/>
        <v>248</v>
      </c>
      <c r="I25" s="69">
        <f t="shared" si="2"/>
        <v>0.12789315747704602</v>
      </c>
      <c r="J25" s="69">
        <f t="shared" si="3"/>
        <v>0.193</v>
      </c>
      <c r="K25" s="69">
        <f t="shared" si="4"/>
        <v>0.32258064516129031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>
        <v>46</v>
      </c>
      <c r="C26">
        <v>43</v>
      </c>
      <c r="D26">
        <v>39</v>
      </c>
      <c r="E26">
        <v>57</v>
      </c>
      <c r="F26">
        <v>42</v>
      </c>
      <c r="G26" s="70">
        <f t="shared" si="0"/>
        <v>5.892825495343252</v>
      </c>
      <c r="H26" s="71">
        <f t="shared" si="1"/>
        <v>226.99999999999997</v>
      </c>
      <c r="I26" s="69">
        <f t="shared" si="2"/>
        <v>0.13691868077462602</v>
      </c>
      <c r="J26" s="69">
        <f t="shared" si="3"/>
        <v>0.193</v>
      </c>
      <c r="K26" s="69">
        <f t="shared" si="4"/>
        <v>0.39647577092511016</v>
      </c>
      <c r="M26" s="42"/>
    </row>
    <row r="27" spans="1:49" ht="13.15" x14ac:dyDescent="0.4">
      <c r="A27" s="57" t="s">
        <v>166</v>
      </c>
      <c r="B27">
        <v>44</v>
      </c>
      <c r="C27">
        <v>41</v>
      </c>
      <c r="D27">
        <v>34</v>
      </c>
      <c r="E27">
        <v>55</v>
      </c>
      <c r="F27">
        <v>35</v>
      </c>
      <c r="G27" s="70">
        <f t="shared" si="0"/>
        <v>5.4255529891045802</v>
      </c>
      <c r="H27" s="71">
        <f t="shared" si="1"/>
        <v>208.99999999999997</v>
      </c>
      <c r="I27" s="69">
        <f t="shared" si="2"/>
        <v>0.18118752372020563</v>
      </c>
      <c r="J27" s="69">
        <f t="shared" si="3"/>
        <v>0.193</v>
      </c>
      <c r="K27" s="69">
        <f t="shared" si="4"/>
        <v>0.50239234449760772</v>
      </c>
      <c r="M27" s="42"/>
    </row>
    <row r="28" spans="1:49" ht="13.15" x14ac:dyDescent="0.4">
      <c r="A28" s="57" t="s">
        <v>167</v>
      </c>
      <c r="B28">
        <v>36</v>
      </c>
      <c r="C28">
        <v>37</v>
      </c>
      <c r="D28">
        <v>32</v>
      </c>
      <c r="E28">
        <v>50</v>
      </c>
      <c r="F28">
        <v>27</v>
      </c>
      <c r="G28" s="70">
        <f t="shared" si="0"/>
        <v>4.7246442297465725</v>
      </c>
      <c r="H28" s="71">
        <f t="shared" si="1"/>
        <v>182</v>
      </c>
      <c r="I28" s="69">
        <f t="shared" si="2"/>
        <v>0.21037571119864448</v>
      </c>
      <c r="J28" s="69">
        <f t="shared" si="3"/>
        <v>0.27500000000000002</v>
      </c>
      <c r="K28" s="69">
        <f t="shared" si="4"/>
        <v>0.63186813186813184</v>
      </c>
      <c r="M28" s="42"/>
    </row>
    <row r="29" spans="1:49" ht="13.15" x14ac:dyDescent="0.4">
      <c r="A29" s="57" t="s">
        <v>168</v>
      </c>
      <c r="B29">
        <v>31</v>
      </c>
      <c r="C29">
        <v>30</v>
      </c>
      <c r="D29">
        <v>28</v>
      </c>
      <c r="E29">
        <v>48</v>
      </c>
      <c r="F29">
        <v>24</v>
      </c>
      <c r="G29" s="70">
        <f t="shared" si="0"/>
        <v>4.1794929724681218</v>
      </c>
      <c r="H29" s="71">
        <f t="shared" si="1"/>
        <v>161</v>
      </c>
      <c r="I29" s="69">
        <f t="shared" si="2"/>
        <v>0.25639462659068685</v>
      </c>
      <c r="J29" s="69">
        <f t="shared" si="3"/>
        <v>0.27500000000000002</v>
      </c>
      <c r="K29" s="69">
        <f t="shared" si="4"/>
        <v>0.74534161490683237</v>
      </c>
      <c r="M29" s="42"/>
    </row>
    <row r="30" spans="1:49" ht="13.15" x14ac:dyDescent="0.4">
      <c r="A30" s="57" t="s">
        <v>169</v>
      </c>
      <c r="B30">
        <v>27</v>
      </c>
      <c r="C30">
        <v>23</v>
      </c>
      <c r="D30">
        <v>25</v>
      </c>
      <c r="E30">
        <v>43</v>
      </c>
      <c r="F30">
        <v>18</v>
      </c>
      <c r="G30" s="70">
        <f t="shared" si="0"/>
        <v>3.5305033804699661</v>
      </c>
      <c r="H30" s="71">
        <f t="shared" si="1"/>
        <v>136</v>
      </c>
      <c r="I30" s="69">
        <f t="shared" si="2"/>
        <v>0.31056929532268934</v>
      </c>
      <c r="J30" s="69">
        <f t="shared" si="3"/>
        <v>0.27500000000000002</v>
      </c>
      <c r="K30" s="69">
        <f t="shared" si="4"/>
        <v>0.91911764705882359</v>
      </c>
      <c r="M30" s="42"/>
    </row>
    <row r="31" spans="1:49" ht="13.15" x14ac:dyDescent="0.4">
      <c r="A31" s="57" t="s">
        <v>170</v>
      </c>
      <c r="B31">
        <v>25</v>
      </c>
      <c r="C31">
        <v>21</v>
      </c>
      <c r="D31">
        <v>21</v>
      </c>
      <c r="E31">
        <v>40</v>
      </c>
      <c r="F31">
        <v>16</v>
      </c>
      <c r="G31" s="70">
        <f t="shared" si="0"/>
        <v>3.1930287926309258</v>
      </c>
      <c r="H31" s="71">
        <f t="shared" si="1"/>
        <v>123.00000000000001</v>
      </c>
      <c r="I31" s="69">
        <f t="shared" si="2"/>
        <v>0.33382870191297248</v>
      </c>
      <c r="J31" s="69">
        <f t="shared" si="3"/>
        <v>0.27500000000000002</v>
      </c>
      <c r="K31" s="69">
        <f t="shared" si="4"/>
        <v>0.97560975609756084</v>
      </c>
      <c r="M31" s="42"/>
    </row>
    <row r="32" spans="1:49" ht="13.15" x14ac:dyDescent="0.4">
      <c r="A32" s="57" t="s">
        <v>171</v>
      </c>
      <c r="B32">
        <v>22</v>
      </c>
      <c r="C32">
        <v>18</v>
      </c>
      <c r="D32">
        <v>18</v>
      </c>
      <c r="E32">
        <v>34</v>
      </c>
      <c r="F32">
        <v>14</v>
      </c>
      <c r="G32" s="70">
        <f t="shared" si="0"/>
        <v>2.7517158700721795</v>
      </c>
      <c r="H32" s="71">
        <f t="shared" si="1"/>
        <v>106</v>
      </c>
      <c r="I32" s="69">
        <f t="shared" si="2"/>
        <v>0.3246160478129293</v>
      </c>
      <c r="J32" s="69">
        <f t="shared" si="3"/>
        <v>0.27500000000000002</v>
      </c>
      <c r="K32" s="69">
        <f t="shared" si="4"/>
        <v>0.94339622641509435</v>
      </c>
      <c r="M32" s="42"/>
    </row>
    <row r="33" spans="1:13" ht="13.15" x14ac:dyDescent="0.4">
      <c r="A33" s="57" t="s">
        <v>172</v>
      </c>
      <c r="B33">
        <v>21</v>
      </c>
      <c r="C33">
        <v>15</v>
      </c>
      <c r="D33">
        <v>18</v>
      </c>
      <c r="E33">
        <v>29</v>
      </c>
      <c r="F33">
        <v>10</v>
      </c>
      <c r="G33" s="70">
        <f t="shared" si="0"/>
        <v>2.4142412822331387</v>
      </c>
      <c r="H33" s="71">
        <f t="shared" si="1"/>
        <v>93</v>
      </c>
      <c r="I33" s="69">
        <f t="shared" si="2"/>
        <v>0.34104841993878937</v>
      </c>
      <c r="J33" s="69">
        <f t="shared" si="3"/>
        <v>0.27500000000000002</v>
      </c>
      <c r="K33" s="69">
        <f t="shared" si="4"/>
        <v>1.021505376344086</v>
      </c>
      <c r="M33" s="42"/>
    </row>
    <row r="34" spans="1:13" ht="13.15" x14ac:dyDescent="0.4">
      <c r="A34" s="57" t="s">
        <v>173</v>
      </c>
      <c r="B34">
        <v>19</v>
      </c>
      <c r="C34">
        <v>15</v>
      </c>
      <c r="D34">
        <v>16</v>
      </c>
      <c r="E34">
        <v>28</v>
      </c>
      <c r="F34">
        <v>9</v>
      </c>
      <c r="G34" s="70">
        <f t="shared" si="0"/>
        <v>2.2584837801535813</v>
      </c>
      <c r="H34" s="71">
        <f t="shared" si="1"/>
        <v>87</v>
      </c>
      <c r="I34" s="69">
        <f t="shared" si="2"/>
        <v>0.35724759236597825</v>
      </c>
      <c r="J34" s="69">
        <f t="shared" si="3"/>
        <v>0.27500000000000002</v>
      </c>
      <c r="K34" s="69">
        <f t="shared" si="4"/>
        <v>1.0919540229885059</v>
      </c>
      <c r="M34" s="42"/>
    </row>
    <row r="35" spans="1:13" ht="13.15" x14ac:dyDescent="0.4">
      <c r="A35" s="57" t="s">
        <v>174</v>
      </c>
      <c r="B35">
        <v>15</v>
      </c>
      <c r="C35">
        <v>10</v>
      </c>
      <c r="D35">
        <v>14</v>
      </c>
      <c r="E35">
        <v>23</v>
      </c>
      <c r="F35">
        <v>7</v>
      </c>
      <c r="G35" s="70">
        <f t="shared" si="0"/>
        <v>1.7912112739149095</v>
      </c>
      <c r="H35" s="71">
        <f t="shared" si="1"/>
        <v>69</v>
      </c>
      <c r="I35" s="69">
        <f t="shared" si="2"/>
        <v>0.39264397635200193</v>
      </c>
      <c r="J35" s="69">
        <f t="shared" si="3"/>
        <v>0.27500000000000002</v>
      </c>
      <c r="K35" s="69">
        <f t="shared" si="4"/>
        <v>1.1594202898550725</v>
      </c>
      <c r="M35" s="42"/>
    </row>
    <row r="36" spans="1:13" ht="13.15" x14ac:dyDescent="0.4">
      <c r="A36" s="57" t="s">
        <v>175</v>
      </c>
      <c r="B36">
        <v>2</v>
      </c>
      <c r="C36">
        <v>5</v>
      </c>
      <c r="D36">
        <v>5</v>
      </c>
      <c r="E36">
        <v>7</v>
      </c>
      <c r="F36">
        <v>2</v>
      </c>
      <c r="G36" s="70">
        <f t="shared" si="0"/>
        <v>0.54515125727845071</v>
      </c>
      <c r="H36" s="71">
        <f t="shared" si="1"/>
        <v>21</v>
      </c>
      <c r="I36" s="69">
        <f t="shared" si="2"/>
        <v>0.46168379594441222</v>
      </c>
      <c r="J36" s="69">
        <f t="shared" si="3"/>
        <v>0.27500000000000002</v>
      </c>
      <c r="K36" s="69">
        <f t="shared" si="4"/>
        <v>1.1904761904761905</v>
      </c>
      <c r="M36" s="42"/>
    </row>
    <row r="37" spans="1:13" ht="13.15" x14ac:dyDescent="0.4">
      <c r="A37" s="57" t="s">
        <v>176</v>
      </c>
      <c r="B37">
        <v>1</v>
      </c>
      <c r="C37">
        <v>0</v>
      </c>
      <c r="D37">
        <v>0</v>
      </c>
      <c r="E37">
        <v>3</v>
      </c>
      <c r="F37">
        <v>0</v>
      </c>
      <c r="G37" s="70">
        <f t="shared" si="0"/>
        <v>0.1038383347197049</v>
      </c>
      <c r="H37" s="71">
        <f t="shared" si="1"/>
        <v>4</v>
      </c>
      <c r="I37" s="69">
        <f t="shared" si="2"/>
        <v>1.4577379737113252</v>
      </c>
      <c r="J37" s="69">
        <f t="shared" si="3"/>
        <v>0.27500000000000002</v>
      </c>
      <c r="K37" s="69">
        <f t="shared" si="4"/>
        <v>3.75</v>
      </c>
    </row>
    <row r="38" spans="1:13" ht="13.15" x14ac:dyDescent="0.4">
      <c r="A38" s="57" t="s">
        <v>177</v>
      </c>
      <c r="B38">
        <v>0</v>
      </c>
      <c r="C38">
        <v>0</v>
      </c>
      <c r="D38">
        <v>0</v>
      </c>
      <c r="E38">
        <v>1</v>
      </c>
      <c r="F38">
        <v>0</v>
      </c>
      <c r="G38" s="70">
        <f t="shared" si="0"/>
        <v>2.5959583679926224E-2</v>
      </c>
      <c r="H38" s="71">
        <f t="shared" si="1"/>
        <v>1</v>
      </c>
      <c r="I38" s="69">
        <f t="shared" si="2"/>
        <v>2</v>
      </c>
      <c r="J38" s="69">
        <f t="shared" si="3"/>
        <v>0.27500000000000002</v>
      </c>
      <c r="K38" s="69">
        <f t="shared" si="4"/>
        <v>5</v>
      </c>
    </row>
    <row r="40" spans="1:13" x14ac:dyDescent="0.35">
      <c r="A40" t="s">
        <v>178</v>
      </c>
    </row>
    <row r="41" spans="1:13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3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2" spans="1:31" x14ac:dyDescent="0.35">
      <c r="A52" t="s">
        <v>273</v>
      </c>
      <c r="B52" t="s">
        <v>148</v>
      </c>
      <c r="C52" t="s">
        <v>149</v>
      </c>
      <c r="D52" t="s">
        <v>150</v>
      </c>
      <c r="E52" t="s">
        <v>151</v>
      </c>
      <c r="F52" t="s">
        <v>152</v>
      </c>
      <c r="G52" t="s">
        <v>153</v>
      </c>
      <c r="H52" t="s">
        <v>154</v>
      </c>
      <c r="I52" t="s">
        <v>155</v>
      </c>
      <c r="J52" t="s">
        <v>156</v>
      </c>
      <c r="K52" t="s">
        <v>157</v>
      </c>
      <c r="L52" t="s">
        <v>158</v>
      </c>
      <c r="M52" t="s">
        <v>159</v>
      </c>
      <c r="N52" t="s">
        <v>160</v>
      </c>
      <c r="O52" t="s">
        <v>161</v>
      </c>
      <c r="P52" t="s">
        <v>162</v>
      </c>
      <c r="Q52" t="s">
        <v>163</v>
      </c>
      <c r="R52" t="s">
        <v>164</v>
      </c>
      <c r="S52" t="s">
        <v>165</v>
      </c>
      <c r="T52" t="s">
        <v>166</v>
      </c>
      <c r="U52" t="s">
        <v>167</v>
      </c>
      <c r="V52" t="s">
        <v>168</v>
      </c>
      <c r="W52" t="s">
        <v>169</v>
      </c>
      <c r="X52" t="s">
        <v>170</v>
      </c>
      <c r="Y52" t="s">
        <v>171</v>
      </c>
      <c r="Z52" t="s">
        <v>172</v>
      </c>
      <c r="AA52" t="s">
        <v>173</v>
      </c>
      <c r="AB52" t="s">
        <v>174</v>
      </c>
      <c r="AC52" t="s">
        <v>175</v>
      </c>
      <c r="AD52" t="s">
        <v>176</v>
      </c>
      <c r="AE52" t="s">
        <v>177</v>
      </c>
    </row>
    <row r="53" spans="1:31" x14ac:dyDescent="0.35">
      <c r="A53">
        <v>7.4796319999999996</v>
      </c>
      <c r="B53">
        <v>31430</v>
      </c>
      <c r="C53">
        <v>16204</v>
      </c>
      <c r="D53">
        <v>7721</v>
      </c>
      <c r="E53">
        <v>3638</v>
      </c>
      <c r="F53">
        <v>1824</v>
      </c>
      <c r="G53">
        <v>925</v>
      </c>
      <c r="H53">
        <v>465</v>
      </c>
      <c r="I53">
        <v>276</v>
      </c>
      <c r="J53">
        <v>178</v>
      </c>
      <c r="K53">
        <v>139</v>
      </c>
      <c r="L53">
        <v>106</v>
      </c>
      <c r="M53">
        <v>87</v>
      </c>
      <c r="N53">
        <v>80</v>
      </c>
      <c r="O53">
        <v>71</v>
      </c>
      <c r="P53">
        <v>67</v>
      </c>
      <c r="Q53">
        <v>59</v>
      </c>
      <c r="R53">
        <v>54</v>
      </c>
      <c r="S53">
        <v>46</v>
      </c>
      <c r="T53">
        <v>44</v>
      </c>
      <c r="U53">
        <v>36</v>
      </c>
      <c r="V53">
        <v>31</v>
      </c>
      <c r="W53">
        <v>27</v>
      </c>
      <c r="X53">
        <v>25</v>
      </c>
      <c r="Y53">
        <v>22</v>
      </c>
      <c r="Z53">
        <v>21</v>
      </c>
      <c r="AA53">
        <v>19</v>
      </c>
      <c r="AB53">
        <v>15</v>
      </c>
      <c r="AC53">
        <v>2</v>
      </c>
      <c r="AD53">
        <v>1</v>
      </c>
      <c r="AE53">
        <v>0</v>
      </c>
    </row>
    <row r="54" spans="1:31" x14ac:dyDescent="0.35">
      <c r="A54">
        <v>7.8067950000000002</v>
      </c>
      <c r="B54">
        <v>33840</v>
      </c>
      <c r="C54">
        <v>17512</v>
      </c>
      <c r="D54">
        <v>8329</v>
      </c>
      <c r="E54">
        <v>3826</v>
      </c>
      <c r="F54">
        <v>1948</v>
      </c>
      <c r="G54">
        <v>980</v>
      </c>
      <c r="H54">
        <v>487</v>
      </c>
      <c r="I54">
        <v>279</v>
      </c>
      <c r="J54">
        <v>180</v>
      </c>
      <c r="K54">
        <v>125</v>
      </c>
      <c r="L54">
        <v>100</v>
      </c>
      <c r="M54">
        <v>78</v>
      </c>
      <c r="N54">
        <v>62</v>
      </c>
      <c r="O54">
        <v>56</v>
      </c>
      <c r="P54">
        <v>49</v>
      </c>
      <c r="Q54">
        <v>47</v>
      </c>
      <c r="R54">
        <v>44</v>
      </c>
      <c r="S54">
        <v>43</v>
      </c>
      <c r="T54">
        <v>41</v>
      </c>
      <c r="U54">
        <v>37</v>
      </c>
      <c r="V54">
        <v>30</v>
      </c>
      <c r="W54">
        <v>23</v>
      </c>
      <c r="X54">
        <v>21</v>
      </c>
      <c r="Y54">
        <v>18</v>
      </c>
      <c r="Z54">
        <v>15</v>
      </c>
      <c r="AA54">
        <v>15</v>
      </c>
      <c r="AB54">
        <v>10</v>
      </c>
      <c r="AC54">
        <v>5</v>
      </c>
      <c r="AD54">
        <v>0</v>
      </c>
      <c r="AE54">
        <v>0</v>
      </c>
    </row>
    <row r="55" spans="1:31" x14ac:dyDescent="0.35">
      <c r="A55">
        <v>7.7537919999999998</v>
      </c>
      <c r="B55">
        <v>33260</v>
      </c>
      <c r="C55">
        <v>17243</v>
      </c>
      <c r="D55">
        <v>8204</v>
      </c>
      <c r="E55">
        <v>3802</v>
      </c>
      <c r="F55">
        <v>1955</v>
      </c>
      <c r="G55">
        <v>947</v>
      </c>
      <c r="H55">
        <v>491</v>
      </c>
      <c r="I55">
        <v>256</v>
      </c>
      <c r="J55">
        <v>164</v>
      </c>
      <c r="K55">
        <v>114</v>
      </c>
      <c r="L55">
        <v>92</v>
      </c>
      <c r="M55">
        <v>77</v>
      </c>
      <c r="N55">
        <v>60</v>
      </c>
      <c r="O55">
        <v>56</v>
      </c>
      <c r="P55">
        <v>52</v>
      </c>
      <c r="Q55">
        <v>47</v>
      </c>
      <c r="R55">
        <v>45</v>
      </c>
      <c r="S55">
        <v>39</v>
      </c>
      <c r="T55">
        <v>34</v>
      </c>
      <c r="U55">
        <v>32</v>
      </c>
      <c r="V55">
        <v>28</v>
      </c>
      <c r="W55">
        <v>25</v>
      </c>
      <c r="X55">
        <v>21</v>
      </c>
      <c r="Y55">
        <v>18</v>
      </c>
      <c r="Z55">
        <v>18</v>
      </c>
      <c r="AA55">
        <v>16</v>
      </c>
      <c r="AB55">
        <v>14</v>
      </c>
      <c r="AC55">
        <v>5</v>
      </c>
      <c r="AD55">
        <v>0</v>
      </c>
      <c r="AE55">
        <v>0</v>
      </c>
    </row>
    <row r="56" spans="1:31" x14ac:dyDescent="0.35">
      <c r="A56">
        <v>7.7436959999999999</v>
      </c>
      <c r="B56">
        <v>33027</v>
      </c>
      <c r="C56">
        <v>16954</v>
      </c>
      <c r="D56">
        <v>7982</v>
      </c>
      <c r="E56">
        <v>3757</v>
      </c>
      <c r="F56">
        <v>1946</v>
      </c>
      <c r="G56">
        <v>987</v>
      </c>
      <c r="H56">
        <v>486</v>
      </c>
      <c r="I56">
        <v>285</v>
      </c>
      <c r="J56">
        <v>201</v>
      </c>
      <c r="K56">
        <v>150</v>
      </c>
      <c r="L56">
        <v>124</v>
      </c>
      <c r="M56">
        <v>95</v>
      </c>
      <c r="N56">
        <v>86</v>
      </c>
      <c r="O56">
        <v>78</v>
      </c>
      <c r="P56">
        <v>71</v>
      </c>
      <c r="Q56">
        <v>65</v>
      </c>
      <c r="R56">
        <v>60</v>
      </c>
      <c r="S56">
        <v>57</v>
      </c>
      <c r="T56">
        <v>55</v>
      </c>
      <c r="U56">
        <v>50</v>
      </c>
      <c r="V56">
        <v>48</v>
      </c>
      <c r="W56">
        <v>43</v>
      </c>
      <c r="X56">
        <v>40</v>
      </c>
      <c r="Y56">
        <v>34</v>
      </c>
      <c r="Z56">
        <v>29</v>
      </c>
      <c r="AA56">
        <v>28</v>
      </c>
      <c r="AB56">
        <v>23</v>
      </c>
      <c r="AC56">
        <v>7</v>
      </c>
      <c r="AD56">
        <v>3</v>
      </c>
      <c r="AE56">
        <v>1</v>
      </c>
    </row>
    <row r="57" spans="1:31" x14ac:dyDescent="0.35">
      <c r="A57">
        <v>7.7375040000000004</v>
      </c>
      <c r="B57">
        <v>32256</v>
      </c>
      <c r="C57">
        <v>16813</v>
      </c>
      <c r="D57">
        <v>8065</v>
      </c>
      <c r="E57">
        <v>3751</v>
      </c>
      <c r="F57">
        <v>1890</v>
      </c>
      <c r="G57">
        <v>909</v>
      </c>
      <c r="H57">
        <v>447</v>
      </c>
      <c r="I57">
        <v>243</v>
      </c>
      <c r="J57">
        <v>164</v>
      </c>
      <c r="K57">
        <v>112</v>
      </c>
      <c r="L57">
        <v>92</v>
      </c>
      <c r="M57">
        <v>77</v>
      </c>
      <c r="N57">
        <v>69</v>
      </c>
      <c r="O57">
        <v>58</v>
      </c>
      <c r="P57">
        <v>51</v>
      </c>
      <c r="Q57">
        <v>47</v>
      </c>
      <c r="R57">
        <v>45</v>
      </c>
      <c r="S57">
        <v>42</v>
      </c>
      <c r="T57">
        <v>35</v>
      </c>
      <c r="U57">
        <v>27</v>
      </c>
      <c r="V57">
        <v>24</v>
      </c>
      <c r="W57">
        <v>18</v>
      </c>
      <c r="X57">
        <v>16</v>
      </c>
      <c r="Y57">
        <v>14</v>
      </c>
      <c r="Z57">
        <v>10</v>
      </c>
      <c r="AA57">
        <v>9</v>
      </c>
      <c r="AB57">
        <v>7</v>
      </c>
      <c r="AC57">
        <v>2</v>
      </c>
      <c r="AD57">
        <v>0</v>
      </c>
      <c r="AE57">
        <v>0</v>
      </c>
    </row>
    <row r="58" spans="1:31" x14ac:dyDescent="0.35">
      <c r="A58">
        <v>7.4862900000000003</v>
      </c>
      <c r="B58">
        <v>32094</v>
      </c>
      <c r="C58">
        <v>16651</v>
      </c>
      <c r="D58">
        <v>7906</v>
      </c>
      <c r="E58">
        <v>3798</v>
      </c>
      <c r="F58">
        <v>1998</v>
      </c>
      <c r="G58">
        <v>992</v>
      </c>
      <c r="H58">
        <v>472</v>
      </c>
      <c r="I58">
        <v>264</v>
      </c>
      <c r="J58">
        <v>169</v>
      </c>
      <c r="K58">
        <v>120</v>
      </c>
      <c r="L58">
        <v>87</v>
      </c>
      <c r="M58">
        <v>74</v>
      </c>
      <c r="N58">
        <v>69</v>
      </c>
      <c r="O58">
        <v>57</v>
      </c>
      <c r="P58">
        <v>48</v>
      </c>
      <c r="Q58">
        <v>41</v>
      </c>
      <c r="R58">
        <v>39</v>
      </c>
      <c r="S58">
        <v>36</v>
      </c>
      <c r="T58">
        <v>33</v>
      </c>
      <c r="U58">
        <v>29</v>
      </c>
      <c r="V58">
        <v>26</v>
      </c>
      <c r="W58">
        <v>21</v>
      </c>
      <c r="X58">
        <v>20</v>
      </c>
      <c r="Y58">
        <v>18</v>
      </c>
      <c r="Z58">
        <v>16</v>
      </c>
      <c r="AA58">
        <v>15</v>
      </c>
      <c r="AB58">
        <v>13</v>
      </c>
      <c r="AC58">
        <v>3</v>
      </c>
      <c r="AD58">
        <v>0</v>
      </c>
      <c r="AE58">
        <v>0</v>
      </c>
    </row>
    <row r="59" spans="1:31" x14ac:dyDescent="0.35">
      <c r="A59">
        <v>7.7992840000000001</v>
      </c>
      <c r="B59">
        <v>34154</v>
      </c>
      <c r="C59">
        <v>17792</v>
      </c>
      <c r="D59">
        <v>8459</v>
      </c>
      <c r="E59">
        <v>4062</v>
      </c>
      <c r="F59">
        <v>2070</v>
      </c>
      <c r="G59">
        <v>1075</v>
      </c>
      <c r="H59">
        <v>540</v>
      </c>
      <c r="I59">
        <v>302</v>
      </c>
      <c r="J59">
        <v>192</v>
      </c>
      <c r="K59">
        <v>147</v>
      </c>
      <c r="L59">
        <v>111</v>
      </c>
      <c r="M59">
        <v>91</v>
      </c>
      <c r="N59">
        <v>78</v>
      </c>
      <c r="O59">
        <v>64</v>
      </c>
      <c r="P59">
        <v>57</v>
      </c>
      <c r="Q59">
        <v>53</v>
      </c>
      <c r="R59">
        <v>49</v>
      </c>
      <c r="S59">
        <v>43</v>
      </c>
      <c r="T59">
        <v>41</v>
      </c>
      <c r="U59">
        <v>38</v>
      </c>
      <c r="V59">
        <v>36</v>
      </c>
      <c r="W59">
        <v>32</v>
      </c>
      <c r="X59">
        <v>29</v>
      </c>
      <c r="Y59">
        <v>27</v>
      </c>
      <c r="Z59">
        <v>25</v>
      </c>
      <c r="AA59">
        <v>23</v>
      </c>
      <c r="AB59">
        <v>20</v>
      </c>
      <c r="AC59">
        <v>6</v>
      </c>
      <c r="AD59">
        <v>3</v>
      </c>
      <c r="AE59">
        <v>1</v>
      </c>
    </row>
    <row r="60" spans="1:31" x14ac:dyDescent="0.35">
      <c r="A60">
        <v>7.7945200000000003</v>
      </c>
      <c r="B60">
        <v>33470</v>
      </c>
      <c r="C60">
        <v>17264</v>
      </c>
      <c r="D60">
        <v>8365</v>
      </c>
      <c r="E60">
        <v>3930</v>
      </c>
      <c r="F60">
        <v>2051</v>
      </c>
      <c r="G60">
        <v>1010</v>
      </c>
      <c r="H60">
        <v>492</v>
      </c>
      <c r="I60">
        <v>264</v>
      </c>
      <c r="J60">
        <v>177</v>
      </c>
      <c r="K60">
        <v>133</v>
      </c>
      <c r="L60">
        <v>105</v>
      </c>
      <c r="M60">
        <v>88</v>
      </c>
      <c r="N60">
        <v>74</v>
      </c>
      <c r="O60">
        <v>67</v>
      </c>
      <c r="P60">
        <v>57</v>
      </c>
      <c r="Q60">
        <v>52</v>
      </c>
      <c r="R60">
        <v>49</v>
      </c>
      <c r="S60">
        <v>47</v>
      </c>
      <c r="T60">
        <v>42</v>
      </c>
      <c r="U60">
        <v>36</v>
      </c>
      <c r="V60">
        <v>34</v>
      </c>
      <c r="W60">
        <v>29</v>
      </c>
      <c r="X60">
        <v>27</v>
      </c>
      <c r="Y60">
        <v>24</v>
      </c>
      <c r="Z60">
        <v>21</v>
      </c>
      <c r="AA60">
        <v>19</v>
      </c>
      <c r="AB60">
        <v>19</v>
      </c>
      <c r="AC60">
        <v>4</v>
      </c>
      <c r="AD60">
        <v>1</v>
      </c>
      <c r="AE60">
        <v>0</v>
      </c>
    </row>
    <row r="61" spans="1:31" x14ac:dyDescent="0.35">
      <c r="A61">
        <v>7.8289809999999997</v>
      </c>
      <c r="B61">
        <v>33536</v>
      </c>
      <c r="C61">
        <v>17436</v>
      </c>
      <c r="D61">
        <v>8382</v>
      </c>
      <c r="E61">
        <v>3946</v>
      </c>
      <c r="F61">
        <v>1992</v>
      </c>
      <c r="G61">
        <v>1038</v>
      </c>
      <c r="H61">
        <v>486</v>
      </c>
      <c r="I61">
        <v>279</v>
      </c>
      <c r="J61">
        <v>189</v>
      </c>
      <c r="K61">
        <v>147</v>
      </c>
      <c r="L61">
        <v>115</v>
      </c>
      <c r="M61">
        <v>92</v>
      </c>
      <c r="N61">
        <v>79</v>
      </c>
      <c r="O61">
        <v>70</v>
      </c>
      <c r="P61">
        <v>61</v>
      </c>
      <c r="Q61">
        <v>53</v>
      </c>
      <c r="R61">
        <v>46</v>
      </c>
      <c r="S61">
        <v>42</v>
      </c>
      <c r="T61">
        <v>35</v>
      </c>
      <c r="U61">
        <v>30</v>
      </c>
      <c r="V61">
        <v>25</v>
      </c>
      <c r="W61">
        <v>18</v>
      </c>
      <c r="X61">
        <v>18</v>
      </c>
      <c r="Y61">
        <v>13</v>
      </c>
      <c r="Z61">
        <v>12</v>
      </c>
      <c r="AA61">
        <v>11</v>
      </c>
      <c r="AB61">
        <v>8</v>
      </c>
      <c r="AC61">
        <v>2</v>
      </c>
      <c r="AD61">
        <v>0</v>
      </c>
      <c r="AE61">
        <v>0</v>
      </c>
    </row>
    <row r="62" spans="1:31" x14ac:dyDescent="0.35">
      <c r="A62">
        <v>7.8209119999999999</v>
      </c>
      <c r="B62">
        <v>32727</v>
      </c>
      <c r="C62">
        <v>17065</v>
      </c>
      <c r="D62">
        <v>8213</v>
      </c>
      <c r="E62">
        <v>3796</v>
      </c>
      <c r="F62">
        <v>1925</v>
      </c>
      <c r="G62">
        <v>935</v>
      </c>
      <c r="H62">
        <v>474</v>
      </c>
      <c r="I62">
        <v>269</v>
      </c>
      <c r="J62">
        <v>183</v>
      </c>
      <c r="K62">
        <v>135</v>
      </c>
      <c r="L62">
        <v>111</v>
      </c>
      <c r="M62">
        <v>92</v>
      </c>
      <c r="N62">
        <v>77</v>
      </c>
      <c r="O62">
        <v>69</v>
      </c>
      <c r="P62">
        <v>62</v>
      </c>
      <c r="Q62">
        <v>59</v>
      </c>
      <c r="R62">
        <v>55</v>
      </c>
      <c r="S62">
        <v>50</v>
      </c>
      <c r="T62">
        <v>47</v>
      </c>
      <c r="U62">
        <v>41</v>
      </c>
      <c r="V62">
        <v>38</v>
      </c>
      <c r="W62">
        <v>34</v>
      </c>
      <c r="X62">
        <v>29</v>
      </c>
      <c r="Y62">
        <v>25</v>
      </c>
      <c r="Z62">
        <v>21</v>
      </c>
      <c r="AA62">
        <v>17</v>
      </c>
      <c r="AB62">
        <v>16</v>
      </c>
      <c r="AC62">
        <v>3</v>
      </c>
      <c r="AD62">
        <v>1</v>
      </c>
      <c r="AE62">
        <v>0</v>
      </c>
    </row>
    <row r="63" spans="1:31" x14ac:dyDescent="0.35">
      <c r="A63">
        <v>7.4696879999999997</v>
      </c>
      <c r="B63">
        <v>31318</v>
      </c>
      <c r="C63">
        <v>16382</v>
      </c>
      <c r="D63">
        <v>7816</v>
      </c>
      <c r="E63">
        <v>3732</v>
      </c>
      <c r="F63">
        <v>1903</v>
      </c>
      <c r="G63">
        <v>920</v>
      </c>
      <c r="H63">
        <v>463</v>
      </c>
      <c r="I63">
        <v>256</v>
      </c>
      <c r="J63">
        <v>164</v>
      </c>
      <c r="K63">
        <v>113</v>
      </c>
      <c r="L63">
        <v>94</v>
      </c>
      <c r="M63">
        <v>81</v>
      </c>
      <c r="N63">
        <v>72</v>
      </c>
      <c r="O63">
        <v>65</v>
      </c>
      <c r="P63">
        <v>55</v>
      </c>
      <c r="Q63">
        <v>52</v>
      </c>
      <c r="R63">
        <v>44</v>
      </c>
      <c r="S63">
        <v>41</v>
      </c>
      <c r="T63">
        <v>35</v>
      </c>
      <c r="U63">
        <v>32</v>
      </c>
      <c r="V63">
        <v>28</v>
      </c>
      <c r="W63">
        <v>26</v>
      </c>
      <c r="X63">
        <v>24</v>
      </c>
      <c r="Y63">
        <v>22</v>
      </c>
      <c r="Z63">
        <v>19</v>
      </c>
      <c r="AA63">
        <v>16</v>
      </c>
      <c r="AB63">
        <v>15</v>
      </c>
      <c r="AC63">
        <v>3</v>
      </c>
      <c r="AD63">
        <v>0</v>
      </c>
      <c r="AE63">
        <v>0</v>
      </c>
    </row>
    <row r="64" spans="1:31" x14ac:dyDescent="0.35">
      <c r="A64">
        <v>7.8009170000000001</v>
      </c>
      <c r="B64">
        <v>32746</v>
      </c>
      <c r="C64">
        <v>16983</v>
      </c>
      <c r="D64">
        <v>8083</v>
      </c>
      <c r="E64">
        <v>3761</v>
      </c>
      <c r="F64">
        <v>1900</v>
      </c>
      <c r="G64">
        <v>922</v>
      </c>
      <c r="H64">
        <v>437</v>
      </c>
      <c r="I64">
        <v>247</v>
      </c>
      <c r="J64">
        <v>160</v>
      </c>
      <c r="K64">
        <v>115</v>
      </c>
      <c r="L64">
        <v>90</v>
      </c>
      <c r="M64">
        <v>72</v>
      </c>
      <c r="N64">
        <v>61</v>
      </c>
      <c r="O64">
        <v>58</v>
      </c>
      <c r="P64">
        <v>48</v>
      </c>
      <c r="Q64">
        <v>45</v>
      </c>
      <c r="R64">
        <v>38</v>
      </c>
      <c r="S64">
        <v>37</v>
      </c>
      <c r="T64">
        <v>28</v>
      </c>
      <c r="U64">
        <v>21</v>
      </c>
      <c r="V64">
        <v>18</v>
      </c>
      <c r="W64">
        <v>16</v>
      </c>
      <c r="X64">
        <v>14</v>
      </c>
      <c r="Y64">
        <v>12</v>
      </c>
      <c r="Z64">
        <v>11</v>
      </c>
      <c r="AA64">
        <v>9</v>
      </c>
      <c r="AB64">
        <v>8</v>
      </c>
      <c r="AC64">
        <v>2</v>
      </c>
      <c r="AD64">
        <v>0</v>
      </c>
      <c r="AE64">
        <v>0</v>
      </c>
    </row>
    <row r="65" spans="1:31" x14ac:dyDescent="0.35">
      <c r="A65">
        <v>7.7647510000000004</v>
      </c>
      <c r="B65">
        <v>32772</v>
      </c>
      <c r="C65">
        <v>17045</v>
      </c>
      <c r="D65">
        <v>8118</v>
      </c>
      <c r="E65">
        <v>3799</v>
      </c>
      <c r="F65">
        <v>1945</v>
      </c>
      <c r="G65">
        <v>981</v>
      </c>
      <c r="H65">
        <v>446</v>
      </c>
      <c r="I65">
        <v>249</v>
      </c>
      <c r="J65">
        <v>164</v>
      </c>
      <c r="K65">
        <v>113</v>
      </c>
      <c r="L65">
        <v>96</v>
      </c>
      <c r="M65">
        <v>83</v>
      </c>
      <c r="N65">
        <v>74</v>
      </c>
      <c r="O65">
        <v>66</v>
      </c>
      <c r="P65">
        <v>59</v>
      </c>
      <c r="Q65">
        <v>54</v>
      </c>
      <c r="R65">
        <v>49</v>
      </c>
      <c r="S65">
        <v>46</v>
      </c>
      <c r="T65">
        <v>40</v>
      </c>
      <c r="U65">
        <v>33</v>
      </c>
      <c r="V65">
        <v>28</v>
      </c>
      <c r="W65">
        <v>27</v>
      </c>
      <c r="X65">
        <v>25</v>
      </c>
      <c r="Y65">
        <v>24</v>
      </c>
      <c r="Z65">
        <v>24</v>
      </c>
      <c r="AA65">
        <v>21</v>
      </c>
      <c r="AB65">
        <v>18</v>
      </c>
      <c r="AC65">
        <v>4</v>
      </c>
      <c r="AD65">
        <v>0</v>
      </c>
      <c r="AE65">
        <v>0</v>
      </c>
    </row>
    <row r="66" spans="1:31" x14ac:dyDescent="0.35">
      <c r="A66">
        <v>7.8703560000000001</v>
      </c>
      <c r="B66">
        <v>33542</v>
      </c>
      <c r="C66">
        <v>17417</v>
      </c>
      <c r="D66">
        <v>8380</v>
      </c>
      <c r="E66">
        <v>3961</v>
      </c>
      <c r="F66">
        <v>2051</v>
      </c>
      <c r="G66">
        <v>1027</v>
      </c>
      <c r="H66">
        <v>509</v>
      </c>
      <c r="I66">
        <v>257</v>
      </c>
      <c r="J66">
        <v>171</v>
      </c>
      <c r="K66">
        <v>122</v>
      </c>
      <c r="L66">
        <v>100</v>
      </c>
      <c r="M66">
        <v>86</v>
      </c>
      <c r="N66">
        <v>77</v>
      </c>
      <c r="O66">
        <v>66</v>
      </c>
      <c r="P66">
        <v>63</v>
      </c>
      <c r="Q66">
        <v>60</v>
      </c>
      <c r="R66">
        <v>55</v>
      </c>
      <c r="S66">
        <v>49</v>
      </c>
      <c r="T66">
        <v>46</v>
      </c>
      <c r="U66">
        <v>41</v>
      </c>
      <c r="V66">
        <v>38</v>
      </c>
      <c r="W66">
        <v>34</v>
      </c>
      <c r="X66">
        <v>30</v>
      </c>
      <c r="Y66">
        <v>26</v>
      </c>
      <c r="Z66">
        <v>23</v>
      </c>
      <c r="AA66">
        <v>22</v>
      </c>
      <c r="AB66">
        <v>20</v>
      </c>
      <c r="AC66">
        <v>5</v>
      </c>
      <c r="AD66">
        <v>0</v>
      </c>
      <c r="AE66">
        <v>0</v>
      </c>
    </row>
    <row r="67" spans="1:31" x14ac:dyDescent="0.35">
      <c r="A67">
        <v>7.852576</v>
      </c>
      <c r="B67">
        <v>31934</v>
      </c>
      <c r="C67">
        <v>16660</v>
      </c>
      <c r="D67">
        <v>8068</v>
      </c>
      <c r="E67">
        <v>3843</v>
      </c>
      <c r="F67">
        <v>2018</v>
      </c>
      <c r="G67">
        <v>987</v>
      </c>
      <c r="H67">
        <v>504</v>
      </c>
      <c r="I67">
        <v>272</v>
      </c>
      <c r="J67">
        <v>173</v>
      </c>
      <c r="K67">
        <v>123</v>
      </c>
      <c r="L67">
        <v>100</v>
      </c>
      <c r="M67">
        <v>91</v>
      </c>
      <c r="N67">
        <v>81</v>
      </c>
      <c r="O67">
        <v>78</v>
      </c>
      <c r="P67">
        <v>74</v>
      </c>
      <c r="Q67">
        <v>63</v>
      </c>
      <c r="R67">
        <v>54</v>
      </c>
      <c r="S67">
        <v>51</v>
      </c>
      <c r="T67">
        <v>47</v>
      </c>
      <c r="U67">
        <v>42</v>
      </c>
      <c r="V67">
        <v>38</v>
      </c>
      <c r="W67">
        <v>35</v>
      </c>
      <c r="X67">
        <v>31</v>
      </c>
      <c r="Y67">
        <v>30</v>
      </c>
      <c r="Z67">
        <v>27</v>
      </c>
      <c r="AA67">
        <v>26</v>
      </c>
      <c r="AB67">
        <v>22</v>
      </c>
      <c r="AC67">
        <v>3</v>
      </c>
      <c r="AD67">
        <v>1</v>
      </c>
      <c r="AE67">
        <v>0</v>
      </c>
    </row>
    <row r="71" spans="1:31" x14ac:dyDescent="0.35">
      <c r="H71" s="42"/>
      <c r="J71" s="42"/>
    </row>
    <row r="72" spans="1:31" x14ac:dyDescent="0.35">
      <c r="G72" s="42"/>
      <c r="H72" s="42"/>
      <c r="I72" s="42"/>
      <c r="J72" s="42"/>
    </row>
    <row r="73" spans="1:31" ht="13.15" x14ac:dyDescent="0.4">
      <c r="A73" s="8"/>
    </row>
    <row r="77" spans="1:31" x14ac:dyDescent="0.35">
      <c r="H77" s="72"/>
      <c r="J77" s="72"/>
    </row>
    <row r="78" spans="1:31" ht="13.15" x14ac:dyDescent="0.4">
      <c r="A78" s="8"/>
      <c r="H78" s="111"/>
      <c r="J78" s="111"/>
    </row>
    <row r="79" spans="1:31" ht="13.15" x14ac:dyDescent="0.4">
      <c r="K79" s="55"/>
    </row>
  </sheetData>
  <conditionalFormatting sqref="H9:H40">
    <cfRule type="cellIs" dxfId="9" priority="2" operator="greaterThan">
      <formula>1000</formula>
    </cfRule>
  </conditionalFormatting>
  <conditionalFormatting sqref="K9:K38">
    <cfRule type="cellIs" dxfId="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85" zoomScaleNormal="85" workbookViewId="0">
      <selection activeCell="B8" sqref="B8:F38"/>
    </sheetView>
  </sheetViews>
  <sheetFormatPr defaultColWidth="11.53125" defaultRowHeight="12.75" x14ac:dyDescent="0.35"/>
  <sheetData>
    <row r="1" spans="1:49" x14ac:dyDescent="0.35">
      <c r="A1" t="s">
        <v>269</v>
      </c>
    </row>
    <row r="2" spans="1:49" ht="40.15" x14ac:dyDescent="1.05">
      <c r="O2" s="65"/>
    </row>
    <row r="4" spans="1:49" ht="40.15" x14ac:dyDescent="1.05">
      <c r="A4" s="8" t="s">
        <v>28</v>
      </c>
      <c r="O4" s="65" t="s">
        <v>97</v>
      </c>
    </row>
    <row r="5" spans="1:49" x14ac:dyDescent="0.35">
      <c r="O5" s="29">
        <v>45831</v>
      </c>
    </row>
    <row r="6" spans="1:49" ht="13.15" x14ac:dyDescent="0.4">
      <c r="A6" t="s">
        <v>271</v>
      </c>
      <c r="B6" s="8"/>
      <c r="C6" s="8"/>
      <c r="D6" s="8"/>
      <c r="E6" s="8"/>
      <c r="F6" s="8"/>
      <c r="O6" t="s">
        <v>272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M7" s="55"/>
    </row>
    <row r="8" spans="1:49" ht="13.15" x14ac:dyDescent="0.4">
      <c r="A8" s="57" t="s">
        <v>147</v>
      </c>
      <c r="B8">
        <v>7.4862900000000003</v>
      </c>
      <c r="C8">
        <v>7.7992840000000001</v>
      </c>
      <c r="D8">
        <v>7.7945200000000003</v>
      </c>
      <c r="E8">
        <v>7.8289809999999997</v>
      </c>
      <c r="F8">
        <v>7.8209119999999999</v>
      </c>
      <c r="G8" s="68">
        <v>25.517626</v>
      </c>
      <c r="H8" s="68">
        <f>AVERAGE(B$8:F$8)*5</f>
        <v>38.729987000000001</v>
      </c>
      <c r="I8" s="69"/>
      <c r="K8" s="69"/>
    </row>
    <row r="9" spans="1:49" ht="13.15" x14ac:dyDescent="0.4">
      <c r="A9" s="73" t="s">
        <v>148</v>
      </c>
      <c r="B9">
        <v>32094</v>
      </c>
      <c r="C9">
        <v>34154</v>
      </c>
      <c r="D9">
        <v>33470</v>
      </c>
      <c r="E9">
        <v>33536</v>
      </c>
      <c r="F9">
        <v>32727</v>
      </c>
      <c r="G9" s="105">
        <f t="shared" ref="G9:G38" si="0">AVERAGE(B9:F9)/AVERAGE(B$8:F$8)</f>
        <v>4285.594002394062</v>
      </c>
      <c r="H9" s="106">
        <f t="shared" ref="H9:H38" si="1">G9*H$8</f>
        <v>165981</v>
      </c>
      <c r="I9" s="107">
        <f t="shared" ref="I9:I38" si="2">STDEVP(B9:F9)/AVERAGE(B9:F9)</f>
        <v>2.148241671036346E-2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6.2055295485627875E-2</v>
      </c>
      <c r="M9" s="42"/>
    </row>
    <row r="10" spans="1:49" ht="13.15" x14ac:dyDescent="0.4">
      <c r="A10" s="57" t="s">
        <v>149</v>
      </c>
      <c r="B10">
        <v>16651</v>
      </c>
      <c r="C10">
        <v>17792</v>
      </c>
      <c r="D10">
        <v>17264</v>
      </c>
      <c r="E10">
        <v>17436</v>
      </c>
      <c r="F10">
        <v>17065</v>
      </c>
      <c r="G10" s="70">
        <f t="shared" si="0"/>
        <v>2225.8721646356348</v>
      </c>
      <c r="H10" s="71">
        <f t="shared" si="1"/>
        <v>86208</v>
      </c>
      <c r="I10" s="69">
        <f t="shared" si="2"/>
        <v>2.2027950058449725E-2</v>
      </c>
      <c r="J10" s="69">
        <f t="shared" si="3"/>
        <v>0.11</v>
      </c>
      <c r="K10" s="69">
        <f t="shared" si="4"/>
        <v>6.617715293244246E-2</v>
      </c>
      <c r="M10" s="42"/>
    </row>
    <row r="11" spans="1:49" ht="13.15" x14ac:dyDescent="0.4">
      <c r="A11" s="57" t="s">
        <v>150</v>
      </c>
      <c r="B11">
        <v>7906</v>
      </c>
      <c r="C11">
        <v>8459</v>
      </c>
      <c r="D11">
        <v>8365</v>
      </c>
      <c r="E11">
        <v>8382</v>
      </c>
      <c r="F11">
        <v>8213</v>
      </c>
      <c r="G11" s="70">
        <f t="shared" si="0"/>
        <v>1067.0026819270556</v>
      </c>
      <c r="H11" s="71">
        <f t="shared" si="1"/>
        <v>41325</v>
      </c>
      <c r="I11" s="69">
        <f t="shared" si="2"/>
        <v>2.3765639795325554E-2</v>
      </c>
      <c r="J11" s="69">
        <f t="shared" si="3"/>
        <v>0.11</v>
      </c>
      <c r="K11" s="69">
        <f t="shared" si="4"/>
        <v>6.6908650937689051E-2</v>
      </c>
      <c r="M11" s="42"/>
    </row>
    <row r="12" spans="1:49" ht="13.15" x14ac:dyDescent="0.4">
      <c r="A12" s="57" t="s">
        <v>151</v>
      </c>
      <c r="B12">
        <v>3798</v>
      </c>
      <c r="C12">
        <v>4062</v>
      </c>
      <c r="D12">
        <v>3930</v>
      </c>
      <c r="E12">
        <v>3946</v>
      </c>
      <c r="F12">
        <v>3796</v>
      </c>
      <c r="G12" s="70">
        <f t="shared" si="0"/>
        <v>504.31207219356929</v>
      </c>
      <c r="H12" s="71">
        <f t="shared" si="1"/>
        <v>19532</v>
      </c>
      <c r="I12" s="69">
        <f t="shared" si="2"/>
        <v>2.5669368821253081E-2</v>
      </c>
      <c r="J12" s="69">
        <f t="shared" si="3"/>
        <v>0.11</v>
      </c>
      <c r="K12" s="69">
        <f t="shared" si="4"/>
        <v>6.809338521400779E-2</v>
      </c>
      <c r="M12" s="42"/>
    </row>
    <row r="13" spans="1:49" ht="13.15" x14ac:dyDescent="0.4">
      <c r="A13" s="57" t="s">
        <v>152</v>
      </c>
      <c r="B13">
        <v>1998</v>
      </c>
      <c r="C13">
        <v>2070</v>
      </c>
      <c r="D13">
        <v>2051</v>
      </c>
      <c r="E13">
        <v>1992</v>
      </c>
      <c r="F13">
        <v>1925</v>
      </c>
      <c r="G13" s="70">
        <f t="shared" si="0"/>
        <v>259.12737848324088</v>
      </c>
      <c r="H13" s="71">
        <f t="shared" si="1"/>
        <v>10036</v>
      </c>
      <c r="I13" s="69">
        <f t="shared" si="2"/>
        <v>2.5339859847576016E-2</v>
      </c>
      <c r="J13" s="69">
        <f t="shared" si="3"/>
        <v>0.11</v>
      </c>
      <c r="K13" s="69">
        <f t="shared" si="4"/>
        <v>7.2239936229573531E-2</v>
      </c>
      <c r="M13" s="42"/>
    </row>
    <row r="14" spans="1:49" ht="13.15" x14ac:dyDescent="0.4">
      <c r="A14" s="77" t="s">
        <v>153</v>
      </c>
      <c r="B14">
        <v>992</v>
      </c>
      <c r="C14">
        <v>1075</v>
      </c>
      <c r="D14">
        <v>1010</v>
      </c>
      <c r="E14">
        <v>1038</v>
      </c>
      <c r="F14">
        <v>935</v>
      </c>
      <c r="G14" s="108">
        <f t="shared" si="0"/>
        <v>130.38992241334859</v>
      </c>
      <c r="H14" s="109">
        <f t="shared" si="1"/>
        <v>5049.9999999999991</v>
      </c>
      <c r="I14" s="110">
        <f t="shared" si="2"/>
        <v>4.6351017484842848E-2</v>
      </c>
      <c r="J14" s="110">
        <f t="shared" si="3"/>
        <v>0.113</v>
      </c>
      <c r="K14" s="110">
        <f t="shared" si="4"/>
        <v>0.13861386138613863</v>
      </c>
      <c r="M14" s="42"/>
    </row>
    <row r="15" spans="1:49" ht="13.15" x14ac:dyDescent="0.4">
      <c r="A15" s="57" t="s">
        <v>154</v>
      </c>
      <c r="B15">
        <v>472</v>
      </c>
      <c r="C15">
        <v>540</v>
      </c>
      <c r="D15">
        <v>492</v>
      </c>
      <c r="E15">
        <v>486</v>
      </c>
      <c r="F15">
        <v>474</v>
      </c>
      <c r="G15" s="70">
        <f t="shared" si="0"/>
        <v>63.619954223067516</v>
      </c>
      <c r="H15" s="71">
        <f t="shared" si="1"/>
        <v>2464</v>
      </c>
      <c r="I15" s="69">
        <f t="shared" si="2"/>
        <v>5.0206711344779595E-2</v>
      </c>
      <c r="J15" s="69">
        <f t="shared" si="3"/>
        <v>0.11900000000000001</v>
      </c>
      <c r="K15" s="69">
        <f t="shared" si="4"/>
        <v>0.13798701298701299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>
        <v>264</v>
      </c>
      <c r="C16">
        <v>302</v>
      </c>
      <c r="D16">
        <v>264</v>
      </c>
      <c r="E16">
        <v>279</v>
      </c>
      <c r="F16">
        <v>269</v>
      </c>
      <c r="G16" s="70">
        <f t="shared" si="0"/>
        <v>35.57966595754344</v>
      </c>
      <c r="H16" s="71">
        <f t="shared" si="1"/>
        <v>1378</v>
      </c>
      <c r="I16" s="69">
        <f t="shared" si="2"/>
        <v>5.1855065558635255E-2</v>
      </c>
      <c r="J16" s="69">
        <f t="shared" si="3"/>
        <v>0.13400000000000001</v>
      </c>
      <c r="K16" s="69">
        <f t="shared" si="4"/>
        <v>0.13788098693759071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>
        <v>169</v>
      </c>
      <c r="C17">
        <v>192</v>
      </c>
      <c r="D17">
        <v>177</v>
      </c>
      <c r="E17">
        <v>189</v>
      </c>
      <c r="F17">
        <v>183</v>
      </c>
      <c r="G17" s="70">
        <f t="shared" si="0"/>
        <v>23.496005821019253</v>
      </c>
      <c r="H17" s="71">
        <f t="shared" si="1"/>
        <v>910</v>
      </c>
      <c r="I17" s="69">
        <f t="shared" si="2"/>
        <v>4.5574596380940045E-2</v>
      </c>
      <c r="J17" s="69">
        <f t="shared" si="3"/>
        <v>0.156</v>
      </c>
      <c r="K17" s="69">
        <f t="shared" si="4"/>
        <v>0.12637362637362637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>
        <v>120</v>
      </c>
      <c r="C18">
        <v>147</v>
      </c>
      <c r="D18">
        <v>133</v>
      </c>
      <c r="E18">
        <v>147</v>
      </c>
      <c r="F18">
        <v>135</v>
      </c>
      <c r="G18" s="70">
        <f t="shared" si="0"/>
        <v>17.609094472456189</v>
      </c>
      <c r="H18" s="71">
        <f t="shared" si="1"/>
        <v>682.00000000000011</v>
      </c>
      <c r="I18" s="69">
        <f t="shared" si="2"/>
        <v>7.3839755495684306E-2</v>
      </c>
      <c r="J18" s="69">
        <f t="shared" si="3"/>
        <v>0.156</v>
      </c>
      <c r="K18" s="69">
        <f t="shared" si="4"/>
        <v>0.1979472140762463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>
        <v>87</v>
      </c>
      <c r="C19">
        <v>111</v>
      </c>
      <c r="D19">
        <v>105</v>
      </c>
      <c r="E19">
        <v>115</v>
      </c>
      <c r="F19">
        <v>111</v>
      </c>
      <c r="G19" s="70">
        <f t="shared" si="0"/>
        <v>13.658667120130971</v>
      </c>
      <c r="H19" s="71">
        <f t="shared" si="1"/>
        <v>529</v>
      </c>
      <c r="I19" s="69">
        <f t="shared" si="2"/>
        <v>9.3834961406358081E-2</v>
      </c>
      <c r="J19" s="69">
        <f t="shared" si="3"/>
        <v>0.156</v>
      </c>
      <c r="K19" s="69">
        <f t="shared" si="4"/>
        <v>0.26465028355387521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>
        <v>74</v>
      </c>
      <c r="C20">
        <v>91</v>
      </c>
      <c r="D20">
        <v>88</v>
      </c>
      <c r="E20">
        <v>92</v>
      </c>
      <c r="F20">
        <v>92</v>
      </c>
      <c r="G20" s="70">
        <f t="shared" si="0"/>
        <v>11.283246751412543</v>
      </c>
      <c r="H20" s="71">
        <f t="shared" si="1"/>
        <v>437.00000000000006</v>
      </c>
      <c r="I20" s="69">
        <f t="shared" si="2"/>
        <v>7.8473355604037731E-2</v>
      </c>
      <c r="J20" s="69">
        <f t="shared" si="3"/>
        <v>0.193</v>
      </c>
      <c r="K20" s="69">
        <f t="shared" si="4"/>
        <v>0.20594965675057203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>
        <v>69</v>
      </c>
      <c r="C21">
        <v>78</v>
      </c>
      <c r="D21">
        <v>74</v>
      </c>
      <c r="E21">
        <v>79</v>
      </c>
      <c r="F21">
        <v>77</v>
      </c>
      <c r="G21" s="70">
        <f t="shared" si="0"/>
        <v>9.734059554422263</v>
      </c>
      <c r="H21" s="71">
        <f t="shared" si="1"/>
        <v>377.00000000000006</v>
      </c>
      <c r="I21" s="69">
        <f t="shared" si="2"/>
        <v>4.7892493594874769E-2</v>
      </c>
      <c r="J21" s="69">
        <f t="shared" si="3"/>
        <v>0.193</v>
      </c>
      <c r="K21" s="69">
        <f t="shared" si="4"/>
        <v>0.13262599469496017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>
        <v>57</v>
      </c>
      <c r="C22">
        <v>64</v>
      </c>
      <c r="D22">
        <v>67</v>
      </c>
      <c r="E22">
        <v>70</v>
      </c>
      <c r="F22">
        <v>69</v>
      </c>
      <c r="G22" s="70">
        <f t="shared" si="0"/>
        <v>8.4430702235970294</v>
      </c>
      <c r="H22" s="71">
        <f t="shared" si="1"/>
        <v>327.00000000000006</v>
      </c>
      <c r="I22" s="69">
        <f t="shared" si="2"/>
        <v>7.1457623520170779E-2</v>
      </c>
      <c r="J22" s="69">
        <f t="shared" si="3"/>
        <v>0.193</v>
      </c>
      <c r="K22" s="69">
        <f t="shared" si="4"/>
        <v>0.1987767584097859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>
        <v>48</v>
      </c>
      <c r="C23">
        <v>57</v>
      </c>
      <c r="D23">
        <v>57</v>
      </c>
      <c r="E23">
        <v>61</v>
      </c>
      <c r="F23">
        <v>62</v>
      </c>
      <c r="G23" s="70">
        <f t="shared" si="0"/>
        <v>7.358639185703832</v>
      </c>
      <c r="H23" s="71">
        <f t="shared" si="1"/>
        <v>285</v>
      </c>
      <c r="I23" s="69">
        <f t="shared" si="2"/>
        <v>8.6660273931427848E-2</v>
      </c>
      <c r="J23" s="69">
        <f t="shared" si="3"/>
        <v>0.193</v>
      </c>
      <c r="K23" s="69">
        <f t="shared" si="4"/>
        <v>0.24561403508771928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>
        <v>41</v>
      </c>
      <c r="C24">
        <v>53</v>
      </c>
      <c r="D24">
        <v>52</v>
      </c>
      <c r="E24">
        <v>53</v>
      </c>
      <c r="F24">
        <v>59</v>
      </c>
      <c r="G24" s="70">
        <f t="shared" si="0"/>
        <v>6.6615049470582059</v>
      </c>
      <c r="H24" s="71">
        <f t="shared" si="1"/>
        <v>258</v>
      </c>
      <c r="I24" s="69">
        <f t="shared" si="2"/>
        <v>0.11340107626610693</v>
      </c>
      <c r="J24" s="69">
        <f t="shared" si="3"/>
        <v>0.193</v>
      </c>
      <c r="K24" s="69">
        <f t="shared" si="4"/>
        <v>0.34883720930232559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>
        <v>39</v>
      </c>
      <c r="C25">
        <v>49</v>
      </c>
      <c r="D25">
        <v>49</v>
      </c>
      <c r="E25">
        <v>46</v>
      </c>
      <c r="F25">
        <v>55</v>
      </c>
      <c r="G25" s="70">
        <f t="shared" si="0"/>
        <v>6.1451092147281123</v>
      </c>
      <c r="H25" s="71">
        <f t="shared" si="1"/>
        <v>238</v>
      </c>
      <c r="I25" s="69">
        <f t="shared" si="2"/>
        <v>0.1092436974789916</v>
      </c>
      <c r="J25" s="69">
        <f t="shared" si="3"/>
        <v>0.193</v>
      </c>
      <c r="K25" s="69">
        <f t="shared" si="4"/>
        <v>0.33613445378151258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>
        <v>36</v>
      </c>
      <c r="C26">
        <v>43</v>
      </c>
      <c r="D26">
        <v>47</v>
      </c>
      <c r="E26">
        <v>42</v>
      </c>
      <c r="F26">
        <v>50</v>
      </c>
      <c r="G26" s="70">
        <f t="shared" si="0"/>
        <v>5.6287134823980187</v>
      </c>
      <c r="H26" s="71">
        <f t="shared" si="1"/>
        <v>218</v>
      </c>
      <c r="I26" s="69">
        <f t="shared" si="2"/>
        <v>0.10913190140706713</v>
      </c>
      <c r="J26" s="69">
        <f t="shared" si="3"/>
        <v>0.193</v>
      </c>
      <c r="K26" s="69">
        <f t="shared" si="4"/>
        <v>0.32110091743119268</v>
      </c>
      <c r="M26" s="42"/>
    </row>
    <row r="27" spans="1:49" ht="13.15" x14ac:dyDescent="0.4">
      <c r="A27" s="57" t="s">
        <v>166</v>
      </c>
      <c r="B27">
        <v>33</v>
      </c>
      <c r="C27">
        <v>41</v>
      </c>
      <c r="D27">
        <v>42</v>
      </c>
      <c r="E27">
        <v>35</v>
      </c>
      <c r="F27">
        <v>47</v>
      </c>
      <c r="G27" s="70">
        <f t="shared" si="0"/>
        <v>5.1123177500679251</v>
      </c>
      <c r="H27" s="71">
        <f t="shared" si="1"/>
        <v>198</v>
      </c>
      <c r="I27" s="69">
        <f t="shared" si="2"/>
        <v>0.12736889103958074</v>
      </c>
      <c r="J27" s="69">
        <f t="shared" si="3"/>
        <v>0.27500000000000002</v>
      </c>
      <c r="K27" s="69">
        <f t="shared" si="4"/>
        <v>0.35353535353535354</v>
      </c>
      <c r="M27" s="42"/>
    </row>
    <row r="28" spans="1:49" ht="13.15" x14ac:dyDescent="0.4">
      <c r="A28" s="57" t="s">
        <v>167</v>
      </c>
      <c r="B28">
        <v>29</v>
      </c>
      <c r="C28">
        <v>38</v>
      </c>
      <c r="D28">
        <v>36</v>
      </c>
      <c r="E28">
        <v>30</v>
      </c>
      <c r="F28">
        <v>41</v>
      </c>
      <c r="G28" s="70">
        <f t="shared" si="0"/>
        <v>4.4926428712718129</v>
      </c>
      <c r="H28" s="71">
        <f t="shared" si="1"/>
        <v>174</v>
      </c>
      <c r="I28" s="69">
        <f t="shared" si="2"/>
        <v>0.1328071265320844</v>
      </c>
      <c r="J28" s="69">
        <f t="shared" si="3"/>
        <v>0.27500000000000002</v>
      </c>
      <c r="K28" s="69">
        <f t="shared" si="4"/>
        <v>0.34482758620689657</v>
      </c>
      <c r="M28" s="42"/>
    </row>
    <row r="29" spans="1:49" ht="13.15" x14ac:dyDescent="0.4">
      <c r="A29" s="57" t="s">
        <v>168</v>
      </c>
      <c r="B29">
        <v>26</v>
      </c>
      <c r="C29">
        <v>36</v>
      </c>
      <c r="D29">
        <v>34</v>
      </c>
      <c r="E29">
        <v>25</v>
      </c>
      <c r="F29">
        <v>38</v>
      </c>
      <c r="G29" s="70">
        <f t="shared" si="0"/>
        <v>4.1053460720242434</v>
      </c>
      <c r="H29" s="71">
        <f t="shared" si="1"/>
        <v>159.00000000000003</v>
      </c>
      <c r="I29" s="69">
        <f t="shared" si="2"/>
        <v>0.166874203288322</v>
      </c>
      <c r="J29" s="69">
        <f t="shared" si="3"/>
        <v>0.27500000000000002</v>
      </c>
      <c r="K29" s="69">
        <f t="shared" si="4"/>
        <v>0.40880503144654079</v>
      </c>
      <c r="M29" s="42"/>
    </row>
    <row r="30" spans="1:49" ht="13.15" x14ac:dyDescent="0.4">
      <c r="A30" s="57" t="s">
        <v>169</v>
      </c>
      <c r="B30">
        <v>21</v>
      </c>
      <c r="C30">
        <v>32</v>
      </c>
      <c r="D30">
        <v>29</v>
      </c>
      <c r="E30">
        <v>18</v>
      </c>
      <c r="F30">
        <v>34</v>
      </c>
      <c r="G30" s="70">
        <f t="shared" si="0"/>
        <v>3.4598514066116262</v>
      </c>
      <c r="H30" s="71">
        <f t="shared" si="1"/>
        <v>134</v>
      </c>
      <c r="I30" s="69">
        <f t="shared" si="2"/>
        <v>0.23290278409443635</v>
      </c>
      <c r="J30" s="69">
        <f t="shared" si="3"/>
        <v>0.27500000000000002</v>
      </c>
      <c r="K30" s="69">
        <f t="shared" si="4"/>
        <v>0.59701492537313428</v>
      </c>
      <c r="M30" s="42"/>
    </row>
    <row r="31" spans="1:49" ht="13.15" x14ac:dyDescent="0.4">
      <c r="A31" s="57" t="s">
        <v>170</v>
      </c>
      <c r="B31">
        <v>20</v>
      </c>
      <c r="C31">
        <v>29</v>
      </c>
      <c r="D31">
        <v>27</v>
      </c>
      <c r="E31">
        <v>18</v>
      </c>
      <c r="F31">
        <v>29</v>
      </c>
      <c r="G31" s="70">
        <f t="shared" si="0"/>
        <v>3.1758337538300752</v>
      </c>
      <c r="H31" s="71">
        <f t="shared" si="1"/>
        <v>123.00000000000001</v>
      </c>
      <c r="I31" s="69">
        <f t="shared" si="2"/>
        <v>0.18997270643167352</v>
      </c>
      <c r="J31" s="69">
        <f t="shared" si="3"/>
        <v>0.27500000000000002</v>
      </c>
      <c r="K31" s="69">
        <f t="shared" si="4"/>
        <v>0.44715447154471538</v>
      </c>
      <c r="M31" s="42"/>
    </row>
    <row r="32" spans="1:49" ht="13.15" x14ac:dyDescent="0.4">
      <c r="A32" s="57" t="s">
        <v>171</v>
      </c>
      <c r="B32">
        <v>18</v>
      </c>
      <c r="C32">
        <v>27</v>
      </c>
      <c r="D32">
        <v>24</v>
      </c>
      <c r="E32">
        <v>13</v>
      </c>
      <c r="F32">
        <v>25</v>
      </c>
      <c r="G32" s="70">
        <f t="shared" si="0"/>
        <v>2.7627171679659996</v>
      </c>
      <c r="H32" s="71">
        <f t="shared" si="1"/>
        <v>106.99999999999999</v>
      </c>
      <c r="I32" s="69">
        <f t="shared" si="2"/>
        <v>0.24118668973016713</v>
      </c>
      <c r="J32" s="69">
        <f t="shared" si="3"/>
        <v>0.27500000000000002</v>
      </c>
      <c r="K32" s="69">
        <f t="shared" si="4"/>
        <v>0.65420560747663559</v>
      </c>
      <c r="M32" s="42"/>
    </row>
    <row r="33" spans="1:13" ht="13.15" x14ac:dyDescent="0.4">
      <c r="A33" s="57" t="s">
        <v>172</v>
      </c>
      <c r="B33">
        <v>16</v>
      </c>
      <c r="C33">
        <v>25</v>
      </c>
      <c r="D33">
        <v>21</v>
      </c>
      <c r="E33">
        <v>12</v>
      </c>
      <c r="F33">
        <v>21</v>
      </c>
      <c r="G33" s="70">
        <f t="shared" si="0"/>
        <v>2.452879728567944</v>
      </c>
      <c r="H33" s="71">
        <f t="shared" si="1"/>
        <v>95</v>
      </c>
      <c r="I33" s="69">
        <f t="shared" si="2"/>
        <v>0.23771767980286765</v>
      </c>
      <c r="J33" s="69">
        <f t="shared" si="3"/>
        <v>0.27500000000000002</v>
      </c>
      <c r="K33" s="69">
        <f t="shared" si="4"/>
        <v>0.68421052631578949</v>
      </c>
      <c r="M33" s="42"/>
    </row>
    <row r="34" spans="1:13" ht="13.15" x14ac:dyDescent="0.4">
      <c r="A34" s="57" t="s">
        <v>173</v>
      </c>
      <c r="B34">
        <v>15</v>
      </c>
      <c r="C34">
        <v>23</v>
      </c>
      <c r="D34">
        <v>19</v>
      </c>
      <c r="E34">
        <v>11</v>
      </c>
      <c r="F34">
        <v>17</v>
      </c>
      <c r="G34" s="70">
        <f t="shared" si="0"/>
        <v>2.1946818624028972</v>
      </c>
      <c r="H34" s="71">
        <f t="shared" si="1"/>
        <v>85</v>
      </c>
      <c r="I34" s="69">
        <f t="shared" si="2"/>
        <v>0.23529411764705882</v>
      </c>
      <c r="J34" s="69">
        <f t="shared" si="3"/>
        <v>0.27500000000000002</v>
      </c>
      <c r="K34" s="69">
        <f t="shared" si="4"/>
        <v>0.70588235294117641</v>
      </c>
      <c r="M34" s="42"/>
    </row>
    <row r="35" spans="1:13" ht="13.15" x14ac:dyDescent="0.4">
      <c r="A35" s="57" t="s">
        <v>174</v>
      </c>
      <c r="B35">
        <v>13</v>
      </c>
      <c r="C35">
        <v>20</v>
      </c>
      <c r="D35">
        <v>19</v>
      </c>
      <c r="E35">
        <v>8</v>
      </c>
      <c r="F35">
        <v>16</v>
      </c>
      <c r="G35" s="70">
        <f t="shared" si="0"/>
        <v>1.962303782854355</v>
      </c>
      <c r="H35" s="71">
        <f t="shared" si="1"/>
        <v>76</v>
      </c>
      <c r="I35" s="69">
        <f t="shared" si="2"/>
        <v>0.28646764548785847</v>
      </c>
      <c r="J35" s="69">
        <f t="shared" si="3"/>
        <v>0.27500000000000002</v>
      </c>
      <c r="K35" s="69">
        <f t="shared" si="4"/>
        <v>0.78947368421052633</v>
      </c>
      <c r="M35" s="42"/>
    </row>
    <row r="36" spans="1:13" ht="13.15" x14ac:dyDescent="0.4">
      <c r="A36" s="57" t="s">
        <v>175</v>
      </c>
      <c r="B36">
        <v>3</v>
      </c>
      <c r="C36">
        <v>6</v>
      </c>
      <c r="D36">
        <v>4</v>
      </c>
      <c r="E36">
        <v>2</v>
      </c>
      <c r="F36">
        <v>3</v>
      </c>
      <c r="G36" s="70">
        <f t="shared" si="0"/>
        <v>0.46475615909708412</v>
      </c>
      <c r="H36" s="71">
        <f t="shared" si="1"/>
        <v>18</v>
      </c>
      <c r="I36" s="69">
        <f t="shared" si="2"/>
        <v>0.37679611017362602</v>
      </c>
      <c r="J36" s="69">
        <f t="shared" si="3"/>
        <v>0.27500000000000002</v>
      </c>
      <c r="K36" s="69">
        <f t="shared" si="4"/>
        <v>1.1111111111111112</v>
      </c>
      <c r="M36" s="42"/>
    </row>
    <row r="37" spans="1:13" ht="13.15" x14ac:dyDescent="0.4">
      <c r="A37" s="57" t="s">
        <v>176</v>
      </c>
      <c r="B37">
        <v>0</v>
      </c>
      <c r="C37">
        <v>3</v>
      </c>
      <c r="D37">
        <v>1</v>
      </c>
      <c r="E37">
        <v>0</v>
      </c>
      <c r="F37">
        <v>1</v>
      </c>
      <c r="G37" s="70">
        <f t="shared" si="0"/>
        <v>0.12909893308252338</v>
      </c>
      <c r="H37" s="71">
        <f t="shared" si="1"/>
        <v>5.0000000000000009</v>
      </c>
      <c r="I37" s="69">
        <f t="shared" si="2"/>
        <v>1.0954451150103321</v>
      </c>
      <c r="J37" s="69">
        <f t="shared" si="3"/>
        <v>0.27500000000000002</v>
      </c>
      <c r="K37" s="69">
        <f t="shared" si="4"/>
        <v>2.9999999999999991</v>
      </c>
    </row>
    <row r="38" spans="1:13" ht="13.15" x14ac:dyDescent="0.4">
      <c r="A38" s="57" t="s">
        <v>177</v>
      </c>
      <c r="B38">
        <v>0</v>
      </c>
      <c r="C38">
        <v>1</v>
      </c>
      <c r="D38">
        <v>0</v>
      </c>
      <c r="E38">
        <v>0</v>
      </c>
      <c r="F38">
        <v>0</v>
      </c>
      <c r="G38" s="70">
        <f t="shared" si="0"/>
        <v>2.5819786616504675E-2</v>
      </c>
      <c r="H38" s="71">
        <f t="shared" si="1"/>
        <v>1</v>
      </c>
      <c r="I38" s="69">
        <f t="shared" si="2"/>
        <v>2</v>
      </c>
      <c r="J38" s="69">
        <f t="shared" si="3"/>
        <v>0.27500000000000002</v>
      </c>
      <c r="K38" s="69">
        <f t="shared" si="4"/>
        <v>5</v>
      </c>
    </row>
    <row r="40" spans="1:13" x14ac:dyDescent="0.35">
      <c r="A40" t="s">
        <v>178</v>
      </c>
    </row>
    <row r="41" spans="1:13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3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2" spans="1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72"/>
      <c r="J77" s="72"/>
    </row>
    <row r="78" spans="1:11" ht="13.15" x14ac:dyDescent="0.4">
      <c r="A78" s="8"/>
      <c r="H78" s="111"/>
      <c r="J78" s="111"/>
    </row>
    <row r="79" spans="1:11" ht="13.15" x14ac:dyDescent="0.4">
      <c r="K79" s="55"/>
    </row>
  </sheetData>
  <conditionalFormatting sqref="H9:H40">
    <cfRule type="cellIs" dxfId="7" priority="2" operator="greaterThan">
      <formula>1000</formula>
    </cfRule>
  </conditionalFormatting>
  <conditionalFormatting sqref="K9:K38">
    <cfRule type="cellIs" dxfId="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P27" sqref="P27"/>
    </sheetView>
  </sheetViews>
  <sheetFormatPr defaultColWidth="11.53125" defaultRowHeight="12.75" x14ac:dyDescent="0.35"/>
  <sheetData>
    <row r="1" spans="1:49" x14ac:dyDescent="0.35">
      <c r="A1" t="s">
        <v>269</v>
      </c>
    </row>
    <row r="2" spans="1:49" ht="40.15" x14ac:dyDescent="1.05">
      <c r="O2" s="65"/>
    </row>
    <row r="4" spans="1:49" ht="40.15" x14ac:dyDescent="1.05">
      <c r="A4" s="8" t="s">
        <v>28</v>
      </c>
      <c r="O4" s="65" t="s">
        <v>97</v>
      </c>
    </row>
    <row r="5" spans="1:49" x14ac:dyDescent="0.35">
      <c r="O5" s="29">
        <v>45831</v>
      </c>
    </row>
    <row r="6" spans="1:49" ht="13.15" x14ac:dyDescent="0.4">
      <c r="A6" t="s">
        <v>271</v>
      </c>
      <c r="B6" s="8"/>
      <c r="C6" s="8"/>
      <c r="D6" s="8"/>
      <c r="E6" s="8"/>
      <c r="F6" s="8"/>
      <c r="O6" t="s">
        <v>272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M7" s="55"/>
    </row>
    <row r="8" spans="1:49" ht="13.15" x14ac:dyDescent="0.4">
      <c r="A8" s="57" t="s">
        <v>147</v>
      </c>
      <c r="B8">
        <v>7.4696879999999997</v>
      </c>
      <c r="C8">
        <v>7.8009170000000001</v>
      </c>
      <c r="D8">
        <v>7.7647510000000004</v>
      </c>
      <c r="E8">
        <v>7.8703560000000001</v>
      </c>
      <c r="F8">
        <v>7.852576</v>
      </c>
      <c r="G8" s="68">
        <v>25.517626</v>
      </c>
      <c r="H8" s="68">
        <f>AVERAGE(B$8:F$8)*5</f>
        <v>38.758288</v>
      </c>
      <c r="I8" s="69"/>
      <c r="K8" s="69"/>
    </row>
    <row r="9" spans="1:49" ht="13.15" x14ac:dyDescent="0.4">
      <c r="A9" s="73" t="s">
        <v>148</v>
      </c>
      <c r="B9">
        <v>31318</v>
      </c>
      <c r="C9">
        <v>32746</v>
      </c>
      <c r="D9">
        <v>32772</v>
      </c>
      <c r="E9">
        <v>33542</v>
      </c>
      <c r="F9">
        <v>31934</v>
      </c>
      <c r="G9" s="105">
        <f t="shared" ref="G9:G38" si="0">AVERAGE(B9:F9)/AVERAGE(B$8:F$8)</f>
        <v>4187.8010710896215</v>
      </c>
      <c r="H9" s="106">
        <f t="shared" ref="H9:H38" si="1">G9*H$8</f>
        <v>162312.00000000003</v>
      </c>
      <c r="I9" s="107">
        <f t="shared" ref="I9:I38" si="2">STDEVP(B9:F9)/AVERAGE(B9:F9)</f>
        <v>2.3584040808255241E-2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6.8510030065552757E-2</v>
      </c>
      <c r="M9" s="42"/>
    </row>
    <row r="10" spans="1:49" ht="13.15" x14ac:dyDescent="0.4">
      <c r="A10" s="57" t="s">
        <v>149</v>
      </c>
      <c r="B10">
        <v>16382</v>
      </c>
      <c r="C10">
        <v>16983</v>
      </c>
      <c r="D10">
        <v>17045</v>
      </c>
      <c r="E10">
        <v>17417</v>
      </c>
      <c r="F10">
        <v>16660</v>
      </c>
      <c r="G10" s="70">
        <f t="shared" si="0"/>
        <v>2179.8434440654346</v>
      </c>
      <c r="H10" s="71">
        <f t="shared" si="1"/>
        <v>84487</v>
      </c>
      <c r="I10" s="69">
        <f t="shared" si="2"/>
        <v>2.0858040198186645E-2</v>
      </c>
      <c r="J10" s="69">
        <f t="shared" si="3"/>
        <v>0.11</v>
      </c>
      <c r="K10" s="69">
        <f t="shared" si="4"/>
        <v>6.1252026939055716E-2</v>
      </c>
      <c r="M10" s="42"/>
    </row>
    <row r="11" spans="1:49" ht="13.15" x14ac:dyDescent="0.4">
      <c r="A11" s="57" t="s">
        <v>150</v>
      </c>
      <c r="B11">
        <v>7816</v>
      </c>
      <c r="C11">
        <v>8083</v>
      </c>
      <c r="D11">
        <v>8118</v>
      </c>
      <c r="E11">
        <v>8380</v>
      </c>
      <c r="F11">
        <v>8068</v>
      </c>
      <c r="G11" s="70">
        <f t="shared" si="0"/>
        <v>1044.0347623197392</v>
      </c>
      <c r="H11" s="71">
        <f t="shared" si="1"/>
        <v>40465</v>
      </c>
      <c r="I11" s="69">
        <f t="shared" si="2"/>
        <v>2.2134647565888531E-2</v>
      </c>
      <c r="J11" s="69">
        <f t="shared" si="3"/>
        <v>0.11</v>
      </c>
      <c r="K11" s="69">
        <f t="shared" si="4"/>
        <v>6.9689855430619049E-2</v>
      </c>
      <c r="M11" s="42"/>
    </row>
    <row r="12" spans="1:49" ht="13.15" x14ac:dyDescent="0.4">
      <c r="A12" s="57" t="s">
        <v>151</v>
      </c>
      <c r="B12">
        <v>3732</v>
      </c>
      <c r="C12">
        <v>3761</v>
      </c>
      <c r="D12">
        <v>3799</v>
      </c>
      <c r="E12">
        <v>3961</v>
      </c>
      <c r="F12">
        <v>3843</v>
      </c>
      <c r="G12" s="70">
        <f t="shared" si="0"/>
        <v>492.69462056734807</v>
      </c>
      <c r="H12" s="71">
        <f t="shared" si="1"/>
        <v>19096</v>
      </c>
      <c r="I12" s="69">
        <f t="shared" si="2"/>
        <v>2.0970608583614152E-2</v>
      </c>
      <c r="J12" s="69">
        <f t="shared" si="3"/>
        <v>0.11</v>
      </c>
      <c r="K12" s="69">
        <f t="shared" si="4"/>
        <v>5.9960201089233348E-2</v>
      </c>
      <c r="M12" s="42"/>
    </row>
    <row r="13" spans="1:49" ht="13.15" x14ac:dyDescent="0.4">
      <c r="A13" s="57" t="s">
        <v>152</v>
      </c>
      <c r="B13">
        <v>1903</v>
      </c>
      <c r="C13">
        <v>1900</v>
      </c>
      <c r="D13">
        <v>1945</v>
      </c>
      <c r="E13">
        <v>2051</v>
      </c>
      <c r="F13">
        <v>2018</v>
      </c>
      <c r="G13" s="70">
        <f t="shared" si="0"/>
        <v>253.28776131701176</v>
      </c>
      <c r="H13" s="71">
        <f t="shared" si="1"/>
        <v>9817.0000000000018</v>
      </c>
      <c r="I13" s="69">
        <f t="shared" si="2"/>
        <v>3.1115443453926302E-2</v>
      </c>
      <c r="J13" s="69">
        <f t="shared" si="3"/>
        <v>0.113</v>
      </c>
      <c r="K13" s="69">
        <f t="shared" si="4"/>
        <v>7.6907405521034922E-2</v>
      </c>
      <c r="M13" s="42"/>
    </row>
    <row r="14" spans="1:49" ht="13.15" x14ac:dyDescent="0.4">
      <c r="A14" s="77" t="s">
        <v>153</v>
      </c>
      <c r="B14">
        <v>920</v>
      </c>
      <c r="C14">
        <v>922</v>
      </c>
      <c r="D14">
        <v>981</v>
      </c>
      <c r="E14">
        <v>1027</v>
      </c>
      <c r="F14">
        <v>987</v>
      </c>
      <c r="G14" s="108">
        <f t="shared" si="0"/>
        <v>124.79911393403135</v>
      </c>
      <c r="H14" s="109">
        <f t="shared" si="1"/>
        <v>4837</v>
      </c>
      <c r="I14" s="110">
        <f t="shared" si="2"/>
        <v>4.2442611086389574E-2</v>
      </c>
      <c r="J14" s="110">
        <f t="shared" si="3"/>
        <v>0.11900000000000001</v>
      </c>
      <c r="K14" s="110">
        <f t="shared" si="4"/>
        <v>0.11060574736406864</v>
      </c>
      <c r="M14" s="42"/>
    </row>
    <row r="15" spans="1:49" ht="13.15" x14ac:dyDescent="0.4">
      <c r="A15" s="57" t="s">
        <v>154</v>
      </c>
      <c r="B15">
        <v>463</v>
      </c>
      <c r="C15">
        <v>437</v>
      </c>
      <c r="D15">
        <v>446</v>
      </c>
      <c r="E15">
        <v>509</v>
      </c>
      <c r="F15">
        <v>504</v>
      </c>
      <c r="G15" s="70">
        <f t="shared" si="0"/>
        <v>60.864401441054369</v>
      </c>
      <c r="H15" s="71">
        <f t="shared" si="1"/>
        <v>2359.0000000000005</v>
      </c>
      <c r="I15" s="69">
        <f t="shared" si="2"/>
        <v>6.2695470081320467E-2</v>
      </c>
      <c r="J15" s="69">
        <f t="shared" si="3"/>
        <v>0.11900000000000001</v>
      </c>
      <c r="K15" s="69">
        <f t="shared" si="4"/>
        <v>0.15260703688003388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>
        <v>256</v>
      </c>
      <c r="C16">
        <v>247</v>
      </c>
      <c r="D16">
        <v>249</v>
      </c>
      <c r="E16">
        <v>257</v>
      </c>
      <c r="F16">
        <v>272</v>
      </c>
      <c r="G16" s="70">
        <f t="shared" si="0"/>
        <v>33.050995441284712</v>
      </c>
      <c r="H16" s="71">
        <f t="shared" si="1"/>
        <v>1281</v>
      </c>
      <c r="I16" s="69">
        <f t="shared" si="2"/>
        <v>3.4330419090235785E-2</v>
      </c>
      <c r="J16" s="69">
        <f t="shared" si="3"/>
        <v>0.13400000000000001</v>
      </c>
      <c r="K16" s="69">
        <f t="shared" si="4"/>
        <v>9.7580015612802495E-2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>
        <v>164</v>
      </c>
      <c r="C17">
        <v>160</v>
      </c>
      <c r="D17">
        <v>164</v>
      </c>
      <c r="E17">
        <v>171</v>
      </c>
      <c r="F17">
        <v>173</v>
      </c>
      <c r="G17" s="70">
        <f t="shared" si="0"/>
        <v>21.466376430248932</v>
      </c>
      <c r="H17" s="71">
        <f t="shared" si="1"/>
        <v>832</v>
      </c>
      <c r="I17" s="69">
        <f t="shared" si="2"/>
        <v>2.9095477011803376E-2</v>
      </c>
      <c r="J17" s="69">
        <f t="shared" si="3"/>
        <v>0.156</v>
      </c>
      <c r="K17" s="69">
        <f t="shared" si="4"/>
        <v>7.8125E-2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>
        <v>113</v>
      </c>
      <c r="C18">
        <v>115</v>
      </c>
      <c r="D18">
        <v>113</v>
      </c>
      <c r="E18">
        <v>122</v>
      </c>
      <c r="F18">
        <v>123</v>
      </c>
      <c r="G18" s="70">
        <f t="shared" si="0"/>
        <v>15.119346860728214</v>
      </c>
      <c r="H18" s="71">
        <f t="shared" si="1"/>
        <v>586</v>
      </c>
      <c r="I18" s="69">
        <f t="shared" si="2"/>
        <v>3.7542662116040959E-2</v>
      </c>
      <c r="J18" s="69">
        <f t="shared" si="3"/>
        <v>0.156</v>
      </c>
      <c r="K18" s="69">
        <f t="shared" si="4"/>
        <v>8.5324232081911269E-2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>
        <v>94</v>
      </c>
      <c r="C19">
        <v>90</v>
      </c>
      <c r="D19">
        <v>96</v>
      </c>
      <c r="E19">
        <v>100</v>
      </c>
      <c r="F19">
        <v>100</v>
      </c>
      <c r="G19" s="70">
        <f t="shared" si="0"/>
        <v>12.384447940528231</v>
      </c>
      <c r="H19" s="71">
        <f t="shared" si="1"/>
        <v>480.00000000000006</v>
      </c>
      <c r="I19" s="69">
        <f t="shared" si="2"/>
        <v>3.9528470752104743E-2</v>
      </c>
      <c r="J19" s="69">
        <f t="shared" si="3"/>
        <v>0.193</v>
      </c>
      <c r="K19" s="69">
        <f t="shared" si="4"/>
        <v>0.10416666666666666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>
        <v>81</v>
      </c>
      <c r="C20">
        <v>72</v>
      </c>
      <c r="D20">
        <v>83</v>
      </c>
      <c r="E20">
        <v>86</v>
      </c>
      <c r="F20">
        <v>91</v>
      </c>
      <c r="G20" s="70">
        <f t="shared" si="0"/>
        <v>10.655785415496164</v>
      </c>
      <c r="H20" s="71">
        <f t="shared" si="1"/>
        <v>413</v>
      </c>
      <c r="I20" s="69">
        <f t="shared" si="2"/>
        <v>7.6030597908511299E-2</v>
      </c>
      <c r="J20" s="69">
        <f t="shared" si="3"/>
        <v>0.193</v>
      </c>
      <c r="K20" s="69">
        <f t="shared" si="4"/>
        <v>0.23002421307506055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>
        <v>72</v>
      </c>
      <c r="C21">
        <v>61</v>
      </c>
      <c r="D21">
        <v>74</v>
      </c>
      <c r="E21">
        <v>77</v>
      </c>
      <c r="F21">
        <v>81</v>
      </c>
      <c r="G21" s="70">
        <f t="shared" si="0"/>
        <v>9.4173406214433424</v>
      </c>
      <c r="H21" s="71">
        <f t="shared" si="1"/>
        <v>365.00000000000006</v>
      </c>
      <c r="I21" s="69">
        <f t="shared" si="2"/>
        <v>9.2097185282036226E-2</v>
      </c>
      <c r="J21" s="69">
        <f t="shared" si="3"/>
        <v>0.193</v>
      </c>
      <c r="K21" s="69">
        <f t="shared" si="4"/>
        <v>0.27397260273972596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>
        <v>65</v>
      </c>
      <c r="C22">
        <v>58</v>
      </c>
      <c r="D22">
        <v>66</v>
      </c>
      <c r="E22">
        <v>66</v>
      </c>
      <c r="F22">
        <v>78</v>
      </c>
      <c r="G22" s="70">
        <f t="shared" si="0"/>
        <v>8.5917107587414598</v>
      </c>
      <c r="H22" s="71">
        <f t="shared" si="1"/>
        <v>333</v>
      </c>
      <c r="I22" s="69">
        <f t="shared" si="2"/>
        <v>9.6657519155742236E-2</v>
      </c>
      <c r="J22" s="69">
        <f t="shared" si="3"/>
        <v>0.193</v>
      </c>
      <c r="K22" s="69">
        <f t="shared" si="4"/>
        <v>0.3003003003003003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>
        <v>55</v>
      </c>
      <c r="C23">
        <v>48</v>
      </c>
      <c r="D23">
        <v>59</v>
      </c>
      <c r="E23">
        <v>63</v>
      </c>
      <c r="F23">
        <v>74</v>
      </c>
      <c r="G23" s="70">
        <f t="shared" si="0"/>
        <v>7.7144790296207093</v>
      </c>
      <c r="H23" s="71">
        <f t="shared" si="1"/>
        <v>299</v>
      </c>
      <c r="I23" s="69">
        <f t="shared" si="2"/>
        <v>0.14478167773855091</v>
      </c>
      <c r="J23" s="69">
        <f t="shared" si="3"/>
        <v>0.193</v>
      </c>
      <c r="K23" s="69">
        <f t="shared" si="4"/>
        <v>0.43478260869565216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>
        <v>52</v>
      </c>
      <c r="C24">
        <v>45</v>
      </c>
      <c r="D24">
        <v>54</v>
      </c>
      <c r="E24">
        <v>60</v>
      </c>
      <c r="F24">
        <v>63</v>
      </c>
      <c r="G24" s="70">
        <f t="shared" si="0"/>
        <v>7.0694556993848643</v>
      </c>
      <c r="H24" s="71">
        <f t="shared" si="1"/>
        <v>274</v>
      </c>
      <c r="I24" s="69">
        <f t="shared" si="2"/>
        <v>0.11506483774039741</v>
      </c>
      <c r="J24" s="69">
        <f t="shared" si="3"/>
        <v>0.193</v>
      </c>
      <c r="K24" s="69">
        <f t="shared" si="4"/>
        <v>0.32846715328467158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>
        <v>44</v>
      </c>
      <c r="C25">
        <v>38</v>
      </c>
      <c r="D25">
        <v>49</v>
      </c>
      <c r="E25">
        <v>55</v>
      </c>
      <c r="F25">
        <v>54</v>
      </c>
      <c r="G25" s="70">
        <f t="shared" si="0"/>
        <v>6.1922239702641155</v>
      </c>
      <c r="H25" s="71">
        <f t="shared" si="1"/>
        <v>240.00000000000003</v>
      </c>
      <c r="I25" s="69">
        <f t="shared" si="2"/>
        <v>0.13241873818392252</v>
      </c>
      <c r="J25" s="69">
        <f t="shared" si="3"/>
        <v>0.193</v>
      </c>
      <c r="K25" s="69">
        <f t="shared" si="4"/>
        <v>0.35416666666666663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>
        <v>41</v>
      </c>
      <c r="C26">
        <v>37</v>
      </c>
      <c r="D26">
        <v>46</v>
      </c>
      <c r="E26">
        <v>49</v>
      </c>
      <c r="F26">
        <v>51</v>
      </c>
      <c r="G26" s="70">
        <f t="shared" si="0"/>
        <v>5.7794090389131734</v>
      </c>
      <c r="H26" s="71">
        <f t="shared" si="1"/>
        <v>223.99999999999997</v>
      </c>
      <c r="I26" s="69">
        <f t="shared" si="2"/>
        <v>0.11503659577433149</v>
      </c>
      <c r="J26" s="69">
        <f t="shared" si="3"/>
        <v>0.193</v>
      </c>
      <c r="K26" s="69">
        <f t="shared" si="4"/>
        <v>0.31250000000000006</v>
      </c>
      <c r="M26" s="42"/>
    </row>
    <row r="27" spans="1:49" ht="13.15" x14ac:dyDescent="0.4">
      <c r="A27" s="57" t="s">
        <v>166</v>
      </c>
      <c r="B27">
        <v>35</v>
      </c>
      <c r="C27">
        <v>28</v>
      </c>
      <c r="D27">
        <v>40</v>
      </c>
      <c r="E27">
        <v>46</v>
      </c>
      <c r="F27">
        <v>47</v>
      </c>
      <c r="G27" s="70">
        <f t="shared" si="0"/>
        <v>5.0569829090490277</v>
      </c>
      <c r="H27" s="71">
        <f t="shared" si="1"/>
        <v>196.00000000000003</v>
      </c>
      <c r="I27" s="69">
        <f t="shared" si="2"/>
        <v>0.18067276744516095</v>
      </c>
      <c r="J27" s="69">
        <f t="shared" si="3"/>
        <v>0.27500000000000002</v>
      </c>
      <c r="K27" s="69">
        <f t="shared" si="4"/>
        <v>0.48469387755102034</v>
      </c>
      <c r="M27" s="42"/>
    </row>
    <row r="28" spans="1:49" ht="13.15" x14ac:dyDescent="0.4">
      <c r="A28" s="57" t="s">
        <v>167</v>
      </c>
      <c r="B28">
        <v>32</v>
      </c>
      <c r="C28">
        <v>21</v>
      </c>
      <c r="D28">
        <v>33</v>
      </c>
      <c r="E28">
        <v>41</v>
      </c>
      <c r="F28">
        <v>42</v>
      </c>
      <c r="G28" s="70">
        <f t="shared" si="0"/>
        <v>4.3603577123943138</v>
      </c>
      <c r="H28" s="71">
        <f t="shared" si="1"/>
        <v>168.99999999999997</v>
      </c>
      <c r="I28" s="69">
        <f t="shared" si="2"/>
        <v>0.22407214471907089</v>
      </c>
      <c r="J28" s="69">
        <f t="shared" si="3"/>
        <v>0.27500000000000002</v>
      </c>
      <c r="K28" s="69">
        <f t="shared" si="4"/>
        <v>0.62130177514792906</v>
      </c>
      <c r="M28" s="42"/>
    </row>
    <row r="29" spans="1:49" ht="13.15" x14ac:dyDescent="0.4">
      <c r="A29" s="57" t="s">
        <v>168</v>
      </c>
      <c r="B29">
        <v>28</v>
      </c>
      <c r="C29">
        <v>18</v>
      </c>
      <c r="D29">
        <v>28</v>
      </c>
      <c r="E29">
        <v>38</v>
      </c>
      <c r="F29">
        <v>38</v>
      </c>
      <c r="G29" s="70">
        <f t="shared" si="0"/>
        <v>3.8701399814150719</v>
      </c>
      <c r="H29" s="71">
        <f t="shared" si="1"/>
        <v>150</v>
      </c>
      <c r="I29" s="69">
        <f t="shared" si="2"/>
        <v>0.24944382578492943</v>
      </c>
      <c r="J29" s="69">
        <f t="shared" si="3"/>
        <v>0.27500000000000002</v>
      </c>
      <c r="K29" s="69">
        <f t="shared" si="4"/>
        <v>0.66666666666666663</v>
      </c>
      <c r="M29" s="42"/>
    </row>
    <row r="30" spans="1:49" ht="13.15" x14ac:dyDescent="0.4">
      <c r="A30" s="57" t="s">
        <v>169</v>
      </c>
      <c r="B30">
        <v>26</v>
      </c>
      <c r="C30">
        <v>16</v>
      </c>
      <c r="D30">
        <v>27</v>
      </c>
      <c r="E30">
        <v>34</v>
      </c>
      <c r="F30">
        <v>35</v>
      </c>
      <c r="G30" s="70">
        <f t="shared" si="0"/>
        <v>3.5605287829018666</v>
      </c>
      <c r="H30" s="71">
        <f t="shared" si="1"/>
        <v>138.00000000000003</v>
      </c>
      <c r="I30" s="69">
        <f t="shared" si="2"/>
        <v>0.24744016056469378</v>
      </c>
      <c r="J30" s="69">
        <f t="shared" si="3"/>
        <v>0.27500000000000002</v>
      </c>
      <c r="K30" s="69">
        <f t="shared" si="4"/>
        <v>0.68840579710144911</v>
      </c>
      <c r="M30" s="42"/>
    </row>
    <row r="31" spans="1:49" ht="13.15" x14ac:dyDescent="0.4">
      <c r="A31" s="57" t="s">
        <v>170</v>
      </c>
      <c r="B31">
        <v>24</v>
      </c>
      <c r="C31">
        <v>14</v>
      </c>
      <c r="D31">
        <v>25</v>
      </c>
      <c r="E31">
        <v>30</v>
      </c>
      <c r="F31">
        <v>31</v>
      </c>
      <c r="G31" s="70">
        <f t="shared" si="0"/>
        <v>3.1993157179697929</v>
      </c>
      <c r="H31" s="71">
        <f t="shared" si="1"/>
        <v>124.00000000000001</v>
      </c>
      <c r="I31" s="69">
        <f t="shared" si="2"/>
        <v>0.24380994286824154</v>
      </c>
      <c r="J31" s="69">
        <f t="shared" si="3"/>
        <v>0.27500000000000002</v>
      </c>
      <c r="K31" s="69">
        <f t="shared" si="4"/>
        <v>0.68548387096774188</v>
      </c>
      <c r="M31" s="42"/>
    </row>
    <row r="32" spans="1:49" ht="13.15" x14ac:dyDescent="0.4">
      <c r="A32" s="57" t="s">
        <v>171</v>
      </c>
      <c r="B32">
        <v>22</v>
      </c>
      <c r="C32">
        <v>12</v>
      </c>
      <c r="D32">
        <v>24</v>
      </c>
      <c r="E32">
        <v>26</v>
      </c>
      <c r="F32">
        <v>30</v>
      </c>
      <c r="G32" s="70">
        <f t="shared" si="0"/>
        <v>2.9413063858754547</v>
      </c>
      <c r="H32" s="71">
        <f t="shared" si="1"/>
        <v>114</v>
      </c>
      <c r="I32" s="69">
        <f t="shared" si="2"/>
        <v>0.26374204172584048</v>
      </c>
      <c r="J32" s="69">
        <f t="shared" si="3"/>
        <v>0.27500000000000002</v>
      </c>
      <c r="K32" s="69">
        <f t="shared" si="4"/>
        <v>0.78947368421052633</v>
      </c>
      <c r="M32" s="42"/>
    </row>
    <row r="33" spans="1:13" ht="13.15" x14ac:dyDescent="0.4">
      <c r="A33" s="57" t="s">
        <v>172</v>
      </c>
      <c r="B33">
        <v>19</v>
      </c>
      <c r="C33">
        <v>11</v>
      </c>
      <c r="D33">
        <v>24</v>
      </c>
      <c r="E33">
        <v>23</v>
      </c>
      <c r="F33">
        <v>27</v>
      </c>
      <c r="G33" s="70">
        <f t="shared" si="0"/>
        <v>2.6832970537811165</v>
      </c>
      <c r="H33" s="71">
        <f t="shared" si="1"/>
        <v>104</v>
      </c>
      <c r="I33" s="69">
        <f t="shared" si="2"/>
        <v>0.26577451848240868</v>
      </c>
      <c r="J33" s="69">
        <f t="shared" si="3"/>
        <v>0.27500000000000002</v>
      </c>
      <c r="K33" s="69">
        <f t="shared" si="4"/>
        <v>0.76923076923076927</v>
      </c>
      <c r="M33" s="42"/>
    </row>
    <row r="34" spans="1:13" ht="13.15" x14ac:dyDescent="0.4">
      <c r="A34" s="57" t="s">
        <v>173</v>
      </c>
      <c r="B34">
        <v>16</v>
      </c>
      <c r="C34">
        <v>9</v>
      </c>
      <c r="D34">
        <v>21</v>
      </c>
      <c r="E34">
        <v>22</v>
      </c>
      <c r="F34">
        <v>26</v>
      </c>
      <c r="G34" s="70">
        <f t="shared" si="0"/>
        <v>2.4252877216867783</v>
      </c>
      <c r="H34" s="71">
        <f t="shared" si="1"/>
        <v>94</v>
      </c>
      <c r="I34" s="69">
        <f t="shared" si="2"/>
        <v>0.3108859403447331</v>
      </c>
      <c r="J34" s="69">
        <f t="shared" si="3"/>
        <v>0.27500000000000002</v>
      </c>
      <c r="K34" s="69">
        <f t="shared" si="4"/>
        <v>0.9042553191489362</v>
      </c>
      <c r="M34" s="42"/>
    </row>
    <row r="35" spans="1:13" ht="13.15" x14ac:dyDescent="0.4">
      <c r="A35" s="57" t="s">
        <v>174</v>
      </c>
      <c r="B35">
        <v>15</v>
      </c>
      <c r="C35">
        <v>8</v>
      </c>
      <c r="D35">
        <v>18</v>
      </c>
      <c r="E35">
        <v>20</v>
      </c>
      <c r="F35">
        <v>22</v>
      </c>
      <c r="G35" s="70">
        <f t="shared" si="0"/>
        <v>2.1414774563830066</v>
      </c>
      <c r="H35" s="71">
        <f t="shared" si="1"/>
        <v>83.000000000000014</v>
      </c>
      <c r="I35" s="69">
        <f t="shared" si="2"/>
        <v>0.2941338702586434</v>
      </c>
      <c r="J35" s="69">
        <f t="shared" si="3"/>
        <v>0.27500000000000002</v>
      </c>
      <c r="K35" s="69">
        <f t="shared" si="4"/>
        <v>0.84337349397590344</v>
      </c>
      <c r="M35" s="42"/>
    </row>
    <row r="36" spans="1:13" ht="13.15" x14ac:dyDescent="0.4">
      <c r="A36" s="57" t="s">
        <v>175</v>
      </c>
      <c r="B36">
        <v>3</v>
      </c>
      <c r="C36">
        <v>2</v>
      </c>
      <c r="D36">
        <v>4</v>
      </c>
      <c r="E36">
        <v>5</v>
      </c>
      <c r="F36">
        <v>3</v>
      </c>
      <c r="G36" s="70">
        <f t="shared" si="0"/>
        <v>0.43861586456037482</v>
      </c>
      <c r="H36" s="71">
        <f t="shared" si="1"/>
        <v>17</v>
      </c>
      <c r="I36" s="69">
        <f t="shared" si="2"/>
        <v>0.29994232432898738</v>
      </c>
      <c r="J36" s="69">
        <f t="shared" si="3"/>
        <v>0.27500000000000002</v>
      </c>
      <c r="K36" s="69">
        <f t="shared" si="4"/>
        <v>0.88235294117647067</v>
      </c>
      <c r="M36" s="42"/>
    </row>
    <row r="37" spans="1:13" ht="13.15" x14ac:dyDescent="0.4">
      <c r="A37" s="57" t="s">
        <v>176</v>
      </c>
      <c r="B37">
        <v>0</v>
      </c>
      <c r="C37">
        <v>0</v>
      </c>
      <c r="D37">
        <v>0</v>
      </c>
      <c r="E37">
        <v>0</v>
      </c>
      <c r="F37">
        <v>1</v>
      </c>
      <c r="G37" s="70">
        <f t="shared" si="0"/>
        <v>2.5800933209433816E-2</v>
      </c>
      <c r="H37" s="71">
        <f t="shared" si="1"/>
        <v>1.0000000000000002</v>
      </c>
      <c r="I37" s="69">
        <f t="shared" si="2"/>
        <v>2</v>
      </c>
      <c r="J37" s="69">
        <f t="shared" si="3"/>
        <v>0.27500000000000002</v>
      </c>
      <c r="K37" s="69">
        <f t="shared" si="4"/>
        <v>4.9999999999999991</v>
      </c>
    </row>
    <row r="38" spans="1:13" ht="13.15" x14ac:dyDescent="0.4">
      <c r="A38" s="57" t="s">
        <v>177</v>
      </c>
      <c r="B38">
        <v>0</v>
      </c>
      <c r="C38">
        <v>0</v>
      </c>
      <c r="D38">
        <v>0</v>
      </c>
      <c r="E38">
        <v>0</v>
      </c>
      <c r="F38">
        <v>0</v>
      </c>
      <c r="G38" s="70">
        <f t="shared" si="0"/>
        <v>0</v>
      </c>
      <c r="H38" s="71">
        <f t="shared" si="1"/>
        <v>0</v>
      </c>
      <c r="I38" s="69" t="e">
        <f t="shared" si="2"/>
        <v>#DIV/0!</v>
      </c>
      <c r="J38" s="69">
        <f t="shared" si="3"/>
        <v>0.27500000000000002</v>
      </c>
      <c r="K38" s="69" t="e">
        <f t="shared" si="4"/>
        <v>#DIV/0!</v>
      </c>
    </row>
    <row r="40" spans="1:13" x14ac:dyDescent="0.35">
      <c r="A40" t="s">
        <v>178</v>
      </c>
    </row>
    <row r="41" spans="1:13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3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72"/>
      <c r="J77" s="72"/>
    </row>
    <row r="78" spans="1:11" ht="13.15" x14ac:dyDescent="0.4">
      <c r="A78" s="8"/>
      <c r="H78" s="111"/>
      <c r="J78" s="111"/>
    </row>
    <row r="79" spans="1:11" ht="13.15" x14ac:dyDescent="0.4">
      <c r="K79" s="55"/>
    </row>
  </sheetData>
  <conditionalFormatting sqref="H9:H40">
    <cfRule type="cellIs" dxfId="5" priority="2" operator="greaterThan">
      <formula>1000</formula>
    </cfRule>
  </conditionalFormatting>
  <conditionalFormatting sqref="K9:K38">
    <cfRule type="cellIs" dxfId="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zoomScale="70" zoomScaleNormal="70" workbookViewId="0">
      <selection activeCell="G23" sqref="G23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2" t="s">
        <v>17</v>
      </c>
      <c r="B1" s="2" t="s">
        <v>274</v>
      </c>
      <c r="C1" s="189" t="s">
        <v>19</v>
      </c>
      <c r="D1" s="189"/>
      <c r="E1" s="189"/>
      <c r="F1" s="189"/>
      <c r="G1" s="189"/>
      <c r="H1" s="189"/>
      <c r="I1" s="18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123</v>
      </c>
      <c r="D3" s="57" t="s">
        <v>357</v>
      </c>
    </row>
    <row r="4" spans="1:1024" x14ac:dyDescent="0.35">
      <c r="A4" t="s">
        <v>22</v>
      </c>
      <c r="D4" s="57" t="s">
        <v>358</v>
      </c>
    </row>
    <row r="5" spans="1:1024" x14ac:dyDescent="0.35">
      <c r="A5" t="s">
        <v>24</v>
      </c>
      <c r="D5" s="57" t="s">
        <v>302</v>
      </c>
    </row>
    <row r="6" spans="1:1024" x14ac:dyDescent="0.35">
      <c r="A6" t="s">
        <v>26</v>
      </c>
      <c r="D6" s="57" t="s">
        <v>358</v>
      </c>
    </row>
    <row r="7" spans="1:1024" x14ac:dyDescent="0.35">
      <c r="A7" t="s">
        <v>27</v>
      </c>
      <c r="D7" s="57"/>
    </row>
    <row r="8" spans="1:1024" ht="13.15" x14ac:dyDescent="0.4">
      <c r="A8" t="s">
        <v>28</v>
      </c>
      <c r="D8" s="112">
        <v>45842</v>
      </c>
    </row>
    <row r="9" spans="1:1024" x14ac:dyDescent="0.35">
      <c r="A9" t="s">
        <v>29</v>
      </c>
      <c r="D9" s="54" t="s">
        <v>30</v>
      </c>
    </row>
    <row r="10" spans="1:1024" ht="13.15" x14ac:dyDescent="0.4">
      <c r="A10" t="s">
        <v>31</v>
      </c>
      <c r="D10" s="55">
        <v>110</v>
      </c>
    </row>
    <row r="11" spans="1:1024" x14ac:dyDescent="0.35">
      <c r="A11" t="s">
        <v>275</v>
      </c>
      <c r="D11">
        <v>1</v>
      </c>
    </row>
    <row r="13" spans="1:1024" x14ac:dyDescent="0.35">
      <c r="A13" t="s">
        <v>276</v>
      </c>
      <c r="B13">
        <v>50</v>
      </c>
      <c r="C13" t="s">
        <v>51</v>
      </c>
    </row>
    <row r="14" spans="1:1024" x14ac:dyDescent="0.35">
      <c r="A14" t="s">
        <v>277</v>
      </c>
      <c r="B14">
        <v>5</v>
      </c>
    </row>
    <row r="15" spans="1:1024" x14ac:dyDescent="0.35">
      <c r="A15" t="s">
        <v>278</v>
      </c>
      <c r="B15">
        <f>B13/B14</f>
        <v>10</v>
      </c>
      <c r="C15" t="s">
        <v>51</v>
      </c>
    </row>
    <row r="16" spans="1:1024" x14ac:dyDescent="0.35">
      <c r="A16" t="s">
        <v>268</v>
      </c>
      <c r="B16">
        <v>0.7</v>
      </c>
    </row>
    <row r="17" spans="1:10" x14ac:dyDescent="0.35">
      <c r="D17" s="57"/>
    </row>
    <row r="18" spans="1:10" x14ac:dyDescent="0.35">
      <c r="A18" t="s">
        <v>279</v>
      </c>
      <c r="B18">
        <f>$B$16*$B$15/100</f>
        <v>7.0000000000000007E-2</v>
      </c>
    </row>
    <row r="19" spans="1:10" x14ac:dyDescent="0.35">
      <c r="A19" s="59" t="s">
        <v>280</v>
      </c>
      <c r="B19">
        <f>B16*$B$13</f>
        <v>35</v>
      </c>
      <c r="C19" t="s">
        <v>51</v>
      </c>
    </row>
    <row r="20" spans="1:10" x14ac:dyDescent="0.35">
      <c r="A20" t="s">
        <v>281</v>
      </c>
      <c r="B20">
        <f>B15*B16</f>
        <v>7</v>
      </c>
      <c r="C20" t="s">
        <v>51</v>
      </c>
    </row>
    <row r="22" spans="1:10" x14ac:dyDescent="0.35">
      <c r="A22" s="113" t="s">
        <v>228</v>
      </c>
      <c r="B22" s="113" t="s">
        <v>282</v>
      </c>
      <c r="C22" s="113" t="s">
        <v>283</v>
      </c>
      <c r="D22" s="113" t="s">
        <v>284</v>
      </c>
      <c r="E22" s="113" t="s">
        <v>285</v>
      </c>
      <c r="F22" s="113" t="s">
        <v>286</v>
      </c>
      <c r="G22" s="113" t="s">
        <v>287</v>
      </c>
      <c r="H22" s="113" t="s">
        <v>288</v>
      </c>
      <c r="I22" s="113" t="s">
        <v>39</v>
      </c>
    </row>
    <row r="23" spans="1:10" x14ac:dyDescent="0.35">
      <c r="A23" s="114">
        <v>4</v>
      </c>
      <c r="B23" s="115">
        <f>'ANNEX E - B1'!$G9</f>
        <v>4252.5172813597537</v>
      </c>
      <c r="C23" s="115">
        <f>'ANNEX E - B2'!$G9</f>
        <v>4285.594002394062</v>
      </c>
      <c r="D23" s="115">
        <f>'ANNEX E - B3'!$G9</f>
        <v>4187.8010710896215</v>
      </c>
      <c r="E23" s="42">
        <f t="shared" ref="E23:E28" si="0">AVERAGE(B23:D23)</f>
        <v>4241.9707849478127</v>
      </c>
      <c r="F23" s="99">
        <v>6300</v>
      </c>
      <c r="G23">
        <v>4553</v>
      </c>
      <c r="H23">
        <v>8713</v>
      </c>
      <c r="I23" s="69">
        <f t="shared" ref="I23:I28" si="1">(E23-F23)/F23</f>
        <v>-0.32667130397653765</v>
      </c>
    </row>
    <row r="24" spans="1:10" x14ac:dyDescent="0.35">
      <c r="A24" s="57">
        <v>5</v>
      </c>
      <c r="B24" s="115">
        <f>'ANNEX E - B1'!$G10</f>
        <v>2199.4516868654291</v>
      </c>
      <c r="C24" s="115">
        <f>'ANNEX E - B2'!$G10</f>
        <v>2225.8721646356348</v>
      </c>
      <c r="D24" s="115">
        <f>'ANNEX E - B3'!$G10</f>
        <v>2179.8434440654346</v>
      </c>
      <c r="E24" s="42">
        <f t="shared" si="0"/>
        <v>2201.7224318554995</v>
      </c>
      <c r="F24" s="116">
        <v>3475</v>
      </c>
      <c r="G24">
        <v>2330</v>
      </c>
      <c r="H24">
        <v>5183</v>
      </c>
      <c r="I24" s="69">
        <f t="shared" si="1"/>
        <v>-0.3664108109768347</v>
      </c>
    </row>
    <row r="25" spans="1:10" x14ac:dyDescent="0.35">
      <c r="A25" s="57">
        <v>6</v>
      </c>
      <c r="B25" s="115">
        <f>'ANNEX E - B1'!$G11</f>
        <v>1046.1971818847067</v>
      </c>
      <c r="C25" s="115">
        <f>'ANNEX E - B2'!$G11</f>
        <v>1067.0026819270556</v>
      </c>
      <c r="D25" s="115">
        <f>'ANNEX E - B3'!$G11</f>
        <v>1044.0347623197392</v>
      </c>
      <c r="E25" s="42">
        <f t="shared" si="0"/>
        <v>1052.4115420438338</v>
      </c>
      <c r="F25" s="116">
        <v>1631</v>
      </c>
      <c r="G25">
        <v>938.2</v>
      </c>
      <c r="H25">
        <v>2834</v>
      </c>
      <c r="I25" s="69">
        <f t="shared" si="1"/>
        <v>-0.35474460941518465</v>
      </c>
    </row>
    <row r="26" spans="1:10" x14ac:dyDescent="0.35">
      <c r="A26" s="57">
        <v>7</v>
      </c>
      <c r="B26" s="115">
        <f>'ANNEX E - B1'!$G12</f>
        <v>487.36522400693491</v>
      </c>
      <c r="C26" s="115">
        <f>'ANNEX E - B2'!$G12</f>
        <v>504.31207219356929</v>
      </c>
      <c r="D26" s="115">
        <f>'ANNEX E - B3'!$G12</f>
        <v>492.69462056734807</v>
      </c>
      <c r="E26" s="42">
        <f t="shared" si="0"/>
        <v>494.79063892261746</v>
      </c>
      <c r="F26" s="116">
        <v>769.8</v>
      </c>
      <c r="G26">
        <v>413.6</v>
      </c>
      <c r="H26">
        <v>1433</v>
      </c>
      <c r="I26" s="69">
        <f t="shared" si="1"/>
        <v>-0.35724780602413941</v>
      </c>
    </row>
    <row r="27" spans="1:10" x14ac:dyDescent="0.35">
      <c r="A27" s="57">
        <v>8</v>
      </c>
      <c r="B27" s="115">
        <f>'ANNEX E - B1'!$G13</f>
        <v>248.25149873113446</v>
      </c>
      <c r="C27" s="115">
        <f>'ANNEX E - B2'!$G13</f>
        <v>259.12737848324088</v>
      </c>
      <c r="D27" s="115">
        <f>'ANNEX E - B3'!$G13</f>
        <v>253.28776131701176</v>
      </c>
      <c r="E27" s="42">
        <f t="shared" si="0"/>
        <v>253.55554617712903</v>
      </c>
      <c r="F27" s="116">
        <v>379.1</v>
      </c>
      <c r="G27">
        <v>179.7</v>
      </c>
      <c r="H27">
        <v>799.5</v>
      </c>
      <c r="I27" s="69">
        <f t="shared" si="1"/>
        <v>-0.33116447856204428</v>
      </c>
    </row>
    <row r="28" spans="1:10" x14ac:dyDescent="0.35">
      <c r="A28" s="77">
        <v>9</v>
      </c>
      <c r="B28" s="117">
        <f>'ANNEX E - B1'!$G14</f>
        <v>123.25610331228971</v>
      </c>
      <c r="C28" s="117">
        <f>'ANNEX E - B2'!$G14</f>
        <v>130.38992241334859</v>
      </c>
      <c r="D28" s="117">
        <f>'ANNEX E - B3'!$G14</f>
        <v>124.79911393403135</v>
      </c>
      <c r="E28" s="118">
        <f t="shared" si="0"/>
        <v>126.14837988655655</v>
      </c>
      <c r="F28" s="119">
        <v>196.2</v>
      </c>
      <c r="G28" s="48">
        <v>76.569999999999993</v>
      </c>
      <c r="H28" s="48">
        <v>502.6</v>
      </c>
      <c r="I28" s="110">
        <f t="shared" si="1"/>
        <v>-0.35704189660266789</v>
      </c>
    </row>
    <row r="29" spans="1:10" ht="13.15" x14ac:dyDescent="0.4">
      <c r="A29" s="8"/>
      <c r="B29" s="8"/>
      <c r="C29" s="120"/>
      <c r="D29" s="99"/>
      <c r="E29" s="99"/>
      <c r="J29" s="57"/>
    </row>
    <row r="30" spans="1:10" x14ac:dyDescent="0.35">
      <c r="A30" t="s">
        <v>286</v>
      </c>
      <c r="C30" s="43"/>
    </row>
    <row r="31" spans="1:10" x14ac:dyDescent="0.35">
      <c r="A31" s="113" t="s">
        <v>228</v>
      </c>
      <c r="B31" s="113" t="s">
        <v>289</v>
      </c>
      <c r="C31" s="113" t="s">
        <v>290</v>
      </c>
      <c r="D31" s="113" t="s">
        <v>291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29"/>
    </row>
    <row r="34" spans="1:21" ht="13.15" x14ac:dyDescent="0.4">
      <c r="A34" s="121">
        <v>4</v>
      </c>
      <c r="B34" s="121">
        <v>6300</v>
      </c>
      <c r="C34" s="121">
        <v>4553</v>
      </c>
      <c r="D34" s="121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72"/>
      <c r="F35" s="42"/>
      <c r="G35" s="72"/>
      <c r="H35" s="42"/>
      <c r="I35" s="72"/>
      <c r="J35" s="42"/>
      <c r="K35" s="72"/>
    </row>
    <row r="36" spans="1:21" ht="13.15" x14ac:dyDescent="0.4">
      <c r="A36" s="121">
        <v>6</v>
      </c>
      <c r="B36" s="121">
        <v>1631</v>
      </c>
      <c r="C36" s="121">
        <v>938.2</v>
      </c>
      <c r="D36" s="121">
        <v>2834</v>
      </c>
      <c r="E36" s="72"/>
      <c r="F36" s="42"/>
      <c r="G36" s="72"/>
      <c r="H36" s="42"/>
      <c r="I36" s="72"/>
      <c r="J36" s="42"/>
      <c r="K36" s="72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72"/>
      <c r="F37" s="42"/>
      <c r="G37" s="72"/>
      <c r="H37" s="42"/>
      <c r="I37" s="72"/>
      <c r="J37" s="42"/>
      <c r="K37" s="72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72"/>
      <c r="F38" s="42"/>
      <c r="G38" s="72"/>
      <c r="H38" s="42"/>
      <c r="I38" s="72"/>
      <c r="J38" s="42"/>
      <c r="K38" s="72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72"/>
      <c r="F39" s="42"/>
      <c r="G39" s="72"/>
      <c r="H39" s="42"/>
      <c r="I39" s="72"/>
      <c r="J39" s="42"/>
      <c r="K39" s="72"/>
    </row>
    <row r="40" spans="1:21" x14ac:dyDescent="0.35">
      <c r="A40" s="48">
        <v>10</v>
      </c>
      <c r="B40" s="48">
        <v>88.9</v>
      </c>
      <c r="C40" s="48">
        <v>27.89</v>
      </c>
      <c r="D40" s="48">
        <v>283.39999999999998</v>
      </c>
    </row>
    <row r="42" spans="1:21" x14ac:dyDescent="0.35">
      <c r="A42" t="s">
        <v>178</v>
      </c>
    </row>
    <row r="43" spans="1:21" ht="15" x14ac:dyDescent="0.5">
      <c r="A43" s="35"/>
      <c r="B43" s="73" t="s">
        <v>179</v>
      </c>
      <c r="C43" s="35"/>
      <c r="D43" s="74" t="s">
        <v>180</v>
      </c>
      <c r="E43" s="36"/>
      <c r="F43" s="36"/>
      <c r="G43" s="36"/>
      <c r="H43" s="75"/>
      <c r="U43" s="29"/>
    </row>
    <row r="44" spans="1:21" ht="15" x14ac:dyDescent="0.5">
      <c r="A44" s="76" t="s">
        <v>181</v>
      </c>
      <c r="B44" s="77" t="s">
        <v>182</v>
      </c>
      <c r="C44" s="76" t="s">
        <v>183</v>
      </c>
      <c r="D44" s="76" t="s">
        <v>184</v>
      </c>
      <c r="E44" s="77" t="s">
        <v>185</v>
      </c>
      <c r="F44" s="77" t="s">
        <v>186</v>
      </c>
      <c r="G44" s="77" t="s">
        <v>187</v>
      </c>
      <c r="H44" s="78" t="s">
        <v>188</v>
      </c>
      <c r="I44" s="42"/>
      <c r="J44" s="42"/>
    </row>
    <row r="45" spans="1:21" x14ac:dyDescent="0.35">
      <c r="A45" s="38">
        <v>10000</v>
      </c>
      <c r="C45" s="38">
        <v>11</v>
      </c>
      <c r="D45" s="38">
        <v>7.8</v>
      </c>
      <c r="E45">
        <v>5.3</v>
      </c>
      <c r="F45">
        <v>4</v>
      </c>
      <c r="G45">
        <v>2.7</v>
      </c>
      <c r="H45" s="45">
        <v>1.8</v>
      </c>
      <c r="I45" s="42"/>
      <c r="J45" s="42"/>
    </row>
    <row r="46" spans="1:21" x14ac:dyDescent="0.35">
      <c r="A46" s="38">
        <v>5000</v>
      </c>
      <c r="B46">
        <v>10000</v>
      </c>
      <c r="C46" s="38">
        <v>11.3</v>
      </c>
      <c r="D46" s="38">
        <v>7.8</v>
      </c>
      <c r="E46">
        <v>5.3</v>
      </c>
      <c r="F46">
        <v>4</v>
      </c>
      <c r="G46">
        <v>2.7</v>
      </c>
      <c r="H46" s="45">
        <v>1.9</v>
      </c>
    </row>
    <row r="47" spans="1:21" x14ac:dyDescent="0.35">
      <c r="A47" s="38">
        <v>2000</v>
      </c>
      <c r="B47">
        <v>5000</v>
      </c>
      <c r="C47" s="38">
        <v>11.9</v>
      </c>
      <c r="D47" s="38">
        <v>7.9</v>
      </c>
      <c r="E47">
        <v>5.4</v>
      </c>
      <c r="F47">
        <v>4.0999999999999996</v>
      </c>
      <c r="G47">
        <v>2.9</v>
      </c>
      <c r="H47" s="45">
        <v>2.1</v>
      </c>
      <c r="J47" s="42"/>
    </row>
    <row r="48" spans="1:21" x14ac:dyDescent="0.35">
      <c r="A48" s="38">
        <v>1000</v>
      </c>
      <c r="B48">
        <v>2000</v>
      </c>
      <c r="C48" s="38">
        <v>13.4</v>
      </c>
      <c r="D48" s="38">
        <v>8</v>
      </c>
      <c r="E48">
        <v>5.6</v>
      </c>
      <c r="F48">
        <v>4.3</v>
      </c>
      <c r="G48">
        <v>3.1</v>
      </c>
      <c r="H48" s="45">
        <v>2.4</v>
      </c>
      <c r="J48" s="42"/>
    </row>
    <row r="49" spans="1:12" x14ac:dyDescent="0.35">
      <c r="A49" s="38">
        <v>500</v>
      </c>
      <c r="B49">
        <v>1000</v>
      </c>
      <c r="C49" s="38">
        <v>15.6</v>
      </c>
      <c r="D49" s="38">
        <v>8.1999999999999993</v>
      </c>
      <c r="E49">
        <v>5.9</v>
      </c>
      <c r="F49">
        <v>4.7</v>
      </c>
      <c r="G49">
        <v>3.6</v>
      </c>
      <c r="H49" s="45">
        <v>2.9</v>
      </c>
      <c r="I49" s="42"/>
      <c r="J49" s="42"/>
    </row>
    <row r="50" spans="1:12" x14ac:dyDescent="0.35">
      <c r="A50" s="38">
        <v>200</v>
      </c>
      <c r="B50">
        <v>500</v>
      </c>
      <c r="C50" s="38">
        <v>19.3</v>
      </c>
      <c r="D50" s="38">
        <v>8.9</v>
      </c>
      <c r="E50">
        <v>6.8</v>
      </c>
      <c r="F50">
        <v>5.7</v>
      </c>
      <c r="G50">
        <v>4.7</v>
      </c>
      <c r="H50" s="45">
        <v>4.0999999999999996</v>
      </c>
    </row>
    <row r="51" spans="1:12" x14ac:dyDescent="0.35">
      <c r="A51" s="47">
        <v>100</v>
      </c>
      <c r="B51" s="48">
        <v>200</v>
      </c>
      <c r="C51" s="47">
        <v>27.5</v>
      </c>
      <c r="D51" s="47">
        <v>10</v>
      </c>
      <c r="E51" s="48">
        <v>8</v>
      </c>
      <c r="F51" s="48">
        <v>7</v>
      </c>
      <c r="G51" s="48">
        <v>6.1</v>
      </c>
      <c r="H51" s="79">
        <v>5.5</v>
      </c>
    </row>
    <row r="53" spans="1:12" ht="30" x14ac:dyDescent="1.1000000000000001">
      <c r="A53" s="122" t="s">
        <v>292</v>
      </c>
    </row>
    <row r="54" spans="1:12" x14ac:dyDescent="0.35">
      <c r="B54" s="72"/>
      <c r="D54" s="72"/>
      <c r="F54" s="72"/>
      <c r="H54" s="72"/>
      <c r="J54" s="72"/>
    </row>
    <row r="55" spans="1:12" ht="13.15" x14ac:dyDescent="0.4">
      <c r="A55" s="8"/>
      <c r="B55" s="111"/>
      <c r="D55" s="111"/>
      <c r="F55" s="111"/>
      <c r="H55" s="111"/>
      <c r="J55" s="111"/>
    </row>
    <row r="56" spans="1:12" ht="13.15" x14ac:dyDescent="0.4">
      <c r="B56" s="72"/>
      <c r="D56" s="72"/>
      <c r="K56" s="55"/>
      <c r="L56" s="55"/>
    </row>
  </sheetData>
  <mergeCells count="1">
    <mergeCell ref="C1:I1"/>
  </mergeCells>
  <conditionalFormatting sqref="A29">
    <cfRule type="cellIs" dxfId="3" priority="2" operator="between">
      <formula>$C$34</formula>
      <formula>$D$34</formula>
    </cfRule>
  </conditionalFormatting>
  <conditionalFormatting sqref="B29">
    <cfRule type="cellIs" dxfId="2" priority="3" operator="between">
      <formula>$C$36</formula>
      <formula>$D$36</formula>
    </cfRule>
  </conditionalFormatting>
  <conditionalFormatting sqref="B55 D55">
    <cfRule type="cellIs" dxfId="1" priority="4" operator="lessThan">
      <formula>B56</formula>
    </cfRule>
  </conditionalFormatting>
  <conditionalFormatting sqref="E23:E28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ISO 11171_2020 Summary</vt:lpstr>
      <vt:lpstr>Annex A Preliminary Check</vt:lpstr>
      <vt:lpstr>Annex B Coincidence Limit</vt:lpstr>
      <vt:lpstr>Clause 6 Sizing Calibration</vt:lpstr>
      <vt:lpstr>6 - B1</vt:lpstr>
      <vt:lpstr>6 - B2</vt:lpstr>
      <vt:lpstr>6 - B3</vt:lpstr>
      <vt:lpstr>6 - Interpolated Thresholds</vt:lpstr>
      <vt:lpstr>Clause 6 - Spheres</vt:lpstr>
      <vt:lpstr>6 - Calibration Curve</vt:lpstr>
      <vt:lpstr>Annex C - Flow Rate</vt:lpstr>
      <vt:lpstr>D1</vt:lpstr>
      <vt:lpstr>Annex D Resolution</vt:lpstr>
      <vt:lpstr>ANNEX E - B1</vt:lpstr>
      <vt:lpstr>ANNEX E - B2</vt:lpstr>
      <vt:lpstr>ANNEX E - B3</vt:lpstr>
      <vt:lpstr>Annex E Verify Counting Accurac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dcterms:created xsi:type="dcterms:W3CDTF">2021-11-24T13:24:09Z</dcterms:created>
  <dcterms:modified xsi:type="dcterms:W3CDTF">2025-12-16T15:32:02Z</dcterms:modified>
  <dc:language>en-GB</dc:language>
</cp:coreProperties>
</file>