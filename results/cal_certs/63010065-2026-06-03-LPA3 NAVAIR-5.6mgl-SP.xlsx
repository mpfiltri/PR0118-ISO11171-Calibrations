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2D10035F-5235-4E39-802B-C8FD9167BDCA}"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<sst xmlns="http://schemas.openxmlformats.org/spreadsheetml/2006/main" count="12015" uniqueCount="1011">
  <si>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</si>
  <si>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</si>
  <si>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</si>
  <si>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</si>
  <si>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</si>
  <si>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</si>
  <si>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</si>
  <si>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</si>
  <si>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</si>
  <si>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</si>
  <si>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</si>
  <si>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</si>
  <si>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</si>
  <si>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</si>
  <si>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</si>
  <si>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</si>
  <si>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</si>
  <si>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</si>
  <si>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</si>
  <si>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</si>
  <si>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</si>
  <si>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</si>
  <si>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</si>
  <si>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</si>
  <si>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</si>
  <si>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</si>
  <si>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</si>
  <si>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</si>
  <si>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</si>
  <si>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</si>
  <si>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</si>
  <si>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</si>
  <si>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</si>
  <si>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</si>
  <si>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</si>
  <si>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</si>
  <si>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</si>
  <si>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</si>
  <si>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</si>
  <si>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</si>
  <si>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</si>
  <si>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</si>
  <si>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</si>
  <si>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</si>
  <si>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</si>
  <si>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</si>
  <si>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</si>
  <si>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</si>
  <si>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</si>
  <si>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</si>
  <si>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</si>
  <si>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</si>
  <si>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</si>
  <si>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</si>
  <si>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</si>
  <si>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</si>
  <si>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</si>
  <si>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</si>
  <si>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</si>
  <si>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</si>
  <si>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</si>
  <si>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</si>
  <si>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</si>
  <si>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</si>
  <si>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</si>
  <si>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</si>
  <si>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</si>
  <si>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</si>
  <si>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</si>
  <si>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</si>
  <si>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</si>
  <si>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</si>
  <si>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</si>
  <si>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</si>
  <si>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</si>
  <si>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</si>
  <si>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</si>
  <si>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</si>
  <si>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</si>
  <si>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</si>
  <si>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</si>
  <si>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</si>
  <si>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</si>
  <si>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</si>
  <si>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</si>
  <si>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</si>
  <si>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</si>
  <si>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</si>
  <si>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</si>
  <si>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</si>
  <si>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</si>
  <si>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</si>
  <si>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</si>
  <si>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</si>
  <si>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</si>
  <si>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</si>
  <si>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</si>
  <si>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</si>
  <si>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</si>
  <si>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</si>
  <si>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</si>
  <si>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</si>
  <si>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</si>
  <si>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</si>
  <si>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</si>
  <si>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</si>
  <si>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</si>
  <si>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</si>
  <si>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</si>
  <si>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</si>
  <si>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</si>
  <si>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</si>
  <si>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</si>
  <si>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</si>
  <si>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</si>
  <si>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</si>
  <si>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</si>
  <si>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</si>
  <si>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</si>
  <si>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</si>
  <si>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</si>
  <si>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</si>
  <si>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</si>
  <si>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</si>
  <si>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</si>
  <si>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</si>
  <si>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</si>
  <si>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</si>
  <si>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</si>
  <si>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</si>
  <si>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</si>
  <si>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</si>
  <si>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</si>
  <si>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</si>
  <si>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</si>
  <si>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</si>
  <si>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</si>
  <si>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</si>
  <si>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</si>
  <si>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</si>
  <si>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</si>
  <si>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</si>
  <si>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</si>
  <si>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</si>
  <si>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</si>
  <si>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</si>
  <si>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</si>
  <si>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</si>
  <si>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</si>
  <si>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</si>
  <si>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</si>
  <si>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</si>
  <si>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</si>
  <si>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</si>
  <si>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</si>
  <si>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</si>
  <si>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</si>
  <si>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</si>
  <si>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</si>
  <si>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</si>
  <si>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</si>
  <si>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</si>
  <si>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</si>
  <si>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</si>
  <si>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</si>
  <si>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</si>
  <si>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</si>
  <si>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</si>
  <si>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</si>
  <si>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</si>
  <si>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</si>
  <si>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</si>
  <si>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</si>
  <si>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</si>
  <si>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</si>
  <si>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</si>
  <si>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</si>
  <si>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</si>
  <si>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</si>
  <si>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</si>
  <si>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</si>
  <si>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</si>
  <si>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</si>
  <si>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</si>
  <si>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</si>
  <si>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</si>
  <si>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</si>
  <si>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</si>
  <si>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</si>
  <si>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</si>
  <si>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</si>
  <si>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</si>
  <si>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</si>
  <si>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</si>
  <si>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</si>
  <si>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</si>
  <si>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</si>
  <si>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</si>
  <si>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</si>
  <si>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</si>
  <si>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</si>
  <si>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</si>
  <si>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</si>
  <si>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</si>
  <si>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</si>
  <si>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</si>
  <si>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</si>
  <si>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</si>
  <si>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</si>
  <si>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</si>
  <si>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</si>
  <si>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</si>
  <si>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</si>
  <si>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</si>
  <si>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</si>
  <si>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</si>
  <si>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</si>
  <si>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</si>
  <si>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</si>
  <si>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</si>
  <si>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</si>
  <si>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</si>
  <si>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</si>
  <si>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</si>
  <si>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</si>
  <si>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</si>
  <si>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</si>
  <si>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</si>
  <si>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</si>
  <si>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</si>
  <si>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</si>
  <si>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</si>
  <si>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</si>
  <si>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</si>
  <si>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</si>
  <si>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</si>
  <si>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</si>
  <si>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</si>
  <si>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</si>
  <si>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</si>
  <si>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</si>
  <si>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</si>
  <si>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</si>
  <si>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</si>
  <si>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</si>
  <si>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</si>
  <si>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</si>
  <si>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</si>
  <si>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</si>
  <si>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</si>
  <si>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</si>
  <si>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</si>
  <si>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</si>
  <si>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</si>
  <si>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</si>
  <si>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</si>
  <si>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</si>
  <si>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</si>
  <si>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</si>
  <si>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</si>
  <si>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</si>
  <si>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</si>
  <si>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</si>
  <si>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</si>
  <si>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</si>
  <si>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</si>
  <si>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</si>
  <si>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</si>
  <si>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</si>
  <si>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</si>
  <si>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</si>
  <si>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</si>
  <si>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</si>
  <si>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</si>
  <si>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</si>
  <si>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</si>
  <si>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</si>
  <si>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</si>
  <si>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</si>
  <si>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</si>
  <si>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</si>
  <si>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</si>
  <si>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</si>
  <si>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</si>
  <si>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</si>
  <si>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</si>
  <si>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</si>
  <si>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</si>
  <si>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</si>
  <si>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</si>
  <si>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</si>
  <si>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</si>
  <si>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</si>
  <si>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</si>
  <si>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</si>
  <si>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</si>
  <si>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</si>
  <si>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</si>
  <si>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</si>
  <si>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</si>
  <si>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</si>
  <si>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</si>
  <si>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</si>
  <si>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</si>
  <si>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</si>
  <si>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</si>
  <si>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</si>
  <si>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</si>
  <si>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</si>
  <si>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</si>
  <si>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</si>
  <si>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</si>
  <si>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</si>
  <si>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</si>
  <si>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</si>
  <si>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</si>
  <si>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</si>
  <si>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</si>
  <si>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</si>
  <si>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</si>
  <si>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</si>
  <si>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</si>
  <si>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</si>
  <si>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</si>
  <si>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</si>
  <si>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</si>
  <si>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</si>
  <si>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</si>
  <si>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</si>
  <si>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</si>
  <si>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</si>
  <si>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</si>
  <si>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</si>
  <si>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</si>
  <si>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</si>
  <si>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</si>
  <si>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</si>
  <si>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</si>
  <si>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</si>
  <si>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</si>
  <si>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</si>
  <si>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</si>
  <si>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</si>
  <si>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</si>
  <si>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</si>
  <si>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</si>
  <si>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</si>
  <si>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</si>
  <si>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</si>
  <si>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</si>
  <si>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</si>
  <si>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</si>
  <si>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</si>
  <si>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</si>
  <si>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</si>
  <si>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</si>
  <si>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</si>
  <si>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</si>
  <si>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</si>
  <si>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</si>
  <si>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</si>
  <si>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</si>
  <si>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</si>
  <si>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</si>
  <si>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</si>
  <si>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</si>
  <si>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</si>
  <si>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</si>
  <si>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</si>
  <si>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</si>
  <si>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</si>
  <si>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</si>
  <si>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</si>
  <si>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</si>
  <si>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</si>
  <si>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</si>
  <si>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</si>
  <si>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</si>
  <si>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</si>
  <si>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</si>
  <si>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</si>
  <si>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</si>
  <si>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</si>
  <si>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</si>
  <si>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</si>
  <si>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</si>
  <si>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</si>
  <si>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</si>
  <si>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</si>
  <si>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</si>
  <si>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</si>
  <si>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</si>
  <si>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</si>
  <si>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</si>
  <si>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</si>
  <si>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</si>
  <si>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</si>
  <si>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</si>
  <si>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</si>
  <si>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</si>
  <si>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</si>
  <si>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</si>
  <si>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</si>
  <si>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</si>
  <si>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</si>
  <si>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</si>
  <si>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</si>
  <si>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</si>
  <si>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</si>
  <si>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</si>
  <si>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</si>
  <si>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</si>
  <si>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</si>
  <si>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</si>
  <si>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</si>
  <si>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</si>
  <si>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</si>
  <si>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</si>
  <si>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</si>
  <si>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</si>
  <si>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</si>
  <si>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</si>
  <si>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</si>
  <si>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</si>
  <si>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</si>
  <si>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</si>
  <si>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</si>
  <si>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</si>
  <si>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</si>
  <si>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</si>
  <si>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</si>
  <si>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</si>
  <si>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</si>
  <si>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</si>
  <si>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</si>
  <si>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</si>
  <si>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</si>
  <si>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</si>
  <si>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</si>
  <si>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</si>
  <si>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</si>
  <si>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</si>
  <si>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</si>
  <si>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</si>
  <si>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</si>
  <si>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</si>
  <si>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</si>
  <si>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</si>
  <si>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</si>
  <si>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</si>
  <si>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</si>
  <si>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</si>
  <si>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</si>
  <si>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</si>
  <si>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</si>
  <si>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</si>
  <si>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</si>
  <si>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</si>
  <si>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</si>
  <si>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</si>
  <si>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</si>
  <si>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</si>
  <si>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</si>
  <si>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</si>
  <si>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</si>
  <si>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</si>
  <si>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</si>
  <si>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</si>
  <si>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</si>
  <si>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</si>
  <si>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</si>
  <si>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</si>
  <si>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</si>
  <si>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</si>
  <si>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</si>
  <si>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</si>
  <si>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</si>
  <si>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</si>
  <si>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</si>
  <si>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</si>
  <si>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</si>
  <si>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</si>
  <si>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</si>
  <si>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</si>
  <si>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</si>
  <si>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</si>
  <si>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</si>
  <si>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</si>
  <si>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</si>
  <si>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</si>
  <si>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</si>
  <si>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</si>
  <si>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</si>
  <si>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</si>
  <si>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</si>
  <si>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</si>
  <si>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</si>
  <si>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</si>
  <si>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</si>
  <si>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</si>
  <si>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</si>
  <si>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</si>
  <si>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</si>
  <si>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</si>
  <si>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</si>
  <si>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</si>
  <si>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</si>
  <si>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</si>
  <si>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</si>
  <si>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</si>
  <si>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</si>
  <si>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</si>
  <si>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</si>
  <si>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</si>
  <si>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</si>
  <si>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</si>
  <si>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</si>
  <si>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</si>
  <si>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</si>
  <si>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</si>
  <si>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</si>
  <si>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</si>
  <si>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</si>
  <si>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</si>
  <si>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</si>
  <si>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</si>
  <si>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</si>
  <si>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</si>
  <si>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</si>
  <si>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</si>
  <si>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</si>
  <si>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</si>
  <si>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</si>
  <si>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</si>
  <si>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</si>
  <si>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</si>
  <si>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</si>
  <si>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</si>
  <si>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</si>
  <si>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</si>
  <si>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</si>
  <si>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</si>
  <si>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</si>
  <si>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</si>
  <si>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</si>
  <si>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</si>
  <si>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</si>
  <si>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</si>
  <si>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</si>
  <si>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</si>
  <si>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</si>
  <si>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</si>
  <si>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</si>
  <si>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</si>
  <si>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</si>
  <si>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</si>
  <si>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</si>
  <si>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</si>
  <si>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</si>
  <si>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</si>
  <si>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</si>
  <si>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</si>
  <si>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</si>
  <si>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</si>
  <si>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</si>
  <si>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</si>
  <si>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</si>
  <si>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</si>
  <si>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</si>
  <si>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</si>
  <si>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</si>
  <si>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</si>
  <si>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</si>
  <si>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</si>
  <si>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</si>
  <si>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</si>
  <si>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</si>
  <si>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</si>
  <si>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</si>
  <si>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</si>
  <si>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</si>
  <si>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</si>
  <si>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</si>
  <si>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</si>
  <si>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</si>
  <si>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</si>
  <si>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</si>
  <si>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</si>
  <si>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</si>
  <si>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</si>
  <si>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</si>
  <si>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</si>
  <si>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</si>
  <si>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</si>
  <si>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</si>
  <si>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</si>
  <si>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</si>
  <si>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</si>
  <si>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</si>
  <si>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</si>
  <si>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</si>
  <si>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</si>
  <si>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</si>
  <si>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</si>
  <si>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</si>
  <si>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</si>
  <si>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</si>
  <si>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</si>
  <si>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</si>
  <si>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</si>
  <si>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</si>
  <si>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</si>
  <si>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</si>
  <si>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</si>
  <si>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</si>
  <si>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</si>
  <si>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</si>
  <si>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</si>
  <si>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</si>
  <si>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</si>
  <si>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</si>
  <si>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</si>
  <si>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</si>
  <si>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</si>
  <si>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</si>
  <si>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</si>
  <si>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</si>
  <si>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</si>
  <si>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</si>
  <si>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</si>
  <si>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</si>
  <si>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</si>
  <si>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</si>
  <si>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</si>
  <si>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</si>
  <si>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</si>
  <si>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</si>
  <si>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</si>
  <si>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</si>
  <si>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</si>
  <si>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</si>
  <si>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</si>
  <si>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</si>
  <si>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</si>
  <si>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</si>
  <si>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</si>
  <si>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</si>
  <si>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</si>
  <si>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</si>
  <si>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</si>
  <si>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</si>
  <si>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</si>
  <si>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</si>
  <si>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</si>
  <si>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</si>
  <si>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</si>
  <si>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</si>
  <si>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</si>
  <si>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</si>
  <si>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</si>
  <si>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</si>
  <si>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</si>
  <si>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</si>
  <si>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</si>
  <si>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</si>
  <si>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</si>
  <si>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</si>
  <si>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</si>
  <si>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</si>
  <si>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</si>
  <si>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</si>
  <si>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</si>
  <si>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</si>
  <si>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</si>
  <si>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</si>
  <si>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</si>
  <si>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</si>
  <si>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</si>
  <si>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</si>
  <si>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</si>
  <si>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</si>
  <si>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</si>
  <si>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</si>
  <si>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</si>
  <si>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</si>
  <si>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</si>
  <si>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</si>
  <si>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</si>
  <si>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</si>
  <si>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</si>
  <si>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</si>
  <si>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</si>
  <si>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</si>
  <si>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</si>
  <si>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</si>
  <si>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</si>
  <si>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</si>
  <si>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</si>
  <si>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</si>
  <si>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</si>
  <si>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</si>
  <si>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</si>
  <si>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</si>
  <si>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</si>
  <si>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</si>
  <si>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</si>
  <si>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</si>
  <si>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</si>
  <si>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</si>
  <si>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</si>
  <si>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</si>
  <si>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</si>
  <si>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</si>
  <si>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</si>
  <si>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</si>
  <si>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</si>
  <si>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</si>
  <si>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</si>
  <si>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</si>
  <si>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</si>
  <si>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</si>
  <si>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</si>
  <si>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</si>
  <si>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</si>
  <si>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</si>
  <si>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</si>
  <si>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</si>
  <si>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</si>
  <si>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</si>
  <si>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</si>
  <si>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</si>
  <si>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</si>
  <si>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</si>
  <si>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</si>
  <si>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</si>
  <si>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</si>
  <si>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</si>
  <si>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</si>
  <si>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</si>
  <si>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</si>
  <si>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</si>
  <si>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</si>
  <si>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</si>
  <si>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</si>
  <si>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</si>
  <si>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</si>
  <si>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</si>
  <si>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</si>
  <si>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</si>
  <si>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</si>
  <si>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</si>
  <si>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</si>
  <si>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</si>
  <si>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</si>
  <si>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</si>
  <si>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</si>
  <si>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</si>
  <si>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</si>
  <si>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</si>
  <si>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</si>
  <si>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</si>
  <si>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</si>
  <si>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</si>
  <si>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</si>
  <si>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</si>
  <si>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</si>
  <si>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</si>
  <si>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</si>
  <si>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</si>
  <si>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</si>
  <si>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</si>
  <si>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</si>
  <si>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</si>
  <si>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</si>
  <si>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</si>
  <si>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</si>
  <si>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</si>
  <si>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</si>
  <si>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</si>
  <si>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</si>
  <si>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</si>
  <si>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</si>
  <si>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</si>
  <si>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</si>
  <si>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</si>
  <si>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</si>
  <si>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</si>
  <si>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</si>
  <si>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</si>
  <si>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</si>
  <si>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</si>
  <si>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</si>
  <si>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</si>
  <si>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</si>
  <si>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</si>
  <si>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</si>
  <si>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</si>
  <si>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</si>
  <si>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</si>
  <si>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</si>
  <si>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</si>
  <si>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</si>
  <si>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</si>
  <si>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</si>
  <si>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</si>
  <si>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</si>
  <si>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</si>
  <si>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</si>
  <si>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</si>
  <si>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</si>
  <si>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</si>
  <si>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</si>
  <si>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</si>
  <si>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</si>
  <si>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</si>
  <si>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</si>
  <si>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</si>
  <si>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</si>
  <si>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</si>
  <si>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</si>
  <si>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</si>
  <si>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</si>
  <si>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</si>
  <si>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</si>
  <si>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</si>
  <si>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</si>
  <si>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</si>
  <si>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</si>
  <si>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</si>
  <si>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</si>
  <si>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</si>
  <si>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</si>
  <si>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</si>
  <si>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</si>
  <si>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</si>
  <si>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</si>
  <si>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</si>
  <si>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</si>
  <si>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</si>
  <si>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</si>
  <si>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</si>
  <si>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</si>
  <si>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</si>
  <si>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</si>
  <si>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</si>
  <si>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</si>
  <si>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</si>
  <si>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</si>
  <si>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</si>
  <si>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</si>
  <si>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</si>
  <si>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</si>
  <si>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</si>
  <si>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</si>
  <si>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</si>
  <si>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</si>
  <si>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</si>
  <si>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</si>
  <si>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</si>
  <si>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</si>
  <si>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</si>
  <si>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</si>
  <si>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</si>
  <si>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</si>
  <si>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</si>
  <si>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</si>
  <si>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</si>
  <si>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</si>
  <si>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</si>
  <si>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</si>
  <si>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</si>
  <si>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</si>
  <si>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</si>
  <si>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</si>
  <si>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</si>
  <si>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</si>
  <si>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</si>
  <si>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</si>
  <si>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</si>
  <si>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</si>
  <si>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</si>
  <si>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</si>
  <si>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</si>
  <si>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</si>
  <si>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</si>
  <si>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</si>
  <si>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</si>
  <si>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</si>
  <si>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</si>
  <si>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</si>
  <si>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</si>
  <si>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</si>
  <si>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</si>
  <si>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</si>
  <si>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</si>
  <si>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</si>
  <si>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</si>
  <si>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</si>
  <si>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</si>
  <si>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</si>
  <si>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</si>
  <si>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</si>
  <si>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</si>
  <si>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</si>
  <si>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</si>
  <si>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</si>
  <si>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</si>
  <si>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</si>
  <si>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</si>
  <si>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</si>
  <si>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</si>
  <si>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</si>
  <si>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</si>
  <si>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</si>
  <si>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</si>
  <si>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</si>
  <si>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</si>
  <si>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</si>
  <si>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</si>
  <si>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</si>
  <si>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</si>
  <si>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</si>
  <si>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</si>
  <si>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</si>
  <si>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</si>
  <si>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</si>
  <si>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</si>
  <si>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</si>
  <si>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</si>
  <si>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</si>
  <si>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</si>
  <si>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</si>
  <si>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</si>
  <si>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</si>
  <si>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</si>
  <si>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</si>
  <si>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</si>
  <si>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</si>
  <si>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</si>
  <si>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</si>
  <si>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</si>
  <si>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</si>
  <si>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</si>
  <si>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</si>
  <si>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</si>
  <si>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</si>
  <si>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</si>
  <si>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</si>
  <si>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</si>
  <si>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</si>
  <si>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</si>
  <si>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</si>
  <si>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</si>
  <si>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</si>
  <si>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</si>
  <si>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</si>
  <si>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</si>
  <si>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</si>
  <si>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</si>
  <si>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</si>
  <si>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</si>
  <si>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</si>
  <si>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</si>
  <si>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</si>
  <si>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</si>
  <si>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</si>
  <si>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</si>
  <si>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</si>
  <si>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</si>
  <si>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</si>
  <si>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</si>
  <si>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</si>
  <si>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</si>
  <si>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</si>
  <si>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</si>
  <si>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</si>
  <si>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</si>
  <si>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</si>
  <si>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</si>
  <si>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</si>
  <si>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</si>
  <si>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</si>
  <si>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</si>
  <si>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</si>
  <si>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</si>
  <si>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</si>
  <si>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</si>
  <si>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</si>
  <si>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</si>
  <si>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</si>
  <si>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</si>
  <si>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</si>
  <si>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</si>
  <si>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</si>
  <si>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</si>
  <si>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</si>
  <si>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</si>
  <si>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</si>
  <si>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</si>
  <si>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</si>
  <si>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</si>
  <si>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</si>
  <si>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</si>
  <si>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</si>
  <si>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</si>
  <si>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</si>
  <si>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</si>
  <si>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</si>
  <si>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</si>
  <si>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</si>
  <si>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#63010065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</si>
</sst>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0" fillId="0" borderId="0" xfId="0" applyNumberFormat="1"/>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72</c:v>
                </c:pt>
                <c:pt idx="1">
                  <c:v>174</c:v>
                </c:pt>
                <c:pt idx="2">
                  <c:v>980</c:v>
                </c:pt>
                <c:pt idx="3">
                  <c:v>1996</c:v>
                </c:pt>
                <c:pt idx="4">
                  <c:v>2808</c:v>
                </c:pt>
                <c:pt idx="5">
                  <c:v>9752</c:v>
                </c:pt>
                <c:pt idx="6">
                  <c:v>14732</c:v>
                </c:pt>
                <c:pt idx="7">
                  <c:v>23642</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1283640</c:v>
                </c:pt>
                <c:pt idx="1">
                  <c:v>527858</c:v>
                </c:pt>
                <c:pt idx="2">
                  <c:v>122755</c:v>
                </c:pt>
                <c:pt idx="3">
                  <c:v>46023.199999999997</c:v>
                </c:pt>
                <c:pt idx="4">
                  <c:v>19288.2</c:v>
                </c:pt>
                <c:pt idx="5">
                  <c:v>13930.9</c:v>
                </c:pt>
                <c:pt idx="6">
                  <c:v>5703.23</c:v>
                </c:pt>
                <c:pt idx="7">
                  <c:v>1229.47</c:v>
                </c:pt>
                <c:pt idx="8">
                  <c:v>210.36500000000001</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1322672</c:v>
                </c:pt>
                <c:pt idx="1">
                  <c:v>538714.33333333337</c:v>
                </c:pt>
                <c:pt idx="2">
                  <c:v>125426</c:v>
                </c:pt>
                <c:pt idx="3">
                  <c:v>46503</c:v>
                </c:pt>
                <c:pt idx="4">
                  <c:v>19702.333333333332</c:v>
                </c:pt>
                <c:pt idx="5">
                  <c:v>14195.666666666666</c:v>
                </c:pt>
                <c:pt idx="6">
                  <c:v>5554</c:v>
                </c:pt>
                <c:pt idx="7">
                  <c:v>1113</c:v>
                </c:pt>
                <c:pt idx="8">
                  <c:v>211.66666666666666</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1283640</c:v>
                </c:pt>
                <c:pt idx="1">
                  <c:v>527858</c:v>
                </c:pt>
                <c:pt idx="2">
                  <c:v>122755</c:v>
                </c:pt>
                <c:pt idx="3">
                  <c:v>46023.199999999997</c:v>
                </c:pt>
                <c:pt idx="4">
                  <c:v>19288.2</c:v>
                </c:pt>
                <c:pt idx="5">
                  <c:v>13930.9</c:v>
                </c:pt>
                <c:pt idx="6">
                  <c:v>5703.23</c:v>
                </c:pt>
                <c:pt idx="7">
                  <c:v>1229.47</c:v>
                </c:pt>
                <c:pt idx="8">
                  <c:v>210.36500000000001</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1322672</c:v>
                </c:pt>
                <c:pt idx="1">
                  <c:v>538714.33333333337</c:v>
                </c:pt>
                <c:pt idx="2">
                  <c:v>125426</c:v>
                </c:pt>
                <c:pt idx="3">
                  <c:v>46503</c:v>
                </c:pt>
                <c:pt idx="4">
                  <c:v>19702.333333333332</c:v>
                </c:pt>
                <c:pt idx="5">
                  <c:v>14195.666666666666</c:v>
                </c:pt>
                <c:pt idx="6">
                  <c:v>5554</c:v>
                </c:pt>
                <c:pt idx="7">
                  <c:v>1113</c:v>
                </c:pt>
                <c:pt idx="8">
                  <c:v>211.66666666666666</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1283640</c:v>
                </c:pt>
                <c:pt idx="1">
                  <c:v>527858</c:v>
                </c:pt>
                <c:pt idx="2">
                  <c:v>122755</c:v>
                </c:pt>
                <c:pt idx="3">
                  <c:v>46023.199999999997</c:v>
                </c:pt>
                <c:pt idx="4">
                  <c:v>19288.2</c:v>
                </c:pt>
                <c:pt idx="5">
                  <c:v>13930.9</c:v>
                </c:pt>
                <c:pt idx="6">
                  <c:v>5703.23</c:v>
                </c:pt>
                <c:pt idx="7">
                  <c:v>1229.47</c:v>
                </c:pt>
                <c:pt idx="8">
                  <c:v>210.36500000000001</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1322672</c:v>
                </c:pt>
                <c:pt idx="1">
                  <c:v>538714.33333333337</c:v>
                </c:pt>
                <c:pt idx="2">
                  <c:v>125426</c:v>
                </c:pt>
                <c:pt idx="3">
                  <c:v>46503</c:v>
                </c:pt>
                <c:pt idx="4">
                  <c:v>19702.333333333332</c:v>
                </c:pt>
                <c:pt idx="5">
                  <c:v>14195.666666666666</c:v>
                </c:pt>
                <c:pt idx="6">
                  <c:v>5554</c:v>
                </c:pt>
                <c:pt idx="7">
                  <c:v>1113</c:v>
                </c:pt>
                <c:pt idx="8">
                  <c:v>211.66666666666666</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1283640</c:v>
                </c:pt>
                <c:pt idx="1">
                  <c:v>527858</c:v>
                </c:pt>
                <c:pt idx="2">
                  <c:v>122755</c:v>
                </c:pt>
                <c:pt idx="3">
                  <c:v>46023.199999999997</c:v>
                </c:pt>
                <c:pt idx="4">
                  <c:v>19288.2</c:v>
                </c:pt>
                <c:pt idx="5">
                  <c:v>13930.9</c:v>
                </c:pt>
                <c:pt idx="6">
                  <c:v>5703.23</c:v>
                </c:pt>
                <c:pt idx="7">
                  <c:v>1229.47</c:v>
                </c:pt>
                <c:pt idx="8">
                  <c:v>210.36500000000001</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1322672</c:v>
                </c:pt>
                <c:pt idx="1">
                  <c:v>538714.33333333337</c:v>
                </c:pt>
                <c:pt idx="2">
                  <c:v>125426</c:v>
                </c:pt>
                <c:pt idx="3">
                  <c:v>46503</c:v>
                </c:pt>
                <c:pt idx="4">
                  <c:v>19702.333333333332</c:v>
                </c:pt>
                <c:pt idx="5">
                  <c:v>14195.666666666666</c:v>
                </c:pt>
                <c:pt idx="6">
                  <c:v>5554</c:v>
                </c:pt>
                <c:pt idx="7">
                  <c:v>1113</c:v>
                </c:pt>
                <c:pt idx="8">
                  <c:v>211.66666666666666</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1283640</c:v>
                </c:pt>
                <c:pt idx="1">
                  <c:v>527858</c:v>
                </c:pt>
                <c:pt idx="2">
                  <c:v>122755</c:v>
                </c:pt>
                <c:pt idx="3">
                  <c:v>46023.199999999997</c:v>
                </c:pt>
                <c:pt idx="4">
                  <c:v>19288.2</c:v>
                </c:pt>
                <c:pt idx="5">
                  <c:v>13930.9</c:v>
                </c:pt>
                <c:pt idx="6">
                  <c:v>5703.23</c:v>
                </c:pt>
                <c:pt idx="7">
                  <c:v>1229.47</c:v>
                </c:pt>
                <c:pt idx="8">
                  <c:v>210.36500000000001</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1322672</c:v>
                </c:pt>
                <c:pt idx="1">
                  <c:v>538714.33333333337</c:v>
                </c:pt>
                <c:pt idx="2">
                  <c:v>125426</c:v>
                </c:pt>
                <c:pt idx="3">
                  <c:v>46503</c:v>
                </c:pt>
                <c:pt idx="4">
                  <c:v>19702.333333333332</c:v>
                </c:pt>
                <c:pt idx="5">
                  <c:v>14195.666666666666</c:v>
                </c:pt>
                <c:pt idx="6">
                  <c:v>5554</c:v>
                </c:pt>
                <c:pt idx="7">
                  <c:v>1113</c:v>
                </c:pt>
                <c:pt idx="8">
                  <c:v>211.66666666666666</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1283640</c:v>
                </c:pt>
                <c:pt idx="1">
                  <c:v>527858</c:v>
                </c:pt>
                <c:pt idx="2">
                  <c:v>122755</c:v>
                </c:pt>
                <c:pt idx="3">
                  <c:v>46023.199999999997</c:v>
                </c:pt>
                <c:pt idx="4">
                  <c:v>19288.2</c:v>
                </c:pt>
                <c:pt idx="5">
                  <c:v>13930.9</c:v>
                </c:pt>
                <c:pt idx="6">
                  <c:v>5703.23</c:v>
                </c:pt>
                <c:pt idx="7">
                  <c:v>1229.47</c:v>
                </c:pt>
                <c:pt idx="8">
                  <c:v>210.36500000000001</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1322672</c:v>
                </c:pt>
                <c:pt idx="1">
                  <c:v>538714.33333333337</c:v>
                </c:pt>
                <c:pt idx="2">
                  <c:v>125426</c:v>
                </c:pt>
                <c:pt idx="3">
                  <c:v>46503</c:v>
                </c:pt>
                <c:pt idx="4">
                  <c:v>19702.333333333332</c:v>
                </c:pt>
                <c:pt idx="5">
                  <c:v>14195.666666666666</c:v>
                </c:pt>
                <c:pt idx="6">
                  <c:v>5554</c:v>
                </c:pt>
                <c:pt idx="7">
                  <c:v>1113</c:v>
                </c:pt>
                <c:pt idx="8">
                  <c:v>211.66666666666666</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1283640</c:v>
                </c:pt>
                <c:pt idx="1">
                  <c:v>527858</c:v>
                </c:pt>
                <c:pt idx="2">
                  <c:v>122755</c:v>
                </c:pt>
                <c:pt idx="3">
                  <c:v>46023.199999999997</c:v>
                </c:pt>
                <c:pt idx="4">
                  <c:v>19288.2</c:v>
                </c:pt>
                <c:pt idx="5">
                  <c:v>13930.9</c:v>
                </c:pt>
                <c:pt idx="6">
                  <c:v>5703.23</c:v>
                </c:pt>
                <c:pt idx="7">
                  <c:v>1229.47</c:v>
                </c:pt>
                <c:pt idx="8">
                  <c:v>210.36500000000001</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1322672</c:v>
                </c:pt>
                <c:pt idx="1">
                  <c:v>538714.33333333337</c:v>
                </c:pt>
                <c:pt idx="2">
                  <c:v>125426</c:v>
                </c:pt>
                <c:pt idx="3">
                  <c:v>46503</c:v>
                </c:pt>
                <c:pt idx="4">
                  <c:v>19702.333333333332</c:v>
                </c:pt>
                <c:pt idx="5">
                  <c:v>14195.666666666666</c:v>
                </c:pt>
                <c:pt idx="6">
                  <c:v>5554</c:v>
                </c:pt>
                <c:pt idx="7">
                  <c:v>1113</c:v>
                </c:pt>
                <c:pt idx="8">
                  <c:v>211.66666666666666</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1283640</c:v>
                </c:pt>
                <c:pt idx="1">
                  <c:v>527858</c:v>
                </c:pt>
                <c:pt idx="2">
                  <c:v>122755</c:v>
                </c:pt>
                <c:pt idx="3">
                  <c:v>46023.199999999997</c:v>
                </c:pt>
                <c:pt idx="4">
                  <c:v>19288.2</c:v>
                </c:pt>
                <c:pt idx="5">
                  <c:v>13930.9</c:v>
                </c:pt>
                <c:pt idx="6">
                  <c:v>5703.23</c:v>
                </c:pt>
                <c:pt idx="7">
                  <c:v>1229.47</c:v>
                </c:pt>
                <c:pt idx="8">
                  <c:v>210.36500000000001</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1322672</c:v>
                </c:pt>
                <c:pt idx="1">
                  <c:v>538714.33333333337</c:v>
                </c:pt>
                <c:pt idx="2">
                  <c:v>125426</c:v>
                </c:pt>
                <c:pt idx="3">
                  <c:v>46503</c:v>
                </c:pt>
                <c:pt idx="4">
                  <c:v>19702.333333333332</c:v>
                </c:pt>
                <c:pt idx="5">
                  <c:v>14195.666666666666</c:v>
                </c:pt>
                <c:pt idx="6">
                  <c:v>5554</c:v>
                </c:pt>
                <c:pt idx="7">
                  <c:v>1113</c:v>
                </c:pt>
                <c:pt idx="8">
                  <c:v>211.66666666666666</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585" t="s">
        <v>705</v>
      </c>
      <c r="B1" s="585" t="s">
        <v>706</v>
      </c>
      <c r="H1" s="154"/>
    </row>
    <row r="2" spans="1:9" x14ac:dyDescent="0.35">
      <c r="A2" s="585" t="s">
        <v>707</v>
      </c>
      <c r="B2" s="585"/>
      <c r="H2" s="154"/>
      <c r="I2" s="154"/>
    </row>
    <row r="3" spans="1:9" x14ac:dyDescent="0.35">
      <c r="A3" s="585" t="s">
        <v>708</v>
      </c>
      <c r="B3" s="585" t="s">
        <v>706</v>
      </c>
      <c r="H3" s="154"/>
      <c r="I3" s="154"/>
    </row>
    <row r="4" spans="1:9" x14ac:dyDescent="0.35">
      <c r="A4" s="585" t="s">
        <v>709</v>
      </c>
      <c r="B4" s="585">
        <v>63010065</v>
      </c>
      <c r="H4" s="154"/>
    </row>
    <row r="5" spans="1:9" x14ac:dyDescent="0.35">
      <c r="A5" s="585" t="s">
        <v>710</v>
      </c>
      <c r="B5" s="585">
        <v>1072</v>
      </c>
      <c r="H5" s="154"/>
      <c r="I5" s="154"/>
    </row>
    <row r="6" spans="1:9" x14ac:dyDescent="0.35">
      <c r="A6" s="585" t="s">
        <v>711</v>
      </c>
      <c r="B6" s="585">
        <v>0</v>
      </c>
      <c r="H6" s="154"/>
      <c r="I6" s="154"/>
    </row>
    <row r="7" spans="1:9" x14ac:dyDescent="0.35">
      <c r="A7" s="585" t="s">
        <v>712</v>
      </c>
      <c r="B7" s="585" t="s">
        <v>1010</v>
      </c>
      <c r="H7" s="154"/>
      <c r="I7" s="154"/>
    </row>
    <row r="8" spans="1:9" x14ac:dyDescent="0.35">
      <c r="A8" s="585" t="s">
        <v>713</v>
      </c>
      <c r="B8" s="585">
        <v>72</v>
      </c>
      <c r="H8" s="154"/>
      <c r="I8" s="154"/>
    </row>
    <row r="9" spans="1:9" x14ac:dyDescent="0.35">
      <c r="A9" s="585" t="s">
        <v>714</v>
      </c>
      <c r="B9" s="585">
        <v>174</v>
      </c>
      <c r="H9" s="154"/>
      <c r="I9" s="154"/>
    </row>
    <row r="10" spans="1:9" x14ac:dyDescent="0.35">
      <c r="A10" s="585" t="s">
        <v>715</v>
      </c>
      <c r="B10" s="585">
        <v>980</v>
      </c>
      <c r="H10" s="154"/>
      <c r="I10" s="154"/>
    </row>
    <row r="11" spans="1:9" x14ac:dyDescent="0.35">
      <c r="A11" s="585" t="s">
        <v>716</v>
      </c>
      <c r="B11" s="585">
        <v>1996</v>
      </c>
      <c r="H11" s="154"/>
      <c r="I11" s="154"/>
    </row>
    <row r="12" spans="1:9" x14ac:dyDescent="0.35">
      <c r="A12" s="585" t="s">
        <v>717</v>
      </c>
      <c r="B12" s="585">
        <v>2808</v>
      </c>
      <c r="H12" s="154"/>
      <c r="I12" s="154"/>
    </row>
    <row r="13" spans="1:9" x14ac:dyDescent="0.35">
      <c r="A13" s="585" t="s">
        <v>718</v>
      </c>
      <c r="B13" s="585">
        <v>9752</v>
      </c>
      <c r="H13" s="154"/>
      <c r="I13" s="154"/>
    </row>
    <row r="14" spans="1:9" x14ac:dyDescent="0.35">
      <c r="A14" s="585" t="s">
        <v>719</v>
      </c>
      <c r="B14" s="585">
        <v>14732</v>
      </c>
      <c r="H14" s="154"/>
      <c r="I14" s="154"/>
    </row>
    <row r="15" spans="1:9" x14ac:dyDescent="0.35">
      <c r="A15" s="585" t="s">
        <v>720</v>
      </c>
      <c r="B15" s="585">
        <v>23642</v>
      </c>
      <c r="H15" s="154"/>
      <c r="I15" s="154"/>
    </row>
    <row r="16" spans="1:9" x14ac:dyDescent="0.35">
      <c r="A16" s="585" t="s">
        <v>721</v>
      </c>
      <c r="B16" s="585">
        <v>60</v>
      </c>
      <c r="H16" s="154"/>
      <c r="I16" s="154"/>
    </row>
    <row r="17" spans="1:9" x14ac:dyDescent="0.35">
      <c r="A17" s="585" t="s">
        <v>722</v>
      </c>
      <c r="B17" s="585">
        <v>300</v>
      </c>
      <c r="H17" s="154"/>
      <c r="I17" s="154"/>
    </row>
    <row r="18" spans="1:9" x14ac:dyDescent="0.35">
      <c r="A18" s="585" t="s">
        <v>723</v>
      </c>
      <c r="B18" s="585">
        <v>750</v>
      </c>
      <c r="H18" s="154"/>
      <c r="I18" s="154"/>
    </row>
    <row r="19" spans="1:9" x14ac:dyDescent="0.35">
      <c r="A19" s="585" t="s">
        <v>724</v>
      </c>
      <c r="B19" s="585">
        <v>200</v>
      </c>
      <c r="H19" s="154"/>
      <c r="I19" s="154"/>
    </row>
    <row r="20" spans="1:9" x14ac:dyDescent="0.35">
      <c r="A20" s="585" t="s">
        <v>725</v>
      </c>
      <c r="B20" s="585">
        <v>500</v>
      </c>
      <c r="H20" s="154"/>
      <c r="I20" s="154"/>
    </row>
    <row r="21" spans="1:9" x14ac:dyDescent="0.35">
      <c r="A21" s="585" t="s">
        <v>726</v>
      </c>
      <c r="B21" s="585">
        <v>10532</v>
      </c>
      <c r="H21" s="154"/>
      <c r="I21" s="154"/>
    </row>
    <row r="22" spans="1:9" x14ac:dyDescent="0.35">
      <c r="A22" s="585" t="s">
        <v>727</v>
      </c>
      <c r="B22" s="585">
        <v>109.73</v>
      </c>
      <c r="H22" s="154"/>
      <c r="I22" s="154"/>
    </row>
    <row r="23" spans="1:9" x14ac:dyDescent="0.35">
      <c r="A23" s="585" t="s">
        <v>728</v>
      </c>
      <c r="B23" s="585">
        <v>50</v>
      </c>
      <c r="H23" s="154"/>
      <c r="I23" s="154"/>
    </row>
    <row r="24" spans="1:9" x14ac:dyDescent="0.35">
      <c r="A24" s="585" t="s">
        <v>729</v>
      </c>
      <c r="B24" s="585">
        <v>1780492321</v>
      </c>
      <c r="H24" s="154"/>
      <c r="I24" s="154"/>
    </row>
    <row r="25" spans="1:9" x14ac:dyDescent="0.35">
      <c r="A25" s="585" t="s">
        <v>730</v>
      </c>
      <c r="B25" s="585">
        <v>1812028321</v>
      </c>
      <c r="H25" s="154"/>
      <c r="I25" s="154"/>
    </row>
    <row r="26" spans="1:9" x14ac:dyDescent="0.35">
      <c r="A26" s="585" t="s">
        <v>731</v>
      </c>
      <c r="B26" s="585">
        <v>0</v>
      </c>
      <c r="H26" s="154"/>
      <c r="I26" s="154"/>
    </row>
    <row r="27" spans="1:9" x14ac:dyDescent="0.35">
      <c r="A27" s="585" t="s">
        <v>732</v>
      </c>
      <c r="B27" s="585">
        <v>0</v>
      </c>
      <c r="H27" s="154"/>
      <c r="I27" s="154"/>
    </row>
    <row r="28" spans="1:9" x14ac:dyDescent="0.35">
      <c r="A28" s="585" t="s">
        <v>733</v>
      </c>
      <c r="B28" s="585">
        <v>0</v>
      </c>
      <c r="H28" s="154"/>
      <c r="I28" s="154"/>
    </row>
    <row r="29" spans="1:9" x14ac:dyDescent="0.35">
      <c r="A29" s="585" t="s">
        <v>734</v>
      </c>
      <c r="B29" s="585">
        <v>16</v>
      </c>
      <c r="H29" s="154"/>
      <c r="I29" s="154"/>
    </row>
    <row r="30" spans="1:9" x14ac:dyDescent="0.35">
      <c r="A30" s="585" t="s">
        <v>735</v>
      </c>
      <c r="B30" s="585">
        <v>0</v>
      </c>
      <c r="H30" s="154"/>
      <c r="I30" s="154"/>
    </row>
    <row r="31" spans="1:9" x14ac:dyDescent="0.35">
      <c r="A31" s="585" t="s">
        <v>736</v>
      </c>
      <c r="B31" s="585">
        <v>2147483648</v>
      </c>
      <c r="H31" s="154"/>
      <c r="I31" s="154"/>
    </row>
    <row r="32" spans="1:9" x14ac:dyDescent="0.35">
      <c r="A32" s="585" t="s">
        <v>737</v>
      </c>
      <c r="B32" s="585">
        <v>0</v>
      </c>
      <c r="H32" s="154"/>
      <c r="I32" s="154"/>
    </row>
    <row r="33" spans="1:9" x14ac:dyDescent="0.35">
      <c r="A33" s="585" t="s">
        <v>738</v>
      </c>
      <c r="B33" s="585">
        <v>0</v>
      </c>
      <c r="H33" s="154"/>
      <c r="I33" s="154"/>
    </row>
    <row r="34" spans="1:9" x14ac:dyDescent="0.35">
      <c r="A34" s="585" t="s">
        <v>739</v>
      </c>
      <c r="B34" s="585">
        <v>0</v>
      </c>
      <c r="H34" s="154"/>
      <c r="I34" s="154"/>
    </row>
    <row r="35" spans="1:9" x14ac:dyDescent="0.35">
      <c r="A35" s="585" t="s">
        <v>740</v>
      </c>
      <c r="B35" s="585">
        <v>30</v>
      </c>
      <c r="H35" s="154"/>
      <c r="I35" s="154"/>
    </row>
    <row r="36" spans="1:9" x14ac:dyDescent="0.35">
      <c r="A36" s="585" t="s">
        <v>741</v>
      </c>
      <c r="B36" s="585">
        <v>0</v>
      </c>
      <c r="H36" s="154"/>
      <c r="I36" s="154"/>
    </row>
    <row r="37" spans="1:9" x14ac:dyDescent="0.35">
      <c r="A37" s="585" t="s">
        <v>742</v>
      </c>
      <c r="B37" s="585">
        <v>1</v>
      </c>
      <c r="H37" s="154"/>
      <c r="I37" s="154"/>
    </row>
    <row r="38" spans="1:9" x14ac:dyDescent="0.35">
      <c r="A38" s="585" t="s">
        <v>743</v>
      </c>
      <c r="B38" s="585">
        <v>30</v>
      </c>
      <c r="H38" s="154"/>
      <c r="I38" s="154"/>
    </row>
    <row r="39" spans="1:9" x14ac:dyDescent="0.35">
      <c r="A39" s="585" t="s">
        <v>744</v>
      </c>
      <c r="B39" s="585">
        <v>150</v>
      </c>
      <c r="H39" s="154"/>
      <c r="I39" s="154"/>
    </row>
    <row r="40" spans="1:9" x14ac:dyDescent="0.35">
      <c r="A40" s="585" t="s">
        <v>745</v>
      </c>
      <c r="B40" s="585">
        <v>50</v>
      </c>
      <c r="H40" s="154"/>
      <c r="I40" s="154"/>
    </row>
    <row r="41" spans="1:9" x14ac:dyDescent="0.35">
      <c r="A41" s="585" t="s">
        <v>746</v>
      </c>
      <c r="B41" s="585">
        <v>20</v>
      </c>
      <c r="H41" s="154"/>
      <c r="I41" s="154"/>
    </row>
    <row r="42" spans="1:9" x14ac:dyDescent="0.35">
      <c r="A42" s="585" t="s">
        <v>747</v>
      </c>
      <c r="B42" s="585">
        <v>100</v>
      </c>
      <c r="H42" s="154"/>
      <c r="I42" s="154"/>
    </row>
    <row r="43" spans="1:9" x14ac:dyDescent="0.35">
      <c r="A43" s="585" t="s">
        <v>748</v>
      </c>
      <c r="B43" s="585">
        <v>90</v>
      </c>
      <c r="H43" s="154"/>
      <c r="I43" s="154"/>
    </row>
    <row r="44" spans="1:9" x14ac:dyDescent="0.35">
      <c r="A44" s="585" t="s">
        <v>749</v>
      </c>
      <c r="B44" s="585">
        <v>50</v>
      </c>
      <c r="H44" s="154"/>
      <c r="I44" s="154"/>
    </row>
    <row r="45" spans="1:9" x14ac:dyDescent="0.35">
      <c r="A45" s="585" t="s">
        <v>750</v>
      </c>
      <c r="B45" s="585">
        <v>50</v>
      </c>
      <c r="H45" s="154"/>
      <c r="I45" s="154"/>
    </row>
    <row r="46" spans="1:9" x14ac:dyDescent="0.35">
      <c r="A46" s="585" t="s">
        <v>751</v>
      </c>
      <c r="B46" s="585">
        <v>50</v>
      </c>
      <c r="H46" s="154"/>
      <c r="I46" s="154"/>
    </row>
    <row r="47" spans="1:9" x14ac:dyDescent="0.35">
      <c r="A47" s="585" t="s">
        <v>752</v>
      </c>
      <c r="B47" s="585">
        <v>40</v>
      </c>
      <c r="H47" s="154"/>
      <c r="I47" s="154"/>
    </row>
    <row r="48" spans="1:9" x14ac:dyDescent="0.35">
      <c r="A48" s="585" t="s">
        <v>753</v>
      </c>
      <c r="B48" s="585">
        <v>20</v>
      </c>
      <c r="H48" s="154"/>
      <c r="I48" s="154"/>
    </row>
    <row r="49" spans="1:9" x14ac:dyDescent="0.35">
      <c r="A49" s="585" t="s">
        <v>754</v>
      </c>
      <c r="B49" s="585">
        <v>40</v>
      </c>
      <c r="H49" s="154"/>
      <c r="I49" s="154"/>
    </row>
    <row r="50" spans="1:9" x14ac:dyDescent="0.35">
      <c r="A50" s="585" t="s">
        <v>755</v>
      </c>
      <c r="B50" s="585">
        <v>20</v>
      </c>
      <c r="H50" s="154"/>
      <c r="I50" s="154"/>
    </row>
    <row r="51" spans="1:9" x14ac:dyDescent="0.35">
      <c r="A51" s="585" t="s">
        <v>756</v>
      </c>
      <c r="B51" s="585">
        <v>0</v>
      </c>
      <c r="H51" s="154"/>
      <c r="I51" s="154"/>
    </row>
    <row r="52" spans="1:9" x14ac:dyDescent="0.35">
      <c r="A52" s="585" t="s">
        <v>757</v>
      </c>
      <c r="B52" s="585">
        <v>72</v>
      </c>
      <c r="H52" s="154"/>
      <c r="I52" s="154"/>
    </row>
    <row r="53" spans="1:9" x14ac:dyDescent="0.35">
      <c r="A53" s="585" t="s">
        <v>758</v>
      </c>
      <c r="B53" s="585">
        <v>116</v>
      </c>
      <c r="H53" s="154"/>
      <c r="I53" s="154"/>
    </row>
    <row r="54" spans="1:9" x14ac:dyDescent="0.35">
      <c r="A54" s="585" t="s">
        <v>759</v>
      </c>
      <c r="B54" s="585">
        <v>174</v>
      </c>
      <c r="H54" s="154"/>
      <c r="I54" s="154"/>
    </row>
    <row r="55" spans="1:9" x14ac:dyDescent="0.35">
      <c r="A55" s="585" t="s">
        <v>760</v>
      </c>
      <c r="B55" s="585">
        <v>234</v>
      </c>
      <c r="H55" s="154"/>
      <c r="I55" s="154"/>
    </row>
    <row r="56" spans="1:9" x14ac:dyDescent="0.35">
      <c r="A56" s="585" t="s">
        <v>761</v>
      </c>
      <c r="B56" s="585">
        <v>312</v>
      </c>
      <c r="H56" s="154"/>
      <c r="I56" s="154"/>
    </row>
    <row r="57" spans="1:9" x14ac:dyDescent="0.35">
      <c r="A57" s="585" t="s">
        <v>762</v>
      </c>
      <c r="B57" s="585">
        <v>404</v>
      </c>
      <c r="H57" s="154"/>
      <c r="I57" s="154"/>
    </row>
    <row r="58" spans="1:9" x14ac:dyDescent="0.35">
      <c r="A58" s="585" t="s">
        <v>763</v>
      </c>
      <c r="B58" s="585">
        <v>502</v>
      </c>
      <c r="H58" s="154"/>
    </row>
    <row r="59" spans="1:9" x14ac:dyDescent="0.35">
      <c r="A59" s="585" t="s">
        <v>764</v>
      </c>
      <c r="B59" s="585">
        <v>614</v>
      </c>
      <c r="H59" s="154"/>
      <c r="I59" s="154"/>
    </row>
    <row r="60" spans="1:9" x14ac:dyDescent="0.35">
      <c r="A60" s="585" t="s">
        <v>765</v>
      </c>
      <c r="B60" s="585">
        <v>734</v>
      </c>
      <c r="H60" s="154"/>
      <c r="I60" s="154"/>
    </row>
    <row r="61" spans="1:9" x14ac:dyDescent="0.35">
      <c r="A61" s="585" t="s">
        <v>766</v>
      </c>
      <c r="B61" s="585">
        <v>856</v>
      </c>
      <c r="H61" s="154"/>
      <c r="I61" s="154"/>
    </row>
    <row r="62" spans="1:9" x14ac:dyDescent="0.35">
      <c r="A62" s="585" t="s">
        <v>767</v>
      </c>
      <c r="B62" s="585">
        <v>980</v>
      </c>
      <c r="H62" s="154"/>
      <c r="I62" s="154"/>
    </row>
    <row r="63" spans="1:9" x14ac:dyDescent="0.35">
      <c r="A63" s="585" t="s">
        <v>768</v>
      </c>
      <c r="B63" s="585">
        <v>1114</v>
      </c>
      <c r="H63" s="154"/>
      <c r="I63" s="154"/>
    </row>
    <row r="64" spans="1:9" x14ac:dyDescent="0.35">
      <c r="A64" s="585" t="s">
        <v>769</v>
      </c>
      <c r="B64" s="585">
        <v>1248</v>
      </c>
      <c r="H64" s="154"/>
      <c r="I64" s="154"/>
    </row>
    <row r="65" spans="1:9" x14ac:dyDescent="0.35">
      <c r="A65" s="585" t="s">
        <v>770</v>
      </c>
      <c r="B65" s="585">
        <v>1380</v>
      </c>
      <c r="H65" s="154"/>
      <c r="I65" s="154"/>
    </row>
    <row r="66" spans="1:9" x14ac:dyDescent="0.35">
      <c r="A66" s="585" t="s">
        <v>771</v>
      </c>
      <c r="B66" s="585">
        <v>1518</v>
      </c>
      <c r="H66" s="154"/>
      <c r="I66" s="154"/>
    </row>
    <row r="67" spans="1:9" x14ac:dyDescent="0.35">
      <c r="A67" s="585" t="s">
        <v>772</v>
      </c>
      <c r="B67" s="585">
        <v>1660</v>
      </c>
      <c r="H67" s="154"/>
      <c r="I67" s="154"/>
    </row>
    <row r="68" spans="1:9" x14ac:dyDescent="0.35">
      <c r="A68" s="585" t="s">
        <v>773</v>
      </c>
      <c r="B68" s="585">
        <v>1820</v>
      </c>
      <c r="H68" s="154"/>
      <c r="I68" s="154"/>
    </row>
    <row r="69" spans="1:9" x14ac:dyDescent="0.35">
      <c r="A69" s="585" t="s">
        <v>774</v>
      </c>
      <c r="B69" s="585">
        <v>1996</v>
      </c>
      <c r="H69" s="154"/>
      <c r="I69" s="154"/>
    </row>
    <row r="70" spans="1:9" x14ac:dyDescent="0.35">
      <c r="A70" s="585" t="s">
        <v>775</v>
      </c>
      <c r="B70" s="585">
        <v>2186</v>
      </c>
      <c r="H70" s="154"/>
      <c r="I70" s="154"/>
    </row>
    <row r="71" spans="1:9" x14ac:dyDescent="0.35">
      <c r="A71" s="585" t="s">
        <v>776</v>
      </c>
      <c r="B71" s="585">
        <v>2416</v>
      </c>
      <c r="H71" s="154"/>
      <c r="I71" s="154"/>
    </row>
    <row r="72" spans="1:9" x14ac:dyDescent="0.35">
      <c r="A72" s="585" t="s">
        <v>777</v>
      </c>
      <c r="B72" s="585">
        <v>2588</v>
      </c>
      <c r="H72" s="154"/>
      <c r="I72" s="154"/>
    </row>
    <row r="73" spans="1:9" x14ac:dyDescent="0.35">
      <c r="A73" s="585" t="s">
        <v>778</v>
      </c>
      <c r="B73" s="585">
        <v>2808</v>
      </c>
      <c r="H73" s="154"/>
      <c r="I73" s="154"/>
    </row>
    <row r="74" spans="1:9" x14ac:dyDescent="0.35">
      <c r="A74" s="585" t="s">
        <v>779</v>
      </c>
      <c r="B74" s="585">
        <v>3028</v>
      </c>
      <c r="H74" s="154"/>
      <c r="I74" s="154"/>
    </row>
    <row r="75" spans="1:9" x14ac:dyDescent="0.35">
      <c r="A75" s="585" t="s">
        <v>780</v>
      </c>
      <c r="B75" s="585">
        <v>3278</v>
      </c>
      <c r="H75" s="154"/>
    </row>
    <row r="76" spans="1:9" x14ac:dyDescent="0.35">
      <c r="A76" s="585" t="s">
        <v>781</v>
      </c>
      <c r="B76" s="585">
        <v>3510</v>
      </c>
      <c r="H76" s="154"/>
      <c r="I76" s="154"/>
    </row>
    <row r="77" spans="1:9" x14ac:dyDescent="0.35">
      <c r="A77" s="585" t="s">
        <v>782</v>
      </c>
      <c r="B77" s="585">
        <v>3722</v>
      </c>
      <c r="H77" s="154"/>
    </row>
    <row r="78" spans="1:9" x14ac:dyDescent="0.35">
      <c r="A78" s="585" t="s">
        <v>783</v>
      </c>
      <c r="B78" s="585">
        <v>3976</v>
      </c>
      <c r="H78" s="154"/>
      <c r="I78" s="154"/>
    </row>
    <row r="79" spans="1:9" x14ac:dyDescent="0.35">
      <c r="A79" s="585" t="s">
        <v>784</v>
      </c>
      <c r="B79" s="585">
        <v>9752</v>
      </c>
      <c r="H79" s="154"/>
      <c r="I79" s="154"/>
    </row>
    <row r="80" spans="1:9" x14ac:dyDescent="0.35">
      <c r="A80" s="585" t="s">
        <v>785</v>
      </c>
      <c r="B80" s="585">
        <v>14732</v>
      </c>
      <c r="H80" s="154"/>
      <c r="I80" s="154"/>
    </row>
    <row r="81" spans="1:9" x14ac:dyDescent="0.35">
      <c r="A81" s="585" t="s">
        <v>786</v>
      </c>
      <c r="B81" s="585">
        <v>23642</v>
      </c>
      <c r="H81" s="154"/>
      <c r="I81" s="154"/>
    </row>
    <row r="82" spans="1:9" x14ac:dyDescent="0.35">
      <c r="A82" s="585" t="s">
        <v>787</v>
      </c>
      <c r="B82" s="585">
        <v>23642</v>
      </c>
      <c r="H82" s="154"/>
      <c r="I82" s="154"/>
    </row>
    <row r="83" spans="1:9" x14ac:dyDescent="0.35">
      <c r="A83" s="585" t="s">
        <v>788</v>
      </c>
      <c r="B83" s="585">
        <v>23642</v>
      </c>
      <c r="H83" s="154"/>
      <c r="I83" s="154"/>
    </row>
    <row r="84" spans="1:9" x14ac:dyDescent="0.35">
      <c r="A84" s="585" t="s">
        <v>789</v>
      </c>
      <c r="B84" s="585">
        <v>4</v>
      </c>
      <c r="H84" s="154"/>
    </row>
    <row r="85" spans="1:9" x14ac:dyDescent="0.35">
      <c r="A85" s="585" t="s">
        <v>790</v>
      </c>
      <c r="B85" s="585">
        <v>5</v>
      </c>
      <c r="H85" s="154"/>
      <c r="I85" s="154"/>
    </row>
    <row r="86" spans="1:9" x14ac:dyDescent="0.35">
      <c r="A86" s="585" t="s">
        <v>791</v>
      </c>
      <c r="B86" s="585">
        <v>6</v>
      </c>
      <c r="H86" s="154"/>
      <c r="I86" s="154"/>
    </row>
    <row r="87" spans="1:9" x14ac:dyDescent="0.35">
      <c r="A87" s="585" t="s">
        <v>792</v>
      </c>
      <c r="B87" s="585">
        <v>7</v>
      </c>
      <c r="H87" s="154"/>
    </row>
    <row r="88" spans="1:9" x14ac:dyDescent="0.35">
      <c r="A88" s="585" t="s">
        <v>793</v>
      </c>
      <c r="B88" s="585">
        <v>8</v>
      </c>
      <c r="H88" s="154"/>
      <c r="I88" s="154"/>
    </row>
    <row r="89" spans="1:9" x14ac:dyDescent="0.35">
      <c r="A89" s="585" t="s">
        <v>794</v>
      </c>
      <c r="B89" s="585">
        <v>9</v>
      </c>
      <c r="H89" s="154"/>
      <c r="I89" s="154"/>
    </row>
    <row r="90" spans="1:9" x14ac:dyDescent="0.35">
      <c r="A90" s="585" t="s">
        <v>795</v>
      </c>
      <c r="B90" s="585">
        <v>10</v>
      </c>
      <c r="H90" s="154"/>
      <c r="I90" s="154"/>
    </row>
    <row r="91" spans="1:9" x14ac:dyDescent="0.35">
      <c r="A91" s="585" t="s">
        <v>796</v>
      </c>
      <c r="B91" s="585">
        <v>11</v>
      </c>
      <c r="H91" s="154"/>
      <c r="I91" s="154"/>
    </row>
    <row r="92" spans="1:9" x14ac:dyDescent="0.35">
      <c r="A92" s="585" t="s">
        <v>797</v>
      </c>
      <c r="B92" s="585">
        <v>12</v>
      </c>
      <c r="H92" s="154"/>
      <c r="I92" s="154"/>
    </row>
    <row r="93" spans="1:9" x14ac:dyDescent="0.35">
      <c r="A93" s="585" t="s">
        <v>798</v>
      </c>
      <c r="B93" s="585">
        <v>13</v>
      </c>
      <c r="H93" s="154"/>
      <c r="I93" s="154"/>
    </row>
    <row r="94" spans="1:9" x14ac:dyDescent="0.35">
      <c r="A94" s="585" t="s">
        <v>799</v>
      </c>
      <c r="B94" s="585">
        <v>14</v>
      </c>
      <c r="H94" s="154"/>
      <c r="I94" s="154"/>
    </row>
    <row r="95" spans="1:9" x14ac:dyDescent="0.35">
      <c r="A95" s="585" t="s">
        <v>800</v>
      </c>
      <c r="B95" s="585">
        <v>15</v>
      </c>
      <c r="H95" s="154"/>
      <c r="I95" s="154"/>
    </row>
    <row r="96" spans="1:9" x14ac:dyDescent="0.35">
      <c r="A96" s="585" t="s">
        <v>801</v>
      </c>
      <c r="B96" s="585">
        <v>16</v>
      </c>
      <c r="H96" s="154"/>
      <c r="I96" s="154"/>
    </row>
    <row r="97" spans="1:9" x14ac:dyDescent="0.35">
      <c r="A97" s="585" t="s">
        <v>802</v>
      </c>
      <c r="B97" s="585">
        <v>17</v>
      </c>
      <c r="H97" s="154"/>
      <c r="I97" s="154"/>
    </row>
    <row r="98" spans="1:9" x14ac:dyDescent="0.35">
      <c r="A98" s="585" t="s">
        <v>803</v>
      </c>
      <c r="B98" s="585">
        <v>18</v>
      </c>
      <c r="H98" s="154"/>
      <c r="I98" s="154"/>
    </row>
    <row r="99" spans="1:9" x14ac:dyDescent="0.35">
      <c r="A99" s="585" t="s">
        <v>804</v>
      </c>
      <c r="B99" s="585">
        <v>19</v>
      </c>
      <c r="H99" s="154"/>
      <c r="I99" s="154"/>
    </row>
    <row r="100" spans="1:9" x14ac:dyDescent="0.35">
      <c r="A100" s="585" t="s">
        <v>805</v>
      </c>
      <c r="B100" s="585">
        <v>20</v>
      </c>
      <c r="H100" s="154"/>
      <c r="I100" s="154"/>
    </row>
    <row r="101" spans="1:9" x14ac:dyDescent="0.35">
      <c r="A101" s="585" t="s">
        <v>806</v>
      </c>
      <c r="B101" s="585">
        <v>21</v>
      </c>
      <c r="H101" s="154"/>
      <c r="I101" s="154"/>
    </row>
    <row r="102" spans="1:9" x14ac:dyDescent="0.35">
      <c r="A102" s="585" t="s">
        <v>807</v>
      </c>
      <c r="B102" s="585">
        <v>22</v>
      </c>
      <c r="H102" s="154"/>
      <c r="I102" s="154"/>
    </row>
    <row r="103" spans="1:9" x14ac:dyDescent="0.35">
      <c r="A103" s="585" t="s">
        <v>808</v>
      </c>
      <c r="B103" s="585">
        <v>23</v>
      </c>
      <c r="H103" s="154"/>
      <c r="I103" s="154"/>
    </row>
    <row r="104" spans="1:9" x14ac:dyDescent="0.35">
      <c r="A104" s="585" t="s">
        <v>809</v>
      </c>
      <c r="B104" s="585">
        <v>24</v>
      </c>
      <c r="H104" s="154"/>
      <c r="I104" s="154"/>
    </row>
    <row r="105" spans="1:9" x14ac:dyDescent="0.35">
      <c r="A105" s="585" t="s">
        <v>810</v>
      </c>
      <c r="B105" s="585">
        <v>25</v>
      </c>
      <c r="H105" s="154"/>
      <c r="I105" s="154"/>
    </row>
    <row r="106" spans="1:9" x14ac:dyDescent="0.35">
      <c r="A106" s="585" t="s">
        <v>811</v>
      </c>
      <c r="B106" s="585">
        <v>26</v>
      </c>
      <c r="H106" s="154"/>
      <c r="I106" s="154"/>
    </row>
    <row r="107" spans="1:9" x14ac:dyDescent="0.35">
      <c r="A107" s="585" t="s">
        <v>812</v>
      </c>
      <c r="B107" s="585">
        <v>27</v>
      </c>
      <c r="H107" s="154"/>
      <c r="I107" s="154"/>
    </row>
    <row r="108" spans="1:9" x14ac:dyDescent="0.35">
      <c r="A108" s="585" t="s">
        <v>813</v>
      </c>
      <c r="B108" s="585">
        <v>28</v>
      </c>
      <c r="H108" s="154"/>
      <c r="I108" s="154"/>
    </row>
    <row r="109" spans="1:9" x14ac:dyDescent="0.35">
      <c r="A109" s="585" t="s">
        <v>814</v>
      </c>
      <c r="B109" s="585">
        <v>29</v>
      </c>
      <c r="H109" s="154"/>
      <c r="I109" s="154"/>
    </row>
    <row r="110" spans="1:9" x14ac:dyDescent="0.35">
      <c r="A110" s="585" t="s">
        <v>815</v>
      </c>
      <c r="B110" s="585">
        <v>30</v>
      </c>
      <c r="H110" s="154"/>
      <c r="I110" s="154"/>
    </row>
    <row r="111" spans="1:9" x14ac:dyDescent="0.35">
      <c r="A111" s="585" t="s">
        <v>816</v>
      </c>
      <c r="B111" s="585">
        <v>38</v>
      </c>
      <c r="H111" s="154"/>
      <c r="I111" s="154"/>
    </row>
    <row r="112" spans="1:9" x14ac:dyDescent="0.35">
      <c r="A112" s="585" t="s">
        <v>817</v>
      </c>
      <c r="B112" s="585">
        <v>50</v>
      </c>
      <c r="H112" s="154"/>
      <c r="I112" s="154"/>
    </row>
    <row r="113" spans="1:9" x14ac:dyDescent="0.35">
      <c r="A113" s="585" t="s">
        <v>818</v>
      </c>
      <c r="B113" s="585">
        <v>70</v>
      </c>
      <c r="H113" s="154"/>
      <c r="I113" s="154"/>
    </row>
    <row r="114" spans="1:9" x14ac:dyDescent="0.35">
      <c r="A114" s="585" t="s">
        <v>819</v>
      </c>
      <c r="B114" s="585">
        <v>70</v>
      </c>
      <c r="H114" s="154"/>
      <c r="I114" s="154"/>
    </row>
    <row r="115" spans="1:9" x14ac:dyDescent="0.35">
      <c r="A115" s="585" t="s">
        <v>820</v>
      </c>
      <c r="B115" s="585">
        <v>70</v>
      </c>
      <c r="H115" s="154"/>
      <c r="I115" s="154"/>
    </row>
    <row r="116" spans="1:9" x14ac:dyDescent="0.35">
      <c r="A116" s="585" t="s">
        <v>821</v>
      </c>
      <c r="B116" s="585"/>
      <c r="H116" s="154"/>
      <c r="I116" s="154"/>
    </row>
    <row r="117" spans="1:9" x14ac:dyDescent="0.35">
      <c r="A117" s="585" t="s">
        <v>822</v>
      </c>
      <c r="B117" s="585">
        <v>1294597</v>
      </c>
      <c r="H117" s="154"/>
      <c r="I117" s="154"/>
    </row>
    <row r="118" spans="1:9" x14ac:dyDescent="0.35">
      <c r="A118" s="585" t="s">
        <v>823</v>
      </c>
      <c r="B118" s="585">
        <v>532117</v>
      </c>
      <c r="H118" s="154"/>
      <c r="I118" s="154"/>
    </row>
    <row r="119" spans="1:9" x14ac:dyDescent="0.35">
      <c r="A119" s="585" t="s">
        <v>824</v>
      </c>
      <c r="B119" s="585">
        <v>46063</v>
      </c>
      <c r="H119" s="154"/>
      <c r="I119" s="154"/>
    </row>
    <row r="120" spans="1:9" x14ac:dyDescent="0.35">
      <c r="A120" s="585" t="s">
        <v>825</v>
      </c>
      <c r="B120" s="585">
        <v>19385</v>
      </c>
      <c r="H120" s="154"/>
      <c r="I120" s="154"/>
    </row>
    <row r="121" spans="1:9" x14ac:dyDescent="0.35">
      <c r="A121" s="585" t="s">
        <v>826</v>
      </c>
      <c r="B121" s="585">
        <v>13882</v>
      </c>
      <c r="H121" s="154"/>
      <c r="I121" s="154"/>
    </row>
    <row r="122" spans="1:9" x14ac:dyDescent="0.35">
      <c r="A122" s="585" t="s">
        <v>827</v>
      </c>
      <c r="B122" s="585">
        <v>5502</v>
      </c>
      <c r="H122" s="154"/>
      <c r="I122" s="154"/>
    </row>
    <row r="123" spans="1:9" x14ac:dyDescent="0.35">
      <c r="A123" s="585" t="s">
        <v>828</v>
      </c>
      <c r="B123" s="585">
        <v>1158</v>
      </c>
      <c r="H123" s="154"/>
      <c r="I123" s="154"/>
    </row>
    <row r="124" spans="1:9" x14ac:dyDescent="0.35">
      <c r="A124" s="585" t="s">
        <v>829</v>
      </c>
      <c r="B124" s="585">
        <v>263</v>
      </c>
      <c r="H124" s="154"/>
      <c r="I124" s="154"/>
    </row>
    <row r="125" spans="1:9" x14ac:dyDescent="0.35">
      <c r="A125" s="585" t="s">
        <v>830</v>
      </c>
      <c r="B125" s="585">
        <v>1333795</v>
      </c>
      <c r="H125" s="154"/>
      <c r="I125" s="154"/>
    </row>
    <row r="126" spans="1:9" x14ac:dyDescent="0.35">
      <c r="A126" s="585" t="s">
        <v>831</v>
      </c>
      <c r="B126" s="585">
        <v>540633</v>
      </c>
      <c r="H126" s="154"/>
      <c r="I126" s="154"/>
    </row>
    <row r="127" spans="1:9" x14ac:dyDescent="0.35">
      <c r="A127" s="585" t="s">
        <v>832</v>
      </c>
      <c r="B127" s="585">
        <v>46677</v>
      </c>
      <c r="H127" s="154"/>
      <c r="I127" s="154"/>
    </row>
    <row r="128" spans="1:9" x14ac:dyDescent="0.35">
      <c r="A128" s="585" t="s">
        <v>833</v>
      </c>
      <c r="B128" s="585">
        <v>19930</v>
      </c>
      <c r="H128" s="154"/>
      <c r="I128" s="154"/>
    </row>
    <row r="129" spans="1:9" x14ac:dyDescent="0.35">
      <c r="A129" s="585" t="s">
        <v>834</v>
      </c>
      <c r="B129" s="585">
        <v>14568</v>
      </c>
      <c r="H129" s="154"/>
      <c r="I129" s="154"/>
    </row>
    <row r="130" spans="1:9" x14ac:dyDescent="0.35">
      <c r="A130" s="585" t="s">
        <v>835</v>
      </c>
      <c r="B130" s="585">
        <v>5577</v>
      </c>
      <c r="H130" s="154"/>
      <c r="I130" s="155"/>
    </row>
    <row r="131" spans="1:9" x14ac:dyDescent="0.35">
      <c r="A131" s="585" t="s">
        <v>836</v>
      </c>
      <c r="B131" s="585">
        <v>1091</v>
      </c>
      <c r="H131" s="154"/>
      <c r="I131" s="154"/>
    </row>
    <row r="132" spans="1:9" x14ac:dyDescent="0.35">
      <c r="A132" s="585" t="s">
        <v>837</v>
      </c>
      <c r="B132" s="585">
        <v>181</v>
      </c>
      <c r="H132" s="154"/>
      <c r="I132" s="154"/>
    </row>
    <row r="133" spans="1:9" x14ac:dyDescent="0.35">
      <c r="A133" s="585" t="s">
        <v>838</v>
      </c>
      <c r="B133" s="585">
        <v>1339624</v>
      </c>
      <c r="H133" s="154"/>
      <c r="I133" s="154"/>
    </row>
    <row r="134" spans="1:9" x14ac:dyDescent="0.35">
      <c r="A134" s="585" t="s">
        <v>839</v>
      </c>
      <c r="B134" s="585">
        <v>543393</v>
      </c>
      <c r="H134" s="154"/>
      <c r="I134" s="154"/>
    </row>
    <row r="135" spans="1:9" x14ac:dyDescent="0.35">
      <c r="A135" s="585" t="s">
        <v>840</v>
      </c>
      <c r="B135" s="585">
        <v>46769</v>
      </c>
      <c r="H135" s="154"/>
      <c r="I135" s="154"/>
    </row>
    <row r="136" spans="1:9" x14ac:dyDescent="0.35">
      <c r="A136" s="585" t="s">
        <v>841</v>
      </c>
      <c r="B136" s="585">
        <v>19792</v>
      </c>
      <c r="H136" s="154"/>
      <c r="I136" s="154"/>
    </row>
    <row r="137" spans="1:9" x14ac:dyDescent="0.35">
      <c r="A137" s="585" t="s">
        <v>842</v>
      </c>
      <c r="B137" s="585">
        <v>14137</v>
      </c>
      <c r="H137" s="154"/>
      <c r="I137" s="154"/>
    </row>
    <row r="138" spans="1:9" x14ac:dyDescent="0.35">
      <c r="A138" s="585" t="s">
        <v>843</v>
      </c>
      <c r="B138" s="585">
        <v>5583</v>
      </c>
      <c r="H138" s="154"/>
      <c r="I138" s="154"/>
    </row>
    <row r="139" spans="1:9" x14ac:dyDescent="0.35">
      <c r="A139" s="585" t="s">
        <v>844</v>
      </c>
      <c r="B139" s="585">
        <v>1090</v>
      </c>
      <c r="H139" s="154"/>
      <c r="I139" s="154"/>
    </row>
    <row r="140" spans="1:9" x14ac:dyDescent="0.35">
      <c r="A140" s="585" t="s">
        <v>845</v>
      </c>
      <c r="B140" s="585">
        <v>191</v>
      </c>
      <c r="H140" s="154"/>
      <c r="I140" s="154"/>
    </row>
    <row r="141" spans="1:9" x14ac:dyDescent="0.35">
      <c r="A141" s="585" t="s">
        <v>846</v>
      </c>
      <c r="B141" s="585">
        <v>1283640</v>
      </c>
      <c r="H141" s="154"/>
      <c r="I141" s="154"/>
    </row>
    <row r="142" spans="1:9" x14ac:dyDescent="0.35">
      <c r="A142" s="585" t="s">
        <v>847</v>
      </c>
      <c r="B142" s="585">
        <v>527858</v>
      </c>
      <c r="H142" s="154"/>
      <c r="I142" s="154"/>
    </row>
    <row r="143" spans="1:9" x14ac:dyDescent="0.35">
      <c r="A143" s="585" t="s">
        <v>848</v>
      </c>
      <c r="B143" s="585">
        <v>46023.199999999997</v>
      </c>
      <c r="H143" s="154"/>
      <c r="I143" s="154"/>
    </row>
    <row r="144" spans="1:9" x14ac:dyDescent="0.35">
      <c r="A144" s="585" t="s">
        <v>849</v>
      </c>
      <c r="B144" s="585">
        <v>19288.2</v>
      </c>
      <c r="H144" s="154"/>
      <c r="I144" s="157"/>
    </row>
    <row r="145" spans="1:2" x14ac:dyDescent="0.35">
      <c r="A145" s="585" t="s">
        <v>850</v>
      </c>
      <c r="B145" s="585">
        <v>13930.9</v>
      </c>
    </row>
    <row r="146" spans="1:2" x14ac:dyDescent="0.35">
      <c r="A146" s="585" t="s">
        <v>851</v>
      </c>
      <c r="B146" s="585">
        <v>5703.23</v>
      </c>
    </row>
    <row r="147" spans="1:2" x14ac:dyDescent="0.35">
      <c r="A147" s="585" t="s">
        <v>852</v>
      </c>
      <c r="B147" s="585">
        <v>1229.47</v>
      </c>
    </row>
    <row r="148" spans="1:2" x14ac:dyDescent="0.35">
      <c r="A148" s="585" t="s">
        <v>853</v>
      </c>
      <c r="B148" s="585">
        <v>210.36500000000001</v>
      </c>
    </row>
    <row r="149" spans="1:2" x14ac:dyDescent="0.35">
      <c r="A149" s="585" t="s">
        <v>854</v>
      </c>
      <c r="B149" s="585">
        <v>12946</v>
      </c>
    </row>
    <row r="150" spans="1:2" x14ac:dyDescent="0.35">
      <c r="A150" s="585" t="s">
        <v>855</v>
      </c>
      <c r="B150" s="585">
        <v>8175.9</v>
      </c>
    </row>
    <row r="151" spans="1:2" x14ac:dyDescent="0.35">
      <c r="A151" s="585" t="s">
        <v>856</v>
      </c>
      <c r="B151" s="585">
        <v>5321.17</v>
      </c>
    </row>
    <row r="152" spans="1:2" x14ac:dyDescent="0.35">
      <c r="A152" s="585" t="s">
        <v>857</v>
      </c>
      <c r="B152" s="585">
        <v>3734.44</v>
      </c>
    </row>
    <row r="153" spans="1:2" x14ac:dyDescent="0.35">
      <c r="A153" s="585" t="s">
        <v>858</v>
      </c>
      <c r="B153" s="585">
        <v>2533.7800000000002</v>
      </c>
    </row>
    <row r="154" spans="1:2" x14ac:dyDescent="0.35">
      <c r="A154" s="585" t="s">
        <v>859</v>
      </c>
      <c r="B154" s="585">
        <v>1729.49</v>
      </c>
    </row>
    <row r="155" spans="1:2" x14ac:dyDescent="0.35">
      <c r="A155" s="585" t="s">
        <v>860</v>
      </c>
      <c r="B155" s="585">
        <v>1243.6199999999999</v>
      </c>
    </row>
    <row r="156" spans="1:2" x14ac:dyDescent="0.35">
      <c r="A156" s="585" t="s">
        <v>861</v>
      </c>
      <c r="B156" s="585">
        <v>909.88</v>
      </c>
    </row>
    <row r="157" spans="1:2" x14ac:dyDescent="0.35">
      <c r="A157" s="585" t="s">
        <v>862</v>
      </c>
      <c r="B157" s="585">
        <v>695.96299999999997</v>
      </c>
    </row>
    <row r="158" spans="1:2" x14ac:dyDescent="0.35">
      <c r="A158" s="585" t="s">
        <v>863</v>
      </c>
      <c r="B158" s="585">
        <v>556.22400000000005</v>
      </c>
    </row>
    <row r="159" spans="1:2" x14ac:dyDescent="0.35">
      <c r="A159" s="585" t="s">
        <v>864</v>
      </c>
      <c r="B159" s="585">
        <v>460.63900000000001</v>
      </c>
    </row>
    <row r="160" spans="1:2" x14ac:dyDescent="0.35">
      <c r="A160" s="585" t="s">
        <v>865</v>
      </c>
      <c r="B160" s="585">
        <v>386.077</v>
      </c>
    </row>
    <row r="161" spans="1:2" x14ac:dyDescent="0.35">
      <c r="A161" s="585" t="s">
        <v>866</v>
      </c>
      <c r="B161" s="585">
        <v>333.01600000000002</v>
      </c>
    </row>
    <row r="162" spans="1:2" x14ac:dyDescent="0.35">
      <c r="A162" s="585" t="s">
        <v>867</v>
      </c>
      <c r="B162" s="585">
        <v>293.84399999999999</v>
      </c>
    </row>
    <row r="163" spans="1:2" x14ac:dyDescent="0.35">
      <c r="A163" s="585" t="s">
        <v>868</v>
      </c>
      <c r="B163" s="585">
        <v>260.75299999999999</v>
      </c>
    </row>
    <row r="164" spans="1:2" x14ac:dyDescent="0.35">
      <c r="A164" s="585" t="s">
        <v>869</v>
      </c>
      <c r="B164" s="585">
        <v>236.13800000000001</v>
      </c>
    </row>
    <row r="165" spans="1:2" x14ac:dyDescent="0.35">
      <c r="A165" s="585" t="s">
        <v>870</v>
      </c>
      <c r="B165" s="585">
        <v>213.678</v>
      </c>
    </row>
    <row r="166" spans="1:2" x14ac:dyDescent="0.35">
      <c r="A166" s="585" t="s">
        <v>871</v>
      </c>
      <c r="B166" s="585">
        <v>193.852</v>
      </c>
    </row>
    <row r="167" spans="1:2" x14ac:dyDescent="0.35">
      <c r="A167" s="585" t="s">
        <v>872</v>
      </c>
      <c r="B167" s="585">
        <v>176.27699999999999</v>
      </c>
    </row>
    <row r="168" spans="1:2" x14ac:dyDescent="0.35">
      <c r="A168" s="585" t="s">
        <v>873</v>
      </c>
      <c r="B168" s="585">
        <v>160.09100000000001</v>
      </c>
    </row>
    <row r="169" spans="1:2" x14ac:dyDescent="0.35">
      <c r="A169" s="585" t="s">
        <v>874</v>
      </c>
      <c r="B169" s="585">
        <v>149.74700000000001</v>
      </c>
    </row>
    <row r="170" spans="1:2" x14ac:dyDescent="0.35">
      <c r="A170" s="585" t="s">
        <v>875</v>
      </c>
      <c r="B170" s="585">
        <v>138.82900000000001</v>
      </c>
    </row>
    <row r="171" spans="1:2" x14ac:dyDescent="0.35">
      <c r="A171" s="585" t="s">
        <v>876</v>
      </c>
      <c r="B171" s="585">
        <v>129.77799999999999</v>
      </c>
    </row>
    <row r="172" spans="1:2" x14ac:dyDescent="0.35">
      <c r="A172" s="585" t="s">
        <v>877</v>
      </c>
      <c r="B172" s="585">
        <v>121.828</v>
      </c>
    </row>
    <row r="173" spans="1:2" x14ac:dyDescent="0.35">
      <c r="A173" s="585" t="s">
        <v>878</v>
      </c>
      <c r="B173" s="585">
        <v>115.60299999999999</v>
      </c>
    </row>
    <row r="174" spans="1:2" x14ac:dyDescent="0.35">
      <c r="A174" s="585" t="s">
        <v>879</v>
      </c>
      <c r="B174" s="585">
        <v>110.67</v>
      </c>
    </row>
    <row r="175" spans="1:2" x14ac:dyDescent="0.35">
      <c r="A175" s="585" t="s">
        <v>880</v>
      </c>
      <c r="B175" s="585">
        <v>105.786</v>
      </c>
    </row>
    <row r="176" spans="1:2" x14ac:dyDescent="0.35">
      <c r="A176" s="585" t="s">
        <v>881</v>
      </c>
      <c r="B176" s="585">
        <v>55.023800000000001</v>
      </c>
    </row>
    <row r="177" spans="1:2" x14ac:dyDescent="0.35">
      <c r="A177" s="585" t="s">
        <v>882</v>
      </c>
      <c r="B177" s="585">
        <v>11.589</v>
      </c>
    </row>
    <row r="178" spans="1:2" x14ac:dyDescent="0.35">
      <c r="A178" s="585" t="s">
        <v>883</v>
      </c>
      <c r="B178" s="585">
        <v>2.6338599999999999</v>
      </c>
    </row>
    <row r="179" spans="1:2" x14ac:dyDescent="0.35">
      <c r="A179" s="585" t="s">
        <v>884</v>
      </c>
      <c r="B179" s="585">
        <v>2.6338599999999999</v>
      </c>
    </row>
    <row r="180" spans="1:2" x14ac:dyDescent="0.35">
      <c r="A180" s="585" t="s">
        <v>885</v>
      </c>
      <c r="B180" s="585">
        <v>2.6338599999999999</v>
      </c>
    </row>
    <row r="181" spans="1:2" x14ac:dyDescent="0.35">
      <c r="A181" s="585" t="s">
        <v>886</v>
      </c>
      <c r="B181" s="585">
        <v>13338</v>
      </c>
    </row>
    <row r="182" spans="1:2" x14ac:dyDescent="0.35">
      <c r="A182" s="585" t="s">
        <v>887</v>
      </c>
      <c r="B182" s="585">
        <v>8358.23</v>
      </c>
    </row>
    <row r="183" spans="1:2" x14ac:dyDescent="0.35">
      <c r="A183" s="585" t="s">
        <v>888</v>
      </c>
      <c r="B183" s="585">
        <v>5406.33</v>
      </c>
    </row>
    <row r="184" spans="1:2" x14ac:dyDescent="0.35">
      <c r="A184" s="585" t="s">
        <v>889</v>
      </c>
      <c r="B184" s="585">
        <v>3780.85</v>
      </c>
    </row>
    <row r="185" spans="1:2" x14ac:dyDescent="0.35">
      <c r="A185" s="585" t="s">
        <v>890</v>
      </c>
      <c r="B185" s="585">
        <v>2575.46</v>
      </c>
    </row>
    <row r="186" spans="1:2" x14ac:dyDescent="0.35">
      <c r="A186" s="585" t="s">
        <v>891</v>
      </c>
      <c r="B186" s="585">
        <v>1761.21</v>
      </c>
    </row>
    <row r="187" spans="1:2" x14ac:dyDescent="0.35">
      <c r="A187" s="585" t="s">
        <v>892</v>
      </c>
      <c r="B187" s="585">
        <v>1266.76</v>
      </c>
    </row>
    <row r="188" spans="1:2" x14ac:dyDescent="0.35">
      <c r="A188" s="585" t="s">
        <v>893</v>
      </c>
      <c r="B188" s="585">
        <v>930.20299999999997</v>
      </c>
    </row>
    <row r="189" spans="1:2" x14ac:dyDescent="0.35">
      <c r="A189" s="585" t="s">
        <v>894</v>
      </c>
      <c r="B189" s="585">
        <v>710.17100000000005</v>
      </c>
    </row>
    <row r="190" spans="1:2" x14ac:dyDescent="0.35">
      <c r="A190" s="585" t="s">
        <v>895</v>
      </c>
      <c r="B190" s="585">
        <v>566.5</v>
      </c>
    </row>
    <row r="191" spans="1:2" x14ac:dyDescent="0.35">
      <c r="A191" s="585" t="s">
        <v>896</v>
      </c>
      <c r="B191" s="585">
        <v>466.77699999999999</v>
      </c>
    </row>
    <row r="192" spans="1:2" x14ac:dyDescent="0.35">
      <c r="A192" s="585" t="s">
        <v>897</v>
      </c>
      <c r="B192" s="585">
        <v>392.28399999999999</v>
      </c>
    </row>
    <row r="193" spans="1:2" x14ac:dyDescent="0.35">
      <c r="A193" s="585" t="s">
        <v>898</v>
      </c>
      <c r="B193" s="585">
        <v>338.56900000000002</v>
      </c>
    </row>
    <row r="194" spans="1:2" x14ac:dyDescent="0.35">
      <c r="A194" s="585" t="s">
        <v>899</v>
      </c>
      <c r="B194" s="585">
        <v>300.94</v>
      </c>
    </row>
    <row r="195" spans="1:2" x14ac:dyDescent="0.35">
      <c r="A195" s="585" t="s">
        <v>900</v>
      </c>
      <c r="B195" s="585">
        <v>270.06</v>
      </c>
    </row>
    <row r="196" spans="1:2" x14ac:dyDescent="0.35">
      <c r="A196" s="585" t="s">
        <v>901</v>
      </c>
      <c r="B196" s="585">
        <v>243.53800000000001</v>
      </c>
    </row>
    <row r="197" spans="1:2" x14ac:dyDescent="0.35">
      <c r="A197" s="585" t="s">
        <v>902</v>
      </c>
      <c r="B197" s="585">
        <v>220.41499999999999</v>
      </c>
    </row>
    <row r="198" spans="1:2" x14ac:dyDescent="0.35">
      <c r="A198" s="585" t="s">
        <v>903</v>
      </c>
      <c r="B198" s="585">
        <v>199.30199999999999</v>
      </c>
    </row>
    <row r="199" spans="1:2" x14ac:dyDescent="0.35">
      <c r="A199" s="585" t="s">
        <v>904</v>
      </c>
      <c r="B199" s="585">
        <v>182.11500000000001</v>
      </c>
    </row>
    <row r="200" spans="1:2" x14ac:dyDescent="0.35">
      <c r="A200" s="585" t="s">
        <v>905</v>
      </c>
      <c r="B200" s="585">
        <v>166.65100000000001</v>
      </c>
    </row>
    <row r="201" spans="1:2" x14ac:dyDescent="0.35">
      <c r="A201" s="585" t="s">
        <v>906</v>
      </c>
      <c r="B201" s="585">
        <v>156.358</v>
      </c>
    </row>
    <row r="202" spans="1:2" x14ac:dyDescent="0.35">
      <c r="A202" s="585" t="s">
        <v>907</v>
      </c>
      <c r="B202" s="585">
        <v>145.68199999999999</v>
      </c>
    </row>
    <row r="203" spans="1:2" x14ac:dyDescent="0.35">
      <c r="A203" s="585" t="s">
        <v>908</v>
      </c>
      <c r="B203" s="585">
        <v>136.39500000000001</v>
      </c>
    </row>
    <row r="204" spans="1:2" x14ac:dyDescent="0.35">
      <c r="A204" s="585" t="s">
        <v>909</v>
      </c>
      <c r="B204" s="585">
        <v>126.724</v>
      </c>
    </row>
    <row r="205" spans="1:2" x14ac:dyDescent="0.35">
      <c r="A205" s="585" t="s">
        <v>910</v>
      </c>
      <c r="B205" s="585">
        <v>120.74</v>
      </c>
    </row>
    <row r="206" spans="1:2" x14ac:dyDescent="0.35">
      <c r="A206" s="585" t="s">
        <v>911</v>
      </c>
      <c r="B206" s="585">
        <v>114.995</v>
      </c>
    </row>
    <row r="207" spans="1:2" x14ac:dyDescent="0.35">
      <c r="A207" s="585" t="s">
        <v>912</v>
      </c>
      <c r="B207" s="585">
        <v>109.824</v>
      </c>
    </row>
    <row r="208" spans="1:2" x14ac:dyDescent="0.35">
      <c r="A208" s="585" t="s">
        <v>913</v>
      </c>
      <c r="B208" s="585">
        <v>55.773899999999998</v>
      </c>
    </row>
    <row r="209" spans="1:2" x14ac:dyDescent="0.35">
      <c r="A209" s="585" t="s">
        <v>914</v>
      </c>
      <c r="B209" s="585">
        <v>10.9154</v>
      </c>
    </row>
    <row r="210" spans="1:2" x14ac:dyDescent="0.35">
      <c r="A210" s="585" t="s">
        <v>915</v>
      </c>
      <c r="B210" s="585">
        <v>1.8192299999999999</v>
      </c>
    </row>
    <row r="211" spans="1:2" x14ac:dyDescent="0.35">
      <c r="A211" s="585" t="s">
        <v>916</v>
      </c>
      <c r="B211" s="585">
        <v>1.8192299999999999</v>
      </c>
    </row>
    <row r="212" spans="1:2" x14ac:dyDescent="0.35">
      <c r="A212" s="585" t="s">
        <v>917</v>
      </c>
      <c r="B212" s="585">
        <v>1.8192299999999999</v>
      </c>
    </row>
    <row r="213" spans="1:2" x14ac:dyDescent="0.35">
      <c r="A213" s="585" t="s">
        <v>918</v>
      </c>
      <c r="B213" s="585">
        <v>13396.2</v>
      </c>
    </row>
    <row r="214" spans="1:2" x14ac:dyDescent="0.35">
      <c r="A214" s="585" t="s">
        <v>919</v>
      </c>
      <c r="B214" s="585">
        <v>8381.16</v>
      </c>
    </row>
    <row r="215" spans="1:2" x14ac:dyDescent="0.35">
      <c r="A215" s="585" t="s">
        <v>920</v>
      </c>
      <c r="B215" s="585">
        <v>5433.93</v>
      </c>
    </row>
    <row r="216" spans="1:2" x14ac:dyDescent="0.35">
      <c r="A216" s="585" t="s">
        <v>921</v>
      </c>
      <c r="B216" s="585">
        <v>3802.54</v>
      </c>
    </row>
    <row r="217" spans="1:2" x14ac:dyDescent="0.35">
      <c r="A217" s="585" t="s">
        <v>922</v>
      </c>
      <c r="B217" s="585">
        <v>2580.19</v>
      </c>
    </row>
    <row r="218" spans="1:2" x14ac:dyDescent="0.35">
      <c r="A218" s="585" t="s">
        <v>923</v>
      </c>
      <c r="B218" s="585">
        <v>1759.56</v>
      </c>
    </row>
    <row r="219" spans="1:2" x14ac:dyDescent="0.35">
      <c r="A219" s="585" t="s">
        <v>924</v>
      </c>
      <c r="B219" s="585">
        <v>1252.4000000000001</v>
      </c>
    </row>
    <row r="220" spans="1:2" x14ac:dyDescent="0.35">
      <c r="A220" s="585" t="s">
        <v>925</v>
      </c>
      <c r="B220" s="585">
        <v>922.14499999999998</v>
      </c>
    </row>
    <row r="221" spans="1:2" x14ac:dyDescent="0.35">
      <c r="A221" s="585" t="s">
        <v>926</v>
      </c>
      <c r="B221" s="585">
        <v>705.51900000000001</v>
      </c>
    </row>
    <row r="222" spans="1:2" x14ac:dyDescent="0.35">
      <c r="A222" s="585" t="s">
        <v>927</v>
      </c>
      <c r="B222" s="585">
        <v>566.97</v>
      </c>
    </row>
    <row r="223" spans="1:2" x14ac:dyDescent="0.35">
      <c r="A223" s="585" t="s">
        <v>928</v>
      </c>
      <c r="B223" s="585">
        <v>467.69900000000001</v>
      </c>
    </row>
    <row r="224" spans="1:2" x14ac:dyDescent="0.35">
      <c r="A224" s="585" t="s">
        <v>929</v>
      </c>
      <c r="B224" s="585">
        <v>392.92200000000003</v>
      </c>
    </row>
    <row r="225" spans="1:2" x14ac:dyDescent="0.35">
      <c r="A225" s="585" t="s">
        <v>930</v>
      </c>
      <c r="B225" s="585">
        <v>340.29700000000003</v>
      </c>
    </row>
    <row r="226" spans="1:2" x14ac:dyDescent="0.35">
      <c r="A226" s="585" t="s">
        <v>931</v>
      </c>
      <c r="B226" s="585">
        <v>300.54000000000002</v>
      </c>
    </row>
    <row r="227" spans="1:2" x14ac:dyDescent="0.35">
      <c r="A227" s="585" t="s">
        <v>932</v>
      </c>
      <c r="B227" s="585">
        <v>266.142</v>
      </c>
    </row>
    <row r="228" spans="1:2" x14ac:dyDescent="0.35">
      <c r="A228" s="585" t="s">
        <v>933</v>
      </c>
      <c r="B228" s="585">
        <v>241.07300000000001</v>
      </c>
    </row>
    <row r="229" spans="1:2" x14ac:dyDescent="0.35">
      <c r="A229" s="585" t="s">
        <v>934</v>
      </c>
      <c r="B229" s="585">
        <v>217.05699999999999</v>
      </c>
    </row>
    <row r="230" spans="1:2" x14ac:dyDescent="0.35">
      <c r="A230" s="585" t="s">
        <v>935</v>
      </c>
      <c r="B230" s="585">
        <v>197.92</v>
      </c>
    </row>
    <row r="231" spans="1:2" x14ac:dyDescent="0.35">
      <c r="A231" s="585" t="s">
        <v>936</v>
      </c>
      <c r="B231" s="585">
        <v>180.17099999999999</v>
      </c>
    </row>
    <row r="232" spans="1:2" x14ac:dyDescent="0.35">
      <c r="A232" s="585" t="s">
        <v>937</v>
      </c>
      <c r="B232" s="585">
        <v>161.70400000000001</v>
      </c>
    </row>
    <row r="233" spans="1:2" x14ac:dyDescent="0.35">
      <c r="A233" s="585" t="s">
        <v>938</v>
      </c>
      <c r="B233" s="585">
        <v>151.94499999999999</v>
      </c>
    </row>
    <row r="234" spans="1:2" x14ac:dyDescent="0.35">
      <c r="A234" s="585" t="s">
        <v>939</v>
      </c>
      <c r="B234" s="585">
        <v>141.37200000000001</v>
      </c>
    </row>
    <row r="235" spans="1:2" x14ac:dyDescent="0.35">
      <c r="A235" s="585" t="s">
        <v>940</v>
      </c>
      <c r="B235" s="585">
        <v>132.04300000000001</v>
      </c>
    </row>
    <row r="236" spans="1:2" x14ac:dyDescent="0.35">
      <c r="A236" s="585" t="s">
        <v>941</v>
      </c>
      <c r="B236" s="585">
        <v>124.053</v>
      </c>
    </row>
    <row r="237" spans="1:2" x14ac:dyDescent="0.35">
      <c r="A237" s="585" t="s">
        <v>942</v>
      </c>
      <c r="B237" s="585">
        <v>118.02500000000001</v>
      </c>
    </row>
    <row r="238" spans="1:2" x14ac:dyDescent="0.35">
      <c r="A238" s="585" t="s">
        <v>943</v>
      </c>
      <c r="B238" s="585">
        <v>113.04900000000001</v>
      </c>
    </row>
    <row r="239" spans="1:2" x14ac:dyDescent="0.35">
      <c r="A239" s="585" t="s">
        <v>944</v>
      </c>
      <c r="B239" s="585">
        <v>109.126</v>
      </c>
    </row>
    <row r="240" spans="1:2" x14ac:dyDescent="0.35">
      <c r="A240" s="585" t="s">
        <v>945</v>
      </c>
      <c r="B240" s="585">
        <v>55.831000000000003</v>
      </c>
    </row>
    <row r="241" spans="1:2" x14ac:dyDescent="0.35">
      <c r="A241" s="585" t="s">
        <v>946</v>
      </c>
      <c r="B241" s="585">
        <v>10.9079</v>
      </c>
    </row>
    <row r="242" spans="1:2" x14ac:dyDescent="0.35">
      <c r="A242" s="585" t="s">
        <v>947</v>
      </c>
      <c r="B242" s="585">
        <v>1.9136599999999999</v>
      </c>
    </row>
    <row r="243" spans="1:2" x14ac:dyDescent="0.35">
      <c r="A243" s="585" t="s">
        <v>948</v>
      </c>
      <c r="B243" s="585">
        <v>1.9136599999999999</v>
      </c>
    </row>
    <row r="244" spans="1:2" x14ac:dyDescent="0.35">
      <c r="A244" s="585" t="s">
        <v>949</v>
      </c>
      <c r="B244" s="585">
        <v>1.9136599999999999</v>
      </c>
    </row>
    <row r="245" spans="1:2" x14ac:dyDescent="0.35">
      <c r="A245" s="585" t="s">
        <v>950</v>
      </c>
      <c r="B245" s="585">
        <v>12836.4</v>
      </c>
    </row>
    <row r="246" spans="1:2" x14ac:dyDescent="0.35">
      <c r="A246" s="585" t="s">
        <v>951</v>
      </c>
      <c r="B246" s="585">
        <v>8059</v>
      </c>
    </row>
    <row r="247" spans="1:2" x14ac:dyDescent="0.35">
      <c r="A247" s="585" t="s">
        <v>952</v>
      </c>
      <c r="B247" s="585">
        <v>5278.58</v>
      </c>
    </row>
    <row r="248" spans="1:2" x14ac:dyDescent="0.35">
      <c r="A248" s="585" t="s">
        <v>953</v>
      </c>
      <c r="B248" s="585">
        <v>3662.79</v>
      </c>
    </row>
    <row r="249" spans="1:2" x14ac:dyDescent="0.35">
      <c r="A249" s="585" t="s">
        <v>954</v>
      </c>
      <c r="B249" s="585">
        <v>2497.46</v>
      </c>
    </row>
    <row r="250" spans="1:2" x14ac:dyDescent="0.35">
      <c r="A250" s="585" t="s">
        <v>955</v>
      </c>
      <c r="B250" s="585">
        <v>1718.54</v>
      </c>
    </row>
    <row r="251" spans="1:2" x14ac:dyDescent="0.35">
      <c r="A251" s="585" t="s">
        <v>956</v>
      </c>
      <c r="B251" s="585">
        <v>1227.55</v>
      </c>
    </row>
    <row r="252" spans="1:2" x14ac:dyDescent="0.35">
      <c r="A252" s="585" t="s">
        <v>957</v>
      </c>
      <c r="B252" s="585">
        <v>903.68200000000002</v>
      </c>
    </row>
    <row r="253" spans="1:2" x14ac:dyDescent="0.35">
      <c r="A253" s="585" t="s">
        <v>958</v>
      </c>
      <c r="B253" s="585">
        <v>691.07299999999998</v>
      </c>
    </row>
    <row r="254" spans="1:2" x14ac:dyDescent="0.35">
      <c r="A254" s="585" t="s">
        <v>959</v>
      </c>
      <c r="B254" s="585">
        <v>555.41099999999994</v>
      </c>
    </row>
    <row r="255" spans="1:2" x14ac:dyDescent="0.35">
      <c r="A255" s="585" t="s">
        <v>960</v>
      </c>
      <c r="B255" s="585">
        <v>460.23200000000003</v>
      </c>
    </row>
    <row r="256" spans="1:2" x14ac:dyDescent="0.35">
      <c r="A256" s="585" t="s">
        <v>961</v>
      </c>
      <c r="B256" s="585">
        <v>388.52100000000002</v>
      </c>
    </row>
    <row r="257" spans="1:2" x14ac:dyDescent="0.35">
      <c r="A257" s="585" t="s">
        <v>962</v>
      </c>
      <c r="B257" s="585">
        <v>333.68599999999998</v>
      </c>
    </row>
    <row r="258" spans="1:2" x14ac:dyDescent="0.35">
      <c r="A258" s="585" t="s">
        <v>963</v>
      </c>
      <c r="B258" s="585">
        <v>294.60500000000002</v>
      </c>
    </row>
    <row r="259" spans="1:2" x14ac:dyDescent="0.35">
      <c r="A259" s="585" t="s">
        <v>964</v>
      </c>
      <c r="B259" s="585">
        <v>263.517</v>
      </c>
    </row>
    <row r="260" spans="1:2" x14ac:dyDescent="0.35">
      <c r="A260" s="585" t="s">
        <v>965</v>
      </c>
      <c r="B260" s="585">
        <v>237.15199999999999</v>
      </c>
    </row>
    <row r="261" spans="1:2" x14ac:dyDescent="0.35">
      <c r="A261" s="585" t="s">
        <v>966</v>
      </c>
      <c r="B261" s="585">
        <v>214.10499999999999</v>
      </c>
    </row>
    <row r="262" spans="1:2" x14ac:dyDescent="0.35">
      <c r="A262" s="585" t="s">
        <v>967</v>
      </c>
      <c r="B262" s="585">
        <v>192.88200000000001</v>
      </c>
    </row>
    <row r="263" spans="1:2" x14ac:dyDescent="0.35">
      <c r="A263" s="585" t="s">
        <v>968</v>
      </c>
      <c r="B263" s="585">
        <v>175.58500000000001</v>
      </c>
    </row>
    <row r="264" spans="1:2" x14ac:dyDescent="0.35">
      <c r="A264" s="585" t="s">
        <v>969</v>
      </c>
      <c r="B264" s="585">
        <v>160.11099999999999</v>
      </c>
    </row>
    <row r="265" spans="1:2" x14ac:dyDescent="0.35">
      <c r="A265" s="585" t="s">
        <v>970</v>
      </c>
      <c r="B265" s="585">
        <v>149.78</v>
      </c>
    </row>
    <row r="266" spans="1:2" x14ac:dyDescent="0.35">
      <c r="A266" s="585" t="s">
        <v>971</v>
      </c>
      <c r="B266" s="585">
        <v>139.309</v>
      </c>
    </row>
    <row r="267" spans="1:2" x14ac:dyDescent="0.35">
      <c r="A267" s="585" t="s">
        <v>972</v>
      </c>
      <c r="B267" s="585">
        <v>130.42599999999999</v>
      </c>
    </row>
    <row r="268" spans="1:2" x14ac:dyDescent="0.35">
      <c r="A268" s="585" t="s">
        <v>973</v>
      </c>
      <c r="B268" s="585">
        <v>122.339</v>
      </c>
    </row>
    <row r="269" spans="1:2" x14ac:dyDescent="0.35">
      <c r="A269" s="585" t="s">
        <v>974</v>
      </c>
      <c r="B269" s="585">
        <v>116.16800000000001</v>
      </c>
    </row>
    <row r="270" spans="1:2" x14ac:dyDescent="0.35">
      <c r="A270" s="585" t="s">
        <v>975</v>
      </c>
      <c r="B270" s="585">
        <v>111.447</v>
      </c>
    </row>
    <row r="271" spans="1:2" x14ac:dyDescent="0.35">
      <c r="A271" s="585" t="s">
        <v>976</v>
      </c>
      <c r="B271" s="585">
        <v>106.72499999999999</v>
      </c>
    </row>
    <row r="272" spans="1:2" x14ac:dyDescent="0.35">
      <c r="A272" s="585" t="s">
        <v>977</v>
      </c>
      <c r="B272" s="585">
        <v>57.032299999999999</v>
      </c>
    </row>
    <row r="273" spans="1:2" x14ac:dyDescent="0.35">
      <c r="A273" s="585" t="s">
        <v>978</v>
      </c>
      <c r="B273" s="585">
        <v>12.294700000000001</v>
      </c>
    </row>
    <row r="274" spans="1:2" x14ac:dyDescent="0.35">
      <c r="A274" s="585" t="s">
        <v>979</v>
      </c>
      <c r="B274" s="585">
        <v>2.10365</v>
      </c>
    </row>
    <row r="275" spans="1:2" x14ac:dyDescent="0.35">
      <c r="A275" s="585" t="s">
        <v>980</v>
      </c>
      <c r="B275" s="585">
        <v>2.10365</v>
      </c>
    </row>
    <row r="276" spans="1:2" x14ac:dyDescent="0.35">
      <c r="A276" s="585" t="s">
        <v>981</v>
      </c>
      <c r="B276" s="585">
        <v>2.10365</v>
      </c>
    </row>
    <row r="277" spans="1:2" x14ac:dyDescent="0.35">
      <c r="A277" s="585" t="s">
        <v>982</v>
      </c>
      <c r="B277" s="585"/>
    </row>
    <row r="278" spans="1:2" x14ac:dyDescent="0.35">
      <c r="A278" s="585" t="s">
        <v>983</v>
      </c>
      <c r="B278" s="585">
        <v>49</v>
      </c>
    </row>
    <row r="279" spans="1:2" x14ac:dyDescent="0.35">
      <c r="A279" s="585" t="s">
        <v>984</v>
      </c>
      <c r="B279" s="585">
        <v>339</v>
      </c>
    </row>
    <row r="280" spans="1:2" x14ac:dyDescent="0.35">
      <c r="A280" s="585" t="s">
        <v>985</v>
      </c>
      <c r="B280" s="585">
        <v>11557</v>
      </c>
    </row>
    <row r="281" spans="1:2" x14ac:dyDescent="0.35">
      <c r="A281" s="585" t="s">
        <v>986</v>
      </c>
      <c r="B281" s="585">
        <v>0</v>
      </c>
    </row>
    <row r="282" spans="1:2" x14ac:dyDescent="0.35">
      <c r="A282" s="585" t="s">
        <v>987</v>
      </c>
      <c r="B282" s="585"/>
    </row>
    <row r="283" spans="1:2" x14ac:dyDescent="0.35">
      <c r="A283" s="585" t="s">
        <v>988</v>
      </c>
      <c r="B283" s="585">
        <v>46176.6</v>
      </c>
    </row>
    <row r="284" spans="1:2" x14ac:dyDescent="0.35">
      <c r="A284" s="585" t="s">
        <v>989</v>
      </c>
      <c r="B284" s="585">
        <v>63010065</v>
      </c>
    </row>
    <row r="285" spans="1:2" x14ac:dyDescent="0.35">
      <c r="A285" s="585" t="s">
        <v>990</v>
      </c>
      <c r="B285" s="585"/>
    </row>
    <row r="286" spans="1:2" x14ac:dyDescent="0.35">
      <c r="A286" s="585" t="s">
        <v>991</v>
      </c>
      <c r="B286" s="585">
        <v>12.79</v>
      </c>
    </row>
    <row r="287" spans="1:2" x14ac:dyDescent="0.35">
      <c r="A287" s="585" t="s">
        <v>992</v>
      </c>
      <c r="B287" s="585">
        <v>12.79</v>
      </c>
    </row>
    <row r="288" spans="1:2" x14ac:dyDescent="0.35">
      <c r="A288" s="585" t="s">
        <v>993</v>
      </c>
      <c r="B288" s="585">
        <v>5.6</v>
      </c>
    </row>
    <row r="289" spans="1:2" x14ac:dyDescent="0.35">
      <c r="A289" s="585" t="s">
        <v>994</v>
      </c>
      <c r="B289" s="585">
        <v>71.623999999999995</v>
      </c>
    </row>
    <row r="290" spans="1:2" x14ac:dyDescent="0.35">
      <c r="A290" s="585" t="s">
        <v>995</v>
      </c>
      <c r="B290" s="585">
        <v>71.73</v>
      </c>
    </row>
    <row r="291" spans="1:2" x14ac:dyDescent="0.35">
      <c r="A291" s="585" t="s">
        <v>996</v>
      </c>
      <c r="B291" s="585">
        <v>12.79</v>
      </c>
    </row>
    <row r="292" spans="1:2" x14ac:dyDescent="0.35">
      <c r="A292" s="585" t="s">
        <v>997</v>
      </c>
      <c r="B292" s="585">
        <v>12.79</v>
      </c>
    </row>
    <row r="293" spans="1:2" x14ac:dyDescent="0.35">
      <c r="A293" s="585" t="s">
        <v>998</v>
      </c>
      <c r="B293" s="585">
        <v>16</v>
      </c>
    </row>
    <row r="294" spans="1:2" x14ac:dyDescent="0.35">
      <c r="A294" s="585" t="s">
        <v>999</v>
      </c>
      <c r="B294" s="585">
        <v>-1</v>
      </c>
    </row>
    <row r="295" spans="1:2" x14ac:dyDescent="0.35">
      <c r="A295" s="585" t="s">
        <v>1000</v>
      </c>
      <c r="B295" s="585">
        <v>0</v>
      </c>
    </row>
    <row r="296" spans="1:2" x14ac:dyDescent="0.35">
      <c r="A296" s="585" t="s">
        <v>1001</v>
      </c>
      <c r="B296" s="585">
        <v>304</v>
      </c>
    </row>
    <row r="297" spans="1:2" x14ac:dyDescent="0.35">
      <c r="A297" s="585" t="s">
        <v>1002</v>
      </c>
      <c r="B297" s="5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63010065</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39"/>
      <c r="G7" s="439"/>
      <c r="H7" s="439"/>
      <c r="I7" s="439"/>
      <c r="J7" s="439"/>
      <c r="K7" s="439"/>
      <c r="L7" s="439"/>
      <c r="M7" s="439"/>
      <c r="N7" s="439"/>
      <c r="O7" s="439"/>
      <c r="P7" s="439"/>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2" t="s">
        <v>40</v>
      </c>
      <c r="F8" s="453"/>
      <c r="G8" s="453"/>
      <c r="H8" s="453"/>
      <c r="I8" s="453"/>
      <c r="J8" s="453"/>
      <c r="K8" s="453"/>
      <c r="L8" s="453"/>
      <c r="M8" s="453"/>
      <c r="N8" s="453"/>
      <c r="O8" s="453"/>
      <c r="P8" s="453"/>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4"/>
      <c r="F12" s="455"/>
      <c r="G12" s="455"/>
      <c r="H12" s="455"/>
      <c r="I12" s="455"/>
      <c r="J12" s="455"/>
      <c r="K12" s="455"/>
      <c r="L12" s="455"/>
      <c r="M12" s="455"/>
      <c r="N12" s="455"/>
      <c r="O12" s="455"/>
      <c r="P12" s="455"/>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33"/>
      <c r="F14" s="433"/>
      <c r="G14" s="433"/>
      <c r="H14" s="433"/>
      <c r="I14" s="433"/>
      <c r="J14" s="433"/>
      <c r="K14" s="433"/>
      <c r="L14" s="433"/>
      <c r="M14" s="433"/>
      <c r="N14" s="433"/>
      <c r="O14" s="433"/>
      <c r="P14" s="433"/>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31" t="s">
        <v>53</v>
      </c>
      <c r="D19" s="431"/>
      <c r="E19" s="431"/>
      <c r="F19" s="431"/>
      <c r="G19" s="431"/>
      <c r="H19" s="431"/>
      <c r="I19" s="431"/>
      <c r="J19" s="431"/>
      <c r="K19" s="431"/>
      <c r="L19" s="431"/>
      <c r="M19" s="431"/>
      <c r="N19" s="431"/>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31" t="s">
        <v>65</v>
      </c>
      <c r="D30" s="431"/>
      <c r="E30" s="431"/>
      <c r="F30" s="431"/>
      <c r="G30" s="431"/>
      <c r="H30" s="431"/>
      <c r="I30" s="431"/>
      <c r="J30" s="431"/>
      <c r="K30" s="431"/>
      <c r="L30" s="431"/>
      <c r="M30" s="431"/>
      <c r="N30" s="431"/>
    </row>
    <row r="31" spans="1:23" ht="15" customHeight="1" x14ac:dyDescent="0.35">
      <c r="A31" s="219" t="b">
        <v>1</v>
      </c>
      <c r="B31" s="279">
        <f>B29+1</f>
        <v>25</v>
      </c>
      <c r="C31" s="185" t="s">
        <v>66</v>
      </c>
      <c r="D31" s="365"/>
      <c r="E31" s="434" t="s">
        <v>67</v>
      </c>
      <c r="F31" s="434"/>
      <c r="G31" s="435" t="str">
        <f>IF($D$31=$D$10,"ON TIME",IF($D$31&gt;$D$10,"LATE",IF($D$31&lt;$D$10,"EARLY")))</f>
        <v>ON TIME</v>
      </c>
      <c r="H31" s="435"/>
      <c r="I31" s="435"/>
      <c r="J31" s="435"/>
      <c r="K31" s="435"/>
      <c r="L31" s="435"/>
      <c r="M31" s="435"/>
      <c r="N31" s="435"/>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36"/>
      <c r="F55" s="436"/>
      <c r="G55" s="436"/>
      <c r="H55" s="436"/>
      <c r="I55" s="436"/>
      <c r="J55" s="436"/>
      <c r="K55" s="436"/>
      <c r="L55" s="436"/>
      <c r="M55" s="436"/>
      <c r="N55" s="436"/>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2" t="s">
        <v>127</v>
      </c>
      <c r="D75" s="432"/>
      <c r="E75" s="432"/>
      <c r="F75" s="432"/>
      <c r="G75" s="432"/>
      <c r="H75" s="432"/>
      <c r="I75" s="432"/>
      <c r="J75" s="432"/>
      <c r="K75" s="432"/>
      <c r="L75" s="432"/>
      <c r="M75" s="432"/>
      <c r="N75" s="432"/>
      <c r="O75" s="432"/>
      <c r="P75" s="226"/>
    </row>
    <row r="76" spans="1:18" s="213" customFormat="1" ht="14.25" x14ac:dyDescent="0.35">
      <c r="A76" s="219" t="b">
        <v>0</v>
      </c>
      <c r="B76" s="279" t="e">
        <f>B74+1</f>
        <v>#REF!</v>
      </c>
      <c r="C76" s="232"/>
      <c r="D76" s="233" t="s">
        <v>688</v>
      </c>
      <c r="E76" s="433"/>
      <c r="F76" s="433"/>
      <c r="G76" s="433"/>
      <c r="H76" s="433"/>
      <c r="I76" s="433"/>
      <c r="J76" s="433"/>
      <c r="K76" s="433"/>
      <c r="L76" s="433"/>
      <c r="M76" s="433"/>
      <c r="N76" s="433"/>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7" t="s">
        <v>689</v>
      </c>
      <c r="F79" s="437"/>
      <c r="G79" s="437"/>
      <c r="H79" s="437"/>
      <c r="I79" s="437"/>
      <c r="J79" s="437"/>
      <c r="K79" s="437"/>
      <c r="L79" s="437"/>
      <c r="M79" s="437"/>
      <c r="N79" s="437"/>
      <c r="O79" s="211"/>
      <c r="P79" s="209"/>
    </row>
    <row r="80" spans="1:18" s="213" customFormat="1" ht="14.25" x14ac:dyDescent="0.4">
      <c r="A80" s="219" t="b">
        <v>1</v>
      </c>
      <c r="B80" s="279" t="e">
        <f t="shared" ref="B80:B105" si="3">B79+1</f>
        <v>#REF!</v>
      </c>
      <c r="C80" s="299" t="s">
        <v>134</v>
      </c>
      <c r="D80" s="212"/>
      <c r="E80" s="433"/>
      <c r="F80" s="433"/>
      <c r="G80" s="433"/>
      <c r="H80" s="433"/>
      <c r="I80" s="433"/>
      <c r="J80" s="433"/>
      <c r="K80" s="433"/>
      <c r="L80" s="433"/>
      <c r="M80" s="433"/>
      <c r="N80" s="433"/>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33"/>
      <c r="F81" s="433"/>
      <c r="G81" s="433"/>
      <c r="H81" s="433"/>
      <c r="I81" s="433"/>
      <c r="J81" s="433"/>
      <c r="K81" s="433"/>
      <c r="L81" s="433"/>
      <c r="M81" s="433"/>
      <c r="N81" s="433"/>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2"/>
      <c r="D82" s="432"/>
      <c r="E82" s="432"/>
      <c r="F82" s="432"/>
      <c r="G82" s="432"/>
      <c r="H82" s="432"/>
      <c r="I82" s="432"/>
      <c r="J82" s="432"/>
      <c r="K82" s="432"/>
      <c r="L82" s="432"/>
      <c r="M82" s="432"/>
      <c r="N82" s="432"/>
      <c r="O82" s="432"/>
      <c r="P82" s="226"/>
    </row>
    <row r="83" spans="1:17" s="213" customFormat="1" ht="14.25" hidden="1" x14ac:dyDescent="0.35">
      <c r="A83" s="219" t="b">
        <v>1</v>
      </c>
      <c r="B83" s="279"/>
      <c r="C83" s="241"/>
      <c r="D83" s="233"/>
      <c r="E83" s="456"/>
      <c r="F83" s="457"/>
      <c r="G83" s="457"/>
      <c r="H83" s="457"/>
      <c r="I83" s="457"/>
      <c r="J83" s="457"/>
      <c r="K83" s="439"/>
      <c r="L83" s="439"/>
      <c r="M83" s="439"/>
      <c r="N83" s="439"/>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7"/>
      <c r="F85" s="437"/>
      <c r="G85" s="437"/>
      <c r="H85" s="437"/>
      <c r="I85" s="437"/>
      <c r="J85" s="437"/>
      <c r="K85" s="437"/>
      <c r="L85" s="437"/>
      <c r="M85" s="437"/>
      <c r="N85" s="437"/>
      <c r="P85" s="209"/>
      <c r="Q85" s="211"/>
    </row>
    <row r="86" spans="1:17" s="213" customFormat="1" ht="14.25" hidden="1" x14ac:dyDescent="0.35">
      <c r="A86" s="219"/>
      <c r="B86" s="279"/>
      <c r="C86" s="241"/>
      <c r="D86" s="240"/>
      <c r="E86" s="434"/>
      <c r="F86" s="434"/>
      <c r="G86" s="434"/>
      <c r="H86" s="434"/>
      <c r="I86" s="434"/>
      <c r="J86" s="434"/>
      <c r="K86" s="438"/>
      <c r="L86" s="438"/>
      <c r="M86" s="438"/>
      <c r="N86" s="438"/>
      <c r="O86" s="211"/>
      <c r="P86" s="209"/>
    </row>
    <row r="87" spans="1:17" s="213" customFormat="1" ht="14.25" hidden="1" x14ac:dyDescent="0.35">
      <c r="A87" s="219"/>
      <c r="B87" s="279"/>
      <c r="C87" s="241"/>
      <c r="D87" s="240"/>
      <c r="E87" s="437"/>
      <c r="F87" s="437"/>
      <c r="G87" s="437"/>
      <c r="H87" s="437"/>
      <c r="I87" s="437"/>
      <c r="J87" s="437"/>
      <c r="K87" s="437"/>
      <c r="L87" s="437"/>
      <c r="M87" s="437"/>
      <c r="N87" s="437"/>
      <c r="P87" s="209"/>
      <c r="Q87" s="211"/>
    </row>
    <row r="88" spans="1:17" s="213" customFormat="1" ht="14.25" hidden="1" x14ac:dyDescent="0.35">
      <c r="A88" s="219"/>
      <c r="B88" s="279"/>
      <c r="C88" s="241"/>
      <c r="D88" s="240"/>
      <c r="E88" s="434"/>
      <c r="F88" s="434"/>
      <c r="G88" s="434"/>
      <c r="H88" s="434"/>
      <c r="I88" s="434"/>
      <c r="J88" s="434"/>
      <c r="K88" s="438"/>
      <c r="L88" s="438"/>
      <c r="M88" s="438"/>
      <c r="N88" s="438"/>
      <c r="P88" s="209"/>
      <c r="Q88" s="211"/>
    </row>
    <row r="89" spans="1:17" s="213" customFormat="1" ht="14.25" x14ac:dyDescent="0.4">
      <c r="A89" s="219" t="b">
        <v>1</v>
      </c>
      <c r="B89" s="279">
        <f t="shared" si="3"/>
        <v>1</v>
      </c>
      <c r="C89" s="299" t="s">
        <v>144</v>
      </c>
      <c r="D89" s="210" t="s">
        <v>23</v>
      </c>
      <c r="E89" s="459"/>
      <c r="F89" s="460"/>
      <c r="G89" s="460"/>
      <c r="H89" s="460"/>
      <c r="I89" s="460"/>
      <c r="J89" s="460"/>
      <c r="K89" s="460"/>
      <c r="L89" s="255"/>
      <c r="M89" s="255"/>
      <c r="N89" s="255"/>
      <c r="O89" s="209"/>
      <c r="P89" s="209"/>
    </row>
    <row r="90" spans="1:17" s="213" customFormat="1" ht="14.25" x14ac:dyDescent="0.4">
      <c r="A90" s="219" t="b">
        <v>0</v>
      </c>
      <c r="B90" s="279">
        <f t="shared" si="3"/>
        <v>2</v>
      </c>
      <c r="C90" s="299" t="s">
        <v>145</v>
      </c>
      <c r="D90" s="372" t="b">
        <v>1</v>
      </c>
      <c r="E90" s="231"/>
      <c r="G90" s="228"/>
      <c r="H90" s="228"/>
      <c r="I90" s="461"/>
      <c r="J90" s="461"/>
      <c r="K90" s="461"/>
      <c r="L90" s="461"/>
      <c r="M90" s="461"/>
      <c r="N90" s="461"/>
      <c r="P90" s="209"/>
    </row>
    <row r="91" spans="1:17" s="213" customFormat="1" ht="14.25" x14ac:dyDescent="0.35">
      <c r="A91" s="219" t="b">
        <v>0</v>
      </c>
      <c r="B91" s="279"/>
      <c r="C91" s="432" t="s">
        <v>146</v>
      </c>
      <c r="D91" s="432"/>
      <c r="E91" s="432"/>
      <c r="F91" s="432"/>
      <c r="G91" s="432"/>
      <c r="H91" s="432"/>
      <c r="I91" s="432"/>
      <c r="J91" s="432"/>
      <c r="K91" s="432"/>
      <c r="L91" s="432"/>
      <c r="M91" s="432"/>
      <c r="N91" s="432"/>
      <c r="O91" s="432"/>
      <c r="P91" s="226"/>
    </row>
    <row r="92" spans="1:17" s="220" customFormat="1" ht="15.75" customHeight="1" x14ac:dyDescent="0.35">
      <c r="A92" s="219" t="b">
        <v>0</v>
      </c>
      <c r="B92" s="279">
        <f>B90+1</f>
        <v>3</v>
      </c>
      <c r="C92" s="228" t="s">
        <v>147</v>
      </c>
      <c r="D92" s="302"/>
      <c r="E92" s="434" t="s">
        <v>67</v>
      </c>
      <c r="F92" s="434"/>
      <c r="G92" s="462" t="str">
        <f>IF(D92=$D$7,"ON TIME",IF(D92&gt;$D$7,"LATE",IF(D92&lt;$D$7,"EARLY")))</f>
        <v>ON TIME</v>
      </c>
      <c r="H92" s="462"/>
      <c r="I92" s="462"/>
      <c r="J92" s="462"/>
      <c r="K92" s="462"/>
      <c r="L92" s="462"/>
      <c r="M92" s="462"/>
      <c r="N92" s="462"/>
      <c r="O92" s="238"/>
      <c r="P92" s="238"/>
    </row>
    <row r="93" spans="1:17" s="213" customFormat="1" ht="14.25" x14ac:dyDescent="0.35">
      <c r="A93" s="219" t="b">
        <v>0</v>
      </c>
      <c r="B93" s="279">
        <f t="shared" si="3"/>
        <v>4</v>
      </c>
      <c r="C93" s="256">
        <f>D15</f>
        <v>0</v>
      </c>
      <c r="D93" s="233" t="s">
        <v>148</v>
      </c>
      <c r="E93" s="458">
        <v>0</v>
      </c>
      <c r="F93" s="458"/>
      <c r="G93" s="458"/>
      <c r="H93" s="458"/>
      <c r="I93" s="458"/>
      <c r="J93" s="458"/>
      <c r="K93" s="458"/>
      <c r="L93" s="458"/>
      <c r="M93" s="458"/>
      <c r="N93" s="458"/>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8">
        <v>0</v>
      </c>
      <c r="F94" s="458"/>
      <c r="G94" s="458"/>
      <c r="H94" s="458"/>
      <c r="I94" s="458"/>
      <c r="J94" s="458"/>
      <c r="K94" s="458"/>
      <c r="L94" s="458"/>
      <c r="M94" s="458"/>
      <c r="N94" s="458"/>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63"/>
      <c r="F95" s="463"/>
      <c r="G95" s="463"/>
      <c r="H95" s="463"/>
      <c r="I95" s="463"/>
      <c r="J95" s="463"/>
      <c r="K95" s="463"/>
      <c r="L95" s="463"/>
      <c r="M95" s="463"/>
      <c r="N95" s="463"/>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7" t="s">
        <v>152</v>
      </c>
      <c r="F97" s="437"/>
      <c r="G97" s="437"/>
      <c r="H97" s="437"/>
      <c r="I97" s="437"/>
      <c r="J97" s="437"/>
      <c r="K97" s="437"/>
      <c r="L97" s="437"/>
      <c r="M97" s="437"/>
      <c r="N97" s="437"/>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2" t="s">
        <v>136</v>
      </c>
      <c r="D98" s="432"/>
      <c r="E98" s="432"/>
      <c r="F98" s="432"/>
      <c r="G98" s="432"/>
      <c r="H98" s="432"/>
      <c r="I98" s="432"/>
      <c r="J98" s="432"/>
      <c r="K98" s="432"/>
      <c r="L98" s="432"/>
      <c r="M98" s="432"/>
      <c r="N98" s="432"/>
      <c r="O98" s="432"/>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35" t="str">
        <f>IF(D105=D18,"ON TIME",IF(D105&gt;D18,"LATE",IF(D105&lt;D18,"EARLY")))</f>
        <v>ON TIME</v>
      </c>
      <c r="H105" s="435"/>
      <c r="I105" s="435"/>
      <c r="J105" s="435"/>
      <c r="K105" s="435"/>
      <c r="L105" s="435"/>
      <c r="M105" s="435"/>
      <c r="N105" s="435"/>
      <c r="O105" s="220"/>
      <c r="P105" s="205"/>
    </row>
    <row r="106" spans="1:28" s="213" customFormat="1" ht="14.25" x14ac:dyDescent="0.35">
      <c r="A106" s="219" t="b">
        <v>0</v>
      </c>
      <c r="B106" s="279"/>
      <c r="C106" s="432" t="s">
        <v>691</v>
      </c>
      <c r="D106" s="432"/>
      <c r="E106" s="432"/>
      <c r="F106" s="432"/>
      <c r="G106" s="432"/>
      <c r="H106" s="432"/>
      <c r="I106" s="432"/>
      <c r="J106" s="432"/>
      <c r="K106" s="432"/>
      <c r="L106" s="432"/>
      <c r="M106" s="432"/>
      <c r="N106" s="432"/>
      <c r="O106" s="432"/>
      <c r="P106" s="209"/>
    </row>
    <row r="107" spans="1:28" s="213" customFormat="1" ht="15.75" x14ac:dyDescent="0.4">
      <c r="A107" s="219" t="b">
        <v>0</v>
      </c>
      <c r="B107" s="279" t="e">
        <f>B105+1</f>
        <v>#REF!</v>
      </c>
      <c r="C107" s="299" t="s">
        <v>163</v>
      </c>
      <c r="D107" s="302"/>
      <c r="E107" s="434" t="s">
        <v>67</v>
      </c>
      <c r="F107" s="434"/>
      <c r="G107" s="462" t="str">
        <f>IF(D107=D18,"ON TIME",IF(D107&gt;D18,"LATE",IF(D107&lt;D18,"EARLY")))</f>
        <v>ON TIME</v>
      </c>
      <c r="H107" s="462"/>
      <c r="I107" s="462"/>
      <c r="J107" s="462"/>
      <c r="K107" s="462"/>
      <c r="L107" s="462"/>
      <c r="M107" s="462"/>
      <c r="N107" s="462"/>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64" t="s">
        <v>166</v>
      </c>
      <c r="D110" s="464"/>
      <c r="E110" s="464"/>
      <c r="F110" s="464"/>
      <c r="G110" s="464"/>
      <c r="H110" s="464"/>
      <c r="I110" s="464"/>
      <c r="J110" s="464"/>
      <c r="K110" s="464"/>
      <c r="L110" s="464"/>
      <c r="M110" s="464"/>
      <c r="N110" s="464"/>
      <c r="O110" s="464"/>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63010065</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65" t="s">
        <v>692</v>
      </c>
      <c r="F113" s="460"/>
      <c r="G113" s="460"/>
      <c r="H113" s="460"/>
      <c r="I113" s="460"/>
      <c r="J113" s="460"/>
      <c r="K113" s="460"/>
      <c r="L113" s="460"/>
      <c r="M113" s="460"/>
      <c r="N113" s="460"/>
      <c r="O113" s="211"/>
      <c r="P113" s="209"/>
      <c r="Z113" s="266"/>
      <c r="AA113" s="266"/>
      <c r="AB113" s="266"/>
    </row>
    <row r="114" spans="1:28" s="213" customFormat="1" ht="14.25" x14ac:dyDescent="0.35">
      <c r="A114" s="219" t="b">
        <v>1</v>
      </c>
      <c r="B114" s="279"/>
      <c r="C114" s="432" t="s">
        <v>169</v>
      </c>
      <c r="D114" s="432"/>
      <c r="E114" s="432"/>
      <c r="F114" s="432"/>
      <c r="G114" s="432"/>
      <c r="H114" s="432"/>
      <c r="I114" s="432"/>
      <c r="J114" s="432"/>
      <c r="K114" s="432"/>
      <c r="L114" s="432"/>
      <c r="M114" s="432"/>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72</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174</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980</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63010065</v>
      </c>
      <c r="F119" s="335">
        <f t="shared" si="5"/>
        <v>4</v>
      </c>
      <c r="G119" s="377">
        <v>21</v>
      </c>
      <c r="H119" s="354">
        <f>'Auto-Calibration record'!$E$65</f>
        <v>1996</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2808</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9752</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14732</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23642</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2" t="s">
        <v>187</v>
      </c>
      <c r="D133" s="432"/>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2" t="s">
        <v>207</v>
      </c>
      <c r="D155" s="432"/>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2" t="s">
        <v>213</v>
      </c>
      <c r="D161" s="432"/>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2" t="s">
        <v>219</v>
      </c>
      <c r="D167" s="466"/>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62" t="str">
        <f>IF(D176=D18,"ON TIME",IF(D176&gt;D18,"LATE",IF(D176&lt;D18,"EARLY")))</f>
        <v>ON TIME</v>
      </c>
      <c r="H176" s="462"/>
      <c r="I176" s="462"/>
      <c r="J176" s="462"/>
      <c r="K176" s="462"/>
      <c r="L176" s="462"/>
      <c r="M176" s="462"/>
      <c r="N176" s="462"/>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40" t="s">
        <v>230</v>
      </c>
      <c r="D181" s="440"/>
      <c r="E181" s="440"/>
      <c r="F181" s="443"/>
      <c r="G181" s="443"/>
      <c r="H181" s="443"/>
    </row>
    <row r="182" spans="1:16" ht="15" customHeight="1" x14ac:dyDescent="0.4">
      <c r="B182" s="279"/>
      <c r="C182" s="299" t="str">
        <f>IF(D180="Y", "NEW BUILD UNIT, SERVICE REPORT NOT APPLICABLE"," ")</f>
        <v xml:space="preserve"> </v>
      </c>
    </row>
    <row r="183" spans="1:16" ht="91.15" customHeight="1" x14ac:dyDescent="0.35">
      <c r="B183" s="279" t="e">
        <f>B177+1</f>
        <v>#REF!</v>
      </c>
      <c r="C183" s="441" t="s">
        <v>231</v>
      </c>
      <c r="D183" s="442"/>
      <c r="E183" s="442"/>
      <c r="F183" s="442"/>
      <c r="G183" s="442"/>
      <c r="H183" s="442"/>
      <c r="I183" s="442"/>
      <c r="J183" s="442"/>
      <c r="K183" s="442"/>
      <c r="L183" s="442"/>
      <c r="M183" s="442"/>
      <c r="N183" s="442"/>
      <c r="O183" s="442"/>
    </row>
    <row r="184" spans="1:16" ht="15" customHeight="1" x14ac:dyDescent="0.4">
      <c r="B184" s="279"/>
    </row>
    <row r="185" spans="1:16" ht="15" customHeight="1" x14ac:dyDescent="0.4">
      <c r="B185" s="279"/>
      <c r="C185" s="440" t="s">
        <v>232</v>
      </c>
      <c r="D185" s="443"/>
      <c r="E185" s="443"/>
    </row>
    <row r="186" spans="1:16" ht="15" customHeight="1" x14ac:dyDescent="0.4">
      <c r="B186" s="279"/>
      <c r="C186" s="299" t="str">
        <f>IF(D180="Y", "NEW BUILD UNIT, SERVICE REPORT NOT APPLICABLE","")</f>
        <v/>
      </c>
    </row>
    <row r="187" spans="1:16" ht="60" customHeight="1" x14ac:dyDescent="0.35">
      <c r="B187" s="279" t="e">
        <f>B183+1</f>
        <v>#REF!</v>
      </c>
      <c r="C187" s="442"/>
      <c r="D187" s="442"/>
      <c r="E187" s="442"/>
      <c r="F187" s="442"/>
      <c r="G187" s="442"/>
      <c r="H187" s="442"/>
      <c r="I187" s="442"/>
      <c r="J187" s="442"/>
      <c r="K187" s="442"/>
      <c r="L187" s="442"/>
      <c r="M187" s="442"/>
      <c r="N187" s="442"/>
      <c r="O187" s="442"/>
    </row>
    <row r="188" spans="1:16" ht="15" customHeight="1" x14ac:dyDescent="0.4">
      <c r="B188" s="279"/>
    </row>
    <row r="189" spans="1:16" ht="15" customHeight="1" x14ac:dyDescent="0.4">
      <c r="B189" s="279"/>
      <c r="C189" s="440" t="s">
        <v>233</v>
      </c>
      <c r="D189" s="440"/>
      <c r="E189" s="440"/>
    </row>
    <row r="190" spans="1:16" ht="15" customHeight="1" x14ac:dyDescent="0.4">
      <c r="B190" s="279"/>
      <c r="C190" s="299" t="str">
        <f>IF(D180="Y", "NEW BUILD UNIT, SERVICE REPORT NOT APPLICABLE","")</f>
        <v/>
      </c>
    </row>
    <row r="191" spans="1:16" ht="52.15" customHeight="1" x14ac:dyDescent="0.35">
      <c r="B191" s="279" t="e">
        <f>B187+1</f>
        <v>#REF!</v>
      </c>
      <c r="C191" s="442"/>
      <c r="D191" s="442"/>
      <c r="E191" s="442"/>
      <c r="F191" s="442"/>
      <c r="G191" s="442"/>
      <c r="H191" s="442"/>
      <c r="I191" s="442"/>
      <c r="J191" s="442"/>
      <c r="K191" s="442"/>
      <c r="L191" s="442"/>
      <c r="M191" s="442"/>
      <c r="N191" s="442"/>
      <c r="O191" s="442"/>
    </row>
    <row r="192" spans="1:16" ht="15" customHeight="1" x14ac:dyDescent="0.4">
      <c r="B192" s="279"/>
    </row>
    <row r="193" spans="2:15" ht="15" customHeight="1" x14ac:dyDescent="0.4">
      <c r="B193" s="279"/>
      <c r="C193" s="440" t="s">
        <v>234</v>
      </c>
      <c r="D193" s="440"/>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43"/>
      <c r="C1">
        <f>'Cover Service Sheet'!E10</f>
        <v>0</v>
      </c>
    </row>
    <row r="3" spans="1:7" x14ac:dyDescent="0.35">
      <c r="A3" s="467" t="s">
        <v>238</v>
      </c>
      <c r="B3" s="443"/>
      <c r="G3" s="197"/>
    </row>
    <row r="4" spans="1:7" x14ac:dyDescent="0.35">
      <c r="A4" s="467" t="s">
        <v>239</v>
      </c>
      <c r="B4" s="443"/>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43"/>
      <c r="G8" s="197"/>
    </row>
    <row r="9" spans="1:7" x14ac:dyDescent="0.35">
      <c r="A9" s="166" t="s">
        <v>244</v>
      </c>
      <c r="G9" s="197"/>
    </row>
    <row r="10" spans="1:7" x14ac:dyDescent="0.35">
      <c r="A10" s="467" t="s">
        <v>245</v>
      </c>
      <c r="B10" s="443"/>
      <c r="C10" s="443"/>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43"/>
      <c r="C15" s="443"/>
      <c r="G15" s="197"/>
    </row>
    <row r="16" spans="1:7" x14ac:dyDescent="0.35">
      <c r="A16" s="467" t="s">
        <v>249</v>
      </c>
      <c r="B16" s="443"/>
      <c r="C16" s="443"/>
      <c r="D16" s="443"/>
      <c r="E16" s="443"/>
      <c r="F16" s="443"/>
      <c r="G16" s="197"/>
    </row>
    <row r="17" spans="1:7" x14ac:dyDescent="0.35">
      <c r="A17" s="467" t="s">
        <v>250</v>
      </c>
      <c r="B17" s="443"/>
      <c r="G17" s="197"/>
    </row>
    <row r="18" spans="1:7" x14ac:dyDescent="0.35">
      <c r="A18" s="467" t="s">
        <v>251</v>
      </c>
      <c r="B18" s="443"/>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63010065</v>
      </c>
      <c r="E5" s="468" t="str">
        <f>'Cover Service Sheet'!E5&amp;'Cover Service Sheet'!F5</f>
        <v/>
      </c>
      <c r="F5" s="468"/>
      <c r="G5" s="468"/>
      <c r="H5" s="468"/>
      <c r="I5" s="468"/>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69">
        <v>0</v>
      </c>
      <c r="F10" s="469"/>
      <c r="G10" s="469"/>
      <c r="H10" s="469"/>
      <c r="I10" s="469"/>
      <c r="J10" s="469"/>
      <c r="K10" s="469"/>
      <c r="L10" s="469"/>
      <c r="M10" s="469"/>
      <c r="N10" s="469"/>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2" t="s">
        <v>265</v>
      </c>
      <c r="D14" s="432"/>
      <c r="E14" s="432"/>
      <c r="F14" s="432"/>
      <c r="G14" s="432"/>
      <c r="H14" s="432"/>
      <c r="I14" s="432"/>
      <c r="J14" s="432"/>
      <c r="K14" s="432"/>
      <c r="L14" s="432"/>
      <c r="M14" s="432"/>
      <c r="N14" s="432"/>
      <c r="O14" s="432"/>
      <c r="P14" s="226"/>
    </row>
    <row r="15" spans="1:17" s="220" customFormat="1" ht="15.75" x14ac:dyDescent="0.35">
      <c r="A15" s="227"/>
      <c r="B15" s="203">
        <f>B13+1</f>
        <v>26</v>
      </c>
      <c r="C15" s="228" t="s">
        <v>163</v>
      </c>
      <c r="D15" s="210"/>
      <c r="E15" s="434" t="s">
        <v>67</v>
      </c>
      <c r="F15" s="434"/>
      <c r="G15" s="435" t="str">
        <f>IF(D15=D7,"ON TIME",IF(D15&gt;D7,"LATE",IF(D15&lt;D7,"EARLY")))</f>
        <v>ON TIME</v>
      </c>
      <c r="H15" s="435"/>
      <c r="I15" s="435"/>
      <c r="J15" s="435"/>
      <c r="K15" s="435"/>
      <c r="L15" s="435"/>
      <c r="M15" s="435"/>
      <c r="N15" s="435"/>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33"/>
      <c r="F25" s="433"/>
      <c r="G25" s="433"/>
      <c r="H25" s="433"/>
      <c r="I25" s="433"/>
      <c r="J25" s="433"/>
      <c r="K25" s="433"/>
      <c r="L25" s="433"/>
      <c r="M25" s="433"/>
      <c r="N25" s="433"/>
      <c r="O25" s="211" t="str">
        <f>IF(A25=TRUE,"Charge circuit checked and verified PASS","")</f>
        <v/>
      </c>
    </row>
    <row r="26" spans="1:16" x14ac:dyDescent="0.35">
      <c r="A26" s="236">
        <v>4.0999999999999996</v>
      </c>
      <c r="B26" s="203">
        <f t="shared" si="0"/>
        <v>36</v>
      </c>
      <c r="C26" s="205" t="s">
        <v>275</v>
      </c>
      <c r="D26" s="237"/>
      <c r="E26" s="470"/>
      <c r="F26" s="470"/>
      <c r="G26" s="470"/>
      <c r="H26" s="470"/>
      <c r="I26" s="470"/>
      <c r="J26" s="470"/>
      <c r="K26" s="470"/>
      <c r="L26" s="470"/>
      <c r="M26" s="470"/>
      <c r="N26" s="470"/>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36"/>
      <c r="F32" s="436"/>
      <c r="G32" s="436"/>
      <c r="H32" s="436"/>
      <c r="I32" s="436"/>
      <c r="J32" s="436"/>
      <c r="K32" s="436"/>
      <c r="L32" s="436"/>
      <c r="M32" s="436"/>
      <c r="N32" s="436"/>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63010065</v>
      </c>
      <c r="D60" s="243" t="s">
        <v>293</v>
      </c>
    </row>
    <row r="61" spans="1:25" x14ac:dyDescent="0.35">
      <c r="A61" s="219" t="b">
        <v>0</v>
      </c>
      <c r="B61" s="203">
        <f t="shared" si="0"/>
        <v>71</v>
      </c>
      <c r="C61" s="245"/>
      <c r="D61" s="243"/>
    </row>
    <row r="62" spans="1:25" ht="15" x14ac:dyDescent="0.35">
      <c r="B62" s="203">
        <f t="shared" si="0"/>
        <v>72</v>
      </c>
      <c r="C62" s="205"/>
      <c r="D62" s="212"/>
      <c r="O62" s="471"/>
      <c r="P62" s="471"/>
      <c r="Q62" s="471"/>
      <c r="R62" s="471"/>
      <c r="S62" s="471"/>
      <c r="T62" s="471"/>
      <c r="U62" s="471"/>
      <c r="V62" s="471"/>
      <c r="W62" s="471"/>
      <c r="X62" s="471"/>
      <c r="Y62" s="472"/>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33"/>
      <c r="F65" s="433"/>
      <c r="G65" s="433"/>
      <c r="H65" s="433"/>
      <c r="I65" s="433"/>
      <c r="J65" s="433"/>
      <c r="K65" s="433"/>
      <c r="L65" s="433"/>
      <c r="M65" s="433"/>
      <c r="N65" s="433"/>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2" t="s">
        <v>127</v>
      </c>
      <c r="D70" s="432"/>
      <c r="E70" s="432"/>
      <c r="F70" s="432"/>
      <c r="G70" s="432"/>
      <c r="H70" s="432"/>
      <c r="I70" s="432"/>
      <c r="J70" s="432"/>
      <c r="K70" s="432"/>
      <c r="L70" s="432"/>
      <c r="M70" s="432"/>
      <c r="N70" s="432"/>
      <c r="O70" s="432"/>
      <c r="P70" s="226"/>
    </row>
    <row r="71" spans="1:16" x14ac:dyDescent="0.35">
      <c r="A71" s="219" t="b">
        <v>0</v>
      </c>
      <c r="B71" s="203">
        <f>B69+1</f>
        <v>80</v>
      </c>
      <c r="C71" s="232"/>
      <c r="D71" s="233" t="s">
        <v>128</v>
      </c>
      <c r="E71" s="433"/>
      <c r="F71" s="433"/>
      <c r="G71" s="433"/>
      <c r="H71" s="433"/>
      <c r="I71" s="433"/>
      <c r="J71" s="433"/>
      <c r="K71" s="433"/>
      <c r="L71" s="433"/>
      <c r="M71" s="433"/>
      <c r="N71" s="433"/>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7" t="s">
        <v>133</v>
      </c>
      <c r="F76" s="437"/>
      <c r="G76" s="437"/>
      <c r="H76" s="437"/>
      <c r="I76" s="437"/>
      <c r="J76" s="437"/>
      <c r="K76" s="437"/>
      <c r="L76" s="437"/>
      <c r="M76" s="437"/>
      <c r="N76" s="437"/>
      <c r="O76" s="211" t="str">
        <f>IF(A76=FALSE,"Secondary purge test FAIL/not completed","Secondary purge test PASS")</f>
        <v>Secondary purge test FAIL/not completed</v>
      </c>
      <c r="P76" s="209"/>
    </row>
    <row r="77" spans="1:16" x14ac:dyDescent="0.35">
      <c r="A77" s="219">
        <v>2000</v>
      </c>
      <c r="B77" s="203">
        <f t="shared" si="1"/>
        <v>86</v>
      </c>
      <c r="C77" s="254"/>
      <c r="D77" s="212"/>
      <c r="E77" s="433"/>
      <c r="F77" s="433"/>
      <c r="G77" s="433"/>
      <c r="H77" s="433"/>
      <c r="I77" s="433"/>
      <c r="J77" s="433"/>
      <c r="K77" s="433"/>
      <c r="L77" s="433"/>
      <c r="M77" s="433"/>
      <c r="N77" s="433"/>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33"/>
      <c r="F78" s="433"/>
      <c r="G78" s="433"/>
      <c r="H78" s="433"/>
      <c r="I78" s="433"/>
      <c r="J78" s="433"/>
      <c r="K78" s="433"/>
      <c r="L78" s="433"/>
      <c r="M78" s="433"/>
      <c r="N78" s="433"/>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33"/>
      <c r="F79" s="433"/>
      <c r="G79" s="433"/>
      <c r="H79" s="433"/>
      <c r="I79" s="433"/>
      <c r="J79" s="433"/>
      <c r="K79" s="433"/>
      <c r="L79" s="433"/>
      <c r="M79" s="433"/>
      <c r="N79" s="433"/>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33"/>
      <c r="F80" s="433"/>
      <c r="G80" s="433"/>
      <c r="H80" s="433"/>
      <c r="I80" s="433"/>
      <c r="J80" s="433"/>
      <c r="K80" s="433"/>
      <c r="L80" s="433"/>
      <c r="M80" s="433"/>
      <c r="N80" s="433"/>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2" t="s">
        <v>136</v>
      </c>
      <c r="D81" s="432"/>
      <c r="E81" s="432"/>
      <c r="F81" s="432"/>
      <c r="G81" s="432"/>
      <c r="H81" s="432"/>
      <c r="I81" s="432"/>
      <c r="J81" s="432"/>
      <c r="K81" s="432"/>
      <c r="L81" s="432"/>
      <c r="M81" s="432"/>
      <c r="N81" s="432"/>
      <c r="O81" s="432"/>
      <c r="P81" s="226"/>
    </row>
    <row r="82" spans="1:16" x14ac:dyDescent="0.35">
      <c r="A82" s="219" t="b">
        <v>0</v>
      </c>
      <c r="B82" s="203">
        <f>B80+1</f>
        <v>90</v>
      </c>
      <c r="C82" s="241"/>
      <c r="D82" s="233" t="s">
        <v>137</v>
      </c>
      <c r="E82" s="456"/>
      <c r="F82" s="457"/>
      <c r="G82" s="457"/>
      <c r="H82" s="457"/>
      <c r="I82" s="457"/>
      <c r="J82" s="457"/>
      <c r="K82" s="439" t="s">
        <v>138</v>
      </c>
      <c r="L82" s="439"/>
      <c r="M82" s="439"/>
      <c r="N82" s="439"/>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7" t="s">
        <v>139</v>
      </c>
      <c r="F84" s="437"/>
      <c r="G84" s="437"/>
      <c r="H84" s="437"/>
      <c r="I84" s="437"/>
      <c r="J84" s="437"/>
      <c r="K84" s="437"/>
      <c r="L84" s="437"/>
      <c r="M84" s="437"/>
      <c r="N84" s="437"/>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73"/>
      <c r="L85" s="473"/>
      <c r="M85" s="473"/>
      <c r="N85" s="473"/>
      <c r="O85" s="211" t="str">
        <f>IF(A85=TRUE,"Customer advised of additional work required for approval","")</f>
        <v/>
      </c>
    </row>
    <row r="86" spans="1:16" x14ac:dyDescent="0.35">
      <c r="A86" s="219" t="b">
        <v>0</v>
      </c>
      <c r="B86" s="203">
        <f t="shared" si="2"/>
        <v>94</v>
      </c>
      <c r="C86" s="241"/>
      <c r="D86" s="240" t="s">
        <v>303</v>
      </c>
      <c r="E86" s="437" t="s">
        <v>139</v>
      </c>
      <c r="F86" s="437"/>
      <c r="G86" s="437"/>
      <c r="H86" s="437"/>
      <c r="I86" s="437"/>
      <c r="J86" s="437"/>
      <c r="K86" s="437"/>
      <c r="L86" s="437"/>
      <c r="M86" s="437"/>
      <c r="N86" s="437"/>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73"/>
      <c r="L87" s="473"/>
      <c r="M87" s="473"/>
      <c r="N87" s="47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61">
        <f>D89-D16</f>
        <v>0</v>
      </c>
      <c r="J89" s="461"/>
      <c r="K89" s="461"/>
      <c r="L89" s="461"/>
      <c r="M89" s="461"/>
      <c r="N89" s="461"/>
      <c r="O89" s="213"/>
    </row>
    <row r="90" spans="1:16" x14ac:dyDescent="0.35">
      <c r="C90" s="432" t="s">
        <v>146</v>
      </c>
      <c r="D90" s="432"/>
      <c r="E90" s="432"/>
      <c r="F90" s="432"/>
      <c r="G90" s="432"/>
      <c r="H90" s="432"/>
      <c r="I90" s="432"/>
      <c r="J90" s="432"/>
      <c r="K90" s="432"/>
      <c r="L90" s="432"/>
      <c r="M90" s="432"/>
      <c r="N90" s="432"/>
      <c r="O90" s="432"/>
      <c r="P90" s="226"/>
    </row>
    <row r="91" spans="1:16" s="220" customFormat="1" ht="15.75" customHeight="1" x14ac:dyDescent="0.35">
      <c r="A91" s="227"/>
      <c r="B91" s="203">
        <f>B89+1</f>
        <v>98</v>
      </c>
      <c r="C91" s="228" t="s">
        <v>147</v>
      </c>
      <c r="D91" s="210"/>
      <c r="E91" s="434" t="s">
        <v>67</v>
      </c>
      <c r="F91" s="434"/>
      <c r="G91" s="462" t="str">
        <f>IF(D91=$D$7,"ON TIME",IF(D91&gt;$D$7,"LATE",IF(D91&lt;$D$7,"EARLY")))</f>
        <v>ON TIME</v>
      </c>
      <c r="H91" s="462"/>
      <c r="I91" s="462"/>
      <c r="J91" s="462"/>
      <c r="K91" s="462"/>
      <c r="L91" s="462"/>
      <c r="M91" s="462"/>
      <c r="N91" s="462"/>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8">
        <v>0</v>
      </c>
      <c r="F93" s="458"/>
      <c r="G93" s="458"/>
      <c r="H93" s="458"/>
      <c r="I93" s="458"/>
      <c r="J93" s="458"/>
      <c r="K93" s="458"/>
      <c r="L93" s="458"/>
      <c r="M93" s="458"/>
      <c r="N93" s="458"/>
      <c r="O93" s="211" t="str">
        <f>IF(A93=TRUE,"SO received and on system","Awaiting customers purchase order")</f>
        <v>Awaiting customers purchase order</v>
      </c>
      <c r="P93" s="220"/>
    </row>
    <row r="94" spans="1:16" x14ac:dyDescent="0.35">
      <c r="A94" s="219" t="b">
        <v>0</v>
      </c>
      <c r="B94" s="203">
        <f t="shared" si="1"/>
        <v>101</v>
      </c>
      <c r="C94" s="256"/>
      <c r="D94" s="233" t="s">
        <v>309</v>
      </c>
      <c r="E94" s="458">
        <v>0</v>
      </c>
      <c r="F94" s="458"/>
      <c r="G94" s="458"/>
      <c r="H94" s="458"/>
      <c r="I94" s="458"/>
      <c r="J94" s="458"/>
      <c r="K94" s="458"/>
      <c r="L94" s="458"/>
      <c r="M94" s="458"/>
      <c r="N94" s="458"/>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74"/>
      <c r="F97" s="475"/>
      <c r="G97" s="475"/>
      <c r="H97" s="475"/>
      <c r="I97" s="475"/>
      <c r="J97" s="475"/>
      <c r="K97" s="439" t="s">
        <v>138</v>
      </c>
      <c r="L97" s="439"/>
      <c r="M97" s="439"/>
      <c r="N97" s="439"/>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76"/>
      <c r="F99" s="433"/>
      <c r="G99" s="433"/>
      <c r="H99" s="433"/>
      <c r="I99" s="433"/>
      <c r="J99" s="433"/>
      <c r="K99" s="433"/>
      <c r="L99" s="433"/>
      <c r="M99" s="433"/>
      <c r="N99" s="433"/>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76"/>
      <c r="F100" s="433"/>
      <c r="G100" s="433"/>
      <c r="H100" s="433"/>
      <c r="I100" s="433"/>
      <c r="J100" s="433"/>
      <c r="K100" s="433"/>
      <c r="L100" s="433"/>
      <c r="M100" s="433"/>
      <c r="N100" s="433"/>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76"/>
      <c r="F101" s="433"/>
      <c r="G101" s="433"/>
      <c r="H101" s="433"/>
      <c r="I101" s="433"/>
      <c r="J101" s="433"/>
      <c r="K101" s="433"/>
      <c r="L101" s="433"/>
      <c r="M101" s="433"/>
      <c r="N101" s="433"/>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76"/>
      <c r="F102" s="433"/>
      <c r="G102" s="433"/>
      <c r="H102" s="433"/>
      <c r="I102" s="433"/>
      <c r="J102" s="433"/>
      <c r="K102" s="433"/>
      <c r="L102" s="433"/>
      <c r="M102" s="433"/>
      <c r="N102" s="433"/>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7" t="s">
        <v>152</v>
      </c>
      <c r="F103" s="437"/>
      <c r="G103" s="437"/>
      <c r="H103" s="437"/>
      <c r="I103" s="437"/>
      <c r="J103" s="437"/>
      <c r="K103" s="437"/>
      <c r="L103" s="437"/>
      <c r="M103" s="437"/>
      <c r="N103" s="437"/>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7" t="s">
        <v>152</v>
      </c>
      <c r="F109" s="437"/>
      <c r="G109" s="437"/>
      <c r="H109" s="437"/>
      <c r="I109" s="437"/>
      <c r="J109" s="437"/>
      <c r="K109" s="437"/>
      <c r="L109" s="437"/>
      <c r="M109" s="437"/>
      <c r="N109" s="437"/>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75"/>
      <c r="L112" s="475"/>
      <c r="M112" s="475"/>
      <c r="N112" s="475"/>
      <c r="O112" s="211" t="str">
        <f>IF(A112=TRUE,"Moisture sensor replaced as part of service","")</f>
        <v/>
      </c>
    </row>
    <row r="113" spans="1:16" x14ac:dyDescent="0.35">
      <c r="A113" s="219" t="b">
        <v>0</v>
      </c>
      <c r="B113" s="203">
        <f t="shared" si="1"/>
        <v>119</v>
      </c>
      <c r="C113" s="241"/>
      <c r="D113" s="233" t="s">
        <v>324</v>
      </c>
      <c r="E113" s="474"/>
      <c r="F113" s="475"/>
      <c r="G113" s="220" t="s">
        <v>325</v>
      </c>
      <c r="I113" s="475"/>
      <c r="J113" s="475"/>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75"/>
      <c r="F115" s="475"/>
      <c r="G115" s="475"/>
      <c r="H115" s="475"/>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2" t="s">
        <v>136</v>
      </c>
      <c r="D120" s="432"/>
      <c r="E120" s="432"/>
      <c r="F120" s="432"/>
      <c r="G120" s="432"/>
      <c r="H120" s="432"/>
      <c r="I120" s="432"/>
      <c r="J120" s="432"/>
      <c r="K120" s="432"/>
      <c r="L120" s="432"/>
      <c r="M120" s="432"/>
      <c r="N120" s="432"/>
      <c r="O120" s="432"/>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33"/>
      <c r="F124" s="433"/>
      <c r="G124" s="433"/>
      <c r="H124" s="433"/>
      <c r="I124" s="433"/>
      <c r="J124" s="433"/>
      <c r="K124" s="433"/>
      <c r="L124" s="433"/>
      <c r="M124" s="433"/>
      <c r="N124" s="433"/>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33"/>
      <c r="F125" s="433"/>
      <c r="G125" s="433"/>
      <c r="H125" s="433"/>
      <c r="I125" s="433"/>
      <c r="J125" s="433"/>
      <c r="K125" s="433"/>
      <c r="L125" s="433"/>
      <c r="M125" s="433"/>
      <c r="N125" s="433"/>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7"/>
      <c r="F127" s="477"/>
      <c r="G127" s="477"/>
      <c r="H127" s="477"/>
      <c r="I127" s="477"/>
      <c r="J127" s="477"/>
      <c r="K127" s="477"/>
      <c r="L127" s="477"/>
      <c r="M127" s="477"/>
      <c r="N127" s="477"/>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35" t="str">
        <f>IF(D131=D13,"ON TIME",IF(D131&gt;D13,"LATE",IF(D131&lt;D13,"EARLY")))</f>
        <v>EARLY</v>
      </c>
      <c r="H131" s="435"/>
      <c r="I131" s="435"/>
      <c r="J131" s="435"/>
      <c r="K131" s="435"/>
      <c r="L131" s="435"/>
      <c r="M131" s="435"/>
      <c r="N131" s="435"/>
      <c r="O131" s="220"/>
      <c r="P131" s="205"/>
    </row>
    <row r="132" spans="1:28" x14ac:dyDescent="0.35">
      <c r="B132" s="203">
        <f t="shared" si="1"/>
        <v>137</v>
      </c>
      <c r="C132" s="228" t="s">
        <v>335</v>
      </c>
      <c r="D132" s="229"/>
      <c r="E132" s="231" t="s">
        <v>306</v>
      </c>
      <c r="F132" s="213"/>
      <c r="G132" s="228"/>
      <c r="H132" s="228"/>
      <c r="I132" s="461">
        <f>D132-D92</f>
        <v>0</v>
      </c>
      <c r="J132" s="461"/>
      <c r="K132" s="461"/>
      <c r="L132" s="461"/>
      <c r="M132" s="461"/>
      <c r="N132" s="461"/>
      <c r="O132" s="213"/>
    </row>
    <row r="133" spans="1:28" x14ac:dyDescent="0.35">
      <c r="C133" s="432" t="s">
        <v>162</v>
      </c>
      <c r="D133" s="432"/>
      <c r="E133" s="432"/>
      <c r="F133" s="432"/>
      <c r="G133" s="432"/>
      <c r="H133" s="432"/>
      <c r="I133" s="432"/>
      <c r="J133" s="432"/>
      <c r="K133" s="432"/>
      <c r="L133" s="432"/>
      <c r="M133" s="432"/>
      <c r="N133" s="432"/>
      <c r="O133" s="432"/>
    </row>
    <row r="134" spans="1:28" ht="15.75" x14ac:dyDescent="0.35">
      <c r="B134" s="203">
        <f>B132+1</f>
        <v>138</v>
      </c>
      <c r="C134" s="228" t="s">
        <v>163</v>
      </c>
      <c r="D134" s="210"/>
      <c r="E134" s="434" t="s">
        <v>67</v>
      </c>
      <c r="F134" s="434"/>
      <c r="G134" s="462" t="str">
        <f>IF(D134=D13,"ON TIME",IF(D134&gt;D13,"LATE",IF(D134&lt;D13,"EARLY")))</f>
        <v>EARLY</v>
      </c>
      <c r="H134" s="462"/>
      <c r="I134" s="462"/>
      <c r="J134" s="462"/>
      <c r="K134" s="462"/>
      <c r="L134" s="462"/>
      <c r="M134" s="462"/>
      <c r="N134" s="462"/>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61">
        <f>D136-D135</f>
        <v>0</v>
      </c>
      <c r="J136" s="461"/>
      <c r="K136" s="461"/>
      <c r="L136" s="461"/>
      <c r="M136" s="461"/>
      <c r="N136" s="461"/>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7"/>
      <c r="F140" s="477"/>
      <c r="G140" s="477"/>
      <c r="H140" s="477"/>
      <c r="I140" s="477"/>
      <c r="J140" s="477"/>
      <c r="K140" s="477"/>
      <c r="L140" s="477"/>
      <c r="M140" s="477"/>
      <c r="N140" s="477"/>
      <c r="O140" s="211" t="str">
        <f>IF(A140=TRUE,"Calibration complete PASSED","")</f>
        <v/>
      </c>
    </row>
    <row r="141" spans="1:28" ht="15.75" x14ac:dyDescent="0.35">
      <c r="C141" s="464" t="s">
        <v>166</v>
      </c>
      <c r="D141" s="464"/>
      <c r="E141" s="464"/>
      <c r="F141" s="464"/>
      <c r="G141" s="464"/>
      <c r="H141" s="464"/>
      <c r="I141" s="464"/>
      <c r="J141" s="464"/>
      <c r="K141" s="464"/>
      <c r="L141" s="464"/>
      <c r="M141" s="464"/>
      <c r="N141" s="464"/>
      <c r="O141" s="464"/>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63010065</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63" t="s">
        <v>172</v>
      </c>
      <c r="H160" s="463"/>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72</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174</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980</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1996</v>
      </c>
      <c r="H164" s="479"/>
    </row>
    <row r="165" spans="1:18" x14ac:dyDescent="0.35">
      <c r="A165" s="219" t="b">
        <v>0</v>
      </c>
      <c r="B165" s="203">
        <f t="shared" si="3"/>
        <v>167</v>
      </c>
      <c r="C165" s="228" t="s">
        <v>358</v>
      </c>
      <c r="D165" s="270"/>
      <c r="E165" s="204">
        <v>5</v>
      </c>
      <c r="F165" s="204">
        <v>25</v>
      </c>
      <c r="G165" s="478">
        <f>'Auto-Calibration record'!F65</f>
        <v>2808</v>
      </c>
      <c r="H165" s="479"/>
    </row>
    <row r="166" spans="1:18" x14ac:dyDescent="0.35">
      <c r="A166" s="219" t="b">
        <v>0</v>
      </c>
      <c r="B166" s="203">
        <f t="shared" si="3"/>
        <v>168</v>
      </c>
      <c r="C166" s="228" t="s">
        <v>359</v>
      </c>
      <c r="D166" s="273"/>
      <c r="E166" s="204">
        <v>6</v>
      </c>
      <c r="F166" s="204">
        <v>38</v>
      </c>
      <c r="G166" s="478">
        <f>'Auto-Calibration record'!G65</f>
        <v>9752</v>
      </c>
      <c r="H166" s="479"/>
    </row>
    <row r="167" spans="1:18" x14ac:dyDescent="0.35">
      <c r="A167" s="219" t="b">
        <v>0</v>
      </c>
      <c r="B167" s="203">
        <f t="shared" si="3"/>
        <v>169</v>
      </c>
      <c r="C167" s="279" t="s">
        <v>360</v>
      </c>
      <c r="D167" s="273"/>
      <c r="E167" s="204">
        <v>7</v>
      </c>
      <c r="F167" s="204">
        <v>50</v>
      </c>
      <c r="G167" s="478">
        <f>'Auto-Calibration record'!H65</f>
        <v>14732</v>
      </c>
      <c r="H167" s="479"/>
    </row>
    <row r="168" spans="1:18" x14ac:dyDescent="0.35">
      <c r="A168" s="219" t="b">
        <v>0</v>
      </c>
      <c r="B168" s="203">
        <f t="shared" si="3"/>
        <v>170</v>
      </c>
      <c r="C168" s="228" t="s">
        <v>361</v>
      </c>
      <c r="D168" s="273"/>
      <c r="E168" s="204">
        <v>8</v>
      </c>
      <c r="F168" s="204">
        <v>70</v>
      </c>
      <c r="G168" s="478">
        <f>'Auto-Calibration record'!I65</f>
        <v>23642</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2" t="s">
        <v>438</v>
      </c>
      <c r="F219" s="453"/>
      <c r="G219" s="453"/>
      <c r="H219" s="453"/>
      <c r="I219" s="453"/>
      <c r="J219" s="453"/>
      <c r="K219" s="453"/>
      <c r="L219" s="453"/>
      <c r="M219" s="453"/>
      <c r="N219" s="453"/>
      <c r="O219" s="453"/>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62"/>
      <c r="H225" s="462"/>
      <c r="I225" s="462"/>
      <c r="J225" s="462"/>
      <c r="K225" s="462"/>
      <c r="L225" s="462"/>
      <c r="M225" s="462"/>
      <c r="N225" s="462"/>
    </row>
    <row r="226" spans="2:14" x14ac:dyDescent="0.35">
      <c r="B226" s="203">
        <f t="shared" si="4"/>
        <v>223</v>
      </c>
      <c r="C226" s="228" t="s">
        <v>414</v>
      </c>
      <c r="D226" s="229"/>
      <c r="E226" s="231" t="s">
        <v>306</v>
      </c>
      <c r="F226" s="213"/>
      <c r="G226" s="228"/>
      <c r="H226" s="228"/>
      <c r="I226" s="461"/>
      <c r="J226" s="461"/>
      <c r="K226" s="461"/>
      <c r="L226" s="461"/>
      <c r="M226" s="461"/>
      <c r="N226" s="461"/>
    </row>
    <row r="227" spans="2:14" x14ac:dyDescent="0.35">
      <c r="B227" s="203">
        <f t="shared" si="4"/>
        <v>224</v>
      </c>
      <c r="C227" s="205" t="s">
        <v>415</v>
      </c>
      <c r="E227" s="477"/>
      <c r="F227" s="477"/>
      <c r="G227" s="477"/>
      <c r="H227" s="477"/>
      <c r="I227" s="477"/>
      <c r="J227" s="477"/>
      <c r="K227" s="477"/>
      <c r="L227" s="477"/>
      <c r="M227" s="477"/>
      <c r="N227" s="477"/>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3" t="s">
        <v>67</v>
      </c>
      <c r="F236" s="484"/>
      <c r="G236" s="485" t="str">
        <f>IF(D225=D13,"ON TIME",IF(D225&gt;D13,"LATE",IF(D225&lt;D13,"EARLY")))</f>
        <v>EARLY</v>
      </c>
      <c r="H236" s="460"/>
      <c r="I236" s="460"/>
      <c r="J236" s="460"/>
      <c r="K236" s="460"/>
      <c r="L236" s="460"/>
      <c r="M236" s="460"/>
      <c r="N236" s="460"/>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6"/>
      <c r="F246" s="487"/>
      <c r="G246" s="487"/>
      <c r="H246" s="487"/>
      <c r="I246" s="487"/>
      <c r="J246" s="487"/>
      <c r="K246" s="488"/>
      <c r="L246" s="213"/>
    </row>
    <row r="247" spans="2:12" x14ac:dyDescent="0.35">
      <c r="B247" s="283"/>
      <c r="C247" s="284"/>
      <c r="D247" s="285"/>
      <c r="E247" s="486"/>
      <c r="F247" s="487"/>
      <c r="G247" s="487"/>
      <c r="H247" s="487"/>
      <c r="I247" s="487"/>
      <c r="J247" s="487"/>
      <c r="K247" s="488"/>
      <c r="L247" s="213"/>
    </row>
    <row r="248" spans="2:12" x14ac:dyDescent="0.35">
      <c r="B248" s="283"/>
      <c r="C248" s="284"/>
      <c r="D248" s="285"/>
      <c r="E248" s="486"/>
      <c r="F248" s="487"/>
      <c r="G248" s="487"/>
      <c r="H248" s="487"/>
      <c r="I248" s="487"/>
      <c r="J248" s="487"/>
      <c r="K248" s="488"/>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489" t="str">
        <f>'MP Calibration Certificate'!D17</f>
        <v>5.6mg/l RM8631b</v>
      </c>
      <c r="I3" s="489"/>
    </row>
    <row r="4" spans="1:16" x14ac:dyDescent="0.35">
      <c r="A4" s="166" t="s">
        <v>241</v>
      </c>
      <c r="H4" s="490">
        <f>'MP Calibration Certificate'!D18</f>
        <v>63010065</v>
      </c>
      <c r="I4" s="491"/>
    </row>
    <row r="5" spans="1:16" x14ac:dyDescent="0.35">
      <c r="A5" s="166" t="s">
        <v>430</v>
      </c>
      <c r="H5" s="491">
        <f>'Cover Service Sheet'!D6</f>
        <v>0</v>
      </c>
      <c r="I5" s="491"/>
    </row>
    <row r="6" spans="1:16" ht="13.15" x14ac:dyDescent="0.35">
      <c r="A6" s="166" t="s">
        <v>431</v>
      </c>
      <c r="H6" s="491">
        <f>'Cover Service Sheet'!D15</f>
        <v>0</v>
      </c>
      <c r="I6" s="491"/>
      <c r="M6" s="198"/>
      <c r="N6" s="199"/>
      <c r="O6" s="199"/>
      <c r="P6" s="307"/>
    </row>
    <row r="7" spans="1:16" ht="13.15" x14ac:dyDescent="0.35">
      <c r="A7" s="166" t="s">
        <v>432</v>
      </c>
      <c r="H7" s="491">
        <f>'Cover Service Sheet'!D16</f>
        <v>0</v>
      </c>
      <c r="I7" s="491"/>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6" t="s">
        <v>439</v>
      </c>
      <c r="C14" s="497"/>
      <c r="D14" s="497"/>
      <c r="E14" s="497"/>
      <c r="F14" s="497"/>
      <c r="G14" s="497"/>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63010065</v>
      </c>
      <c r="K30" s="166">
        <f>AUTO!B5</f>
        <v>1072</v>
      </c>
      <c r="L30" s="166">
        <f>AUTO!B6</f>
        <v>0</v>
      </c>
      <c r="M30" s="310" t="str">
        <f>AUTO!B7</f>
        <v>LPA3 NAVAIR #63010065 CALIBRATE</v>
      </c>
      <c r="N30" s="309">
        <f>AUTO!B8</f>
        <v>72</v>
      </c>
      <c r="O30" s="309">
        <f>AUTO!B9</f>
        <v>174</v>
      </c>
      <c r="P30" s="309">
        <f>AUTO!B10</f>
        <v>980</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40" t="s">
        <v>459</v>
      </c>
      <c r="C41" s="440"/>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500"/>
      <c r="H45" s="319" t="s">
        <v>438</v>
      </c>
      <c r="I45" s="501" t="str">
        <f>'Cover Service Sheet'!D49</f>
        <v>-</v>
      </c>
      <c r="J45" s="502"/>
      <c r="K45" s="502"/>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8" t="s">
        <v>472</v>
      </c>
      <c r="C55" s="499"/>
      <c r="D55" s="499"/>
      <c r="E55" s="499"/>
      <c r="F55" s="499"/>
      <c r="G55" s="499"/>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500"/>
      <c r="H71" s="320" t="s">
        <v>438</v>
      </c>
      <c r="I71" s="501">
        <f>'Cover Service Sheet'!D50</f>
        <v>0</v>
      </c>
      <c r="J71" s="502"/>
      <c r="K71" s="502"/>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92"/>
      <c r="I97" s="493"/>
    </row>
    <row r="98" spans="1:9" x14ac:dyDescent="0.35">
      <c r="A98" s="218">
        <f t="shared" si="1"/>
        <v>73</v>
      </c>
      <c r="B98" s="166" t="s">
        <v>236</v>
      </c>
      <c r="H98" s="494"/>
      <c r="I98" s="495"/>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49</v>
      </c>
      <c r="C7" s="391" t="s">
        <v>519</v>
      </c>
      <c r="D7" s="392" t="s">
        <v>520</v>
      </c>
      <c r="E7" s="391"/>
      <c r="F7" s="183"/>
      <c r="G7" s="183"/>
      <c r="H7" s="183"/>
      <c r="I7" s="183"/>
      <c r="J7" s="183"/>
      <c r="K7" s="183"/>
      <c r="L7" s="183"/>
      <c r="M7" s="183"/>
    </row>
    <row r="8" spans="2:13" x14ac:dyDescent="0.35">
      <c r="B8" s="390">
        <f>VLOOKUP("pump_current_emptying",AUTO!$A$1:$B$1051,2,FALSE)</f>
        <v>339</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0</v>
      </c>
      <c r="C11" s="402" t="s">
        <v>23</v>
      </c>
      <c r="D11" s="180" t="s">
        <v>527</v>
      </c>
      <c r="E11" s="403"/>
      <c r="F11" s="183"/>
      <c r="G11" s="183"/>
      <c r="H11" s="183"/>
      <c r="I11" s="183"/>
      <c r="J11" s="183"/>
      <c r="K11" s="183"/>
      <c r="L11" s="178" t="s">
        <v>528</v>
      </c>
      <c r="M11" s="183"/>
    </row>
    <row r="12" spans="2:13" x14ac:dyDescent="0.35">
      <c r="B12" s="390">
        <f>VLOOKUP("sample_volume_ml",AUTO!$A$1:$B$1051,2,FALSE)</f>
        <v>50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11557</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63010065</v>
      </c>
      <c r="I15" s="514"/>
      <c r="J15" s="515"/>
      <c r="K15" s="183"/>
      <c r="L15" s="183"/>
      <c r="M15" s="183"/>
    </row>
    <row r="16" spans="2:13" ht="13.15" x14ac:dyDescent="0.35">
      <c r="B16" s="182"/>
      <c r="C16" s="174"/>
      <c r="D16" s="398"/>
      <c r="E16" s="399"/>
      <c r="F16" s="183"/>
      <c r="G16" s="181" t="s">
        <v>236</v>
      </c>
      <c r="H16" s="510">
        <f>VLOOKUP("date_",AUTO!$A$1:$B$1051,2,FALSE)</f>
        <v>46176.6</v>
      </c>
      <c r="I16" s="511"/>
      <c r="J16" s="512"/>
      <c r="K16" s="183"/>
      <c r="L16" s="183"/>
      <c r="M16" s="183"/>
    </row>
    <row r="17" spans="2:10" ht="13.15" x14ac:dyDescent="0.35">
      <c r="B17" s="390"/>
      <c r="C17" s="402"/>
      <c r="D17" s="180"/>
      <c r="E17" s="403"/>
      <c r="F17" s="183"/>
      <c r="G17" s="181" t="s">
        <v>534</v>
      </c>
      <c r="H17" s="513" t="str">
        <f>H15&amp;" "&amp;TEXT(H16,"ddmmyy")</f>
        <v>63010065 030626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304</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12.79</v>
      </c>
      <c r="C23" s="403" t="s">
        <v>538</v>
      </c>
      <c r="D23" s="180" t="s">
        <v>539</v>
      </c>
      <c r="E23" s="403"/>
      <c r="F23" s="183"/>
      <c r="G23" s="505"/>
      <c r="H23" s="507"/>
      <c r="I23" s="183"/>
      <c r="J23" s="183"/>
    </row>
    <row r="24" spans="2:10" x14ac:dyDescent="0.35">
      <c r="B24" s="390">
        <f>VLOOKUP("calc_init_volume",AUTO!$A$1:$B$1051,2,FALSE)</f>
        <v>12.79</v>
      </c>
      <c r="C24" s="176" t="s">
        <v>540</v>
      </c>
      <c r="D24" s="177" t="s">
        <v>541</v>
      </c>
      <c r="E24" s="176"/>
      <c r="F24" s="183"/>
      <c r="G24" s="505"/>
      <c r="H24" s="508"/>
      <c r="I24" s="183"/>
      <c r="J24" s="183"/>
    </row>
    <row r="25" spans="2:10" x14ac:dyDescent="0.35">
      <c r="B25" s="390">
        <f>VLOOKUP("desired_concentration",AUTO!$A$1:$B$1051,2,FALSE)</f>
        <v>5.6</v>
      </c>
      <c r="C25" s="176" t="s">
        <v>542</v>
      </c>
      <c r="D25" s="177" t="s">
        <v>543</v>
      </c>
      <c r="E25" s="176"/>
      <c r="F25" s="183"/>
      <c r="G25" s="183"/>
      <c r="H25" s="183"/>
      <c r="I25" s="183"/>
      <c r="J25" s="183"/>
    </row>
    <row r="26" spans="2:10" x14ac:dyDescent="0.35">
      <c r="B26" s="390">
        <f>VLOOKUP("calc_qty_add",AUTO!$A$1:$B$1051,2,FALSE)</f>
        <v>71.623999999999995</v>
      </c>
      <c r="C26" s="176" t="s">
        <v>544</v>
      </c>
      <c r="D26" s="177" t="s">
        <v>545</v>
      </c>
      <c r="E26" s="176"/>
      <c r="F26" s="183"/>
      <c r="G26" s="184" t="s">
        <v>546</v>
      </c>
      <c r="H26" s="503" t="s">
        <v>1009</v>
      </c>
      <c r="I26" s="504"/>
      <c r="J26" s="183"/>
    </row>
    <row r="27" spans="2:10" x14ac:dyDescent="0.35">
      <c r="B27" s="390">
        <f>VLOOKUP("meas_qty_add",AUTO!$A$1:$B$1051,2,FALSE)</f>
        <v>71.73</v>
      </c>
      <c r="C27" s="176" t="s">
        <v>544</v>
      </c>
      <c r="D27" s="177" t="s">
        <v>547</v>
      </c>
      <c r="E27" s="176"/>
      <c r="F27" s="183"/>
      <c r="G27" s="184" t="s">
        <v>548</v>
      </c>
      <c r="H27" s="492"/>
      <c r="I27" s="493"/>
      <c r="J27" s="183"/>
    </row>
    <row r="28" spans="2:10" x14ac:dyDescent="0.35">
      <c r="B28" s="390">
        <f>VLOOKUP("meas_final_level",AUTO!$A$1:$B$1051,2,FALSE)</f>
        <v>12.79</v>
      </c>
      <c r="C28" s="176" t="s">
        <v>538</v>
      </c>
      <c r="D28" s="177" t="s">
        <v>549</v>
      </c>
      <c r="E28" s="176"/>
      <c r="F28" s="183"/>
      <c r="G28" s="183"/>
      <c r="H28" s="183"/>
      <c r="I28" s="183"/>
      <c r="J28" s="183"/>
    </row>
    <row r="29" spans="2:10" x14ac:dyDescent="0.35">
      <c r="B29" s="390">
        <f>VLOOKUP("calc_volume",AUTO!$A$1:$B$1051,2,FALSE)</f>
        <v>12.79</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72</v>
      </c>
      <c r="C65" s="196">
        <f>VLOOKUP("threshold1",AUTO!$A$1:$B$1051,2,FALSE)</f>
        <v>174</v>
      </c>
      <c r="D65" s="196">
        <f>VLOOKUP("threshold2",AUTO!$A$1:$B$1051,2,FALSE)</f>
        <v>980</v>
      </c>
      <c r="E65" s="196">
        <f>VLOOKUP("threshold3",AUTO!$A$1:$B$1051,2,FALSE)</f>
        <v>1996</v>
      </c>
      <c r="F65" s="196">
        <f>VLOOKUP("threshold4",AUTO!$A$1:$B$1051,2,FALSE)</f>
        <v>2808</v>
      </c>
      <c r="G65" s="196">
        <f>VLOOKUP("threshold5",AUTO!$A$1:$B$1051,2,FALSE)</f>
        <v>9752</v>
      </c>
      <c r="H65" s="196">
        <f>VLOOKUP("threshold6",AUTO!$A$1:$B$1051,2,FALSE)</f>
        <v>14732</v>
      </c>
      <c r="I65" s="196">
        <f>VLOOKUP("threshold7",AUTO!$A$1:$B$1051,2,FALSE)</f>
        <v>23642</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1283640</v>
      </c>
      <c r="C68" s="390">
        <f>VLOOKUP("verification_count_1_0",AUTO!$A$1:$B$1051,2,FALSE)</f>
        <v>1294597</v>
      </c>
      <c r="D68" s="156">
        <f>(C68-B68)/B68</f>
        <v>8.5358823346109499E-3</v>
      </c>
      <c r="E68" s="390">
        <f>VLOOKUP("verification_count_2_0",AUTO!$A$1:$B$1051,2,FALSE)</f>
        <v>1333795</v>
      </c>
      <c r="F68" s="156">
        <f>(E68-B68)/B68</f>
        <v>3.9072481381072575E-2</v>
      </c>
      <c r="G68" s="390">
        <f>VLOOKUP("verification_count_3_0",AUTO!$A$1:$B$1051,2,FALSE)</f>
        <v>1339624</v>
      </c>
      <c r="H68" s="156">
        <f>(G68-B68)/B68</f>
        <v>4.3613474182792683E-2</v>
      </c>
      <c r="I68" s="329">
        <f>(C68+E68+G68)/3</f>
        <v>1322672</v>
      </c>
      <c r="J68" s="156">
        <f>(I68-$B68)/$B68</f>
        <v>3.0407279299492069E-2</v>
      </c>
    </row>
    <row r="69" spans="1:10" ht="18" customHeight="1" x14ac:dyDescent="0.35">
      <c r="A69" s="139">
        <v>6</v>
      </c>
      <c r="B69" s="163">
        <f>VLOOKUP("reference_count_1",AUTO!$A$1:$B$1051,2,FALSE)</f>
        <v>527858</v>
      </c>
      <c r="C69" s="390">
        <f>VLOOKUP("verification_count_1_1",AUTO!$A$1:$B$1051,2,FALSE)</f>
        <v>532117</v>
      </c>
      <c r="D69" s="156">
        <f t="shared" ref="D69:D76" si="0">(C69-B69)/B69</f>
        <v>8.0684578049399647E-3</v>
      </c>
      <c r="E69" s="390">
        <f>VLOOKUP("verification_count_2_1",AUTO!$A$1:$B$1051,2,FALSE)</f>
        <v>540633</v>
      </c>
      <c r="F69" s="156">
        <f t="shared" ref="F69:F76" si="1">(E69-B69)/B69</f>
        <v>2.4201584517048146E-2</v>
      </c>
      <c r="G69" s="390">
        <f>VLOOKUP("verification_count_3_1",AUTO!$A$1:$B$1051,2,FALSE)</f>
        <v>543393</v>
      </c>
      <c r="H69" s="156">
        <f t="shared" ref="H69:H76" si="2">(G69-B69)/B69</f>
        <v>2.9430263442062069E-2</v>
      </c>
      <c r="I69" s="329">
        <f t="shared" ref="I69:I76" si="3">(C69+E69+G69)/3</f>
        <v>538714.33333333337</v>
      </c>
      <c r="J69" s="156">
        <f t="shared" ref="J69:J76" si="4">(I69-$B69)/$B69</f>
        <v>2.0566768588016801E-2</v>
      </c>
    </row>
    <row r="70" spans="1:10" ht="18" customHeight="1" x14ac:dyDescent="0.35">
      <c r="A70" s="139">
        <v>10</v>
      </c>
      <c r="B70" s="163">
        <f>VLOOKUP("reference_count32_6",AUTO!$A$1:$B$1051,2,FALSE)*100</f>
        <v>122755</v>
      </c>
      <c r="C70" s="430">
        <f>VLOOKUP("verification_count32_1_6",AUTO!$A$1:$B$1051,2,FALSE)*100</f>
        <v>124361.99999999999</v>
      </c>
      <c r="D70" s="156">
        <f t="shared" si="0"/>
        <v>1.3091116451468253E-2</v>
      </c>
      <c r="E70" s="430">
        <f>VLOOKUP("verification_count32_2_6",AUTO!$A$1:$B$1051,2,FALSE)*100</f>
        <v>126676</v>
      </c>
      <c r="F70" s="156">
        <f t="shared" si="1"/>
        <v>3.1941672436967945E-2</v>
      </c>
      <c r="G70" s="430">
        <f>VLOOKUP("verification_count32_3_6",AUTO!$A$1:$B$1051,2,FALSE)*100</f>
        <v>125240.00000000001</v>
      </c>
      <c r="H70" s="156">
        <f t="shared" si="2"/>
        <v>2.0243574599812752E-2</v>
      </c>
      <c r="I70" s="329">
        <f t="shared" si="3"/>
        <v>125426</v>
      </c>
      <c r="J70" s="156">
        <f t="shared" si="4"/>
        <v>2.1758787829416319E-2</v>
      </c>
    </row>
    <row r="71" spans="1:10" ht="18" customHeight="1" x14ac:dyDescent="0.35">
      <c r="A71" s="139">
        <v>14</v>
      </c>
      <c r="B71" s="163">
        <f>VLOOKUP("reference_count_2",AUTO!$A$1:$B$1051,2,FALSE)</f>
        <v>46023.199999999997</v>
      </c>
      <c r="C71" s="390">
        <f>VLOOKUP("verification_count_1_2",AUTO!$A$1:$B$1051,2,FALSE)</f>
        <v>46063</v>
      </c>
      <c r="D71" s="156">
        <f t="shared" si="0"/>
        <v>8.647812407655902E-4</v>
      </c>
      <c r="E71" s="390">
        <f>VLOOKUP("verification_count_2_2",AUTO!$A$1:$B$1051,2,FALSE)</f>
        <v>46677</v>
      </c>
      <c r="F71" s="156">
        <f t="shared" si="1"/>
        <v>1.4205878774183519E-2</v>
      </c>
      <c r="G71" s="390">
        <f>VLOOKUP("verification_count_3_2",AUTO!$A$1:$B$1051,2,FALSE)</f>
        <v>46769</v>
      </c>
      <c r="H71" s="156">
        <f t="shared" si="2"/>
        <v>1.6204870587008355E-2</v>
      </c>
      <c r="I71" s="329">
        <f t="shared" si="3"/>
        <v>46503</v>
      </c>
      <c r="J71" s="156">
        <f t="shared" si="4"/>
        <v>1.0425176867319155E-2</v>
      </c>
    </row>
    <row r="72" spans="1:10" ht="18" customHeight="1" x14ac:dyDescent="0.35">
      <c r="A72" s="139">
        <v>21</v>
      </c>
      <c r="B72" s="163">
        <f>VLOOKUP("reference_count_3",AUTO!$A$1:$B$1051,2,FALSE)</f>
        <v>19288.2</v>
      </c>
      <c r="C72" s="390">
        <f>VLOOKUP("verification_count_1_3",AUTO!$A$1:$B$1051,2,FALSE)</f>
        <v>19385</v>
      </c>
      <c r="D72" s="156">
        <f t="shared" si="0"/>
        <v>5.0186124158811745E-3</v>
      </c>
      <c r="E72" s="390">
        <f>VLOOKUP("verification_count_2_3",AUTO!$A$1:$B$1051,2,FALSE)</f>
        <v>19930</v>
      </c>
      <c r="F72" s="156">
        <f t="shared" si="1"/>
        <v>3.3274229840005769E-2</v>
      </c>
      <c r="G72" s="390">
        <f>VLOOKUP("verification_count_3_3",AUTO!$A$1:$B$1051,2,FALSE)</f>
        <v>19792</v>
      </c>
      <c r="H72" s="156">
        <f t="shared" si="2"/>
        <v>2.6119596437199907E-2</v>
      </c>
      <c r="I72" s="329">
        <f t="shared" si="3"/>
        <v>19702.333333333332</v>
      </c>
      <c r="J72" s="156">
        <f t="shared" si="4"/>
        <v>2.1470812897695552E-2</v>
      </c>
    </row>
    <row r="73" spans="1:10" ht="18" customHeight="1" x14ac:dyDescent="0.35">
      <c r="A73" s="139">
        <v>25</v>
      </c>
      <c r="B73" s="163">
        <f>VLOOKUP("reference_count_4",AUTO!$A$1:$B$1051,2,FALSE)</f>
        <v>13930.9</v>
      </c>
      <c r="C73" s="390">
        <f>VLOOKUP("verification_count_1_4",AUTO!$A$1:$B$1051,2,FALSE)</f>
        <v>13882</v>
      </c>
      <c r="D73" s="156">
        <f t="shared" si="0"/>
        <v>-3.5101824002756201E-3</v>
      </c>
      <c r="E73" s="390">
        <f>VLOOKUP("verification_count_2_4",AUTO!$A$1:$B$1051,2,FALSE)</f>
        <v>14568</v>
      </c>
      <c r="F73" s="156">
        <f t="shared" si="1"/>
        <v>4.5732867223223221E-2</v>
      </c>
      <c r="G73" s="390">
        <f>VLOOKUP("verification_count_3_4",AUTO!$A$1:$B$1051,2,FALSE)</f>
        <v>14137</v>
      </c>
      <c r="H73" s="156">
        <f t="shared" si="2"/>
        <v>1.4794449748401063E-2</v>
      </c>
      <c r="I73" s="329">
        <f t="shared" si="3"/>
        <v>14195.666666666666</v>
      </c>
      <c r="J73" s="156">
        <f t="shared" si="4"/>
        <v>1.9005711523782845E-2</v>
      </c>
    </row>
    <row r="74" spans="1:10" ht="18" customHeight="1" x14ac:dyDescent="0.35">
      <c r="A74" s="139">
        <v>38</v>
      </c>
      <c r="B74" s="163">
        <f>VLOOKUP("reference_count_5",AUTO!$A$1:$B$1051,2,FALSE)</f>
        <v>5703.23</v>
      </c>
      <c r="C74" s="390">
        <f>VLOOKUP("verification_count_1_5",AUTO!$A$1:$B$1051,2,FALSE)</f>
        <v>5502</v>
      </c>
      <c r="D74" s="156">
        <f t="shared" si="0"/>
        <v>-3.5283514780220959E-2</v>
      </c>
      <c r="E74" s="390">
        <f>VLOOKUP("verification_count_2_5",AUTO!$A$1:$B$1051,2,FALSE)</f>
        <v>5577</v>
      </c>
      <c r="F74" s="156">
        <f t="shared" si="1"/>
        <v>-2.2133071960976424E-2</v>
      </c>
      <c r="G74" s="390">
        <f>VLOOKUP("verification_count_3_5",AUTO!$A$1:$B$1051,2,FALSE)</f>
        <v>5583</v>
      </c>
      <c r="H74" s="156">
        <f t="shared" si="2"/>
        <v>-2.1081036535436862E-2</v>
      </c>
      <c r="I74" s="329">
        <f t="shared" si="3"/>
        <v>5554</v>
      </c>
      <c r="J74" s="156">
        <f t="shared" si="4"/>
        <v>-2.6165874425544747E-2</v>
      </c>
    </row>
    <row r="75" spans="1:10" ht="18" customHeight="1" x14ac:dyDescent="0.35">
      <c r="A75" s="139">
        <v>50</v>
      </c>
      <c r="B75" s="163">
        <f>VLOOKUP("reference_count_6",AUTO!$A$1:$B$1051,2,FALSE)</f>
        <v>1229.47</v>
      </c>
      <c r="C75" s="390">
        <f>VLOOKUP("verification_count_1_6",AUTO!$A$1:$B$1051,2,FALSE)</f>
        <v>1158</v>
      </c>
      <c r="D75" s="156">
        <f t="shared" si="0"/>
        <v>-5.8130739261633084E-2</v>
      </c>
      <c r="E75" s="390">
        <f>VLOOKUP("verification_count_2_6",AUTO!$A$1:$B$1051,2,FALSE)</f>
        <v>1091</v>
      </c>
      <c r="F75" s="156">
        <f t="shared" si="1"/>
        <v>-0.11262576557378384</v>
      </c>
      <c r="G75" s="390">
        <f>VLOOKUP("verification_count_3_6",AUTO!$A$1:$B$1051,2,FALSE)</f>
        <v>1090</v>
      </c>
      <c r="H75" s="156">
        <f t="shared" si="2"/>
        <v>-0.11343912417545773</v>
      </c>
      <c r="I75" s="329">
        <f t="shared" si="3"/>
        <v>1113</v>
      </c>
      <c r="J75" s="156">
        <f t="shared" si="4"/>
        <v>-9.4731876336958218E-2</v>
      </c>
    </row>
    <row r="76" spans="1:10" ht="18" customHeight="1" x14ac:dyDescent="0.35">
      <c r="A76" s="139">
        <v>70</v>
      </c>
      <c r="B76" s="163">
        <f>VLOOKUP("reference_count_7",AUTO!$A$1:$B$1051,2,FALSE)</f>
        <v>210.36500000000001</v>
      </c>
      <c r="C76" s="390">
        <f>VLOOKUP("verification_count_1_7",AUTO!$A$1:$B$1051,2,FALSE)</f>
        <v>263</v>
      </c>
      <c r="D76" s="156">
        <f t="shared" si="0"/>
        <v>0.25020797185843646</v>
      </c>
      <c r="E76" s="390">
        <f>VLOOKUP("verification_count_2_7",AUTO!$A$1:$B$1051,2,FALSE)</f>
        <v>181</v>
      </c>
      <c r="F76" s="156">
        <f t="shared" si="1"/>
        <v>-0.13959071138259696</v>
      </c>
      <c r="G76" s="390">
        <f>VLOOKUP("verification_count_3_7",AUTO!$A$1:$B$1051,2,FALSE)</f>
        <v>191</v>
      </c>
      <c r="H76" s="156">
        <f t="shared" si="2"/>
        <v>-9.2054286597105073E-2</v>
      </c>
      <c r="I76" s="329">
        <f t="shared" si="3"/>
        <v>211.66666666666666</v>
      </c>
      <c r="J76" s="156">
        <f t="shared" si="4"/>
        <v>6.1876579595781045E-3</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63010065</v>
      </c>
      <c r="E18" s="553"/>
      <c r="F18" s="554"/>
      <c r="K18" s="98" t="s">
        <v>574</v>
      </c>
      <c r="L18" s="99"/>
      <c r="M18" s="99"/>
      <c r="N18" s="100"/>
      <c r="O18" s="55">
        <f>'Auto-Calibration record'!H16</f>
        <v>46176.6</v>
      </c>
    </row>
    <row r="19" spans="2:15" ht="25.9" customHeight="1" x14ac:dyDescent="0.45">
      <c r="B19" s="131" t="s">
        <v>575</v>
      </c>
      <c r="C19" s="132"/>
      <c r="D19" s="552" t="str">
        <f>'Auto-Calibration record'!H17</f>
        <v>63010065 030626</v>
      </c>
      <c r="E19" s="553"/>
      <c r="F19" s="554"/>
      <c r="K19" s="95" t="s">
        <v>576</v>
      </c>
      <c r="L19" s="96"/>
      <c r="M19" s="96"/>
      <c r="N19" s="97"/>
      <c r="O19" s="428">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1283640</v>
      </c>
      <c r="I28" s="541"/>
      <c r="J28" s="159">
        <f>'Auto-Calibration record'!I68</f>
        <v>1322672</v>
      </c>
      <c r="K28" s="159">
        <f t="shared" ref="K28:K33" si="0">J28-H28</f>
        <v>39032</v>
      </c>
      <c r="L28" s="379">
        <f t="shared" ref="L28:L33" si="1">K28/H28</f>
        <v>3.0407279299492069E-2</v>
      </c>
    </row>
    <row r="29" spans="2:15" s="108" customFormat="1" ht="25.9" customHeight="1" x14ac:dyDescent="0.35">
      <c r="D29" s="530" t="s">
        <v>591</v>
      </c>
      <c r="E29" s="530"/>
      <c r="F29" s="545">
        <f>'Auto-Calibration record'!C65</f>
        <v>174</v>
      </c>
      <c r="G29" s="545"/>
      <c r="H29" s="541">
        <f>'Auto-Calibration record'!B69</f>
        <v>527858</v>
      </c>
      <c r="I29" s="541"/>
      <c r="J29" s="159">
        <f>'Auto-Calibration record'!I69</f>
        <v>538714.33333333337</v>
      </c>
      <c r="K29" s="159">
        <f t="shared" si="0"/>
        <v>10856.333333333372</v>
      </c>
      <c r="L29" s="379">
        <f t="shared" si="1"/>
        <v>2.0566768588016801E-2</v>
      </c>
    </row>
    <row r="30" spans="2:15" s="108" customFormat="1" ht="25.9" customHeight="1" x14ac:dyDescent="0.35">
      <c r="D30" s="530" t="s">
        <v>592</v>
      </c>
      <c r="E30" s="530"/>
      <c r="F30" s="545">
        <f>'Auto-Calibration record'!D65</f>
        <v>980</v>
      </c>
      <c r="G30" s="545"/>
      <c r="H30" s="541">
        <f>'Auto-Calibration record'!B71</f>
        <v>46023.199999999997</v>
      </c>
      <c r="I30" s="541"/>
      <c r="J30" s="159">
        <f>'Auto-Calibration record'!I71</f>
        <v>46503</v>
      </c>
      <c r="K30" s="159">
        <f t="shared" si="0"/>
        <v>479.80000000000291</v>
      </c>
      <c r="L30" s="379">
        <f t="shared" si="1"/>
        <v>1.0425176867319155E-2</v>
      </c>
    </row>
    <row r="31" spans="2:15" s="108" customFormat="1" ht="25.9" customHeight="1" x14ac:dyDescent="0.35">
      <c r="D31" s="530" t="s">
        <v>593</v>
      </c>
      <c r="E31" s="530"/>
      <c r="F31" s="545">
        <f>'Auto-Calibration record'!E65</f>
        <v>1996</v>
      </c>
      <c r="G31" s="545"/>
      <c r="H31" s="541">
        <f>'Auto-Calibration record'!B72</f>
        <v>19288.2</v>
      </c>
      <c r="I31" s="541"/>
      <c r="J31" s="159">
        <f>'Auto-Calibration record'!I72</f>
        <v>19702.333333333332</v>
      </c>
      <c r="K31" s="159">
        <f t="shared" si="0"/>
        <v>414.13333333333139</v>
      </c>
      <c r="L31" s="379">
        <f t="shared" si="1"/>
        <v>2.1470812897695552E-2</v>
      </c>
    </row>
    <row r="32" spans="2:15" s="108" customFormat="1" ht="25.9" customHeight="1" x14ac:dyDescent="0.35">
      <c r="D32" s="530" t="s">
        <v>594</v>
      </c>
      <c r="E32" s="530"/>
      <c r="F32" s="545">
        <f>'Auto-Calibration record'!F65</f>
        <v>2808</v>
      </c>
      <c r="G32" s="545"/>
      <c r="H32" s="541">
        <f>'Auto-Calibration record'!B73</f>
        <v>13930.9</v>
      </c>
      <c r="I32" s="541"/>
      <c r="J32" s="159">
        <f>'Auto-Calibration record'!I73</f>
        <v>14195.666666666666</v>
      </c>
      <c r="K32" s="159">
        <f t="shared" si="0"/>
        <v>264.76666666666642</v>
      </c>
      <c r="L32" s="379">
        <f t="shared" si="1"/>
        <v>1.9005711523782845E-2</v>
      </c>
    </row>
    <row r="33" spans="2:12" s="108" customFormat="1" ht="25.9" customHeight="1" x14ac:dyDescent="0.35">
      <c r="D33" s="530" t="s">
        <v>595</v>
      </c>
      <c r="E33" s="530"/>
      <c r="F33" s="545">
        <f>'Auto-Calibration record'!G65</f>
        <v>9752</v>
      </c>
      <c r="G33" s="545"/>
      <c r="H33" s="541">
        <f>'Auto-Calibration record'!B74</f>
        <v>5703.23</v>
      </c>
      <c r="I33" s="541"/>
      <c r="J33" s="159">
        <f>'Auto-Calibration record'!I74</f>
        <v>5554</v>
      </c>
      <c r="K33" s="159">
        <f t="shared" si="0"/>
        <v>-149.22999999999956</v>
      </c>
      <c r="L33" s="379">
        <f t="shared" si="1"/>
        <v>-2.6165874425544747E-2</v>
      </c>
    </row>
    <row r="34" spans="2:12" s="108" customFormat="1" ht="25.9" customHeight="1" x14ac:dyDescent="0.35">
      <c r="D34" s="530" t="s">
        <v>596</v>
      </c>
      <c r="E34" s="530"/>
      <c r="F34" s="545">
        <f>'Auto-Calibration record'!H65</f>
        <v>14732</v>
      </c>
      <c r="G34" s="545"/>
      <c r="H34" s="541">
        <f>'Auto-Calibration record'!B75</f>
        <v>1229.47</v>
      </c>
      <c r="I34" s="541"/>
      <c r="J34" s="159">
        <f>'Auto-Calibration record'!I75</f>
        <v>1113</v>
      </c>
      <c r="K34" s="159" t="s">
        <v>23</v>
      </c>
      <c r="L34" s="112" t="s">
        <v>23</v>
      </c>
    </row>
    <row r="35" spans="2:12" s="102" customFormat="1" ht="25.9" customHeight="1" x14ac:dyDescent="0.45">
      <c r="D35" s="530" t="s">
        <v>597</v>
      </c>
      <c r="E35" s="530"/>
      <c r="F35" s="546">
        <f>'Auto-Calibration record'!I65</f>
        <v>23642</v>
      </c>
      <c r="G35" s="546"/>
      <c r="H35" s="541">
        <f>'Auto-Calibration record'!B76</f>
        <v>210.36500000000001</v>
      </c>
      <c r="I35" s="541"/>
      <c r="J35" s="380">
        <f>'Auto-Calibration record'!I76</f>
        <v>211.66666666666666</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0</v>
      </c>
      <c r="E40" s="541">
        <f>F28-D40</f>
        <v>72</v>
      </c>
      <c r="F40" s="541"/>
      <c r="G40" s="555" t="e">
        <f>F28/D40</f>
        <v>#DIV/0!</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062810065</v>
      </c>
      <c r="G13" s="415"/>
      <c r="H13" s="415"/>
      <c r="I13" s="415"/>
      <c r="J13" s="415"/>
      <c r="K13" s="415"/>
      <c r="L13" s="415"/>
    </row>
    <row r="14" spans="1:12" x14ac:dyDescent="0.35">
      <c r="B14" s="307" t="s">
        <v>634</v>
      </c>
      <c r="C14" s="415"/>
      <c r="D14" s="556" t="str">
        <f>'Auto-Calibration record'!H14</f>
        <v>5.6mg/l RM8631b</v>
      </c>
      <c r="E14" s="556"/>
      <c r="F14" s="556"/>
      <c r="G14" s="415"/>
      <c r="H14" s="415"/>
      <c r="I14" s="415"/>
      <c r="J14" s="415"/>
      <c r="K14" s="415"/>
      <c r="L14" s="415"/>
    </row>
    <row r="15" spans="1:12" x14ac:dyDescent="0.35">
      <c r="B15" s="307" t="s">
        <v>30</v>
      </c>
      <c r="C15" s="415"/>
      <c r="D15" s="164" t="s">
        <v>633</v>
      </c>
      <c r="E15" s="418" t="str">
        <f>F13</f>
        <v>062810065</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57" t="s">
        <v>635</v>
      </c>
      <c r="C17" s="557"/>
      <c r="D17" s="557"/>
      <c r="E17" s="557"/>
      <c r="F17" s="557"/>
      <c r="G17" s="557"/>
      <c r="H17" s="557"/>
      <c r="I17" s="557"/>
      <c r="J17" s="419"/>
      <c r="K17" s="419"/>
      <c r="L17" s="419"/>
    </row>
    <row r="18" spans="1:12" ht="28.5" customHeight="1" x14ac:dyDescent="0.35">
      <c r="B18" s="557" t="s">
        <v>636</v>
      </c>
      <c r="C18" s="557"/>
      <c r="D18" s="557"/>
      <c r="E18" s="557"/>
      <c r="F18" s="557"/>
      <c r="G18" s="557"/>
      <c r="H18" s="557"/>
      <c r="I18" s="557"/>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5" t="s">
        <v>637</v>
      </c>
      <c r="C20" s="565"/>
      <c r="D20" s="565"/>
      <c r="E20" s="565"/>
      <c r="F20" s="565"/>
      <c r="G20" s="565"/>
      <c r="H20" s="565"/>
      <c r="I20" s="565"/>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8">
        <f>'Auto-Calibration record'!H16</f>
        <v>46176.6</v>
      </c>
      <c r="E25" s="568"/>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6" t="str">
        <f>'Auto-Calibration record'!H14</f>
        <v>5.6mg/l RM8631b</v>
      </c>
      <c r="F41" s="567"/>
      <c r="G41" s="183"/>
    </row>
    <row r="42" spans="1:12" x14ac:dyDescent="0.35">
      <c r="A42" s="59"/>
      <c r="C42" s="421" t="s">
        <v>645</v>
      </c>
      <c r="D42" s="422"/>
      <c r="E42" s="165" t="s">
        <v>633</v>
      </c>
      <c r="F42" s="150" t="str">
        <f>E15</f>
        <v>062810065</v>
      </c>
    </row>
    <row r="43" spans="1:12" x14ac:dyDescent="0.35">
      <c r="A43" s="59"/>
      <c r="C43" s="85" t="s">
        <v>646</v>
      </c>
      <c r="D43" s="71"/>
      <c r="E43" s="563" t="s">
        <v>647</v>
      </c>
      <c r="F43" s="564"/>
      <c r="G43" s="59"/>
    </row>
    <row r="44" spans="1:12" x14ac:dyDescent="0.35">
      <c r="C44" s="86" t="s">
        <v>648</v>
      </c>
      <c r="D44" s="73"/>
      <c r="E44" s="563">
        <f>'Auto-Calibration record'!B17</f>
        <v>0</v>
      </c>
      <c r="F44" s="564"/>
      <c r="G44" s="59"/>
      <c r="H44" s="4"/>
      <c r="I44" s="4"/>
      <c r="J44" s="4"/>
      <c r="K44" s="4"/>
      <c r="L44" s="4"/>
    </row>
    <row r="45" spans="1:12" x14ac:dyDescent="0.35">
      <c r="C45" s="85" t="s">
        <v>649</v>
      </c>
      <c r="D45" s="71"/>
      <c r="E45" s="563">
        <f>'Auto-Calibration record'!B11</f>
        <v>0</v>
      </c>
      <c r="F45" s="564"/>
      <c r="G45" s="59"/>
    </row>
    <row r="46" spans="1:12" x14ac:dyDescent="0.35">
      <c r="A46" s="59"/>
      <c r="C46" s="85" t="s">
        <v>650</v>
      </c>
      <c r="D46" s="71"/>
      <c r="E46" s="563" t="s">
        <v>651</v>
      </c>
      <c r="F46" s="564"/>
      <c r="G46" s="59"/>
    </row>
    <row r="47" spans="1:12" s="2" customFormat="1" x14ac:dyDescent="0.35">
      <c r="A47" s="1"/>
      <c r="C47" s="85" t="s">
        <v>652</v>
      </c>
      <c r="D47" s="71"/>
      <c r="E47" s="563" t="s">
        <v>653</v>
      </c>
      <c r="F47" s="564"/>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1" t="s">
        <v>657</v>
      </c>
      <c r="E55" s="561"/>
      <c r="F55" s="78" t="s">
        <v>658</v>
      </c>
      <c r="G55" s="77" t="s">
        <v>584</v>
      </c>
      <c r="H55" s="79" t="s">
        <v>584</v>
      </c>
      <c r="I55" s="2"/>
    </row>
    <row r="56" spans="1:10" s="2" customFormat="1" x14ac:dyDescent="0.3">
      <c r="A56" s="59"/>
      <c r="B56" s="140" t="s">
        <v>659</v>
      </c>
      <c r="C56" s="141" t="s">
        <v>587</v>
      </c>
      <c r="D56" s="562" t="s">
        <v>660</v>
      </c>
      <c r="E56" s="562"/>
      <c r="F56" s="143" t="s">
        <v>660</v>
      </c>
      <c r="G56" s="142" t="s">
        <v>660</v>
      </c>
      <c r="H56" s="144" t="s">
        <v>589</v>
      </c>
      <c r="I56" s="80"/>
    </row>
    <row r="57" spans="1:10" x14ac:dyDescent="0.35">
      <c r="A57" s="59"/>
      <c r="B57" s="146">
        <v>4</v>
      </c>
      <c r="C57" s="145">
        <f>'Auto-Calibration record'!B65</f>
        <v>72</v>
      </c>
      <c r="D57" s="559">
        <f>'Auto-Calibration record'!B68</f>
        <v>1283640</v>
      </c>
      <c r="E57" s="560"/>
      <c r="F57" s="160">
        <f>'Auto-Calibration record'!I68</f>
        <v>1322672</v>
      </c>
      <c r="G57" s="145">
        <f t="shared" ref="G57:G62" si="0">F57-D57</f>
        <v>39032</v>
      </c>
      <c r="H57" s="147">
        <f t="shared" ref="H57:H62" si="1">G57/D57</f>
        <v>3.0407279299492069E-2</v>
      </c>
      <c r="I57" s="81"/>
    </row>
    <row r="58" spans="1:10" s="59" customFormat="1" x14ac:dyDescent="0.35">
      <c r="A58" s="2"/>
      <c r="B58" s="146">
        <v>6</v>
      </c>
      <c r="C58" s="145">
        <f>'Auto-Calibration record'!C65</f>
        <v>174</v>
      </c>
      <c r="D58" s="559">
        <f>'Auto-Calibration record'!B69</f>
        <v>527858</v>
      </c>
      <c r="E58" s="560"/>
      <c r="F58" s="160">
        <f>'Auto-Calibration record'!I69</f>
        <v>538714.33333333337</v>
      </c>
      <c r="G58" s="145">
        <f t="shared" si="0"/>
        <v>10856.333333333372</v>
      </c>
      <c r="H58" s="147">
        <f t="shared" si="1"/>
        <v>2.0566768588016801E-2</v>
      </c>
      <c r="I58" s="81"/>
    </row>
    <row r="59" spans="1:10" x14ac:dyDescent="0.35">
      <c r="B59" s="146">
        <v>14</v>
      </c>
      <c r="C59" s="145">
        <f>'Auto-Calibration record'!D65</f>
        <v>980</v>
      </c>
      <c r="D59" s="559">
        <f>'Auto-Calibration record'!B71</f>
        <v>46023.199999999997</v>
      </c>
      <c r="E59" s="560"/>
      <c r="F59" s="160">
        <f>'Auto-Calibration record'!I71</f>
        <v>46503</v>
      </c>
      <c r="G59" s="145">
        <f t="shared" si="0"/>
        <v>479.80000000000291</v>
      </c>
      <c r="H59" s="147">
        <f t="shared" si="1"/>
        <v>1.0425176867319155E-2</v>
      </c>
      <c r="I59" s="81"/>
    </row>
    <row r="60" spans="1:10" x14ac:dyDescent="0.35">
      <c r="A60" s="59"/>
      <c r="B60" s="146">
        <v>21</v>
      </c>
      <c r="C60" s="145">
        <f>'Auto-Calibration record'!E65</f>
        <v>1996</v>
      </c>
      <c r="D60" s="559">
        <f>'Auto-Calibration record'!B72</f>
        <v>19288.2</v>
      </c>
      <c r="E60" s="560"/>
      <c r="F60" s="160">
        <f>'Auto-Calibration record'!I72</f>
        <v>19702.333333333332</v>
      </c>
      <c r="G60" s="145">
        <f t="shared" si="0"/>
        <v>414.13333333333139</v>
      </c>
      <c r="H60" s="147">
        <f t="shared" si="1"/>
        <v>2.1470812897695552E-2</v>
      </c>
      <c r="I60" s="81"/>
    </row>
    <row r="61" spans="1:10" x14ac:dyDescent="0.35">
      <c r="B61" s="146">
        <v>25</v>
      </c>
      <c r="C61" s="145">
        <f>'Auto-Calibration record'!F65</f>
        <v>2808</v>
      </c>
      <c r="D61" s="559">
        <f>'Auto-Calibration record'!B73</f>
        <v>13930.9</v>
      </c>
      <c r="E61" s="560"/>
      <c r="F61" s="160">
        <f>'Auto-Calibration record'!I73</f>
        <v>14195.666666666666</v>
      </c>
      <c r="G61" s="145">
        <f t="shared" si="0"/>
        <v>264.76666666666642</v>
      </c>
      <c r="H61" s="147">
        <f t="shared" si="1"/>
        <v>1.9005711523782845E-2</v>
      </c>
      <c r="I61" s="81"/>
    </row>
    <row r="62" spans="1:10" x14ac:dyDescent="0.35">
      <c r="A62" s="2"/>
      <c r="B62" s="146">
        <v>38</v>
      </c>
      <c r="C62" s="145">
        <f>'Auto-Calibration record'!G65</f>
        <v>9752</v>
      </c>
      <c r="D62" s="559">
        <f>'Auto-Calibration record'!B74</f>
        <v>5703.23</v>
      </c>
      <c r="E62" s="560"/>
      <c r="F62" s="160">
        <f>'Auto-Calibration record'!I74</f>
        <v>5554</v>
      </c>
      <c r="G62" s="145">
        <f t="shared" si="0"/>
        <v>-149.22999999999956</v>
      </c>
      <c r="H62" s="147">
        <f t="shared" si="1"/>
        <v>-2.6165874425544747E-2</v>
      </c>
      <c r="I62" s="81"/>
    </row>
    <row r="63" spans="1:10" x14ac:dyDescent="0.35">
      <c r="B63" s="146" t="s">
        <v>661</v>
      </c>
      <c r="C63" s="145">
        <f>'Auto-Calibration record'!H65</f>
        <v>14732</v>
      </c>
      <c r="D63" s="559">
        <f>'Auto-Calibration record'!B75</f>
        <v>1229.47</v>
      </c>
      <c r="E63" s="560"/>
      <c r="F63" s="160">
        <f>'Auto-Calibration record'!I75</f>
        <v>1113</v>
      </c>
      <c r="G63" s="423" t="s">
        <v>23</v>
      </c>
      <c r="H63" s="424" t="s">
        <v>23</v>
      </c>
      <c r="I63" s="81"/>
    </row>
    <row r="64" spans="1:10" ht="13.15" thickBot="1" x14ac:dyDescent="0.4">
      <c r="A64" s="59"/>
      <c r="B64" s="148" t="s">
        <v>662</v>
      </c>
      <c r="C64" s="149">
        <f>'Auto-Calibration record'!I65</f>
        <v>23642</v>
      </c>
      <c r="D64" s="559">
        <f>'Auto-Calibration record'!B76</f>
        <v>210.36500000000001</v>
      </c>
      <c r="E64" s="560"/>
      <c r="F64" s="161">
        <f>'Auto-Calibration record'!I76</f>
        <v>211.66666666666666</v>
      </c>
      <c r="G64" s="425" t="s">
        <v>23</v>
      </c>
      <c r="H64" s="426" t="s">
        <v>23</v>
      </c>
      <c r="I64" s="81"/>
    </row>
    <row r="65" spans="2:7" x14ac:dyDescent="0.35">
      <c r="B65" s="558" t="s">
        <v>663</v>
      </c>
      <c r="C65" s="558"/>
      <c r="D65" s="558"/>
      <c r="E65" s="558"/>
      <c r="F65" s="558"/>
      <c r="G65" s="558"/>
    </row>
    <row r="67" spans="2:7" x14ac:dyDescent="0.35">
      <c r="B67" s="84" t="s">
        <v>664</v>
      </c>
      <c r="C67" s="82">
        <f>'Auto-Calibration record'!H16</f>
        <v>46176.6</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46176.6</v>
      </c>
    </row>
    <row r="19" spans="2:15" ht="25.9" customHeight="1" x14ac:dyDescent="0.45">
      <c r="B19" s="131" t="s">
        <v>575</v>
      </c>
      <c r="C19" s="132"/>
      <c r="D19" s="552" t="str">
        <f>'Auto-Calibration record'!H17</f>
        <v>63010065 030626</v>
      </c>
      <c r="E19" s="553"/>
      <c r="F19" s="554"/>
      <c r="K19" s="95" t="s">
        <v>576</v>
      </c>
      <c r="L19" s="96"/>
      <c r="M19" s="96"/>
      <c r="N19" s="97"/>
      <c r="O19" s="162">
        <f>'Auto-Calibration record'!H19</f>
        <v>304</v>
      </c>
    </row>
    <row r="20" spans="2:15" ht="25.5" customHeight="1" x14ac:dyDescent="0.45">
      <c r="B20" s="101"/>
      <c r="D20" s="126"/>
      <c r="E20" s="133"/>
      <c r="F20" s="127"/>
      <c r="K20" s="101"/>
      <c r="L20" s="102"/>
      <c r="M20" s="102"/>
      <c r="N20" s="102"/>
      <c r="O20" s="58"/>
    </row>
    <row r="21" spans="2:15" ht="34.5" customHeight="1" x14ac:dyDescent="0.45">
      <c r="B21" s="101"/>
      <c r="D21" s="135" t="s">
        <v>667</v>
      </c>
      <c r="E21" s="569" t="s">
        <v>668</v>
      </c>
      <c r="F21" s="569"/>
      <c r="G21" s="569" t="s">
        <v>669</v>
      </c>
      <c r="H21" s="569"/>
      <c r="I21" s="569" t="s">
        <v>670</v>
      </c>
      <c r="J21" s="569"/>
      <c r="M21" s="102"/>
      <c r="N21" s="102"/>
      <c r="O21" s="128"/>
    </row>
    <row r="22" spans="2:15" ht="17.649999999999999" x14ac:dyDescent="0.45">
      <c r="B22" s="101"/>
      <c r="D22" s="134" t="s">
        <v>671</v>
      </c>
      <c r="E22" s="570" t="s">
        <v>672</v>
      </c>
      <c r="F22" s="570"/>
      <c r="G22" s="570" t="s">
        <v>673</v>
      </c>
      <c r="H22" s="570"/>
      <c r="I22" s="570">
        <v>5226</v>
      </c>
      <c r="J22" s="570"/>
      <c r="M22" s="102"/>
      <c r="N22" s="102"/>
      <c r="O22" s="128"/>
    </row>
    <row r="23" spans="2:15" ht="14.25" customHeight="1" x14ac:dyDescent="0.45">
      <c r="B23" s="101"/>
      <c r="D23" s="134" t="s">
        <v>674</v>
      </c>
      <c r="E23" s="570" t="s">
        <v>672</v>
      </c>
      <c r="F23" s="570"/>
      <c r="G23" s="570" t="s">
        <v>673</v>
      </c>
      <c r="H23" s="570"/>
      <c r="I23" s="570">
        <v>5306</v>
      </c>
      <c r="J23" s="570"/>
      <c r="M23" s="102"/>
      <c r="N23" s="102"/>
      <c r="O23" s="128"/>
    </row>
    <row r="24" spans="2:15" ht="14.25" customHeight="1" x14ac:dyDescent="0.45">
      <c r="B24" s="101"/>
      <c r="D24" s="134" t="s">
        <v>675</v>
      </c>
      <c r="E24" s="570" t="s">
        <v>672</v>
      </c>
      <c r="F24" s="570"/>
      <c r="G24" s="570" t="s">
        <v>673</v>
      </c>
      <c r="H24" s="570"/>
      <c r="I24" s="570">
        <v>5326</v>
      </c>
      <c r="J24" s="570"/>
      <c r="M24" s="102"/>
      <c r="N24" s="102"/>
      <c r="O24" s="128"/>
    </row>
    <row r="25" spans="2:15" ht="14.25" customHeight="1" x14ac:dyDescent="0.45">
      <c r="B25" s="101"/>
      <c r="D25" s="134" t="s">
        <v>676</v>
      </c>
      <c r="E25" s="570" t="s">
        <v>672</v>
      </c>
      <c r="F25" s="570"/>
      <c r="G25" s="570" t="s">
        <v>673</v>
      </c>
      <c r="H25" s="570"/>
      <c r="I25" s="570">
        <v>5529</v>
      </c>
      <c r="J25" s="570"/>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8" t="s">
        <v>580</v>
      </c>
      <c r="E32" s="528"/>
      <c r="F32" s="528" t="s">
        <v>581</v>
      </c>
      <c r="G32" s="528"/>
      <c r="H32" s="528" t="s">
        <v>582</v>
      </c>
      <c r="I32" s="528"/>
      <c r="J32" s="107" t="s">
        <v>583</v>
      </c>
      <c r="K32" s="107" t="s">
        <v>584</v>
      </c>
      <c r="L32" s="107" t="s">
        <v>585</v>
      </c>
    </row>
    <row r="33" spans="2:12" s="108" customFormat="1" ht="25.9" customHeight="1" x14ac:dyDescent="0.35">
      <c r="D33" s="529" t="s">
        <v>586</v>
      </c>
      <c r="E33" s="529"/>
      <c r="F33" s="529" t="s">
        <v>587</v>
      </c>
      <c r="G33" s="529"/>
      <c r="H33" s="529" t="s">
        <v>588</v>
      </c>
      <c r="I33" s="529"/>
      <c r="J33" s="109" t="s">
        <v>588</v>
      </c>
      <c r="K33" s="109" t="s">
        <v>588</v>
      </c>
      <c r="L33" s="109" t="s">
        <v>589</v>
      </c>
    </row>
    <row r="34" spans="2:12" s="108" customFormat="1" ht="25.9" customHeight="1" x14ac:dyDescent="0.35">
      <c r="D34" s="530" t="s">
        <v>590</v>
      </c>
      <c r="E34" s="530"/>
      <c r="F34" s="545">
        <f>'Auto-Calibration record'!B65</f>
        <v>72</v>
      </c>
      <c r="G34" s="545"/>
      <c r="H34" s="541">
        <f>'Auto-Calibration record'!B68</f>
        <v>1283640</v>
      </c>
      <c r="I34" s="571"/>
      <c r="J34" s="158">
        <f>'Auto-Calibration record'!I68</f>
        <v>1322672</v>
      </c>
      <c r="K34" s="159">
        <f t="shared" ref="K34:K39" si="0">J34-H34</f>
        <v>39032</v>
      </c>
      <c r="L34" s="111">
        <f t="shared" ref="L34:L39" si="1">K34/H34</f>
        <v>3.0407279299492069E-2</v>
      </c>
    </row>
    <row r="35" spans="2:12" s="108" customFormat="1" ht="25.9" customHeight="1" x14ac:dyDescent="0.35">
      <c r="D35" s="530" t="s">
        <v>591</v>
      </c>
      <c r="E35" s="530"/>
      <c r="F35" s="545">
        <f>'Auto-Calibration record'!C65</f>
        <v>174</v>
      </c>
      <c r="G35" s="545"/>
      <c r="H35" s="541">
        <f>'Auto-Calibration record'!B69</f>
        <v>527858</v>
      </c>
      <c r="I35" s="571"/>
      <c r="J35" s="158">
        <f>'Auto-Calibration record'!I69</f>
        <v>538714.33333333337</v>
      </c>
      <c r="K35" s="159">
        <f t="shared" si="0"/>
        <v>10856.333333333372</v>
      </c>
      <c r="L35" s="111">
        <f t="shared" si="1"/>
        <v>2.0566768588016801E-2</v>
      </c>
    </row>
    <row r="36" spans="2:12" s="108" customFormat="1" ht="25.9" customHeight="1" x14ac:dyDescent="0.35">
      <c r="D36" s="530" t="s">
        <v>592</v>
      </c>
      <c r="E36" s="530"/>
      <c r="F36" s="545">
        <f>'Auto-Calibration record'!D65</f>
        <v>980</v>
      </c>
      <c r="G36" s="545"/>
      <c r="H36" s="541">
        <f>'Auto-Calibration record'!B71</f>
        <v>46023.199999999997</v>
      </c>
      <c r="I36" s="571"/>
      <c r="J36" s="158">
        <f>'Auto-Calibration record'!I71</f>
        <v>46503</v>
      </c>
      <c r="K36" s="159">
        <f t="shared" si="0"/>
        <v>479.80000000000291</v>
      </c>
      <c r="L36" s="111">
        <f t="shared" si="1"/>
        <v>1.0425176867319155E-2</v>
      </c>
    </row>
    <row r="37" spans="2:12" s="108" customFormat="1" ht="25.9" customHeight="1" x14ac:dyDescent="0.35">
      <c r="D37" s="530" t="s">
        <v>593</v>
      </c>
      <c r="E37" s="530"/>
      <c r="F37" s="545">
        <f>'Auto-Calibration record'!E65</f>
        <v>1996</v>
      </c>
      <c r="G37" s="545"/>
      <c r="H37" s="541">
        <f>'Auto-Calibration record'!B72</f>
        <v>19288.2</v>
      </c>
      <c r="I37" s="571"/>
      <c r="J37" s="158">
        <f>'Auto-Calibration record'!I72</f>
        <v>19702.333333333332</v>
      </c>
      <c r="K37" s="159">
        <f t="shared" si="0"/>
        <v>414.13333333333139</v>
      </c>
      <c r="L37" s="111">
        <f t="shared" si="1"/>
        <v>2.1470812897695552E-2</v>
      </c>
    </row>
    <row r="38" spans="2:12" s="108" customFormat="1" ht="25.9" customHeight="1" x14ac:dyDescent="0.35">
      <c r="D38" s="530" t="s">
        <v>594</v>
      </c>
      <c r="E38" s="530"/>
      <c r="F38" s="545">
        <f>'Auto-Calibration record'!F65</f>
        <v>2808</v>
      </c>
      <c r="G38" s="545"/>
      <c r="H38" s="541">
        <f>'Auto-Calibration record'!B73</f>
        <v>13930.9</v>
      </c>
      <c r="I38" s="571"/>
      <c r="J38" s="158">
        <f>'Auto-Calibration record'!I73</f>
        <v>14195.666666666666</v>
      </c>
      <c r="K38" s="159">
        <f t="shared" si="0"/>
        <v>264.76666666666642</v>
      </c>
      <c r="L38" s="111">
        <f t="shared" si="1"/>
        <v>1.9005711523782845E-2</v>
      </c>
    </row>
    <row r="39" spans="2:12" s="108" customFormat="1" ht="25.9" customHeight="1" x14ac:dyDescent="0.35">
      <c r="D39" s="530" t="s">
        <v>595</v>
      </c>
      <c r="E39" s="530"/>
      <c r="F39" s="545">
        <f>'Auto-Calibration record'!G65</f>
        <v>9752</v>
      </c>
      <c r="G39" s="545"/>
      <c r="H39" s="541">
        <f>'Auto-Calibration record'!B74</f>
        <v>5703.23</v>
      </c>
      <c r="I39" s="571"/>
      <c r="J39" s="158">
        <f>'Auto-Calibration record'!I74</f>
        <v>5554</v>
      </c>
      <c r="K39" s="159">
        <f t="shared" si="0"/>
        <v>-149.22999999999956</v>
      </c>
      <c r="L39" s="111">
        <f t="shared" si="1"/>
        <v>-2.6165874425544747E-2</v>
      </c>
    </row>
    <row r="40" spans="2:12" s="108" customFormat="1" ht="25.9" customHeight="1" x14ac:dyDescent="0.35">
      <c r="D40" s="530" t="s">
        <v>596</v>
      </c>
      <c r="E40" s="530"/>
      <c r="F40" s="545">
        <f>'Auto-Calibration record'!H65</f>
        <v>14732</v>
      </c>
      <c r="G40" s="545"/>
      <c r="H40" s="541">
        <f>'Auto-Calibration record'!B75</f>
        <v>1229.47</v>
      </c>
      <c r="I40" s="571"/>
      <c r="J40" s="158">
        <f>'Auto-Calibration record'!I75</f>
        <v>1113</v>
      </c>
      <c r="K40" s="159" t="s">
        <v>23</v>
      </c>
      <c r="L40" s="112" t="s">
        <v>23</v>
      </c>
    </row>
    <row r="41" spans="2:12" s="102" customFormat="1" ht="25.9" customHeight="1" x14ac:dyDescent="0.45">
      <c r="D41" s="530" t="s">
        <v>597</v>
      </c>
      <c r="E41" s="530"/>
      <c r="F41" s="546">
        <f>'Auto-Calibration record'!I65</f>
        <v>23642</v>
      </c>
      <c r="G41" s="546"/>
      <c r="H41" s="541">
        <f>'Auto-Calibration record'!B76</f>
        <v>210.36500000000001</v>
      </c>
      <c r="I41" s="571"/>
      <c r="J41" s="158">
        <f>'Auto-Calibration record'!I76</f>
        <v>211.66666666666666</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8" t="s">
        <v>600</v>
      </c>
      <c r="F44" s="528"/>
      <c r="G44" s="528" t="s">
        <v>601</v>
      </c>
      <c r="H44" s="528"/>
      <c r="I44" s="108"/>
      <c r="J44" s="107" t="s">
        <v>677</v>
      </c>
      <c r="K44" s="107" t="s">
        <v>678</v>
      </c>
      <c r="L44" s="107" t="s">
        <v>601</v>
      </c>
    </row>
    <row r="45" spans="2:12" ht="25.9" customHeight="1" x14ac:dyDescent="0.35">
      <c r="B45" s="115"/>
      <c r="D45" s="109" t="s">
        <v>587</v>
      </c>
      <c r="E45" s="529" t="s">
        <v>587</v>
      </c>
      <c r="F45" s="529"/>
      <c r="G45" s="529" t="s">
        <v>602</v>
      </c>
      <c r="H45" s="529"/>
      <c r="I45" s="116"/>
      <c r="J45" s="109" t="s">
        <v>587</v>
      </c>
      <c r="K45" s="109" t="s">
        <v>587</v>
      </c>
      <c r="L45" s="109" t="s">
        <v>602</v>
      </c>
    </row>
    <row r="46" spans="2:12" ht="25.9" customHeight="1" x14ac:dyDescent="0.35">
      <c r="B46" s="115"/>
      <c r="D46" s="129">
        <f>'Auto-Calibration record'!B17</f>
        <v>0</v>
      </c>
      <c r="E46" s="541">
        <f>F34-D46</f>
        <v>72</v>
      </c>
      <c r="F46" s="541"/>
      <c r="G46" s="555" t="e">
        <f>F34/D46</f>
        <v>#DIV/0!</v>
      </c>
      <c r="H46" s="555"/>
      <c r="I46" s="116"/>
      <c r="J46" s="129">
        <f>'Auto-Calibration record'!B11</f>
        <v>0</v>
      </c>
      <c r="K46" s="159">
        <f>F35-J46</f>
        <v>174</v>
      </c>
      <c r="L46" s="151" t="e">
        <f>F35/J46</f>
        <v>#DIV/0!</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31" t="s">
        <v>605</v>
      </c>
      <c r="L78" s="532"/>
      <c r="M78" s="532"/>
      <c r="N78" s="532"/>
      <c r="O78" s="533"/>
    </row>
    <row r="79" spans="2:16" s="88" customFormat="1" ht="25.9" customHeight="1" x14ac:dyDescent="0.4">
      <c r="H79" s="1"/>
      <c r="I79" s="1"/>
      <c r="K79" s="534"/>
      <c r="L79" s="535"/>
      <c r="M79" s="535"/>
      <c r="N79" s="535"/>
      <c r="O79" s="536"/>
    </row>
    <row r="80" spans="2:16" s="88" customFormat="1" ht="25.9" customHeight="1" x14ac:dyDescent="0.4">
      <c r="B80" s="120" t="s">
        <v>606</v>
      </c>
      <c r="C80" s="121"/>
      <c r="D80" s="572" t="s">
        <v>607</v>
      </c>
      <c r="E80" s="573"/>
      <c r="F80" s="573"/>
      <c r="G80" s="574"/>
      <c r="H80" s="1"/>
      <c r="I80" s="1"/>
      <c r="K80" s="534"/>
      <c r="L80" s="535"/>
      <c r="M80" s="535"/>
      <c r="N80" s="535"/>
      <c r="O80" s="536"/>
    </row>
    <row r="81" spans="2:16" s="88" customFormat="1" ht="25.9" customHeight="1" x14ac:dyDescent="0.4">
      <c r="K81" s="537"/>
      <c r="L81" s="538"/>
      <c r="M81" s="538"/>
      <c r="N81" s="538"/>
      <c r="O81" s="539"/>
    </row>
    <row r="82" spans="2:16" s="88" customFormat="1" ht="25.9" customHeight="1" x14ac:dyDescent="0.4">
      <c r="B82" s="120" t="s">
        <v>608</v>
      </c>
      <c r="C82" s="121"/>
      <c r="D82" s="547"/>
      <c r="E82" s="548"/>
      <c r="F82" s="549"/>
      <c r="K82" s="122" t="s">
        <v>609</v>
      </c>
      <c r="L82" s="542" t="s">
        <v>610</v>
      </c>
      <c r="M82" s="543"/>
      <c r="N82" s="543"/>
      <c r="O82" s="544"/>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46176.6</v>
      </c>
    </row>
    <row r="19" spans="2:15" ht="25.9" customHeight="1" x14ac:dyDescent="0.45">
      <c r="B19" s="131" t="s">
        <v>575</v>
      </c>
      <c r="C19" s="132"/>
      <c r="D19" s="552" t="str">
        <f>'Auto-Calibration record'!H17</f>
        <v>63010065 030626</v>
      </c>
      <c r="E19" s="553"/>
      <c r="F19" s="55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1283640</v>
      </c>
      <c r="I28" s="571"/>
      <c r="J28" s="158">
        <f>'Auto-Calibration record'!I68</f>
        <v>1322672</v>
      </c>
      <c r="K28" s="159">
        <f t="shared" ref="K28:K33" si="0">J28-H28</f>
        <v>39032</v>
      </c>
      <c r="L28" s="111">
        <f t="shared" ref="L28:L33" si="1">K28/H28</f>
        <v>3.0407279299492069E-2</v>
      </c>
    </row>
    <row r="29" spans="2:15" s="108" customFormat="1" ht="25.9" customHeight="1" x14ac:dyDescent="0.35">
      <c r="D29" s="530" t="s">
        <v>591</v>
      </c>
      <c r="E29" s="530"/>
      <c r="F29" s="545">
        <f>'Auto-Calibration record'!C65</f>
        <v>174</v>
      </c>
      <c r="G29" s="545"/>
      <c r="H29" s="541">
        <f>'Auto-Calibration record'!B69</f>
        <v>527858</v>
      </c>
      <c r="I29" s="571"/>
      <c r="J29" s="158">
        <f>'Auto-Calibration record'!I69</f>
        <v>538714.33333333337</v>
      </c>
      <c r="K29" s="159">
        <f t="shared" si="0"/>
        <v>10856.333333333372</v>
      </c>
      <c r="L29" s="111">
        <f t="shared" si="1"/>
        <v>2.0566768588016801E-2</v>
      </c>
    </row>
    <row r="30" spans="2:15" s="108" customFormat="1" ht="25.9" customHeight="1" x14ac:dyDescent="0.35">
      <c r="D30" s="530" t="s">
        <v>592</v>
      </c>
      <c r="E30" s="530"/>
      <c r="F30" s="545">
        <f>'Auto-Calibration record'!D65</f>
        <v>980</v>
      </c>
      <c r="G30" s="545"/>
      <c r="H30" s="541">
        <f>'Auto-Calibration record'!B71</f>
        <v>46023.199999999997</v>
      </c>
      <c r="I30" s="571"/>
      <c r="J30" s="158">
        <f>'Auto-Calibration record'!I71</f>
        <v>46503</v>
      </c>
      <c r="K30" s="159">
        <f t="shared" si="0"/>
        <v>479.80000000000291</v>
      </c>
      <c r="L30" s="111">
        <f t="shared" si="1"/>
        <v>1.0425176867319155E-2</v>
      </c>
    </row>
    <row r="31" spans="2:15" s="108" customFormat="1" ht="25.9" customHeight="1" x14ac:dyDescent="0.35">
      <c r="D31" s="530" t="s">
        <v>593</v>
      </c>
      <c r="E31" s="530"/>
      <c r="F31" s="545">
        <f>'Auto-Calibration record'!E65</f>
        <v>1996</v>
      </c>
      <c r="G31" s="545"/>
      <c r="H31" s="541">
        <f>'Auto-Calibration record'!B72</f>
        <v>19288.2</v>
      </c>
      <c r="I31" s="571"/>
      <c r="J31" s="158">
        <f>'Auto-Calibration record'!I72</f>
        <v>19702.333333333332</v>
      </c>
      <c r="K31" s="159">
        <f t="shared" si="0"/>
        <v>414.13333333333139</v>
      </c>
      <c r="L31" s="111">
        <f t="shared" si="1"/>
        <v>2.1470812897695552E-2</v>
      </c>
    </row>
    <row r="32" spans="2:15" s="108" customFormat="1" ht="25.9" customHeight="1" x14ac:dyDescent="0.35">
      <c r="D32" s="530" t="s">
        <v>594</v>
      </c>
      <c r="E32" s="530"/>
      <c r="F32" s="545">
        <f>'Auto-Calibration record'!F65</f>
        <v>2808</v>
      </c>
      <c r="G32" s="545"/>
      <c r="H32" s="541">
        <f>'Auto-Calibration record'!B73</f>
        <v>13930.9</v>
      </c>
      <c r="I32" s="571"/>
      <c r="J32" s="158">
        <f>'Auto-Calibration record'!I73</f>
        <v>14195.666666666666</v>
      </c>
      <c r="K32" s="159">
        <f t="shared" si="0"/>
        <v>264.76666666666642</v>
      </c>
      <c r="L32" s="111">
        <f t="shared" si="1"/>
        <v>1.9005711523782845E-2</v>
      </c>
    </row>
    <row r="33" spans="2:14" s="108" customFormat="1" ht="25.9" customHeight="1" x14ac:dyDescent="0.35">
      <c r="D33" s="530" t="s">
        <v>595</v>
      </c>
      <c r="E33" s="530"/>
      <c r="F33" s="545">
        <f>'Auto-Calibration record'!G65</f>
        <v>9752</v>
      </c>
      <c r="G33" s="545"/>
      <c r="H33" s="541">
        <f>'Auto-Calibration record'!B74</f>
        <v>5703.23</v>
      </c>
      <c r="I33" s="571"/>
      <c r="J33" s="158">
        <f>'Auto-Calibration record'!I74</f>
        <v>5554</v>
      </c>
      <c r="K33" s="159">
        <f t="shared" si="0"/>
        <v>-149.22999999999956</v>
      </c>
      <c r="L33" s="111">
        <f t="shared" si="1"/>
        <v>-2.6165874425544747E-2</v>
      </c>
    </row>
    <row r="34" spans="2:14" s="108" customFormat="1" ht="25.9" customHeight="1" x14ac:dyDescent="0.35">
      <c r="D34" s="530" t="s">
        <v>596</v>
      </c>
      <c r="E34" s="530"/>
      <c r="F34" s="545">
        <f>'Auto-Calibration record'!H65</f>
        <v>14732</v>
      </c>
      <c r="G34" s="545"/>
      <c r="H34" s="541">
        <f>'Auto-Calibration record'!B75</f>
        <v>1229.47</v>
      </c>
      <c r="I34" s="571"/>
      <c r="J34" s="158">
        <f>'Auto-Calibration record'!I75</f>
        <v>1113</v>
      </c>
      <c r="K34" s="159" t="s">
        <v>23</v>
      </c>
      <c r="L34" s="112" t="s">
        <v>23</v>
      </c>
    </row>
    <row r="35" spans="2:14" s="102" customFormat="1" ht="25.9" customHeight="1" x14ac:dyDescent="0.45">
      <c r="D35" s="530" t="s">
        <v>597</v>
      </c>
      <c r="E35" s="530"/>
      <c r="F35" s="546">
        <f>'Auto-Calibration record'!I65</f>
        <v>23642</v>
      </c>
      <c r="G35" s="546"/>
      <c r="H35" s="541">
        <f>'Auto-Calibration record'!B76</f>
        <v>210.36500000000001</v>
      </c>
      <c r="I35" s="571"/>
      <c r="J35" s="158">
        <f>'Auto-Calibration record'!I76</f>
        <v>211.66666666666666</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8" t="s">
        <v>600</v>
      </c>
      <c r="F38" s="528"/>
      <c r="G38" s="528" t="s">
        <v>601</v>
      </c>
      <c r="H38" s="528"/>
      <c r="I38" s="108"/>
      <c r="J38" s="107" t="s">
        <v>677</v>
      </c>
      <c r="K38" s="107" t="s">
        <v>678</v>
      </c>
      <c r="L38" s="107" t="s">
        <v>601</v>
      </c>
      <c r="N38" s="152"/>
    </row>
    <row r="39" spans="2:14" ht="25.9" customHeight="1" x14ac:dyDescent="0.35">
      <c r="B39" s="115"/>
      <c r="D39" s="109" t="s">
        <v>587</v>
      </c>
      <c r="E39" s="529" t="s">
        <v>587</v>
      </c>
      <c r="F39" s="529"/>
      <c r="G39" s="529" t="s">
        <v>602</v>
      </c>
      <c r="H39" s="529"/>
      <c r="I39" s="116"/>
      <c r="J39" s="109" t="s">
        <v>587</v>
      </c>
      <c r="K39" s="109" t="s">
        <v>587</v>
      </c>
      <c r="L39" s="109" t="s">
        <v>602</v>
      </c>
    </row>
    <row r="40" spans="2:14" ht="25.9" customHeight="1" x14ac:dyDescent="0.35">
      <c r="B40" s="115"/>
      <c r="D40" s="129">
        <f>'Auto-Calibration record'!B17</f>
        <v>0</v>
      </c>
      <c r="E40" s="541">
        <f>F28-D40</f>
        <v>72</v>
      </c>
      <c r="F40" s="541"/>
      <c r="G40" s="555" t="e">
        <f>F28/D40</f>
        <v>#DIV/0!</v>
      </c>
      <c r="H40" s="555"/>
      <c r="I40" s="116"/>
      <c r="J40" s="129">
        <f>'Auto-Calibration record'!B11</f>
        <v>0</v>
      </c>
      <c r="K40" s="159">
        <f>F29-J40</f>
        <v>174</v>
      </c>
      <c r="L40" s="151" t="e">
        <f>F29/J40</f>
        <v>#DIV/0!</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46176.6</v>
      </c>
    </row>
    <row r="19" spans="2:15" ht="25.9" customHeight="1" x14ac:dyDescent="0.45">
      <c r="B19" s="131" t="s">
        <v>575</v>
      </c>
      <c r="C19" s="132"/>
      <c r="D19" s="552" t="str">
        <f>'Auto-Calibration record'!H17</f>
        <v>63010065 030626</v>
      </c>
      <c r="E19" s="553"/>
      <c r="F19" s="55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1283640</v>
      </c>
      <c r="I28" s="571"/>
      <c r="J28" s="158">
        <f>'Auto-Calibration record'!I68</f>
        <v>1322672</v>
      </c>
      <c r="K28" s="159">
        <f t="shared" ref="K28:K33" si="0">J28-H28</f>
        <v>39032</v>
      </c>
      <c r="L28" s="111">
        <f t="shared" ref="L28:L33" si="1">K28/H28</f>
        <v>3.0407279299492069E-2</v>
      </c>
    </row>
    <row r="29" spans="2:15" s="108" customFormat="1" ht="25.9" customHeight="1" x14ac:dyDescent="0.35">
      <c r="D29" s="530" t="s">
        <v>591</v>
      </c>
      <c r="E29" s="530"/>
      <c r="F29" s="545">
        <f>'Auto-Calibration record'!C65</f>
        <v>174</v>
      </c>
      <c r="G29" s="545"/>
      <c r="H29" s="541">
        <f>'Auto-Calibration record'!B69</f>
        <v>527858</v>
      </c>
      <c r="I29" s="571"/>
      <c r="J29" s="158">
        <f>'Auto-Calibration record'!I69</f>
        <v>538714.33333333337</v>
      </c>
      <c r="K29" s="159">
        <f t="shared" si="0"/>
        <v>10856.333333333372</v>
      </c>
      <c r="L29" s="111">
        <f t="shared" si="1"/>
        <v>2.0566768588016801E-2</v>
      </c>
    </row>
    <row r="30" spans="2:15" s="108" customFormat="1" ht="25.9" customHeight="1" x14ac:dyDescent="0.35">
      <c r="D30" s="530" t="s">
        <v>592</v>
      </c>
      <c r="E30" s="530"/>
      <c r="F30" s="545">
        <f>'Auto-Calibration record'!D65</f>
        <v>980</v>
      </c>
      <c r="G30" s="545"/>
      <c r="H30" s="541">
        <f>'Auto-Calibration record'!B71</f>
        <v>46023.199999999997</v>
      </c>
      <c r="I30" s="571"/>
      <c r="J30" s="158">
        <f>'Auto-Calibration record'!I71</f>
        <v>46503</v>
      </c>
      <c r="K30" s="159">
        <f t="shared" si="0"/>
        <v>479.80000000000291</v>
      </c>
      <c r="L30" s="111">
        <f t="shared" si="1"/>
        <v>1.0425176867319155E-2</v>
      </c>
    </row>
    <row r="31" spans="2:15" s="108" customFormat="1" ht="25.9" customHeight="1" x14ac:dyDescent="0.35">
      <c r="D31" s="530" t="s">
        <v>593</v>
      </c>
      <c r="E31" s="530"/>
      <c r="F31" s="545">
        <f>'Auto-Calibration record'!E65</f>
        <v>1996</v>
      </c>
      <c r="G31" s="545"/>
      <c r="H31" s="541">
        <f>'Auto-Calibration record'!B72</f>
        <v>19288.2</v>
      </c>
      <c r="I31" s="571"/>
      <c r="J31" s="158">
        <f>'Auto-Calibration record'!I72</f>
        <v>19702.333333333332</v>
      </c>
      <c r="K31" s="159">
        <f t="shared" si="0"/>
        <v>414.13333333333139</v>
      </c>
      <c r="L31" s="111">
        <f t="shared" si="1"/>
        <v>2.1470812897695552E-2</v>
      </c>
    </row>
    <row r="32" spans="2:15" s="108" customFormat="1" ht="25.9" customHeight="1" x14ac:dyDescent="0.35">
      <c r="D32" s="530" t="s">
        <v>594</v>
      </c>
      <c r="E32" s="530"/>
      <c r="F32" s="545">
        <f>'Auto-Calibration record'!F65</f>
        <v>2808</v>
      </c>
      <c r="G32" s="545"/>
      <c r="H32" s="541">
        <f>'Auto-Calibration record'!B73</f>
        <v>13930.9</v>
      </c>
      <c r="I32" s="571"/>
      <c r="J32" s="158">
        <f>'Auto-Calibration record'!I73</f>
        <v>14195.666666666666</v>
      </c>
      <c r="K32" s="159">
        <f t="shared" si="0"/>
        <v>264.76666666666642</v>
      </c>
      <c r="L32" s="111">
        <f t="shared" si="1"/>
        <v>1.9005711523782845E-2</v>
      </c>
    </row>
    <row r="33" spans="2:12" s="108" customFormat="1" ht="25.9" customHeight="1" x14ac:dyDescent="0.35">
      <c r="D33" s="530" t="s">
        <v>595</v>
      </c>
      <c r="E33" s="530"/>
      <c r="F33" s="545">
        <f>'Auto-Calibration record'!G65</f>
        <v>9752</v>
      </c>
      <c r="G33" s="545"/>
      <c r="H33" s="541">
        <f>'Auto-Calibration record'!B74</f>
        <v>5703.23</v>
      </c>
      <c r="I33" s="571"/>
      <c r="J33" s="158">
        <f>'Auto-Calibration record'!I74</f>
        <v>5554</v>
      </c>
      <c r="K33" s="159">
        <f t="shared" si="0"/>
        <v>-149.22999999999956</v>
      </c>
      <c r="L33" s="111">
        <f t="shared" si="1"/>
        <v>-2.6165874425544747E-2</v>
      </c>
    </row>
    <row r="34" spans="2:12" s="108" customFormat="1" ht="25.9" customHeight="1" x14ac:dyDescent="0.35">
      <c r="D34" s="530" t="s">
        <v>596</v>
      </c>
      <c r="E34" s="530"/>
      <c r="F34" s="545">
        <f>'Auto-Calibration record'!H65</f>
        <v>14732</v>
      </c>
      <c r="G34" s="545"/>
      <c r="H34" s="541">
        <f>'Auto-Calibration record'!B75</f>
        <v>1229.47</v>
      </c>
      <c r="I34" s="571"/>
      <c r="J34" s="158">
        <f>'Auto-Calibration record'!I75</f>
        <v>1113</v>
      </c>
      <c r="K34" s="159" t="s">
        <v>23</v>
      </c>
      <c r="L34" s="112" t="s">
        <v>23</v>
      </c>
    </row>
    <row r="35" spans="2:12" s="102" customFormat="1" ht="25.9" customHeight="1" x14ac:dyDescent="0.45">
      <c r="D35" s="530" t="s">
        <v>597</v>
      </c>
      <c r="E35" s="530"/>
      <c r="F35" s="546">
        <f>'Auto-Calibration record'!I65</f>
        <v>23642</v>
      </c>
      <c r="G35" s="546"/>
      <c r="H35" s="541">
        <f>'Auto-Calibration record'!B76</f>
        <v>210.36500000000001</v>
      </c>
      <c r="I35" s="571"/>
      <c r="J35" s="158">
        <f>'Auto-Calibration record'!I76</f>
        <v>211.66666666666666</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72</v>
      </c>
      <c r="F40" s="541"/>
      <c r="G40" s="555" t="e">
        <f>F28/D40</f>
        <v>#DIV/0!</v>
      </c>
      <c r="H40" s="555"/>
      <c r="I40" s="116"/>
      <c r="J40" s="129">
        <f>'Auto-Calibration record'!B11</f>
        <v>0</v>
      </c>
      <c r="K40" s="159">
        <f>F29-J40</f>
        <v>174</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46176.6</v>
      </c>
    </row>
    <row r="19" spans="2:15" ht="25.9" customHeight="1" x14ac:dyDescent="0.45">
      <c r="B19" s="131" t="s">
        <v>575</v>
      </c>
      <c r="C19" s="132"/>
      <c r="D19" s="552" t="str">
        <f>'Auto-Calibration record'!H17</f>
        <v>63010065 030626</v>
      </c>
      <c r="E19" s="553"/>
      <c r="F19" s="55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1283640</v>
      </c>
      <c r="I28" s="571"/>
      <c r="J28" s="158">
        <f>'Auto-Calibration record'!I68</f>
        <v>1322672</v>
      </c>
      <c r="K28" s="159">
        <f t="shared" ref="K28:K33" si="0">J28-H28</f>
        <v>39032</v>
      </c>
      <c r="L28" s="111">
        <f t="shared" ref="L28:L33" si="1">K28/H28</f>
        <v>3.0407279299492069E-2</v>
      </c>
    </row>
    <row r="29" spans="2:15" s="108" customFormat="1" ht="25.9" customHeight="1" x14ac:dyDescent="0.35">
      <c r="D29" s="530" t="s">
        <v>591</v>
      </c>
      <c r="E29" s="530"/>
      <c r="F29" s="545">
        <f>'Auto-Calibration record'!C65</f>
        <v>174</v>
      </c>
      <c r="G29" s="545"/>
      <c r="H29" s="541">
        <f>'Auto-Calibration record'!B69</f>
        <v>527858</v>
      </c>
      <c r="I29" s="571"/>
      <c r="J29" s="158">
        <f>'Auto-Calibration record'!I69</f>
        <v>538714.33333333337</v>
      </c>
      <c r="K29" s="159">
        <f t="shared" si="0"/>
        <v>10856.333333333372</v>
      </c>
      <c r="L29" s="111">
        <f t="shared" si="1"/>
        <v>2.0566768588016801E-2</v>
      </c>
    </row>
    <row r="30" spans="2:15" s="108" customFormat="1" ht="25.9" customHeight="1" x14ac:dyDescent="0.35">
      <c r="D30" s="530" t="s">
        <v>592</v>
      </c>
      <c r="E30" s="530"/>
      <c r="F30" s="545">
        <f>'Auto-Calibration record'!D65</f>
        <v>980</v>
      </c>
      <c r="G30" s="545"/>
      <c r="H30" s="541">
        <f>'Auto-Calibration record'!B71</f>
        <v>46023.199999999997</v>
      </c>
      <c r="I30" s="571"/>
      <c r="J30" s="158">
        <f>'Auto-Calibration record'!I71</f>
        <v>46503</v>
      </c>
      <c r="K30" s="159">
        <f t="shared" si="0"/>
        <v>479.80000000000291</v>
      </c>
      <c r="L30" s="111">
        <f t="shared" si="1"/>
        <v>1.0425176867319155E-2</v>
      </c>
    </row>
    <row r="31" spans="2:15" s="108" customFormat="1" ht="25.9" customHeight="1" x14ac:dyDescent="0.35">
      <c r="D31" s="530" t="s">
        <v>593</v>
      </c>
      <c r="E31" s="530"/>
      <c r="F31" s="545">
        <f>'Auto-Calibration record'!E65</f>
        <v>1996</v>
      </c>
      <c r="G31" s="545"/>
      <c r="H31" s="541">
        <f>'Auto-Calibration record'!B72</f>
        <v>19288.2</v>
      </c>
      <c r="I31" s="571"/>
      <c r="J31" s="158">
        <f>'Auto-Calibration record'!I72</f>
        <v>19702.333333333332</v>
      </c>
      <c r="K31" s="159">
        <f t="shared" si="0"/>
        <v>414.13333333333139</v>
      </c>
      <c r="L31" s="111">
        <f t="shared" si="1"/>
        <v>2.1470812897695552E-2</v>
      </c>
    </row>
    <row r="32" spans="2:15" s="108" customFormat="1" ht="25.9" customHeight="1" x14ac:dyDescent="0.35">
      <c r="D32" s="530" t="s">
        <v>594</v>
      </c>
      <c r="E32" s="530"/>
      <c r="F32" s="545">
        <f>'Auto-Calibration record'!F65</f>
        <v>2808</v>
      </c>
      <c r="G32" s="545"/>
      <c r="H32" s="541">
        <f>'Auto-Calibration record'!B73</f>
        <v>13930.9</v>
      </c>
      <c r="I32" s="571"/>
      <c r="J32" s="158">
        <f>'Auto-Calibration record'!I73</f>
        <v>14195.666666666666</v>
      </c>
      <c r="K32" s="159">
        <f t="shared" si="0"/>
        <v>264.76666666666642</v>
      </c>
      <c r="L32" s="111">
        <f t="shared" si="1"/>
        <v>1.9005711523782845E-2</v>
      </c>
    </row>
    <row r="33" spans="2:12" s="108" customFormat="1" ht="25.9" customHeight="1" x14ac:dyDescent="0.35">
      <c r="D33" s="530" t="s">
        <v>595</v>
      </c>
      <c r="E33" s="530"/>
      <c r="F33" s="545">
        <f>'Auto-Calibration record'!G65</f>
        <v>9752</v>
      </c>
      <c r="G33" s="545"/>
      <c r="H33" s="541">
        <f>'Auto-Calibration record'!B74</f>
        <v>5703.23</v>
      </c>
      <c r="I33" s="571"/>
      <c r="J33" s="158">
        <f>'Auto-Calibration record'!I74</f>
        <v>5554</v>
      </c>
      <c r="K33" s="159">
        <f t="shared" si="0"/>
        <v>-149.22999999999956</v>
      </c>
      <c r="L33" s="111">
        <f t="shared" si="1"/>
        <v>-2.6165874425544747E-2</v>
      </c>
    </row>
    <row r="34" spans="2:12" s="108" customFormat="1" ht="25.9" customHeight="1" x14ac:dyDescent="0.35">
      <c r="D34" s="530" t="s">
        <v>596</v>
      </c>
      <c r="E34" s="530"/>
      <c r="F34" s="545">
        <f>'Auto-Calibration record'!H65</f>
        <v>14732</v>
      </c>
      <c r="G34" s="545"/>
      <c r="H34" s="541">
        <f>'Auto-Calibration record'!B75</f>
        <v>1229.47</v>
      </c>
      <c r="I34" s="571"/>
      <c r="J34" s="158">
        <f>'Auto-Calibration record'!I75</f>
        <v>1113</v>
      </c>
      <c r="K34" s="159" t="s">
        <v>23</v>
      </c>
      <c r="L34" s="112" t="s">
        <v>23</v>
      </c>
    </row>
    <row r="35" spans="2:12" s="102" customFormat="1" ht="25.9" customHeight="1" x14ac:dyDescent="0.45">
      <c r="D35" s="530" t="s">
        <v>597</v>
      </c>
      <c r="E35" s="530"/>
      <c r="F35" s="546">
        <f>'Auto-Calibration record'!I65</f>
        <v>23642</v>
      </c>
      <c r="G35" s="546"/>
      <c r="H35" s="541">
        <f>'Auto-Calibration record'!B76</f>
        <v>210.36500000000001</v>
      </c>
      <c r="I35" s="571"/>
      <c r="J35" s="158">
        <f>'Auto-Calibration record'!I76</f>
        <v>211.66666666666666</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72</v>
      </c>
      <c r="F40" s="541"/>
      <c r="G40" s="555" t="e">
        <f>F28/D40</f>
        <v>#DIV/0!</v>
      </c>
      <c r="H40" s="555"/>
      <c r="I40" s="116"/>
      <c r="J40" s="129">
        <f>'Auto-Calibration record'!B11</f>
        <v>0</v>
      </c>
      <c r="K40" s="159">
        <f>F29-J40</f>
        <v>174</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40" t="s">
        <v>680</v>
      </c>
      <c r="C13" s="540"/>
      <c r="D13" s="540"/>
      <c r="E13" s="540"/>
      <c r="F13" s="540"/>
      <c r="G13" s="540"/>
      <c r="H13" s="540"/>
      <c r="I13" s="540"/>
      <c r="J13" s="540"/>
      <c r="K13" s="540"/>
      <c r="L13" s="540"/>
      <c r="M13" s="540"/>
      <c r="N13" s="540"/>
      <c r="O13" s="540"/>
      <c r="P13" s="91"/>
    </row>
    <row r="14" spans="1:16" ht="66"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46176.6</v>
      </c>
    </row>
    <row r="19" spans="2:15" ht="25.9" customHeight="1" x14ac:dyDescent="0.45">
      <c r="B19" s="131" t="s">
        <v>575</v>
      </c>
      <c r="C19" s="132"/>
      <c r="D19" s="552" t="str">
        <f>'Auto-Calibration record'!H17</f>
        <v>63010065 030626</v>
      </c>
      <c r="E19" s="553"/>
      <c r="F19" s="55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1283640</v>
      </c>
      <c r="I28" s="571"/>
      <c r="J28" s="158">
        <f>'MP Calibration Certificate'!J28</f>
        <v>1322672</v>
      </c>
      <c r="K28" s="159">
        <f t="shared" ref="K28:K33" si="0">J28-H28</f>
        <v>39032</v>
      </c>
      <c r="L28" s="111">
        <f t="shared" ref="L28:L33" si="1">K28/H28</f>
        <v>3.0407279299492069E-2</v>
      </c>
    </row>
    <row r="29" spans="2:15" s="108" customFormat="1" ht="25.9" customHeight="1" x14ac:dyDescent="0.35">
      <c r="D29" s="530" t="s">
        <v>591</v>
      </c>
      <c r="E29" s="530"/>
      <c r="F29" s="545">
        <f>'Auto-Calibration record'!C65</f>
        <v>174</v>
      </c>
      <c r="G29" s="545"/>
      <c r="H29" s="541">
        <f>'Auto-Calibration record'!B69</f>
        <v>527858</v>
      </c>
      <c r="I29" s="571"/>
      <c r="J29" s="158">
        <f>'MP Calibration Certificate'!J29</f>
        <v>538714.33333333337</v>
      </c>
      <c r="K29" s="159">
        <f t="shared" si="0"/>
        <v>10856.333333333372</v>
      </c>
      <c r="L29" s="111">
        <f t="shared" si="1"/>
        <v>2.0566768588016801E-2</v>
      </c>
    </row>
    <row r="30" spans="2:15" s="108" customFormat="1" ht="25.9" customHeight="1" x14ac:dyDescent="0.35">
      <c r="D30" s="530" t="s">
        <v>592</v>
      </c>
      <c r="E30" s="530"/>
      <c r="F30" s="545">
        <f>'Auto-Calibration record'!D65</f>
        <v>980</v>
      </c>
      <c r="G30" s="545"/>
      <c r="H30" s="541">
        <f>'Auto-Calibration record'!B71</f>
        <v>46023.199999999997</v>
      </c>
      <c r="I30" s="571"/>
      <c r="J30" s="158">
        <f>'MP Calibration Certificate'!J30</f>
        <v>46503</v>
      </c>
      <c r="K30" s="159">
        <f t="shared" si="0"/>
        <v>479.80000000000291</v>
      </c>
      <c r="L30" s="111">
        <f t="shared" si="1"/>
        <v>1.0425176867319155E-2</v>
      </c>
    </row>
    <row r="31" spans="2:15" s="108" customFormat="1" ht="25.9" customHeight="1" x14ac:dyDescent="0.35">
      <c r="D31" s="530" t="s">
        <v>593</v>
      </c>
      <c r="E31" s="530"/>
      <c r="F31" s="545">
        <f>'Auto-Calibration record'!E65</f>
        <v>1996</v>
      </c>
      <c r="G31" s="545"/>
      <c r="H31" s="541">
        <f>'Auto-Calibration record'!B72</f>
        <v>19288.2</v>
      </c>
      <c r="I31" s="571"/>
      <c r="J31" s="158">
        <f>'MP Calibration Certificate'!J31</f>
        <v>19702.333333333332</v>
      </c>
      <c r="K31" s="159">
        <f t="shared" si="0"/>
        <v>414.13333333333139</v>
      </c>
      <c r="L31" s="111">
        <f t="shared" si="1"/>
        <v>2.1470812897695552E-2</v>
      </c>
    </row>
    <row r="32" spans="2:15" s="108" customFormat="1" ht="25.9" customHeight="1" x14ac:dyDescent="0.35">
      <c r="D32" s="530" t="s">
        <v>594</v>
      </c>
      <c r="E32" s="530"/>
      <c r="F32" s="545">
        <f>'Auto-Calibration record'!F65</f>
        <v>2808</v>
      </c>
      <c r="G32" s="545"/>
      <c r="H32" s="541">
        <f>'Auto-Calibration record'!B73</f>
        <v>13930.9</v>
      </c>
      <c r="I32" s="571"/>
      <c r="J32" s="158">
        <f>'MP Calibration Certificate'!J32</f>
        <v>14195.666666666666</v>
      </c>
      <c r="K32" s="159">
        <f t="shared" si="0"/>
        <v>264.76666666666642</v>
      </c>
      <c r="L32" s="111">
        <f t="shared" si="1"/>
        <v>1.9005711523782845E-2</v>
      </c>
    </row>
    <row r="33" spans="2:12" s="108" customFormat="1" ht="25.9" customHeight="1" x14ac:dyDescent="0.35">
      <c r="D33" s="530" t="s">
        <v>595</v>
      </c>
      <c r="E33" s="530"/>
      <c r="F33" s="545">
        <f>'Auto-Calibration record'!G65</f>
        <v>9752</v>
      </c>
      <c r="G33" s="545"/>
      <c r="H33" s="541">
        <f>'Auto-Calibration record'!B74</f>
        <v>5703.23</v>
      </c>
      <c r="I33" s="571"/>
      <c r="J33" s="158">
        <f>'MP Calibration Certificate'!J33</f>
        <v>5554</v>
      </c>
      <c r="K33" s="159">
        <f t="shared" si="0"/>
        <v>-149.22999999999956</v>
      </c>
      <c r="L33" s="111">
        <f t="shared" si="1"/>
        <v>-2.6165874425544747E-2</v>
      </c>
    </row>
    <row r="34" spans="2:12" s="108" customFormat="1" ht="25.9" customHeight="1" x14ac:dyDescent="0.35">
      <c r="D34" s="530" t="s">
        <v>596</v>
      </c>
      <c r="E34" s="530"/>
      <c r="F34" s="545">
        <f>'Auto-Calibration record'!H65</f>
        <v>14732</v>
      </c>
      <c r="G34" s="545"/>
      <c r="H34" s="541">
        <f>'Auto-Calibration record'!B75</f>
        <v>1229.47</v>
      </c>
      <c r="I34" s="571"/>
      <c r="J34" s="158">
        <f>'MP Calibration Certificate'!J34</f>
        <v>1113</v>
      </c>
      <c r="K34" s="159" t="s">
        <v>23</v>
      </c>
      <c r="L34" s="112" t="s">
        <v>23</v>
      </c>
    </row>
    <row r="35" spans="2:12" s="102" customFormat="1" ht="25.9" customHeight="1" x14ac:dyDescent="0.45">
      <c r="D35" s="530" t="s">
        <v>597</v>
      </c>
      <c r="E35" s="530"/>
      <c r="F35" s="546">
        <f>'Auto-Calibration record'!I65</f>
        <v>23642</v>
      </c>
      <c r="G35" s="546"/>
      <c r="H35" s="541">
        <f>'Auto-Calibration record'!B76</f>
        <v>210.36500000000001</v>
      </c>
      <c r="I35" s="571"/>
      <c r="J35" s="158">
        <f>'MP Calibration Certificate'!J35</f>
        <v>211.66666666666666</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72</v>
      </c>
      <c r="F40" s="541"/>
      <c r="G40" s="555" t="e">
        <f>F28/D40</f>
        <v>#DIV/0!</v>
      </c>
      <c r="H40" s="555"/>
      <c r="I40" s="116"/>
      <c r="J40" s="129">
        <f>'Auto-Calibration record'!B11</f>
        <v>0</v>
      </c>
      <c r="K40" s="159">
        <f>F29-J40</f>
        <v>174</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46176.6</v>
      </c>
    </row>
    <row r="19" spans="2:15" ht="25.9" customHeight="1" x14ac:dyDescent="0.45">
      <c r="B19" s="131" t="s">
        <v>575</v>
      </c>
      <c r="C19" s="132"/>
      <c r="D19" s="552" t="str">
        <f>'Auto-Calibration record'!H17</f>
        <v>63010065 030626</v>
      </c>
      <c r="E19" s="553"/>
      <c r="F19" s="55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1283640</v>
      </c>
      <c r="I28" s="571"/>
      <c r="J28" s="158">
        <f>'Auto-Calibration record'!I68</f>
        <v>1322672</v>
      </c>
      <c r="K28" s="159">
        <f t="shared" ref="K28:K33" si="0">J28-H28</f>
        <v>39032</v>
      </c>
      <c r="L28" s="111">
        <f t="shared" ref="L28:L33" si="1">K28/H28</f>
        <v>3.0407279299492069E-2</v>
      </c>
    </row>
    <row r="29" spans="2:15" s="108" customFormat="1" ht="25.9" customHeight="1" x14ac:dyDescent="0.35">
      <c r="D29" s="530" t="s">
        <v>591</v>
      </c>
      <c r="E29" s="530"/>
      <c r="F29" s="545">
        <f>'Auto-Calibration record'!C65</f>
        <v>174</v>
      </c>
      <c r="G29" s="545"/>
      <c r="H29" s="541">
        <f>'Auto-Calibration record'!B69</f>
        <v>527858</v>
      </c>
      <c r="I29" s="571"/>
      <c r="J29" s="158">
        <f>'Auto-Calibration record'!I69</f>
        <v>538714.33333333337</v>
      </c>
      <c r="K29" s="159">
        <f t="shared" si="0"/>
        <v>10856.333333333372</v>
      </c>
      <c r="L29" s="111">
        <f t="shared" si="1"/>
        <v>2.0566768588016801E-2</v>
      </c>
    </row>
    <row r="30" spans="2:15" s="108" customFormat="1" ht="25.9" customHeight="1" x14ac:dyDescent="0.35">
      <c r="D30" s="530" t="s">
        <v>592</v>
      </c>
      <c r="E30" s="530"/>
      <c r="F30" s="545">
        <f>'Auto-Calibration record'!D65</f>
        <v>980</v>
      </c>
      <c r="G30" s="545"/>
      <c r="H30" s="541">
        <f>'Auto-Calibration record'!B71</f>
        <v>46023.199999999997</v>
      </c>
      <c r="I30" s="571"/>
      <c r="J30" s="158">
        <f>'Auto-Calibration record'!I71</f>
        <v>46503</v>
      </c>
      <c r="K30" s="159">
        <f t="shared" si="0"/>
        <v>479.80000000000291</v>
      </c>
      <c r="L30" s="111">
        <f t="shared" si="1"/>
        <v>1.0425176867319155E-2</v>
      </c>
    </row>
    <row r="31" spans="2:15" s="108" customFormat="1" ht="25.9" customHeight="1" x14ac:dyDescent="0.35">
      <c r="D31" s="530" t="s">
        <v>593</v>
      </c>
      <c r="E31" s="530"/>
      <c r="F31" s="545">
        <f>'Auto-Calibration record'!E65</f>
        <v>1996</v>
      </c>
      <c r="G31" s="545"/>
      <c r="H31" s="541">
        <f>'Auto-Calibration record'!B72</f>
        <v>19288.2</v>
      </c>
      <c r="I31" s="571"/>
      <c r="J31" s="158">
        <f>'Auto-Calibration record'!I72</f>
        <v>19702.333333333332</v>
      </c>
      <c r="K31" s="159">
        <f t="shared" si="0"/>
        <v>414.13333333333139</v>
      </c>
      <c r="L31" s="111">
        <f t="shared" si="1"/>
        <v>2.1470812897695552E-2</v>
      </c>
    </row>
    <row r="32" spans="2:15" s="108" customFormat="1" ht="25.9" customHeight="1" x14ac:dyDescent="0.35">
      <c r="D32" s="530" t="s">
        <v>594</v>
      </c>
      <c r="E32" s="530"/>
      <c r="F32" s="545">
        <f>'Auto-Calibration record'!F65</f>
        <v>2808</v>
      </c>
      <c r="G32" s="545"/>
      <c r="H32" s="541">
        <f>'Auto-Calibration record'!B73</f>
        <v>13930.9</v>
      </c>
      <c r="I32" s="571"/>
      <c r="J32" s="158">
        <f>'Auto-Calibration record'!I73</f>
        <v>14195.666666666666</v>
      </c>
      <c r="K32" s="159">
        <f t="shared" si="0"/>
        <v>264.76666666666642</v>
      </c>
      <c r="L32" s="111">
        <f t="shared" si="1"/>
        <v>1.9005711523782845E-2</v>
      </c>
    </row>
    <row r="33" spans="2:12" s="108" customFormat="1" ht="25.9" customHeight="1" x14ac:dyDescent="0.35">
      <c r="D33" s="530" t="s">
        <v>595</v>
      </c>
      <c r="E33" s="530"/>
      <c r="F33" s="545">
        <f>'Auto-Calibration record'!G65</f>
        <v>9752</v>
      </c>
      <c r="G33" s="545"/>
      <c r="H33" s="541">
        <f>'Auto-Calibration record'!B74</f>
        <v>5703.23</v>
      </c>
      <c r="I33" s="571"/>
      <c r="J33" s="158">
        <f>'Auto-Calibration record'!I74</f>
        <v>5554</v>
      </c>
      <c r="K33" s="159">
        <f t="shared" si="0"/>
        <v>-149.22999999999956</v>
      </c>
      <c r="L33" s="111">
        <f t="shared" si="1"/>
        <v>-2.6165874425544747E-2</v>
      </c>
    </row>
    <row r="34" spans="2:12" s="108" customFormat="1" ht="25.9" customHeight="1" x14ac:dyDescent="0.35">
      <c r="D34" s="530" t="s">
        <v>596</v>
      </c>
      <c r="E34" s="530"/>
      <c r="F34" s="545">
        <f>'Auto-Calibration record'!H65</f>
        <v>14732</v>
      </c>
      <c r="G34" s="545"/>
      <c r="H34" s="541">
        <f>'Auto-Calibration record'!B75</f>
        <v>1229.47</v>
      </c>
      <c r="I34" s="571"/>
      <c r="J34" s="158">
        <f>'Auto-Calibration record'!I75</f>
        <v>1113</v>
      </c>
      <c r="K34" s="159" t="s">
        <v>23</v>
      </c>
      <c r="L34" s="112" t="s">
        <v>23</v>
      </c>
    </row>
    <row r="35" spans="2:12" s="102" customFormat="1" ht="25.9" customHeight="1" x14ac:dyDescent="0.45">
      <c r="D35" s="530" t="s">
        <v>597</v>
      </c>
      <c r="E35" s="530"/>
      <c r="F35" s="546">
        <f>'Auto-Calibration record'!I65</f>
        <v>23642</v>
      </c>
      <c r="G35" s="546"/>
      <c r="H35" s="541">
        <f>'Auto-Calibration record'!B76</f>
        <v>210.36500000000001</v>
      </c>
      <c r="I35" s="571"/>
      <c r="J35" s="158">
        <f>'Auto-Calibration record'!I76</f>
        <v>211.66666666666666</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71">
        <f>F28-D40</f>
        <v>72</v>
      </c>
      <c r="F40" s="571"/>
      <c r="G40" s="584" t="e">
        <f>F28/D40</f>
        <v>#DIV/0!</v>
      </c>
      <c r="H40" s="584"/>
      <c r="I40" s="116"/>
      <c r="J40" s="129">
        <f>'Auto-Calibration record'!B11</f>
        <v>0</v>
      </c>
      <c r="K40" s="110">
        <f>F29-J40</f>
        <v>174</v>
      </c>
      <c r="L40" s="117"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63010065</v>
      </c>
      <c r="E18" s="553"/>
      <c r="F18" s="554"/>
      <c r="K18" s="98" t="s">
        <v>574</v>
      </c>
      <c r="L18" s="99"/>
      <c r="M18" s="99"/>
      <c r="N18" s="100"/>
      <c r="O18" s="55">
        <f>'Auto-Calibration record'!H16</f>
        <v>46176.6</v>
      </c>
    </row>
    <row r="19" spans="2:15" ht="25.9" customHeight="1" x14ac:dyDescent="0.45">
      <c r="B19" s="131" t="s">
        <v>575</v>
      </c>
      <c r="C19" s="132"/>
      <c r="D19" s="552" t="str">
        <f>'Auto-Calibration record'!H17</f>
        <v>63010065 030626</v>
      </c>
      <c r="E19" s="553"/>
      <c r="F19" s="554"/>
      <c r="K19" s="95" t="s">
        <v>576</v>
      </c>
      <c r="L19" s="96"/>
      <c r="M19" s="96"/>
      <c r="N19" s="97"/>
      <c r="O19" s="428">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1283640</v>
      </c>
      <c r="I28" s="541"/>
      <c r="J28" s="159">
        <f>'Auto-Calibration record'!I68</f>
        <v>1322672</v>
      </c>
      <c r="K28" s="159">
        <f t="shared" ref="K28:K35" si="0">J28-H28</f>
        <v>39032</v>
      </c>
      <c r="L28" s="379">
        <f t="shared" ref="L28:L35" si="1">K28/H28</f>
        <v>3.0407279299492069E-2</v>
      </c>
    </row>
    <row r="29" spans="2:15" s="108" customFormat="1" ht="25.9" customHeight="1" x14ac:dyDescent="0.35">
      <c r="D29" s="530" t="s">
        <v>591</v>
      </c>
      <c r="E29" s="530"/>
      <c r="F29" s="545">
        <f>'Auto-Calibration record'!C65</f>
        <v>174</v>
      </c>
      <c r="G29" s="545"/>
      <c r="H29" s="541">
        <f>'Auto-Calibration record'!B69</f>
        <v>527858</v>
      </c>
      <c r="I29" s="541"/>
      <c r="J29" s="159">
        <f>'Auto-Calibration record'!I69</f>
        <v>538714.33333333337</v>
      </c>
      <c r="K29" s="159">
        <f t="shared" si="0"/>
        <v>10856.333333333372</v>
      </c>
      <c r="L29" s="379">
        <f t="shared" si="1"/>
        <v>2.0566768588016801E-2</v>
      </c>
    </row>
    <row r="30" spans="2:15" s="108" customFormat="1" ht="25.9" customHeight="1" x14ac:dyDescent="0.35">
      <c r="D30" s="530" t="s">
        <v>592</v>
      </c>
      <c r="E30" s="530"/>
      <c r="F30" s="545">
        <f>'Auto-Calibration record'!D65</f>
        <v>980</v>
      </c>
      <c r="G30" s="545"/>
      <c r="H30" s="541">
        <f>'Auto-Calibration record'!B71</f>
        <v>46023.199999999997</v>
      </c>
      <c r="I30" s="541"/>
      <c r="J30" s="159">
        <f>'Auto-Calibration record'!I71</f>
        <v>46503</v>
      </c>
      <c r="K30" s="159">
        <f t="shared" si="0"/>
        <v>479.80000000000291</v>
      </c>
      <c r="L30" s="379">
        <f t="shared" si="1"/>
        <v>1.0425176867319155E-2</v>
      </c>
    </row>
    <row r="31" spans="2:15" s="108" customFormat="1" ht="25.9" customHeight="1" x14ac:dyDescent="0.35">
      <c r="D31" s="530" t="s">
        <v>593</v>
      </c>
      <c r="E31" s="530"/>
      <c r="F31" s="545">
        <f>'Auto-Calibration record'!E65</f>
        <v>1996</v>
      </c>
      <c r="G31" s="545"/>
      <c r="H31" s="541">
        <f>'Auto-Calibration record'!B72</f>
        <v>19288.2</v>
      </c>
      <c r="I31" s="541"/>
      <c r="J31" s="159">
        <f>'Auto-Calibration record'!I72</f>
        <v>19702.333333333332</v>
      </c>
      <c r="K31" s="159">
        <f t="shared" si="0"/>
        <v>414.13333333333139</v>
      </c>
      <c r="L31" s="379">
        <f t="shared" si="1"/>
        <v>2.1470812897695552E-2</v>
      </c>
    </row>
    <row r="32" spans="2:15" s="108" customFormat="1" ht="25.9" customHeight="1" x14ac:dyDescent="0.35">
      <c r="D32" s="530" t="s">
        <v>594</v>
      </c>
      <c r="E32" s="530"/>
      <c r="F32" s="545">
        <f>'Auto-Calibration record'!F65</f>
        <v>2808</v>
      </c>
      <c r="G32" s="545"/>
      <c r="H32" s="541">
        <f>'Auto-Calibration record'!B73</f>
        <v>13930.9</v>
      </c>
      <c r="I32" s="541"/>
      <c r="J32" s="159">
        <f>'Auto-Calibration record'!I73</f>
        <v>14195.666666666666</v>
      </c>
      <c r="K32" s="159">
        <f t="shared" si="0"/>
        <v>264.76666666666642</v>
      </c>
      <c r="L32" s="379">
        <f t="shared" si="1"/>
        <v>1.9005711523782845E-2</v>
      </c>
    </row>
    <row r="33" spans="2:12" s="108" customFormat="1" ht="25.9" customHeight="1" x14ac:dyDescent="0.35">
      <c r="D33" s="530" t="s">
        <v>595</v>
      </c>
      <c r="E33" s="530"/>
      <c r="F33" s="545">
        <f>'Auto-Calibration record'!G65</f>
        <v>9752</v>
      </c>
      <c r="G33" s="545"/>
      <c r="H33" s="541">
        <f>'Auto-Calibration record'!B74</f>
        <v>5703.23</v>
      </c>
      <c r="I33" s="541"/>
      <c r="J33" s="159">
        <f>'Auto-Calibration record'!I74</f>
        <v>5554</v>
      </c>
      <c r="K33" s="159">
        <f t="shared" si="0"/>
        <v>-149.22999999999956</v>
      </c>
      <c r="L33" s="379">
        <f t="shared" si="1"/>
        <v>-2.6165874425544747E-2</v>
      </c>
    </row>
    <row r="34" spans="2:12" s="108" customFormat="1" ht="25.9" customHeight="1" x14ac:dyDescent="0.35">
      <c r="D34" s="530" t="s">
        <v>1005</v>
      </c>
      <c r="E34" s="530"/>
      <c r="F34" s="545">
        <f>'Auto-Calibration record'!H65</f>
        <v>14732</v>
      </c>
      <c r="G34" s="545"/>
      <c r="H34" s="541">
        <f>'Auto-Calibration record'!B75</f>
        <v>1229.47</v>
      </c>
      <c r="I34" s="541"/>
      <c r="J34" s="159">
        <f>'Auto-Calibration record'!I75</f>
        <v>1113</v>
      </c>
      <c r="K34" s="159">
        <f t="shared" si="0"/>
        <v>-116.47000000000003</v>
      </c>
      <c r="L34" s="379">
        <f t="shared" si="1"/>
        <v>-9.4731876336958218E-2</v>
      </c>
    </row>
    <row r="35" spans="2:12" s="102" customFormat="1" ht="25.9" customHeight="1" x14ac:dyDescent="0.45">
      <c r="D35" s="530" t="s">
        <v>1006</v>
      </c>
      <c r="E35" s="530"/>
      <c r="F35" s="546">
        <f>'Auto-Calibration record'!I65</f>
        <v>23642</v>
      </c>
      <c r="G35" s="546"/>
      <c r="H35" s="541">
        <f>'Auto-Calibration record'!B76</f>
        <v>210.36500000000001</v>
      </c>
      <c r="I35" s="541"/>
      <c r="J35" s="380">
        <f>'Auto-Calibration record'!I76</f>
        <v>211.66666666666666</v>
      </c>
      <c r="K35" s="159">
        <f t="shared" si="0"/>
        <v>1.3016666666666481</v>
      </c>
      <c r="L35" s="379">
        <f t="shared" si="1"/>
        <v>6.1876579595781045E-3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0</v>
      </c>
      <c r="E40" s="541">
        <f>F28-D40</f>
        <v>72</v>
      </c>
      <c r="F40" s="541"/>
      <c r="G40" s="555" t="e">
        <f>F28/D40</f>
        <v>#DIV/0!</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2026-06-03T13:12:12Z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