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drawings/drawing1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navair\cal_certs\"/>
    </mc:Choice>
  </mc:AlternateContent>
  <xr:revisionPtr revIDLastSave="0" documentId="13_ncr:1_{553FFBBA-B808-4F15-95C9-29B6F00D557B}" xr6:coauthVersionLast="47" xr6:coauthVersionMax="47" xr10:uidLastSave="{00000000-0000-0000-0000-000000000000}"/>
  <bookViews>
    <workbookView xWindow="-120" yWindow="-120" windowWidth="29040" windowHeight="15840" firstSheet="20" activeTab="20"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 name="D2" sheetId="112" r:id="rId21"/>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5" i="112" l="1"/>
  <c r="I35" i="112"/>
  <c r="J34" i="112"/>
  <c r="I34" i="112"/>
  <c r="J33" i="112"/>
  <c r="I33" i="112"/>
  <c r="J32" i="112"/>
  <c r="I32" i="112"/>
  <c r="J31" i="112"/>
  <c r="I31" i="112"/>
  <c r="J30" i="112"/>
  <c r="I30" i="112"/>
  <c r="J29" i="112"/>
  <c r="I29" i="112"/>
  <c r="J28" i="112"/>
  <c r="I28" i="112"/>
  <c r="J27" i="112"/>
  <c r="I27" i="112"/>
  <c r="D31" i="112"/>
  <c r="H31" i="112" s="1"/>
  <c r="D32" i="112"/>
  <c r="H32" i="112" s="1"/>
  <c r="D30" i="112"/>
  <c r="H30" i="112" s="1"/>
  <c r="D28" i="112"/>
  <c r="H28" i="112" s="1"/>
  <c r="D27" i="112"/>
  <c r="H27" i="112" s="1"/>
  <c r="D29" i="112"/>
  <c r="H29" i="112" s="1"/>
  <c r="C35" i="112"/>
  <c r="G35" i="112" s="1"/>
  <c r="C34" i="112"/>
  <c r="G34" i="112" s="1"/>
  <c r="C33" i="112"/>
  <c r="G33" i="112" s="1"/>
  <c r="C32" i="112"/>
  <c r="G32" i="112" s="1"/>
  <c r="C31" i="112"/>
  <c r="G31" i="112" s="1"/>
  <c r="C30" i="112"/>
  <c r="G30" i="112" s="1"/>
  <c r="C29" i="112"/>
  <c r="G29" i="112" s="1"/>
  <c r="C28" i="112"/>
  <c r="G28" i="112" s="1"/>
  <c r="C27" i="112"/>
  <c r="G27" i="112" s="1"/>
  <c r="E18" i="112"/>
  <c r="E17" i="112"/>
  <c r="E16" i="112"/>
  <c r="E15" i="112"/>
  <c r="E14" i="112"/>
  <c r="E13" i="112"/>
  <c r="E12" i="112"/>
  <c r="H35" i="112"/>
  <c r="E35" i="112"/>
  <c r="H34" i="112"/>
  <c r="E34" i="112"/>
  <c r="H33" i="112"/>
  <c r="E33" i="112"/>
  <c r="E32" i="112"/>
  <c r="E31" i="112"/>
  <c r="E30" i="112"/>
  <c r="E29" i="112"/>
  <c r="E28" i="112"/>
  <c r="E27" i="112"/>
  <c r="C68" i="86"/>
  <c r="I68" i="86" s="1"/>
  <c r="F27" i="111"/>
  <c r="F26" i="111"/>
  <c r="F25" i="111"/>
  <c r="F24" i="111"/>
  <c r="F23" i="111"/>
  <c r="F22" i="111"/>
  <c r="F21" i="111"/>
  <c r="F20" i="111"/>
  <c r="F19" i="111"/>
  <c r="B21" i="111"/>
  <c r="B27" i="111" l="1"/>
  <c r="B26" i="111"/>
  <c r="B25" i="111"/>
  <c r="B24" i="111"/>
  <c r="B23" i="111"/>
  <c r="B22" i="111"/>
  <c r="B20" i="111"/>
  <c r="B19" i="111"/>
  <c r="A27" i="111"/>
  <c r="A26" i="111"/>
  <c r="A25" i="111"/>
  <c r="A24" i="111"/>
  <c r="A23" i="111"/>
  <c r="A22" i="111"/>
  <c r="A21" i="111"/>
  <c r="A20" i="111"/>
  <c r="A19" i="111"/>
  <c r="G27" i="111"/>
  <c r="G26" i="111"/>
  <c r="G25" i="111"/>
  <c r="G24" i="111"/>
  <c r="G23" i="111"/>
  <c r="G22" i="111"/>
  <c r="G21" i="111"/>
  <c r="G20" i="111"/>
  <c r="G19" i="111"/>
  <c r="H27" i="111"/>
  <c r="H26" i="111"/>
  <c r="H25" i="111"/>
  <c r="H24" i="111"/>
  <c r="H23" i="111"/>
  <c r="H22" i="111"/>
  <c r="H21" i="111"/>
  <c r="H20" i="111"/>
  <c r="H19" i="111"/>
  <c r="E21" i="111"/>
  <c r="E27" i="111"/>
  <c r="E26" i="111"/>
  <c r="E25" i="111"/>
  <c r="E24" i="111"/>
  <c r="E22" i="111"/>
  <c r="E23" i="111"/>
  <c r="E20" i="111"/>
  <c r="E19" i="111"/>
  <c r="H3" i="111" l="1"/>
  <c r="C9" i="111"/>
  <c r="C8" i="111"/>
  <c r="C7" i="111"/>
  <c r="C6" i="111"/>
  <c r="C4" i="111"/>
  <c r="C5" i="111"/>
  <c r="C3" i="111"/>
  <c r="D152" i="108"/>
  <c r="D151" i="108"/>
  <c r="B137" i="108"/>
  <c r="B136" i="108"/>
  <c r="B135" i="108"/>
  <c r="B132" i="108"/>
  <c r="B131" i="108"/>
  <c r="B130" i="108"/>
  <c r="B127" i="108"/>
  <c r="B126" i="108"/>
  <c r="B122" i="108"/>
  <c r="B121" i="108"/>
  <c r="B120" i="108"/>
  <c r="B107" i="108"/>
  <c r="B103" i="108"/>
  <c r="B99" i="108"/>
  <c r="D76" i="108"/>
  <c r="O17" i="108"/>
  <c r="D17" i="108"/>
  <c r="C70" i="86"/>
  <c r="I70" i="86" s="1"/>
  <c r="B70" i="86"/>
  <c r="B76" i="86"/>
  <c r="H35" i="108" s="1"/>
  <c r="B75" i="86"/>
  <c r="H34" i="108" s="1"/>
  <c r="B74" i="86"/>
  <c r="H33" i="108" s="1"/>
  <c r="B73" i="86"/>
  <c r="H32" i="108" s="1"/>
  <c r="B72" i="86"/>
  <c r="H31" i="108" s="1"/>
  <c r="B71" i="86"/>
  <c r="H30" i="108" s="1"/>
  <c r="B69" i="86"/>
  <c r="H29" i="108" s="1"/>
  <c r="B68" i="86"/>
  <c r="H28" i="108" s="1"/>
  <c r="D17" i="103"/>
  <c r="D13" i="103"/>
  <c r="I65" i="86"/>
  <c r="F35" i="108" s="1"/>
  <c r="H65" i="86"/>
  <c r="F34" i="108" s="1"/>
  <c r="G65" i="86"/>
  <c r="F33" i="108" s="1"/>
  <c r="F65" i="86"/>
  <c r="F32" i="108" s="1"/>
  <c r="E65" i="86"/>
  <c r="F31" i="108" s="1"/>
  <c r="D65" i="86"/>
  <c r="F30" i="108" s="1"/>
  <c r="C65" i="86"/>
  <c r="F29" i="108" s="1"/>
  <c r="B65" i="86"/>
  <c r="F28" i="108" s="1"/>
  <c r="H21" i="86"/>
  <c r="C76" i="86"/>
  <c r="I76" i="86" s="1"/>
  <c r="C75" i="86"/>
  <c r="I75" i="86" s="1"/>
  <c r="C74" i="86"/>
  <c r="I74" i="86" s="1"/>
  <c r="C73" i="86"/>
  <c r="I73" i="86" s="1"/>
  <c r="C72" i="86"/>
  <c r="I72" i="86" s="1"/>
  <c r="C71" i="86"/>
  <c r="I71" i="86" s="1"/>
  <c r="C69" i="86"/>
  <c r="I69" i="86" s="1"/>
  <c r="H15" i="86"/>
  <c r="D5" i="103" s="1"/>
  <c r="H19" i="86"/>
  <c r="O19" i="108" s="1"/>
  <c r="H16" i="86"/>
  <c r="O18" i="108" s="1"/>
  <c r="B11" i="86"/>
  <c r="D40" i="85" s="1"/>
  <c r="B5" i="86"/>
  <c r="B12" i="86"/>
  <c r="D70" i="86" l="1"/>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Q154" i="103"/>
  <c r="Q148" i="103"/>
  <c r="Q130" i="103"/>
  <c r="Q116" i="103"/>
  <c r="Q100" i="103"/>
  <c r="B120" i="85"/>
  <c r="B138" i="85" l="1"/>
  <c r="B138" i="108"/>
  <c r="B142" i="85"/>
  <c r="B142" i="108"/>
  <c r="B143" i="85"/>
  <c r="B143" i="108"/>
  <c r="B144" i="85"/>
  <c r="B144" i="108"/>
  <c r="B146" i="85"/>
  <c r="B146" i="108"/>
  <c r="J70" i="86"/>
  <c r="C21" i="111"/>
  <c r="E40" i="108"/>
  <c r="B31" i="103"/>
  <c r="B32" i="103" s="1"/>
  <c r="B33" i="103" s="1"/>
  <c r="B34" i="103" s="1"/>
  <c r="B35" i="103" s="1"/>
  <c r="B36" i="103" s="1"/>
  <c r="B37" i="103" s="1"/>
  <c r="B38" i="103" s="1"/>
  <c r="Q7" i="103"/>
  <c r="Q157" i="103"/>
  <c r="Q108" i="103"/>
  <c r="B137" i="85"/>
  <c r="B135" i="85"/>
  <c r="Q97" i="103"/>
  <c r="Q95" i="103"/>
  <c r="C94" i="103"/>
  <c r="C93" i="103"/>
  <c r="B127" i="85"/>
  <c r="B136" i="85"/>
  <c r="B126" i="85"/>
  <c r="B133" i="85" l="1"/>
  <c r="B133" i="108"/>
  <c r="B134" i="85"/>
  <c r="B134" i="108"/>
  <c r="B141" i="85"/>
  <c r="B141" i="108"/>
  <c r="B145" i="85"/>
  <c r="B145" i="108"/>
  <c r="B112" i="85"/>
  <c r="B112" i="108"/>
  <c r="B122" i="85"/>
  <c r="Q77" i="103"/>
  <c r="B121" i="85"/>
  <c r="Q42" i="103"/>
  <c r="Q39" i="103"/>
  <c r="Q33" i="103"/>
  <c r="Q35" i="103"/>
  <c r="Q34" i="103"/>
  <c r="D135" i="103"/>
  <c r="D117" i="103"/>
  <c r="D118" i="103"/>
  <c r="D152" i="103"/>
  <c r="D144" i="103"/>
  <c r="D143" i="103"/>
  <c r="D145" i="103"/>
  <c r="D142" i="103"/>
  <c r="B115" i="85" l="1"/>
  <c r="B115" i="108"/>
  <c r="B116" i="85"/>
  <c r="B116" i="108"/>
  <c r="B114" i="85"/>
  <c r="B114" i="108"/>
  <c r="B117" i="85"/>
  <c r="B117" i="108"/>
  <c r="B118" i="85"/>
  <c r="B118" i="108"/>
  <c r="B123" i="85"/>
  <c r="B123" i="108"/>
  <c r="D140" i="103"/>
  <c r="D153" i="103"/>
  <c r="D138" i="103"/>
  <c r="D137" i="103"/>
  <c r="D154" i="103"/>
  <c r="D151" i="103" l="1"/>
  <c r="D123" i="103" l="1"/>
  <c r="D124" i="103" l="1"/>
  <c r="D157" i="103"/>
  <c r="D121" i="103"/>
  <c r="D120" i="103"/>
  <c r="S99" i="103" l="1"/>
  <c r="B132" i="85"/>
  <c r="B131" i="85"/>
  <c r="Q81" i="103"/>
  <c r="Q80" i="103"/>
  <c r="B124" i="85" l="1"/>
  <c r="B124" i="108"/>
  <c r="B125" i="85"/>
  <c r="B125" i="108"/>
  <c r="A99" i="103"/>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l="1"/>
  <c r="B119" i="108"/>
  <c r="D180" i="103"/>
  <c r="C194" i="103" s="1"/>
  <c r="B110" i="108"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C190" i="103"/>
  <c r="C182" i="103"/>
  <c r="B110" i="85"/>
  <c r="A30" i="102"/>
  <c r="H121" i="103"/>
  <c r="H120" i="103"/>
  <c r="H119" i="103"/>
  <c r="B98" i="85" l="1"/>
  <c r="B98" i="108"/>
  <c r="B106" i="85"/>
  <c r="B106" i="108"/>
  <c r="B102" i="85"/>
  <c r="B102" i="108"/>
  <c r="A32" i="102"/>
  <c r="A33" i="102" s="1"/>
  <c r="A34" i="102" s="1"/>
  <c r="A35" i="102" s="1"/>
  <c r="A37" i="102" s="1"/>
  <c r="C1" i="107"/>
  <c r="P30" i="102"/>
  <c r="O30" i="102"/>
  <c r="N30" i="102"/>
  <c r="M30" i="102"/>
  <c r="L30" i="102"/>
  <c r="K30" i="102"/>
  <c r="J30" i="102"/>
  <c r="I30" i="102"/>
  <c r="I71" i="102"/>
  <c r="I45" i="102"/>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E5" i="103"/>
  <c r="E5" i="106" s="1"/>
  <c r="D76" i="85"/>
  <c r="F40" i="90"/>
  <c r="G165" i="106"/>
  <c r="G164" i="106"/>
  <c r="F30" i="85"/>
  <c r="F35" i="90"/>
  <c r="G166" i="106"/>
  <c r="G161" i="106"/>
  <c r="C26" i="111"/>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B113" i="85" l="1"/>
  <c r="B113" i="108"/>
  <c r="J31" i="108"/>
  <c r="K31" i="108" s="1"/>
  <c r="L31" i="108" s="1"/>
  <c r="C23" i="111"/>
  <c r="J33" i="108"/>
  <c r="K33" i="108" s="1"/>
  <c r="L33" i="108" s="1"/>
  <c r="C25" i="111"/>
  <c r="J34" i="97"/>
  <c r="J34" i="108"/>
  <c r="K34" i="108" s="1"/>
  <c r="L34" i="108" s="1"/>
  <c r="G40" i="94"/>
  <c r="F34" i="91"/>
  <c r="C59" i="89"/>
  <c r="F29" i="85"/>
  <c r="F30" i="97"/>
  <c r="G162" i="106"/>
  <c r="L46" i="90"/>
  <c r="K46" i="90"/>
  <c r="G163" i="106"/>
  <c r="H118" i="103"/>
  <c r="F30" i="96"/>
  <c r="C19" i="111"/>
  <c r="F29" i="94"/>
  <c r="L40" i="94" s="1"/>
  <c r="H117" i="103"/>
  <c r="C58" i="89"/>
  <c r="F36" i="90"/>
  <c r="F29" i="97"/>
  <c r="L40" i="97" s="1"/>
  <c r="H31" i="96"/>
  <c r="C20" i="111"/>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C24" i="111"/>
  <c r="D18" i="90"/>
  <c r="D18" i="93"/>
  <c r="C27" i="111"/>
  <c r="C22" i="111"/>
  <c r="F31" i="91"/>
  <c r="F35" i="85"/>
  <c r="F41" i="90"/>
  <c r="F31" i="94"/>
  <c r="F31" i="96"/>
  <c r="F28" i="85"/>
  <c r="G40" i="85" s="1"/>
  <c r="F29" i="96"/>
  <c r="J34" i="93"/>
  <c r="D18" i="97"/>
  <c r="D18" i="91"/>
  <c r="D64" i="89"/>
  <c r="H41" i="90"/>
  <c r="D76" i="86"/>
  <c r="H35" i="93"/>
  <c r="H35" i="94"/>
  <c r="H35" i="91"/>
  <c r="H35" i="96"/>
  <c r="H35" i="97"/>
  <c r="H35" i="85"/>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D59" i="89"/>
  <c r="H38" i="90"/>
  <c r="H32" i="97"/>
  <c r="H31" i="94"/>
  <c r="K31" i="94" s="1"/>
  <c r="L31" i="94" s="1"/>
  <c r="D72" i="86"/>
  <c r="D73" i="86"/>
  <c r="H30" i="94"/>
  <c r="D61" i="89"/>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J29" i="93"/>
  <c r="K29" i="93" s="1"/>
  <c r="L29" i="93" s="1"/>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K40" i="94"/>
  <c r="H31" i="93"/>
  <c r="K31" i="93" s="1"/>
  <c r="L31" i="93" s="1"/>
  <c r="J75" i="86"/>
  <c r="H31" i="91"/>
  <c r="K31" i="91" s="1"/>
  <c r="L31" i="91" s="1"/>
  <c r="H36" i="90"/>
  <c r="H30" i="85"/>
  <c r="K33" i="93"/>
  <c r="L33" i="93" s="1"/>
  <c r="J73" i="86"/>
  <c r="J32" i="94"/>
  <c r="H33" i="97"/>
  <c r="K33" i="97" s="1"/>
  <c r="L33" i="97" s="1"/>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text>
    </comment>
    <comment ref="C11" authorId="3" shapeId="0" xr:uid="{1A14CD2B-A904-4FEC-A324-52C1F1ADC759}">
      <text>
        <t>[Threaded comment]
Your version of Excel allows you to read this threaded comment; however, any edits to it will get removed if the file is opened in a newer version of Excel. Learn more: https://go.microsoft.com/fwlink/?linkid=870924
Comment:
    Service "sheet"number?</t>
      </text>
    </comment>
    <comment ref="D14" authorId="4" shapeId="0" xr:uid="{FA1466CB-070C-4260-9B97-BD3ADF909999}">
      <text>
        <t>[Threaded comment]
Your version of Excel allows you to read this threaded comment; however, any edits to it will get removed if the file is opened in a newer version of Excel. Learn more: https://go.microsoft.com/fwlink/?linkid=870924
Comment:
    MP NCR #</t>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t>[Threaded comment]
Your version of Excel allows you to read this threaded comment; however, any edits to it will get removed if the file is opened in a newer version of Excel. Learn more: https://go.microsoft.com/fwlink/?linkid=870924
Comment:
    No calibrated label
Reply:
    Needs checkbox</t>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t>[Threaded comment]
Your version of Excel allows you to read this threaded comment; however, any edits to it will get removed if the file is opened in a newer version of Excel. Learn more: https://go.microsoft.com/fwlink/?linkid=870924
Comment:
    Add photos of settings page</t>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t>[Threaded comment]
Your version of Excel allows you to read this threaded comment; however, any edits to it will get removed if the file is opened in a newer version of Excel. Learn more: https://go.microsoft.com/fwlink/?linkid=870924
Comment:
    DROP DOWNS?</t>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t>[Threaded comment]
Your version of Excel allows you to read this threaded comment; however, any edits to it will get removed if the file is opened in a newer version of Excel. Learn more: https://go.microsoft.com/fwlink/?linkid=870924
Comment:
    customers NCR #</t>
      </text>
    </comment>
    <comment ref="E10" authorId="1" shapeId="0" xr:uid="{8F373F8B-2779-45E9-9B9B-D01FDB54C751}">
      <text>
        <t>[Threaded comment]
Your version of Excel allows you to read this threaded comment; however, any edits to it will get removed if the file is opened in a newer version of Excel. Learn more: https://go.microsoft.com/fwlink/?linkid=870924
Comment:
    MP's NCR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<sst xmlns="http://schemas.openxmlformats.org/spreadsheetml/2006/main" count="12122" uniqueCount="1049">
  <si>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</si>
  <si>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</si>
  <si>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</si>
  <si>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</si>
  <si>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</si>
  <si>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</si>
  <si>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</si>
  <si>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</si>
  <si>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</si>
  <si>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</si>
  <si>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</si>
  <si>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</si>
  <si>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</si>
  <si>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</si>
  <si>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</si>
  <si>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</si>
  <si>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</si>
  <si>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</si>
  <si>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</si>
  <si>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</si>
  <si>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</si>
  <si>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</si>
  <si>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</si>
  <si>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</si>
  <si>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</si>
  <si>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</si>
  <si>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</si>
  <si>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</si>
  <si>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</si>
  <si>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</si>
  <si>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</si>
  <si>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</si>
  <si>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</si>
  <si>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</si>
  <si>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</si>
  <si>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</si>
  <si>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</si>
  <si>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</si>
  <si>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</si>
  <si>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</si>
  <si>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</si>
  <si>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</si>
  <si>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</si>
  <si>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</si>
  <si>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</si>
  <si>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</si>
  <si>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</si>
  <si>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</si>
  <si>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</si>
  <si>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</si>
  <si>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</si>
  <si>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</si>
  <si>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</si>
  <si>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</si>
  <si>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</si>
  <si>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</si>
  <si>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</si>
  <si>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</si>
  <si>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</si>
  <si>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</si>
  <si>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</si>
  <si>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</si>
  <si>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</si>
  <si>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</si>
  <si>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</si>
  <si>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</si>
  <si>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</si>
  <si>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</si>
  <si>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</si>
  <si>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</si>
  <si>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</si>
  <si>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</si>
  <si>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</si>
  <si>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</si>
  <si>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</si>
  <si>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</si>
  <si>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</si>
  <si>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</si>
  <si>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</si>
  <si>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</si>
  <si>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</si>
  <si>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</si>
  <si>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</si>
  <si>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</si>
  <si>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</si>
  <si>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</si>
  <si>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</si>
  <si>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</si>
  <si>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</si>
  <si>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</si>
  <si>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</si>
  <si>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</si>
  <si>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</si>
  <si>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</si>
  <si>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</si>
  <si>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</si>
  <si>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</si>
  <si>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</si>
  <si>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</si>
  <si>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</si>
  <si>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</si>
  <si>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</si>
  <si>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</si>
  <si>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</si>
  <si>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</si>
  <si>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</si>
  <si>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</si>
  <si>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</si>
  <si>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</si>
  <si>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</si>
  <si>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</si>
  <si>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</si>
  <si>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</si>
  <si>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</si>
  <si>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</si>
  <si>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</si>
  <si>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</si>
  <si>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</si>
  <si>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</si>
  <si>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</si>
  <si>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</si>
  <si>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</si>
  <si>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</si>
  <si>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</si>
  <si>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</si>
  <si>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</si>
  <si>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</si>
  <si>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</si>
  <si>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</si>
  <si>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</si>
  <si>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</si>
  <si>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</si>
  <si>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</si>
  <si>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</si>
  <si>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</si>
  <si>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</si>
  <si>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</si>
  <si>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</si>
  <si>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</si>
  <si>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</si>
  <si>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</si>
  <si>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</si>
  <si>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</si>
  <si>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</si>
  <si>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</si>
  <si>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</si>
  <si>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</si>
  <si>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</si>
  <si>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</si>
  <si>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</si>
  <si>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</si>
  <si>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</si>
  <si>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</si>
  <si>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</si>
  <si>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</si>
  <si>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</si>
  <si>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</si>
  <si>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</si>
  <si>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</si>
  <si>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</si>
  <si>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</si>
  <si>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</si>
  <si>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</si>
  <si>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</si>
  <si>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</si>
  <si>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</si>
  <si>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</si>
  <si>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</si>
  <si>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</si>
  <si>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</si>
  <si>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</si>
  <si>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</si>
  <si>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</si>
  <si>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</si>
  <si>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</si>
  <si>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</si>
  <si>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</si>
  <si>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</si>
  <si>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</si>
  <si>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</si>
  <si>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</si>
  <si>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</si>
  <si>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</si>
  <si>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</si>
  <si>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</si>
  <si>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</si>
  <si>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</si>
  <si>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</si>
  <si>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</si>
  <si>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</si>
  <si>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</si>
  <si>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</si>
  <si>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</si>
  <si>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</si>
  <si>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</si>
  <si>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</si>
  <si>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</si>
  <si>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</si>
  <si>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</si>
  <si>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</si>
  <si>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</si>
  <si>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</si>
  <si>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</si>
  <si>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</si>
  <si>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</si>
  <si>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</si>
  <si>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</si>
  <si>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</si>
  <si>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</si>
  <si>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</si>
  <si>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</si>
  <si>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</si>
  <si>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</si>
  <si>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</si>
  <si>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</si>
  <si>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</si>
  <si>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</si>
  <si>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</si>
  <si>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</si>
  <si>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</si>
  <si>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</si>
  <si>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</si>
  <si>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</si>
  <si>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</si>
  <si>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</si>
  <si>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</si>
  <si>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</si>
  <si>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</si>
  <si>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</si>
  <si>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</si>
  <si>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</si>
  <si>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</si>
  <si>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</si>
  <si>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</si>
  <si>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</si>
  <si>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</si>
  <si>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</si>
  <si>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</si>
  <si>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</si>
  <si>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</si>
  <si>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</si>
  <si>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</si>
  <si>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</si>
  <si>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</si>
  <si>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</si>
  <si>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</si>
  <si>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</si>
  <si>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</si>
  <si>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</si>
  <si>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</si>
  <si>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</si>
  <si>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</si>
  <si>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</si>
  <si>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</si>
  <si>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</si>
  <si>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</si>
  <si>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</si>
  <si>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</si>
  <si>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</si>
  <si>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</si>
  <si>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</si>
  <si>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</si>
  <si>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</si>
  <si>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</si>
  <si>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</si>
  <si>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</si>
  <si>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</si>
  <si>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</si>
  <si>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</si>
  <si>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</si>
  <si>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</si>
  <si>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</si>
  <si>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</si>
  <si>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</si>
  <si>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</si>
  <si>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</si>
  <si>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</si>
  <si>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</si>
  <si>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</si>
  <si>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</si>
  <si>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</si>
  <si>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</si>
  <si>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</si>
  <si>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</si>
  <si>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</si>
  <si>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</si>
  <si>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</si>
  <si>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</si>
  <si>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</si>
  <si>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</si>
  <si>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</si>
  <si>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</si>
  <si>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</si>
  <si>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</si>
  <si>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</si>
  <si>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</si>
  <si>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</si>
  <si>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</si>
  <si>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</si>
  <si>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</si>
  <si>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</si>
  <si>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</si>
  <si>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</si>
  <si>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</si>
  <si>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</si>
  <si>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</si>
  <si>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</si>
  <si>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</si>
  <si>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</si>
  <si>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</si>
  <si>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</si>
  <si>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</si>
  <si>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</si>
  <si>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</si>
  <si>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</si>
  <si>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</si>
  <si>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</si>
  <si>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</si>
  <si>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</si>
  <si>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</si>
  <si>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Doc No. 202.041_04 CML4 Service and Calibration Sheet DCR 0678</t>
  </si>
  <si>
    <t>-</t>
  </si>
  <si>
    <t>A. Brown</t>
  </si>
  <si>
    <t>Op No.</t>
  </si>
  <si>
    <t>CML4 Cover Sheet</t>
  </si>
  <si>
    <t>R. Eden</t>
  </si>
  <si>
    <t>Product:</t>
  </si>
  <si>
    <t>W</t>
  </si>
  <si>
    <t>M</t>
  </si>
  <si>
    <t>SERVICE NOTES:</t>
  </si>
  <si>
    <t>A. Hayward</t>
  </si>
  <si>
    <t>Serial No.:</t>
  </si>
  <si>
    <t>J. Scarrott</t>
  </si>
  <si>
    <t>P</t>
  </si>
  <si>
    <t>Customer:</t>
  </si>
  <si>
    <t>Comments</t>
  </si>
  <si>
    <t>A. Mustoe</t>
  </si>
  <si>
    <t>N</t>
  </si>
  <si>
    <t>Online booking by customer</t>
  </si>
  <si>
    <t>Alex Buckley</t>
  </si>
  <si>
    <t>T</t>
  </si>
  <si>
    <t>S</t>
  </si>
  <si>
    <t>Accessories present?</t>
  </si>
  <si>
    <t>NOTE: Please complete table below</t>
  </si>
  <si>
    <t>Luke Harding</t>
  </si>
  <si>
    <t>COSHH SUPPLIED?</t>
  </si>
  <si>
    <t>Scott Mosson</t>
  </si>
  <si>
    <t>Booking Date:</t>
  </si>
  <si>
    <t>Jamie Soule</t>
  </si>
  <si>
    <t>Service sheet number:</t>
  </si>
  <si>
    <t>Trevor Whittle</t>
  </si>
  <si>
    <t>Warranty claim</t>
  </si>
  <si>
    <t>John Devereux</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</si>
  <si>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</si>
  <si>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</si>
  <si>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</si>
  <si>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</si>
  <si>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</si>
  <si>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</si>
  <si>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</si>
  <si>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</si>
  <si>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</si>
  <si>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</si>
  <si>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</si>
  <si>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</si>
  <si>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</si>
  <si>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</si>
  <si>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</si>
  <si>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</si>
  <si>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</si>
  <si>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</si>
  <si>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</si>
  <si>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</si>
  <si>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</si>
  <si>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</si>
  <si>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</si>
  <si>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</si>
  <si>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</si>
  <si>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</si>
  <si>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</si>
  <si>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</si>
  <si>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</si>
  <si>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</si>
  <si>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</si>
  <si>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</si>
  <si>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</si>
  <si>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</si>
  <si>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</si>
  <si>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</si>
  <si>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</si>
  <si>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</si>
  <si>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</si>
  <si>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</si>
  <si>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</si>
  <si>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</si>
  <si>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</si>
  <si>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</si>
  <si>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</si>
  <si>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</si>
  <si>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</si>
  <si>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</si>
  <si>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</si>
  <si>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</si>
  <si>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</si>
  <si>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</si>
  <si>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</si>
  <si>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</si>
  <si>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</si>
  <si>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</si>
  <si>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</si>
  <si>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</si>
  <si>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</si>
  <si>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</si>
  <si>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</si>
  <si>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</si>
  <si>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</si>
  <si>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</si>
  <si>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</si>
  <si>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</si>
  <si>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</si>
  <si>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</si>
  <si>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</si>
  <si>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</si>
  <si>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</si>
  <si>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</si>
  <si>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</si>
  <si>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</si>
  <si>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</si>
  <si>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</si>
  <si>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</si>
  <si>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Offline</t>
  </si>
  <si>
    <t>Check RJ45 cable is current design</t>
  </si>
  <si>
    <t xml:space="preserve">Set test type to Online </t>
  </si>
  <si>
    <t>BOTTLE SAMPLER CHECKS/TESTS</t>
  </si>
  <si>
    <t>Unit flushed with Petroleum Ether (50ml)</t>
  </si>
  <si>
    <t>Does sensor block show signs of leakage?</t>
  </si>
  <si>
    <t>If Y to a leak, replace with refurb module</t>
  </si>
  <si>
    <t>Unit flushed with MIL5606 (25ml)</t>
  </si>
  <si>
    <t>If LEAKING, abandon further checks and repair unit</t>
  </si>
  <si>
    <t>LED power:</t>
  </si>
  <si>
    <t>Electrical noise level:</t>
  </si>
  <si>
    <t>Date initial inspection ended:</t>
  </si>
  <si>
    <t>Simplybook.me stage updated to "Ready for Service":</t>
  </si>
  <si>
    <t>SERVICE</t>
  </si>
  <si>
    <t>Date restarted:</t>
  </si>
  <si>
    <t>Sales Order been raised? (D15)</t>
  </si>
  <si>
    <t>Works Order been raised? (D16)</t>
  </si>
  <si>
    <t>Replaced battery cables (to thick)?</t>
  </si>
  <si>
    <t xml:space="preserve">Unit cleaned and hoovered? </t>
  </si>
  <si>
    <t>Battery secured in brackets?</t>
  </si>
  <si>
    <t>IF NO…..REPLACE</t>
  </si>
  <si>
    <t>TEST RIG CHECKS/TESTS</t>
  </si>
  <si>
    <t>HP Test (5mins Static &amp; Pulse) without leaks?</t>
  </si>
  <si>
    <t>Complete service sticker and attach to unit</t>
  </si>
  <si>
    <t>Test mode set to "Online"</t>
  </si>
  <si>
    <t>Signed:</t>
  </si>
  <si>
    <t>Simplybook.me stage updated to "Service complete":</t>
  </si>
  <si>
    <t>Date completed:</t>
  </si>
  <si>
    <t>CALIBRATION doc # 214.020</t>
  </si>
  <si>
    <t>Date started:</t>
  </si>
  <si>
    <t>Calibration COMPLETE</t>
  </si>
  <si>
    <t>Signed : Fill from dropdown box</t>
  </si>
  <si>
    <t>PRE DESPATCH FINAL CHECKS</t>
  </si>
  <si>
    <t>Serial Number plate matches record</t>
  </si>
  <si>
    <t>Re-Cal Log 202.038 updated</t>
  </si>
  <si>
    <t>locate file on sharepoint 202.038 and complete</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</si>
  <si>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</si>
  <si>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</si>
  <si>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</si>
  <si>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</si>
  <si>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</si>
  <si>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</si>
  <si>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</si>
  <si>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</si>
  <si>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</si>
  <si>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</si>
  <si>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</si>
  <si>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</si>
  <si>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</si>
  <si>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</si>
  <si>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</si>
  <si>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</si>
  <si>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</si>
  <si>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 xml:space="preserve">Pressure switch ticked </t>
  </si>
  <si>
    <t>Reset battery parameters (only on NEW unit/if battery replaced)</t>
  </si>
  <si>
    <t>Ensure shipping tick box is engaged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</si>
  <si>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</si>
  <si>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</si>
  <si>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</si>
  <si>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</si>
  <si>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</si>
  <si>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</si>
  <si>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</si>
  <si>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</si>
  <si>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</si>
  <si>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</si>
  <si>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Flush/Sample  - set to received:</t>
  </si>
  <si>
    <t>Wait time (00:00:00) - set to received:</t>
  </si>
  <si>
    <t>Repeat (x) Tests - set to received:</t>
  </si>
  <si>
    <t>Stop Testing when clean -set to received:</t>
  </si>
  <si>
    <t>Identification should be: CML4 - S/N - Firmware</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</si>
  <si>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</si>
  <si>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</si>
  <si>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</si>
  <si>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</si>
  <si>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</si>
  <si>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</si>
  <si>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</si>
  <si>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</si>
  <si>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</si>
  <si>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</si>
  <si>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</si>
  <si>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</si>
  <si>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</si>
  <si>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</si>
  <si>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</si>
  <si>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</si>
  <si>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</si>
  <si>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</si>
  <si>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</si>
  <si>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</si>
  <si>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</si>
  <si>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</si>
  <si>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</si>
  <si>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</si>
  <si>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</si>
  <si>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</si>
  <si>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</si>
  <si>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</si>
  <si>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</si>
  <si>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</si>
  <si>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</si>
  <si>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</si>
  <si>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</si>
  <si>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</si>
  <si>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</si>
  <si>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</si>
  <si>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</si>
  <si>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</si>
  <si>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</si>
  <si>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</si>
  <si>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</si>
  <si>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</si>
  <si>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</si>
  <si>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</si>
  <si>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</si>
  <si>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</si>
  <si>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</si>
  <si>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</si>
  <si>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</si>
  <si>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</si>
  <si>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</si>
  <si>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</si>
  <si>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</si>
  <si>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</si>
  <si>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</si>
  <si>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</si>
  <si>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</si>
  <si>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</si>
  <si>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</si>
  <si>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</si>
  <si>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</si>
  <si>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</si>
  <si>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</si>
  <si>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</si>
  <si>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</si>
  <si>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</si>
  <si>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</si>
  <si>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</si>
  <si>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</si>
  <si>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</si>
  <si>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</si>
  <si>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</si>
  <si>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</si>
  <si>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</si>
  <si>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</si>
  <si>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</si>
  <si>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</si>
  <si>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</si>
  <si>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</si>
  <si>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</si>
  <si>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</si>
  <si>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</si>
  <si>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</si>
  <si>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</si>
  <si>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</si>
  <si>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</si>
  <si>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</si>
  <si>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</si>
  <si>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</si>
  <si>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</si>
  <si>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</si>
  <si>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</si>
  <si>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</si>
  <si>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</si>
  <si>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</si>
  <si>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</si>
  <si>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</si>
  <si>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</si>
  <si>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</si>
  <si>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Unit flushed with IPA (50ml)</t>
  </si>
  <si>
    <t>Does pump unit show signs of leakage</t>
  </si>
  <si>
    <t>If Y to pump leak, Warranty claim?</t>
  </si>
  <si>
    <t>If Y to warranty, replace with refurb module</t>
  </si>
  <si>
    <t>Pump Refurb required</t>
  </si>
  <si>
    <t>If LEAKING, abandon further checks</t>
  </si>
  <si>
    <t>Perform Initial NV test on test rig - OK</t>
  </si>
  <si>
    <t>bar</t>
  </si>
  <si>
    <t>Test run for piston rod rotation - OK</t>
  </si>
  <si>
    <t>Is Service Quote Required for any items?</t>
  </si>
  <si>
    <t>ADVISE SALES OFFICE IF NECESSARY</t>
  </si>
  <si>
    <t>SQ sent to Sales Office</t>
  </si>
  <si>
    <t>Date SQ request sent:</t>
  </si>
  <si>
    <t>Is Sales Order Required?</t>
  </si>
  <si>
    <t>SO request made to Sales Office</t>
  </si>
  <si>
    <t>Date SO request sent:</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</si>
  <si>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</si>
  <si>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</si>
  <si>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</si>
  <si>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</si>
  <si>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</si>
  <si>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</si>
  <si>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</si>
  <si>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</si>
  <si>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</si>
  <si>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</si>
  <si>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</si>
  <si>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</si>
  <si>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</si>
  <si>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</si>
  <si>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</si>
  <si>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</si>
  <si>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</si>
  <si>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</si>
  <si>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</si>
  <si>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</si>
  <si>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</si>
  <si>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</si>
  <si>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</si>
  <si>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t>Pipework replaced</t>
  </si>
  <si>
    <r>
      <t xml:space="preserve">Serviced fittings, </t>
    </r>
    <r>
      <rPr>
        <b/>
        <sz val="11"/>
        <color rgb="FFFF0000"/>
        <rFont val="Calibri"/>
        <family val="2"/>
        <scheme val="minor"/>
      </rPr>
      <t>note # of services:</t>
    </r>
  </si>
  <si>
    <t>If # of services = 3, replace all fittings</t>
  </si>
  <si>
    <t>Ribbon Cables secured to the PCB</t>
  </si>
  <si>
    <t xml:space="preserve">ESP test complete? </t>
  </si>
  <si>
    <t>FV pressure =</t>
  </si>
  <si>
    <t xml:space="preserve">NV pressure = </t>
  </si>
  <si>
    <t>HP Test (5mins Static &amp; Pulse)</t>
  </si>
  <si>
    <t>Test mode set to Normal</t>
  </si>
  <si>
    <t>Set ISO clean alarm to 0 (zero)</t>
  </si>
  <si>
    <t>Set pump volumes back to 8ml and 7ml</t>
  </si>
  <si>
    <t>Time completed:</t>
  </si>
  <si>
    <t>CALIBRATION</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</si>
  <si>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</si>
  <si>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</si>
  <si>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</si>
  <si>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</si>
  <si>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</si>
  <si>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</si>
  <si>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</si>
  <si>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</si>
  <si>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</si>
  <si>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</si>
  <si>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</si>
  <si>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</si>
  <si>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</si>
  <si>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</si>
  <si>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</si>
  <si>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</si>
  <si>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</si>
  <si>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</si>
  <si>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</si>
  <si>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</si>
  <si>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</si>
  <si>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</si>
  <si>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</si>
  <si>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</si>
  <si>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</si>
  <si>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</si>
  <si>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</si>
  <si>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</si>
  <si>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</si>
  <si>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</si>
  <si>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</si>
  <si>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</si>
  <si>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</si>
  <si>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</si>
  <si>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</si>
  <si>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</si>
  <si>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</si>
  <si>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</si>
  <si>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</si>
  <si>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</si>
  <si>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</si>
  <si>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</si>
  <si>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</si>
  <si>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</si>
  <si>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</si>
  <si>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</si>
  <si>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</si>
  <si>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</si>
  <si>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</si>
  <si>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</si>
  <si>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</si>
  <si>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</si>
  <si>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</si>
  <si>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</si>
  <si>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</si>
  <si>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</si>
  <si>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</si>
  <si>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</si>
  <si>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</si>
  <si>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</si>
  <si>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</si>
  <si>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</si>
  <si>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</si>
  <si>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</si>
  <si>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</si>
  <si>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</si>
  <si>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</si>
  <si>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</si>
  <si>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</si>
  <si>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</si>
  <si>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</si>
  <si>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</si>
  <si>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</si>
  <si>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</si>
  <si>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</si>
  <si>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</si>
  <si>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</si>
  <si>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</si>
  <si>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</si>
  <si>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</si>
  <si>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</si>
  <si>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</si>
  <si>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</si>
  <si>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</si>
  <si>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</si>
  <si>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</si>
  <si>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</si>
  <si>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</si>
  <si>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</si>
  <si>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</si>
  <si>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</si>
  <si>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</si>
  <si>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</si>
  <si>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</si>
  <si>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</si>
  <si>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</si>
  <si>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</si>
  <si>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</si>
  <si>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</si>
  <si>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</si>
  <si>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</si>
  <si>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</si>
  <si>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</si>
  <si>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</si>
  <si>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</si>
  <si>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</si>
  <si>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</si>
  <si>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</si>
  <si>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</si>
  <si>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</si>
  <si>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</si>
  <si>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</si>
  <si>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</si>
  <si>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</si>
  <si>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</si>
  <si>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</si>
  <si>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</si>
  <si>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</si>
  <si>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</si>
  <si>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</si>
  <si>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</si>
  <si>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</si>
  <si>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</si>
  <si>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</si>
  <si>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</si>
  <si>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</si>
  <si>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</si>
  <si>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</si>
  <si>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</si>
  <si>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</si>
  <si>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</si>
  <si>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</si>
  <si>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</si>
  <si>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</si>
  <si>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</si>
  <si>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</si>
  <si>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</si>
  <si>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</si>
  <si>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</si>
  <si>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</si>
  <si>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</si>
  <si>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</si>
  <si>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</si>
  <si>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</si>
  <si>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</si>
  <si>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</si>
  <si>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</si>
  <si>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</si>
  <si>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</si>
  <si>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</si>
  <si>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</si>
  <si>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</si>
  <si>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</si>
  <si>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</si>
  <si>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</si>
  <si>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</si>
  <si>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</si>
  <si>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</si>
  <si>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</si>
  <si>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</si>
  <si>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</si>
  <si>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</si>
  <si>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</si>
  <si>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</si>
  <si>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</si>
  <si>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</si>
  <si>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</si>
  <si>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</si>
  <si>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</si>
  <si>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</si>
  <si>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</si>
  <si>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</si>
  <si>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</si>
  <si>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</si>
  <si>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</si>
  <si>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</si>
  <si>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</si>
  <si>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</si>
  <si>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</si>
  <si>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</si>
  <si>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Contamination Monitoring Product Calibration Record - CML4/CML3</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</si>
  <si>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</si>
  <si>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</si>
  <si>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</si>
  <si>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</si>
  <si>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</si>
  <si>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</si>
  <si>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</si>
  <si>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</si>
  <si>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</si>
  <si>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</si>
  <si>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</si>
  <si>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</si>
  <si>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</si>
  <si>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</si>
  <si>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</si>
  <si>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</si>
  <si>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</si>
  <si>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</si>
  <si>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5.6mg/l RM8631b</t>
  </si>
  <si>
    <t>Cert No.</t>
  </si>
  <si>
    <t>RM Batch</t>
  </si>
  <si>
    <t>RM8631b</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</si>
  <si>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</si>
  <si>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</si>
  <si>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</si>
  <si>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</si>
  <si>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</si>
  <si>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</si>
  <si>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</si>
  <si>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</si>
  <si>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</si>
  <si>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</si>
  <si>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</si>
  <si>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</si>
  <si>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</si>
  <si>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</si>
  <si>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</si>
  <si>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</si>
  <si>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</si>
  <si>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</si>
  <si>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</si>
  <si>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</si>
  <si>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</si>
  <si>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</si>
  <si>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</si>
  <si>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</si>
  <si>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</si>
  <si>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</si>
  <si>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</si>
  <si>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</si>
  <si>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</si>
  <si>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</si>
  <si>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</si>
  <si>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</si>
  <si>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</si>
  <si>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</si>
  <si>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</si>
  <si>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REFERENCE MATERIAL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</si>
  <si>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</si>
  <si>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</si>
  <si>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</si>
  <si>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</si>
  <si>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</si>
  <si>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</si>
  <si>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</si>
  <si>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</si>
  <si>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</si>
  <si>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</si>
  <si>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</si>
  <si>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</si>
  <si>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</si>
  <si>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</si>
  <si>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</si>
  <si>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</si>
  <si>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</si>
  <si>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</si>
  <si>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</si>
  <si>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</si>
  <si>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</si>
  <si>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</si>
  <si>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</si>
  <si>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</si>
  <si>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</si>
  <si>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</si>
  <si>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</si>
  <si>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</si>
  <si>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</si>
  <si>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</si>
  <si>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</si>
  <si>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</si>
  <si>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</si>
  <si>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</si>
  <si>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</si>
  <si>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</si>
  <si>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</si>
  <si>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</si>
  <si>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</si>
  <si>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</si>
  <si>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</si>
  <si>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</si>
  <si>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</si>
  <si>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</si>
  <si>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</si>
  <si>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</si>
  <si>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</si>
  <si>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</si>
  <si>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</si>
  <si>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</si>
  <si>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</si>
  <si>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</si>
  <si>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</si>
  <si>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</si>
  <si>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</si>
  <si>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</si>
  <si>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</si>
  <si>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</si>
  <si>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</si>
  <si>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</si>
  <si>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</si>
  <si>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</si>
  <si>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</si>
  <si>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</si>
  <si>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</si>
  <si>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</si>
  <si>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</si>
  <si>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</si>
  <si>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</si>
  <si>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</si>
  <si>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</si>
  <si>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</si>
  <si>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</si>
  <si>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</si>
  <si>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</si>
  <si>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</si>
  <si>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</si>
  <si>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</si>
  <si>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</si>
  <si>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</si>
  <si>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</si>
  <si>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</si>
  <si>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</si>
  <si>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</si>
  <si>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</si>
  <si>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</si>
  <si>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</si>
  <si>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</si>
  <si>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</si>
  <si>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</si>
  <si>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</si>
  <si>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</si>
  <si>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</si>
  <si>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</si>
  <si>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MEDIUM TEST DUST BATCH NUMBER</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</si>
  <si>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</si>
  <si>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</si>
  <si>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</si>
  <si>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</si>
  <si>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</si>
  <si>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</si>
  <si>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</si>
  <si>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</si>
  <si>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</si>
  <si>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</si>
  <si>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</si>
  <si>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</si>
  <si>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</si>
  <si>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</si>
  <si>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</si>
  <si>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</si>
  <si>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</si>
  <si>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</si>
  <si>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</si>
  <si>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</si>
  <si>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&gt;50</t>
  </si>
  <si>
    <t>&gt;70</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</si>
  <si>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</si>
  <si>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</si>
  <si>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</si>
  <si>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</si>
  <si>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</si>
  <si>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</si>
  <si>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</si>
  <si>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</si>
  <si>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</si>
  <si>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</si>
  <si>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</si>
  <si>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</si>
  <si>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</si>
  <si>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</si>
  <si>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</si>
  <si>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</si>
  <si>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</si>
  <si>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</si>
  <si>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</si>
  <si>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</si>
  <si>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</si>
  <si>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</si>
  <si>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</si>
  <si>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</si>
  <si>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</si>
  <si>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</si>
  <si>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</si>
  <si>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</si>
  <si>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</si>
  <si>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</si>
  <si>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</si>
  <si>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</si>
  <si>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</si>
  <si>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</si>
  <si>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</si>
  <si>
    <t>Keep House, Conference Way, Vale Park</t>
  </si>
  <si>
    <t>www.mpfiltri.com</t>
  </si>
  <si>
    <t>KAP</t>
  </si>
  <si>
    <t>S250602008 (35D)</t>
  </si>
  <si>
    <t xml:space="preserve">Method of calibration and traceability: 
This device was calibrated using PartiStan 2806 Secondary reference fluid, Sizes and particle concentrations determined on a primary calibrated instrument using NIST SRM 2806d. 
Particle sizes 38, 50, 70 microns calibrated using NIST traceable glass spheres in accordance with clause 6. </t>
  </si>
  <si>
    <t>NOT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</si>
</sst>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00##"/>
    <numFmt numFmtId="170" formatCode="0.0%"/>
    <numFmt numFmtId="171" formatCode="dd\ mm\ yyyy"/>
    <numFmt numFmtId="172" formatCode="[$-F800]dddd\,\ mmmm\ dd\,\ yyyy"/>
    <numFmt numFmtId="173" formatCode="[$-F400]h:mm:ss\ AM/PM"/>
    <numFmt numFmtId="174" formatCode="0.000000"/>
    <numFmt numFmtId="175" formatCode="\ ddmmyy"/>
    <numFmt numFmtId="176" formatCode=";;;"/>
    <numFmt numFmtId="177" formatCode="00###"/>
    <numFmt numFmtId="178" formatCode="00####"/>
  </numFmts>
  <fonts count="68" x14ac:knownFonts="1">
    <font>
      <sz val="10"/>
      <name val="Arial"/>
    </font>
    <font>
      <sz val="11"/>
      <color theme="1"/>
      <name val="Calibri"/>
      <family val="2"/>
      <scheme val="minor"/>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
      <u/>
      <sz val="11"/>
      <color theme="10"/>
      <name val="Calibri"/>
      <family val="2"/>
      <scheme val="minor"/>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4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22"/>
      </left>
      <right style="thin">
        <color indexed="8"/>
      </right>
      <top style="thin">
        <color indexed="8"/>
      </top>
      <bottom style="thin">
        <color indexed="22"/>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22"/>
      </left>
      <right style="thin">
        <color indexed="22"/>
      </right>
      <top style="thin">
        <color indexed="22"/>
      </top>
      <bottom style="thin">
        <color indexed="22"/>
      </bottom>
      <diagonal/>
    </border>
    <border>
      <left/>
      <right/>
      <top style="thin">
        <color indexed="64"/>
      </top>
      <bottom style="thin">
        <color indexed="22"/>
      </bottom>
      <diagonal/>
    </border>
    <border>
      <left/>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0" fontId="6" fillId="0" borderId="0" applyNumberFormat="0" applyFill="0" applyBorder="0" applyAlignment="0" applyProtection="0">
      <alignment vertical="top"/>
      <protection locked="0"/>
    </xf>
    <xf numFmtId="0" fontId="2" fillId="0" borderId="0"/>
    <xf numFmtId="0" fontId="48" fillId="0" borderId="0" applyNumberFormat="0" applyFill="0" applyBorder="0" applyAlignment="0" applyProtection="0"/>
    <xf numFmtId="44" fontId="58" fillId="0" borderId="0" applyFont="0" applyFill="0" applyBorder="0" applyAlignment="0" applyProtection="0"/>
    <xf numFmtId="9" fontId="62" fillId="0" borderId="0" applyFont="0" applyFill="0" applyBorder="0" applyAlignment="0" applyProtection="0"/>
    <xf numFmtId="0" fontId="63" fillId="0" borderId="0"/>
    <xf numFmtId="44" fontId="2" fillId="0" borderId="0" applyFont="0" applyFill="0" applyBorder="0" applyAlignment="0" applyProtection="0"/>
    <xf numFmtId="0" fontId="1" fillId="0" borderId="0"/>
    <xf numFmtId="0" fontId="67" fillId="0" borderId="0" applyNumberFormat="0" applyFill="0" applyBorder="0" applyAlignment="0" applyProtection="0"/>
    <xf numFmtId="9" fontId="1" fillId="0" borderId="0" applyFont="0" applyFill="0" applyBorder="0" applyAlignment="0" applyProtection="0"/>
  </cellStyleXfs>
  <cellXfs count="644">
    <xf numFmtId="0" fontId="0" fillId="0" borderId="0" xfId="0"/>
    <xf numFmtId="0" fontId="0" fillId="2" borderId="0" xfId="0" applyFill="1"/>
    <xf numFmtId="0" fontId="0" fillId="2" borderId="0" xfId="0" applyFill="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0" xfId="0" quotePrefix="1" applyFill="1"/>
    <xf numFmtId="0" fontId="4" fillId="2" borderId="3" xfId="0" applyFont="1" applyFill="1" applyBorder="1" applyAlignment="1">
      <alignment horizontal="center"/>
    </xf>
    <xf numFmtId="0" fontId="4" fillId="2" borderId="4" xfId="0" applyFont="1" applyFill="1" applyBorder="1" applyAlignment="1">
      <alignment horizontal="center"/>
    </xf>
    <xf numFmtId="0" fontId="14" fillId="2" borderId="0" xfId="0" applyFont="1" applyFill="1" applyAlignment="1">
      <alignment horizontal="left"/>
    </xf>
    <xf numFmtId="2" fontId="0" fillId="3" borderId="3" xfId="0" applyNumberFormat="1" applyFill="1" applyBorder="1" applyAlignment="1">
      <alignment horizontal="center"/>
    </xf>
    <xf numFmtId="2" fontId="0" fillId="3" borderId="4" xfId="0" applyNumberForma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2" fontId="0" fillId="3" borderId="7" xfId="0" applyNumberFormat="1" applyFill="1" applyBorder="1" applyAlignment="1">
      <alignment horizontal="center"/>
    </xf>
    <xf numFmtId="2" fontId="0" fillId="3" borderId="8" xfId="0" applyNumberFormat="1" applyFill="1" applyBorder="1" applyAlignment="1">
      <alignment horizontal="center"/>
    </xf>
    <xf numFmtId="0" fontId="17" fillId="2" borderId="3" xfId="0" applyFont="1" applyFill="1" applyBorder="1" applyAlignment="1">
      <alignment horizontal="center"/>
    </xf>
    <xf numFmtId="0" fontId="17" fillId="2" borderId="4" xfId="0" applyFont="1" applyFill="1" applyBorder="1" applyAlignment="1">
      <alignment horizontal="center"/>
    </xf>
    <xf numFmtId="164" fontId="17" fillId="3" borderId="0" xfId="0" applyNumberFormat="1" applyFont="1" applyFill="1" applyAlignment="1">
      <alignment horizontal="center"/>
    </xf>
    <xf numFmtId="164" fontId="17" fillId="3" borderId="2" xfId="0" applyNumberFormat="1" applyFont="1" applyFill="1" applyBorder="1" applyAlignment="1">
      <alignment horizontal="center"/>
    </xf>
    <xf numFmtId="0" fontId="16" fillId="4" borderId="5" xfId="0" applyFont="1" applyFill="1" applyBorder="1" applyAlignment="1">
      <alignment horizontal="center"/>
    </xf>
    <xf numFmtId="0" fontId="18" fillId="4" borderId="5" xfId="0" applyFont="1" applyFill="1" applyBorder="1" applyAlignment="1">
      <alignment horizontal="center"/>
    </xf>
    <xf numFmtId="0" fontId="18" fillId="4" borderId="6" xfId="0" applyFont="1" applyFill="1" applyBorder="1" applyAlignment="1">
      <alignment horizontal="center"/>
    </xf>
    <xf numFmtId="2" fontId="16" fillId="4" borderId="0" xfId="0" applyNumberFormat="1" applyFont="1" applyFill="1" applyAlignment="1">
      <alignment horizontal="center"/>
    </xf>
    <xf numFmtId="2" fontId="18" fillId="4" borderId="0" xfId="0" applyNumberFormat="1" applyFont="1" applyFill="1" applyAlignment="1">
      <alignment horizontal="center"/>
    </xf>
    <xf numFmtId="2" fontId="18" fillId="4" borderId="2" xfId="0" applyNumberFormat="1" applyFont="1" applyFill="1" applyBorder="1" applyAlignment="1">
      <alignment horizontal="center"/>
    </xf>
    <xf numFmtId="2" fontId="3" fillId="3" borderId="0" xfId="0" applyNumberFormat="1" applyFont="1" applyFill="1" applyAlignment="1">
      <alignment horizontal="center"/>
    </xf>
    <xf numFmtId="2" fontId="3" fillId="3" borderId="2" xfId="0" applyNumberFormat="1" applyFont="1" applyFill="1" applyBorder="1" applyAlignment="1">
      <alignment horizontal="center"/>
    </xf>
    <xf numFmtId="0" fontId="3" fillId="4" borderId="5" xfId="0" applyFont="1" applyFill="1" applyBorder="1" applyAlignment="1">
      <alignment horizontal="center"/>
    </xf>
    <xf numFmtId="0" fontId="0" fillId="4" borderId="0" xfId="0" applyFill="1" applyAlignment="1">
      <alignment horizontal="center"/>
    </xf>
    <xf numFmtId="0" fontId="3" fillId="4" borderId="6" xfId="0" applyFont="1" applyFill="1" applyBorder="1" applyAlignment="1">
      <alignment horizontal="center"/>
    </xf>
    <xf numFmtId="0" fontId="0" fillId="4" borderId="2" xfId="0" applyFill="1" applyBorder="1" applyAlignment="1">
      <alignment horizontal="center"/>
    </xf>
    <xf numFmtId="0" fontId="4" fillId="4" borderId="3" xfId="0" applyFont="1" applyFill="1" applyBorder="1" applyAlignment="1">
      <alignment horizontal="center"/>
    </xf>
    <xf numFmtId="0" fontId="3" fillId="2" borderId="0" xfId="0" applyFont="1" applyFill="1" applyAlignment="1">
      <alignment horizontal="left" vertical="center"/>
    </xf>
    <xf numFmtId="0" fontId="21" fillId="2" borderId="0" xfId="1" applyFont="1" applyFill="1" applyAlignment="1" applyProtection="1"/>
    <xf numFmtId="0" fontId="37" fillId="2" borderId="0" xfId="0" applyFont="1" applyFill="1" applyAlignment="1">
      <alignment horizontal="left" vertical="center"/>
    </xf>
    <xf numFmtId="2" fontId="36"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9" fillId="2" borderId="0" xfId="0" applyFont="1" applyFill="1" applyAlignment="1">
      <alignment horizontal="left"/>
    </xf>
    <xf numFmtId="0" fontId="9" fillId="2" borderId="0" xfId="0" applyFont="1" applyFill="1"/>
    <xf numFmtId="0" fontId="10" fillId="2" borderId="0" xfId="0" applyFont="1" applyFill="1"/>
    <xf numFmtId="0" fontId="0" fillId="2" borderId="2" xfId="0" applyFill="1" applyBorder="1"/>
    <xf numFmtId="0" fontId="29" fillId="2" borderId="9" xfId="0" applyFont="1" applyFill="1" applyBorder="1" applyAlignment="1">
      <alignment horizontal="left"/>
    </xf>
    <xf numFmtId="0" fontId="31" fillId="2" borderId="9" xfId="0" applyFont="1" applyFill="1" applyBorder="1" applyAlignment="1">
      <alignment horizontal="left"/>
    </xf>
    <xf numFmtId="0" fontId="0" fillId="0" borderId="0" xfId="0" applyAlignment="1">
      <alignment horizontal="left"/>
    </xf>
    <xf numFmtId="0" fontId="8" fillId="0" borderId="0" xfId="0" applyFont="1" applyAlignment="1">
      <alignment horizontal="left" vertical="center"/>
    </xf>
    <xf numFmtId="0" fontId="7" fillId="0" borderId="0" xfId="0" applyFont="1" applyAlignment="1">
      <alignment horizontal="left" vertical="center"/>
    </xf>
    <xf numFmtId="0" fontId="12" fillId="2" borderId="9" xfId="0" applyFont="1" applyFill="1" applyBorder="1" applyAlignment="1">
      <alignment horizontal="center"/>
    </xf>
    <xf numFmtId="0" fontId="12" fillId="2" borderId="9" xfId="0" applyFont="1" applyFill="1" applyBorder="1" applyAlignment="1">
      <alignment horizontal="left" vertical="center"/>
    </xf>
    <xf numFmtId="0" fontId="0" fillId="2" borderId="20" xfId="0" applyFill="1" applyBorder="1" applyAlignment="1">
      <alignment vertical="center"/>
    </xf>
    <xf numFmtId="0" fontId="5" fillId="2" borderId="0" xfId="0" applyFont="1" applyFill="1" applyAlignment="1">
      <alignment vertical="center"/>
    </xf>
    <xf numFmtId="0" fontId="7" fillId="2" borderId="20" xfId="0" applyFont="1" applyFill="1" applyBorder="1" applyAlignment="1">
      <alignment vertical="center"/>
    </xf>
    <xf numFmtId="0" fontId="11" fillId="2" borderId="0" xfId="0" applyFont="1" applyFill="1" applyAlignment="1">
      <alignment horizontal="left" vertical="center"/>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30" fillId="2" borderId="0" xfId="0" applyFont="1" applyFill="1" applyAlignment="1">
      <alignment horizontal="center"/>
    </xf>
    <xf numFmtId="168" fontId="0" fillId="2" borderId="0" xfId="0" applyNumberFormat="1" applyFill="1" applyAlignment="1">
      <alignment horizontal="center" vertical="center"/>
    </xf>
    <xf numFmtId="0" fontId="7" fillId="2" borderId="0" xfId="0" applyFont="1" applyFill="1"/>
    <xf numFmtId="0" fontId="0" fillId="2" borderId="21" xfId="0" applyFill="1" applyBorder="1" applyAlignment="1">
      <alignment horizontal="left" vertical="center"/>
    </xf>
    <xf numFmtId="0" fontId="7" fillId="2" borderId="21" xfId="0" applyFont="1" applyFill="1" applyBorder="1" applyAlignment="1">
      <alignment horizontal="left" vertical="center"/>
    </xf>
    <xf numFmtId="0" fontId="20" fillId="2" borderId="0" xfId="0" applyFont="1" applyFill="1"/>
    <xf numFmtId="0" fontId="8" fillId="2" borderId="0" xfId="0" applyFont="1" applyFill="1"/>
    <xf numFmtId="0" fontId="9" fillId="2" borderId="0" xfId="0" applyFont="1" applyFill="1" applyAlignment="1">
      <alignment horizontal="center"/>
    </xf>
    <xf numFmtId="0" fontId="10" fillId="5" borderId="0" xfId="0" applyFont="1" applyFill="1" applyAlignment="1">
      <alignment horizontal="center" vertical="center" wrapText="1"/>
    </xf>
    <xf numFmtId="0" fontId="10" fillId="5" borderId="0" xfId="0" applyFont="1" applyFill="1" applyAlignment="1">
      <alignment vertical="center" wrapText="1"/>
    </xf>
    <xf numFmtId="0" fontId="3" fillId="2" borderId="0" xfId="0" applyFont="1" applyFill="1" applyAlignment="1">
      <alignment horizontal="center" vertical="center"/>
    </xf>
    <xf numFmtId="0" fontId="3" fillId="2" borderId="0" xfId="0" applyFont="1" applyFill="1" applyAlignment="1">
      <alignment vertical="center" wrapText="1"/>
    </xf>
    <xf numFmtId="0" fontId="10" fillId="2" borderId="0" xfId="0" applyFont="1" applyFill="1" applyAlignment="1">
      <alignment vertical="center" wrapText="1"/>
    </xf>
    <xf numFmtId="0" fontId="10" fillId="2" borderId="0" xfId="0" applyFont="1" applyFill="1" applyAlignment="1">
      <alignment vertical="center"/>
    </xf>
    <xf numFmtId="0" fontId="12" fillId="2" borderId="0" xfId="0" applyFont="1" applyFill="1"/>
    <xf numFmtId="0" fontId="14" fillId="2" borderId="0" xfId="0" applyFont="1" applyFill="1"/>
    <xf numFmtId="0" fontId="7" fillId="0" borderId="0" xfId="0" applyFont="1" applyAlignment="1">
      <alignment horizontal="center"/>
    </xf>
    <xf numFmtId="0" fontId="3" fillId="2" borderId="0" xfId="0" applyFont="1" applyFill="1"/>
    <xf numFmtId="0" fontId="8" fillId="2" borderId="0" xfId="0" applyFont="1" applyFill="1" applyAlignment="1">
      <alignment horizontal="center" vertical="center" wrapText="1"/>
    </xf>
    <xf numFmtId="0" fontId="12" fillId="2" borderId="0" xfId="0" applyFont="1" applyFill="1" applyAlignment="1">
      <alignment horizontal="center" vertical="center" wrapText="1"/>
    </xf>
    <xf numFmtId="0" fontId="27" fillId="2" borderId="0" xfId="0" applyFont="1" applyFill="1"/>
    <xf numFmtId="0" fontId="26" fillId="2" borderId="0" xfId="0" applyFont="1" applyFill="1"/>
    <xf numFmtId="0" fontId="4" fillId="2" borderId="0" xfId="0" applyFont="1" applyFill="1"/>
    <xf numFmtId="0" fontId="26" fillId="2" borderId="0" xfId="0" applyFont="1" applyFill="1" applyAlignment="1">
      <alignment horizontal="center" vertical="center" wrapText="1"/>
    </xf>
    <xf numFmtId="0" fontId="4" fillId="2" borderId="9" xfId="0" applyFont="1" applyFill="1" applyBorder="1"/>
    <xf numFmtId="0" fontId="0" fillId="2" borderId="9" xfId="0" applyFill="1" applyBorder="1"/>
    <xf numFmtId="0" fontId="8" fillId="2" borderId="0" xfId="0" applyFont="1" applyFill="1" applyAlignment="1">
      <alignment horizontal="center" vertical="center"/>
    </xf>
    <xf numFmtId="0" fontId="11" fillId="2" borderId="0" xfId="0" applyFont="1" applyFill="1" applyAlignment="1">
      <alignment horizontal="right"/>
    </xf>
    <xf numFmtId="0" fontId="11" fillId="2" borderId="0" xfId="0" applyFont="1" applyFill="1" applyAlignment="1">
      <alignment horizontal="center"/>
    </xf>
    <xf numFmtId="1" fontId="36" fillId="2" borderId="0" xfId="0" applyNumberFormat="1" applyFont="1" applyFill="1" applyAlignment="1">
      <alignment horizontal="right" vertical="center"/>
    </xf>
    <xf numFmtId="166" fontId="36" fillId="2" borderId="0" xfId="0" applyNumberFormat="1" applyFont="1" applyFill="1" applyAlignment="1">
      <alignment horizontal="left" vertical="center"/>
    </xf>
    <xf numFmtId="2" fontId="36" fillId="2" borderId="0" xfId="0" applyNumberFormat="1" applyFont="1" applyFill="1" applyAlignment="1">
      <alignment horizontal="center" vertical="center"/>
    </xf>
    <xf numFmtId="1" fontId="12" fillId="2" borderId="0" xfId="0" applyNumberFormat="1" applyFont="1" applyFill="1" applyAlignment="1">
      <alignment horizontal="center" vertical="center"/>
    </xf>
    <xf numFmtId="0" fontId="33" fillId="0" borderId="0" xfId="0" applyFont="1" applyAlignment="1">
      <alignment vertical="center"/>
    </xf>
    <xf numFmtId="0" fontId="0" fillId="2" borderId="15" xfId="0" applyFill="1" applyBorder="1" applyAlignment="1">
      <alignment horizontal="center" vertical="center"/>
    </xf>
    <xf numFmtId="10" fontId="0" fillId="2" borderId="16" xfId="0" applyNumberFormat="1" applyFill="1" applyBorder="1" applyAlignment="1">
      <alignment horizontal="center" vertical="center"/>
    </xf>
    <xf numFmtId="0" fontId="0" fillId="2" borderId="17" xfId="0" applyFill="1" applyBorder="1" applyAlignment="1">
      <alignment horizontal="center" vertical="center"/>
    </xf>
    <xf numFmtId="1" fontId="0" fillId="2" borderId="18" xfId="0" applyNumberFormat="1" applyFill="1" applyBorder="1" applyAlignment="1">
      <alignment horizontal="center" vertical="center"/>
    </xf>
    <xf numFmtId="169" fontId="0" fillId="2" borderId="22" xfId="0" applyNumberFormat="1" applyFill="1" applyBorder="1" applyAlignment="1">
      <alignment horizontal="left" vertical="center"/>
    </xf>
    <xf numFmtId="2" fontId="0" fillId="2" borderId="0" xfId="0" applyNumberFormat="1" applyFill="1"/>
    <xf numFmtId="0" fontId="12"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1" fontId="0" fillId="0" borderId="0" xfId="0" applyNumberFormat="1"/>
    <xf numFmtId="1" fontId="2" fillId="6" borderId="18" xfId="0" applyNumberFormat="1" applyFont="1" applyFill="1" applyBorder="1" applyAlignment="1" applyProtection="1">
      <alignment horizontal="center" vertical="center"/>
      <protection locked="0"/>
    </xf>
    <xf numFmtId="49" fontId="2" fillId="0" borderId="0" xfId="0" applyNumberFormat="1" applyFont="1" applyAlignment="1">
      <alignment horizontal="right" vertical="center"/>
    </xf>
    <xf numFmtId="49" fontId="2" fillId="2" borderId="21" xfId="0" applyNumberFormat="1" applyFont="1" applyFill="1" applyBorder="1" applyAlignment="1">
      <alignment horizontal="right" vertical="center"/>
    </xf>
    <xf numFmtId="0" fontId="2" fillId="0" borderId="0" xfId="0" applyFont="1"/>
    <xf numFmtId="0" fontId="10" fillId="6" borderId="0" xfId="0" applyFont="1" applyFill="1" applyAlignment="1">
      <alignment horizontal="center" vertical="center" wrapText="1"/>
    </xf>
    <xf numFmtId="0" fontId="25" fillId="6" borderId="0" xfId="0" applyFont="1" applyFill="1" applyAlignment="1">
      <alignment horizontal="center" vertical="center" wrapText="1"/>
    </xf>
    <xf numFmtId="0" fontId="24" fillId="6" borderId="0" xfId="0" applyFont="1" applyFill="1" applyAlignment="1">
      <alignment horizontal="center" vertical="center" wrapText="1"/>
    </xf>
    <xf numFmtId="1" fontId="24" fillId="6" borderId="0" xfId="0" applyNumberFormat="1" applyFont="1" applyFill="1" applyAlignment="1">
      <alignment horizontal="center" vertical="center" wrapText="1"/>
    </xf>
    <xf numFmtId="2" fontId="24" fillId="6" borderId="0" xfId="0" applyNumberFormat="1" applyFont="1" applyFill="1" applyAlignment="1">
      <alignment horizontal="center" vertical="center" wrapText="1"/>
    </xf>
    <xf numFmtId="0" fontId="3" fillId="2" borderId="0" xfId="0" applyFont="1" applyFill="1" applyAlignment="1" applyProtection="1">
      <alignment vertical="center"/>
      <protection locked="0"/>
    </xf>
    <xf numFmtId="165" fontId="3" fillId="2" borderId="0" xfId="0" applyNumberFormat="1" applyFont="1" applyFill="1" applyAlignment="1" applyProtection="1">
      <alignment vertical="center"/>
      <protection locked="0"/>
    </xf>
    <xf numFmtId="0" fontId="3" fillId="2" borderId="2" xfId="0" applyFont="1" applyFill="1" applyBorder="1" applyAlignment="1">
      <alignment horizontal="center" vertical="center"/>
    </xf>
    <xf numFmtId="0" fontId="3" fillId="2" borderId="0" xfId="0" applyFont="1" applyFill="1" applyAlignment="1">
      <alignment vertical="center"/>
    </xf>
    <xf numFmtId="0" fontId="2" fillId="2" borderId="0" xfId="0" applyFont="1" applyFill="1" applyAlignment="1">
      <alignment horizontal="right" vertical="center"/>
    </xf>
    <xf numFmtId="0" fontId="3" fillId="6" borderId="2" xfId="0" applyFont="1" applyFill="1" applyBorder="1" applyAlignment="1">
      <alignment horizontal="center" vertical="center"/>
    </xf>
    <xf numFmtId="0" fontId="3" fillId="6" borderId="2" xfId="0" applyFont="1" applyFill="1" applyBorder="1" applyAlignment="1" applyProtection="1">
      <alignment horizontal="center" vertical="center"/>
      <protection locked="0"/>
    </xf>
    <xf numFmtId="0" fontId="2" fillId="2" borderId="0" xfId="0" applyFont="1" applyFill="1" applyAlignment="1">
      <alignment vertical="center"/>
    </xf>
    <xf numFmtId="0" fontId="3" fillId="0" borderId="0" xfId="0" applyFont="1" applyAlignment="1">
      <alignment vertical="center"/>
    </xf>
    <xf numFmtId="0" fontId="5" fillId="0" borderId="0" xfId="0" applyFont="1" applyAlignment="1">
      <alignment vertical="center"/>
    </xf>
    <xf numFmtId="0" fontId="3" fillId="0" borderId="0" xfId="0" applyFont="1" applyAlignment="1" applyProtection="1">
      <alignment horizontal="center" vertical="center"/>
      <protection locked="0"/>
    </xf>
    <xf numFmtId="2" fontId="3" fillId="0" borderId="0" xfId="0" applyNumberFormat="1" applyFont="1" applyAlignment="1">
      <alignment vertical="center"/>
    </xf>
    <xf numFmtId="1" fontId="3" fillId="0" borderId="0" xfId="0" applyNumberFormat="1" applyFont="1" applyAlignment="1">
      <alignment vertical="center"/>
    </xf>
    <xf numFmtId="1" fontId="5" fillId="0" borderId="0" xfId="0" applyNumberFormat="1" applyFont="1" applyAlignment="1">
      <alignment vertical="center"/>
    </xf>
    <xf numFmtId="1" fontId="39" fillId="0" borderId="0" xfId="0" applyNumberFormat="1" applyFont="1" applyAlignment="1">
      <alignment horizontal="center" vertical="center"/>
    </xf>
    <xf numFmtId="0" fontId="3" fillId="6" borderId="0" xfId="0" applyFont="1" applyFill="1" applyAlignment="1">
      <alignment vertical="center"/>
    </xf>
    <xf numFmtId="0" fontId="5" fillId="6" borderId="0" xfId="0" applyFont="1" applyFill="1" applyAlignment="1">
      <alignment vertical="center"/>
    </xf>
    <xf numFmtId="2" fontId="19" fillId="6" borderId="0" xfId="0" applyNumberFormat="1" applyFont="1" applyFill="1" applyAlignment="1">
      <alignment vertical="center"/>
    </xf>
    <xf numFmtId="0" fontId="37" fillId="2" borderId="0" xfId="0" applyFont="1" applyFill="1" applyAlignment="1">
      <alignment vertical="center"/>
    </xf>
    <xf numFmtId="0" fontId="3" fillId="0" borderId="0" xfId="2" applyFont="1" applyAlignment="1">
      <alignment vertical="center"/>
    </xf>
    <xf numFmtId="0" fontId="3" fillId="0" borderId="0" xfId="2" applyFont="1" applyAlignment="1">
      <alignment horizontal="left" vertical="center"/>
    </xf>
    <xf numFmtId="0" fontId="3" fillId="0" borderId="0" xfId="2" applyFont="1" applyAlignment="1">
      <alignment horizontal="center" vertical="center"/>
    </xf>
    <xf numFmtId="0" fontId="3" fillId="0" borderId="0" xfId="0" applyFont="1" applyAlignment="1">
      <alignment horizontal="left" vertical="center"/>
    </xf>
    <xf numFmtId="0" fontId="43" fillId="6" borderId="0" xfId="0" applyFont="1" applyFill="1" applyAlignment="1">
      <alignment horizontal="center" vertical="center"/>
    </xf>
    <xf numFmtId="0" fontId="44" fillId="0" borderId="0" xfId="0" applyFont="1" applyAlignment="1">
      <alignment horizontal="center" vertical="center"/>
    </xf>
    <xf numFmtId="0" fontId="43" fillId="6" borderId="0" xfId="0" applyFont="1" applyFill="1" applyAlignment="1">
      <alignment horizontal="left" vertical="center"/>
    </xf>
    <xf numFmtId="0" fontId="44" fillId="6" borderId="0" xfId="0" applyFont="1" applyFill="1" applyAlignment="1">
      <alignment horizontal="left" vertical="center"/>
    </xf>
    <xf numFmtId="0" fontId="44" fillId="0" borderId="0" xfId="0" applyFont="1" applyAlignment="1">
      <alignment horizontal="left" vertical="center"/>
    </xf>
    <xf numFmtId="0" fontId="44" fillId="0" borderId="0" xfId="0" applyFont="1" applyAlignment="1">
      <alignment vertical="center"/>
    </xf>
    <xf numFmtId="0" fontId="42" fillId="0" borderId="0" xfId="0" applyFont="1" applyAlignment="1">
      <alignment vertical="center"/>
    </xf>
    <xf numFmtId="0" fontId="0" fillId="10" borderId="0" xfId="0" applyFill="1" applyAlignment="1" applyProtection="1">
      <alignment vertical="center"/>
      <protection locked="0"/>
    </xf>
    <xf numFmtId="0" fontId="46" fillId="0" borderId="0" xfId="0" applyFont="1" applyAlignment="1">
      <alignment horizontal="center" vertical="center"/>
    </xf>
    <xf numFmtId="0" fontId="2" fillId="0" borderId="0" xfId="0" applyFont="1" applyAlignment="1">
      <alignment horizontal="center" vertical="center"/>
    </xf>
    <xf numFmtId="0" fontId="44" fillId="0" borderId="0" xfId="0" applyFont="1" applyAlignment="1" applyProtection="1">
      <alignment horizontal="center" vertical="center"/>
      <protection locked="0"/>
    </xf>
    <xf numFmtId="0" fontId="44" fillId="6" borderId="0" xfId="0" applyFont="1" applyFill="1" applyAlignment="1">
      <alignment vertical="center"/>
    </xf>
    <xf numFmtId="0" fontId="44" fillId="0" borderId="0" xfId="0" quotePrefix="1" applyFont="1" applyAlignment="1">
      <alignment horizontal="center" vertical="center"/>
    </xf>
    <xf numFmtId="0" fontId="45" fillId="6" borderId="0" xfId="0" applyFont="1" applyFill="1" applyAlignment="1">
      <alignment horizontal="center" vertical="center"/>
    </xf>
    <xf numFmtId="0" fontId="47" fillId="6" borderId="0" xfId="0" applyFont="1" applyFill="1" applyAlignment="1">
      <alignment horizontal="center" vertical="center"/>
    </xf>
    <xf numFmtId="0" fontId="44" fillId="6" borderId="0" xfId="0" applyFont="1" applyFill="1" applyAlignment="1" applyProtection="1">
      <alignment horizontal="center" vertical="center"/>
      <protection locked="0"/>
    </xf>
    <xf numFmtId="0" fontId="43" fillId="0" borderId="0" xfId="0" applyFont="1" applyAlignment="1">
      <alignment vertical="center"/>
    </xf>
    <xf numFmtId="173" fontId="44" fillId="6" borderId="0" xfId="0" applyNumberFormat="1" applyFont="1" applyFill="1" applyAlignment="1">
      <alignment vertical="center"/>
    </xf>
    <xf numFmtId="0" fontId="43" fillId="6" borderId="0" xfId="0" applyFont="1" applyFill="1" applyAlignment="1">
      <alignment vertical="center"/>
    </xf>
    <xf numFmtId="0" fontId="43" fillId="10" borderId="0" xfId="0" applyFont="1" applyFill="1" applyAlignment="1" applyProtection="1">
      <alignment horizontal="left" vertical="center"/>
      <protection locked="0"/>
    </xf>
    <xf numFmtId="0" fontId="43" fillId="6" borderId="8" xfId="0" applyFont="1" applyFill="1" applyBorder="1" applyAlignment="1">
      <alignment vertical="center"/>
    </xf>
    <xf numFmtId="0" fontId="43" fillId="6" borderId="8" xfId="0" applyFont="1" applyFill="1" applyBorder="1" applyAlignment="1">
      <alignment horizontal="left" vertical="center"/>
    </xf>
    <xf numFmtId="164" fontId="44" fillId="0" borderId="0" xfId="0" applyNumberFormat="1" applyFont="1" applyAlignment="1" applyProtection="1">
      <alignment horizontal="center" vertical="center"/>
      <protection locked="0"/>
    </xf>
    <xf numFmtId="0" fontId="44" fillId="6" borderId="0" xfId="0" applyFont="1" applyFill="1" applyAlignment="1">
      <alignment horizontal="center" vertical="center"/>
    </xf>
    <xf numFmtId="0" fontId="44" fillId="10" borderId="8" xfId="0" applyFont="1" applyFill="1" applyBorder="1" applyAlignment="1" applyProtection="1">
      <alignment horizontal="center" vertical="center"/>
      <protection locked="0"/>
    </xf>
    <xf numFmtId="0" fontId="43" fillId="10" borderId="0" xfId="0" applyFont="1" applyFill="1" applyAlignment="1" applyProtection="1">
      <alignment horizontal="right" vertical="center"/>
      <protection locked="0"/>
    </xf>
    <xf numFmtId="0" fontId="43" fillId="10" borderId="0" xfId="0" applyFont="1" applyFill="1" applyAlignment="1" applyProtection="1">
      <alignment vertical="center"/>
      <protection locked="0"/>
    </xf>
    <xf numFmtId="0" fontId="43" fillId="10" borderId="0" xfId="0" applyFont="1" applyFill="1" applyAlignment="1">
      <alignment horizontal="right" vertical="center"/>
    </xf>
    <xf numFmtId="0" fontId="43" fillId="10" borderId="0" xfId="0" applyFont="1" applyFill="1" applyAlignment="1">
      <alignment horizontal="left" vertical="center"/>
    </xf>
    <xf numFmtId="0" fontId="43" fillId="0" borderId="0" xfId="0" applyFont="1" applyAlignment="1">
      <alignment horizontal="left" vertical="center"/>
    </xf>
    <xf numFmtId="0" fontId="44" fillId="0" borderId="0" xfId="0" applyFont="1" applyAlignment="1" applyProtection="1">
      <alignment vertical="center"/>
      <protection locked="0"/>
    </xf>
    <xf numFmtId="0" fontId="43" fillId="0" borderId="0" xfId="2" applyFont="1" applyAlignment="1">
      <alignment vertical="center"/>
    </xf>
    <xf numFmtId="0" fontId="50" fillId="0" borderId="0" xfId="2" applyFont="1" applyAlignment="1">
      <alignment vertical="center"/>
    </xf>
    <xf numFmtId="0" fontId="41" fillId="0" borderId="0" xfId="2" applyFont="1" applyAlignment="1">
      <alignment horizontal="center" vertical="center"/>
    </xf>
    <xf numFmtId="0" fontId="43" fillId="6" borderId="0" xfId="0" applyFont="1" applyFill="1" applyAlignment="1" applyProtection="1">
      <alignment horizontal="left" vertical="center"/>
      <protection locked="0"/>
    </xf>
    <xf numFmtId="172" fontId="44" fillId="6" borderId="0" xfId="0" applyNumberFormat="1" applyFont="1" applyFill="1" applyAlignment="1">
      <alignment vertical="center"/>
    </xf>
    <xf numFmtId="0" fontId="53" fillId="10" borderId="0" xfId="0" applyFont="1" applyFill="1" applyAlignment="1" applyProtection="1">
      <alignment vertical="center"/>
      <protection locked="0"/>
    </xf>
    <xf numFmtId="0" fontId="41" fillId="10" borderId="7" xfId="2" applyFont="1" applyFill="1" applyBorder="1" applyAlignment="1" applyProtection="1">
      <alignment horizontal="center" vertical="center"/>
      <protection locked="0"/>
    </xf>
    <xf numFmtId="0" fontId="51" fillId="10" borderId="8" xfId="2"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7" fillId="10" borderId="0" xfId="0" applyFont="1" applyFill="1" applyAlignment="1" applyProtection="1">
      <alignment horizontal="left" vertical="center"/>
      <protection locked="0"/>
    </xf>
    <xf numFmtId="0" fontId="47" fillId="6" borderId="0" xfId="0" applyFont="1" applyFill="1" applyAlignment="1">
      <alignment vertical="center"/>
    </xf>
    <xf numFmtId="0" fontId="45" fillId="6" borderId="0" xfId="0" applyFont="1" applyFill="1" applyAlignment="1">
      <alignment vertical="center"/>
    </xf>
    <xf numFmtId="0" fontId="46" fillId="0" borderId="0" xfId="0" applyFont="1" applyAlignment="1">
      <alignment vertical="center"/>
    </xf>
    <xf numFmtId="0" fontId="44" fillId="0" borderId="0" xfId="2" applyFont="1" applyAlignment="1">
      <alignment vertical="center"/>
    </xf>
    <xf numFmtId="0" fontId="47" fillId="12" borderId="0" xfId="0" applyFont="1" applyFill="1" applyAlignment="1">
      <alignment horizontal="center" vertical="center"/>
    </xf>
    <xf numFmtId="0" fontId="51" fillId="0" borderId="0" xfId="2" applyFont="1" applyAlignment="1">
      <alignment vertical="center"/>
    </xf>
    <xf numFmtId="0" fontId="51" fillId="0" borderId="0" xfId="2" applyFont="1" applyAlignment="1">
      <alignment horizontal="center" vertical="center"/>
    </xf>
    <xf numFmtId="0" fontId="43" fillId="0" borderId="0" xfId="2" applyFont="1" applyAlignment="1">
      <alignment horizontal="center" vertical="center"/>
    </xf>
    <xf numFmtId="0" fontId="44" fillId="0" borderId="0" xfId="2" applyFont="1" applyAlignment="1">
      <alignment horizontal="center" vertical="center"/>
    </xf>
    <xf numFmtId="0" fontId="43" fillId="0" borderId="0" xfId="0" applyFont="1" applyAlignment="1">
      <alignment horizontal="center" vertical="center"/>
    </xf>
    <xf numFmtId="1" fontId="44" fillId="0" borderId="0" xfId="0" applyNumberFormat="1" applyFont="1" applyAlignment="1">
      <alignment horizontal="center" vertical="center"/>
    </xf>
    <xf numFmtId="1" fontId="43" fillId="0" borderId="0" xfId="0" applyNumberFormat="1" applyFont="1" applyAlignment="1">
      <alignment horizontal="center" vertical="center"/>
    </xf>
    <xf numFmtId="0" fontId="43" fillId="0" borderId="0" xfId="0" applyFont="1" applyAlignment="1" applyProtection="1">
      <alignment horizontal="left" vertical="center"/>
      <protection locked="0"/>
    </xf>
    <xf numFmtId="0" fontId="3" fillId="0" borderId="0" xfId="0" applyFont="1"/>
    <xf numFmtId="0" fontId="3" fillId="0" borderId="2" xfId="0" applyFont="1" applyBorder="1" applyAlignment="1">
      <alignment horizontal="center" vertical="center"/>
    </xf>
    <xf numFmtId="0" fontId="20" fillId="0" borderId="0" xfId="0" applyFont="1"/>
    <xf numFmtId="0" fontId="20" fillId="0" borderId="0" xfId="2" applyFont="1" applyAlignment="1">
      <alignment vertical="center"/>
    </xf>
    <xf numFmtId="0" fontId="2" fillId="0" borderId="2" xfId="0" applyFont="1" applyBorder="1"/>
    <xf numFmtId="0" fontId="2" fillId="0" borderId="0" xfId="0" applyFont="1" applyAlignment="1">
      <alignment horizontal="left" vertical="center"/>
    </xf>
    <xf numFmtId="0" fontId="51" fillId="0" borderId="0" xfId="2" applyFont="1" applyAlignment="1">
      <alignment horizontal="left" vertical="center"/>
    </xf>
    <xf numFmtId="0" fontId="2" fillId="0" borderId="0" xfId="2" applyAlignment="1">
      <alignment horizontal="center" vertical="center"/>
    </xf>
    <xf numFmtId="0" fontId="2" fillId="0" borderId="0" xfId="2" applyAlignment="1">
      <alignment vertical="center"/>
    </xf>
    <xf numFmtId="0" fontId="2" fillId="0" borderId="6" xfId="0" quotePrefix="1" applyFont="1" applyBorder="1"/>
    <xf numFmtId="0" fontId="2" fillId="0" borderId="5" xfId="0" applyFont="1" applyBorder="1"/>
    <xf numFmtId="2" fontId="2" fillId="0" borderId="0" xfId="2" applyNumberFormat="1" applyAlignment="1">
      <alignment horizontal="center" vertical="center"/>
    </xf>
    <xf numFmtId="0" fontId="2" fillId="0" borderId="0" xfId="2" applyAlignment="1">
      <alignment horizontal="left" vertical="center"/>
    </xf>
    <xf numFmtId="167" fontId="2" fillId="0" borderId="0" xfId="2" applyNumberFormat="1" applyAlignment="1">
      <alignment horizontal="center" vertical="center"/>
    </xf>
    <xf numFmtId="0" fontId="0" fillId="0" borderId="0" xfId="0" applyProtection="1">
      <protection locked="0"/>
    </xf>
    <xf numFmtId="49" fontId="0" fillId="0" borderId="0" xfId="0" applyNumberFormat="1" applyAlignment="1">
      <alignment vertical="center"/>
    </xf>
    <xf numFmtId="0" fontId="3" fillId="10" borderId="0" xfId="0" applyFont="1" applyFill="1" applyAlignment="1" applyProtection="1">
      <alignment vertical="center"/>
      <protection locked="0"/>
    </xf>
    <xf numFmtId="0" fontId="14" fillId="0" borderId="0" xfId="0" applyFont="1"/>
    <xf numFmtId="0" fontId="0" fillId="0" borderId="0" xfId="0" applyAlignment="1">
      <alignment vertical="center"/>
    </xf>
    <xf numFmtId="0" fontId="0" fillId="6" borderId="0" xfId="0" applyFill="1" applyAlignment="1">
      <alignment vertical="center"/>
    </xf>
    <xf numFmtId="0" fontId="45" fillId="6" borderId="0" xfId="0" applyFont="1" applyFill="1" applyAlignment="1">
      <alignment horizontal="left" vertical="center"/>
    </xf>
    <xf numFmtId="49" fontId="44" fillId="0" borderId="0" xfId="0" applyNumberFormat="1" applyFont="1" applyAlignment="1">
      <alignment vertical="center"/>
    </xf>
    <xf numFmtId="0" fontId="46" fillId="6" borderId="0" xfId="0" applyFont="1" applyFill="1" applyAlignment="1">
      <alignment horizontal="center" vertical="center"/>
    </xf>
    <xf numFmtId="0" fontId="41" fillId="0" borderId="0" xfId="2" applyFont="1" applyAlignment="1">
      <alignment vertical="center"/>
    </xf>
    <xf numFmtId="0" fontId="44" fillId="0" borderId="5" xfId="0" applyFont="1" applyBorder="1" applyAlignment="1">
      <alignment horizontal="left" vertical="center"/>
    </xf>
    <xf numFmtId="0" fontId="2" fillId="0" borderId="0" xfId="0" applyFont="1" applyAlignment="1">
      <alignment vertical="center"/>
    </xf>
    <xf numFmtId="172" fontId="49" fillId="6" borderId="0" xfId="0" applyNumberFormat="1" applyFont="1" applyFill="1" applyAlignment="1">
      <alignment horizontal="center" vertical="center"/>
    </xf>
    <xf numFmtId="1" fontId="47" fillId="6" borderId="0" xfId="0" applyNumberFormat="1" applyFont="1" applyFill="1" applyAlignment="1">
      <alignment horizontal="center" vertical="center"/>
    </xf>
    <xf numFmtId="0" fontId="42" fillId="0" borderId="0" xfId="0" applyFont="1" applyAlignment="1">
      <alignment horizontal="center" vertical="center"/>
    </xf>
    <xf numFmtId="0" fontId="44" fillId="0" borderId="1" xfId="0" applyFont="1" applyBorder="1" applyAlignment="1">
      <alignment vertical="center"/>
    </xf>
    <xf numFmtId="0" fontId="0" fillId="0" borderId="0" xfId="0" applyAlignment="1">
      <alignment horizontal="center" vertical="center"/>
    </xf>
    <xf numFmtId="0" fontId="54" fillId="0" borderId="0" xfId="0" applyFont="1"/>
    <xf numFmtId="14" fontId="0" fillId="0" borderId="0" xfId="0" applyNumberFormat="1"/>
    <xf numFmtId="0" fontId="41" fillId="0" borderId="0" xfId="2" applyFont="1" applyAlignment="1" applyProtection="1">
      <alignment vertical="center"/>
      <protection locked="0"/>
    </xf>
    <xf numFmtId="0" fontId="3" fillId="10" borderId="0" xfId="0" applyFont="1" applyFill="1" applyProtection="1">
      <protection locked="0"/>
    </xf>
    <xf numFmtId="0" fontId="8" fillId="0" borderId="0" xfId="0" applyFont="1"/>
    <xf numFmtId="0" fontId="31" fillId="0" borderId="0" xfId="0" applyFont="1"/>
    <xf numFmtId="0" fontId="60" fillId="0" borderId="0" xfId="0" applyFont="1"/>
    <xf numFmtId="14" fontId="8" fillId="0" borderId="0" xfId="0" applyNumberFormat="1" applyFont="1"/>
    <xf numFmtId="0" fontId="61" fillId="2" borderId="0" xfId="0" applyFont="1" applyFill="1"/>
    <xf numFmtId="0" fontId="3" fillId="14" borderId="0" xfId="0" applyFont="1" applyFill="1" applyAlignment="1">
      <alignment vertical="center"/>
    </xf>
    <xf numFmtId="0" fontId="2" fillId="0" borderId="0" xfId="0" applyFont="1" applyAlignment="1">
      <alignment horizontal="left"/>
    </xf>
    <xf numFmtId="0" fontId="2" fillId="2" borderId="2" xfId="0" applyFont="1" applyFill="1" applyBorder="1" applyAlignment="1">
      <alignment vertical="center"/>
    </xf>
    <xf numFmtId="0" fontId="2" fillId="6" borderId="0" xfId="0" quotePrefix="1" applyFont="1" applyFill="1" applyAlignment="1">
      <alignment vertical="center"/>
    </xf>
    <xf numFmtId="0" fontId="2" fillId="0" borderId="0" xfId="0" applyFont="1" applyAlignment="1" applyProtection="1">
      <alignment horizontal="center" vertical="center"/>
      <protection locked="0"/>
    </xf>
    <xf numFmtId="0" fontId="2" fillId="2" borderId="0" xfId="0" applyFont="1" applyFill="1" applyAlignment="1">
      <alignment horizontal="center" vertical="center"/>
    </xf>
    <xf numFmtId="0" fontId="2" fillId="2" borderId="0" xfId="0" applyFont="1" applyFill="1" applyAlignment="1">
      <alignment horizontal="left" vertical="center"/>
    </xf>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2" fillId="2" borderId="0" xfId="0" quotePrefix="1" applyFont="1" applyFill="1" applyAlignment="1">
      <alignment vertical="center"/>
    </xf>
    <xf numFmtId="1" fontId="2" fillId="2" borderId="0" xfId="0" applyNumberFormat="1" applyFont="1" applyFill="1" applyAlignment="1">
      <alignment horizontal="center" vertical="center"/>
    </xf>
    <xf numFmtId="0" fontId="2" fillId="6" borderId="0" xfId="0" applyFont="1" applyFill="1" applyAlignment="1" applyProtection="1">
      <alignment horizontal="center" vertical="center"/>
      <protection locked="0"/>
    </xf>
    <xf numFmtId="2" fontId="2" fillId="0" borderId="0" xfId="0" applyNumberFormat="1" applyFont="1" applyAlignment="1">
      <alignment horizontal="center" vertical="center"/>
    </xf>
    <xf numFmtId="2" fontId="2" fillId="0" borderId="0" xfId="0" applyNumberFormat="1" applyFont="1" applyAlignment="1">
      <alignment vertical="center"/>
    </xf>
    <xf numFmtId="1" fontId="2" fillId="0" borderId="0" xfId="0" applyNumberFormat="1" applyFont="1" applyAlignment="1">
      <alignment horizontal="center" vertical="center"/>
    </xf>
    <xf numFmtId="0" fontId="2" fillId="6" borderId="0" xfId="0" applyFont="1" applyFill="1" applyAlignment="1">
      <alignment vertical="center"/>
    </xf>
    <xf numFmtId="0" fontId="2" fillId="2" borderId="0" xfId="0" applyFont="1" applyFill="1" applyAlignment="1" applyProtection="1">
      <alignment vertical="center"/>
      <protection locked="0"/>
    </xf>
    <xf numFmtId="1" fontId="2" fillId="2" borderId="0" xfId="0" applyNumberFormat="1" applyFont="1" applyFill="1" applyAlignment="1" applyProtection="1">
      <alignment vertical="center"/>
      <protection locked="0"/>
    </xf>
    <xf numFmtId="0" fontId="2" fillId="2" borderId="0" xfId="0" applyFont="1" applyFill="1"/>
    <xf numFmtId="0" fontId="2" fillId="2" borderId="0" xfId="0" applyFont="1" applyFill="1" applyAlignment="1">
      <alignment horizontal="left"/>
    </xf>
    <xf numFmtId="166" fontId="2" fillId="2" borderId="0" xfId="0" applyNumberFormat="1" applyFont="1" applyFill="1" applyAlignment="1">
      <alignment horizontal="center" vertical="center"/>
    </xf>
    <xf numFmtId="169" fontId="2" fillId="2" borderId="0" xfId="0" applyNumberFormat="1" applyFont="1" applyFill="1" applyAlignment="1">
      <alignment horizontal="left" vertical="center"/>
    </xf>
    <xf numFmtId="0" fontId="2" fillId="0" borderId="0" xfId="0" applyFont="1" applyAlignment="1">
      <alignment vertical="center" wrapText="1"/>
    </xf>
    <xf numFmtId="0" fontId="2" fillId="0" borderId="0" xfId="0" applyFont="1" applyAlignment="1">
      <alignment wrapText="1"/>
    </xf>
    <xf numFmtId="0" fontId="2" fillId="2" borderId="21" xfId="0" applyFont="1" applyFill="1" applyBorder="1" applyAlignment="1">
      <alignment horizontal="left" vertical="center"/>
    </xf>
    <xf numFmtId="0" fontId="2" fillId="2" borderId="20" xfId="0" applyFont="1" applyFill="1" applyBorder="1" applyAlignment="1">
      <alignment vertical="center"/>
    </xf>
    <xf numFmtId="10" fontId="2" fillId="2" borderId="16" xfId="0" applyNumberFormat="1" applyFont="1" applyFill="1" applyBorder="1" applyAlignment="1">
      <alignment horizontal="center" vertical="center"/>
    </xf>
    <xf numFmtId="1" fontId="2" fillId="2" borderId="18" xfId="0" applyNumberFormat="1" applyFont="1" applyFill="1" applyBorder="1" applyAlignment="1">
      <alignment horizontal="center" vertical="center"/>
    </xf>
    <xf numFmtId="10" fontId="2" fillId="2" borderId="19" xfId="0" applyNumberFormat="1" applyFont="1" applyFill="1" applyBorder="1" applyAlignment="1">
      <alignment horizontal="center" vertical="center"/>
    </xf>
    <xf numFmtId="0" fontId="63" fillId="0" borderId="0" xfId="6"/>
    <xf numFmtId="170" fontId="2" fillId="0" borderId="0" xfId="5" applyNumberFormat="1" applyFont="1"/>
    <xf numFmtId="0" fontId="1" fillId="0" borderId="24" xfId="8" applyBorder="1"/>
    <xf numFmtId="0" fontId="1" fillId="0" borderId="25" xfId="8" applyBorder="1"/>
    <xf numFmtId="0" fontId="1" fillId="0" borderId="26" xfId="8" applyBorder="1"/>
    <xf numFmtId="0" fontId="1" fillId="0" borderId="0" xfId="8"/>
    <xf numFmtId="0" fontId="1" fillId="0" borderId="5" xfId="8" applyBorder="1"/>
    <xf numFmtId="0" fontId="1" fillId="0" borderId="3" xfId="8" applyBorder="1"/>
    <xf numFmtId="0" fontId="67" fillId="0" borderId="0" xfId="9" applyBorder="1"/>
    <xf numFmtId="0" fontId="66" fillId="0" borderId="0" xfId="6" applyFont="1" applyAlignment="1">
      <alignment horizontal="center" vertical="center" wrapText="1"/>
    </xf>
    <xf numFmtId="2" fontId="65" fillId="0" borderId="0" xfId="6" applyNumberFormat="1" applyFont="1" applyAlignment="1">
      <alignment horizontal="left" vertical="center" wrapText="1"/>
    </xf>
    <xf numFmtId="0" fontId="1" fillId="0" borderId="6" xfId="8" applyBorder="1"/>
    <xf numFmtId="0" fontId="1" fillId="0" borderId="2" xfId="8" applyBorder="1"/>
    <xf numFmtId="0" fontId="1" fillId="0" borderId="4" xfId="8" applyBorder="1"/>
    <xf numFmtId="0" fontId="0" fillId="2" borderId="27" xfId="0" applyFill="1" applyBorder="1" applyAlignment="1">
      <alignment horizontal="center"/>
    </xf>
    <xf numFmtId="2" fontId="0" fillId="2" borderId="28" xfId="0" applyNumberFormat="1" applyFill="1" applyBorder="1" applyAlignment="1">
      <alignment horizontal="center"/>
    </xf>
    <xf numFmtId="0" fontId="3" fillId="2" borderId="23" xfId="0" applyFont="1" applyFill="1" applyBorder="1" applyAlignment="1">
      <alignment horizontal="center" vertical="center" wrapText="1"/>
    </xf>
    <xf numFmtId="0" fontId="4" fillId="2" borderId="23" xfId="0" applyFont="1" applyFill="1" applyBorder="1" applyAlignment="1">
      <alignment horizontal="center" vertical="center" wrapText="1"/>
    </xf>
    <xf numFmtId="2" fontId="0" fillId="2" borderId="23" xfId="0" applyNumberFormat="1" applyFill="1" applyBorder="1" applyAlignment="1">
      <alignment horizontal="center" vertical="center" wrapText="1"/>
    </xf>
    <xf numFmtId="0" fontId="0" fillId="2" borderId="23" xfId="0" applyFill="1" applyBorder="1" applyAlignment="1">
      <alignment horizontal="center" vertical="center" wrapText="1"/>
    </xf>
    <xf numFmtId="0" fontId="0" fillId="4" borderId="23" xfId="0" applyFill="1" applyBorder="1" applyAlignment="1">
      <alignment horizontal="center"/>
    </xf>
    <xf numFmtId="0" fontId="0" fillId="3" borderId="23" xfId="0" applyFill="1" applyBorder="1" applyAlignment="1">
      <alignment horizontal="center"/>
    </xf>
    <xf numFmtId="0" fontId="0" fillId="4" borderId="24" xfId="0" applyFill="1" applyBorder="1" applyAlignment="1">
      <alignment horizontal="center"/>
    </xf>
    <xf numFmtId="2" fontId="0" fillId="3" borderId="26" xfId="0" applyNumberFormat="1" applyFill="1" applyBorder="1" applyAlignment="1">
      <alignment horizontal="center"/>
    </xf>
    <xf numFmtId="0" fontId="0" fillId="2" borderId="23" xfId="0" applyFill="1" applyBorder="1" applyAlignment="1">
      <alignment horizontal="center"/>
    </xf>
    <xf numFmtId="11" fontId="0" fillId="4" borderId="23" xfId="0" applyNumberFormat="1" applyFill="1" applyBorder="1" applyAlignment="1">
      <alignment horizontal="center"/>
    </xf>
    <xf numFmtId="0" fontId="0" fillId="3" borderId="23" xfId="0" applyFill="1" applyBorder="1"/>
    <xf numFmtId="0" fontId="0" fillId="4" borderId="23" xfId="0" applyFill="1" applyBorder="1"/>
    <xf numFmtId="0" fontId="0" fillId="2" borderId="23" xfId="0" applyFill="1" applyBorder="1"/>
    <xf numFmtId="0" fontId="16" fillId="4" borderId="24" xfId="0" applyFont="1" applyFill="1" applyBorder="1" applyAlignment="1">
      <alignment horizontal="center"/>
    </xf>
    <xf numFmtId="164" fontId="17" fillId="3" borderId="25" xfId="0" applyNumberFormat="1" applyFont="1" applyFill="1" applyBorder="1" applyAlignment="1">
      <alignment horizontal="center"/>
    </xf>
    <xf numFmtId="2" fontId="16" fillId="4" borderId="25" xfId="0" applyNumberFormat="1" applyFont="1" applyFill="1" applyBorder="1" applyAlignment="1">
      <alignment horizontal="center"/>
    </xf>
    <xf numFmtId="0" fontId="17" fillId="2" borderId="26" xfId="0" applyFont="1" applyFill="1" applyBorder="1" applyAlignment="1">
      <alignment horizontal="center"/>
    </xf>
    <xf numFmtId="0" fontId="44" fillId="0" borderId="23" xfId="0" applyFont="1" applyBorder="1" applyAlignment="1">
      <alignment horizontal="right" vertical="center"/>
    </xf>
    <xf numFmtId="0" fontId="44" fillId="6" borderId="23" xfId="0" applyFont="1" applyFill="1" applyBorder="1" applyAlignment="1">
      <alignment horizontal="center" vertical="center"/>
    </xf>
    <xf numFmtId="0" fontId="44" fillId="10" borderId="23" xfId="0" applyFont="1" applyFill="1" applyBorder="1" applyAlignment="1" applyProtection="1">
      <alignment horizontal="center" vertical="center"/>
      <protection locked="0"/>
    </xf>
    <xf numFmtId="0" fontId="44" fillId="10" borderId="23" xfId="0" quotePrefix="1" applyFont="1" applyFill="1" applyBorder="1" applyAlignment="1" applyProtection="1">
      <alignment horizontal="center" vertical="center"/>
      <protection locked="0"/>
    </xf>
    <xf numFmtId="0" fontId="44" fillId="6" borderId="23" xfId="0" quotePrefix="1" applyFont="1" applyFill="1" applyBorder="1" applyAlignment="1">
      <alignment horizontal="center" vertical="center"/>
    </xf>
    <xf numFmtId="0" fontId="44" fillId="0" borderId="23" xfId="0" quotePrefix="1" applyFont="1" applyBorder="1" applyAlignment="1">
      <alignment horizontal="center" vertical="center"/>
    </xf>
    <xf numFmtId="0" fontId="44" fillId="10" borderId="23" xfId="0" applyFont="1" applyFill="1" applyBorder="1" applyAlignment="1">
      <alignment horizontal="center" vertical="center"/>
    </xf>
    <xf numFmtId="1" fontId="44" fillId="0" borderId="23" xfId="0" applyNumberFormat="1" applyFont="1" applyBorder="1" applyAlignment="1">
      <alignment horizontal="right" vertical="center"/>
    </xf>
    <xf numFmtId="0" fontId="44" fillId="10" borderId="23" xfId="0" applyFont="1" applyFill="1" applyBorder="1" applyAlignment="1" applyProtection="1">
      <alignment vertical="center"/>
      <protection locked="0"/>
    </xf>
    <xf numFmtId="14" fontId="44" fillId="10" borderId="23" xfId="0" applyNumberFormat="1" applyFont="1" applyFill="1" applyBorder="1" applyAlignment="1" applyProtection="1">
      <alignment horizontal="center" vertical="center"/>
      <protection locked="0"/>
    </xf>
    <xf numFmtId="175" fontId="44" fillId="0" borderId="23" xfId="0" applyNumberFormat="1" applyFont="1" applyBorder="1" applyAlignment="1">
      <alignment vertical="center"/>
    </xf>
    <xf numFmtId="14" fontId="44" fillId="6" borderId="23" xfId="0" applyNumberFormat="1" applyFont="1" applyFill="1" applyBorder="1" applyAlignment="1">
      <alignment vertical="center"/>
    </xf>
    <xf numFmtId="172" fontId="44" fillId="10" borderId="23" xfId="0" applyNumberFormat="1" applyFont="1" applyFill="1" applyBorder="1" applyAlignment="1" applyProtection="1">
      <alignment horizontal="center" vertical="center"/>
      <protection locked="0"/>
    </xf>
    <xf numFmtId="14" fontId="44" fillId="6" borderId="23" xfId="0" applyNumberFormat="1" applyFont="1" applyFill="1" applyBorder="1" applyAlignment="1">
      <alignment horizontal="center" vertical="center"/>
    </xf>
    <xf numFmtId="14" fontId="2" fillId="10" borderId="23" xfId="0" applyNumberFormat="1" applyFont="1" applyFill="1" applyBorder="1" applyAlignment="1" applyProtection="1">
      <alignment horizontal="center"/>
      <protection locked="0"/>
    </xf>
    <xf numFmtId="0" fontId="0" fillId="10" borderId="23" xfId="0" applyFill="1" applyBorder="1" applyProtection="1">
      <protection locked="0"/>
    </xf>
    <xf numFmtId="0" fontId="0" fillId="10" borderId="23" xfId="0" applyFill="1" applyBorder="1" applyAlignment="1" applyProtection="1">
      <alignment horizontal="center" vertical="center"/>
      <protection locked="0"/>
    </xf>
    <xf numFmtId="0" fontId="43" fillId="6" borderId="23" xfId="0" applyFont="1" applyFill="1" applyBorder="1" applyAlignment="1">
      <alignment horizontal="center" vertical="center"/>
    </xf>
    <xf numFmtId="49" fontId="0" fillId="10" borderId="23" xfId="0" applyNumberFormat="1" applyFill="1" applyBorder="1" applyAlignment="1" applyProtection="1">
      <alignment horizontal="center" vertical="center"/>
      <protection locked="0"/>
    </xf>
    <xf numFmtId="0" fontId="2" fillId="10" borderId="23" xfId="0" applyFont="1" applyFill="1" applyBorder="1" applyAlignment="1" applyProtection="1">
      <alignment horizontal="center" vertical="center"/>
      <protection locked="0"/>
    </xf>
    <xf numFmtId="0" fontId="2" fillId="10" borderId="29" xfId="0" applyFont="1" applyFill="1" applyBorder="1" applyAlignment="1" applyProtection="1">
      <alignment horizontal="center" vertical="center"/>
      <protection locked="0"/>
    </xf>
    <xf numFmtId="0" fontId="0" fillId="10" borderId="29" xfId="0" applyFill="1" applyBorder="1" applyAlignment="1" applyProtection="1">
      <alignment horizontal="center" vertical="center"/>
      <protection locked="0"/>
    </xf>
    <xf numFmtId="0" fontId="43" fillId="6" borderId="23" xfId="0" applyFont="1" applyFill="1" applyBorder="1" applyAlignment="1">
      <alignment horizontal="left" vertical="center"/>
    </xf>
    <xf numFmtId="0" fontId="43" fillId="6" borderId="23" xfId="0" applyFont="1" applyFill="1" applyBorder="1" applyAlignment="1">
      <alignment vertical="center"/>
    </xf>
    <xf numFmtId="0" fontId="43" fillId="10" borderId="23" xfId="0" applyFont="1" applyFill="1" applyBorder="1" applyAlignment="1" applyProtection="1">
      <alignment vertical="center"/>
      <protection locked="0"/>
    </xf>
    <xf numFmtId="176" fontId="43" fillId="10" borderId="23" xfId="0" applyNumberFormat="1" applyFont="1" applyFill="1" applyBorder="1" applyAlignment="1" applyProtection="1">
      <alignment vertical="center"/>
      <protection locked="0"/>
    </xf>
    <xf numFmtId="0" fontId="43" fillId="10" borderId="23" xfId="0" applyFont="1" applyFill="1" applyBorder="1" applyAlignment="1" applyProtection="1">
      <alignment horizontal="center" vertical="center"/>
      <protection locked="0"/>
    </xf>
    <xf numFmtId="0" fontId="43" fillId="10" borderId="23" xfId="0" applyFont="1" applyFill="1" applyBorder="1" applyAlignment="1" applyProtection="1">
      <alignment horizontal="left" vertical="center"/>
      <protection locked="0"/>
    </xf>
    <xf numFmtId="0" fontId="46" fillId="0" borderId="23" xfId="0" applyFont="1" applyBorder="1" applyAlignment="1">
      <alignment horizontal="left" vertical="center"/>
    </xf>
    <xf numFmtId="0" fontId="44" fillId="0" borderId="23" xfId="0" applyFont="1" applyBorder="1" applyAlignment="1">
      <alignment horizontal="center" vertical="center"/>
    </xf>
    <xf numFmtId="0" fontId="59" fillId="6" borderId="23" xfId="0" applyFont="1" applyFill="1" applyBorder="1" applyAlignment="1">
      <alignment horizontal="center" vertical="center"/>
    </xf>
    <xf numFmtId="1" fontId="43" fillId="10" borderId="23" xfId="0" applyNumberFormat="1" applyFont="1" applyFill="1" applyBorder="1" applyAlignment="1">
      <alignment horizontal="center" vertical="center"/>
    </xf>
    <xf numFmtId="176" fontId="43" fillId="10" borderId="23" xfId="0" applyNumberFormat="1" applyFont="1" applyFill="1" applyBorder="1" applyAlignment="1" applyProtection="1">
      <alignment horizontal="left" vertical="center"/>
      <protection locked="0"/>
    </xf>
    <xf numFmtId="176" fontId="43" fillId="10" borderId="23" xfId="4" applyNumberFormat="1" applyFont="1" applyFill="1" applyBorder="1" applyAlignment="1" applyProtection="1">
      <alignment horizontal="left" vertical="center"/>
      <protection locked="0"/>
    </xf>
    <xf numFmtId="1" fontId="43" fillId="10" borderId="23" xfId="0" applyNumberFormat="1" applyFont="1" applyFill="1" applyBorder="1" applyAlignment="1" applyProtection="1">
      <alignment horizontal="left" vertical="center"/>
      <protection locked="0"/>
    </xf>
    <xf numFmtId="49" fontId="43" fillId="10" borderId="23" xfId="0" applyNumberFormat="1" applyFont="1" applyFill="1" applyBorder="1" applyAlignment="1" applyProtection="1">
      <alignment horizontal="left" vertical="center"/>
      <protection locked="0"/>
    </xf>
    <xf numFmtId="14" fontId="43" fillId="10" borderId="23" xfId="0" applyNumberFormat="1" applyFont="1" applyFill="1" applyBorder="1" applyAlignment="1" applyProtection="1">
      <alignment horizontal="left" vertical="center"/>
      <protection locked="0"/>
    </xf>
    <xf numFmtId="49" fontId="43" fillId="10" borderId="23" xfId="4" applyNumberFormat="1" applyFont="1" applyFill="1" applyBorder="1" applyAlignment="1" applyProtection="1">
      <alignment horizontal="left" vertical="center"/>
      <protection locked="0"/>
    </xf>
    <xf numFmtId="0" fontId="43" fillId="10" borderId="29" xfId="0" applyFont="1" applyFill="1" applyBorder="1" applyAlignment="1" applyProtection="1">
      <alignment horizontal="left" vertical="center"/>
      <protection locked="0"/>
    </xf>
    <xf numFmtId="173" fontId="44" fillId="10" borderId="23" xfId="0" applyNumberFormat="1" applyFont="1" applyFill="1" applyBorder="1" applyAlignment="1" applyProtection="1">
      <alignment horizontal="center" vertical="center"/>
      <protection locked="0"/>
    </xf>
    <xf numFmtId="0" fontId="43" fillId="0" borderId="30" xfId="0" applyFont="1" applyBorder="1" applyAlignment="1">
      <alignment vertical="center"/>
    </xf>
    <xf numFmtId="0" fontId="43" fillId="6" borderId="25" xfId="0" applyFont="1" applyFill="1" applyBorder="1" applyAlignment="1">
      <alignment horizontal="left" vertical="center"/>
    </xf>
    <xf numFmtId="0" fontId="44" fillId="10" borderId="23" xfId="0" applyFont="1" applyFill="1" applyBorder="1" applyAlignment="1" applyProtection="1">
      <alignment horizontal="left" vertical="center"/>
      <protection locked="0"/>
    </xf>
    <xf numFmtId="0" fontId="2" fillId="0" borderId="23" xfId="0" applyFont="1" applyBorder="1" applyAlignment="1">
      <alignment horizontal="center" vertical="center"/>
    </xf>
    <xf numFmtId="0" fontId="0" fillId="0" borderId="23" xfId="0" applyBorder="1"/>
    <xf numFmtId="14" fontId="0" fillId="0" borderId="23" xfId="0" applyNumberFormat="1" applyBorder="1"/>
    <xf numFmtId="0" fontId="44" fillId="6" borderId="23" xfId="0" applyFont="1" applyFill="1" applyBorder="1" applyAlignment="1">
      <alignment horizontal="right" vertical="center"/>
    </xf>
    <xf numFmtId="172" fontId="44" fillId="6" borderId="23" xfId="0" applyNumberFormat="1" applyFont="1" applyFill="1" applyBorder="1" applyAlignment="1">
      <alignment horizontal="center" vertical="center"/>
    </xf>
    <xf numFmtId="1" fontId="44" fillId="6" borderId="23" xfId="0" applyNumberFormat="1" applyFont="1" applyFill="1" applyBorder="1" applyAlignment="1">
      <alignment horizontal="center" vertical="center"/>
    </xf>
    <xf numFmtId="164" fontId="44" fillId="10" borderId="23" xfId="0" applyNumberFormat="1" applyFont="1" applyFill="1" applyBorder="1" applyAlignment="1" applyProtection="1">
      <alignment horizontal="center" vertical="center"/>
      <protection locked="0"/>
    </xf>
    <xf numFmtId="0" fontId="43" fillId="0" borderId="23" xfId="0" applyFont="1" applyBorder="1" applyAlignment="1">
      <alignment horizontal="left" vertical="center"/>
    </xf>
    <xf numFmtId="0" fontId="43" fillId="0" borderId="23" xfId="0" applyFont="1" applyBorder="1" applyAlignment="1">
      <alignment vertical="center"/>
    </xf>
    <xf numFmtId="0" fontId="41" fillId="10" borderId="23" xfId="2" applyFont="1" applyFill="1" applyBorder="1" applyAlignment="1" applyProtection="1">
      <alignment horizontal="center" vertical="center"/>
      <protection locked="0"/>
    </xf>
    <xf numFmtId="0" fontId="51" fillId="10" borderId="23" xfId="2" applyFont="1" applyFill="1" applyBorder="1" applyAlignment="1" applyProtection="1">
      <alignment horizontal="center" vertical="center"/>
      <protection locked="0"/>
    </xf>
    <xf numFmtId="0" fontId="50" fillId="10" borderId="23" xfId="2" applyFont="1" applyFill="1" applyBorder="1" applyAlignment="1">
      <alignment vertical="center"/>
    </xf>
    <xf numFmtId="0" fontId="43" fillId="6" borderId="23" xfId="3" applyFont="1" applyFill="1" applyBorder="1" applyAlignment="1" applyProtection="1">
      <alignment vertical="center"/>
    </xf>
    <xf numFmtId="0" fontId="43" fillId="10" borderId="23" xfId="0" applyFont="1" applyFill="1" applyBorder="1" applyAlignment="1">
      <alignment vertical="center"/>
    </xf>
    <xf numFmtId="0" fontId="43" fillId="13" borderId="27" xfId="0" applyFont="1" applyFill="1" applyBorder="1" applyAlignment="1" applyProtection="1">
      <alignment horizontal="left" vertical="center"/>
      <protection locked="0"/>
    </xf>
    <xf numFmtId="0" fontId="43" fillId="10" borderId="27" xfId="0" applyFont="1" applyFill="1" applyBorder="1" applyAlignment="1" applyProtection="1">
      <alignment horizontal="left" vertical="center"/>
      <protection locked="0"/>
    </xf>
    <xf numFmtId="0" fontId="43" fillId="10" borderId="23" xfId="0" applyFont="1" applyFill="1" applyBorder="1" applyAlignment="1">
      <alignment horizontal="left" vertical="center"/>
    </xf>
    <xf numFmtId="0" fontId="44" fillId="10" borderId="23" xfId="0" applyFont="1" applyFill="1" applyBorder="1" applyAlignment="1">
      <alignment horizontal="left" vertical="center"/>
    </xf>
    <xf numFmtId="0" fontId="43" fillId="0" borderId="23" xfId="0" applyFont="1" applyBorder="1" applyAlignment="1" applyProtection="1">
      <alignment horizontal="left" vertical="center"/>
      <protection locked="0"/>
    </xf>
    <xf numFmtId="0" fontId="41" fillId="0" borderId="27" xfId="2" applyFont="1" applyBorder="1" applyAlignment="1">
      <alignment horizontal="center" vertical="center"/>
    </xf>
    <xf numFmtId="0" fontId="41" fillId="0" borderId="30" xfId="2" applyFont="1" applyBorder="1" applyAlignment="1">
      <alignment horizontal="left" vertical="center"/>
    </xf>
    <xf numFmtId="0" fontId="41" fillId="0" borderId="28" xfId="2" applyFont="1" applyBorder="1" applyAlignment="1">
      <alignment horizontal="center" vertical="center"/>
    </xf>
    <xf numFmtId="0" fontId="41" fillId="0" borderId="30" xfId="2" applyFont="1" applyBorder="1" applyAlignment="1">
      <alignment horizontal="center" vertical="center"/>
    </xf>
    <xf numFmtId="0" fontId="41" fillId="0" borderId="27" xfId="2" applyFont="1" applyBorder="1" applyAlignment="1">
      <alignment horizontal="left" vertical="center"/>
    </xf>
    <xf numFmtId="0" fontId="41" fillId="0" borderId="28" xfId="2" applyFont="1" applyBorder="1" applyAlignment="1">
      <alignment horizontal="left" vertical="center"/>
    </xf>
    <xf numFmtId="164" fontId="41" fillId="0" borderId="27" xfId="2" applyNumberFormat="1" applyFont="1" applyBorder="1" applyAlignment="1">
      <alignment horizontal="center" vertical="center"/>
    </xf>
    <xf numFmtId="164" fontId="41" fillId="0" borderId="30" xfId="2" applyNumberFormat="1" applyFont="1" applyBorder="1" applyAlignment="1">
      <alignment horizontal="center" vertical="center"/>
    </xf>
    <xf numFmtId="164" fontId="41" fillId="0" borderId="28" xfId="2" applyNumberFormat="1" applyFont="1" applyBorder="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41" fillId="0" borderId="23" xfId="2" applyFont="1" applyBorder="1" applyAlignment="1">
      <alignment horizontal="center" vertical="center"/>
    </xf>
    <xf numFmtId="0" fontId="2" fillId="0" borderId="27" xfId="0" quotePrefix="1" applyFont="1" applyBorder="1"/>
    <xf numFmtId="0" fontId="2" fillId="0" borderId="27" xfId="0" applyFont="1" applyBorder="1"/>
    <xf numFmtId="0" fontId="2" fillId="0" borderId="24" xfId="0" quotePrefix="1" applyFont="1" applyBorder="1"/>
    <xf numFmtId="0" fontId="2" fillId="0" borderId="25" xfId="0" applyFont="1" applyBorder="1"/>
    <xf numFmtId="0" fontId="2" fillId="0" borderId="29" xfId="0" quotePrefix="1" applyFont="1" applyBorder="1"/>
    <xf numFmtId="0" fontId="2" fillId="0" borderId="23" xfId="0" quotePrefix="1" applyFont="1" applyBorder="1"/>
    <xf numFmtId="14" fontId="2" fillId="0" borderId="23" xfId="0" applyNumberFormat="1" applyFont="1" applyBorder="1" applyProtection="1">
      <protection locked="0"/>
    </xf>
    <xf numFmtId="14" fontId="2" fillId="0" borderId="23" xfId="0" applyNumberFormat="1" applyFont="1" applyBorder="1"/>
    <xf numFmtId="0" fontId="2" fillId="0" borderId="30" xfId="0" applyFont="1" applyBorder="1"/>
    <xf numFmtId="0" fontId="2" fillId="0" borderId="30" xfId="0" quotePrefix="1" applyFont="1" applyBorder="1"/>
    <xf numFmtId="0" fontId="2" fillId="0" borderId="23" xfId="0" applyFont="1" applyBorder="1"/>
    <xf numFmtId="0" fontId="2" fillId="0" borderId="23" xfId="0" applyFont="1" applyBorder="1" applyProtection="1">
      <protection locked="0"/>
    </xf>
    <xf numFmtId="49" fontId="2" fillId="0" borderId="23" xfId="0" applyNumberFormat="1" applyFont="1" applyBorder="1" applyProtection="1">
      <protection locked="0"/>
    </xf>
    <xf numFmtId="0" fontId="2" fillId="0" borderId="29" xfId="0" applyFont="1" applyBorder="1" applyProtection="1">
      <protection locked="0"/>
    </xf>
    <xf numFmtId="170" fontId="34" fillId="5" borderId="31" xfId="0" applyNumberFormat="1" applyFont="1" applyFill="1" applyBorder="1" applyAlignment="1">
      <alignment horizontal="center" vertical="center" wrapText="1"/>
    </xf>
    <xf numFmtId="0" fontId="10" fillId="2" borderId="24" xfId="0" applyFont="1" applyFill="1" applyBorder="1" applyAlignment="1">
      <alignment vertical="center"/>
    </xf>
    <xf numFmtId="0" fontId="12" fillId="2" borderId="25" xfId="0" applyFont="1" applyFill="1" applyBorder="1"/>
    <xf numFmtId="0" fontId="12" fillId="2" borderId="26" xfId="0" applyFont="1" applyFill="1" applyBorder="1"/>
    <xf numFmtId="10" fontId="35" fillId="5" borderId="31" xfId="0" applyNumberFormat="1" applyFont="1" applyFill="1" applyBorder="1" applyAlignment="1">
      <alignment horizontal="center" vertical="center" wrapText="1"/>
    </xf>
    <xf numFmtId="0" fontId="30" fillId="2" borderId="32" xfId="0" applyFont="1" applyFill="1" applyBorder="1" applyAlignment="1">
      <alignment horizontal="center"/>
    </xf>
    <xf numFmtId="0" fontId="30" fillId="2" borderId="24" xfId="0" applyFont="1" applyFill="1" applyBorder="1" applyAlignment="1">
      <alignment horizontal="center"/>
    </xf>
    <xf numFmtId="0" fontId="30" fillId="2" borderId="29" xfId="0" applyFont="1" applyFill="1" applyBorder="1" applyAlignment="1">
      <alignment horizontal="center"/>
    </xf>
    <xf numFmtId="0" fontId="30" fillId="2" borderId="26" xfId="0" applyFont="1" applyFill="1" applyBorder="1" applyAlignment="1">
      <alignment horizontal="center"/>
    </xf>
    <xf numFmtId="0" fontId="30" fillId="2" borderId="33" xfId="0" applyFont="1" applyFill="1" applyBorder="1" applyAlignment="1">
      <alignment horizontal="center"/>
    </xf>
    <xf numFmtId="0" fontId="0" fillId="2" borderId="34" xfId="0" applyFill="1" applyBorder="1" applyAlignment="1">
      <alignment horizontal="left" vertical="center"/>
    </xf>
    <xf numFmtId="15" fontId="0" fillId="2" borderId="34" xfId="0" applyNumberFormat="1" applyFill="1" applyBorder="1" applyAlignment="1">
      <alignment horizontal="center" vertical="center"/>
    </xf>
    <xf numFmtId="0" fontId="2" fillId="0" borderId="35" xfId="0" applyFont="1" applyBorder="1" applyAlignment="1">
      <alignment horizontal="center" vertical="center"/>
    </xf>
    <xf numFmtId="0" fontId="2" fillId="2" borderId="36" xfId="0" applyFont="1" applyFill="1" applyBorder="1" applyAlignment="1">
      <alignment horizontal="center" vertical="center"/>
    </xf>
    <xf numFmtId="0" fontId="2" fillId="2" borderId="36" xfId="0" applyFont="1" applyFill="1" applyBorder="1" applyAlignment="1">
      <alignment horizontal="left" vertical="center"/>
    </xf>
    <xf numFmtId="0" fontId="2" fillId="6" borderId="36" xfId="0" applyFont="1" applyFill="1" applyBorder="1" applyAlignment="1">
      <alignment horizontal="center" vertical="center"/>
    </xf>
    <xf numFmtId="0" fontId="2" fillId="6" borderId="36" xfId="0" applyFont="1" applyFill="1" applyBorder="1" applyAlignment="1">
      <alignment horizontal="left" vertical="center"/>
    </xf>
    <xf numFmtId="0" fontId="2" fillId="8" borderId="37" xfId="0" applyFont="1" applyFill="1" applyBorder="1" applyAlignment="1">
      <alignment vertical="center"/>
    </xf>
    <xf numFmtId="0" fontId="2" fillId="6" borderId="37" xfId="0" applyFont="1" applyFill="1" applyBorder="1" applyAlignment="1">
      <alignment vertical="center"/>
    </xf>
    <xf numFmtId="0" fontId="2" fillId="2" borderId="35" xfId="0" quotePrefix="1" applyFont="1" applyFill="1" applyBorder="1" applyAlignment="1">
      <alignment horizontal="center" vertical="center"/>
    </xf>
    <xf numFmtId="0" fontId="2" fillId="2" borderId="35" xfId="0" applyFont="1" applyFill="1" applyBorder="1" applyAlignment="1">
      <alignment horizontal="left" vertical="center"/>
    </xf>
    <xf numFmtId="0" fontId="2" fillId="2" borderId="35" xfId="0" applyFont="1" applyFill="1" applyBorder="1" applyAlignment="1">
      <alignment horizontal="center" vertical="center"/>
    </xf>
    <xf numFmtId="0" fontId="2" fillId="7" borderId="37" xfId="0" applyFont="1" applyFill="1" applyBorder="1" applyAlignment="1">
      <alignment vertical="center"/>
    </xf>
    <xf numFmtId="0" fontId="2" fillId="2" borderId="36" xfId="0" quotePrefix="1" applyFont="1" applyFill="1" applyBorder="1" applyAlignment="1">
      <alignment horizontal="center" vertical="center"/>
    </xf>
    <xf numFmtId="0" fontId="3" fillId="2" borderId="37" xfId="0" applyFont="1" applyFill="1" applyBorder="1" applyAlignment="1">
      <alignment horizontal="left" vertical="center"/>
    </xf>
    <xf numFmtId="0" fontId="2" fillId="2" borderId="37" xfId="0" applyFont="1" applyFill="1" applyBorder="1" applyAlignment="1">
      <alignment vertical="center"/>
    </xf>
    <xf numFmtId="2" fontId="2" fillId="0" borderId="35" xfId="0" applyNumberFormat="1" applyFont="1" applyBorder="1" applyAlignment="1">
      <alignment horizontal="center" vertical="center"/>
    </xf>
    <xf numFmtId="0" fontId="2" fillId="6" borderId="37" xfId="0" applyFont="1" applyFill="1" applyBorder="1" applyAlignment="1">
      <alignment horizontal="center" vertical="center"/>
    </xf>
    <xf numFmtId="1" fontId="37" fillId="8" borderId="37" xfId="0" applyNumberFormat="1" applyFont="1" applyFill="1" applyBorder="1" applyAlignment="1">
      <alignment horizontal="center" vertical="center"/>
    </xf>
    <xf numFmtId="0" fontId="3" fillId="2" borderId="37" xfId="0" applyFont="1" applyFill="1" applyBorder="1" applyAlignment="1">
      <alignment vertical="center"/>
    </xf>
    <xf numFmtId="0" fontId="3" fillId="2" borderId="37" xfId="0" applyFont="1" applyFill="1" applyBorder="1" applyAlignment="1">
      <alignment horizontal="center" vertical="center"/>
    </xf>
    <xf numFmtId="0" fontId="3" fillId="8" borderId="37" xfId="0" applyFont="1" applyFill="1" applyBorder="1" applyAlignment="1">
      <alignment horizontal="center" vertical="center"/>
    </xf>
    <xf numFmtId="1" fontId="34" fillId="0" borderId="37" xfId="0" applyNumberFormat="1" applyFont="1" applyBorder="1" applyAlignment="1">
      <alignment horizontal="center" vertical="center" wrapText="1"/>
    </xf>
    <xf numFmtId="1" fontId="3" fillId="0" borderId="37" xfId="0" applyNumberFormat="1" applyFont="1" applyBorder="1" applyAlignment="1">
      <alignment horizontal="center" vertical="center"/>
    </xf>
    <xf numFmtId="1" fontId="2" fillId="0" borderId="35" xfId="0" applyNumberFormat="1" applyFont="1" applyBorder="1" applyAlignment="1">
      <alignment horizontal="center" vertical="center"/>
    </xf>
    <xf numFmtId="0" fontId="10" fillId="2" borderId="37" xfId="0" applyFont="1" applyFill="1" applyBorder="1" applyAlignment="1">
      <alignment vertical="center"/>
    </xf>
    <xf numFmtId="0" fontId="0" fillId="2" borderId="37" xfId="0" applyFill="1" applyBorder="1"/>
    <xf numFmtId="0" fontId="10" fillId="2" borderId="38" xfId="0" applyFont="1" applyFill="1" applyBorder="1" applyAlignment="1">
      <alignment vertical="center"/>
    </xf>
    <xf numFmtId="0" fontId="12" fillId="2" borderId="39" xfId="0" applyFont="1" applyFill="1" applyBorder="1"/>
    <xf numFmtId="0" fontId="12" fillId="2" borderId="40" xfId="0" applyFont="1" applyFill="1" applyBorder="1"/>
    <xf numFmtId="0" fontId="36" fillId="2" borderId="37" xfId="0" applyFont="1" applyFill="1" applyBorder="1" applyAlignment="1">
      <alignment horizontal="center" vertical="center"/>
    </xf>
    <xf numFmtId="0" fontId="0" fillId="2" borderId="38" xfId="0" applyFill="1" applyBorder="1"/>
    <xf numFmtId="167" fontId="36" fillId="2" borderId="37" xfId="0" applyNumberFormat="1" applyFont="1" applyFill="1" applyBorder="1" applyAlignment="1">
      <alignment horizontal="center" vertical="center"/>
    </xf>
    <xf numFmtId="178" fontId="36" fillId="2" borderId="37" xfId="0" applyNumberFormat="1" applyFont="1" applyFill="1" applyBorder="1" applyAlignment="1">
      <alignment horizontal="center" vertical="center"/>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1" fontId="24" fillId="0" borderId="37" xfId="0" applyNumberFormat="1" applyFont="1" applyBorder="1" applyAlignment="1">
      <alignment horizontal="center" vertical="center" wrapText="1"/>
    </xf>
    <xf numFmtId="10" fontId="24" fillId="0" borderId="37" xfId="0" applyNumberFormat="1" applyFont="1" applyBorder="1" applyAlignment="1">
      <alignment horizontal="center" vertical="center" wrapText="1"/>
    </xf>
    <xf numFmtId="1" fontId="24" fillId="0" borderId="37" xfId="0" applyNumberFormat="1" applyFont="1" applyBorder="1" applyAlignment="1">
      <alignment horizontal="center" vertical="center"/>
    </xf>
    <xf numFmtId="0" fontId="24" fillId="2" borderId="37" xfId="0" applyFont="1" applyFill="1" applyBorder="1" applyAlignment="1">
      <alignment horizontal="center" vertical="center" wrapText="1"/>
    </xf>
    <xf numFmtId="2" fontId="24" fillId="2" borderId="37" xfId="0" applyNumberFormat="1" applyFont="1" applyFill="1" applyBorder="1" applyAlignment="1">
      <alignment horizontal="center" vertical="center" wrapText="1"/>
    </xf>
    <xf numFmtId="0" fontId="14" fillId="2" borderId="38" xfId="0" applyFont="1" applyFill="1" applyBorder="1" applyAlignment="1">
      <alignment vertical="center"/>
    </xf>
    <xf numFmtId="0" fontId="8" fillId="2" borderId="40" xfId="0" applyFont="1" applyFill="1" applyBorder="1"/>
    <xf numFmtId="0" fontId="14" fillId="2" borderId="37" xfId="0" applyFont="1" applyFill="1" applyBorder="1" applyAlignment="1">
      <alignment horizontal="center" vertical="center"/>
    </xf>
    <xf numFmtId="0" fontId="14" fillId="2" borderId="37" xfId="0" applyFont="1" applyFill="1" applyBorder="1" applyAlignment="1">
      <alignment vertical="center"/>
    </xf>
    <xf numFmtId="1" fontId="0" fillId="2" borderId="37" xfId="0" applyNumberFormat="1" applyFill="1" applyBorder="1" applyAlignment="1">
      <alignment horizontal="center" vertical="center"/>
    </xf>
    <xf numFmtId="1" fontId="2" fillId="6" borderId="37" xfId="0" applyNumberFormat="1" applyFont="1" applyFill="1" applyBorder="1" applyAlignment="1" applyProtection="1">
      <alignment horizontal="center" vertical="center"/>
      <protection locked="0"/>
    </xf>
    <xf numFmtId="1" fontId="2" fillId="2" borderId="37" xfId="0" applyNumberFormat="1" applyFont="1" applyFill="1" applyBorder="1" applyAlignment="1">
      <alignment horizontal="center" vertical="center"/>
    </xf>
    <xf numFmtId="0" fontId="36" fillId="2" borderId="37" xfId="0" applyFont="1" applyFill="1" applyBorder="1" applyAlignment="1" applyProtection="1">
      <alignment horizontal="center" vertical="center"/>
      <protection locked="0"/>
    </xf>
    <xf numFmtId="1" fontId="36" fillId="2" borderId="37" xfId="0" applyNumberFormat="1" applyFont="1" applyFill="1" applyBorder="1" applyAlignment="1" applyProtection="1">
      <alignment horizontal="center" vertical="center"/>
      <protection locked="0"/>
    </xf>
    <xf numFmtId="0" fontId="38" fillId="0" borderId="37" xfId="0" applyFont="1" applyBorder="1" applyAlignment="1" applyProtection="1">
      <alignment vertical="center" wrapText="1"/>
      <protection locked="0"/>
    </xf>
    <xf numFmtId="0" fontId="38" fillId="0" borderId="37" xfId="0" applyFont="1" applyBorder="1" applyAlignment="1">
      <alignment vertical="center" wrapText="1"/>
    </xf>
    <xf numFmtId="0" fontId="24" fillId="0" borderId="37" xfId="0" applyFont="1" applyBorder="1" applyAlignment="1">
      <alignment horizontal="center" vertical="center" wrapText="1"/>
    </xf>
    <xf numFmtId="1" fontId="24" fillId="0" borderId="37" xfId="0" applyNumberFormat="1" applyFont="1" applyBorder="1" applyAlignment="1" applyProtection="1">
      <alignment horizontal="center" vertical="center" wrapText="1"/>
      <protection locked="0"/>
    </xf>
    <xf numFmtId="10" fontId="24" fillId="2" borderId="37" xfId="0" applyNumberFormat="1" applyFont="1" applyFill="1" applyBorder="1" applyAlignment="1">
      <alignment horizontal="center" vertical="center" wrapText="1"/>
    </xf>
    <xf numFmtId="2" fontId="36" fillId="2" borderId="37" xfId="0" applyNumberFormat="1" applyFont="1" applyFill="1" applyBorder="1" applyAlignment="1" applyProtection="1">
      <alignment horizontal="center" vertical="center"/>
      <protection locked="0"/>
    </xf>
    <xf numFmtId="164" fontId="24" fillId="2" borderId="37" xfId="0" applyNumberFormat="1" applyFont="1" applyFill="1" applyBorder="1" applyAlignment="1">
      <alignment horizontal="center" vertical="center" wrapText="1"/>
    </xf>
    <xf numFmtId="0" fontId="65" fillId="0" borderId="37" xfId="6" applyFont="1" applyBorder="1" applyAlignment="1">
      <alignment horizontal="center" vertical="center" wrapText="1"/>
    </xf>
    <xf numFmtId="0" fontId="65" fillId="0" borderId="37" xfId="6" applyFont="1" applyBorder="1" applyAlignment="1">
      <alignment horizontal="left" vertical="center" wrapText="1"/>
    </xf>
    <xf numFmtId="0" fontId="65" fillId="15" borderId="37" xfId="6" applyFont="1" applyFill="1" applyBorder="1" applyAlignment="1">
      <alignment horizontal="left" vertical="center" wrapText="1"/>
    </xf>
    <xf numFmtId="0" fontId="63" fillId="0" borderId="37" xfId="6" applyBorder="1"/>
    <xf numFmtId="0" fontId="65" fillId="15" borderId="37" xfId="6" applyFont="1" applyFill="1" applyBorder="1" applyAlignment="1">
      <alignment vertical="center" wrapText="1"/>
    </xf>
    <xf numFmtId="14" fontId="65" fillId="15" borderId="37" xfId="6" applyNumberFormat="1" applyFont="1" applyFill="1" applyBorder="1" applyAlignment="1">
      <alignment horizontal="left" vertical="center" wrapText="1"/>
    </xf>
    <xf numFmtId="0" fontId="65" fillId="0" borderId="37" xfId="6" applyFont="1" applyBorder="1" applyAlignment="1">
      <alignment horizontal="left" vertical="center"/>
    </xf>
    <xf numFmtId="0" fontId="59" fillId="16" borderId="37" xfId="6" applyFont="1" applyFill="1" applyBorder="1" applyAlignment="1">
      <alignment horizontal="center" vertical="center" wrapText="1"/>
    </xf>
    <xf numFmtId="0" fontId="66" fillId="0" borderId="37" xfId="6" applyFont="1" applyBorder="1" applyAlignment="1">
      <alignment horizontal="center" vertical="center" wrapText="1"/>
    </xf>
    <xf numFmtId="1" fontId="65" fillId="15" borderId="37" xfId="6" applyNumberFormat="1" applyFont="1" applyFill="1" applyBorder="1" applyAlignment="1">
      <alignment horizontal="left" vertical="center" wrapText="1"/>
    </xf>
    <xf numFmtId="2" fontId="65" fillId="15" borderId="37" xfId="6" applyNumberFormat="1" applyFont="1" applyFill="1" applyBorder="1" applyAlignment="1">
      <alignment horizontal="left" vertical="center" wrapText="1"/>
    </xf>
    <xf numFmtId="0" fontId="65" fillId="15" borderId="37" xfId="6" applyFont="1" applyFill="1" applyBorder="1" applyAlignment="1">
      <alignment horizontal="left" vertical="center" wrapText="1"/>
    </xf>
    <xf numFmtId="0" fontId="1" fillId="0" borderId="37" xfId="8" applyBorder="1" applyAlignment="1">
      <alignment horizontal="center" vertical="center" wrapText="1"/>
    </xf>
    <xf numFmtId="0" fontId="1" fillId="0" borderId="37" xfId="8" applyBorder="1" applyAlignment="1">
      <alignment horizontal="center" vertical="center"/>
    </xf>
    <xf numFmtId="0" fontId="65" fillId="15" borderId="38" xfId="6" applyFont="1" applyFill="1" applyBorder="1" applyAlignment="1">
      <alignment horizontal="left" vertical="center" wrapText="1"/>
    </xf>
    <xf numFmtId="0" fontId="65" fillId="15" borderId="40" xfId="6" applyFont="1" applyFill="1" applyBorder="1" applyAlignment="1">
      <alignment horizontal="left" vertical="center" wrapText="1"/>
    </xf>
    <xf numFmtId="0" fontId="66" fillId="0" borderId="37" xfId="6" applyFont="1" applyBorder="1" applyAlignment="1">
      <alignment horizontal="center" vertical="center" wrapText="1"/>
    </xf>
    <xf numFmtId="0" fontId="65" fillId="15" borderId="37" xfId="8" applyFont="1" applyFill="1" applyBorder="1" applyAlignment="1">
      <alignment horizontal="left" vertical="center" wrapText="1"/>
    </xf>
    <xf numFmtId="0" fontId="65" fillId="0" borderId="0" xfId="6" applyFont="1" applyAlignment="1">
      <alignment horizontal="left" vertical="center" wrapText="1"/>
    </xf>
    <xf numFmtId="0" fontId="59" fillId="16" borderId="37" xfId="6" applyFont="1" applyFill="1" applyBorder="1" applyAlignment="1">
      <alignment horizontal="center" vertical="center" wrapText="1"/>
    </xf>
    <xf numFmtId="0" fontId="66" fillId="0" borderId="0" xfId="6" applyFont="1" applyAlignment="1">
      <alignment horizontal="center" vertical="center" wrapText="1"/>
    </xf>
    <xf numFmtId="0" fontId="65" fillId="0" borderId="37" xfId="6" applyFont="1" applyBorder="1" applyAlignment="1">
      <alignment horizontal="left" vertical="center" wrapText="1"/>
    </xf>
    <xf numFmtId="0" fontId="65" fillId="0" borderId="38" xfId="6" applyFont="1" applyBorder="1" applyAlignment="1">
      <alignment horizontal="left" vertical="center"/>
    </xf>
    <xf numFmtId="0" fontId="65" fillId="0" borderId="40" xfId="6" applyFont="1" applyBorder="1" applyAlignment="1">
      <alignment horizontal="left" vertical="center"/>
    </xf>
    <xf numFmtId="0" fontId="65" fillId="0" borderId="38" xfId="6" applyFont="1" applyBorder="1" applyAlignment="1">
      <alignment horizontal="left" vertical="center" wrapText="1"/>
    </xf>
    <xf numFmtId="0" fontId="65" fillId="0" borderId="40" xfId="6" applyFont="1" applyBorder="1" applyAlignment="1">
      <alignment horizontal="left" vertical="center" wrapText="1"/>
    </xf>
    <xf numFmtId="0" fontId="59" fillId="16" borderId="37" xfId="6" applyFont="1" applyFill="1" applyBorder="1" applyAlignment="1">
      <alignment horizontal="left" vertical="center" wrapText="1"/>
    </xf>
    <xf numFmtId="0" fontId="64" fillId="0" borderId="24" xfId="6" applyFont="1" applyBorder="1" applyAlignment="1">
      <alignment horizontal="center" vertical="center" wrapText="1"/>
    </xf>
    <xf numFmtId="0" fontId="64" fillId="0" borderId="25" xfId="6" applyFont="1" applyBorder="1" applyAlignment="1">
      <alignment horizontal="center" vertical="center" wrapText="1"/>
    </xf>
    <xf numFmtId="0" fontId="64" fillId="0" borderId="26" xfId="6" applyFont="1" applyBorder="1" applyAlignment="1">
      <alignment horizontal="center" vertical="center" wrapText="1"/>
    </xf>
    <xf numFmtId="0" fontId="64" fillId="0" borderId="6" xfId="6" applyFont="1" applyBorder="1" applyAlignment="1">
      <alignment horizontal="center" vertical="center" wrapText="1"/>
    </xf>
    <xf numFmtId="0" fontId="64" fillId="0" borderId="2" xfId="6" applyFont="1" applyBorder="1" applyAlignment="1">
      <alignment horizontal="center" vertical="center" wrapText="1"/>
    </xf>
    <xf numFmtId="0" fontId="64" fillId="0" borderId="4" xfId="6" applyFont="1" applyBorder="1" applyAlignment="1">
      <alignment horizontal="center" vertical="center" wrapText="1"/>
    </xf>
    <xf numFmtId="0" fontId="65" fillId="0" borderId="37" xfId="6" applyFont="1" applyBorder="1" applyAlignment="1">
      <alignment horizontal="center" vertical="center" wrapText="1"/>
    </xf>
    <xf numFmtId="14" fontId="65" fillId="15" borderId="38" xfId="6" applyNumberFormat="1" applyFont="1" applyFill="1" applyBorder="1" applyAlignment="1">
      <alignment horizontal="center" vertical="center" wrapText="1"/>
    </xf>
    <xf numFmtId="14" fontId="65" fillId="15" borderId="40" xfId="6" applyNumberFormat="1" applyFont="1" applyFill="1" applyBorder="1" applyAlignment="1">
      <alignment horizontal="center" vertical="center" wrapText="1"/>
    </xf>
    <xf numFmtId="0" fontId="65" fillId="15" borderId="38" xfId="6" applyFont="1" applyFill="1" applyBorder="1" applyAlignment="1">
      <alignment horizontal="center" vertical="center" wrapText="1"/>
    </xf>
    <xf numFmtId="0" fontId="65" fillId="15" borderId="40" xfId="6" applyFont="1" applyFill="1" applyBorder="1" applyAlignment="1">
      <alignment horizontal="center" vertical="center" wrapText="1"/>
    </xf>
    <xf numFmtId="0" fontId="55" fillId="12" borderId="0" xfId="0" applyFont="1" applyFill="1" applyAlignment="1">
      <alignment horizontal="center" vertical="center"/>
    </xf>
    <xf numFmtId="0" fontId="47" fillId="12" borderId="0" xfId="0" applyFont="1" applyFill="1" applyAlignment="1">
      <alignment horizontal="center" vertical="center"/>
    </xf>
    <xf numFmtId="0" fontId="44" fillId="6" borderId="0" xfId="0" applyFont="1" applyFill="1" applyAlignment="1">
      <alignment horizontal="center" vertical="center"/>
    </xf>
    <xf numFmtId="0" fontId="43" fillId="0" borderId="0" xfId="0" applyFont="1" applyAlignment="1">
      <alignment horizontal="left" vertical="center"/>
    </xf>
    <xf numFmtId="172" fontId="49" fillId="6" borderId="0" xfId="0" applyNumberFormat="1" applyFont="1" applyFill="1" applyAlignment="1">
      <alignment horizontal="center" vertical="center"/>
    </xf>
    <xf numFmtId="0" fontId="47" fillId="6" borderId="0" xfId="0" applyFont="1" applyFill="1" applyAlignment="1">
      <alignment horizontal="center" vertical="center"/>
    </xf>
    <xf numFmtId="0" fontId="44" fillId="11" borderId="0" xfId="0" applyFont="1" applyFill="1" applyAlignment="1">
      <alignment horizontal="center" vertical="center"/>
    </xf>
    <xf numFmtId="172" fontId="44" fillId="10" borderId="0" xfId="0" applyNumberFormat="1" applyFont="1" applyFill="1" applyAlignment="1">
      <alignment horizontal="center" vertical="center"/>
    </xf>
    <xf numFmtId="0" fontId="44" fillId="6" borderId="0" xfId="0" applyFont="1" applyFill="1" applyAlignment="1">
      <alignment horizontal="left" vertical="center"/>
    </xf>
    <xf numFmtId="0" fontId="3" fillId="0" borderId="0" xfId="0" applyFont="1"/>
    <xf numFmtId="0" fontId="2" fillId="10" borderId="23" xfId="0" applyFont="1" applyFill="1" applyBorder="1" applyAlignment="1" applyProtection="1">
      <alignment horizontal="center" wrapText="1"/>
      <protection locked="0"/>
    </xf>
    <xf numFmtId="0" fontId="2" fillId="10" borderId="23" xfId="0" applyFont="1" applyFill="1" applyBorder="1" applyAlignment="1" applyProtection="1">
      <alignment horizontal="center"/>
      <protection locked="0"/>
    </xf>
    <xf numFmtId="0" fontId="0" fillId="0" borderId="0" xfId="0"/>
    <xf numFmtId="0" fontId="2" fillId="10" borderId="27" xfId="0" applyFont="1" applyFill="1" applyBorder="1" applyAlignment="1" applyProtection="1">
      <alignment horizontal="center"/>
      <protection locked="0"/>
    </xf>
    <xf numFmtId="0" fontId="2" fillId="10" borderId="30" xfId="0" applyFont="1" applyFill="1" applyBorder="1" applyAlignment="1" applyProtection="1">
      <alignment horizontal="center"/>
      <protection locked="0"/>
    </xf>
    <xf numFmtId="0" fontId="2" fillId="10" borderId="28" xfId="0" applyFont="1" applyFill="1" applyBorder="1" applyAlignment="1" applyProtection="1">
      <alignment horizontal="center"/>
      <protection locked="0"/>
    </xf>
    <xf numFmtId="0" fontId="44" fillId="0" borderId="5" xfId="0" applyFont="1" applyBorder="1" applyAlignment="1">
      <alignment horizontal="left" vertical="center"/>
    </xf>
    <xf numFmtId="0" fontId="44" fillId="0" borderId="0" xfId="0" applyFont="1" applyAlignment="1">
      <alignment horizontal="left" vertical="center"/>
    </xf>
    <xf numFmtId="0" fontId="43" fillId="6" borderId="5" xfId="0" applyFont="1" applyFill="1" applyBorder="1" applyAlignment="1">
      <alignment horizontal="center" vertical="center"/>
    </xf>
    <xf numFmtId="0" fontId="43" fillId="6" borderId="0" xfId="0" applyFont="1" applyFill="1" applyAlignment="1">
      <alignment horizontal="center" vertical="center"/>
    </xf>
    <xf numFmtId="0" fontId="44" fillId="6" borderId="5" xfId="0" applyFont="1" applyFill="1" applyBorder="1" applyAlignment="1">
      <alignment horizontal="left" vertical="center"/>
    </xf>
    <xf numFmtId="0" fontId="44" fillId="11" borderId="5" xfId="0" applyFont="1" applyFill="1" applyBorder="1" applyAlignment="1">
      <alignment horizontal="left" vertical="center"/>
    </xf>
    <xf numFmtId="0" fontId="44" fillId="11" borderId="0" xfId="0" applyFont="1" applyFill="1" applyAlignment="1">
      <alignment horizontal="left" vertical="center"/>
    </xf>
    <xf numFmtId="0" fontId="44" fillId="0" borderId="6" xfId="0" applyFont="1" applyBorder="1" applyAlignment="1">
      <alignment horizontal="left" vertical="center"/>
    </xf>
    <xf numFmtId="0" fontId="44" fillId="0" borderId="2" xfId="0" applyFont="1" applyBorder="1" applyAlignment="1">
      <alignment horizontal="left" vertical="center"/>
    </xf>
    <xf numFmtId="0" fontId="44" fillId="10" borderId="5" xfId="0" applyFont="1" applyFill="1" applyBorder="1" applyAlignment="1" applyProtection="1">
      <alignment horizontal="center" vertical="center"/>
      <protection locked="0"/>
    </xf>
    <xf numFmtId="0" fontId="44" fillId="10" borderId="0" xfId="0" applyFont="1" applyFill="1" applyAlignment="1" applyProtection="1">
      <alignment horizontal="center" vertical="center"/>
      <protection locked="0"/>
    </xf>
    <xf numFmtId="0" fontId="45" fillId="6" borderId="0" xfId="0" applyFont="1" applyFill="1" applyAlignment="1">
      <alignment horizontal="center" vertical="center"/>
    </xf>
    <xf numFmtId="0" fontId="43" fillId="6" borderId="5" xfId="0" applyFont="1" applyFill="1" applyBorder="1" applyAlignment="1">
      <alignment vertical="center"/>
    </xf>
    <xf numFmtId="0" fontId="0" fillId="0" borderId="0" xfId="0" applyAlignment="1">
      <alignment vertical="center"/>
    </xf>
    <xf numFmtId="173" fontId="44" fillId="6" borderId="0" xfId="0" applyNumberFormat="1" applyFont="1" applyFill="1" applyAlignment="1">
      <alignment horizontal="center" vertical="center"/>
    </xf>
    <xf numFmtId="172" fontId="52" fillId="6" borderId="0" xfId="0" applyNumberFormat="1" applyFont="1" applyFill="1" applyAlignment="1">
      <alignment horizontal="center" vertical="center"/>
    </xf>
    <xf numFmtId="0" fontId="44" fillId="0" borderId="0" xfId="0" applyFont="1" applyAlignment="1">
      <alignment horizontal="center" vertical="center"/>
    </xf>
    <xf numFmtId="0" fontId="49" fillId="12" borderId="0" xfId="0" applyFont="1" applyFill="1" applyAlignment="1">
      <alignment horizontal="center" vertical="center"/>
    </xf>
    <xf numFmtId="0" fontId="44" fillId="0" borderId="5" xfId="0" applyFont="1" applyBorder="1" applyAlignment="1">
      <alignment vertical="center"/>
    </xf>
    <xf numFmtId="0" fontId="47" fillId="12" borderId="3" xfId="0" applyFont="1" applyFill="1" applyBorder="1" applyAlignment="1">
      <alignment horizontal="center" vertical="center"/>
    </xf>
    <xf numFmtId="0" fontId="2" fillId="0" borderId="0" xfId="0" applyFont="1"/>
    <xf numFmtId="0" fontId="44" fillId="6" borderId="23" xfId="0" applyFont="1" applyFill="1" applyBorder="1" applyAlignment="1">
      <alignment horizontal="left" vertical="center"/>
    </xf>
    <xf numFmtId="0" fontId="44" fillId="6" borderId="23" xfId="0" applyFont="1" applyFill="1" applyBorder="1" applyAlignment="1">
      <alignment horizontal="center" vertical="center"/>
    </xf>
    <xf numFmtId="164" fontId="44" fillId="6" borderId="0" xfId="0" applyNumberFormat="1" applyFont="1" applyFill="1" applyAlignment="1">
      <alignment horizontal="center" vertical="center"/>
    </xf>
    <xf numFmtId="0" fontId="8" fillId="0" borderId="0" xfId="2" applyFont="1" applyAlignment="1">
      <alignment vertical="center" wrapText="1"/>
    </xf>
    <xf numFmtId="0" fontId="8" fillId="0" borderId="3" xfId="2" applyFont="1" applyBorder="1" applyAlignment="1">
      <alignment vertical="center" wrapText="1"/>
    </xf>
    <xf numFmtId="172" fontId="44" fillId="10" borderId="0" xfId="0" applyNumberFormat="1" applyFont="1" applyFill="1" applyAlignment="1" applyProtection="1">
      <alignment horizontal="center" vertical="center"/>
      <protection locked="0"/>
    </xf>
    <xf numFmtId="0" fontId="44" fillId="10" borderId="28" xfId="0" applyFont="1" applyFill="1" applyBorder="1" applyAlignment="1" applyProtection="1">
      <alignment horizontal="center" vertical="center"/>
      <protection locked="0"/>
    </xf>
    <xf numFmtId="0" fontId="44" fillId="10" borderId="23" xfId="0" applyFont="1" applyFill="1" applyBorder="1" applyAlignment="1" applyProtection="1">
      <alignment horizontal="center" vertical="center"/>
      <protection locked="0"/>
    </xf>
    <xf numFmtId="0" fontId="44" fillId="6" borderId="5" xfId="0" applyFont="1" applyFill="1" applyBorder="1" applyAlignment="1">
      <alignment horizontal="center" vertical="center"/>
    </xf>
    <xf numFmtId="0" fontId="43" fillId="10" borderId="23" xfId="0" applyFont="1" applyFill="1" applyBorder="1" applyAlignment="1" applyProtection="1">
      <alignment horizontal="left" vertical="center"/>
      <protection locked="0"/>
    </xf>
    <xf numFmtId="1" fontId="43" fillId="10" borderId="23" xfId="0" applyNumberFormat="1" applyFont="1" applyFill="1" applyBorder="1" applyAlignment="1">
      <alignment horizontal="center" vertical="center"/>
    </xf>
    <xf numFmtId="0" fontId="43" fillId="10" borderId="23" xfId="0" applyFont="1" applyFill="1" applyBorder="1" applyAlignment="1">
      <alignment horizontal="center" vertical="center"/>
    </xf>
    <xf numFmtId="0" fontId="41" fillId="0" borderId="27" xfId="2" applyFont="1" applyBorder="1" applyAlignment="1">
      <alignment horizontal="center" vertical="center"/>
    </xf>
    <xf numFmtId="0" fontId="41" fillId="0" borderId="30" xfId="2" applyFont="1" applyBorder="1" applyAlignment="1">
      <alignment horizontal="center" vertical="center"/>
    </xf>
    <xf numFmtId="0" fontId="41" fillId="0" borderId="28" xfId="2" applyFont="1" applyBorder="1" applyAlignment="1">
      <alignment horizontal="center" vertical="center"/>
    </xf>
    <xf numFmtId="0" fontId="41" fillId="0" borderId="27" xfId="2" applyFont="1" applyBorder="1" applyAlignment="1">
      <alignment horizontal="left" vertical="center"/>
    </xf>
    <xf numFmtId="0" fontId="0" fillId="0" borderId="30" xfId="0" applyBorder="1" applyAlignment="1">
      <alignment horizontal="left" vertical="center"/>
    </xf>
    <xf numFmtId="0" fontId="41" fillId="0" borderId="0" xfId="2" applyFont="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2" fillId="0" borderId="8" xfId="0" applyFont="1" applyBorder="1" applyAlignment="1">
      <alignment horizontal="left" vertical="center"/>
    </xf>
    <xf numFmtId="1" fontId="2" fillId="0" borderId="23" xfId="0" applyNumberFormat="1" applyFont="1" applyBorder="1" applyAlignment="1">
      <alignment horizontal="left" vertical="center"/>
    </xf>
    <xf numFmtId="0" fontId="2" fillId="0" borderId="23" xfId="0" applyFont="1" applyBorder="1" applyAlignment="1">
      <alignment horizontal="left" vertical="center"/>
    </xf>
    <xf numFmtId="0" fontId="2" fillId="0" borderId="23" xfId="0" quotePrefix="1" applyFont="1" applyBorder="1"/>
    <xf numFmtId="0" fontId="2" fillId="0" borderId="23" xfId="0" applyFont="1" applyBorder="1"/>
    <xf numFmtId="14" fontId="2" fillId="0" borderId="23" xfId="0" applyNumberFormat="1" applyFont="1" applyBorder="1" applyProtection="1">
      <protection locked="0"/>
    </xf>
    <xf numFmtId="0" fontId="2" fillId="0" borderId="23" xfId="0" applyFont="1" applyBorder="1" applyProtection="1">
      <protection locked="0"/>
    </xf>
    <xf numFmtId="0" fontId="3"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2" fillId="0" borderId="0" xfId="0" applyFont="1" applyAlignment="1">
      <alignment horizontal="left"/>
    </xf>
    <xf numFmtId="0" fontId="2" fillId="0" borderId="3" xfId="0" applyFont="1" applyBorder="1"/>
    <xf numFmtId="0" fontId="2" fillId="11" borderId="5" xfId="0" applyFont="1" applyFill="1" applyBorder="1"/>
    <xf numFmtId="0" fontId="2" fillId="11" borderId="0" xfId="0" applyFont="1" applyFill="1"/>
    <xf numFmtId="0" fontId="2" fillId="0" borderId="37" xfId="0" quotePrefix="1" applyFont="1" applyBorder="1"/>
    <xf numFmtId="0" fontId="2" fillId="0" borderId="37" xfId="0" applyFont="1" applyBorder="1"/>
    <xf numFmtId="0" fontId="2" fillId="7" borderId="37" xfId="0" quotePrefix="1" applyFont="1" applyFill="1" applyBorder="1" applyProtection="1">
      <protection locked="0"/>
    </xf>
    <xf numFmtId="0" fontId="2" fillId="7" borderId="37" xfId="0" applyFont="1" applyFill="1" applyBorder="1" applyProtection="1">
      <protection locked="0"/>
    </xf>
    <xf numFmtId="14" fontId="2" fillId="2" borderId="37" xfId="0" applyNumberFormat="1" applyFont="1" applyFill="1" applyBorder="1" applyAlignment="1">
      <alignment horizontal="left" vertical="center" wrapText="1"/>
    </xf>
    <xf numFmtId="0" fontId="2" fillId="8" borderId="29" xfId="0" applyFont="1" applyFill="1" applyBorder="1" applyAlignment="1">
      <alignment horizontal="center" vertical="center"/>
    </xf>
    <xf numFmtId="0" fontId="2" fillId="8" borderId="7" xfId="0" applyFont="1" applyFill="1" applyBorder="1" applyAlignment="1">
      <alignment horizontal="center" vertical="center"/>
    </xf>
    <xf numFmtId="0" fontId="2" fillId="8" borderId="8" xfId="0" applyFont="1" applyFill="1" applyBorder="1" applyAlignment="1">
      <alignment horizontal="center" vertical="center"/>
    </xf>
    <xf numFmtId="0" fontId="15" fillId="2" borderId="0" xfId="0" applyFont="1" applyFill="1" applyAlignment="1">
      <alignment horizontal="center" vertical="center" wrapText="1"/>
    </xf>
    <xf numFmtId="171" fontId="2" fillId="0" borderId="38" xfId="0" applyNumberFormat="1" applyFont="1" applyBorder="1" applyAlignment="1">
      <alignment horizontal="center" vertical="center"/>
    </xf>
    <xf numFmtId="171" fontId="2" fillId="0" borderId="39" xfId="0" applyNumberFormat="1" applyFont="1" applyBorder="1" applyAlignment="1">
      <alignment horizontal="center" vertical="center"/>
    </xf>
    <xf numFmtId="171" fontId="2" fillId="0" borderId="40" xfId="0" applyNumberFormat="1" applyFont="1" applyBorder="1" applyAlignment="1">
      <alignment horizontal="center" vertical="center"/>
    </xf>
    <xf numFmtId="169" fontId="2" fillId="0" borderId="38" xfId="0" applyNumberFormat="1" applyFont="1" applyBorder="1" applyAlignment="1">
      <alignment horizontal="center" vertical="center"/>
    </xf>
    <xf numFmtId="169" fontId="2" fillId="0" borderId="39" xfId="0" applyNumberFormat="1" applyFont="1" applyBorder="1" applyAlignment="1">
      <alignment horizontal="center" vertical="center"/>
    </xf>
    <xf numFmtId="169" fontId="2" fillId="0" borderId="40" xfId="0" applyNumberFormat="1" applyFont="1" applyBorder="1" applyAlignment="1">
      <alignment horizontal="center" vertical="center"/>
    </xf>
    <xf numFmtId="177" fontId="2" fillId="0" borderId="38" xfId="0" applyNumberFormat="1" applyFont="1" applyBorder="1" applyAlignment="1">
      <alignment horizontal="center" vertical="center"/>
    </xf>
    <xf numFmtId="177" fontId="2" fillId="0" borderId="39" xfId="0" applyNumberFormat="1" applyFont="1" applyBorder="1" applyAlignment="1">
      <alignment horizontal="center" vertical="center"/>
    </xf>
    <xf numFmtId="177" fontId="2" fillId="0" borderId="40" xfId="0" applyNumberFormat="1" applyFont="1" applyBorder="1" applyAlignment="1">
      <alignment horizontal="center" vertical="center"/>
    </xf>
    <xf numFmtId="0" fontId="2" fillId="6" borderId="38" xfId="0" applyFont="1" applyFill="1" applyBorder="1" applyAlignment="1">
      <alignment horizontal="center" vertical="center"/>
    </xf>
    <xf numFmtId="0" fontId="2" fillId="6" borderId="39" xfId="0" applyFont="1" applyFill="1" applyBorder="1" applyAlignment="1">
      <alignment horizontal="center" vertical="center"/>
    </xf>
    <xf numFmtId="0" fontId="2" fillId="6" borderId="40" xfId="0" applyFont="1" applyFill="1" applyBorder="1" applyAlignment="1">
      <alignment horizontal="center" vertical="center"/>
    </xf>
    <xf numFmtId="0" fontId="2" fillId="0" borderId="38" xfId="0" applyFont="1" applyBorder="1" applyAlignment="1">
      <alignment horizontal="center" vertical="center"/>
    </xf>
    <xf numFmtId="0" fontId="2" fillId="0" borderId="39" xfId="0" applyFont="1" applyBorder="1" applyAlignment="1">
      <alignment horizontal="center" vertical="center"/>
    </xf>
    <xf numFmtId="0" fontId="28" fillId="2" borderId="0" xfId="0" applyFont="1" applyFill="1" applyAlignment="1">
      <alignment horizontal="center"/>
    </xf>
    <xf numFmtId="49" fontId="8" fillId="0" borderId="38" xfId="0" applyNumberFormat="1" applyFont="1" applyBorder="1" applyAlignment="1">
      <alignment horizontal="center" vertical="center" wrapText="1"/>
    </xf>
    <xf numFmtId="49" fontId="8" fillId="0" borderId="39" xfId="0" applyNumberFormat="1" applyFont="1" applyBorder="1" applyAlignment="1">
      <alignment horizontal="center" vertical="center" wrapText="1"/>
    </xf>
    <xf numFmtId="49" fontId="8" fillId="0" borderId="40" xfId="0" applyNumberFormat="1" applyFont="1" applyBorder="1" applyAlignment="1">
      <alignment horizontal="center" vertical="center" wrapText="1"/>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0" fontId="23" fillId="0" borderId="37" xfId="0" applyFont="1" applyBorder="1" applyAlignment="1">
      <alignment horizontal="center" vertical="center" wrapText="1"/>
    </xf>
    <xf numFmtId="0" fontId="22" fillId="2" borderId="24" xfId="0" applyFont="1" applyFill="1" applyBorder="1" applyAlignment="1">
      <alignment horizontal="center" vertical="center"/>
    </xf>
    <xf numFmtId="0" fontId="22" fillId="2" borderId="25" xfId="0" applyFont="1" applyFill="1" applyBorder="1" applyAlignment="1">
      <alignment horizontal="center" vertical="center"/>
    </xf>
    <xf numFmtId="0" fontId="22" fillId="2" borderId="26" xfId="0" applyFont="1" applyFill="1" applyBorder="1" applyAlignment="1">
      <alignment horizontal="center" vertical="center"/>
    </xf>
    <xf numFmtId="0" fontId="22" fillId="2" borderId="5" xfId="0" applyFont="1" applyFill="1" applyBorder="1" applyAlignment="1">
      <alignment horizontal="center" vertical="center"/>
    </xf>
    <xf numFmtId="0" fontId="22" fillId="2" borderId="0" xfId="0" applyFont="1" applyFill="1" applyAlignment="1">
      <alignment horizontal="center" vertical="center"/>
    </xf>
    <xf numFmtId="0" fontId="22" fillId="2" borderId="3" xfId="0" applyFont="1" applyFill="1" applyBorder="1" applyAlignment="1">
      <alignment horizontal="center" vertical="center"/>
    </xf>
    <xf numFmtId="0" fontId="22" fillId="2" borderId="6" xfId="0" applyFont="1" applyFill="1" applyBorder="1" applyAlignment="1">
      <alignment horizontal="center" vertical="center"/>
    </xf>
    <xf numFmtId="0" fontId="22" fillId="2" borderId="2" xfId="0" applyFont="1" applyFill="1" applyBorder="1" applyAlignment="1">
      <alignment horizontal="center" vertical="center"/>
    </xf>
    <xf numFmtId="0" fontId="22" fillId="2" borderId="4" xfId="0" applyFont="1" applyFill="1" applyBorder="1" applyAlignment="1">
      <alignment horizontal="center" vertical="center"/>
    </xf>
    <xf numFmtId="0" fontId="10" fillId="5" borderId="0" xfId="0" applyFont="1" applyFill="1" applyAlignment="1">
      <alignment horizontal="center" vertical="center" wrapText="1"/>
    </xf>
    <xf numFmtId="1" fontId="24" fillId="0" borderId="37" xfId="0" applyNumberFormat="1" applyFont="1" applyBorder="1" applyAlignment="1">
      <alignment horizontal="center" vertical="center" wrapText="1"/>
    </xf>
    <xf numFmtId="0" fontId="12" fillId="2" borderId="38" xfId="0" applyFont="1" applyFill="1" applyBorder="1" applyAlignment="1">
      <alignment horizontal="center" vertical="center"/>
    </xf>
    <xf numFmtId="0" fontId="12" fillId="2" borderId="39" xfId="0" applyFont="1" applyFill="1" applyBorder="1" applyAlignment="1">
      <alignment horizontal="center" vertical="center"/>
    </xf>
    <xf numFmtId="0" fontId="12" fillId="2" borderId="40" xfId="0" applyFont="1" applyFill="1" applyBorder="1" applyAlignment="1">
      <alignment horizontal="center" vertical="center"/>
    </xf>
    <xf numFmtId="1" fontId="24" fillId="2" borderId="37" xfId="0" applyNumberFormat="1" applyFont="1" applyFill="1" applyBorder="1" applyAlignment="1">
      <alignment horizontal="center" vertical="center" wrapText="1"/>
    </xf>
    <xf numFmtId="1" fontId="24" fillId="2" borderId="37" xfId="0" applyNumberFormat="1" applyFont="1" applyFill="1" applyBorder="1" applyAlignment="1">
      <alignment horizontal="center" vertical="center"/>
    </xf>
    <xf numFmtId="0" fontId="8" fillId="2" borderId="38" xfId="0" applyFont="1" applyFill="1" applyBorder="1" applyAlignment="1">
      <alignment horizontal="center" vertical="center"/>
    </xf>
    <xf numFmtId="0" fontId="8" fillId="2" borderId="39" xfId="0" applyFont="1" applyFill="1" applyBorder="1" applyAlignment="1">
      <alignment horizontal="center" vertical="center"/>
    </xf>
    <xf numFmtId="0" fontId="8" fillId="2" borderId="40" xfId="0" applyFont="1" applyFill="1" applyBorder="1" applyAlignment="1">
      <alignment horizontal="center" vertical="center"/>
    </xf>
    <xf numFmtId="0" fontId="60" fillId="0" borderId="0" xfId="0" applyFont="1" applyAlignment="1">
      <alignment horizontal="left" vertical="center"/>
    </xf>
    <xf numFmtId="0" fontId="36" fillId="2" borderId="29" xfId="0" applyFont="1" applyFill="1" applyBorder="1" applyAlignment="1">
      <alignment horizontal="center" vertical="center"/>
    </xf>
    <xf numFmtId="1" fontId="36" fillId="2" borderId="38" xfId="0" applyNumberFormat="1" applyFont="1" applyFill="1" applyBorder="1" applyAlignment="1">
      <alignment horizontal="center" vertical="center"/>
    </xf>
    <xf numFmtId="1" fontId="36" fillId="2" borderId="39" xfId="0" applyNumberFormat="1" applyFont="1" applyFill="1" applyBorder="1" applyAlignment="1">
      <alignment horizontal="center" vertical="center"/>
    </xf>
    <xf numFmtId="1" fontId="36" fillId="2" borderId="40" xfId="0" applyNumberFormat="1" applyFont="1" applyFill="1" applyBorder="1" applyAlignment="1">
      <alignment horizontal="center" vertical="center"/>
    </xf>
    <xf numFmtId="2" fontId="24" fillId="2" borderId="37" xfId="0" applyNumberFormat="1"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wrapText="1"/>
    </xf>
    <xf numFmtId="0" fontId="0" fillId="2" borderId="0" xfId="0" applyFill="1" applyAlignment="1">
      <alignment horizontal="center" vertical="center" wrapText="1"/>
    </xf>
    <xf numFmtId="1" fontId="0" fillId="2" borderId="37" xfId="0" applyNumberFormat="1" applyFill="1" applyBorder="1" applyAlignment="1">
      <alignment horizontal="center" vertical="center"/>
    </xf>
    <xf numFmtId="0" fontId="0" fillId="2" borderId="37" xfId="0" applyFill="1" applyBorder="1" applyAlignment="1">
      <alignment horizontal="center" vertical="center"/>
    </xf>
    <xf numFmtId="0" fontId="0" fillId="2" borderId="12" xfId="0" applyFill="1" applyBorder="1" applyAlignment="1">
      <alignment horizontal="center" vertical="center" wrapText="1"/>
    </xf>
    <xf numFmtId="0" fontId="30" fillId="2" borderId="29" xfId="0" applyFont="1" applyFill="1" applyBorder="1" applyAlignment="1">
      <alignment horizontal="center"/>
    </xf>
    <xf numFmtId="0" fontId="0" fillId="2" borderId="21" xfId="0" applyFill="1" applyBorder="1" applyAlignment="1">
      <alignment horizontal="center" vertical="center"/>
    </xf>
    <xf numFmtId="0" fontId="0" fillId="2" borderId="22" xfId="0" applyFill="1" applyBorder="1" applyAlignment="1">
      <alignment horizontal="center" vertical="center"/>
    </xf>
    <xf numFmtId="0" fontId="2" fillId="0" borderId="0" xfId="0" applyFont="1" applyAlignment="1">
      <alignment horizontal="center" vertical="center" wrapText="1"/>
    </xf>
    <xf numFmtId="0" fontId="2" fillId="2" borderId="21" xfId="0" applyFont="1" applyFill="1" applyBorder="1" applyAlignment="1">
      <alignment horizontal="center" vertical="center"/>
    </xf>
    <xf numFmtId="0" fontId="2" fillId="2" borderId="22" xfId="0" applyFont="1" applyFill="1" applyBorder="1" applyAlignment="1">
      <alignment horizontal="center" vertical="center"/>
    </xf>
    <xf numFmtId="14" fontId="0" fillId="2" borderId="0" xfId="0" applyNumberFormat="1" applyFill="1" applyAlignment="1">
      <alignment horizontal="center" vertical="center"/>
    </xf>
    <xf numFmtId="0" fontId="38" fillId="9" borderId="37" xfId="0" applyFont="1" applyFill="1" applyBorder="1" applyAlignment="1" applyProtection="1">
      <alignment horizontal="center" vertical="center" wrapText="1"/>
      <protection locked="0"/>
    </xf>
    <xf numFmtId="0" fontId="38" fillId="9" borderId="37" xfId="0" applyFont="1" applyFill="1" applyBorder="1" applyAlignment="1">
      <alignment horizontal="center" vertical="center" wrapText="1"/>
    </xf>
    <xf numFmtId="0" fontId="24" fillId="0" borderId="37" xfId="0" applyFont="1" applyBorder="1" applyAlignment="1">
      <alignment horizontal="center" vertical="center" wrapText="1"/>
    </xf>
    <xf numFmtId="49" fontId="8" fillId="0" borderId="38" xfId="0" applyNumberFormat="1" applyFont="1" applyBorder="1" applyAlignment="1" applyProtection="1">
      <alignment horizontal="center" vertical="center" wrapText="1"/>
      <protection locked="0"/>
    </xf>
    <xf numFmtId="49" fontId="8" fillId="0" borderId="39" xfId="0" applyNumberFormat="1" applyFont="1" applyBorder="1" applyAlignment="1" applyProtection="1">
      <alignment horizontal="center" vertical="center" wrapText="1"/>
      <protection locked="0"/>
    </xf>
    <xf numFmtId="49" fontId="8" fillId="0" borderId="40" xfId="0" applyNumberFormat="1" applyFont="1" applyBorder="1" applyAlignment="1" applyProtection="1">
      <alignment horizontal="center" vertical="center" wrapText="1"/>
      <protection locked="0"/>
    </xf>
    <xf numFmtId="0" fontId="40" fillId="0" borderId="24" xfId="0" applyFont="1" applyBorder="1" applyAlignment="1">
      <alignment horizontal="left" vertical="center" readingOrder="1"/>
    </xf>
    <xf numFmtId="0" fontId="40" fillId="0" borderId="25" xfId="0" applyFont="1" applyBorder="1" applyAlignment="1">
      <alignment horizontal="left" vertical="center" readingOrder="1"/>
    </xf>
    <xf numFmtId="0" fontId="40" fillId="0" borderId="26" xfId="0" applyFont="1" applyBorder="1" applyAlignment="1">
      <alignment horizontal="left" vertical="center" readingOrder="1"/>
    </xf>
    <xf numFmtId="0" fontId="40" fillId="0" borderId="5" xfId="0" applyFont="1" applyBorder="1" applyAlignment="1">
      <alignment horizontal="left" vertical="center" readingOrder="1"/>
    </xf>
    <xf numFmtId="0" fontId="40" fillId="0" borderId="0" xfId="0" applyFont="1" applyAlignment="1">
      <alignment horizontal="left" vertical="center" readingOrder="1"/>
    </xf>
    <xf numFmtId="0" fontId="40" fillId="0" borderId="3" xfId="0" applyFont="1" applyBorder="1" applyAlignment="1">
      <alignment horizontal="left" vertical="center" readingOrder="1"/>
    </xf>
    <xf numFmtId="0" fontId="40" fillId="0" borderId="6" xfId="0" applyFont="1" applyBorder="1" applyAlignment="1">
      <alignment horizontal="left" vertical="center" readingOrder="1"/>
    </xf>
    <xf numFmtId="0" fontId="40" fillId="0" borderId="2" xfId="0" applyFont="1" applyBorder="1" applyAlignment="1">
      <alignment horizontal="left" vertical="center" readingOrder="1"/>
    </xf>
    <xf numFmtId="0" fontId="40" fillId="0" borderId="4" xfId="0" applyFont="1" applyBorder="1" applyAlignment="1">
      <alignment horizontal="left" vertical="center" readingOrder="1"/>
    </xf>
    <xf numFmtId="164" fontId="24" fillId="2" borderId="37" xfId="0" applyNumberFormat="1" applyFont="1" applyFill="1" applyBorder="1" applyAlignment="1">
      <alignment horizontal="center" vertical="center" wrapText="1"/>
    </xf>
    <xf numFmtId="0" fontId="64" fillId="0" borderId="0" xfId="6" applyFont="1" applyAlignment="1">
      <alignment horizontal="center" vertical="center" wrapText="1"/>
    </xf>
    <xf numFmtId="0" fontId="65" fillId="15" borderId="37" xfId="0" applyFont="1" applyFill="1" applyBorder="1" applyAlignment="1">
      <alignment horizontal="left" vertical="center" wrapText="1"/>
    </xf>
    <xf numFmtId="0" fontId="0" fillId="0" borderId="0" xfId="0" applyNumberFormat="1"/>
    <xf numFmtId="0" fontId="2" fillId="0" borderId="0" xfId="0" applyNumberFormat="1" applyFont="1"/>
  </cellXfs>
  <cellStyles count="11">
    <cellStyle name="Currency" xfId="4" builtinId="4"/>
    <cellStyle name="Currency 2" xfId="7" xr:uid="{425ACE1C-CFEE-44DC-AE46-5E5C6B54EB1C}"/>
    <cellStyle name="Explanatory Text" xfId="3" builtinId="53"/>
    <cellStyle name="Hyperlink" xfId="1" builtinId="8"/>
    <cellStyle name="Hyperlink 2" xfId="9" xr:uid="{CB215843-ABA9-4C89-B975-BC7D81D3966A}"/>
    <cellStyle name="Normal" xfId="0" builtinId="0"/>
    <cellStyle name="Normal 2" xfId="2" xr:uid="{00000000-0005-0000-0000-000002000000}"/>
    <cellStyle name="Normal 3" xfId="6" xr:uid="{8F7B4F6F-6EC6-4412-91F6-E338FE3E56FE}"/>
    <cellStyle name="Normal 4" xfId="8" xr:uid="{F5433EC4-BEC4-4CA2-9166-33598D4D28A2}"/>
    <cellStyle name="Percent" xfId="5" builtinId="5"/>
    <cellStyle name="Percent 2" xfId="10" xr:uid="{2F8CC081-3050-459A-B796-32BB6C6548EF}"/>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microsoft.com/office/2017/10/relationships/person" Target="persons/person.xml"/><Relationship Id="rId3" Type="http://schemas.openxmlformats.org/officeDocument/2006/relationships/worksheet" Target="worksheets/sheet1.xml"/><Relationship Id="rId21" Type="http://schemas.openxmlformats.org/officeDocument/2006/relationships/worksheet" Target="worksheets/sheet19.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sharedStrings" Target="sharedStrings.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openxmlformats.org/officeDocument/2006/relationships/customXml" Target="../customXml/item2.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tyles" Target="style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82</c:v>
                </c:pt>
                <c:pt idx="1">
                  <c:v>204</c:v>
                </c:pt>
                <c:pt idx="2">
                  <c:v>1092</c:v>
                </c:pt>
                <c:pt idx="3">
                  <c:v>2158</c:v>
                </c:pt>
                <c:pt idx="4">
                  <c:v>3182</c:v>
                </c:pt>
                <c:pt idx="5">
                  <c:v>10154</c:v>
                </c:pt>
                <c:pt idx="6">
                  <c:v>15872</c:v>
                </c:pt>
                <c:pt idx="7">
                  <c:v>25309</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1070933</c:v>
                </c:pt>
                <c:pt idx="1">
                  <c:v>465044</c:v>
                </c:pt>
                <c:pt idx="2">
                  <c:v>110681</c:v>
                </c:pt>
                <c:pt idx="3">
                  <c:v>37039</c:v>
                </c:pt>
                <c:pt idx="4">
                  <c:v>12118</c:v>
                </c:pt>
                <c:pt idx="5">
                  <c:v>5651</c:v>
                </c:pt>
                <c:pt idx="6">
                  <c:v>586</c:v>
                </c:pt>
                <c:pt idx="7">
                  <c:v>153</c:v>
                </c:pt>
                <c:pt idx="8">
                  <c:v>23</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1070933</c:v>
                </c:pt>
                <c:pt idx="1">
                  <c:v>465044</c:v>
                </c:pt>
                <c:pt idx="2">
                  <c:v>110681</c:v>
                </c:pt>
                <c:pt idx="3">
                  <c:v>37039</c:v>
                </c:pt>
                <c:pt idx="4">
                  <c:v>12118</c:v>
                </c:pt>
                <c:pt idx="5">
                  <c:v>5651</c:v>
                </c:pt>
                <c:pt idx="6">
                  <c:v>586</c:v>
                </c:pt>
                <c:pt idx="7">
                  <c:v>153</c:v>
                </c:pt>
                <c:pt idx="8">
                  <c:v>23</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1070933</c:v>
                </c:pt>
                <c:pt idx="1">
                  <c:v>465044</c:v>
                </c:pt>
                <c:pt idx="2">
                  <c:v>110681</c:v>
                </c:pt>
                <c:pt idx="3">
                  <c:v>37039</c:v>
                </c:pt>
                <c:pt idx="4">
                  <c:v>12118</c:v>
                </c:pt>
                <c:pt idx="5">
                  <c:v>5651</c:v>
                </c:pt>
                <c:pt idx="6">
                  <c:v>586</c:v>
                </c:pt>
                <c:pt idx="7">
                  <c:v>153</c:v>
                </c:pt>
                <c:pt idx="8">
                  <c:v>23</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1070933</c:v>
                </c:pt>
                <c:pt idx="1">
                  <c:v>465044</c:v>
                </c:pt>
                <c:pt idx="2">
                  <c:v>110681</c:v>
                </c:pt>
                <c:pt idx="3">
                  <c:v>37039</c:v>
                </c:pt>
                <c:pt idx="4">
                  <c:v>12118</c:v>
                </c:pt>
                <c:pt idx="5">
                  <c:v>5651</c:v>
                </c:pt>
                <c:pt idx="6">
                  <c:v>586</c:v>
                </c:pt>
                <c:pt idx="7">
                  <c:v>153</c:v>
                </c:pt>
                <c:pt idx="8">
                  <c:v>23</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1070933</c:v>
                </c:pt>
                <c:pt idx="1">
                  <c:v>465044</c:v>
                </c:pt>
                <c:pt idx="2">
                  <c:v>110681</c:v>
                </c:pt>
                <c:pt idx="3">
                  <c:v>37039</c:v>
                </c:pt>
                <c:pt idx="4">
                  <c:v>12118</c:v>
                </c:pt>
                <c:pt idx="5">
                  <c:v>5651</c:v>
                </c:pt>
                <c:pt idx="6">
                  <c:v>586</c:v>
                </c:pt>
                <c:pt idx="7">
                  <c:v>153</c:v>
                </c:pt>
                <c:pt idx="8">
                  <c:v>23</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1070933</c:v>
                </c:pt>
                <c:pt idx="1">
                  <c:v>465044</c:v>
                </c:pt>
                <c:pt idx="2">
                  <c:v>110681</c:v>
                </c:pt>
                <c:pt idx="3">
                  <c:v>37039</c:v>
                </c:pt>
                <c:pt idx="4">
                  <c:v>12118</c:v>
                </c:pt>
                <c:pt idx="5">
                  <c:v>5651</c:v>
                </c:pt>
                <c:pt idx="6">
                  <c:v>586</c:v>
                </c:pt>
                <c:pt idx="7">
                  <c:v>153</c:v>
                </c:pt>
                <c:pt idx="8">
                  <c:v>23</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1070933</c:v>
                </c:pt>
                <c:pt idx="1">
                  <c:v>465044</c:v>
                </c:pt>
                <c:pt idx="2">
                  <c:v>110681</c:v>
                </c:pt>
                <c:pt idx="3">
                  <c:v>37039</c:v>
                </c:pt>
                <c:pt idx="4">
                  <c:v>12118</c:v>
                </c:pt>
                <c:pt idx="5">
                  <c:v>5651</c:v>
                </c:pt>
                <c:pt idx="6">
                  <c:v>586</c:v>
                </c:pt>
                <c:pt idx="7">
                  <c:v>153</c:v>
                </c:pt>
                <c:pt idx="8">
                  <c:v>23</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1070933</c:v>
                </c:pt>
                <c:pt idx="1">
                  <c:v>465044</c:v>
                </c:pt>
                <c:pt idx="2">
                  <c:v>110681</c:v>
                </c:pt>
                <c:pt idx="3">
                  <c:v>37039</c:v>
                </c:pt>
                <c:pt idx="4">
                  <c:v>12118</c:v>
                </c:pt>
                <c:pt idx="5">
                  <c:v>5651</c:v>
                </c:pt>
                <c:pt idx="6">
                  <c:v>586</c:v>
                </c:pt>
                <c:pt idx="7">
                  <c:v>153</c:v>
                </c:pt>
                <c:pt idx="8">
                  <c:v>23</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7.xml.rels><?xml version="1.0" encoding="UTF-8" standalone="yes"?>
<Relationships xmlns="http://schemas.openxmlformats.org/package/2006/relationships"><Relationship Id="rId1" Type="http://schemas.openxmlformats.org/officeDocument/2006/relationships/image" Target="../media/image9.jp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99</xdr:row>
          <xdr:rowOff>0</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156</xdr:row>
          <xdr:rowOff>0</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171450</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171450</xdr:colOff>
          <xdr:row>95</xdr:row>
          <xdr:rowOff>66675</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xdr:twoCellAnchor editAs="oneCell">
    <xdr:from>
      <xdr:col>5</xdr:col>
      <xdr:colOff>169334</xdr:colOff>
      <xdr:row>2</xdr:row>
      <xdr:rowOff>42333</xdr:rowOff>
    </xdr:from>
    <xdr:to>
      <xdr:col>10</xdr:col>
      <xdr:colOff>4387</xdr:colOff>
      <xdr:row>8</xdr:row>
      <xdr:rowOff>7744</xdr:rowOff>
    </xdr:to>
    <xdr:pic>
      <xdr:nvPicPr>
        <xdr:cNvPr id="2" name="Picture 1">
          <a:extLst>
            <a:ext uri="{FF2B5EF4-FFF2-40B4-BE49-F238E27FC236}">
              <a16:creationId xmlns:a16="http://schemas.microsoft.com/office/drawing/2014/main" id="{233C5F11-DD59-4829-BA18-9669B804A83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51" t="1465" r="63036" b="82599"/>
        <a:stretch>
          <a:fillRect/>
        </a:stretch>
      </xdr:blipFill>
      <xdr:spPr>
        <a:xfrm>
          <a:off x="4407959" y="404283"/>
          <a:ext cx="4173691" cy="105126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4.bin"/><Relationship Id="rId1" Type="http://schemas.openxmlformats.org/officeDocument/2006/relationships/hyperlink" Target="http://www.mpfiltr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40625" defaultRowHeight="12.75" x14ac:dyDescent="0.2"/>
  <cols>
    <col min="1" max="1" width="8.28515625" style="3" customWidth="1"/>
    <col min="2" max="2" width="9.5703125" style="3" bestFit="1" customWidth="1"/>
    <col min="3" max="3" width="10.140625" style="3" bestFit="1" customWidth="1"/>
    <col min="4" max="4" width="10.28515625" style="3" customWidth="1"/>
    <col min="5" max="5" width="6.42578125" style="3" customWidth="1"/>
    <col min="6" max="6" width="13.140625" style="4" customWidth="1"/>
    <col min="7" max="7" width="6.42578125" style="3" customWidth="1"/>
    <col min="8" max="9" width="12.42578125" style="3" bestFit="1" customWidth="1"/>
    <col min="10" max="10" width="6.42578125" style="3" customWidth="1"/>
    <col min="11" max="11" width="12.85546875" style="3" customWidth="1"/>
    <col min="12" max="12" width="12.85546875" style="4" customWidth="1"/>
    <col min="13" max="13" width="12.85546875" style="3" customWidth="1"/>
    <col min="14" max="14" width="12.85546875" style="4" customWidth="1"/>
    <col min="15" max="16384" width="9.140625" style="1"/>
  </cols>
  <sheetData>
    <row r="1" spans="1:14" ht="15.75" x14ac:dyDescent="0.25">
      <c r="A1" s="9" t="s">
        <v>0</v>
      </c>
      <c r="H1" s="9" t="s">
        <v>1</v>
      </c>
    </row>
    <row r="2" spans="1:14" x14ac:dyDescent="0.2">
      <c r="H2" s="3">
        <v>4</v>
      </c>
      <c r="K2" s="271" t="s">
        <v>2</v>
      </c>
      <c r="L2" s="272"/>
      <c r="M2" s="271" t="s">
        <v>3</v>
      </c>
      <c r="N2" s="272"/>
    </row>
    <row r="3" spans="1:14" s="2" customFormat="1" ht="27" customHeight="1" x14ac:dyDescent="0.2">
      <c r="A3" s="273" t="s">
        <v>4</v>
      </c>
      <c r="B3" s="273" t="s">
        <v>5</v>
      </c>
      <c r="C3" s="273" t="s">
        <v>6</v>
      </c>
      <c r="D3" s="274" t="s">
        <v>7</v>
      </c>
      <c r="F3" s="275" t="s">
        <v>8</v>
      </c>
      <c r="H3" s="276" t="s">
        <v>4</v>
      </c>
      <c r="I3" s="276" t="s">
        <v>6</v>
      </c>
      <c r="K3" s="276" t="s">
        <v>9</v>
      </c>
      <c r="L3" s="275" t="s">
        <v>10</v>
      </c>
      <c r="M3" s="276" t="s">
        <v>9</v>
      </c>
      <c r="N3" s="275" t="s">
        <v>10</v>
      </c>
    </row>
    <row r="4" spans="1:14" x14ac:dyDescent="0.2">
      <c r="A4" s="28">
        <v>1</v>
      </c>
      <c r="B4" s="29">
        <v>108400</v>
      </c>
      <c r="C4" s="26">
        <f>B4/2.8</f>
        <v>38714.285714285717</v>
      </c>
      <c r="D4" s="32">
        <v>0.27400000000000002</v>
      </c>
      <c r="F4" s="14">
        <f>LN(C4)</f>
        <v>10.563963950806524</v>
      </c>
      <c r="H4" s="277">
        <v>50</v>
      </c>
      <c r="I4" s="278" t="e">
        <f ca="1">EXP(interpolate($A$4:$A$93, $F$4:$F$93, $H4,$H$2,FALSE))</f>
        <v>#NAME?</v>
      </c>
      <c r="K4" s="279">
        <v>1</v>
      </c>
      <c r="L4" s="280" t="e">
        <f ca="1">EXP(interpolate($A$4:$A$92, $F$4:$F$92, $K4,$H$2,TRUE))</f>
        <v>#NAME?</v>
      </c>
      <c r="M4" s="279">
        <v>1</v>
      </c>
      <c r="N4" s="280" t="e">
        <f ca="1">EXP(interpolate($A$4:$A$93, $F$4:$F$93, M4,$H$2,TRUE))</f>
        <v>#NAME?</v>
      </c>
    </row>
    <row r="5" spans="1:14" x14ac:dyDescent="0.2">
      <c r="A5" s="28">
        <v>2</v>
      </c>
      <c r="B5" s="29">
        <v>27035</v>
      </c>
      <c r="C5" s="26">
        <f t="shared" ref="C5:C53" si="0">B5/2.8</f>
        <v>9655.3571428571431</v>
      </c>
      <c r="D5" s="32">
        <v>0.26500000000000001</v>
      </c>
      <c r="F5" s="14">
        <f t="shared" ref="F5:F53" si="1">LN(C5)</f>
        <v>9.1752681846349464</v>
      </c>
      <c r="K5" s="12">
        <v>1.1000000000000001</v>
      </c>
      <c r="L5" s="10" t="e">
        <f t="shared" ref="L5:L68" ca="1" si="2">EXP(interpolate($A$4:$A$92, $F$4:$F$92, $K5,$H$2,TRUE))</f>
        <v>#NAME?</v>
      </c>
      <c r="M5" s="12">
        <v>2</v>
      </c>
      <c r="N5" s="10" t="e">
        <f t="shared" ref="N5:N68" ca="1" si="3">EXP(interpolate($A$4:$A$93, $F$4:$F$93, M5,$H$2,TRUE))</f>
        <v>#NAME?</v>
      </c>
    </row>
    <row r="6" spans="1:14" x14ac:dyDescent="0.2">
      <c r="A6" s="28">
        <v>3</v>
      </c>
      <c r="B6" s="29">
        <v>11209</v>
      </c>
      <c r="C6" s="26">
        <f t="shared" si="0"/>
        <v>4003.2142857142858</v>
      </c>
      <c r="D6" s="32">
        <v>0.27200000000000002</v>
      </c>
      <c r="F6" s="14">
        <f t="shared" si="1"/>
        <v>8.2948528888399373</v>
      </c>
      <c r="K6" s="12">
        <v>1.2</v>
      </c>
      <c r="L6" s="10" t="e">
        <f t="shared" ca="1" si="2"/>
        <v>#NAME?</v>
      </c>
      <c r="M6" s="12">
        <v>3</v>
      </c>
      <c r="N6" s="10" t="e">
        <f t="shared" ca="1" si="3"/>
        <v>#NAME?</v>
      </c>
    </row>
    <row r="7" spans="1:14" x14ac:dyDescent="0.2">
      <c r="A7" s="28">
        <v>4</v>
      </c>
      <c r="B7" s="29">
        <v>6095</v>
      </c>
      <c r="C7" s="26">
        <f t="shared" si="0"/>
        <v>2176.7857142857142</v>
      </c>
      <c r="D7" s="32">
        <v>0.308</v>
      </c>
      <c r="F7" s="14">
        <f t="shared" si="1"/>
        <v>7.6856046247342134</v>
      </c>
      <c r="K7" s="12">
        <v>1.3</v>
      </c>
      <c r="L7" s="10" t="e">
        <f t="shared" ca="1" si="2"/>
        <v>#NAME?</v>
      </c>
      <c r="M7" s="12">
        <v>4</v>
      </c>
      <c r="N7" s="10" t="e">
        <f t="shared" ca="1" si="3"/>
        <v>#NAME?</v>
      </c>
    </row>
    <row r="8" spans="1:14" x14ac:dyDescent="0.2">
      <c r="A8" s="28">
        <v>5</v>
      </c>
      <c r="B8" s="29">
        <v>3737</v>
      </c>
      <c r="C8" s="26">
        <f t="shared" si="0"/>
        <v>1334.6428571428573</v>
      </c>
      <c r="D8" s="32">
        <v>0.41399999999999998</v>
      </c>
      <c r="F8" s="14">
        <f t="shared" si="1"/>
        <v>7.1964190123043261</v>
      </c>
      <c r="H8" s="281" t="s">
        <v>11</v>
      </c>
      <c r="I8" s="282">
        <v>10000</v>
      </c>
      <c r="K8" s="12">
        <v>1.4</v>
      </c>
      <c r="L8" s="10" t="e">
        <f t="shared" ca="1" si="2"/>
        <v>#NAME?</v>
      </c>
      <c r="M8" s="12">
        <v>5</v>
      </c>
      <c r="N8" s="10" t="e">
        <f t="shared" ca="1" si="3"/>
        <v>#NAME?</v>
      </c>
    </row>
    <row r="9" spans="1:14" x14ac:dyDescent="0.2">
      <c r="A9" s="28">
        <v>6</v>
      </c>
      <c r="B9" s="29">
        <v>2395</v>
      </c>
      <c r="C9" s="26">
        <f t="shared" si="0"/>
        <v>855.35714285714289</v>
      </c>
      <c r="D9" s="32">
        <v>0.56000000000000005</v>
      </c>
      <c r="F9" s="14">
        <f t="shared" si="1"/>
        <v>6.7515190926638571</v>
      </c>
      <c r="H9" s="281" t="s">
        <v>12</v>
      </c>
      <c r="I9" s="278">
        <f>LN(I8)</f>
        <v>9.2103403719761836</v>
      </c>
      <c r="K9" s="12">
        <v>1.5</v>
      </c>
      <c r="L9" s="10" t="e">
        <f t="shared" ca="1" si="2"/>
        <v>#NAME?</v>
      </c>
      <c r="M9" s="12">
        <v>6</v>
      </c>
      <c r="N9" s="10" t="e">
        <f t="shared" ca="1" si="3"/>
        <v>#NAME?</v>
      </c>
    </row>
    <row r="10" spans="1:14" x14ac:dyDescent="0.2">
      <c r="A10" s="28">
        <v>7</v>
      </c>
      <c r="B10" s="29">
        <v>1573</v>
      </c>
      <c r="C10" s="26">
        <f t="shared" si="0"/>
        <v>561.78571428571433</v>
      </c>
      <c r="D10" s="32">
        <v>0.54200000000000004</v>
      </c>
      <c r="F10" s="14">
        <f t="shared" si="1"/>
        <v>6.3311204858771193</v>
      </c>
      <c r="H10" s="281" t="s">
        <v>4</v>
      </c>
      <c r="I10" s="278" t="e">
        <f ca="1">interpolate($F$4:$F$93, $A$4:$A$93, $I9,$H$2,FALSE)</f>
        <v>#NAME?</v>
      </c>
      <c r="K10" s="12">
        <v>1.6</v>
      </c>
      <c r="L10" s="10" t="e">
        <f t="shared" ca="1" si="2"/>
        <v>#NAME?</v>
      </c>
      <c r="M10" s="12">
        <v>7</v>
      </c>
      <c r="N10" s="10" t="e">
        <f t="shared" ca="1" si="3"/>
        <v>#NAME?</v>
      </c>
    </row>
    <row r="11" spans="1:14" x14ac:dyDescent="0.2">
      <c r="A11" s="28">
        <v>8</v>
      </c>
      <c r="B11" s="29">
        <v>1055</v>
      </c>
      <c r="C11" s="26">
        <f t="shared" si="0"/>
        <v>376.78571428571433</v>
      </c>
      <c r="D11" s="32">
        <v>0.499</v>
      </c>
      <c r="F11" s="14">
        <f t="shared" si="1"/>
        <v>5.9316766287290088</v>
      </c>
      <c r="K11" s="12">
        <v>1.7</v>
      </c>
      <c r="L11" s="10" t="e">
        <f t="shared" ca="1" si="2"/>
        <v>#NAME?</v>
      </c>
      <c r="M11" s="12">
        <v>8</v>
      </c>
      <c r="N11" s="10" t="e">
        <f t="shared" ca="1" si="3"/>
        <v>#NAME?</v>
      </c>
    </row>
    <row r="12" spans="1:14" x14ac:dyDescent="0.2">
      <c r="A12" s="28">
        <v>9</v>
      </c>
      <c r="B12" s="29">
        <v>725.8</v>
      </c>
      <c r="C12" s="26">
        <f t="shared" si="0"/>
        <v>259.21428571428572</v>
      </c>
      <c r="D12" s="32">
        <v>0.54400000000000004</v>
      </c>
      <c r="F12" s="14">
        <f t="shared" si="1"/>
        <v>5.5576550775978122</v>
      </c>
      <c r="K12" s="12">
        <v>1.8</v>
      </c>
      <c r="L12" s="10" t="e">
        <f t="shared" ca="1" si="2"/>
        <v>#NAME?</v>
      </c>
      <c r="M12" s="12">
        <v>9</v>
      </c>
      <c r="N12" s="10" t="e">
        <f t="shared" ca="1" si="3"/>
        <v>#NAME?</v>
      </c>
    </row>
    <row r="13" spans="1:14" x14ac:dyDescent="0.2">
      <c r="A13" s="28">
        <v>10</v>
      </c>
      <c r="B13" s="29">
        <v>513.70000000000005</v>
      </c>
      <c r="C13" s="26">
        <f t="shared" si="0"/>
        <v>183.46428571428575</v>
      </c>
      <c r="D13" s="32">
        <v>0.64300000000000002</v>
      </c>
      <c r="F13" s="14">
        <f t="shared" si="1"/>
        <v>5.2120200202920639</v>
      </c>
      <c r="K13" s="12">
        <v>1.9</v>
      </c>
      <c r="L13" s="10" t="e">
        <f t="shared" ca="1" si="2"/>
        <v>#NAME?</v>
      </c>
      <c r="M13" s="12">
        <v>10</v>
      </c>
      <c r="N13" s="10" t="e">
        <f t="shared" ca="1" si="3"/>
        <v>#NAME?</v>
      </c>
    </row>
    <row r="14" spans="1:14" x14ac:dyDescent="0.2">
      <c r="A14" s="28">
        <v>11</v>
      </c>
      <c r="B14" s="29">
        <v>374.6</v>
      </c>
      <c r="C14" s="26">
        <f t="shared" si="0"/>
        <v>133.78571428571431</v>
      </c>
      <c r="D14" s="32">
        <v>0.75900000000000001</v>
      </c>
      <c r="F14" s="14">
        <f t="shared" si="1"/>
        <v>4.8962393728288305</v>
      </c>
      <c r="H14" s="281">
        <v>2</v>
      </c>
      <c r="I14" s="278" t="e">
        <f ca="1">mtd($H$14)</f>
        <v>#NAME?</v>
      </c>
      <c r="K14" s="12">
        <v>2</v>
      </c>
      <c r="L14" s="10" t="e">
        <f t="shared" ca="1" si="2"/>
        <v>#NAME?</v>
      </c>
      <c r="M14" s="12">
        <v>11</v>
      </c>
      <c r="N14" s="10" t="e">
        <f t="shared" ca="1" si="3"/>
        <v>#NAME?</v>
      </c>
    </row>
    <row r="15" spans="1:14" x14ac:dyDescent="0.2">
      <c r="A15" s="28">
        <v>12</v>
      </c>
      <c r="B15" s="29">
        <v>281</v>
      </c>
      <c r="C15" s="26">
        <f t="shared" si="0"/>
        <v>100.35714285714286</v>
      </c>
      <c r="D15" s="32">
        <v>0.98099999999999998</v>
      </c>
      <c r="F15" s="14">
        <f t="shared" si="1"/>
        <v>4.6087352521525879</v>
      </c>
      <c r="K15" s="12">
        <v>2.1</v>
      </c>
      <c r="L15" s="10" t="e">
        <f t="shared" ca="1" si="2"/>
        <v>#NAME?</v>
      </c>
      <c r="M15" s="12">
        <v>12</v>
      </c>
      <c r="N15" s="10" t="e">
        <f t="shared" ca="1" si="3"/>
        <v>#NAME?</v>
      </c>
    </row>
    <row r="16" spans="1:14" x14ac:dyDescent="0.2">
      <c r="A16" s="28">
        <v>13</v>
      </c>
      <c r="B16" s="29">
        <v>216.4</v>
      </c>
      <c r="C16" s="26">
        <f t="shared" si="0"/>
        <v>77.285714285714292</v>
      </c>
      <c r="D16" s="32">
        <v>1.2729999999999999</v>
      </c>
      <c r="F16" s="14">
        <f t="shared" si="1"/>
        <v>4.3475091297911685</v>
      </c>
      <c r="K16" s="12">
        <v>2.2000000000000002</v>
      </c>
      <c r="L16" s="10" t="e">
        <f t="shared" ca="1" si="2"/>
        <v>#NAME?</v>
      </c>
      <c r="M16" s="12">
        <v>13</v>
      </c>
      <c r="N16" s="10" t="e">
        <f t="shared" ca="1" si="3"/>
        <v>#NAME?</v>
      </c>
    </row>
    <row r="17" spans="1:14" x14ac:dyDescent="0.2">
      <c r="A17" s="28">
        <v>14</v>
      </c>
      <c r="B17" s="29">
        <v>170.4</v>
      </c>
      <c r="C17" s="26">
        <f t="shared" si="0"/>
        <v>60.857142857142861</v>
      </c>
      <c r="D17" s="32">
        <v>1.655</v>
      </c>
      <c r="F17" s="14">
        <f t="shared" si="1"/>
        <v>4.1085291972140574</v>
      </c>
      <c r="H17" s="278" t="e">
        <f ca="1">mtd(1.7575)</f>
        <v>#NAME?</v>
      </c>
      <c r="K17" s="12">
        <v>2.2999999999999998</v>
      </c>
      <c r="L17" s="10" t="e">
        <f t="shared" ca="1" si="2"/>
        <v>#NAME?</v>
      </c>
      <c r="M17" s="12">
        <v>14</v>
      </c>
      <c r="N17" s="10" t="e">
        <f t="shared" ca="1" si="3"/>
        <v>#NAME?</v>
      </c>
    </row>
    <row r="18" spans="1:14" x14ac:dyDescent="0.2">
      <c r="A18" s="28">
        <v>15</v>
      </c>
      <c r="B18" s="29">
        <v>136.80000000000001</v>
      </c>
      <c r="C18" s="26">
        <f t="shared" si="0"/>
        <v>48.857142857142861</v>
      </c>
      <c r="D18" s="32">
        <v>2.2109999999999999</v>
      </c>
      <c r="F18" s="14">
        <f t="shared" si="1"/>
        <v>3.8889005880072918</v>
      </c>
      <c r="K18" s="12">
        <v>2.4</v>
      </c>
      <c r="L18" s="10" t="e">
        <f t="shared" ca="1" si="2"/>
        <v>#NAME?</v>
      </c>
      <c r="M18" s="12">
        <v>15</v>
      </c>
      <c r="N18" s="10" t="e">
        <f t="shared" ca="1" si="3"/>
        <v>#NAME?</v>
      </c>
    </row>
    <row r="19" spans="1:14" x14ac:dyDescent="0.2">
      <c r="A19" s="28">
        <v>16</v>
      </c>
      <c r="B19" s="29">
        <v>111.3</v>
      </c>
      <c r="C19" s="26">
        <f t="shared" si="0"/>
        <v>39.75</v>
      </c>
      <c r="D19" s="32">
        <v>2.4140000000000001</v>
      </c>
      <c r="F19" s="14">
        <f t="shared" si="1"/>
        <v>3.6826098411003407</v>
      </c>
      <c r="H19" s="3" t="s">
        <v>13</v>
      </c>
      <c r="K19" s="12">
        <v>2.5</v>
      </c>
      <c r="L19" s="10" t="e">
        <f t="shared" ca="1" si="2"/>
        <v>#NAME?</v>
      </c>
      <c r="M19" s="12">
        <v>16</v>
      </c>
      <c r="N19" s="10" t="e">
        <f t="shared" ca="1" si="3"/>
        <v>#NAME?</v>
      </c>
    </row>
    <row r="20" spans="1:14" x14ac:dyDescent="0.2">
      <c r="A20" s="28">
        <v>17</v>
      </c>
      <c r="B20" s="29">
        <v>91.33</v>
      </c>
      <c r="C20" s="26">
        <f t="shared" si="0"/>
        <v>32.617857142857147</v>
      </c>
      <c r="D20" s="32">
        <v>2.91</v>
      </c>
      <c r="F20" s="14">
        <f t="shared" si="1"/>
        <v>3.4848599035224295</v>
      </c>
      <c r="K20" s="12">
        <v>2.6</v>
      </c>
      <c r="L20" s="10" t="e">
        <f t="shared" ca="1" si="2"/>
        <v>#NAME?</v>
      </c>
      <c r="M20" s="12">
        <v>17</v>
      </c>
      <c r="N20" s="10" t="e">
        <f t="shared" ca="1" si="3"/>
        <v>#NAME?</v>
      </c>
    </row>
    <row r="21" spans="1:14" x14ac:dyDescent="0.2">
      <c r="A21" s="28">
        <v>18</v>
      </c>
      <c r="B21" s="29">
        <v>75.290000000000006</v>
      </c>
      <c r="C21" s="26">
        <f t="shared" si="0"/>
        <v>26.88928571428572</v>
      </c>
      <c r="D21" s="32">
        <v>3.444</v>
      </c>
      <c r="F21" s="14">
        <f t="shared" si="1"/>
        <v>3.2917279066808729</v>
      </c>
      <c r="K21" s="12">
        <v>2.7</v>
      </c>
      <c r="L21" s="10" t="e">
        <f t="shared" ca="1" si="2"/>
        <v>#NAME?</v>
      </c>
      <c r="M21" s="12">
        <v>18</v>
      </c>
      <c r="N21" s="10" t="e">
        <f t="shared" ca="1" si="3"/>
        <v>#NAME?</v>
      </c>
    </row>
    <row r="22" spans="1:14" x14ac:dyDescent="0.2">
      <c r="A22" s="28">
        <v>19</v>
      </c>
      <c r="B22" s="29">
        <v>62.17</v>
      </c>
      <c r="C22" s="26">
        <f t="shared" si="0"/>
        <v>22.203571428571429</v>
      </c>
      <c r="D22" s="32">
        <v>4.101</v>
      </c>
      <c r="F22" s="14">
        <f t="shared" si="1"/>
        <v>3.1002531511000879</v>
      </c>
      <c r="H22" s="283"/>
      <c r="I22" s="6" t="s">
        <v>14</v>
      </c>
      <c r="K22" s="12">
        <v>2.8</v>
      </c>
      <c r="L22" s="10" t="e">
        <f t="shared" ca="1" si="2"/>
        <v>#NAME?</v>
      </c>
      <c r="M22" s="12">
        <v>19</v>
      </c>
      <c r="N22" s="10" t="e">
        <f t="shared" ca="1" si="3"/>
        <v>#NAME?</v>
      </c>
    </row>
    <row r="23" spans="1:14" x14ac:dyDescent="0.2">
      <c r="A23" s="28">
        <v>20</v>
      </c>
      <c r="B23" s="29">
        <v>51.35</v>
      </c>
      <c r="C23" s="26">
        <f t="shared" si="0"/>
        <v>18.339285714285715</v>
      </c>
      <c r="D23" s="32">
        <v>5.0449999999999999</v>
      </c>
      <c r="F23" s="14">
        <f t="shared" si="1"/>
        <v>2.909045519193409</v>
      </c>
      <c r="H23" s="1"/>
      <c r="I23" s="1"/>
      <c r="K23" s="12">
        <v>2.9</v>
      </c>
      <c r="L23" s="10" t="e">
        <f t="shared" ca="1" si="2"/>
        <v>#NAME?</v>
      </c>
      <c r="M23" s="12">
        <v>20</v>
      </c>
      <c r="N23" s="10" t="e">
        <f t="shared" ca="1" si="3"/>
        <v>#NAME?</v>
      </c>
    </row>
    <row r="24" spans="1:14" x14ac:dyDescent="0.2">
      <c r="A24" s="28">
        <v>21</v>
      </c>
      <c r="B24" s="29">
        <v>42.4</v>
      </c>
      <c r="C24" s="26">
        <f t="shared" si="0"/>
        <v>15.142857142857144</v>
      </c>
      <c r="D24" s="32">
        <v>4.976</v>
      </c>
      <c r="F24" s="14">
        <f t="shared" si="1"/>
        <v>2.7175289450567539</v>
      </c>
      <c r="H24" s="284"/>
      <c r="I24" s="6" t="s">
        <v>15</v>
      </c>
      <c r="K24" s="12">
        <v>3</v>
      </c>
      <c r="L24" s="10" t="e">
        <f t="shared" ca="1" si="2"/>
        <v>#NAME?</v>
      </c>
      <c r="M24" s="12">
        <v>21</v>
      </c>
      <c r="N24" s="10" t="e">
        <f t="shared" ca="1" si="3"/>
        <v>#NAME?</v>
      </c>
    </row>
    <row r="25" spans="1:14" x14ac:dyDescent="0.2">
      <c r="A25" s="28">
        <v>22</v>
      </c>
      <c r="B25" s="29">
        <v>35.01</v>
      </c>
      <c r="C25" s="26">
        <f t="shared" si="0"/>
        <v>12.503571428571428</v>
      </c>
      <c r="D25" s="32">
        <v>5.508</v>
      </c>
      <c r="F25" s="14">
        <f t="shared" si="1"/>
        <v>2.5260143177854162</v>
      </c>
      <c r="H25" s="1"/>
      <c r="I25" s="1"/>
      <c r="K25" s="12">
        <v>3.1</v>
      </c>
      <c r="L25" s="10" t="e">
        <f t="shared" ca="1" si="2"/>
        <v>#NAME?</v>
      </c>
      <c r="M25" s="12">
        <v>22</v>
      </c>
      <c r="N25" s="10" t="e">
        <f t="shared" ca="1" si="3"/>
        <v>#NAME?</v>
      </c>
    </row>
    <row r="26" spans="1:14" x14ac:dyDescent="0.2">
      <c r="A26" s="28">
        <v>23</v>
      </c>
      <c r="B26" s="29">
        <v>28.95</v>
      </c>
      <c r="C26" s="26">
        <f t="shared" si="0"/>
        <v>10.339285714285715</v>
      </c>
      <c r="D26" s="32">
        <v>5.9409999999999998</v>
      </c>
      <c r="F26" s="14">
        <f t="shared" si="1"/>
        <v>2.335950786837846</v>
      </c>
      <c r="H26" s="285"/>
      <c r="I26" s="6" t="s">
        <v>16</v>
      </c>
      <c r="K26" s="12">
        <v>3.2</v>
      </c>
      <c r="L26" s="10" t="e">
        <f t="shared" ca="1" si="2"/>
        <v>#NAME?</v>
      </c>
      <c r="M26" s="12">
        <v>23</v>
      </c>
      <c r="N26" s="10" t="e">
        <f t="shared" ca="1" si="3"/>
        <v>#NAME?</v>
      </c>
    </row>
    <row r="27" spans="1:14" x14ac:dyDescent="0.2">
      <c r="A27" s="28">
        <v>24</v>
      </c>
      <c r="B27" s="29">
        <v>23.99</v>
      </c>
      <c r="C27" s="26">
        <f t="shared" si="0"/>
        <v>8.5678571428571431</v>
      </c>
      <c r="D27" s="32">
        <v>6.5730000000000004</v>
      </c>
      <c r="F27" s="14">
        <f t="shared" si="1"/>
        <v>2.1480176596704448</v>
      </c>
      <c r="K27" s="12">
        <v>3.3</v>
      </c>
      <c r="L27" s="10" t="e">
        <f t="shared" ca="1" si="2"/>
        <v>#NAME?</v>
      </c>
      <c r="M27" s="12">
        <v>24</v>
      </c>
      <c r="N27" s="10" t="e">
        <f t="shared" ca="1" si="3"/>
        <v>#NAME?</v>
      </c>
    </row>
    <row r="28" spans="1:14" x14ac:dyDescent="0.2">
      <c r="A28" s="28">
        <v>25</v>
      </c>
      <c r="B28" s="29">
        <v>19.95</v>
      </c>
      <c r="C28" s="26">
        <f t="shared" si="0"/>
        <v>7.125</v>
      </c>
      <c r="D28" s="32">
        <v>6.9450000000000003</v>
      </c>
      <c r="F28" s="14">
        <f t="shared" si="1"/>
        <v>1.9636097261547143</v>
      </c>
      <c r="H28" s="5" t="s">
        <v>17</v>
      </c>
      <c r="K28" s="12">
        <v>3.4</v>
      </c>
      <c r="L28" s="10" t="e">
        <f t="shared" ca="1" si="2"/>
        <v>#NAME?</v>
      </c>
      <c r="M28" s="12">
        <v>25</v>
      </c>
      <c r="N28" s="10" t="e">
        <f t="shared" ca="1" si="3"/>
        <v>#NAME?</v>
      </c>
    </row>
    <row r="29" spans="1:14" x14ac:dyDescent="0.2">
      <c r="A29" s="28">
        <v>26</v>
      </c>
      <c r="B29" s="29">
        <v>16.66</v>
      </c>
      <c r="C29" s="26">
        <f t="shared" si="0"/>
        <v>5.95</v>
      </c>
      <c r="D29" s="32">
        <v>7.2610000000000001</v>
      </c>
      <c r="F29" s="14">
        <f t="shared" si="1"/>
        <v>1.7833912195575383</v>
      </c>
      <c r="H29" s="5" t="s">
        <v>18</v>
      </c>
      <c r="K29" s="12">
        <v>3.5</v>
      </c>
      <c r="L29" s="10" t="e">
        <f t="shared" ca="1" si="2"/>
        <v>#NAME?</v>
      </c>
      <c r="M29" s="12">
        <v>26</v>
      </c>
      <c r="N29" s="10" t="e">
        <f t="shared" ca="1" si="3"/>
        <v>#NAME?</v>
      </c>
    </row>
    <row r="30" spans="1:14" x14ac:dyDescent="0.2">
      <c r="A30" s="28">
        <v>27</v>
      </c>
      <c r="B30" s="29">
        <v>13.98</v>
      </c>
      <c r="C30" s="26">
        <f t="shared" si="0"/>
        <v>4.9928571428571429</v>
      </c>
      <c r="D30" s="32">
        <v>8.0299999999999994</v>
      </c>
      <c r="F30" s="14">
        <f t="shared" si="1"/>
        <v>1.6080083196245059</v>
      </c>
      <c r="H30" s="5" t="s">
        <v>19</v>
      </c>
      <c r="K30" s="12">
        <v>3.6</v>
      </c>
      <c r="L30" s="10" t="e">
        <f t="shared" ca="1" si="2"/>
        <v>#NAME?</v>
      </c>
      <c r="M30" s="12">
        <v>27</v>
      </c>
      <c r="N30" s="10" t="e">
        <f t="shared" ca="1" si="3"/>
        <v>#NAME?</v>
      </c>
    </row>
    <row r="31" spans="1:14" x14ac:dyDescent="0.2">
      <c r="A31" s="28">
        <v>28</v>
      </c>
      <c r="B31" s="29">
        <v>11.8</v>
      </c>
      <c r="C31" s="26">
        <f t="shared" si="0"/>
        <v>4.2142857142857144</v>
      </c>
      <c r="D31" s="32">
        <v>8.3689999999999998</v>
      </c>
      <c r="F31" s="14">
        <f t="shared" si="1"/>
        <v>1.4384801142904609</v>
      </c>
      <c r="H31" s="5" t="s">
        <v>20</v>
      </c>
      <c r="K31" s="12">
        <v>3.7</v>
      </c>
      <c r="L31" s="10" t="e">
        <f t="shared" ca="1" si="2"/>
        <v>#NAME?</v>
      </c>
      <c r="M31" s="12">
        <v>28</v>
      </c>
      <c r="N31" s="10" t="e">
        <f t="shared" ca="1" si="3"/>
        <v>#NAME?</v>
      </c>
    </row>
    <row r="32" spans="1:14" x14ac:dyDescent="0.2">
      <c r="A32" s="28">
        <v>29</v>
      </c>
      <c r="B32" s="29">
        <v>10.02</v>
      </c>
      <c r="C32" s="26">
        <f t="shared" si="0"/>
        <v>3.5785714285714287</v>
      </c>
      <c r="D32" s="32">
        <v>8.5950000000000006</v>
      </c>
      <c r="F32" s="14">
        <f t="shared" si="1"/>
        <v>1.2749636784755605</v>
      </c>
      <c r="K32" s="12">
        <v>3.8</v>
      </c>
      <c r="L32" s="10" t="e">
        <f t="shared" ca="1" si="2"/>
        <v>#NAME?</v>
      </c>
      <c r="M32" s="12">
        <v>29</v>
      </c>
      <c r="N32" s="10" t="e">
        <f t="shared" ca="1" si="3"/>
        <v>#NAME?</v>
      </c>
    </row>
    <row r="33" spans="1:14" x14ac:dyDescent="0.2">
      <c r="A33" s="28">
        <v>30</v>
      </c>
      <c r="B33" s="29">
        <v>8.5679999999999996</v>
      </c>
      <c r="C33" s="26">
        <f t="shared" si="0"/>
        <v>3.06</v>
      </c>
      <c r="D33" s="32">
        <v>9.9429999999999996</v>
      </c>
      <c r="F33" s="14">
        <f t="shared" si="1"/>
        <v>1.1184149159642893</v>
      </c>
      <c r="K33" s="12">
        <v>3.9</v>
      </c>
      <c r="L33" s="10" t="e">
        <f t="shared" ca="1" si="2"/>
        <v>#NAME?</v>
      </c>
      <c r="M33" s="12">
        <v>30</v>
      </c>
      <c r="N33" s="10" t="e">
        <f t="shared" ca="1" si="3"/>
        <v>#NAME?</v>
      </c>
    </row>
    <row r="34" spans="1:14" x14ac:dyDescent="0.2">
      <c r="A34" s="28">
        <v>31</v>
      </c>
      <c r="B34" s="29">
        <v>7.38</v>
      </c>
      <c r="C34" s="26">
        <f t="shared" si="0"/>
        <v>2.6357142857142857</v>
      </c>
      <c r="D34" s="7"/>
      <c r="F34" s="14">
        <f t="shared" si="1"/>
        <v>0.96915422143122287</v>
      </c>
      <c r="K34" s="12">
        <v>4</v>
      </c>
      <c r="L34" s="10" t="e">
        <f t="shared" ca="1" si="2"/>
        <v>#NAME?</v>
      </c>
      <c r="M34" s="12">
        <v>31</v>
      </c>
      <c r="N34" s="10" t="e">
        <f t="shared" ca="1" si="3"/>
        <v>#NAME?</v>
      </c>
    </row>
    <row r="35" spans="1:14" x14ac:dyDescent="0.2">
      <c r="A35" s="28">
        <v>32</v>
      </c>
      <c r="B35" s="29">
        <v>6.4029999999999996</v>
      </c>
      <c r="C35" s="26">
        <f t="shared" si="0"/>
        <v>2.2867857142857142</v>
      </c>
      <c r="D35" s="7"/>
      <c r="F35" s="14">
        <f t="shared" si="1"/>
        <v>0.82714721335550689</v>
      </c>
      <c r="K35" s="12">
        <v>4.0999999999999996</v>
      </c>
      <c r="L35" s="10" t="e">
        <f t="shared" ca="1" si="2"/>
        <v>#NAME?</v>
      </c>
      <c r="M35" s="12">
        <v>32</v>
      </c>
      <c r="N35" s="10" t="e">
        <f t="shared" ca="1" si="3"/>
        <v>#NAME?</v>
      </c>
    </row>
    <row r="36" spans="1:14" x14ac:dyDescent="0.2">
      <c r="A36" s="28">
        <v>33</v>
      </c>
      <c r="B36" s="29">
        <v>5.5940000000000003</v>
      </c>
      <c r="C36" s="26">
        <f t="shared" si="0"/>
        <v>1.997857142857143</v>
      </c>
      <c r="D36" s="7"/>
      <c r="F36" s="14">
        <f t="shared" si="1"/>
        <v>0.69207517759860981</v>
      </c>
      <c r="K36" s="12">
        <v>4.2</v>
      </c>
      <c r="L36" s="10" t="e">
        <f t="shared" ca="1" si="2"/>
        <v>#NAME?</v>
      </c>
      <c r="M36" s="12">
        <v>33</v>
      </c>
      <c r="N36" s="10" t="e">
        <f t="shared" ca="1" si="3"/>
        <v>#NAME?</v>
      </c>
    </row>
    <row r="37" spans="1:14" x14ac:dyDescent="0.2">
      <c r="A37" s="28">
        <v>34</v>
      </c>
      <c r="B37" s="29">
        <v>4.9210000000000003</v>
      </c>
      <c r="C37" s="26">
        <f t="shared" si="0"/>
        <v>1.7575000000000003</v>
      </c>
      <c r="D37" s="7"/>
      <c r="F37" s="14">
        <f t="shared" si="1"/>
        <v>0.56389234470268312</v>
      </c>
      <c r="K37" s="12">
        <v>4.3</v>
      </c>
      <c r="L37" s="10" t="e">
        <f t="shared" ca="1" si="2"/>
        <v>#NAME?</v>
      </c>
      <c r="M37" s="12">
        <v>34</v>
      </c>
      <c r="N37" s="10" t="e">
        <f t="shared" ca="1" si="3"/>
        <v>#NAME?</v>
      </c>
    </row>
    <row r="38" spans="1:14" x14ac:dyDescent="0.2">
      <c r="A38" s="28">
        <v>35</v>
      </c>
      <c r="B38" s="29">
        <v>4.3559999999999999</v>
      </c>
      <c r="C38" s="26">
        <f t="shared" si="0"/>
        <v>1.5557142857142858</v>
      </c>
      <c r="D38" s="7"/>
      <c r="F38" s="14">
        <f t="shared" si="1"/>
        <v>0.44193478788955587</v>
      </c>
      <c r="K38" s="12">
        <v>4.4000000000000004</v>
      </c>
      <c r="L38" s="10" t="e">
        <f t="shared" ca="1" si="2"/>
        <v>#NAME?</v>
      </c>
      <c r="M38" s="12">
        <v>35</v>
      </c>
      <c r="N38" s="10" t="e">
        <f t="shared" ca="1" si="3"/>
        <v>#NAME?</v>
      </c>
    </row>
    <row r="39" spans="1:14" x14ac:dyDescent="0.2">
      <c r="A39" s="28">
        <v>36</v>
      </c>
      <c r="B39" s="29">
        <v>3.88</v>
      </c>
      <c r="C39" s="26">
        <f t="shared" si="0"/>
        <v>1.3857142857142857</v>
      </c>
      <c r="D39" s="7"/>
      <c r="F39" s="14">
        <f t="shared" si="1"/>
        <v>0.3262157364540238</v>
      </c>
      <c r="K39" s="12">
        <v>4.5</v>
      </c>
      <c r="L39" s="10" t="e">
        <f t="shared" ca="1" si="2"/>
        <v>#NAME?</v>
      </c>
      <c r="M39" s="12">
        <v>36</v>
      </c>
      <c r="N39" s="10" t="e">
        <f t="shared" ca="1" si="3"/>
        <v>#NAME?</v>
      </c>
    </row>
    <row r="40" spans="1:14" x14ac:dyDescent="0.2">
      <c r="A40" s="28">
        <v>37</v>
      </c>
      <c r="B40" s="29">
        <v>3.476</v>
      </c>
      <c r="C40" s="26">
        <f t="shared" si="0"/>
        <v>1.2414285714285715</v>
      </c>
      <c r="D40" s="7"/>
      <c r="F40" s="14">
        <f t="shared" si="1"/>
        <v>0.21626279022198747</v>
      </c>
      <c r="K40" s="12">
        <v>4.5999999999999996</v>
      </c>
      <c r="L40" s="10" t="e">
        <f t="shared" ca="1" si="2"/>
        <v>#NAME?</v>
      </c>
      <c r="M40" s="12">
        <v>37</v>
      </c>
      <c r="N40" s="10" t="e">
        <f t="shared" ca="1" si="3"/>
        <v>#NAME?</v>
      </c>
    </row>
    <row r="41" spans="1:14" x14ac:dyDescent="0.2">
      <c r="A41" s="28">
        <v>38</v>
      </c>
      <c r="B41" s="29">
        <v>3.1309999999999998</v>
      </c>
      <c r="C41" s="26">
        <f t="shared" si="0"/>
        <v>1.1182142857142856</v>
      </c>
      <c r="D41" s="7"/>
      <c r="F41" s="14">
        <f t="shared" si="1"/>
        <v>0.1117330251631103</v>
      </c>
      <c r="K41" s="12">
        <v>4.7</v>
      </c>
      <c r="L41" s="10" t="e">
        <f t="shared" ca="1" si="2"/>
        <v>#NAME?</v>
      </c>
      <c r="M41" s="12">
        <v>38</v>
      </c>
      <c r="N41" s="10" t="e">
        <f t="shared" ca="1" si="3"/>
        <v>#NAME?</v>
      </c>
    </row>
    <row r="42" spans="1:14" x14ac:dyDescent="0.2">
      <c r="A42" s="28">
        <v>39</v>
      </c>
      <c r="B42" s="29">
        <v>2.8340000000000001</v>
      </c>
      <c r="C42" s="26">
        <f t="shared" si="0"/>
        <v>1.0121428571428572</v>
      </c>
      <c r="D42" s="7"/>
      <c r="F42" s="14">
        <f t="shared" si="1"/>
        <v>1.2069724087330543E-2</v>
      </c>
      <c r="K42" s="12">
        <v>4.8</v>
      </c>
      <c r="L42" s="10" t="e">
        <f t="shared" ca="1" si="2"/>
        <v>#NAME?</v>
      </c>
      <c r="M42" s="12">
        <v>39</v>
      </c>
      <c r="N42" s="10" t="e">
        <f t="shared" ca="1" si="3"/>
        <v>#NAME?</v>
      </c>
    </row>
    <row r="43" spans="1:14" x14ac:dyDescent="0.2">
      <c r="A43" s="28">
        <v>40</v>
      </c>
      <c r="B43" s="29">
        <v>2.577</v>
      </c>
      <c r="C43" s="26">
        <f t="shared" si="0"/>
        <v>0.92035714285714287</v>
      </c>
      <c r="D43" s="7"/>
      <c r="F43" s="14">
        <f t="shared" si="1"/>
        <v>-8.2993485510930207E-2</v>
      </c>
      <c r="K43" s="12">
        <v>4.9000000000000004</v>
      </c>
      <c r="L43" s="10" t="e">
        <f t="shared" ca="1" si="2"/>
        <v>#NAME?</v>
      </c>
      <c r="M43" s="12">
        <v>40</v>
      </c>
      <c r="N43" s="10" t="e">
        <f t="shared" ca="1" si="3"/>
        <v>#NAME?</v>
      </c>
    </row>
    <row r="44" spans="1:14" x14ac:dyDescent="0.2">
      <c r="A44" s="28">
        <v>41</v>
      </c>
      <c r="B44" s="29">
        <v>2.3540000000000001</v>
      </c>
      <c r="C44" s="26">
        <f t="shared" si="0"/>
        <v>0.84071428571428575</v>
      </c>
      <c r="D44" s="7"/>
      <c r="F44" s="14">
        <f t="shared" si="1"/>
        <v>-0.17350340834307323</v>
      </c>
      <c r="K44" s="12">
        <v>5</v>
      </c>
      <c r="L44" s="10" t="e">
        <f t="shared" ca="1" si="2"/>
        <v>#NAME?</v>
      </c>
      <c r="M44" s="12">
        <v>41</v>
      </c>
      <c r="N44" s="10" t="e">
        <f t="shared" ca="1" si="3"/>
        <v>#NAME?</v>
      </c>
    </row>
    <row r="45" spans="1:14" x14ac:dyDescent="0.2">
      <c r="A45" s="28">
        <v>42</v>
      </c>
      <c r="B45" s="29">
        <v>2.1589999999999998</v>
      </c>
      <c r="C45" s="26">
        <f t="shared" si="0"/>
        <v>0.77107142857142852</v>
      </c>
      <c r="D45" s="7"/>
      <c r="F45" s="14">
        <f t="shared" si="1"/>
        <v>-0.25997426564848802</v>
      </c>
      <c r="K45" s="12">
        <v>5.0999999999999996</v>
      </c>
      <c r="L45" s="10" t="e">
        <f t="shared" ca="1" si="2"/>
        <v>#NAME?</v>
      </c>
      <c r="M45" s="12">
        <v>42</v>
      </c>
      <c r="N45" s="10" t="e">
        <f t="shared" ca="1" si="3"/>
        <v>#NAME?</v>
      </c>
    </row>
    <row r="46" spans="1:14" x14ac:dyDescent="0.2">
      <c r="A46" s="28">
        <v>43</v>
      </c>
      <c r="B46" s="29">
        <v>1.988</v>
      </c>
      <c r="C46" s="26">
        <f t="shared" si="0"/>
        <v>0.71000000000000008</v>
      </c>
      <c r="D46" s="7"/>
      <c r="F46" s="14">
        <f t="shared" si="1"/>
        <v>-0.34249030894677585</v>
      </c>
      <c r="K46" s="12">
        <v>5.2</v>
      </c>
      <c r="L46" s="10" t="e">
        <f t="shared" ca="1" si="2"/>
        <v>#NAME?</v>
      </c>
      <c r="M46" s="12">
        <v>43</v>
      </c>
      <c r="N46" s="10" t="e">
        <f t="shared" ca="1" si="3"/>
        <v>#NAME?</v>
      </c>
    </row>
    <row r="47" spans="1:14" x14ac:dyDescent="0.2">
      <c r="A47" s="28">
        <v>44</v>
      </c>
      <c r="B47" s="29">
        <v>1.8360000000000001</v>
      </c>
      <c r="C47" s="26">
        <f t="shared" si="0"/>
        <v>0.65571428571428581</v>
      </c>
      <c r="D47" s="7"/>
      <c r="F47" s="14">
        <f t="shared" si="1"/>
        <v>-0.42203012498285936</v>
      </c>
      <c r="K47" s="12">
        <v>5.3</v>
      </c>
      <c r="L47" s="10" t="e">
        <f t="shared" ca="1" si="2"/>
        <v>#NAME?</v>
      </c>
      <c r="M47" s="12">
        <v>44</v>
      </c>
      <c r="N47" s="10" t="e">
        <f t="shared" ca="1" si="3"/>
        <v>#NAME?</v>
      </c>
    </row>
    <row r="48" spans="1:14" x14ac:dyDescent="0.2">
      <c r="A48" s="28">
        <v>45</v>
      </c>
      <c r="B48" s="29">
        <v>1.702</v>
      </c>
      <c r="C48" s="26">
        <f t="shared" si="0"/>
        <v>0.60785714285714287</v>
      </c>
      <c r="D48" s="7"/>
      <c r="F48" s="14">
        <f t="shared" si="1"/>
        <v>-0.4978153870299758</v>
      </c>
      <c r="K48" s="12">
        <v>5.4</v>
      </c>
      <c r="L48" s="10" t="e">
        <f t="shared" ca="1" si="2"/>
        <v>#NAME?</v>
      </c>
      <c r="M48" s="12">
        <v>45</v>
      </c>
      <c r="N48" s="10" t="e">
        <f t="shared" ca="1" si="3"/>
        <v>#NAME?</v>
      </c>
    </row>
    <row r="49" spans="1:14" x14ac:dyDescent="0.2">
      <c r="A49" s="28">
        <v>46</v>
      </c>
      <c r="B49" s="29">
        <v>1.581</v>
      </c>
      <c r="C49" s="26">
        <f t="shared" si="0"/>
        <v>0.56464285714285711</v>
      </c>
      <c r="D49" s="7"/>
      <c r="F49" s="14">
        <f t="shared" si="1"/>
        <v>-0.57156185895382328</v>
      </c>
      <c r="K49" s="12">
        <v>5.5</v>
      </c>
      <c r="L49" s="10" t="e">
        <f t="shared" ca="1" si="2"/>
        <v>#NAME?</v>
      </c>
      <c r="M49" s="12">
        <v>46</v>
      </c>
      <c r="N49" s="10" t="e">
        <f t="shared" ca="1" si="3"/>
        <v>#NAME?</v>
      </c>
    </row>
    <row r="50" spans="1:14" x14ac:dyDescent="0.2">
      <c r="A50" s="28">
        <v>47</v>
      </c>
      <c r="B50" s="29">
        <v>1.474</v>
      </c>
      <c r="C50" s="26">
        <f t="shared" si="0"/>
        <v>0.52642857142857147</v>
      </c>
      <c r="D50" s="7"/>
      <c r="F50" s="14">
        <f t="shared" si="1"/>
        <v>-0.64163962341401326</v>
      </c>
      <c r="K50" s="12">
        <v>5.6</v>
      </c>
      <c r="L50" s="10" t="e">
        <f t="shared" ca="1" si="2"/>
        <v>#NAME?</v>
      </c>
      <c r="M50" s="12">
        <v>47</v>
      </c>
      <c r="N50" s="10" t="e">
        <f t="shared" ca="1" si="3"/>
        <v>#NAME?</v>
      </c>
    </row>
    <row r="51" spans="1:14" x14ac:dyDescent="0.2">
      <c r="A51" s="28">
        <v>48</v>
      </c>
      <c r="B51" s="29">
        <v>1.377</v>
      </c>
      <c r="C51" s="26">
        <f t="shared" si="0"/>
        <v>0.49178571428571433</v>
      </c>
      <c r="D51" s="7"/>
      <c r="F51" s="14">
        <f t="shared" si="1"/>
        <v>-0.70971219743464031</v>
      </c>
      <c r="K51" s="12">
        <v>5.7</v>
      </c>
      <c r="L51" s="10" t="e">
        <f t="shared" ca="1" si="2"/>
        <v>#NAME?</v>
      </c>
      <c r="M51" s="12">
        <v>48</v>
      </c>
      <c r="N51" s="10" t="e">
        <f t="shared" ca="1" si="3"/>
        <v>#NAME?</v>
      </c>
    </row>
    <row r="52" spans="1:14" x14ac:dyDescent="0.2">
      <c r="A52" s="28">
        <v>49</v>
      </c>
      <c r="B52" s="29">
        <v>1.2889999999999999</v>
      </c>
      <c r="C52" s="26">
        <f t="shared" si="0"/>
        <v>0.46035714285714285</v>
      </c>
      <c r="D52" s="7"/>
      <c r="F52" s="14">
        <f t="shared" si="1"/>
        <v>-0.77575269322410789</v>
      </c>
      <c r="K52" s="12">
        <v>5.8</v>
      </c>
      <c r="L52" s="10" t="e">
        <f t="shared" ca="1" si="2"/>
        <v>#NAME?</v>
      </c>
      <c r="M52" s="12">
        <v>49</v>
      </c>
      <c r="N52" s="10" t="e">
        <f t="shared" ca="1" si="3"/>
        <v>#NAME?</v>
      </c>
    </row>
    <row r="53" spans="1:14" x14ac:dyDescent="0.2">
      <c r="A53" s="30">
        <v>50</v>
      </c>
      <c r="B53" s="31">
        <v>1.2090000000000001</v>
      </c>
      <c r="C53" s="27">
        <f t="shared" si="0"/>
        <v>0.43178571428571433</v>
      </c>
      <c r="D53" s="8"/>
      <c r="F53" s="14">
        <f t="shared" si="1"/>
        <v>-0.83982584554850248</v>
      </c>
      <c r="K53" s="12">
        <v>5.9</v>
      </c>
      <c r="L53" s="10" t="e">
        <f t="shared" ca="1" si="2"/>
        <v>#NAME?</v>
      </c>
      <c r="M53" s="12">
        <v>50</v>
      </c>
      <c r="N53" s="10" t="e">
        <f t="shared" ca="1" si="3"/>
        <v>#NAME?</v>
      </c>
    </row>
    <row r="54" spans="1:14" x14ac:dyDescent="0.2">
      <c r="A54" s="286">
        <v>51</v>
      </c>
      <c r="B54" s="287">
        <f>C54*2.8</f>
        <v>1.1199999999999999</v>
      </c>
      <c r="C54" s="288">
        <v>0.4</v>
      </c>
      <c r="D54" s="289" t="s">
        <v>21</v>
      </c>
      <c r="F54" s="14">
        <f>LN(C54)</f>
        <v>-0.916290731874155</v>
      </c>
      <c r="K54" s="12">
        <v>6</v>
      </c>
      <c r="L54" s="10" t="e">
        <f t="shared" ca="1" si="2"/>
        <v>#NAME?</v>
      </c>
      <c r="M54" s="12">
        <v>51</v>
      </c>
      <c r="N54" s="10" t="e">
        <f t="shared" ca="1" si="3"/>
        <v>#NAME?</v>
      </c>
    </row>
    <row r="55" spans="1:14" x14ac:dyDescent="0.2">
      <c r="A55" s="20">
        <v>52</v>
      </c>
      <c r="B55" s="18">
        <f t="shared" ref="B55:B93" si="4">C55*2.8</f>
        <v>1.0639999999999998</v>
      </c>
      <c r="C55" s="23">
        <v>0.38</v>
      </c>
      <c r="D55" s="16" t="s">
        <v>21</v>
      </c>
      <c r="F55" s="14">
        <f>LN(C55)</f>
        <v>-0.96758402626170559</v>
      </c>
      <c r="K55" s="12">
        <v>6.1</v>
      </c>
      <c r="L55" s="10" t="e">
        <f t="shared" ca="1" si="2"/>
        <v>#NAME?</v>
      </c>
      <c r="M55" s="12">
        <v>52</v>
      </c>
      <c r="N55" s="10" t="e">
        <f t="shared" ca="1" si="3"/>
        <v>#NAME?</v>
      </c>
    </row>
    <row r="56" spans="1:14" x14ac:dyDescent="0.2">
      <c r="A56" s="20">
        <v>53</v>
      </c>
      <c r="B56" s="18">
        <f t="shared" si="4"/>
        <v>1.008</v>
      </c>
      <c r="C56" s="23">
        <v>0.36</v>
      </c>
      <c r="D56" s="16" t="s">
        <v>21</v>
      </c>
      <c r="F56" s="14">
        <f>LN(C56)</f>
        <v>-1.0216512475319814</v>
      </c>
      <c r="K56" s="12">
        <v>6.2</v>
      </c>
      <c r="L56" s="10" t="e">
        <f t="shared" ca="1" si="2"/>
        <v>#NAME?</v>
      </c>
      <c r="M56" s="12">
        <v>53</v>
      </c>
      <c r="N56" s="10" t="e">
        <f t="shared" ca="1" si="3"/>
        <v>#NAME?</v>
      </c>
    </row>
    <row r="57" spans="1:14" x14ac:dyDescent="0.2">
      <c r="A57" s="20">
        <v>54</v>
      </c>
      <c r="B57" s="18">
        <f t="shared" si="4"/>
        <v>0.95199999999999996</v>
      </c>
      <c r="C57" s="23">
        <v>0.34</v>
      </c>
      <c r="D57" s="16" t="s">
        <v>21</v>
      </c>
      <c r="F57" s="14">
        <f>LN(C57)</f>
        <v>-1.0788096613719298</v>
      </c>
      <c r="K57" s="12">
        <v>6.3</v>
      </c>
      <c r="L57" s="10" t="e">
        <f t="shared" ca="1" si="2"/>
        <v>#NAME?</v>
      </c>
      <c r="M57" s="12">
        <v>54</v>
      </c>
      <c r="N57" s="10" t="e">
        <f t="shared" ca="1" si="3"/>
        <v>#NAME?</v>
      </c>
    </row>
    <row r="58" spans="1:14" x14ac:dyDescent="0.2">
      <c r="A58" s="20">
        <v>55</v>
      </c>
      <c r="B58" s="18">
        <f t="shared" si="4"/>
        <v>0.89599999999999991</v>
      </c>
      <c r="C58" s="23">
        <v>0.32</v>
      </c>
      <c r="D58" s="16" t="s">
        <v>21</v>
      </c>
      <c r="F58" s="14">
        <f>LN(C58)</f>
        <v>-1.1394342831883648</v>
      </c>
      <c r="K58" s="12">
        <v>6.4</v>
      </c>
      <c r="L58" s="10" t="e">
        <f t="shared" ca="1" si="2"/>
        <v>#NAME?</v>
      </c>
      <c r="M58" s="12">
        <v>55</v>
      </c>
      <c r="N58" s="10" t="e">
        <f t="shared" ca="1" si="3"/>
        <v>#NAME?</v>
      </c>
    </row>
    <row r="59" spans="1:14" x14ac:dyDescent="0.2">
      <c r="A59" s="21">
        <v>56</v>
      </c>
      <c r="B59" s="18">
        <f t="shared" si="4"/>
        <v>0.84</v>
      </c>
      <c r="C59" s="24">
        <v>0.3</v>
      </c>
      <c r="D59" s="16" t="s">
        <v>21</v>
      </c>
      <c r="F59" s="14">
        <f t="shared" ref="F59:F93" si="5">LN(C59)</f>
        <v>-1.2039728043259361</v>
      </c>
      <c r="K59" s="12">
        <v>6.5000000000000098</v>
      </c>
      <c r="L59" s="10" t="e">
        <f t="shared" ca="1" si="2"/>
        <v>#NAME?</v>
      </c>
      <c r="M59" s="12">
        <v>56</v>
      </c>
      <c r="N59" s="10" t="e">
        <f t="shared" ca="1" si="3"/>
        <v>#NAME?</v>
      </c>
    </row>
    <row r="60" spans="1:14" x14ac:dyDescent="0.2">
      <c r="A60" s="21">
        <v>57</v>
      </c>
      <c r="B60" s="18">
        <f t="shared" si="4"/>
        <v>0.81199999999999994</v>
      </c>
      <c r="C60" s="24">
        <v>0.28999999999999998</v>
      </c>
      <c r="D60" s="16" t="s">
        <v>21</v>
      </c>
      <c r="F60" s="14">
        <f t="shared" si="5"/>
        <v>-1.2378743560016174</v>
      </c>
      <c r="K60" s="12">
        <v>6.6</v>
      </c>
      <c r="L60" s="10" t="e">
        <f t="shared" ca="1" si="2"/>
        <v>#NAME?</v>
      </c>
      <c r="M60" s="12">
        <v>57</v>
      </c>
      <c r="N60" s="10" t="e">
        <f t="shared" ca="1" si="3"/>
        <v>#NAME?</v>
      </c>
    </row>
    <row r="61" spans="1:14" x14ac:dyDescent="0.2">
      <c r="A61" s="21">
        <v>58</v>
      </c>
      <c r="B61" s="18">
        <f t="shared" si="4"/>
        <v>0.75600000000000001</v>
      </c>
      <c r="C61" s="24">
        <v>0.27</v>
      </c>
      <c r="D61" s="16" t="s">
        <v>21</v>
      </c>
      <c r="F61" s="14">
        <f t="shared" si="5"/>
        <v>-1.3093333199837622</v>
      </c>
      <c r="K61" s="12">
        <v>6.7</v>
      </c>
      <c r="L61" s="10" t="e">
        <f t="shared" ca="1" si="2"/>
        <v>#NAME?</v>
      </c>
      <c r="M61" s="12">
        <v>58</v>
      </c>
      <c r="N61" s="10" t="e">
        <f t="shared" ca="1" si="3"/>
        <v>#NAME?</v>
      </c>
    </row>
    <row r="62" spans="1:14" x14ac:dyDescent="0.2">
      <c r="A62" s="21">
        <v>59</v>
      </c>
      <c r="B62" s="18">
        <f t="shared" si="4"/>
        <v>0.7</v>
      </c>
      <c r="C62" s="24">
        <v>0.25</v>
      </c>
      <c r="D62" s="16" t="s">
        <v>21</v>
      </c>
      <c r="F62" s="14">
        <f t="shared" si="5"/>
        <v>-1.3862943611198906</v>
      </c>
      <c r="K62" s="12">
        <v>6.8000000000000096</v>
      </c>
      <c r="L62" s="10" t="e">
        <f t="shared" ca="1" si="2"/>
        <v>#NAME?</v>
      </c>
      <c r="M62" s="12">
        <v>59</v>
      </c>
      <c r="N62" s="10" t="e">
        <f t="shared" ca="1" si="3"/>
        <v>#NAME?</v>
      </c>
    </row>
    <row r="63" spans="1:14" x14ac:dyDescent="0.2">
      <c r="A63" s="21">
        <v>60</v>
      </c>
      <c r="B63" s="18">
        <f t="shared" si="4"/>
        <v>0.64400000000000002</v>
      </c>
      <c r="C63" s="24">
        <v>0.23</v>
      </c>
      <c r="D63" s="16" t="s">
        <v>21</v>
      </c>
      <c r="F63" s="14">
        <f t="shared" si="5"/>
        <v>-1.4696759700589417</v>
      </c>
      <c r="K63" s="12">
        <v>6.9000000000000101</v>
      </c>
      <c r="L63" s="10" t="e">
        <f t="shared" ca="1" si="2"/>
        <v>#NAME?</v>
      </c>
      <c r="M63" s="12">
        <v>60</v>
      </c>
      <c r="N63" s="10" t="e">
        <f t="shared" ca="1" si="3"/>
        <v>#NAME?</v>
      </c>
    </row>
    <row r="64" spans="1:14" x14ac:dyDescent="0.2">
      <c r="A64" s="21">
        <v>61</v>
      </c>
      <c r="B64" s="18">
        <f t="shared" si="4"/>
        <v>0.58799999999999997</v>
      </c>
      <c r="C64" s="24">
        <v>0.21</v>
      </c>
      <c r="D64" s="16" t="s">
        <v>21</v>
      </c>
      <c r="F64" s="14">
        <f t="shared" si="5"/>
        <v>-1.5606477482646683</v>
      </c>
      <c r="K64" s="12">
        <v>7.0000000000000098</v>
      </c>
      <c r="L64" s="10" t="e">
        <f t="shared" ca="1" si="2"/>
        <v>#NAME?</v>
      </c>
      <c r="M64" s="12">
        <v>61</v>
      </c>
      <c r="N64" s="10" t="e">
        <f t="shared" ca="1" si="3"/>
        <v>#NAME?</v>
      </c>
    </row>
    <row r="65" spans="1:14" x14ac:dyDescent="0.2">
      <c r="A65" s="21">
        <v>62</v>
      </c>
      <c r="B65" s="18">
        <f t="shared" si="4"/>
        <v>0.55999999999999994</v>
      </c>
      <c r="C65" s="24">
        <v>0.2</v>
      </c>
      <c r="D65" s="16" t="s">
        <v>21</v>
      </c>
      <c r="F65" s="14">
        <f t="shared" si="5"/>
        <v>-1.6094379124341003</v>
      </c>
      <c r="K65" s="12">
        <v>7.1</v>
      </c>
      <c r="L65" s="10" t="e">
        <f t="shared" ca="1" si="2"/>
        <v>#NAME?</v>
      </c>
      <c r="M65" s="12">
        <v>62</v>
      </c>
      <c r="N65" s="10" t="e">
        <f t="shared" ca="1" si="3"/>
        <v>#NAME?</v>
      </c>
    </row>
    <row r="66" spans="1:14" x14ac:dyDescent="0.2">
      <c r="A66" s="21">
        <v>63</v>
      </c>
      <c r="B66" s="18">
        <f t="shared" si="4"/>
        <v>0.53199999999999992</v>
      </c>
      <c r="C66" s="24">
        <v>0.19</v>
      </c>
      <c r="D66" s="16" t="s">
        <v>21</v>
      </c>
      <c r="F66" s="14">
        <f t="shared" si="5"/>
        <v>-1.6607312068216509</v>
      </c>
      <c r="K66" s="12">
        <v>7.2000000000000099</v>
      </c>
      <c r="L66" s="10" t="e">
        <f t="shared" ca="1" si="2"/>
        <v>#NAME?</v>
      </c>
      <c r="M66" s="12">
        <v>63</v>
      </c>
      <c r="N66" s="10" t="e">
        <f t="shared" ca="1" si="3"/>
        <v>#NAME?</v>
      </c>
    </row>
    <row r="67" spans="1:14" x14ac:dyDescent="0.2">
      <c r="A67" s="21">
        <v>64</v>
      </c>
      <c r="B67" s="18">
        <f t="shared" si="4"/>
        <v>0.504</v>
      </c>
      <c r="C67" s="24">
        <v>0.18</v>
      </c>
      <c r="D67" s="16" t="s">
        <v>21</v>
      </c>
      <c r="F67" s="14">
        <f t="shared" si="5"/>
        <v>-1.7147984280919266</v>
      </c>
      <c r="K67" s="12">
        <v>7.3000000000000096</v>
      </c>
      <c r="L67" s="10" t="e">
        <f t="shared" ca="1" si="2"/>
        <v>#NAME?</v>
      </c>
      <c r="M67" s="12">
        <v>64</v>
      </c>
      <c r="N67" s="10" t="e">
        <f t="shared" ca="1" si="3"/>
        <v>#NAME?</v>
      </c>
    </row>
    <row r="68" spans="1:14" x14ac:dyDescent="0.2">
      <c r="A68" s="21">
        <v>65</v>
      </c>
      <c r="B68" s="18">
        <f t="shared" si="4"/>
        <v>0.44799999999999995</v>
      </c>
      <c r="C68" s="24">
        <v>0.16</v>
      </c>
      <c r="D68" s="16" t="s">
        <v>21</v>
      </c>
      <c r="F68" s="14">
        <f t="shared" si="5"/>
        <v>-1.8325814637483102</v>
      </c>
      <c r="K68" s="12">
        <v>7.4000000000000101</v>
      </c>
      <c r="L68" s="10" t="e">
        <f t="shared" ca="1" si="2"/>
        <v>#NAME?</v>
      </c>
      <c r="M68" s="12">
        <v>65</v>
      </c>
      <c r="N68" s="10" t="e">
        <f t="shared" ca="1" si="3"/>
        <v>#NAME?</v>
      </c>
    </row>
    <row r="69" spans="1:14" x14ac:dyDescent="0.2">
      <c r="A69" s="21">
        <v>66</v>
      </c>
      <c r="B69" s="18">
        <f t="shared" si="4"/>
        <v>0.39200000000000002</v>
      </c>
      <c r="C69" s="24">
        <v>0.14000000000000001</v>
      </c>
      <c r="D69" s="16" t="s">
        <v>21</v>
      </c>
      <c r="F69" s="14">
        <f t="shared" si="5"/>
        <v>-1.9661128563728327</v>
      </c>
      <c r="K69" s="12">
        <v>7.5000000000000098</v>
      </c>
      <c r="L69" s="10" t="e">
        <f t="shared" ref="L69:L93" ca="1" si="6">EXP(interpolate($A$4:$A$92, $F$4:$F$92, $K69,$H$2,TRUE))</f>
        <v>#NAME?</v>
      </c>
      <c r="M69" s="12">
        <v>66</v>
      </c>
      <c r="N69" s="10" t="e">
        <f t="shared" ref="N69:N93" ca="1" si="7">EXP(interpolate($A$4:$A$93, $F$4:$F$93, M69,$H$2,TRUE))</f>
        <v>#NAME?</v>
      </c>
    </row>
    <row r="70" spans="1:14" x14ac:dyDescent="0.2">
      <c r="A70" s="21">
        <v>67</v>
      </c>
      <c r="B70" s="18">
        <f t="shared" si="4"/>
        <v>0.36399999999999999</v>
      </c>
      <c r="C70" s="24">
        <v>0.13</v>
      </c>
      <c r="D70" s="16" t="s">
        <v>21</v>
      </c>
      <c r="F70" s="14">
        <f t="shared" si="5"/>
        <v>-2.0402208285265546</v>
      </c>
      <c r="K70" s="12">
        <v>7.6000000000000103</v>
      </c>
      <c r="L70" s="10" t="e">
        <f t="shared" ca="1" si="6"/>
        <v>#NAME?</v>
      </c>
      <c r="M70" s="12">
        <v>67</v>
      </c>
      <c r="N70" s="10" t="e">
        <f t="shared" ca="1" si="7"/>
        <v>#NAME?</v>
      </c>
    </row>
    <row r="71" spans="1:14" x14ac:dyDescent="0.2">
      <c r="A71" s="21">
        <v>68</v>
      </c>
      <c r="B71" s="18">
        <f t="shared" si="4"/>
        <v>0.33599999999999997</v>
      </c>
      <c r="C71" s="24">
        <v>0.12</v>
      </c>
      <c r="D71" s="16" t="s">
        <v>21</v>
      </c>
      <c r="F71" s="14">
        <f t="shared" si="5"/>
        <v>-2.120263536200091</v>
      </c>
      <c r="K71" s="12">
        <v>7.7000000000000099</v>
      </c>
      <c r="L71" s="10" t="e">
        <f t="shared" ca="1" si="6"/>
        <v>#NAME?</v>
      </c>
      <c r="M71" s="12">
        <v>68</v>
      </c>
      <c r="N71" s="10" t="e">
        <f t="shared" ca="1" si="7"/>
        <v>#NAME?</v>
      </c>
    </row>
    <row r="72" spans="1:14" x14ac:dyDescent="0.2">
      <c r="A72" s="21">
        <v>69</v>
      </c>
      <c r="B72" s="18">
        <f t="shared" si="4"/>
        <v>0.308</v>
      </c>
      <c r="C72" s="24">
        <v>0.11</v>
      </c>
      <c r="D72" s="16" t="s">
        <v>21</v>
      </c>
      <c r="F72" s="14">
        <f t="shared" si="5"/>
        <v>-2.2072749131897207</v>
      </c>
      <c r="K72" s="12">
        <v>7.8000000000000096</v>
      </c>
      <c r="L72" s="10" t="e">
        <f t="shared" ca="1" si="6"/>
        <v>#NAME?</v>
      </c>
      <c r="M72" s="12">
        <v>69</v>
      </c>
      <c r="N72" s="10" t="e">
        <f t="shared" ca="1" si="7"/>
        <v>#NAME?</v>
      </c>
    </row>
    <row r="73" spans="1:14" x14ac:dyDescent="0.2">
      <c r="A73" s="21">
        <v>70</v>
      </c>
      <c r="B73" s="18">
        <f t="shared" si="4"/>
        <v>0.27999999999999997</v>
      </c>
      <c r="C73" s="24">
        <v>0.1</v>
      </c>
      <c r="D73" s="16" t="s">
        <v>21</v>
      </c>
      <c r="F73" s="14">
        <f t="shared" si="5"/>
        <v>-2.3025850929940455</v>
      </c>
      <c r="K73" s="12">
        <v>7.9000000000000101</v>
      </c>
      <c r="L73" s="10" t="e">
        <f t="shared" ca="1" si="6"/>
        <v>#NAME?</v>
      </c>
      <c r="M73" s="12">
        <v>70</v>
      </c>
      <c r="N73" s="10" t="e">
        <f t="shared" ca="1" si="7"/>
        <v>#NAME?</v>
      </c>
    </row>
    <row r="74" spans="1:14" x14ac:dyDescent="0.2">
      <c r="A74" s="21">
        <v>71</v>
      </c>
      <c r="B74" s="18">
        <f t="shared" si="4"/>
        <v>0.252</v>
      </c>
      <c r="C74" s="24">
        <v>0.09</v>
      </c>
      <c r="D74" s="16" t="s">
        <v>21</v>
      </c>
      <c r="F74" s="14">
        <f t="shared" si="5"/>
        <v>-2.4079456086518722</v>
      </c>
      <c r="K74" s="12">
        <v>8.0000000000000107</v>
      </c>
      <c r="L74" s="10" t="e">
        <f t="shared" ca="1" si="6"/>
        <v>#NAME?</v>
      </c>
      <c r="M74" s="12">
        <v>71</v>
      </c>
      <c r="N74" s="10" t="e">
        <f t="shared" ca="1" si="7"/>
        <v>#NAME?</v>
      </c>
    </row>
    <row r="75" spans="1:14" x14ac:dyDescent="0.2">
      <c r="A75" s="21">
        <v>72</v>
      </c>
      <c r="B75" s="18">
        <f t="shared" si="4"/>
        <v>0.22399999999999998</v>
      </c>
      <c r="C75" s="24">
        <v>0.08</v>
      </c>
      <c r="D75" s="16" t="s">
        <v>21</v>
      </c>
      <c r="F75" s="14">
        <f t="shared" si="5"/>
        <v>-2.5257286443082556</v>
      </c>
      <c r="K75" s="12">
        <v>8.1000000000000103</v>
      </c>
      <c r="L75" s="10" t="e">
        <f t="shared" ca="1" si="6"/>
        <v>#NAME?</v>
      </c>
      <c r="M75" s="12">
        <v>72</v>
      </c>
      <c r="N75" s="10" t="e">
        <f t="shared" ca="1" si="7"/>
        <v>#NAME?</v>
      </c>
    </row>
    <row r="76" spans="1:14" x14ac:dyDescent="0.2">
      <c r="A76" s="21">
        <v>73</v>
      </c>
      <c r="B76" s="18">
        <f t="shared" si="4"/>
        <v>0.19600000000000001</v>
      </c>
      <c r="C76" s="24">
        <v>7.0000000000000007E-2</v>
      </c>
      <c r="D76" s="16" t="s">
        <v>21</v>
      </c>
      <c r="F76" s="14">
        <f t="shared" si="5"/>
        <v>-2.6592600369327779</v>
      </c>
      <c r="K76" s="12">
        <v>8.2000000000000099</v>
      </c>
      <c r="L76" s="10" t="e">
        <f t="shared" ca="1" si="6"/>
        <v>#NAME?</v>
      </c>
      <c r="M76" s="12">
        <v>73</v>
      </c>
      <c r="N76" s="10" t="e">
        <f t="shared" ca="1" si="7"/>
        <v>#NAME?</v>
      </c>
    </row>
    <row r="77" spans="1:14" x14ac:dyDescent="0.2">
      <c r="A77" s="21">
        <v>74</v>
      </c>
      <c r="B77" s="18">
        <f t="shared" si="4"/>
        <v>0.18759999999999999</v>
      </c>
      <c r="C77" s="24">
        <v>6.7000000000000004E-2</v>
      </c>
      <c r="D77" s="16" t="s">
        <v>21</v>
      </c>
      <c r="F77" s="14">
        <f t="shared" si="5"/>
        <v>-2.7030626595911711</v>
      </c>
      <c r="K77" s="12">
        <v>8.3000000000000096</v>
      </c>
      <c r="L77" s="10" t="e">
        <f t="shared" ca="1" si="6"/>
        <v>#NAME?</v>
      </c>
      <c r="M77" s="12">
        <v>74</v>
      </c>
      <c r="N77" s="10" t="e">
        <f t="shared" ca="1" si="7"/>
        <v>#NAME?</v>
      </c>
    </row>
    <row r="78" spans="1:14" x14ac:dyDescent="0.2">
      <c r="A78" s="21">
        <v>75</v>
      </c>
      <c r="B78" s="18">
        <f t="shared" si="4"/>
        <v>0.1792</v>
      </c>
      <c r="C78" s="24">
        <v>6.4000000000000001E-2</v>
      </c>
      <c r="D78" s="16" t="s">
        <v>21</v>
      </c>
      <c r="F78" s="14">
        <f t="shared" si="5"/>
        <v>-2.7488721956224653</v>
      </c>
      <c r="K78" s="12">
        <v>8.4000000000000092</v>
      </c>
      <c r="L78" s="10" t="e">
        <f t="shared" ca="1" si="6"/>
        <v>#NAME?</v>
      </c>
      <c r="M78" s="12">
        <v>75</v>
      </c>
      <c r="N78" s="10" t="e">
        <f t="shared" ca="1" si="7"/>
        <v>#NAME?</v>
      </c>
    </row>
    <row r="79" spans="1:14" x14ac:dyDescent="0.2">
      <c r="A79" s="21">
        <v>76</v>
      </c>
      <c r="B79" s="18">
        <f t="shared" si="4"/>
        <v>0.17079999999999998</v>
      </c>
      <c r="C79" s="24">
        <v>6.0999999999999999E-2</v>
      </c>
      <c r="D79" s="16" t="s">
        <v>21</v>
      </c>
      <c r="F79" s="14">
        <f t="shared" si="5"/>
        <v>-2.7968814148088259</v>
      </c>
      <c r="K79" s="12">
        <v>8.5000000000000107</v>
      </c>
      <c r="L79" s="10" t="e">
        <f t="shared" ca="1" si="6"/>
        <v>#NAME?</v>
      </c>
      <c r="M79" s="12">
        <v>76</v>
      </c>
      <c r="N79" s="10" t="e">
        <f t="shared" ca="1" si="7"/>
        <v>#NAME?</v>
      </c>
    </row>
    <row r="80" spans="1:14" x14ac:dyDescent="0.2">
      <c r="A80" s="21">
        <v>77</v>
      </c>
      <c r="B80" s="18">
        <f t="shared" si="4"/>
        <v>0.16239999999999999</v>
      </c>
      <c r="C80" s="24">
        <v>5.8000000000000003E-2</v>
      </c>
      <c r="D80" s="16" t="s">
        <v>21</v>
      </c>
      <c r="F80" s="14">
        <f t="shared" si="5"/>
        <v>-2.8473122684357177</v>
      </c>
      <c r="K80" s="12">
        <v>8.6000000000000103</v>
      </c>
      <c r="L80" s="10" t="e">
        <f t="shared" ca="1" si="6"/>
        <v>#NAME?</v>
      </c>
      <c r="M80" s="12">
        <v>77</v>
      </c>
      <c r="N80" s="10" t="e">
        <f t="shared" ca="1" si="7"/>
        <v>#NAME?</v>
      </c>
    </row>
    <row r="81" spans="1:14" x14ac:dyDescent="0.2">
      <c r="A81" s="21">
        <v>78</v>
      </c>
      <c r="B81" s="18">
        <f t="shared" si="4"/>
        <v>0.154</v>
      </c>
      <c r="C81" s="24">
        <v>5.5E-2</v>
      </c>
      <c r="D81" s="16" t="s">
        <v>21</v>
      </c>
      <c r="F81" s="14">
        <f t="shared" si="5"/>
        <v>-2.9004220937496661</v>
      </c>
      <c r="K81" s="12">
        <v>8.7000000000000099</v>
      </c>
      <c r="L81" s="10" t="e">
        <f t="shared" ca="1" si="6"/>
        <v>#NAME?</v>
      </c>
      <c r="M81" s="12">
        <v>78</v>
      </c>
      <c r="N81" s="10" t="e">
        <f t="shared" ca="1" si="7"/>
        <v>#NAME?</v>
      </c>
    </row>
    <row r="82" spans="1:14" x14ac:dyDescent="0.2">
      <c r="A82" s="21">
        <v>79</v>
      </c>
      <c r="B82" s="18">
        <f t="shared" si="4"/>
        <v>0.14559999999999998</v>
      </c>
      <c r="C82" s="24">
        <v>5.1999999999999998E-2</v>
      </c>
      <c r="D82" s="16" t="s">
        <v>21</v>
      </c>
      <c r="F82" s="14">
        <f t="shared" si="5"/>
        <v>-2.9565115604007097</v>
      </c>
      <c r="K82" s="12">
        <v>8.8000000000000096</v>
      </c>
      <c r="L82" s="10" t="e">
        <f t="shared" ca="1" si="6"/>
        <v>#NAME?</v>
      </c>
      <c r="M82" s="12">
        <v>79</v>
      </c>
      <c r="N82" s="10" t="e">
        <f t="shared" ca="1" si="7"/>
        <v>#NAME?</v>
      </c>
    </row>
    <row r="83" spans="1:14" x14ac:dyDescent="0.2">
      <c r="A83" s="21">
        <v>80</v>
      </c>
      <c r="B83" s="18">
        <f t="shared" si="4"/>
        <v>0.13719999999999999</v>
      </c>
      <c r="C83" s="24">
        <v>4.9000000000000002E-2</v>
      </c>
      <c r="D83" s="16" t="s">
        <v>21</v>
      </c>
      <c r="F83" s="14">
        <f t="shared" si="5"/>
        <v>-3.0159349808715104</v>
      </c>
      <c r="K83" s="12">
        <v>8.9000000000000092</v>
      </c>
      <c r="L83" s="10" t="e">
        <f t="shared" ca="1" si="6"/>
        <v>#NAME?</v>
      </c>
      <c r="M83" s="12">
        <v>80</v>
      </c>
      <c r="N83" s="10" t="e">
        <f t="shared" ca="1" si="7"/>
        <v>#NAME?</v>
      </c>
    </row>
    <row r="84" spans="1:14" x14ac:dyDescent="0.2">
      <c r="A84" s="21">
        <v>81</v>
      </c>
      <c r="B84" s="18">
        <f t="shared" si="4"/>
        <v>0.1288</v>
      </c>
      <c r="C84" s="24">
        <v>4.5999999999999999E-2</v>
      </c>
      <c r="D84" s="16" t="s">
        <v>21</v>
      </c>
      <c r="F84" s="14">
        <f t="shared" si="5"/>
        <v>-3.0791138824930422</v>
      </c>
      <c r="K84" s="12">
        <v>9.0000000000000107</v>
      </c>
      <c r="L84" s="10" t="e">
        <f t="shared" ca="1" si="6"/>
        <v>#NAME?</v>
      </c>
      <c r="M84" s="12">
        <v>81</v>
      </c>
      <c r="N84" s="10" t="e">
        <f t="shared" ca="1" si="7"/>
        <v>#NAME?</v>
      </c>
    </row>
    <row r="85" spans="1:14" x14ac:dyDescent="0.2">
      <c r="A85" s="21">
        <v>82</v>
      </c>
      <c r="B85" s="18">
        <f t="shared" si="4"/>
        <v>0.12039999999999998</v>
      </c>
      <c r="C85" s="24">
        <v>4.2999999999999997E-2</v>
      </c>
      <c r="D85" s="16" t="s">
        <v>21</v>
      </c>
      <c r="F85" s="14">
        <f t="shared" si="5"/>
        <v>-3.1465551632885749</v>
      </c>
      <c r="K85" s="12">
        <v>9.1000000000000103</v>
      </c>
      <c r="L85" s="10" t="e">
        <f t="shared" ca="1" si="6"/>
        <v>#NAME?</v>
      </c>
      <c r="M85" s="12">
        <v>82</v>
      </c>
      <c r="N85" s="10" t="e">
        <f t="shared" ca="1" si="7"/>
        <v>#NAME?</v>
      </c>
    </row>
    <row r="86" spans="1:14" x14ac:dyDescent="0.2">
      <c r="A86" s="21">
        <v>83</v>
      </c>
      <c r="B86" s="18">
        <f t="shared" si="4"/>
        <v>0.11199999999999999</v>
      </c>
      <c r="C86" s="24">
        <v>0.04</v>
      </c>
      <c r="D86" s="16" t="s">
        <v>21</v>
      </c>
      <c r="F86" s="14">
        <f t="shared" si="5"/>
        <v>-3.2188758248682006</v>
      </c>
      <c r="K86" s="12">
        <v>9.2000000000000099</v>
      </c>
      <c r="L86" s="10" t="e">
        <f t="shared" ca="1" si="6"/>
        <v>#NAME?</v>
      </c>
      <c r="M86" s="12">
        <v>83</v>
      </c>
      <c r="N86" s="10" t="e">
        <f t="shared" ca="1" si="7"/>
        <v>#NAME?</v>
      </c>
    </row>
    <row r="87" spans="1:14" x14ac:dyDescent="0.2">
      <c r="A87" s="21">
        <v>84</v>
      </c>
      <c r="B87" s="18">
        <f t="shared" si="4"/>
        <v>0.10359999999999998</v>
      </c>
      <c r="C87" s="24">
        <v>3.6999999999999998E-2</v>
      </c>
      <c r="D87" s="16" t="s">
        <v>21</v>
      </c>
      <c r="F87" s="14">
        <f t="shared" si="5"/>
        <v>-3.2968373663379125</v>
      </c>
      <c r="K87" s="12">
        <v>9.3000000000000096</v>
      </c>
      <c r="L87" s="10" t="e">
        <f t="shared" ca="1" si="6"/>
        <v>#NAME?</v>
      </c>
      <c r="M87" s="12">
        <v>84</v>
      </c>
      <c r="N87" s="10" t="e">
        <f t="shared" ca="1" si="7"/>
        <v>#NAME?</v>
      </c>
    </row>
    <row r="88" spans="1:14" x14ac:dyDescent="0.2">
      <c r="A88" s="21">
        <v>85</v>
      </c>
      <c r="B88" s="18">
        <f t="shared" si="4"/>
        <v>9.5200000000000007E-2</v>
      </c>
      <c r="C88" s="24">
        <v>3.4000000000000002E-2</v>
      </c>
      <c r="D88" s="16" t="s">
        <v>21</v>
      </c>
      <c r="F88" s="14">
        <f t="shared" si="5"/>
        <v>-3.3813947543659757</v>
      </c>
      <c r="K88" s="12">
        <v>9.4000000000000092</v>
      </c>
      <c r="L88" s="10" t="e">
        <f t="shared" ca="1" si="6"/>
        <v>#NAME?</v>
      </c>
      <c r="M88" s="12">
        <v>85</v>
      </c>
      <c r="N88" s="10" t="e">
        <f t="shared" ca="1" si="7"/>
        <v>#NAME?</v>
      </c>
    </row>
    <row r="89" spans="1:14" x14ac:dyDescent="0.2">
      <c r="A89" s="21">
        <v>86</v>
      </c>
      <c r="B89" s="18">
        <f t="shared" si="4"/>
        <v>8.6799999999999988E-2</v>
      </c>
      <c r="C89" s="24">
        <v>3.1E-2</v>
      </c>
      <c r="D89" s="16" t="s">
        <v>21</v>
      </c>
      <c r="F89" s="14">
        <f t="shared" si="5"/>
        <v>-3.473768074496991</v>
      </c>
      <c r="K89" s="12">
        <v>9.5000000000000107</v>
      </c>
      <c r="L89" s="10" t="e">
        <f t="shared" ca="1" si="6"/>
        <v>#NAME?</v>
      </c>
      <c r="M89" s="12">
        <v>86</v>
      </c>
      <c r="N89" s="10" t="e">
        <f t="shared" ca="1" si="7"/>
        <v>#NAME?</v>
      </c>
    </row>
    <row r="90" spans="1:14" x14ac:dyDescent="0.2">
      <c r="A90" s="21">
        <v>87</v>
      </c>
      <c r="B90" s="18">
        <f t="shared" si="4"/>
        <v>7.8399999999999997E-2</v>
      </c>
      <c r="C90" s="24">
        <v>2.8000000000000001E-2</v>
      </c>
      <c r="D90" s="16" t="s">
        <v>21</v>
      </c>
      <c r="F90" s="14">
        <f t="shared" si="5"/>
        <v>-3.575550768806933</v>
      </c>
      <c r="K90" s="12">
        <v>9.6000000000000103</v>
      </c>
      <c r="L90" s="10" t="e">
        <f t="shared" ca="1" si="6"/>
        <v>#NAME?</v>
      </c>
      <c r="M90" s="12">
        <v>87</v>
      </c>
      <c r="N90" s="10" t="e">
        <f t="shared" ca="1" si="7"/>
        <v>#NAME?</v>
      </c>
    </row>
    <row r="91" spans="1:14" x14ac:dyDescent="0.2">
      <c r="A91" s="21">
        <v>88</v>
      </c>
      <c r="B91" s="18">
        <f t="shared" si="4"/>
        <v>6.9999999999999993E-2</v>
      </c>
      <c r="C91" s="24">
        <v>2.5000000000000001E-2</v>
      </c>
      <c r="D91" s="16" t="s">
        <v>21</v>
      </c>
      <c r="F91" s="14">
        <f t="shared" si="5"/>
        <v>-3.6888794541139363</v>
      </c>
      <c r="K91" s="12">
        <v>9.7000000000000099</v>
      </c>
      <c r="L91" s="10" t="e">
        <f t="shared" ca="1" si="6"/>
        <v>#NAME?</v>
      </c>
      <c r="M91" s="12">
        <v>88</v>
      </c>
      <c r="N91" s="10" t="e">
        <f t="shared" ca="1" si="7"/>
        <v>#NAME?</v>
      </c>
    </row>
    <row r="92" spans="1:14" x14ac:dyDescent="0.2">
      <c r="A92" s="21">
        <v>89</v>
      </c>
      <c r="B92" s="18">
        <f t="shared" si="4"/>
        <v>6.1599999999999995E-2</v>
      </c>
      <c r="C92" s="24">
        <v>2.1999999999999999E-2</v>
      </c>
      <c r="D92" s="16" t="s">
        <v>21</v>
      </c>
      <c r="F92" s="14">
        <f t="shared" si="5"/>
        <v>-3.8167128256238212</v>
      </c>
      <c r="K92" s="12">
        <v>9.8000000000000096</v>
      </c>
      <c r="L92" s="10" t="e">
        <f t="shared" ca="1" si="6"/>
        <v>#NAME?</v>
      </c>
      <c r="M92" s="12">
        <v>89</v>
      </c>
      <c r="N92" s="10" t="e">
        <f t="shared" ca="1" si="7"/>
        <v>#NAME?</v>
      </c>
    </row>
    <row r="93" spans="1:14" x14ac:dyDescent="0.2">
      <c r="A93" s="22">
        <v>90</v>
      </c>
      <c r="B93" s="19">
        <f t="shared" si="4"/>
        <v>5.5999999999999994E-2</v>
      </c>
      <c r="C93" s="25">
        <v>0.02</v>
      </c>
      <c r="D93" s="17" t="s">
        <v>21</v>
      </c>
      <c r="F93" s="15">
        <f t="shared" si="5"/>
        <v>-3.912023005428146</v>
      </c>
      <c r="K93" s="13">
        <v>9.9000000000000092</v>
      </c>
      <c r="L93" s="11" t="e">
        <f t="shared" ca="1" si="6"/>
        <v>#NAME?</v>
      </c>
      <c r="M93" s="13">
        <v>90</v>
      </c>
      <c r="N93" s="11"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127" workbookViewId="0">
      <selection activeCell="B144" sqref="B144"/>
    </sheetView>
  </sheetViews>
  <sheetFormatPr defaultRowHeight="12.75" x14ac:dyDescent="0.2"/>
  <cols>
    <col min="1" max="1" width="32.7109375" bestFit="1" customWidth="1"/>
    <col min="2" max="2" width="12.42578125" bestFit="1" customWidth="1"/>
    <col min="5" max="5" width="32.7109375" bestFit="1" customWidth="1"/>
    <col min="6" max="6" width="15.140625" bestFit="1" customWidth="1"/>
    <col min="8" max="8" width="32.7109375" bestFit="1" customWidth="1"/>
    <col min="9" max="9" width="9.5703125" bestFit="1" customWidth="1"/>
  </cols>
  <sheetData>
    <row r="1" spans="1:9" x14ac:dyDescent="0.2">
      <c r="A1" s="642" t="s">
        <v>22</v>
      </c>
      <c r="B1" s="642" t="s">
        <v>23</v>
      </c>
      <c r="H1" s="99"/>
    </row>
    <row r="2" spans="1:9" x14ac:dyDescent="0.2">
      <c r="A2" s="642" t="s">
        <v>24</v>
      </c>
      <c r="B2" s="642"/>
      <c r="H2" s="99"/>
      <c r="I2" s="99"/>
    </row>
    <row r="3" spans="1:9" x14ac:dyDescent="0.2">
      <c r="A3" s="642" t="s">
        <v>25</v>
      </c>
      <c r="B3" s="642" t="s">
        <v>23</v>
      </c>
      <c r="H3" s="99"/>
      <c r="I3" s="99"/>
    </row>
    <row r="4" spans="1:9" x14ac:dyDescent="0.2">
      <c r="A4" s="643" t="s">
        <v>26</v>
      </c>
      <c r="B4" s="642">
        <v>63010080</v>
      </c>
      <c r="H4" s="99"/>
    </row>
    <row r="5" spans="1:9" x14ac:dyDescent="0.2">
      <c r="A5" s="642" t="s">
        <v>27</v>
      </c>
      <c r="B5" s="642">
        <v>1024</v>
      </c>
      <c r="H5" s="99"/>
      <c r="I5" s="99"/>
    </row>
    <row r="6" spans="1:9" x14ac:dyDescent="0.2">
      <c r="A6" s="642" t="s">
        <v>28</v>
      </c>
      <c r="B6" s="642">
        <v>0</v>
      </c>
      <c r="H6" s="99"/>
      <c r="I6" s="99"/>
    </row>
    <row r="7" spans="1:9" x14ac:dyDescent="0.2">
      <c r="A7" s="642" t="s">
        <v>29</v>
      </c>
      <c r="B7" s="642" t="s">
        <v>23</v>
      </c>
      <c r="H7" s="99"/>
      <c r="I7" s="99"/>
    </row>
    <row r="8" spans="1:9" x14ac:dyDescent="0.2">
      <c r="A8" s="642" t="s">
        <v>30</v>
      </c>
      <c r="B8" s="642">
        <v>82</v>
      </c>
      <c r="H8" s="99"/>
      <c r="I8" s="99"/>
    </row>
    <row r="9" spans="1:9" x14ac:dyDescent="0.2">
      <c r="A9" s="642" t="s">
        <v>31</v>
      </c>
      <c r="B9" s="642">
        <v>204</v>
      </c>
      <c r="H9" s="99"/>
      <c r="I9" s="99"/>
    </row>
    <row r="10" spans="1:9" x14ac:dyDescent="0.2">
      <c r="A10" s="642" t="s">
        <v>32</v>
      </c>
      <c r="B10" s="642">
        <v>1092</v>
      </c>
      <c r="H10" s="99"/>
      <c r="I10" s="99"/>
    </row>
    <row r="11" spans="1:9" x14ac:dyDescent="0.2">
      <c r="A11" s="642" t="s">
        <v>33</v>
      </c>
      <c r="B11" s="642">
        <v>2158</v>
      </c>
      <c r="H11" s="99"/>
      <c r="I11" s="99"/>
    </row>
    <row r="12" spans="1:9" x14ac:dyDescent="0.2">
      <c r="A12" s="642" t="s">
        <v>34</v>
      </c>
      <c r="B12" s="642">
        <v>3182</v>
      </c>
      <c r="H12" s="99"/>
      <c r="I12" s="99"/>
    </row>
    <row r="13" spans="1:9" x14ac:dyDescent="0.2">
      <c r="A13" s="642" t="s">
        <v>35</v>
      </c>
      <c r="B13" s="642">
        <v>10154</v>
      </c>
      <c r="H13" s="99"/>
      <c r="I13" s="99"/>
    </row>
    <row r="14" spans="1:9" x14ac:dyDescent="0.2">
      <c r="A14" s="642" t="s">
        <v>36</v>
      </c>
      <c r="B14" s="642">
        <v>15872</v>
      </c>
      <c r="H14" s="99"/>
      <c r="I14" s="99"/>
    </row>
    <row r="15" spans="1:9" x14ac:dyDescent="0.2">
      <c r="A15" s="642" t="s">
        <v>37</v>
      </c>
      <c r="B15" s="642">
        <v>25309</v>
      </c>
      <c r="H15" s="99"/>
      <c r="I15" s="99"/>
    </row>
    <row r="16" spans="1:9" x14ac:dyDescent="0.2">
      <c r="A16" s="642" t="s">
        <v>38</v>
      </c>
      <c r="B16" s="642">
        <v>60</v>
      </c>
      <c r="H16" s="99"/>
      <c r="I16" s="99"/>
    </row>
    <row r="17" spans="1:9" x14ac:dyDescent="0.2">
      <c r="A17" s="642" t="s">
        <v>39</v>
      </c>
      <c r="B17" s="642">
        <v>300</v>
      </c>
      <c r="H17" s="99"/>
      <c r="I17" s="99"/>
    </row>
    <row r="18" spans="1:9" x14ac:dyDescent="0.2">
      <c r="A18" s="642" t="s">
        <v>40</v>
      </c>
      <c r="B18" s="642">
        <v>750</v>
      </c>
      <c r="H18" s="99"/>
      <c r="I18" s="99"/>
    </row>
    <row r="19" spans="1:9" x14ac:dyDescent="0.2">
      <c r="A19" s="642" t="s">
        <v>41</v>
      </c>
      <c r="B19" s="642">
        <v>200</v>
      </c>
      <c r="H19" s="99"/>
      <c r="I19" s="99"/>
    </row>
    <row r="20" spans="1:9" x14ac:dyDescent="0.2">
      <c r="A20" s="642" t="s">
        <v>42</v>
      </c>
      <c r="B20" s="642">
        <v>500</v>
      </c>
      <c r="H20" s="99"/>
      <c r="I20" s="99"/>
    </row>
    <row r="21" spans="1:9" x14ac:dyDescent="0.2">
      <c r="A21" s="642" t="s">
        <v>43</v>
      </c>
      <c r="B21" s="642">
        <v>11671</v>
      </c>
      <c r="H21" s="99"/>
      <c r="I21" s="99"/>
    </row>
    <row r="22" spans="1:9" x14ac:dyDescent="0.2">
      <c r="A22" s="642" t="s">
        <v>44</v>
      </c>
      <c r="B22" s="642">
        <v>0</v>
      </c>
      <c r="H22" s="99"/>
      <c r="I22" s="99"/>
    </row>
    <row r="23" spans="1:9" x14ac:dyDescent="0.2">
      <c r="A23" s="642" t="s">
        <v>45</v>
      </c>
      <c r="B23" s="642">
        <v>50</v>
      </c>
      <c r="H23" s="99"/>
      <c r="I23" s="99"/>
    </row>
    <row r="24" spans="1:9" x14ac:dyDescent="0.2">
      <c r="A24" s="642" t="s">
        <v>46</v>
      </c>
      <c r="B24" s="642">
        <v>2147483648</v>
      </c>
      <c r="H24" s="99"/>
      <c r="I24" s="99"/>
    </row>
    <row r="25" spans="1:9" x14ac:dyDescent="0.2">
      <c r="A25" s="642" t="s">
        <v>47</v>
      </c>
      <c r="B25" s="642">
        <v>2147483648</v>
      </c>
      <c r="H25" s="99"/>
      <c r="I25" s="99"/>
    </row>
    <row r="26" spans="1:9" x14ac:dyDescent="0.2">
      <c r="A26" s="642" t="s">
        <v>48</v>
      </c>
      <c r="B26" s="642">
        <v>0</v>
      </c>
      <c r="H26" s="99"/>
      <c r="I26" s="99"/>
    </row>
    <row r="27" spans="1:9" x14ac:dyDescent="0.2">
      <c r="A27" s="642" t="s">
        <v>49</v>
      </c>
      <c r="B27" s="642">
        <v>0</v>
      </c>
      <c r="H27" s="99"/>
      <c r="I27" s="99"/>
    </row>
    <row r="28" spans="1:9" x14ac:dyDescent="0.2">
      <c r="A28" s="642" t="s">
        <v>50</v>
      </c>
      <c r="B28" s="642">
        <v>0</v>
      </c>
      <c r="H28" s="99"/>
      <c r="I28" s="99"/>
    </row>
    <row r="29" spans="1:9" x14ac:dyDescent="0.2">
      <c r="A29" s="642" t="s">
        <v>51</v>
      </c>
      <c r="B29" s="642">
        <v>5</v>
      </c>
      <c r="H29" s="99"/>
      <c r="I29" s="99"/>
    </row>
    <row r="30" spans="1:9" x14ac:dyDescent="0.2">
      <c r="A30" s="642" t="s">
        <v>52</v>
      </c>
      <c r="B30" s="642">
        <v>0</v>
      </c>
      <c r="H30" s="99"/>
      <c r="I30" s="99"/>
    </row>
    <row r="31" spans="1:9" x14ac:dyDescent="0.2">
      <c r="A31" s="642" t="s">
        <v>53</v>
      </c>
      <c r="B31" s="642">
        <v>2147483648</v>
      </c>
      <c r="H31" s="99"/>
      <c r="I31" s="99"/>
    </row>
    <row r="32" spans="1:9" x14ac:dyDescent="0.2">
      <c r="A32" s="642" t="s">
        <v>54</v>
      </c>
      <c r="B32" s="642">
        <v>0</v>
      </c>
      <c r="H32" s="99"/>
      <c r="I32" s="99"/>
    </row>
    <row r="33" spans="1:9" x14ac:dyDescent="0.2">
      <c r="A33" s="642" t="s">
        <v>55</v>
      </c>
      <c r="B33" s="642">
        <v>4095</v>
      </c>
      <c r="H33" s="99"/>
      <c r="I33" s="99"/>
    </row>
    <row r="34" spans="1:9" x14ac:dyDescent="0.2">
      <c r="A34" s="642" t="s">
        <v>56</v>
      </c>
      <c r="B34" s="642">
        <v>0</v>
      </c>
      <c r="H34" s="99"/>
      <c r="I34" s="99"/>
    </row>
    <row r="35" spans="1:9" x14ac:dyDescent="0.2">
      <c r="A35" s="642" t="s">
        <v>57</v>
      </c>
      <c r="B35" s="642">
        <v>30</v>
      </c>
      <c r="H35" s="99"/>
      <c r="I35" s="99"/>
    </row>
    <row r="36" spans="1:9" x14ac:dyDescent="0.2">
      <c r="A36" s="642" t="s">
        <v>58</v>
      </c>
      <c r="B36" s="642">
        <v>2</v>
      </c>
      <c r="H36" s="99"/>
      <c r="I36" s="99"/>
    </row>
    <row r="37" spans="1:9" x14ac:dyDescent="0.2">
      <c r="A37" s="642" t="s">
        <v>59</v>
      </c>
      <c r="B37" s="642">
        <v>1</v>
      </c>
      <c r="H37" s="99"/>
      <c r="I37" s="99"/>
    </row>
    <row r="38" spans="1:9" x14ac:dyDescent="0.2">
      <c r="A38" s="642" t="s">
        <v>60</v>
      </c>
      <c r="B38" s="642">
        <v>30</v>
      </c>
      <c r="H38" s="99"/>
      <c r="I38" s="99"/>
    </row>
    <row r="39" spans="1:9" x14ac:dyDescent="0.2">
      <c r="A39" s="642" t="s">
        <v>61</v>
      </c>
      <c r="B39" s="642">
        <v>150</v>
      </c>
      <c r="H39" s="99"/>
      <c r="I39" s="99"/>
    </row>
    <row r="40" spans="1:9" x14ac:dyDescent="0.2">
      <c r="A40" s="642" t="s">
        <v>62</v>
      </c>
      <c r="B40" s="642">
        <v>50</v>
      </c>
      <c r="H40" s="99"/>
      <c r="I40" s="99"/>
    </row>
    <row r="41" spans="1:9" x14ac:dyDescent="0.2">
      <c r="A41" s="642" t="s">
        <v>63</v>
      </c>
      <c r="B41" s="642">
        <v>20</v>
      </c>
      <c r="H41" s="99"/>
      <c r="I41" s="99"/>
    </row>
    <row r="42" spans="1:9" x14ac:dyDescent="0.2">
      <c r="A42" s="642" t="s">
        <v>64</v>
      </c>
      <c r="B42" s="642">
        <v>100</v>
      </c>
      <c r="H42" s="99"/>
      <c r="I42" s="99"/>
    </row>
    <row r="43" spans="1:9" x14ac:dyDescent="0.2">
      <c r="A43" s="642" t="s">
        <v>65</v>
      </c>
      <c r="B43" s="642">
        <v>90</v>
      </c>
      <c r="H43" s="99"/>
      <c r="I43" s="99"/>
    </row>
    <row r="44" spans="1:9" x14ac:dyDescent="0.2">
      <c r="A44" s="642" t="s">
        <v>66</v>
      </c>
      <c r="B44" s="642">
        <v>50</v>
      </c>
      <c r="H44" s="99"/>
      <c r="I44" s="99"/>
    </row>
    <row r="45" spans="1:9" x14ac:dyDescent="0.2">
      <c r="A45" s="642" t="s">
        <v>67</v>
      </c>
      <c r="B45" s="642">
        <v>50</v>
      </c>
      <c r="H45" s="99"/>
      <c r="I45" s="99"/>
    </row>
    <row r="46" spans="1:9" x14ac:dyDescent="0.2">
      <c r="A46" s="642" t="s">
        <v>68</v>
      </c>
      <c r="B46" s="642">
        <v>50</v>
      </c>
      <c r="H46" s="99"/>
      <c r="I46" s="99"/>
    </row>
    <row r="47" spans="1:9" x14ac:dyDescent="0.2">
      <c r="A47" s="642" t="s">
        <v>69</v>
      </c>
      <c r="B47" s="642">
        <v>40</v>
      </c>
      <c r="H47" s="99"/>
      <c r="I47" s="99"/>
    </row>
    <row r="48" spans="1:9" x14ac:dyDescent="0.2">
      <c r="A48" s="642" t="s">
        <v>70</v>
      </c>
      <c r="B48" s="642">
        <v>20</v>
      </c>
      <c r="H48" s="99"/>
      <c r="I48" s="99"/>
    </row>
    <row r="49" spans="1:9" x14ac:dyDescent="0.2">
      <c r="A49" s="642" t="s">
        <v>71</v>
      </c>
      <c r="B49" s="642">
        <v>40</v>
      </c>
      <c r="H49" s="99"/>
      <c r="I49" s="99"/>
    </row>
    <row r="50" spans="1:9" x14ac:dyDescent="0.2">
      <c r="A50" s="642" t="s">
        <v>72</v>
      </c>
      <c r="B50" s="642">
        <v>20</v>
      </c>
      <c r="H50" s="99"/>
      <c r="I50" s="99"/>
    </row>
    <row r="51" spans="1:9" x14ac:dyDescent="0.2">
      <c r="A51" s="642" t="s">
        <v>73</v>
      </c>
      <c r="B51" s="642">
        <v>0</v>
      </c>
      <c r="H51" s="99"/>
      <c r="I51" s="99"/>
    </row>
    <row r="52" spans="1:9" x14ac:dyDescent="0.2">
      <c r="A52" s="643" t="s">
        <v>74</v>
      </c>
      <c r="B52" s="642">
        <v>82</v>
      </c>
      <c r="H52" s="99"/>
      <c r="I52" s="99"/>
    </row>
    <row r="53" spans="1:9" x14ac:dyDescent="0.2">
      <c r="A53" s="642" t="s">
        <v>75</v>
      </c>
      <c r="B53" s="642">
        <v>136</v>
      </c>
      <c r="H53" s="99"/>
      <c r="I53" s="99"/>
    </row>
    <row r="54" spans="1:9" x14ac:dyDescent="0.2">
      <c r="A54" s="642" t="s">
        <v>76</v>
      </c>
      <c r="B54" s="642">
        <v>204</v>
      </c>
      <c r="H54" s="99"/>
      <c r="I54" s="99"/>
    </row>
    <row r="55" spans="1:9" x14ac:dyDescent="0.2">
      <c r="A55" s="642" t="s">
        <v>77</v>
      </c>
      <c r="B55" s="642">
        <v>278</v>
      </c>
      <c r="H55" s="99"/>
      <c r="I55" s="99"/>
    </row>
    <row r="56" spans="1:9" x14ac:dyDescent="0.2">
      <c r="A56" s="642" t="s">
        <v>78</v>
      </c>
      <c r="B56" s="642">
        <v>366</v>
      </c>
      <c r="H56" s="99"/>
      <c r="I56" s="99"/>
    </row>
    <row r="57" spans="1:9" x14ac:dyDescent="0.2">
      <c r="A57" s="642" t="s">
        <v>79</v>
      </c>
      <c r="B57" s="642">
        <v>466</v>
      </c>
      <c r="H57" s="99"/>
      <c r="I57" s="99"/>
    </row>
    <row r="58" spans="1:9" x14ac:dyDescent="0.2">
      <c r="A58" s="642" t="s">
        <v>80</v>
      </c>
      <c r="B58" s="642">
        <v>570</v>
      </c>
      <c r="H58" s="99"/>
    </row>
    <row r="59" spans="1:9" x14ac:dyDescent="0.2">
      <c r="A59" s="642" t="s">
        <v>81</v>
      </c>
      <c r="B59" s="642">
        <v>690</v>
      </c>
      <c r="H59" s="99"/>
      <c r="I59" s="99"/>
    </row>
    <row r="60" spans="1:9" x14ac:dyDescent="0.2">
      <c r="A60" s="642" t="s">
        <v>82</v>
      </c>
      <c r="B60" s="642">
        <v>820</v>
      </c>
      <c r="H60" s="99"/>
      <c r="I60" s="99"/>
    </row>
    <row r="61" spans="1:9" x14ac:dyDescent="0.2">
      <c r="A61" s="642" t="s">
        <v>83</v>
      </c>
      <c r="B61" s="642">
        <v>960</v>
      </c>
      <c r="H61" s="99"/>
      <c r="I61" s="99"/>
    </row>
    <row r="62" spans="1:9" x14ac:dyDescent="0.2">
      <c r="A62" s="642" t="s">
        <v>84</v>
      </c>
      <c r="B62" s="642">
        <v>1092</v>
      </c>
      <c r="H62" s="99"/>
      <c r="I62" s="99"/>
    </row>
    <row r="63" spans="1:9" x14ac:dyDescent="0.2">
      <c r="A63" s="642" t="s">
        <v>85</v>
      </c>
      <c r="B63" s="642">
        <v>1230</v>
      </c>
      <c r="H63" s="99"/>
      <c r="I63" s="99"/>
    </row>
    <row r="64" spans="1:9" x14ac:dyDescent="0.2">
      <c r="A64" s="642" t="s">
        <v>86</v>
      </c>
      <c r="B64" s="642">
        <v>1374</v>
      </c>
      <c r="H64" s="99"/>
      <c r="I64" s="99"/>
    </row>
    <row r="65" spans="1:9" x14ac:dyDescent="0.2">
      <c r="A65" s="642" t="s">
        <v>87</v>
      </c>
      <c r="B65" s="642">
        <v>1516</v>
      </c>
      <c r="H65" s="99"/>
      <c r="I65" s="99"/>
    </row>
    <row r="66" spans="1:9" x14ac:dyDescent="0.2">
      <c r="A66" s="642" t="s">
        <v>88</v>
      </c>
      <c r="B66" s="642">
        <v>1654</v>
      </c>
      <c r="H66" s="99"/>
      <c r="I66" s="99"/>
    </row>
    <row r="67" spans="1:9" x14ac:dyDescent="0.2">
      <c r="A67" s="642" t="s">
        <v>89</v>
      </c>
      <c r="B67" s="642">
        <v>1802</v>
      </c>
      <c r="H67" s="99"/>
      <c r="I67" s="99"/>
    </row>
    <row r="68" spans="1:9" x14ac:dyDescent="0.2">
      <c r="A68" s="642" t="s">
        <v>90</v>
      </c>
      <c r="B68" s="642">
        <v>1968</v>
      </c>
      <c r="H68" s="99"/>
      <c r="I68" s="99"/>
    </row>
    <row r="69" spans="1:9" x14ac:dyDescent="0.2">
      <c r="A69" s="642" t="s">
        <v>91</v>
      </c>
      <c r="B69" s="642">
        <v>2158</v>
      </c>
      <c r="H69" s="99"/>
      <c r="I69" s="99"/>
    </row>
    <row r="70" spans="1:9" x14ac:dyDescent="0.2">
      <c r="A70" s="642" t="s">
        <v>92</v>
      </c>
      <c r="B70" s="642">
        <v>2378</v>
      </c>
      <c r="H70" s="99"/>
      <c r="I70" s="99"/>
    </row>
    <row r="71" spans="1:9" x14ac:dyDescent="0.2">
      <c r="A71" s="642" t="s">
        <v>93</v>
      </c>
      <c r="B71" s="642">
        <v>2622</v>
      </c>
      <c r="H71" s="99"/>
      <c r="I71" s="99"/>
    </row>
    <row r="72" spans="1:9" x14ac:dyDescent="0.2">
      <c r="A72" s="642" t="s">
        <v>94</v>
      </c>
      <c r="B72" s="642">
        <v>2868</v>
      </c>
      <c r="H72" s="99"/>
      <c r="I72" s="99"/>
    </row>
    <row r="73" spans="1:9" x14ac:dyDescent="0.2">
      <c r="A73" s="642" t="s">
        <v>95</v>
      </c>
      <c r="B73" s="642">
        <v>3182</v>
      </c>
      <c r="H73" s="99"/>
      <c r="I73" s="99"/>
    </row>
    <row r="74" spans="1:9" x14ac:dyDescent="0.2">
      <c r="A74" s="642" t="s">
        <v>96</v>
      </c>
      <c r="B74" s="642">
        <v>3484</v>
      </c>
      <c r="H74" s="99"/>
      <c r="I74" s="99"/>
    </row>
    <row r="75" spans="1:9" x14ac:dyDescent="0.2">
      <c r="A75" s="642" t="s">
        <v>97</v>
      </c>
      <c r="B75" s="642">
        <v>3786</v>
      </c>
      <c r="H75" s="99"/>
    </row>
    <row r="76" spans="1:9" x14ac:dyDescent="0.2">
      <c r="A76" s="642" t="s">
        <v>98</v>
      </c>
      <c r="B76" s="642">
        <v>4130</v>
      </c>
      <c r="H76" s="99"/>
      <c r="I76" s="99"/>
    </row>
    <row r="77" spans="1:9" x14ac:dyDescent="0.2">
      <c r="A77" s="642" t="s">
        <v>99</v>
      </c>
      <c r="B77" s="642">
        <v>4400</v>
      </c>
      <c r="H77" s="99"/>
    </row>
    <row r="78" spans="1:9" x14ac:dyDescent="0.2">
      <c r="A78" s="642" t="s">
        <v>100</v>
      </c>
      <c r="B78" s="642">
        <v>4794</v>
      </c>
      <c r="H78" s="99"/>
      <c r="I78" s="99"/>
    </row>
    <row r="79" spans="1:9" x14ac:dyDescent="0.2">
      <c r="A79" s="642" t="s">
        <v>101</v>
      </c>
      <c r="B79" s="642">
        <v>10154</v>
      </c>
      <c r="H79" s="99"/>
      <c r="I79" s="99"/>
    </row>
    <row r="80" spans="1:9" x14ac:dyDescent="0.2">
      <c r="A80" s="642" t="s">
        <v>102</v>
      </c>
      <c r="B80" s="642">
        <v>15872</v>
      </c>
      <c r="H80" s="99"/>
      <c r="I80" s="99"/>
    </row>
    <row r="81" spans="1:9" x14ac:dyDescent="0.2">
      <c r="A81" s="642" t="s">
        <v>103</v>
      </c>
      <c r="B81" s="642">
        <v>25309</v>
      </c>
      <c r="H81" s="99"/>
      <c r="I81" s="99"/>
    </row>
    <row r="82" spans="1:9" x14ac:dyDescent="0.2">
      <c r="A82" s="642" t="s">
        <v>104</v>
      </c>
      <c r="B82" s="642">
        <v>19774</v>
      </c>
      <c r="H82" s="99"/>
      <c r="I82" s="99"/>
    </row>
    <row r="83" spans="1:9" x14ac:dyDescent="0.2">
      <c r="A83" s="642" t="s">
        <v>105</v>
      </c>
      <c r="B83" s="642">
        <v>19774</v>
      </c>
      <c r="H83" s="99"/>
      <c r="I83" s="99"/>
    </row>
    <row r="84" spans="1:9" x14ac:dyDescent="0.2">
      <c r="A84" s="642" t="s">
        <v>106</v>
      </c>
      <c r="B84" s="642">
        <v>4</v>
      </c>
      <c r="H84" s="99"/>
    </row>
    <row r="85" spans="1:9" x14ac:dyDescent="0.2">
      <c r="A85" s="642" t="s">
        <v>107</v>
      </c>
      <c r="B85" s="642">
        <v>5</v>
      </c>
      <c r="H85" s="99"/>
      <c r="I85" s="99"/>
    </row>
    <row r="86" spans="1:9" x14ac:dyDescent="0.2">
      <c r="A86" s="642" t="s">
        <v>108</v>
      </c>
      <c r="B86" s="642">
        <v>6</v>
      </c>
      <c r="H86" s="99"/>
      <c r="I86" s="99"/>
    </row>
    <row r="87" spans="1:9" x14ac:dyDescent="0.2">
      <c r="A87" s="642" t="s">
        <v>109</v>
      </c>
      <c r="B87" s="642">
        <v>7</v>
      </c>
      <c r="H87" s="99"/>
    </row>
    <row r="88" spans="1:9" x14ac:dyDescent="0.2">
      <c r="A88" s="642" t="s">
        <v>110</v>
      </c>
      <c r="B88" s="642">
        <v>8</v>
      </c>
      <c r="H88" s="99"/>
      <c r="I88" s="99"/>
    </row>
    <row r="89" spans="1:9" x14ac:dyDescent="0.2">
      <c r="A89" s="642" t="s">
        <v>111</v>
      </c>
      <c r="B89" s="642">
        <v>9</v>
      </c>
      <c r="H89" s="99"/>
      <c r="I89" s="99"/>
    </row>
    <row r="90" spans="1:9" x14ac:dyDescent="0.2">
      <c r="A90" s="642" t="s">
        <v>112</v>
      </c>
      <c r="B90" s="642">
        <v>10</v>
      </c>
      <c r="H90" s="99"/>
      <c r="I90" s="99"/>
    </row>
    <row r="91" spans="1:9" x14ac:dyDescent="0.2">
      <c r="A91" s="642" t="s">
        <v>113</v>
      </c>
      <c r="B91" s="642">
        <v>11</v>
      </c>
      <c r="H91" s="99"/>
      <c r="I91" s="99"/>
    </row>
    <row r="92" spans="1:9" x14ac:dyDescent="0.2">
      <c r="A92" s="642" t="s">
        <v>114</v>
      </c>
      <c r="B92" s="642">
        <v>12</v>
      </c>
      <c r="H92" s="99"/>
      <c r="I92" s="99"/>
    </row>
    <row r="93" spans="1:9" x14ac:dyDescent="0.2">
      <c r="A93" s="642" t="s">
        <v>115</v>
      </c>
      <c r="B93" s="642">
        <v>13</v>
      </c>
      <c r="H93" s="99"/>
      <c r="I93" s="99"/>
    </row>
    <row r="94" spans="1:9" x14ac:dyDescent="0.2">
      <c r="A94" s="642" t="s">
        <v>116</v>
      </c>
      <c r="B94" s="642">
        <v>14</v>
      </c>
      <c r="H94" s="99"/>
      <c r="I94" s="99"/>
    </row>
    <row r="95" spans="1:9" x14ac:dyDescent="0.2">
      <c r="A95" s="642" t="s">
        <v>117</v>
      </c>
      <c r="B95" s="642">
        <v>15</v>
      </c>
      <c r="H95" s="99"/>
      <c r="I95" s="99"/>
    </row>
    <row r="96" spans="1:9" x14ac:dyDescent="0.2">
      <c r="A96" s="642" t="s">
        <v>118</v>
      </c>
      <c r="B96" s="642">
        <v>16</v>
      </c>
      <c r="H96" s="99"/>
      <c r="I96" s="99"/>
    </row>
    <row r="97" spans="1:9" x14ac:dyDescent="0.2">
      <c r="A97" s="642" t="s">
        <v>119</v>
      </c>
      <c r="B97" s="642">
        <v>17</v>
      </c>
      <c r="H97" s="99"/>
      <c r="I97" s="99"/>
    </row>
    <row r="98" spans="1:9" x14ac:dyDescent="0.2">
      <c r="A98" s="642" t="s">
        <v>120</v>
      </c>
      <c r="B98" s="642">
        <v>18</v>
      </c>
      <c r="H98" s="99"/>
      <c r="I98" s="99"/>
    </row>
    <row r="99" spans="1:9" x14ac:dyDescent="0.2">
      <c r="A99" s="642" t="s">
        <v>121</v>
      </c>
      <c r="B99" s="642">
        <v>19</v>
      </c>
      <c r="H99" s="99"/>
      <c r="I99" s="99"/>
    </row>
    <row r="100" spans="1:9" x14ac:dyDescent="0.2">
      <c r="A100" s="642" t="s">
        <v>122</v>
      </c>
      <c r="B100" s="642">
        <v>20</v>
      </c>
      <c r="H100" s="99"/>
      <c r="I100" s="99"/>
    </row>
    <row r="101" spans="1:9" x14ac:dyDescent="0.2">
      <c r="A101" s="642" t="s">
        <v>123</v>
      </c>
      <c r="B101" s="642">
        <v>21</v>
      </c>
      <c r="H101" s="99"/>
      <c r="I101" s="99"/>
    </row>
    <row r="102" spans="1:9" x14ac:dyDescent="0.2">
      <c r="A102" s="642" t="s">
        <v>124</v>
      </c>
      <c r="B102" s="642">
        <v>22</v>
      </c>
      <c r="H102" s="99"/>
      <c r="I102" s="99"/>
    </row>
    <row r="103" spans="1:9" x14ac:dyDescent="0.2">
      <c r="A103" s="642" t="s">
        <v>125</v>
      </c>
      <c r="B103" s="642">
        <v>23</v>
      </c>
      <c r="H103" s="99"/>
      <c r="I103" s="99"/>
    </row>
    <row r="104" spans="1:9" x14ac:dyDescent="0.2">
      <c r="A104" s="642" t="s">
        <v>126</v>
      </c>
      <c r="B104" s="642">
        <v>24</v>
      </c>
      <c r="H104" s="99"/>
      <c r="I104" s="99"/>
    </row>
    <row r="105" spans="1:9" x14ac:dyDescent="0.2">
      <c r="A105" s="642" t="s">
        <v>127</v>
      </c>
      <c r="B105" s="642">
        <v>25</v>
      </c>
      <c r="H105" s="99"/>
      <c r="I105" s="99"/>
    </row>
    <row r="106" spans="1:9" x14ac:dyDescent="0.2">
      <c r="A106" s="642" t="s">
        <v>128</v>
      </c>
      <c r="B106" s="642">
        <v>26</v>
      </c>
      <c r="H106" s="99"/>
      <c r="I106" s="99"/>
    </row>
    <row r="107" spans="1:9" x14ac:dyDescent="0.2">
      <c r="A107" s="642" t="s">
        <v>129</v>
      </c>
      <c r="B107" s="642">
        <v>27</v>
      </c>
      <c r="H107" s="99"/>
      <c r="I107" s="99"/>
    </row>
    <row r="108" spans="1:9" x14ac:dyDescent="0.2">
      <c r="A108" s="642" t="s">
        <v>130</v>
      </c>
      <c r="B108" s="642">
        <v>28</v>
      </c>
      <c r="H108" s="99"/>
      <c r="I108" s="99"/>
    </row>
    <row r="109" spans="1:9" x14ac:dyDescent="0.2">
      <c r="A109" s="642" t="s">
        <v>131</v>
      </c>
      <c r="B109" s="642">
        <v>29</v>
      </c>
      <c r="H109" s="99"/>
      <c r="I109" s="99"/>
    </row>
    <row r="110" spans="1:9" x14ac:dyDescent="0.2">
      <c r="A110" s="642" t="s">
        <v>132</v>
      </c>
      <c r="B110" s="642">
        <v>30</v>
      </c>
      <c r="H110" s="99"/>
      <c r="I110" s="99"/>
    </row>
    <row r="111" spans="1:9" x14ac:dyDescent="0.2">
      <c r="A111" s="642" t="s">
        <v>133</v>
      </c>
      <c r="B111" s="642">
        <v>38</v>
      </c>
      <c r="H111" s="99"/>
      <c r="I111" s="99"/>
    </row>
    <row r="112" spans="1:9" x14ac:dyDescent="0.2">
      <c r="A112" s="642" t="s">
        <v>134</v>
      </c>
      <c r="B112" s="642">
        <v>50</v>
      </c>
      <c r="H112" s="99"/>
      <c r="I112" s="99"/>
    </row>
    <row r="113" spans="1:9" x14ac:dyDescent="0.2">
      <c r="A113" s="642" t="s">
        <v>135</v>
      </c>
      <c r="B113" s="642">
        <v>70</v>
      </c>
      <c r="H113" s="99"/>
      <c r="I113" s="99"/>
    </row>
    <row r="114" spans="1:9" x14ac:dyDescent="0.2">
      <c r="A114" s="642" t="s">
        <v>136</v>
      </c>
      <c r="B114" s="642">
        <v>70</v>
      </c>
      <c r="H114" s="99"/>
      <c r="I114" s="99"/>
    </row>
    <row r="115" spans="1:9" x14ac:dyDescent="0.2">
      <c r="A115" s="642" t="s">
        <v>137</v>
      </c>
      <c r="B115" s="642">
        <v>70</v>
      </c>
      <c r="H115" s="99"/>
      <c r="I115" s="99"/>
    </row>
    <row r="116" spans="1:9" x14ac:dyDescent="0.2">
      <c r="A116" s="642" t="s">
        <v>138</v>
      </c>
      <c r="B116" s="642"/>
      <c r="H116" s="99"/>
      <c r="I116" s="99"/>
    </row>
    <row r="117" spans="1:9" x14ac:dyDescent="0.2">
      <c r="A117" s="642" t="s">
        <v>139</v>
      </c>
      <c r="B117" s="642">
        <v>1070933</v>
      </c>
      <c r="H117" s="99"/>
      <c r="I117" s="99"/>
    </row>
    <row r="118" spans="1:9" x14ac:dyDescent="0.2">
      <c r="A118" s="642" t="s">
        <v>140</v>
      </c>
      <c r="B118" s="642">
        <v>465044</v>
      </c>
      <c r="H118" s="99"/>
      <c r="I118" s="99"/>
    </row>
    <row r="119" spans="1:9" x14ac:dyDescent="0.2">
      <c r="A119" s="642" t="s">
        <v>141</v>
      </c>
      <c r="B119" s="642">
        <v>37039</v>
      </c>
      <c r="H119" s="99"/>
      <c r="I119" s="99"/>
    </row>
    <row r="120" spans="1:9" x14ac:dyDescent="0.2">
      <c r="A120" s="642" t="s">
        <v>142</v>
      </c>
      <c r="B120" s="642">
        <v>12118</v>
      </c>
      <c r="H120" s="99"/>
      <c r="I120" s="99"/>
    </row>
    <row r="121" spans="1:9" x14ac:dyDescent="0.2">
      <c r="A121" s="642" t="s">
        <v>143</v>
      </c>
      <c r="B121" s="642">
        <v>5651</v>
      </c>
      <c r="H121" s="99"/>
      <c r="I121" s="99"/>
    </row>
    <row r="122" spans="1:9" x14ac:dyDescent="0.2">
      <c r="A122" s="642" t="s">
        <v>144</v>
      </c>
      <c r="B122" s="642">
        <v>586</v>
      </c>
      <c r="H122" s="99"/>
      <c r="I122" s="99"/>
    </row>
    <row r="123" spans="1:9" x14ac:dyDescent="0.2">
      <c r="A123" s="642" t="s">
        <v>145</v>
      </c>
      <c r="B123" s="642">
        <v>153</v>
      </c>
      <c r="H123" s="99"/>
      <c r="I123" s="99"/>
    </row>
    <row r="124" spans="1:9" x14ac:dyDescent="0.2">
      <c r="A124" s="642" t="s">
        <v>146</v>
      </c>
      <c r="B124" s="642">
        <v>23</v>
      </c>
      <c r="H124" s="99"/>
      <c r="I124" s="99"/>
    </row>
    <row r="125" spans="1:9" x14ac:dyDescent="0.2">
      <c r="A125" s="642" t="s">
        <v>147</v>
      </c>
      <c r="B125" s="642">
        <v>1070933</v>
      </c>
      <c r="H125" s="99"/>
      <c r="I125" s="99"/>
    </row>
    <row r="126" spans="1:9" x14ac:dyDescent="0.2">
      <c r="A126" s="642" t="s">
        <v>148</v>
      </c>
      <c r="B126" s="642">
        <v>465044</v>
      </c>
      <c r="H126" s="99"/>
      <c r="I126" s="99"/>
    </row>
    <row r="127" spans="1:9" x14ac:dyDescent="0.2">
      <c r="A127" s="642" t="s">
        <v>149</v>
      </c>
      <c r="B127" s="642">
        <v>37039</v>
      </c>
      <c r="H127" s="99"/>
      <c r="I127" s="99"/>
    </row>
    <row r="128" spans="1:9" x14ac:dyDescent="0.2">
      <c r="A128" s="642" t="s">
        <v>150</v>
      </c>
      <c r="B128" s="642">
        <v>12118</v>
      </c>
      <c r="H128" s="99"/>
      <c r="I128" s="99"/>
    </row>
    <row r="129" spans="1:9" x14ac:dyDescent="0.2">
      <c r="A129" s="642" t="s">
        <v>151</v>
      </c>
      <c r="B129" s="642">
        <v>5651</v>
      </c>
      <c r="H129" s="99"/>
      <c r="I129" s="99"/>
    </row>
    <row r="130" spans="1:9" x14ac:dyDescent="0.2">
      <c r="A130" s="642" t="s">
        <v>152</v>
      </c>
      <c r="B130" s="642">
        <v>586</v>
      </c>
      <c r="H130" s="99"/>
      <c r="I130" s="100"/>
    </row>
    <row r="131" spans="1:9" x14ac:dyDescent="0.2">
      <c r="A131" s="642" t="s">
        <v>153</v>
      </c>
      <c r="B131" s="642">
        <v>153</v>
      </c>
      <c r="H131" s="99"/>
      <c r="I131" s="99"/>
    </row>
    <row r="132" spans="1:9" x14ac:dyDescent="0.2">
      <c r="A132" s="642" t="s">
        <v>154</v>
      </c>
      <c r="B132" s="642">
        <v>23</v>
      </c>
      <c r="H132" s="99"/>
      <c r="I132" s="99"/>
    </row>
    <row r="133" spans="1:9" x14ac:dyDescent="0.2">
      <c r="A133" s="642" t="s">
        <v>155</v>
      </c>
      <c r="B133" s="642">
        <v>1070933</v>
      </c>
      <c r="H133" s="99"/>
      <c r="I133" s="99"/>
    </row>
    <row r="134" spans="1:9" x14ac:dyDescent="0.2">
      <c r="A134" s="642" t="s">
        <v>156</v>
      </c>
      <c r="B134" s="642">
        <v>465044</v>
      </c>
      <c r="H134" s="99"/>
      <c r="I134" s="99"/>
    </row>
    <row r="135" spans="1:9" x14ac:dyDescent="0.2">
      <c r="A135" s="642" t="s">
        <v>157</v>
      </c>
      <c r="B135" s="642">
        <v>37039</v>
      </c>
      <c r="H135" s="99"/>
      <c r="I135" s="99"/>
    </row>
    <row r="136" spans="1:9" x14ac:dyDescent="0.2">
      <c r="A136" s="642" t="s">
        <v>158</v>
      </c>
      <c r="B136" s="642">
        <v>12118</v>
      </c>
      <c r="H136" s="99"/>
      <c r="I136" s="99"/>
    </row>
    <row r="137" spans="1:9" x14ac:dyDescent="0.2">
      <c r="A137" s="642" t="s">
        <v>159</v>
      </c>
      <c r="B137" s="642">
        <v>5651</v>
      </c>
      <c r="H137" s="99"/>
      <c r="I137" s="99"/>
    </row>
    <row r="138" spans="1:9" x14ac:dyDescent="0.2">
      <c r="A138" s="642" t="s">
        <v>160</v>
      </c>
      <c r="B138" s="642">
        <v>586</v>
      </c>
      <c r="H138" s="99"/>
      <c r="I138" s="99"/>
    </row>
    <row r="139" spans="1:9" x14ac:dyDescent="0.2">
      <c r="A139" s="642" t="s">
        <v>161</v>
      </c>
      <c r="B139" s="642">
        <v>153</v>
      </c>
      <c r="H139" s="99"/>
      <c r="I139" s="99"/>
    </row>
    <row r="140" spans="1:9" x14ac:dyDescent="0.2">
      <c r="A140" s="642" t="s">
        <v>162</v>
      </c>
      <c r="B140" s="642">
        <v>23</v>
      </c>
      <c r="H140" s="99"/>
      <c r="I140" s="99"/>
    </row>
    <row r="141" spans="1:9" x14ac:dyDescent="0.2">
      <c r="A141" s="642" t="s">
        <v>163</v>
      </c>
      <c r="B141" s="642">
        <v>1056340</v>
      </c>
      <c r="H141" s="99"/>
      <c r="I141" s="99"/>
    </row>
    <row r="142" spans="1:9" x14ac:dyDescent="0.2">
      <c r="A142" s="642" t="s">
        <v>164</v>
      </c>
      <c r="B142" s="642">
        <v>459350</v>
      </c>
      <c r="H142" s="99"/>
      <c r="I142" s="99"/>
    </row>
    <row r="143" spans="1:9" x14ac:dyDescent="0.2">
      <c r="A143" s="642" t="s">
        <v>165</v>
      </c>
      <c r="B143" s="642">
        <v>36410</v>
      </c>
      <c r="H143" s="99"/>
      <c r="I143" s="99"/>
    </row>
    <row r="144" spans="1:9" x14ac:dyDescent="0.2">
      <c r="A144" s="642" t="s">
        <v>166</v>
      </c>
      <c r="B144" s="642">
        <v>10940</v>
      </c>
      <c r="H144" s="99"/>
      <c r="I144" s="101"/>
    </row>
    <row r="145" spans="1:2" x14ac:dyDescent="0.2">
      <c r="A145" s="642" t="s">
        <v>167</v>
      </c>
      <c r="B145" s="642">
        <v>5210</v>
      </c>
    </row>
    <row r="146" spans="1:2" x14ac:dyDescent="0.2">
      <c r="A146" s="642" t="s">
        <v>168</v>
      </c>
      <c r="B146" s="642">
        <v>611.721</v>
      </c>
    </row>
    <row r="147" spans="1:2" x14ac:dyDescent="0.2">
      <c r="A147" s="642" t="s">
        <v>169</v>
      </c>
      <c r="B147" s="642">
        <v>145.303</v>
      </c>
    </row>
    <row r="148" spans="1:2" x14ac:dyDescent="0.2">
      <c r="A148" s="642" t="s">
        <v>170</v>
      </c>
      <c r="B148" s="642">
        <v>24.939</v>
      </c>
    </row>
    <row r="149" spans="1:2" x14ac:dyDescent="0.2">
      <c r="A149" s="643" t="s">
        <v>171</v>
      </c>
      <c r="B149" s="642">
        <v>10709.3</v>
      </c>
    </row>
    <row r="150" spans="1:2" x14ac:dyDescent="0.2">
      <c r="A150" s="642" t="s">
        <v>172</v>
      </c>
      <c r="B150" s="642">
        <v>6936.51</v>
      </c>
    </row>
    <row r="151" spans="1:2" x14ac:dyDescent="0.2">
      <c r="A151" s="642" t="s">
        <v>173</v>
      </c>
      <c r="B151" s="642">
        <v>4650.45</v>
      </c>
    </row>
    <row r="152" spans="1:2" x14ac:dyDescent="0.2">
      <c r="A152" s="642" t="s">
        <v>174</v>
      </c>
      <c r="B152" s="642">
        <v>3234.83</v>
      </c>
    </row>
    <row r="153" spans="1:2" x14ac:dyDescent="0.2">
      <c r="A153" s="642" t="s">
        <v>175</v>
      </c>
      <c r="B153" s="642">
        <v>2214.37</v>
      </c>
    </row>
    <row r="154" spans="1:2" x14ac:dyDescent="0.2">
      <c r="A154" s="642" t="s">
        <v>176</v>
      </c>
      <c r="B154" s="642">
        <v>1532.15</v>
      </c>
    </row>
    <row r="155" spans="1:2" x14ac:dyDescent="0.2">
      <c r="A155" s="642" t="s">
        <v>177</v>
      </c>
      <c r="B155" s="642">
        <v>1106.81</v>
      </c>
    </row>
    <row r="156" spans="1:2" x14ac:dyDescent="0.2">
      <c r="A156" s="642" t="s">
        <v>178</v>
      </c>
      <c r="B156" s="642">
        <v>805.78499999999997</v>
      </c>
    </row>
    <row r="157" spans="1:2" x14ac:dyDescent="0.2">
      <c r="A157" s="642" t="s">
        <v>179</v>
      </c>
      <c r="B157" s="642">
        <v>601.26599999999996</v>
      </c>
    </row>
    <row r="158" spans="1:2" x14ac:dyDescent="0.2">
      <c r="A158" s="642" t="s">
        <v>180</v>
      </c>
      <c r="B158" s="642">
        <v>457.642</v>
      </c>
    </row>
    <row r="159" spans="1:2" x14ac:dyDescent="0.2">
      <c r="A159" s="642" t="s">
        <v>181</v>
      </c>
      <c r="B159" s="642">
        <v>370.39699999999999</v>
      </c>
    </row>
    <row r="160" spans="1:2" x14ac:dyDescent="0.2">
      <c r="A160" s="642" t="s">
        <v>182</v>
      </c>
      <c r="B160" s="642">
        <v>303.77600000000001</v>
      </c>
    </row>
    <row r="161" spans="1:2" x14ac:dyDescent="0.2">
      <c r="A161" s="642" t="s">
        <v>183</v>
      </c>
      <c r="B161" s="642">
        <v>254.14699999999999</v>
      </c>
    </row>
    <row r="162" spans="1:2" x14ac:dyDescent="0.2">
      <c r="A162" s="642" t="s">
        <v>184</v>
      </c>
      <c r="B162" s="642">
        <v>216.34399999999999</v>
      </c>
    </row>
    <row r="163" spans="1:2" x14ac:dyDescent="0.2">
      <c r="A163" s="642" t="s">
        <v>185</v>
      </c>
      <c r="B163" s="642">
        <v>187.94499999999999</v>
      </c>
    </row>
    <row r="164" spans="1:2" x14ac:dyDescent="0.2">
      <c r="A164" s="642" t="s">
        <v>186</v>
      </c>
      <c r="B164" s="642">
        <v>161.96700000000001</v>
      </c>
    </row>
    <row r="165" spans="1:2" x14ac:dyDescent="0.2">
      <c r="A165" s="642" t="s">
        <v>187</v>
      </c>
      <c r="B165" s="642">
        <v>140.691</v>
      </c>
    </row>
    <row r="166" spans="1:2" x14ac:dyDescent="0.2">
      <c r="A166" s="642" t="s">
        <v>188</v>
      </c>
      <c r="B166" s="642">
        <v>121.184</v>
      </c>
    </row>
    <row r="167" spans="1:2" x14ac:dyDescent="0.2">
      <c r="A167" s="642" t="s">
        <v>189</v>
      </c>
      <c r="B167" s="642">
        <v>101.398</v>
      </c>
    </row>
    <row r="168" spans="1:2" x14ac:dyDescent="0.2">
      <c r="A168" s="642" t="s">
        <v>190</v>
      </c>
      <c r="B168" s="642">
        <v>84.451999999999998</v>
      </c>
    </row>
    <row r="169" spans="1:2" x14ac:dyDescent="0.2">
      <c r="A169" s="642" t="s">
        <v>191</v>
      </c>
      <c r="B169" s="642">
        <v>69.647300000000001</v>
      </c>
    </row>
    <row r="170" spans="1:2" x14ac:dyDescent="0.2">
      <c r="A170" s="642" t="s">
        <v>192</v>
      </c>
      <c r="B170" s="642">
        <v>56.518599999999999</v>
      </c>
    </row>
    <row r="171" spans="1:2" x14ac:dyDescent="0.2">
      <c r="A171" s="642" t="s">
        <v>193</v>
      </c>
      <c r="B171" s="642">
        <v>45.764200000000002</v>
      </c>
    </row>
    <row r="172" spans="1:2" x14ac:dyDescent="0.2">
      <c r="A172" s="642" t="s">
        <v>194</v>
      </c>
      <c r="B172" s="642">
        <v>38.687800000000003</v>
      </c>
    </row>
    <row r="173" spans="1:2" x14ac:dyDescent="0.2">
      <c r="A173" s="642" t="s">
        <v>195</v>
      </c>
      <c r="B173" s="642">
        <v>32.356200000000001</v>
      </c>
    </row>
    <row r="174" spans="1:2" x14ac:dyDescent="0.2">
      <c r="A174" s="642" t="s">
        <v>196</v>
      </c>
      <c r="B174" s="642">
        <v>27.700600000000001</v>
      </c>
    </row>
    <row r="175" spans="1:2" x14ac:dyDescent="0.2">
      <c r="A175" s="642" t="s">
        <v>197</v>
      </c>
      <c r="B175" s="642">
        <v>23.138200000000001</v>
      </c>
    </row>
    <row r="176" spans="1:2" x14ac:dyDescent="0.2">
      <c r="A176" s="642" t="s">
        <v>198</v>
      </c>
      <c r="B176" s="642">
        <v>5.8660100000000002</v>
      </c>
    </row>
    <row r="177" spans="1:2" x14ac:dyDescent="0.2">
      <c r="A177" s="642" t="s">
        <v>199</v>
      </c>
      <c r="B177" s="642">
        <v>1.53634</v>
      </c>
    </row>
    <row r="178" spans="1:2" x14ac:dyDescent="0.2">
      <c r="A178" s="642" t="s">
        <v>200</v>
      </c>
      <c r="B178" s="642">
        <v>0.23277800000000001</v>
      </c>
    </row>
    <row r="179" spans="1:2" x14ac:dyDescent="0.2">
      <c r="A179" s="642" t="s">
        <v>201</v>
      </c>
      <c r="B179" s="642">
        <v>0.23277800000000001</v>
      </c>
    </row>
    <row r="180" spans="1:2" x14ac:dyDescent="0.2">
      <c r="A180" s="642" t="s">
        <v>202</v>
      </c>
      <c r="B180" s="642">
        <v>0.23277800000000001</v>
      </c>
    </row>
    <row r="181" spans="1:2" x14ac:dyDescent="0.2">
      <c r="A181" s="642" t="s">
        <v>203</v>
      </c>
      <c r="B181" s="642">
        <v>10709.3</v>
      </c>
    </row>
    <row r="182" spans="1:2" x14ac:dyDescent="0.2">
      <c r="A182" s="642" t="s">
        <v>204</v>
      </c>
      <c r="B182" s="642">
        <v>6936.51</v>
      </c>
    </row>
    <row r="183" spans="1:2" x14ac:dyDescent="0.2">
      <c r="A183" s="642" t="s">
        <v>205</v>
      </c>
      <c r="B183" s="642">
        <v>4650.45</v>
      </c>
    </row>
    <row r="184" spans="1:2" x14ac:dyDescent="0.2">
      <c r="A184" s="642" t="s">
        <v>206</v>
      </c>
      <c r="B184" s="642">
        <v>3234.83</v>
      </c>
    </row>
    <row r="185" spans="1:2" x14ac:dyDescent="0.2">
      <c r="A185" s="642" t="s">
        <v>207</v>
      </c>
      <c r="B185" s="642">
        <v>2214.37</v>
      </c>
    </row>
    <row r="186" spans="1:2" x14ac:dyDescent="0.2">
      <c r="A186" s="642" t="s">
        <v>208</v>
      </c>
      <c r="B186" s="642">
        <v>1532.15</v>
      </c>
    </row>
    <row r="187" spans="1:2" x14ac:dyDescent="0.2">
      <c r="A187" s="642" t="s">
        <v>209</v>
      </c>
      <c r="B187" s="642">
        <v>1106.81</v>
      </c>
    </row>
    <row r="188" spans="1:2" x14ac:dyDescent="0.2">
      <c r="A188" s="642" t="s">
        <v>210</v>
      </c>
      <c r="B188" s="642">
        <v>805.78499999999997</v>
      </c>
    </row>
    <row r="189" spans="1:2" x14ac:dyDescent="0.2">
      <c r="A189" s="642" t="s">
        <v>211</v>
      </c>
      <c r="B189" s="642">
        <v>601.26599999999996</v>
      </c>
    </row>
    <row r="190" spans="1:2" x14ac:dyDescent="0.2">
      <c r="A190" s="642" t="s">
        <v>212</v>
      </c>
      <c r="B190" s="642">
        <v>457.642</v>
      </c>
    </row>
    <row r="191" spans="1:2" x14ac:dyDescent="0.2">
      <c r="A191" s="642" t="s">
        <v>213</v>
      </c>
      <c r="B191" s="642">
        <v>370.39699999999999</v>
      </c>
    </row>
    <row r="192" spans="1:2" x14ac:dyDescent="0.2">
      <c r="A192" s="642" t="s">
        <v>214</v>
      </c>
      <c r="B192" s="642">
        <v>303.77600000000001</v>
      </c>
    </row>
    <row r="193" spans="1:2" x14ac:dyDescent="0.2">
      <c r="A193" s="642" t="s">
        <v>215</v>
      </c>
      <c r="B193" s="642">
        <v>254.14699999999999</v>
      </c>
    </row>
    <row r="194" spans="1:2" x14ac:dyDescent="0.2">
      <c r="A194" s="642" t="s">
        <v>216</v>
      </c>
      <c r="B194" s="642">
        <v>216.34399999999999</v>
      </c>
    </row>
    <row r="195" spans="1:2" x14ac:dyDescent="0.2">
      <c r="A195" s="642" t="s">
        <v>217</v>
      </c>
      <c r="B195" s="642">
        <v>187.94499999999999</v>
      </c>
    </row>
    <row r="196" spans="1:2" x14ac:dyDescent="0.2">
      <c r="A196" s="642" t="s">
        <v>218</v>
      </c>
      <c r="B196" s="642">
        <v>161.96700000000001</v>
      </c>
    </row>
    <row r="197" spans="1:2" x14ac:dyDescent="0.2">
      <c r="A197" s="642" t="s">
        <v>219</v>
      </c>
      <c r="B197" s="642">
        <v>140.691</v>
      </c>
    </row>
    <row r="198" spans="1:2" x14ac:dyDescent="0.2">
      <c r="A198" s="642" t="s">
        <v>220</v>
      </c>
      <c r="B198" s="642">
        <v>121.184</v>
      </c>
    </row>
    <row r="199" spans="1:2" x14ac:dyDescent="0.2">
      <c r="A199" s="642" t="s">
        <v>221</v>
      </c>
      <c r="B199" s="642">
        <v>101.398</v>
      </c>
    </row>
    <row r="200" spans="1:2" x14ac:dyDescent="0.2">
      <c r="A200" s="642" t="s">
        <v>222</v>
      </c>
      <c r="B200" s="642">
        <v>84.451999999999998</v>
      </c>
    </row>
    <row r="201" spans="1:2" x14ac:dyDescent="0.2">
      <c r="A201" s="642" t="s">
        <v>223</v>
      </c>
      <c r="B201" s="642">
        <v>69.647300000000001</v>
      </c>
    </row>
    <row r="202" spans="1:2" x14ac:dyDescent="0.2">
      <c r="A202" s="642" t="s">
        <v>224</v>
      </c>
      <c r="B202" s="642">
        <v>56.518599999999999</v>
      </c>
    </row>
    <row r="203" spans="1:2" x14ac:dyDescent="0.2">
      <c r="A203" s="642" t="s">
        <v>225</v>
      </c>
      <c r="B203" s="642">
        <v>45.764200000000002</v>
      </c>
    </row>
    <row r="204" spans="1:2" x14ac:dyDescent="0.2">
      <c r="A204" s="642" t="s">
        <v>226</v>
      </c>
      <c r="B204" s="642">
        <v>38.687800000000003</v>
      </c>
    </row>
    <row r="205" spans="1:2" x14ac:dyDescent="0.2">
      <c r="A205" s="642" t="s">
        <v>227</v>
      </c>
      <c r="B205" s="642">
        <v>32.356200000000001</v>
      </c>
    </row>
    <row r="206" spans="1:2" x14ac:dyDescent="0.2">
      <c r="A206" s="642" t="s">
        <v>228</v>
      </c>
      <c r="B206" s="642">
        <v>27.700600000000001</v>
      </c>
    </row>
    <row r="207" spans="1:2" x14ac:dyDescent="0.2">
      <c r="A207" s="642" t="s">
        <v>229</v>
      </c>
      <c r="B207" s="642">
        <v>23.138200000000001</v>
      </c>
    </row>
    <row r="208" spans="1:2" x14ac:dyDescent="0.2">
      <c r="A208" s="642" t="s">
        <v>230</v>
      </c>
      <c r="B208" s="642">
        <v>5.8660100000000002</v>
      </c>
    </row>
    <row r="209" spans="1:2" x14ac:dyDescent="0.2">
      <c r="A209" s="642" t="s">
        <v>231</v>
      </c>
      <c r="B209" s="642">
        <v>1.53634</v>
      </c>
    </row>
    <row r="210" spans="1:2" x14ac:dyDescent="0.2">
      <c r="A210" s="642" t="s">
        <v>232</v>
      </c>
      <c r="B210" s="642">
        <v>0.23277800000000001</v>
      </c>
    </row>
    <row r="211" spans="1:2" x14ac:dyDescent="0.2">
      <c r="A211" s="642" t="s">
        <v>233</v>
      </c>
      <c r="B211" s="642">
        <v>0.23277800000000001</v>
      </c>
    </row>
    <row r="212" spans="1:2" x14ac:dyDescent="0.2">
      <c r="A212" s="642" t="s">
        <v>234</v>
      </c>
      <c r="B212" s="642">
        <v>0.23277800000000001</v>
      </c>
    </row>
    <row r="213" spans="1:2" x14ac:dyDescent="0.2">
      <c r="A213" s="642" t="s">
        <v>235</v>
      </c>
      <c r="B213" s="642">
        <v>10709.3</v>
      </c>
    </row>
    <row r="214" spans="1:2" x14ac:dyDescent="0.2">
      <c r="A214" s="642" t="s">
        <v>236</v>
      </c>
      <c r="B214" s="642">
        <v>6936.51</v>
      </c>
    </row>
    <row r="215" spans="1:2" x14ac:dyDescent="0.2">
      <c r="A215" s="642" t="s">
        <v>237</v>
      </c>
      <c r="B215" s="642">
        <v>4650.45</v>
      </c>
    </row>
    <row r="216" spans="1:2" x14ac:dyDescent="0.2">
      <c r="A216" s="642" t="s">
        <v>238</v>
      </c>
      <c r="B216" s="642">
        <v>3234.83</v>
      </c>
    </row>
    <row r="217" spans="1:2" x14ac:dyDescent="0.2">
      <c r="A217" s="642" t="s">
        <v>239</v>
      </c>
      <c r="B217" s="642">
        <v>2214.37</v>
      </c>
    </row>
    <row r="218" spans="1:2" x14ac:dyDescent="0.2">
      <c r="A218" s="642" t="s">
        <v>240</v>
      </c>
      <c r="B218" s="642">
        <v>1532.15</v>
      </c>
    </row>
    <row r="219" spans="1:2" x14ac:dyDescent="0.2">
      <c r="A219" s="642" t="s">
        <v>241</v>
      </c>
      <c r="B219" s="642">
        <v>1106.81</v>
      </c>
    </row>
    <row r="220" spans="1:2" x14ac:dyDescent="0.2">
      <c r="A220" s="642" t="s">
        <v>242</v>
      </c>
      <c r="B220" s="642">
        <v>805.78499999999997</v>
      </c>
    </row>
    <row r="221" spans="1:2" x14ac:dyDescent="0.2">
      <c r="A221" s="642" t="s">
        <v>243</v>
      </c>
      <c r="B221" s="642">
        <v>601.26599999999996</v>
      </c>
    </row>
    <row r="222" spans="1:2" x14ac:dyDescent="0.2">
      <c r="A222" s="642" t="s">
        <v>244</v>
      </c>
      <c r="B222" s="642">
        <v>457.642</v>
      </c>
    </row>
    <row r="223" spans="1:2" x14ac:dyDescent="0.2">
      <c r="A223" s="642" t="s">
        <v>245</v>
      </c>
      <c r="B223" s="642">
        <v>370.39699999999999</v>
      </c>
    </row>
    <row r="224" spans="1:2" x14ac:dyDescent="0.2">
      <c r="A224" s="642" t="s">
        <v>246</v>
      </c>
      <c r="B224" s="642">
        <v>303.77600000000001</v>
      </c>
    </row>
    <row r="225" spans="1:2" x14ac:dyDescent="0.2">
      <c r="A225" s="642" t="s">
        <v>247</v>
      </c>
      <c r="B225" s="642">
        <v>254.14699999999999</v>
      </c>
    </row>
    <row r="226" spans="1:2" x14ac:dyDescent="0.2">
      <c r="A226" s="642" t="s">
        <v>248</v>
      </c>
      <c r="B226" s="642">
        <v>216.34399999999999</v>
      </c>
    </row>
    <row r="227" spans="1:2" x14ac:dyDescent="0.2">
      <c r="A227" s="642" t="s">
        <v>249</v>
      </c>
      <c r="B227" s="642">
        <v>187.94499999999999</v>
      </c>
    </row>
    <row r="228" spans="1:2" x14ac:dyDescent="0.2">
      <c r="A228" s="642" t="s">
        <v>250</v>
      </c>
      <c r="B228" s="642">
        <v>161.96700000000001</v>
      </c>
    </row>
    <row r="229" spans="1:2" x14ac:dyDescent="0.2">
      <c r="A229" s="642" t="s">
        <v>251</v>
      </c>
      <c r="B229" s="642">
        <v>140.691</v>
      </c>
    </row>
    <row r="230" spans="1:2" x14ac:dyDescent="0.2">
      <c r="A230" s="642" t="s">
        <v>252</v>
      </c>
      <c r="B230" s="642">
        <v>121.184</v>
      </c>
    </row>
    <row r="231" spans="1:2" x14ac:dyDescent="0.2">
      <c r="A231" s="642" t="s">
        <v>253</v>
      </c>
      <c r="B231" s="642">
        <v>101.398</v>
      </c>
    </row>
    <row r="232" spans="1:2" x14ac:dyDescent="0.2">
      <c r="A232" s="642" t="s">
        <v>254</v>
      </c>
      <c r="B232" s="642">
        <v>84.451999999999998</v>
      </c>
    </row>
    <row r="233" spans="1:2" x14ac:dyDescent="0.2">
      <c r="A233" s="642" t="s">
        <v>255</v>
      </c>
      <c r="B233" s="642">
        <v>69.647300000000001</v>
      </c>
    </row>
    <row r="234" spans="1:2" x14ac:dyDescent="0.2">
      <c r="A234" s="642" t="s">
        <v>256</v>
      </c>
      <c r="B234" s="642">
        <v>56.518599999999999</v>
      </c>
    </row>
    <row r="235" spans="1:2" x14ac:dyDescent="0.2">
      <c r="A235" s="642" t="s">
        <v>257</v>
      </c>
      <c r="B235" s="642">
        <v>45.764200000000002</v>
      </c>
    </row>
    <row r="236" spans="1:2" x14ac:dyDescent="0.2">
      <c r="A236" s="642" t="s">
        <v>258</v>
      </c>
      <c r="B236" s="642">
        <v>38.687800000000003</v>
      </c>
    </row>
    <row r="237" spans="1:2" x14ac:dyDescent="0.2">
      <c r="A237" s="642" t="s">
        <v>259</v>
      </c>
      <c r="B237" s="642">
        <v>32.356200000000001</v>
      </c>
    </row>
    <row r="238" spans="1:2" x14ac:dyDescent="0.2">
      <c r="A238" s="642" t="s">
        <v>260</v>
      </c>
      <c r="B238" s="642">
        <v>27.700600000000001</v>
      </c>
    </row>
    <row r="239" spans="1:2" x14ac:dyDescent="0.2">
      <c r="A239" s="642" t="s">
        <v>261</v>
      </c>
      <c r="B239" s="642">
        <v>23.138200000000001</v>
      </c>
    </row>
    <row r="240" spans="1:2" x14ac:dyDescent="0.2">
      <c r="A240" s="642" t="s">
        <v>262</v>
      </c>
      <c r="B240" s="642">
        <v>5.8660100000000002</v>
      </c>
    </row>
    <row r="241" spans="1:2" x14ac:dyDescent="0.2">
      <c r="A241" s="642" t="s">
        <v>263</v>
      </c>
      <c r="B241" s="642">
        <v>1.53634</v>
      </c>
    </row>
    <row r="242" spans="1:2" x14ac:dyDescent="0.2">
      <c r="A242" s="642" t="s">
        <v>264</v>
      </c>
      <c r="B242" s="642">
        <v>0.23277800000000001</v>
      </c>
    </row>
    <row r="243" spans="1:2" x14ac:dyDescent="0.2">
      <c r="A243" s="642" t="s">
        <v>265</v>
      </c>
      <c r="B243" s="642">
        <v>0.23277800000000001</v>
      </c>
    </row>
    <row r="244" spans="1:2" x14ac:dyDescent="0.2">
      <c r="A244" s="642" t="s">
        <v>266</v>
      </c>
      <c r="B244" s="642">
        <v>0.23277800000000001</v>
      </c>
    </row>
    <row r="245" spans="1:2" x14ac:dyDescent="0.2">
      <c r="A245" s="642" t="s">
        <v>267</v>
      </c>
      <c r="B245" s="642">
        <v>10563.4</v>
      </c>
    </row>
    <row r="246" spans="1:2" x14ac:dyDescent="0.2">
      <c r="A246" s="642" t="s">
        <v>268</v>
      </c>
      <c r="B246" s="642">
        <v>6899.8</v>
      </c>
    </row>
    <row r="247" spans="1:2" x14ac:dyDescent="0.2">
      <c r="A247" s="642" t="s">
        <v>269</v>
      </c>
      <c r="B247" s="642">
        <v>4593.5</v>
      </c>
    </row>
    <row r="248" spans="1:2" x14ac:dyDescent="0.2">
      <c r="A248" s="642" t="s">
        <v>270</v>
      </c>
      <c r="B248" s="642">
        <v>3202.3</v>
      </c>
    </row>
    <row r="249" spans="1:2" x14ac:dyDescent="0.2">
      <c r="A249" s="642" t="s">
        <v>271</v>
      </c>
      <c r="B249" s="642">
        <v>2184.8000000000002</v>
      </c>
    </row>
    <row r="250" spans="1:2" x14ac:dyDescent="0.2">
      <c r="A250" s="642" t="s">
        <v>272</v>
      </c>
      <c r="B250" s="642">
        <v>1501.7</v>
      </c>
    </row>
    <row r="251" spans="1:2" x14ac:dyDescent="0.2">
      <c r="A251" s="642" t="s">
        <v>273</v>
      </c>
      <c r="B251" s="642">
        <v>1069.5</v>
      </c>
    </row>
    <row r="252" spans="1:2" x14ac:dyDescent="0.2">
      <c r="A252" s="642" t="s">
        <v>274</v>
      </c>
      <c r="B252" s="642">
        <v>779</v>
      </c>
    </row>
    <row r="253" spans="1:2" x14ac:dyDescent="0.2">
      <c r="A253" s="642" t="s">
        <v>275</v>
      </c>
      <c r="B253" s="642">
        <v>583.4</v>
      </c>
    </row>
    <row r="254" spans="1:2" x14ac:dyDescent="0.2">
      <c r="A254" s="642" t="s">
        <v>276</v>
      </c>
      <c r="B254" s="642">
        <v>453.2</v>
      </c>
    </row>
    <row r="255" spans="1:2" x14ac:dyDescent="0.2">
      <c r="A255" s="642" t="s">
        <v>277</v>
      </c>
      <c r="B255" s="642">
        <v>364.1</v>
      </c>
    </row>
    <row r="256" spans="1:2" x14ac:dyDescent="0.2">
      <c r="A256" s="642" t="s">
        <v>278</v>
      </c>
      <c r="B256" s="642">
        <v>296.89999999999998</v>
      </c>
    </row>
    <row r="257" spans="1:2" x14ac:dyDescent="0.2">
      <c r="A257" s="642" t="s">
        <v>279</v>
      </c>
      <c r="B257" s="642">
        <v>246.4</v>
      </c>
    </row>
    <row r="258" spans="1:2" x14ac:dyDescent="0.2">
      <c r="A258" s="642" t="s">
        <v>280</v>
      </c>
      <c r="B258" s="642">
        <v>208.5</v>
      </c>
    </row>
    <row r="259" spans="1:2" x14ac:dyDescent="0.2">
      <c r="A259" s="642" t="s">
        <v>281</v>
      </c>
      <c r="B259" s="642">
        <v>178.7</v>
      </c>
    </row>
    <row r="260" spans="1:2" x14ac:dyDescent="0.2">
      <c r="A260" s="642" t="s">
        <v>282</v>
      </c>
      <c r="B260" s="642">
        <v>153.30000000000001</v>
      </c>
    </row>
    <row r="261" spans="1:2" x14ac:dyDescent="0.2">
      <c r="A261" s="642" t="s">
        <v>283</v>
      </c>
      <c r="B261" s="642">
        <v>130.4</v>
      </c>
    </row>
    <row r="262" spans="1:2" x14ac:dyDescent="0.2">
      <c r="A262" s="642" t="s">
        <v>284</v>
      </c>
      <c r="B262" s="642">
        <v>109.4</v>
      </c>
    </row>
    <row r="263" spans="1:2" x14ac:dyDescent="0.2">
      <c r="A263" s="642" t="s">
        <v>285</v>
      </c>
      <c r="B263" s="642">
        <v>91.3</v>
      </c>
    </row>
    <row r="264" spans="1:2" x14ac:dyDescent="0.2">
      <c r="A264" s="642" t="s">
        <v>286</v>
      </c>
      <c r="B264" s="642">
        <v>76.099999999999994</v>
      </c>
    </row>
    <row r="265" spans="1:2" x14ac:dyDescent="0.2">
      <c r="A265" s="642" t="s">
        <v>287</v>
      </c>
      <c r="B265" s="642">
        <v>63.1</v>
      </c>
    </row>
    <row r="266" spans="1:2" x14ac:dyDescent="0.2">
      <c r="A266" s="642" t="s">
        <v>288</v>
      </c>
      <c r="B266" s="642">
        <v>52.1</v>
      </c>
    </row>
    <row r="267" spans="1:2" x14ac:dyDescent="0.2">
      <c r="A267" s="642" t="s">
        <v>289</v>
      </c>
      <c r="B267" s="642">
        <v>43</v>
      </c>
    </row>
    <row r="268" spans="1:2" x14ac:dyDescent="0.2">
      <c r="A268" s="642" t="s">
        <v>290</v>
      </c>
      <c r="B268" s="642">
        <v>35.700000000000003</v>
      </c>
    </row>
    <row r="269" spans="1:2" x14ac:dyDescent="0.2">
      <c r="A269" s="642" t="s">
        <v>291</v>
      </c>
      <c r="B269" s="642">
        <v>29.8</v>
      </c>
    </row>
    <row r="270" spans="1:2" x14ac:dyDescent="0.2">
      <c r="A270" s="642" t="s">
        <v>292</v>
      </c>
      <c r="B270" s="642">
        <v>25.2</v>
      </c>
    </row>
    <row r="271" spans="1:2" x14ac:dyDescent="0.2">
      <c r="A271" s="642" t="s">
        <v>293</v>
      </c>
      <c r="B271" s="642">
        <v>21.1</v>
      </c>
    </row>
    <row r="272" spans="1:2" x14ac:dyDescent="0.2">
      <c r="A272" s="642" t="s">
        <v>294</v>
      </c>
      <c r="B272" s="642">
        <v>6.11721</v>
      </c>
    </row>
    <row r="273" spans="1:2" x14ac:dyDescent="0.2">
      <c r="A273" s="642" t="s">
        <v>295</v>
      </c>
      <c r="B273" s="642">
        <v>1.45303</v>
      </c>
    </row>
    <row r="274" spans="1:2" x14ac:dyDescent="0.2">
      <c r="A274" s="642" t="s">
        <v>296</v>
      </c>
      <c r="B274" s="642">
        <v>0.24939</v>
      </c>
    </row>
    <row r="275" spans="1:2" x14ac:dyDescent="0.2">
      <c r="A275" s="642" t="s">
        <v>297</v>
      </c>
      <c r="B275" s="642">
        <v>0.24939</v>
      </c>
    </row>
    <row r="276" spans="1:2" x14ac:dyDescent="0.2">
      <c r="A276" s="642" t="s">
        <v>298</v>
      </c>
      <c r="B276" s="642">
        <v>0.24939</v>
      </c>
    </row>
    <row r="277" spans="1:2" x14ac:dyDescent="0.2">
      <c r="A277" s="642" t="s">
        <v>299</v>
      </c>
      <c r="B277" s="642"/>
    </row>
    <row r="278" spans="1:2" x14ac:dyDescent="0.2">
      <c r="A278" s="642" t="s">
        <v>300</v>
      </c>
      <c r="B278" s="642">
        <v>27</v>
      </c>
    </row>
    <row r="279" spans="1:2" x14ac:dyDescent="0.2">
      <c r="A279" s="642" t="s">
        <v>301</v>
      </c>
      <c r="B279" s="642">
        <v>304</v>
      </c>
    </row>
    <row r="280" spans="1:2" x14ac:dyDescent="0.2">
      <c r="A280" s="642" t="s">
        <v>302</v>
      </c>
      <c r="B280" s="642">
        <v>11693</v>
      </c>
    </row>
    <row r="281" spans="1:2" x14ac:dyDescent="0.2">
      <c r="A281" s="643" t="s">
        <v>303</v>
      </c>
      <c r="B281" s="642">
        <v>32</v>
      </c>
    </row>
    <row r="282" spans="1:2" x14ac:dyDescent="0.2">
      <c r="A282" s="642" t="s">
        <v>304</v>
      </c>
      <c r="B282" s="642"/>
    </row>
    <row r="283" spans="1:2" x14ac:dyDescent="0.2">
      <c r="A283" s="643" t="s">
        <v>305</v>
      </c>
      <c r="B283" s="642">
        <v>46191.6</v>
      </c>
    </row>
    <row r="284" spans="1:2" x14ac:dyDescent="0.2">
      <c r="A284" s="642" t="s">
        <v>306</v>
      </c>
      <c r="B284" s="642">
        <v>-1</v>
      </c>
    </row>
    <row r="285" spans="1:2" x14ac:dyDescent="0.2">
      <c r="A285" s="642" t="s">
        <v>307</v>
      </c>
      <c r="B285" s="642"/>
    </row>
    <row r="286" spans="1:2" x14ac:dyDescent="0.2">
      <c r="A286" s="642" t="s">
        <v>308</v>
      </c>
      <c r="B286" s="642">
        <v>0</v>
      </c>
    </row>
    <row r="287" spans="1:2" x14ac:dyDescent="0.2">
      <c r="A287" s="642" t="s">
        <v>309</v>
      </c>
      <c r="B287" s="642">
        <v>0</v>
      </c>
    </row>
    <row r="288" spans="1:2" x14ac:dyDescent="0.2">
      <c r="A288" s="642" t="s">
        <v>310</v>
      </c>
      <c r="B288" s="642">
        <v>16</v>
      </c>
    </row>
    <row r="289" spans="1:2" x14ac:dyDescent="0.2">
      <c r="A289" s="642" t="s">
        <v>311</v>
      </c>
      <c r="B289" s="642">
        <v>0</v>
      </c>
    </row>
    <row r="290" spans="1:2" x14ac:dyDescent="0.2">
      <c r="A290" s="642" t="s">
        <v>312</v>
      </c>
      <c r="B290" s="642">
        <v>0</v>
      </c>
    </row>
    <row r="291" spans="1:2" x14ac:dyDescent="0.2">
      <c r="A291" s="642" t="s">
        <v>313</v>
      </c>
      <c r="B291" s="642">
        <v>0</v>
      </c>
    </row>
    <row r="292" spans="1:2" x14ac:dyDescent="0.2">
      <c r="A292" s="642" t="s">
        <v>314</v>
      </c>
      <c r="B292" s="642">
        <v>0</v>
      </c>
    </row>
    <row r="293" spans="1:2" x14ac:dyDescent="0.2">
      <c r="A293" s="642" t="s">
        <v>315</v>
      </c>
      <c r="B293" s="642">
        <v>16</v>
      </c>
    </row>
    <row r="294" spans="1:2" x14ac:dyDescent="0.2">
      <c r="A294" s="642" t="s">
        <v>316</v>
      </c>
      <c r="B294" s="642">
        <v>0</v>
      </c>
    </row>
    <row r="295" spans="1:2" x14ac:dyDescent="0.2">
      <c r="A295" s="642" t="s">
        <v>317</v>
      </c>
      <c r="B295" s="642">
        <v>0</v>
      </c>
    </row>
    <row r="296" spans="1:2" x14ac:dyDescent="0.2">
      <c r="A296" s="642" t="s">
        <v>318</v>
      </c>
      <c r="B296" s="642" t="s">
        <v>1048</v>
      </c>
    </row>
    <row r="297" spans="1:2" x14ac:dyDescent="0.2">
      <c r="A297" s="642" t="s">
        <v>319</v>
      </c>
      <c r="B297" s="64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2" sqref="R12"/>
    </sheetView>
  </sheetViews>
  <sheetFormatPr defaultColWidth="10.85546875" defaultRowHeight="15" customHeight="1" x14ac:dyDescent="0.2"/>
  <cols>
    <col min="1" max="1" width="8.7109375" style="202" customWidth="1"/>
    <col min="2" max="2" width="13" style="188" customWidth="1"/>
    <col min="3" max="3" width="64.140625" style="188" customWidth="1"/>
    <col min="4" max="4" width="38.5703125" customWidth="1"/>
    <col min="5" max="5" width="4" bestFit="1" customWidth="1"/>
    <col min="6" max="6" width="5.7109375" bestFit="1" customWidth="1"/>
    <col min="7" max="7" width="4.140625" customWidth="1"/>
    <col min="8" max="8" width="7.28515625" customWidth="1"/>
    <col min="9" max="9" width="3.140625" customWidth="1"/>
    <col min="10" max="10" width="6.140625" bestFit="1" customWidth="1"/>
    <col min="11" max="11" width="3.85546875" customWidth="1"/>
    <col min="12" max="12" width="5" bestFit="1" customWidth="1"/>
    <col min="13" max="13" width="4.42578125" customWidth="1"/>
    <col min="14" max="14" width="3.5703125" customWidth="1"/>
    <col min="15" max="15" width="4.42578125" customWidth="1"/>
    <col min="16" max="16" width="2" bestFit="1" customWidth="1"/>
    <col min="17" max="17" width="98.42578125" bestFit="1" customWidth="1"/>
    <col min="18" max="18" width="19.85546875" customWidth="1"/>
    <col min="19" max="19" width="6" bestFit="1" customWidth="1"/>
    <col min="20" max="20" width="2.140625" bestFit="1" customWidth="1"/>
    <col min="21" max="21" width="2.7109375" bestFit="1" customWidth="1"/>
    <col min="22" max="23" width="2.140625" bestFit="1" customWidth="1"/>
    <col min="24" max="24" width="31.140625" customWidth="1"/>
    <col min="25" max="25" width="23.28515625" customWidth="1"/>
    <col min="26" max="26" width="24.85546875" customWidth="1"/>
  </cols>
  <sheetData>
    <row r="1" spans="1:24" ht="15" customHeight="1" x14ac:dyDescent="0.2">
      <c r="C1" s="119" t="s">
        <v>320</v>
      </c>
      <c r="D1" s="188"/>
      <c r="E1" s="188"/>
      <c r="F1" s="188"/>
      <c r="G1" s="188"/>
      <c r="H1" s="188"/>
      <c r="I1" s="188"/>
      <c r="J1" s="188"/>
      <c r="K1" s="188"/>
      <c r="L1" s="188"/>
      <c r="M1" s="188"/>
      <c r="N1" s="188"/>
      <c r="O1" s="188"/>
      <c r="P1" s="188"/>
      <c r="Q1" s="188"/>
      <c r="R1" s="105" t="s">
        <v>321</v>
      </c>
    </row>
    <row r="2" spans="1:24" ht="15" customHeight="1" x14ac:dyDescent="0.2">
      <c r="B2" s="119"/>
      <c r="D2" s="188"/>
      <c r="E2" s="188"/>
      <c r="F2" s="188"/>
      <c r="G2" s="188"/>
      <c r="H2" s="188"/>
      <c r="I2" s="188"/>
      <c r="J2" s="188"/>
      <c r="K2" s="188"/>
      <c r="L2" s="188"/>
      <c r="M2" s="188"/>
      <c r="N2" s="188"/>
      <c r="O2" s="188"/>
      <c r="P2" s="188"/>
      <c r="Q2" s="188"/>
      <c r="R2" s="105" t="s">
        <v>322</v>
      </c>
    </row>
    <row r="3" spans="1:24" ht="15" customHeight="1" x14ac:dyDescent="0.25">
      <c r="B3" s="134" t="s">
        <v>323</v>
      </c>
      <c r="C3" s="205" t="s">
        <v>324</v>
      </c>
      <c r="D3" s="206"/>
      <c r="E3" s="206"/>
      <c r="F3" s="206"/>
      <c r="G3" s="206"/>
      <c r="H3" s="206"/>
      <c r="I3" s="206"/>
      <c r="J3" s="206"/>
      <c r="K3" s="206"/>
      <c r="L3" s="206"/>
      <c r="M3" s="206"/>
      <c r="N3" s="206"/>
      <c r="O3" s="206"/>
      <c r="P3" s="206"/>
      <c r="Q3" s="207"/>
      <c r="R3" s="105" t="s">
        <v>325</v>
      </c>
    </row>
    <row r="4" spans="1:24" ht="15" customHeight="1" x14ac:dyDescent="0.2">
      <c r="B4" s="184">
        <v>1</v>
      </c>
      <c r="C4" s="152" t="s">
        <v>326</v>
      </c>
      <c r="D4" s="290" t="s">
        <v>0</v>
      </c>
      <c r="E4" s="291"/>
      <c r="F4" s="292" t="s">
        <v>327</v>
      </c>
      <c r="G4" s="291"/>
      <c r="H4" s="292">
        <v>0</v>
      </c>
      <c r="I4" s="291"/>
      <c r="J4" s="292" t="s">
        <v>328</v>
      </c>
      <c r="K4" s="291"/>
      <c r="L4" s="293">
        <v>0</v>
      </c>
      <c r="M4" s="294"/>
      <c r="N4" s="295">
        <v>0</v>
      </c>
      <c r="O4" s="291"/>
      <c r="P4" s="296">
        <v>3</v>
      </c>
      <c r="Q4" s="208" t="s">
        <v>329</v>
      </c>
      <c r="R4" s="105" t="s">
        <v>330</v>
      </c>
    </row>
    <row r="5" spans="1:24" ht="15" customHeight="1" x14ac:dyDescent="0.2">
      <c r="B5" s="184">
        <f>B4+1</f>
        <v>2</v>
      </c>
      <c r="C5" s="152" t="s">
        <v>331</v>
      </c>
      <c r="D5" s="297">
        <f>'Auto-Calibration record'!H15</f>
        <v>-1</v>
      </c>
      <c r="E5" s="135" t="str">
        <f>IF(D5="20","0",IF(D5="PC","00",""))</f>
        <v/>
      </c>
      <c r="F5" s="139"/>
      <c r="G5" s="203"/>
      <c r="H5" s="139"/>
      <c r="I5" s="203"/>
      <c r="J5" s="139"/>
      <c r="K5" s="138"/>
      <c r="L5" s="209"/>
      <c r="M5" s="138"/>
      <c r="N5" s="138"/>
      <c r="O5" s="138"/>
      <c r="P5" s="138"/>
      <c r="Q5" s="138"/>
      <c r="R5" s="105" t="s">
        <v>332</v>
      </c>
      <c r="S5" s="210" t="s">
        <v>327</v>
      </c>
      <c r="T5" s="210" t="s">
        <v>333</v>
      </c>
      <c r="U5" s="210" t="s">
        <v>328</v>
      </c>
      <c r="V5" s="142">
        <v>1</v>
      </c>
      <c r="W5" s="142">
        <v>0</v>
      </c>
      <c r="X5" s="142">
        <v>1</v>
      </c>
    </row>
    <row r="6" spans="1:24" ht="15" customHeight="1" x14ac:dyDescent="0.2">
      <c r="A6" s="144" t="b">
        <v>0</v>
      </c>
      <c r="B6" s="184">
        <f t="shared" ref="B6:B17" si="0">B5+1</f>
        <v>3</v>
      </c>
      <c r="C6" s="152" t="s">
        <v>334</v>
      </c>
      <c r="D6" s="292"/>
      <c r="E6" s="502" t="s">
        <v>335</v>
      </c>
      <c r="F6" s="503"/>
      <c r="G6" s="503"/>
      <c r="H6" s="503"/>
      <c r="I6" s="503"/>
      <c r="J6" s="503"/>
      <c r="K6" s="503"/>
      <c r="L6" s="503"/>
      <c r="M6" s="503"/>
      <c r="N6" s="503"/>
      <c r="O6" s="503"/>
      <c r="P6" s="503"/>
      <c r="Q6" s="138"/>
      <c r="R6" s="105" t="s">
        <v>336</v>
      </c>
      <c r="S6" s="142">
        <v>0</v>
      </c>
      <c r="T6" s="142">
        <v>0</v>
      </c>
      <c r="U6" s="142" t="s">
        <v>337</v>
      </c>
      <c r="V6" s="142">
        <v>0</v>
      </c>
      <c r="W6" s="142"/>
      <c r="X6" s="142">
        <v>2</v>
      </c>
    </row>
    <row r="7" spans="1:24" ht="15" customHeight="1" x14ac:dyDescent="0.2">
      <c r="A7" s="144" t="b">
        <v>0</v>
      </c>
      <c r="B7" s="184">
        <f t="shared" si="0"/>
        <v>4</v>
      </c>
      <c r="C7" s="211" t="s">
        <v>338</v>
      </c>
      <c r="D7" s="298"/>
      <c r="E7" s="504"/>
      <c r="F7" s="492"/>
      <c r="G7" s="492"/>
      <c r="H7" s="492"/>
      <c r="I7" s="492"/>
      <c r="J7" s="492"/>
      <c r="K7" s="492"/>
      <c r="L7" s="492"/>
      <c r="M7" s="492"/>
      <c r="N7" s="492"/>
      <c r="O7" s="492"/>
      <c r="P7" s="492"/>
      <c r="Q7" s="138" t="str">
        <f>IF(A7=TRUE,"Customer completed online booking process","Please note: Where possible, all recalibrations should be booked online at the supplied booking site")</f>
        <v>Please note: Where possible, all recalibrations should be booked online at the supplied booking site</v>
      </c>
      <c r="R7" s="105" t="s">
        <v>339</v>
      </c>
      <c r="S7" s="142"/>
      <c r="T7" s="142" t="s">
        <v>340</v>
      </c>
      <c r="U7" s="142" t="s">
        <v>341</v>
      </c>
      <c r="V7" s="143"/>
      <c r="W7" s="143"/>
      <c r="X7" s="143">
        <v>3</v>
      </c>
    </row>
    <row r="8" spans="1:24" ht="15" customHeight="1" x14ac:dyDescent="0.2">
      <c r="A8" s="144" t="b">
        <v>0</v>
      </c>
      <c r="B8" s="184">
        <f t="shared" si="0"/>
        <v>5</v>
      </c>
      <c r="C8" s="221" t="s">
        <v>342</v>
      </c>
      <c r="D8" s="298"/>
      <c r="E8" s="505" t="s">
        <v>343</v>
      </c>
      <c r="F8" s="506"/>
      <c r="G8" s="506"/>
      <c r="H8" s="506"/>
      <c r="I8" s="506"/>
      <c r="J8" s="506"/>
      <c r="K8" s="506"/>
      <c r="L8" s="506"/>
      <c r="M8" s="506"/>
      <c r="N8" s="506"/>
      <c r="O8" s="506"/>
      <c r="P8" s="506"/>
      <c r="Q8" s="138" t="str">
        <f>IF(A8=TRUE,"Please note: Accessories supplied with product, ensure return of all (see right)","No accessories present to return to end user")</f>
        <v>No accessories present to return to end user</v>
      </c>
      <c r="R8" s="105" t="s">
        <v>344</v>
      </c>
      <c r="X8" s="218">
        <v>4</v>
      </c>
    </row>
    <row r="9" spans="1:24" ht="15" customHeight="1" x14ac:dyDescent="0.2">
      <c r="A9" s="144" t="b">
        <v>0</v>
      </c>
      <c r="B9" s="184">
        <f t="shared" si="0"/>
        <v>6</v>
      </c>
      <c r="C9" s="211" t="s">
        <v>345</v>
      </c>
      <c r="D9" s="298"/>
      <c r="E9" s="500"/>
      <c r="F9" s="501"/>
      <c r="G9" s="501"/>
      <c r="H9" s="501"/>
      <c r="I9" s="501"/>
      <c r="J9" s="501"/>
      <c r="K9" s="501"/>
      <c r="L9" s="501"/>
      <c r="M9" s="501"/>
      <c r="N9" s="501"/>
      <c r="O9" s="501"/>
      <c r="P9" s="501"/>
      <c r="Q9" s="138" t="str">
        <f>IF(A9&lt;&gt;TRUE,"Relevant COSHH information provided by end user","No COSHH information supplied by end user")</f>
        <v>Relevant COSHH information provided by end user</v>
      </c>
      <c r="R9" s="105" t="s">
        <v>346</v>
      </c>
    </row>
    <row r="10" spans="1:24" ht="15" customHeight="1" x14ac:dyDescent="0.2">
      <c r="A10" s="144" t="b">
        <v>0</v>
      </c>
      <c r="B10" s="184">
        <f t="shared" si="0"/>
        <v>7</v>
      </c>
      <c r="C10" s="152" t="s">
        <v>347</v>
      </c>
      <c r="D10" s="299"/>
      <c r="E10" s="500"/>
      <c r="F10" s="501"/>
      <c r="G10" s="501"/>
      <c r="H10" s="501"/>
      <c r="I10" s="501"/>
      <c r="J10" s="501"/>
      <c r="K10" s="501"/>
      <c r="L10" s="501"/>
      <c r="M10" s="501"/>
      <c r="N10" s="501"/>
      <c r="O10" s="501"/>
      <c r="P10" s="501"/>
      <c r="Q10" s="138"/>
      <c r="R10" s="105" t="s">
        <v>348</v>
      </c>
    </row>
    <row r="11" spans="1:24" ht="15" hidden="1" customHeight="1" x14ac:dyDescent="0.2">
      <c r="A11" s="144" t="b">
        <v>0</v>
      </c>
      <c r="B11" s="184">
        <f t="shared" si="0"/>
        <v>8</v>
      </c>
      <c r="C11" s="152" t="s">
        <v>349</v>
      </c>
      <c r="D11" s="300"/>
      <c r="E11" s="500"/>
      <c r="F11" s="501"/>
      <c r="G11" s="501"/>
      <c r="H11" s="501"/>
      <c r="I11" s="501"/>
      <c r="J11" s="501"/>
      <c r="K11" s="501"/>
      <c r="L11" s="501"/>
      <c r="M11" s="501"/>
      <c r="N11" s="501"/>
      <c r="O11" s="501"/>
      <c r="P11" s="501"/>
      <c r="Q11" s="138"/>
      <c r="R11" s="105" t="s">
        <v>350</v>
      </c>
    </row>
    <row r="12" spans="1:24" ht="15" customHeight="1" x14ac:dyDescent="0.2">
      <c r="A12" s="144" t="b">
        <v>0</v>
      </c>
      <c r="B12" s="184">
        <f>B11+1</f>
        <v>9</v>
      </c>
      <c r="C12" s="152" t="s">
        <v>351</v>
      </c>
      <c r="D12" s="298"/>
      <c r="E12" s="507"/>
      <c r="F12" s="508"/>
      <c r="G12" s="508"/>
      <c r="H12" s="508"/>
      <c r="I12" s="508"/>
      <c r="J12" s="508"/>
      <c r="K12" s="508"/>
      <c r="L12" s="508"/>
      <c r="M12" s="508"/>
      <c r="N12" s="508"/>
      <c r="O12" s="508"/>
      <c r="P12" s="508"/>
      <c r="Q12" s="138" t="str">
        <f>IF(A12=TRUE,"Item is considered warranty, requires QC control on NCR","")</f>
        <v/>
      </c>
      <c r="R12" s="105" t="s">
        <v>352</v>
      </c>
    </row>
    <row r="13" spans="1:24" ht="15" customHeight="1" x14ac:dyDescent="0.2">
      <c r="A13" s="144" t="b">
        <v>0</v>
      </c>
      <c r="B13" s="184">
        <f t="shared" si="0"/>
        <v>10</v>
      </c>
      <c r="C13" s="152" t="s">
        <v>353</v>
      </c>
      <c r="D13" s="301">
        <f>D45-365</f>
        <v>-365</v>
      </c>
      <c r="E13" s="212"/>
      <c r="F13" s="138"/>
      <c r="G13" s="138"/>
      <c r="H13" s="138"/>
      <c r="I13" s="138"/>
      <c r="J13" s="138"/>
      <c r="K13" s="138"/>
      <c r="L13" s="138"/>
      <c r="M13" s="138"/>
      <c r="N13" s="138"/>
      <c r="O13" s="138"/>
      <c r="P13" s="138"/>
      <c r="Q13" s="138"/>
      <c r="R13" s="105"/>
    </row>
    <row r="14" spans="1:24" ht="15" customHeight="1" x14ac:dyDescent="0.2">
      <c r="A14" s="144" t="b">
        <v>0</v>
      </c>
      <c r="B14" s="184">
        <f t="shared" si="0"/>
        <v>11</v>
      </c>
      <c r="C14" s="152" t="s">
        <v>354</v>
      </c>
      <c r="D14" s="302"/>
      <c r="E14" s="486"/>
      <c r="F14" s="486"/>
      <c r="G14" s="486"/>
      <c r="H14" s="486"/>
      <c r="I14" s="486"/>
      <c r="J14" s="486"/>
      <c r="K14" s="486"/>
      <c r="L14" s="486"/>
      <c r="M14" s="486"/>
      <c r="N14" s="486"/>
      <c r="O14" s="486"/>
      <c r="P14" s="486"/>
      <c r="Q14" s="138"/>
    </row>
    <row r="15" spans="1:24" ht="15" customHeight="1" x14ac:dyDescent="0.2">
      <c r="A15" s="144" t="b">
        <v>0</v>
      </c>
      <c r="B15" s="184">
        <f t="shared" si="0"/>
        <v>12</v>
      </c>
      <c r="C15" s="152" t="s">
        <v>355</v>
      </c>
      <c r="D15" s="292"/>
      <c r="E15" s="139"/>
      <c r="F15" s="139"/>
      <c r="G15" s="139"/>
      <c r="H15" s="139"/>
      <c r="I15" s="139"/>
      <c r="J15" s="139"/>
      <c r="K15" s="139"/>
      <c r="L15" s="139"/>
      <c r="M15" s="139"/>
      <c r="N15" s="139"/>
      <c r="O15" s="140"/>
      <c r="P15" s="139"/>
      <c r="Q15" s="138"/>
    </row>
    <row r="16" spans="1:24" ht="15" customHeight="1" x14ac:dyDescent="0.2">
      <c r="A16" s="144" t="b">
        <v>0</v>
      </c>
      <c r="B16" s="184">
        <f t="shared" si="0"/>
        <v>13</v>
      </c>
      <c r="C16" s="152" t="s">
        <v>356</v>
      </c>
      <c r="D16" s="292"/>
      <c r="E16" s="139"/>
      <c r="F16" s="139"/>
      <c r="G16" s="139"/>
      <c r="H16" s="139"/>
      <c r="I16" s="139"/>
      <c r="J16" s="139"/>
      <c r="K16" s="139"/>
      <c r="L16" s="139"/>
      <c r="M16" s="139"/>
      <c r="N16" s="139"/>
      <c r="O16" s="139"/>
      <c r="P16" s="139"/>
      <c r="Q16" s="138"/>
    </row>
    <row r="17" spans="1:23" ht="15" customHeight="1" x14ac:dyDescent="0.2">
      <c r="A17" s="144" t="b">
        <v>0</v>
      </c>
      <c r="B17" s="184">
        <f t="shared" si="0"/>
        <v>14</v>
      </c>
      <c r="C17" s="152" t="s">
        <v>357</v>
      </c>
      <c r="D17" s="303">
        <f>D10+5</f>
        <v>5</v>
      </c>
      <c r="E17" s="139"/>
      <c r="F17" s="139"/>
      <c r="G17" s="139"/>
      <c r="H17" s="139"/>
      <c r="I17" s="139"/>
      <c r="J17" s="139"/>
      <c r="K17" s="139"/>
      <c r="L17" s="139"/>
      <c r="M17" s="139"/>
      <c r="N17" s="139"/>
      <c r="O17" s="139"/>
      <c r="P17" s="139"/>
      <c r="Q17" s="138"/>
      <c r="W17" s="206"/>
    </row>
    <row r="18" spans="1:23" ht="15" customHeight="1" x14ac:dyDescent="0.2">
      <c r="A18" s="144" t="b">
        <v>0</v>
      </c>
      <c r="B18" s="184"/>
      <c r="C18" s="119"/>
      <c r="D18" s="206"/>
      <c r="E18" s="206"/>
      <c r="F18" s="206"/>
      <c r="G18" s="206"/>
      <c r="H18" s="206"/>
      <c r="I18" s="206"/>
      <c r="J18" s="206"/>
      <c r="K18" s="206"/>
      <c r="L18" s="206"/>
      <c r="M18" s="206"/>
      <c r="N18" s="206"/>
      <c r="O18" s="206"/>
      <c r="P18" s="206"/>
      <c r="Q18" s="207"/>
    </row>
    <row r="19" spans="1:23" ht="15" hidden="1" customHeight="1" x14ac:dyDescent="0.2">
      <c r="A19" s="144" t="b">
        <v>0</v>
      </c>
      <c r="B19" s="184"/>
      <c r="C19" s="484" t="s">
        <v>358</v>
      </c>
      <c r="D19" s="484"/>
      <c r="E19" s="484"/>
      <c r="F19" s="484"/>
      <c r="G19" s="484"/>
      <c r="H19" s="484"/>
      <c r="I19" s="484"/>
      <c r="J19" s="484"/>
      <c r="K19" s="484"/>
      <c r="L19" s="484"/>
      <c r="M19" s="484"/>
      <c r="N19" s="484"/>
      <c r="O19" s="206"/>
      <c r="P19" s="206"/>
      <c r="Q19" s="207"/>
    </row>
    <row r="20" spans="1:23" ht="15" hidden="1" customHeight="1" x14ac:dyDescent="0.2">
      <c r="A20" s="144" t="b">
        <v>0</v>
      </c>
      <c r="B20" s="184">
        <f>B17+1</f>
        <v>15</v>
      </c>
      <c r="C20" s="119" t="s">
        <v>359</v>
      </c>
      <c r="D20" s="302"/>
      <c r="E20" s="206"/>
      <c r="F20" s="206"/>
      <c r="G20" s="206"/>
      <c r="H20" s="206"/>
      <c r="I20" s="206"/>
      <c r="J20" s="206"/>
      <c r="K20" s="206"/>
      <c r="L20" s="206"/>
      <c r="M20" s="206"/>
      <c r="N20" s="206"/>
      <c r="O20" s="206"/>
      <c r="P20" s="206"/>
      <c r="Q20" s="138" t="str">
        <f>IF(A20=TRUE,"Carry bag, ","")</f>
        <v/>
      </c>
    </row>
    <row r="21" spans="1:23" ht="15" hidden="1" customHeight="1" x14ac:dyDescent="0.2">
      <c r="A21" s="144" t="b">
        <v>0</v>
      </c>
      <c r="B21" s="184">
        <f t="shared" ref="B21:B198" si="1">B20+1</f>
        <v>16</v>
      </c>
      <c r="C21" s="119" t="s">
        <v>360</v>
      </c>
      <c r="D21" s="302"/>
      <c r="E21" s="206"/>
      <c r="F21" s="206"/>
      <c r="G21" s="206"/>
      <c r="H21" s="206"/>
      <c r="I21" s="206"/>
      <c r="J21" s="206"/>
      <c r="K21" s="206"/>
      <c r="L21" s="206"/>
      <c r="M21" s="206"/>
      <c r="N21" s="206"/>
      <c r="O21" s="206"/>
      <c r="P21" s="206"/>
      <c r="Q21" s="138" t="str">
        <f>IF(A21=TRUE,"Waste bottle, ","")</f>
        <v/>
      </c>
    </row>
    <row r="22" spans="1:23" ht="15" hidden="1" customHeight="1" x14ac:dyDescent="0.2">
      <c r="A22" s="144" t="b">
        <v>0</v>
      </c>
      <c r="B22" s="184">
        <f t="shared" si="1"/>
        <v>17</v>
      </c>
      <c r="C22" s="119" t="s">
        <v>361</v>
      </c>
      <c r="D22" s="302"/>
      <c r="E22" s="206"/>
      <c r="F22" s="206"/>
      <c r="G22" s="206"/>
      <c r="H22" s="206"/>
      <c r="I22" s="206"/>
      <c r="J22" s="206"/>
      <c r="K22" s="206"/>
      <c r="L22" s="206"/>
      <c r="M22" s="206"/>
      <c r="N22" s="206"/>
      <c r="O22" s="206"/>
      <c r="P22" s="206"/>
      <c r="Q22" s="138" t="str">
        <f>IF(A22=TRUE,"1500mm pressure hose, ","")</f>
        <v/>
      </c>
    </row>
    <row r="23" spans="1:23" ht="15" hidden="1" customHeight="1" x14ac:dyDescent="0.2">
      <c r="A23" s="144" t="b">
        <v>0</v>
      </c>
      <c r="B23" s="184">
        <f t="shared" si="1"/>
        <v>18</v>
      </c>
      <c r="C23" s="119" t="s">
        <v>362</v>
      </c>
      <c r="D23" s="302"/>
      <c r="E23" s="206"/>
      <c r="F23" s="206"/>
      <c r="G23" s="206"/>
      <c r="H23" s="206"/>
      <c r="I23" s="206"/>
      <c r="J23" s="206"/>
      <c r="K23" s="206"/>
      <c r="L23" s="206"/>
      <c r="M23" s="206"/>
      <c r="N23" s="206"/>
      <c r="O23" s="206"/>
      <c r="P23" s="206"/>
      <c r="Q23" s="138" t="str">
        <f>IF(A23=TRUE,"600mm pressure hose, ","")</f>
        <v/>
      </c>
    </row>
    <row r="24" spans="1:23" ht="15" hidden="1" customHeight="1" x14ac:dyDescent="0.2">
      <c r="A24" s="144" t="b">
        <v>0</v>
      </c>
      <c r="B24" s="184">
        <f t="shared" si="1"/>
        <v>19</v>
      </c>
      <c r="C24" s="119" t="s">
        <v>363</v>
      </c>
      <c r="D24" s="302"/>
      <c r="E24" s="206"/>
      <c r="F24" s="206"/>
      <c r="G24" s="206"/>
      <c r="H24" s="206"/>
      <c r="I24" s="206"/>
      <c r="J24" s="206"/>
      <c r="K24" s="206"/>
      <c r="L24" s="206"/>
      <c r="M24" s="206"/>
      <c r="N24" s="206"/>
      <c r="O24" s="206"/>
      <c r="P24" s="206"/>
      <c r="Q24" s="138" t="str">
        <f>IF(A24=TRUE,"Waste hose, ","")</f>
        <v/>
      </c>
    </row>
    <row r="25" spans="1:23" ht="15" hidden="1" customHeight="1" x14ac:dyDescent="0.2">
      <c r="A25" s="144" t="b">
        <v>0</v>
      </c>
      <c r="B25" s="184">
        <f t="shared" si="1"/>
        <v>20</v>
      </c>
      <c r="C25" s="119" t="s">
        <v>364</v>
      </c>
      <c r="D25" s="302"/>
      <c r="E25" s="213" t="s">
        <v>365</v>
      </c>
      <c r="F25" s="141"/>
      <c r="G25" s="206"/>
      <c r="H25" s="206"/>
      <c r="I25" s="206"/>
      <c r="J25" s="206"/>
      <c r="K25" s="206"/>
      <c r="L25" s="206"/>
      <c r="M25" s="206"/>
      <c r="N25" s="206"/>
      <c r="O25" s="206"/>
      <c r="P25" s="206"/>
      <c r="Q25" s="138" t="str">
        <f>IF(A25=TRUE,F25&amp;"Pouches, ","")</f>
        <v/>
      </c>
    </row>
    <row r="26" spans="1:23" ht="15" hidden="1" customHeight="1" x14ac:dyDescent="0.2">
      <c r="A26" s="144"/>
      <c r="B26" s="184">
        <f t="shared" si="1"/>
        <v>21</v>
      </c>
      <c r="C26" s="228" t="s">
        <v>366</v>
      </c>
      <c r="D26" s="302"/>
      <c r="E26" s="213"/>
      <c r="F26" s="141"/>
      <c r="G26" s="206"/>
      <c r="H26" s="206"/>
      <c r="I26" s="206"/>
      <c r="J26" s="206"/>
      <c r="K26" s="206"/>
      <c r="L26" s="206"/>
      <c r="M26" s="206"/>
      <c r="N26" s="206"/>
      <c r="O26" s="206"/>
      <c r="P26" s="206"/>
      <c r="Q26" s="138"/>
    </row>
    <row r="27" spans="1:23" ht="15" hidden="1" customHeight="1" x14ac:dyDescent="0.2">
      <c r="A27" s="144" t="b">
        <v>0</v>
      </c>
      <c r="B27" s="184">
        <f t="shared" si="1"/>
        <v>22</v>
      </c>
      <c r="C27" s="119" t="s">
        <v>367</v>
      </c>
      <c r="D27" s="302"/>
      <c r="E27" s="206"/>
      <c r="F27" s="206"/>
      <c r="G27" s="206"/>
      <c r="H27" s="206"/>
      <c r="I27" s="206"/>
      <c r="J27" s="206"/>
      <c r="K27" s="206"/>
      <c r="L27" s="206"/>
      <c r="M27" s="206"/>
      <c r="N27" s="206"/>
      <c r="O27" s="206"/>
      <c r="P27" s="206"/>
      <c r="Q27" s="138" t="str">
        <f>IF(A27=TRUE,"USB converter, ","")</f>
        <v/>
      </c>
    </row>
    <row r="28" spans="1:23" ht="15" hidden="1" customHeight="1" x14ac:dyDescent="0.2">
      <c r="A28" s="144" t="b">
        <v>0</v>
      </c>
      <c r="B28" s="184">
        <f t="shared" si="1"/>
        <v>23</v>
      </c>
      <c r="C28" s="119" t="s">
        <v>368</v>
      </c>
      <c r="D28" s="302"/>
      <c r="E28" s="206"/>
      <c r="F28" s="206"/>
      <c r="G28" s="206"/>
      <c r="H28" s="206"/>
      <c r="I28" s="206"/>
      <c r="J28" s="206"/>
      <c r="K28" s="206"/>
      <c r="L28" s="206"/>
      <c r="M28" s="206"/>
      <c r="N28" s="206"/>
      <c r="O28" s="206"/>
      <c r="P28" s="206"/>
      <c r="Q28" s="138" t="str">
        <f>IF(A28=TRUE,"serial cable, ","")</f>
        <v/>
      </c>
    </row>
    <row r="29" spans="1:23" ht="15" hidden="1" customHeight="1" x14ac:dyDescent="0.2">
      <c r="A29" s="144" t="b">
        <v>0</v>
      </c>
      <c r="B29" s="184">
        <f t="shared" si="1"/>
        <v>24</v>
      </c>
      <c r="C29" s="119" t="s">
        <v>369</v>
      </c>
      <c r="D29" s="302"/>
      <c r="E29" s="206"/>
      <c r="F29" s="206"/>
      <c r="G29" s="206"/>
      <c r="H29" s="206"/>
      <c r="I29" s="206"/>
      <c r="J29" s="206"/>
      <c r="K29" s="206"/>
      <c r="L29" s="206"/>
      <c r="M29" s="206"/>
      <c r="N29" s="206"/>
      <c r="O29" s="206"/>
      <c r="P29" s="206"/>
      <c r="Q29" s="138" t="str">
        <f>IF(A29=TRUE,"power adapter, ","")</f>
        <v/>
      </c>
    </row>
    <row r="30" spans="1:23" ht="15" customHeight="1" x14ac:dyDescent="0.2">
      <c r="A30" s="144" t="b">
        <v>0</v>
      </c>
      <c r="B30" s="184"/>
      <c r="C30" s="484" t="s">
        <v>370</v>
      </c>
      <c r="D30" s="484"/>
      <c r="E30" s="484"/>
      <c r="F30" s="484"/>
      <c r="G30" s="484"/>
      <c r="H30" s="484"/>
      <c r="I30" s="484"/>
      <c r="J30" s="484"/>
      <c r="K30" s="484"/>
      <c r="L30" s="484"/>
      <c r="M30" s="484"/>
      <c r="N30" s="484"/>
    </row>
    <row r="31" spans="1:23" ht="15" customHeight="1" x14ac:dyDescent="0.2">
      <c r="A31" s="144" t="b">
        <v>1</v>
      </c>
      <c r="B31" s="184">
        <f>B29+1</f>
        <v>25</v>
      </c>
      <c r="C31" s="119" t="s">
        <v>371</v>
      </c>
      <c r="D31" s="304"/>
      <c r="E31" s="487" t="s">
        <v>372</v>
      </c>
      <c r="F31" s="487"/>
      <c r="G31" s="488" t="str">
        <f>IF($D$31=$D$10,"ON TIME",IF($D$31&gt;$D$10,"LATE",IF($D$31&lt;$D$10,"EARLY")))</f>
        <v>ON TIME</v>
      </c>
      <c r="H31" s="488"/>
      <c r="I31" s="488"/>
      <c r="J31" s="488"/>
      <c r="K31" s="488"/>
      <c r="L31" s="488"/>
      <c r="M31" s="488"/>
      <c r="N31" s="488"/>
    </row>
    <row r="32" spans="1:23" ht="15" customHeight="1" x14ac:dyDescent="0.2">
      <c r="A32" s="144" t="b">
        <v>1</v>
      </c>
      <c r="B32" s="184">
        <f>B31+1</f>
        <v>26</v>
      </c>
      <c r="C32" s="119" t="s">
        <v>373</v>
      </c>
      <c r="D32" s="304" t="s">
        <v>321</v>
      </c>
      <c r="E32" s="163"/>
      <c r="F32" s="163"/>
      <c r="G32" s="214"/>
      <c r="H32" s="214"/>
      <c r="I32" s="214"/>
      <c r="J32" s="214"/>
      <c r="K32" s="214"/>
      <c r="L32" s="214"/>
      <c r="M32" s="214"/>
      <c r="N32" s="214"/>
    </row>
    <row r="33" spans="1:18" ht="15" customHeight="1" x14ac:dyDescent="0.2">
      <c r="A33" s="144" t="b">
        <v>0</v>
      </c>
      <c r="B33" s="184">
        <f>B32+1</f>
        <v>27</v>
      </c>
      <c r="C33" s="188" t="s">
        <v>374</v>
      </c>
      <c r="D33" s="305"/>
      <c r="Q33" t="str">
        <f>IF(A33=TRUE,"Case was returned in acceptable condition","Exterior damage to case upon receipt")</f>
        <v>Exterior damage to case upon receipt</v>
      </c>
    </row>
    <row r="34" spans="1:18" x14ac:dyDescent="0.2">
      <c r="A34" s="144" t="b">
        <v>0</v>
      </c>
      <c r="B34" s="184">
        <f t="shared" ref="B34:B73" si="2">B33+1</f>
        <v>28</v>
      </c>
      <c r="C34" s="188" t="s">
        <v>375</v>
      </c>
      <c r="D34" s="306"/>
      <c r="Q34" s="138" t="str">
        <f>IF(A34=TRUE,"Cap on input test point","No cap on input test point")</f>
        <v>No cap on input test point</v>
      </c>
    </row>
    <row r="35" spans="1:18" x14ac:dyDescent="0.2">
      <c r="A35" s="144" t="b">
        <v>0</v>
      </c>
      <c r="B35" s="184">
        <f t="shared" si="2"/>
        <v>29</v>
      </c>
      <c r="C35" s="188" t="s">
        <v>376</v>
      </c>
      <c r="D35" s="306"/>
      <c r="Q35" s="138" t="str">
        <f>IF(A35=TRUE,"Cap on waste test point","No cap on waste test point")</f>
        <v>No cap on waste test point</v>
      </c>
    </row>
    <row r="36" spans="1:18" x14ac:dyDescent="0.2">
      <c r="A36" s="144" t="b">
        <v>0</v>
      </c>
      <c r="B36" s="184">
        <f t="shared" si="2"/>
        <v>30</v>
      </c>
      <c r="C36" s="188" t="s">
        <v>377</v>
      </c>
      <c r="D36" s="306"/>
    </row>
    <row r="37" spans="1:18" ht="15" customHeight="1" x14ac:dyDescent="0.2">
      <c r="A37" s="144" t="b">
        <v>0</v>
      </c>
      <c r="B37" s="184">
        <f t="shared" si="2"/>
        <v>31</v>
      </c>
      <c r="C37" s="188" t="s">
        <v>378</v>
      </c>
      <c r="D37" s="306"/>
    </row>
    <row r="38" spans="1:18" ht="15" customHeight="1" x14ac:dyDescent="0.2">
      <c r="A38" s="144" t="b">
        <v>0</v>
      </c>
      <c r="B38" s="184">
        <f t="shared" si="2"/>
        <v>32</v>
      </c>
      <c r="C38" s="188" t="s">
        <v>379</v>
      </c>
      <c r="D38" s="306"/>
    </row>
    <row r="39" spans="1:18" ht="15" customHeight="1" x14ac:dyDescent="0.2">
      <c r="A39" s="144" t="b">
        <v>0</v>
      </c>
      <c r="B39" s="184">
        <f t="shared" si="2"/>
        <v>33</v>
      </c>
      <c r="C39" s="188" t="s">
        <v>380</v>
      </c>
      <c r="D39" s="306"/>
      <c r="Q39" t="str">
        <f>IF(A39=TRUE,"Screen is functional upon receipt","The screen has been damaged and is not functioning correctly")</f>
        <v>The screen has been damaged and is not functioning correctly</v>
      </c>
    </row>
    <row r="40" spans="1:18" ht="15" customHeight="1" x14ac:dyDescent="0.2">
      <c r="A40" s="144" t="b">
        <v>0</v>
      </c>
      <c r="B40" s="184">
        <f t="shared" si="2"/>
        <v>34</v>
      </c>
      <c r="C40" s="188" t="s">
        <v>381</v>
      </c>
      <c r="D40" s="306"/>
    </row>
    <row r="41" spans="1:18" ht="15" customHeight="1" x14ac:dyDescent="0.2">
      <c r="A41" s="144" t="b">
        <v>0</v>
      </c>
      <c r="B41" s="184">
        <f t="shared" si="2"/>
        <v>35</v>
      </c>
      <c r="C41" s="188" t="s">
        <v>382</v>
      </c>
      <c r="D41" s="306"/>
    </row>
    <row r="42" spans="1:18" ht="15" customHeight="1" x14ac:dyDescent="0.2">
      <c r="A42" s="144" t="b">
        <v>0</v>
      </c>
      <c r="B42" s="184">
        <f t="shared" si="2"/>
        <v>36</v>
      </c>
      <c r="C42" s="188" t="s">
        <v>383</v>
      </c>
      <c r="D42" s="306"/>
      <c r="Q42" t="str">
        <f>IF(D42=3.88,"Firmware up-to-date","Firmware was an older version and needed updating")</f>
        <v>Firmware was an older version and needed updating</v>
      </c>
      <c r="R42" s="105" t="s">
        <v>321</v>
      </c>
    </row>
    <row r="43" spans="1:18" ht="15" customHeight="1" x14ac:dyDescent="0.2">
      <c r="A43" s="144"/>
      <c r="B43" s="184">
        <f t="shared" si="2"/>
        <v>37</v>
      </c>
      <c r="C43" s="188" t="s">
        <v>384</v>
      </c>
      <c r="D43" s="306"/>
      <c r="R43" t="s">
        <v>385</v>
      </c>
    </row>
    <row r="44" spans="1:18" ht="15" customHeight="1" x14ac:dyDescent="0.2">
      <c r="A44" s="144" t="b">
        <v>1</v>
      </c>
      <c r="B44" s="184">
        <f t="shared" si="2"/>
        <v>38</v>
      </c>
      <c r="C44" s="188" t="s">
        <v>386</v>
      </c>
      <c r="D44" s="306"/>
      <c r="R44" t="s">
        <v>387</v>
      </c>
    </row>
    <row r="45" spans="1:18" ht="15" customHeight="1" x14ac:dyDescent="0.2">
      <c r="A45" s="144" t="b">
        <v>0</v>
      </c>
      <c r="B45" s="184">
        <f t="shared" si="2"/>
        <v>39</v>
      </c>
      <c r="C45" s="188" t="s">
        <v>388</v>
      </c>
      <c r="D45" s="306"/>
      <c r="R45" t="s">
        <v>389</v>
      </c>
    </row>
    <row r="46" spans="1:18" ht="15" customHeight="1" x14ac:dyDescent="0.2">
      <c r="A46" s="144" t="b">
        <v>0</v>
      </c>
      <c r="B46" s="184">
        <f t="shared" si="2"/>
        <v>40</v>
      </c>
      <c r="C46" s="188" t="s">
        <v>390</v>
      </c>
      <c r="D46" s="306"/>
      <c r="R46" t="s">
        <v>391</v>
      </c>
    </row>
    <row r="47" spans="1:18" ht="15" customHeight="1" x14ac:dyDescent="0.2">
      <c r="A47" s="144" t="b">
        <v>0</v>
      </c>
      <c r="B47" s="184">
        <f t="shared" si="2"/>
        <v>41</v>
      </c>
      <c r="C47" s="222"/>
      <c r="D47" s="307" t="s">
        <v>392</v>
      </c>
      <c r="R47" t="s">
        <v>393</v>
      </c>
    </row>
    <row r="48" spans="1:18" ht="15" customHeight="1" x14ac:dyDescent="0.2">
      <c r="A48" s="144" t="b">
        <v>1</v>
      </c>
      <c r="B48" s="184">
        <f t="shared" si="2"/>
        <v>42</v>
      </c>
      <c r="C48" s="188" t="s">
        <v>394</v>
      </c>
      <c r="D48" s="308"/>
    </row>
    <row r="49" spans="1:18" ht="15" customHeight="1" x14ac:dyDescent="0.2">
      <c r="A49" s="144" t="b">
        <v>0</v>
      </c>
      <c r="B49" s="184">
        <f t="shared" si="2"/>
        <v>43</v>
      </c>
      <c r="C49" s="188" t="s">
        <v>395</v>
      </c>
      <c r="D49" s="306" t="s">
        <v>321</v>
      </c>
    </row>
    <row r="50" spans="1:18" ht="15" customHeight="1" x14ac:dyDescent="0.2">
      <c r="A50" s="144" t="b">
        <v>0</v>
      </c>
      <c r="B50" s="184">
        <f t="shared" si="2"/>
        <v>44</v>
      </c>
      <c r="C50" s="188" t="s">
        <v>396</v>
      </c>
      <c r="D50" s="309"/>
    </row>
    <row r="51" spans="1:18" ht="15" customHeight="1" x14ac:dyDescent="0.2">
      <c r="A51" s="144" t="b">
        <v>0</v>
      </c>
      <c r="B51" s="184">
        <f t="shared" si="2"/>
        <v>45</v>
      </c>
      <c r="C51" s="188" t="s">
        <v>397</v>
      </c>
      <c r="D51" s="310"/>
    </row>
    <row r="52" spans="1:18" ht="15" customHeight="1" x14ac:dyDescent="0.2">
      <c r="A52" s="144" t="b">
        <v>0</v>
      </c>
      <c r="B52" s="184">
        <f t="shared" si="2"/>
        <v>46</v>
      </c>
      <c r="C52" s="188" t="s">
        <v>398</v>
      </c>
      <c r="D52" s="311"/>
    </row>
    <row r="53" spans="1:18" ht="15" customHeight="1" x14ac:dyDescent="0.2">
      <c r="A53" s="144" t="b">
        <v>0</v>
      </c>
      <c r="B53" s="184">
        <f t="shared" si="2"/>
        <v>47</v>
      </c>
      <c r="C53" s="188" t="s">
        <v>399</v>
      </c>
      <c r="D53" s="306"/>
    </row>
    <row r="54" spans="1:18" s="139" customFormat="1" ht="15.75" customHeight="1" x14ac:dyDescent="0.2">
      <c r="A54" s="144" t="b">
        <v>0</v>
      </c>
      <c r="B54" s="184">
        <f t="shared" si="2"/>
        <v>48</v>
      </c>
      <c r="C54" s="188" t="s">
        <v>400</v>
      </c>
      <c r="D54" s="158" t="s">
        <v>321</v>
      </c>
      <c r="E54" s="157"/>
      <c r="F54" s="157"/>
      <c r="G54" s="157"/>
      <c r="H54" s="157"/>
      <c r="I54" s="157"/>
      <c r="J54" s="157"/>
      <c r="K54" s="157"/>
      <c r="L54" s="157"/>
      <c r="M54" s="157"/>
      <c r="N54" s="157"/>
      <c r="P54" s="137"/>
      <c r="R54" s="139" t="s">
        <v>321</v>
      </c>
    </row>
    <row r="55" spans="1:18" s="139" customFormat="1" ht="15.75" customHeight="1" x14ac:dyDescent="0.2">
      <c r="A55" s="144" t="b">
        <v>0</v>
      </c>
      <c r="B55" s="184">
        <f t="shared" si="2"/>
        <v>49</v>
      </c>
      <c r="C55" s="204"/>
      <c r="D55" s="312" t="s">
        <v>401</v>
      </c>
      <c r="E55" s="489"/>
      <c r="F55" s="489"/>
      <c r="G55" s="489"/>
      <c r="H55" s="489"/>
      <c r="I55" s="489"/>
      <c r="J55" s="489"/>
      <c r="K55" s="489"/>
      <c r="L55" s="489"/>
      <c r="M55" s="489"/>
      <c r="N55" s="489"/>
      <c r="O55" s="138"/>
      <c r="P55" s="137"/>
      <c r="R55" s="139" t="s">
        <v>402</v>
      </c>
    </row>
    <row r="56" spans="1:18" s="139" customFormat="1" ht="15.75" customHeight="1" x14ac:dyDescent="0.2">
      <c r="A56" s="144" t="b">
        <v>0</v>
      </c>
      <c r="B56" s="184">
        <f t="shared" si="2"/>
        <v>50</v>
      </c>
      <c r="C56" s="188" t="s">
        <v>403</v>
      </c>
      <c r="D56" s="158"/>
      <c r="E56" s="157"/>
      <c r="F56" s="157"/>
      <c r="G56" s="157"/>
      <c r="H56" s="157"/>
      <c r="I56" s="157"/>
      <c r="J56" s="157"/>
      <c r="K56" s="157"/>
      <c r="L56" s="157"/>
      <c r="M56" s="157"/>
      <c r="N56" s="157"/>
      <c r="P56" s="137"/>
      <c r="R56" s="139" t="s">
        <v>404</v>
      </c>
    </row>
    <row r="57" spans="1:18" s="139" customFormat="1" ht="15.75" customHeight="1" x14ac:dyDescent="0.2">
      <c r="A57" s="144" t="b">
        <v>0</v>
      </c>
      <c r="B57" s="184">
        <f t="shared" si="2"/>
        <v>51</v>
      </c>
      <c r="C57" s="188" t="s">
        <v>405</v>
      </c>
      <c r="D57" s="158"/>
      <c r="E57" s="157"/>
      <c r="F57" s="157"/>
      <c r="G57" s="157"/>
      <c r="H57" s="157"/>
      <c r="I57" s="157"/>
      <c r="J57" s="157"/>
      <c r="K57" s="157"/>
      <c r="L57" s="157"/>
      <c r="M57" s="157"/>
      <c r="N57" s="157"/>
      <c r="P57" s="137"/>
      <c r="R57" s="139" t="s">
        <v>406</v>
      </c>
    </row>
    <row r="58" spans="1:18" s="139" customFormat="1" ht="15.75" customHeight="1" x14ac:dyDescent="0.2">
      <c r="A58" s="144" t="b">
        <v>0</v>
      </c>
      <c r="B58" s="184">
        <f t="shared" si="2"/>
        <v>52</v>
      </c>
      <c r="C58" s="188" t="s">
        <v>407</v>
      </c>
      <c r="D58" s="158"/>
      <c r="E58" s="157"/>
      <c r="F58" s="157"/>
      <c r="G58" s="157"/>
      <c r="H58" s="157"/>
      <c r="I58" s="157"/>
      <c r="J58" s="157"/>
      <c r="K58" s="157"/>
      <c r="L58" s="157"/>
      <c r="M58" s="157"/>
      <c r="N58" s="157"/>
      <c r="P58" s="137"/>
      <c r="R58" s="139" t="s">
        <v>408</v>
      </c>
    </row>
    <row r="59" spans="1:18" s="139" customFormat="1" ht="15.75" customHeight="1" x14ac:dyDescent="0.2">
      <c r="A59" s="144" t="b">
        <v>0</v>
      </c>
      <c r="B59" s="184">
        <f t="shared" si="2"/>
        <v>53</v>
      </c>
      <c r="C59" s="204"/>
      <c r="D59" s="155" t="s">
        <v>409</v>
      </c>
      <c r="E59" s="157"/>
      <c r="F59" s="157"/>
      <c r="G59" s="157"/>
      <c r="H59" s="157"/>
      <c r="I59" s="157"/>
      <c r="J59" s="157"/>
      <c r="K59" s="157"/>
      <c r="L59" s="157"/>
      <c r="M59" s="157"/>
      <c r="N59" s="157"/>
      <c r="P59" s="137"/>
      <c r="R59" s="139" t="s">
        <v>410</v>
      </c>
    </row>
    <row r="60" spans="1:18" s="139" customFormat="1" ht="15.75" customHeight="1" x14ac:dyDescent="0.2">
      <c r="A60" s="144" t="b">
        <v>0</v>
      </c>
      <c r="B60" s="184">
        <f t="shared" si="2"/>
        <v>54</v>
      </c>
      <c r="C60" s="188" t="s">
        <v>411</v>
      </c>
      <c r="D60" s="158"/>
      <c r="E60" s="157"/>
      <c r="F60" s="157"/>
      <c r="G60" s="157"/>
      <c r="H60" s="157"/>
      <c r="I60" s="157"/>
      <c r="J60" s="157"/>
      <c r="K60" s="157"/>
      <c r="L60" s="157"/>
      <c r="M60" s="157"/>
      <c r="N60" s="157"/>
      <c r="P60" s="137"/>
      <c r="R60" s="139" t="s">
        <v>412</v>
      </c>
    </row>
    <row r="61" spans="1:18" s="139" customFormat="1" ht="15.75" customHeight="1" x14ac:dyDescent="0.2">
      <c r="A61" s="144" t="b">
        <v>0</v>
      </c>
      <c r="B61" s="184">
        <f t="shared" si="2"/>
        <v>55</v>
      </c>
      <c r="C61" s="188" t="s">
        <v>413</v>
      </c>
      <c r="D61" s="158" t="s">
        <v>321</v>
      </c>
      <c r="E61" s="157"/>
      <c r="F61" s="157"/>
      <c r="G61" s="157"/>
      <c r="H61" s="157"/>
      <c r="I61" s="157"/>
      <c r="J61" s="157"/>
      <c r="K61" s="157"/>
      <c r="L61" s="157"/>
      <c r="M61" s="157"/>
      <c r="N61" s="157"/>
      <c r="P61" s="137"/>
      <c r="R61" s="139" t="s">
        <v>414</v>
      </c>
    </row>
    <row r="62" spans="1:18" s="139" customFormat="1" ht="15.75" customHeight="1" x14ac:dyDescent="0.2">
      <c r="A62" s="144" t="b">
        <v>0</v>
      </c>
      <c r="B62" s="184">
        <f t="shared" si="2"/>
        <v>56</v>
      </c>
      <c r="C62" s="204"/>
      <c r="D62" s="313" t="s">
        <v>415</v>
      </c>
      <c r="E62" s="135"/>
      <c r="F62" s="135"/>
      <c r="G62" s="135"/>
      <c r="H62" s="135"/>
      <c r="I62" s="135"/>
      <c r="J62" s="135"/>
      <c r="K62" s="135"/>
      <c r="L62" s="135"/>
      <c r="M62" s="135"/>
      <c r="N62" s="135"/>
      <c r="O62" s="138"/>
      <c r="P62" s="137"/>
      <c r="R62" s="139" t="s">
        <v>416</v>
      </c>
    </row>
    <row r="63" spans="1:18" s="139" customFormat="1" ht="15.75" customHeight="1" x14ac:dyDescent="0.2">
      <c r="A63" s="144" t="b">
        <v>0</v>
      </c>
      <c r="B63" s="184">
        <f t="shared" si="2"/>
        <v>57</v>
      </c>
      <c r="C63" s="188" t="s">
        <v>417</v>
      </c>
      <c r="D63" s="158"/>
      <c r="E63" s="157"/>
      <c r="F63" s="157"/>
      <c r="G63" s="157"/>
      <c r="H63" s="157"/>
      <c r="I63" s="157"/>
      <c r="J63" s="157"/>
      <c r="K63" s="157"/>
      <c r="L63" s="157"/>
      <c r="M63" s="157"/>
      <c r="N63" s="157"/>
      <c r="P63" s="137"/>
      <c r="R63" s="139" t="s">
        <v>418</v>
      </c>
    </row>
    <row r="64" spans="1:18" s="139" customFormat="1" ht="15.75" customHeight="1" x14ac:dyDescent="0.2">
      <c r="A64" s="144"/>
      <c r="B64" s="184">
        <f t="shared" si="2"/>
        <v>58</v>
      </c>
      <c r="C64" s="188" t="s">
        <v>419</v>
      </c>
      <c r="D64" s="158"/>
      <c r="E64" s="157"/>
      <c r="F64" s="157"/>
      <c r="G64" s="157"/>
      <c r="H64" s="157"/>
      <c r="I64" s="157"/>
      <c r="J64" s="157"/>
      <c r="K64" s="157"/>
      <c r="L64" s="157"/>
      <c r="M64" s="157"/>
      <c r="N64" s="157"/>
      <c r="P64" s="137"/>
    </row>
    <row r="65" spans="1:18" s="139" customFormat="1" ht="15.75" customHeight="1" x14ac:dyDescent="0.2">
      <c r="A65" s="144"/>
      <c r="B65" s="184">
        <f t="shared" si="2"/>
        <v>59</v>
      </c>
      <c r="C65" s="188" t="s">
        <v>420</v>
      </c>
      <c r="D65" s="158"/>
      <c r="E65" s="157"/>
      <c r="F65" s="157"/>
      <c r="G65" s="157"/>
      <c r="H65" s="157"/>
      <c r="I65" s="157"/>
      <c r="J65" s="157"/>
      <c r="K65" s="157"/>
      <c r="L65" s="157"/>
      <c r="M65" s="157"/>
      <c r="N65" s="157"/>
      <c r="P65" s="137"/>
    </row>
    <row r="66" spans="1:18" s="139" customFormat="1" ht="15.75" customHeight="1" x14ac:dyDescent="0.2">
      <c r="A66" s="144"/>
      <c r="B66" s="184">
        <f t="shared" si="2"/>
        <v>60</v>
      </c>
      <c r="C66" s="188" t="s">
        <v>421</v>
      </c>
      <c r="D66" s="158"/>
      <c r="E66" s="157"/>
      <c r="F66" s="157"/>
      <c r="G66" s="157"/>
      <c r="H66" s="157"/>
      <c r="I66" s="157"/>
      <c r="J66" s="157"/>
      <c r="K66" s="157"/>
      <c r="L66" s="157"/>
      <c r="M66" s="157"/>
      <c r="N66" s="157"/>
      <c r="P66" s="137"/>
    </row>
    <row r="67" spans="1:18" s="139" customFormat="1" ht="15.75" customHeight="1" x14ac:dyDescent="0.2">
      <c r="A67" s="144" t="b">
        <v>0</v>
      </c>
      <c r="B67" s="184">
        <f t="shared" si="2"/>
        <v>61</v>
      </c>
      <c r="C67" s="188" t="s">
        <v>422</v>
      </c>
      <c r="D67" s="306"/>
      <c r="E67" s="157"/>
      <c r="F67" s="157"/>
      <c r="G67" s="157"/>
      <c r="H67" s="157"/>
      <c r="I67" s="157"/>
      <c r="J67" s="157"/>
      <c r="K67" s="157"/>
      <c r="L67" s="157"/>
      <c r="M67" s="157"/>
      <c r="N67" s="157"/>
      <c r="P67" s="137"/>
    </row>
    <row r="68" spans="1:18" s="139" customFormat="1" ht="15.75" customHeight="1" x14ac:dyDescent="0.2">
      <c r="A68" s="144" t="b">
        <v>0</v>
      </c>
      <c r="B68" s="184">
        <f t="shared" si="2"/>
        <v>62</v>
      </c>
      <c r="C68" s="188" t="s">
        <v>423</v>
      </c>
      <c r="D68" s="158"/>
      <c r="E68" s="157"/>
      <c r="F68" s="157"/>
      <c r="G68" s="157"/>
      <c r="H68" s="157"/>
      <c r="I68" s="157"/>
      <c r="J68" s="157"/>
      <c r="K68" s="157"/>
      <c r="L68" s="157"/>
      <c r="M68" s="157"/>
      <c r="N68" s="157"/>
      <c r="P68" s="137"/>
    </row>
    <row r="69" spans="1:18" s="139" customFormat="1" ht="15.75" customHeight="1" x14ac:dyDescent="0.2">
      <c r="A69" s="144" t="b">
        <v>0</v>
      </c>
      <c r="B69" s="184">
        <f t="shared" si="2"/>
        <v>63</v>
      </c>
      <c r="C69" s="188" t="s">
        <v>424</v>
      </c>
      <c r="D69" s="158"/>
      <c r="E69" s="157"/>
      <c r="F69" s="157"/>
      <c r="G69" s="157"/>
      <c r="H69" s="157"/>
      <c r="I69" s="157"/>
      <c r="J69" s="157"/>
      <c r="K69" s="157"/>
      <c r="L69" s="157"/>
      <c r="M69" s="157"/>
      <c r="N69" s="157"/>
      <c r="P69" s="137"/>
      <c r="R69" s="139" t="s">
        <v>321</v>
      </c>
    </row>
    <row r="70" spans="1:18" ht="15" customHeight="1" x14ac:dyDescent="0.2">
      <c r="A70" s="144" t="b">
        <v>0</v>
      </c>
      <c r="B70" s="184">
        <f t="shared" si="2"/>
        <v>64</v>
      </c>
      <c r="C70" s="188" t="s">
        <v>425</v>
      </c>
      <c r="D70" s="306"/>
      <c r="R70" s="139" t="s">
        <v>426</v>
      </c>
    </row>
    <row r="71" spans="1:18" ht="15" customHeight="1" x14ac:dyDescent="0.2">
      <c r="A71" s="144" t="b">
        <v>0</v>
      </c>
      <c r="B71" s="184">
        <f t="shared" si="2"/>
        <v>65</v>
      </c>
      <c r="C71" s="188" t="s">
        <v>427</v>
      </c>
      <c r="D71" s="306"/>
      <c r="Q71" s="138" t="e">
        <f>IF(#REF!=FALSE,"Unit was dirty or damaged inside and required extra cleaning","Internal condition good")</f>
        <v>#REF!</v>
      </c>
      <c r="R71" s="139" t="s">
        <v>428</v>
      </c>
    </row>
    <row r="72" spans="1:18" s="139" customFormat="1" x14ac:dyDescent="0.2">
      <c r="A72" s="144" t="b">
        <v>0</v>
      </c>
      <c r="B72" s="184" t="e">
        <f>#REF!+1</f>
        <v>#REF!</v>
      </c>
      <c r="C72" s="188" t="s">
        <v>429</v>
      </c>
      <c r="D72" s="314"/>
      <c r="O72" s="138"/>
      <c r="P72" s="137"/>
      <c r="R72" s="139" t="s">
        <v>430</v>
      </c>
    </row>
    <row r="73" spans="1:18" s="139" customFormat="1" x14ac:dyDescent="0.2">
      <c r="A73" s="144" t="b">
        <v>0</v>
      </c>
      <c r="B73" s="184" t="e">
        <f t="shared" si="2"/>
        <v>#REF!</v>
      </c>
      <c r="C73" s="188" t="s">
        <v>431</v>
      </c>
      <c r="D73" s="314"/>
      <c r="O73" s="138"/>
      <c r="P73" s="137"/>
    </row>
    <row r="74" spans="1:18" s="139" customFormat="1" ht="15.75" customHeight="1" x14ac:dyDescent="0.2">
      <c r="A74" s="144" t="b">
        <v>0</v>
      </c>
      <c r="B74" s="184" t="e">
        <f>#REF!+1</f>
        <v>#REF!</v>
      </c>
      <c r="C74" s="204"/>
      <c r="D74" s="313" t="s">
        <v>432</v>
      </c>
      <c r="E74" s="135"/>
      <c r="F74" s="135"/>
      <c r="G74" s="135"/>
      <c r="H74" s="135"/>
      <c r="I74" s="135"/>
      <c r="J74" s="135"/>
      <c r="K74" s="135"/>
      <c r="L74" s="135"/>
      <c r="M74" s="135"/>
      <c r="N74" s="135"/>
      <c r="O74" s="138"/>
      <c r="P74" s="137"/>
      <c r="R74" s="139" t="s">
        <v>416</v>
      </c>
    </row>
    <row r="75" spans="1:18" s="139" customFormat="1" x14ac:dyDescent="0.2">
      <c r="A75" s="144" t="b">
        <v>0</v>
      </c>
      <c r="B75" s="184"/>
      <c r="C75" s="485" t="s">
        <v>433</v>
      </c>
      <c r="D75" s="485"/>
      <c r="E75" s="485"/>
      <c r="F75" s="485"/>
      <c r="G75" s="485"/>
      <c r="H75" s="485"/>
      <c r="I75" s="485"/>
      <c r="J75" s="485"/>
      <c r="K75" s="485"/>
      <c r="L75" s="485"/>
      <c r="M75" s="485"/>
      <c r="N75" s="485"/>
      <c r="O75" s="485"/>
      <c r="P75" s="148"/>
    </row>
    <row r="76" spans="1:18" s="139" customFormat="1" x14ac:dyDescent="0.2">
      <c r="A76" s="144" t="b">
        <v>0</v>
      </c>
      <c r="B76" s="184" t="e">
        <f>B74+1</f>
        <v>#REF!</v>
      </c>
      <c r="C76" s="153"/>
      <c r="D76" s="313" t="s">
        <v>434</v>
      </c>
      <c r="E76" s="486"/>
      <c r="F76" s="486"/>
      <c r="G76" s="486"/>
      <c r="H76" s="486"/>
      <c r="I76" s="486"/>
      <c r="J76" s="486"/>
      <c r="K76" s="486"/>
      <c r="L76" s="486"/>
      <c r="M76" s="486"/>
      <c r="N76" s="486"/>
      <c r="P76" s="137"/>
      <c r="Q76" s="138"/>
    </row>
    <row r="77" spans="1:18" s="139" customFormat="1" x14ac:dyDescent="0.2">
      <c r="A77" s="144" t="b">
        <v>0</v>
      </c>
      <c r="B77" s="184" t="e">
        <f>#REF!+1</f>
        <v>#REF!</v>
      </c>
      <c r="C77" s="159"/>
      <c r="D77" s="313" t="s">
        <v>435</v>
      </c>
      <c r="E77" s="135"/>
      <c r="F77" s="135"/>
      <c r="G77" s="135"/>
      <c r="H77" s="135"/>
      <c r="I77" s="135"/>
      <c r="J77" s="135"/>
      <c r="K77" s="135"/>
      <c r="L77" s="135"/>
      <c r="M77" s="135"/>
      <c r="N77" s="135"/>
      <c r="P77" s="137"/>
      <c r="Q77" s="138" t="str">
        <f>IF(A77=TRUE,"Damage to sensor array assembly found, repair was required","Sensor array assembly passed initial inspection")</f>
        <v>Sensor array assembly passed initial inspection</v>
      </c>
    </row>
    <row r="78" spans="1:18" s="139" customFormat="1" x14ac:dyDescent="0.2">
      <c r="A78" s="144" t="b">
        <v>0</v>
      </c>
      <c r="B78" s="184" t="e">
        <f>B77+1</f>
        <v>#REF!</v>
      </c>
      <c r="C78" s="159"/>
      <c r="D78" s="313" t="s">
        <v>436</v>
      </c>
      <c r="E78" s="157"/>
      <c r="F78" s="157"/>
      <c r="G78" s="157"/>
      <c r="H78" s="157"/>
      <c r="I78" s="157"/>
      <c r="J78" s="157"/>
      <c r="K78" s="157"/>
      <c r="L78" s="157"/>
      <c r="M78" s="157"/>
      <c r="N78" s="157"/>
      <c r="O78" s="138"/>
      <c r="P78" s="137"/>
    </row>
    <row r="79" spans="1:18" s="145" customFormat="1" x14ac:dyDescent="0.2">
      <c r="A79" s="144" t="b">
        <v>0</v>
      </c>
      <c r="B79" s="184" t="e">
        <f>B78+1</f>
        <v>#REF!</v>
      </c>
      <c r="C79" s="159"/>
      <c r="D79" s="313" t="s">
        <v>437</v>
      </c>
      <c r="E79" s="490" t="s">
        <v>438</v>
      </c>
      <c r="F79" s="490"/>
      <c r="G79" s="490"/>
      <c r="H79" s="490"/>
      <c r="I79" s="490"/>
      <c r="J79" s="490"/>
      <c r="K79" s="490"/>
      <c r="L79" s="490"/>
      <c r="M79" s="490"/>
      <c r="N79" s="490"/>
      <c r="O79" s="138"/>
      <c r="P79" s="137"/>
    </row>
    <row r="80" spans="1:18" s="139" customFormat="1" x14ac:dyDescent="0.2">
      <c r="A80" s="144" t="b">
        <v>1</v>
      </c>
      <c r="B80" s="184" t="e">
        <f t="shared" ref="B80:B105" si="3">B79+1</f>
        <v>#REF!</v>
      </c>
      <c r="C80" s="188" t="s">
        <v>439</v>
      </c>
      <c r="D80" s="292"/>
      <c r="E80" s="486"/>
      <c r="F80" s="486"/>
      <c r="G80" s="486"/>
      <c r="H80" s="486"/>
      <c r="I80" s="486"/>
      <c r="J80" s="486"/>
      <c r="K80" s="486"/>
      <c r="L80" s="486"/>
      <c r="M80" s="486"/>
      <c r="N80" s="486"/>
      <c r="P80" s="137"/>
      <c r="Q80" s="138" t="str">
        <f>IF(D80&gt;13000,"Initial Light source check, output outside of specification FAILED/not checked","Initial light source check, output within specification PASS")</f>
        <v>Initial light source check, output within specification PASS</v>
      </c>
    </row>
    <row r="81" spans="1:17" s="139" customFormat="1" x14ac:dyDescent="0.2">
      <c r="A81" s="144" t="b">
        <v>0</v>
      </c>
      <c r="B81" s="184" t="e">
        <f>B80+1</f>
        <v>#REF!</v>
      </c>
      <c r="C81" s="188" t="s">
        <v>440</v>
      </c>
      <c r="D81" s="292"/>
      <c r="E81" s="486"/>
      <c r="F81" s="486"/>
      <c r="G81" s="486"/>
      <c r="H81" s="486"/>
      <c r="I81" s="486"/>
      <c r="J81" s="486"/>
      <c r="K81" s="486"/>
      <c r="L81" s="486"/>
      <c r="M81" s="486"/>
      <c r="N81" s="486"/>
      <c r="P81" s="137"/>
      <c r="Q81" s="138" t="str">
        <f>IF(D81&lt;100,"Initial Light source electrical noise output within specification PASS","Initial Laser 1 noise output outside specification FAILED - RETEST at recalibration")</f>
        <v>Initial Light source electrical noise output within specification PASS</v>
      </c>
    </row>
    <row r="82" spans="1:17" s="139" customFormat="1" hidden="1" x14ac:dyDescent="0.2">
      <c r="A82" s="144"/>
      <c r="B82" s="184"/>
      <c r="C82" s="485"/>
      <c r="D82" s="485"/>
      <c r="E82" s="485"/>
      <c r="F82" s="485"/>
      <c r="G82" s="485"/>
      <c r="H82" s="485"/>
      <c r="I82" s="485"/>
      <c r="J82" s="485"/>
      <c r="K82" s="485"/>
      <c r="L82" s="485"/>
      <c r="M82" s="485"/>
      <c r="N82" s="485"/>
      <c r="O82" s="485"/>
      <c r="P82" s="148"/>
    </row>
    <row r="83" spans="1:17" s="139" customFormat="1" hidden="1" x14ac:dyDescent="0.2">
      <c r="A83" s="144" t="b">
        <v>1</v>
      </c>
      <c r="B83" s="184"/>
      <c r="C83" s="159"/>
      <c r="D83" s="313"/>
      <c r="E83" s="509"/>
      <c r="F83" s="510"/>
      <c r="G83" s="510"/>
      <c r="H83" s="510"/>
      <c r="I83" s="510"/>
      <c r="J83" s="510"/>
      <c r="K83" s="492"/>
      <c r="L83" s="492"/>
      <c r="M83" s="492"/>
      <c r="N83" s="492"/>
      <c r="P83" s="137"/>
      <c r="Q83" s="138"/>
    </row>
    <row r="84" spans="1:17" s="139" customFormat="1" hidden="1" x14ac:dyDescent="0.2">
      <c r="A84" s="144"/>
      <c r="B84" s="184"/>
      <c r="C84" s="159"/>
      <c r="D84" s="313"/>
      <c r="E84" s="157"/>
      <c r="F84" s="157"/>
      <c r="G84" s="157"/>
      <c r="H84" s="157"/>
      <c r="I84" s="157"/>
      <c r="J84" s="157"/>
      <c r="K84" s="137"/>
      <c r="L84" s="137"/>
      <c r="M84" s="137"/>
      <c r="N84" s="137"/>
      <c r="P84" s="137"/>
      <c r="Q84" s="138"/>
    </row>
    <row r="85" spans="1:17" s="139" customFormat="1" hidden="1" x14ac:dyDescent="0.2">
      <c r="A85" s="144"/>
      <c r="B85" s="184"/>
      <c r="C85" s="159"/>
      <c r="D85" s="312"/>
      <c r="E85" s="490"/>
      <c r="F85" s="490"/>
      <c r="G85" s="490"/>
      <c r="H85" s="490"/>
      <c r="I85" s="490"/>
      <c r="J85" s="490"/>
      <c r="K85" s="490"/>
      <c r="L85" s="490"/>
      <c r="M85" s="490"/>
      <c r="N85" s="490"/>
      <c r="P85" s="137"/>
      <c r="Q85" s="138"/>
    </row>
    <row r="86" spans="1:17" s="139" customFormat="1" hidden="1" x14ac:dyDescent="0.2">
      <c r="A86" s="144"/>
      <c r="B86" s="184"/>
      <c r="C86" s="159"/>
      <c r="D86" s="312"/>
      <c r="E86" s="487"/>
      <c r="F86" s="487"/>
      <c r="G86" s="487"/>
      <c r="H86" s="487"/>
      <c r="I86" s="487"/>
      <c r="J86" s="487"/>
      <c r="K86" s="491"/>
      <c r="L86" s="491"/>
      <c r="M86" s="491"/>
      <c r="N86" s="491"/>
      <c r="O86" s="138"/>
      <c r="P86" s="137"/>
    </row>
    <row r="87" spans="1:17" s="139" customFormat="1" hidden="1" x14ac:dyDescent="0.2">
      <c r="A87" s="144"/>
      <c r="B87" s="184"/>
      <c r="C87" s="159"/>
      <c r="D87" s="312"/>
      <c r="E87" s="490"/>
      <c r="F87" s="490"/>
      <c r="G87" s="490"/>
      <c r="H87" s="490"/>
      <c r="I87" s="490"/>
      <c r="J87" s="490"/>
      <c r="K87" s="490"/>
      <c r="L87" s="490"/>
      <c r="M87" s="490"/>
      <c r="N87" s="490"/>
      <c r="P87" s="137"/>
      <c r="Q87" s="138"/>
    </row>
    <row r="88" spans="1:17" s="139" customFormat="1" hidden="1" x14ac:dyDescent="0.2">
      <c r="A88" s="144"/>
      <c r="B88" s="184"/>
      <c r="C88" s="159"/>
      <c r="D88" s="312"/>
      <c r="E88" s="487"/>
      <c r="F88" s="487"/>
      <c r="G88" s="487"/>
      <c r="H88" s="487"/>
      <c r="I88" s="487"/>
      <c r="J88" s="487"/>
      <c r="K88" s="491"/>
      <c r="L88" s="491"/>
      <c r="M88" s="491"/>
      <c r="N88" s="491"/>
      <c r="P88" s="137"/>
      <c r="Q88" s="138"/>
    </row>
    <row r="89" spans="1:17" s="139" customFormat="1" x14ac:dyDescent="0.2">
      <c r="A89" s="144" t="b">
        <v>1</v>
      </c>
      <c r="B89" s="184">
        <f t="shared" si="3"/>
        <v>1</v>
      </c>
      <c r="C89" s="188" t="s">
        <v>441</v>
      </c>
      <c r="D89" s="302" t="s">
        <v>321</v>
      </c>
      <c r="E89" s="512"/>
      <c r="F89" s="513"/>
      <c r="G89" s="513"/>
      <c r="H89" s="513"/>
      <c r="I89" s="513"/>
      <c r="J89" s="513"/>
      <c r="K89" s="513"/>
      <c r="L89" s="169"/>
      <c r="M89" s="169"/>
      <c r="N89" s="169"/>
      <c r="O89" s="137"/>
      <c r="P89" s="137"/>
    </row>
    <row r="90" spans="1:17" s="139" customFormat="1" x14ac:dyDescent="0.2">
      <c r="A90" s="144" t="b">
        <v>0</v>
      </c>
      <c r="B90" s="184">
        <f t="shared" si="3"/>
        <v>2</v>
      </c>
      <c r="C90" s="188" t="s">
        <v>442</v>
      </c>
      <c r="D90" s="315" t="b">
        <v>1</v>
      </c>
      <c r="E90" s="152"/>
      <c r="G90" s="150"/>
      <c r="H90" s="150"/>
      <c r="I90" s="514"/>
      <c r="J90" s="514"/>
      <c r="K90" s="514"/>
      <c r="L90" s="514"/>
      <c r="M90" s="514"/>
      <c r="N90" s="514"/>
      <c r="P90" s="137"/>
    </row>
    <row r="91" spans="1:17" s="139" customFormat="1" x14ac:dyDescent="0.2">
      <c r="A91" s="144" t="b">
        <v>0</v>
      </c>
      <c r="B91" s="184"/>
      <c r="C91" s="485" t="s">
        <v>443</v>
      </c>
      <c r="D91" s="485"/>
      <c r="E91" s="485"/>
      <c r="F91" s="485"/>
      <c r="G91" s="485"/>
      <c r="H91" s="485"/>
      <c r="I91" s="485"/>
      <c r="J91" s="485"/>
      <c r="K91" s="485"/>
      <c r="L91" s="485"/>
      <c r="M91" s="485"/>
      <c r="N91" s="485"/>
      <c r="O91" s="485"/>
      <c r="P91" s="148"/>
    </row>
    <row r="92" spans="1:17" s="145" customFormat="1" ht="15.75" customHeight="1" x14ac:dyDescent="0.2">
      <c r="A92" s="144" t="b">
        <v>0</v>
      </c>
      <c r="B92" s="184">
        <f>B90+1</f>
        <v>3</v>
      </c>
      <c r="C92" s="150" t="s">
        <v>444</v>
      </c>
      <c r="D92" s="299"/>
      <c r="E92" s="487" t="s">
        <v>372</v>
      </c>
      <c r="F92" s="487"/>
      <c r="G92" s="515" t="str">
        <f>IF(D92=$D$7,"ON TIME",IF(D92&gt;$D$7,"LATE",IF(D92&lt;$D$7,"EARLY")))</f>
        <v>ON TIME</v>
      </c>
      <c r="H92" s="515"/>
      <c r="I92" s="515"/>
      <c r="J92" s="515"/>
      <c r="K92" s="515"/>
      <c r="L92" s="515"/>
      <c r="M92" s="515"/>
      <c r="N92" s="515"/>
      <c r="O92" s="157"/>
      <c r="P92" s="157"/>
    </row>
    <row r="93" spans="1:17" s="139" customFormat="1" x14ac:dyDescent="0.2">
      <c r="A93" s="144" t="b">
        <v>0</v>
      </c>
      <c r="B93" s="184">
        <f t="shared" si="3"/>
        <v>4</v>
      </c>
      <c r="C93" s="170">
        <f>D15</f>
        <v>0</v>
      </c>
      <c r="D93" s="313" t="s">
        <v>445</v>
      </c>
      <c r="E93" s="511">
        <v>0</v>
      </c>
      <c r="F93" s="511"/>
      <c r="G93" s="511"/>
      <c r="H93" s="511"/>
      <c r="I93" s="511"/>
      <c r="J93" s="511"/>
      <c r="K93" s="511"/>
      <c r="L93" s="511"/>
      <c r="M93" s="511"/>
      <c r="N93" s="511"/>
      <c r="P93" s="145"/>
      <c r="Q93" s="138" t="str">
        <f>IF(A93=TRUE,"SO received and on system","Awaiting customers purchase order")</f>
        <v>Awaiting customers purchase order</v>
      </c>
    </row>
    <row r="94" spans="1:17" s="139" customFormat="1" x14ac:dyDescent="0.2">
      <c r="A94" s="144" t="b">
        <v>0</v>
      </c>
      <c r="B94" s="184">
        <f t="shared" si="3"/>
        <v>5</v>
      </c>
      <c r="C94" s="170">
        <f>D16</f>
        <v>0</v>
      </c>
      <c r="D94" s="313" t="s">
        <v>446</v>
      </c>
      <c r="E94" s="511">
        <v>0</v>
      </c>
      <c r="F94" s="511"/>
      <c r="G94" s="511"/>
      <c r="H94" s="511"/>
      <c r="I94" s="511"/>
      <c r="J94" s="511"/>
      <c r="K94" s="511"/>
      <c r="L94" s="511"/>
      <c r="M94" s="511"/>
      <c r="N94" s="511"/>
      <c r="P94" s="145"/>
      <c r="Q94" s="138" t="str">
        <f>IF(A94=TRUE,"WO processed, service can be started","Awaiting customers purchase order")</f>
        <v>Awaiting customers purchase order</v>
      </c>
    </row>
    <row r="95" spans="1:17" s="139" customFormat="1" x14ac:dyDescent="0.2">
      <c r="A95" s="144" t="b">
        <v>0</v>
      </c>
      <c r="B95" s="184" t="e">
        <f>#REF!+1</f>
        <v>#REF!</v>
      </c>
      <c r="C95" s="170"/>
      <c r="D95" s="313" t="s">
        <v>447</v>
      </c>
      <c r="E95" s="516"/>
      <c r="F95" s="516"/>
      <c r="G95" s="516"/>
      <c r="H95" s="516"/>
      <c r="I95" s="516"/>
      <c r="J95" s="516"/>
      <c r="K95" s="516"/>
      <c r="L95" s="516"/>
      <c r="M95" s="516"/>
      <c r="N95" s="516"/>
      <c r="O95" s="138"/>
      <c r="P95" s="137"/>
      <c r="Q95" s="138" t="str">
        <f>IF(A95=TRUE,"Old-design battery terminal cables present, replaced with new","Battery terminal cables of current design")</f>
        <v>Battery terminal cables of current design</v>
      </c>
    </row>
    <row r="96" spans="1:17" s="139" customFormat="1" x14ac:dyDescent="0.2">
      <c r="A96" s="144" t="b">
        <v>0</v>
      </c>
      <c r="B96" s="184" t="e">
        <f>B95+1</f>
        <v>#REF!</v>
      </c>
      <c r="C96" s="160"/>
      <c r="D96" s="313" t="s">
        <v>448</v>
      </c>
      <c r="E96" s="157"/>
      <c r="F96" s="157"/>
      <c r="G96" s="157"/>
      <c r="H96" s="157"/>
      <c r="I96" s="157"/>
      <c r="J96" s="157"/>
      <c r="K96" s="157"/>
      <c r="L96" s="157"/>
      <c r="M96" s="157"/>
      <c r="N96" s="157"/>
      <c r="O96" s="138" t="str">
        <f>IF(A96=TRUE,"Unit cleaned inside and out","")</f>
        <v/>
      </c>
      <c r="P96" s="137"/>
    </row>
    <row r="97" spans="1:28" s="139" customFormat="1" x14ac:dyDescent="0.2">
      <c r="A97" s="144" t="b">
        <v>0</v>
      </c>
      <c r="B97" s="184" t="e">
        <f>#REF!+1</f>
        <v>#REF!</v>
      </c>
      <c r="C97" s="170"/>
      <c r="D97" s="313" t="s">
        <v>449</v>
      </c>
      <c r="E97" s="490" t="s">
        <v>450</v>
      </c>
      <c r="F97" s="490"/>
      <c r="G97" s="490"/>
      <c r="H97" s="490"/>
      <c r="I97" s="490"/>
      <c r="J97" s="490"/>
      <c r="K97" s="490"/>
      <c r="L97" s="490"/>
      <c r="M97" s="490"/>
      <c r="N97" s="490"/>
      <c r="O97" s="138"/>
      <c r="P97" s="137"/>
      <c r="Q97" s="138" t="str">
        <f>IF(A97=TRUE,"Battery brackets secure and complete","Battery not secure in brackets, needed to be refurbished")</f>
        <v>Battery not secure in brackets, needed to be refurbished</v>
      </c>
    </row>
    <row r="98" spans="1:28" s="139" customFormat="1" x14ac:dyDescent="0.2">
      <c r="A98" s="144" t="b">
        <v>1</v>
      </c>
      <c r="B98" s="184"/>
      <c r="C98" s="485" t="s">
        <v>451</v>
      </c>
      <c r="D98" s="485"/>
      <c r="E98" s="485"/>
      <c r="F98" s="485"/>
      <c r="G98" s="485"/>
      <c r="H98" s="485"/>
      <c r="I98" s="485"/>
      <c r="J98" s="485"/>
      <c r="K98" s="485"/>
      <c r="L98" s="485"/>
      <c r="M98" s="485"/>
      <c r="N98" s="485"/>
      <c r="O98" s="485"/>
      <c r="P98" s="148"/>
    </row>
    <row r="99" spans="1:28" s="139" customFormat="1" x14ac:dyDescent="0.2">
      <c r="A99" s="144" t="e">
        <f>IF(S99&gt;=1, TRUE, FALSE)</f>
        <v>#REF!</v>
      </c>
      <c r="B99" s="184" t="e">
        <f>#REF!+1</f>
        <v>#REF!</v>
      </c>
      <c r="C99" s="188"/>
      <c r="D99" s="292"/>
      <c r="E99" s="157"/>
      <c r="F99" s="157"/>
      <c r="G99" s="157"/>
      <c r="H99" s="157"/>
      <c r="I99" s="157"/>
      <c r="J99" s="157"/>
      <c r="K99" s="157"/>
      <c r="L99" s="157"/>
      <c r="M99" s="157"/>
      <c r="N99" s="157"/>
      <c r="O99" s="138"/>
      <c r="P99" s="137"/>
      <c r="R99" s="139" t="e">
        <f>IF(A99=FALSE, TRUE, FALSE)</f>
        <v>#REF!</v>
      </c>
      <c r="S99" s="139" t="e">
        <f>D99-#REF!</f>
        <v>#REF!</v>
      </c>
    </row>
    <row r="100" spans="1:28" s="139" customFormat="1" x14ac:dyDescent="0.2">
      <c r="A100" s="144" t="b">
        <v>0</v>
      </c>
      <c r="B100" s="184" t="e">
        <f>#REF!+1</f>
        <v>#REF!</v>
      </c>
      <c r="C100" s="174"/>
      <c r="D100" s="312" t="s">
        <v>452</v>
      </c>
      <c r="E100" s="157"/>
      <c r="F100" s="157"/>
      <c r="G100" s="157"/>
      <c r="H100" s="157"/>
      <c r="I100" s="157"/>
      <c r="J100" s="157"/>
      <c r="K100" s="157"/>
      <c r="L100" s="157"/>
      <c r="M100" s="157"/>
      <c r="N100" s="157"/>
      <c r="P100" s="137"/>
      <c r="Q100" s="138" t="str">
        <f>IF(A100=TRUE,"High pressure seal integrity test PASS","High pressure seal integrity test failure, unit requires rework")</f>
        <v>High pressure seal integrity test failure, unit requires rework</v>
      </c>
    </row>
    <row r="101" spans="1:28" s="139" customFormat="1" x14ac:dyDescent="0.2">
      <c r="A101" s="144" t="b">
        <v>0</v>
      </c>
      <c r="B101" s="184" t="e">
        <f t="shared" si="3"/>
        <v>#REF!</v>
      </c>
      <c r="C101" s="174"/>
      <c r="D101" s="312" t="s">
        <v>453</v>
      </c>
      <c r="E101" s="157"/>
      <c r="F101" s="157"/>
      <c r="G101" s="157"/>
      <c r="H101" s="157"/>
      <c r="I101" s="157"/>
      <c r="J101" s="157"/>
      <c r="K101" s="157"/>
      <c r="L101" s="157"/>
      <c r="M101" s="157"/>
      <c r="N101" s="157"/>
      <c r="O101" s="138"/>
      <c r="P101" s="137"/>
    </row>
    <row r="102" spans="1:28" s="139" customFormat="1" x14ac:dyDescent="0.2">
      <c r="A102" s="144" t="b">
        <v>0</v>
      </c>
      <c r="B102" s="184" t="e">
        <f t="shared" si="3"/>
        <v>#REF!</v>
      </c>
      <c r="C102" s="174"/>
      <c r="D102" s="313" t="s">
        <v>454</v>
      </c>
      <c r="E102" s="175"/>
      <c r="F102" s="175"/>
      <c r="G102" s="175"/>
      <c r="H102" s="175"/>
      <c r="I102" s="175"/>
      <c r="J102" s="175"/>
      <c r="K102" s="175"/>
      <c r="L102" s="175"/>
      <c r="M102" s="175"/>
      <c r="N102" s="157"/>
      <c r="O102" s="138"/>
      <c r="P102" s="137"/>
    </row>
    <row r="103" spans="1:28" s="139" customFormat="1" x14ac:dyDescent="0.2">
      <c r="A103" s="144" t="b">
        <v>0</v>
      </c>
      <c r="B103" s="184" t="e">
        <f>#REF!+1</f>
        <v>#REF!</v>
      </c>
      <c r="C103" s="188" t="s">
        <v>455</v>
      </c>
      <c r="D103" s="316" t="s">
        <v>321</v>
      </c>
      <c r="E103" s="163"/>
      <c r="F103" s="163"/>
      <c r="G103" s="163"/>
      <c r="H103" s="163"/>
      <c r="I103" s="163"/>
      <c r="J103" s="163"/>
      <c r="K103" s="163"/>
      <c r="L103" s="163"/>
      <c r="M103" s="163"/>
      <c r="O103" s="138"/>
      <c r="P103" s="137"/>
    </row>
    <row r="104" spans="1:28" s="139" customFormat="1" x14ac:dyDescent="0.2">
      <c r="A104" s="144" t="b">
        <v>0</v>
      </c>
      <c r="B104" s="184" t="e">
        <f t="shared" si="3"/>
        <v>#REF!</v>
      </c>
      <c r="C104" s="188" t="s">
        <v>456</v>
      </c>
      <c r="D104" s="317"/>
      <c r="E104" s="163"/>
      <c r="F104" s="163"/>
      <c r="G104" s="163"/>
      <c r="H104" s="163"/>
      <c r="I104" s="163"/>
      <c r="J104" s="163"/>
      <c r="K104" s="163"/>
      <c r="L104" s="163"/>
      <c r="M104" s="163"/>
      <c r="O104" s="138"/>
      <c r="P104" s="137"/>
    </row>
    <row r="105" spans="1:28" s="139" customFormat="1" ht="15.75" x14ac:dyDescent="0.2">
      <c r="A105" s="144" t="b">
        <v>0</v>
      </c>
      <c r="B105" s="184" t="e">
        <f t="shared" si="3"/>
        <v>#REF!</v>
      </c>
      <c r="C105" s="188" t="s">
        <v>457</v>
      </c>
      <c r="D105" s="302"/>
      <c r="E105" s="487" t="s">
        <v>372</v>
      </c>
      <c r="F105" s="487"/>
      <c r="G105" s="488" t="str">
        <f>IF(D105=D18,"ON TIME",IF(D105&gt;D18,"LATE",IF(D105&lt;D18,"EARLY")))</f>
        <v>ON TIME</v>
      </c>
      <c r="H105" s="488"/>
      <c r="I105" s="488"/>
      <c r="J105" s="488"/>
      <c r="K105" s="488"/>
      <c r="L105" s="488"/>
      <c r="M105" s="488"/>
      <c r="N105" s="488"/>
      <c r="O105" s="145"/>
      <c r="P105" s="136"/>
    </row>
    <row r="106" spans="1:28" s="139" customFormat="1" x14ac:dyDescent="0.2">
      <c r="A106" s="144" t="b">
        <v>0</v>
      </c>
      <c r="B106" s="184"/>
      <c r="C106" s="485" t="s">
        <v>458</v>
      </c>
      <c r="D106" s="485"/>
      <c r="E106" s="485"/>
      <c r="F106" s="485"/>
      <c r="G106" s="485"/>
      <c r="H106" s="485"/>
      <c r="I106" s="485"/>
      <c r="J106" s="485"/>
      <c r="K106" s="485"/>
      <c r="L106" s="485"/>
      <c r="M106" s="485"/>
      <c r="N106" s="485"/>
      <c r="O106" s="485"/>
      <c r="P106" s="137"/>
    </row>
    <row r="107" spans="1:28" s="139" customFormat="1" ht="15.75" x14ac:dyDescent="0.2">
      <c r="A107" s="144" t="b">
        <v>0</v>
      </c>
      <c r="B107" s="184" t="e">
        <f>B105+1</f>
        <v>#REF!</v>
      </c>
      <c r="C107" s="188" t="s">
        <v>459</v>
      </c>
      <c r="D107" s="299"/>
      <c r="E107" s="487" t="s">
        <v>372</v>
      </c>
      <c r="F107" s="487"/>
      <c r="G107" s="515" t="str">
        <f>IF(D107=D18,"ON TIME",IF(D107&gt;D18,"LATE",IF(D107&lt;D18,"EARLY")))</f>
        <v>ON TIME</v>
      </c>
      <c r="H107" s="515"/>
      <c r="I107" s="515"/>
      <c r="J107" s="515"/>
      <c r="K107" s="515"/>
      <c r="L107" s="515"/>
      <c r="M107" s="515"/>
      <c r="N107" s="515"/>
      <c r="O107" s="176"/>
      <c r="P107" s="137"/>
    </row>
    <row r="108" spans="1:28" s="139" customFormat="1" x14ac:dyDescent="0.2">
      <c r="A108" s="144" t="b">
        <v>0</v>
      </c>
      <c r="B108" s="184" t="e">
        <f>B107+1</f>
        <v>#REF!</v>
      </c>
      <c r="C108" s="188" t="s">
        <v>460</v>
      </c>
      <c r="D108" s="314"/>
      <c r="E108" s="157"/>
      <c r="G108" s="152"/>
      <c r="H108" s="152"/>
      <c r="I108" s="152"/>
      <c r="J108" s="152"/>
      <c r="L108" s="145"/>
      <c r="M108" s="145"/>
      <c r="N108" s="145"/>
      <c r="O108" s="138"/>
      <c r="P108" s="137"/>
      <c r="Q108" s="138" t="str">
        <f>IF(A108=TRUE,"Unit calibrated successfully"," ")</f>
        <v xml:space="preserve"> </v>
      </c>
    </row>
    <row r="109" spans="1:28" s="139" customFormat="1" x14ac:dyDescent="0.2">
      <c r="A109" s="144" t="b">
        <v>1</v>
      </c>
      <c r="B109" s="184" t="e">
        <f>B108+1</f>
        <v>#REF!</v>
      </c>
      <c r="C109" s="188" t="s">
        <v>461</v>
      </c>
      <c r="D109" s="316" t="s">
        <v>321</v>
      </c>
      <c r="E109" s="163"/>
      <c r="F109" s="163"/>
      <c r="G109" s="163"/>
      <c r="H109" s="163"/>
      <c r="I109" s="163"/>
      <c r="J109" s="163"/>
      <c r="K109" s="163"/>
      <c r="L109" s="163"/>
      <c r="M109" s="163"/>
      <c r="O109" s="138"/>
      <c r="P109" s="137"/>
    </row>
    <row r="110" spans="1:28" s="139" customFormat="1" ht="15.75" x14ac:dyDescent="0.2">
      <c r="A110" s="144" t="b">
        <v>1</v>
      </c>
      <c r="B110" s="184"/>
      <c r="C110" s="517" t="s">
        <v>462</v>
      </c>
      <c r="D110" s="517"/>
      <c r="E110" s="517"/>
      <c r="F110" s="517"/>
      <c r="G110" s="517"/>
      <c r="H110" s="517"/>
      <c r="I110" s="517"/>
      <c r="J110" s="517"/>
      <c r="K110" s="517"/>
      <c r="L110" s="517"/>
      <c r="M110" s="517"/>
      <c r="N110" s="517"/>
      <c r="O110" s="517"/>
      <c r="P110" s="137"/>
    </row>
    <row r="111" spans="1:28" s="139" customFormat="1" x14ac:dyDescent="0.2">
      <c r="A111" s="144" t="b">
        <v>1</v>
      </c>
      <c r="B111" s="184" t="e">
        <f>B109+1</f>
        <v>#REF!</v>
      </c>
      <c r="C111" s="150" t="s">
        <v>459</v>
      </c>
      <c r="D111" s="302"/>
      <c r="E111" s="177"/>
      <c r="F111" s="177"/>
      <c r="G111" s="177"/>
      <c r="H111" s="142"/>
      <c r="I111" s="177"/>
      <c r="J111" s="135"/>
      <c r="K111" s="157"/>
      <c r="L111" s="157"/>
      <c r="M111" s="157"/>
      <c r="N111" s="157"/>
      <c r="O111" s="138"/>
      <c r="P111" s="137"/>
      <c r="Z111" s="177"/>
      <c r="AA111" s="177"/>
      <c r="AB111" s="177"/>
    </row>
    <row r="112" spans="1:28" s="139" customFormat="1" x14ac:dyDescent="0.2">
      <c r="A112" s="144" t="b">
        <v>0</v>
      </c>
      <c r="B112" s="184" t="e">
        <f>B111+1</f>
        <v>#REF!</v>
      </c>
      <c r="C112" s="150" t="s">
        <v>463</v>
      </c>
      <c r="D112" s="317">
        <f>D5</f>
        <v>-1</v>
      </c>
      <c r="F112" s="178"/>
      <c r="J112" s="135"/>
      <c r="K112" s="157"/>
      <c r="L112" s="157"/>
      <c r="M112" s="157"/>
      <c r="N112" s="157"/>
      <c r="O112" s="138"/>
      <c r="P112" s="137"/>
      <c r="Z112" s="177"/>
      <c r="AA112" s="177"/>
      <c r="AB112" s="177"/>
    </row>
    <row r="113" spans="1:28" s="139" customFormat="1" x14ac:dyDescent="0.2">
      <c r="A113" s="144" t="b">
        <v>0</v>
      </c>
      <c r="B113" s="184" t="e">
        <f>B112+1</f>
        <v>#REF!</v>
      </c>
      <c r="C113" t="s">
        <v>464</v>
      </c>
      <c r="D113" s="314"/>
      <c r="E113" s="518" t="s">
        <v>465</v>
      </c>
      <c r="F113" s="513"/>
      <c r="G113" s="513"/>
      <c r="H113" s="513"/>
      <c r="I113" s="513"/>
      <c r="J113" s="513"/>
      <c r="K113" s="513"/>
      <c r="L113" s="513"/>
      <c r="M113" s="513"/>
      <c r="N113" s="513"/>
      <c r="O113" s="138"/>
      <c r="P113" s="137"/>
      <c r="Z113" s="177"/>
      <c r="AA113" s="177"/>
      <c r="AB113" s="177"/>
    </row>
    <row r="114" spans="1:28" s="139" customFormat="1" x14ac:dyDescent="0.2">
      <c r="A114" s="144" t="b">
        <v>1</v>
      </c>
      <c r="B114" s="184"/>
      <c r="C114" s="485" t="s">
        <v>466</v>
      </c>
      <c r="D114" s="485"/>
      <c r="E114" s="485"/>
      <c r="F114" s="485"/>
      <c r="G114" s="485"/>
      <c r="H114" s="485"/>
      <c r="I114" s="485"/>
      <c r="J114" s="485"/>
      <c r="K114" s="485"/>
      <c r="L114" s="485"/>
      <c r="M114" s="485"/>
      <c r="N114" s="135"/>
      <c r="O114" s="138"/>
      <c r="P114" s="137"/>
      <c r="Z114" s="177"/>
      <c r="AA114" s="177"/>
      <c r="AB114" s="177"/>
    </row>
    <row r="115" spans="1:28" s="139" customFormat="1" x14ac:dyDescent="0.2">
      <c r="A115" s="144" t="b">
        <v>0</v>
      </c>
      <c r="B115" s="184" t="e">
        <f>B113+1</f>
        <v>#REF!</v>
      </c>
      <c r="C115" s="150" t="s">
        <v>467</v>
      </c>
      <c r="D115" s="317"/>
      <c r="F115" s="318" t="s">
        <v>468</v>
      </c>
      <c r="G115" s="319" t="s">
        <v>4</v>
      </c>
      <c r="H115" s="319" t="s">
        <v>469</v>
      </c>
      <c r="I115" s="135"/>
      <c r="J115" s="138"/>
      <c r="K115" s="135"/>
      <c r="L115" s="135"/>
      <c r="M115" s="135"/>
      <c r="N115" s="135"/>
      <c r="P115" s="137"/>
      <c r="Z115" s="177"/>
      <c r="AA115" s="177"/>
      <c r="AB115" s="177"/>
    </row>
    <row r="116" spans="1:28" s="139" customFormat="1" x14ac:dyDescent="0.2">
      <c r="A116" s="144" t="b">
        <v>0</v>
      </c>
      <c r="B116" s="184" t="e">
        <f>B115+1</f>
        <v>#REF!</v>
      </c>
      <c r="C116" s="150" t="s">
        <v>470</v>
      </c>
      <c r="D116" s="317"/>
      <c r="F116" s="319">
        <v>1</v>
      </c>
      <c r="G116" s="320">
        <v>4</v>
      </c>
      <c r="H116" s="321">
        <f>'Auto-Calibration record'!$B$65</f>
        <v>82</v>
      </c>
      <c r="I116" s="135"/>
      <c r="J116" s="138"/>
      <c r="K116" s="135"/>
      <c r="L116" s="135"/>
      <c r="M116" s="135"/>
      <c r="N116" s="135"/>
      <c r="P116" s="137"/>
      <c r="Q116" s="138" t="str">
        <f>IF(A116=TRUE,"Calibrated thresholds verified against thresholds programmed in unit","Thresholds on certificate do not match those programmed in unit ")</f>
        <v xml:space="preserve">Thresholds on certificate do not match those programmed in unit </v>
      </c>
      <c r="Z116" s="177"/>
      <c r="AA116" s="177"/>
      <c r="AB116" s="177"/>
    </row>
    <row r="117" spans="1:28" s="139" customFormat="1" x14ac:dyDescent="0.2">
      <c r="A117" s="144" t="b">
        <v>0</v>
      </c>
      <c r="B117" s="184" t="e">
        <f t="shared" ref="B117:B129" si="4">B116+1</f>
        <v>#REF!</v>
      </c>
      <c r="C117" s="150" t="s">
        <v>471</v>
      </c>
      <c r="D117" s="322">
        <f>IF(A34=TRUE,1,2)</f>
        <v>2</v>
      </c>
      <c r="F117" s="319">
        <f t="shared" ref="F117:F120" si="5">F116+1</f>
        <v>2</v>
      </c>
      <c r="G117" s="320">
        <v>6</v>
      </c>
      <c r="H117" s="321">
        <f>'Auto-Calibration record'!$C$65</f>
        <v>204</v>
      </c>
      <c r="I117" s="135"/>
      <c r="J117" s="138"/>
      <c r="K117" s="135"/>
      <c r="L117" s="135"/>
      <c r="M117" s="135"/>
      <c r="N117" s="135"/>
      <c r="P117" s="137"/>
      <c r="Z117" s="177"/>
      <c r="AA117" s="177"/>
      <c r="AB117" s="177"/>
    </row>
    <row r="118" spans="1:28" s="139" customFormat="1" x14ac:dyDescent="0.2">
      <c r="A118" s="144" t="b">
        <v>0</v>
      </c>
      <c r="B118" s="184" t="e">
        <f t="shared" si="4"/>
        <v>#REF!</v>
      </c>
      <c r="C118" s="150" t="s">
        <v>472</v>
      </c>
      <c r="D118" s="323">
        <f>IF(A35=TRUE,1,2)</f>
        <v>2</v>
      </c>
      <c r="F118" s="319">
        <f t="shared" si="5"/>
        <v>3</v>
      </c>
      <c r="G118" s="320">
        <v>14</v>
      </c>
      <c r="H118" s="321">
        <f>'Auto-Calibration record'!$D$65</f>
        <v>1092</v>
      </c>
      <c r="I118" s="215"/>
      <c r="J118" s="216"/>
      <c r="K118" s="135"/>
      <c r="L118" s="135"/>
      <c r="M118" s="135"/>
      <c r="N118" s="135"/>
      <c r="P118" s="137"/>
      <c r="Z118" s="177"/>
      <c r="AA118" s="177"/>
      <c r="AB118" s="177"/>
    </row>
    <row r="119" spans="1:28" s="139" customFormat="1" x14ac:dyDescent="0.2">
      <c r="A119" s="144" t="b">
        <v>0</v>
      </c>
      <c r="B119" s="184" t="e">
        <f t="shared" si="4"/>
        <v>#REF!</v>
      </c>
      <c r="C119" s="150" t="s">
        <v>473</v>
      </c>
      <c r="D119" s="324">
        <f>D5</f>
        <v>-1</v>
      </c>
      <c r="F119" s="319">
        <f t="shared" si="5"/>
        <v>4</v>
      </c>
      <c r="G119" s="320">
        <v>21</v>
      </c>
      <c r="H119" s="321">
        <f>'Auto-Calibration record'!$E$65</f>
        <v>2158</v>
      </c>
      <c r="I119" s="215"/>
      <c r="J119" s="216"/>
      <c r="K119" s="135"/>
      <c r="L119" s="135"/>
      <c r="M119" s="135"/>
      <c r="N119" s="135"/>
      <c r="P119" s="137"/>
      <c r="Z119" s="177"/>
      <c r="AA119" s="177"/>
      <c r="AB119" s="177"/>
    </row>
    <row r="120" spans="1:28" s="139" customFormat="1" x14ac:dyDescent="0.2">
      <c r="A120" s="144" t="b">
        <v>0</v>
      </c>
      <c r="B120" s="184" t="e">
        <f t="shared" si="4"/>
        <v>#REF!</v>
      </c>
      <c r="C120" s="150" t="s">
        <v>474</v>
      </c>
      <c r="D120" s="325">
        <f>D48</f>
        <v>0</v>
      </c>
      <c r="F120" s="319">
        <f t="shared" si="5"/>
        <v>5</v>
      </c>
      <c r="G120" s="320">
        <v>25</v>
      </c>
      <c r="H120" s="321">
        <f>'Auto-Calibration record'!$F$65</f>
        <v>3182</v>
      </c>
      <c r="I120" s="215"/>
      <c r="J120" s="216"/>
      <c r="K120" s="135"/>
      <c r="L120" s="135"/>
      <c r="M120" s="135"/>
      <c r="N120" s="135"/>
      <c r="P120" s="137"/>
      <c r="Z120" s="177"/>
      <c r="AA120" s="177"/>
      <c r="AB120" s="177"/>
    </row>
    <row r="121" spans="1:28" s="139" customFormat="1" x14ac:dyDescent="0.2">
      <c r="A121" s="144" t="b">
        <v>0</v>
      </c>
      <c r="B121" s="184" t="e">
        <f t="shared" si="4"/>
        <v>#REF!</v>
      </c>
      <c r="C121" s="150" t="s">
        <v>475</v>
      </c>
      <c r="D121" s="326">
        <f>D107+365</f>
        <v>365</v>
      </c>
      <c r="F121" s="319">
        <f>F120+1</f>
        <v>6</v>
      </c>
      <c r="G121" s="320">
        <v>38</v>
      </c>
      <c r="H121" s="321">
        <f>'Auto-Calibration record'!$G$65</f>
        <v>10154</v>
      </c>
      <c r="I121" s="215"/>
      <c r="J121" s="216"/>
      <c r="K121" s="135"/>
      <c r="L121" s="135"/>
      <c r="M121" s="135"/>
      <c r="N121" s="135"/>
      <c r="P121" s="137"/>
      <c r="Z121" s="177"/>
      <c r="AA121" s="177"/>
      <c r="AB121" s="177"/>
    </row>
    <row r="122" spans="1:28" s="139" customFormat="1" x14ac:dyDescent="0.2">
      <c r="A122" s="144" t="b">
        <v>0</v>
      </c>
      <c r="B122" s="184" t="e">
        <f t="shared" si="4"/>
        <v>#REF!</v>
      </c>
      <c r="C122" s="150" t="s">
        <v>476</v>
      </c>
      <c r="D122" s="317"/>
      <c r="F122" s="319">
        <f>F121+1</f>
        <v>7</v>
      </c>
      <c r="G122" s="320">
        <v>50</v>
      </c>
      <c r="H122" s="321">
        <f>'Auto-Calibration record'!$H$65</f>
        <v>15872</v>
      </c>
      <c r="I122" s="215"/>
      <c r="J122" s="216"/>
      <c r="K122" s="135"/>
      <c r="L122" s="135"/>
      <c r="M122" s="135"/>
      <c r="P122" s="137"/>
      <c r="Z122" s="177"/>
      <c r="AA122" s="177"/>
      <c r="AB122" s="177"/>
    </row>
    <row r="123" spans="1:28" s="139" customFormat="1" x14ac:dyDescent="0.2">
      <c r="A123" s="144" t="b">
        <v>0</v>
      </c>
      <c r="B123" s="184" t="e">
        <f t="shared" si="4"/>
        <v>#REF!</v>
      </c>
      <c r="C123" s="150" t="s">
        <v>477</v>
      </c>
      <c r="D123" s="317">
        <f>D43</f>
        <v>0</v>
      </c>
      <c r="E123" s="135"/>
      <c r="F123" s="319">
        <f>F122+1</f>
        <v>8</v>
      </c>
      <c r="G123" s="320">
        <v>70</v>
      </c>
      <c r="H123" s="321">
        <f>'Auto-Calibration record'!$I$65</f>
        <v>25309</v>
      </c>
      <c r="I123" s="157"/>
      <c r="J123" s="157"/>
      <c r="K123" s="157"/>
      <c r="L123" s="157"/>
      <c r="M123" s="157"/>
      <c r="N123" s="157"/>
      <c r="O123" s="157"/>
      <c r="P123" s="157"/>
      <c r="Q123" s="157"/>
      <c r="R123" s="138"/>
    </row>
    <row r="124" spans="1:28" s="139" customFormat="1" x14ac:dyDescent="0.2">
      <c r="A124" s="144" t="b">
        <v>0</v>
      </c>
      <c r="B124" s="184" t="e">
        <f>B157+1</f>
        <v>#REF!</v>
      </c>
      <c r="C124" s="150" t="s">
        <v>478</v>
      </c>
      <c r="D124" s="317">
        <f>D52</f>
        <v>0</v>
      </c>
      <c r="E124" s="135"/>
      <c r="I124" s="135"/>
      <c r="J124" s="135"/>
      <c r="K124" s="135"/>
      <c r="L124" s="135"/>
      <c r="M124" s="135"/>
      <c r="N124" s="135"/>
      <c r="P124" s="137"/>
      <c r="Q124" s="138" t="str">
        <f>IF(A124= TRUE,"Cycle counter tested PASS","Cycle counter found to be faulty and repaired")</f>
        <v>Cycle counter found to be faulty and repaired</v>
      </c>
    </row>
    <row r="125" spans="1:28" s="139" customFormat="1" x14ac:dyDescent="0.2">
      <c r="A125" s="144"/>
      <c r="B125" s="184" t="e">
        <f t="shared" si="4"/>
        <v>#REF!</v>
      </c>
      <c r="C125" s="150" t="s">
        <v>479</v>
      </c>
      <c r="D125" s="317"/>
      <c r="E125" s="135"/>
      <c r="I125" s="135"/>
      <c r="J125" s="135"/>
      <c r="K125" s="135"/>
      <c r="L125" s="135"/>
      <c r="M125" s="135"/>
      <c r="N125" s="135"/>
      <c r="O125" s="138"/>
      <c r="P125" s="137"/>
    </row>
    <row r="126" spans="1:28" s="139" customFormat="1" x14ac:dyDescent="0.2">
      <c r="A126" s="144"/>
      <c r="B126" s="184" t="e">
        <f t="shared" si="4"/>
        <v>#REF!</v>
      </c>
      <c r="C126" s="150" t="s">
        <v>480</v>
      </c>
      <c r="D126" s="317"/>
      <c r="E126" s="135"/>
      <c r="I126" s="135"/>
      <c r="J126" s="135"/>
      <c r="K126" s="135"/>
      <c r="L126" s="135"/>
      <c r="M126" s="135"/>
      <c r="N126" s="135"/>
      <c r="O126" s="138"/>
      <c r="P126" s="137"/>
    </row>
    <row r="127" spans="1:28" s="139" customFormat="1" x14ac:dyDescent="0.2">
      <c r="A127" s="144"/>
      <c r="B127" s="184" t="e">
        <f t="shared" si="4"/>
        <v>#REF!</v>
      </c>
      <c r="C127" s="150" t="s">
        <v>481</v>
      </c>
      <c r="D127" s="316"/>
      <c r="E127" s="135"/>
      <c r="I127" s="135"/>
      <c r="J127" s="135"/>
      <c r="K127" s="135"/>
      <c r="L127" s="135"/>
      <c r="M127" s="135"/>
      <c r="N127" s="135"/>
      <c r="O127" s="138"/>
      <c r="P127" s="137"/>
    </row>
    <row r="128" spans="1:28" s="139" customFormat="1" ht="13.9" customHeight="1" x14ac:dyDescent="0.2">
      <c r="A128" s="144" t="b">
        <v>0</v>
      </c>
      <c r="B128" s="184" t="e">
        <f t="shared" si="4"/>
        <v>#REF!</v>
      </c>
      <c r="C128" s="150" t="s">
        <v>482</v>
      </c>
      <c r="D128" s="317"/>
      <c r="E128" s="135"/>
      <c r="I128" s="135"/>
      <c r="J128" s="135"/>
      <c r="K128" s="135"/>
      <c r="L128" s="135"/>
      <c r="M128" s="135"/>
      <c r="N128" s="135"/>
      <c r="O128" s="138"/>
      <c r="P128" s="137"/>
    </row>
    <row r="129" spans="1:17" s="139" customFormat="1" x14ac:dyDescent="0.2">
      <c r="A129" s="144" t="b">
        <v>0</v>
      </c>
      <c r="B129" s="184" t="e">
        <f t="shared" si="4"/>
        <v>#REF!</v>
      </c>
      <c r="C129" s="150" t="s">
        <v>483</v>
      </c>
      <c r="D129" s="317"/>
      <c r="E129" s="135"/>
      <c r="I129" s="135"/>
      <c r="J129" s="135"/>
      <c r="K129" s="135"/>
      <c r="L129" s="135"/>
      <c r="M129" s="135"/>
      <c r="N129" s="135"/>
      <c r="O129" s="138"/>
      <c r="P129" s="137"/>
    </row>
    <row r="130" spans="1:17" s="139" customFormat="1" x14ac:dyDescent="0.2">
      <c r="A130" s="144" t="b">
        <v>0</v>
      </c>
      <c r="B130" s="184" t="e">
        <f>#REF!+1</f>
        <v>#REF!</v>
      </c>
      <c r="C130" s="150" t="s">
        <v>484</v>
      </c>
      <c r="D130" s="317"/>
      <c r="E130" s="135"/>
      <c r="I130" s="135"/>
      <c r="J130" s="135"/>
      <c r="K130" s="135"/>
      <c r="L130" s="135"/>
      <c r="M130" s="135"/>
      <c r="N130" s="135"/>
      <c r="O130" s="138"/>
      <c r="P130" s="137"/>
      <c r="Q130" s="138" t="str">
        <f>IF(A130= TRUE,"Battery parameters reset for full discharge and charge","")</f>
        <v/>
      </c>
    </row>
    <row r="131" spans="1:17" s="139" customFormat="1" x14ac:dyDescent="0.2">
      <c r="A131" s="144"/>
      <c r="B131" s="184"/>
      <c r="C131" s="150" t="s">
        <v>485</v>
      </c>
      <c r="D131" s="317"/>
      <c r="E131" s="135"/>
      <c r="I131" s="135"/>
      <c r="J131" s="135"/>
      <c r="K131" s="135"/>
      <c r="L131" s="135"/>
      <c r="M131" s="135"/>
      <c r="N131" s="135"/>
      <c r="O131" s="138"/>
      <c r="P131" s="137"/>
      <c r="Q131" s="138"/>
    </row>
    <row r="132" spans="1:17" s="139" customFormat="1" x14ac:dyDescent="0.2">
      <c r="A132" s="144" t="b">
        <v>0</v>
      </c>
      <c r="B132" s="184" t="e">
        <f>B130+1</f>
        <v>#REF!</v>
      </c>
      <c r="C132" s="150" t="s">
        <v>486</v>
      </c>
      <c r="D132" s="317"/>
      <c r="E132" s="135"/>
      <c r="I132" s="135"/>
      <c r="J132" s="135"/>
      <c r="K132" s="135"/>
      <c r="L132" s="135"/>
      <c r="M132" s="135"/>
      <c r="N132" s="135"/>
      <c r="O132" s="138"/>
      <c r="P132" s="137"/>
    </row>
    <row r="133" spans="1:17" s="139" customFormat="1" x14ac:dyDescent="0.2">
      <c r="A133" s="144" t="b">
        <v>0</v>
      </c>
      <c r="B133" s="184"/>
      <c r="C133" s="485" t="s">
        <v>487</v>
      </c>
      <c r="D133" s="485"/>
      <c r="F133" s="135"/>
      <c r="H133" s="135"/>
      <c r="J133" s="135"/>
      <c r="K133" s="135"/>
      <c r="L133" s="135"/>
      <c r="M133" s="135"/>
      <c r="N133" s="135"/>
      <c r="O133" s="138"/>
      <c r="P133" s="137"/>
    </row>
    <row r="134" spans="1:17" s="139" customFormat="1" x14ac:dyDescent="0.2">
      <c r="A134" s="144" t="b">
        <v>0</v>
      </c>
      <c r="B134" s="184" t="e">
        <f>B132+1</f>
        <v>#REF!</v>
      </c>
      <c r="C134" s="150" t="s">
        <v>488</v>
      </c>
      <c r="D134" s="317"/>
      <c r="F134" s="135"/>
      <c r="H134" s="135"/>
      <c r="J134" s="135"/>
      <c r="K134" s="135"/>
      <c r="L134" s="135"/>
      <c r="M134" s="135"/>
      <c r="N134" s="135"/>
      <c r="O134" s="138"/>
      <c r="P134" s="137"/>
    </row>
    <row r="135" spans="1:17" s="139" customFormat="1" x14ac:dyDescent="0.2">
      <c r="A135" s="144" t="b">
        <v>0</v>
      </c>
      <c r="B135" s="184" t="e">
        <f t="shared" ref="B135:B154" si="6">B134+1</f>
        <v>#REF!</v>
      </c>
      <c r="C135" s="150" t="s">
        <v>489</v>
      </c>
      <c r="D135" s="317" t="str">
        <f>D54</f>
        <v>-</v>
      </c>
      <c r="F135" s="135"/>
      <c r="H135" s="135"/>
      <c r="J135" s="135"/>
      <c r="K135" s="135"/>
      <c r="L135" s="135"/>
      <c r="M135" s="135"/>
      <c r="N135" s="135"/>
      <c r="O135" s="138"/>
      <c r="P135" s="137"/>
    </row>
    <row r="136" spans="1:17" s="139" customFormat="1" x14ac:dyDescent="0.2">
      <c r="A136" s="144" t="b">
        <v>0</v>
      </c>
      <c r="B136" s="184" t="e">
        <f t="shared" si="6"/>
        <v>#REF!</v>
      </c>
      <c r="C136" s="150" t="s">
        <v>490</v>
      </c>
      <c r="D136" s="325"/>
      <c r="F136" s="135"/>
      <c r="H136" s="135"/>
      <c r="J136" s="135"/>
      <c r="K136" s="135"/>
      <c r="L136" s="135"/>
      <c r="M136" s="135"/>
      <c r="N136" s="135"/>
      <c r="O136" s="138"/>
      <c r="P136" s="137"/>
    </row>
    <row r="137" spans="1:17" s="139" customFormat="1" x14ac:dyDescent="0.2">
      <c r="A137" s="144" t="b">
        <v>0</v>
      </c>
      <c r="B137" s="184" t="e">
        <f t="shared" si="6"/>
        <v>#REF!</v>
      </c>
      <c r="C137" s="150" t="s">
        <v>491</v>
      </c>
      <c r="D137" s="323">
        <f>IF(A56=TRUE,1,2)</f>
        <v>2</v>
      </c>
      <c r="F137" s="135"/>
      <c r="H137" s="135"/>
      <c r="J137" s="135"/>
      <c r="K137" s="135"/>
      <c r="L137" s="135"/>
      <c r="M137" s="135"/>
      <c r="N137" s="135"/>
      <c r="O137" s="138"/>
      <c r="P137" s="137"/>
    </row>
    <row r="138" spans="1:17" s="139" customFormat="1" x14ac:dyDescent="0.2">
      <c r="A138" s="144" t="b">
        <v>0</v>
      </c>
      <c r="B138" s="184" t="e">
        <f t="shared" si="6"/>
        <v>#REF!</v>
      </c>
      <c r="C138" s="150" t="s">
        <v>492</v>
      </c>
      <c r="D138" s="323">
        <f>IF(A57=TRUE,1,2)</f>
        <v>2</v>
      </c>
      <c r="F138" s="135"/>
      <c r="H138" s="135"/>
      <c r="J138" s="135"/>
      <c r="K138" s="135"/>
      <c r="L138" s="135"/>
      <c r="M138" s="135"/>
      <c r="N138" s="135"/>
      <c r="O138" s="138"/>
      <c r="P138" s="137"/>
    </row>
    <row r="139" spans="1:17" s="139" customFormat="1" x14ac:dyDescent="0.2">
      <c r="A139" s="144" t="b">
        <v>0</v>
      </c>
      <c r="B139" s="184" t="e">
        <f t="shared" si="6"/>
        <v>#REF!</v>
      </c>
      <c r="C139" s="150" t="s">
        <v>493</v>
      </c>
      <c r="D139" s="317"/>
      <c r="F139" s="135"/>
      <c r="H139" s="135"/>
      <c r="J139" s="135"/>
      <c r="K139" s="135"/>
      <c r="L139" s="135"/>
      <c r="M139" s="135"/>
      <c r="N139" s="135"/>
      <c r="O139" s="138"/>
      <c r="P139" s="137"/>
    </row>
    <row r="140" spans="1:17" s="139" customFormat="1" x14ac:dyDescent="0.2">
      <c r="A140" s="144" t="b">
        <v>0</v>
      </c>
      <c r="B140" s="184" t="e">
        <f t="shared" si="6"/>
        <v>#REF!</v>
      </c>
      <c r="C140" s="163" t="s">
        <v>494</v>
      </c>
      <c r="D140" s="323">
        <f>IF(A60=TRUE,1,2)</f>
        <v>2</v>
      </c>
      <c r="F140" s="135"/>
      <c r="H140" s="135"/>
      <c r="J140" s="135"/>
      <c r="K140" s="135"/>
      <c r="L140" s="135"/>
      <c r="M140" s="135"/>
      <c r="N140" s="135"/>
      <c r="O140" s="138"/>
      <c r="P140" s="137"/>
    </row>
    <row r="141" spans="1:17" s="139" customFormat="1" x14ac:dyDescent="0.2">
      <c r="A141" s="144" t="b">
        <v>0</v>
      </c>
      <c r="B141" s="184" t="e">
        <f t="shared" si="6"/>
        <v>#REF!</v>
      </c>
      <c r="C141" s="150" t="s">
        <v>495</v>
      </c>
      <c r="D141" s="317"/>
      <c r="F141" s="135"/>
      <c r="H141" s="135"/>
      <c r="J141" s="135"/>
      <c r="K141" s="135"/>
      <c r="L141" s="135"/>
      <c r="M141" s="135"/>
      <c r="N141" s="135"/>
      <c r="O141" s="138"/>
      <c r="P141" s="137"/>
    </row>
    <row r="142" spans="1:17" s="139" customFormat="1" x14ac:dyDescent="0.2">
      <c r="A142" s="144" t="b">
        <v>0</v>
      </c>
      <c r="B142" s="184" t="e">
        <f t="shared" si="6"/>
        <v>#REF!</v>
      </c>
      <c r="C142" s="150" t="s">
        <v>496</v>
      </c>
      <c r="D142" s="317">
        <f>D63</f>
        <v>0</v>
      </c>
      <c r="F142" s="135"/>
      <c r="H142" s="135"/>
      <c r="J142" s="135"/>
      <c r="K142" s="135"/>
      <c r="L142" s="135"/>
      <c r="M142" s="135"/>
      <c r="N142" s="135"/>
      <c r="O142" s="138"/>
      <c r="P142" s="137"/>
    </row>
    <row r="143" spans="1:17" s="139" customFormat="1" x14ac:dyDescent="0.2">
      <c r="A143" s="144" t="b">
        <v>0</v>
      </c>
      <c r="B143" s="184" t="e">
        <f>#REF!+1</f>
        <v>#REF!</v>
      </c>
      <c r="C143" s="150" t="s">
        <v>497</v>
      </c>
      <c r="D143" s="317">
        <f>D65</f>
        <v>0</v>
      </c>
      <c r="F143" s="135"/>
      <c r="H143" s="135"/>
      <c r="J143" s="135"/>
      <c r="K143" s="135"/>
      <c r="L143" s="135"/>
      <c r="M143" s="135"/>
      <c r="N143" s="135"/>
      <c r="O143" s="138"/>
      <c r="P143" s="137"/>
    </row>
    <row r="144" spans="1:17" s="139" customFormat="1" x14ac:dyDescent="0.2">
      <c r="A144" s="144" t="b">
        <v>0</v>
      </c>
      <c r="B144" s="184" t="e">
        <f t="shared" si="6"/>
        <v>#REF!</v>
      </c>
      <c r="C144" s="150" t="s">
        <v>498</v>
      </c>
      <c r="D144" s="317">
        <f>D66</f>
        <v>0</v>
      </c>
      <c r="F144" s="135"/>
      <c r="H144" s="135"/>
      <c r="J144" s="135"/>
      <c r="K144" s="135"/>
      <c r="L144" s="135"/>
      <c r="M144" s="135"/>
      <c r="N144" s="135"/>
      <c r="O144" s="138"/>
      <c r="P144" s="137"/>
    </row>
    <row r="145" spans="1:17" s="139" customFormat="1" x14ac:dyDescent="0.2">
      <c r="A145" s="144" t="b">
        <v>0</v>
      </c>
      <c r="B145" s="184" t="e">
        <f t="shared" si="6"/>
        <v>#REF!</v>
      </c>
      <c r="C145" s="150" t="s">
        <v>499</v>
      </c>
      <c r="D145" s="323">
        <f>IF(A68=TRUE,1,2)</f>
        <v>2</v>
      </c>
      <c r="F145" s="135"/>
      <c r="H145" s="135"/>
      <c r="J145" s="135"/>
      <c r="K145" s="135"/>
      <c r="L145" s="135"/>
      <c r="M145" s="135"/>
      <c r="N145" s="135"/>
      <c r="O145" s="138"/>
      <c r="P145" s="137"/>
    </row>
    <row r="146" spans="1:17" s="139" customFormat="1" x14ac:dyDescent="0.2">
      <c r="A146" s="144" t="b">
        <v>0</v>
      </c>
      <c r="B146" s="184" t="e">
        <f t="shared" si="6"/>
        <v>#REF!</v>
      </c>
      <c r="C146" s="150" t="s">
        <v>500</v>
      </c>
      <c r="D146" s="317"/>
      <c r="F146" s="135"/>
      <c r="H146" s="135"/>
      <c r="J146" s="135"/>
      <c r="K146" s="135"/>
      <c r="L146" s="135"/>
      <c r="M146" s="135"/>
      <c r="N146" s="135"/>
      <c r="O146" s="138"/>
      <c r="P146" s="137"/>
    </row>
    <row r="147" spans="1:17" s="139" customFormat="1" x14ac:dyDescent="0.2">
      <c r="A147" s="144" t="b">
        <v>0</v>
      </c>
      <c r="B147" s="184" t="e">
        <f t="shared" si="6"/>
        <v>#REF!</v>
      </c>
      <c r="C147" s="150" t="s">
        <v>501</v>
      </c>
      <c r="D147" s="317"/>
      <c r="F147" s="135"/>
      <c r="H147" s="135"/>
      <c r="J147" s="135"/>
      <c r="K147" s="135"/>
      <c r="L147" s="135"/>
      <c r="M147" s="135"/>
      <c r="N147" s="135"/>
      <c r="O147" s="138"/>
      <c r="P147" s="137"/>
    </row>
    <row r="148" spans="1:17" s="139" customFormat="1" x14ac:dyDescent="0.2">
      <c r="A148" s="144" t="b">
        <v>0</v>
      </c>
      <c r="B148" s="184" t="e">
        <f t="shared" si="6"/>
        <v>#REF!</v>
      </c>
      <c r="C148" s="150" t="s">
        <v>502</v>
      </c>
      <c r="D148" s="317"/>
      <c r="F148" s="135"/>
      <c r="H148" s="135"/>
      <c r="J148" s="135"/>
      <c r="K148" s="135"/>
      <c r="L148" s="135"/>
      <c r="M148" s="135"/>
      <c r="N148" s="135"/>
      <c r="O148" s="138"/>
      <c r="P148" s="137"/>
      <c r="Q148" s="138" t="str">
        <f>IF(A148=TRUE,"Final check test pass, no issues with testing cycle or RH sensor (if fitted)","")</f>
        <v/>
      </c>
    </row>
    <row r="149" spans="1:17" s="139" customFormat="1" x14ac:dyDescent="0.2">
      <c r="A149" s="144" t="b">
        <v>1</v>
      </c>
      <c r="B149" s="184" t="e">
        <f t="shared" si="6"/>
        <v>#REF!</v>
      </c>
      <c r="C149" s="150" t="s">
        <v>503</v>
      </c>
      <c r="D149" s="316"/>
      <c r="F149" s="135"/>
      <c r="H149" s="135"/>
      <c r="J149" s="135"/>
      <c r="K149" s="135"/>
      <c r="L149" s="135"/>
      <c r="M149" s="135"/>
      <c r="N149" s="135"/>
      <c r="P149" s="137"/>
    </row>
    <row r="150" spans="1:17" s="139" customFormat="1" x14ac:dyDescent="0.2">
      <c r="A150" s="144" t="b">
        <v>0</v>
      </c>
      <c r="B150" s="184" t="e">
        <f t="shared" si="6"/>
        <v>#REF!</v>
      </c>
      <c r="C150" s="150" t="s">
        <v>504</v>
      </c>
      <c r="D150" s="316"/>
      <c r="F150" s="135"/>
      <c r="H150" s="135"/>
      <c r="J150" s="135"/>
      <c r="K150" s="135"/>
      <c r="L150" s="135"/>
      <c r="M150" s="135"/>
      <c r="N150" s="135"/>
      <c r="O150" s="138" t="str">
        <f>IF(A150=TRUE,"Temperature sensor final test PASS","")</f>
        <v/>
      </c>
      <c r="P150" s="137"/>
    </row>
    <row r="151" spans="1:17" s="139" customFormat="1" x14ac:dyDescent="0.2">
      <c r="A151" s="144" t="b">
        <v>0</v>
      </c>
      <c r="B151" s="184" t="e">
        <f t="shared" si="6"/>
        <v>#REF!</v>
      </c>
      <c r="C151" s="150" t="s">
        <v>505</v>
      </c>
      <c r="D151" s="323">
        <f>IF(A69=TRUE,1,2)</f>
        <v>2</v>
      </c>
      <c r="E151" s="135"/>
      <c r="I151" s="135"/>
      <c r="J151" s="135"/>
      <c r="K151" s="135"/>
      <c r="L151" s="135"/>
      <c r="M151" s="135"/>
      <c r="N151" s="135"/>
      <c r="O151" s="138"/>
      <c r="P151" s="137"/>
    </row>
    <row r="152" spans="1:17" s="139" customFormat="1" x14ac:dyDescent="0.2">
      <c r="A152" s="144" t="b">
        <v>0</v>
      </c>
      <c r="B152" s="184" t="e">
        <f t="shared" si="6"/>
        <v>#REF!</v>
      </c>
      <c r="C152" s="150" t="s">
        <v>506</v>
      </c>
      <c r="D152" s="327" t="str">
        <f>D61</f>
        <v>-</v>
      </c>
      <c r="E152" s="135"/>
      <c r="I152" s="135"/>
      <c r="J152" s="135"/>
      <c r="K152" s="135"/>
      <c r="L152" s="135"/>
      <c r="M152" s="135"/>
      <c r="N152" s="135"/>
      <c r="O152" s="138"/>
      <c r="P152" s="137"/>
    </row>
    <row r="153" spans="1:17" s="139" customFormat="1" x14ac:dyDescent="0.2">
      <c r="A153" s="144" t="b">
        <v>0</v>
      </c>
      <c r="B153" s="184" t="e">
        <f t="shared" si="6"/>
        <v>#REF!</v>
      </c>
      <c r="C153" s="150" t="s">
        <v>507</v>
      </c>
      <c r="D153" s="323">
        <f>IF(A58=TRUE,1,2)</f>
        <v>2</v>
      </c>
      <c r="F153" s="135"/>
      <c r="H153" s="135"/>
      <c r="J153" s="135"/>
      <c r="K153" s="135"/>
      <c r="L153" s="135"/>
      <c r="M153" s="135"/>
      <c r="N153" s="135"/>
      <c r="O153" s="138"/>
      <c r="P153" s="137"/>
    </row>
    <row r="154" spans="1:17" s="139" customFormat="1" x14ac:dyDescent="0.2">
      <c r="A154" s="144" t="b">
        <v>0</v>
      </c>
      <c r="B154" s="184" t="e">
        <f t="shared" si="6"/>
        <v>#REF!</v>
      </c>
      <c r="C154" s="150" t="s">
        <v>508</v>
      </c>
      <c r="D154" s="323">
        <f>IF(A46=TRUE,1,2)</f>
        <v>2</v>
      </c>
      <c r="F154" s="135"/>
      <c r="H154" s="135"/>
      <c r="J154" s="135"/>
      <c r="K154" s="135"/>
      <c r="L154" s="135"/>
      <c r="M154" s="135"/>
      <c r="N154" s="135"/>
      <c r="O154" s="137"/>
      <c r="P154" s="137"/>
      <c r="Q154" s="138" t="str">
        <f>IF(A154= TRUE,"Simulated test option set to received","")</f>
        <v/>
      </c>
    </row>
    <row r="155" spans="1:17" s="139" customFormat="1" x14ac:dyDescent="0.2">
      <c r="A155" s="144" t="b">
        <v>0</v>
      </c>
      <c r="B155" s="184"/>
      <c r="C155" s="485" t="s">
        <v>509</v>
      </c>
      <c r="D155" s="485"/>
      <c r="F155" s="135"/>
      <c r="H155" s="135"/>
      <c r="J155" s="135"/>
      <c r="K155" s="135"/>
      <c r="L155" s="135"/>
      <c r="M155" s="135"/>
      <c r="N155" s="135"/>
      <c r="O155" s="138"/>
      <c r="P155" s="137"/>
    </row>
    <row r="156" spans="1:17" s="139" customFormat="1" x14ac:dyDescent="0.2">
      <c r="A156" s="144" t="b">
        <v>0</v>
      </c>
      <c r="B156" s="184" t="e">
        <f>#REF!+1</f>
        <v>#REF!</v>
      </c>
      <c r="C156" s="150" t="s">
        <v>510</v>
      </c>
      <c r="D156" s="317"/>
      <c r="F156" s="135"/>
      <c r="H156" s="135"/>
      <c r="J156" s="135"/>
      <c r="K156" s="135"/>
      <c r="L156" s="135"/>
      <c r="M156" s="135"/>
      <c r="N156" s="135"/>
      <c r="O156" s="138"/>
      <c r="P156" s="137"/>
    </row>
    <row r="157" spans="1:17" s="139" customFormat="1" x14ac:dyDescent="0.2">
      <c r="A157" s="144" t="b">
        <v>0</v>
      </c>
      <c r="B157" s="184" t="e">
        <f>#REF!+1</f>
        <v>#REF!</v>
      </c>
      <c r="C157" s="150" t="s">
        <v>511</v>
      </c>
      <c r="D157" s="317" t="str">
        <f>D49</f>
        <v>-</v>
      </c>
      <c r="E157" s="135"/>
      <c r="I157" s="135"/>
      <c r="J157" s="135"/>
      <c r="K157" s="135"/>
      <c r="L157" s="135"/>
      <c r="M157" s="135"/>
      <c r="N157" s="135"/>
      <c r="P157" s="137"/>
      <c r="Q157" s="138" t="str">
        <f>IF(A157=TRUE,"Language set to when received","LANGUAGE NOT CORRECT")</f>
        <v>LANGUAGE NOT CORRECT</v>
      </c>
    </row>
    <row r="158" spans="1:17" s="139" customFormat="1" x14ac:dyDescent="0.2">
      <c r="A158" s="144" t="b">
        <v>0</v>
      </c>
      <c r="B158" s="184" t="e">
        <f>B156+1</f>
        <v>#REF!</v>
      </c>
      <c r="C158" s="150" t="s">
        <v>512</v>
      </c>
      <c r="D158" s="317"/>
      <c r="F158" s="135"/>
      <c r="H158" s="135"/>
      <c r="J158" s="135"/>
      <c r="K158" s="135"/>
      <c r="L158" s="135"/>
      <c r="M158" s="135"/>
      <c r="N158" s="135"/>
      <c r="O158" s="138"/>
      <c r="P158" s="137"/>
    </row>
    <row r="159" spans="1:17" s="139" customFormat="1" x14ac:dyDescent="0.2">
      <c r="A159" s="144" t="b">
        <v>0</v>
      </c>
      <c r="B159" s="184" t="e">
        <f t="shared" ref="B159:B177" si="7">B158+1</f>
        <v>#REF!</v>
      </c>
      <c r="C159" s="150" t="s">
        <v>513</v>
      </c>
      <c r="D159" s="317"/>
      <c r="F159" s="135"/>
      <c r="H159" s="135"/>
      <c r="J159" s="135"/>
      <c r="K159" s="135"/>
      <c r="L159" s="135"/>
      <c r="M159" s="135"/>
      <c r="N159" s="135"/>
      <c r="O159" s="138"/>
      <c r="P159" s="137"/>
    </row>
    <row r="160" spans="1:17" s="139" customFormat="1" x14ac:dyDescent="0.2">
      <c r="A160" s="144" t="b">
        <v>0</v>
      </c>
      <c r="B160" s="184" t="e">
        <f t="shared" si="7"/>
        <v>#REF!</v>
      </c>
      <c r="C160" s="150" t="s">
        <v>514</v>
      </c>
      <c r="D160" s="328"/>
      <c r="F160" s="135"/>
      <c r="H160" s="135"/>
      <c r="J160" s="135"/>
      <c r="K160" s="135"/>
      <c r="L160" s="135"/>
      <c r="M160" s="135"/>
      <c r="N160" s="135"/>
      <c r="O160" s="137"/>
      <c r="P160" s="137"/>
    </row>
    <row r="161" spans="1:73" s="139" customFormat="1" x14ac:dyDescent="0.2">
      <c r="A161" s="144" t="b">
        <v>0</v>
      </c>
      <c r="B161" s="184"/>
      <c r="C161" s="485" t="s">
        <v>515</v>
      </c>
      <c r="D161" s="485"/>
      <c r="F161" s="135"/>
      <c r="H161" s="135"/>
      <c r="J161" s="135"/>
      <c r="K161" s="135"/>
      <c r="L161" s="135"/>
      <c r="M161" s="135"/>
      <c r="N161" s="135"/>
      <c r="O161" s="138"/>
      <c r="P161" s="137"/>
    </row>
    <row r="162" spans="1:73" s="139" customFormat="1" x14ac:dyDescent="0.2">
      <c r="A162" s="144" t="b">
        <v>0</v>
      </c>
      <c r="B162" s="184" t="e">
        <f>B160+1</f>
        <v>#REF!</v>
      </c>
      <c r="C162" s="150" t="s">
        <v>516</v>
      </c>
      <c r="D162" s="317"/>
      <c r="F162" s="135"/>
      <c r="H162" s="135"/>
      <c r="J162" s="135"/>
      <c r="K162" s="135"/>
      <c r="L162" s="135"/>
      <c r="M162" s="135"/>
      <c r="N162" s="135"/>
      <c r="O162" s="138"/>
      <c r="P162" s="137"/>
      <c r="Q162" s="138" t="str">
        <f>IF(A162=TRUE,"Faceplate screws fitted and bracket checked","")</f>
        <v/>
      </c>
    </row>
    <row r="163" spans="1:73" s="139" customFormat="1" x14ac:dyDescent="0.2">
      <c r="A163" s="144" t="b">
        <v>0</v>
      </c>
      <c r="B163" s="184" t="e">
        <f>B162+1</f>
        <v>#REF!</v>
      </c>
      <c r="C163" s="150" t="s">
        <v>517</v>
      </c>
      <c r="D163" s="329"/>
      <c r="E163" s="157"/>
      <c r="G163" s="152"/>
      <c r="H163" s="152"/>
      <c r="I163" s="152"/>
      <c r="J163" s="152"/>
      <c r="L163" s="145"/>
      <c r="M163" s="145"/>
      <c r="N163" s="145"/>
      <c r="O163" s="138"/>
      <c r="P163" s="137"/>
    </row>
    <row r="164" spans="1:73" s="139" customFormat="1" x14ac:dyDescent="0.2">
      <c r="A164" s="144" t="b">
        <v>0</v>
      </c>
      <c r="B164" s="184" t="e">
        <f t="shared" si="7"/>
        <v>#REF!</v>
      </c>
      <c r="C164" s="150" t="s">
        <v>518</v>
      </c>
      <c r="D164" s="314"/>
      <c r="E164" s="157"/>
      <c r="G164" s="152"/>
      <c r="H164" s="152"/>
      <c r="I164" s="152"/>
      <c r="J164" s="152"/>
      <c r="L164" s="145"/>
      <c r="M164" s="145"/>
      <c r="N164" s="145"/>
      <c r="O164" s="138"/>
      <c r="P164" s="137"/>
    </row>
    <row r="165" spans="1:73" s="217" customFormat="1" x14ac:dyDescent="0.2">
      <c r="A165" s="144" t="b">
        <v>0</v>
      </c>
      <c r="B165" s="184" t="e">
        <f t="shared" si="7"/>
        <v>#REF!</v>
      </c>
      <c r="C165" s="330" t="s">
        <v>519</v>
      </c>
      <c r="D165" s="314"/>
      <c r="E165" s="157"/>
      <c r="F165" s="139"/>
      <c r="G165" s="152"/>
      <c r="H165" s="152"/>
      <c r="I165" s="152"/>
      <c r="J165" s="152"/>
      <c r="K165" s="139"/>
      <c r="L165" s="145"/>
      <c r="M165" s="145"/>
      <c r="N165" s="145"/>
      <c r="O165" s="138"/>
      <c r="P165" s="137"/>
      <c r="Q165" s="139"/>
      <c r="R165" s="139"/>
      <c r="S165" s="139"/>
      <c r="T165" s="139"/>
      <c r="U165" s="139"/>
      <c r="V165" s="139"/>
      <c r="W165" s="139"/>
      <c r="X165" s="139"/>
      <c r="Y165" s="139"/>
      <c r="Z165" s="139"/>
      <c r="AA165" s="139"/>
      <c r="AB165" s="139"/>
      <c r="AC165" s="139"/>
      <c r="AD165" s="139"/>
      <c r="AE165" s="139"/>
      <c r="AF165" s="139"/>
      <c r="AG165" s="139"/>
      <c r="AH165" s="139"/>
      <c r="AI165" s="139"/>
      <c r="AJ165" s="139"/>
      <c r="AK165" s="139"/>
      <c r="AL165" s="139"/>
      <c r="AM165" s="139"/>
      <c r="AN165" s="139"/>
      <c r="AO165" s="139"/>
      <c r="AP165" s="139"/>
      <c r="AQ165" s="139"/>
      <c r="AR165" s="139"/>
      <c r="AS165" s="139"/>
      <c r="AT165" s="139"/>
      <c r="AU165" s="139"/>
      <c r="AV165" s="139"/>
      <c r="AW165" s="139"/>
      <c r="AX165" s="139"/>
      <c r="AY165" s="139"/>
      <c r="AZ165" s="139"/>
      <c r="BA165" s="139"/>
      <c r="BB165" s="139"/>
      <c r="BC165" s="139"/>
      <c r="BD165" s="139"/>
      <c r="BE165" s="139"/>
      <c r="BF165" s="139"/>
      <c r="BG165" s="139"/>
      <c r="BH165" s="139"/>
      <c r="BI165" s="139"/>
      <c r="BJ165" s="139"/>
      <c r="BK165" s="139"/>
      <c r="BL165" s="139"/>
      <c r="BM165" s="139"/>
      <c r="BN165" s="139"/>
      <c r="BO165" s="139"/>
      <c r="BP165" s="139"/>
      <c r="BQ165" s="139"/>
      <c r="BR165" s="139"/>
      <c r="BS165" s="139"/>
      <c r="BT165" s="139"/>
      <c r="BU165" s="139"/>
    </row>
    <row r="166" spans="1:73" s="217" customFormat="1" x14ac:dyDescent="0.2">
      <c r="A166" s="144" t="b">
        <v>0</v>
      </c>
      <c r="B166" s="184" t="e">
        <f t="shared" si="7"/>
        <v>#REF!</v>
      </c>
      <c r="C166" s="331" t="s">
        <v>520</v>
      </c>
      <c r="D166" s="316" t="s">
        <v>321</v>
      </c>
      <c r="E166" s="163"/>
      <c r="F166" s="163"/>
      <c r="G166" s="163"/>
      <c r="H166" s="163"/>
      <c r="I166" s="163"/>
      <c r="J166" s="163"/>
      <c r="K166" s="163"/>
      <c r="L166" s="163"/>
      <c r="M166" s="163"/>
      <c r="N166" s="139"/>
      <c r="O166" s="138"/>
      <c r="P166" s="138"/>
      <c r="Q166" s="139"/>
      <c r="R166" s="139"/>
      <c r="S166" s="139"/>
      <c r="T166" s="139"/>
      <c r="U166" s="139"/>
      <c r="V166" s="139"/>
      <c r="W166" s="139"/>
      <c r="X166" s="139"/>
      <c r="Y166" s="139"/>
      <c r="Z166" s="139"/>
      <c r="AA166" s="139"/>
      <c r="AB166" s="139"/>
      <c r="AC166" s="139"/>
      <c r="AD166" s="139"/>
      <c r="AE166" s="139"/>
      <c r="AF166" s="139"/>
      <c r="AG166" s="139"/>
      <c r="AH166" s="139"/>
      <c r="AI166" s="139"/>
      <c r="AJ166" s="139"/>
      <c r="AK166" s="139"/>
      <c r="AL166" s="139"/>
      <c r="AM166" s="139"/>
      <c r="AN166" s="139"/>
      <c r="AO166" s="139"/>
      <c r="AP166" s="139"/>
      <c r="AQ166" s="139"/>
      <c r="AR166" s="139"/>
      <c r="AS166" s="139"/>
      <c r="AT166" s="139"/>
      <c r="AU166" s="139"/>
      <c r="AV166" s="139"/>
      <c r="AW166" s="139"/>
      <c r="AX166" s="139"/>
      <c r="AY166" s="139"/>
      <c r="AZ166" s="139"/>
      <c r="BA166" s="139"/>
      <c r="BB166" s="139"/>
      <c r="BC166" s="139"/>
      <c r="BD166" s="139"/>
      <c r="BE166" s="139"/>
      <c r="BF166" s="139"/>
      <c r="BG166" s="139"/>
      <c r="BH166" s="139"/>
      <c r="BI166" s="139"/>
      <c r="BJ166" s="139"/>
      <c r="BK166" s="139"/>
      <c r="BL166" s="139"/>
      <c r="BM166" s="139"/>
      <c r="BN166" s="139"/>
      <c r="BO166" s="139"/>
      <c r="BP166" s="139"/>
      <c r="BQ166" s="139"/>
      <c r="BR166" s="139"/>
      <c r="BS166" s="139"/>
      <c r="BT166" s="139"/>
      <c r="BU166" s="139"/>
    </row>
    <row r="167" spans="1:73" s="139" customFormat="1" x14ac:dyDescent="0.2">
      <c r="A167" s="144" t="b">
        <v>0</v>
      </c>
      <c r="B167" s="184"/>
      <c r="C167" s="485" t="s">
        <v>521</v>
      </c>
      <c r="D167" s="519"/>
      <c r="F167" s="135"/>
      <c r="H167" s="135"/>
      <c r="J167" s="135"/>
      <c r="K167" s="135"/>
      <c r="L167" s="135"/>
      <c r="M167" s="135"/>
      <c r="N167" s="135"/>
      <c r="O167" s="138"/>
      <c r="P167" s="137"/>
    </row>
    <row r="168" spans="1:73" s="139" customFormat="1" x14ac:dyDescent="0.2">
      <c r="A168" s="144" t="b">
        <v>1</v>
      </c>
      <c r="B168" s="184" t="e">
        <f>B166+1</f>
        <v>#REF!</v>
      </c>
      <c r="C168" s="150" t="s">
        <v>522</v>
      </c>
      <c r="D168" s="317"/>
      <c r="H168" s="135"/>
      <c r="J168" s="135"/>
      <c r="K168" s="135"/>
      <c r="L168" s="135"/>
      <c r="M168" s="135"/>
      <c r="N168" s="135"/>
      <c r="O168" s="138" t="str">
        <f>IF(A168=TRUE,"2 copies of calibration certificate included, one in unit one on outside of box","")</f>
        <v>2 copies of calibration certificate included, one in unit one on outside of box</v>
      </c>
      <c r="P168" s="137"/>
    </row>
    <row r="169" spans="1:73" s="139" customFormat="1" x14ac:dyDescent="0.2">
      <c r="A169" s="144" t="b">
        <v>1</v>
      </c>
      <c r="B169" s="184" t="e">
        <f t="shared" si="7"/>
        <v>#REF!</v>
      </c>
      <c r="C169" s="150" t="s">
        <v>523</v>
      </c>
      <c r="D169" s="317"/>
      <c r="H169" s="135"/>
      <c r="J169" s="135"/>
      <c r="K169" s="135"/>
      <c r="L169" s="135"/>
      <c r="M169" s="135"/>
      <c r="N169" s="135"/>
      <c r="O169" s="138" t="str">
        <f>IF(A169=TRUE,"2 copies of service report included, one in unit one on outside of box","")</f>
        <v>2 copies of service report included, one in unit one on outside of box</v>
      </c>
      <c r="P169" s="137"/>
    </row>
    <row r="170" spans="1:73" s="139" customFormat="1" x14ac:dyDescent="0.2">
      <c r="A170" s="144" t="b">
        <v>1</v>
      </c>
      <c r="B170" s="184" t="e">
        <f t="shared" si="7"/>
        <v>#REF!</v>
      </c>
      <c r="C170" s="150" t="s">
        <v>524</v>
      </c>
      <c r="D170" s="317"/>
      <c r="F170" s="135"/>
      <c r="H170" s="135"/>
      <c r="J170" s="135"/>
      <c r="K170" s="135"/>
      <c r="L170" s="135"/>
      <c r="M170" s="135"/>
      <c r="N170" s="135"/>
      <c r="O170" s="138"/>
      <c r="P170" s="137"/>
    </row>
    <row r="171" spans="1:73" s="139" customFormat="1" x14ac:dyDescent="0.2">
      <c r="A171" s="144" t="b">
        <v>1</v>
      </c>
      <c r="B171" s="184" t="e">
        <f t="shared" si="7"/>
        <v>#REF!</v>
      </c>
      <c r="C171" s="150" t="s">
        <v>525</v>
      </c>
      <c r="D171" s="317"/>
      <c r="F171" s="135"/>
      <c r="H171" s="135"/>
      <c r="J171" s="135"/>
      <c r="K171" s="135"/>
      <c r="L171" s="135"/>
      <c r="M171" s="135"/>
      <c r="N171" s="135"/>
      <c r="O171" s="138"/>
      <c r="P171" s="137"/>
    </row>
    <row r="172" spans="1:73" s="139" customFormat="1" x14ac:dyDescent="0.2">
      <c r="A172" s="144" t="b">
        <v>1</v>
      </c>
      <c r="B172" s="184" t="e">
        <f t="shared" si="7"/>
        <v>#REF!</v>
      </c>
      <c r="C172" s="150" t="s">
        <v>526</v>
      </c>
      <c r="D172" s="317"/>
      <c r="H172" s="135"/>
      <c r="J172" s="135"/>
      <c r="K172" s="135"/>
      <c r="L172" s="135"/>
      <c r="M172" s="135"/>
      <c r="N172" s="135"/>
      <c r="O172" s="138"/>
      <c r="P172" s="137"/>
    </row>
    <row r="173" spans="1:73" s="139" customFormat="1" x14ac:dyDescent="0.2">
      <c r="A173" s="144" t="b">
        <v>1</v>
      </c>
      <c r="B173" s="184" t="e">
        <f t="shared" si="7"/>
        <v>#REF!</v>
      </c>
      <c r="C173" s="150" t="s">
        <v>527</v>
      </c>
      <c r="D173" s="317"/>
      <c r="H173" s="135"/>
      <c r="J173" s="135"/>
      <c r="K173" s="135"/>
      <c r="L173" s="135"/>
      <c r="M173" s="135"/>
      <c r="N173" s="135"/>
      <c r="O173" s="138"/>
      <c r="P173" s="137"/>
    </row>
    <row r="174" spans="1:73" s="139" customFormat="1" x14ac:dyDescent="0.2">
      <c r="A174" s="144" t="b">
        <v>1</v>
      </c>
      <c r="B174" s="184" t="e">
        <f t="shared" si="7"/>
        <v>#REF!</v>
      </c>
      <c r="C174" s="136" t="s">
        <v>528</v>
      </c>
      <c r="D174" s="332"/>
      <c r="E174" s="157"/>
      <c r="F174" s="157"/>
      <c r="G174" s="157"/>
      <c r="H174" s="157"/>
      <c r="I174" s="157"/>
      <c r="J174" s="157"/>
      <c r="K174" s="157"/>
      <c r="L174" s="157"/>
      <c r="M174" s="157"/>
      <c r="N174" s="157"/>
      <c r="O174" s="138" t="str">
        <f>IF(A174=TRUE,"AX WO processed","WO still to be completed")</f>
        <v>AX WO processed</v>
      </c>
      <c r="P174" s="137"/>
    </row>
    <row r="175" spans="1:73" s="139" customFormat="1" x14ac:dyDescent="0.2">
      <c r="A175" s="144" t="b">
        <v>1</v>
      </c>
      <c r="B175" s="184" t="e">
        <f t="shared" si="7"/>
        <v>#REF!</v>
      </c>
      <c r="C175" s="136" t="s">
        <v>529</v>
      </c>
      <c r="D175" s="332"/>
      <c r="E175" s="157"/>
      <c r="F175" s="157"/>
      <c r="G175" s="157"/>
      <c r="H175" s="157"/>
      <c r="I175" s="157"/>
      <c r="J175" s="157"/>
      <c r="K175" s="157"/>
      <c r="L175" s="157"/>
      <c r="M175" s="157"/>
      <c r="N175" s="157"/>
      <c r="O175" s="138" t="str">
        <f>IF(A175=TRUE,"Online booking status updated","Online update still required")</f>
        <v>Online booking status updated</v>
      </c>
      <c r="P175" s="137"/>
    </row>
    <row r="176" spans="1:73" s="139" customFormat="1" ht="15.75" x14ac:dyDescent="0.2">
      <c r="A176" s="144" t="b">
        <v>0</v>
      </c>
      <c r="B176" s="184" t="e">
        <f t="shared" si="7"/>
        <v>#REF!</v>
      </c>
      <c r="C176" s="150" t="s">
        <v>457</v>
      </c>
      <c r="D176" s="299">
        <f>D111</f>
        <v>0</v>
      </c>
      <c r="E176" s="487" t="s">
        <v>372</v>
      </c>
      <c r="F176" s="487"/>
      <c r="G176" s="515" t="str">
        <f>IF(D176=D18,"ON TIME",IF(D176&gt;D18,"LATE",IF(D176&lt;D18,"EARLY")))</f>
        <v>ON TIME</v>
      </c>
      <c r="H176" s="515"/>
      <c r="I176" s="515"/>
      <c r="J176" s="515"/>
      <c r="K176" s="515"/>
      <c r="L176" s="515"/>
      <c r="M176" s="515"/>
      <c r="N176" s="515"/>
      <c r="O176" s="138"/>
      <c r="P176" s="137"/>
    </row>
    <row r="177" spans="1:16" s="139" customFormat="1" x14ac:dyDescent="0.2">
      <c r="A177" s="144" t="b">
        <v>0</v>
      </c>
      <c r="B177" s="184" t="e">
        <f t="shared" si="7"/>
        <v>#REF!</v>
      </c>
      <c r="C177" s="136" t="s">
        <v>520</v>
      </c>
      <c r="D177" s="316" t="s">
        <v>321</v>
      </c>
      <c r="E177" s="163"/>
      <c r="F177" s="163"/>
      <c r="G177" s="163"/>
      <c r="H177" s="163"/>
      <c r="I177" s="163"/>
      <c r="J177" s="163"/>
      <c r="K177" s="163"/>
      <c r="L177" s="163"/>
      <c r="M177" s="163"/>
      <c r="O177" s="138"/>
      <c r="P177" s="137"/>
    </row>
    <row r="178" spans="1:16" ht="15" customHeight="1" x14ac:dyDescent="0.2">
      <c r="B178" s="184"/>
      <c r="D178" s="218"/>
    </row>
    <row r="179" spans="1:16" ht="15" customHeight="1" x14ac:dyDescent="0.25">
      <c r="B179" s="184"/>
      <c r="C179" s="219" t="s">
        <v>530</v>
      </c>
      <c r="D179" s="218"/>
    </row>
    <row r="180" spans="1:16" ht="15" customHeight="1" x14ac:dyDescent="0.25">
      <c r="B180" s="184"/>
      <c r="C180" s="205" t="s">
        <v>531</v>
      </c>
      <c r="D180" s="333" t="b">
        <f>IF(D10="NEW BUILD", "Y")</f>
        <v>0</v>
      </c>
    </row>
    <row r="181" spans="1:16" ht="15" customHeight="1" x14ac:dyDescent="0.2">
      <c r="B181" s="184"/>
      <c r="C181" s="493" t="s">
        <v>532</v>
      </c>
      <c r="D181" s="493"/>
      <c r="E181" s="493"/>
      <c r="F181" s="496"/>
      <c r="G181" s="496"/>
      <c r="H181" s="496"/>
    </row>
    <row r="182" spans="1:16" ht="15" customHeight="1" x14ac:dyDescent="0.2">
      <c r="B182" s="184"/>
      <c r="C182" s="188" t="str">
        <f>IF(D180="Y", "NEW BUILD UNIT, SERVICE REPORT NOT APPLICABLE"," ")</f>
        <v xml:space="preserve"> </v>
      </c>
    </row>
    <row r="183" spans="1:16" ht="91.15" customHeight="1" x14ac:dyDescent="0.2">
      <c r="B183" s="184" t="e">
        <f>B177+1</f>
        <v>#REF!</v>
      </c>
      <c r="C183" s="494" t="s">
        <v>533</v>
      </c>
      <c r="D183" s="495"/>
      <c r="E183" s="495"/>
      <c r="F183" s="495"/>
      <c r="G183" s="495"/>
      <c r="H183" s="495"/>
      <c r="I183" s="495"/>
      <c r="J183" s="495"/>
      <c r="K183" s="495"/>
      <c r="L183" s="495"/>
      <c r="M183" s="495"/>
      <c r="N183" s="495"/>
      <c r="O183" s="495"/>
    </row>
    <row r="184" spans="1:16" ht="15" customHeight="1" x14ac:dyDescent="0.2">
      <c r="B184" s="184"/>
    </row>
    <row r="185" spans="1:16" ht="15" customHeight="1" x14ac:dyDescent="0.2">
      <c r="B185" s="184"/>
      <c r="C185" s="493" t="s">
        <v>534</v>
      </c>
      <c r="D185" s="496"/>
      <c r="E185" s="496"/>
    </row>
    <row r="186" spans="1:16" ht="15" customHeight="1" x14ac:dyDescent="0.2">
      <c r="B186" s="184"/>
      <c r="C186" s="188" t="str">
        <f>IF(D180="Y", "NEW BUILD UNIT, SERVICE REPORT NOT APPLICABLE","")</f>
        <v/>
      </c>
    </row>
    <row r="187" spans="1:16" ht="60" customHeight="1" x14ac:dyDescent="0.2">
      <c r="B187" s="184" t="e">
        <f>B183+1</f>
        <v>#REF!</v>
      </c>
      <c r="C187" s="495"/>
      <c r="D187" s="495"/>
      <c r="E187" s="495"/>
      <c r="F187" s="495"/>
      <c r="G187" s="495"/>
      <c r="H187" s="495"/>
      <c r="I187" s="495"/>
      <c r="J187" s="495"/>
      <c r="K187" s="495"/>
      <c r="L187" s="495"/>
      <c r="M187" s="495"/>
      <c r="N187" s="495"/>
      <c r="O187" s="495"/>
    </row>
    <row r="188" spans="1:16" ht="15" customHeight="1" x14ac:dyDescent="0.2">
      <c r="B188" s="184"/>
    </row>
    <row r="189" spans="1:16" ht="15" customHeight="1" x14ac:dyDescent="0.2">
      <c r="B189" s="184"/>
      <c r="C189" s="493" t="s">
        <v>535</v>
      </c>
      <c r="D189" s="493"/>
      <c r="E189" s="493"/>
    </row>
    <row r="190" spans="1:16" ht="15" customHeight="1" x14ac:dyDescent="0.2">
      <c r="B190" s="184"/>
      <c r="C190" s="188" t="str">
        <f>IF(D180="Y", "NEW BUILD UNIT, SERVICE REPORT NOT APPLICABLE","")</f>
        <v/>
      </c>
    </row>
    <row r="191" spans="1:16" ht="52.15" customHeight="1" x14ac:dyDescent="0.2">
      <c r="B191" s="184" t="e">
        <f>B187+1</f>
        <v>#REF!</v>
      </c>
      <c r="C191" s="495"/>
      <c r="D191" s="495"/>
      <c r="E191" s="495"/>
      <c r="F191" s="495"/>
      <c r="G191" s="495"/>
      <c r="H191" s="495"/>
      <c r="I191" s="495"/>
      <c r="J191" s="495"/>
      <c r="K191" s="495"/>
      <c r="L191" s="495"/>
      <c r="M191" s="495"/>
      <c r="N191" s="495"/>
      <c r="O191" s="495"/>
    </row>
    <row r="192" spans="1:16" ht="15" customHeight="1" x14ac:dyDescent="0.2">
      <c r="B192" s="184"/>
    </row>
    <row r="193" spans="2:15" ht="15" customHeight="1" x14ac:dyDescent="0.2">
      <c r="B193" s="184"/>
      <c r="C193" s="493" t="s">
        <v>536</v>
      </c>
      <c r="D193" s="493"/>
    </row>
    <row r="194" spans="2:15" ht="15" customHeight="1" x14ac:dyDescent="0.2">
      <c r="B194" s="184"/>
      <c r="C194" s="188" t="str">
        <f>IF(D180="Y", "NEW BUILD UNIT, SERVICE REPORT NOT APPLICABLE","")</f>
        <v/>
      </c>
    </row>
    <row r="195" spans="2:15" ht="55.15" customHeight="1" x14ac:dyDescent="0.2">
      <c r="B195" s="184" t="e">
        <f>B191+1</f>
        <v>#REF!</v>
      </c>
      <c r="C195" s="497"/>
      <c r="D195" s="498"/>
      <c r="E195" s="498"/>
      <c r="F195" s="498"/>
      <c r="G195" s="498"/>
      <c r="H195" s="498"/>
      <c r="I195" s="498"/>
      <c r="J195" s="498"/>
      <c r="K195" s="498"/>
      <c r="L195" s="498"/>
      <c r="M195" s="498"/>
      <c r="N195" s="498"/>
      <c r="O195" s="499"/>
    </row>
    <row r="196" spans="2:15" ht="15" customHeight="1" x14ac:dyDescent="0.2">
      <c r="B196" s="184"/>
    </row>
    <row r="197" spans="2:15" ht="14.25" customHeight="1" x14ac:dyDescent="0.2">
      <c r="B197" s="184" t="e">
        <f>B195+1</f>
        <v>#REF!</v>
      </c>
      <c r="C197" s="188" t="s">
        <v>537</v>
      </c>
      <c r="D197" s="305" t="s">
        <v>321</v>
      </c>
      <c r="E197" s="105"/>
    </row>
    <row r="198" spans="2:15" ht="15" customHeight="1" x14ac:dyDescent="0.2">
      <c r="B198" s="184" t="e">
        <f t="shared" si="1"/>
        <v>#REF!</v>
      </c>
      <c r="C198" s="188" t="s">
        <v>538</v>
      </c>
      <c r="D198" s="305"/>
      <c r="E198" s="220"/>
    </row>
    <row r="199" spans="2:15" ht="15" customHeight="1" x14ac:dyDescent="0.2">
      <c r="E199" s="220"/>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99</xdr:row>
                    <xdr:rowOff>0</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156</xdr:row>
                    <xdr:rowOff>0</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5546875" defaultRowHeight="12.75" x14ac:dyDescent="0.2"/>
  <cols>
    <col min="2" max="2" width="10.28515625" customWidth="1"/>
    <col min="7" max="7" width="11.42578125" customWidth="1"/>
  </cols>
  <sheetData>
    <row r="1" spans="1:7" x14ac:dyDescent="0.2">
      <c r="A1" s="520" t="s">
        <v>539</v>
      </c>
      <c r="B1" s="496"/>
      <c r="C1">
        <f>'Cover Service Sheet'!E10</f>
        <v>0</v>
      </c>
    </row>
    <row r="3" spans="1:7" x14ac:dyDescent="0.2">
      <c r="A3" s="520" t="s">
        <v>540</v>
      </c>
      <c r="B3" s="496"/>
      <c r="G3" s="334"/>
    </row>
    <row r="4" spans="1:7" x14ac:dyDescent="0.2">
      <c r="A4" s="520" t="s">
        <v>541</v>
      </c>
      <c r="B4" s="496"/>
      <c r="G4" s="334"/>
    </row>
    <row r="5" spans="1:7" x14ac:dyDescent="0.2">
      <c r="A5" s="105" t="s">
        <v>542</v>
      </c>
      <c r="G5" s="334"/>
    </row>
    <row r="6" spans="1:7" x14ac:dyDescent="0.2">
      <c r="A6" s="105" t="s">
        <v>543</v>
      </c>
      <c r="G6" s="334"/>
    </row>
    <row r="7" spans="1:7" x14ac:dyDescent="0.2">
      <c r="A7" s="105" t="s">
        <v>544</v>
      </c>
      <c r="G7" s="335"/>
    </row>
    <row r="8" spans="1:7" x14ac:dyDescent="0.2">
      <c r="A8" s="520" t="s">
        <v>545</v>
      </c>
      <c r="B8" s="496"/>
      <c r="G8" s="334"/>
    </row>
    <row r="9" spans="1:7" x14ac:dyDescent="0.2">
      <c r="A9" s="105" t="s">
        <v>546</v>
      </c>
      <c r="G9" s="334"/>
    </row>
    <row r="10" spans="1:7" x14ac:dyDescent="0.2">
      <c r="A10" s="520" t="s">
        <v>547</v>
      </c>
      <c r="B10" s="496"/>
      <c r="C10" s="496"/>
      <c r="G10" s="334"/>
    </row>
    <row r="11" spans="1:7" x14ac:dyDescent="0.2">
      <c r="A11" s="105" t="s">
        <v>548</v>
      </c>
      <c r="G11" s="334"/>
    </row>
    <row r="12" spans="1:7" x14ac:dyDescent="0.2">
      <c r="A12" s="105" t="s">
        <v>549</v>
      </c>
      <c r="G12" s="334"/>
    </row>
    <row r="13" spans="1:7" x14ac:dyDescent="0.2">
      <c r="A13" s="105" t="s">
        <v>550</v>
      </c>
      <c r="G13" s="334"/>
    </row>
    <row r="15" spans="1:7" x14ac:dyDescent="0.2">
      <c r="A15" s="520" t="s">
        <v>425</v>
      </c>
      <c r="B15" s="496"/>
      <c r="C15" s="496"/>
      <c r="G15" s="334"/>
    </row>
    <row r="16" spans="1:7" x14ac:dyDescent="0.2">
      <c r="A16" s="520" t="s">
        <v>551</v>
      </c>
      <c r="B16" s="496"/>
      <c r="C16" s="496"/>
      <c r="D16" s="496"/>
      <c r="E16" s="496"/>
      <c r="F16" s="496"/>
      <c r="G16" s="334"/>
    </row>
    <row r="17" spans="1:7" x14ac:dyDescent="0.2">
      <c r="A17" s="520" t="s">
        <v>552</v>
      </c>
      <c r="B17" s="496"/>
      <c r="G17" s="334"/>
    </row>
    <row r="18" spans="1:7" x14ac:dyDescent="0.2">
      <c r="A18" s="520" t="s">
        <v>553</v>
      </c>
      <c r="B18" s="496"/>
      <c r="G18" s="334"/>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40625" defaultRowHeight="15" x14ac:dyDescent="0.2"/>
  <cols>
    <col min="1" max="1" width="12.7109375" style="144" hidden="1" customWidth="1"/>
    <col min="2" max="2" width="11.7109375" style="134" bestFit="1" customWidth="1"/>
    <col min="3" max="3" width="72.28515625" style="163" bestFit="1" customWidth="1"/>
    <col min="4" max="4" width="42.85546875" style="139" bestFit="1" customWidth="1"/>
    <col min="5" max="6" width="4.42578125" style="135" customWidth="1"/>
    <col min="7" max="7" width="3.28515625" style="135" customWidth="1"/>
    <col min="8" max="8" width="4.28515625" style="135" customWidth="1"/>
    <col min="9" max="9" width="3.85546875" style="135" bestFit="1" customWidth="1"/>
    <col min="10" max="13" width="3.28515625" style="135" customWidth="1"/>
    <col min="14" max="14" width="3.5703125" style="135" customWidth="1"/>
    <col min="15" max="15" width="110.42578125" style="138" bestFit="1" customWidth="1"/>
    <col min="16" max="16" width="14.42578125" style="137" hidden="1" customWidth="1"/>
    <col min="17" max="17" width="11.28515625" style="139" hidden="1" customWidth="1"/>
    <col min="18" max="18" width="20.85546875" style="139" bestFit="1" customWidth="1"/>
    <col min="19" max="16384" width="9.140625" style="139"/>
  </cols>
  <sheetData>
    <row r="1" spans="1:17" x14ac:dyDescent="0.2">
      <c r="C1" s="136"/>
      <c r="D1" s="145"/>
      <c r="E1" s="145"/>
      <c r="F1" s="145"/>
      <c r="G1" s="145"/>
      <c r="H1" s="145"/>
      <c r="I1" s="145"/>
      <c r="J1" s="145"/>
      <c r="K1" s="145"/>
      <c r="L1" s="145"/>
      <c r="M1" s="145"/>
      <c r="N1" s="145"/>
    </row>
    <row r="2" spans="1:17" x14ac:dyDescent="0.2">
      <c r="B2" s="134" t="s">
        <v>323</v>
      </c>
      <c r="C2" s="503" t="s">
        <v>554</v>
      </c>
      <c r="D2" s="503"/>
      <c r="E2" s="503"/>
      <c r="F2" s="503"/>
      <c r="G2" s="503"/>
      <c r="H2" s="503"/>
      <c r="I2" s="503"/>
      <c r="J2" s="503"/>
      <c r="K2" s="503"/>
      <c r="L2" s="503"/>
      <c r="M2" s="503"/>
      <c r="N2" s="503"/>
      <c r="O2" s="503"/>
      <c r="P2" s="134" t="s">
        <v>328</v>
      </c>
      <c r="Q2" s="139" t="s">
        <v>555</v>
      </c>
    </row>
    <row r="3" spans="1:17" x14ac:dyDescent="0.2">
      <c r="C3" s="136"/>
      <c r="E3" s="145"/>
      <c r="F3" s="145"/>
      <c r="G3" s="145"/>
      <c r="H3" s="145"/>
      <c r="I3" s="145"/>
      <c r="J3" s="145"/>
      <c r="K3" s="145"/>
      <c r="L3" s="145"/>
      <c r="M3" s="145"/>
      <c r="N3" s="145"/>
      <c r="P3" s="134" t="s">
        <v>337</v>
      </c>
      <c r="Q3" s="139" t="s">
        <v>556</v>
      </c>
    </row>
    <row r="4" spans="1:17" x14ac:dyDescent="0.2">
      <c r="B4" s="134">
        <v>16</v>
      </c>
      <c r="C4" s="136" t="s">
        <v>326</v>
      </c>
      <c r="D4" s="336" t="str">
        <f>'Cover Service Sheet'!D4&amp;'Cover Service Sheet'!F4&amp;'Cover Service Sheet'!H4&amp;'Cover Service Sheet'!J4&amp;'Cover Service Sheet'!L4&amp;'Cover Service Sheet'!N4&amp;'Cover Service Sheet'!P4</f>
        <v>SRM2806 2.8mg MTD / mlW0M003</v>
      </c>
      <c r="L4" s="146"/>
      <c r="O4" s="147" t="s">
        <v>329</v>
      </c>
      <c r="P4" s="134" t="s">
        <v>341</v>
      </c>
      <c r="Q4" s="139" t="s">
        <v>557</v>
      </c>
    </row>
    <row r="5" spans="1:17" x14ac:dyDescent="0.2">
      <c r="B5" s="134">
        <f>B4+1</f>
        <v>17</v>
      </c>
      <c r="C5" s="136" t="s">
        <v>331</v>
      </c>
      <c r="D5" s="336">
        <f>'Cover Service Sheet'!D5</f>
        <v>-1</v>
      </c>
      <c r="E5" s="521" t="str">
        <f>'Cover Service Sheet'!E5&amp;'Cover Service Sheet'!F5</f>
        <v/>
      </c>
      <c r="F5" s="521"/>
      <c r="G5" s="521"/>
      <c r="H5" s="521"/>
      <c r="I5" s="521"/>
      <c r="J5" s="145"/>
      <c r="K5" s="145"/>
      <c r="L5" s="145"/>
      <c r="M5" s="145"/>
      <c r="N5" s="145"/>
      <c r="Q5" s="139" t="s">
        <v>558</v>
      </c>
    </row>
    <row r="6" spans="1:17" x14ac:dyDescent="0.2">
      <c r="B6" s="134">
        <f t="shared" ref="B6:B69" si="0">B5+1</f>
        <v>18</v>
      </c>
      <c r="C6" s="136" t="s">
        <v>334</v>
      </c>
      <c r="D6" s="291">
        <v>0</v>
      </c>
      <c r="E6" s="145"/>
      <c r="F6" s="145"/>
      <c r="G6" s="145"/>
      <c r="H6" s="145"/>
      <c r="I6" s="145"/>
      <c r="J6" s="145"/>
      <c r="K6" s="145"/>
      <c r="L6" s="145"/>
      <c r="M6" s="145"/>
      <c r="N6" s="145"/>
      <c r="Q6" s="139" t="s">
        <v>559</v>
      </c>
    </row>
    <row r="7" spans="1:17" x14ac:dyDescent="0.2">
      <c r="B7" s="134">
        <f t="shared" si="0"/>
        <v>19</v>
      </c>
      <c r="C7" s="136" t="s">
        <v>347</v>
      </c>
      <c r="D7" s="337">
        <v>0</v>
      </c>
      <c r="E7" s="139"/>
      <c r="Q7" s="139" t="s">
        <v>560</v>
      </c>
    </row>
    <row r="8" spans="1:17" x14ac:dyDescent="0.2">
      <c r="B8" s="134">
        <f t="shared" si="0"/>
        <v>20</v>
      </c>
      <c r="C8" s="136" t="s">
        <v>561</v>
      </c>
      <c r="D8" s="338">
        <v>0</v>
      </c>
      <c r="E8" s="139"/>
      <c r="F8" s="139"/>
      <c r="G8" s="139"/>
      <c r="H8" s="139"/>
      <c r="I8" s="139"/>
      <c r="J8" s="139"/>
      <c r="K8" s="139"/>
      <c r="L8" s="139"/>
      <c r="M8" s="139"/>
      <c r="N8" s="139"/>
      <c r="Q8" s="139" t="s">
        <v>562</v>
      </c>
    </row>
    <row r="9" spans="1:17" x14ac:dyDescent="0.2">
      <c r="A9" s="144" t="b">
        <v>0</v>
      </c>
      <c r="B9" s="134">
        <f t="shared" si="0"/>
        <v>21</v>
      </c>
      <c r="C9" s="136" t="s">
        <v>351</v>
      </c>
      <c r="D9" s="291" t="str">
        <f>IF(A9=TRUE,"WARRANTY CLAIM","NON WARRANTY")</f>
        <v>NON WARRANTY</v>
      </c>
      <c r="E9" s="139"/>
      <c r="F9" s="139"/>
      <c r="G9" s="139"/>
      <c r="H9" s="139"/>
      <c r="I9" s="139"/>
      <c r="J9" s="139"/>
      <c r="K9" s="139"/>
      <c r="L9" s="139"/>
      <c r="M9" s="139"/>
      <c r="N9" s="139"/>
      <c r="O9" s="138" t="str">
        <f>IF(A9=TRUE,"Item is considered warranty, requires QC control on NCR","")</f>
        <v/>
      </c>
      <c r="Q9" s="139" t="s">
        <v>563</v>
      </c>
    </row>
    <row r="10" spans="1:17" x14ac:dyDescent="0.2">
      <c r="A10" s="144" t="b">
        <v>1</v>
      </c>
      <c r="B10" s="134">
        <f t="shared" si="0"/>
        <v>22</v>
      </c>
      <c r="C10" s="136" t="s">
        <v>564</v>
      </c>
      <c r="D10" s="291">
        <v>0</v>
      </c>
      <c r="E10" s="522">
        <v>0</v>
      </c>
      <c r="F10" s="522"/>
      <c r="G10" s="522"/>
      <c r="H10" s="522"/>
      <c r="I10" s="522"/>
      <c r="J10" s="522"/>
      <c r="K10" s="522"/>
      <c r="L10" s="522"/>
      <c r="M10" s="522"/>
      <c r="N10" s="522"/>
      <c r="Q10" s="139" t="s">
        <v>565</v>
      </c>
    </row>
    <row r="11" spans="1:17" x14ac:dyDescent="0.2">
      <c r="B11" s="134">
        <f t="shared" si="0"/>
        <v>23</v>
      </c>
      <c r="C11" s="136" t="s">
        <v>355</v>
      </c>
      <c r="D11" s="291">
        <v>0</v>
      </c>
      <c r="E11" s="139"/>
      <c r="F11" s="139"/>
      <c r="G11" s="139"/>
      <c r="H11" s="139"/>
      <c r="I11" s="139"/>
      <c r="J11" s="139"/>
      <c r="K11" s="139"/>
      <c r="L11" s="139"/>
      <c r="M11" s="140"/>
      <c r="N11" s="139"/>
    </row>
    <row r="12" spans="1:17" x14ac:dyDescent="0.2">
      <c r="B12" s="134">
        <f t="shared" si="0"/>
        <v>24</v>
      </c>
      <c r="C12" s="136" t="s">
        <v>356</v>
      </c>
      <c r="D12" s="291">
        <v>0</v>
      </c>
      <c r="E12" s="139"/>
      <c r="F12" s="139"/>
      <c r="G12" s="139"/>
      <c r="H12" s="139"/>
      <c r="I12" s="139"/>
      <c r="J12" s="139"/>
      <c r="K12" s="139"/>
      <c r="L12" s="139"/>
      <c r="M12" s="139"/>
      <c r="N12" s="139"/>
    </row>
    <row r="13" spans="1:17" x14ac:dyDescent="0.2">
      <c r="B13" s="134">
        <f t="shared" si="0"/>
        <v>25</v>
      </c>
      <c r="C13" s="136" t="s">
        <v>566</v>
      </c>
      <c r="D13" s="303">
        <f>D7+14</f>
        <v>14</v>
      </c>
      <c r="E13" s="139"/>
      <c r="F13" s="139"/>
      <c r="G13" s="139"/>
      <c r="H13" s="139"/>
      <c r="I13" s="139"/>
      <c r="J13" s="139"/>
      <c r="K13" s="139"/>
      <c r="L13" s="139"/>
      <c r="M13" s="139"/>
      <c r="N13" s="139"/>
    </row>
    <row r="14" spans="1:17" x14ac:dyDescent="0.2">
      <c r="C14" s="485" t="s">
        <v>567</v>
      </c>
      <c r="D14" s="485"/>
      <c r="E14" s="485"/>
      <c r="F14" s="485"/>
      <c r="G14" s="485"/>
      <c r="H14" s="485"/>
      <c r="I14" s="485"/>
      <c r="J14" s="485"/>
      <c r="K14" s="485"/>
      <c r="L14" s="485"/>
      <c r="M14" s="485"/>
      <c r="N14" s="485"/>
      <c r="O14" s="485"/>
      <c r="P14" s="148"/>
    </row>
    <row r="15" spans="1:17" s="145" customFormat="1" ht="15.75" x14ac:dyDescent="0.2">
      <c r="A15" s="149"/>
      <c r="B15" s="134">
        <f>B13+1</f>
        <v>26</v>
      </c>
      <c r="C15" s="150" t="s">
        <v>459</v>
      </c>
      <c r="D15" s="302"/>
      <c r="E15" s="487" t="s">
        <v>372</v>
      </c>
      <c r="F15" s="487"/>
      <c r="G15" s="488" t="str">
        <f>IF(D15=D7,"ON TIME",IF(D15&gt;D7,"LATE",IF(D15&lt;D7,"EARLY")))</f>
        <v>ON TIME</v>
      </c>
      <c r="H15" s="488"/>
      <c r="I15" s="488"/>
      <c r="J15" s="488"/>
      <c r="K15" s="488"/>
      <c r="L15" s="488"/>
      <c r="M15" s="488"/>
      <c r="N15" s="488"/>
      <c r="O15" s="148"/>
      <c r="P15" s="148"/>
    </row>
    <row r="16" spans="1:17" s="145" customFormat="1" x14ac:dyDescent="0.2">
      <c r="A16" s="149"/>
      <c r="B16" s="134">
        <f t="shared" si="0"/>
        <v>27</v>
      </c>
      <c r="C16" s="150" t="s">
        <v>568</v>
      </c>
      <c r="D16" s="329"/>
      <c r="E16" s="150"/>
      <c r="G16" s="151"/>
      <c r="H16" s="151"/>
      <c r="I16" s="151"/>
      <c r="J16" s="148"/>
      <c r="K16" s="148"/>
      <c r="L16" s="148"/>
      <c r="M16" s="148"/>
      <c r="N16" s="148"/>
      <c r="O16" s="148"/>
      <c r="P16" s="148"/>
    </row>
    <row r="17" spans="1:16" x14ac:dyDescent="0.2">
      <c r="C17" s="134"/>
      <c r="D17" s="134" t="s">
        <v>569</v>
      </c>
      <c r="E17" s="503" t="s">
        <v>570</v>
      </c>
      <c r="F17" s="503"/>
      <c r="G17" s="503"/>
      <c r="H17" s="503"/>
      <c r="I17" s="503"/>
      <c r="J17" s="503"/>
      <c r="K17" s="503"/>
      <c r="L17" s="503"/>
      <c r="M17" s="503"/>
      <c r="N17" s="503"/>
      <c r="O17" s="152"/>
      <c r="P17" s="152"/>
    </row>
    <row r="18" spans="1:16" x14ac:dyDescent="0.2">
      <c r="A18" s="144" t="b">
        <v>0</v>
      </c>
      <c r="B18" s="134">
        <f>B16+1</f>
        <v>28</v>
      </c>
      <c r="C18" s="153"/>
      <c r="D18" s="313" t="s">
        <v>571</v>
      </c>
      <c r="E18" s="139"/>
      <c r="F18" s="139"/>
      <c r="G18" s="139"/>
      <c r="H18" s="139"/>
      <c r="I18" s="139"/>
      <c r="J18" s="139"/>
      <c r="K18" s="139"/>
      <c r="L18" s="139"/>
      <c r="M18" s="139"/>
      <c r="N18" s="139"/>
      <c r="O18" s="138" t="str">
        <f>IF(A18=FALSE,"One or more hydraulic caps were missing","Test point cap and waste plug present")</f>
        <v>One or more hydraulic caps were missing</v>
      </c>
    </row>
    <row r="19" spans="1:16" x14ac:dyDescent="0.2">
      <c r="A19" s="144" t="b">
        <v>0</v>
      </c>
      <c r="B19" s="134">
        <f t="shared" si="0"/>
        <v>29</v>
      </c>
      <c r="C19" s="153"/>
      <c r="D19" s="313" t="s">
        <v>572</v>
      </c>
      <c r="E19" s="139"/>
      <c r="F19" s="139"/>
      <c r="G19" s="139"/>
      <c r="H19" s="139"/>
      <c r="I19" s="139"/>
      <c r="J19" s="139"/>
      <c r="K19" s="139"/>
      <c r="L19" s="139"/>
      <c r="M19" s="139"/>
      <c r="N19" s="139"/>
      <c r="O19" s="138" t="str">
        <f>IF(A19=FALSE,"Unit was dirty or damaged outside and required extra cleanup","Outer condition good")</f>
        <v>Unit was dirty or damaged outside and required extra cleanup</v>
      </c>
    </row>
    <row r="20" spans="1:16" x14ac:dyDescent="0.2">
      <c r="A20" s="144" t="b">
        <v>1</v>
      </c>
      <c r="B20" s="134">
        <f t="shared" si="0"/>
        <v>30</v>
      </c>
      <c r="C20" s="187"/>
      <c r="D20" s="154"/>
      <c r="E20" s="139"/>
      <c r="F20" s="139"/>
      <c r="G20" s="139"/>
      <c r="H20" s="139"/>
      <c r="I20" s="139"/>
      <c r="J20" s="139"/>
      <c r="K20" s="139"/>
      <c r="L20" s="139"/>
      <c r="M20" s="139"/>
      <c r="N20" s="139"/>
    </row>
    <row r="21" spans="1:16" x14ac:dyDescent="0.2">
      <c r="A21" s="144" t="b">
        <v>0</v>
      </c>
      <c r="B21" s="134">
        <f t="shared" si="0"/>
        <v>31</v>
      </c>
      <c r="C21" s="187"/>
      <c r="D21" s="154"/>
      <c r="E21" s="139"/>
      <c r="F21" s="139"/>
      <c r="G21" s="139"/>
      <c r="H21" s="139"/>
      <c r="I21" s="139"/>
      <c r="J21" s="139"/>
      <c r="K21" s="139"/>
      <c r="L21" s="139"/>
      <c r="M21" s="139"/>
      <c r="N21" s="139"/>
      <c r="O21" s="138" t="str">
        <f>IF(A21=TRUE,"Case feet present and operational","quote for case feet repair required")</f>
        <v>quote for case feet repair required</v>
      </c>
    </row>
    <row r="22" spans="1:16" x14ac:dyDescent="0.2">
      <c r="A22" s="144" t="b">
        <v>0</v>
      </c>
      <c r="B22" s="134">
        <f t="shared" si="0"/>
        <v>32</v>
      </c>
      <c r="C22" s="153"/>
      <c r="D22" s="154" t="s">
        <v>573</v>
      </c>
      <c r="E22" s="139"/>
      <c r="F22" s="139"/>
      <c r="G22" s="139"/>
      <c r="H22" s="139"/>
      <c r="I22" s="139"/>
      <c r="J22" s="139"/>
      <c r="K22" s="139"/>
      <c r="L22" s="139"/>
      <c r="M22" s="139"/>
      <c r="N22" s="139"/>
      <c r="O22" s="138" t="str">
        <f>IF(A22=TRUE,"Case latches present and operational","quote for case latch repair required")</f>
        <v>quote for case latch repair required</v>
      </c>
    </row>
    <row r="23" spans="1:16" x14ac:dyDescent="0.2">
      <c r="A23" s="144" t="b">
        <v>1</v>
      </c>
      <c r="B23" s="134">
        <f t="shared" si="0"/>
        <v>33</v>
      </c>
      <c r="C23" s="153"/>
      <c r="D23" s="154" t="s">
        <v>574</v>
      </c>
      <c r="E23" s="139"/>
      <c r="F23" s="139"/>
      <c r="G23" s="139"/>
      <c r="H23" s="139"/>
      <c r="I23" s="139"/>
      <c r="J23" s="139"/>
      <c r="K23" s="139"/>
      <c r="L23" s="139"/>
      <c r="M23" s="139"/>
      <c r="N23" s="139"/>
    </row>
    <row r="24" spans="1:16" x14ac:dyDescent="0.2">
      <c r="A24" s="144" t="b">
        <v>0</v>
      </c>
      <c r="B24" s="134">
        <f t="shared" si="0"/>
        <v>34</v>
      </c>
      <c r="C24" s="153"/>
      <c r="D24" s="154" t="s">
        <v>575</v>
      </c>
      <c r="E24" s="139"/>
      <c r="F24" s="139"/>
      <c r="G24" s="139"/>
      <c r="H24" s="139"/>
      <c r="I24" s="139"/>
      <c r="J24" s="139"/>
      <c r="K24" s="139"/>
      <c r="L24" s="139"/>
      <c r="M24" s="139"/>
      <c r="N24" s="139"/>
    </row>
    <row r="25" spans="1:16" ht="15.75" customHeight="1" x14ac:dyDescent="0.2">
      <c r="A25" s="144" t="b">
        <v>0</v>
      </c>
      <c r="B25" s="134">
        <f t="shared" si="0"/>
        <v>35</v>
      </c>
      <c r="C25" s="153"/>
      <c r="D25" s="155" t="s">
        <v>576</v>
      </c>
      <c r="E25" s="486"/>
      <c r="F25" s="486"/>
      <c r="G25" s="486"/>
      <c r="H25" s="486"/>
      <c r="I25" s="486"/>
      <c r="J25" s="486"/>
      <c r="K25" s="486"/>
      <c r="L25" s="486"/>
      <c r="M25" s="486"/>
      <c r="N25" s="486"/>
      <c r="O25" s="138" t="str">
        <f>IF(A25=TRUE,"Charge circuit checked and verified PASS","")</f>
        <v/>
      </c>
    </row>
    <row r="26" spans="1:16" x14ac:dyDescent="0.2">
      <c r="A26" s="156">
        <v>4.0999999999999996</v>
      </c>
      <c r="B26" s="134">
        <f t="shared" si="0"/>
        <v>36</v>
      </c>
      <c r="C26" s="136" t="s">
        <v>577</v>
      </c>
      <c r="D26" s="339"/>
      <c r="E26" s="523"/>
      <c r="F26" s="523"/>
      <c r="G26" s="523"/>
      <c r="H26" s="523"/>
      <c r="I26" s="523"/>
      <c r="J26" s="523"/>
      <c r="K26" s="523"/>
      <c r="L26" s="523"/>
      <c r="M26" s="523"/>
      <c r="N26" s="523"/>
      <c r="O26" s="138" t="str">
        <f>IF(D26=A26,"Unit firmware at current release","Free of charge upgrade of unit firmware ")</f>
        <v xml:space="preserve">Free of charge upgrade of unit firmware </v>
      </c>
    </row>
    <row r="27" spans="1:16" x14ac:dyDescent="0.2">
      <c r="A27" s="144" t="b">
        <v>0</v>
      </c>
      <c r="B27" s="134">
        <f t="shared" si="0"/>
        <v>37</v>
      </c>
      <c r="C27" s="153"/>
      <c r="D27" s="313" t="s">
        <v>578</v>
      </c>
      <c r="E27" s="139"/>
      <c r="F27" s="139"/>
      <c r="G27" s="139"/>
      <c r="H27" s="139"/>
      <c r="I27" s="139"/>
      <c r="J27" s="139"/>
      <c r="K27" s="139"/>
      <c r="L27" s="139"/>
      <c r="M27" s="139"/>
      <c r="N27" s="139"/>
      <c r="O27" s="138" t="str">
        <f>IF(A27=FALSE,"Log was not present/corrupted so could not be downloaded","Log download test completed succesfully")</f>
        <v>Log was not present/corrupted so could not be downloaded</v>
      </c>
    </row>
    <row r="28" spans="1:16" ht="15.75" customHeight="1" x14ac:dyDescent="0.2">
      <c r="B28" s="134">
        <f t="shared" si="0"/>
        <v>38</v>
      </c>
      <c r="C28" s="136" t="s">
        <v>579</v>
      </c>
      <c r="D28" s="292"/>
      <c r="E28" s="157"/>
      <c r="F28" s="157"/>
      <c r="G28" s="157"/>
      <c r="H28" s="157"/>
      <c r="I28" s="157"/>
      <c r="J28" s="157"/>
      <c r="K28" s="157"/>
      <c r="L28" s="157"/>
      <c r="M28" s="157"/>
      <c r="N28" s="157"/>
      <c r="O28" s="139"/>
    </row>
    <row r="29" spans="1:16" ht="15.75" customHeight="1" x14ac:dyDescent="0.2">
      <c r="B29" s="134">
        <f t="shared" si="0"/>
        <v>39</v>
      </c>
      <c r="C29" s="136" t="s">
        <v>580</v>
      </c>
      <c r="D29" s="292"/>
      <c r="E29" s="157"/>
      <c r="F29" s="157"/>
      <c r="G29" s="157"/>
      <c r="H29" s="157"/>
      <c r="I29" s="157"/>
      <c r="J29" s="157"/>
      <c r="K29" s="157"/>
      <c r="L29" s="157"/>
      <c r="M29" s="157"/>
      <c r="N29" s="157"/>
      <c r="O29" s="139"/>
    </row>
    <row r="30" spans="1:16" ht="15.75" customHeight="1" x14ac:dyDescent="0.2">
      <c r="B30" s="134">
        <f t="shared" si="0"/>
        <v>40</v>
      </c>
      <c r="C30" s="136" t="s">
        <v>581</v>
      </c>
      <c r="D30" s="158"/>
      <c r="E30" s="157"/>
      <c r="F30" s="157"/>
      <c r="G30" s="157"/>
      <c r="H30" s="157"/>
      <c r="I30" s="157"/>
      <c r="J30" s="157"/>
      <c r="K30" s="157"/>
      <c r="L30" s="157"/>
      <c r="M30" s="157"/>
      <c r="N30" s="157"/>
      <c r="O30" s="139"/>
    </row>
    <row r="31" spans="1:16" ht="15.75" customHeight="1" x14ac:dyDescent="0.2">
      <c r="B31" s="134">
        <f t="shared" si="0"/>
        <v>41</v>
      </c>
      <c r="C31" s="136" t="s">
        <v>582</v>
      </c>
      <c r="D31" s="158"/>
      <c r="E31" s="157"/>
      <c r="F31" s="157"/>
      <c r="G31" s="157"/>
      <c r="H31" s="157"/>
      <c r="I31" s="157"/>
      <c r="J31" s="157"/>
      <c r="K31" s="157"/>
      <c r="L31" s="157"/>
      <c r="M31" s="157"/>
      <c r="N31" s="157"/>
      <c r="O31" s="139"/>
    </row>
    <row r="32" spans="1:16" ht="15.75" customHeight="1" x14ac:dyDescent="0.2">
      <c r="A32" s="144" t="b">
        <v>0</v>
      </c>
      <c r="B32" s="134">
        <f t="shared" si="0"/>
        <v>42</v>
      </c>
      <c r="C32" s="153"/>
      <c r="D32" s="312" t="s">
        <v>401</v>
      </c>
      <c r="E32" s="489"/>
      <c r="F32" s="489"/>
      <c r="G32" s="489"/>
      <c r="H32" s="489"/>
      <c r="I32" s="489"/>
      <c r="J32" s="489"/>
      <c r="K32" s="489"/>
      <c r="L32" s="489"/>
      <c r="M32" s="489"/>
      <c r="N32" s="489"/>
    </row>
    <row r="33" spans="1:15" ht="15.75" customHeight="1" x14ac:dyDescent="0.2">
      <c r="B33" s="134">
        <f t="shared" si="0"/>
        <v>43</v>
      </c>
      <c r="C33" s="136" t="s">
        <v>583</v>
      </c>
      <c r="D33" s="158"/>
      <c r="E33" s="157"/>
      <c r="F33" s="157"/>
      <c r="G33" s="157"/>
      <c r="H33" s="157"/>
      <c r="I33" s="157"/>
      <c r="J33" s="157"/>
      <c r="K33" s="157"/>
      <c r="L33" s="157"/>
      <c r="M33" s="157"/>
      <c r="N33" s="157"/>
      <c r="O33" s="139"/>
    </row>
    <row r="34" spans="1:15" ht="15.75" customHeight="1" x14ac:dyDescent="0.2">
      <c r="B34" s="134">
        <f t="shared" si="0"/>
        <v>44</v>
      </c>
      <c r="C34" s="136" t="s">
        <v>584</v>
      </c>
      <c r="D34" s="158"/>
      <c r="E34" s="157"/>
      <c r="F34" s="157"/>
      <c r="G34" s="157"/>
      <c r="H34" s="157"/>
      <c r="I34" s="157"/>
      <c r="J34" s="157"/>
      <c r="K34" s="157"/>
      <c r="L34" s="157"/>
      <c r="M34" s="157"/>
      <c r="N34" s="157"/>
      <c r="O34" s="139"/>
    </row>
    <row r="35" spans="1:15" ht="15.75" customHeight="1" x14ac:dyDescent="0.2">
      <c r="B35" s="134">
        <f t="shared" si="0"/>
        <v>45</v>
      </c>
      <c r="C35" s="136" t="s">
        <v>585</v>
      </c>
      <c r="D35" s="158"/>
      <c r="E35" s="157"/>
      <c r="F35" s="157"/>
      <c r="G35" s="157"/>
      <c r="H35" s="157"/>
      <c r="I35" s="157"/>
      <c r="J35" s="157"/>
      <c r="K35" s="157"/>
      <c r="L35" s="157"/>
      <c r="M35" s="157"/>
      <c r="N35" s="157"/>
      <c r="O35" s="139"/>
    </row>
    <row r="36" spans="1:15" ht="15.75" customHeight="1" x14ac:dyDescent="0.2">
      <c r="A36" s="144" t="b">
        <v>0</v>
      </c>
      <c r="B36" s="134">
        <f t="shared" si="0"/>
        <v>46</v>
      </c>
      <c r="C36" s="153"/>
      <c r="D36" s="155" t="s">
        <v>409</v>
      </c>
      <c r="E36" s="157"/>
      <c r="F36" s="157"/>
      <c r="G36" s="157"/>
      <c r="H36" s="157"/>
      <c r="I36" s="157"/>
      <c r="J36" s="157"/>
      <c r="K36" s="157"/>
      <c r="L36" s="157"/>
      <c r="M36" s="157"/>
      <c r="N36" s="157"/>
      <c r="O36" s="139"/>
    </row>
    <row r="37" spans="1:15" ht="15.75" customHeight="1" x14ac:dyDescent="0.2">
      <c r="B37" s="134">
        <f t="shared" si="0"/>
        <v>47</v>
      </c>
      <c r="C37" s="136" t="s">
        <v>586</v>
      </c>
      <c r="D37" s="158"/>
      <c r="E37" s="157"/>
      <c r="F37" s="157"/>
      <c r="G37" s="157"/>
      <c r="H37" s="157"/>
      <c r="I37" s="157"/>
      <c r="J37" s="157"/>
      <c r="K37" s="157"/>
      <c r="L37" s="157"/>
      <c r="M37" s="157"/>
      <c r="N37" s="157"/>
      <c r="O37" s="139"/>
    </row>
    <row r="38" spans="1:15" ht="15.75" customHeight="1" x14ac:dyDescent="0.2">
      <c r="B38" s="134">
        <f t="shared" si="0"/>
        <v>48</v>
      </c>
      <c r="C38" s="136" t="s">
        <v>546</v>
      </c>
      <c r="D38" s="158"/>
      <c r="E38" s="157"/>
      <c r="F38" s="157"/>
      <c r="G38" s="157"/>
      <c r="H38" s="157"/>
      <c r="I38" s="157"/>
      <c r="J38" s="157"/>
      <c r="K38" s="157"/>
      <c r="L38" s="157"/>
      <c r="M38" s="157"/>
      <c r="N38" s="157"/>
      <c r="O38" s="139"/>
    </row>
    <row r="39" spans="1:15" ht="15.75" customHeight="1" x14ac:dyDescent="0.2">
      <c r="B39" s="134">
        <f t="shared" si="0"/>
        <v>49</v>
      </c>
      <c r="C39" s="136" t="s">
        <v>587</v>
      </c>
      <c r="D39" s="158"/>
      <c r="E39" s="157"/>
      <c r="F39" s="157"/>
      <c r="G39" s="157"/>
      <c r="H39" s="157"/>
      <c r="I39" s="157"/>
      <c r="J39" s="157"/>
      <c r="K39" s="157"/>
      <c r="L39" s="157"/>
      <c r="M39" s="157"/>
      <c r="N39" s="157"/>
      <c r="O39" s="139"/>
    </row>
    <row r="40" spans="1:15" ht="15.75" customHeight="1" x14ac:dyDescent="0.2">
      <c r="A40" s="144" t="b">
        <v>0</v>
      </c>
      <c r="B40" s="134">
        <f t="shared" si="0"/>
        <v>50</v>
      </c>
      <c r="C40" s="153"/>
      <c r="D40" s="313" t="s">
        <v>588</v>
      </c>
    </row>
    <row r="41" spans="1:15" ht="15.75" customHeight="1" x14ac:dyDescent="0.2">
      <c r="B41" s="134">
        <f t="shared" si="0"/>
        <v>51</v>
      </c>
      <c r="C41" s="136" t="s">
        <v>589</v>
      </c>
      <c r="D41" s="158"/>
      <c r="E41" s="157"/>
      <c r="F41" s="157"/>
      <c r="G41" s="157"/>
      <c r="H41" s="157"/>
      <c r="I41" s="157"/>
      <c r="J41" s="157"/>
      <c r="K41" s="157"/>
      <c r="L41" s="157"/>
      <c r="M41" s="157"/>
      <c r="N41" s="157"/>
      <c r="O41" s="139"/>
    </row>
    <row r="42" spans="1:15" ht="15.75" customHeight="1" x14ac:dyDescent="0.2">
      <c r="B42" s="134">
        <f t="shared" si="0"/>
        <v>52</v>
      </c>
      <c r="C42" s="136" t="s">
        <v>590</v>
      </c>
      <c r="D42" s="158"/>
      <c r="E42" s="157"/>
      <c r="F42" s="157"/>
      <c r="G42" s="157"/>
      <c r="H42" s="157"/>
      <c r="I42" s="157"/>
      <c r="J42" s="157"/>
      <c r="K42" s="157"/>
      <c r="L42" s="157"/>
      <c r="M42" s="157"/>
      <c r="N42" s="157"/>
      <c r="O42" s="139"/>
    </row>
    <row r="43" spans="1:15" ht="15.75" customHeight="1" x14ac:dyDescent="0.2">
      <c r="B43" s="134">
        <f t="shared" si="0"/>
        <v>53</v>
      </c>
      <c r="C43" s="136" t="s">
        <v>591</v>
      </c>
      <c r="D43" s="158"/>
      <c r="E43" s="157"/>
      <c r="F43" s="157"/>
      <c r="G43" s="157"/>
      <c r="H43" s="157"/>
      <c r="I43" s="157"/>
      <c r="J43" s="157"/>
      <c r="K43" s="157"/>
      <c r="L43" s="157"/>
      <c r="M43" s="157"/>
      <c r="N43" s="157"/>
      <c r="O43" s="139"/>
    </row>
    <row r="44" spans="1:15" ht="15.75" customHeight="1" x14ac:dyDescent="0.2">
      <c r="A44" s="144" t="b">
        <v>0</v>
      </c>
      <c r="B44" s="134">
        <f t="shared" si="0"/>
        <v>54</v>
      </c>
      <c r="C44" s="153"/>
      <c r="D44" s="313" t="s">
        <v>592</v>
      </c>
      <c r="E44" s="157"/>
      <c r="F44" s="157"/>
      <c r="G44" s="157"/>
      <c r="H44" s="157"/>
      <c r="I44" s="157"/>
      <c r="J44" s="157"/>
      <c r="K44" s="157"/>
      <c r="L44" s="157"/>
      <c r="M44" s="157"/>
      <c r="N44" s="157"/>
      <c r="O44" s="139"/>
    </row>
    <row r="45" spans="1:15" ht="15.75" customHeight="1" x14ac:dyDescent="0.2">
      <c r="B45" s="134">
        <f t="shared" si="0"/>
        <v>55</v>
      </c>
      <c r="C45" s="136"/>
      <c r="D45" s="158"/>
      <c r="E45" s="157"/>
      <c r="F45" s="157"/>
      <c r="G45" s="157"/>
      <c r="H45" s="157"/>
      <c r="I45" s="157"/>
      <c r="J45" s="157"/>
      <c r="K45" s="157"/>
      <c r="L45" s="157"/>
      <c r="M45" s="157"/>
      <c r="N45" s="157"/>
      <c r="O45" s="139"/>
    </row>
    <row r="46" spans="1:15" ht="15.75" customHeight="1" x14ac:dyDescent="0.2">
      <c r="A46" s="144" t="b">
        <v>0</v>
      </c>
      <c r="B46" s="134">
        <f t="shared" si="0"/>
        <v>56</v>
      </c>
      <c r="C46" s="153"/>
      <c r="D46" s="313"/>
    </row>
    <row r="47" spans="1:15" ht="15.75" customHeight="1" x14ac:dyDescent="0.2">
      <c r="B47" s="134">
        <f t="shared" si="0"/>
        <v>57</v>
      </c>
      <c r="C47" s="136"/>
      <c r="D47" s="158"/>
      <c r="E47" s="157"/>
      <c r="F47" s="157"/>
      <c r="G47" s="157"/>
      <c r="H47" s="157"/>
      <c r="I47" s="157"/>
      <c r="J47" s="157"/>
      <c r="K47" s="157"/>
      <c r="L47" s="157"/>
      <c r="M47" s="157"/>
      <c r="N47" s="157"/>
      <c r="O47" s="139"/>
    </row>
    <row r="48" spans="1:15" ht="15.75" customHeight="1" x14ac:dyDescent="0.2">
      <c r="B48" s="134">
        <f t="shared" si="0"/>
        <v>58</v>
      </c>
      <c r="C48" s="136"/>
      <c r="D48" s="158"/>
      <c r="E48" s="157"/>
      <c r="F48" s="157"/>
      <c r="G48" s="157"/>
      <c r="H48" s="157"/>
      <c r="I48" s="157"/>
      <c r="J48" s="157"/>
      <c r="K48" s="157"/>
      <c r="L48" s="157"/>
      <c r="M48" s="157"/>
      <c r="N48" s="157"/>
      <c r="O48" s="139"/>
    </row>
    <row r="49" spans="1:25" ht="15.75" customHeight="1" x14ac:dyDescent="0.2">
      <c r="B49" s="134">
        <f t="shared" si="0"/>
        <v>59</v>
      </c>
      <c r="C49" s="136" t="s">
        <v>593</v>
      </c>
      <c r="D49" s="158"/>
      <c r="E49" s="157"/>
      <c r="F49" s="157"/>
      <c r="G49" s="157"/>
      <c r="H49" s="157"/>
      <c r="I49" s="157"/>
      <c r="J49" s="157"/>
      <c r="K49" s="157"/>
      <c r="L49" s="157"/>
      <c r="M49" s="157"/>
      <c r="N49" s="157"/>
      <c r="O49" s="139"/>
    </row>
    <row r="50" spans="1:25" ht="15.75" customHeight="1" x14ac:dyDescent="0.2">
      <c r="B50" s="134">
        <f t="shared" si="0"/>
        <v>60</v>
      </c>
      <c r="C50" s="136"/>
      <c r="D50" s="158"/>
      <c r="E50" s="157"/>
      <c r="F50" s="157"/>
      <c r="G50" s="157"/>
      <c r="H50" s="157"/>
      <c r="I50" s="157"/>
      <c r="J50" s="157"/>
      <c r="K50" s="157"/>
      <c r="L50" s="157"/>
      <c r="M50" s="157"/>
      <c r="N50" s="157"/>
      <c r="O50" s="139"/>
    </row>
    <row r="51" spans="1:25" ht="15.75" customHeight="1" x14ac:dyDescent="0.2">
      <c r="B51" s="134">
        <f t="shared" si="0"/>
        <v>61</v>
      </c>
      <c r="C51" s="136"/>
      <c r="D51" s="158"/>
      <c r="E51" s="157"/>
      <c r="F51" s="157"/>
      <c r="G51" s="157"/>
      <c r="H51" s="157"/>
      <c r="I51" s="157"/>
      <c r="J51" s="157"/>
      <c r="K51" s="157"/>
      <c r="L51" s="157"/>
      <c r="M51" s="157"/>
      <c r="N51" s="157"/>
      <c r="O51" s="139"/>
    </row>
    <row r="52" spans="1:25" ht="15.75" customHeight="1" x14ac:dyDescent="0.2">
      <c r="B52" s="134">
        <f t="shared" si="0"/>
        <v>62</v>
      </c>
      <c r="C52" s="136"/>
      <c r="D52" s="158"/>
      <c r="E52" s="157"/>
      <c r="F52" s="157"/>
      <c r="G52" s="157"/>
      <c r="H52" s="157"/>
      <c r="I52" s="157"/>
      <c r="J52" s="157"/>
      <c r="K52" s="157"/>
      <c r="L52" s="157"/>
      <c r="M52" s="157"/>
      <c r="N52" s="157"/>
      <c r="O52" s="139"/>
    </row>
    <row r="53" spans="1:25" ht="15.75" customHeight="1" x14ac:dyDescent="0.2">
      <c r="B53" s="134">
        <f t="shared" si="0"/>
        <v>63</v>
      </c>
      <c r="C53" s="136"/>
      <c r="D53" s="158"/>
      <c r="E53" s="157"/>
      <c r="F53" s="157"/>
      <c r="G53" s="157"/>
      <c r="H53" s="157"/>
      <c r="I53" s="157"/>
      <c r="J53" s="157"/>
      <c r="K53" s="157"/>
      <c r="L53" s="157"/>
      <c r="M53" s="157"/>
      <c r="N53" s="157"/>
      <c r="O53" s="139"/>
    </row>
    <row r="54" spans="1:25" ht="15.75" customHeight="1" x14ac:dyDescent="0.2">
      <c r="A54" s="149" t="b">
        <v>0</v>
      </c>
      <c r="B54" s="134">
        <f t="shared" si="0"/>
        <v>64</v>
      </c>
      <c r="C54" s="159">
        <f>D28</f>
        <v>0</v>
      </c>
      <c r="D54" s="313"/>
      <c r="E54" s="152"/>
      <c r="F54" s="152"/>
      <c r="G54" s="152"/>
      <c r="H54" s="152"/>
      <c r="I54" s="152"/>
      <c r="J54" s="152"/>
      <c r="K54" s="152"/>
      <c r="L54" s="152"/>
      <c r="M54" s="152"/>
      <c r="N54" s="152"/>
      <c r="O54" s="138" t="str">
        <f>IF(A54=TRUE,"Keypad function tested PASS","Keypad function faulty,FAILED")</f>
        <v>Keypad function faulty,FAILED</v>
      </c>
    </row>
    <row r="55" spans="1:25" ht="15.75" customHeight="1" x14ac:dyDescent="0.2">
      <c r="A55" s="144" t="b">
        <v>0</v>
      </c>
      <c r="B55" s="134">
        <f t="shared" si="0"/>
        <v>65</v>
      </c>
      <c r="C55" s="160"/>
      <c r="D55" s="312"/>
      <c r="E55" s="157"/>
      <c r="F55" s="157"/>
      <c r="G55" s="157"/>
      <c r="H55" s="157"/>
      <c r="I55" s="157"/>
      <c r="J55" s="157"/>
      <c r="K55" s="157"/>
      <c r="L55" s="157"/>
      <c r="M55" s="157"/>
      <c r="N55" s="157"/>
      <c r="O55" s="139"/>
    </row>
    <row r="56" spans="1:25" ht="15.75" customHeight="1" x14ac:dyDescent="0.2">
      <c r="A56" s="144" t="b">
        <v>0</v>
      </c>
      <c r="B56" s="134">
        <f t="shared" si="0"/>
        <v>66</v>
      </c>
      <c r="C56" s="160"/>
      <c r="D56" s="312" t="s">
        <v>594</v>
      </c>
      <c r="E56" s="157"/>
      <c r="F56" s="157"/>
      <c r="G56" s="157"/>
      <c r="H56" s="157"/>
      <c r="I56" s="157"/>
      <c r="J56" s="157"/>
      <c r="K56" s="157"/>
      <c r="L56" s="157"/>
      <c r="M56" s="157"/>
      <c r="N56" s="157"/>
      <c r="O56" s="138" t="str">
        <f>IF(A56=FALSE,"Printer Faulty, required quote and replace","Printer operation PASS")</f>
        <v>Printer Faulty, required quote and replace</v>
      </c>
    </row>
    <row r="57" spans="1:25" x14ac:dyDescent="0.2">
      <c r="A57" s="144" t="b">
        <v>0</v>
      </c>
      <c r="B57" s="134">
        <f t="shared" si="0"/>
        <v>67</v>
      </c>
      <c r="C57" s="153"/>
      <c r="D57" s="313"/>
    </row>
    <row r="58" spans="1:25" x14ac:dyDescent="0.2">
      <c r="A58" s="144" t="b">
        <v>0</v>
      </c>
      <c r="B58" s="134">
        <f t="shared" si="0"/>
        <v>68</v>
      </c>
      <c r="C58" s="153"/>
      <c r="D58" s="340"/>
    </row>
    <row r="59" spans="1:25" x14ac:dyDescent="0.2">
      <c r="A59" s="144" t="b">
        <v>0</v>
      </c>
      <c r="B59" s="134">
        <f t="shared" si="0"/>
        <v>69</v>
      </c>
      <c r="C59" s="153"/>
      <c r="D59" s="340"/>
    </row>
    <row r="60" spans="1:25" x14ac:dyDescent="0.2">
      <c r="A60" s="144" t="b">
        <v>0</v>
      </c>
      <c r="B60" s="134">
        <f t="shared" si="0"/>
        <v>70</v>
      </c>
      <c r="C60" s="161" t="str">
        <f>D5&amp;E5</f>
        <v>-1</v>
      </c>
      <c r="D60" s="340" t="s">
        <v>595</v>
      </c>
    </row>
    <row r="61" spans="1:25" x14ac:dyDescent="0.2">
      <c r="A61" s="144" t="b">
        <v>0</v>
      </c>
      <c r="B61" s="134">
        <f t="shared" si="0"/>
        <v>71</v>
      </c>
      <c r="C61" s="162"/>
      <c r="D61" s="340"/>
    </row>
    <row r="62" spans="1:25" x14ac:dyDescent="0.2">
      <c r="B62" s="134">
        <f t="shared" si="0"/>
        <v>72</v>
      </c>
      <c r="C62" s="136"/>
      <c r="D62" s="292"/>
      <c r="O62" s="524"/>
      <c r="P62" s="524"/>
      <c r="Q62" s="524"/>
      <c r="R62" s="524"/>
      <c r="S62" s="524"/>
      <c r="T62" s="524"/>
      <c r="U62" s="524"/>
      <c r="V62" s="524"/>
      <c r="W62" s="524"/>
      <c r="X62" s="524"/>
      <c r="Y62" s="525"/>
    </row>
    <row r="63" spans="1:25" x14ac:dyDescent="0.2">
      <c r="B63" s="134">
        <f t="shared" si="0"/>
        <v>73</v>
      </c>
      <c r="C63" s="150"/>
      <c r="D63" s="292"/>
    </row>
    <row r="64" spans="1:25" x14ac:dyDescent="0.2">
      <c r="A64" s="144" t="b">
        <v>0</v>
      </c>
      <c r="B64" s="134">
        <f t="shared" si="0"/>
        <v>74</v>
      </c>
      <c r="C64" s="153"/>
      <c r="D64" s="313"/>
      <c r="E64" s="139"/>
      <c r="F64" s="139"/>
      <c r="G64" s="139"/>
      <c r="H64" s="139"/>
      <c r="I64" s="139"/>
      <c r="J64" s="139"/>
      <c r="K64" s="139"/>
      <c r="L64" s="139"/>
      <c r="M64" s="139"/>
      <c r="N64" s="139"/>
      <c r="O64" s="138" t="str">
        <f>IF(A64=TRUE,"Processor performance checked and verified PASS","")</f>
        <v/>
      </c>
    </row>
    <row r="65" spans="1:16" x14ac:dyDescent="0.2">
      <c r="A65" s="144" t="b">
        <v>0</v>
      </c>
      <c r="B65" s="134">
        <f t="shared" si="0"/>
        <v>75</v>
      </c>
      <c r="C65" s="159"/>
      <c r="D65" s="313"/>
      <c r="E65" s="486"/>
      <c r="F65" s="486"/>
      <c r="G65" s="486"/>
      <c r="H65" s="486"/>
      <c r="I65" s="486"/>
      <c r="J65" s="486"/>
      <c r="K65" s="486"/>
      <c r="L65" s="486"/>
      <c r="M65" s="486"/>
      <c r="N65" s="486"/>
    </row>
    <row r="66" spans="1:16" x14ac:dyDescent="0.2">
      <c r="B66" s="134">
        <f t="shared" si="0"/>
        <v>76</v>
      </c>
      <c r="C66" s="163" t="s">
        <v>596</v>
      </c>
      <c r="D66" s="292"/>
    </row>
    <row r="67" spans="1:16" x14ac:dyDescent="0.2">
      <c r="A67" s="164" t="b">
        <v>0</v>
      </c>
      <c r="B67" s="134">
        <f t="shared" si="0"/>
        <v>77</v>
      </c>
      <c r="C67" s="159"/>
      <c r="D67" s="341" t="s">
        <v>597</v>
      </c>
      <c r="E67" s="139"/>
      <c r="F67" s="139"/>
      <c r="G67" s="139"/>
      <c r="H67" s="139"/>
      <c r="I67" s="139"/>
      <c r="J67" s="139"/>
      <c r="K67" s="139"/>
      <c r="L67" s="139"/>
      <c r="M67" s="139"/>
      <c r="N67" s="139"/>
      <c r="O67" s="139"/>
    </row>
    <row r="68" spans="1:16" x14ac:dyDescent="0.2">
      <c r="A68" s="164" t="b">
        <v>0</v>
      </c>
      <c r="B68" s="134">
        <f t="shared" si="0"/>
        <v>78</v>
      </c>
      <c r="C68" s="159"/>
      <c r="D68" s="341" t="s">
        <v>598</v>
      </c>
      <c r="E68" s="139"/>
      <c r="F68" s="139"/>
      <c r="G68" s="139"/>
      <c r="H68" s="139"/>
      <c r="I68" s="139"/>
      <c r="J68" s="139"/>
      <c r="K68" s="139"/>
      <c r="L68" s="139"/>
      <c r="M68" s="139"/>
      <c r="N68" s="139"/>
      <c r="O68" s="139"/>
    </row>
    <row r="69" spans="1:16" x14ac:dyDescent="0.2">
      <c r="A69" s="144" t="b">
        <v>0</v>
      </c>
      <c r="B69" s="134">
        <f t="shared" si="0"/>
        <v>79</v>
      </c>
      <c r="C69" s="159"/>
      <c r="D69" s="313" t="s">
        <v>599</v>
      </c>
      <c r="E69" s="139"/>
      <c r="F69" s="139"/>
      <c r="G69" s="139"/>
      <c r="H69" s="139"/>
      <c r="I69" s="139"/>
      <c r="J69" s="139"/>
      <c r="K69" s="139"/>
      <c r="L69" s="139"/>
      <c r="M69" s="139"/>
      <c r="N69" s="139"/>
      <c r="O69" s="138" t="str">
        <f>IF(A69=FALSE,"Unit was dirty or damaged inside and required extra cleaning","Internal condition good")</f>
        <v>Unit was dirty or damaged inside and required extra cleaning</v>
      </c>
    </row>
    <row r="70" spans="1:16" x14ac:dyDescent="0.2">
      <c r="C70" s="485" t="s">
        <v>433</v>
      </c>
      <c r="D70" s="485"/>
      <c r="E70" s="485"/>
      <c r="F70" s="485"/>
      <c r="G70" s="485"/>
      <c r="H70" s="485"/>
      <c r="I70" s="485"/>
      <c r="J70" s="485"/>
      <c r="K70" s="485"/>
      <c r="L70" s="485"/>
      <c r="M70" s="485"/>
      <c r="N70" s="485"/>
      <c r="O70" s="485"/>
      <c r="P70" s="148"/>
    </row>
    <row r="71" spans="1:16" x14ac:dyDescent="0.2">
      <c r="A71" s="144" t="b">
        <v>0</v>
      </c>
      <c r="B71" s="134">
        <f>B69+1</f>
        <v>80</v>
      </c>
      <c r="C71" s="153"/>
      <c r="D71" s="313" t="s">
        <v>600</v>
      </c>
      <c r="E71" s="486"/>
      <c r="F71" s="486"/>
      <c r="G71" s="486"/>
      <c r="H71" s="486"/>
      <c r="I71" s="486"/>
      <c r="J71" s="486"/>
      <c r="K71" s="486"/>
      <c r="L71" s="486"/>
      <c r="M71" s="486"/>
      <c r="N71" s="486"/>
      <c r="O71" s="138" t="str">
        <f>IF(A71=FALSE,"Initial purge test FAIL","Initial purge test PASS")</f>
        <v>Initial purge test FAIL</v>
      </c>
    </row>
    <row r="72" spans="1:16" x14ac:dyDescent="0.2">
      <c r="A72" s="144" t="b">
        <v>0</v>
      </c>
      <c r="B72" s="134">
        <f t="shared" ref="B72:B135" si="1">B71+1</f>
        <v>81</v>
      </c>
      <c r="C72" s="159"/>
      <c r="D72" s="313" t="s">
        <v>601</v>
      </c>
      <c r="O72" s="138" t="str">
        <f>IF(A72=TRUE,"Damage to pump assembly found, Service Quote Required","Pump unit passed initial inspection")</f>
        <v>Pump unit passed initial inspection</v>
      </c>
    </row>
    <row r="73" spans="1:16" x14ac:dyDescent="0.2">
      <c r="A73" s="144" t="b">
        <v>0</v>
      </c>
      <c r="B73" s="134">
        <f t="shared" si="1"/>
        <v>82</v>
      </c>
      <c r="C73" s="159"/>
      <c r="D73" s="313" t="s">
        <v>602</v>
      </c>
      <c r="E73" s="157"/>
      <c r="F73" s="157"/>
      <c r="G73" s="157"/>
      <c r="H73" s="157"/>
      <c r="I73" s="157"/>
      <c r="J73" s="157"/>
      <c r="K73" s="157"/>
      <c r="L73" s="157"/>
      <c r="M73" s="157"/>
      <c r="N73" s="157"/>
      <c r="O73" s="138" t="str">
        <f>IF(A73=TRUE,"Pump module repaired under warranty","")</f>
        <v/>
      </c>
    </row>
    <row r="74" spans="1:16" x14ac:dyDescent="0.2">
      <c r="A74" s="144" t="b">
        <v>0</v>
      </c>
      <c r="B74" s="134">
        <f t="shared" si="1"/>
        <v>83</v>
      </c>
      <c r="C74" s="159"/>
      <c r="D74" s="313" t="s">
        <v>603</v>
      </c>
      <c r="E74" s="157"/>
      <c r="F74" s="157"/>
      <c r="G74" s="157"/>
      <c r="H74" s="157"/>
      <c r="I74" s="157"/>
      <c r="J74" s="157"/>
      <c r="K74" s="157"/>
      <c r="L74" s="157"/>
      <c r="M74" s="157"/>
      <c r="N74" s="157"/>
    </row>
    <row r="75" spans="1:16" x14ac:dyDescent="0.2">
      <c r="B75" s="134">
        <f t="shared" si="1"/>
        <v>84</v>
      </c>
      <c r="C75" s="165" t="s">
        <v>604</v>
      </c>
      <c r="D75" s="166"/>
      <c r="E75" s="167" t="s">
        <v>328</v>
      </c>
      <c r="F75" s="342" t="s">
        <v>337</v>
      </c>
      <c r="G75" s="139"/>
      <c r="H75" s="167" t="s">
        <v>337</v>
      </c>
      <c r="I75" s="342" t="s">
        <v>337</v>
      </c>
      <c r="J75" s="145"/>
      <c r="K75" s="167" t="s">
        <v>341</v>
      </c>
      <c r="L75" s="343" t="s">
        <v>337</v>
      </c>
      <c r="M75" s="157"/>
      <c r="N75" s="157"/>
    </row>
    <row r="76" spans="1:16" s="145" customFormat="1" x14ac:dyDescent="0.2">
      <c r="A76" s="144" t="b">
        <v>0</v>
      </c>
      <c r="B76" s="134">
        <f t="shared" si="1"/>
        <v>85</v>
      </c>
      <c r="C76" s="159"/>
      <c r="D76" s="313" t="s">
        <v>437</v>
      </c>
      <c r="E76" s="490" t="s">
        <v>605</v>
      </c>
      <c r="F76" s="490"/>
      <c r="G76" s="490"/>
      <c r="H76" s="490"/>
      <c r="I76" s="490"/>
      <c r="J76" s="490"/>
      <c r="K76" s="490"/>
      <c r="L76" s="490"/>
      <c r="M76" s="490"/>
      <c r="N76" s="490"/>
      <c r="O76" s="138" t="str">
        <f>IF(A76=FALSE,"Secondary purge test FAIL/not completed","Secondary purge test PASS")</f>
        <v>Secondary purge test FAIL/not completed</v>
      </c>
      <c r="P76" s="137"/>
    </row>
    <row r="77" spans="1:16" x14ac:dyDescent="0.2">
      <c r="A77" s="144">
        <v>2000</v>
      </c>
      <c r="B77" s="134">
        <f t="shared" si="1"/>
        <v>86</v>
      </c>
      <c r="C77" s="168"/>
      <c r="D77" s="292"/>
      <c r="E77" s="486"/>
      <c r="F77" s="486"/>
      <c r="G77" s="486"/>
      <c r="H77" s="486"/>
      <c r="I77" s="486"/>
      <c r="J77" s="486"/>
      <c r="K77" s="486"/>
      <c r="L77" s="486"/>
      <c r="M77" s="486"/>
      <c r="N77" s="486"/>
      <c r="O77" s="138" t="str">
        <f>IF(D77&lt;550,"Initial Laser 1  check, output outside of specification FAILED/not checked","Initial Laser 1 check, output within specification PASS")</f>
        <v>Initial Laser 1  check, output outside of specification FAILED/not checked</v>
      </c>
    </row>
    <row r="78" spans="1:16" x14ac:dyDescent="0.2">
      <c r="A78" s="144">
        <v>2400</v>
      </c>
      <c r="B78" s="134">
        <f>B77+1</f>
        <v>87</v>
      </c>
      <c r="C78" s="168"/>
      <c r="D78" s="292"/>
      <c r="E78" s="486"/>
      <c r="F78" s="486"/>
      <c r="G78" s="486"/>
      <c r="H78" s="486"/>
      <c r="I78" s="486"/>
      <c r="J78" s="486"/>
      <c r="K78" s="486"/>
      <c r="L78" s="486"/>
      <c r="M78" s="486"/>
      <c r="N78" s="486"/>
      <c r="O78" s="138" t="str">
        <f>IF(D78&lt;800,"Initial Laser 2 check, output outside of specification FAILED/not checked","Initial Laser 2 output within specification PASS")</f>
        <v>Initial Laser 2 check, output outside of specification FAILED/not checked</v>
      </c>
    </row>
    <row r="79" spans="1:16" x14ac:dyDescent="0.2">
      <c r="B79" s="134">
        <f>B78+1</f>
        <v>88</v>
      </c>
      <c r="C79" s="168"/>
      <c r="D79" s="292"/>
      <c r="E79" s="486"/>
      <c r="F79" s="486"/>
      <c r="G79" s="486"/>
      <c r="H79" s="486"/>
      <c r="I79" s="486"/>
      <c r="J79" s="486"/>
      <c r="K79" s="486"/>
      <c r="L79" s="486"/>
      <c r="M79" s="486"/>
      <c r="N79" s="486"/>
      <c r="O79" s="138"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2">
      <c r="B80" s="134">
        <f>B79+1</f>
        <v>89</v>
      </c>
      <c r="C80" s="168"/>
      <c r="D80" s="292"/>
      <c r="E80" s="486"/>
      <c r="F80" s="486"/>
      <c r="G80" s="486"/>
      <c r="H80" s="486"/>
      <c r="I80" s="486"/>
      <c r="J80" s="486"/>
      <c r="K80" s="486"/>
      <c r="L80" s="486"/>
      <c r="M80" s="486"/>
      <c r="N80" s="486"/>
      <c r="O80" s="138" t="str">
        <f>IF(D80&lt;1500,"Initial Laser 2 electrical noise output within specification PASS","Initial Laser 2 noise output outside specification FAILED - RETEST at recalibration")</f>
        <v>Initial Laser 2 electrical noise output within specification PASS</v>
      </c>
    </row>
    <row r="81" spans="1:16" x14ac:dyDescent="0.2">
      <c r="A81" s="149"/>
      <c r="C81" s="485" t="s">
        <v>451</v>
      </c>
      <c r="D81" s="485"/>
      <c r="E81" s="485"/>
      <c r="F81" s="485"/>
      <c r="G81" s="485"/>
      <c r="H81" s="485"/>
      <c r="I81" s="485"/>
      <c r="J81" s="485"/>
      <c r="K81" s="485"/>
      <c r="L81" s="485"/>
      <c r="M81" s="485"/>
      <c r="N81" s="485"/>
      <c r="O81" s="485"/>
      <c r="P81" s="148"/>
    </row>
    <row r="82" spans="1:16" x14ac:dyDescent="0.2">
      <c r="A82" s="144" t="b">
        <v>0</v>
      </c>
      <c r="B82" s="134">
        <f>B80+1</f>
        <v>90</v>
      </c>
      <c r="C82" s="159"/>
      <c r="D82" s="313" t="s">
        <v>606</v>
      </c>
      <c r="E82" s="509"/>
      <c r="F82" s="510"/>
      <c r="G82" s="510"/>
      <c r="H82" s="510"/>
      <c r="I82" s="510"/>
      <c r="J82" s="510"/>
      <c r="K82" s="492" t="s">
        <v>607</v>
      </c>
      <c r="L82" s="492"/>
      <c r="M82" s="492"/>
      <c r="N82" s="492"/>
      <c r="O82" s="138" t="str">
        <f>IF(A82=FALSE,"Pressure reducing valve initial check FAIL/not checked","Pressure reducing valve initial check PASS")</f>
        <v>Pressure reducing valve initial check FAIL/not checked</v>
      </c>
    </row>
    <row r="83" spans="1:16" x14ac:dyDescent="0.2">
      <c r="A83" s="144" t="b">
        <v>0</v>
      </c>
      <c r="B83" s="134">
        <f>B82+1</f>
        <v>91</v>
      </c>
      <c r="C83" s="159"/>
      <c r="D83" s="313" t="s">
        <v>608</v>
      </c>
      <c r="E83" s="157"/>
      <c r="F83" s="157"/>
      <c r="G83" s="157"/>
      <c r="H83" s="157"/>
      <c r="I83" s="157"/>
      <c r="J83" s="157"/>
      <c r="K83" s="137"/>
      <c r="L83" s="137"/>
      <c r="M83" s="137"/>
      <c r="N83" s="137"/>
      <c r="O83" s="138" t="str">
        <f>IF(A83=TRUE,"Piston pump function test PASS","Piston pump function test FAIL/not checked, Service Quote Required")</f>
        <v>Piston pump function test FAIL/not checked, Service Quote Required</v>
      </c>
    </row>
    <row r="84" spans="1:16" x14ac:dyDescent="0.2">
      <c r="A84" s="144" t="b">
        <v>0</v>
      </c>
      <c r="B84" s="134">
        <f t="shared" ref="B84:B89" si="2">B83+1</f>
        <v>92</v>
      </c>
      <c r="C84" s="159"/>
      <c r="D84" s="312" t="s">
        <v>609</v>
      </c>
      <c r="E84" s="490" t="s">
        <v>610</v>
      </c>
      <c r="F84" s="490"/>
      <c r="G84" s="490"/>
      <c r="H84" s="490"/>
      <c r="I84" s="490"/>
      <c r="J84" s="490"/>
      <c r="K84" s="490"/>
      <c r="L84" s="490"/>
      <c r="M84" s="490"/>
      <c r="N84" s="490"/>
      <c r="O84" s="138" t="str">
        <f>IF(A84=TRUE,"SERVICE QUOTE SIGN OFF REQUIRED FROM END USER TO PROGRESS SERVICE","Initial inspection PASS, moved to Service")</f>
        <v>Initial inspection PASS, moved to Service</v>
      </c>
    </row>
    <row r="85" spans="1:16" x14ac:dyDescent="0.2">
      <c r="A85" s="144" t="b">
        <v>0</v>
      </c>
      <c r="B85" s="134">
        <f t="shared" si="2"/>
        <v>93</v>
      </c>
      <c r="C85" s="159"/>
      <c r="D85" s="312" t="s">
        <v>611</v>
      </c>
      <c r="E85" s="487" t="s">
        <v>612</v>
      </c>
      <c r="F85" s="487"/>
      <c r="G85" s="487"/>
      <c r="H85" s="487"/>
      <c r="I85" s="487"/>
      <c r="J85" s="487"/>
      <c r="K85" s="526"/>
      <c r="L85" s="526"/>
      <c r="M85" s="526"/>
      <c r="N85" s="526"/>
      <c r="O85" s="138" t="str">
        <f>IF(A85=TRUE,"Customer advised of additional work required for approval","")</f>
        <v/>
      </c>
    </row>
    <row r="86" spans="1:16" x14ac:dyDescent="0.2">
      <c r="A86" s="144" t="b">
        <v>0</v>
      </c>
      <c r="B86" s="134">
        <f t="shared" si="2"/>
        <v>94</v>
      </c>
      <c r="C86" s="159"/>
      <c r="D86" s="312" t="s">
        <v>613</v>
      </c>
      <c r="E86" s="490" t="s">
        <v>610</v>
      </c>
      <c r="F86" s="490"/>
      <c r="G86" s="490"/>
      <c r="H86" s="490"/>
      <c r="I86" s="490"/>
      <c r="J86" s="490"/>
      <c r="K86" s="490"/>
      <c r="L86" s="490"/>
      <c r="M86" s="490"/>
      <c r="N86" s="490"/>
      <c r="O86" s="138" t="str">
        <f>IF(A86=TRUE,"SALES ORDER WAS REQUIRED TO PROGRESS SERVICE","Initial inspection PASS, moved to Service")</f>
        <v>Initial inspection PASS, moved to Service</v>
      </c>
    </row>
    <row r="87" spans="1:16" x14ac:dyDescent="0.2">
      <c r="A87" s="144" t="b">
        <v>0</v>
      </c>
      <c r="B87" s="134">
        <f t="shared" si="2"/>
        <v>95</v>
      </c>
      <c r="C87" s="159"/>
      <c r="D87" s="312" t="s">
        <v>614</v>
      </c>
      <c r="E87" s="487" t="s">
        <v>615</v>
      </c>
      <c r="F87" s="487"/>
      <c r="G87" s="487"/>
      <c r="H87" s="487"/>
      <c r="I87" s="487"/>
      <c r="J87" s="487"/>
      <c r="K87" s="526"/>
      <c r="L87" s="526"/>
      <c r="M87" s="526"/>
      <c r="N87" s="526"/>
      <c r="O87" s="138" t="str">
        <f>IF(A87=TRUE,"Customer advised of order requirement","Sales Order raised, passed to Service")</f>
        <v>Sales Order raised, passed to Service</v>
      </c>
    </row>
    <row r="88" spans="1:16" x14ac:dyDescent="0.2">
      <c r="B88" s="134">
        <f t="shared" si="2"/>
        <v>96</v>
      </c>
      <c r="C88" s="150" t="s">
        <v>616</v>
      </c>
      <c r="D88" s="302"/>
      <c r="E88" s="152"/>
      <c r="F88" s="139"/>
      <c r="G88" s="150"/>
      <c r="H88" s="150"/>
      <c r="I88" s="150"/>
      <c r="J88" s="150"/>
      <c r="K88" s="139"/>
      <c r="L88" s="169"/>
      <c r="M88" s="169"/>
      <c r="N88" s="169"/>
      <c r="O88" s="137"/>
    </row>
    <row r="89" spans="1:16" x14ac:dyDescent="0.2">
      <c r="B89" s="134">
        <f t="shared" si="2"/>
        <v>97</v>
      </c>
      <c r="C89" s="150" t="s">
        <v>617</v>
      </c>
      <c r="D89" s="329"/>
      <c r="E89" s="152" t="s">
        <v>618</v>
      </c>
      <c r="F89" s="139"/>
      <c r="G89" s="150"/>
      <c r="H89" s="150"/>
      <c r="I89" s="514">
        <f>D89-D16</f>
        <v>0</v>
      </c>
      <c r="J89" s="514"/>
      <c r="K89" s="514"/>
      <c r="L89" s="514"/>
      <c r="M89" s="514"/>
      <c r="N89" s="514"/>
      <c r="O89" s="139"/>
    </row>
    <row r="90" spans="1:16" x14ac:dyDescent="0.2">
      <c r="C90" s="485" t="s">
        <v>443</v>
      </c>
      <c r="D90" s="485"/>
      <c r="E90" s="485"/>
      <c r="F90" s="485"/>
      <c r="G90" s="485"/>
      <c r="H90" s="485"/>
      <c r="I90" s="485"/>
      <c r="J90" s="485"/>
      <c r="K90" s="485"/>
      <c r="L90" s="485"/>
      <c r="M90" s="485"/>
      <c r="N90" s="485"/>
      <c r="O90" s="485"/>
      <c r="P90" s="148"/>
    </row>
    <row r="91" spans="1:16" s="145" customFormat="1" ht="15.75" customHeight="1" x14ac:dyDescent="0.2">
      <c r="A91" s="149"/>
      <c r="B91" s="134">
        <f>B89+1</f>
        <v>98</v>
      </c>
      <c r="C91" s="150" t="s">
        <v>444</v>
      </c>
      <c r="D91" s="302"/>
      <c r="E91" s="487" t="s">
        <v>372</v>
      </c>
      <c r="F91" s="487"/>
      <c r="G91" s="515" t="str">
        <f>IF(D91=$D$7,"ON TIME",IF(D91&gt;$D$7,"LATE",IF(D91&lt;$D$7,"EARLY")))</f>
        <v>ON TIME</v>
      </c>
      <c r="H91" s="515"/>
      <c r="I91" s="515"/>
      <c r="J91" s="515"/>
      <c r="K91" s="515"/>
      <c r="L91" s="515"/>
      <c r="M91" s="515"/>
      <c r="N91" s="515"/>
      <c r="O91" s="157"/>
      <c r="P91" s="157"/>
    </row>
    <row r="92" spans="1:16" s="145" customFormat="1" ht="15.75" customHeight="1" x14ac:dyDescent="0.2">
      <c r="A92" s="149"/>
      <c r="B92" s="134">
        <f t="shared" si="1"/>
        <v>99</v>
      </c>
      <c r="C92" s="150" t="s">
        <v>619</v>
      </c>
      <c r="D92" s="329"/>
      <c r="E92" s="148"/>
      <c r="G92" s="150"/>
      <c r="H92" s="150"/>
      <c r="I92" s="150"/>
      <c r="J92" s="150"/>
      <c r="L92" s="151"/>
      <c r="M92" s="151"/>
      <c r="N92" s="151"/>
      <c r="O92" s="148"/>
      <c r="P92" s="148"/>
    </row>
    <row r="93" spans="1:16" x14ac:dyDescent="0.2">
      <c r="A93" s="144" t="b">
        <v>0</v>
      </c>
      <c r="B93" s="134">
        <f t="shared" si="1"/>
        <v>100</v>
      </c>
      <c r="C93" s="170"/>
      <c r="D93" s="313" t="s">
        <v>620</v>
      </c>
      <c r="E93" s="511">
        <v>0</v>
      </c>
      <c r="F93" s="511"/>
      <c r="G93" s="511"/>
      <c r="H93" s="511"/>
      <c r="I93" s="511"/>
      <c r="J93" s="511"/>
      <c r="K93" s="511"/>
      <c r="L93" s="511"/>
      <c r="M93" s="511"/>
      <c r="N93" s="511"/>
      <c r="O93" s="138" t="str">
        <f>IF(A93=TRUE,"SO received and on system","Awaiting customers purchase order")</f>
        <v>Awaiting customers purchase order</v>
      </c>
      <c r="P93" s="145"/>
    </row>
    <row r="94" spans="1:16" x14ac:dyDescent="0.2">
      <c r="A94" s="144" t="b">
        <v>0</v>
      </c>
      <c r="B94" s="134">
        <f t="shared" si="1"/>
        <v>101</v>
      </c>
      <c r="C94" s="170"/>
      <c r="D94" s="313" t="s">
        <v>621</v>
      </c>
      <c r="E94" s="511">
        <v>0</v>
      </c>
      <c r="F94" s="511"/>
      <c r="G94" s="511"/>
      <c r="H94" s="511"/>
      <c r="I94" s="511"/>
      <c r="J94" s="511"/>
      <c r="K94" s="511"/>
      <c r="L94" s="511"/>
      <c r="M94" s="511"/>
      <c r="N94" s="511"/>
      <c r="O94" s="138" t="str">
        <f>IF(A94=TRUE,"WO processed, service can be started","Awaiting customers purchase order")</f>
        <v>Awaiting customers purchase order</v>
      </c>
      <c r="P94" s="145"/>
    </row>
    <row r="95" spans="1:16" x14ac:dyDescent="0.2">
      <c r="A95" s="144" t="b">
        <v>0</v>
      </c>
      <c r="B95" s="134">
        <f t="shared" si="1"/>
        <v>102</v>
      </c>
      <c r="C95" s="159"/>
      <c r="D95" s="313" t="s">
        <v>622</v>
      </c>
      <c r="E95" s="157"/>
      <c r="F95" s="157"/>
      <c r="G95" s="157"/>
      <c r="H95" s="157"/>
      <c r="I95" s="157"/>
      <c r="J95" s="157"/>
      <c r="K95" s="157"/>
      <c r="L95" s="157"/>
      <c r="M95" s="157"/>
      <c r="N95" s="157"/>
      <c r="O95" s="138" t="s">
        <v>623</v>
      </c>
      <c r="P95" s="145"/>
    </row>
    <row r="96" spans="1:16" x14ac:dyDescent="0.2">
      <c r="B96" s="134">
        <f t="shared" si="1"/>
        <v>103</v>
      </c>
      <c r="C96" s="165" t="s">
        <v>624</v>
      </c>
      <c r="D96" s="344"/>
      <c r="E96" s="167" t="str">
        <f>E75</f>
        <v>M</v>
      </c>
      <c r="F96" s="171" t="str">
        <f>F75</f>
        <v>N</v>
      </c>
      <c r="G96" s="139"/>
      <c r="H96" s="167" t="s">
        <v>337</v>
      </c>
      <c r="I96" s="171" t="str">
        <f>I75</f>
        <v>N</v>
      </c>
      <c r="J96" s="139"/>
      <c r="K96" s="167" t="s">
        <v>341</v>
      </c>
      <c r="L96" s="172" t="str">
        <f>L75</f>
        <v>N</v>
      </c>
      <c r="M96" s="157"/>
      <c r="N96" s="157"/>
      <c r="P96" s="145"/>
    </row>
    <row r="97" spans="1:15" x14ac:dyDescent="0.2">
      <c r="A97" s="144" t="b">
        <v>0</v>
      </c>
      <c r="B97" s="134">
        <f t="shared" si="1"/>
        <v>104</v>
      </c>
      <c r="C97" s="159"/>
      <c r="D97" s="313"/>
      <c r="E97" s="527"/>
      <c r="F97" s="528"/>
      <c r="G97" s="528"/>
      <c r="H97" s="528"/>
      <c r="I97" s="528"/>
      <c r="J97" s="528"/>
      <c r="K97" s="492" t="s">
        <v>607</v>
      </c>
      <c r="L97" s="492"/>
      <c r="M97" s="492"/>
      <c r="N97" s="492"/>
      <c r="O97" s="138" t="str">
        <f>IF(A97=TRUE,"Pressure reducing valve value logged PASS","")</f>
        <v/>
      </c>
    </row>
    <row r="98" spans="1:15" x14ac:dyDescent="0.2">
      <c r="A98" s="144" t="b">
        <v>0</v>
      </c>
      <c r="B98" s="134">
        <f t="shared" si="1"/>
        <v>105</v>
      </c>
      <c r="C98" s="159"/>
      <c r="D98" s="313"/>
      <c r="E98" s="157"/>
      <c r="F98" s="157"/>
      <c r="G98" s="157"/>
      <c r="H98" s="157"/>
      <c r="I98" s="157"/>
      <c r="J98" s="157"/>
      <c r="K98" s="137"/>
      <c r="L98" s="137"/>
      <c r="M98" s="137"/>
      <c r="N98" s="137"/>
      <c r="O98" s="138" t="str">
        <f>IF(A98=TRUE,"Piston pump function test PASS","")</f>
        <v/>
      </c>
    </row>
    <row r="99" spans="1:15" x14ac:dyDescent="0.2">
      <c r="B99" s="134">
        <f t="shared" si="1"/>
        <v>106</v>
      </c>
      <c r="C99" s="168" t="s">
        <v>625</v>
      </c>
      <c r="D99" s="292"/>
      <c r="E99" s="529"/>
      <c r="F99" s="486"/>
      <c r="G99" s="486"/>
      <c r="H99" s="486"/>
      <c r="I99" s="486"/>
      <c r="J99" s="486"/>
      <c r="K99" s="486"/>
      <c r="L99" s="486"/>
      <c r="M99" s="486"/>
      <c r="N99" s="486"/>
      <c r="O99" s="138" t="str">
        <f>IF(D99&lt;550,"Laser 1 output outside of specification FAILED","Laser 1 output within specification PASS")</f>
        <v>Laser 1 output outside of specification FAILED</v>
      </c>
    </row>
    <row r="100" spans="1:15" x14ac:dyDescent="0.2">
      <c r="B100" s="134">
        <f t="shared" si="1"/>
        <v>107</v>
      </c>
      <c r="C100" s="168" t="s">
        <v>626</v>
      </c>
      <c r="D100" s="292"/>
      <c r="E100" s="529"/>
      <c r="F100" s="486"/>
      <c r="G100" s="486"/>
      <c r="H100" s="486"/>
      <c r="I100" s="486"/>
      <c r="J100" s="486"/>
      <c r="K100" s="486"/>
      <c r="L100" s="486"/>
      <c r="M100" s="486"/>
      <c r="N100" s="486"/>
      <c r="O100" s="138" t="str">
        <f>IF(D100&lt;800,"Laser 2 output outside of specification FAILED","Laser 2 output within specification PASS")</f>
        <v>Laser 2 output outside of specification FAILED</v>
      </c>
    </row>
    <row r="101" spans="1:15" x14ac:dyDescent="0.2">
      <c r="B101" s="134">
        <f t="shared" si="1"/>
        <v>108</v>
      </c>
      <c r="C101" s="168" t="s">
        <v>627</v>
      </c>
      <c r="D101" s="292"/>
      <c r="E101" s="529"/>
      <c r="F101" s="486"/>
      <c r="G101" s="486"/>
      <c r="H101" s="486"/>
      <c r="I101" s="486"/>
      <c r="J101" s="486"/>
      <c r="K101" s="486"/>
      <c r="L101" s="486"/>
      <c r="M101" s="486"/>
      <c r="N101" s="486"/>
      <c r="O101" s="138" t="str">
        <f>IF(D101&lt;1500,"Laser 1 NOISE output within specification PASS","Laser 1 NOISE output outside specification FAILED")</f>
        <v>Laser 1 NOISE output within specification PASS</v>
      </c>
    </row>
    <row r="102" spans="1:15" x14ac:dyDescent="0.2">
      <c r="B102" s="134">
        <f t="shared" si="1"/>
        <v>109</v>
      </c>
      <c r="C102" s="168" t="s">
        <v>628</v>
      </c>
      <c r="D102" s="292"/>
      <c r="E102" s="529"/>
      <c r="F102" s="486"/>
      <c r="G102" s="486"/>
      <c r="H102" s="486"/>
      <c r="I102" s="486"/>
      <c r="J102" s="486"/>
      <c r="K102" s="486"/>
      <c r="L102" s="486"/>
      <c r="M102" s="486"/>
      <c r="N102" s="486"/>
      <c r="O102" s="138" t="str">
        <f>IF(D102&lt;1500,"Laser 2 NOISE output within specification PASS","Laser 2 NOISE output outside specification FAILED")</f>
        <v>Laser 2 NOISE output within specification PASS</v>
      </c>
    </row>
    <row r="103" spans="1:15" x14ac:dyDescent="0.2">
      <c r="A103" s="144" t="b">
        <v>0</v>
      </c>
      <c r="B103" s="134">
        <f t="shared" si="1"/>
        <v>110</v>
      </c>
      <c r="C103" s="170"/>
      <c r="D103" s="313" t="s">
        <v>629</v>
      </c>
      <c r="E103" s="490" t="s">
        <v>450</v>
      </c>
      <c r="F103" s="490"/>
      <c r="G103" s="490"/>
      <c r="H103" s="490"/>
      <c r="I103" s="490"/>
      <c r="J103" s="490"/>
      <c r="K103" s="490"/>
      <c r="L103" s="490"/>
      <c r="M103" s="490"/>
      <c r="N103" s="490"/>
      <c r="O103" s="138" t="str">
        <f>IF(A103=TRUE,"DC connector inspected and tests OK","")</f>
        <v/>
      </c>
    </row>
    <row r="104" spans="1:15" x14ac:dyDescent="0.2">
      <c r="A104" s="144" t="b">
        <v>0</v>
      </c>
      <c r="B104" s="134">
        <f t="shared" si="1"/>
        <v>111</v>
      </c>
      <c r="C104" s="170"/>
      <c r="D104" s="313" t="s">
        <v>630</v>
      </c>
      <c r="E104" s="157"/>
      <c r="F104" s="157"/>
      <c r="G104" s="157"/>
      <c r="H104" s="157"/>
      <c r="I104" s="157"/>
      <c r="J104" s="157"/>
      <c r="K104" s="157"/>
      <c r="L104" s="157"/>
      <c r="M104" s="157"/>
      <c r="N104" s="157"/>
      <c r="O104" s="138" t="str">
        <f>IF(A104=TRUE,"Clock battery replaced as part of service. Please note: as a result of this time &amp; date has been set to local GMT","")</f>
        <v/>
      </c>
    </row>
    <row r="105" spans="1:15" x14ac:dyDescent="0.2">
      <c r="A105" s="144" t="b">
        <v>0</v>
      </c>
      <c r="B105" s="134">
        <f t="shared" si="1"/>
        <v>112</v>
      </c>
      <c r="C105" s="170"/>
      <c r="D105" s="313" t="s">
        <v>631</v>
      </c>
      <c r="E105" s="157"/>
      <c r="F105" s="157"/>
      <c r="G105" s="157"/>
      <c r="H105" s="157"/>
      <c r="I105" s="157"/>
      <c r="J105" s="157"/>
      <c r="K105" s="157"/>
      <c r="L105" s="157"/>
      <c r="M105" s="157"/>
      <c r="N105" s="157"/>
    </row>
    <row r="106" spans="1:15" x14ac:dyDescent="0.2">
      <c r="A106" s="144" t="b">
        <v>0</v>
      </c>
      <c r="B106" s="134">
        <f t="shared" si="1"/>
        <v>113</v>
      </c>
      <c r="C106" s="170"/>
      <c r="D106" s="313" t="s">
        <v>632</v>
      </c>
      <c r="E106" s="157"/>
      <c r="F106" s="157"/>
      <c r="G106" s="157"/>
      <c r="H106" s="157"/>
      <c r="I106" s="157"/>
      <c r="J106" s="157"/>
      <c r="K106" s="157"/>
      <c r="L106" s="157"/>
      <c r="M106" s="157"/>
      <c r="N106" s="157"/>
    </row>
    <row r="107" spans="1:15" x14ac:dyDescent="0.2">
      <c r="A107" s="144" t="b">
        <v>0</v>
      </c>
      <c r="B107" s="134">
        <f t="shared" si="1"/>
        <v>114</v>
      </c>
      <c r="C107" s="160"/>
      <c r="D107" s="313" t="s">
        <v>448</v>
      </c>
      <c r="E107" s="157"/>
      <c r="F107" s="157"/>
      <c r="G107" s="157"/>
      <c r="H107" s="157"/>
      <c r="I107" s="157"/>
      <c r="J107" s="157"/>
      <c r="K107" s="157"/>
      <c r="L107" s="157"/>
      <c r="M107" s="157"/>
      <c r="N107" s="157"/>
      <c r="O107" s="138" t="str">
        <f>IF(A107=TRUE,"Unit cleaned inside and out","")</f>
        <v/>
      </c>
    </row>
    <row r="108" spans="1:15" x14ac:dyDescent="0.2">
      <c r="A108" s="144" t="b">
        <v>0</v>
      </c>
      <c r="B108" s="134">
        <f t="shared" si="1"/>
        <v>115</v>
      </c>
      <c r="C108" s="159"/>
      <c r="D108" s="313" t="s">
        <v>633</v>
      </c>
      <c r="E108" s="157"/>
      <c r="F108" s="157"/>
      <c r="G108" s="157"/>
      <c r="H108" s="157"/>
      <c r="I108" s="157"/>
      <c r="J108" s="157"/>
      <c r="K108" s="157"/>
      <c r="L108" s="157"/>
      <c r="M108" s="157"/>
      <c r="N108" s="157"/>
      <c r="O108" s="138" t="str">
        <f>IF(A108=TRUE,"Flush valve module serviced","")</f>
        <v/>
      </c>
    </row>
    <row r="109" spans="1:15" x14ac:dyDescent="0.2">
      <c r="A109" s="144" t="b">
        <v>0</v>
      </c>
      <c r="B109" s="134">
        <f t="shared" si="1"/>
        <v>116</v>
      </c>
      <c r="C109" s="170"/>
      <c r="D109" s="313" t="s">
        <v>634</v>
      </c>
      <c r="E109" s="490" t="s">
        <v>450</v>
      </c>
      <c r="F109" s="490"/>
      <c r="G109" s="490"/>
      <c r="H109" s="490"/>
      <c r="I109" s="490"/>
      <c r="J109" s="490"/>
      <c r="K109" s="490"/>
      <c r="L109" s="490"/>
      <c r="M109" s="490"/>
      <c r="N109" s="490"/>
      <c r="O109" s="138" t="str">
        <f>IF(A109=TRUE,"Battery clamps inspected PASS","")</f>
        <v/>
      </c>
    </row>
    <row r="110" spans="1:15" x14ac:dyDescent="0.2">
      <c r="A110" s="144" t="b">
        <v>0</v>
      </c>
      <c r="B110" s="134">
        <f t="shared" si="1"/>
        <v>117</v>
      </c>
      <c r="C110" s="160"/>
      <c r="D110" s="313"/>
      <c r="E110" s="157"/>
      <c r="F110" s="157"/>
      <c r="G110" s="157"/>
      <c r="H110" s="157"/>
      <c r="I110" s="157"/>
      <c r="J110" s="157"/>
      <c r="K110" s="157"/>
      <c r="L110" s="157"/>
      <c r="M110" s="157"/>
      <c r="N110" s="157"/>
      <c r="O110" s="138" t="str">
        <f>IF(A110=TRUE,"Battery replaced as part of service","")</f>
        <v/>
      </c>
    </row>
    <row r="111" spans="1:15" x14ac:dyDescent="0.2">
      <c r="A111" s="144" t="b">
        <v>0</v>
      </c>
      <c r="B111" s="134">
        <f t="shared" si="1"/>
        <v>118</v>
      </c>
      <c r="C111" s="160"/>
      <c r="D111" s="313"/>
      <c r="E111" s="157"/>
      <c r="F111" s="157"/>
      <c r="G111" s="157"/>
      <c r="H111" s="157"/>
      <c r="I111" s="157"/>
      <c r="J111" s="157"/>
      <c r="K111" s="157"/>
      <c r="L111" s="157"/>
      <c r="M111" s="157"/>
      <c r="N111" s="157"/>
    </row>
    <row r="112" spans="1:15" x14ac:dyDescent="0.2">
      <c r="A112" s="144" t="b">
        <v>0</v>
      </c>
      <c r="B112" s="134">
        <f>B110+1</f>
        <v>118</v>
      </c>
      <c r="C112" s="159"/>
      <c r="D112" s="313"/>
      <c r="E112" s="139"/>
      <c r="F112" s="157"/>
      <c r="G112" s="137" t="s">
        <v>635</v>
      </c>
      <c r="H112" s="157"/>
      <c r="I112" s="157"/>
      <c r="J112" s="157"/>
      <c r="K112" s="528"/>
      <c r="L112" s="528"/>
      <c r="M112" s="528"/>
      <c r="N112" s="528"/>
      <c r="O112" s="138" t="str">
        <f>IF(A112=TRUE,"Moisture sensor replaced as part of service","")</f>
        <v/>
      </c>
    </row>
    <row r="113" spans="1:16" x14ac:dyDescent="0.2">
      <c r="A113" s="144" t="b">
        <v>0</v>
      </c>
      <c r="B113" s="134">
        <f t="shared" si="1"/>
        <v>119</v>
      </c>
      <c r="C113" s="159"/>
      <c r="D113" s="313" t="s">
        <v>636</v>
      </c>
      <c r="E113" s="527"/>
      <c r="F113" s="528"/>
      <c r="G113" s="145" t="s">
        <v>637</v>
      </c>
      <c r="I113" s="528"/>
      <c r="J113" s="528"/>
      <c r="K113" s="145" t="s">
        <v>638</v>
      </c>
      <c r="O113" s="138" t="str">
        <f>IF(A113=TRUE,"Moisture sensor initial test PASS","")</f>
        <v/>
      </c>
    </row>
    <row r="114" spans="1:16" x14ac:dyDescent="0.2">
      <c r="A114" s="144" t="b">
        <v>0</v>
      </c>
      <c r="B114" s="134">
        <f t="shared" si="1"/>
        <v>120</v>
      </c>
      <c r="C114" s="160"/>
      <c r="D114" s="313" t="s">
        <v>639</v>
      </c>
      <c r="E114" s="157"/>
      <c r="F114" s="157"/>
      <c r="G114" s="157"/>
      <c r="H114" s="157"/>
      <c r="I114" s="157"/>
      <c r="J114" s="157"/>
      <c r="K114" s="157"/>
      <c r="L114" s="157"/>
      <c r="M114" s="157"/>
      <c r="N114" s="157"/>
      <c r="O114" s="138" t="str">
        <f>IF(A114=TRUE,"Internal plumbing tested/replaced where necessary","")</f>
        <v/>
      </c>
    </row>
    <row r="115" spans="1:16" x14ac:dyDescent="0.2">
      <c r="A115" s="144" t="b">
        <v>0</v>
      </c>
      <c r="B115" s="134">
        <f t="shared" si="1"/>
        <v>121</v>
      </c>
      <c r="C115" s="160"/>
      <c r="D115" s="313" t="s">
        <v>640</v>
      </c>
      <c r="E115" s="528"/>
      <c r="F115" s="528"/>
      <c r="G115" s="528"/>
      <c r="H115" s="528"/>
      <c r="I115" s="157"/>
      <c r="J115" s="157"/>
      <c r="K115" s="157"/>
      <c r="L115" s="157"/>
      <c r="M115" s="157"/>
      <c r="N115" s="157"/>
    </row>
    <row r="116" spans="1:16" x14ac:dyDescent="0.2">
      <c r="A116" s="144" t="b">
        <v>0</v>
      </c>
      <c r="B116" s="134">
        <f t="shared" si="1"/>
        <v>122</v>
      </c>
      <c r="C116" s="173"/>
      <c r="D116" s="313" t="s">
        <v>641</v>
      </c>
      <c r="E116" s="157"/>
      <c r="F116" s="157"/>
      <c r="G116" s="157"/>
      <c r="H116" s="157"/>
      <c r="I116" s="157"/>
      <c r="J116" s="157"/>
      <c r="K116" s="157"/>
      <c r="L116" s="157"/>
      <c r="M116" s="157"/>
      <c r="N116" s="157"/>
      <c r="O116" s="138" t="str">
        <f>IF(A116=TRUE,"Internal fittings tested/replaced where necessary","")</f>
        <v/>
      </c>
    </row>
    <row r="117" spans="1:16" x14ac:dyDescent="0.2">
      <c r="A117" s="144" t="b">
        <v>0</v>
      </c>
      <c r="B117" s="134">
        <f t="shared" si="1"/>
        <v>123</v>
      </c>
      <c r="C117" s="160"/>
      <c r="D117" s="313" t="s">
        <v>642</v>
      </c>
      <c r="E117" s="157"/>
      <c r="F117" s="157"/>
      <c r="G117" s="157"/>
      <c r="H117" s="157"/>
      <c r="I117" s="157"/>
      <c r="J117" s="157"/>
      <c r="K117" s="157"/>
      <c r="L117" s="157"/>
      <c r="M117" s="157"/>
      <c r="N117" s="157"/>
      <c r="O117" s="138" t="str">
        <f>IF(A117=TRUE,"PCB ribbon cables secured where necessary","Ribbon cables all secure")</f>
        <v>Ribbon cables all secure</v>
      </c>
    </row>
    <row r="118" spans="1:16" x14ac:dyDescent="0.2">
      <c r="A118" s="144" t="b">
        <v>0</v>
      </c>
      <c r="B118" s="134">
        <f t="shared" si="1"/>
        <v>124</v>
      </c>
      <c r="C118" s="160"/>
      <c r="D118" s="313"/>
      <c r="E118" s="157"/>
      <c r="F118" s="157"/>
      <c r="G118" s="157"/>
      <c r="H118" s="157"/>
      <c r="I118" s="157"/>
      <c r="J118" s="157"/>
      <c r="K118" s="157"/>
      <c r="L118" s="157"/>
      <c r="M118" s="157"/>
      <c r="N118" s="157"/>
      <c r="O118" s="138" t="str">
        <f>IF(A118=TRUE,"Faceplate Brackets checked PASS","")</f>
        <v/>
      </c>
    </row>
    <row r="119" spans="1:16" x14ac:dyDescent="0.2">
      <c r="A119" s="144" t="b">
        <v>0</v>
      </c>
      <c r="B119" s="134">
        <f t="shared" si="1"/>
        <v>125</v>
      </c>
      <c r="C119" s="159"/>
      <c r="D119" s="345"/>
      <c r="E119" s="157"/>
      <c r="F119" s="157"/>
      <c r="G119" s="157"/>
      <c r="H119" s="157"/>
      <c r="I119" s="157"/>
      <c r="J119" s="157"/>
      <c r="K119" s="157"/>
      <c r="L119" s="157"/>
      <c r="M119" s="157"/>
      <c r="N119" s="157"/>
      <c r="O119" s="138" t="str">
        <f>IF(A119=TRUE,"New lid organiser fitted","No requirement to replace lid organiser")</f>
        <v>No requirement to replace lid organiser</v>
      </c>
    </row>
    <row r="120" spans="1:16" x14ac:dyDescent="0.2">
      <c r="A120" s="149"/>
      <c r="C120" s="485" t="s">
        <v>451</v>
      </c>
      <c r="D120" s="485"/>
      <c r="E120" s="485"/>
      <c r="F120" s="485"/>
      <c r="G120" s="485"/>
      <c r="H120" s="485"/>
      <c r="I120" s="485"/>
      <c r="J120" s="485"/>
      <c r="K120" s="485"/>
      <c r="L120" s="485"/>
      <c r="M120" s="485"/>
      <c r="N120" s="485"/>
      <c r="O120" s="485"/>
      <c r="P120" s="148"/>
    </row>
    <row r="121" spans="1:16" x14ac:dyDescent="0.2">
      <c r="A121" s="144" t="b">
        <v>0</v>
      </c>
      <c r="B121" s="134">
        <f>B119+1</f>
        <v>126</v>
      </c>
      <c r="C121" s="160"/>
      <c r="D121" s="313" t="s">
        <v>643</v>
      </c>
      <c r="E121" s="157"/>
      <c r="F121" s="157"/>
      <c r="G121" s="157"/>
      <c r="H121" s="157"/>
      <c r="I121" s="157"/>
      <c r="J121" s="157"/>
      <c r="K121" s="157"/>
      <c r="L121" s="157"/>
      <c r="M121" s="157"/>
      <c r="N121" s="157"/>
      <c r="O121" s="138" t="str">
        <f>IF(A121=TRUE,"External signal plug and associated alarm circuit tested PASS","")</f>
        <v/>
      </c>
    </row>
    <row r="122" spans="1:16" x14ac:dyDescent="0.2">
      <c r="B122" s="134">
        <f t="shared" si="1"/>
        <v>127</v>
      </c>
      <c r="C122" s="136" t="s">
        <v>644</v>
      </c>
      <c r="D122" s="292"/>
      <c r="E122" s="157"/>
      <c r="F122" s="157"/>
      <c r="G122" s="157"/>
      <c r="H122" s="157"/>
      <c r="I122" s="157"/>
      <c r="J122" s="157"/>
      <c r="K122" s="157"/>
      <c r="L122" s="157"/>
      <c r="M122" s="157"/>
      <c r="N122" s="157"/>
      <c r="O122" s="138" t="str">
        <f>IF(D122&gt;=(D123+1),"Flush valve pressure test PASSED","Flush valve pressure test FAILED")</f>
        <v>Flush valve pressure test FAILED</v>
      </c>
    </row>
    <row r="123" spans="1:16" x14ac:dyDescent="0.2">
      <c r="B123" s="134">
        <f t="shared" si="1"/>
        <v>128</v>
      </c>
      <c r="C123" s="136" t="s">
        <v>645</v>
      </c>
      <c r="D123" s="292"/>
      <c r="E123" s="157"/>
      <c r="F123" s="157"/>
      <c r="G123" s="157"/>
      <c r="H123" s="157"/>
      <c r="I123" s="157"/>
      <c r="J123" s="157"/>
      <c r="K123" s="157"/>
      <c r="L123" s="157"/>
      <c r="M123" s="157"/>
      <c r="N123" s="157"/>
      <c r="O123" s="138" t="str">
        <f>IF(D123&lt;2.51,"Internal pressure reducing valve pressure test PASS","Internal pressure reducing valve pressure test FAILED")</f>
        <v>Internal pressure reducing valve pressure test PASS</v>
      </c>
    </row>
    <row r="124" spans="1:16" x14ac:dyDescent="0.2">
      <c r="A124" s="144">
        <v>2000</v>
      </c>
      <c r="B124" s="134">
        <f t="shared" si="1"/>
        <v>129</v>
      </c>
      <c r="C124" s="136" t="s">
        <v>625</v>
      </c>
      <c r="D124" s="292"/>
      <c r="E124" s="486"/>
      <c r="F124" s="486"/>
      <c r="G124" s="486"/>
      <c r="H124" s="486"/>
      <c r="I124" s="486"/>
      <c r="J124" s="486"/>
      <c r="K124" s="486"/>
      <c r="L124" s="486"/>
      <c r="M124" s="486"/>
      <c r="N124" s="486"/>
      <c r="O124" s="138" t="str">
        <f>IF(D124&lt;550,"Laser 1 output outside of specification FAILED","Laser 1 output within specification PASS")</f>
        <v>Laser 1 output outside of specification FAILED</v>
      </c>
    </row>
    <row r="125" spans="1:16" x14ac:dyDescent="0.2">
      <c r="A125" s="144">
        <v>2400</v>
      </c>
      <c r="B125" s="134">
        <f t="shared" si="1"/>
        <v>130</v>
      </c>
      <c r="C125" s="136" t="s">
        <v>626</v>
      </c>
      <c r="D125" s="292"/>
      <c r="E125" s="486"/>
      <c r="F125" s="486"/>
      <c r="G125" s="486"/>
      <c r="H125" s="486"/>
      <c r="I125" s="486"/>
      <c r="J125" s="486"/>
      <c r="K125" s="486"/>
      <c r="L125" s="486"/>
      <c r="M125" s="486"/>
      <c r="N125" s="486"/>
      <c r="O125" s="138" t="str">
        <f>IF(D125&lt;800,"Laser 2 output outside of specification FAILED","Laser 2 output within specification PASS")</f>
        <v>Laser 2 output outside of specification FAILED</v>
      </c>
    </row>
    <row r="126" spans="1:16" x14ac:dyDescent="0.2">
      <c r="A126" s="144" t="b">
        <v>0</v>
      </c>
      <c r="B126" s="134">
        <f t="shared" si="1"/>
        <v>131</v>
      </c>
      <c r="C126" s="174"/>
      <c r="D126" s="312" t="s">
        <v>646</v>
      </c>
      <c r="E126" s="157"/>
      <c r="F126" s="157"/>
      <c r="G126" s="157"/>
      <c r="H126" s="157"/>
      <c r="I126" s="157"/>
      <c r="J126" s="157"/>
      <c r="K126" s="157"/>
      <c r="L126" s="157"/>
      <c r="M126" s="157"/>
      <c r="N126" s="157"/>
      <c r="O126" s="138" t="str">
        <f>IF(A126=TRUE,"High pressure seal integrity test PASS","High pressure seal integrity test failure, unit requires rework")</f>
        <v>High pressure seal integrity test failure, unit requires rework</v>
      </c>
    </row>
    <row r="127" spans="1:16" x14ac:dyDescent="0.2">
      <c r="B127" s="134">
        <f t="shared" si="1"/>
        <v>132</v>
      </c>
      <c r="C127" s="136" t="s">
        <v>520</v>
      </c>
      <c r="E127" s="530"/>
      <c r="F127" s="530"/>
      <c r="G127" s="530"/>
      <c r="H127" s="530"/>
      <c r="I127" s="530"/>
      <c r="J127" s="530"/>
      <c r="K127" s="530"/>
      <c r="L127" s="530"/>
      <c r="M127" s="530"/>
      <c r="N127" s="530"/>
    </row>
    <row r="128" spans="1:16" x14ac:dyDescent="0.2">
      <c r="A128" s="144" t="b">
        <v>0</v>
      </c>
      <c r="B128" s="134">
        <f t="shared" si="1"/>
        <v>133</v>
      </c>
      <c r="C128" s="174"/>
      <c r="D128" s="313" t="s">
        <v>647</v>
      </c>
      <c r="E128" s="175"/>
      <c r="F128" s="175"/>
      <c r="G128" s="175"/>
      <c r="H128" s="175"/>
      <c r="I128" s="175"/>
      <c r="J128" s="175"/>
      <c r="K128" s="175"/>
      <c r="L128" s="175"/>
      <c r="M128" s="175"/>
      <c r="N128" s="157"/>
    </row>
    <row r="129" spans="1:28" x14ac:dyDescent="0.2">
      <c r="A129" s="144" t="b">
        <v>0</v>
      </c>
      <c r="B129" s="134">
        <f t="shared" si="1"/>
        <v>134</v>
      </c>
      <c r="C129" s="174"/>
      <c r="D129" s="313" t="s">
        <v>648</v>
      </c>
      <c r="E129" s="175"/>
      <c r="F129" s="175"/>
      <c r="G129" s="175"/>
      <c r="H129" s="175"/>
      <c r="I129" s="175"/>
      <c r="J129" s="175"/>
      <c r="K129" s="175"/>
      <c r="L129" s="175"/>
      <c r="M129" s="175"/>
      <c r="N129" s="157"/>
    </row>
    <row r="130" spans="1:28" x14ac:dyDescent="0.2">
      <c r="A130" s="144" t="b">
        <v>0</v>
      </c>
      <c r="B130" s="134">
        <f t="shared" si="1"/>
        <v>135</v>
      </c>
      <c r="C130" s="174"/>
      <c r="D130" s="313" t="s">
        <v>649</v>
      </c>
      <c r="E130" s="175"/>
      <c r="F130" s="175"/>
      <c r="G130" s="175"/>
      <c r="H130" s="175"/>
      <c r="I130" s="175"/>
      <c r="J130" s="175"/>
      <c r="K130" s="175"/>
      <c r="L130" s="175"/>
      <c r="M130" s="175"/>
      <c r="N130" s="157"/>
    </row>
    <row r="131" spans="1:28" ht="15.75" x14ac:dyDescent="0.2">
      <c r="B131" s="134">
        <f t="shared" si="1"/>
        <v>136</v>
      </c>
      <c r="C131" s="150" t="s">
        <v>457</v>
      </c>
      <c r="D131" s="302"/>
      <c r="E131" s="487" t="s">
        <v>372</v>
      </c>
      <c r="F131" s="487"/>
      <c r="G131" s="488" t="str">
        <f>IF(D131=D13,"ON TIME",IF(D131&gt;D13,"LATE",IF(D131&lt;D13,"EARLY")))</f>
        <v>EARLY</v>
      </c>
      <c r="H131" s="488"/>
      <c r="I131" s="488"/>
      <c r="J131" s="488"/>
      <c r="K131" s="488"/>
      <c r="L131" s="488"/>
      <c r="M131" s="488"/>
      <c r="N131" s="488"/>
      <c r="O131" s="145"/>
      <c r="P131" s="136"/>
    </row>
    <row r="132" spans="1:28" x14ac:dyDescent="0.2">
      <c r="B132" s="134">
        <f t="shared" si="1"/>
        <v>137</v>
      </c>
      <c r="C132" s="150" t="s">
        <v>650</v>
      </c>
      <c r="D132" s="329"/>
      <c r="E132" s="152" t="s">
        <v>618</v>
      </c>
      <c r="F132" s="139"/>
      <c r="G132" s="150"/>
      <c r="H132" s="150"/>
      <c r="I132" s="514">
        <f>D132-D92</f>
        <v>0</v>
      </c>
      <c r="J132" s="514"/>
      <c r="K132" s="514"/>
      <c r="L132" s="514"/>
      <c r="M132" s="514"/>
      <c r="N132" s="514"/>
      <c r="O132" s="139"/>
    </row>
    <row r="133" spans="1:28" x14ac:dyDescent="0.2">
      <c r="C133" s="485" t="s">
        <v>651</v>
      </c>
      <c r="D133" s="485"/>
      <c r="E133" s="485"/>
      <c r="F133" s="485"/>
      <c r="G133" s="485"/>
      <c r="H133" s="485"/>
      <c r="I133" s="485"/>
      <c r="J133" s="485"/>
      <c r="K133" s="485"/>
      <c r="L133" s="485"/>
      <c r="M133" s="485"/>
      <c r="N133" s="485"/>
      <c r="O133" s="485"/>
    </row>
    <row r="134" spans="1:28" ht="15.75" x14ac:dyDescent="0.2">
      <c r="B134" s="134">
        <f>B132+1</f>
        <v>138</v>
      </c>
      <c r="C134" s="150" t="s">
        <v>459</v>
      </c>
      <c r="D134" s="302"/>
      <c r="E134" s="487" t="s">
        <v>372</v>
      </c>
      <c r="F134" s="487"/>
      <c r="G134" s="515" t="str">
        <f>IF(D134=D13,"ON TIME",IF(D134&gt;D13,"LATE",IF(D134&lt;D13,"EARLY")))</f>
        <v>EARLY</v>
      </c>
      <c r="H134" s="515"/>
      <c r="I134" s="515"/>
      <c r="J134" s="515"/>
      <c r="K134" s="515"/>
      <c r="L134" s="515"/>
      <c r="M134" s="515"/>
      <c r="N134" s="515"/>
      <c r="O134" s="176"/>
    </row>
    <row r="135" spans="1:28" x14ac:dyDescent="0.2">
      <c r="B135" s="134">
        <f t="shared" si="1"/>
        <v>139</v>
      </c>
      <c r="C135" s="150" t="s">
        <v>568</v>
      </c>
      <c r="D135" s="329"/>
      <c r="E135" s="157"/>
      <c r="F135" s="139"/>
      <c r="G135" s="152"/>
      <c r="H135" s="152"/>
      <c r="I135" s="152"/>
      <c r="J135" s="152"/>
      <c r="K135" s="139"/>
      <c r="L135" s="145"/>
      <c r="M135" s="145"/>
      <c r="N135" s="145"/>
    </row>
    <row r="136" spans="1:28" x14ac:dyDescent="0.2">
      <c r="B136" s="134">
        <f t="shared" ref="B136:B199" si="3">B135+1</f>
        <v>140</v>
      </c>
      <c r="C136" s="150" t="s">
        <v>650</v>
      </c>
      <c r="D136" s="329"/>
      <c r="E136" s="152" t="s">
        <v>618</v>
      </c>
      <c r="F136" s="139"/>
      <c r="G136" s="150"/>
      <c r="H136" s="150"/>
      <c r="I136" s="514">
        <f>D136-D135</f>
        <v>0</v>
      </c>
      <c r="J136" s="514"/>
      <c r="K136" s="514"/>
      <c r="L136" s="514"/>
      <c r="M136" s="514"/>
      <c r="N136" s="514"/>
    </row>
    <row r="137" spans="1:28" x14ac:dyDescent="0.2">
      <c r="B137" s="134">
        <f t="shared" si="3"/>
        <v>141</v>
      </c>
      <c r="C137" s="150" t="s">
        <v>652</v>
      </c>
      <c r="D137" s="329"/>
      <c r="E137" s="157"/>
      <c r="F137" s="139"/>
      <c r="G137" s="152"/>
      <c r="H137" s="152"/>
      <c r="I137" s="152"/>
      <c r="J137" s="152"/>
      <c r="K137" s="139"/>
      <c r="L137" s="145"/>
      <c r="M137" s="145"/>
      <c r="N137" s="145"/>
    </row>
    <row r="138" spans="1:28" x14ac:dyDescent="0.2">
      <c r="A138" s="144" t="b">
        <v>0</v>
      </c>
      <c r="B138" s="134">
        <f t="shared" si="3"/>
        <v>142</v>
      </c>
      <c r="C138" s="150" t="s">
        <v>653</v>
      </c>
      <c r="D138" s="314"/>
      <c r="E138" s="157"/>
      <c r="F138" s="139"/>
      <c r="G138" s="152"/>
      <c r="H138" s="152"/>
      <c r="I138" s="152"/>
      <c r="J138" s="152"/>
      <c r="K138" s="139"/>
      <c r="L138" s="145"/>
      <c r="M138" s="145"/>
      <c r="N138" s="145"/>
    </row>
    <row r="139" spans="1:28" x14ac:dyDescent="0.2">
      <c r="A139" s="144" t="b">
        <v>0</v>
      </c>
      <c r="B139" s="134">
        <f t="shared" si="3"/>
        <v>143</v>
      </c>
      <c r="C139" s="150" t="s">
        <v>654</v>
      </c>
      <c r="D139" s="314"/>
      <c r="E139" s="157"/>
      <c r="F139" s="139"/>
      <c r="G139" s="152"/>
      <c r="H139" s="152"/>
      <c r="I139" s="152"/>
      <c r="J139" s="152"/>
      <c r="K139" s="139"/>
      <c r="L139" s="145"/>
      <c r="M139" s="145"/>
      <c r="N139" s="145"/>
    </row>
    <row r="140" spans="1:28" x14ac:dyDescent="0.2">
      <c r="A140" s="144" t="b">
        <v>0</v>
      </c>
      <c r="B140" s="134">
        <f t="shared" si="3"/>
        <v>144</v>
      </c>
      <c r="C140" s="163" t="s">
        <v>460</v>
      </c>
      <c r="D140" s="314"/>
      <c r="E140" s="530"/>
      <c r="F140" s="530"/>
      <c r="G140" s="530"/>
      <c r="H140" s="530"/>
      <c r="I140" s="530"/>
      <c r="J140" s="530"/>
      <c r="K140" s="530"/>
      <c r="L140" s="530"/>
      <c r="M140" s="530"/>
      <c r="N140" s="530"/>
      <c r="O140" s="138" t="str">
        <f>IF(A140=TRUE,"Calibration complete PASSED","")</f>
        <v/>
      </c>
    </row>
    <row r="141" spans="1:28" ht="15.75" x14ac:dyDescent="0.2">
      <c r="C141" s="517" t="s">
        <v>462</v>
      </c>
      <c r="D141" s="517"/>
      <c r="E141" s="517"/>
      <c r="F141" s="517"/>
      <c r="G141" s="517"/>
      <c r="H141" s="517"/>
      <c r="I141" s="517"/>
      <c r="J141" s="517"/>
      <c r="K141" s="517"/>
      <c r="L141" s="517"/>
      <c r="M141" s="517"/>
      <c r="N141" s="517"/>
      <c r="O141" s="517"/>
    </row>
    <row r="142" spans="1:28" x14ac:dyDescent="0.2">
      <c r="B142" s="134">
        <f>B140+1</f>
        <v>145</v>
      </c>
      <c r="C142" s="150" t="s">
        <v>459</v>
      </c>
      <c r="D142" s="302"/>
      <c r="E142" s="177"/>
      <c r="F142" s="177"/>
      <c r="G142" s="177"/>
      <c r="H142" s="142"/>
      <c r="I142" s="177"/>
      <c r="K142" s="157"/>
      <c r="L142" s="157"/>
      <c r="M142" s="157"/>
      <c r="N142" s="157"/>
      <c r="Z142" s="177"/>
      <c r="AA142" s="177"/>
      <c r="AB142" s="177"/>
    </row>
    <row r="143" spans="1:28" x14ac:dyDescent="0.2">
      <c r="B143" s="134">
        <f>B142+1</f>
        <v>146</v>
      </c>
      <c r="C143" s="150" t="s">
        <v>568</v>
      </c>
      <c r="D143" s="329"/>
      <c r="E143" s="177"/>
      <c r="F143" s="177"/>
      <c r="G143" s="177"/>
      <c r="H143" s="142"/>
      <c r="I143" s="177"/>
      <c r="K143" s="157"/>
      <c r="L143" s="157"/>
      <c r="M143" s="157"/>
      <c r="N143" s="157"/>
      <c r="Z143" s="177"/>
      <c r="AA143" s="177"/>
      <c r="AB143" s="177"/>
    </row>
    <row r="144" spans="1:28" x14ac:dyDescent="0.2">
      <c r="A144" s="144" t="b">
        <v>0</v>
      </c>
      <c r="B144" s="134">
        <f>B143+1</f>
        <v>147</v>
      </c>
      <c r="C144" s="150" t="s">
        <v>463</v>
      </c>
      <c r="D144" s="346" t="str">
        <f>D5&amp;E5</f>
        <v>-1</v>
      </c>
      <c r="E144" s="139"/>
      <c r="F144" s="178"/>
      <c r="G144" s="139"/>
      <c r="H144" s="139"/>
      <c r="I144" s="139"/>
      <c r="K144" s="157"/>
      <c r="L144" s="157"/>
      <c r="M144" s="157"/>
      <c r="N144" s="157"/>
      <c r="Z144" s="177"/>
      <c r="AA144" s="177"/>
      <c r="AB144" s="177"/>
    </row>
    <row r="145" spans="1:28" x14ac:dyDescent="0.2">
      <c r="A145" s="144" t="b">
        <v>0</v>
      </c>
      <c r="B145" s="134">
        <f t="shared" si="3"/>
        <v>148</v>
      </c>
      <c r="C145" s="150" t="s">
        <v>655</v>
      </c>
      <c r="D145" s="314"/>
      <c r="E145" s="139"/>
      <c r="G145" s="139"/>
      <c r="I145" s="139"/>
      <c r="Z145" s="177"/>
      <c r="AA145" s="177"/>
      <c r="AB145" s="177"/>
    </row>
    <row r="146" spans="1:28" x14ac:dyDescent="0.2">
      <c r="C146" s="179" t="s">
        <v>656</v>
      </c>
      <c r="E146" s="139"/>
      <c r="G146" s="139"/>
      <c r="I146" s="139"/>
      <c r="Z146" s="177"/>
      <c r="AA146" s="177"/>
      <c r="AB146" s="177"/>
    </row>
    <row r="147" spans="1:28" x14ac:dyDescent="0.2">
      <c r="A147" s="144" t="b">
        <v>0</v>
      </c>
      <c r="B147" s="134">
        <f>B145+1</f>
        <v>149</v>
      </c>
      <c r="C147" s="150"/>
      <c r="D147" s="347"/>
      <c r="E147" s="138"/>
      <c r="J147" s="138"/>
      <c r="O147" s="139"/>
      <c r="Z147" s="177"/>
      <c r="AA147" s="177"/>
      <c r="AB147" s="177"/>
    </row>
    <row r="148" spans="1:28" x14ac:dyDescent="0.2">
      <c r="A148" s="144" t="b">
        <v>0</v>
      </c>
      <c r="B148" s="134">
        <f t="shared" si="3"/>
        <v>150</v>
      </c>
      <c r="C148" s="163" t="s">
        <v>657</v>
      </c>
      <c r="D148" s="348"/>
      <c r="G148" s="185"/>
      <c r="O148" s="139"/>
      <c r="Z148" s="177"/>
      <c r="AA148" s="177"/>
      <c r="AB148" s="177"/>
    </row>
    <row r="149" spans="1:28" x14ac:dyDescent="0.2">
      <c r="A149" s="144" t="b">
        <v>0</v>
      </c>
      <c r="B149" s="134">
        <f t="shared" si="3"/>
        <v>151</v>
      </c>
      <c r="C149" s="150" t="s">
        <v>658</v>
      </c>
      <c r="D149" s="348"/>
      <c r="G149" s="185"/>
      <c r="K149" s="184"/>
      <c r="L149" s="184"/>
      <c r="M149" s="184"/>
      <c r="O149" s="139"/>
      <c r="Z149" s="177"/>
      <c r="AA149" s="177"/>
      <c r="AB149" s="177"/>
    </row>
    <row r="150" spans="1:28" x14ac:dyDescent="0.2">
      <c r="A150" s="144" t="b">
        <v>0</v>
      </c>
      <c r="B150" s="134">
        <f t="shared" si="3"/>
        <v>152</v>
      </c>
      <c r="C150" s="150" t="s">
        <v>659</v>
      </c>
      <c r="D150" s="348"/>
      <c r="F150" s="184"/>
      <c r="G150" s="186"/>
      <c r="H150" s="184"/>
      <c r="K150" s="184"/>
      <c r="L150" s="184"/>
      <c r="M150" s="184"/>
      <c r="O150" s="139"/>
      <c r="Z150" s="177"/>
      <c r="AA150" s="177"/>
      <c r="AB150" s="177"/>
    </row>
    <row r="151" spans="1:28" x14ac:dyDescent="0.2">
      <c r="A151" s="144" t="b">
        <v>0</v>
      </c>
      <c r="B151" s="134">
        <f t="shared" si="3"/>
        <v>153</v>
      </c>
      <c r="C151" s="150" t="s">
        <v>660</v>
      </c>
      <c r="D151" s="348"/>
      <c r="F151" s="184"/>
      <c r="G151" s="186"/>
      <c r="H151" s="184"/>
      <c r="O151" s="139"/>
      <c r="Z151" s="177"/>
      <c r="AA151" s="177"/>
      <c r="AB151" s="177"/>
    </row>
    <row r="152" spans="1:28" x14ac:dyDescent="0.2">
      <c r="A152" s="144" t="b">
        <v>0</v>
      </c>
      <c r="B152" s="134">
        <f t="shared" si="3"/>
        <v>154</v>
      </c>
      <c r="C152" s="150" t="s">
        <v>661</v>
      </c>
      <c r="D152" s="348"/>
      <c r="F152" s="184"/>
      <c r="G152" s="186"/>
      <c r="H152" s="184"/>
      <c r="O152" s="139"/>
      <c r="Z152" s="177"/>
      <c r="AA152" s="177"/>
      <c r="AB152" s="177"/>
    </row>
    <row r="153" spans="1:28" x14ac:dyDescent="0.2">
      <c r="A153" s="144" t="b">
        <v>0</v>
      </c>
      <c r="B153" s="134">
        <f t="shared" si="3"/>
        <v>155</v>
      </c>
      <c r="C153" s="150" t="s">
        <v>662</v>
      </c>
      <c r="D153" s="348"/>
      <c r="F153" s="184"/>
      <c r="G153" s="186"/>
      <c r="H153" s="184"/>
      <c r="O153" s="139"/>
      <c r="Z153" s="177"/>
      <c r="AA153" s="177"/>
      <c r="AB153" s="177"/>
    </row>
    <row r="154" spans="1:28" x14ac:dyDescent="0.2">
      <c r="A154" s="144" t="b">
        <v>0</v>
      </c>
      <c r="B154" s="134">
        <f t="shared" si="3"/>
        <v>156</v>
      </c>
      <c r="C154" s="150" t="s">
        <v>663</v>
      </c>
      <c r="D154" s="348"/>
      <c r="F154" s="184"/>
      <c r="G154" s="186"/>
      <c r="H154" s="184"/>
      <c r="O154" s="139"/>
      <c r="Z154" s="177"/>
      <c r="AA154" s="177"/>
      <c r="AB154" s="177"/>
    </row>
    <row r="155" spans="1:28" x14ac:dyDescent="0.2">
      <c r="A155" s="144" t="b">
        <v>0</v>
      </c>
      <c r="B155" s="134">
        <f t="shared" si="3"/>
        <v>157</v>
      </c>
      <c r="C155" s="150" t="s">
        <v>664</v>
      </c>
      <c r="D155" s="348"/>
      <c r="F155" s="184"/>
      <c r="G155" s="186"/>
      <c r="H155" s="184"/>
      <c r="N155" s="139"/>
      <c r="O155" s="139"/>
      <c r="Z155" s="177"/>
      <c r="AA155" s="177"/>
      <c r="AB155" s="177"/>
    </row>
    <row r="156" spans="1:28" x14ac:dyDescent="0.2">
      <c r="A156" s="144" t="b">
        <v>0</v>
      </c>
      <c r="B156" s="134">
        <f t="shared" si="3"/>
        <v>158</v>
      </c>
      <c r="C156" s="150" t="s">
        <v>665</v>
      </c>
      <c r="D156" s="317"/>
      <c r="Z156" s="180"/>
      <c r="AA156" s="180"/>
      <c r="AB156" s="180"/>
    </row>
    <row r="157" spans="1:28" x14ac:dyDescent="0.2">
      <c r="A157" s="144" t="b">
        <v>0</v>
      </c>
      <c r="B157" s="134">
        <f t="shared" si="3"/>
        <v>159</v>
      </c>
      <c r="C157" s="150" t="s">
        <v>666</v>
      </c>
      <c r="D157" s="317"/>
      <c r="Z157" s="181"/>
      <c r="AA157" s="181"/>
      <c r="AB157" s="181"/>
    </row>
    <row r="158" spans="1:28" x14ac:dyDescent="0.2">
      <c r="A158" s="144" t="b">
        <v>0</v>
      </c>
      <c r="B158" s="134">
        <f t="shared" si="3"/>
        <v>160</v>
      </c>
      <c r="C158" s="150" t="s">
        <v>667</v>
      </c>
      <c r="D158" s="317"/>
      <c r="H158" s="157"/>
      <c r="I158" s="157"/>
      <c r="J158" s="157"/>
      <c r="K158" s="157"/>
      <c r="L158" s="157"/>
      <c r="M158" s="157"/>
      <c r="N158" s="157"/>
      <c r="O158" s="157"/>
      <c r="P158" s="157"/>
      <c r="Q158" s="157"/>
      <c r="R158" s="138"/>
      <c r="S158" s="177"/>
      <c r="T158" s="177"/>
      <c r="U158" s="177"/>
      <c r="V158" s="177"/>
      <c r="W158" s="177"/>
      <c r="X158" s="177"/>
      <c r="Y158" s="177"/>
      <c r="Z158" s="177"/>
      <c r="AA158" s="177"/>
      <c r="AB158" s="177"/>
    </row>
    <row r="159" spans="1:28" x14ac:dyDescent="0.2">
      <c r="A159" s="144" t="b">
        <v>0</v>
      </c>
      <c r="B159" s="134">
        <f t="shared" si="3"/>
        <v>161</v>
      </c>
      <c r="C159" s="179" t="s">
        <v>668</v>
      </c>
      <c r="D159" s="317"/>
      <c r="H159" s="157"/>
      <c r="I159" s="157"/>
      <c r="J159" s="157"/>
      <c r="K159" s="157"/>
      <c r="L159" s="157"/>
      <c r="M159" s="157"/>
      <c r="N159" s="157"/>
      <c r="O159" s="157"/>
      <c r="P159" s="157"/>
      <c r="Q159" s="157"/>
      <c r="R159" s="138"/>
    </row>
    <row r="160" spans="1:28" x14ac:dyDescent="0.2">
      <c r="A160" s="144" t="b">
        <v>0</v>
      </c>
      <c r="B160" s="134">
        <f t="shared" si="3"/>
        <v>162</v>
      </c>
      <c r="C160" s="150" t="s">
        <v>669</v>
      </c>
      <c r="D160" s="317"/>
      <c r="E160" s="135" t="s">
        <v>468</v>
      </c>
      <c r="F160" s="135" t="s">
        <v>4</v>
      </c>
      <c r="G160" s="516" t="s">
        <v>469</v>
      </c>
      <c r="H160" s="516"/>
      <c r="I160" s="157"/>
      <c r="J160" s="157"/>
      <c r="K160" s="157"/>
      <c r="L160" s="157"/>
      <c r="M160" s="157"/>
      <c r="N160" s="157"/>
      <c r="O160" s="157"/>
      <c r="P160" s="157"/>
      <c r="Q160" s="157"/>
      <c r="R160" s="138"/>
    </row>
    <row r="161" spans="1:18" x14ac:dyDescent="0.2">
      <c r="A161" s="144" t="b">
        <v>0</v>
      </c>
      <c r="B161" s="134">
        <f t="shared" si="3"/>
        <v>163</v>
      </c>
      <c r="C161" s="150" t="s">
        <v>670</v>
      </c>
      <c r="D161" s="317"/>
      <c r="E161" s="135">
        <v>1</v>
      </c>
      <c r="F161" s="135">
        <v>4</v>
      </c>
      <c r="G161" s="531">
        <f>'Auto-Calibration record'!B65</f>
        <v>82</v>
      </c>
      <c r="H161" s="532"/>
      <c r="I161" s="157"/>
      <c r="J161" s="157"/>
      <c r="K161" s="157"/>
      <c r="L161" s="157"/>
      <c r="M161" s="157"/>
      <c r="N161" s="157"/>
      <c r="O161" s="157"/>
      <c r="P161" s="157"/>
      <c r="Q161" s="157"/>
      <c r="R161" s="138"/>
    </row>
    <row r="162" spans="1:18" x14ac:dyDescent="0.2">
      <c r="A162" s="144" t="b">
        <v>0</v>
      </c>
      <c r="B162" s="134">
        <f t="shared" si="3"/>
        <v>164</v>
      </c>
      <c r="C162" s="184" t="s">
        <v>671</v>
      </c>
      <c r="D162" s="317"/>
      <c r="E162" s="135">
        <v>2</v>
      </c>
      <c r="F162" s="135">
        <v>6</v>
      </c>
      <c r="G162" s="531">
        <f>'Auto-Calibration record'!C65</f>
        <v>204</v>
      </c>
      <c r="H162" s="532"/>
      <c r="I162" s="157"/>
      <c r="J162" s="157"/>
      <c r="K162" s="157"/>
      <c r="L162" s="157"/>
      <c r="M162" s="157"/>
      <c r="N162" s="157"/>
      <c r="O162" s="157"/>
      <c r="P162" s="157"/>
      <c r="Q162" s="157"/>
      <c r="R162" s="138"/>
    </row>
    <row r="163" spans="1:18" x14ac:dyDescent="0.2">
      <c r="A163" s="144" t="b">
        <v>0</v>
      </c>
      <c r="B163" s="134">
        <f t="shared" si="3"/>
        <v>165</v>
      </c>
      <c r="C163" s="150" t="s">
        <v>672</v>
      </c>
      <c r="D163" s="349"/>
      <c r="E163" s="135">
        <v>3</v>
      </c>
      <c r="F163" s="135">
        <v>14</v>
      </c>
      <c r="G163" s="531">
        <f>'Auto-Calibration record'!D65</f>
        <v>1092</v>
      </c>
      <c r="H163" s="532"/>
      <c r="I163" s="157"/>
      <c r="J163" s="157"/>
      <c r="K163" s="157"/>
      <c r="L163" s="157"/>
      <c r="M163" s="157"/>
      <c r="N163" s="157"/>
      <c r="O163" s="157"/>
      <c r="P163" s="157"/>
      <c r="Q163" s="157"/>
      <c r="R163" s="138"/>
    </row>
    <row r="164" spans="1:18" x14ac:dyDescent="0.2">
      <c r="A164" s="144" t="b">
        <v>0</v>
      </c>
      <c r="B164" s="134">
        <f t="shared" si="3"/>
        <v>166</v>
      </c>
      <c r="C164" s="150" t="s">
        <v>673</v>
      </c>
      <c r="D164" s="349"/>
      <c r="E164" s="135">
        <v>4</v>
      </c>
      <c r="F164" s="135">
        <v>21</v>
      </c>
      <c r="G164" s="531">
        <f>'Auto-Calibration record'!E65</f>
        <v>2158</v>
      </c>
      <c r="H164" s="532"/>
    </row>
    <row r="165" spans="1:18" x14ac:dyDescent="0.2">
      <c r="A165" s="144" t="b">
        <v>0</v>
      </c>
      <c r="B165" s="134">
        <f t="shared" si="3"/>
        <v>167</v>
      </c>
      <c r="C165" s="150" t="s">
        <v>674</v>
      </c>
      <c r="D165" s="317"/>
      <c r="E165" s="135">
        <v>5</v>
      </c>
      <c r="F165" s="135">
        <v>25</v>
      </c>
      <c r="G165" s="531">
        <f>'Auto-Calibration record'!F65</f>
        <v>3182</v>
      </c>
      <c r="H165" s="532"/>
    </row>
    <row r="166" spans="1:18" x14ac:dyDescent="0.2">
      <c r="A166" s="144" t="b">
        <v>0</v>
      </c>
      <c r="B166" s="134">
        <f t="shared" si="3"/>
        <v>168</v>
      </c>
      <c r="C166" s="150" t="s">
        <v>675</v>
      </c>
      <c r="D166" s="349"/>
      <c r="E166" s="135">
        <v>6</v>
      </c>
      <c r="F166" s="135">
        <v>38</v>
      </c>
      <c r="G166" s="531">
        <f>'Auto-Calibration record'!G65</f>
        <v>10154</v>
      </c>
      <c r="H166" s="532"/>
    </row>
    <row r="167" spans="1:18" x14ac:dyDescent="0.2">
      <c r="A167" s="144" t="b">
        <v>0</v>
      </c>
      <c r="B167" s="134">
        <f t="shared" si="3"/>
        <v>169</v>
      </c>
      <c r="C167" s="184" t="s">
        <v>676</v>
      </c>
      <c r="D167" s="349"/>
      <c r="E167" s="135">
        <v>7</v>
      </c>
      <c r="F167" s="135">
        <v>50</v>
      </c>
      <c r="G167" s="531">
        <f>'Auto-Calibration record'!H65</f>
        <v>15872</v>
      </c>
      <c r="H167" s="532"/>
    </row>
    <row r="168" spans="1:18" x14ac:dyDescent="0.2">
      <c r="A168" s="144" t="b">
        <v>0</v>
      </c>
      <c r="B168" s="134">
        <f t="shared" si="3"/>
        <v>170</v>
      </c>
      <c r="C168" s="150" t="s">
        <v>677</v>
      </c>
      <c r="D168" s="349"/>
      <c r="E168" s="135">
        <v>8</v>
      </c>
      <c r="F168" s="135">
        <v>70</v>
      </c>
      <c r="G168" s="531">
        <f>'Auto-Calibration record'!I65</f>
        <v>25309</v>
      </c>
      <c r="H168" s="532"/>
    </row>
    <row r="169" spans="1:18" x14ac:dyDescent="0.2">
      <c r="A169" s="144" t="b">
        <v>0</v>
      </c>
      <c r="B169" s="134">
        <f t="shared" si="3"/>
        <v>171</v>
      </c>
      <c r="C169" s="150" t="s">
        <v>678</v>
      </c>
      <c r="D169" s="317"/>
    </row>
    <row r="170" spans="1:18" x14ac:dyDescent="0.2">
      <c r="A170" s="144" t="b">
        <v>0</v>
      </c>
      <c r="B170" s="134">
        <f t="shared" si="3"/>
        <v>172</v>
      </c>
      <c r="C170" s="150" t="s">
        <v>679</v>
      </c>
      <c r="D170" s="349"/>
      <c r="E170" s="139"/>
      <c r="G170" s="139"/>
      <c r="I170" s="139"/>
    </row>
    <row r="171" spans="1:18" x14ac:dyDescent="0.2">
      <c r="A171" s="144" t="b">
        <v>0</v>
      </c>
      <c r="B171" s="134">
        <f t="shared" si="3"/>
        <v>173</v>
      </c>
      <c r="C171" s="150" t="s">
        <v>680</v>
      </c>
      <c r="D171" s="317"/>
      <c r="E171" s="139"/>
      <c r="G171" s="139"/>
      <c r="I171" s="139"/>
    </row>
    <row r="172" spans="1:18" x14ac:dyDescent="0.2">
      <c r="A172" s="144" t="b">
        <v>0</v>
      </c>
      <c r="B172" s="134">
        <f t="shared" si="3"/>
        <v>174</v>
      </c>
      <c r="C172" s="150" t="s">
        <v>543</v>
      </c>
      <c r="D172" s="317"/>
      <c r="E172" s="139"/>
      <c r="G172" s="139"/>
      <c r="I172" s="139"/>
    </row>
    <row r="173" spans="1:18" x14ac:dyDescent="0.2">
      <c r="C173" s="150" t="s">
        <v>681</v>
      </c>
      <c r="D173" s="350"/>
      <c r="E173" s="139"/>
      <c r="G173" s="139"/>
      <c r="I173" s="139"/>
    </row>
    <row r="174" spans="1:18" x14ac:dyDescent="0.2">
      <c r="A174" s="144" t="b">
        <v>0</v>
      </c>
      <c r="B174" s="134">
        <f>B172+1</f>
        <v>175</v>
      </c>
      <c r="C174" s="150" t="s">
        <v>682</v>
      </c>
      <c r="D174" s="349"/>
      <c r="E174" s="139"/>
      <c r="G174" s="139"/>
      <c r="I174" s="139"/>
      <c r="O174" s="137"/>
    </row>
    <row r="175" spans="1:18" x14ac:dyDescent="0.2">
      <c r="A175" s="144" t="b">
        <v>0</v>
      </c>
      <c r="B175" s="134">
        <f>B174+1</f>
        <v>176</v>
      </c>
      <c r="C175" s="150" t="s">
        <v>683</v>
      </c>
      <c r="D175" s="317"/>
      <c r="E175" s="139"/>
      <c r="G175" s="139"/>
      <c r="I175" s="139"/>
    </row>
    <row r="176" spans="1:18" x14ac:dyDescent="0.2">
      <c r="A176" s="144" t="b">
        <v>0</v>
      </c>
      <c r="B176" s="134">
        <f t="shared" si="3"/>
        <v>177</v>
      </c>
      <c r="C176" s="150" t="s">
        <v>666</v>
      </c>
      <c r="D176" s="349"/>
      <c r="E176" s="139"/>
      <c r="G176" s="139"/>
      <c r="I176" s="139"/>
    </row>
    <row r="177" spans="1:9" x14ac:dyDescent="0.2">
      <c r="A177" s="144" t="b">
        <v>0</v>
      </c>
      <c r="B177" s="134">
        <f t="shared" si="3"/>
        <v>178</v>
      </c>
      <c r="C177" s="150" t="s">
        <v>684</v>
      </c>
      <c r="D177" s="349"/>
      <c r="E177" s="139"/>
      <c r="G177" s="139"/>
      <c r="I177" s="139"/>
    </row>
    <row r="178" spans="1:9" x14ac:dyDescent="0.2">
      <c r="A178" s="144" t="b">
        <v>0</v>
      </c>
      <c r="B178" s="134">
        <f t="shared" si="3"/>
        <v>179</v>
      </c>
      <c r="C178" s="150" t="s">
        <v>685</v>
      </c>
      <c r="D178" s="349"/>
      <c r="E178" s="139"/>
      <c r="G178" s="139"/>
      <c r="I178" s="139"/>
    </row>
    <row r="179" spans="1:9" x14ac:dyDescent="0.2">
      <c r="A179" s="144" t="b">
        <v>0</v>
      </c>
      <c r="B179" s="134">
        <f t="shared" si="3"/>
        <v>180</v>
      </c>
      <c r="C179" s="150" t="s">
        <v>686</v>
      </c>
      <c r="D179" s="349"/>
      <c r="E179" s="139"/>
      <c r="G179" s="139"/>
      <c r="I179" s="139"/>
    </row>
    <row r="180" spans="1:9" x14ac:dyDescent="0.2">
      <c r="A180" s="144" t="b">
        <v>0</v>
      </c>
      <c r="B180" s="134">
        <f t="shared" si="3"/>
        <v>181</v>
      </c>
      <c r="C180" s="163" t="s">
        <v>687</v>
      </c>
      <c r="D180" s="349"/>
      <c r="E180" s="139"/>
      <c r="G180" s="139"/>
      <c r="I180" s="139"/>
    </row>
    <row r="181" spans="1:9" x14ac:dyDescent="0.2">
      <c r="A181" s="144" t="b">
        <v>0</v>
      </c>
      <c r="B181" s="134">
        <f t="shared" si="3"/>
        <v>182</v>
      </c>
      <c r="C181" s="184" t="s">
        <v>688</v>
      </c>
      <c r="D181" s="349"/>
      <c r="E181" s="139"/>
      <c r="G181" s="139"/>
      <c r="I181" s="139"/>
    </row>
    <row r="182" spans="1:9" x14ac:dyDescent="0.2">
      <c r="A182" s="144" t="b">
        <v>0</v>
      </c>
      <c r="B182" s="134">
        <f t="shared" si="3"/>
        <v>183</v>
      </c>
      <c r="C182" s="150" t="s">
        <v>689</v>
      </c>
      <c r="D182" s="349"/>
      <c r="E182" s="139"/>
      <c r="G182" s="139"/>
      <c r="I182" s="139"/>
    </row>
    <row r="183" spans="1:9" x14ac:dyDescent="0.2">
      <c r="A183" s="144" t="b">
        <v>0</v>
      </c>
      <c r="B183" s="134">
        <f t="shared" si="3"/>
        <v>184</v>
      </c>
      <c r="C183" s="150" t="s">
        <v>690</v>
      </c>
      <c r="D183" s="349"/>
      <c r="E183" s="139"/>
      <c r="G183" s="139"/>
      <c r="I183" s="139"/>
    </row>
    <row r="184" spans="1:9" x14ac:dyDescent="0.2">
      <c r="A184" s="144" t="b">
        <v>0</v>
      </c>
      <c r="B184" s="134">
        <f t="shared" si="3"/>
        <v>185</v>
      </c>
      <c r="C184" s="150" t="s">
        <v>691</v>
      </c>
      <c r="D184" s="349"/>
      <c r="E184" s="139"/>
      <c r="G184" s="139"/>
      <c r="I184" s="139"/>
    </row>
    <row r="185" spans="1:9" x14ac:dyDescent="0.2">
      <c r="A185" s="144" t="b">
        <v>0</v>
      </c>
      <c r="B185" s="134">
        <f t="shared" si="3"/>
        <v>186</v>
      </c>
      <c r="C185" s="184" t="s">
        <v>692</v>
      </c>
      <c r="D185" s="349"/>
      <c r="E185" s="139"/>
      <c r="G185" s="139"/>
      <c r="I185" s="139"/>
    </row>
    <row r="186" spans="1:9" x14ac:dyDescent="0.2">
      <c r="A186" s="144" t="b">
        <v>0</v>
      </c>
      <c r="B186" s="134">
        <f t="shared" si="3"/>
        <v>187</v>
      </c>
      <c r="C186" s="150" t="s">
        <v>693</v>
      </c>
      <c r="D186" s="349"/>
      <c r="E186" s="139"/>
      <c r="G186" s="139"/>
      <c r="I186" s="139"/>
    </row>
    <row r="187" spans="1:9" x14ac:dyDescent="0.2">
      <c r="A187" s="144" t="b">
        <v>0</v>
      </c>
      <c r="B187" s="134">
        <f t="shared" si="3"/>
        <v>188</v>
      </c>
      <c r="C187" s="150" t="s">
        <v>694</v>
      </c>
      <c r="D187" s="349"/>
      <c r="E187" s="139"/>
      <c r="G187" s="139"/>
      <c r="I187" s="139"/>
    </row>
    <row r="188" spans="1:9" x14ac:dyDescent="0.2">
      <c r="A188" s="144" t="b">
        <v>0</v>
      </c>
      <c r="B188" s="134">
        <f t="shared" si="3"/>
        <v>189</v>
      </c>
      <c r="C188" s="150" t="s">
        <v>695</v>
      </c>
      <c r="D188" s="349"/>
      <c r="E188" s="139"/>
      <c r="G188" s="139"/>
      <c r="I188" s="139"/>
    </row>
    <row r="189" spans="1:9" x14ac:dyDescent="0.2">
      <c r="A189" s="144" t="b">
        <v>0</v>
      </c>
      <c r="B189" s="134">
        <f t="shared" si="3"/>
        <v>190</v>
      </c>
      <c r="C189" s="150" t="s">
        <v>696</v>
      </c>
      <c r="D189" s="317"/>
      <c r="E189" s="139"/>
      <c r="G189" s="139"/>
      <c r="I189" s="139"/>
    </row>
    <row r="190" spans="1:9" x14ac:dyDescent="0.2">
      <c r="A190" s="144" t="b">
        <v>0</v>
      </c>
      <c r="B190" s="134">
        <f t="shared" si="3"/>
        <v>191</v>
      </c>
      <c r="C190" s="150" t="s">
        <v>697</v>
      </c>
      <c r="D190" s="349"/>
      <c r="E190" s="139"/>
      <c r="G190" s="139"/>
      <c r="I190" s="139"/>
    </row>
    <row r="191" spans="1:9" x14ac:dyDescent="0.2">
      <c r="A191" s="144" t="b">
        <v>0</v>
      </c>
      <c r="B191" s="134">
        <f t="shared" si="3"/>
        <v>192</v>
      </c>
      <c r="C191" s="150" t="s">
        <v>698</v>
      </c>
      <c r="D191" s="349"/>
      <c r="E191" s="139"/>
      <c r="G191" s="139"/>
      <c r="I191" s="139"/>
    </row>
    <row r="192" spans="1:9" x14ac:dyDescent="0.2">
      <c r="A192" s="144" t="b">
        <v>0</v>
      </c>
      <c r="B192" s="134">
        <f t="shared" si="3"/>
        <v>193</v>
      </c>
      <c r="C192" s="150" t="s">
        <v>699</v>
      </c>
      <c r="D192" s="349"/>
      <c r="E192" s="139"/>
      <c r="G192" s="139"/>
      <c r="I192" s="139"/>
    </row>
    <row r="193" spans="1:15" x14ac:dyDescent="0.2">
      <c r="A193" s="144" t="b">
        <v>0</v>
      </c>
      <c r="B193" s="134">
        <f t="shared" si="3"/>
        <v>194</v>
      </c>
      <c r="C193" s="150" t="s">
        <v>700</v>
      </c>
      <c r="D193" s="317"/>
      <c r="E193" s="139"/>
      <c r="G193" s="139"/>
      <c r="I193" s="139"/>
    </row>
    <row r="194" spans="1:15" x14ac:dyDescent="0.2">
      <c r="A194" s="144" t="b">
        <v>0</v>
      </c>
      <c r="B194" s="134">
        <f t="shared" si="3"/>
        <v>195</v>
      </c>
      <c r="C194" s="150" t="s">
        <v>701</v>
      </c>
      <c r="D194" s="317"/>
      <c r="E194" s="139"/>
      <c r="G194" s="139"/>
      <c r="I194" s="139"/>
    </row>
    <row r="195" spans="1:15" x14ac:dyDescent="0.2">
      <c r="A195" s="144" t="b">
        <v>0</v>
      </c>
      <c r="B195" s="134">
        <f t="shared" si="3"/>
        <v>196</v>
      </c>
      <c r="C195" s="184" t="s">
        <v>702</v>
      </c>
      <c r="D195" s="317"/>
      <c r="E195" s="139"/>
      <c r="G195" s="139"/>
      <c r="I195" s="139"/>
    </row>
    <row r="196" spans="1:15" x14ac:dyDescent="0.2">
      <c r="A196" s="144" t="b">
        <f>IF(AND(D196&lt;=55,D196&gt;=19),TRUE,IF(AND(D196&gt;55,D196&lt;19),FALSE))</f>
        <v>0</v>
      </c>
      <c r="B196" s="134">
        <f t="shared" si="3"/>
        <v>197</v>
      </c>
      <c r="C196" s="150" t="s">
        <v>703</v>
      </c>
      <c r="D196" s="316"/>
      <c r="E196" s="139"/>
      <c r="G196" s="139"/>
      <c r="I196" s="139"/>
      <c r="O196" s="138" t="str">
        <f>IF(A196=TRUE,"Moisture sensor final test PASS","")</f>
        <v/>
      </c>
    </row>
    <row r="197" spans="1:15" x14ac:dyDescent="0.2">
      <c r="A197" s="144" t="b">
        <f>IF(AND(D197&lt;=44,D197&gt;=36),TRUE,IF(AND(D197&gt;45,D197&lt;36),FALSE))</f>
        <v>0</v>
      </c>
      <c r="B197" s="134">
        <f t="shared" si="3"/>
        <v>198</v>
      </c>
      <c r="C197" s="150" t="s">
        <v>704</v>
      </c>
      <c r="D197" s="316"/>
      <c r="E197" s="139"/>
      <c r="G197" s="139"/>
      <c r="I197" s="139"/>
      <c r="O197" s="138" t="str">
        <f>IF(A197=TRUE,"Temperature sensor final test PASS","")</f>
        <v/>
      </c>
    </row>
    <row r="198" spans="1:15" x14ac:dyDescent="0.2">
      <c r="A198" s="144" t="b">
        <v>0</v>
      </c>
      <c r="B198" s="134">
        <f t="shared" si="3"/>
        <v>199</v>
      </c>
      <c r="C198" s="150" t="s">
        <v>705</v>
      </c>
      <c r="D198" s="317"/>
      <c r="E198" s="139"/>
      <c r="G198" s="139"/>
      <c r="I198" s="139"/>
    </row>
    <row r="199" spans="1:15" x14ac:dyDescent="0.2">
      <c r="A199" s="144" t="b">
        <v>0</v>
      </c>
      <c r="B199" s="134">
        <f t="shared" si="3"/>
        <v>200</v>
      </c>
      <c r="C199" s="150" t="s">
        <v>706</v>
      </c>
      <c r="D199" s="153"/>
      <c r="E199" s="139"/>
      <c r="G199" s="139"/>
      <c r="I199" s="139"/>
    </row>
    <row r="200" spans="1:15" x14ac:dyDescent="0.2">
      <c r="C200" s="150" t="s">
        <v>707</v>
      </c>
      <c r="D200" s="163"/>
      <c r="E200" s="139"/>
      <c r="G200" s="139"/>
      <c r="I200" s="139"/>
    </row>
    <row r="201" spans="1:15" x14ac:dyDescent="0.2">
      <c r="A201" s="144" t="b">
        <v>0</v>
      </c>
      <c r="B201" s="134">
        <f>B199+1</f>
        <v>201</v>
      </c>
      <c r="C201" s="150" t="s">
        <v>708</v>
      </c>
      <c r="D201" s="317"/>
      <c r="E201" s="139"/>
      <c r="G201" s="139"/>
      <c r="I201" s="139"/>
    </row>
    <row r="202" spans="1:15" x14ac:dyDescent="0.2">
      <c r="A202" s="144" t="b">
        <v>0</v>
      </c>
      <c r="B202" s="134">
        <f t="shared" ref="B202:B227" si="4">B201+1</f>
        <v>202</v>
      </c>
      <c r="C202" s="150" t="s">
        <v>706</v>
      </c>
      <c r="D202" s="317"/>
      <c r="E202" s="139"/>
      <c r="G202" s="139"/>
      <c r="I202" s="139"/>
    </row>
    <row r="203" spans="1:15" x14ac:dyDescent="0.2">
      <c r="A203" s="144" t="b">
        <v>0</v>
      </c>
      <c r="B203" s="134">
        <f t="shared" si="4"/>
        <v>203</v>
      </c>
      <c r="C203" s="150" t="s">
        <v>707</v>
      </c>
      <c r="D203" s="317"/>
      <c r="E203" s="139"/>
      <c r="G203" s="139"/>
      <c r="I203" s="139"/>
    </row>
    <row r="204" spans="1:15" x14ac:dyDescent="0.2">
      <c r="A204" s="144" t="b">
        <v>0</v>
      </c>
      <c r="B204" s="134">
        <f t="shared" si="4"/>
        <v>204</v>
      </c>
      <c r="C204" s="150" t="s">
        <v>709</v>
      </c>
      <c r="D204" s="317"/>
      <c r="E204" s="139"/>
      <c r="G204" s="139"/>
      <c r="I204" s="139"/>
    </row>
    <row r="205" spans="1:15" x14ac:dyDescent="0.2">
      <c r="A205" s="144" t="b">
        <v>0</v>
      </c>
      <c r="B205" s="134">
        <f t="shared" si="4"/>
        <v>205</v>
      </c>
      <c r="C205" s="150" t="s">
        <v>710</v>
      </c>
      <c r="D205" s="349"/>
      <c r="E205" s="139"/>
      <c r="G205" s="139"/>
      <c r="I205" s="139"/>
      <c r="O205" s="137" t="str">
        <f>IF(A205=TRUE,"Test number set to that as recieved","Test number NOT CORRECT")</f>
        <v>Test number NOT CORRECT</v>
      </c>
    </row>
    <row r="206" spans="1:15" x14ac:dyDescent="0.2">
      <c r="C206" s="150" t="s">
        <v>711</v>
      </c>
      <c r="D206" s="162"/>
      <c r="E206" s="139"/>
      <c r="G206" s="139"/>
      <c r="I206" s="139"/>
    </row>
    <row r="207" spans="1:15" x14ac:dyDescent="0.2">
      <c r="A207" s="144" t="b">
        <v>0</v>
      </c>
      <c r="B207" s="134">
        <f>B205+1</f>
        <v>206</v>
      </c>
      <c r="C207" s="150" t="s">
        <v>712</v>
      </c>
      <c r="D207" s="317"/>
      <c r="E207" s="139"/>
      <c r="G207" s="139"/>
      <c r="I207" s="139"/>
    </row>
    <row r="208" spans="1:15" x14ac:dyDescent="0.2">
      <c r="A208" s="144" t="b">
        <v>0</v>
      </c>
      <c r="B208" s="134">
        <f>B207+1</f>
        <v>207</v>
      </c>
      <c r="C208" s="150" t="s">
        <v>713</v>
      </c>
      <c r="D208" s="317"/>
      <c r="E208" s="139"/>
      <c r="G208" s="139"/>
      <c r="I208" s="139"/>
    </row>
    <row r="209" spans="1:15" x14ac:dyDescent="0.2">
      <c r="C209" s="150" t="s">
        <v>714</v>
      </c>
      <c r="D209" s="163"/>
      <c r="E209" s="139"/>
      <c r="G209" s="139"/>
      <c r="I209" s="139"/>
    </row>
    <row r="210" spans="1:15" x14ac:dyDescent="0.2">
      <c r="A210" s="144" t="b">
        <v>0</v>
      </c>
      <c r="B210" s="134">
        <f>B208+1</f>
        <v>208</v>
      </c>
      <c r="C210" s="150" t="s">
        <v>715</v>
      </c>
      <c r="D210" s="317"/>
      <c r="E210" s="139"/>
      <c r="G210" s="139"/>
      <c r="I210" s="139"/>
    </row>
    <row r="211" spans="1:15" x14ac:dyDescent="0.2">
      <c r="A211" s="144" t="b">
        <v>0</v>
      </c>
      <c r="B211" s="134">
        <f t="shared" si="4"/>
        <v>209</v>
      </c>
      <c r="C211" s="150" t="s">
        <v>716</v>
      </c>
      <c r="D211" s="317"/>
      <c r="E211" s="139"/>
      <c r="G211" s="139"/>
      <c r="I211" s="139"/>
    </row>
    <row r="212" spans="1:15" x14ac:dyDescent="0.2">
      <c r="A212" s="144" t="b">
        <v>0</v>
      </c>
      <c r="B212" s="134">
        <f t="shared" si="4"/>
        <v>210</v>
      </c>
      <c r="C212" s="184" t="s">
        <v>717</v>
      </c>
      <c r="D212" s="351"/>
      <c r="E212" s="139"/>
      <c r="G212" s="139"/>
      <c r="I212" s="139"/>
    </row>
    <row r="213" spans="1:15" x14ac:dyDescent="0.2">
      <c r="A213" s="144" t="b">
        <v>0</v>
      </c>
      <c r="B213" s="134">
        <f t="shared" si="4"/>
        <v>211</v>
      </c>
      <c r="C213" s="150" t="s">
        <v>718</v>
      </c>
      <c r="D213" s="317"/>
      <c r="E213" s="139"/>
      <c r="G213" s="139"/>
      <c r="I213" s="139"/>
    </row>
    <row r="214" spans="1:15" x14ac:dyDescent="0.2">
      <c r="A214" s="144" t="b">
        <v>0</v>
      </c>
      <c r="B214" s="134">
        <f t="shared" si="4"/>
        <v>212</v>
      </c>
      <c r="C214" s="150" t="s">
        <v>719</v>
      </c>
      <c r="D214" s="317"/>
      <c r="E214" s="139"/>
      <c r="G214" s="139"/>
      <c r="I214" s="139"/>
    </row>
    <row r="215" spans="1:15" x14ac:dyDescent="0.2">
      <c r="C215" s="150" t="s">
        <v>720</v>
      </c>
      <c r="D215" s="163"/>
      <c r="E215" s="139"/>
      <c r="G215" s="139"/>
      <c r="I215" s="139"/>
    </row>
    <row r="216" spans="1:15" x14ac:dyDescent="0.2">
      <c r="A216" s="144" t="b">
        <v>0</v>
      </c>
      <c r="B216" s="134">
        <f>B214+1</f>
        <v>213</v>
      </c>
      <c r="C216" s="150" t="s">
        <v>721</v>
      </c>
      <c r="D216" s="317"/>
      <c r="E216" s="139"/>
      <c r="F216" s="139"/>
      <c r="G216" s="139"/>
      <c r="I216" s="139"/>
      <c r="O216" s="138" t="str">
        <f>IF(A216=TRUE,"2 copies of calibration certificate included, one in unit one on outside of box","")</f>
        <v/>
      </c>
    </row>
    <row r="217" spans="1:15" x14ac:dyDescent="0.2">
      <c r="A217" s="144" t="b">
        <v>0</v>
      </c>
      <c r="B217" s="134">
        <f t="shared" si="4"/>
        <v>214</v>
      </c>
      <c r="C217" s="184" t="s">
        <v>722</v>
      </c>
      <c r="D217" s="351"/>
      <c r="E217" s="139"/>
      <c r="F217" s="139"/>
      <c r="G217" s="139"/>
      <c r="I217" s="139"/>
      <c r="O217" s="138" t="str">
        <f>IF(A217=TRUE,"2 copies of service report included, one in unit one on outside of box","")</f>
        <v/>
      </c>
    </row>
    <row r="218" spans="1:15" x14ac:dyDescent="0.2">
      <c r="A218" s="144" t="b">
        <v>0</v>
      </c>
      <c r="B218" s="134">
        <f t="shared" si="4"/>
        <v>215</v>
      </c>
      <c r="C218" s="150" t="s">
        <v>723</v>
      </c>
      <c r="D218" s="351"/>
      <c r="E218" s="139"/>
      <c r="G218" s="139"/>
      <c r="I218" s="139"/>
    </row>
    <row r="219" spans="1:15" x14ac:dyDescent="0.2">
      <c r="A219" s="144" t="b">
        <v>0</v>
      </c>
      <c r="B219" s="134">
        <f t="shared" si="4"/>
        <v>216</v>
      </c>
      <c r="C219" s="150" t="s">
        <v>724</v>
      </c>
      <c r="D219" s="317"/>
      <c r="E219" s="505" t="s">
        <v>725</v>
      </c>
      <c r="F219" s="506"/>
      <c r="G219" s="506"/>
      <c r="H219" s="506"/>
      <c r="I219" s="506"/>
      <c r="J219" s="506"/>
      <c r="K219" s="506"/>
      <c r="L219" s="506"/>
      <c r="M219" s="506"/>
      <c r="N219" s="506"/>
      <c r="O219" s="506"/>
    </row>
    <row r="220" spans="1:15" x14ac:dyDescent="0.2">
      <c r="A220" s="144" t="b">
        <v>0</v>
      </c>
      <c r="B220" s="134">
        <f t="shared" si="4"/>
        <v>217</v>
      </c>
      <c r="C220" s="150" t="s">
        <v>726</v>
      </c>
      <c r="D220" s="317"/>
      <c r="E220" s="139"/>
      <c r="G220" s="139"/>
      <c r="I220" s="139"/>
    </row>
    <row r="221" spans="1:15" x14ac:dyDescent="0.2">
      <c r="A221" s="144" t="b">
        <v>0</v>
      </c>
      <c r="B221" s="134">
        <f t="shared" si="4"/>
        <v>218</v>
      </c>
      <c r="C221" s="150" t="s">
        <v>727</v>
      </c>
      <c r="D221" s="317"/>
      <c r="E221" s="139"/>
      <c r="F221" s="139"/>
      <c r="G221" s="139"/>
      <c r="I221" s="139"/>
    </row>
    <row r="222" spans="1:15" x14ac:dyDescent="0.2">
      <c r="A222" s="144" t="b">
        <v>0</v>
      </c>
      <c r="B222" s="134">
        <f t="shared" si="4"/>
        <v>219</v>
      </c>
      <c r="C222" s="150" t="s">
        <v>728</v>
      </c>
      <c r="D222" s="317"/>
      <c r="E222" s="139"/>
      <c r="F222" s="139"/>
      <c r="G222" s="139"/>
      <c r="I222" s="139"/>
    </row>
    <row r="223" spans="1:15" x14ac:dyDescent="0.2">
      <c r="A223" s="144" t="b">
        <v>0</v>
      </c>
      <c r="B223" s="134">
        <f t="shared" si="4"/>
        <v>220</v>
      </c>
      <c r="C223" s="136" t="s">
        <v>729</v>
      </c>
      <c r="D223" s="332"/>
      <c r="E223" s="157"/>
      <c r="F223" s="157"/>
      <c r="G223" s="157"/>
      <c r="H223" s="157"/>
      <c r="I223" s="157"/>
      <c r="J223" s="157"/>
      <c r="K223" s="157"/>
      <c r="L223" s="157"/>
      <c r="M223" s="157"/>
      <c r="N223" s="157"/>
      <c r="O223" s="138" t="str">
        <f>IF(A223=TRUE,"AX WO processed","WO still to be completed")</f>
        <v>WO still to be completed</v>
      </c>
    </row>
    <row r="224" spans="1:15" x14ac:dyDescent="0.2">
      <c r="A224" s="144" t="b">
        <v>0</v>
      </c>
      <c r="B224" s="134">
        <f t="shared" si="4"/>
        <v>221</v>
      </c>
      <c r="C224" s="134" t="s">
        <v>702</v>
      </c>
      <c r="D224" s="332"/>
      <c r="E224" s="157"/>
      <c r="F224" s="157"/>
      <c r="G224" s="157"/>
      <c r="H224" s="157"/>
      <c r="I224" s="157"/>
      <c r="J224" s="157"/>
      <c r="K224" s="157"/>
      <c r="L224" s="157"/>
      <c r="M224" s="157"/>
      <c r="N224" s="157"/>
      <c r="O224" s="138" t="str">
        <f>IF(A224=TRUE,"Online booking status updated","Online update still required")</f>
        <v>Online update still required</v>
      </c>
    </row>
    <row r="225" spans="2:14" ht="15.75" x14ac:dyDescent="0.2">
      <c r="B225" s="134">
        <f t="shared" si="4"/>
        <v>222</v>
      </c>
      <c r="C225" s="150" t="s">
        <v>730</v>
      </c>
      <c r="D225" s="302"/>
      <c r="E225" s="487"/>
      <c r="F225" s="487"/>
      <c r="G225" s="515"/>
      <c r="H225" s="515"/>
      <c r="I225" s="515"/>
      <c r="J225" s="515"/>
      <c r="K225" s="515"/>
      <c r="L225" s="515"/>
      <c r="M225" s="515"/>
      <c r="N225" s="515"/>
    </row>
    <row r="226" spans="2:14" x14ac:dyDescent="0.2">
      <c r="B226" s="134">
        <f t="shared" si="4"/>
        <v>223</v>
      </c>
      <c r="C226" s="150" t="s">
        <v>731</v>
      </c>
      <c r="D226" s="329"/>
      <c r="E226" s="152" t="s">
        <v>618</v>
      </c>
      <c r="F226" s="139"/>
      <c r="G226" s="150"/>
      <c r="H226" s="150"/>
      <c r="I226" s="514"/>
      <c r="J226" s="514"/>
      <c r="K226" s="514"/>
      <c r="L226" s="514"/>
      <c r="M226" s="514"/>
      <c r="N226" s="514"/>
    </row>
    <row r="227" spans="2:14" x14ac:dyDescent="0.2">
      <c r="B227" s="134">
        <f t="shared" si="4"/>
        <v>224</v>
      </c>
      <c r="C227" s="136" t="s">
        <v>732</v>
      </c>
      <c r="E227" s="530"/>
      <c r="F227" s="530"/>
      <c r="G227" s="530"/>
      <c r="H227" s="530"/>
      <c r="I227" s="530"/>
      <c r="J227" s="530"/>
      <c r="K227" s="530"/>
      <c r="L227" s="530"/>
      <c r="M227" s="530"/>
      <c r="N227" s="530"/>
    </row>
    <row r="228" spans="2:14" x14ac:dyDescent="0.2">
      <c r="C228" s="152" t="s">
        <v>733</v>
      </c>
      <c r="D228" s="145"/>
    </row>
    <row r="229" spans="2:14" x14ac:dyDescent="0.2">
      <c r="C229" s="152" t="s">
        <v>734</v>
      </c>
      <c r="D229" s="151"/>
    </row>
    <row r="230" spans="2:14" x14ac:dyDescent="0.2">
      <c r="C230" s="163" t="s">
        <v>735</v>
      </c>
    </row>
    <row r="231" spans="2:14" x14ac:dyDescent="0.2">
      <c r="B231" s="135"/>
      <c r="C231" s="150" t="s">
        <v>736</v>
      </c>
      <c r="E231" s="139"/>
      <c r="F231" s="139"/>
      <c r="G231" s="139"/>
      <c r="H231" s="139"/>
      <c r="I231" s="139"/>
      <c r="J231" s="139"/>
      <c r="K231" s="139"/>
      <c r="L231" s="139"/>
    </row>
    <row r="232" spans="2:14" x14ac:dyDescent="0.2">
      <c r="B232" s="135"/>
      <c r="C232" s="150" t="s">
        <v>737</v>
      </c>
      <c r="E232" s="139"/>
      <c r="F232" s="139"/>
      <c r="G232" s="139"/>
      <c r="H232" s="139"/>
      <c r="I232" s="139"/>
      <c r="J232" s="139"/>
      <c r="L232" s="139"/>
    </row>
    <row r="233" spans="2:14" x14ac:dyDescent="0.2">
      <c r="B233" s="352"/>
      <c r="C233" s="353" t="s">
        <v>738</v>
      </c>
      <c r="D233" s="354"/>
      <c r="E233" s="533"/>
      <c r="F233" s="534"/>
      <c r="G233" s="534"/>
      <c r="H233" s="534"/>
      <c r="I233" s="534"/>
      <c r="J233" s="534"/>
      <c r="K233" s="535"/>
      <c r="L233" s="139"/>
    </row>
    <row r="234" spans="2:14" x14ac:dyDescent="0.2">
      <c r="B234" s="352"/>
      <c r="C234" s="355" t="s">
        <v>739</v>
      </c>
      <c r="D234" s="354"/>
      <c r="E234" s="533"/>
      <c r="F234" s="534"/>
      <c r="G234" s="534"/>
      <c r="H234" s="534"/>
      <c r="I234" s="534"/>
      <c r="J234" s="534"/>
      <c r="K234" s="535"/>
      <c r="L234" s="139"/>
    </row>
    <row r="235" spans="2:14" x14ac:dyDescent="0.2">
      <c r="B235" s="356"/>
      <c r="C235" s="353" t="s">
        <v>740</v>
      </c>
      <c r="D235" s="357"/>
      <c r="E235" s="533"/>
      <c r="F235" s="534"/>
      <c r="G235" s="534"/>
      <c r="H235" s="534"/>
      <c r="I235" s="534"/>
      <c r="J235" s="534"/>
      <c r="K235" s="535"/>
      <c r="L235" s="139"/>
    </row>
    <row r="236" spans="2:14" x14ac:dyDescent="0.2">
      <c r="B236" s="352"/>
      <c r="C236" s="353"/>
      <c r="D236" s="354"/>
      <c r="E236" s="536" t="s">
        <v>372</v>
      </c>
      <c r="F236" s="537"/>
      <c r="G236" s="538" t="str">
        <f>IF(D225=D13,"ON TIME",IF(D225&gt;D13,"LATE",IF(D225&lt;D13,"EARLY")))</f>
        <v>EARLY</v>
      </c>
      <c r="H236" s="513"/>
      <c r="I236" s="513"/>
      <c r="J236" s="513"/>
      <c r="K236" s="513"/>
      <c r="L236" s="513"/>
      <c r="M236" s="513"/>
      <c r="N236" s="513"/>
    </row>
    <row r="237" spans="2:14" x14ac:dyDescent="0.2">
      <c r="B237" s="352"/>
      <c r="C237" s="353"/>
      <c r="D237" s="354"/>
      <c r="E237" s="533"/>
      <c r="F237" s="534"/>
      <c r="G237" s="534"/>
      <c r="H237" s="534"/>
      <c r="I237" s="534"/>
      <c r="J237" s="534"/>
      <c r="K237" s="535"/>
      <c r="L237" s="139"/>
    </row>
    <row r="238" spans="2:14" x14ac:dyDescent="0.2">
      <c r="B238" s="352"/>
      <c r="C238" s="353"/>
      <c r="D238" s="354"/>
      <c r="E238" s="533"/>
      <c r="F238" s="534"/>
      <c r="G238" s="534"/>
      <c r="H238" s="534"/>
      <c r="I238" s="534"/>
      <c r="J238" s="534"/>
      <c r="K238" s="535"/>
      <c r="L238" s="139"/>
    </row>
    <row r="239" spans="2:14" x14ac:dyDescent="0.2">
      <c r="B239" s="352"/>
      <c r="C239" s="355"/>
      <c r="D239" s="354"/>
      <c r="E239" s="533"/>
      <c r="F239" s="534"/>
      <c r="G239" s="534"/>
      <c r="H239" s="534"/>
      <c r="I239" s="534"/>
      <c r="J239" s="534"/>
      <c r="K239" s="535"/>
      <c r="L239" s="139"/>
    </row>
    <row r="240" spans="2:14" x14ac:dyDescent="0.2">
      <c r="B240" s="352"/>
      <c r="C240" s="355"/>
      <c r="D240" s="354"/>
      <c r="E240" s="533"/>
      <c r="F240" s="534"/>
      <c r="G240" s="534"/>
      <c r="H240" s="534"/>
      <c r="I240" s="534"/>
      <c r="J240" s="534"/>
      <c r="K240" s="535"/>
      <c r="L240" s="139"/>
    </row>
    <row r="241" spans="2:12" x14ac:dyDescent="0.2">
      <c r="B241" s="352"/>
      <c r="C241" s="355"/>
      <c r="D241" s="354"/>
      <c r="E241" s="533"/>
      <c r="F241" s="534"/>
      <c r="G241" s="534"/>
      <c r="H241" s="534"/>
      <c r="I241" s="534"/>
      <c r="J241" s="534"/>
      <c r="K241" s="535"/>
      <c r="L241" s="139"/>
    </row>
    <row r="242" spans="2:12" x14ac:dyDescent="0.2">
      <c r="B242" s="352"/>
      <c r="C242" s="353" t="s">
        <v>741</v>
      </c>
      <c r="D242" s="354"/>
      <c r="E242" s="533"/>
      <c r="F242" s="534"/>
      <c r="G242" s="534"/>
      <c r="H242" s="534"/>
      <c r="I242" s="534"/>
      <c r="J242" s="534"/>
      <c r="K242" s="535"/>
      <c r="L242" s="139"/>
    </row>
    <row r="243" spans="2:12" x14ac:dyDescent="0.2">
      <c r="B243" s="352"/>
      <c r="C243" s="353" t="s">
        <v>538</v>
      </c>
      <c r="D243" s="354"/>
      <c r="E243" s="533"/>
      <c r="F243" s="534"/>
      <c r="G243" s="534"/>
      <c r="H243" s="534"/>
      <c r="I243" s="534"/>
      <c r="J243" s="534"/>
      <c r="K243" s="535"/>
      <c r="L243" s="139"/>
    </row>
    <row r="244" spans="2:12" x14ac:dyDescent="0.2">
      <c r="B244" s="358"/>
      <c r="C244" s="359"/>
      <c r="D244" s="360"/>
      <c r="E244" s="533"/>
      <c r="F244" s="534"/>
      <c r="G244" s="534"/>
      <c r="H244" s="534"/>
      <c r="I244" s="534"/>
      <c r="J244" s="534"/>
      <c r="K244" s="535"/>
      <c r="L244" s="139"/>
    </row>
    <row r="245" spans="2:12" x14ac:dyDescent="0.2">
      <c r="B245" s="352"/>
      <c r="C245" s="355"/>
      <c r="D245" s="354"/>
      <c r="E245" s="533"/>
      <c r="F245" s="534"/>
      <c r="G245" s="534"/>
      <c r="H245" s="534"/>
      <c r="I245" s="534"/>
      <c r="J245" s="534"/>
      <c r="K245" s="535"/>
      <c r="L245" s="139"/>
    </row>
    <row r="246" spans="2:12" x14ac:dyDescent="0.2">
      <c r="B246" s="361"/>
      <c r="C246" s="362"/>
      <c r="D246" s="363"/>
      <c r="E246" s="539"/>
      <c r="F246" s="540"/>
      <c r="G246" s="540"/>
      <c r="H246" s="540"/>
      <c r="I246" s="540"/>
      <c r="J246" s="540"/>
      <c r="K246" s="541"/>
      <c r="L246" s="139"/>
    </row>
    <row r="247" spans="2:12" x14ac:dyDescent="0.2">
      <c r="B247" s="361"/>
      <c r="C247" s="362"/>
      <c r="D247" s="363"/>
      <c r="E247" s="539"/>
      <c r="F247" s="540"/>
      <c r="G247" s="540"/>
      <c r="H247" s="540"/>
      <c r="I247" s="540"/>
      <c r="J247" s="540"/>
      <c r="K247" s="541"/>
      <c r="L247" s="139"/>
    </row>
    <row r="248" spans="2:12" x14ac:dyDescent="0.2">
      <c r="B248" s="361"/>
      <c r="C248" s="362"/>
      <c r="D248" s="363"/>
      <c r="E248" s="539"/>
      <c r="F248" s="540"/>
      <c r="G248" s="540"/>
      <c r="H248" s="540"/>
      <c r="I248" s="540"/>
      <c r="J248" s="540"/>
      <c r="K248" s="541"/>
      <c r="L248" s="139"/>
    </row>
    <row r="249" spans="2:12" x14ac:dyDescent="0.2">
      <c r="B249" s="135"/>
      <c r="C249" s="139"/>
      <c r="E249" s="139"/>
      <c r="F249" s="139"/>
      <c r="G249" s="139"/>
      <c r="H249" s="139"/>
      <c r="I249" s="139"/>
      <c r="J249" s="139"/>
      <c r="K249" s="139"/>
      <c r="L249" s="139"/>
    </row>
    <row r="250" spans="2:12" x14ac:dyDescent="0.2">
      <c r="B250" s="135"/>
      <c r="C250" s="182" t="s">
        <v>742</v>
      </c>
      <c r="D250" s="135"/>
      <c r="E250" s="182"/>
      <c r="F250" s="182"/>
      <c r="G250" s="167" t="s">
        <v>328</v>
      </c>
      <c r="H250" s="364" t="s">
        <v>743</v>
      </c>
      <c r="I250" s="167" t="s">
        <v>337</v>
      </c>
      <c r="J250" s="364" t="s">
        <v>743</v>
      </c>
      <c r="K250" s="167" t="s">
        <v>341</v>
      </c>
      <c r="L250" s="364" t="s">
        <v>743</v>
      </c>
    </row>
    <row r="251" spans="2:12" x14ac:dyDescent="0.2">
      <c r="B251" s="135"/>
      <c r="C251" s="182" t="s">
        <v>744</v>
      </c>
      <c r="D251" s="135"/>
      <c r="E251" s="182"/>
      <c r="F251" s="364" t="s">
        <v>743</v>
      </c>
      <c r="G251" s="139"/>
      <c r="H251" s="167"/>
      <c r="I251" s="183"/>
      <c r="J251" s="167"/>
      <c r="K251" s="167"/>
      <c r="L251" s="167"/>
    </row>
    <row r="1476" spans="1:16" s="145" customFormat="1" x14ac:dyDescent="0.2">
      <c r="A1476" s="144"/>
      <c r="B1476" s="134"/>
      <c r="C1476" s="163"/>
      <c r="D1476" s="139"/>
      <c r="E1476" s="135"/>
      <c r="F1476" s="135"/>
      <c r="G1476" s="135"/>
      <c r="H1476" s="135"/>
      <c r="I1476" s="135"/>
      <c r="J1476" s="135"/>
      <c r="K1476" s="135"/>
      <c r="L1476" s="135"/>
      <c r="M1476" s="135"/>
      <c r="N1476" s="135"/>
      <c r="O1476" s="138"/>
      <c r="P1476" s="137"/>
    </row>
    <row r="1477" spans="1:16" x14ac:dyDescent="0.2">
      <c r="A1477" s="149"/>
      <c r="C1477" s="136"/>
      <c r="D1477" s="145"/>
      <c r="E1477" s="157"/>
      <c r="F1477" s="157"/>
      <c r="G1477" s="157"/>
      <c r="H1477" s="157"/>
      <c r="I1477" s="157"/>
      <c r="J1477" s="157"/>
      <c r="K1477" s="157"/>
      <c r="L1477" s="157"/>
      <c r="M1477" s="157"/>
      <c r="N1477" s="157"/>
      <c r="O1477" s="137"/>
    </row>
    <row r="9225" spans="1:1" x14ac:dyDescent="0.2">
      <c r="A9225" s="144"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40625" defaultRowHeight="12.75" x14ac:dyDescent="0.2"/>
  <cols>
    <col min="1" max="1" width="9.42578125" style="105" bestFit="1" customWidth="1"/>
    <col min="2" max="3" width="9.140625" style="105"/>
    <col min="4" max="4" width="11.5703125" style="105" bestFit="1" customWidth="1"/>
    <col min="5" max="7" width="9.140625" style="105"/>
    <col min="8" max="8" width="13.7109375" style="105" customWidth="1"/>
    <col min="9" max="12" width="9.42578125" style="105" bestFit="1" customWidth="1"/>
    <col min="13" max="13" width="8.85546875" style="105" customWidth="1"/>
    <col min="14" max="16" width="9.42578125" style="105" bestFit="1" customWidth="1"/>
    <col min="17" max="16384" width="9.140625" style="105"/>
  </cols>
  <sheetData>
    <row r="1" spans="1:16" x14ac:dyDescent="0.2">
      <c r="A1" s="188" t="s">
        <v>745</v>
      </c>
    </row>
    <row r="2" spans="1:16" x14ac:dyDescent="0.2">
      <c r="H2" s="192"/>
      <c r="I2" s="192"/>
    </row>
    <row r="3" spans="1:16" x14ac:dyDescent="0.2">
      <c r="A3" s="105" t="s">
        <v>746</v>
      </c>
      <c r="H3" s="542" t="str">
        <f>'MP Calibration Certificate'!D17</f>
        <v>5.6mg/l RM8631b</v>
      </c>
      <c r="I3" s="542"/>
    </row>
    <row r="4" spans="1:16" x14ac:dyDescent="0.2">
      <c r="A4" s="105" t="s">
        <v>543</v>
      </c>
      <c r="H4" s="543">
        <f>'MP Calibration Certificate'!D18</f>
        <v>-1</v>
      </c>
      <c r="I4" s="544"/>
    </row>
    <row r="5" spans="1:16" x14ac:dyDescent="0.2">
      <c r="A5" s="105" t="s">
        <v>747</v>
      </c>
      <c r="H5" s="544">
        <f>'Cover Service Sheet'!D6</f>
        <v>0</v>
      </c>
      <c r="I5" s="544"/>
    </row>
    <row r="6" spans="1:16" x14ac:dyDescent="0.2">
      <c r="A6" s="105" t="s">
        <v>748</v>
      </c>
      <c r="H6" s="544">
        <f>'Cover Service Sheet'!D15</f>
        <v>0</v>
      </c>
      <c r="I6" s="544"/>
      <c r="M6" s="130"/>
      <c r="N6" s="131"/>
      <c r="O6" s="131"/>
      <c r="P6" s="193"/>
    </row>
    <row r="7" spans="1:16" x14ac:dyDescent="0.2">
      <c r="A7" s="105" t="s">
        <v>749</v>
      </c>
      <c r="H7" s="544">
        <f>'Cover Service Sheet'!D16</f>
        <v>0</v>
      </c>
      <c r="I7" s="544"/>
      <c r="M7" s="194"/>
      <c r="N7" s="195"/>
      <c r="O7" s="195"/>
      <c r="P7" s="195"/>
    </row>
    <row r="8" spans="1:16" x14ac:dyDescent="0.2">
      <c r="M8" s="196"/>
      <c r="N8" s="195"/>
      <c r="O8" s="195"/>
      <c r="P8" s="195"/>
    </row>
    <row r="9" spans="1:16" x14ac:dyDescent="0.2">
      <c r="A9" s="105" t="s">
        <v>750</v>
      </c>
      <c r="H9" s="192"/>
      <c r="M9" s="196"/>
      <c r="N9" s="195"/>
      <c r="O9" s="195"/>
      <c r="P9" s="195"/>
    </row>
    <row r="10" spans="1:16" x14ac:dyDescent="0.2">
      <c r="A10" s="143">
        <v>1</v>
      </c>
      <c r="B10" s="105" t="s">
        <v>751</v>
      </c>
      <c r="H10" s="197"/>
      <c r="I10" s="198"/>
      <c r="M10" s="196"/>
      <c r="N10" s="195"/>
      <c r="O10" s="143"/>
      <c r="P10" s="143"/>
    </row>
    <row r="11" spans="1:16" x14ac:dyDescent="0.2">
      <c r="A11" s="143">
        <f>A10+1</f>
        <v>2</v>
      </c>
      <c r="B11" s="520" t="s">
        <v>752</v>
      </c>
      <c r="C11" s="520"/>
      <c r="D11" s="520"/>
      <c r="E11" s="520"/>
      <c r="H11" s="365"/>
      <c r="I11" s="198"/>
      <c r="M11" s="196"/>
      <c r="N11" s="195"/>
      <c r="O11" s="195"/>
      <c r="P11" s="195"/>
    </row>
    <row r="12" spans="1:16" x14ac:dyDescent="0.2">
      <c r="A12" s="143">
        <f t="shared" ref="A12:A71" si="0">A11+1</f>
        <v>3</v>
      </c>
      <c r="B12" s="105" t="s">
        <v>753</v>
      </c>
      <c r="H12" s="366"/>
      <c r="I12" s="198"/>
      <c r="M12" s="196"/>
      <c r="N12" s="195"/>
      <c r="O12" s="195"/>
      <c r="P12" s="195"/>
    </row>
    <row r="13" spans="1:16" x14ac:dyDescent="0.2">
      <c r="A13" s="143">
        <f t="shared" si="0"/>
        <v>4</v>
      </c>
      <c r="B13" s="520" t="s">
        <v>754</v>
      </c>
      <c r="C13" s="520"/>
      <c r="D13" s="520"/>
      <c r="E13" s="520"/>
      <c r="F13" s="520"/>
      <c r="H13" s="367" t="s">
        <v>725</v>
      </c>
      <c r="I13" s="198"/>
      <c r="M13" s="196"/>
      <c r="N13" s="195"/>
      <c r="O13" s="195"/>
      <c r="P13" s="195"/>
    </row>
    <row r="14" spans="1:16" x14ac:dyDescent="0.2">
      <c r="A14" s="143"/>
      <c r="B14" s="549" t="s">
        <v>755</v>
      </c>
      <c r="C14" s="550"/>
      <c r="D14" s="550"/>
      <c r="E14" s="550"/>
      <c r="F14" s="550"/>
      <c r="G14" s="550"/>
      <c r="H14" s="368"/>
      <c r="M14" s="196"/>
      <c r="N14" s="195"/>
      <c r="O14" s="195"/>
      <c r="P14" s="195"/>
    </row>
    <row r="15" spans="1:16" x14ac:dyDescent="0.2">
      <c r="A15" s="143"/>
      <c r="B15" s="133" t="s">
        <v>756</v>
      </c>
      <c r="H15" s="192"/>
      <c r="M15" s="196"/>
      <c r="N15" s="195"/>
      <c r="O15" s="195"/>
      <c r="P15" s="195"/>
    </row>
    <row r="16" spans="1:16" x14ac:dyDescent="0.2">
      <c r="A16" s="143">
        <f>A13+1</f>
        <v>5</v>
      </c>
      <c r="B16" s="105" t="s">
        <v>757</v>
      </c>
      <c r="H16" s="367" t="s">
        <v>725</v>
      </c>
      <c r="I16" s="198"/>
      <c r="M16" s="196"/>
      <c r="N16" s="199"/>
      <c r="O16" s="199"/>
      <c r="P16" s="199"/>
    </row>
    <row r="17" spans="1:16" x14ac:dyDescent="0.2">
      <c r="A17" s="143">
        <f t="shared" si="0"/>
        <v>6</v>
      </c>
      <c r="B17" s="105" t="s">
        <v>758</v>
      </c>
      <c r="H17" s="367" t="s">
        <v>725</v>
      </c>
      <c r="I17" s="198"/>
      <c r="M17" s="200"/>
      <c r="N17" s="195"/>
      <c r="O17" s="195"/>
      <c r="P17" s="195"/>
    </row>
    <row r="18" spans="1:16" x14ac:dyDescent="0.2">
      <c r="A18" s="143">
        <f t="shared" si="0"/>
        <v>7</v>
      </c>
      <c r="B18" s="105" t="s">
        <v>759</v>
      </c>
      <c r="H18" s="367" t="s">
        <v>725</v>
      </c>
      <c r="I18" s="198"/>
      <c r="M18" s="132"/>
      <c r="N18" s="132"/>
      <c r="O18" s="132"/>
      <c r="P18" s="132"/>
    </row>
    <row r="19" spans="1:16" x14ac:dyDescent="0.2">
      <c r="A19" s="143">
        <f t="shared" si="0"/>
        <v>8</v>
      </c>
      <c r="B19" s="105" t="s">
        <v>760</v>
      </c>
      <c r="H19" s="369" t="s">
        <v>725</v>
      </c>
      <c r="M19" s="131"/>
      <c r="N19" s="131"/>
      <c r="O19" s="131"/>
      <c r="P19" s="131"/>
    </row>
    <row r="20" spans="1:16" x14ac:dyDescent="0.2">
      <c r="A20" s="143">
        <f t="shared" si="0"/>
        <v>9</v>
      </c>
      <c r="B20" s="105" t="s">
        <v>660</v>
      </c>
      <c r="H20" s="369" t="s">
        <v>725</v>
      </c>
      <c r="M20" s="196"/>
      <c r="N20" s="195"/>
      <c r="O20" s="195"/>
      <c r="P20" s="195"/>
    </row>
    <row r="21" spans="1:16" x14ac:dyDescent="0.2">
      <c r="A21" s="143">
        <f t="shared" si="0"/>
        <v>10</v>
      </c>
      <c r="B21" s="105" t="s">
        <v>761</v>
      </c>
      <c r="H21" s="369" t="s">
        <v>725</v>
      </c>
      <c r="M21" s="196"/>
      <c r="N21" s="195"/>
      <c r="O21" s="195"/>
      <c r="P21" s="195"/>
    </row>
    <row r="22" spans="1:16" x14ac:dyDescent="0.2">
      <c r="A22" s="143">
        <f t="shared" si="0"/>
        <v>11</v>
      </c>
      <c r="B22" s="105" t="s">
        <v>762</v>
      </c>
      <c r="H22" s="369" t="s">
        <v>725</v>
      </c>
      <c r="M22" s="196"/>
      <c r="N22" s="195"/>
      <c r="O22" s="195"/>
      <c r="P22" s="195"/>
    </row>
    <row r="23" spans="1:16" x14ac:dyDescent="0.2">
      <c r="A23" s="143">
        <f t="shared" si="0"/>
        <v>12</v>
      </c>
      <c r="B23" s="105" t="s">
        <v>763</v>
      </c>
      <c r="H23" s="369" t="s">
        <v>725</v>
      </c>
      <c r="M23" s="196"/>
      <c r="N23" s="195"/>
      <c r="O23" s="195"/>
      <c r="P23" s="195"/>
    </row>
    <row r="24" spans="1:16" x14ac:dyDescent="0.2">
      <c r="A24" s="143">
        <f t="shared" si="0"/>
        <v>13</v>
      </c>
      <c r="B24" s="105" t="s">
        <v>764</v>
      </c>
      <c r="H24" s="369" t="s">
        <v>725</v>
      </c>
      <c r="M24" s="196"/>
      <c r="N24" s="195"/>
      <c r="O24" s="195"/>
      <c r="P24" s="195"/>
    </row>
    <row r="25" spans="1:16" x14ac:dyDescent="0.2">
      <c r="A25" s="143">
        <f t="shared" si="0"/>
        <v>14</v>
      </c>
      <c r="B25" s="105" t="s">
        <v>665</v>
      </c>
      <c r="H25" s="370" t="s">
        <v>725</v>
      </c>
      <c r="M25" s="196"/>
      <c r="N25" s="195"/>
      <c r="O25" s="195"/>
      <c r="P25" s="195"/>
    </row>
    <row r="26" spans="1:16" x14ac:dyDescent="0.2">
      <c r="A26" s="143">
        <f t="shared" si="0"/>
        <v>15</v>
      </c>
      <c r="B26" s="105" t="s">
        <v>765</v>
      </c>
      <c r="H26" s="371"/>
      <c r="M26" s="196"/>
      <c r="N26" s="195"/>
      <c r="O26" s="195"/>
      <c r="P26" s="195"/>
    </row>
    <row r="27" spans="1:16" x14ac:dyDescent="0.2">
      <c r="A27" s="143">
        <f t="shared" si="0"/>
        <v>16</v>
      </c>
      <c r="B27" s="105" t="s">
        <v>766</v>
      </c>
      <c r="H27" s="372">
        <f>H26+365</f>
        <v>365</v>
      </c>
      <c r="M27" s="196"/>
      <c r="N27" s="195"/>
      <c r="O27" s="195"/>
      <c r="P27" s="195"/>
    </row>
    <row r="28" spans="1:16" x14ac:dyDescent="0.2">
      <c r="A28" s="143"/>
      <c r="B28" s="188" t="s">
        <v>767</v>
      </c>
      <c r="M28" s="196"/>
      <c r="N28" s="195"/>
      <c r="O28" s="195"/>
      <c r="P28" s="195"/>
    </row>
    <row r="29" spans="1:16" x14ac:dyDescent="0.2">
      <c r="A29" s="143">
        <f>A27+1</f>
        <v>17</v>
      </c>
      <c r="B29" s="105" t="s">
        <v>768</v>
      </c>
      <c r="H29" s="369" t="s">
        <v>725</v>
      </c>
      <c r="I29" s="105">
        <v>4</v>
      </c>
      <c r="J29" s="105">
        <v>6</v>
      </c>
      <c r="K29" s="105">
        <v>14</v>
      </c>
      <c r="L29" s="105">
        <v>21</v>
      </c>
      <c r="M29" s="196">
        <v>25</v>
      </c>
      <c r="N29" s="195">
        <v>38</v>
      </c>
      <c r="O29" s="143">
        <v>50</v>
      </c>
      <c r="P29" s="143">
        <v>70</v>
      </c>
    </row>
    <row r="30" spans="1:16" x14ac:dyDescent="0.2">
      <c r="A30" s="143">
        <f t="shared" si="0"/>
        <v>18</v>
      </c>
      <c r="B30" s="105" t="s">
        <v>769</v>
      </c>
      <c r="H30" s="370" t="s">
        <v>725</v>
      </c>
      <c r="I30" s="105" t="str">
        <f>AUTO!B3</f>
        <v>LPA3 NAVAIR</v>
      </c>
      <c r="J30" s="105">
        <f>AUTO!B4</f>
        <v>63010080</v>
      </c>
      <c r="K30" s="105">
        <f>AUTO!B5</f>
        <v>1024</v>
      </c>
      <c r="L30" s="105">
        <f>AUTO!B6</f>
        <v>0</v>
      </c>
      <c r="M30" s="196" t="str">
        <f>AUTO!B7</f>
        <v>LPA3 NAVAIR</v>
      </c>
      <c r="N30" s="195">
        <f>AUTO!B8</f>
        <v>82</v>
      </c>
      <c r="O30" s="195">
        <f>AUTO!B9</f>
        <v>204</v>
      </c>
      <c r="P30" s="195">
        <f>AUTO!B10</f>
        <v>1092</v>
      </c>
    </row>
    <row r="31" spans="1:16" x14ac:dyDescent="0.2">
      <c r="A31" s="143"/>
      <c r="B31" s="188" t="s">
        <v>671</v>
      </c>
      <c r="H31" s="373"/>
      <c r="M31" s="196"/>
      <c r="N31" s="195"/>
      <c r="O31" s="195"/>
      <c r="P31" s="195"/>
    </row>
    <row r="32" spans="1:16" x14ac:dyDescent="0.2">
      <c r="A32" s="143">
        <f>A30+1</f>
        <v>19</v>
      </c>
      <c r="B32" s="105" t="s">
        <v>672</v>
      </c>
      <c r="H32" s="369" t="s">
        <v>725</v>
      </c>
      <c r="M32" s="131"/>
      <c r="N32" s="131"/>
      <c r="O32" s="131"/>
      <c r="P32" s="131"/>
    </row>
    <row r="33" spans="1:16" ht="14.45" customHeight="1" x14ac:dyDescent="0.2">
      <c r="A33" s="143">
        <f t="shared" si="0"/>
        <v>20</v>
      </c>
      <c r="B33" s="105" t="s">
        <v>673</v>
      </c>
      <c r="H33" s="369" t="s">
        <v>725</v>
      </c>
      <c r="M33" s="196"/>
      <c r="N33" s="195"/>
      <c r="O33" s="195"/>
      <c r="P33" s="195"/>
    </row>
    <row r="34" spans="1:16" x14ac:dyDescent="0.2">
      <c r="A34" s="143">
        <f t="shared" si="0"/>
        <v>21</v>
      </c>
      <c r="B34" s="105" t="s">
        <v>770</v>
      </c>
      <c r="H34" s="369" t="s">
        <v>725</v>
      </c>
      <c r="M34" s="131"/>
      <c r="N34" s="131"/>
      <c r="O34" s="131"/>
      <c r="P34" s="131"/>
    </row>
    <row r="35" spans="1:16" x14ac:dyDescent="0.2">
      <c r="A35" s="143">
        <f t="shared" si="0"/>
        <v>22</v>
      </c>
      <c r="B35" s="105" t="s">
        <v>771</v>
      </c>
      <c r="H35" s="370" t="s">
        <v>725</v>
      </c>
      <c r="M35" s="196"/>
      <c r="N35" s="195"/>
      <c r="O35" s="195"/>
      <c r="P35" s="195"/>
    </row>
    <row r="36" spans="1:16" x14ac:dyDescent="0.2">
      <c r="A36" s="143"/>
      <c r="B36" s="188" t="s">
        <v>676</v>
      </c>
      <c r="H36" s="373"/>
      <c r="M36" s="196"/>
      <c r="N36" s="195"/>
      <c r="O36" s="195"/>
      <c r="P36" s="195"/>
    </row>
    <row r="37" spans="1:16" x14ac:dyDescent="0.2">
      <c r="A37" s="143">
        <f>A35+1</f>
        <v>23</v>
      </c>
      <c r="B37" s="520" t="s">
        <v>772</v>
      </c>
      <c r="C37" s="520"/>
      <c r="D37" s="520"/>
      <c r="E37" s="520"/>
      <c r="H37" s="369" t="s">
        <v>725</v>
      </c>
      <c r="M37" s="196"/>
      <c r="N37" s="195"/>
      <c r="O37" s="195"/>
      <c r="P37" s="195"/>
    </row>
    <row r="38" spans="1:16" x14ac:dyDescent="0.2">
      <c r="A38" s="143">
        <f t="shared" si="0"/>
        <v>24</v>
      </c>
      <c r="B38" s="105" t="s">
        <v>678</v>
      </c>
      <c r="H38" s="369" t="s">
        <v>725</v>
      </c>
      <c r="M38" s="196"/>
      <c r="N38" s="195"/>
      <c r="O38" s="195"/>
      <c r="P38" s="195"/>
    </row>
    <row r="39" spans="1:16" x14ac:dyDescent="0.2">
      <c r="A39" s="143">
        <f t="shared" si="0"/>
        <v>25</v>
      </c>
      <c r="B39" s="105" t="s">
        <v>773</v>
      </c>
      <c r="H39" s="369" t="s">
        <v>725</v>
      </c>
      <c r="M39" s="131"/>
      <c r="N39" s="131"/>
      <c r="O39" s="131"/>
      <c r="P39" s="131"/>
    </row>
    <row r="40" spans="1:16" x14ac:dyDescent="0.2">
      <c r="A40" s="143">
        <f t="shared" si="0"/>
        <v>26</v>
      </c>
      <c r="B40" s="105" t="s">
        <v>774</v>
      </c>
      <c r="H40" s="370" t="s">
        <v>725</v>
      </c>
      <c r="M40" s="196"/>
      <c r="N40" s="195"/>
      <c r="O40" s="195"/>
      <c r="P40" s="195"/>
    </row>
    <row r="41" spans="1:16" x14ac:dyDescent="0.2">
      <c r="A41" s="143"/>
      <c r="B41" s="493" t="s">
        <v>775</v>
      </c>
      <c r="C41" s="493"/>
      <c r="H41" s="374"/>
      <c r="M41" s="196"/>
      <c r="N41" s="195"/>
      <c r="O41" s="195"/>
      <c r="P41" s="195"/>
    </row>
    <row r="42" spans="1:16" x14ac:dyDescent="0.2">
      <c r="A42" s="143">
        <f>A40+1</f>
        <v>27</v>
      </c>
      <c r="B42" s="520" t="s">
        <v>776</v>
      </c>
      <c r="C42" s="520"/>
      <c r="D42" s="520"/>
      <c r="E42" s="520"/>
      <c r="H42" s="370"/>
      <c r="M42" s="196"/>
      <c r="N42" s="195"/>
      <c r="O42" s="195"/>
      <c r="P42" s="195"/>
    </row>
    <row r="43" spans="1:16" x14ac:dyDescent="0.2">
      <c r="A43" s="143">
        <f>A42+1</f>
        <v>28</v>
      </c>
      <c r="B43" s="105" t="s">
        <v>777</v>
      </c>
      <c r="H43" s="375"/>
      <c r="M43" s="131"/>
      <c r="N43" s="131"/>
      <c r="O43" s="131"/>
      <c r="P43" s="131"/>
    </row>
    <row r="44" spans="1:16" x14ac:dyDescent="0.2">
      <c r="A44" s="143">
        <f t="shared" si="0"/>
        <v>29</v>
      </c>
      <c r="B44" s="105" t="s">
        <v>778</v>
      </c>
      <c r="H44" s="369" t="s">
        <v>725</v>
      </c>
      <c r="M44" s="196"/>
      <c r="N44" s="195"/>
      <c r="O44" s="195"/>
      <c r="P44" s="195"/>
    </row>
    <row r="45" spans="1:16" x14ac:dyDescent="0.2">
      <c r="A45" s="143">
        <f t="shared" si="0"/>
        <v>30</v>
      </c>
      <c r="B45" s="520" t="s">
        <v>779</v>
      </c>
      <c r="C45" s="520"/>
      <c r="D45" s="520"/>
      <c r="E45" s="520"/>
      <c r="F45" s="520"/>
      <c r="G45" s="553"/>
      <c r="H45" s="369" t="s">
        <v>725</v>
      </c>
      <c r="I45" s="554" t="str">
        <f>'Cover Service Sheet'!D49</f>
        <v>-</v>
      </c>
      <c r="J45" s="555"/>
      <c r="K45" s="555"/>
      <c r="M45" s="196"/>
      <c r="N45" s="195"/>
      <c r="O45" s="195"/>
      <c r="P45" s="195"/>
    </row>
    <row r="46" spans="1:16" x14ac:dyDescent="0.2">
      <c r="A46" s="143">
        <f t="shared" si="0"/>
        <v>31</v>
      </c>
      <c r="B46" s="520" t="s">
        <v>780</v>
      </c>
      <c r="C46" s="520"/>
      <c r="D46" s="520"/>
      <c r="H46" s="370" t="s">
        <v>725</v>
      </c>
      <c r="M46" s="196"/>
      <c r="N46" s="195"/>
      <c r="O46" s="195"/>
      <c r="P46" s="195"/>
    </row>
    <row r="47" spans="1:16" x14ac:dyDescent="0.2">
      <c r="A47" s="143">
        <f t="shared" si="0"/>
        <v>32</v>
      </c>
      <c r="B47" s="105" t="s">
        <v>781</v>
      </c>
      <c r="H47" s="376"/>
      <c r="M47" s="196"/>
      <c r="N47" s="195"/>
      <c r="O47" s="195"/>
      <c r="P47" s="195"/>
    </row>
    <row r="48" spans="1:16" x14ac:dyDescent="0.2">
      <c r="A48" s="143">
        <f t="shared" si="0"/>
        <v>33</v>
      </c>
      <c r="B48" s="105" t="s">
        <v>782</v>
      </c>
      <c r="H48" s="376"/>
      <c r="M48" s="196"/>
      <c r="N48" s="195"/>
      <c r="O48" s="195"/>
      <c r="P48" s="195"/>
    </row>
    <row r="49" spans="1:16" x14ac:dyDescent="0.2">
      <c r="A49" s="143">
        <f t="shared" si="0"/>
        <v>34</v>
      </c>
      <c r="B49" s="105" t="s">
        <v>783</v>
      </c>
      <c r="H49" s="376"/>
      <c r="M49" s="196"/>
      <c r="N49" s="195"/>
      <c r="O49" s="195"/>
      <c r="P49" s="195"/>
    </row>
    <row r="50" spans="1:16" x14ac:dyDescent="0.2">
      <c r="A50" s="143"/>
      <c r="B50" s="188" t="s">
        <v>688</v>
      </c>
      <c r="H50" s="373"/>
      <c r="M50" s="196"/>
      <c r="N50" s="195"/>
      <c r="O50" s="143"/>
      <c r="P50" s="143"/>
    </row>
    <row r="51" spans="1:16" x14ac:dyDescent="0.2">
      <c r="A51" s="143">
        <f>A49+1</f>
        <v>35</v>
      </c>
      <c r="B51" s="105" t="s">
        <v>784</v>
      </c>
      <c r="H51" s="375"/>
      <c r="M51" s="196"/>
      <c r="N51" s="195"/>
      <c r="O51" s="143"/>
      <c r="P51" s="143"/>
    </row>
    <row r="52" spans="1:16" x14ac:dyDescent="0.2">
      <c r="A52" s="143">
        <f t="shared" si="0"/>
        <v>36</v>
      </c>
      <c r="B52" s="105" t="s">
        <v>785</v>
      </c>
      <c r="H52" s="369" t="s">
        <v>725</v>
      </c>
      <c r="M52" s="196"/>
      <c r="N52" s="195"/>
      <c r="O52" s="195"/>
      <c r="P52" s="195"/>
    </row>
    <row r="53" spans="1:16" x14ac:dyDescent="0.2">
      <c r="A53" s="143">
        <f t="shared" si="0"/>
        <v>37</v>
      </c>
      <c r="B53" s="105" t="s">
        <v>786</v>
      </c>
      <c r="H53" s="370" t="s">
        <v>725</v>
      </c>
      <c r="M53" s="196"/>
      <c r="N53" s="195"/>
      <c r="O53" s="195"/>
      <c r="P53" s="195"/>
    </row>
    <row r="54" spans="1:16" x14ac:dyDescent="0.2">
      <c r="A54" s="143">
        <f t="shared" si="0"/>
        <v>38</v>
      </c>
      <c r="B54" s="105" t="s">
        <v>787</v>
      </c>
      <c r="H54" s="370"/>
      <c r="M54" s="196"/>
      <c r="N54" s="195"/>
      <c r="O54" s="195"/>
      <c r="P54" s="195"/>
    </row>
    <row r="55" spans="1:16" x14ac:dyDescent="0.2">
      <c r="A55" s="143"/>
      <c r="B55" s="551" t="s">
        <v>788</v>
      </c>
      <c r="C55" s="552"/>
      <c r="D55" s="552"/>
      <c r="E55" s="552"/>
      <c r="F55" s="552"/>
      <c r="G55" s="552"/>
      <c r="M55" s="196"/>
      <c r="N55" s="195"/>
      <c r="O55" s="195"/>
      <c r="P55" s="195"/>
    </row>
    <row r="56" spans="1:16" x14ac:dyDescent="0.2">
      <c r="A56" s="143"/>
      <c r="B56" s="188" t="s">
        <v>697</v>
      </c>
      <c r="M56" s="196"/>
      <c r="N56" s="195"/>
      <c r="O56" s="195"/>
      <c r="P56" s="195"/>
    </row>
    <row r="57" spans="1:16" x14ac:dyDescent="0.2">
      <c r="A57" s="143">
        <f>A54+1</f>
        <v>39</v>
      </c>
      <c r="B57" s="105" t="s">
        <v>789</v>
      </c>
      <c r="H57" s="370" t="s">
        <v>725</v>
      </c>
      <c r="M57" s="196"/>
      <c r="N57" s="195"/>
      <c r="O57" s="195"/>
      <c r="P57" s="195"/>
    </row>
    <row r="58" spans="1:16" x14ac:dyDescent="0.2">
      <c r="A58" s="143">
        <f t="shared" si="0"/>
        <v>40</v>
      </c>
      <c r="B58" s="105" t="s">
        <v>790</v>
      </c>
      <c r="H58" s="369" t="s">
        <v>725</v>
      </c>
      <c r="M58" s="196"/>
      <c r="N58" s="195"/>
      <c r="O58" s="195"/>
      <c r="P58" s="195"/>
    </row>
    <row r="59" spans="1:16" x14ac:dyDescent="0.2">
      <c r="A59" s="143">
        <f t="shared" si="0"/>
        <v>41</v>
      </c>
      <c r="B59" s="105" t="s">
        <v>791</v>
      </c>
      <c r="H59" s="369" t="s">
        <v>725</v>
      </c>
      <c r="M59" s="131"/>
      <c r="N59" s="131"/>
      <c r="O59" s="131"/>
      <c r="P59" s="131"/>
    </row>
    <row r="60" spans="1:16" x14ac:dyDescent="0.2">
      <c r="A60" s="143">
        <f t="shared" si="0"/>
        <v>42</v>
      </c>
      <c r="B60" s="105" t="s">
        <v>701</v>
      </c>
      <c r="H60" s="369" t="s">
        <v>725</v>
      </c>
      <c r="M60" s="196"/>
      <c r="N60" s="195"/>
      <c r="O60" s="195"/>
      <c r="P60" s="195"/>
    </row>
    <row r="61" spans="1:16" x14ac:dyDescent="0.2">
      <c r="A61" s="143">
        <f t="shared" si="0"/>
        <v>43</v>
      </c>
      <c r="B61" s="520" t="s">
        <v>792</v>
      </c>
      <c r="C61" s="520"/>
      <c r="D61" s="520"/>
      <c r="E61" s="520"/>
      <c r="F61" s="520"/>
      <c r="H61" s="370" t="s">
        <v>725</v>
      </c>
      <c r="M61" s="196"/>
      <c r="N61" s="195"/>
      <c r="O61" s="195"/>
      <c r="P61" s="195"/>
    </row>
    <row r="62" spans="1:16" x14ac:dyDescent="0.2">
      <c r="A62" s="143"/>
      <c r="B62" s="188" t="s">
        <v>793</v>
      </c>
      <c r="H62" s="368"/>
      <c r="M62" s="196"/>
      <c r="N62" s="195"/>
      <c r="O62" s="195"/>
      <c r="P62" s="195"/>
    </row>
    <row r="63" spans="1:16" x14ac:dyDescent="0.2">
      <c r="A63" s="143">
        <f>A61</f>
        <v>43</v>
      </c>
      <c r="B63" s="105" t="s">
        <v>794</v>
      </c>
      <c r="H63" s="369" t="s">
        <v>725</v>
      </c>
      <c r="M63" s="196"/>
      <c r="N63" s="195"/>
      <c r="O63" s="143"/>
      <c r="P63" s="143"/>
    </row>
    <row r="64" spans="1:16" x14ac:dyDescent="0.2">
      <c r="A64" s="143">
        <f t="shared" si="0"/>
        <v>44</v>
      </c>
      <c r="B64" s="105" t="s">
        <v>712</v>
      </c>
      <c r="H64" s="369" t="s">
        <v>725</v>
      </c>
      <c r="M64" s="196"/>
      <c r="N64" s="195"/>
      <c r="O64" s="195"/>
      <c r="P64" s="195"/>
    </row>
    <row r="65" spans="1:16" x14ac:dyDescent="0.2">
      <c r="A65" s="143">
        <f t="shared" si="0"/>
        <v>45</v>
      </c>
      <c r="B65" s="105" t="s">
        <v>706</v>
      </c>
      <c r="H65" s="369" t="s">
        <v>725</v>
      </c>
      <c r="M65" s="196"/>
      <c r="N65" s="195"/>
      <c r="O65" s="195"/>
      <c r="P65" s="195"/>
    </row>
    <row r="66" spans="1:16" x14ac:dyDescent="0.2">
      <c r="A66" s="143">
        <f t="shared" si="0"/>
        <v>46</v>
      </c>
      <c r="B66" s="105" t="s">
        <v>707</v>
      </c>
      <c r="H66" s="369" t="s">
        <v>725</v>
      </c>
      <c r="M66" s="196"/>
      <c r="N66" s="195"/>
      <c r="O66" s="195"/>
      <c r="P66" s="195"/>
    </row>
    <row r="67" spans="1:16" x14ac:dyDescent="0.2">
      <c r="A67" s="143">
        <f t="shared" si="0"/>
        <v>47</v>
      </c>
      <c r="B67" s="105" t="s">
        <v>706</v>
      </c>
      <c r="H67" s="369" t="s">
        <v>725</v>
      </c>
      <c r="M67" s="196"/>
      <c r="N67" s="195"/>
      <c r="O67" s="195"/>
      <c r="P67" s="195"/>
    </row>
    <row r="68" spans="1:16" x14ac:dyDescent="0.2">
      <c r="A68" s="143">
        <f t="shared" si="0"/>
        <v>48</v>
      </c>
      <c r="B68" s="105" t="s">
        <v>795</v>
      </c>
      <c r="H68" s="369" t="s">
        <v>725</v>
      </c>
      <c r="M68" s="196"/>
      <c r="N68" s="195"/>
      <c r="O68" s="143"/>
      <c r="P68" s="143"/>
    </row>
    <row r="69" spans="1:16" x14ac:dyDescent="0.2">
      <c r="A69" s="143">
        <f t="shared" si="0"/>
        <v>49</v>
      </c>
      <c r="B69" s="105" t="s">
        <v>714</v>
      </c>
      <c r="H69" s="369" t="s">
        <v>725</v>
      </c>
      <c r="M69" s="196"/>
      <c r="N69" s="195"/>
      <c r="O69" s="195"/>
      <c r="P69" s="195"/>
    </row>
    <row r="70" spans="1:16" x14ac:dyDescent="0.2">
      <c r="A70" s="143">
        <f t="shared" si="0"/>
        <v>50</v>
      </c>
      <c r="B70" s="105" t="s">
        <v>796</v>
      </c>
      <c r="H70" s="370" t="s">
        <v>725</v>
      </c>
      <c r="M70" s="131"/>
      <c r="N70" s="131"/>
      <c r="O70" s="131"/>
      <c r="P70" s="131"/>
    </row>
    <row r="71" spans="1:16" x14ac:dyDescent="0.2">
      <c r="A71" s="143">
        <f t="shared" si="0"/>
        <v>51</v>
      </c>
      <c r="B71" s="520" t="s">
        <v>797</v>
      </c>
      <c r="C71" s="520"/>
      <c r="D71" s="520"/>
      <c r="E71" s="520"/>
      <c r="F71" s="520"/>
      <c r="G71" s="553"/>
      <c r="H71" s="370" t="s">
        <v>725</v>
      </c>
      <c r="I71" s="554">
        <f>'Cover Service Sheet'!D50</f>
        <v>0</v>
      </c>
      <c r="J71" s="555"/>
      <c r="K71" s="555"/>
      <c r="M71" s="196"/>
      <c r="N71" s="195"/>
      <c r="O71" s="195"/>
      <c r="P71" s="195"/>
    </row>
    <row r="72" spans="1:16" x14ac:dyDescent="0.2">
      <c r="A72" s="143"/>
      <c r="B72" s="188" t="s">
        <v>717</v>
      </c>
      <c r="H72" s="373"/>
      <c r="M72" s="196"/>
      <c r="N72" s="195"/>
      <c r="O72" s="195"/>
      <c r="P72" s="195"/>
    </row>
    <row r="73" spans="1:16" x14ac:dyDescent="0.2">
      <c r="A73" s="143">
        <f>A71+1</f>
        <v>52</v>
      </c>
      <c r="B73" s="105" t="s">
        <v>798</v>
      </c>
      <c r="H73" s="369" t="s">
        <v>725</v>
      </c>
      <c r="M73" s="196"/>
      <c r="N73" s="195"/>
      <c r="O73" s="195"/>
      <c r="P73" s="195"/>
    </row>
    <row r="74" spans="1:16" x14ac:dyDescent="0.2">
      <c r="A74" s="143">
        <f t="shared" ref="A74:A98" si="1">A73+1</f>
        <v>53</v>
      </c>
      <c r="B74" s="105" t="s">
        <v>799</v>
      </c>
      <c r="H74" s="369" t="s">
        <v>725</v>
      </c>
      <c r="M74" s="196"/>
      <c r="N74" s="195"/>
      <c r="O74" s="195"/>
      <c r="P74" s="195"/>
    </row>
    <row r="75" spans="1:16" x14ac:dyDescent="0.2">
      <c r="A75" s="143">
        <f t="shared" si="1"/>
        <v>54</v>
      </c>
      <c r="B75" s="105" t="s">
        <v>800</v>
      </c>
      <c r="H75" s="369" t="s">
        <v>725</v>
      </c>
      <c r="M75" s="131"/>
      <c r="N75" s="131"/>
      <c r="O75" s="131"/>
      <c r="P75" s="131"/>
    </row>
    <row r="76" spans="1:16" x14ac:dyDescent="0.2">
      <c r="A76" s="143">
        <f t="shared" si="1"/>
        <v>55</v>
      </c>
      <c r="B76" s="105" t="s">
        <v>721</v>
      </c>
      <c r="H76" s="370" t="s">
        <v>725</v>
      </c>
      <c r="M76" s="196"/>
      <c r="N76" s="195"/>
      <c r="O76" s="195"/>
      <c r="P76" s="195"/>
    </row>
    <row r="77" spans="1:16" x14ac:dyDescent="0.2">
      <c r="A77" s="143"/>
      <c r="B77" s="188" t="s">
        <v>801</v>
      </c>
      <c r="H77" s="368"/>
      <c r="M77" s="196"/>
      <c r="N77" s="201"/>
      <c r="O77" s="201"/>
      <c r="P77" s="201"/>
    </row>
    <row r="78" spans="1:16" x14ac:dyDescent="0.2">
      <c r="A78" s="143">
        <f>A76+1</f>
        <v>56</v>
      </c>
      <c r="B78" s="105" t="s">
        <v>802</v>
      </c>
      <c r="H78" s="192"/>
      <c r="M78" s="196"/>
      <c r="N78" s="195"/>
      <c r="O78" s="195"/>
      <c r="P78" s="195"/>
    </row>
    <row r="79" spans="1:16" x14ac:dyDescent="0.2">
      <c r="A79" s="143">
        <f t="shared" si="1"/>
        <v>57</v>
      </c>
      <c r="B79" s="105" t="s">
        <v>724</v>
      </c>
      <c r="H79" s="377"/>
      <c r="M79" s="196"/>
      <c r="N79" s="195"/>
      <c r="O79" s="195"/>
      <c r="P79" s="195"/>
    </row>
    <row r="80" spans="1:16" x14ac:dyDescent="0.2">
      <c r="A80" s="143">
        <f t="shared" si="1"/>
        <v>58</v>
      </c>
      <c r="B80" s="105" t="s">
        <v>803</v>
      </c>
      <c r="H80" s="376"/>
      <c r="M80" s="196"/>
      <c r="N80" s="195"/>
      <c r="O80" s="195"/>
      <c r="P80" s="195"/>
    </row>
    <row r="81" spans="1:16" x14ac:dyDescent="0.2">
      <c r="A81" s="143">
        <f t="shared" si="1"/>
        <v>59</v>
      </c>
      <c r="B81" s="105" t="s">
        <v>804</v>
      </c>
      <c r="H81" s="378"/>
      <c r="M81" s="196"/>
      <c r="N81" s="195"/>
      <c r="O81" s="195"/>
      <c r="P81" s="195"/>
    </row>
    <row r="82" spans="1:16" x14ac:dyDescent="0.2">
      <c r="A82" s="143">
        <f t="shared" si="1"/>
        <v>60</v>
      </c>
      <c r="B82" s="105" t="s">
        <v>805</v>
      </c>
      <c r="H82" s="369" t="s">
        <v>725</v>
      </c>
      <c r="M82" s="130"/>
      <c r="N82" s="195"/>
      <c r="O82" s="195"/>
      <c r="P82" s="195"/>
    </row>
    <row r="83" spans="1:16" x14ac:dyDescent="0.2">
      <c r="A83" s="143">
        <f t="shared" si="1"/>
        <v>61</v>
      </c>
      <c r="B83" s="105" t="s">
        <v>729</v>
      </c>
      <c r="H83" s="370" t="s">
        <v>725</v>
      </c>
      <c r="M83" s="196"/>
      <c r="N83" s="195"/>
      <c r="O83" s="143"/>
      <c r="P83" s="143"/>
    </row>
    <row r="84" spans="1:16" x14ac:dyDescent="0.2">
      <c r="A84" s="143"/>
      <c r="B84" s="188" t="s">
        <v>702</v>
      </c>
      <c r="H84" s="373"/>
      <c r="M84" s="196"/>
      <c r="N84" s="195"/>
      <c r="O84" s="195"/>
      <c r="P84" s="195"/>
    </row>
    <row r="85" spans="1:16" x14ac:dyDescent="0.2">
      <c r="A85" s="143">
        <f>A83+1</f>
        <v>62</v>
      </c>
      <c r="B85" s="105" t="s">
        <v>806</v>
      </c>
      <c r="H85" s="369" t="s">
        <v>725</v>
      </c>
      <c r="M85" s="196"/>
      <c r="N85" s="195"/>
      <c r="O85" s="195"/>
      <c r="P85" s="195"/>
    </row>
    <row r="86" spans="1:16" x14ac:dyDescent="0.2">
      <c r="A86" s="143">
        <f t="shared" si="1"/>
        <v>63</v>
      </c>
      <c r="B86" s="105" t="s">
        <v>731</v>
      </c>
      <c r="H86" s="369" t="s">
        <v>725</v>
      </c>
      <c r="M86" s="196"/>
      <c r="N86" s="195"/>
      <c r="O86" s="195"/>
      <c r="P86" s="195"/>
    </row>
    <row r="87" spans="1:16" x14ac:dyDescent="0.2">
      <c r="A87" s="143">
        <f t="shared" si="1"/>
        <v>64</v>
      </c>
      <c r="B87" s="105" t="s">
        <v>807</v>
      </c>
      <c r="H87" s="369" t="s">
        <v>725</v>
      </c>
      <c r="M87" s="196"/>
      <c r="N87" s="195"/>
      <c r="O87" s="195"/>
      <c r="P87" s="195"/>
    </row>
    <row r="88" spans="1:16" x14ac:dyDescent="0.2">
      <c r="A88" s="143">
        <f t="shared" si="1"/>
        <v>65</v>
      </c>
      <c r="B88" s="105" t="s">
        <v>733</v>
      </c>
      <c r="H88" s="369" t="s">
        <v>725</v>
      </c>
      <c r="M88" s="196"/>
      <c r="N88" s="195"/>
      <c r="O88" s="143"/>
      <c r="P88" s="143"/>
    </row>
    <row r="89" spans="1:16" x14ac:dyDescent="0.2">
      <c r="A89" s="143">
        <f t="shared" si="1"/>
        <v>66</v>
      </c>
      <c r="B89" s="105" t="s">
        <v>808</v>
      </c>
      <c r="H89" s="369" t="s">
        <v>725</v>
      </c>
      <c r="M89" s="131"/>
      <c r="N89" s="131"/>
      <c r="O89" s="131"/>
      <c r="P89" s="131"/>
    </row>
    <row r="90" spans="1:16" x14ac:dyDescent="0.2">
      <c r="A90" s="143">
        <f t="shared" si="1"/>
        <v>67</v>
      </c>
      <c r="B90" s="105" t="s">
        <v>809</v>
      </c>
      <c r="H90" s="369" t="s">
        <v>725</v>
      </c>
      <c r="M90" s="196"/>
      <c r="N90" s="195"/>
      <c r="O90" s="195"/>
      <c r="P90" s="195"/>
    </row>
    <row r="91" spans="1:16" x14ac:dyDescent="0.2">
      <c r="A91" s="143">
        <f t="shared" si="1"/>
        <v>68</v>
      </c>
      <c r="B91" s="105" t="s">
        <v>736</v>
      </c>
      <c r="H91" s="369" t="s">
        <v>725</v>
      </c>
      <c r="M91" s="196"/>
      <c r="N91" s="195"/>
      <c r="O91" s="195"/>
      <c r="P91" s="195"/>
    </row>
    <row r="92" spans="1:16" x14ac:dyDescent="0.2">
      <c r="A92" s="143">
        <f t="shared" si="1"/>
        <v>69</v>
      </c>
      <c r="B92" s="105" t="s">
        <v>810</v>
      </c>
      <c r="H92" s="369" t="s">
        <v>725</v>
      </c>
    </row>
    <row r="93" spans="1:16" x14ac:dyDescent="0.2">
      <c r="A93" s="143">
        <f t="shared" si="1"/>
        <v>70</v>
      </c>
      <c r="B93" s="105" t="s">
        <v>811</v>
      </c>
      <c r="H93" s="370" t="s">
        <v>725</v>
      </c>
    </row>
    <row r="94" spans="1:16" x14ac:dyDescent="0.2">
      <c r="A94" s="143"/>
      <c r="B94" s="188" t="s">
        <v>739</v>
      </c>
      <c r="H94" s="373"/>
    </row>
    <row r="95" spans="1:16" x14ac:dyDescent="0.2">
      <c r="A95" s="143">
        <f>A93+1</f>
        <v>71</v>
      </c>
      <c r="B95" s="105" t="s">
        <v>812</v>
      </c>
      <c r="H95" s="369" t="s">
        <v>725</v>
      </c>
    </row>
    <row r="96" spans="1:16" x14ac:dyDescent="0.2">
      <c r="A96" s="143"/>
      <c r="B96" s="188"/>
      <c r="C96" s="188"/>
      <c r="H96" s="368"/>
    </row>
    <row r="97" spans="1:9" x14ac:dyDescent="0.2">
      <c r="A97" s="143">
        <f>A95+1</f>
        <v>72</v>
      </c>
      <c r="B97" s="105" t="s">
        <v>813</v>
      </c>
      <c r="H97" s="545"/>
      <c r="I97" s="546"/>
    </row>
    <row r="98" spans="1:9" x14ac:dyDescent="0.2">
      <c r="A98" s="143">
        <f t="shared" si="1"/>
        <v>73</v>
      </c>
      <c r="B98" s="105" t="s">
        <v>538</v>
      </c>
      <c r="H98" s="547"/>
      <c r="I98" s="548"/>
    </row>
    <row r="100" spans="1:9" x14ac:dyDescent="0.2">
      <c r="B100" s="188" t="s">
        <v>814</v>
      </c>
    </row>
    <row r="101" spans="1:9" ht="14.25" x14ac:dyDescent="0.2">
      <c r="B101" s="191" t="s">
        <v>815</v>
      </c>
      <c r="C101" s="190"/>
      <c r="D101" s="190"/>
      <c r="E101" s="190"/>
    </row>
    <row r="102" spans="1:9" ht="14.25" x14ac:dyDescent="0.2">
      <c r="B102" s="191" t="s">
        <v>816</v>
      </c>
      <c r="C102" s="190"/>
      <c r="D102" s="190"/>
      <c r="E102" s="190"/>
    </row>
    <row r="103" spans="1:9" ht="14.25" x14ac:dyDescent="0.2">
      <c r="B103" s="191" t="s">
        <v>817</v>
      </c>
      <c r="C103" s="190"/>
      <c r="D103" s="190"/>
      <c r="E103" s="190"/>
    </row>
    <row r="104" spans="1:9" ht="14.25" x14ac:dyDescent="0.2">
      <c r="B104" s="191" t="s">
        <v>818</v>
      </c>
      <c r="C104" s="190"/>
      <c r="D104" s="190"/>
      <c r="E104" s="190"/>
    </row>
    <row r="105" spans="1:9" ht="14.25" x14ac:dyDescent="0.2">
      <c r="B105" s="191" t="s">
        <v>819</v>
      </c>
      <c r="C105" s="190"/>
      <c r="D105" s="190"/>
      <c r="E105" s="190"/>
    </row>
    <row r="106" spans="1:9" ht="14.25" x14ac:dyDescent="0.2">
      <c r="B106" s="191" t="s">
        <v>820</v>
      </c>
      <c r="C106" s="190"/>
      <c r="D106" s="190"/>
      <c r="E106" s="190"/>
    </row>
    <row r="107" spans="1:9" ht="14.25" x14ac:dyDescent="0.2">
      <c r="B107" s="191" t="s">
        <v>821</v>
      </c>
      <c r="C107" s="190"/>
      <c r="D107" s="190"/>
      <c r="E107" s="190"/>
    </row>
    <row r="108" spans="1:9" ht="14.25" x14ac:dyDescent="0.2">
      <c r="B108" s="191" t="s">
        <v>359</v>
      </c>
      <c r="C108" s="190"/>
      <c r="D108" s="190"/>
      <c r="E108" s="190"/>
    </row>
    <row r="109" spans="1:9" ht="14.25" x14ac:dyDescent="0.2">
      <c r="B109" s="191" t="s">
        <v>822</v>
      </c>
      <c r="C109" s="190"/>
      <c r="D109" s="190"/>
      <c r="E109" s="190"/>
    </row>
    <row r="110" spans="1:9" ht="14.25" x14ac:dyDescent="0.2">
      <c r="B110" s="191" t="s">
        <v>823</v>
      </c>
      <c r="C110" s="190"/>
      <c r="D110" s="190"/>
      <c r="E110" s="190"/>
    </row>
    <row r="111" spans="1:9" ht="14.25" x14ac:dyDescent="0.2">
      <c r="B111" s="191" t="s">
        <v>824</v>
      </c>
      <c r="C111" s="190"/>
      <c r="D111" s="190"/>
      <c r="E111" s="190"/>
    </row>
    <row r="112" spans="1:9" ht="14.25" x14ac:dyDescent="0.2">
      <c r="B112" s="191" t="s">
        <v>825</v>
      </c>
      <c r="C112" s="190"/>
      <c r="D112" s="190"/>
      <c r="E112" s="190"/>
    </row>
    <row r="113" spans="2:5" ht="14.25" x14ac:dyDescent="0.2">
      <c r="B113" s="191" t="s">
        <v>826</v>
      </c>
      <c r="C113" s="190"/>
      <c r="D113" s="190"/>
      <c r="E113" s="190"/>
    </row>
    <row r="114" spans="2:5" ht="14.25" x14ac:dyDescent="0.2">
      <c r="B114" s="191" t="s">
        <v>827</v>
      </c>
      <c r="C114" s="190"/>
      <c r="D114" s="190"/>
      <c r="E114" s="190"/>
    </row>
    <row r="115" spans="2:5" ht="14.25" x14ac:dyDescent="0.2">
      <c r="B115" s="191" t="s">
        <v>828</v>
      </c>
      <c r="C115" s="190"/>
      <c r="D115" s="190"/>
      <c r="E115" s="190"/>
    </row>
    <row r="116" spans="2:5" ht="14.25" x14ac:dyDescent="0.2">
      <c r="B116" s="191" t="s">
        <v>829</v>
      </c>
      <c r="C116" s="190"/>
      <c r="D116" s="190"/>
      <c r="E116" s="190"/>
    </row>
    <row r="117" spans="2:5" x14ac:dyDescent="0.2">
      <c r="B117" s="196"/>
    </row>
    <row r="118" spans="2:5" x14ac:dyDescent="0.2">
      <c r="B118" s="196"/>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71" sqref="I71"/>
    </sheetView>
  </sheetViews>
  <sheetFormatPr defaultColWidth="0" defaultRowHeight="12.75" x14ac:dyDescent="0.2"/>
  <cols>
    <col min="1" max="1" width="11.42578125" style="50" bestFit="1" customWidth="1"/>
    <col min="2" max="6" width="15.5703125" style="50" customWidth="1"/>
    <col min="7" max="7" width="15.5703125" style="50" bestFit="1" customWidth="1"/>
    <col min="8" max="9" width="15.5703125" style="50" customWidth="1"/>
    <col min="10" max="10" width="16.140625" style="50" customWidth="1"/>
    <col min="11" max="13" width="10.7109375" style="50" customWidth="1"/>
    <col min="14" max="16383" width="7.85546875" style="50" hidden="1"/>
    <col min="16384" max="16384" width="1.85546875" style="50" customWidth="1"/>
  </cols>
  <sheetData>
    <row r="1" spans="2:13" x14ac:dyDescent="0.2">
      <c r="B1" s="111"/>
      <c r="C1" s="118"/>
      <c r="D1" s="118"/>
      <c r="E1" s="118"/>
      <c r="F1" s="118"/>
      <c r="G1" s="118"/>
      <c r="H1" s="118"/>
      <c r="I1" s="118"/>
      <c r="J1" s="118"/>
      <c r="K1" s="118"/>
      <c r="L1" s="118"/>
      <c r="M1" s="118"/>
    </row>
    <row r="2" spans="2:13" x14ac:dyDescent="0.2">
      <c r="B2" s="112"/>
      <c r="C2" s="112"/>
      <c r="D2" s="118"/>
      <c r="E2" s="118"/>
      <c r="F2" s="118"/>
      <c r="G2" s="118"/>
      <c r="H2" s="118"/>
      <c r="I2" s="118"/>
      <c r="J2" s="118"/>
      <c r="K2" s="118"/>
      <c r="L2" s="118"/>
      <c r="M2" s="118"/>
    </row>
    <row r="3" spans="2:13" x14ac:dyDescent="0.2">
      <c r="B3" s="113" t="s">
        <v>830</v>
      </c>
      <c r="C3" s="113" t="s">
        <v>831</v>
      </c>
      <c r="D3" s="230"/>
      <c r="E3" s="230"/>
      <c r="F3" s="118"/>
      <c r="G3" s="118"/>
      <c r="H3" s="118"/>
      <c r="I3" s="118"/>
      <c r="J3" s="118"/>
      <c r="K3" s="118"/>
      <c r="L3" s="118"/>
      <c r="M3" s="118"/>
    </row>
    <row r="4" spans="2:13" x14ac:dyDescent="0.2">
      <c r="B4" s="114"/>
      <c r="C4" s="114"/>
      <c r="D4" s="114"/>
      <c r="E4" s="114"/>
      <c r="F4" s="118"/>
      <c r="G4" s="564" t="s">
        <v>832</v>
      </c>
      <c r="H4" s="564"/>
      <c r="I4" s="564"/>
      <c r="J4" s="564"/>
      <c r="K4" s="564"/>
      <c r="L4" s="564"/>
      <c r="M4" s="118"/>
    </row>
    <row r="5" spans="2:13" x14ac:dyDescent="0.2">
      <c r="B5" s="391">
        <f>VLOOKUP("pump_flow_emptying_ml_min",AUTO!$A$1:$B$1051,2,FALSE)</f>
        <v>150</v>
      </c>
      <c r="C5" s="392" t="s">
        <v>833</v>
      </c>
      <c r="D5" s="393" t="s">
        <v>834</v>
      </c>
      <c r="E5" s="392"/>
      <c r="F5" s="118"/>
      <c r="G5" s="564"/>
      <c r="H5" s="564"/>
      <c r="I5" s="564"/>
      <c r="J5" s="564"/>
      <c r="K5" s="564"/>
      <c r="L5" s="564"/>
      <c r="M5" s="118"/>
    </row>
    <row r="6" spans="2:13" x14ac:dyDescent="0.2">
      <c r="B6" s="391">
        <f>VLOOKUP("pump_target_flow_ml_min",AUTO!$A$1:$B$1051,2,FALSE)</f>
        <v>30</v>
      </c>
      <c r="C6" s="392" t="s">
        <v>833</v>
      </c>
      <c r="D6" s="393" t="s">
        <v>835</v>
      </c>
      <c r="E6" s="392"/>
      <c r="F6" s="118"/>
      <c r="G6" s="564"/>
      <c r="H6" s="564"/>
      <c r="I6" s="564"/>
      <c r="J6" s="564"/>
      <c r="K6" s="564"/>
      <c r="L6" s="564"/>
      <c r="M6" s="118"/>
    </row>
    <row r="7" spans="2:13" x14ac:dyDescent="0.2">
      <c r="B7" s="391">
        <f>VLOOKUP("pump_current_sampling",AUTO!$A$1:$B$1051,2,FALSE)</f>
        <v>27</v>
      </c>
      <c r="C7" s="394" t="s">
        <v>836</v>
      </c>
      <c r="D7" s="395" t="s">
        <v>837</v>
      </c>
      <c r="E7" s="394"/>
      <c r="F7" s="118"/>
      <c r="G7" s="118"/>
      <c r="H7" s="118"/>
      <c r="I7" s="118"/>
      <c r="J7" s="118"/>
      <c r="K7" s="118"/>
      <c r="L7" s="118"/>
      <c r="M7" s="118"/>
    </row>
    <row r="8" spans="2:13" x14ac:dyDescent="0.2">
      <c r="B8" s="391">
        <f>VLOOKUP("pump_current_emptying",AUTO!$A$1:$B$1051,2,FALSE)</f>
        <v>304</v>
      </c>
      <c r="C8" s="394" t="s">
        <v>836</v>
      </c>
      <c r="D8" s="395" t="s">
        <v>838</v>
      </c>
      <c r="E8" s="394"/>
      <c r="F8" s="118"/>
      <c r="G8" s="396"/>
      <c r="H8" s="231" t="s">
        <v>839</v>
      </c>
      <c r="I8" s="118"/>
      <c r="J8" s="118"/>
      <c r="K8" s="118"/>
      <c r="L8" s="115" t="s">
        <v>840</v>
      </c>
      <c r="M8" s="118"/>
    </row>
    <row r="9" spans="2:13" x14ac:dyDescent="0.2">
      <c r="B9" s="232"/>
      <c r="C9" s="233"/>
      <c r="D9" s="234"/>
      <c r="E9" s="233"/>
      <c r="F9" s="118"/>
      <c r="G9" s="118"/>
      <c r="H9" s="118"/>
      <c r="I9" s="118"/>
      <c r="J9" s="118"/>
      <c r="K9" s="118"/>
      <c r="L9" s="115" t="s">
        <v>841</v>
      </c>
      <c r="M9" s="118"/>
    </row>
    <row r="10" spans="2:13" x14ac:dyDescent="0.2">
      <c r="B10" s="189" t="s">
        <v>842</v>
      </c>
      <c r="C10" s="113" t="s">
        <v>831</v>
      </c>
      <c r="D10" s="235"/>
      <c r="E10" s="236"/>
      <c r="F10" s="118"/>
      <c r="G10" s="397"/>
      <c r="H10" s="237" t="s">
        <v>843</v>
      </c>
      <c r="I10" s="118"/>
      <c r="J10" s="118"/>
      <c r="K10" s="118"/>
      <c r="L10" s="115" t="s">
        <v>19</v>
      </c>
      <c r="M10" s="118"/>
    </row>
    <row r="11" spans="2:13" x14ac:dyDescent="0.2">
      <c r="B11" s="391">
        <f>VLOOKUP("no_noise_threshold",AUTO!$A$1:$B$1051,2,FALSE)</f>
        <v>32</v>
      </c>
      <c r="C11" s="398" t="s">
        <v>321</v>
      </c>
      <c r="D11" s="399" t="s">
        <v>844</v>
      </c>
      <c r="E11" s="400"/>
      <c r="F11" s="118"/>
      <c r="G11" s="118"/>
      <c r="H11" s="118"/>
      <c r="I11" s="118"/>
      <c r="J11" s="118"/>
      <c r="K11" s="118"/>
      <c r="L11" s="115" t="s">
        <v>845</v>
      </c>
      <c r="M11" s="118"/>
    </row>
    <row r="12" spans="2:13" x14ac:dyDescent="0.2">
      <c r="B12" s="391">
        <f>VLOOKUP("sample_volume_ml",AUTO!$A$1:$B$1051,2,FALSE)</f>
        <v>50</v>
      </c>
      <c r="C12" s="392" t="s">
        <v>846</v>
      </c>
      <c r="D12" s="393" t="s">
        <v>847</v>
      </c>
      <c r="E12" s="392"/>
      <c r="F12" s="118"/>
      <c r="G12" s="401"/>
      <c r="H12" s="237" t="s">
        <v>16</v>
      </c>
      <c r="I12" s="118"/>
      <c r="J12" s="118"/>
      <c r="K12" s="118"/>
      <c r="L12" s="118"/>
      <c r="M12" s="118"/>
    </row>
    <row r="13" spans="2:13" x14ac:dyDescent="0.2">
      <c r="B13" s="391"/>
      <c r="C13" s="402"/>
      <c r="D13" s="393"/>
      <c r="E13" s="392"/>
      <c r="F13" s="118"/>
      <c r="G13" s="118"/>
      <c r="H13" s="118"/>
      <c r="I13" s="118"/>
      <c r="J13" s="118"/>
      <c r="K13" s="118"/>
      <c r="L13" s="118"/>
      <c r="M13" s="118"/>
    </row>
    <row r="14" spans="2:13" x14ac:dyDescent="0.2">
      <c r="B14" s="391">
        <f>VLOOKUP("led_level",AUTO!$A$1:$B$1051,2,FALSE)</f>
        <v>11693</v>
      </c>
      <c r="C14" s="392" t="s">
        <v>848</v>
      </c>
      <c r="D14" s="393" t="s">
        <v>849</v>
      </c>
      <c r="E14" s="392"/>
      <c r="F14" s="118"/>
      <c r="G14" s="403" t="s">
        <v>850</v>
      </c>
      <c r="H14" s="577" t="s">
        <v>851</v>
      </c>
      <c r="I14" s="578"/>
      <c r="J14" s="578"/>
      <c r="K14" s="233"/>
      <c r="L14" s="233"/>
      <c r="M14" s="238"/>
    </row>
    <row r="15" spans="2:13" ht="12.75" customHeight="1" x14ac:dyDescent="0.2">
      <c r="B15" s="239"/>
      <c r="C15" s="233"/>
      <c r="D15" s="234"/>
      <c r="E15" s="233"/>
      <c r="F15" s="118"/>
      <c r="G15" s="403" t="s">
        <v>543</v>
      </c>
      <c r="H15" s="568">
        <f>VLOOKUP("serial_number_",AUTO!$A$1:$B$1051,2,FALSE)</f>
        <v>-1</v>
      </c>
      <c r="I15" s="569"/>
      <c r="J15" s="570"/>
      <c r="K15" s="118"/>
      <c r="L15" s="118"/>
      <c r="M15" s="118"/>
    </row>
    <row r="16" spans="2:13" x14ac:dyDescent="0.2">
      <c r="B16" s="117"/>
      <c r="C16" s="113"/>
      <c r="D16" s="235"/>
      <c r="E16" s="236"/>
      <c r="F16" s="118"/>
      <c r="G16" s="403" t="s">
        <v>538</v>
      </c>
      <c r="H16" s="565">
        <f>VLOOKUP("date_",AUTO!$A$1:$B$1051,2,FALSE)</f>
        <v>46191.6</v>
      </c>
      <c r="I16" s="566"/>
      <c r="J16" s="567"/>
      <c r="K16" s="118"/>
      <c r="L16" s="118"/>
      <c r="M16" s="118"/>
    </row>
    <row r="17" spans="2:10" x14ac:dyDescent="0.2">
      <c r="B17" s="391"/>
      <c r="C17" s="398"/>
      <c r="D17" s="399"/>
      <c r="E17" s="400"/>
      <c r="F17" s="118"/>
      <c r="G17" s="403" t="s">
        <v>852</v>
      </c>
      <c r="H17" s="568" t="str">
        <f>H15&amp;" "&amp;TEXT(H16,"ddmmyy")</f>
        <v>-1 180626</v>
      </c>
      <c r="I17" s="569"/>
      <c r="J17" s="570"/>
    </row>
    <row r="18" spans="2:10" x14ac:dyDescent="0.2">
      <c r="B18" s="391"/>
      <c r="C18" s="392"/>
      <c r="D18" s="393"/>
      <c r="E18" s="392"/>
      <c r="F18" s="118"/>
      <c r="G18" s="403" t="s">
        <v>853</v>
      </c>
      <c r="H18" s="574" t="s">
        <v>854</v>
      </c>
      <c r="I18" s="575"/>
      <c r="J18" s="576"/>
    </row>
    <row r="19" spans="2:10" x14ac:dyDescent="0.2">
      <c r="B19" s="391"/>
      <c r="C19" s="402"/>
      <c r="D19" s="393"/>
      <c r="E19" s="392"/>
      <c r="F19" s="118"/>
      <c r="G19" s="403" t="s">
        <v>855</v>
      </c>
      <c r="H19" s="571" t="str">
        <f>VLOOKUP("rig_param_identifier",AUTO!$A$1:$B$1051,2,FALSE)</f>
        <v>NOT SET</v>
      </c>
      <c r="I19" s="572"/>
      <c r="J19" s="573"/>
    </row>
    <row r="20" spans="2:10" x14ac:dyDescent="0.2">
      <c r="B20" s="391"/>
      <c r="C20" s="392"/>
      <c r="D20" s="393"/>
      <c r="E20" s="392"/>
      <c r="F20" s="118"/>
      <c r="G20" s="118"/>
      <c r="H20" s="118"/>
      <c r="I20" s="118"/>
      <c r="J20" s="118"/>
    </row>
    <row r="21" spans="2:10" ht="12.75" customHeight="1" x14ac:dyDescent="0.2">
      <c r="B21" s="239"/>
      <c r="C21" s="233"/>
      <c r="D21" s="234"/>
      <c r="E21" s="233"/>
      <c r="F21" s="118"/>
      <c r="G21" s="560" t="s">
        <v>856</v>
      </c>
      <c r="H21" s="561">
        <f>VLOOKUP("rig_cleanliness_count",AUTO!$A$1:$B$1051,2,FALSE)</f>
        <v>0</v>
      </c>
      <c r="I21" s="118"/>
      <c r="J21" s="118"/>
    </row>
    <row r="22" spans="2:10" x14ac:dyDescent="0.2">
      <c r="B22" s="116" t="s">
        <v>857</v>
      </c>
      <c r="C22" s="113" t="s">
        <v>831</v>
      </c>
      <c r="D22" s="235"/>
      <c r="E22" s="236"/>
      <c r="F22" s="118"/>
      <c r="G22" s="560"/>
      <c r="H22" s="562"/>
      <c r="I22" s="118"/>
      <c r="J22" s="118"/>
    </row>
    <row r="23" spans="2:10" x14ac:dyDescent="0.2">
      <c r="B23" s="391">
        <f>VLOOKUP("meas_init_level",AUTO!A13:B1063,2,FALSE)</f>
        <v>0</v>
      </c>
      <c r="C23" s="400" t="s">
        <v>858</v>
      </c>
      <c r="D23" s="399" t="s">
        <v>859</v>
      </c>
      <c r="E23" s="400"/>
      <c r="F23" s="118"/>
      <c r="G23" s="560"/>
      <c r="H23" s="562"/>
      <c r="I23" s="118"/>
      <c r="J23" s="118"/>
    </row>
    <row r="24" spans="2:10" x14ac:dyDescent="0.2">
      <c r="B24" s="391">
        <f>VLOOKUP("calc_init_volume",AUTO!$A$1:$B$1051,2,FALSE)</f>
        <v>0</v>
      </c>
      <c r="C24" s="392" t="s">
        <v>860</v>
      </c>
      <c r="D24" s="393" t="s">
        <v>861</v>
      </c>
      <c r="E24" s="392"/>
      <c r="F24" s="118"/>
      <c r="G24" s="560"/>
      <c r="H24" s="563"/>
      <c r="I24" s="118"/>
      <c r="J24" s="118"/>
    </row>
    <row r="25" spans="2:10" x14ac:dyDescent="0.2">
      <c r="B25" s="391">
        <f>VLOOKUP("desired_concentration",AUTO!$A$1:$B$1051,2,FALSE)</f>
        <v>16</v>
      </c>
      <c r="C25" s="392" t="s">
        <v>862</v>
      </c>
      <c r="D25" s="393" t="s">
        <v>863</v>
      </c>
      <c r="E25" s="392"/>
      <c r="F25" s="118"/>
      <c r="G25" s="118"/>
      <c r="H25" s="118"/>
      <c r="I25" s="118"/>
      <c r="J25" s="118"/>
    </row>
    <row r="26" spans="2:10" x14ac:dyDescent="0.2">
      <c r="B26" s="391">
        <f>VLOOKUP("calc_qty_add",AUTO!$A$1:$B$1051,2,FALSE)</f>
        <v>0</v>
      </c>
      <c r="C26" s="392" t="s">
        <v>864</v>
      </c>
      <c r="D26" s="393" t="s">
        <v>865</v>
      </c>
      <c r="E26" s="392"/>
      <c r="F26" s="118"/>
      <c r="G26" s="404" t="s">
        <v>866</v>
      </c>
      <c r="H26" s="558" t="s">
        <v>352</v>
      </c>
      <c r="I26" s="559"/>
      <c r="J26" s="118"/>
    </row>
    <row r="27" spans="2:10" x14ac:dyDescent="0.2">
      <c r="B27" s="391">
        <f>VLOOKUP("meas_qty_add",AUTO!$A$1:$B$1051,2,FALSE)</f>
        <v>0</v>
      </c>
      <c r="C27" s="392" t="s">
        <v>864</v>
      </c>
      <c r="D27" s="393" t="s">
        <v>867</v>
      </c>
      <c r="E27" s="392"/>
      <c r="F27" s="118"/>
      <c r="G27" s="404" t="s">
        <v>868</v>
      </c>
      <c r="H27" s="556"/>
      <c r="I27" s="557"/>
      <c r="J27" s="118"/>
    </row>
    <row r="28" spans="2:10" x14ac:dyDescent="0.2">
      <c r="B28" s="391">
        <f>VLOOKUP("meas_final_level",AUTO!$A$1:$B$1051,2,FALSE)</f>
        <v>0</v>
      </c>
      <c r="C28" s="392" t="s">
        <v>858</v>
      </c>
      <c r="D28" s="393" t="s">
        <v>869</v>
      </c>
      <c r="E28" s="392"/>
      <c r="F28" s="118"/>
      <c r="G28" s="118"/>
      <c r="H28" s="118"/>
      <c r="I28" s="118"/>
      <c r="J28" s="118"/>
    </row>
    <row r="29" spans="2:10" x14ac:dyDescent="0.2">
      <c r="B29" s="391">
        <f>VLOOKUP("calc_volume",AUTO!$A$1:$B$1051,2,FALSE)</f>
        <v>0</v>
      </c>
      <c r="C29" s="392" t="s">
        <v>860</v>
      </c>
      <c r="D29" s="393" t="s">
        <v>870</v>
      </c>
      <c r="E29" s="392"/>
      <c r="F29" s="118"/>
      <c r="G29" s="118"/>
      <c r="H29" s="118"/>
      <c r="I29" s="118"/>
      <c r="J29" s="118"/>
    </row>
    <row r="30" spans="2:10" x14ac:dyDescent="0.2">
      <c r="B30" s="405">
        <f>VLOOKUP("calc_concentration",AUTO!$A$1:$B$1051,2,FALSE)</f>
        <v>16</v>
      </c>
      <c r="C30" s="392" t="s">
        <v>862</v>
      </c>
      <c r="D30" s="393" t="s">
        <v>871</v>
      </c>
      <c r="E30" s="392"/>
      <c r="F30" s="118"/>
      <c r="G30" s="118"/>
      <c r="H30" s="118"/>
      <c r="I30" s="118"/>
      <c r="J30" s="118"/>
    </row>
    <row r="31" spans="2:10" hidden="1" x14ac:dyDescent="0.2">
      <c r="B31" s="118"/>
      <c r="C31" s="118"/>
      <c r="D31" s="118"/>
      <c r="E31" s="118"/>
      <c r="F31" s="118"/>
      <c r="G31" s="118"/>
      <c r="H31" s="118"/>
      <c r="I31" s="118"/>
      <c r="J31" s="118"/>
    </row>
    <row r="32" spans="2:10" hidden="1" x14ac:dyDescent="0.2">
      <c r="B32" s="114"/>
      <c r="C32" s="118"/>
      <c r="D32" s="118"/>
      <c r="E32" s="118"/>
      <c r="F32" s="118"/>
      <c r="G32" s="118"/>
      <c r="H32" s="118"/>
      <c r="I32" s="118"/>
      <c r="J32" s="118"/>
    </row>
    <row r="33" spans="2:10" s="120" customFormat="1" hidden="1" x14ac:dyDescent="0.2">
      <c r="B33" s="143"/>
      <c r="C33" s="143"/>
      <c r="D33" s="143"/>
      <c r="E33" s="143"/>
      <c r="F33" s="143"/>
      <c r="G33" s="143"/>
      <c r="H33" s="143"/>
      <c r="I33" s="143"/>
      <c r="J33" s="119"/>
    </row>
    <row r="34" spans="2:10" s="120" customFormat="1" hidden="1" x14ac:dyDescent="0.2">
      <c r="B34" s="143"/>
      <c r="C34" s="143"/>
      <c r="D34" s="143"/>
      <c r="E34" s="143"/>
      <c r="F34" s="143"/>
      <c r="G34" s="143"/>
      <c r="H34" s="143"/>
      <c r="I34" s="143"/>
      <c r="J34" s="119"/>
    </row>
    <row r="35" spans="2:10" s="120" customFormat="1" hidden="1" x14ac:dyDescent="0.2">
      <c r="B35" s="121"/>
      <c r="C35" s="121"/>
      <c r="D35" s="121"/>
      <c r="E35" s="121"/>
      <c r="F35" s="121"/>
      <c r="G35" s="121"/>
      <c r="H35" s="121"/>
      <c r="I35" s="121"/>
      <c r="J35" s="119"/>
    </row>
    <row r="36" spans="2:10" s="120" customFormat="1" hidden="1" x14ac:dyDescent="0.2">
      <c r="B36" s="240"/>
      <c r="C36" s="240"/>
      <c r="D36" s="240"/>
      <c r="E36" s="240"/>
      <c r="F36" s="240"/>
      <c r="G36" s="240"/>
      <c r="H36" s="240"/>
      <c r="I36" s="240"/>
      <c r="J36" s="119"/>
    </row>
    <row r="37" spans="2:10" s="120" customFormat="1" hidden="1" x14ac:dyDescent="0.2">
      <c r="B37" s="240"/>
      <c r="C37" s="240"/>
      <c r="D37" s="240"/>
      <c r="E37" s="240"/>
      <c r="F37" s="240"/>
      <c r="G37" s="240"/>
      <c r="H37" s="240"/>
      <c r="I37" s="240"/>
      <c r="J37" s="119"/>
    </row>
    <row r="38" spans="2:10" s="120" customFormat="1" hidden="1" x14ac:dyDescent="0.2">
      <c r="B38" s="241"/>
      <c r="C38" s="241"/>
      <c r="D38" s="241"/>
      <c r="E38" s="241"/>
      <c r="F38" s="241"/>
      <c r="G38" s="241"/>
      <c r="H38" s="241"/>
      <c r="I38" s="241"/>
      <c r="J38" s="119"/>
    </row>
    <row r="39" spans="2:10" s="120" customFormat="1" hidden="1" x14ac:dyDescent="0.2">
      <c r="B39" s="122"/>
      <c r="C39" s="241"/>
      <c r="D39" s="241"/>
      <c r="E39" s="241"/>
      <c r="F39" s="241"/>
      <c r="G39" s="241"/>
      <c r="H39" s="241"/>
      <c r="I39" s="241"/>
      <c r="J39" s="119"/>
    </row>
    <row r="40" spans="2:10" s="124" customFormat="1" hidden="1" x14ac:dyDescent="0.2">
      <c r="B40" s="242"/>
      <c r="C40" s="242"/>
      <c r="D40" s="242"/>
      <c r="E40" s="242"/>
      <c r="F40" s="242"/>
      <c r="G40" s="242"/>
      <c r="H40" s="242"/>
      <c r="I40" s="242"/>
      <c r="J40" s="123"/>
    </row>
    <row r="41" spans="2:10" s="120" customFormat="1" hidden="1" x14ac:dyDescent="0.2">
      <c r="B41" s="242"/>
      <c r="C41" s="242"/>
      <c r="D41" s="242"/>
      <c r="E41" s="242"/>
      <c r="F41" s="242"/>
      <c r="G41" s="242"/>
      <c r="H41" s="242"/>
      <c r="I41" s="242"/>
      <c r="J41" s="119"/>
    </row>
    <row r="42" spans="2:10" s="120" customFormat="1" hidden="1" x14ac:dyDescent="0.2">
      <c r="B42" s="121"/>
      <c r="C42" s="121"/>
      <c r="D42" s="121"/>
      <c r="E42" s="121"/>
      <c r="F42" s="121"/>
      <c r="G42" s="121"/>
      <c r="H42" s="121"/>
      <c r="I42" s="121"/>
      <c r="J42" s="119"/>
    </row>
    <row r="43" spans="2:10" s="120" customFormat="1" hidden="1" x14ac:dyDescent="0.2">
      <c r="B43" s="240"/>
      <c r="C43" s="240"/>
      <c r="D43" s="240"/>
      <c r="E43" s="240"/>
      <c r="F43" s="240"/>
      <c r="G43" s="240"/>
      <c r="H43" s="240"/>
      <c r="I43" s="240"/>
      <c r="J43" s="119"/>
    </row>
    <row r="44" spans="2:10" s="120" customFormat="1" hidden="1" x14ac:dyDescent="0.2">
      <c r="B44" s="240"/>
      <c r="C44" s="240"/>
      <c r="D44" s="240"/>
      <c r="E44" s="240"/>
      <c r="F44" s="240"/>
      <c r="G44" s="240"/>
      <c r="H44" s="240"/>
      <c r="I44" s="240"/>
      <c r="J44" s="119"/>
    </row>
    <row r="45" spans="2:10" s="120" customFormat="1" hidden="1" x14ac:dyDescent="0.2">
      <c r="B45" s="241"/>
      <c r="C45" s="241"/>
      <c r="D45" s="241"/>
      <c r="E45" s="241"/>
      <c r="F45" s="241"/>
      <c r="G45" s="241"/>
      <c r="H45" s="241"/>
      <c r="I45" s="241"/>
      <c r="J45" s="119"/>
    </row>
    <row r="46" spans="2:10" s="120" customFormat="1" hidden="1" x14ac:dyDescent="0.2">
      <c r="B46" s="122"/>
      <c r="C46" s="241"/>
      <c r="D46" s="241"/>
      <c r="E46" s="241"/>
      <c r="F46" s="241"/>
      <c r="G46" s="241"/>
      <c r="H46" s="241"/>
      <c r="I46" s="241"/>
      <c r="J46" s="119"/>
    </row>
    <row r="47" spans="2:10" s="124" customFormat="1" hidden="1" x14ac:dyDescent="0.2">
      <c r="B47" s="242"/>
      <c r="C47" s="242"/>
      <c r="D47" s="242"/>
      <c r="E47" s="242"/>
      <c r="F47" s="242"/>
      <c r="G47" s="242"/>
      <c r="H47" s="242"/>
      <c r="I47" s="242"/>
      <c r="J47" s="123"/>
    </row>
    <row r="48" spans="2:10" s="124" customFormat="1" hidden="1" x14ac:dyDescent="0.2">
      <c r="B48" s="242"/>
      <c r="C48" s="242"/>
      <c r="D48" s="242"/>
      <c r="E48" s="242"/>
      <c r="F48" s="242"/>
      <c r="G48" s="242"/>
      <c r="H48" s="242"/>
      <c r="I48" s="242"/>
      <c r="J48" s="123"/>
    </row>
    <row r="49" spans="2:10" s="120" customFormat="1" hidden="1" x14ac:dyDescent="0.2">
      <c r="B49" s="125"/>
      <c r="C49" s="125"/>
      <c r="D49" s="125"/>
      <c r="E49" s="125"/>
      <c r="F49" s="125"/>
      <c r="G49" s="125"/>
      <c r="H49" s="125"/>
      <c r="I49" s="125"/>
      <c r="J49" s="119"/>
    </row>
    <row r="50" spans="2:10" s="120" customFormat="1" hidden="1" x14ac:dyDescent="0.2">
      <c r="B50" s="121"/>
      <c r="C50" s="121"/>
      <c r="D50" s="121"/>
      <c r="E50" s="121"/>
      <c r="F50" s="121"/>
      <c r="G50" s="121"/>
      <c r="H50" s="121"/>
      <c r="I50" s="121"/>
      <c r="J50" s="119"/>
    </row>
    <row r="51" spans="2:10" s="120" customFormat="1" hidden="1" x14ac:dyDescent="0.2">
      <c r="B51" s="121"/>
      <c r="C51" s="121"/>
      <c r="D51" s="121"/>
      <c r="E51" s="121"/>
      <c r="F51" s="121"/>
      <c r="G51" s="121"/>
      <c r="H51" s="121"/>
      <c r="I51" s="121"/>
      <c r="J51" s="119"/>
    </row>
    <row r="52" spans="2:10" s="120" customFormat="1" hidden="1" x14ac:dyDescent="0.2">
      <c r="B52" s="121"/>
      <c r="C52" s="121"/>
      <c r="D52" s="121"/>
      <c r="E52" s="121"/>
      <c r="F52" s="121"/>
      <c r="G52" s="121"/>
      <c r="H52" s="121"/>
      <c r="I52" s="121"/>
      <c r="J52" s="119"/>
    </row>
    <row r="53" spans="2:10" s="120" customFormat="1" hidden="1" x14ac:dyDescent="0.2">
      <c r="B53" s="240"/>
      <c r="C53" s="240"/>
      <c r="D53" s="240"/>
      <c r="E53" s="240"/>
      <c r="F53" s="240"/>
      <c r="G53" s="240"/>
      <c r="H53" s="240"/>
      <c r="I53" s="240"/>
      <c r="J53" s="119"/>
    </row>
    <row r="54" spans="2:10" s="120" customFormat="1" hidden="1" x14ac:dyDescent="0.2">
      <c r="B54" s="240"/>
      <c r="C54" s="240"/>
      <c r="D54" s="240"/>
      <c r="E54" s="240"/>
      <c r="F54" s="240"/>
      <c r="G54" s="240"/>
      <c r="H54" s="240"/>
      <c r="I54" s="240"/>
      <c r="J54" s="119"/>
    </row>
    <row r="55" spans="2:10" x14ac:dyDescent="0.2">
      <c r="B55" s="118"/>
      <c r="C55" s="118"/>
      <c r="D55" s="118"/>
      <c r="E55" s="118"/>
      <c r="F55" s="118"/>
      <c r="G55" s="118"/>
      <c r="H55" s="118"/>
      <c r="I55" s="118"/>
      <c r="J55" s="114"/>
    </row>
    <row r="56" spans="2:10" hidden="1" x14ac:dyDescent="0.2">
      <c r="B56" s="114"/>
      <c r="C56" s="118"/>
      <c r="D56" s="118"/>
      <c r="E56" s="118"/>
      <c r="F56" s="118"/>
      <c r="G56" s="118"/>
      <c r="H56" s="118"/>
      <c r="I56" s="118"/>
      <c r="J56" s="114"/>
    </row>
    <row r="57" spans="2:10" hidden="1" x14ac:dyDescent="0.2">
      <c r="B57" s="114"/>
      <c r="C57" s="114"/>
      <c r="D57" s="114"/>
      <c r="E57" s="114"/>
      <c r="F57" s="114"/>
      <c r="G57" s="114"/>
      <c r="H57" s="114"/>
      <c r="I57" s="114"/>
      <c r="J57" s="114"/>
    </row>
    <row r="58" spans="2:10" hidden="1" x14ac:dyDescent="0.2">
      <c r="B58" s="114"/>
      <c r="C58" s="114"/>
      <c r="D58" s="114"/>
      <c r="E58" s="114"/>
      <c r="F58" s="114"/>
      <c r="G58" s="114"/>
      <c r="H58" s="114"/>
      <c r="I58" s="114"/>
      <c r="J58" s="114"/>
    </row>
    <row r="59" spans="2:10" hidden="1" x14ac:dyDescent="0.2">
      <c r="B59" s="126"/>
      <c r="C59" s="243"/>
      <c r="D59" s="114"/>
      <c r="E59" s="114"/>
      <c r="F59" s="114"/>
      <c r="G59" s="114"/>
      <c r="H59" s="114"/>
      <c r="I59" s="114"/>
      <c r="J59" s="114"/>
    </row>
    <row r="60" spans="2:10" hidden="1" x14ac:dyDescent="0.2">
      <c r="B60" s="114"/>
      <c r="C60" s="114"/>
      <c r="D60" s="114"/>
      <c r="E60" s="114"/>
      <c r="F60" s="114"/>
      <c r="G60" s="114"/>
      <c r="H60" s="114"/>
      <c r="I60" s="114"/>
      <c r="J60" s="114"/>
    </row>
    <row r="61" spans="2:10" hidden="1" x14ac:dyDescent="0.2">
      <c r="B61" s="114"/>
      <c r="C61" s="114"/>
      <c r="D61" s="114"/>
      <c r="E61" s="114"/>
      <c r="F61" s="114"/>
      <c r="G61" s="114"/>
      <c r="H61" s="114"/>
      <c r="I61" s="114"/>
      <c r="J61" s="114"/>
    </row>
    <row r="62" spans="2:10" s="127" customFormat="1" x14ac:dyDescent="0.2">
      <c r="B62" s="114"/>
      <c r="C62" s="114"/>
      <c r="D62" s="114"/>
      <c r="E62" s="114"/>
      <c r="F62" s="114"/>
      <c r="G62" s="114"/>
      <c r="H62" s="114"/>
      <c r="I62" s="114"/>
      <c r="J62" s="126"/>
    </row>
    <row r="63" spans="2:10" x14ac:dyDescent="0.2">
      <c r="B63" s="128" t="s">
        <v>872</v>
      </c>
      <c r="C63" s="243"/>
      <c r="D63" s="243"/>
      <c r="E63" s="243"/>
      <c r="F63" s="243"/>
      <c r="G63" s="243"/>
      <c r="H63" s="243"/>
      <c r="I63" s="243"/>
      <c r="J63" s="114"/>
    </row>
    <row r="64" spans="2:10" x14ac:dyDescent="0.2">
      <c r="B64" s="406">
        <v>4</v>
      </c>
      <c r="C64" s="406">
        <v>6</v>
      </c>
      <c r="D64" s="406">
        <v>14</v>
      </c>
      <c r="E64" s="406">
        <v>21</v>
      </c>
      <c r="F64" s="406">
        <v>25</v>
      </c>
      <c r="G64" s="406">
        <v>38</v>
      </c>
      <c r="H64" s="406">
        <v>50</v>
      </c>
      <c r="I64" s="406">
        <v>70</v>
      </c>
      <c r="J64" s="33" t="s">
        <v>873</v>
      </c>
    </row>
    <row r="65" spans="1:10" s="129" customFormat="1" x14ac:dyDescent="0.2">
      <c r="B65" s="407">
        <f>VLOOKUP("threshold0",AUTO!$A$1:$B$1051,2,FALSE)</f>
        <v>82</v>
      </c>
      <c r="C65" s="407">
        <f>VLOOKUP("threshold1",AUTO!$A$1:$B$1051,2,FALSE)</f>
        <v>204</v>
      </c>
      <c r="D65" s="407">
        <f>VLOOKUP("threshold2",AUTO!$A$1:$B$1051,2,FALSE)</f>
        <v>1092</v>
      </c>
      <c r="E65" s="407">
        <f>VLOOKUP("threshold3",AUTO!$A$1:$B$1051,2,FALSE)</f>
        <v>2158</v>
      </c>
      <c r="F65" s="407">
        <f>VLOOKUP("threshold4",AUTO!$A$1:$B$1051,2,FALSE)</f>
        <v>3182</v>
      </c>
      <c r="G65" s="407">
        <f>VLOOKUP("threshold5",AUTO!$A$1:$B$1051,2,FALSE)</f>
        <v>10154</v>
      </c>
      <c r="H65" s="407">
        <f>VLOOKUP("threshold6",AUTO!$A$1:$B$1051,2,FALSE)</f>
        <v>15872</v>
      </c>
      <c r="I65" s="407">
        <f>VLOOKUP("threshold7",AUTO!$A$1:$B$1051,2,FALSE)</f>
        <v>25309</v>
      </c>
      <c r="J65" s="35" t="s">
        <v>874</v>
      </c>
    </row>
    <row r="66" spans="1:10" x14ac:dyDescent="0.2">
      <c r="A66" s="118"/>
      <c r="B66" s="244"/>
      <c r="C66" s="244"/>
      <c r="D66" s="244"/>
      <c r="E66" s="244"/>
      <c r="F66" s="244"/>
      <c r="G66" s="245"/>
      <c r="H66" s="244"/>
      <c r="I66" s="244"/>
      <c r="J66" s="118"/>
    </row>
    <row r="67" spans="1:10" x14ac:dyDescent="0.2">
      <c r="A67" s="408" t="s">
        <v>875</v>
      </c>
      <c r="B67" s="409" t="s">
        <v>876</v>
      </c>
      <c r="C67" s="409">
        <v>1</v>
      </c>
      <c r="D67" s="409" t="s">
        <v>877</v>
      </c>
      <c r="E67" s="409"/>
      <c r="F67" s="409"/>
      <c r="G67" s="409"/>
      <c r="H67" s="409"/>
      <c r="I67" s="409" t="s">
        <v>878</v>
      </c>
      <c r="J67" s="118"/>
    </row>
    <row r="68" spans="1:10" ht="18" customHeight="1" x14ac:dyDescent="0.2">
      <c r="A68" s="410">
        <v>4</v>
      </c>
      <c r="B68" s="411">
        <f>VLOOKUP("reference_count_0",AUTO!$A$1:$B$1051,2,FALSE)</f>
        <v>1056340</v>
      </c>
      <c r="C68" s="391">
        <f>VLOOKUP("verification_count_1_0",AUTO!$A$1:$B$1051,2,FALSE)</f>
        <v>1070933</v>
      </c>
      <c r="D68" s="379">
        <f>(C68-B68)/B68</f>
        <v>1.3814680879262358E-2</v>
      </c>
      <c r="E68" s="391"/>
      <c r="F68" s="379"/>
      <c r="G68" s="391"/>
      <c r="H68" s="379"/>
      <c r="I68" s="412">
        <f>(C68)</f>
        <v>1070933</v>
      </c>
      <c r="J68" s="379">
        <f>(I68-$B68)/$B68</f>
        <v>1.3814680879262358E-2</v>
      </c>
    </row>
    <row r="69" spans="1:10" ht="18" customHeight="1" x14ac:dyDescent="0.2">
      <c r="A69" s="410">
        <v>6</v>
      </c>
      <c r="B69" s="411">
        <f>VLOOKUP("reference_count_1",AUTO!$A$1:$B$1051,2,FALSE)</f>
        <v>459350</v>
      </c>
      <c r="C69" s="391">
        <f>VLOOKUP("verification_count_1_1",AUTO!$A$1:$B$1051,2,FALSE)</f>
        <v>465044</v>
      </c>
      <c r="D69" s="379">
        <f t="shared" ref="D69:D76" si="0">(C69-B69)/B69</f>
        <v>1.2395776640905628E-2</v>
      </c>
      <c r="E69" s="391"/>
      <c r="F69" s="379"/>
      <c r="G69" s="391"/>
      <c r="H69" s="379"/>
      <c r="I69" s="412">
        <f t="shared" ref="I69:I76" si="1">(C69)</f>
        <v>465044</v>
      </c>
      <c r="J69" s="379">
        <f t="shared" ref="J69:J76" si="2">(I69-$B69)/$B69</f>
        <v>1.2395776640905628E-2</v>
      </c>
    </row>
    <row r="70" spans="1:10" ht="18" customHeight="1" x14ac:dyDescent="0.2">
      <c r="A70" s="410">
        <v>10</v>
      </c>
      <c r="B70" s="411">
        <f>VLOOKUP("reference_count32_6",AUTO!$A$1:$B$1051,2,FALSE)*100</f>
        <v>106950</v>
      </c>
      <c r="C70" s="413">
        <f>VLOOKUP("verification_count32_1_6",AUTO!$A$1:$B$1051,2,FALSE)*100</f>
        <v>110681</v>
      </c>
      <c r="D70" s="379">
        <f t="shared" si="0"/>
        <v>3.4885460495558671E-2</v>
      </c>
      <c r="E70" s="413"/>
      <c r="F70" s="379"/>
      <c r="G70" s="413"/>
      <c r="H70" s="379"/>
      <c r="I70" s="412">
        <f t="shared" si="1"/>
        <v>110681</v>
      </c>
      <c r="J70" s="379">
        <f t="shared" si="2"/>
        <v>3.4885460495558671E-2</v>
      </c>
    </row>
    <row r="71" spans="1:10" ht="18" customHeight="1" x14ac:dyDescent="0.2">
      <c r="A71" s="410">
        <v>14</v>
      </c>
      <c r="B71" s="411">
        <f>VLOOKUP("reference_count_2",AUTO!$A$1:$B$1051,2,FALSE)</f>
        <v>36410</v>
      </c>
      <c r="C71" s="391">
        <f>VLOOKUP("verification_count_1_2",AUTO!$A$1:$B$1051,2,FALSE)</f>
        <v>37039</v>
      </c>
      <c r="D71" s="379">
        <f t="shared" si="0"/>
        <v>1.7275473770942049E-2</v>
      </c>
      <c r="E71" s="391"/>
      <c r="F71" s="379"/>
      <c r="G71" s="391"/>
      <c r="H71" s="379"/>
      <c r="I71" s="412">
        <f t="shared" si="1"/>
        <v>37039</v>
      </c>
      <c r="J71" s="379">
        <f t="shared" si="2"/>
        <v>1.7275473770942049E-2</v>
      </c>
    </row>
    <row r="72" spans="1:10" ht="18" customHeight="1" x14ac:dyDescent="0.2">
      <c r="A72" s="410">
        <v>21</v>
      </c>
      <c r="B72" s="411">
        <f>VLOOKUP("reference_count_3",AUTO!$A$1:$B$1051,2,FALSE)</f>
        <v>10940</v>
      </c>
      <c r="C72" s="391">
        <f>VLOOKUP("verification_count_1_3",AUTO!$A$1:$B$1051,2,FALSE)</f>
        <v>12118</v>
      </c>
      <c r="D72" s="379">
        <f t="shared" si="0"/>
        <v>0.10767824497257769</v>
      </c>
      <c r="E72" s="391"/>
      <c r="F72" s="379"/>
      <c r="G72" s="391"/>
      <c r="H72" s="379"/>
      <c r="I72" s="412">
        <f t="shared" si="1"/>
        <v>12118</v>
      </c>
      <c r="J72" s="379">
        <f t="shared" si="2"/>
        <v>0.10767824497257769</v>
      </c>
    </row>
    <row r="73" spans="1:10" ht="18" customHeight="1" x14ac:dyDescent="0.2">
      <c r="A73" s="410">
        <v>25</v>
      </c>
      <c r="B73" s="411">
        <f>VLOOKUP("reference_count_4",AUTO!$A$1:$B$1051,2,FALSE)</f>
        <v>5210</v>
      </c>
      <c r="C73" s="391">
        <f>VLOOKUP("verification_count_1_4",AUTO!$A$1:$B$1051,2,FALSE)</f>
        <v>5651</v>
      </c>
      <c r="D73" s="379">
        <f t="shared" si="0"/>
        <v>8.4644913627639151E-2</v>
      </c>
      <c r="E73" s="391"/>
      <c r="F73" s="379"/>
      <c r="G73" s="391"/>
      <c r="H73" s="379"/>
      <c r="I73" s="412">
        <f t="shared" si="1"/>
        <v>5651</v>
      </c>
      <c r="J73" s="379">
        <f t="shared" si="2"/>
        <v>8.4644913627639151E-2</v>
      </c>
    </row>
    <row r="74" spans="1:10" ht="18" customHeight="1" x14ac:dyDescent="0.2">
      <c r="A74" s="410">
        <v>38</v>
      </c>
      <c r="B74" s="411">
        <f>VLOOKUP("reference_count_5",AUTO!$A$1:$B$1051,2,FALSE)</f>
        <v>611.721</v>
      </c>
      <c r="C74" s="391">
        <f>VLOOKUP("verification_count_1_5",AUTO!$A$1:$B$1051,2,FALSE)</f>
        <v>586</v>
      </c>
      <c r="D74" s="379">
        <f t="shared" si="0"/>
        <v>-4.2046946238563011E-2</v>
      </c>
      <c r="E74" s="391"/>
      <c r="F74" s="379"/>
      <c r="G74" s="391"/>
      <c r="H74" s="379"/>
      <c r="I74" s="412">
        <f t="shared" si="1"/>
        <v>586</v>
      </c>
      <c r="J74" s="379">
        <f t="shared" si="2"/>
        <v>-4.2046946238563011E-2</v>
      </c>
    </row>
    <row r="75" spans="1:10" ht="18" customHeight="1" x14ac:dyDescent="0.2">
      <c r="A75" s="410">
        <v>50</v>
      </c>
      <c r="B75" s="411">
        <f>VLOOKUP("reference_count_6",AUTO!$A$1:$B$1051,2,FALSE)</f>
        <v>145.303</v>
      </c>
      <c r="C75" s="391">
        <f>VLOOKUP("verification_count_1_6",AUTO!$A$1:$B$1051,2,FALSE)</f>
        <v>153</v>
      </c>
      <c r="D75" s="379">
        <f t="shared" si="0"/>
        <v>5.2972065270503729E-2</v>
      </c>
      <c r="E75" s="391"/>
      <c r="F75" s="379"/>
      <c r="G75" s="391"/>
      <c r="H75" s="379"/>
      <c r="I75" s="412">
        <f t="shared" si="1"/>
        <v>153</v>
      </c>
      <c r="J75" s="379">
        <f t="shared" si="2"/>
        <v>5.2972065270503729E-2</v>
      </c>
    </row>
    <row r="76" spans="1:10" ht="18" customHeight="1" x14ac:dyDescent="0.2">
      <c r="A76" s="410">
        <v>70</v>
      </c>
      <c r="B76" s="411">
        <f>VLOOKUP("reference_count_7",AUTO!$A$1:$B$1051,2,FALSE)</f>
        <v>24.939</v>
      </c>
      <c r="C76" s="391">
        <f>VLOOKUP("verification_count_1_7",AUTO!$A$1:$B$1051,2,FALSE)</f>
        <v>23</v>
      </c>
      <c r="D76" s="379">
        <f t="shared" si="0"/>
        <v>-7.7749709290669239E-2</v>
      </c>
      <c r="E76" s="391"/>
      <c r="F76" s="379"/>
      <c r="G76" s="391"/>
      <c r="H76" s="379"/>
      <c r="I76" s="412">
        <f t="shared" si="1"/>
        <v>23</v>
      </c>
      <c r="J76" s="379">
        <f t="shared" si="2"/>
        <v>-7.7749709290669239E-2</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disablePrompts="1"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J28" sqref="J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82</v>
      </c>
      <c r="G28" s="600"/>
      <c r="H28" s="596">
        <f>'Auto-Calibration record'!B68</f>
        <v>1056340</v>
      </c>
      <c r="I28" s="596"/>
      <c r="J28" s="425">
        <f>'Auto-Calibration record'!I68</f>
        <v>1070933</v>
      </c>
      <c r="K28" s="425">
        <f t="shared" ref="K28:K33" si="0">J28-H28</f>
        <v>14593</v>
      </c>
      <c r="L28" s="383">
        <f t="shared" ref="L28:L33" si="1">K28/H28</f>
        <v>1.3814680879262358E-2</v>
      </c>
    </row>
    <row r="29" spans="2:15" s="77" customFormat="1" ht="25.9" customHeight="1" x14ac:dyDescent="0.2">
      <c r="D29" s="585" t="s">
        <v>909</v>
      </c>
      <c r="E29" s="585"/>
      <c r="F29" s="600">
        <f>'Auto-Calibration record'!C65</f>
        <v>204</v>
      </c>
      <c r="G29" s="600"/>
      <c r="H29" s="596">
        <f>'Auto-Calibration record'!B69</f>
        <v>459350</v>
      </c>
      <c r="I29" s="596"/>
      <c r="J29" s="425">
        <f>'Auto-Calibration record'!I69</f>
        <v>465044</v>
      </c>
      <c r="K29" s="425">
        <f t="shared" si="0"/>
        <v>5694</v>
      </c>
      <c r="L29" s="383">
        <f t="shared" si="1"/>
        <v>1.2395776640905628E-2</v>
      </c>
    </row>
    <row r="30" spans="2:15" s="77" customFormat="1" ht="25.9" customHeight="1" x14ac:dyDescent="0.2">
      <c r="D30" s="585" t="s">
        <v>910</v>
      </c>
      <c r="E30" s="585"/>
      <c r="F30" s="600">
        <f>'Auto-Calibration record'!D65</f>
        <v>1092</v>
      </c>
      <c r="G30" s="600"/>
      <c r="H30" s="596">
        <f>'Auto-Calibration record'!B71</f>
        <v>36410</v>
      </c>
      <c r="I30" s="596"/>
      <c r="J30" s="425">
        <f>'Auto-Calibration record'!I71</f>
        <v>37039</v>
      </c>
      <c r="K30" s="425">
        <f t="shared" si="0"/>
        <v>629</v>
      </c>
      <c r="L30" s="383">
        <f t="shared" si="1"/>
        <v>1.7275473770942049E-2</v>
      </c>
    </row>
    <row r="31" spans="2:15" s="77" customFormat="1" ht="25.9" customHeight="1" x14ac:dyDescent="0.2">
      <c r="D31" s="585" t="s">
        <v>911</v>
      </c>
      <c r="E31" s="585"/>
      <c r="F31" s="600">
        <f>'Auto-Calibration record'!E65</f>
        <v>2158</v>
      </c>
      <c r="G31" s="600"/>
      <c r="H31" s="596">
        <f>'Auto-Calibration record'!B72</f>
        <v>10940</v>
      </c>
      <c r="I31" s="596"/>
      <c r="J31" s="425">
        <f>'Auto-Calibration record'!I72</f>
        <v>12118</v>
      </c>
      <c r="K31" s="425">
        <f t="shared" si="0"/>
        <v>1178</v>
      </c>
      <c r="L31" s="383">
        <f t="shared" si="1"/>
        <v>0.10767824497257769</v>
      </c>
    </row>
    <row r="32" spans="2:15" s="77" customFormat="1" ht="25.9" customHeight="1" x14ac:dyDescent="0.2">
      <c r="D32" s="585" t="s">
        <v>912</v>
      </c>
      <c r="E32" s="585"/>
      <c r="F32" s="600">
        <f>'Auto-Calibration record'!F65</f>
        <v>3182</v>
      </c>
      <c r="G32" s="600"/>
      <c r="H32" s="596">
        <f>'Auto-Calibration record'!B73</f>
        <v>5210</v>
      </c>
      <c r="I32" s="596"/>
      <c r="J32" s="425">
        <f>'Auto-Calibration record'!I73</f>
        <v>5651</v>
      </c>
      <c r="K32" s="425">
        <f t="shared" si="0"/>
        <v>441</v>
      </c>
      <c r="L32" s="383">
        <f t="shared" si="1"/>
        <v>8.4644913627639151E-2</v>
      </c>
    </row>
    <row r="33" spans="2:12" s="77" customFormat="1" ht="25.9" customHeight="1" x14ac:dyDescent="0.2">
      <c r="D33" s="585" t="s">
        <v>913</v>
      </c>
      <c r="E33" s="585"/>
      <c r="F33" s="600">
        <f>'Auto-Calibration record'!G65</f>
        <v>10154</v>
      </c>
      <c r="G33" s="600"/>
      <c r="H33" s="596">
        <f>'Auto-Calibration record'!B74</f>
        <v>611.721</v>
      </c>
      <c r="I33" s="596"/>
      <c r="J33" s="425">
        <f>'Auto-Calibration record'!I74</f>
        <v>586</v>
      </c>
      <c r="K33" s="425">
        <f t="shared" si="0"/>
        <v>-25.721000000000004</v>
      </c>
      <c r="L33" s="383">
        <f t="shared" si="1"/>
        <v>-4.2046946238563011E-2</v>
      </c>
    </row>
    <row r="34" spans="2:12" s="77" customFormat="1" ht="25.9" customHeight="1" x14ac:dyDescent="0.2">
      <c r="D34" s="585" t="s">
        <v>914</v>
      </c>
      <c r="E34" s="585"/>
      <c r="F34" s="600">
        <f>'Auto-Calibration record'!H65</f>
        <v>15872</v>
      </c>
      <c r="G34" s="600"/>
      <c r="H34" s="596">
        <f>'Auto-Calibration record'!B75</f>
        <v>145.303</v>
      </c>
      <c r="I34" s="596"/>
      <c r="J34" s="425">
        <f>'Auto-Calibration record'!I75</f>
        <v>153</v>
      </c>
      <c r="K34" s="425" t="s">
        <v>321</v>
      </c>
      <c r="L34" s="426" t="s">
        <v>321</v>
      </c>
    </row>
    <row r="35" spans="2:12" s="72" customFormat="1" ht="25.9" customHeight="1" x14ac:dyDescent="0.25">
      <c r="D35" s="585" t="s">
        <v>915</v>
      </c>
      <c r="E35" s="585"/>
      <c r="F35" s="601">
        <f>'Auto-Calibration record'!I65</f>
        <v>25309</v>
      </c>
      <c r="G35" s="601"/>
      <c r="H35" s="596">
        <f>'Auto-Calibration record'!B76</f>
        <v>24.939</v>
      </c>
      <c r="I35" s="596"/>
      <c r="J35" s="427">
        <f>'Auto-Calibration record'!I76</f>
        <v>23</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32</v>
      </c>
      <c r="E40" s="596">
        <f>F28-D40</f>
        <v>50</v>
      </c>
      <c r="F40" s="596"/>
      <c r="G40" s="610">
        <f>F28/D40</f>
        <v>2.5625</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3"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2"/>
  <cols>
    <col min="1" max="1" width="42" customWidth="1"/>
    <col min="2" max="2" width="13.8554687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40625" defaultRowHeight="12.75" x14ac:dyDescent="0.2"/>
  <cols>
    <col min="1" max="1" width="4.85546875" style="1" customWidth="1"/>
    <col min="2" max="3" width="11.7109375" style="1" customWidth="1"/>
    <col min="4" max="4" width="3.140625" style="1" customWidth="1"/>
    <col min="5" max="5" width="7.85546875" style="1" customWidth="1"/>
    <col min="6" max="6" width="10.7109375" style="1" customWidth="1"/>
    <col min="7" max="7" width="9.85546875" style="1" customWidth="1"/>
    <col min="8" max="8" width="9.85546875" style="1" bestFit="1" customWidth="1"/>
    <col min="9" max="9" width="8.5703125" style="1" customWidth="1"/>
    <col min="10" max="10" width="4.85546875" style="1" customWidth="1"/>
    <col min="11" max="11" width="11.7109375" style="1" customWidth="1"/>
    <col min="12" max="12" width="19.85546875" style="1" customWidth="1"/>
    <col min="13" max="16" width="11.7109375" style="1" customWidth="1"/>
    <col min="17" max="16384" width="9.140625" style="1"/>
  </cols>
  <sheetData>
    <row r="2" spans="1:12" ht="27.75" x14ac:dyDescent="0.4">
      <c r="A2" s="39" t="s">
        <v>940</v>
      </c>
    </row>
    <row r="3" spans="1:12" ht="18" x14ac:dyDescent="0.25">
      <c r="A3" s="40" t="s">
        <v>941</v>
      </c>
    </row>
    <row r="5" spans="1:12" x14ac:dyDescent="0.2">
      <c r="A5" s="41" t="s">
        <v>942</v>
      </c>
      <c r="B5" s="41"/>
      <c r="C5" s="41" t="s">
        <v>943</v>
      </c>
      <c r="D5" s="41"/>
      <c r="E5" s="41" t="s">
        <v>944</v>
      </c>
      <c r="F5" s="41"/>
      <c r="G5" s="41"/>
      <c r="H5" s="41"/>
    </row>
    <row r="6" spans="1:12" ht="27" thickBot="1" x14ac:dyDescent="0.45">
      <c r="A6" s="42"/>
      <c r="B6" s="42"/>
      <c r="C6" s="43" t="s">
        <v>945</v>
      </c>
      <c r="D6" s="42"/>
      <c r="E6" s="42"/>
      <c r="F6" s="42"/>
      <c r="G6" s="42"/>
      <c r="H6" s="42"/>
      <c r="I6" s="38"/>
      <c r="J6" s="38"/>
      <c r="K6" s="38"/>
    </row>
    <row r="7" spans="1:12" ht="13.5" thickTop="1" x14ac:dyDescent="0.2">
      <c r="A7" s="246"/>
      <c r="B7" s="193"/>
      <c r="C7" s="229"/>
      <c r="D7" s="247"/>
      <c r="E7" s="246"/>
      <c r="F7" s="246"/>
      <c r="G7" s="246"/>
      <c r="H7" s="246"/>
      <c r="I7" s="246"/>
      <c r="J7" s="246"/>
      <c r="K7" s="246"/>
      <c r="L7" s="246"/>
    </row>
    <row r="8" spans="1:12" x14ac:dyDescent="0.2">
      <c r="B8" s="193" t="s">
        <v>946</v>
      </c>
      <c r="C8" s="246"/>
      <c r="D8" s="193" t="s">
        <v>947</v>
      </c>
      <c r="E8" s="246"/>
      <c r="G8" s="246"/>
      <c r="H8" s="246"/>
      <c r="I8" s="246"/>
      <c r="J8" s="246"/>
      <c r="K8" s="246"/>
      <c r="L8" s="246"/>
    </row>
    <row r="9" spans="1:12" x14ac:dyDescent="0.2">
      <c r="B9" s="229"/>
      <c r="C9" s="246"/>
      <c r="D9" s="193" t="s">
        <v>942</v>
      </c>
      <c r="E9" s="246"/>
      <c r="G9" s="246"/>
      <c r="H9" s="246"/>
      <c r="I9" s="246"/>
      <c r="J9" s="246"/>
      <c r="K9" s="246"/>
      <c r="L9" s="246"/>
    </row>
    <row r="10" spans="1:12" x14ac:dyDescent="0.2">
      <c r="B10" s="229"/>
      <c r="C10" s="246"/>
      <c r="D10" s="193" t="s">
        <v>948</v>
      </c>
      <c r="E10" s="246"/>
      <c r="G10" s="246"/>
      <c r="H10" s="246"/>
      <c r="I10" s="246"/>
      <c r="J10" s="246"/>
      <c r="K10" s="246"/>
      <c r="L10" s="246"/>
    </row>
    <row r="11" spans="1:12" x14ac:dyDescent="0.2">
      <c r="B11" s="229"/>
      <c r="C11" s="246"/>
      <c r="D11" s="193" t="s">
        <v>949</v>
      </c>
      <c r="E11" s="246"/>
      <c r="G11" s="246"/>
      <c r="H11" s="246"/>
      <c r="I11" s="246"/>
      <c r="J11" s="246"/>
      <c r="K11" s="246"/>
      <c r="L11" s="246"/>
    </row>
    <row r="12" spans="1:12" x14ac:dyDescent="0.2">
      <c r="B12" s="246"/>
      <c r="C12" s="193"/>
      <c r="D12" s="246"/>
      <c r="E12" s="246"/>
      <c r="F12" s="246"/>
      <c r="G12" s="246"/>
      <c r="H12" s="246"/>
      <c r="I12" s="246"/>
      <c r="J12" s="246"/>
      <c r="K12" s="246"/>
      <c r="L12" s="246"/>
    </row>
    <row r="13" spans="1:12" x14ac:dyDescent="0.2">
      <c r="B13" s="193" t="s">
        <v>950</v>
      </c>
      <c r="C13" s="246"/>
      <c r="D13" s="103" t="s">
        <v>951</v>
      </c>
      <c r="E13" s="248">
        <f>'Auto-Calibration record'!J17</f>
        <v>0</v>
      </c>
      <c r="F13" s="234" t="str">
        <f>"0"&amp;('Auto-Calibration record'!H15-200000)</f>
        <v>0-200001</v>
      </c>
      <c r="G13" s="246"/>
      <c r="H13" s="246"/>
      <c r="I13" s="246"/>
      <c r="J13" s="246"/>
      <c r="K13" s="246"/>
      <c r="L13" s="246"/>
    </row>
    <row r="14" spans="1:12" x14ac:dyDescent="0.2">
      <c r="B14" s="193" t="s">
        <v>952</v>
      </c>
      <c r="C14" s="246"/>
      <c r="D14" s="611" t="str">
        <f>'Auto-Calibration record'!H14</f>
        <v>5.6mg/l RM8631b</v>
      </c>
      <c r="E14" s="611"/>
      <c r="F14" s="611"/>
      <c r="G14" s="246"/>
      <c r="H14" s="246"/>
      <c r="I14" s="246"/>
      <c r="J14" s="246"/>
      <c r="K14" s="246"/>
      <c r="L14" s="246"/>
    </row>
    <row r="15" spans="1:12" x14ac:dyDescent="0.2">
      <c r="B15" s="193" t="s">
        <v>331</v>
      </c>
      <c r="C15" s="246"/>
      <c r="D15" s="103" t="s">
        <v>951</v>
      </c>
      <c r="E15" s="249" t="str">
        <f>F13</f>
        <v>0-200001</v>
      </c>
      <c r="F15" s="246"/>
      <c r="G15" s="246"/>
      <c r="H15" s="246"/>
      <c r="I15" s="246"/>
      <c r="J15" s="246"/>
      <c r="K15" s="246"/>
      <c r="L15" s="246"/>
    </row>
    <row r="16" spans="1:12" x14ac:dyDescent="0.2">
      <c r="A16" s="246"/>
      <c r="B16" s="193"/>
      <c r="C16" s="246"/>
      <c r="D16" s="247"/>
      <c r="E16" s="246"/>
      <c r="F16" s="229"/>
      <c r="G16" s="246"/>
      <c r="H16" s="246"/>
      <c r="I16" s="246"/>
      <c r="J16" s="246"/>
      <c r="K16" s="246"/>
      <c r="L16" s="246"/>
    </row>
    <row r="17" spans="1:12" ht="62.25" customHeight="1" x14ac:dyDescent="0.2">
      <c r="B17" s="612" t="s">
        <v>953</v>
      </c>
      <c r="C17" s="612"/>
      <c r="D17" s="612"/>
      <c r="E17" s="612"/>
      <c r="F17" s="612"/>
      <c r="G17" s="612"/>
      <c r="H17" s="612"/>
      <c r="I17" s="612"/>
      <c r="J17" s="250"/>
      <c r="K17" s="250"/>
      <c r="L17" s="250"/>
    </row>
    <row r="18" spans="1:12" ht="28.5" customHeight="1" x14ac:dyDescent="0.2">
      <c r="B18" s="612" t="s">
        <v>954</v>
      </c>
      <c r="C18" s="612"/>
      <c r="D18" s="612"/>
      <c r="E18" s="612"/>
      <c r="F18" s="612"/>
      <c r="G18" s="612"/>
      <c r="H18" s="612"/>
      <c r="I18" s="612"/>
      <c r="J18" s="250"/>
      <c r="K18" s="250"/>
      <c r="L18" s="250"/>
    </row>
    <row r="19" spans="1:12" x14ac:dyDescent="0.2">
      <c r="A19" s="247"/>
      <c r="B19" s="193"/>
      <c r="C19" s="247"/>
      <c r="D19" s="247"/>
      <c r="E19" s="247"/>
      <c r="F19" s="229"/>
      <c r="G19" s="247"/>
      <c r="H19" s="247"/>
      <c r="I19" s="247"/>
      <c r="J19" s="246"/>
      <c r="K19" s="246"/>
      <c r="L19" s="246"/>
    </row>
    <row r="20" spans="1:12" ht="35.25" customHeight="1" x14ac:dyDescent="0.2">
      <c r="B20" s="620" t="s">
        <v>955</v>
      </c>
      <c r="C20" s="620"/>
      <c r="D20" s="620"/>
      <c r="E20" s="620"/>
      <c r="F20" s="620"/>
      <c r="G20" s="620"/>
      <c r="H20" s="620"/>
      <c r="I20" s="620"/>
      <c r="J20" s="251"/>
      <c r="K20" s="251"/>
      <c r="L20" s="251"/>
    </row>
    <row r="21" spans="1:12" x14ac:dyDescent="0.2">
      <c r="A21" s="246"/>
      <c r="B21" s="193"/>
      <c r="C21" s="246"/>
      <c r="D21" s="247"/>
      <c r="E21" s="246"/>
      <c r="F21" s="229"/>
      <c r="G21" s="246"/>
      <c r="H21" s="246"/>
      <c r="I21" s="246"/>
      <c r="J21" s="246"/>
      <c r="K21" s="246"/>
      <c r="L21" s="246"/>
    </row>
    <row r="22" spans="1:12" x14ac:dyDescent="0.2">
      <c r="A22" s="246"/>
      <c r="B22" s="193" t="s">
        <v>956</v>
      </c>
      <c r="C22" s="246"/>
      <c r="D22" s="247"/>
      <c r="E22" s="246"/>
      <c r="F22" s="229"/>
      <c r="G22" s="246"/>
      <c r="H22" s="246"/>
      <c r="I22" s="246"/>
      <c r="J22" s="246"/>
      <c r="K22" s="246"/>
      <c r="L22" s="246"/>
    </row>
    <row r="23" spans="1:12" x14ac:dyDescent="0.2">
      <c r="D23" s="5"/>
      <c r="F23" s="44"/>
    </row>
    <row r="24" spans="1:12" ht="15" x14ac:dyDescent="0.2">
      <c r="B24" s="45"/>
      <c r="D24" s="5"/>
      <c r="F24" s="44"/>
    </row>
    <row r="25" spans="1:12" x14ac:dyDescent="0.2">
      <c r="B25" s="193" t="s">
        <v>957</v>
      </c>
      <c r="D25" s="623">
        <f>'Auto-Calibration record'!H16</f>
        <v>46191.6</v>
      </c>
      <c r="E25" s="623"/>
      <c r="G25" s="193" t="s">
        <v>958</v>
      </c>
    </row>
    <row r="26" spans="1:12" ht="15" x14ac:dyDescent="0.2">
      <c r="B26" s="45"/>
      <c r="D26" s="5"/>
      <c r="G26" s="44"/>
    </row>
    <row r="27" spans="1:12" ht="15" x14ac:dyDescent="0.2">
      <c r="B27" s="45"/>
      <c r="D27" s="5"/>
      <c r="G27" s="44"/>
    </row>
    <row r="28" spans="1:12" x14ac:dyDescent="0.2">
      <c r="D28" s="5"/>
    </row>
    <row r="29" spans="1:12" x14ac:dyDescent="0.2">
      <c r="C29" s="44"/>
      <c r="D29" s="5"/>
      <c r="G29" s="193" t="s">
        <v>959</v>
      </c>
    </row>
    <row r="30" spans="1:12" ht="13.5" x14ac:dyDescent="0.2">
      <c r="A30" s="46" t="s">
        <v>960</v>
      </c>
      <c r="C30" s="44"/>
      <c r="D30" s="5"/>
    </row>
    <row r="32" spans="1:12" ht="27.75" x14ac:dyDescent="0.4">
      <c r="A32" s="39" t="s">
        <v>940</v>
      </c>
    </row>
    <row r="33" spans="1:12" ht="18" x14ac:dyDescent="0.25">
      <c r="A33" s="40" t="s">
        <v>941</v>
      </c>
    </row>
    <row r="35" spans="1:12" x14ac:dyDescent="0.2">
      <c r="A35" s="41" t="s">
        <v>942</v>
      </c>
      <c r="B35" s="41"/>
      <c r="C35" s="41" t="s">
        <v>943</v>
      </c>
      <c r="D35" s="41"/>
      <c r="E35" s="41" t="s">
        <v>944</v>
      </c>
      <c r="F35" s="41"/>
      <c r="G35" s="41"/>
      <c r="H35" s="41"/>
      <c r="I35" s="41"/>
    </row>
    <row r="36" spans="1:12" ht="27" thickBot="1" x14ac:dyDescent="0.45">
      <c r="A36" s="42"/>
      <c r="B36" s="42"/>
      <c r="C36" s="43" t="s">
        <v>945</v>
      </c>
      <c r="D36" s="42"/>
      <c r="E36" s="42"/>
      <c r="F36" s="42"/>
      <c r="G36" s="42"/>
      <c r="H36" s="42"/>
      <c r="I36" s="42"/>
      <c r="J36" s="98"/>
      <c r="K36" s="38"/>
    </row>
    <row r="37" spans="1:12" ht="13.5" thickTop="1" x14ac:dyDescent="0.2"/>
    <row r="39" spans="1:12" s="37" customFormat="1" ht="18.75" thickBot="1" x14ac:dyDescent="0.3">
      <c r="A39" s="48" t="s">
        <v>961</v>
      </c>
      <c r="B39" s="47"/>
      <c r="C39" s="47"/>
      <c r="D39" s="47"/>
      <c r="E39" s="47"/>
      <c r="F39" s="47"/>
      <c r="G39" s="47"/>
      <c r="H39" s="47"/>
      <c r="I39" s="47"/>
      <c r="J39" s="98"/>
    </row>
    <row r="40" spans="1:12" s="37" customFormat="1" ht="13.5" thickTop="1" x14ac:dyDescent="0.2">
      <c r="A40" s="1"/>
      <c r="B40" s="1"/>
      <c r="C40" s="1"/>
      <c r="D40" s="1"/>
      <c r="E40" s="1"/>
      <c r="F40" s="1"/>
    </row>
    <row r="41" spans="1:12" x14ac:dyDescent="0.2">
      <c r="A41" s="37"/>
      <c r="C41" s="61" t="s">
        <v>962</v>
      </c>
      <c r="D41" s="49"/>
      <c r="E41" s="621" t="str">
        <f>'Auto-Calibration record'!H14</f>
        <v>5.6mg/l RM8631b</v>
      </c>
      <c r="F41" s="622"/>
      <c r="G41" s="118"/>
    </row>
    <row r="42" spans="1:12" x14ac:dyDescent="0.2">
      <c r="A42" s="37"/>
      <c r="C42" s="252" t="s">
        <v>963</v>
      </c>
      <c r="D42" s="253"/>
      <c r="E42" s="104" t="s">
        <v>951</v>
      </c>
      <c r="F42" s="96" t="str">
        <f>E15</f>
        <v>0-200001</v>
      </c>
    </row>
    <row r="43" spans="1:12" x14ac:dyDescent="0.2">
      <c r="A43" s="37"/>
      <c r="C43" s="61" t="s">
        <v>964</v>
      </c>
      <c r="D43" s="49"/>
      <c r="E43" s="618" t="s">
        <v>965</v>
      </c>
      <c r="F43" s="619"/>
      <c r="G43" s="37"/>
    </row>
    <row r="44" spans="1:12" x14ac:dyDescent="0.2">
      <c r="C44" s="62" t="s">
        <v>966</v>
      </c>
      <c r="D44" s="51"/>
      <c r="E44" s="618">
        <f>'Auto-Calibration record'!B17</f>
        <v>0</v>
      </c>
      <c r="F44" s="619"/>
      <c r="G44" s="37"/>
      <c r="H44" s="3"/>
      <c r="I44" s="3"/>
      <c r="J44" s="3"/>
      <c r="K44" s="3"/>
      <c r="L44" s="3"/>
    </row>
    <row r="45" spans="1:12" x14ac:dyDescent="0.2">
      <c r="C45" s="61" t="s">
        <v>967</v>
      </c>
      <c r="D45" s="49"/>
      <c r="E45" s="618">
        <f>'Auto-Calibration record'!B11</f>
        <v>32</v>
      </c>
      <c r="F45" s="619"/>
      <c r="G45" s="37"/>
    </row>
    <row r="46" spans="1:12" x14ac:dyDescent="0.2">
      <c r="A46" s="37"/>
      <c r="C46" s="61" t="s">
        <v>968</v>
      </c>
      <c r="D46" s="49"/>
      <c r="E46" s="618" t="s">
        <v>969</v>
      </c>
      <c r="F46" s="619"/>
      <c r="G46" s="37"/>
    </row>
    <row r="47" spans="1:12" s="2" customFormat="1" x14ac:dyDescent="0.2">
      <c r="A47" s="1"/>
      <c r="C47" s="61" t="s">
        <v>970</v>
      </c>
      <c r="D47" s="49"/>
      <c r="E47" s="618" t="s">
        <v>971</v>
      </c>
      <c r="F47" s="619"/>
      <c r="G47" s="37"/>
    </row>
    <row r="48" spans="1:12" x14ac:dyDescent="0.2">
      <c r="B48" s="37"/>
      <c r="C48" s="37"/>
      <c r="D48" s="3"/>
      <c r="E48" s="3"/>
      <c r="F48" s="3"/>
    </row>
    <row r="49" spans="1:10" s="37" customFormat="1" x14ac:dyDescent="0.2">
      <c r="A49" s="52" t="s">
        <v>972</v>
      </c>
      <c r="B49" s="1"/>
      <c r="C49" s="1"/>
      <c r="D49" s="1"/>
      <c r="E49" s="1"/>
      <c r="F49" s="1"/>
    </row>
    <row r="50" spans="1:10" s="37" customFormat="1" x14ac:dyDescent="0.2">
      <c r="A50" s="52"/>
      <c r="B50" s="1"/>
      <c r="C50" s="1"/>
      <c r="D50" s="1"/>
      <c r="E50" s="1"/>
      <c r="F50" s="1"/>
    </row>
    <row r="51" spans="1:10" s="37" customFormat="1" x14ac:dyDescent="0.2">
      <c r="A51" s="52"/>
      <c r="B51" s="1"/>
      <c r="C51" s="1"/>
      <c r="D51" s="1"/>
      <c r="E51" s="1"/>
      <c r="F51" s="1"/>
    </row>
    <row r="52" spans="1:10" s="37" customFormat="1" ht="18.75" thickBot="1" x14ac:dyDescent="0.3">
      <c r="A52" s="48" t="s">
        <v>973</v>
      </c>
      <c r="B52" s="47"/>
      <c r="C52" s="47"/>
      <c r="D52" s="47"/>
      <c r="E52" s="47"/>
      <c r="F52" s="47"/>
      <c r="G52" s="47"/>
      <c r="H52" s="47"/>
      <c r="I52" s="47"/>
      <c r="J52" s="98"/>
    </row>
    <row r="53" spans="1:10" s="37" customFormat="1" ht="13.5" thickTop="1" x14ac:dyDescent="0.2">
      <c r="A53" s="1"/>
      <c r="B53" s="1"/>
      <c r="C53" s="1"/>
    </row>
    <row r="54" spans="1:10" s="37" customFormat="1" ht="13.5" thickBot="1" x14ac:dyDescent="0.25">
      <c r="B54" s="1" t="s">
        <v>974</v>
      </c>
      <c r="C54" s="1"/>
    </row>
    <row r="55" spans="1:10" s="37" customFormat="1" ht="63.75" customHeight="1" x14ac:dyDescent="0.2">
      <c r="B55" s="53" t="s">
        <v>898</v>
      </c>
      <c r="C55" s="54" t="s">
        <v>899</v>
      </c>
      <c r="D55" s="616" t="s">
        <v>975</v>
      </c>
      <c r="E55" s="616"/>
      <c r="F55" s="56" t="s">
        <v>976</v>
      </c>
      <c r="G55" s="55" t="s">
        <v>902</v>
      </c>
      <c r="H55" s="57" t="s">
        <v>902</v>
      </c>
      <c r="I55" s="2"/>
    </row>
    <row r="56" spans="1:10" s="2" customFormat="1" x14ac:dyDescent="0.2">
      <c r="A56" s="37"/>
      <c r="B56" s="384" t="s">
        <v>977</v>
      </c>
      <c r="C56" s="385" t="s">
        <v>905</v>
      </c>
      <c r="D56" s="617" t="s">
        <v>978</v>
      </c>
      <c r="E56" s="617"/>
      <c r="F56" s="387" t="s">
        <v>978</v>
      </c>
      <c r="G56" s="386" t="s">
        <v>978</v>
      </c>
      <c r="H56" s="388" t="s">
        <v>907</v>
      </c>
      <c r="I56" s="58"/>
    </row>
    <row r="57" spans="1:10" x14ac:dyDescent="0.2">
      <c r="A57" s="37"/>
      <c r="B57" s="92">
        <v>4</v>
      </c>
      <c r="C57" s="434">
        <f>'Auto-Calibration record'!B65</f>
        <v>82</v>
      </c>
      <c r="D57" s="614">
        <f>'Auto-Calibration record'!B68</f>
        <v>1056340</v>
      </c>
      <c r="E57" s="615"/>
      <c r="F57" s="435">
        <f>'Auto-Calibration record'!I68</f>
        <v>1070933</v>
      </c>
      <c r="G57" s="434">
        <f t="shared" ref="G57:G62" si="0">F57-D57</f>
        <v>14593</v>
      </c>
      <c r="H57" s="93">
        <f t="shared" ref="H57:H62" si="1">G57/D57</f>
        <v>1.3814680879262358E-2</v>
      </c>
      <c r="I57" s="59"/>
    </row>
    <row r="58" spans="1:10" s="37" customFormat="1" x14ac:dyDescent="0.2">
      <c r="A58" s="2"/>
      <c r="B58" s="92">
        <v>6</v>
      </c>
      <c r="C58" s="434">
        <f>'Auto-Calibration record'!C65</f>
        <v>204</v>
      </c>
      <c r="D58" s="614">
        <f>'Auto-Calibration record'!B69</f>
        <v>459350</v>
      </c>
      <c r="E58" s="615"/>
      <c r="F58" s="435">
        <f>'Auto-Calibration record'!I69</f>
        <v>465044</v>
      </c>
      <c r="G58" s="434">
        <f t="shared" si="0"/>
        <v>5694</v>
      </c>
      <c r="H58" s="93">
        <f t="shared" si="1"/>
        <v>1.2395776640905628E-2</v>
      </c>
      <c r="I58" s="59"/>
    </row>
    <row r="59" spans="1:10" x14ac:dyDescent="0.2">
      <c r="B59" s="92">
        <v>14</v>
      </c>
      <c r="C59" s="434">
        <f>'Auto-Calibration record'!D65</f>
        <v>1092</v>
      </c>
      <c r="D59" s="614">
        <f>'Auto-Calibration record'!B71</f>
        <v>36410</v>
      </c>
      <c r="E59" s="615"/>
      <c r="F59" s="435">
        <f>'Auto-Calibration record'!I71</f>
        <v>37039</v>
      </c>
      <c r="G59" s="434">
        <f t="shared" si="0"/>
        <v>629</v>
      </c>
      <c r="H59" s="93">
        <f t="shared" si="1"/>
        <v>1.7275473770942049E-2</v>
      </c>
      <c r="I59" s="59"/>
    </row>
    <row r="60" spans="1:10" x14ac:dyDescent="0.2">
      <c r="A60" s="37"/>
      <c r="B60" s="92">
        <v>21</v>
      </c>
      <c r="C60" s="434">
        <f>'Auto-Calibration record'!E65</f>
        <v>2158</v>
      </c>
      <c r="D60" s="614">
        <f>'Auto-Calibration record'!B72</f>
        <v>10940</v>
      </c>
      <c r="E60" s="615"/>
      <c r="F60" s="435">
        <f>'Auto-Calibration record'!I72</f>
        <v>12118</v>
      </c>
      <c r="G60" s="434">
        <f t="shared" si="0"/>
        <v>1178</v>
      </c>
      <c r="H60" s="93">
        <f t="shared" si="1"/>
        <v>0.10767824497257769</v>
      </c>
      <c r="I60" s="59"/>
    </row>
    <row r="61" spans="1:10" x14ac:dyDescent="0.2">
      <c r="B61" s="92">
        <v>25</v>
      </c>
      <c r="C61" s="434">
        <f>'Auto-Calibration record'!F65</f>
        <v>3182</v>
      </c>
      <c r="D61" s="614">
        <f>'Auto-Calibration record'!B73</f>
        <v>5210</v>
      </c>
      <c r="E61" s="615"/>
      <c r="F61" s="435">
        <f>'Auto-Calibration record'!I73</f>
        <v>5651</v>
      </c>
      <c r="G61" s="434">
        <f t="shared" si="0"/>
        <v>441</v>
      </c>
      <c r="H61" s="93">
        <f t="shared" si="1"/>
        <v>8.4644913627639151E-2</v>
      </c>
      <c r="I61" s="59"/>
    </row>
    <row r="62" spans="1:10" x14ac:dyDescent="0.2">
      <c r="A62" s="2"/>
      <c r="B62" s="92">
        <v>38</v>
      </c>
      <c r="C62" s="434">
        <f>'Auto-Calibration record'!G65</f>
        <v>10154</v>
      </c>
      <c r="D62" s="614">
        <f>'Auto-Calibration record'!B74</f>
        <v>611.721</v>
      </c>
      <c r="E62" s="615"/>
      <c r="F62" s="435">
        <f>'Auto-Calibration record'!I74</f>
        <v>586</v>
      </c>
      <c r="G62" s="434">
        <f t="shared" si="0"/>
        <v>-25.721000000000004</v>
      </c>
      <c r="H62" s="93">
        <f t="shared" si="1"/>
        <v>-4.2046946238563011E-2</v>
      </c>
      <c r="I62" s="59"/>
    </row>
    <row r="63" spans="1:10" x14ac:dyDescent="0.2">
      <c r="B63" s="92" t="s">
        <v>979</v>
      </c>
      <c r="C63" s="434">
        <f>'Auto-Calibration record'!H65</f>
        <v>15872</v>
      </c>
      <c r="D63" s="614">
        <f>'Auto-Calibration record'!B75</f>
        <v>145.303</v>
      </c>
      <c r="E63" s="615"/>
      <c r="F63" s="435">
        <f>'Auto-Calibration record'!I75</f>
        <v>153</v>
      </c>
      <c r="G63" s="436" t="s">
        <v>321</v>
      </c>
      <c r="H63" s="254" t="s">
        <v>321</v>
      </c>
      <c r="I63" s="59"/>
    </row>
    <row r="64" spans="1:10" ht="13.5" thickBot="1" x14ac:dyDescent="0.25">
      <c r="A64" s="37"/>
      <c r="B64" s="94" t="s">
        <v>980</v>
      </c>
      <c r="C64" s="95">
        <f>'Auto-Calibration record'!I65</f>
        <v>25309</v>
      </c>
      <c r="D64" s="614">
        <f>'Auto-Calibration record'!B76</f>
        <v>24.939</v>
      </c>
      <c r="E64" s="615"/>
      <c r="F64" s="102">
        <f>'Auto-Calibration record'!I76</f>
        <v>23</v>
      </c>
      <c r="G64" s="255" t="s">
        <v>321</v>
      </c>
      <c r="H64" s="256" t="s">
        <v>321</v>
      </c>
      <c r="I64" s="59"/>
    </row>
    <row r="65" spans="2:7" x14ac:dyDescent="0.2">
      <c r="B65" s="613" t="s">
        <v>981</v>
      </c>
      <c r="C65" s="613"/>
      <c r="D65" s="613"/>
      <c r="E65" s="613"/>
      <c r="F65" s="613"/>
      <c r="G65" s="613"/>
    </row>
    <row r="67" spans="2:7" x14ac:dyDescent="0.2">
      <c r="B67" s="389" t="s">
        <v>982</v>
      </c>
      <c r="C67" s="390">
        <f>'Auto-Calibration record'!H16</f>
        <v>46191.6</v>
      </c>
    </row>
    <row r="72" spans="2:7" x14ac:dyDescent="0.2">
      <c r="F72" s="5" t="s">
        <v>959</v>
      </c>
    </row>
    <row r="74" spans="2:7" x14ac:dyDescent="0.2">
      <c r="B74" s="60" t="s">
        <v>983</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38" t="str">
        <f>'Auto-Calibration record'!H19</f>
        <v>NOT SET</v>
      </c>
    </row>
    <row r="20" spans="2:15" ht="25.5" customHeight="1" x14ac:dyDescent="0.25">
      <c r="B20" s="71"/>
      <c r="D20" s="87"/>
      <c r="E20" s="90"/>
      <c r="F20" s="88"/>
      <c r="K20" s="71"/>
      <c r="L20" s="72"/>
      <c r="M20" s="72"/>
      <c r="N20" s="72"/>
      <c r="O20" s="36"/>
    </row>
    <row r="21" spans="2:15" ht="34.5" customHeight="1" x14ac:dyDescent="0.25">
      <c r="B21" s="71"/>
      <c r="D21" s="439" t="s">
        <v>986</v>
      </c>
      <c r="E21" s="624" t="s">
        <v>987</v>
      </c>
      <c r="F21" s="624"/>
      <c r="G21" s="624" t="s">
        <v>988</v>
      </c>
      <c r="H21" s="624"/>
      <c r="I21" s="624" t="s">
        <v>989</v>
      </c>
      <c r="J21" s="624"/>
      <c r="M21" s="72"/>
      <c r="N21" s="72"/>
      <c r="O21" s="89"/>
    </row>
    <row r="22" spans="2:15" ht="18" x14ac:dyDescent="0.25">
      <c r="B22" s="71"/>
      <c r="D22" s="440" t="s">
        <v>990</v>
      </c>
      <c r="E22" s="625" t="s">
        <v>991</v>
      </c>
      <c r="F22" s="625"/>
      <c r="G22" s="625" t="s">
        <v>992</v>
      </c>
      <c r="H22" s="625"/>
      <c r="I22" s="625">
        <v>5226</v>
      </c>
      <c r="J22" s="625"/>
      <c r="M22" s="72"/>
      <c r="N22" s="72"/>
      <c r="O22" s="89"/>
    </row>
    <row r="23" spans="2:15" ht="14.25" customHeight="1" x14ac:dyDescent="0.25">
      <c r="B23" s="71"/>
      <c r="D23" s="440" t="s">
        <v>993</v>
      </c>
      <c r="E23" s="625" t="s">
        <v>991</v>
      </c>
      <c r="F23" s="625"/>
      <c r="G23" s="625" t="s">
        <v>992</v>
      </c>
      <c r="H23" s="625"/>
      <c r="I23" s="625">
        <v>5306</v>
      </c>
      <c r="J23" s="625"/>
      <c r="M23" s="72"/>
      <c r="N23" s="72"/>
      <c r="O23" s="89"/>
    </row>
    <row r="24" spans="2:15" ht="14.25" customHeight="1" x14ac:dyDescent="0.25">
      <c r="B24" s="71"/>
      <c r="D24" s="440" t="s">
        <v>994</v>
      </c>
      <c r="E24" s="625" t="s">
        <v>991</v>
      </c>
      <c r="F24" s="625"/>
      <c r="G24" s="625" t="s">
        <v>992</v>
      </c>
      <c r="H24" s="625"/>
      <c r="I24" s="625">
        <v>5326</v>
      </c>
      <c r="J24" s="625"/>
      <c r="M24" s="72"/>
      <c r="N24" s="72"/>
      <c r="O24" s="89"/>
    </row>
    <row r="25" spans="2:15" ht="14.25" customHeight="1" x14ac:dyDescent="0.25">
      <c r="B25" s="71"/>
      <c r="D25" s="440" t="s">
        <v>995</v>
      </c>
      <c r="E25" s="625" t="s">
        <v>991</v>
      </c>
      <c r="F25" s="625"/>
      <c r="G25" s="625" t="s">
        <v>992</v>
      </c>
      <c r="H25" s="625"/>
      <c r="I25" s="625">
        <v>5529</v>
      </c>
      <c r="J25" s="625"/>
      <c r="M25" s="72"/>
      <c r="N25" s="72"/>
      <c r="O25" s="89"/>
    </row>
    <row r="26" spans="2:15" ht="14.25" customHeight="1" x14ac:dyDescent="0.25">
      <c r="B26" s="71"/>
      <c r="D26" s="87"/>
      <c r="E26" s="88"/>
      <c r="K26" s="71"/>
      <c r="L26" s="72"/>
      <c r="M26" s="72"/>
      <c r="N26" s="72"/>
      <c r="O26" s="89"/>
    </row>
    <row r="27" spans="2:15" ht="15.75" x14ac:dyDescent="0.25">
      <c r="B27" s="73" t="s">
        <v>895</v>
      </c>
    </row>
    <row r="28" spans="2:15" ht="15.75" x14ac:dyDescent="0.25">
      <c r="B28" s="73" t="s">
        <v>896</v>
      </c>
      <c r="O28" s="74"/>
    </row>
    <row r="29" spans="2:15" ht="15.75" x14ac:dyDescent="0.25">
      <c r="B29" s="73" t="s">
        <v>897</v>
      </c>
    </row>
    <row r="30" spans="2:15" ht="15.75" x14ac:dyDescent="0.25">
      <c r="B30" s="73"/>
    </row>
    <row r="31" spans="2:15" x14ac:dyDescent="0.2">
      <c r="B31" s="75"/>
    </row>
    <row r="32" spans="2:15" s="76" customFormat="1" ht="67.5" customHeight="1" x14ac:dyDescent="0.2">
      <c r="D32" s="583" t="s">
        <v>898</v>
      </c>
      <c r="E32" s="583"/>
      <c r="F32" s="583" t="s">
        <v>899</v>
      </c>
      <c r="G32" s="583"/>
      <c r="H32" s="583" t="s">
        <v>900</v>
      </c>
      <c r="I32" s="583"/>
      <c r="J32" s="423" t="s">
        <v>901</v>
      </c>
      <c r="K32" s="423" t="s">
        <v>902</v>
      </c>
      <c r="L32" s="423" t="s">
        <v>903</v>
      </c>
    </row>
    <row r="33" spans="2:12" s="77" customFormat="1" ht="25.9" customHeight="1" x14ac:dyDescent="0.2">
      <c r="D33" s="584" t="s">
        <v>904</v>
      </c>
      <c r="E33" s="584"/>
      <c r="F33" s="584" t="s">
        <v>905</v>
      </c>
      <c r="G33" s="584"/>
      <c r="H33" s="584" t="s">
        <v>906</v>
      </c>
      <c r="I33" s="584"/>
      <c r="J33" s="424" t="s">
        <v>906</v>
      </c>
      <c r="K33" s="424" t="s">
        <v>906</v>
      </c>
      <c r="L33" s="424" t="s">
        <v>907</v>
      </c>
    </row>
    <row r="34" spans="2:12" s="77" customFormat="1" ht="25.9" customHeight="1" x14ac:dyDescent="0.2">
      <c r="D34" s="585" t="s">
        <v>908</v>
      </c>
      <c r="E34" s="585"/>
      <c r="F34" s="600">
        <f>'Auto-Calibration record'!B65</f>
        <v>82</v>
      </c>
      <c r="G34" s="600"/>
      <c r="H34" s="596">
        <f>'Auto-Calibration record'!B68</f>
        <v>1056340</v>
      </c>
      <c r="I34" s="626"/>
      <c r="J34" s="442">
        <f>'Auto-Calibration record'!I68</f>
        <v>1070933</v>
      </c>
      <c r="K34" s="425">
        <f t="shared" ref="K34:K39" si="0">J34-H34</f>
        <v>14593</v>
      </c>
      <c r="L34" s="443">
        <f t="shared" ref="L34:L39" si="1">K34/H34</f>
        <v>1.3814680879262358E-2</v>
      </c>
    </row>
    <row r="35" spans="2:12" s="77" customFormat="1" ht="25.9" customHeight="1" x14ac:dyDescent="0.2">
      <c r="D35" s="585" t="s">
        <v>909</v>
      </c>
      <c r="E35" s="585"/>
      <c r="F35" s="600">
        <f>'Auto-Calibration record'!C65</f>
        <v>204</v>
      </c>
      <c r="G35" s="600"/>
      <c r="H35" s="596">
        <f>'Auto-Calibration record'!B69</f>
        <v>459350</v>
      </c>
      <c r="I35" s="626"/>
      <c r="J35" s="442">
        <f>'Auto-Calibration record'!I69</f>
        <v>465044</v>
      </c>
      <c r="K35" s="425">
        <f t="shared" si="0"/>
        <v>5694</v>
      </c>
      <c r="L35" s="443">
        <f t="shared" si="1"/>
        <v>1.2395776640905628E-2</v>
      </c>
    </row>
    <row r="36" spans="2:12" s="77" customFormat="1" ht="25.9" customHeight="1" x14ac:dyDescent="0.2">
      <c r="D36" s="585" t="s">
        <v>910</v>
      </c>
      <c r="E36" s="585"/>
      <c r="F36" s="600">
        <f>'Auto-Calibration record'!D65</f>
        <v>1092</v>
      </c>
      <c r="G36" s="600"/>
      <c r="H36" s="596">
        <f>'Auto-Calibration record'!B71</f>
        <v>36410</v>
      </c>
      <c r="I36" s="626"/>
      <c r="J36" s="442">
        <f>'Auto-Calibration record'!I71</f>
        <v>37039</v>
      </c>
      <c r="K36" s="425">
        <f t="shared" si="0"/>
        <v>629</v>
      </c>
      <c r="L36" s="443">
        <f t="shared" si="1"/>
        <v>1.7275473770942049E-2</v>
      </c>
    </row>
    <row r="37" spans="2:12" s="77" customFormat="1" ht="25.9" customHeight="1" x14ac:dyDescent="0.2">
      <c r="D37" s="585" t="s">
        <v>911</v>
      </c>
      <c r="E37" s="585"/>
      <c r="F37" s="600">
        <f>'Auto-Calibration record'!E65</f>
        <v>2158</v>
      </c>
      <c r="G37" s="600"/>
      <c r="H37" s="596">
        <f>'Auto-Calibration record'!B72</f>
        <v>10940</v>
      </c>
      <c r="I37" s="626"/>
      <c r="J37" s="442">
        <f>'Auto-Calibration record'!I72</f>
        <v>12118</v>
      </c>
      <c r="K37" s="425">
        <f t="shared" si="0"/>
        <v>1178</v>
      </c>
      <c r="L37" s="443">
        <f t="shared" si="1"/>
        <v>0.10767824497257769</v>
      </c>
    </row>
    <row r="38" spans="2:12" s="77" customFormat="1" ht="25.9" customHeight="1" x14ac:dyDescent="0.2">
      <c r="D38" s="585" t="s">
        <v>912</v>
      </c>
      <c r="E38" s="585"/>
      <c r="F38" s="600">
        <f>'Auto-Calibration record'!F65</f>
        <v>3182</v>
      </c>
      <c r="G38" s="600"/>
      <c r="H38" s="596">
        <f>'Auto-Calibration record'!B73</f>
        <v>5210</v>
      </c>
      <c r="I38" s="626"/>
      <c r="J38" s="442">
        <f>'Auto-Calibration record'!I73</f>
        <v>5651</v>
      </c>
      <c r="K38" s="425">
        <f t="shared" si="0"/>
        <v>441</v>
      </c>
      <c r="L38" s="443">
        <f t="shared" si="1"/>
        <v>8.4644913627639151E-2</v>
      </c>
    </row>
    <row r="39" spans="2:12" s="77" customFormat="1" ht="25.9" customHeight="1" x14ac:dyDescent="0.2">
      <c r="D39" s="585" t="s">
        <v>913</v>
      </c>
      <c r="E39" s="585"/>
      <c r="F39" s="600">
        <f>'Auto-Calibration record'!G65</f>
        <v>10154</v>
      </c>
      <c r="G39" s="600"/>
      <c r="H39" s="596">
        <f>'Auto-Calibration record'!B74</f>
        <v>611.721</v>
      </c>
      <c r="I39" s="626"/>
      <c r="J39" s="442">
        <f>'Auto-Calibration record'!I74</f>
        <v>586</v>
      </c>
      <c r="K39" s="425">
        <f t="shared" si="0"/>
        <v>-25.721000000000004</v>
      </c>
      <c r="L39" s="443">
        <f t="shared" si="1"/>
        <v>-4.2046946238563011E-2</v>
      </c>
    </row>
    <row r="40" spans="2:12" s="77" customFormat="1" ht="25.9" customHeight="1" x14ac:dyDescent="0.2">
      <c r="D40" s="585" t="s">
        <v>914</v>
      </c>
      <c r="E40" s="585"/>
      <c r="F40" s="600">
        <f>'Auto-Calibration record'!H65</f>
        <v>15872</v>
      </c>
      <c r="G40" s="600"/>
      <c r="H40" s="596">
        <f>'Auto-Calibration record'!B75</f>
        <v>145.303</v>
      </c>
      <c r="I40" s="626"/>
      <c r="J40" s="442">
        <f>'Auto-Calibration record'!I75</f>
        <v>153</v>
      </c>
      <c r="K40" s="425" t="s">
        <v>321</v>
      </c>
      <c r="L40" s="426" t="s">
        <v>321</v>
      </c>
    </row>
    <row r="41" spans="2:12" s="72" customFormat="1" ht="25.9" customHeight="1" x14ac:dyDescent="0.25">
      <c r="D41" s="585" t="s">
        <v>915</v>
      </c>
      <c r="E41" s="585"/>
      <c r="F41" s="601">
        <f>'Auto-Calibration record'!I65</f>
        <v>25309</v>
      </c>
      <c r="G41" s="601"/>
      <c r="H41" s="596">
        <f>'Auto-Calibration record'!B76</f>
        <v>24.939</v>
      </c>
      <c r="I41" s="626"/>
      <c r="J41" s="442">
        <f>'Auto-Calibration record'!I76</f>
        <v>23</v>
      </c>
      <c r="K41" s="425" t="s">
        <v>321</v>
      </c>
      <c r="L41" s="426" t="s">
        <v>321</v>
      </c>
    </row>
    <row r="42" spans="2:12" ht="20.25" x14ac:dyDescent="0.3">
      <c r="D42" s="78" t="s">
        <v>916</v>
      </c>
      <c r="E42" s="79"/>
      <c r="F42" s="79"/>
      <c r="G42" s="79"/>
      <c r="H42" s="79"/>
      <c r="I42" s="79"/>
      <c r="J42" s="79"/>
      <c r="K42" s="79"/>
    </row>
    <row r="43" spans="2:12" ht="20.25" x14ac:dyDescent="0.3">
      <c r="B43" s="80"/>
      <c r="D43" s="79"/>
      <c r="E43" s="79"/>
      <c r="F43" s="79"/>
      <c r="G43" s="79"/>
      <c r="H43" s="79"/>
      <c r="I43" s="79"/>
      <c r="J43" s="79"/>
      <c r="K43" s="79"/>
    </row>
    <row r="44" spans="2:12" ht="81" customHeight="1" x14ac:dyDescent="0.2">
      <c r="B44" s="80"/>
      <c r="D44" s="423" t="s">
        <v>917</v>
      </c>
      <c r="E44" s="583" t="s">
        <v>918</v>
      </c>
      <c r="F44" s="583"/>
      <c r="G44" s="583" t="s">
        <v>919</v>
      </c>
      <c r="H44" s="583"/>
      <c r="I44" s="77"/>
      <c r="J44" s="423" t="s">
        <v>996</v>
      </c>
      <c r="K44" s="423" t="s">
        <v>997</v>
      </c>
      <c r="L44" s="423" t="s">
        <v>919</v>
      </c>
    </row>
    <row r="45" spans="2:12" ht="25.9" customHeight="1" x14ac:dyDescent="0.2">
      <c r="B45" s="80"/>
      <c r="D45" s="424" t="s">
        <v>905</v>
      </c>
      <c r="E45" s="584" t="s">
        <v>905</v>
      </c>
      <c r="F45" s="584"/>
      <c r="G45" s="584" t="s">
        <v>920</v>
      </c>
      <c r="H45" s="584"/>
      <c r="I45" s="81"/>
      <c r="J45" s="424" t="s">
        <v>905</v>
      </c>
      <c r="K45" s="424" t="s">
        <v>905</v>
      </c>
      <c r="L45" s="424" t="s">
        <v>920</v>
      </c>
    </row>
    <row r="46" spans="2:12" ht="25.9" customHeight="1" x14ac:dyDescent="0.2">
      <c r="B46" s="80"/>
      <c r="D46" s="428">
        <f>'Auto-Calibration record'!B17</f>
        <v>0</v>
      </c>
      <c r="E46" s="596">
        <f>F34-D46</f>
        <v>82</v>
      </c>
      <c r="F46" s="596"/>
      <c r="G46" s="610" t="e">
        <f>F34/D46</f>
        <v>#DIV/0!</v>
      </c>
      <c r="H46" s="610"/>
      <c r="I46" s="81"/>
      <c r="J46" s="428">
        <f>'Auto-Calibration record'!B11</f>
        <v>32</v>
      </c>
      <c r="K46" s="425">
        <f>F35-J46</f>
        <v>172</v>
      </c>
      <c r="L46" s="429">
        <f>F35/J46</f>
        <v>6.375</v>
      </c>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x14ac:dyDescent="0.2">
      <c r="B69" s="80"/>
    </row>
    <row r="70" spans="2:16" x14ac:dyDescent="0.2">
      <c r="B70" s="80"/>
    </row>
    <row r="71" spans="2:16" x14ac:dyDescent="0.2">
      <c r="B71" s="80"/>
    </row>
    <row r="72" spans="2:16" x14ac:dyDescent="0.2">
      <c r="B72" s="80"/>
    </row>
    <row r="73" spans="2:16" x14ac:dyDescent="0.2">
      <c r="B73" s="80"/>
    </row>
    <row r="74" spans="2:16" x14ac:dyDescent="0.2">
      <c r="B74" s="80"/>
    </row>
    <row r="75" spans="2:16" ht="13.5" thickBot="1" x14ac:dyDescent="0.25">
      <c r="B75" s="82"/>
      <c r="C75" s="83"/>
      <c r="D75" s="83"/>
      <c r="E75" s="83"/>
      <c r="F75" s="83"/>
      <c r="G75" s="83"/>
      <c r="H75" s="83"/>
      <c r="I75" s="83"/>
      <c r="J75" s="83"/>
      <c r="K75" s="83"/>
      <c r="L75" s="83"/>
      <c r="M75" s="83"/>
      <c r="N75" s="83"/>
      <c r="O75" s="83"/>
      <c r="P75" s="83"/>
    </row>
    <row r="76" spans="2:16" ht="13.5" thickTop="1" x14ac:dyDescent="0.2">
      <c r="B76" s="80"/>
    </row>
    <row r="77" spans="2:16" ht="25.9" customHeight="1" x14ac:dyDescent="0.2"/>
    <row r="78" spans="2:16" s="64" customFormat="1" ht="25.9" customHeight="1" x14ac:dyDescent="0.2">
      <c r="B78" s="430" t="s">
        <v>921</v>
      </c>
      <c r="C78" s="431"/>
      <c r="D78" s="432" t="s">
        <v>922</v>
      </c>
      <c r="H78" s="1"/>
      <c r="I78" s="1"/>
      <c r="K78" s="586" t="s">
        <v>923</v>
      </c>
      <c r="L78" s="587"/>
      <c r="M78" s="587"/>
      <c r="N78" s="587"/>
      <c r="O78" s="588"/>
    </row>
    <row r="79" spans="2:16" s="64" customFormat="1" ht="25.9" customHeight="1" x14ac:dyDescent="0.2">
      <c r="H79" s="1"/>
      <c r="I79" s="1"/>
      <c r="K79" s="589"/>
      <c r="L79" s="590"/>
      <c r="M79" s="590"/>
      <c r="N79" s="590"/>
      <c r="O79" s="591"/>
    </row>
    <row r="80" spans="2:16" s="64" customFormat="1" ht="25.9" customHeight="1" x14ac:dyDescent="0.2">
      <c r="B80" s="430" t="s">
        <v>924</v>
      </c>
      <c r="C80" s="431"/>
      <c r="D80" s="627" t="s">
        <v>925</v>
      </c>
      <c r="E80" s="628"/>
      <c r="F80" s="628"/>
      <c r="G80" s="629"/>
      <c r="H80" s="1"/>
      <c r="I80" s="1"/>
      <c r="K80" s="589"/>
      <c r="L80" s="590"/>
      <c r="M80" s="590"/>
      <c r="N80" s="590"/>
      <c r="O80" s="591"/>
    </row>
    <row r="81" spans="2:16" s="64" customFormat="1" ht="25.9" customHeight="1" x14ac:dyDescent="0.2">
      <c r="K81" s="592"/>
      <c r="L81" s="593"/>
      <c r="M81" s="593"/>
      <c r="N81" s="593"/>
      <c r="O81" s="594"/>
    </row>
    <row r="82" spans="2:16" s="64" customFormat="1" ht="25.9" customHeight="1" x14ac:dyDescent="0.2">
      <c r="B82" s="430" t="s">
        <v>926</v>
      </c>
      <c r="C82" s="431"/>
      <c r="D82" s="602"/>
      <c r="E82" s="603"/>
      <c r="F82" s="604"/>
      <c r="K82" s="433" t="s">
        <v>927</v>
      </c>
      <c r="L82" s="597" t="s">
        <v>928</v>
      </c>
      <c r="M82" s="598"/>
      <c r="N82" s="598"/>
      <c r="O82" s="599"/>
      <c r="P82" s="84"/>
    </row>
    <row r="83" spans="2:16" ht="25.9" customHeight="1" x14ac:dyDescent="0.2">
      <c r="H83" s="64"/>
      <c r="I83" s="64"/>
      <c r="J83" s="64"/>
      <c r="K83" s="64"/>
    </row>
    <row r="84" spans="2:16" ht="15" x14ac:dyDescent="0.2">
      <c r="B84" s="80" t="s">
        <v>929</v>
      </c>
      <c r="H84" s="64"/>
      <c r="I84" s="64"/>
      <c r="J84" s="64"/>
      <c r="K84" s="64"/>
    </row>
    <row r="85" spans="2:16" ht="15" x14ac:dyDescent="0.2">
      <c r="B85" s="80" t="s">
        <v>930</v>
      </c>
      <c r="H85" s="64"/>
      <c r="I85" s="64"/>
      <c r="J85" s="64"/>
      <c r="K85" s="64"/>
    </row>
    <row r="86" spans="2:16" x14ac:dyDescent="0.2">
      <c r="B86" s="80" t="s">
        <v>931</v>
      </c>
    </row>
    <row r="89" spans="2:16" x14ac:dyDescent="0.2">
      <c r="O89" s="85" t="s">
        <v>932</v>
      </c>
    </row>
    <row r="90" spans="2:16" x14ac:dyDescent="0.2">
      <c r="O90" s="85" t="s">
        <v>841</v>
      </c>
    </row>
    <row r="91" spans="2:16" x14ac:dyDescent="0.2">
      <c r="O91" s="85" t="s">
        <v>19</v>
      </c>
    </row>
    <row r="92" spans="2:16" x14ac:dyDescent="0.2">
      <c r="B92" s="86" t="s">
        <v>998</v>
      </c>
      <c r="C92" s="86"/>
      <c r="L92" s="86"/>
      <c r="N92" s="86"/>
      <c r="O92" s="85" t="s">
        <v>20</v>
      </c>
    </row>
    <row r="94" spans="2:16" x14ac:dyDescent="0.2">
      <c r="D94" s="86"/>
      <c r="E94" s="86"/>
      <c r="F94" s="86"/>
      <c r="G94" s="86"/>
      <c r="H94" s="86"/>
      <c r="I94" s="86"/>
      <c r="J94" s="86"/>
      <c r="K94" s="86"/>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82</v>
      </c>
      <c r="G28" s="600"/>
      <c r="H28" s="596">
        <f>'Auto-Calibration record'!B68</f>
        <v>1056340</v>
      </c>
      <c r="I28" s="626"/>
      <c r="J28" s="442">
        <f>'Auto-Calibration record'!I68</f>
        <v>1070933</v>
      </c>
      <c r="K28" s="425">
        <f t="shared" ref="K28:K33" si="0">J28-H28</f>
        <v>14593</v>
      </c>
      <c r="L28" s="443">
        <f t="shared" ref="L28:L33" si="1">K28/H28</f>
        <v>1.3814680879262358E-2</v>
      </c>
    </row>
    <row r="29" spans="2:15" s="77" customFormat="1" ht="25.9" customHeight="1" x14ac:dyDescent="0.2">
      <c r="D29" s="585" t="s">
        <v>909</v>
      </c>
      <c r="E29" s="585"/>
      <c r="F29" s="600">
        <f>'Auto-Calibration record'!C65</f>
        <v>204</v>
      </c>
      <c r="G29" s="600"/>
      <c r="H29" s="596">
        <f>'Auto-Calibration record'!B69</f>
        <v>459350</v>
      </c>
      <c r="I29" s="626"/>
      <c r="J29" s="442">
        <f>'Auto-Calibration record'!I69</f>
        <v>465044</v>
      </c>
      <c r="K29" s="425">
        <f t="shared" si="0"/>
        <v>5694</v>
      </c>
      <c r="L29" s="443">
        <f t="shared" si="1"/>
        <v>1.2395776640905628E-2</v>
      </c>
    </row>
    <row r="30" spans="2:15" s="77" customFormat="1" ht="25.9" customHeight="1" x14ac:dyDescent="0.2">
      <c r="D30" s="585" t="s">
        <v>910</v>
      </c>
      <c r="E30" s="585"/>
      <c r="F30" s="600">
        <f>'Auto-Calibration record'!D65</f>
        <v>1092</v>
      </c>
      <c r="G30" s="600"/>
      <c r="H30" s="596">
        <f>'Auto-Calibration record'!B71</f>
        <v>36410</v>
      </c>
      <c r="I30" s="626"/>
      <c r="J30" s="442">
        <f>'Auto-Calibration record'!I71</f>
        <v>37039</v>
      </c>
      <c r="K30" s="425">
        <f t="shared" si="0"/>
        <v>629</v>
      </c>
      <c r="L30" s="443">
        <f t="shared" si="1"/>
        <v>1.7275473770942049E-2</v>
      </c>
    </row>
    <row r="31" spans="2:15" s="77" customFormat="1" ht="25.9" customHeight="1" x14ac:dyDescent="0.2">
      <c r="D31" s="585" t="s">
        <v>911</v>
      </c>
      <c r="E31" s="585"/>
      <c r="F31" s="600">
        <f>'Auto-Calibration record'!E65</f>
        <v>2158</v>
      </c>
      <c r="G31" s="600"/>
      <c r="H31" s="596">
        <f>'Auto-Calibration record'!B72</f>
        <v>10940</v>
      </c>
      <c r="I31" s="626"/>
      <c r="J31" s="442">
        <f>'Auto-Calibration record'!I72</f>
        <v>12118</v>
      </c>
      <c r="K31" s="425">
        <f t="shared" si="0"/>
        <v>1178</v>
      </c>
      <c r="L31" s="443">
        <f t="shared" si="1"/>
        <v>0.10767824497257769</v>
      </c>
    </row>
    <row r="32" spans="2:15" s="77" customFormat="1" ht="25.9" customHeight="1" x14ac:dyDescent="0.2">
      <c r="D32" s="585" t="s">
        <v>912</v>
      </c>
      <c r="E32" s="585"/>
      <c r="F32" s="600">
        <f>'Auto-Calibration record'!F65</f>
        <v>3182</v>
      </c>
      <c r="G32" s="600"/>
      <c r="H32" s="596">
        <f>'Auto-Calibration record'!B73</f>
        <v>5210</v>
      </c>
      <c r="I32" s="626"/>
      <c r="J32" s="442">
        <f>'Auto-Calibration record'!I73</f>
        <v>5651</v>
      </c>
      <c r="K32" s="425">
        <f t="shared" si="0"/>
        <v>441</v>
      </c>
      <c r="L32" s="443">
        <f t="shared" si="1"/>
        <v>8.4644913627639151E-2</v>
      </c>
    </row>
    <row r="33" spans="2:14" s="77" customFormat="1" ht="25.9" customHeight="1" x14ac:dyDescent="0.2">
      <c r="D33" s="585" t="s">
        <v>913</v>
      </c>
      <c r="E33" s="585"/>
      <c r="F33" s="600">
        <f>'Auto-Calibration record'!G65</f>
        <v>10154</v>
      </c>
      <c r="G33" s="600"/>
      <c r="H33" s="596">
        <f>'Auto-Calibration record'!B74</f>
        <v>611.721</v>
      </c>
      <c r="I33" s="626"/>
      <c r="J33" s="442">
        <f>'Auto-Calibration record'!I74</f>
        <v>586</v>
      </c>
      <c r="K33" s="425">
        <f t="shared" si="0"/>
        <v>-25.721000000000004</v>
      </c>
      <c r="L33" s="443">
        <f t="shared" si="1"/>
        <v>-4.2046946238563011E-2</v>
      </c>
    </row>
    <row r="34" spans="2:14" s="77" customFormat="1" ht="25.9" customHeight="1" x14ac:dyDescent="0.2">
      <c r="D34" s="585" t="s">
        <v>914</v>
      </c>
      <c r="E34" s="585"/>
      <c r="F34" s="600">
        <f>'Auto-Calibration record'!H65</f>
        <v>15872</v>
      </c>
      <c r="G34" s="600"/>
      <c r="H34" s="596">
        <f>'Auto-Calibration record'!B75</f>
        <v>145.303</v>
      </c>
      <c r="I34" s="626"/>
      <c r="J34" s="442">
        <f>'Auto-Calibration record'!I75</f>
        <v>153</v>
      </c>
      <c r="K34" s="425" t="s">
        <v>321</v>
      </c>
      <c r="L34" s="426" t="s">
        <v>321</v>
      </c>
    </row>
    <row r="35" spans="2:14" s="72" customFormat="1" ht="25.9" customHeight="1" x14ac:dyDescent="0.25">
      <c r="D35" s="585" t="s">
        <v>915</v>
      </c>
      <c r="E35" s="585"/>
      <c r="F35" s="601">
        <f>'Auto-Calibration record'!I65</f>
        <v>25309</v>
      </c>
      <c r="G35" s="601"/>
      <c r="H35" s="596">
        <f>'Auto-Calibration record'!B76</f>
        <v>24.939</v>
      </c>
      <c r="I35" s="626"/>
      <c r="J35" s="442">
        <f>'Auto-Calibration record'!I76</f>
        <v>23</v>
      </c>
      <c r="K35" s="425" t="s">
        <v>321</v>
      </c>
      <c r="L35" s="426" t="s">
        <v>321</v>
      </c>
    </row>
    <row r="36" spans="2:14" ht="20.25" x14ac:dyDescent="0.3">
      <c r="D36" s="78" t="s">
        <v>916</v>
      </c>
      <c r="E36" s="79"/>
      <c r="F36" s="79"/>
      <c r="G36" s="79"/>
      <c r="H36" s="79"/>
      <c r="I36" s="79"/>
      <c r="J36" s="79"/>
      <c r="K36" s="79"/>
    </row>
    <row r="37" spans="2:14" ht="20.25" x14ac:dyDescent="0.3">
      <c r="B37" s="80"/>
      <c r="D37" s="79"/>
      <c r="E37" s="79"/>
      <c r="F37" s="79"/>
      <c r="G37" s="79"/>
      <c r="H37" s="79"/>
      <c r="I37" s="79"/>
      <c r="J37" s="79"/>
      <c r="K37" s="79"/>
    </row>
    <row r="38" spans="2:14" ht="81" customHeight="1" x14ac:dyDescent="0.2">
      <c r="B38" s="80"/>
      <c r="D38" s="423" t="s">
        <v>917</v>
      </c>
      <c r="E38" s="583" t="s">
        <v>918</v>
      </c>
      <c r="F38" s="583"/>
      <c r="G38" s="583" t="s">
        <v>919</v>
      </c>
      <c r="H38" s="583"/>
      <c r="I38" s="77"/>
      <c r="J38" s="423" t="s">
        <v>996</v>
      </c>
      <c r="K38" s="423" t="s">
        <v>997</v>
      </c>
      <c r="L38" s="423" t="s">
        <v>919</v>
      </c>
      <c r="N38" s="97"/>
    </row>
    <row r="39" spans="2:14" ht="25.9" customHeight="1" x14ac:dyDescent="0.2">
      <c r="B39" s="80"/>
      <c r="D39" s="424" t="s">
        <v>905</v>
      </c>
      <c r="E39" s="584" t="s">
        <v>905</v>
      </c>
      <c r="F39" s="584"/>
      <c r="G39" s="584" t="s">
        <v>920</v>
      </c>
      <c r="H39" s="584"/>
      <c r="I39" s="81"/>
      <c r="J39" s="424" t="s">
        <v>905</v>
      </c>
      <c r="K39" s="424" t="s">
        <v>905</v>
      </c>
      <c r="L39" s="424" t="s">
        <v>920</v>
      </c>
    </row>
    <row r="40" spans="2:14" ht="25.9" customHeight="1" x14ac:dyDescent="0.2">
      <c r="B40" s="80"/>
      <c r="D40" s="428">
        <f>'Auto-Calibration record'!B17</f>
        <v>0</v>
      </c>
      <c r="E40" s="596">
        <f>F28-D40</f>
        <v>82</v>
      </c>
      <c r="F40" s="596"/>
      <c r="G40" s="610" t="e">
        <f>F28/D40</f>
        <v>#DIV/0!</v>
      </c>
      <c r="H40" s="610"/>
      <c r="I40" s="81"/>
      <c r="J40" s="428">
        <f>'Auto-Calibration record'!B11</f>
        <v>32</v>
      </c>
      <c r="K40" s="425">
        <f>F29-J40</f>
        <v>172</v>
      </c>
      <c r="L40" s="429">
        <f>F29/J40</f>
        <v>6.375</v>
      </c>
    </row>
    <row r="41" spans="2:14" x14ac:dyDescent="0.2">
      <c r="B41" s="80"/>
    </row>
    <row r="42" spans="2:14" x14ac:dyDescent="0.2">
      <c r="B42" s="80"/>
    </row>
    <row r="43" spans="2:14" x14ac:dyDescent="0.2">
      <c r="B43" s="80"/>
    </row>
    <row r="44" spans="2:14" x14ac:dyDescent="0.2">
      <c r="B44" s="80"/>
    </row>
    <row r="45" spans="2:14" x14ac:dyDescent="0.2">
      <c r="B45" s="80"/>
    </row>
    <row r="46" spans="2:14" x14ac:dyDescent="0.2">
      <c r="B46" s="80"/>
    </row>
    <row r="47" spans="2:14" x14ac:dyDescent="0.2">
      <c r="B47" s="80"/>
    </row>
    <row r="48" spans="2:14"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82</v>
      </c>
      <c r="G28" s="600"/>
      <c r="H28" s="596">
        <f>'Auto-Calibration record'!B68</f>
        <v>1056340</v>
      </c>
      <c r="I28" s="626"/>
      <c r="J28" s="442">
        <f>'Auto-Calibration record'!I68</f>
        <v>1070933</v>
      </c>
      <c r="K28" s="425">
        <f t="shared" ref="K28:K33" si="0">J28-H28</f>
        <v>14593</v>
      </c>
      <c r="L28" s="443">
        <f t="shared" ref="L28:L33" si="1">K28/H28</f>
        <v>1.3814680879262358E-2</v>
      </c>
    </row>
    <row r="29" spans="2:15" s="77" customFormat="1" ht="25.9" customHeight="1" x14ac:dyDescent="0.2">
      <c r="D29" s="585" t="s">
        <v>909</v>
      </c>
      <c r="E29" s="585"/>
      <c r="F29" s="600">
        <f>'Auto-Calibration record'!C65</f>
        <v>204</v>
      </c>
      <c r="G29" s="600"/>
      <c r="H29" s="596">
        <f>'Auto-Calibration record'!B69</f>
        <v>459350</v>
      </c>
      <c r="I29" s="626"/>
      <c r="J29" s="442">
        <f>'Auto-Calibration record'!I69</f>
        <v>465044</v>
      </c>
      <c r="K29" s="425">
        <f t="shared" si="0"/>
        <v>5694</v>
      </c>
      <c r="L29" s="443">
        <f t="shared" si="1"/>
        <v>1.2395776640905628E-2</v>
      </c>
    </row>
    <row r="30" spans="2:15" s="77" customFormat="1" ht="25.9" customHeight="1" x14ac:dyDescent="0.2">
      <c r="D30" s="585" t="s">
        <v>910</v>
      </c>
      <c r="E30" s="585"/>
      <c r="F30" s="600">
        <f>'Auto-Calibration record'!D65</f>
        <v>1092</v>
      </c>
      <c r="G30" s="600"/>
      <c r="H30" s="596">
        <f>'Auto-Calibration record'!B71</f>
        <v>36410</v>
      </c>
      <c r="I30" s="626"/>
      <c r="J30" s="442">
        <f>'Auto-Calibration record'!I71</f>
        <v>37039</v>
      </c>
      <c r="K30" s="425">
        <f t="shared" si="0"/>
        <v>629</v>
      </c>
      <c r="L30" s="443">
        <f t="shared" si="1"/>
        <v>1.7275473770942049E-2</v>
      </c>
    </row>
    <row r="31" spans="2:15" s="77" customFormat="1" ht="25.9" customHeight="1" x14ac:dyDescent="0.2">
      <c r="D31" s="585" t="s">
        <v>911</v>
      </c>
      <c r="E31" s="585"/>
      <c r="F31" s="600">
        <f>'Auto-Calibration record'!E65</f>
        <v>2158</v>
      </c>
      <c r="G31" s="600"/>
      <c r="H31" s="596">
        <f>'Auto-Calibration record'!B72</f>
        <v>10940</v>
      </c>
      <c r="I31" s="626"/>
      <c r="J31" s="442">
        <f>'Auto-Calibration record'!I72</f>
        <v>12118</v>
      </c>
      <c r="K31" s="425">
        <f t="shared" si="0"/>
        <v>1178</v>
      </c>
      <c r="L31" s="443">
        <f t="shared" si="1"/>
        <v>0.10767824497257769</v>
      </c>
    </row>
    <row r="32" spans="2:15" s="77" customFormat="1" ht="25.9" customHeight="1" x14ac:dyDescent="0.2">
      <c r="D32" s="585" t="s">
        <v>912</v>
      </c>
      <c r="E32" s="585"/>
      <c r="F32" s="600">
        <f>'Auto-Calibration record'!F65</f>
        <v>3182</v>
      </c>
      <c r="G32" s="600"/>
      <c r="H32" s="596">
        <f>'Auto-Calibration record'!B73</f>
        <v>5210</v>
      </c>
      <c r="I32" s="626"/>
      <c r="J32" s="442">
        <f>'Auto-Calibration record'!I73</f>
        <v>5651</v>
      </c>
      <c r="K32" s="425">
        <f t="shared" si="0"/>
        <v>441</v>
      </c>
      <c r="L32" s="443">
        <f t="shared" si="1"/>
        <v>8.4644913627639151E-2</v>
      </c>
    </row>
    <row r="33" spans="2:12" s="77" customFormat="1" ht="25.9" customHeight="1" x14ac:dyDescent="0.2">
      <c r="D33" s="585" t="s">
        <v>913</v>
      </c>
      <c r="E33" s="585"/>
      <c r="F33" s="600">
        <f>'Auto-Calibration record'!G65</f>
        <v>10154</v>
      </c>
      <c r="G33" s="600"/>
      <c r="H33" s="596">
        <f>'Auto-Calibration record'!B74</f>
        <v>611.721</v>
      </c>
      <c r="I33" s="626"/>
      <c r="J33" s="442">
        <f>'Auto-Calibration record'!I74</f>
        <v>586</v>
      </c>
      <c r="K33" s="425">
        <f t="shared" si="0"/>
        <v>-25.721000000000004</v>
      </c>
      <c r="L33" s="443">
        <f t="shared" si="1"/>
        <v>-4.2046946238563011E-2</v>
      </c>
    </row>
    <row r="34" spans="2:12" s="77" customFormat="1" ht="25.9" customHeight="1" x14ac:dyDescent="0.2">
      <c r="D34" s="585" t="s">
        <v>914</v>
      </c>
      <c r="E34" s="585"/>
      <c r="F34" s="600">
        <f>'Auto-Calibration record'!H65</f>
        <v>15872</v>
      </c>
      <c r="G34" s="600"/>
      <c r="H34" s="596">
        <f>'Auto-Calibration record'!B75</f>
        <v>145.303</v>
      </c>
      <c r="I34" s="626"/>
      <c r="J34" s="442">
        <f>'Auto-Calibration record'!I75</f>
        <v>153</v>
      </c>
      <c r="K34" s="425" t="s">
        <v>321</v>
      </c>
      <c r="L34" s="426" t="s">
        <v>321</v>
      </c>
    </row>
    <row r="35" spans="2:12" s="72" customFormat="1" ht="25.9" customHeight="1" x14ac:dyDescent="0.25">
      <c r="D35" s="585" t="s">
        <v>915</v>
      </c>
      <c r="E35" s="585"/>
      <c r="F35" s="601">
        <f>'Auto-Calibration record'!I65</f>
        <v>25309</v>
      </c>
      <c r="G35" s="601"/>
      <c r="H35" s="596">
        <f>'Auto-Calibration record'!B76</f>
        <v>24.939</v>
      </c>
      <c r="I35" s="626"/>
      <c r="J35" s="442">
        <f>'Auto-Calibration record'!I76</f>
        <v>23</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82</v>
      </c>
      <c r="F40" s="596"/>
      <c r="G40" s="610" t="e">
        <f>F28/D40</f>
        <v>#DIV/0!</v>
      </c>
      <c r="H40" s="610"/>
      <c r="I40" s="81"/>
      <c r="J40" s="428">
        <f>'Auto-Calibration record'!B11</f>
        <v>32</v>
      </c>
      <c r="K40" s="425">
        <f>F29-J40</f>
        <v>172</v>
      </c>
      <c r="L40" s="429">
        <f>F29/J40</f>
        <v>6.375</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82</v>
      </c>
      <c r="G28" s="600"/>
      <c r="H28" s="596">
        <f>'Auto-Calibration record'!B68</f>
        <v>1056340</v>
      </c>
      <c r="I28" s="626"/>
      <c r="J28" s="442">
        <f>'Auto-Calibration record'!I68</f>
        <v>1070933</v>
      </c>
      <c r="K28" s="425">
        <f t="shared" ref="K28:K33" si="0">J28-H28</f>
        <v>14593</v>
      </c>
      <c r="L28" s="443">
        <f t="shared" ref="L28:L33" si="1">K28/H28</f>
        <v>1.3814680879262358E-2</v>
      </c>
    </row>
    <row r="29" spans="2:15" s="77" customFormat="1" ht="25.9" customHeight="1" x14ac:dyDescent="0.2">
      <c r="D29" s="585" t="s">
        <v>909</v>
      </c>
      <c r="E29" s="585"/>
      <c r="F29" s="600">
        <f>'Auto-Calibration record'!C65</f>
        <v>204</v>
      </c>
      <c r="G29" s="600"/>
      <c r="H29" s="596">
        <f>'Auto-Calibration record'!B69</f>
        <v>459350</v>
      </c>
      <c r="I29" s="626"/>
      <c r="J29" s="442">
        <f>'Auto-Calibration record'!I69</f>
        <v>465044</v>
      </c>
      <c r="K29" s="425">
        <f t="shared" si="0"/>
        <v>5694</v>
      </c>
      <c r="L29" s="443">
        <f t="shared" si="1"/>
        <v>1.2395776640905628E-2</v>
      </c>
    </row>
    <row r="30" spans="2:15" s="77" customFormat="1" ht="25.9" customHeight="1" x14ac:dyDescent="0.2">
      <c r="D30" s="585" t="s">
        <v>910</v>
      </c>
      <c r="E30" s="585"/>
      <c r="F30" s="600">
        <f>'Auto-Calibration record'!D65</f>
        <v>1092</v>
      </c>
      <c r="G30" s="600"/>
      <c r="H30" s="596">
        <f>'Auto-Calibration record'!B71</f>
        <v>36410</v>
      </c>
      <c r="I30" s="626"/>
      <c r="J30" s="442">
        <f>'Auto-Calibration record'!I71</f>
        <v>37039</v>
      </c>
      <c r="K30" s="425">
        <f t="shared" si="0"/>
        <v>629</v>
      </c>
      <c r="L30" s="443">
        <f t="shared" si="1"/>
        <v>1.7275473770942049E-2</v>
      </c>
    </row>
    <row r="31" spans="2:15" s="77" customFormat="1" ht="25.9" customHeight="1" x14ac:dyDescent="0.2">
      <c r="D31" s="585" t="s">
        <v>911</v>
      </c>
      <c r="E31" s="585"/>
      <c r="F31" s="600">
        <f>'Auto-Calibration record'!E65</f>
        <v>2158</v>
      </c>
      <c r="G31" s="600"/>
      <c r="H31" s="596">
        <f>'Auto-Calibration record'!B72</f>
        <v>10940</v>
      </c>
      <c r="I31" s="626"/>
      <c r="J31" s="442">
        <f>'Auto-Calibration record'!I72</f>
        <v>12118</v>
      </c>
      <c r="K31" s="425">
        <f t="shared" si="0"/>
        <v>1178</v>
      </c>
      <c r="L31" s="443">
        <f t="shared" si="1"/>
        <v>0.10767824497257769</v>
      </c>
    </row>
    <row r="32" spans="2:15" s="77" customFormat="1" ht="25.9" customHeight="1" x14ac:dyDescent="0.2">
      <c r="D32" s="585" t="s">
        <v>912</v>
      </c>
      <c r="E32" s="585"/>
      <c r="F32" s="600">
        <f>'Auto-Calibration record'!F65</f>
        <v>3182</v>
      </c>
      <c r="G32" s="600"/>
      <c r="H32" s="596">
        <f>'Auto-Calibration record'!B73</f>
        <v>5210</v>
      </c>
      <c r="I32" s="626"/>
      <c r="J32" s="442">
        <f>'Auto-Calibration record'!I73</f>
        <v>5651</v>
      </c>
      <c r="K32" s="425">
        <f t="shared" si="0"/>
        <v>441</v>
      </c>
      <c r="L32" s="443">
        <f t="shared" si="1"/>
        <v>8.4644913627639151E-2</v>
      </c>
    </row>
    <row r="33" spans="2:12" s="77" customFormat="1" ht="25.9" customHeight="1" x14ac:dyDescent="0.2">
      <c r="D33" s="585" t="s">
        <v>913</v>
      </c>
      <c r="E33" s="585"/>
      <c r="F33" s="600">
        <f>'Auto-Calibration record'!G65</f>
        <v>10154</v>
      </c>
      <c r="G33" s="600"/>
      <c r="H33" s="596">
        <f>'Auto-Calibration record'!B74</f>
        <v>611.721</v>
      </c>
      <c r="I33" s="626"/>
      <c r="J33" s="442">
        <f>'Auto-Calibration record'!I74</f>
        <v>586</v>
      </c>
      <c r="K33" s="425">
        <f t="shared" si="0"/>
        <v>-25.721000000000004</v>
      </c>
      <c r="L33" s="443">
        <f t="shared" si="1"/>
        <v>-4.2046946238563011E-2</v>
      </c>
    </row>
    <row r="34" spans="2:12" s="77" customFormat="1" ht="25.9" customHeight="1" x14ac:dyDescent="0.2">
      <c r="D34" s="585" t="s">
        <v>914</v>
      </c>
      <c r="E34" s="585"/>
      <c r="F34" s="600">
        <f>'Auto-Calibration record'!H65</f>
        <v>15872</v>
      </c>
      <c r="G34" s="600"/>
      <c r="H34" s="596">
        <f>'Auto-Calibration record'!B75</f>
        <v>145.303</v>
      </c>
      <c r="I34" s="626"/>
      <c r="J34" s="442">
        <f>'Auto-Calibration record'!I75</f>
        <v>153</v>
      </c>
      <c r="K34" s="425" t="s">
        <v>321</v>
      </c>
      <c r="L34" s="426" t="s">
        <v>321</v>
      </c>
    </row>
    <row r="35" spans="2:12" s="72" customFormat="1" ht="25.9" customHeight="1" x14ac:dyDescent="0.25">
      <c r="D35" s="585" t="s">
        <v>915</v>
      </c>
      <c r="E35" s="585"/>
      <c r="F35" s="601">
        <f>'Auto-Calibration record'!I65</f>
        <v>25309</v>
      </c>
      <c r="G35" s="601"/>
      <c r="H35" s="596">
        <f>'Auto-Calibration record'!B76</f>
        <v>24.939</v>
      </c>
      <c r="I35" s="626"/>
      <c r="J35" s="442">
        <f>'Auto-Calibration record'!I76</f>
        <v>23</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82</v>
      </c>
      <c r="F40" s="596"/>
      <c r="G40" s="610" t="e">
        <f>F28/D40</f>
        <v>#DIV/0!</v>
      </c>
      <c r="H40" s="610"/>
      <c r="I40" s="81"/>
      <c r="J40" s="428">
        <f>'Auto-Calibration record'!B11</f>
        <v>32</v>
      </c>
      <c r="K40" s="425">
        <f>F29-J40</f>
        <v>172</v>
      </c>
      <c r="L40" s="429">
        <f>F29/J40</f>
        <v>6.375</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8.75" x14ac:dyDescent="0.2">
      <c r="B78" s="80" t="s">
        <v>929</v>
      </c>
      <c r="H78" s="64"/>
      <c r="I78" s="64"/>
      <c r="J78" s="91" t="s">
        <v>1000</v>
      </c>
      <c r="M78" s="630" t="s">
        <v>1001</v>
      </c>
      <c r="N78" s="631"/>
      <c r="O78" s="632"/>
    </row>
    <row r="79" spans="2:16" ht="15" x14ac:dyDescent="0.2">
      <c r="B79" s="80" t="s">
        <v>930</v>
      </c>
      <c r="H79" s="64"/>
      <c r="I79" s="64"/>
      <c r="M79" s="633" t="s">
        <v>1002</v>
      </c>
      <c r="N79" s="634"/>
      <c r="O79" s="635"/>
    </row>
    <row r="80" spans="2:16" x14ac:dyDescent="0.2">
      <c r="B80" s="80" t="s">
        <v>931</v>
      </c>
      <c r="M80" s="633" t="s">
        <v>1003</v>
      </c>
      <c r="N80" s="634"/>
      <c r="O80" s="635"/>
    </row>
    <row r="81" spans="2:15" x14ac:dyDescent="0.2">
      <c r="M81" s="636" t="s">
        <v>1004</v>
      </c>
      <c r="N81" s="637"/>
      <c r="O81" s="638"/>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51" customHeight="1" x14ac:dyDescent="0.2">
      <c r="B13" s="595" t="s">
        <v>999</v>
      </c>
      <c r="C13" s="595"/>
      <c r="D13" s="595"/>
      <c r="E13" s="595"/>
      <c r="F13" s="595"/>
      <c r="G13" s="595"/>
      <c r="H13" s="595"/>
      <c r="I13" s="595"/>
      <c r="J13" s="595"/>
      <c r="K13" s="595"/>
      <c r="L13" s="595"/>
      <c r="M13" s="595"/>
      <c r="N13" s="595"/>
      <c r="O13" s="595"/>
      <c r="P13" s="67"/>
    </row>
    <row r="14" spans="1:16" ht="66"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82</v>
      </c>
      <c r="G28" s="600"/>
      <c r="H28" s="596">
        <f>'Auto-Calibration record'!B68</f>
        <v>1056340</v>
      </c>
      <c r="I28" s="626"/>
      <c r="J28" s="442">
        <f>'MP Calibration Certificate'!J28</f>
        <v>1070933</v>
      </c>
      <c r="K28" s="425">
        <f t="shared" ref="K28:K33" si="0">J28-H28</f>
        <v>14593</v>
      </c>
      <c r="L28" s="443">
        <f t="shared" ref="L28:L33" si="1">K28/H28</f>
        <v>1.3814680879262358E-2</v>
      </c>
    </row>
    <row r="29" spans="2:15" s="77" customFormat="1" ht="25.9" customHeight="1" x14ac:dyDescent="0.2">
      <c r="D29" s="585" t="s">
        <v>909</v>
      </c>
      <c r="E29" s="585"/>
      <c r="F29" s="600">
        <f>'Auto-Calibration record'!C65</f>
        <v>204</v>
      </c>
      <c r="G29" s="600"/>
      <c r="H29" s="596">
        <f>'Auto-Calibration record'!B69</f>
        <v>459350</v>
      </c>
      <c r="I29" s="626"/>
      <c r="J29" s="442">
        <f>'MP Calibration Certificate'!J29</f>
        <v>465044</v>
      </c>
      <c r="K29" s="425">
        <f t="shared" si="0"/>
        <v>5694</v>
      </c>
      <c r="L29" s="443">
        <f t="shared" si="1"/>
        <v>1.2395776640905628E-2</v>
      </c>
    </row>
    <row r="30" spans="2:15" s="77" customFormat="1" ht="25.9" customHeight="1" x14ac:dyDescent="0.2">
      <c r="D30" s="585" t="s">
        <v>910</v>
      </c>
      <c r="E30" s="585"/>
      <c r="F30" s="600">
        <f>'Auto-Calibration record'!D65</f>
        <v>1092</v>
      </c>
      <c r="G30" s="600"/>
      <c r="H30" s="596">
        <f>'Auto-Calibration record'!B71</f>
        <v>36410</v>
      </c>
      <c r="I30" s="626"/>
      <c r="J30" s="442">
        <f>'MP Calibration Certificate'!J30</f>
        <v>37039</v>
      </c>
      <c r="K30" s="425">
        <f t="shared" si="0"/>
        <v>629</v>
      </c>
      <c r="L30" s="443">
        <f t="shared" si="1"/>
        <v>1.7275473770942049E-2</v>
      </c>
    </row>
    <row r="31" spans="2:15" s="77" customFormat="1" ht="25.9" customHeight="1" x14ac:dyDescent="0.2">
      <c r="D31" s="585" t="s">
        <v>911</v>
      </c>
      <c r="E31" s="585"/>
      <c r="F31" s="600">
        <f>'Auto-Calibration record'!E65</f>
        <v>2158</v>
      </c>
      <c r="G31" s="600"/>
      <c r="H31" s="596">
        <f>'Auto-Calibration record'!B72</f>
        <v>10940</v>
      </c>
      <c r="I31" s="626"/>
      <c r="J31" s="442">
        <f>'MP Calibration Certificate'!J31</f>
        <v>12118</v>
      </c>
      <c r="K31" s="425">
        <f t="shared" si="0"/>
        <v>1178</v>
      </c>
      <c r="L31" s="443">
        <f t="shared" si="1"/>
        <v>0.10767824497257769</v>
      </c>
    </row>
    <row r="32" spans="2:15" s="77" customFormat="1" ht="25.9" customHeight="1" x14ac:dyDescent="0.2">
      <c r="D32" s="585" t="s">
        <v>912</v>
      </c>
      <c r="E32" s="585"/>
      <c r="F32" s="600">
        <f>'Auto-Calibration record'!F65</f>
        <v>3182</v>
      </c>
      <c r="G32" s="600"/>
      <c r="H32" s="596">
        <f>'Auto-Calibration record'!B73</f>
        <v>5210</v>
      </c>
      <c r="I32" s="626"/>
      <c r="J32" s="442">
        <f>'MP Calibration Certificate'!J32</f>
        <v>5651</v>
      </c>
      <c r="K32" s="425">
        <f t="shared" si="0"/>
        <v>441</v>
      </c>
      <c r="L32" s="443">
        <f t="shared" si="1"/>
        <v>8.4644913627639151E-2</v>
      </c>
    </row>
    <row r="33" spans="2:12" s="77" customFormat="1" ht="25.9" customHeight="1" x14ac:dyDescent="0.2">
      <c r="D33" s="585" t="s">
        <v>913</v>
      </c>
      <c r="E33" s="585"/>
      <c r="F33" s="600">
        <f>'Auto-Calibration record'!G65</f>
        <v>10154</v>
      </c>
      <c r="G33" s="600"/>
      <c r="H33" s="596">
        <f>'Auto-Calibration record'!B74</f>
        <v>611.721</v>
      </c>
      <c r="I33" s="626"/>
      <c r="J33" s="442">
        <f>'MP Calibration Certificate'!J33</f>
        <v>586</v>
      </c>
      <c r="K33" s="425">
        <f t="shared" si="0"/>
        <v>-25.721000000000004</v>
      </c>
      <c r="L33" s="443">
        <f t="shared" si="1"/>
        <v>-4.2046946238563011E-2</v>
      </c>
    </row>
    <row r="34" spans="2:12" s="77" customFormat="1" ht="25.9" customHeight="1" x14ac:dyDescent="0.2">
      <c r="D34" s="585" t="s">
        <v>914</v>
      </c>
      <c r="E34" s="585"/>
      <c r="F34" s="600">
        <f>'Auto-Calibration record'!H65</f>
        <v>15872</v>
      </c>
      <c r="G34" s="600"/>
      <c r="H34" s="596">
        <f>'Auto-Calibration record'!B75</f>
        <v>145.303</v>
      </c>
      <c r="I34" s="626"/>
      <c r="J34" s="442">
        <f>'MP Calibration Certificate'!J34</f>
        <v>153</v>
      </c>
      <c r="K34" s="425" t="s">
        <v>321</v>
      </c>
      <c r="L34" s="426" t="s">
        <v>321</v>
      </c>
    </row>
    <row r="35" spans="2:12" s="72" customFormat="1" ht="25.9" customHeight="1" x14ac:dyDescent="0.25">
      <c r="D35" s="585" t="s">
        <v>915</v>
      </c>
      <c r="E35" s="585"/>
      <c r="F35" s="601">
        <f>'Auto-Calibration record'!I65</f>
        <v>25309</v>
      </c>
      <c r="G35" s="601"/>
      <c r="H35" s="596">
        <f>'Auto-Calibration record'!B76</f>
        <v>24.939</v>
      </c>
      <c r="I35" s="626"/>
      <c r="J35" s="442">
        <f>'MP Calibration Certificate'!J35</f>
        <v>23</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82</v>
      </c>
      <c r="F40" s="596"/>
      <c r="G40" s="610" t="e">
        <f>F28/D40</f>
        <v>#DIV/0!</v>
      </c>
      <c r="H40" s="610"/>
      <c r="I40" s="81"/>
      <c r="J40" s="428">
        <f>'Auto-Calibration record'!B11</f>
        <v>32</v>
      </c>
      <c r="K40" s="425">
        <f>F29-J40</f>
        <v>172</v>
      </c>
      <c r="L40" s="429">
        <f>F29/J40</f>
        <v>6.375</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82</v>
      </c>
      <c r="G28" s="600"/>
      <c r="H28" s="596">
        <f>'Auto-Calibration record'!B68</f>
        <v>1056340</v>
      </c>
      <c r="I28" s="626"/>
      <c r="J28" s="442">
        <f>'Auto-Calibration record'!I68</f>
        <v>1070933</v>
      </c>
      <c r="K28" s="425">
        <f t="shared" ref="K28:K33" si="0">J28-H28</f>
        <v>14593</v>
      </c>
      <c r="L28" s="443">
        <f t="shared" ref="L28:L33" si="1">K28/H28</f>
        <v>1.3814680879262358E-2</v>
      </c>
    </row>
    <row r="29" spans="2:15" s="77" customFormat="1" ht="25.9" customHeight="1" x14ac:dyDescent="0.2">
      <c r="D29" s="585" t="s">
        <v>909</v>
      </c>
      <c r="E29" s="585"/>
      <c r="F29" s="600">
        <f>'Auto-Calibration record'!C65</f>
        <v>204</v>
      </c>
      <c r="G29" s="600"/>
      <c r="H29" s="596">
        <f>'Auto-Calibration record'!B69</f>
        <v>459350</v>
      </c>
      <c r="I29" s="626"/>
      <c r="J29" s="442">
        <f>'Auto-Calibration record'!I69</f>
        <v>465044</v>
      </c>
      <c r="K29" s="425">
        <f t="shared" si="0"/>
        <v>5694</v>
      </c>
      <c r="L29" s="443">
        <f t="shared" si="1"/>
        <v>1.2395776640905628E-2</v>
      </c>
    </row>
    <row r="30" spans="2:15" s="77" customFormat="1" ht="25.9" customHeight="1" x14ac:dyDescent="0.2">
      <c r="D30" s="585" t="s">
        <v>910</v>
      </c>
      <c r="E30" s="585"/>
      <c r="F30" s="600">
        <f>'Auto-Calibration record'!D65</f>
        <v>1092</v>
      </c>
      <c r="G30" s="600"/>
      <c r="H30" s="596">
        <f>'Auto-Calibration record'!B71</f>
        <v>36410</v>
      </c>
      <c r="I30" s="626"/>
      <c r="J30" s="442">
        <f>'Auto-Calibration record'!I71</f>
        <v>37039</v>
      </c>
      <c r="K30" s="425">
        <f t="shared" si="0"/>
        <v>629</v>
      </c>
      <c r="L30" s="443">
        <f t="shared" si="1"/>
        <v>1.7275473770942049E-2</v>
      </c>
    </row>
    <row r="31" spans="2:15" s="77" customFormat="1" ht="25.9" customHeight="1" x14ac:dyDescent="0.2">
      <c r="D31" s="585" t="s">
        <v>911</v>
      </c>
      <c r="E31" s="585"/>
      <c r="F31" s="600">
        <f>'Auto-Calibration record'!E65</f>
        <v>2158</v>
      </c>
      <c r="G31" s="600"/>
      <c r="H31" s="596">
        <f>'Auto-Calibration record'!B72</f>
        <v>10940</v>
      </c>
      <c r="I31" s="626"/>
      <c r="J31" s="442">
        <f>'Auto-Calibration record'!I72</f>
        <v>12118</v>
      </c>
      <c r="K31" s="425">
        <f t="shared" si="0"/>
        <v>1178</v>
      </c>
      <c r="L31" s="443">
        <f t="shared" si="1"/>
        <v>0.10767824497257769</v>
      </c>
    </row>
    <row r="32" spans="2:15" s="77" customFormat="1" ht="25.9" customHeight="1" x14ac:dyDescent="0.2">
      <c r="D32" s="585" t="s">
        <v>912</v>
      </c>
      <c r="E32" s="585"/>
      <c r="F32" s="600">
        <f>'Auto-Calibration record'!F65</f>
        <v>3182</v>
      </c>
      <c r="G32" s="600"/>
      <c r="H32" s="596">
        <f>'Auto-Calibration record'!B73</f>
        <v>5210</v>
      </c>
      <c r="I32" s="626"/>
      <c r="J32" s="442">
        <f>'Auto-Calibration record'!I73</f>
        <v>5651</v>
      </c>
      <c r="K32" s="425">
        <f t="shared" si="0"/>
        <v>441</v>
      </c>
      <c r="L32" s="443">
        <f t="shared" si="1"/>
        <v>8.4644913627639151E-2</v>
      </c>
    </row>
    <row r="33" spans="2:12" s="77" customFormat="1" ht="25.9" customHeight="1" x14ac:dyDescent="0.2">
      <c r="D33" s="585" t="s">
        <v>913</v>
      </c>
      <c r="E33" s="585"/>
      <c r="F33" s="600">
        <f>'Auto-Calibration record'!G65</f>
        <v>10154</v>
      </c>
      <c r="G33" s="600"/>
      <c r="H33" s="596">
        <f>'Auto-Calibration record'!B74</f>
        <v>611.721</v>
      </c>
      <c r="I33" s="626"/>
      <c r="J33" s="442">
        <f>'Auto-Calibration record'!I74</f>
        <v>586</v>
      </c>
      <c r="K33" s="425">
        <f t="shared" si="0"/>
        <v>-25.721000000000004</v>
      </c>
      <c r="L33" s="443">
        <f t="shared" si="1"/>
        <v>-4.2046946238563011E-2</v>
      </c>
    </row>
    <row r="34" spans="2:12" s="77" customFormat="1" ht="25.9" customHeight="1" x14ac:dyDescent="0.2">
      <c r="D34" s="585" t="s">
        <v>914</v>
      </c>
      <c r="E34" s="585"/>
      <c r="F34" s="600">
        <f>'Auto-Calibration record'!H65</f>
        <v>15872</v>
      </c>
      <c r="G34" s="600"/>
      <c r="H34" s="596">
        <f>'Auto-Calibration record'!B75</f>
        <v>145.303</v>
      </c>
      <c r="I34" s="626"/>
      <c r="J34" s="442">
        <f>'Auto-Calibration record'!I75</f>
        <v>153</v>
      </c>
      <c r="K34" s="425" t="s">
        <v>321</v>
      </c>
      <c r="L34" s="426" t="s">
        <v>321</v>
      </c>
    </row>
    <row r="35" spans="2:12" s="72" customFormat="1" ht="25.9" customHeight="1" x14ac:dyDescent="0.25">
      <c r="D35" s="585" t="s">
        <v>915</v>
      </c>
      <c r="E35" s="585"/>
      <c r="F35" s="601">
        <f>'Auto-Calibration record'!I65</f>
        <v>25309</v>
      </c>
      <c r="G35" s="601"/>
      <c r="H35" s="596">
        <f>'Auto-Calibration record'!B76</f>
        <v>24.939</v>
      </c>
      <c r="I35" s="626"/>
      <c r="J35" s="442">
        <f>'Auto-Calibration record'!I76</f>
        <v>23</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626">
        <f>F28-D40</f>
        <v>82</v>
      </c>
      <c r="F40" s="626"/>
      <c r="G40" s="639" t="e">
        <f>F28/D40</f>
        <v>#DIV/0!</v>
      </c>
      <c r="H40" s="639"/>
      <c r="I40" s="81"/>
      <c r="J40" s="428">
        <f>'Auto-Calibration record'!B11</f>
        <v>32</v>
      </c>
      <c r="K40" s="441">
        <f>F29-J40</f>
        <v>172</v>
      </c>
      <c r="L40" s="445">
        <f>F29/J40</f>
        <v>6.375</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B77" s="91" t="s">
        <v>1005</v>
      </c>
      <c r="H77" s="64"/>
      <c r="I77" s="64"/>
      <c r="J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D17" sqref="D17:F1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46191.6</v>
      </c>
    </row>
    <row r="19" spans="2:15" ht="25.9" customHeight="1" x14ac:dyDescent="0.25">
      <c r="B19" s="414" t="s">
        <v>893</v>
      </c>
      <c r="C19" s="420"/>
      <c r="D19" s="607" t="str">
        <f>'Auto-Calibration record'!H17</f>
        <v>-1 180626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82</v>
      </c>
      <c r="G28" s="600"/>
      <c r="H28" s="596">
        <f>'Auto-Calibration record'!B68</f>
        <v>1056340</v>
      </c>
      <c r="I28" s="596"/>
      <c r="J28" s="425">
        <f>'Auto-Calibration record'!I68</f>
        <v>1070933</v>
      </c>
      <c r="K28" s="425">
        <f t="shared" ref="K28:K35" si="0">J28-H28</f>
        <v>14593</v>
      </c>
      <c r="L28" s="383">
        <f t="shared" ref="L28:L35" si="1">K28/H28</f>
        <v>1.3814680879262358E-2</v>
      </c>
    </row>
    <row r="29" spans="2:15" s="77" customFormat="1" ht="25.9" customHeight="1" x14ac:dyDescent="0.2">
      <c r="D29" s="585" t="s">
        <v>909</v>
      </c>
      <c r="E29" s="585"/>
      <c r="F29" s="600">
        <f>'Auto-Calibration record'!C65</f>
        <v>204</v>
      </c>
      <c r="G29" s="600"/>
      <c r="H29" s="596">
        <f>'Auto-Calibration record'!B69</f>
        <v>459350</v>
      </c>
      <c r="I29" s="596"/>
      <c r="J29" s="425">
        <f>'Auto-Calibration record'!I69</f>
        <v>465044</v>
      </c>
      <c r="K29" s="425">
        <f t="shared" si="0"/>
        <v>5694</v>
      </c>
      <c r="L29" s="383">
        <f t="shared" si="1"/>
        <v>1.2395776640905628E-2</v>
      </c>
    </row>
    <row r="30" spans="2:15" s="77" customFormat="1" ht="25.9" customHeight="1" x14ac:dyDescent="0.2">
      <c r="D30" s="585" t="s">
        <v>910</v>
      </c>
      <c r="E30" s="585"/>
      <c r="F30" s="600">
        <f>'Auto-Calibration record'!D65</f>
        <v>1092</v>
      </c>
      <c r="G30" s="600"/>
      <c r="H30" s="596">
        <f>'Auto-Calibration record'!B71</f>
        <v>36410</v>
      </c>
      <c r="I30" s="596"/>
      <c r="J30" s="425">
        <f>'Auto-Calibration record'!I71</f>
        <v>37039</v>
      </c>
      <c r="K30" s="425">
        <f t="shared" si="0"/>
        <v>629</v>
      </c>
      <c r="L30" s="383">
        <f t="shared" si="1"/>
        <v>1.7275473770942049E-2</v>
      </c>
    </row>
    <row r="31" spans="2:15" s="77" customFormat="1" ht="25.9" customHeight="1" x14ac:dyDescent="0.2">
      <c r="D31" s="585" t="s">
        <v>911</v>
      </c>
      <c r="E31" s="585"/>
      <c r="F31" s="600">
        <f>'Auto-Calibration record'!E65</f>
        <v>2158</v>
      </c>
      <c r="G31" s="600"/>
      <c r="H31" s="596">
        <f>'Auto-Calibration record'!B72</f>
        <v>10940</v>
      </c>
      <c r="I31" s="596"/>
      <c r="J31" s="425">
        <f>'Auto-Calibration record'!I72</f>
        <v>12118</v>
      </c>
      <c r="K31" s="425">
        <f t="shared" si="0"/>
        <v>1178</v>
      </c>
      <c r="L31" s="383">
        <f t="shared" si="1"/>
        <v>0.10767824497257769</v>
      </c>
    </row>
    <row r="32" spans="2:15" s="77" customFormat="1" ht="25.9" customHeight="1" x14ac:dyDescent="0.2">
      <c r="D32" s="585" t="s">
        <v>912</v>
      </c>
      <c r="E32" s="585"/>
      <c r="F32" s="600">
        <f>'Auto-Calibration record'!F65</f>
        <v>3182</v>
      </c>
      <c r="G32" s="600"/>
      <c r="H32" s="596">
        <f>'Auto-Calibration record'!B73</f>
        <v>5210</v>
      </c>
      <c r="I32" s="596"/>
      <c r="J32" s="425">
        <f>'Auto-Calibration record'!I73</f>
        <v>5651</v>
      </c>
      <c r="K32" s="425">
        <f t="shared" si="0"/>
        <v>441</v>
      </c>
      <c r="L32" s="383">
        <f t="shared" si="1"/>
        <v>8.4644913627639151E-2</v>
      </c>
    </row>
    <row r="33" spans="2:12" s="77" customFormat="1" ht="25.9" customHeight="1" x14ac:dyDescent="0.2">
      <c r="D33" s="585" t="s">
        <v>913</v>
      </c>
      <c r="E33" s="585"/>
      <c r="F33" s="600">
        <f>'Auto-Calibration record'!G65</f>
        <v>10154</v>
      </c>
      <c r="G33" s="600"/>
      <c r="H33" s="596">
        <f>'Auto-Calibration record'!B74</f>
        <v>611.721</v>
      </c>
      <c r="I33" s="596"/>
      <c r="J33" s="425">
        <f>'Auto-Calibration record'!I74</f>
        <v>586</v>
      </c>
      <c r="K33" s="425">
        <f t="shared" si="0"/>
        <v>-25.721000000000004</v>
      </c>
      <c r="L33" s="383">
        <f t="shared" si="1"/>
        <v>-4.2046946238563011E-2</v>
      </c>
    </row>
    <row r="34" spans="2:12" s="77" customFormat="1" ht="25.9" customHeight="1" x14ac:dyDescent="0.2">
      <c r="D34" s="585" t="s">
        <v>1006</v>
      </c>
      <c r="E34" s="585"/>
      <c r="F34" s="600">
        <f>'Auto-Calibration record'!H65</f>
        <v>15872</v>
      </c>
      <c r="G34" s="600"/>
      <c r="H34" s="596">
        <f>'Auto-Calibration record'!B75</f>
        <v>145.303</v>
      </c>
      <c r="I34" s="596"/>
      <c r="J34" s="425">
        <f>'Auto-Calibration record'!I75</f>
        <v>153</v>
      </c>
      <c r="K34" s="425">
        <f t="shared" si="0"/>
        <v>7.6970000000000027</v>
      </c>
      <c r="L34" s="383">
        <f t="shared" si="1"/>
        <v>5.2972065270503729E-2</v>
      </c>
    </row>
    <row r="35" spans="2:12" s="72" customFormat="1" ht="25.9" customHeight="1" x14ac:dyDescent="0.25">
      <c r="D35" s="585" t="s">
        <v>1007</v>
      </c>
      <c r="E35" s="585"/>
      <c r="F35" s="601">
        <f>'Auto-Calibration record'!I65</f>
        <v>25309</v>
      </c>
      <c r="G35" s="601"/>
      <c r="H35" s="596">
        <f>'Auto-Calibration record'!B76</f>
        <v>24.939</v>
      </c>
      <c r="I35" s="596"/>
      <c r="J35" s="427">
        <f>'Auto-Calibration record'!I76</f>
        <v>23</v>
      </c>
      <c r="K35" s="425">
        <f t="shared" si="0"/>
        <v>-1.9390000000000001</v>
      </c>
      <c r="L35" s="383">
        <f t="shared" si="1"/>
        <v>-7.7749709290669239E-2</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32</v>
      </c>
      <c r="E40" s="596">
        <f>F28-D40</f>
        <v>50</v>
      </c>
      <c r="F40" s="596"/>
      <c r="G40" s="610">
        <f>F28/D40</f>
        <v>2.5625</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171450</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171450</xdr:colOff>
                <xdr:row>95</xdr:row>
                <xdr:rowOff>66675</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1E72-4487-4EDB-8CE5-C237895509A7}">
  <dimension ref="A1:H38"/>
  <sheetViews>
    <sheetView showGridLines="0" zoomScale="85" zoomScaleNormal="85" workbookViewId="0">
      <selection activeCell="G19" sqref="G19:H27"/>
    </sheetView>
  </sheetViews>
  <sheetFormatPr defaultColWidth="8.7109375" defaultRowHeight="15" x14ac:dyDescent="0.25"/>
  <cols>
    <col min="1" max="1" width="10" style="257" customWidth="1"/>
    <col min="2" max="2" width="22" style="257" customWidth="1"/>
    <col min="3" max="3" width="18" style="257" customWidth="1"/>
    <col min="4" max="4" width="4" style="257" customWidth="1"/>
    <col min="5" max="5" width="24" style="257" customWidth="1"/>
    <col min="6" max="6" width="18" style="257" customWidth="1"/>
    <col min="7" max="7" width="16" style="257" customWidth="1"/>
    <col min="8" max="8" width="14" style="257" customWidth="1"/>
    <col min="9" max="16384" width="8.7109375" style="257"/>
  </cols>
  <sheetData>
    <row r="1" spans="1:8" ht="21.75" customHeight="1" x14ac:dyDescent="0.25">
      <c r="A1" s="640" t="s">
        <v>1008</v>
      </c>
      <c r="B1" s="640"/>
      <c r="C1" s="640"/>
      <c r="D1" s="640"/>
      <c r="E1" s="640"/>
      <c r="F1" s="640"/>
      <c r="G1" s="640"/>
      <c r="H1" s="640"/>
    </row>
    <row r="3" spans="1:8" ht="19.5" customHeight="1" x14ac:dyDescent="0.25">
      <c r="A3" s="479" t="s">
        <v>1009</v>
      </c>
      <c r="B3" s="447" t="s">
        <v>1010</v>
      </c>
      <c r="C3" s="448" t="str">
        <f>VLOOKUP("product",AUTO!$A$1:$B$1051,2,FALSE)</f>
        <v>LPA3 NAVAIR</v>
      </c>
      <c r="D3" s="449"/>
      <c r="E3" s="447" t="s">
        <v>538</v>
      </c>
      <c r="F3" s="450"/>
      <c r="G3" s="450"/>
      <c r="H3" s="451">
        <f>VLOOKUP("date_",AUTO!$A$1:$B$1051,2,FALSE)</f>
        <v>46191.6</v>
      </c>
    </row>
    <row r="4" spans="1:8" ht="19.5" customHeight="1" x14ac:dyDescent="0.25">
      <c r="A4" s="479"/>
      <c r="B4" s="447" t="s">
        <v>543</v>
      </c>
      <c r="C4" s="448">
        <f>VLOOKUP("serial_number",AUTO!$A$1:$B$1051,2,FALSE)</f>
        <v>63010080</v>
      </c>
      <c r="D4" s="449"/>
      <c r="E4" s="447" t="s">
        <v>1011</v>
      </c>
      <c r="F4" s="450"/>
      <c r="G4" s="450"/>
      <c r="H4" s="450" t="s">
        <v>1012</v>
      </c>
    </row>
    <row r="5" spans="1:8" ht="19.5" customHeight="1" x14ac:dyDescent="0.25">
      <c r="A5" s="479"/>
      <c r="B5" s="447" t="s">
        <v>1010</v>
      </c>
      <c r="C5" s="448" t="str">
        <f>VLOOKUP("product",AUTO!$A$1:$B$1051,2,FALSE)</f>
        <v>LPA3 NAVAIR</v>
      </c>
      <c r="D5" s="449"/>
      <c r="E5" s="452" t="s">
        <v>1013</v>
      </c>
      <c r="F5" s="450"/>
      <c r="G5" s="450"/>
      <c r="H5" s="450" t="s">
        <v>1014</v>
      </c>
    </row>
    <row r="6" spans="1:8" ht="19.5" customHeight="1" x14ac:dyDescent="0.25">
      <c r="A6" s="479"/>
      <c r="B6" s="447" t="s">
        <v>543</v>
      </c>
      <c r="C6" s="448">
        <f>VLOOKUP("serial_number",AUTO!$A$1:$B$1051,2,FALSE)</f>
        <v>63010080</v>
      </c>
      <c r="D6" s="449"/>
      <c r="E6" s="452" t="s">
        <v>1015</v>
      </c>
      <c r="F6" s="450"/>
      <c r="G6" s="450"/>
      <c r="H6" s="450" t="s">
        <v>1016</v>
      </c>
    </row>
    <row r="7" spans="1:8" ht="19.5" customHeight="1" x14ac:dyDescent="0.25">
      <c r="A7" s="467" t="s">
        <v>1017</v>
      </c>
      <c r="B7" s="467"/>
      <c r="C7" s="448">
        <f>VLOOKUP("no_noise_threshold",AUTO!$A$1:$B$1051,2,FALSE)</f>
        <v>32</v>
      </c>
      <c r="D7" s="449"/>
      <c r="E7" s="452" t="s">
        <v>1018</v>
      </c>
      <c r="F7" s="450"/>
      <c r="G7" s="450">
        <v>20000</v>
      </c>
      <c r="H7" s="447" t="s">
        <v>1019</v>
      </c>
    </row>
    <row r="8" spans="1:8" ht="19.5" customHeight="1" x14ac:dyDescent="0.25">
      <c r="A8" s="467" t="s">
        <v>1020</v>
      </c>
      <c r="B8" s="467"/>
      <c r="C8" s="448">
        <f>VLOOKUP("sample_volume_ml",AUTO!$A$1:$B$1051,2,FALSE)</f>
        <v>50</v>
      </c>
      <c r="D8" s="449"/>
      <c r="E8" s="447" t="s">
        <v>1021</v>
      </c>
      <c r="F8" s="450"/>
      <c r="G8" s="450">
        <v>30</v>
      </c>
      <c r="H8" s="447" t="s">
        <v>1022</v>
      </c>
    </row>
    <row r="9" spans="1:8" ht="19.5" customHeight="1" x14ac:dyDescent="0.25">
      <c r="A9" s="467" t="s">
        <v>1023</v>
      </c>
      <c r="B9" s="467"/>
      <c r="C9"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D9" s="449"/>
      <c r="E9" s="447" t="s">
        <v>1024</v>
      </c>
      <c r="F9" s="450"/>
      <c r="G9" s="450">
        <v>30</v>
      </c>
      <c r="H9" s="447" t="s">
        <v>1022</v>
      </c>
    </row>
    <row r="10" spans="1:8" ht="18" customHeight="1" x14ac:dyDescent="0.25">
      <c r="A10" s="472" t="s">
        <v>1025</v>
      </c>
      <c r="B10" s="472"/>
      <c r="C10" s="472"/>
      <c r="D10" s="472"/>
      <c r="E10" s="472"/>
      <c r="F10" s="472"/>
      <c r="G10" s="472"/>
      <c r="H10" s="472"/>
    </row>
    <row r="11" spans="1:8" ht="19.5" customHeight="1" x14ac:dyDescent="0.25">
      <c r="A11" s="446" t="s">
        <v>1026</v>
      </c>
      <c r="B11" s="641">
        <v>0.5</v>
      </c>
      <c r="C11" s="641"/>
      <c r="D11" s="446" t="s">
        <v>1027</v>
      </c>
      <c r="E11" s="446" t="s">
        <v>1028</v>
      </c>
      <c r="F11" s="641">
        <v>2.7</v>
      </c>
      <c r="G11" s="641"/>
      <c r="H11" s="446" t="s">
        <v>1029</v>
      </c>
    </row>
    <row r="12" spans="1:8" ht="19.5" customHeight="1" x14ac:dyDescent="0.25">
      <c r="A12" s="446" t="s">
        <v>1030</v>
      </c>
      <c r="B12" s="641">
        <v>0.6</v>
      </c>
      <c r="C12" s="641"/>
      <c r="D12" s="446" t="s">
        <v>1027</v>
      </c>
      <c r="E12" s="446" t="s">
        <v>1031</v>
      </c>
      <c r="F12" s="641">
        <v>8.3000000000000007</v>
      </c>
      <c r="G12" s="641"/>
      <c r="H12" s="446" t="s">
        <v>1029</v>
      </c>
    </row>
    <row r="13" spans="1:8" ht="19.5" customHeight="1" x14ac:dyDescent="0.25">
      <c r="A13" s="446" t="s">
        <v>1032</v>
      </c>
      <c r="B13" s="641">
        <v>10.199999999999999</v>
      </c>
      <c r="C13" s="641"/>
      <c r="D13" s="446" t="s">
        <v>1027</v>
      </c>
      <c r="E13" s="446" t="s">
        <v>1033</v>
      </c>
      <c r="F13" s="641">
        <v>8.3000000000000007</v>
      </c>
      <c r="G13" s="641"/>
      <c r="H13" s="446" t="s">
        <v>1029</v>
      </c>
    </row>
    <row r="16" spans="1:8" ht="30" customHeight="1" x14ac:dyDescent="0.25">
      <c r="A16" s="465" t="s">
        <v>1034</v>
      </c>
      <c r="B16" s="465"/>
      <c r="C16" s="465"/>
      <c r="E16" s="465" t="s">
        <v>1035</v>
      </c>
      <c r="F16" s="465"/>
      <c r="G16" s="465"/>
      <c r="H16" s="465"/>
    </row>
    <row r="17" spans="1:8" ht="42" customHeight="1" x14ac:dyDescent="0.25">
      <c r="A17" s="453" t="s">
        <v>898</v>
      </c>
      <c r="B17" s="453" t="s">
        <v>1036</v>
      </c>
      <c r="C17" s="453" t="s">
        <v>1037</v>
      </c>
      <c r="E17" s="453" t="s">
        <v>898</v>
      </c>
      <c r="F17" s="453" t="s">
        <v>1038</v>
      </c>
      <c r="G17" s="465" t="s">
        <v>1039</v>
      </c>
      <c r="H17" s="465"/>
    </row>
    <row r="18" spans="1:8" ht="18" customHeight="1" x14ac:dyDescent="0.25">
      <c r="A18" s="454" t="s">
        <v>1040</v>
      </c>
      <c r="B18" s="454" t="s">
        <v>1041</v>
      </c>
      <c r="C18" s="454" t="s">
        <v>1041</v>
      </c>
      <c r="E18" s="454" t="s">
        <v>1040</v>
      </c>
      <c r="F18" s="454" t="s">
        <v>1041</v>
      </c>
      <c r="G18" s="462" t="s">
        <v>1042</v>
      </c>
      <c r="H18" s="462"/>
    </row>
    <row r="19" spans="1:8" ht="18" customHeight="1" x14ac:dyDescent="0.25">
      <c r="A19" s="448">
        <f>VLOOKUP("threshold32_0_sz",AUTO!$A$1:$B$1051,2,FALSE)</f>
        <v>4</v>
      </c>
      <c r="B19" s="448">
        <f>VLOOKUP("reference_count_0",AUTO!$A$1:$B$1051,2,FALSE)</f>
        <v>1056340</v>
      </c>
      <c r="C19" s="455">
        <f>'Auto-Calibration record'!$I$68</f>
        <v>1070933</v>
      </c>
      <c r="E19" s="448">
        <f>VLOOKUP("threshold32_0_sz",AUTO!$A$1:$B$1051,2,FALSE)</f>
        <v>4</v>
      </c>
      <c r="F19" s="448">
        <f>VLOOKUP("reference_count_0",AUTO!$A$1:$B$1051,2,FALSE)</f>
        <v>1056340</v>
      </c>
      <c r="G19" s="460">
        <f>VLOOKUP("threshold32_0_value",AUTO!$A$1:$B$1051,2,FALSE)</f>
        <v>82</v>
      </c>
      <c r="H19" s="461">
        <f>VLOOKUP("threshold32_0_sz",AUTO!$A$1:$B$1051,2,FALSE)</f>
        <v>4</v>
      </c>
    </row>
    <row r="20" spans="1:8" ht="18" customHeight="1" x14ac:dyDescent="0.25">
      <c r="A20" s="448">
        <f>VLOOKUP("threshold32_2_sz",AUTO!$A$1:$B$1051,2,FALSE)</f>
        <v>6</v>
      </c>
      <c r="B20" s="448">
        <f>VLOOKUP("reference_count_1",AUTO!$A$1:$B$1051,2,FALSE)</f>
        <v>459350</v>
      </c>
      <c r="C20" s="455">
        <f>'Auto-Calibration record'!$I$69</f>
        <v>465044</v>
      </c>
      <c r="E20" s="448">
        <f>VLOOKUP("threshold32_2_sz",AUTO!$A$1:$B$1051,2,FALSE)</f>
        <v>6</v>
      </c>
      <c r="F20" s="448">
        <f>VLOOKUP("reference_count_1",AUTO!$A$1:$B$1051,2,FALSE)</f>
        <v>459350</v>
      </c>
      <c r="G20" s="460">
        <f>VLOOKUP("threshold32_2_value",AUTO!$A$1:$B$1051,2,FALSE)</f>
        <v>204</v>
      </c>
      <c r="H20" s="461">
        <f>VLOOKUP("threshold32_2_sz",AUTO!$A$1:$B$1051,2,FALSE)</f>
        <v>6</v>
      </c>
    </row>
    <row r="21" spans="1:8" ht="18" customHeight="1" x14ac:dyDescent="0.25">
      <c r="A21" s="448">
        <f>VLOOKUP("threshold32_6_sz",AUTO!$A$1:$B$1051,2,FALSE)</f>
        <v>10</v>
      </c>
      <c r="B21" s="448">
        <f>VLOOKUP("reference_count32_6",AUTO!$A$1:$B$1051,2,FALSE)*100</f>
        <v>106950</v>
      </c>
      <c r="C21" s="455">
        <f>'Auto-Calibration record'!$I$70</f>
        <v>110681</v>
      </c>
      <c r="E21" s="448">
        <f>VLOOKUP("threshold32_6_sz",AUTO!$A$1:$B$1051,2,FALSE)</f>
        <v>10</v>
      </c>
      <c r="F21" s="448">
        <f>VLOOKUP("reference_count32_6",AUTO!$A$1:$B$1051,2,FALSE)*100</f>
        <v>106950</v>
      </c>
      <c r="G21" s="460">
        <f>VLOOKUP("threshold32_6_value",AUTO!$A$1:$B$1051,2,FALSE)</f>
        <v>570</v>
      </c>
      <c r="H21" s="461">
        <f>VLOOKUP("threshold32_6_sz",AUTO!$A$1:$B$1051,2,FALSE)</f>
        <v>10</v>
      </c>
    </row>
    <row r="22" spans="1:8" ht="18" customHeight="1" x14ac:dyDescent="0.25">
      <c r="A22" s="448">
        <f>VLOOKUP("threshold32_10_sz",AUTO!$A$1:$B$1051,2,FALSE)</f>
        <v>14</v>
      </c>
      <c r="B22" s="448">
        <f>VLOOKUP("reference_count_2",AUTO!$A$1:$B$1051,2,FALSE)</f>
        <v>36410</v>
      </c>
      <c r="C22" s="455">
        <f>'Auto-Calibration record'!$I$71</f>
        <v>37039</v>
      </c>
      <c r="E22" s="448">
        <f>VLOOKUP("threshold32_10_sz",AUTO!$A$1:$B$1051,2,FALSE)</f>
        <v>14</v>
      </c>
      <c r="F22" s="448">
        <f>VLOOKUP("reference_count_2",AUTO!$A$1:$B$1051,2,FALSE)</f>
        <v>36410</v>
      </c>
      <c r="G22" s="460">
        <f>VLOOKUP("threshold32_10_value",AUTO!$A$1:$B$1051,2,FALSE)</f>
        <v>1092</v>
      </c>
      <c r="H22" s="461">
        <f>VLOOKUP("threshold32_10_sz",AUTO!$A$1:$B$1051,2,FALSE)</f>
        <v>14</v>
      </c>
    </row>
    <row r="23" spans="1:8" ht="18" customHeight="1" x14ac:dyDescent="0.25">
      <c r="A23" s="448">
        <f>VLOOKUP("threshold32_17_sz",AUTO!$A$1:$B$1051,2,FALSE)</f>
        <v>21</v>
      </c>
      <c r="B23" s="448">
        <f>VLOOKUP("reference_count_3",AUTO!$A$1:$B$1051,2,FALSE)</f>
        <v>10940</v>
      </c>
      <c r="C23" s="455">
        <f>'Auto-Calibration record'!$I$72</f>
        <v>12118</v>
      </c>
      <c r="E23" s="448">
        <f>VLOOKUP("threshold32_17_sz",AUTO!$A$1:$B$1051,2,FALSE)</f>
        <v>21</v>
      </c>
      <c r="F23" s="448">
        <f>VLOOKUP("reference_count_3",AUTO!$A$1:$B$1051,2,FALSE)</f>
        <v>10940</v>
      </c>
      <c r="G23" s="460">
        <f>VLOOKUP("threshold32_17_value",AUTO!$A$1:$B$1051,2,FALSE)</f>
        <v>2158</v>
      </c>
      <c r="H23" s="461">
        <f>VLOOKUP("threshold32_17_sz",AUTO!$A$1:$B$1051,2,FALSE)</f>
        <v>21</v>
      </c>
    </row>
    <row r="24" spans="1:8" ht="18" customHeight="1" x14ac:dyDescent="0.25">
      <c r="A24" s="448">
        <f>VLOOKUP("threshold32_21_sz",AUTO!$A$1:$B$1051,2,FALSE)</f>
        <v>25</v>
      </c>
      <c r="B24" s="448">
        <f>VLOOKUP("reference_count_4",AUTO!$A$1:$B$1051,2,FALSE)</f>
        <v>5210</v>
      </c>
      <c r="C24" s="455">
        <f>'Auto-Calibration record'!$I$73</f>
        <v>5651</v>
      </c>
      <c r="E24" s="448">
        <f>VLOOKUP("threshold32_21_sz",AUTO!$A$1:$B$1051,2,FALSE)</f>
        <v>25</v>
      </c>
      <c r="F24" s="448">
        <f>VLOOKUP("reference_count_4",AUTO!$A$1:$B$1051,2,FALSE)</f>
        <v>5210</v>
      </c>
      <c r="G24" s="460">
        <f>VLOOKUP("threshold32_21_value",AUTO!$A$1:$B$1051,2,FALSE)</f>
        <v>3182</v>
      </c>
      <c r="H24" s="461">
        <f>VLOOKUP("threshold32_21_sz",AUTO!$A$1:$B$1051,2,FALSE)</f>
        <v>25</v>
      </c>
    </row>
    <row r="25" spans="1:8" ht="18" customHeight="1" x14ac:dyDescent="0.25">
      <c r="A25" s="448">
        <f>VLOOKUP("threshold32_27_sz",AUTO!$A$1:$B$1051,2,FALSE)</f>
        <v>38</v>
      </c>
      <c r="B25" s="448">
        <f>VLOOKUP("reference_count_5",AUTO!$A$1:$B$1051,2,FALSE)</f>
        <v>611.721</v>
      </c>
      <c r="C25" s="455">
        <f>'Auto-Calibration record'!$I$74</f>
        <v>586</v>
      </c>
      <c r="E25" s="448">
        <f>VLOOKUP("threshold32_27_sz",AUTO!$A$1:$B$1051,2,FALSE)</f>
        <v>38</v>
      </c>
      <c r="F25" s="448">
        <f>VLOOKUP("reference_count_5",AUTO!$A$1:$B$1051,2,FALSE)</f>
        <v>611.721</v>
      </c>
      <c r="G25" s="460">
        <f>VLOOKUP("threshold32_27_value",AUTO!$A$1:$B$1051,2,FALSE)</f>
        <v>10154</v>
      </c>
      <c r="H25" s="461">
        <f>VLOOKUP("threshold32_27_sz",AUTO!$A$1:$B$1051,2,FALSE)</f>
        <v>38</v>
      </c>
    </row>
    <row r="26" spans="1:8" ht="18" customHeight="1" x14ac:dyDescent="0.25">
      <c r="A26" s="448">
        <f>VLOOKUP("threshold32_28_sz",AUTO!$A$1:$B$1051,2,FALSE)</f>
        <v>50</v>
      </c>
      <c r="B26" s="448">
        <f>VLOOKUP("reference_count_6",AUTO!$A$1:$B$1051,2,FALSE)</f>
        <v>145.303</v>
      </c>
      <c r="C26" s="455">
        <f>'Auto-Calibration record'!$I$75</f>
        <v>153</v>
      </c>
      <c r="E26" s="448">
        <f>VLOOKUP("threshold32_28_sz",AUTO!$A$1:$B$1051,2,FALSE)</f>
        <v>50</v>
      </c>
      <c r="F26" s="448">
        <f>VLOOKUP("reference_count_6",AUTO!$A$1:$B$1051,2,FALSE)</f>
        <v>145.303</v>
      </c>
      <c r="G26" s="460">
        <f>VLOOKUP("threshold32_28_value",AUTO!$A$1:$B$1051,2,FALSE)</f>
        <v>15872</v>
      </c>
      <c r="H26" s="461">
        <f>VLOOKUP("threshold32_28_sz",AUTO!$A$1:$B$1051,2,FALSE)</f>
        <v>50</v>
      </c>
    </row>
    <row r="27" spans="1:8" ht="18" customHeight="1" x14ac:dyDescent="0.25">
      <c r="A27" s="448">
        <f>VLOOKUP("threshold32_29_sz",AUTO!$A$1:$B$1051,2,FALSE)</f>
        <v>70</v>
      </c>
      <c r="B27" s="448">
        <f>VLOOKUP("reference_count_7",AUTO!$A$1:$B$1051,2,FALSE)</f>
        <v>24.939</v>
      </c>
      <c r="C27" s="455">
        <f>'Auto-Calibration record'!$I$76</f>
        <v>23</v>
      </c>
      <c r="E27" s="448">
        <f>VLOOKUP("threshold32_29_sz",AUTO!$A$1:$B$1051,2,FALSE)</f>
        <v>70</v>
      </c>
      <c r="F27" s="448">
        <f>VLOOKUP("reference_count_7",AUTO!$A$1:$B$1051,2,FALSE)</f>
        <v>24.939</v>
      </c>
      <c r="G27" s="460">
        <f>VLOOKUP("threshold32_29_value",AUTO!$A$1:$B$1051,2,FALSE)</f>
        <v>25309</v>
      </c>
      <c r="H27" s="461">
        <f>VLOOKUP("threshold32_29_sz",AUTO!$A$1:$B$1051,2,FALSE)</f>
        <v>70</v>
      </c>
    </row>
    <row r="28" spans="1:8" ht="18" customHeight="1" x14ac:dyDescent="0.25">
      <c r="A28" s="448"/>
      <c r="B28" s="448"/>
      <c r="C28" s="448"/>
      <c r="E28" s="448"/>
      <c r="F28" s="448"/>
      <c r="G28" s="457"/>
      <c r="H28" s="457"/>
    </row>
    <row r="29" spans="1:8" ht="18" customHeight="1" x14ac:dyDescent="0.25">
      <c r="A29" s="448"/>
      <c r="B29" s="448"/>
      <c r="C29" s="448"/>
      <c r="E29" s="448"/>
      <c r="F29" s="448"/>
      <c r="G29" s="457"/>
      <c r="H29" s="457"/>
    </row>
    <row r="30" spans="1:8" ht="18" customHeight="1" x14ac:dyDescent="0.25">
      <c r="A30" s="448"/>
      <c r="B30" s="448"/>
      <c r="C30" s="448"/>
      <c r="E30" s="448"/>
      <c r="F30" s="448"/>
      <c r="G30" s="457"/>
      <c r="H30" s="457"/>
    </row>
    <row r="31" spans="1:8" ht="18" customHeight="1" x14ac:dyDescent="0.25">
      <c r="A31" s="448"/>
      <c r="B31" s="448"/>
      <c r="C31" s="448"/>
      <c r="E31" s="448"/>
      <c r="F31" s="448"/>
      <c r="G31" s="457"/>
      <c r="H31" s="457"/>
    </row>
    <row r="32" spans="1:8" ht="18" customHeight="1" x14ac:dyDescent="0.25">
      <c r="A32" s="448"/>
      <c r="B32" s="448"/>
      <c r="C32" s="448"/>
      <c r="E32" s="448"/>
      <c r="F32" s="448"/>
      <c r="G32" s="457"/>
      <c r="H32" s="457"/>
    </row>
    <row r="33" spans="1:8" ht="18" customHeight="1" x14ac:dyDescent="0.25">
      <c r="A33" s="448"/>
      <c r="B33" s="448"/>
      <c r="C33" s="448"/>
      <c r="E33" s="448"/>
      <c r="F33" s="448"/>
      <c r="G33" s="457"/>
      <c r="H33" s="457"/>
    </row>
    <row r="34" spans="1:8" ht="18" customHeight="1" x14ac:dyDescent="0.25">
      <c r="A34" s="448"/>
      <c r="B34" s="448"/>
      <c r="C34" s="448"/>
      <c r="E34" s="448"/>
      <c r="F34" s="448"/>
      <c r="G34" s="457"/>
      <c r="H34" s="457"/>
    </row>
    <row r="35" spans="1:8" ht="18" customHeight="1" x14ac:dyDescent="0.25">
      <c r="A35" s="448"/>
      <c r="B35" s="448"/>
      <c r="C35" s="448"/>
      <c r="E35" s="448"/>
      <c r="F35" s="448"/>
      <c r="G35" s="457"/>
      <c r="H35" s="457"/>
    </row>
    <row r="36" spans="1:8" ht="18" customHeight="1" x14ac:dyDescent="0.25">
      <c r="A36" s="448"/>
      <c r="B36" s="448"/>
      <c r="C36" s="448"/>
      <c r="E36" s="448"/>
      <c r="F36" s="448"/>
      <c r="G36" s="457"/>
      <c r="H36" s="457"/>
    </row>
    <row r="37" spans="1:8" ht="18" customHeight="1" x14ac:dyDescent="0.25">
      <c r="A37" s="448"/>
      <c r="B37" s="448"/>
      <c r="C37" s="448"/>
      <c r="E37" s="448"/>
      <c r="F37" s="448"/>
      <c r="G37" s="457"/>
      <c r="H37" s="457"/>
    </row>
    <row r="38" spans="1:8" ht="18" customHeight="1" x14ac:dyDescent="0.25">
      <c r="A38" s="448"/>
      <c r="B38" s="448"/>
      <c r="C38" s="448"/>
      <c r="E38" s="448"/>
      <c r="F38" s="448"/>
      <c r="G38" s="457"/>
      <c r="H38" s="457"/>
    </row>
  </sheetData>
  <mergeCells count="36">
    <mergeCell ref="G38:H38"/>
    <mergeCell ref="G27:H27"/>
    <mergeCell ref="G28:H28"/>
    <mergeCell ref="G29:H29"/>
    <mergeCell ref="G30:H30"/>
    <mergeCell ref="G31:H31"/>
    <mergeCell ref="G32:H32"/>
    <mergeCell ref="G33:H33"/>
    <mergeCell ref="G34:H34"/>
    <mergeCell ref="G35:H35"/>
    <mergeCell ref="G36:H36"/>
    <mergeCell ref="G37:H37"/>
    <mergeCell ref="G26:H26"/>
    <mergeCell ref="A16:C16"/>
    <mergeCell ref="E16:H16"/>
    <mergeCell ref="G17:H17"/>
    <mergeCell ref="G18:H18"/>
    <mergeCell ref="G19:H19"/>
    <mergeCell ref="G20:H20"/>
    <mergeCell ref="G21:H21"/>
    <mergeCell ref="G22:H22"/>
    <mergeCell ref="G23:H23"/>
    <mergeCell ref="G24:H24"/>
    <mergeCell ref="G25:H25"/>
    <mergeCell ref="B11:C11"/>
    <mergeCell ref="F11:G11"/>
    <mergeCell ref="B12:C12"/>
    <mergeCell ref="F12:G12"/>
    <mergeCell ref="B13:C13"/>
    <mergeCell ref="F13:G13"/>
    <mergeCell ref="A10:H10"/>
    <mergeCell ref="A1:H1"/>
    <mergeCell ref="A3:A6"/>
    <mergeCell ref="A7:B7"/>
    <mergeCell ref="A8:B8"/>
    <mergeCell ref="A9:B9"/>
  </mergeCells>
  <pageMargins left="0.75" right="0.75" top="1" bottom="1" header="0.511811023622047" footer="0.511811023622047"/>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FD88C-2968-44D4-80B9-8259FF3D97FF}">
  <sheetPr>
    <pageSetUpPr fitToPage="1"/>
  </sheetPr>
  <dimension ref="B2:R53"/>
  <sheetViews>
    <sheetView showGridLines="0" tabSelected="1" zoomScale="90" zoomScaleNormal="90" workbookViewId="0">
      <selection activeCell="D27" sqref="D27"/>
    </sheetView>
  </sheetViews>
  <sheetFormatPr defaultColWidth="9" defaultRowHeight="15" x14ac:dyDescent="0.25"/>
  <cols>
    <col min="1" max="1" width="3.7109375" style="262" customWidth="1"/>
    <col min="2" max="2" width="3.140625" style="262" customWidth="1"/>
    <col min="3" max="3" width="10" style="262" customWidth="1"/>
    <col min="4" max="4" width="16.7109375" style="262" customWidth="1"/>
    <col min="5" max="5" width="25.7109375" style="262" customWidth="1"/>
    <col min="6" max="6" width="4" style="262" customWidth="1"/>
    <col min="7" max="7" width="10" style="262" customWidth="1"/>
    <col min="8" max="8" width="25.7109375" style="262" customWidth="1"/>
    <col min="9" max="9" width="10.140625" style="262" customWidth="1"/>
    <col min="10" max="10" width="10.85546875" style="262" customWidth="1"/>
    <col min="11" max="11" width="3.140625" style="262" customWidth="1"/>
    <col min="12" max="16384" width="9" style="262"/>
  </cols>
  <sheetData>
    <row r="2" spans="2:18" x14ac:dyDescent="0.25">
      <c r="B2" s="259"/>
      <c r="C2" s="260"/>
      <c r="D2" s="260"/>
      <c r="E2" s="260"/>
      <c r="F2" s="260"/>
      <c r="G2" s="260"/>
      <c r="H2" s="260"/>
      <c r="I2" s="260"/>
      <c r="J2" s="260"/>
      <c r="K2" s="261"/>
    </row>
    <row r="3" spans="2:18" x14ac:dyDescent="0.25">
      <c r="B3" s="263"/>
      <c r="C3" s="262" t="s">
        <v>879</v>
      </c>
      <c r="K3" s="264"/>
    </row>
    <row r="4" spans="2:18" x14ac:dyDescent="0.25">
      <c r="B4" s="263"/>
      <c r="C4" s="262" t="s">
        <v>1043</v>
      </c>
      <c r="K4" s="264"/>
    </row>
    <row r="5" spans="2:18" x14ac:dyDescent="0.25">
      <c r="B5" s="263"/>
      <c r="C5" s="262" t="s">
        <v>881</v>
      </c>
      <c r="K5" s="264"/>
    </row>
    <row r="6" spans="2:18" x14ac:dyDescent="0.25">
      <c r="B6" s="263"/>
      <c r="C6" s="262" t="s">
        <v>882</v>
      </c>
      <c r="K6" s="264"/>
    </row>
    <row r="7" spans="2:18" x14ac:dyDescent="0.25">
      <c r="B7" s="263"/>
      <c r="C7" s="262" t="s">
        <v>883</v>
      </c>
      <c r="K7" s="264"/>
    </row>
    <row r="8" spans="2:18" x14ac:dyDescent="0.25">
      <c r="B8" s="263"/>
      <c r="C8" s="265" t="s">
        <v>1044</v>
      </c>
      <c r="K8" s="264"/>
    </row>
    <row r="9" spans="2:18" x14ac:dyDescent="0.25">
      <c r="B9" s="263"/>
      <c r="K9" s="264"/>
    </row>
    <row r="10" spans="2:18" ht="18.399999999999999" customHeight="1" x14ac:dyDescent="0.25">
      <c r="B10" s="263"/>
      <c r="C10" s="473" t="s">
        <v>1008</v>
      </c>
      <c r="D10" s="474"/>
      <c r="E10" s="474"/>
      <c r="F10" s="474"/>
      <c r="G10" s="474"/>
      <c r="H10" s="474"/>
      <c r="I10" s="474"/>
      <c r="J10" s="475"/>
      <c r="K10" s="264"/>
    </row>
    <row r="11" spans="2:18" ht="14.65" customHeight="1" x14ac:dyDescent="0.25">
      <c r="B11" s="263"/>
      <c r="C11" s="476"/>
      <c r="D11" s="477"/>
      <c r="E11" s="477"/>
      <c r="F11" s="477"/>
      <c r="G11" s="477"/>
      <c r="H11" s="477"/>
      <c r="I11" s="477"/>
      <c r="J11" s="478"/>
      <c r="K11" s="264"/>
    </row>
    <row r="12" spans="2:18" ht="14.65" customHeight="1" x14ac:dyDescent="0.25">
      <c r="B12" s="263"/>
      <c r="C12" s="479" t="s">
        <v>1009</v>
      </c>
      <c r="D12" s="447" t="s">
        <v>1010</v>
      </c>
      <c r="E12" s="448" t="str">
        <f>VLOOKUP("product",AUTO!$A$1:$B$1051,2,FALSE)</f>
        <v>LPA3 NAVAIR</v>
      </c>
      <c r="F12" s="449"/>
      <c r="G12" s="470" t="s">
        <v>538</v>
      </c>
      <c r="H12" s="471"/>
      <c r="I12" s="480">
        <v>46147.7</v>
      </c>
      <c r="J12" s="481"/>
      <c r="K12" s="264"/>
    </row>
    <row r="13" spans="2:18" x14ac:dyDescent="0.25">
      <c r="B13" s="263"/>
      <c r="C13" s="479"/>
      <c r="D13" s="447" t="s">
        <v>543</v>
      </c>
      <c r="E13" s="448">
        <f>VLOOKUP("serial_number",AUTO!$A$1:$B$1051,2,FALSE)</f>
        <v>63010080</v>
      </c>
      <c r="F13" s="449"/>
      <c r="G13" s="470" t="s">
        <v>1011</v>
      </c>
      <c r="H13" s="471"/>
      <c r="I13" s="482" t="s">
        <v>1045</v>
      </c>
      <c r="J13" s="483"/>
      <c r="K13" s="264"/>
    </row>
    <row r="14" spans="2:18" ht="14.65" customHeight="1" x14ac:dyDescent="0.25">
      <c r="B14" s="263"/>
      <c r="C14" s="479"/>
      <c r="D14" s="447" t="s">
        <v>1010</v>
      </c>
      <c r="E14" s="448" t="str">
        <f>VLOOKUP("product",AUTO!$A$1:$B$1051,2,FALSE)</f>
        <v>LPA3 NAVAIR</v>
      </c>
      <c r="F14" s="449"/>
      <c r="G14" s="468" t="s">
        <v>1013</v>
      </c>
      <c r="H14" s="469"/>
      <c r="I14" s="482" t="s">
        <v>1014</v>
      </c>
      <c r="J14" s="483"/>
      <c r="K14" s="264"/>
    </row>
    <row r="15" spans="2:18" ht="14.65" customHeight="1" x14ac:dyDescent="0.25">
      <c r="B15" s="263"/>
      <c r="C15" s="479"/>
      <c r="D15" s="447" t="s">
        <v>543</v>
      </c>
      <c r="E15" s="448">
        <f>VLOOKUP("serial_number",AUTO!$A$1:$B$1051,2,FALSE)</f>
        <v>63010080</v>
      </c>
      <c r="F15" s="449"/>
      <c r="G15" s="468" t="s">
        <v>1015</v>
      </c>
      <c r="H15" s="469"/>
      <c r="I15" s="482" t="s">
        <v>1046</v>
      </c>
      <c r="J15" s="483"/>
      <c r="K15" s="264"/>
      <c r="P15" s="266"/>
      <c r="Q15" s="466"/>
      <c r="R15" s="466"/>
    </row>
    <row r="16" spans="2:18" ht="15.4" customHeight="1" x14ac:dyDescent="0.25">
      <c r="B16" s="263"/>
      <c r="C16" s="467" t="s">
        <v>1017</v>
      </c>
      <c r="D16" s="467"/>
      <c r="E16" s="448">
        <f>VLOOKUP("no_noise_threshold",AUTO!$A$1:$B$1051,2,FALSE)</f>
        <v>32</v>
      </c>
      <c r="F16" s="449"/>
      <c r="G16" s="468" t="s">
        <v>1018</v>
      </c>
      <c r="H16" s="469"/>
      <c r="I16" s="450">
        <v>30000</v>
      </c>
      <c r="J16" s="447" t="s">
        <v>1019</v>
      </c>
      <c r="K16" s="264"/>
      <c r="P16" s="267"/>
      <c r="Q16" s="464"/>
      <c r="R16" s="464"/>
    </row>
    <row r="17" spans="2:18" ht="14.65" customHeight="1" x14ac:dyDescent="0.25">
      <c r="B17" s="263"/>
      <c r="C17" s="467" t="s">
        <v>1020</v>
      </c>
      <c r="D17" s="467"/>
      <c r="E17" s="448">
        <f>VLOOKUP("sample_volume_ml",AUTO!$A$1:$B$1051,2,FALSE)</f>
        <v>50</v>
      </c>
      <c r="F17" s="449"/>
      <c r="G17" s="470" t="s">
        <v>1021</v>
      </c>
      <c r="H17" s="471"/>
      <c r="I17" s="450">
        <v>30</v>
      </c>
      <c r="J17" s="447" t="s">
        <v>1022</v>
      </c>
      <c r="K17" s="264"/>
      <c r="P17" s="267"/>
      <c r="Q17" s="464"/>
      <c r="R17" s="464"/>
    </row>
    <row r="18" spans="2:18" ht="14.65" customHeight="1" x14ac:dyDescent="0.25">
      <c r="B18" s="263"/>
      <c r="C18" s="467" t="s">
        <v>1023</v>
      </c>
      <c r="D18" s="467"/>
      <c r="E18"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F18" s="449"/>
      <c r="G18" s="470" t="s">
        <v>1024</v>
      </c>
      <c r="H18" s="471"/>
      <c r="I18" s="450">
        <v>30</v>
      </c>
      <c r="J18" s="447" t="s">
        <v>1022</v>
      </c>
      <c r="K18" s="264"/>
      <c r="P18" s="267"/>
      <c r="Q18" s="464"/>
      <c r="R18" s="464"/>
    </row>
    <row r="19" spans="2:18" ht="14.65" customHeight="1" x14ac:dyDescent="0.25">
      <c r="B19" s="263"/>
      <c r="C19" s="472" t="s">
        <v>1025</v>
      </c>
      <c r="D19" s="472"/>
      <c r="E19" s="472"/>
      <c r="F19" s="472"/>
      <c r="G19" s="472"/>
      <c r="H19" s="472"/>
      <c r="I19" s="472"/>
      <c r="J19" s="472"/>
      <c r="K19" s="264"/>
      <c r="P19" s="267"/>
      <c r="Q19" s="464"/>
      <c r="R19" s="464"/>
    </row>
    <row r="20" spans="2:18" x14ac:dyDescent="0.25">
      <c r="B20" s="263"/>
      <c r="C20" s="446" t="s">
        <v>1026</v>
      </c>
      <c r="D20" s="463">
        <v>0.5</v>
      </c>
      <c r="E20" s="463"/>
      <c r="F20" s="446" t="s">
        <v>1027</v>
      </c>
      <c r="G20" s="446" t="s">
        <v>1028</v>
      </c>
      <c r="H20" s="463">
        <v>2.7</v>
      </c>
      <c r="I20" s="463"/>
      <c r="J20" s="446" t="s">
        <v>1029</v>
      </c>
      <c r="K20" s="264"/>
      <c r="P20" s="267"/>
      <c r="Q20" s="464"/>
      <c r="R20" s="464"/>
    </row>
    <row r="21" spans="2:18" x14ac:dyDescent="0.25">
      <c r="B21" s="263"/>
      <c r="C21" s="446" t="s">
        <v>1030</v>
      </c>
      <c r="D21" s="463">
        <v>0.6</v>
      </c>
      <c r="E21" s="463"/>
      <c r="F21" s="446" t="s">
        <v>1027</v>
      </c>
      <c r="G21" s="446" t="s">
        <v>1031</v>
      </c>
      <c r="H21" s="463">
        <v>8.3000000000000007</v>
      </c>
      <c r="I21" s="463"/>
      <c r="J21" s="446" t="s">
        <v>1029</v>
      </c>
      <c r="K21" s="264"/>
      <c r="P21" s="267"/>
      <c r="Q21" s="464"/>
      <c r="R21" s="464"/>
    </row>
    <row r="22" spans="2:18" x14ac:dyDescent="0.25">
      <c r="B22" s="263"/>
      <c r="C22" s="446" t="s">
        <v>1032</v>
      </c>
      <c r="D22" s="463">
        <v>10.199999999999999</v>
      </c>
      <c r="E22" s="463"/>
      <c r="F22" s="446" t="s">
        <v>1027</v>
      </c>
      <c r="G22" s="446" t="s">
        <v>1033</v>
      </c>
      <c r="H22" s="463">
        <v>8.3000000000000007</v>
      </c>
      <c r="I22" s="463"/>
      <c r="J22" s="446" t="s">
        <v>1029</v>
      </c>
      <c r="K22" s="264"/>
      <c r="P22" s="267"/>
      <c r="Q22" s="464"/>
      <c r="R22" s="464"/>
    </row>
    <row r="23" spans="2:18" ht="14.1" customHeight="1" x14ac:dyDescent="0.25">
      <c r="B23" s="263"/>
      <c r="C23" s="257"/>
      <c r="D23" s="257"/>
      <c r="E23" s="257"/>
      <c r="F23" s="257"/>
      <c r="G23" s="257"/>
      <c r="H23" s="257"/>
      <c r="I23" s="257"/>
      <c r="J23" s="257"/>
      <c r="K23" s="264"/>
      <c r="P23" s="267"/>
      <c r="Q23" s="464"/>
      <c r="R23" s="464"/>
    </row>
    <row r="24" spans="2:18" ht="14.65" customHeight="1" x14ac:dyDescent="0.25">
      <c r="B24" s="263"/>
      <c r="C24" s="465" t="s">
        <v>1034</v>
      </c>
      <c r="D24" s="465"/>
      <c r="E24" s="465"/>
      <c r="F24" s="257"/>
      <c r="G24" s="465" t="s">
        <v>1035</v>
      </c>
      <c r="H24" s="465"/>
      <c r="I24" s="465"/>
      <c r="J24" s="465"/>
      <c r="K24" s="264"/>
      <c r="P24" s="267"/>
      <c r="Q24" s="464"/>
      <c r="R24" s="464"/>
    </row>
    <row r="25" spans="2:18" ht="30" x14ac:dyDescent="0.25">
      <c r="B25" s="263"/>
      <c r="C25" s="453" t="s">
        <v>898</v>
      </c>
      <c r="D25" s="453" t="s">
        <v>1036</v>
      </c>
      <c r="E25" s="453" t="s">
        <v>1037</v>
      </c>
      <c r="F25" s="257"/>
      <c r="G25" s="453" t="s">
        <v>898</v>
      </c>
      <c r="H25" s="453" t="s">
        <v>1038</v>
      </c>
      <c r="I25" s="465" t="s">
        <v>1039</v>
      </c>
      <c r="J25" s="465"/>
      <c r="K25" s="264"/>
    </row>
    <row r="26" spans="2:18" x14ac:dyDescent="0.25">
      <c r="B26" s="263"/>
      <c r="C26" s="454" t="s">
        <v>1040</v>
      </c>
      <c r="D26" s="454" t="s">
        <v>1041</v>
      </c>
      <c r="E26" s="454" t="s">
        <v>1041</v>
      </c>
      <c r="F26" s="257"/>
      <c r="G26" s="454" t="s">
        <v>1040</v>
      </c>
      <c r="H26" s="454" t="s">
        <v>1041</v>
      </c>
      <c r="I26" s="462" t="s">
        <v>1042</v>
      </c>
      <c r="J26" s="462"/>
      <c r="K26" s="264"/>
    </row>
    <row r="27" spans="2:18" x14ac:dyDescent="0.25">
      <c r="B27" s="263"/>
      <c r="C27" s="448">
        <f>VLOOKUP("threshold32_0_sz",AUTO!$A$1:$B$1051,2,FALSE)</f>
        <v>4</v>
      </c>
      <c r="D27" s="448">
        <f>VLOOKUP("reference_count_0",AUTO!$A$1:$B$1051,2,FALSE)/100</f>
        <v>10563.4</v>
      </c>
      <c r="E27" s="456">
        <f>1095753/100</f>
        <v>10957.53</v>
      </c>
      <c r="F27" s="257"/>
      <c r="G27" s="448">
        <f>C27</f>
        <v>4</v>
      </c>
      <c r="H27" s="448">
        <f>D27</f>
        <v>10563.4</v>
      </c>
      <c r="I27" s="460">
        <f>VLOOKUP("threshold32_0_value",AUTO!$A$1:$B$1051,2,FALSE)</f>
        <v>82</v>
      </c>
      <c r="J27" s="461">
        <f>VLOOKUP("threshold32_0_sz",AUTO!$A$1:$B$1051,2,FALSE)</f>
        <v>4</v>
      </c>
      <c r="K27" s="264"/>
    </row>
    <row r="28" spans="2:18" x14ac:dyDescent="0.25">
      <c r="B28" s="263"/>
      <c r="C28" s="448">
        <f>VLOOKUP("threshold32_2_sz",AUTO!$A$1:$B$1051,2,FALSE)</f>
        <v>6</v>
      </c>
      <c r="D28" s="448">
        <f>VLOOKUP("reference_count_1",AUTO!$A$1:$B$1051,2,FALSE)/100</f>
        <v>4593.5</v>
      </c>
      <c r="E28" s="456">
        <f>463914/100</f>
        <v>4639.1400000000003</v>
      </c>
      <c r="F28" s="257"/>
      <c r="G28" s="448">
        <f t="shared" ref="G28:H35" si="0">C28</f>
        <v>6</v>
      </c>
      <c r="H28" s="448">
        <f t="shared" si="0"/>
        <v>4593.5</v>
      </c>
      <c r="I28" s="460">
        <f>VLOOKUP("threshold32_2_value",AUTO!$A$1:$B$1051,2,FALSE)</f>
        <v>204</v>
      </c>
      <c r="J28" s="461">
        <f>VLOOKUP("threshold32_2_sz",AUTO!$A$1:$B$1051,2,FALSE)</f>
        <v>6</v>
      </c>
      <c r="K28" s="264"/>
    </row>
    <row r="29" spans="2:18" x14ac:dyDescent="0.25">
      <c r="B29" s="263"/>
      <c r="C29" s="448">
        <f>VLOOKUP("threshold32_6_sz",AUTO!$A$1:$B$1051,2,FALSE)</f>
        <v>10</v>
      </c>
      <c r="D29" s="448">
        <f>VLOOKUP("reference_count32_6",AUTO!$A$1:$B$1051,2,FALSE)</f>
        <v>1069.5</v>
      </c>
      <c r="E29" s="456">
        <f>107953/100</f>
        <v>1079.53</v>
      </c>
      <c r="F29" s="257"/>
      <c r="G29" s="448">
        <f t="shared" si="0"/>
        <v>10</v>
      </c>
      <c r="H29" s="448">
        <f t="shared" si="0"/>
        <v>1069.5</v>
      </c>
      <c r="I29" s="460">
        <f>VLOOKUP("threshold32_6_value",AUTO!$A$1:$B$1051,2,FALSE)</f>
        <v>570</v>
      </c>
      <c r="J29" s="461">
        <f>VLOOKUP("threshold32_6_sz",AUTO!$A$1:$B$1051,2,FALSE)</f>
        <v>10</v>
      </c>
      <c r="K29" s="264"/>
    </row>
    <row r="30" spans="2:18" x14ac:dyDescent="0.25">
      <c r="B30" s="263"/>
      <c r="C30" s="448">
        <f>VLOOKUP("threshold32_10_sz",AUTO!$A$1:$B$1051,2,FALSE)</f>
        <v>14</v>
      </c>
      <c r="D30" s="448">
        <f>VLOOKUP("reference_count_2",AUTO!$A$1:$B$1051,2,FALSE)/100</f>
        <v>364.1</v>
      </c>
      <c r="E30" s="456">
        <f>35860/100</f>
        <v>358.6</v>
      </c>
      <c r="F30" s="257"/>
      <c r="G30" s="448">
        <f t="shared" si="0"/>
        <v>14</v>
      </c>
      <c r="H30" s="448">
        <f t="shared" si="0"/>
        <v>364.1</v>
      </c>
      <c r="I30" s="460">
        <f>VLOOKUP("threshold32_10_value",AUTO!$A$1:$B$1051,2,FALSE)</f>
        <v>1092</v>
      </c>
      <c r="J30" s="461">
        <f>VLOOKUP("threshold32_10_sz",AUTO!$A$1:$B$1051,2,FALSE)</f>
        <v>14</v>
      </c>
      <c r="K30" s="264"/>
    </row>
    <row r="31" spans="2:18" x14ac:dyDescent="0.25">
      <c r="B31" s="263"/>
      <c r="C31" s="448">
        <f>VLOOKUP("threshold32_17_sz",AUTO!$A$1:$B$1051,2,FALSE)</f>
        <v>21</v>
      </c>
      <c r="D31" s="448">
        <f>VLOOKUP("reference_count_3",AUTO!$A$1:$B$1051,2,FALSE)/100</f>
        <v>109.4</v>
      </c>
      <c r="E31" s="456">
        <f>10524/100</f>
        <v>105.24</v>
      </c>
      <c r="F31" s="257"/>
      <c r="G31" s="448">
        <f t="shared" si="0"/>
        <v>21</v>
      </c>
      <c r="H31" s="448">
        <f t="shared" si="0"/>
        <v>109.4</v>
      </c>
      <c r="I31" s="460">
        <f>VLOOKUP("threshold32_17_value",AUTO!$A$1:$B$1051,2,FALSE)</f>
        <v>2158</v>
      </c>
      <c r="J31" s="461">
        <f>VLOOKUP("threshold32_17_sz",AUTO!$A$1:$B$1051,2,FALSE)</f>
        <v>21</v>
      </c>
      <c r="K31" s="264"/>
    </row>
    <row r="32" spans="2:18" x14ac:dyDescent="0.25">
      <c r="B32" s="263"/>
      <c r="C32" s="448">
        <f>VLOOKUP("threshold32_21_sz",AUTO!$A$1:$B$1051,2,FALSE)</f>
        <v>25</v>
      </c>
      <c r="D32" s="448">
        <f>VLOOKUP("reference_count_4",AUTO!$A$1:$B$1051,2,FALSE)/100</f>
        <v>52.1</v>
      </c>
      <c r="E32" s="456">
        <f>4913/100</f>
        <v>49.13</v>
      </c>
      <c r="F32" s="257"/>
      <c r="G32" s="448">
        <f t="shared" si="0"/>
        <v>25</v>
      </c>
      <c r="H32" s="448">
        <f t="shared" si="0"/>
        <v>52.1</v>
      </c>
      <c r="I32" s="460">
        <f>VLOOKUP("threshold32_21_value",AUTO!$A$1:$B$1051,2,FALSE)</f>
        <v>3182</v>
      </c>
      <c r="J32" s="461">
        <f>VLOOKUP("threshold32_21_sz",AUTO!$A$1:$B$1051,2,FALSE)</f>
        <v>25</v>
      </c>
      <c r="K32" s="264"/>
    </row>
    <row r="33" spans="2:11" x14ac:dyDescent="0.25">
      <c r="B33" s="263"/>
      <c r="C33" s="448">
        <f>VLOOKUP("threshold32_27_sz",AUTO!$A$1:$B$1051,2,FALSE)</f>
        <v>38</v>
      </c>
      <c r="D33" s="448" t="s">
        <v>321</v>
      </c>
      <c r="E33" s="456">
        <f>292/100</f>
        <v>2.92</v>
      </c>
      <c r="F33" s="257"/>
      <c r="G33" s="448">
        <f t="shared" si="0"/>
        <v>38</v>
      </c>
      <c r="H33" s="448" t="str">
        <f t="shared" si="0"/>
        <v>-</v>
      </c>
      <c r="I33" s="460">
        <f>VLOOKUP("threshold32_27_value",AUTO!$A$1:$B$1051,2,FALSE)</f>
        <v>10154</v>
      </c>
      <c r="J33" s="461">
        <f>VLOOKUP("threshold32_27_sz",AUTO!$A$1:$B$1051,2,FALSE)</f>
        <v>38</v>
      </c>
      <c r="K33" s="264"/>
    </row>
    <row r="34" spans="2:11" x14ac:dyDescent="0.25">
      <c r="B34" s="263"/>
      <c r="C34" s="448">
        <f>VLOOKUP("threshold32_28_sz",AUTO!$A$1:$B$1051,2,FALSE)</f>
        <v>50</v>
      </c>
      <c r="D34" s="448" t="s">
        <v>321</v>
      </c>
      <c r="E34" s="456">
        <f>71/100</f>
        <v>0.71</v>
      </c>
      <c r="F34" s="257"/>
      <c r="G34" s="448">
        <f t="shared" si="0"/>
        <v>50</v>
      </c>
      <c r="H34" s="448" t="str">
        <f t="shared" si="0"/>
        <v>-</v>
      </c>
      <c r="I34" s="460">
        <f>VLOOKUP("threshold32_28_value",AUTO!$A$1:$B$1051,2,FALSE)</f>
        <v>15872</v>
      </c>
      <c r="J34" s="461">
        <f>VLOOKUP("threshold32_28_sz",AUTO!$A$1:$B$1051,2,FALSE)</f>
        <v>50</v>
      </c>
      <c r="K34" s="264"/>
    </row>
    <row r="35" spans="2:11" x14ac:dyDescent="0.25">
      <c r="B35" s="263"/>
      <c r="C35" s="448">
        <f>VLOOKUP("threshold32_29_sz",AUTO!$A$1:$B$1051,2,FALSE)</f>
        <v>70</v>
      </c>
      <c r="D35" s="448" t="s">
        <v>321</v>
      </c>
      <c r="E35" s="456">
        <f>11/100</f>
        <v>0.11</v>
      </c>
      <c r="F35" s="257"/>
      <c r="G35" s="448">
        <f t="shared" si="0"/>
        <v>70</v>
      </c>
      <c r="H35" s="448" t="str">
        <f t="shared" si="0"/>
        <v>-</v>
      </c>
      <c r="I35" s="460">
        <f>VLOOKUP("threshold32_29_value",AUTO!$A$1:$B$1051,2,FALSE)</f>
        <v>25309</v>
      </c>
      <c r="J35" s="461">
        <f>VLOOKUP("threshold32_29_sz",AUTO!$A$1:$B$1051,2,FALSE)</f>
        <v>70</v>
      </c>
      <c r="K35" s="264"/>
    </row>
    <row r="36" spans="2:11" x14ac:dyDescent="0.25">
      <c r="B36" s="263"/>
      <c r="C36" s="448"/>
      <c r="D36" s="448"/>
      <c r="E36" s="448"/>
      <c r="F36" s="257"/>
      <c r="G36" s="448"/>
      <c r="H36" s="448"/>
      <c r="I36" s="457"/>
      <c r="J36" s="457"/>
      <c r="K36" s="264"/>
    </row>
    <row r="37" spans="2:11" x14ac:dyDescent="0.25">
      <c r="B37" s="263"/>
      <c r="C37" s="448"/>
      <c r="D37" s="448"/>
      <c r="E37" s="448"/>
      <c r="F37" s="257"/>
      <c r="G37" s="448"/>
      <c r="H37" s="448"/>
      <c r="I37" s="457"/>
      <c r="J37" s="457"/>
      <c r="K37" s="264"/>
    </row>
    <row r="38" spans="2:11" x14ac:dyDescent="0.25">
      <c r="B38" s="263"/>
      <c r="C38" s="448"/>
      <c r="D38" s="448"/>
      <c r="E38" s="448"/>
      <c r="F38" s="257"/>
      <c r="G38" s="448"/>
      <c r="H38" s="448"/>
      <c r="I38" s="457"/>
      <c r="J38" s="457"/>
      <c r="K38" s="264"/>
    </row>
    <row r="39" spans="2:11" x14ac:dyDescent="0.25">
      <c r="B39" s="263"/>
      <c r="C39" s="448"/>
      <c r="D39" s="448"/>
      <c r="E39" s="448"/>
      <c r="F39" s="257"/>
      <c r="G39" s="448"/>
      <c r="H39" s="448"/>
      <c r="I39" s="457"/>
      <c r="J39" s="457"/>
      <c r="K39" s="264"/>
    </row>
    <row r="40" spans="2:11" x14ac:dyDescent="0.25">
      <c r="B40" s="263"/>
      <c r="C40" s="448"/>
      <c r="D40" s="448"/>
      <c r="E40" s="448"/>
      <c r="F40" s="257"/>
      <c r="G40" s="448"/>
      <c r="H40" s="448"/>
      <c r="I40" s="457"/>
      <c r="J40" s="457"/>
      <c r="K40" s="264"/>
    </row>
    <row r="41" spans="2:11" x14ac:dyDescent="0.25">
      <c r="B41" s="263"/>
      <c r="C41" s="448"/>
      <c r="D41" s="448"/>
      <c r="E41" s="448"/>
      <c r="F41" s="257"/>
      <c r="G41" s="448"/>
      <c r="H41" s="448"/>
      <c r="I41" s="457"/>
      <c r="J41" s="457"/>
      <c r="K41" s="264"/>
    </row>
    <row r="42" spans="2:11" x14ac:dyDescent="0.25">
      <c r="B42" s="263"/>
      <c r="C42" s="448"/>
      <c r="D42" s="448"/>
      <c r="E42" s="448"/>
      <c r="F42" s="257"/>
      <c r="G42" s="448"/>
      <c r="H42" s="448"/>
      <c r="I42" s="457"/>
      <c r="J42" s="457"/>
      <c r="K42" s="264"/>
    </row>
    <row r="43" spans="2:11" x14ac:dyDescent="0.25">
      <c r="B43" s="263"/>
      <c r="C43" s="448"/>
      <c r="D43" s="448"/>
      <c r="E43" s="448"/>
      <c r="F43" s="257"/>
      <c r="G43" s="448"/>
      <c r="H43" s="448"/>
      <c r="I43" s="457"/>
      <c r="J43" s="457"/>
      <c r="K43" s="264"/>
    </row>
    <row r="44" spans="2:11" x14ac:dyDescent="0.25">
      <c r="B44" s="263"/>
      <c r="C44" s="448"/>
      <c r="D44" s="448"/>
      <c r="E44" s="448"/>
      <c r="F44" s="257"/>
      <c r="G44" s="448"/>
      <c r="H44" s="448"/>
      <c r="I44" s="457"/>
      <c r="J44" s="457"/>
      <c r="K44" s="264"/>
    </row>
    <row r="45" spans="2:11" x14ac:dyDescent="0.25">
      <c r="B45" s="263"/>
      <c r="C45" s="448"/>
      <c r="D45" s="448"/>
      <c r="E45" s="448"/>
      <c r="F45" s="257"/>
      <c r="G45" s="448"/>
      <c r="H45" s="448"/>
      <c r="I45" s="457"/>
      <c r="J45" s="457"/>
      <c r="K45" s="264"/>
    </row>
    <row r="46" spans="2:11" x14ac:dyDescent="0.25">
      <c r="B46" s="263"/>
      <c r="C46" s="448"/>
      <c r="D46" s="448"/>
      <c r="E46" s="448"/>
      <c r="F46" s="257"/>
      <c r="G46" s="448"/>
      <c r="H46" s="448"/>
      <c r="I46" s="457"/>
      <c r="J46" s="457"/>
      <c r="K46" s="264"/>
    </row>
    <row r="47" spans="2:11" x14ac:dyDescent="0.25">
      <c r="B47" s="263"/>
      <c r="K47" s="264"/>
    </row>
    <row r="48" spans="2:11" ht="14.65" customHeight="1" x14ac:dyDescent="0.25">
      <c r="B48" s="263"/>
      <c r="C48" s="458" t="s">
        <v>1047</v>
      </c>
      <c r="D48" s="459"/>
      <c r="E48" s="459"/>
      <c r="F48" s="459"/>
      <c r="G48" s="459"/>
      <c r="H48" s="459"/>
      <c r="I48" s="459"/>
      <c r="J48" s="459"/>
      <c r="K48" s="264"/>
    </row>
    <row r="49" spans="2:11" x14ac:dyDescent="0.25">
      <c r="B49" s="263"/>
      <c r="C49" s="459"/>
      <c r="D49" s="459"/>
      <c r="E49" s="459"/>
      <c r="F49" s="459"/>
      <c r="G49" s="459"/>
      <c r="H49" s="459"/>
      <c r="I49" s="459"/>
      <c r="J49" s="459"/>
      <c r="K49" s="264"/>
    </row>
    <row r="50" spans="2:11" x14ac:dyDescent="0.25">
      <c r="B50" s="263"/>
      <c r="C50" s="459"/>
      <c r="D50" s="459"/>
      <c r="E50" s="459"/>
      <c r="F50" s="459"/>
      <c r="G50" s="459"/>
      <c r="H50" s="459"/>
      <c r="I50" s="459"/>
      <c r="J50" s="459"/>
      <c r="K50" s="264"/>
    </row>
    <row r="51" spans="2:11" x14ac:dyDescent="0.25">
      <c r="B51" s="263"/>
      <c r="C51" s="459"/>
      <c r="D51" s="459"/>
      <c r="E51" s="459"/>
      <c r="F51" s="459"/>
      <c r="G51" s="459"/>
      <c r="H51" s="459"/>
      <c r="I51" s="459"/>
      <c r="J51" s="459"/>
      <c r="K51" s="264"/>
    </row>
    <row r="52" spans="2:11" x14ac:dyDescent="0.25">
      <c r="B52" s="263"/>
      <c r="C52" s="459"/>
      <c r="D52" s="459"/>
      <c r="E52" s="459"/>
      <c r="F52" s="459"/>
      <c r="G52" s="459"/>
      <c r="H52" s="459"/>
      <c r="I52" s="459"/>
      <c r="J52" s="459"/>
      <c r="K52" s="264"/>
    </row>
    <row r="53" spans="2:11" x14ac:dyDescent="0.25">
      <c r="B53" s="268"/>
      <c r="C53" s="269"/>
      <c r="D53" s="269"/>
      <c r="E53" s="269"/>
      <c r="F53" s="269"/>
      <c r="G53" s="269"/>
      <c r="H53" s="269"/>
      <c r="I53" s="269"/>
      <c r="J53" s="269"/>
      <c r="K53" s="270"/>
    </row>
  </sheetData>
  <mergeCells count="58">
    <mergeCell ref="C10:J11"/>
    <mergeCell ref="C12:C15"/>
    <mergeCell ref="G12:H12"/>
    <mergeCell ref="I12:J12"/>
    <mergeCell ref="G13:H13"/>
    <mergeCell ref="I13:J13"/>
    <mergeCell ref="G14:H14"/>
    <mergeCell ref="I14:J14"/>
    <mergeCell ref="G15:H15"/>
    <mergeCell ref="I15:J15"/>
    <mergeCell ref="D20:E20"/>
    <mergeCell ref="H20:I20"/>
    <mergeCell ref="Q20:R20"/>
    <mergeCell ref="Q15:R15"/>
    <mergeCell ref="C16:D16"/>
    <mergeCell ref="G16:H16"/>
    <mergeCell ref="Q16:R16"/>
    <mergeCell ref="C17:D17"/>
    <mergeCell ref="G17:H17"/>
    <mergeCell ref="Q17:R17"/>
    <mergeCell ref="C18:D18"/>
    <mergeCell ref="G18:H18"/>
    <mergeCell ref="Q18:R18"/>
    <mergeCell ref="C19:J19"/>
    <mergeCell ref="Q19:R19"/>
    <mergeCell ref="I26:J26"/>
    <mergeCell ref="D21:E21"/>
    <mergeCell ref="H21:I21"/>
    <mergeCell ref="Q21:R21"/>
    <mergeCell ref="D22:E22"/>
    <mergeCell ref="H22:I22"/>
    <mergeCell ref="Q22:R22"/>
    <mergeCell ref="Q23:R23"/>
    <mergeCell ref="C24:E24"/>
    <mergeCell ref="G24:J24"/>
    <mergeCell ref="Q24:R24"/>
    <mergeCell ref="I25:J25"/>
    <mergeCell ref="I38:J38"/>
    <mergeCell ref="I27:J27"/>
    <mergeCell ref="I28:J28"/>
    <mergeCell ref="I29:J29"/>
    <mergeCell ref="I30:J30"/>
    <mergeCell ref="I31:J31"/>
    <mergeCell ref="I32:J32"/>
    <mergeCell ref="I33:J33"/>
    <mergeCell ref="I34:J34"/>
    <mergeCell ref="I35:J35"/>
    <mergeCell ref="I36:J36"/>
    <mergeCell ref="I37:J37"/>
    <mergeCell ref="I45:J45"/>
    <mergeCell ref="I46:J46"/>
    <mergeCell ref="C48:J52"/>
    <mergeCell ref="I39:J39"/>
    <mergeCell ref="I40:J40"/>
    <mergeCell ref="I41:J41"/>
    <mergeCell ref="I42:J42"/>
    <mergeCell ref="I43:J43"/>
    <mergeCell ref="I44:J44"/>
  </mergeCells>
  <hyperlinks>
    <hyperlink ref="C8" r:id="rId1" xr:uid="{2F61B39F-FCE3-4965-AEA0-7483E31B7299}"/>
  </hyperlinks>
  <pageMargins left="0.25" right="0.25" top="0.75" bottom="0.75" header="0.3" footer="0.3"/>
  <pageSetup scale="91" fitToWidth="0"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D8A31C-973F-41F7-AD5F-0FE588061AAB}">
  <ds:schemaRefs>
    <ds:schemaRef ds:uri="http://schemas.microsoft.com/office/2006/metadata/properties"/>
    <ds:schemaRef ds:uri="http://schemas.microsoft.com/office/infopath/2007/PartnerControls"/>
    <ds:schemaRef ds:uri="5618c633-c8fa-4306-aeb4-38d5faabf3f3"/>
    <ds:schemaRef ds:uri="572944f8-833f-4c78-98b4-5f94e81f5976"/>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19</vt:i4>
      </vt:variant>
      <vt:variant>
        <vt:lpstr>Charts</vt:lpstr>
      </vt:variant>
      <vt:variant>
        <vt:i4>2</vt:i4>
      </vt:variant>
      <vt:variant>
        <vt:lpstr>Named Ranges</vt:lpstr>
      </vt:variant>
      <vt:variant>
        <vt:i4>15</vt:i4>
      </vt:variant>
    </vt:vector>
  </HeadingPairs>
  <TitlesOfParts>
    <vt:vector size="36"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D2</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Emily Hayward</cp:lastModifiedBy>
  <cp:revision/>
  <dcterms:created xsi:type="dcterms:W3CDTF">2002-07-09T10:21:12Z</dcterms:created>
  <dcterms:modified xsi:type="dcterms:W3CDTF">2026-06-18T12:41:05Z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