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016A16B7-15EC-4628-B0D0-84232913D72D}"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<sst xmlns="http://schemas.openxmlformats.org/spreadsheetml/2006/main" count="12122" uniqueCount="1049">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</sst>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59" fillId="16" borderId="37" xfId="6" applyFont="1" applyFill="1" applyBorder="1" applyAlignment="1">
      <alignment horizontal="left" vertical="center" wrapText="1"/>
    </xf>
    <xf numFmtId="0" fontId="66" fillId="0" borderId="37" xfId="6" applyFont="1" applyBorder="1" applyAlignment="1">
      <alignment horizontal="center" vertical="center" wrapText="1"/>
    </xf>
    <xf numFmtId="0" fontId="59" fillId="16" borderId="37" xfId="6" applyFont="1" applyFill="1" applyBorder="1" applyAlignment="1">
      <alignment horizontal="center" vertical="center" wrapText="1"/>
    </xf>
    <xf numFmtId="0" fontId="65" fillId="15" borderId="37" xfId="6" applyFont="1" applyFill="1" applyBorder="1" applyAlignment="1">
      <alignment horizontal="left" vertical="center" wrapText="1"/>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0" fillId="0" borderId="0" xfId="0" applyAlignment="1">
      <alignment vertical="center"/>
    </xf>
    <xf numFmtId="0" fontId="43" fillId="0" borderId="0" xfId="0" applyFont="1" applyAlignment="1">
      <alignment horizontal="left" vertical="center"/>
    </xf>
    <xf numFmtId="172" fontId="52" fillId="6" borderId="0" xfId="0" applyNumberFormat="1" applyFont="1" applyFill="1" applyAlignment="1">
      <alignment horizontal="center" vertical="center"/>
    </xf>
    <xf numFmtId="0" fontId="47" fillId="12" borderId="0" xfId="0" applyFont="1" applyFill="1" applyAlignment="1">
      <alignment horizontal="center" vertical="center"/>
    </xf>
    <xf numFmtId="0" fontId="47" fillId="12" borderId="3" xfId="0" applyFont="1" applyFill="1" applyBorder="1" applyAlignment="1">
      <alignment horizontal="center" vertical="center"/>
    </xf>
    <xf numFmtId="0" fontId="44" fillId="0" borderId="0" xfId="0" applyFont="1" applyAlignment="1">
      <alignment horizontal="center" vertical="center"/>
    </xf>
    <xf numFmtId="0" fontId="44" fillId="11" borderId="0" xfId="0" applyFont="1" applyFill="1" applyAlignment="1">
      <alignment horizontal="center" vertical="center"/>
    </xf>
    <xf numFmtId="172" fontId="49" fillId="6" borderId="0" xfId="0" applyNumberFormat="1" applyFont="1" applyFill="1" applyAlignment="1">
      <alignment horizontal="center" vertical="center"/>
    </xf>
    <xf numFmtId="0" fontId="45" fillId="6" borderId="0" xfId="0" applyFont="1" applyFill="1" applyAlignment="1">
      <alignment horizontal="center" vertical="center"/>
    </xf>
    <xf numFmtId="0" fontId="43" fillId="6" borderId="5" xfId="0" applyFont="1" applyFill="1" applyBorder="1" applyAlignment="1">
      <alignment vertical="center"/>
    </xf>
    <xf numFmtId="173" fontId="44" fillId="6" borderId="0" xfId="0" applyNumberFormat="1" applyFont="1" applyFill="1" applyAlignment="1">
      <alignment horizontal="center" vertical="center"/>
    </xf>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6" borderId="0" xfId="0" applyFont="1" applyFill="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6" borderId="0" xfId="0" applyFont="1" applyFill="1" applyAlignment="1">
      <alignment horizontal="center" vertical="center"/>
    </xf>
    <xf numFmtId="0" fontId="3" fillId="0" borderId="0" xfId="0" applyFont="1"/>
    <xf numFmtId="0" fontId="0" fillId="0" borderId="0" xfId="0"/>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55" fillId="12" borderId="0" xfId="0" applyFont="1" applyFill="1" applyAlignment="1">
      <alignment horizontal="center" vertical="center"/>
    </xf>
    <xf numFmtId="0" fontId="47" fillId="6" borderId="0" xfId="0" applyFont="1" applyFill="1" applyAlignment="1">
      <alignment horizontal="center" vertical="center"/>
    </xf>
    <xf numFmtId="172" fontId="44" fillId="10" borderId="0" xfId="0" applyNumberFormat="1" applyFont="1" applyFill="1" applyAlignment="1">
      <alignment horizontal="center" vertical="center"/>
    </xf>
    <xf numFmtId="0" fontId="2" fillId="0" borderId="0" xfId="0" applyFont="1"/>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3" fillId="10" borderId="23" xfId="0" applyFont="1" applyFill="1" applyBorder="1" applyAlignment="1" applyProtection="1">
      <alignment horizontal="left" vertical="center"/>
      <protection locked="0"/>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172" fontId="44" fillId="10" borderId="0" xfId="0" applyNumberFormat="1" applyFont="1" applyFill="1" applyAlignment="1" applyProtection="1">
      <alignment horizontal="center" vertical="center"/>
      <protection locked="0"/>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1" fontId="24" fillId="0" borderId="37" xfId="0" applyNumberFormat="1" applyFont="1" applyBorder="1" applyAlignment="1">
      <alignment horizontal="center" vertical="center" wrapText="1"/>
    </xf>
    <xf numFmtId="0" fontId="60" fillId="0" borderId="0" xfId="0" applyFont="1" applyAlignment="1">
      <alignment horizontal="left" vertical="center"/>
    </xf>
    <xf numFmtId="0" fontId="36" fillId="2" borderId="29" xfId="0"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2" borderId="37" xfId="0" applyNumberFormat="1" applyFont="1" applyFill="1" applyBorder="1" applyAlignment="1">
      <alignment horizontal="center" vertical="center" wrapText="1"/>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23" fillId="0" borderId="37" xfId="0" applyFont="1" applyBorder="1" applyAlignment="1">
      <alignment horizontal="center" vertical="center" wrapText="1"/>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14" fontId="0" fillId="2" borderId="0" xfId="0" applyNumberForma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38" fillId="9" borderId="37" xfId="0" applyFont="1" applyFill="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5" fillId="15" borderId="37" xfId="0" applyFont="1" applyFill="1" applyBorder="1" applyAlignment="1">
      <alignment horizontal="left" vertical="center" wrapText="1"/>
    </xf>
    <xf numFmtId="0" fontId="64" fillId="0" borderId="0" xfId="6" applyFont="1" applyAlignment="1">
      <alignment horizontal="center"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184</c:v>
                </c:pt>
                <c:pt idx="2">
                  <c:v>1004</c:v>
                </c:pt>
                <c:pt idx="3">
                  <c:v>2096</c:v>
                </c:pt>
                <c:pt idx="4">
                  <c:v>3116</c:v>
                </c:pt>
                <c:pt idx="5">
                  <c:v>10301</c:v>
                </c:pt>
                <c:pt idx="6">
                  <c:v>15776</c:v>
                </c:pt>
                <c:pt idx="7">
                  <c:v>24523</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1056121</c:v>
                </c:pt>
                <c:pt idx="1">
                  <c:v>462144</c:v>
                </c:pt>
                <c:pt idx="2">
                  <c:v>108095</c:v>
                </c:pt>
                <c:pt idx="3">
                  <c:v>36990</c:v>
                </c:pt>
                <c:pt idx="4">
                  <c:v>10613</c:v>
                </c:pt>
                <c:pt idx="5">
                  <c:v>4874</c:v>
                </c:pt>
                <c:pt idx="6">
                  <c:v>446</c:v>
                </c:pt>
                <c:pt idx="7">
                  <c:v>83</c:v>
                </c:pt>
                <c:pt idx="8">
                  <c:v>13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63010068</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78</v>
      </c>
      <c r="H8" s="99"/>
      <c r="I8" s="99"/>
    </row>
    <row r="9" spans="1:9" x14ac:dyDescent="0.2">
      <c r="A9" s="642" t="s">
        <v>31</v>
      </c>
      <c r="B9" s="642">
        <v>184</v>
      </c>
      <c r="H9" s="99"/>
      <c r="I9" s="99"/>
    </row>
    <row r="10" spans="1:9" x14ac:dyDescent="0.2">
      <c r="A10" s="642" t="s">
        <v>32</v>
      </c>
      <c r="B10" s="642">
        <v>1004</v>
      </c>
      <c r="H10" s="99"/>
      <c r="I10" s="99"/>
    </row>
    <row r="11" spans="1:9" x14ac:dyDescent="0.2">
      <c r="A11" s="642" t="s">
        <v>33</v>
      </c>
      <c r="B11" s="642">
        <v>2096</v>
      </c>
      <c r="H11" s="99"/>
      <c r="I11" s="99"/>
    </row>
    <row r="12" spans="1:9" x14ac:dyDescent="0.2">
      <c r="A12" s="642" t="s">
        <v>34</v>
      </c>
      <c r="B12" s="642">
        <v>3116</v>
      </c>
      <c r="H12" s="99"/>
      <c r="I12" s="99"/>
    </row>
    <row r="13" spans="1:9" x14ac:dyDescent="0.2">
      <c r="A13" s="642" t="s">
        <v>35</v>
      </c>
      <c r="B13" s="642">
        <v>10301</v>
      </c>
      <c r="H13" s="99"/>
      <c r="I13" s="99"/>
    </row>
    <row r="14" spans="1:9" x14ac:dyDescent="0.2">
      <c r="A14" s="642" t="s">
        <v>36</v>
      </c>
      <c r="B14" s="642">
        <v>15776</v>
      </c>
      <c r="H14" s="99"/>
      <c r="I14" s="99"/>
    </row>
    <row r="15" spans="1:9" x14ac:dyDescent="0.2">
      <c r="A15" s="642" t="s">
        <v>37</v>
      </c>
      <c r="B15" s="642">
        <v>24523</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12956</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10</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78</v>
      </c>
      <c r="H52" s="99"/>
      <c r="I52" s="99"/>
    </row>
    <row r="53" spans="1:9" x14ac:dyDescent="0.2">
      <c r="A53" s="642" t="s">
        <v>75</v>
      </c>
      <c r="B53" s="642">
        <v>124</v>
      </c>
      <c r="H53" s="99"/>
      <c r="I53" s="99"/>
    </row>
    <row r="54" spans="1:9" x14ac:dyDescent="0.2">
      <c r="A54" s="642" t="s">
        <v>76</v>
      </c>
      <c r="B54" s="642">
        <v>184</v>
      </c>
      <c r="H54" s="99"/>
      <c r="I54" s="99"/>
    </row>
    <row r="55" spans="1:9" x14ac:dyDescent="0.2">
      <c r="A55" s="642" t="s">
        <v>77</v>
      </c>
      <c r="B55" s="642">
        <v>248</v>
      </c>
      <c r="H55" s="99"/>
      <c r="I55" s="99"/>
    </row>
    <row r="56" spans="1:9" x14ac:dyDescent="0.2">
      <c r="A56" s="642" t="s">
        <v>78</v>
      </c>
      <c r="B56" s="642">
        <v>328</v>
      </c>
      <c r="H56" s="99"/>
      <c r="I56" s="99"/>
    </row>
    <row r="57" spans="1:9" x14ac:dyDescent="0.2">
      <c r="A57" s="642" t="s">
        <v>79</v>
      </c>
      <c r="B57" s="642">
        <v>420</v>
      </c>
      <c r="H57" s="99"/>
      <c r="I57" s="99"/>
    </row>
    <row r="58" spans="1:9" x14ac:dyDescent="0.2">
      <c r="A58" s="642" t="s">
        <v>80</v>
      </c>
      <c r="B58" s="642">
        <v>518</v>
      </c>
      <c r="H58" s="99"/>
    </row>
    <row r="59" spans="1:9" x14ac:dyDescent="0.2">
      <c r="A59" s="642" t="s">
        <v>81</v>
      </c>
      <c r="B59" s="642">
        <v>630</v>
      </c>
      <c r="H59" s="99"/>
      <c r="I59" s="99"/>
    </row>
    <row r="60" spans="1:9" x14ac:dyDescent="0.2">
      <c r="A60" s="642" t="s">
        <v>82</v>
      </c>
      <c r="B60" s="642">
        <v>750</v>
      </c>
      <c r="H60" s="99"/>
      <c r="I60" s="99"/>
    </row>
    <row r="61" spans="1:9" x14ac:dyDescent="0.2">
      <c r="A61" s="642" t="s">
        <v>83</v>
      </c>
      <c r="B61" s="642">
        <v>874</v>
      </c>
      <c r="H61" s="99"/>
      <c r="I61" s="99"/>
    </row>
    <row r="62" spans="1:9" x14ac:dyDescent="0.2">
      <c r="A62" s="642" t="s">
        <v>84</v>
      </c>
      <c r="B62" s="642">
        <v>1004</v>
      </c>
      <c r="H62" s="99"/>
      <c r="I62" s="99"/>
    </row>
    <row r="63" spans="1:9" x14ac:dyDescent="0.2">
      <c r="A63" s="642" t="s">
        <v>85</v>
      </c>
      <c r="B63" s="642">
        <v>1148</v>
      </c>
      <c r="H63" s="99"/>
      <c r="I63" s="99"/>
    </row>
    <row r="64" spans="1:9" x14ac:dyDescent="0.2">
      <c r="A64" s="642" t="s">
        <v>86</v>
      </c>
      <c r="B64" s="642">
        <v>1292</v>
      </c>
      <c r="H64" s="99"/>
      <c r="I64" s="99"/>
    </row>
    <row r="65" spans="1:9" x14ac:dyDescent="0.2">
      <c r="A65" s="642" t="s">
        <v>87</v>
      </c>
      <c r="B65" s="642">
        <v>1428</v>
      </c>
      <c r="H65" s="99"/>
      <c r="I65" s="99"/>
    </row>
    <row r="66" spans="1:9" x14ac:dyDescent="0.2">
      <c r="A66" s="642" t="s">
        <v>88</v>
      </c>
      <c r="B66" s="642">
        <v>1568</v>
      </c>
      <c r="H66" s="99"/>
      <c r="I66" s="99"/>
    </row>
    <row r="67" spans="1:9" x14ac:dyDescent="0.2">
      <c r="A67" s="642" t="s">
        <v>89</v>
      </c>
      <c r="B67" s="642">
        <v>1714</v>
      </c>
      <c r="H67" s="99"/>
      <c r="I67" s="99"/>
    </row>
    <row r="68" spans="1:9" x14ac:dyDescent="0.2">
      <c r="A68" s="642" t="s">
        <v>90</v>
      </c>
      <c r="B68" s="642">
        <v>1902</v>
      </c>
      <c r="H68" s="99"/>
      <c r="I68" s="99"/>
    </row>
    <row r="69" spans="1:9" x14ac:dyDescent="0.2">
      <c r="A69" s="642" t="s">
        <v>91</v>
      </c>
      <c r="B69" s="642">
        <v>2096</v>
      </c>
      <c r="H69" s="99"/>
      <c r="I69" s="99"/>
    </row>
    <row r="70" spans="1:9" x14ac:dyDescent="0.2">
      <c r="A70" s="642" t="s">
        <v>92</v>
      </c>
      <c r="B70" s="642">
        <v>2312</v>
      </c>
      <c r="H70" s="99"/>
      <c r="I70" s="99"/>
    </row>
    <row r="71" spans="1:9" x14ac:dyDescent="0.2">
      <c r="A71" s="642" t="s">
        <v>93</v>
      </c>
      <c r="B71" s="642">
        <v>2536</v>
      </c>
      <c r="H71" s="99"/>
      <c r="I71" s="99"/>
    </row>
    <row r="72" spans="1:9" x14ac:dyDescent="0.2">
      <c r="A72" s="642" t="s">
        <v>94</v>
      </c>
      <c r="B72" s="642">
        <v>2808</v>
      </c>
      <c r="H72" s="99"/>
      <c r="I72" s="99"/>
    </row>
    <row r="73" spans="1:9" x14ac:dyDescent="0.2">
      <c r="A73" s="642" t="s">
        <v>95</v>
      </c>
      <c r="B73" s="642">
        <v>3116</v>
      </c>
      <c r="H73" s="99"/>
      <c r="I73" s="99"/>
    </row>
    <row r="74" spans="1:9" x14ac:dyDescent="0.2">
      <c r="A74" s="642" t="s">
        <v>96</v>
      </c>
      <c r="B74" s="642">
        <v>3406</v>
      </c>
      <c r="H74" s="99"/>
      <c r="I74" s="99"/>
    </row>
    <row r="75" spans="1:9" x14ac:dyDescent="0.2">
      <c r="A75" s="642" t="s">
        <v>97</v>
      </c>
      <c r="B75" s="642">
        <v>3748</v>
      </c>
      <c r="H75" s="99"/>
    </row>
    <row r="76" spans="1:9" x14ac:dyDescent="0.2">
      <c r="A76" s="642" t="s">
        <v>98</v>
      </c>
      <c r="B76" s="642">
        <v>4076</v>
      </c>
      <c r="H76" s="99"/>
      <c r="I76" s="99"/>
    </row>
    <row r="77" spans="1:9" x14ac:dyDescent="0.2">
      <c r="A77" s="642" t="s">
        <v>99</v>
      </c>
      <c r="B77" s="642">
        <v>4384</v>
      </c>
      <c r="H77" s="99"/>
    </row>
    <row r="78" spans="1:9" x14ac:dyDescent="0.2">
      <c r="A78" s="642" t="s">
        <v>100</v>
      </c>
      <c r="B78" s="642">
        <v>4784</v>
      </c>
      <c r="H78" s="99"/>
      <c r="I78" s="99"/>
    </row>
    <row r="79" spans="1:9" x14ac:dyDescent="0.2">
      <c r="A79" s="642" t="s">
        <v>101</v>
      </c>
      <c r="B79" s="642">
        <v>10301</v>
      </c>
      <c r="H79" s="99"/>
      <c r="I79" s="99"/>
    </row>
    <row r="80" spans="1:9" x14ac:dyDescent="0.2">
      <c r="A80" s="642" t="s">
        <v>102</v>
      </c>
      <c r="B80" s="642">
        <v>15776</v>
      </c>
      <c r="H80" s="99"/>
      <c r="I80" s="99"/>
    </row>
    <row r="81" spans="1:9" x14ac:dyDescent="0.2">
      <c r="A81" s="642" t="s">
        <v>103</v>
      </c>
      <c r="B81" s="642">
        <v>24523</v>
      </c>
      <c r="H81" s="99"/>
      <c r="I81" s="99"/>
    </row>
    <row r="82" spans="1:9" x14ac:dyDescent="0.2">
      <c r="A82" s="642" t="s">
        <v>104</v>
      </c>
      <c r="B82" s="642">
        <v>22206</v>
      </c>
      <c r="H82" s="99"/>
      <c r="I82" s="99"/>
    </row>
    <row r="83" spans="1:9" x14ac:dyDescent="0.2">
      <c r="A83" s="642" t="s">
        <v>105</v>
      </c>
      <c r="B83" s="642">
        <v>22206</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1056121</v>
      </c>
      <c r="H117" s="99"/>
      <c r="I117" s="99"/>
    </row>
    <row r="118" spans="1:9" x14ac:dyDescent="0.2">
      <c r="A118" s="642" t="s">
        <v>140</v>
      </c>
      <c r="B118" s="642">
        <v>462144</v>
      </c>
      <c r="H118" s="99"/>
      <c r="I118" s="99"/>
    </row>
    <row r="119" spans="1:9" x14ac:dyDescent="0.2">
      <c r="A119" s="642" t="s">
        <v>141</v>
      </c>
      <c r="B119" s="642">
        <v>36990</v>
      </c>
      <c r="H119" s="99"/>
      <c r="I119" s="99"/>
    </row>
    <row r="120" spans="1:9" x14ac:dyDescent="0.2">
      <c r="A120" s="642" t="s">
        <v>142</v>
      </c>
      <c r="B120" s="642">
        <v>10613</v>
      </c>
      <c r="H120" s="99"/>
      <c r="I120" s="99"/>
    </row>
    <row r="121" spans="1:9" x14ac:dyDescent="0.2">
      <c r="A121" s="642" t="s">
        <v>143</v>
      </c>
      <c r="B121" s="642">
        <v>4874</v>
      </c>
      <c r="H121" s="99"/>
      <c r="I121" s="99"/>
    </row>
    <row r="122" spans="1:9" x14ac:dyDescent="0.2">
      <c r="A122" s="642" t="s">
        <v>144</v>
      </c>
      <c r="B122" s="642">
        <v>446</v>
      </c>
      <c r="H122" s="99"/>
      <c r="I122" s="99"/>
    </row>
    <row r="123" spans="1:9" x14ac:dyDescent="0.2">
      <c r="A123" s="642" t="s">
        <v>145</v>
      </c>
      <c r="B123" s="642">
        <v>83</v>
      </c>
      <c r="H123" s="99"/>
      <c r="I123" s="99"/>
    </row>
    <row r="124" spans="1:9" x14ac:dyDescent="0.2">
      <c r="A124" s="642" t="s">
        <v>146</v>
      </c>
      <c r="B124" s="642">
        <v>13</v>
      </c>
      <c r="H124" s="99"/>
      <c r="I124" s="99"/>
    </row>
    <row r="125" spans="1:9" x14ac:dyDescent="0.2">
      <c r="A125" s="642" t="s">
        <v>147</v>
      </c>
      <c r="B125" s="642">
        <v>1056121</v>
      </c>
      <c r="H125" s="99"/>
      <c r="I125" s="99"/>
    </row>
    <row r="126" spans="1:9" x14ac:dyDescent="0.2">
      <c r="A126" s="642" t="s">
        <v>148</v>
      </c>
      <c r="B126" s="642">
        <v>462144</v>
      </c>
      <c r="H126" s="99"/>
      <c r="I126" s="99"/>
    </row>
    <row r="127" spans="1:9" x14ac:dyDescent="0.2">
      <c r="A127" s="642" t="s">
        <v>149</v>
      </c>
      <c r="B127" s="642">
        <v>36990</v>
      </c>
      <c r="H127" s="99"/>
      <c r="I127" s="99"/>
    </row>
    <row r="128" spans="1:9" x14ac:dyDescent="0.2">
      <c r="A128" s="642" t="s">
        <v>150</v>
      </c>
      <c r="B128" s="642">
        <v>10613</v>
      </c>
      <c r="H128" s="99"/>
      <c r="I128" s="99"/>
    </row>
    <row r="129" spans="1:9" x14ac:dyDescent="0.2">
      <c r="A129" s="642" t="s">
        <v>151</v>
      </c>
      <c r="B129" s="642">
        <v>4874</v>
      </c>
      <c r="H129" s="99"/>
      <c r="I129" s="99"/>
    </row>
    <row r="130" spans="1:9" x14ac:dyDescent="0.2">
      <c r="A130" s="642" t="s">
        <v>152</v>
      </c>
      <c r="B130" s="642">
        <v>446</v>
      </c>
      <c r="H130" s="99"/>
      <c r="I130" s="100"/>
    </row>
    <row r="131" spans="1:9" x14ac:dyDescent="0.2">
      <c r="A131" s="642" t="s">
        <v>153</v>
      </c>
      <c r="B131" s="642">
        <v>83</v>
      </c>
      <c r="H131" s="99"/>
      <c r="I131" s="99"/>
    </row>
    <row r="132" spans="1:9" x14ac:dyDescent="0.2">
      <c r="A132" s="642" t="s">
        <v>154</v>
      </c>
      <c r="B132" s="642">
        <v>13</v>
      </c>
      <c r="H132" s="99"/>
      <c r="I132" s="99"/>
    </row>
    <row r="133" spans="1:9" x14ac:dyDescent="0.2">
      <c r="A133" s="642" t="s">
        <v>155</v>
      </c>
      <c r="B133" s="642">
        <v>1056121</v>
      </c>
      <c r="H133" s="99"/>
      <c r="I133" s="99"/>
    </row>
    <row r="134" spans="1:9" x14ac:dyDescent="0.2">
      <c r="A134" s="642" t="s">
        <v>156</v>
      </c>
      <c r="B134" s="642">
        <v>462144</v>
      </c>
      <c r="H134" s="99"/>
      <c r="I134" s="99"/>
    </row>
    <row r="135" spans="1:9" x14ac:dyDescent="0.2">
      <c r="A135" s="642" t="s">
        <v>157</v>
      </c>
      <c r="B135" s="642">
        <v>36990</v>
      </c>
      <c r="H135" s="99"/>
      <c r="I135" s="99"/>
    </row>
    <row r="136" spans="1:9" x14ac:dyDescent="0.2">
      <c r="A136" s="642" t="s">
        <v>158</v>
      </c>
      <c r="B136" s="642">
        <v>10613</v>
      </c>
      <c r="H136" s="99"/>
      <c r="I136" s="99"/>
    </row>
    <row r="137" spans="1:9" x14ac:dyDescent="0.2">
      <c r="A137" s="642" t="s">
        <v>159</v>
      </c>
      <c r="B137" s="642">
        <v>4874</v>
      </c>
      <c r="H137" s="99"/>
      <c r="I137" s="99"/>
    </row>
    <row r="138" spans="1:9" x14ac:dyDescent="0.2">
      <c r="A138" s="642" t="s">
        <v>160</v>
      </c>
      <c r="B138" s="642">
        <v>446</v>
      </c>
      <c r="H138" s="99"/>
      <c r="I138" s="99"/>
    </row>
    <row r="139" spans="1:9" x14ac:dyDescent="0.2">
      <c r="A139" s="642" t="s">
        <v>161</v>
      </c>
      <c r="B139" s="642">
        <v>83</v>
      </c>
      <c r="H139" s="99"/>
      <c r="I139" s="99"/>
    </row>
    <row r="140" spans="1:9" x14ac:dyDescent="0.2">
      <c r="A140" s="642" t="s">
        <v>162</v>
      </c>
      <c r="B140" s="642">
        <v>13</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10561.2</v>
      </c>
    </row>
    <row r="150" spans="1:2" x14ac:dyDescent="0.2">
      <c r="A150" s="642" t="s">
        <v>172</v>
      </c>
      <c r="B150" s="642">
        <v>6950.97</v>
      </c>
    </row>
    <row r="151" spans="1:2" x14ac:dyDescent="0.2">
      <c r="A151" s="642" t="s">
        <v>173</v>
      </c>
      <c r="B151" s="642">
        <v>4621.45</v>
      </c>
    </row>
    <row r="152" spans="1:2" x14ac:dyDescent="0.2">
      <c r="A152" s="642" t="s">
        <v>174</v>
      </c>
      <c r="B152" s="642">
        <v>3232.72</v>
      </c>
    </row>
    <row r="153" spans="1:2" x14ac:dyDescent="0.2">
      <c r="A153" s="642" t="s">
        <v>175</v>
      </c>
      <c r="B153" s="642">
        <v>2208.19</v>
      </c>
    </row>
    <row r="154" spans="1:2" x14ac:dyDescent="0.2">
      <c r="A154" s="642" t="s">
        <v>176</v>
      </c>
      <c r="B154" s="642">
        <v>1515.4</v>
      </c>
    </row>
    <row r="155" spans="1:2" x14ac:dyDescent="0.2">
      <c r="A155" s="642" t="s">
        <v>177</v>
      </c>
      <c r="B155" s="642">
        <v>1080.95</v>
      </c>
    </row>
    <row r="156" spans="1:2" x14ac:dyDescent="0.2">
      <c r="A156" s="642" t="s">
        <v>178</v>
      </c>
      <c r="B156" s="642">
        <v>787.02499999999998</v>
      </c>
    </row>
    <row r="157" spans="1:2" x14ac:dyDescent="0.2">
      <c r="A157" s="642" t="s">
        <v>179</v>
      </c>
      <c r="B157" s="642">
        <v>596.12400000000002</v>
      </c>
    </row>
    <row r="158" spans="1:2" x14ac:dyDescent="0.2">
      <c r="A158" s="642" t="s">
        <v>180</v>
      </c>
      <c r="B158" s="642">
        <v>464.05500000000001</v>
      </c>
    </row>
    <row r="159" spans="1:2" x14ac:dyDescent="0.2">
      <c r="A159" s="642" t="s">
        <v>181</v>
      </c>
      <c r="B159" s="642">
        <v>369.90499999999997</v>
      </c>
    </row>
    <row r="160" spans="1:2" x14ac:dyDescent="0.2">
      <c r="A160" s="642" t="s">
        <v>182</v>
      </c>
      <c r="B160" s="642">
        <v>295.971</v>
      </c>
    </row>
    <row r="161" spans="1:2" x14ac:dyDescent="0.2">
      <c r="A161" s="642" t="s">
        <v>183</v>
      </c>
      <c r="B161" s="642">
        <v>244.667</v>
      </c>
    </row>
    <row r="162" spans="1:2" x14ac:dyDescent="0.2">
      <c r="A162" s="642" t="s">
        <v>184</v>
      </c>
      <c r="B162" s="642">
        <v>207.53700000000001</v>
      </c>
    </row>
    <row r="163" spans="1:2" x14ac:dyDescent="0.2">
      <c r="A163" s="642" t="s">
        <v>185</v>
      </c>
      <c r="B163" s="642">
        <v>178.77199999999999</v>
      </c>
    </row>
    <row r="164" spans="1:2" x14ac:dyDescent="0.2">
      <c r="A164" s="642" t="s">
        <v>186</v>
      </c>
      <c r="B164" s="642">
        <v>153.77099999999999</v>
      </c>
    </row>
    <row r="165" spans="1:2" x14ac:dyDescent="0.2">
      <c r="A165" s="642" t="s">
        <v>187</v>
      </c>
      <c r="B165" s="642">
        <v>127.46899999999999</v>
      </c>
    </row>
    <row r="166" spans="1:2" x14ac:dyDescent="0.2">
      <c r="A166" s="642" t="s">
        <v>188</v>
      </c>
      <c r="B166" s="642">
        <v>106.139</v>
      </c>
    </row>
    <row r="167" spans="1:2" x14ac:dyDescent="0.2">
      <c r="A167" s="642" t="s">
        <v>189</v>
      </c>
      <c r="B167" s="642">
        <v>88.572800000000001</v>
      </c>
    </row>
    <row r="168" spans="1:2" x14ac:dyDescent="0.2">
      <c r="A168" s="642" t="s">
        <v>190</v>
      </c>
      <c r="B168" s="642">
        <v>74.073999999999998</v>
      </c>
    </row>
    <row r="169" spans="1:2" x14ac:dyDescent="0.2">
      <c r="A169" s="642" t="s">
        <v>191</v>
      </c>
      <c r="B169" s="642">
        <v>60.458199999999998</v>
      </c>
    </row>
    <row r="170" spans="1:2" x14ac:dyDescent="0.2">
      <c r="A170" s="642" t="s">
        <v>192</v>
      </c>
      <c r="B170" s="642">
        <v>48.747599999999998</v>
      </c>
    </row>
    <row r="171" spans="1:2" x14ac:dyDescent="0.2">
      <c r="A171" s="642" t="s">
        <v>193</v>
      </c>
      <c r="B171" s="642">
        <v>40.7547</v>
      </c>
    </row>
    <row r="172" spans="1:2" x14ac:dyDescent="0.2">
      <c r="A172" s="642" t="s">
        <v>194</v>
      </c>
      <c r="B172" s="642">
        <v>33.877000000000002</v>
      </c>
    </row>
    <row r="173" spans="1:2" x14ac:dyDescent="0.2">
      <c r="A173" s="642" t="s">
        <v>195</v>
      </c>
      <c r="B173" s="642">
        <v>27.928799999999999</v>
      </c>
    </row>
    <row r="174" spans="1:2" x14ac:dyDescent="0.2">
      <c r="A174" s="642" t="s">
        <v>196</v>
      </c>
      <c r="B174" s="642">
        <v>23.606999999999999</v>
      </c>
    </row>
    <row r="175" spans="1:2" x14ac:dyDescent="0.2">
      <c r="A175" s="642" t="s">
        <v>197</v>
      </c>
      <c r="B175" s="642">
        <v>19.3782</v>
      </c>
    </row>
    <row r="176" spans="1:2" x14ac:dyDescent="0.2">
      <c r="A176" s="642" t="s">
        <v>198</v>
      </c>
      <c r="B176" s="642">
        <v>4.4611700000000001</v>
      </c>
    </row>
    <row r="177" spans="1:2" x14ac:dyDescent="0.2">
      <c r="A177" s="642" t="s">
        <v>199</v>
      </c>
      <c r="B177" s="642">
        <v>0.83647000000000005</v>
      </c>
    </row>
    <row r="178" spans="1:2" x14ac:dyDescent="0.2">
      <c r="A178" s="642" t="s">
        <v>200</v>
      </c>
      <c r="B178" s="642">
        <v>0.13941200000000001</v>
      </c>
    </row>
    <row r="179" spans="1:2" x14ac:dyDescent="0.2">
      <c r="A179" s="642" t="s">
        <v>201</v>
      </c>
      <c r="B179" s="642">
        <v>0.13941200000000001</v>
      </c>
    </row>
    <row r="180" spans="1:2" x14ac:dyDescent="0.2">
      <c r="A180" s="642" t="s">
        <v>202</v>
      </c>
      <c r="B180" s="642">
        <v>0.13941200000000001</v>
      </c>
    </row>
    <row r="181" spans="1:2" x14ac:dyDescent="0.2">
      <c r="A181" s="642" t="s">
        <v>203</v>
      </c>
      <c r="B181" s="642">
        <v>10561.2</v>
      </c>
    </row>
    <row r="182" spans="1:2" x14ac:dyDescent="0.2">
      <c r="A182" s="642" t="s">
        <v>204</v>
      </c>
      <c r="B182" s="642">
        <v>6950.97</v>
      </c>
    </row>
    <row r="183" spans="1:2" x14ac:dyDescent="0.2">
      <c r="A183" s="642" t="s">
        <v>205</v>
      </c>
      <c r="B183" s="642">
        <v>4621.45</v>
      </c>
    </row>
    <row r="184" spans="1:2" x14ac:dyDescent="0.2">
      <c r="A184" s="642" t="s">
        <v>206</v>
      </c>
      <c r="B184" s="642">
        <v>3232.72</v>
      </c>
    </row>
    <row r="185" spans="1:2" x14ac:dyDescent="0.2">
      <c r="A185" s="642" t="s">
        <v>207</v>
      </c>
      <c r="B185" s="642">
        <v>2208.19</v>
      </c>
    </row>
    <row r="186" spans="1:2" x14ac:dyDescent="0.2">
      <c r="A186" s="642" t="s">
        <v>208</v>
      </c>
      <c r="B186" s="642">
        <v>1515.4</v>
      </c>
    </row>
    <row r="187" spans="1:2" x14ac:dyDescent="0.2">
      <c r="A187" s="642" t="s">
        <v>209</v>
      </c>
      <c r="B187" s="642">
        <v>1080.95</v>
      </c>
    </row>
    <row r="188" spans="1:2" x14ac:dyDescent="0.2">
      <c r="A188" s="642" t="s">
        <v>210</v>
      </c>
      <c r="B188" s="642">
        <v>787.02499999999998</v>
      </c>
    </row>
    <row r="189" spans="1:2" x14ac:dyDescent="0.2">
      <c r="A189" s="642" t="s">
        <v>211</v>
      </c>
      <c r="B189" s="642">
        <v>596.12400000000002</v>
      </c>
    </row>
    <row r="190" spans="1:2" x14ac:dyDescent="0.2">
      <c r="A190" s="642" t="s">
        <v>212</v>
      </c>
      <c r="B190" s="642">
        <v>464.05500000000001</v>
      </c>
    </row>
    <row r="191" spans="1:2" x14ac:dyDescent="0.2">
      <c r="A191" s="642" t="s">
        <v>213</v>
      </c>
      <c r="B191" s="642">
        <v>369.90499999999997</v>
      </c>
    </row>
    <row r="192" spans="1:2" x14ac:dyDescent="0.2">
      <c r="A192" s="642" t="s">
        <v>214</v>
      </c>
      <c r="B192" s="642">
        <v>295.971</v>
      </c>
    </row>
    <row r="193" spans="1:2" x14ac:dyDescent="0.2">
      <c r="A193" s="642" t="s">
        <v>215</v>
      </c>
      <c r="B193" s="642">
        <v>244.667</v>
      </c>
    </row>
    <row r="194" spans="1:2" x14ac:dyDescent="0.2">
      <c r="A194" s="642" t="s">
        <v>216</v>
      </c>
      <c r="B194" s="642">
        <v>207.53700000000001</v>
      </c>
    </row>
    <row r="195" spans="1:2" x14ac:dyDescent="0.2">
      <c r="A195" s="642" t="s">
        <v>217</v>
      </c>
      <c r="B195" s="642">
        <v>178.77199999999999</v>
      </c>
    </row>
    <row r="196" spans="1:2" x14ac:dyDescent="0.2">
      <c r="A196" s="642" t="s">
        <v>218</v>
      </c>
      <c r="B196" s="642">
        <v>153.77099999999999</v>
      </c>
    </row>
    <row r="197" spans="1:2" x14ac:dyDescent="0.2">
      <c r="A197" s="642" t="s">
        <v>219</v>
      </c>
      <c r="B197" s="642">
        <v>127.46899999999999</v>
      </c>
    </row>
    <row r="198" spans="1:2" x14ac:dyDescent="0.2">
      <c r="A198" s="642" t="s">
        <v>220</v>
      </c>
      <c r="B198" s="642">
        <v>106.139</v>
      </c>
    </row>
    <row r="199" spans="1:2" x14ac:dyDescent="0.2">
      <c r="A199" s="642" t="s">
        <v>221</v>
      </c>
      <c r="B199" s="642">
        <v>88.572800000000001</v>
      </c>
    </row>
    <row r="200" spans="1:2" x14ac:dyDescent="0.2">
      <c r="A200" s="642" t="s">
        <v>222</v>
      </c>
      <c r="B200" s="642">
        <v>74.073999999999998</v>
      </c>
    </row>
    <row r="201" spans="1:2" x14ac:dyDescent="0.2">
      <c r="A201" s="642" t="s">
        <v>223</v>
      </c>
      <c r="B201" s="642">
        <v>60.458199999999998</v>
      </c>
    </row>
    <row r="202" spans="1:2" x14ac:dyDescent="0.2">
      <c r="A202" s="642" t="s">
        <v>224</v>
      </c>
      <c r="B202" s="642">
        <v>48.747599999999998</v>
      </c>
    </row>
    <row r="203" spans="1:2" x14ac:dyDescent="0.2">
      <c r="A203" s="642" t="s">
        <v>225</v>
      </c>
      <c r="B203" s="642">
        <v>40.7547</v>
      </c>
    </row>
    <row r="204" spans="1:2" x14ac:dyDescent="0.2">
      <c r="A204" s="642" t="s">
        <v>226</v>
      </c>
      <c r="B204" s="642">
        <v>33.877000000000002</v>
      </c>
    </row>
    <row r="205" spans="1:2" x14ac:dyDescent="0.2">
      <c r="A205" s="642" t="s">
        <v>227</v>
      </c>
      <c r="B205" s="642">
        <v>27.928799999999999</v>
      </c>
    </row>
    <row r="206" spans="1:2" x14ac:dyDescent="0.2">
      <c r="A206" s="642" t="s">
        <v>228</v>
      </c>
      <c r="B206" s="642">
        <v>23.606999999999999</v>
      </c>
    </row>
    <row r="207" spans="1:2" x14ac:dyDescent="0.2">
      <c r="A207" s="642" t="s">
        <v>229</v>
      </c>
      <c r="B207" s="642">
        <v>19.3782</v>
      </c>
    </row>
    <row r="208" spans="1:2" x14ac:dyDescent="0.2">
      <c r="A208" s="642" t="s">
        <v>230</v>
      </c>
      <c r="B208" s="642">
        <v>4.4611700000000001</v>
      </c>
    </row>
    <row r="209" spans="1:2" x14ac:dyDescent="0.2">
      <c r="A209" s="642" t="s">
        <v>231</v>
      </c>
      <c r="B209" s="642">
        <v>0.83647000000000005</v>
      </c>
    </row>
    <row r="210" spans="1:2" x14ac:dyDescent="0.2">
      <c r="A210" s="642" t="s">
        <v>232</v>
      </c>
      <c r="B210" s="642">
        <v>0.13941200000000001</v>
      </c>
    </row>
    <row r="211" spans="1:2" x14ac:dyDescent="0.2">
      <c r="A211" s="642" t="s">
        <v>233</v>
      </c>
      <c r="B211" s="642">
        <v>0.13941200000000001</v>
      </c>
    </row>
    <row r="212" spans="1:2" x14ac:dyDescent="0.2">
      <c r="A212" s="642" t="s">
        <v>234</v>
      </c>
      <c r="B212" s="642">
        <v>0.13941200000000001</v>
      </c>
    </row>
    <row r="213" spans="1:2" x14ac:dyDescent="0.2">
      <c r="A213" s="642" t="s">
        <v>235</v>
      </c>
      <c r="B213" s="642">
        <v>10561.2</v>
      </c>
    </row>
    <row r="214" spans="1:2" x14ac:dyDescent="0.2">
      <c r="A214" s="642" t="s">
        <v>236</v>
      </c>
      <c r="B214" s="642">
        <v>6950.97</v>
      </c>
    </row>
    <row r="215" spans="1:2" x14ac:dyDescent="0.2">
      <c r="A215" s="642" t="s">
        <v>237</v>
      </c>
      <c r="B215" s="642">
        <v>4621.45</v>
      </c>
    </row>
    <row r="216" spans="1:2" x14ac:dyDescent="0.2">
      <c r="A216" s="642" t="s">
        <v>238</v>
      </c>
      <c r="B216" s="642">
        <v>3232.72</v>
      </c>
    </row>
    <row r="217" spans="1:2" x14ac:dyDescent="0.2">
      <c r="A217" s="642" t="s">
        <v>239</v>
      </c>
      <c r="B217" s="642">
        <v>2208.19</v>
      </c>
    </row>
    <row r="218" spans="1:2" x14ac:dyDescent="0.2">
      <c r="A218" s="642" t="s">
        <v>240</v>
      </c>
      <c r="B218" s="642">
        <v>1515.4</v>
      </c>
    </row>
    <row r="219" spans="1:2" x14ac:dyDescent="0.2">
      <c r="A219" s="642" t="s">
        <v>241</v>
      </c>
      <c r="B219" s="642">
        <v>1080.95</v>
      </c>
    </row>
    <row r="220" spans="1:2" x14ac:dyDescent="0.2">
      <c r="A220" s="642" t="s">
        <v>242</v>
      </c>
      <c r="B220" s="642">
        <v>787.02499999999998</v>
      </c>
    </row>
    <row r="221" spans="1:2" x14ac:dyDescent="0.2">
      <c r="A221" s="642" t="s">
        <v>243</v>
      </c>
      <c r="B221" s="642">
        <v>596.12400000000002</v>
      </c>
    </row>
    <row r="222" spans="1:2" x14ac:dyDescent="0.2">
      <c r="A222" s="642" t="s">
        <v>244</v>
      </c>
      <c r="B222" s="642">
        <v>464.05500000000001</v>
      </c>
    </row>
    <row r="223" spans="1:2" x14ac:dyDescent="0.2">
      <c r="A223" s="642" t="s">
        <v>245</v>
      </c>
      <c r="B223" s="642">
        <v>369.90499999999997</v>
      </c>
    </row>
    <row r="224" spans="1:2" x14ac:dyDescent="0.2">
      <c r="A224" s="642" t="s">
        <v>246</v>
      </c>
      <c r="B224" s="642">
        <v>295.971</v>
      </c>
    </row>
    <row r="225" spans="1:2" x14ac:dyDescent="0.2">
      <c r="A225" s="642" t="s">
        <v>247</v>
      </c>
      <c r="B225" s="642">
        <v>244.667</v>
      </c>
    </row>
    <row r="226" spans="1:2" x14ac:dyDescent="0.2">
      <c r="A226" s="642" t="s">
        <v>248</v>
      </c>
      <c r="B226" s="642">
        <v>207.53700000000001</v>
      </c>
    </row>
    <row r="227" spans="1:2" x14ac:dyDescent="0.2">
      <c r="A227" s="642" t="s">
        <v>249</v>
      </c>
      <c r="B227" s="642">
        <v>178.77199999999999</v>
      </c>
    </row>
    <row r="228" spans="1:2" x14ac:dyDescent="0.2">
      <c r="A228" s="642" t="s">
        <v>250</v>
      </c>
      <c r="B228" s="642">
        <v>153.77099999999999</v>
      </c>
    </row>
    <row r="229" spans="1:2" x14ac:dyDescent="0.2">
      <c r="A229" s="642" t="s">
        <v>251</v>
      </c>
      <c r="B229" s="642">
        <v>127.46899999999999</v>
      </c>
    </row>
    <row r="230" spans="1:2" x14ac:dyDescent="0.2">
      <c r="A230" s="642" t="s">
        <v>252</v>
      </c>
      <c r="B230" s="642">
        <v>106.139</v>
      </c>
    </row>
    <row r="231" spans="1:2" x14ac:dyDescent="0.2">
      <c r="A231" s="642" t="s">
        <v>253</v>
      </c>
      <c r="B231" s="642">
        <v>88.572800000000001</v>
      </c>
    </row>
    <row r="232" spans="1:2" x14ac:dyDescent="0.2">
      <c r="A232" s="642" t="s">
        <v>254</v>
      </c>
      <c r="B232" s="642">
        <v>74.073999999999998</v>
      </c>
    </row>
    <row r="233" spans="1:2" x14ac:dyDescent="0.2">
      <c r="A233" s="642" t="s">
        <v>255</v>
      </c>
      <c r="B233" s="642">
        <v>60.458199999999998</v>
      </c>
    </row>
    <row r="234" spans="1:2" x14ac:dyDescent="0.2">
      <c r="A234" s="642" t="s">
        <v>256</v>
      </c>
      <c r="B234" s="642">
        <v>48.747599999999998</v>
      </c>
    </row>
    <row r="235" spans="1:2" x14ac:dyDescent="0.2">
      <c r="A235" s="642" t="s">
        <v>257</v>
      </c>
      <c r="B235" s="642">
        <v>40.7547</v>
      </c>
    </row>
    <row r="236" spans="1:2" x14ac:dyDescent="0.2">
      <c r="A236" s="642" t="s">
        <v>258</v>
      </c>
      <c r="B236" s="642">
        <v>33.877000000000002</v>
      </c>
    </row>
    <row r="237" spans="1:2" x14ac:dyDescent="0.2">
      <c r="A237" s="642" t="s">
        <v>259</v>
      </c>
      <c r="B237" s="642">
        <v>27.928799999999999</v>
      </c>
    </row>
    <row r="238" spans="1:2" x14ac:dyDescent="0.2">
      <c r="A238" s="642" t="s">
        <v>260</v>
      </c>
      <c r="B238" s="642">
        <v>23.606999999999999</v>
      </c>
    </row>
    <row r="239" spans="1:2" x14ac:dyDescent="0.2">
      <c r="A239" s="642" t="s">
        <v>261</v>
      </c>
      <c r="B239" s="642">
        <v>19.3782</v>
      </c>
    </row>
    <row r="240" spans="1:2" x14ac:dyDescent="0.2">
      <c r="A240" s="642" t="s">
        <v>262</v>
      </c>
      <c r="B240" s="642">
        <v>4.4611700000000001</v>
      </c>
    </row>
    <row r="241" spans="1:2" x14ac:dyDescent="0.2">
      <c r="A241" s="642" t="s">
        <v>263</v>
      </c>
      <c r="B241" s="642">
        <v>0.83647000000000005</v>
      </c>
    </row>
    <row r="242" spans="1:2" x14ac:dyDescent="0.2">
      <c r="A242" s="642" t="s">
        <v>264</v>
      </c>
      <c r="B242" s="642">
        <v>0.13941200000000001</v>
      </c>
    </row>
    <row r="243" spans="1:2" x14ac:dyDescent="0.2">
      <c r="A243" s="642" t="s">
        <v>265</v>
      </c>
      <c r="B243" s="642">
        <v>0.13941200000000001</v>
      </c>
    </row>
    <row r="244" spans="1:2" x14ac:dyDescent="0.2">
      <c r="A244" s="642" t="s">
        <v>266</v>
      </c>
      <c r="B244" s="642">
        <v>0.13941200000000001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45</v>
      </c>
    </row>
    <row r="279" spans="1:2" x14ac:dyDescent="0.2">
      <c r="A279" s="642" t="s">
        <v>301</v>
      </c>
      <c r="B279" s="642">
        <v>357</v>
      </c>
    </row>
    <row r="280" spans="1:2" x14ac:dyDescent="0.2">
      <c r="A280" s="642" t="s">
        <v>302</v>
      </c>
      <c r="B280" s="642">
        <v>12983</v>
      </c>
    </row>
    <row r="281" spans="1:2" x14ac:dyDescent="0.2">
      <c r="A281" s="643" t="s">
        <v>303</v>
      </c>
      <c r="B281" s="642">
        <v>33</v>
      </c>
    </row>
    <row r="282" spans="1:2" x14ac:dyDescent="0.2">
      <c r="A282" s="642" t="s">
        <v>304</v>
      </c>
      <c r="B282" s="642"/>
    </row>
    <row r="283" spans="1:2" x14ac:dyDescent="0.2">
      <c r="A283" s="643" t="s">
        <v>305</v>
      </c>
      <c r="B283" s="642">
        <v>46192.5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505"/>
      <c r="G7" s="505"/>
      <c r="H7" s="505"/>
      <c r="I7" s="505"/>
      <c r="J7" s="505"/>
      <c r="K7" s="505"/>
      <c r="L7" s="505"/>
      <c r="M7" s="505"/>
      <c r="N7" s="505"/>
      <c r="O7" s="505"/>
      <c r="P7" s="505"/>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6" t="s">
        <v>343</v>
      </c>
      <c r="F8" s="507"/>
      <c r="G8" s="507"/>
      <c r="H8" s="507"/>
      <c r="I8" s="507"/>
      <c r="J8" s="507"/>
      <c r="K8" s="507"/>
      <c r="L8" s="507"/>
      <c r="M8" s="507"/>
      <c r="N8" s="507"/>
      <c r="O8" s="507"/>
      <c r="P8" s="507"/>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8"/>
      <c r="F12" s="509"/>
      <c r="G12" s="509"/>
      <c r="H12" s="509"/>
      <c r="I12" s="509"/>
      <c r="J12" s="509"/>
      <c r="K12" s="509"/>
      <c r="L12" s="509"/>
      <c r="M12" s="509"/>
      <c r="N12" s="509"/>
      <c r="O12" s="509"/>
      <c r="P12" s="509"/>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510"/>
      <c r="F14" s="510"/>
      <c r="G14" s="510"/>
      <c r="H14" s="510"/>
      <c r="I14" s="510"/>
      <c r="J14" s="510"/>
      <c r="K14" s="510"/>
      <c r="L14" s="510"/>
      <c r="M14" s="510"/>
      <c r="N14" s="510"/>
      <c r="O14" s="510"/>
      <c r="P14" s="510"/>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517" t="s">
        <v>358</v>
      </c>
      <c r="D19" s="517"/>
      <c r="E19" s="517"/>
      <c r="F19" s="517"/>
      <c r="G19" s="517"/>
      <c r="H19" s="517"/>
      <c r="I19" s="517"/>
      <c r="J19" s="517"/>
      <c r="K19" s="517"/>
      <c r="L19" s="517"/>
      <c r="M19" s="517"/>
      <c r="N19" s="517"/>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517" t="s">
        <v>370</v>
      </c>
      <c r="D30" s="517"/>
      <c r="E30" s="517"/>
      <c r="F30" s="517"/>
      <c r="G30" s="517"/>
      <c r="H30" s="517"/>
      <c r="I30" s="517"/>
      <c r="J30" s="517"/>
      <c r="K30" s="517"/>
      <c r="L30" s="517"/>
      <c r="M30" s="517"/>
      <c r="N30" s="517"/>
    </row>
    <row r="31" spans="1:23" ht="15" customHeight="1" x14ac:dyDescent="0.2">
      <c r="A31" s="144" t="b">
        <v>1</v>
      </c>
      <c r="B31" s="184">
        <f>B29+1</f>
        <v>25</v>
      </c>
      <c r="C31" s="119" t="s">
        <v>371</v>
      </c>
      <c r="D31" s="304"/>
      <c r="E31" s="487" t="s">
        <v>372</v>
      </c>
      <c r="F31" s="487"/>
      <c r="G31" s="493" t="str">
        <f>IF($D$31=$D$10,"ON TIME",IF($D$31&gt;$D$10,"LATE",IF($D$31&lt;$D$10,"EARLY")))</f>
        <v>ON TIME</v>
      </c>
      <c r="H31" s="493"/>
      <c r="I31" s="493"/>
      <c r="J31" s="493"/>
      <c r="K31" s="493"/>
      <c r="L31" s="493"/>
      <c r="M31" s="493"/>
      <c r="N31" s="493"/>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518"/>
      <c r="F55" s="518"/>
      <c r="G55" s="518"/>
      <c r="H55" s="518"/>
      <c r="I55" s="518"/>
      <c r="J55" s="518"/>
      <c r="K55" s="518"/>
      <c r="L55" s="518"/>
      <c r="M55" s="518"/>
      <c r="N55" s="518"/>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9" t="s">
        <v>433</v>
      </c>
      <c r="D75" s="489"/>
      <c r="E75" s="489"/>
      <c r="F75" s="489"/>
      <c r="G75" s="489"/>
      <c r="H75" s="489"/>
      <c r="I75" s="489"/>
      <c r="J75" s="489"/>
      <c r="K75" s="489"/>
      <c r="L75" s="489"/>
      <c r="M75" s="489"/>
      <c r="N75" s="489"/>
      <c r="O75" s="489"/>
      <c r="P75" s="148"/>
    </row>
    <row r="76" spans="1:18" s="139" customFormat="1" x14ac:dyDescent="0.2">
      <c r="A76" s="144" t="b">
        <v>0</v>
      </c>
      <c r="B76" s="184" t="e">
        <f>B74+1</f>
        <v>#REF!</v>
      </c>
      <c r="C76" s="153"/>
      <c r="D76" s="313" t="s">
        <v>434</v>
      </c>
      <c r="E76" s="510"/>
      <c r="F76" s="510"/>
      <c r="G76" s="510"/>
      <c r="H76" s="510"/>
      <c r="I76" s="510"/>
      <c r="J76" s="510"/>
      <c r="K76" s="510"/>
      <c r="L76" s="510"/>
      <c r="M76" s="510"/>
      <c r="N76" s="510"/>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2" t="s">
        <v>438</v>
      </c>
      <c r="F79" s="492"/>
      <c r="G79" s="492"/>
      <c r="H79" s="492"/>
      <c r="I79" s="492"/>
      <c r="J79" s="492"/>
      <c r="K79" s="492"/>
      <c r="L79" s="492"/>
      <c r="M79" s="492"/>
      <c r="N79" s="492"/>
      <c r="O79" s="138"/>
      <c r="P79" s="137"/>
    </row>
    <row r="80" spans="1:18" s="139" customFormat="1" x14ac:dyDescent="0.2">
      <c r="A80" s="144" t="b">
        <v>1</v>
      </c>
      <c r="B80" s="184" t="e">
        <f t="shared" ref="B80:B105" si="3">B79+1</f>
        <v>#REF!</v>
      </c>
      <c r="C80" s="188" t="s">
        <v>439</v>
      </c>
      <c r="D80" s="292"/>
      <c r="E80" s="510"/>
      <c r="F80" s="510"/>
      <c r="G80" s="510"/>
      <c r="H80" s="510"/>
      <c r="I80" s="510"/>
      <c r="J80" s="510"/>
      <c r="K80" s="510"/>
      <c r="L80" s="510"/>
      <c r="M80" s="510"/>
      <c r="N80" s="510"/>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510"/>
      <c r="F81" s="510"/>
      <c r="G81" s="510"/>
      <c r="H81" s="510"/>
      <c r="I81" s="510"/>
      <c r="J81" s="510"/>
      <c r="K81" s="510"/>
      <c r="L81" s="510"/>
      <c r="M81" s="510"/>
      <c r="N81" s="510"/>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9"/>
      <c r="D82" s="489"/>
      <c r="E82" s="489"/>
      <c r="F82" s="489"/>
      <c r="G82" s="489"/>
      <c r="H82" s="489"/>
      <c r="I82" s="489"/>
      <c r="J82" s="489"/>
      <c r="K82" s="489"/>
      <c r="L82" s="489"/>
      <c r="M82" s="489"/>
      <c r="N82" s="489"/>
      <c r="O82" s="489"/>
      <c r="P82" s="148"/>
    </row>
    <row r="83" spans="1:17" s="139" customFormat="1" hidden="1" x14ac:dyDescent="0.2">
      <c r="A83" s="144" t="b">
        <v>1</v>
      </c>
      <c r="B83" s="184"/>
      <c r="C83" s="159"/>
      <c r="D83" s="313"/>
      <c r="E83" s="513"/>
      <c r="F83" s="514"/>
      <c r="G83" s="514"/>
      <c r="H83" s="514"/>
      <c r="I83" s="514"/>
      <c r="J83" s="514"/>
      <c r="K83" s="505"/>
      <c r="L83" s="505"/>
      <c r="M83" s="505"/>
      <c r="N83" s="505"/>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2"/>
      <c r="F85" s="492"/>
      <c r="G85" s="492"/>
      <c r="H85" s="492"/>
      <c r="I85" s="492"/>
      <c r="J85" s="492"/>
      <c r="K85" s="492"/>
      <c r="L85" s="492"/>
      <c r="M85" s="492"/>
      <c r="N85" s="492"/>
      <c r="P85" s="137"/>
      <c r="Q85" s="138"/>
    </row>
    <row r="86" spans="1:17" s="139" customFormat="1" hidden="1" x14ac:dyDescent="0.2">
      <c r="A86" s="144"/>
      <c r="B86" s="184"/>
      <c r="C86" s="159"/>
      <c r="D86" s="312"/>
      <c r="E86" s="487"/>
      <c r="F86" s="487"/>
      <c r="G86" s="487"/>
      <c r="H86" s="487"/>
      <c r="I86" s="487"/>
      <c r="J86" s="487"/>
      <c r="K86" s="519"/>
      <c r="L86" s="519"/>
      <c r="M86" s="519"/>
      <c r="N86" s="519"/>
      <c r="O86" s="138"/>
      <c r="P86" s="137"/>
    </row>
    <row r="87" spans="1:17" s="139" customFormat="1" hidden="1" x14ac:dyDescent="0.2">
      <c r="A87" s="144"/>
      <c r="B87" s="184"/>
      <c r="C87" s="159"/>
      <c r="D87" s="312"/>
      <c r="E87" s="492"/>
      <c r="F87" s="492"/>
      <c r="G87" s="492"/>
      <c r="H87" s="492"/>
      <c r="I87" s="492"/>
      <c r="J87" s="492"/>
      <c r="K87" s="492"/>
      <c r="L87" s="492"/>
      <c r="M87" s="492"/>
      <c r="N87" s="492"/>
      <c r="P87" s="137"/>
      <c r="Q87" s="138"/>
    </row>
    <row r="88" spans="1:17" s="139" customFormat="1" hidden="1" x14ac:dyDescent="0.2">
      <c r="A88" s="144"/>
      <c r="B88" s="184"/>
      <c r="C88" s="159"/>
      <c r="D88" s="312"/>
      <c r="E88" s="487"/>
      <c r="F88" s="487"/>
      <c r="G88" s="487"/>
      <c r="H88" s="487"/>
      <c r="I88" s="487"/>
      <c r="J88" s="487"/>
      <c r="K88" s="519"/>
      <c r="L88" s="519"/>
      <c r="M88" s="519"/>
      <c r="N88" s="519"/>
      <c r="P88" s="137"/>
      <c r="Q88" s="138"/>
    </row>
    <row r="89" spans="1:17" s="139" customFormat="1" x14ac:dyDescent="0.2">
      <c r="A89" s="144" t="b">
        <v>1</v>
      </c>
      <c r="B89" s="184">
        <f t="shared" si="3"/>
        <v>1</v>
      </c>
      <c r="C89" s="188" t="s">
        <v>441</v>
      </c>
      <c r="D89" s="302" t="s">
        <v>321</v>
      </c>
      <c r="E89" s="495"/>
      <c r="F89" s="486"/>
      <c r="G89" s="486"/>
      <c r="H89" s="486"/>
      <c r="I89" s="486"/>
      <c r="J89" s="486"/>
      <c r="K89" s="486"/>
      <c r="L89" s="169"/>
      <c r="M89" s="169"/>
      <c r="N89" s="169"/>
      <c r="O89" s="137"/>
      <c r="P89" s="137"/>
    </row>
    <row r="90" spans="1:17" s="139" customFormat="1" x14ac:dyDescent="0.2">
      <c r="A90" s="144" t="b">
        <v>0</v>
      </c>
      <c r="B90" s="184">
        <f t="shared" si="3"/>
        <v>2</v>
      </c>
      <c r="C90" s="188" t="s">
        <v>442</v>
      </c>
      <c r="D90" s="315" t="b">
        <v>1</v>
      </c>
      <c r="E90" s="152"/>
      <c r="G90" s="150"/>
      <c r="H90" s="150"/>
      <c r="I90" s="496"/>
      <c r="J90" s="496"/>
      <c r="K90" s="496"/>
      <c r="L90" s="496"/>
      <c r="M90" s="496"/>
      <c r="N90" s="496"/>
      <c r="P90" s="137"/>
    </row>
    <row r="91" spans="1:17" s="139" customFormat="1" x14ac:dyDescent="0.2">
      <c r="A91" s="144" t="b">
        <v>0</v>
      </c>
      <c r="B91" s="184"/>
      <c r="C91" s="489" t="s">
        <v>443</v>
      </c>
      <c r="D91" s="489"/>
      <c r="E91" s="489"/>
      <c r="F91" s="489"/>
      <c r="G91" s="489"/>
      <c r="H91" s="489"/>
      <c r="I91" s="489"/>
      <c r="J91" s="489"/>
      <c r="K91" s="489"/>
      <c r="L91" s="489"/>
      <c r="M91" s="489"/>
      <c r="N91" s="489"/>
      <c r="O91" s="489"/>
      <c r="P91" s="148"/>
    </row>
    <row r="92" spans="1:17" s="145" customFormat="1" ht="15.75" customHeight="1" x14ac:dyDescent="0.2">
      <c r="A92" s="144" t="b">
        <v>0</v>
      </c>
      <c r="B92" s="184">
        <f>B90+1</f>
        <v>3</v>
      </c>
      <c r="C92" s="150" t="s">
        <v>444</v>
      </c>
      <c r="D92" s="299"/>
      <c r="E92" s="487" t="s">
        <v>372</v>
      </c>
      <c r="F92" s="487"/>
      <c r="G92" s="488" t="str">
        <f>IF(D92=$D$7,"ON TIME",IF(D92&gt;$D$7,"LATE",IF(D92&lt;$D$7,"EARLY")))</f>
        <v>ON TIME</v>
      </c>
      <c r="H92" s="488"/>
      <c r="I92" s="488"/>
      <c r="J92" s="488"/>
      <c r="K92" s="488"/>
      <c r="L92" s="488"/>
      <c r="M92" s="488"/>
      <c r="N92" s="488"/>
      <c r="O92" s="157"/>
      <c r="P92" s="157"/>
    </row>
    <row r="93" spans="1:17" s="139" customFormat="1" x14ac:dyDescent="0.2">
      <c r="A93" s="144" t="b">
        <v>0</v>
      </c>
      <c r="B93" s="184">
        <f t="shared" si="3"/>
        <v>4</v>
      </c>
      <c r="C93" s="170">
        <f>D15</f>
        <v>0</v>
      </c>
      <c r="D93" s="313" t="s">
        <v>445</v>
      </c>
      <c r="E93" s="494">
        <v>0</v>
      </c>
      <c r="F93" s="494"/>
      <c r="G93" s="494"/>
      <c r="H93" s="494"/>
      <c r="I93" s="494"/>
      <c r="J93" s="494"/>
      <c r="K93" s="494"/>
      <c r="L93" s="494"/>
      <c r="M93" s="494"/>
      <c r="N93" s="494"/>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494">
        <v>0</v>
      </c>
      <c r="F94" s="494"/>
      <c r="G94" s="494"/>
      <c r="H94" s="494"/>
      <c r="I94" s="494"/>
      <c r="J94" s="494"/>
      <c r="K94" s="494"/>
      <c r="L94" s="494"/>
      <c r="M94" s="494"/>
      <c r="N94" s="494"/>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491"/>
      <c r="F95" s="491"/>
      <c r="G95" s="491"/>
      <c r="H95" s="491"/>
      <c r="I95" s="491"/>
      <c r="J95" s="491"/>
      <c r="K95" s="491"/>
      <c r="L95" s="491"/>
      <c r="M95" s="491"/>
      <c r="N95" s="491"/>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2" t="s">
        <v>450</v>
      </c>
      <c r="F97" s="492"/>
      <c r="G97" s="492"/>
      <c r="H97" s="492"/>
      <c r="I97" s="492"/>
      <c r="J97" s="492"/>
      <c r="K97" s="492"/>
      <c r="L97" s="492"/>
      <c r="M97" s="492"/>
      <c r="N97" s="492"/>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9" t="s">
        <v>451</v>
      </c>
      <c r="D98" s="489"/>
      <c r="E98" s="489"/>
      <c r="F98" s="489"/>
      <c r="G98" s="489"/>
      <c r="H98" s="489"/>
      <c r="I98" s="489"/>
      <c r="J98" s="489"/>
      <c r="K98" s="489"/>
      <c r="L98" s="489"/>
      <c r="M98" s="489"/>
      <c r="N98" s="489"/>
      <c r="O98" s="489"/>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93" t="str">
        <f>IF(D105=D18,"ON TIME",IF(D105&gt;D18,"LATE",IF(D105&lt;D18,"EARLY")))</f>
        <v>ON TIME</v>
      </c>
      <c r="H105" s="493"/>
      <c r="I105" s="493"/>
      <c r="J105" s="493"/>
      <c r="K105" s="493"/>
      <c r="L105" s="493"/>
      <c r="M105" s="493"/>
      <c r="N105" s="493"/>
      <c r="O105" s="145"/>
      <c r="P105" s="136"/>
    </row>
    <row r="106" spans="1:28" s="139" customFormat="1" x14ac:dyDescent="0.2">
      <c r="A106" s="144" t="b">
        <v>0</v>
      </c>
      <c r="B106" s="184"/>
      <c r="C106" s="489" t="s">
        <v>458</v>
      </c>
      <c r="D106" s="489"/>
      <c r="E106" s="489"/>
      <c r="F106" s="489"/>
      <c r="G106" s="489"/>
      <c r="H106" s="489"/>
      <c r="I106" s="489"/>
      <c r="J106" s="489"/>
      <c r="K106" s="489"/>
      <c r="L106" s="489"/>
      <c r="M106" s="489"/>
      <c r="N106" s="489"/>
      <c r="O106" s="489"/>
      <c r="P106" s="137"/>
    </row>
    <row r="107" spans="1:28" s="139" customFormat="1" ht="15.75" x14ac:dyDescent="0.2">
      <c r="A107" s="144" t="b">
        <v>0</v>
      </c>
      <c r="B107" s="184" t="e">
        <f>B105+1</f>
        <v>#REF!</v>
      </c>
      <c r="C107" s="188" t="s">
        <v>459</v>
      </c>
      <c r="D107" s="299"/>
      <c r="E107" s="487" t="s">
        <v>372</v>
      </c>
      <c r="F107" s="487"/>
      <c r="G107" s="488" t="str">
        <f>IF(D107=D18,"ON TIME",IF(D107&gt;D18,"LATE",IF(D107&lt;D18,"EARLY")))</f>
        <v>ON TIME</v>
      </c>
      <c r="H107" s="488"/>
      <c r="I107" s="488"/>
      <c r="J107" s="488"/>
      <c r="K107" s="488"/>
      <c r="L107" s="488"/>
      <c r="M107" s="488"/>
      <c r="N107" s="488"/>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484" t="s">
        <v>462</v>
      </c>
      <c r="D110" s="484"/>
      <c r="E110" s="484"/>
      <c r="F110" s="484"/>
      <c r="G110" s="484"/>
      <c r="H110" s="484"/>
      <c r="I110" s="484"/>
      <c r="J110" s="484"/>
      <c r="K110" s="484"/>
      <c r="L110" s="484"/>
      <c r="M110" s="484"/>
      <c r="N110" s="484"/>
      <c r="O110" s="484"/>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485" t="s">
        <v>465</v>
      </c>
      <c r="F113" s="486"/>
      <c r="G113" s="486"/>
      <c r="H113" s="486"/>
      <c r="I113" s="486"/>
      <c r="J113" s="486"/>
      <c r="K113" s="486"/>
      <c r="L113" s="486"/>
      <c r="M113" s="486"/>
      <c r="N113" s="486"/>
      <c r="O113" s="138"/>
      <c r="P113" s="137"/>
      <c r="Z113" s="177"/>
      <c r="AA113" s="177"/>
      <c r="AB113" s="177"/>
    </row>
    <row r="114" spans="1:28" s="139" customFormat="1" x14ac:dyDescent="0.2">
      <c r="A114" s="144" t="b">
        <v>1</v>
      </c>
      <c r="B114" s="184"/>
      <c r="C114" s="489" t="s">
        <v>466</v>
      </c>
      <c r="D114" s="489"/>
      <c r="E114" s="489"/>
      <c r="F114" s="489"/>
      <c r="G114" s="489"/>
      <c r="H114" s="489"/>
      <c r="I114" s="489"/>
      <c r="J114" s="489"/>
      <c r="K114" s="489"/>
      <c r="L114" s="489"/>
      <c r="M114" s="489"/>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184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1004</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2096</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3116</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10301</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15776</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24523</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9" t="s">
        <v>487</v>
      </c>
      <c r="D133" s="489"/>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9" t="s">
        <v>509</v>
      </c>
      <c r="D155" s="489"/>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9" t="s">
        <v>515</v>
      </c>
      <c r="D161" s="489"/>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9" t="s">
        <v>521</v>
      </c>
      <c r="D167" s="490"/>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488" t="str">
        <f>IF(D176=D18,"ON TIME",IF(D176&gt;D18,"LATE",IF(D176&lt;D18,"EARLY")))</f>
        <v>ON TIME</v>
      </c>
      <c r="H176" s="488"/>
      <c r="I176" s="488"/>
      <c r="J176" s="488"/>
      <c r="K176" s="488"/>
      <c r="L176" s="488"/>
      <c r="M176" s="488"/>
      <c r="N176" s="488"/>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511" t="s">
        <v>532</v>
      </c>
      <c r="D181" s="511"/>
      <c r="E181" s="511"/>
      <c r="F181" s="512"/>
      <c r="G181" s="512"/>
      <c r="H181" s="512"/>
    </row>
    <row r="182" spans="1:16" ht="15" customHeight="1" x14ac:dyDescent="0.2">
      <c r="B182" s="184"/>
      <c r="C182" s="188" t="str">
        <f>IF(D180="Y", "NEW BUILD UNIT, SERVICE REPORT NOT APPLICABLE"," ")</f>
        <v xml:space="preserve"> </v>
      </c>
    </row>
    <row r="183" spans="1:16" ht="91.15" customHeight="1" x14ac:dyDescent="0.2">
      <c r="B183" s="184" t="e">
        <f>B177+1</f>
        <v>#REF!</v>
      </c>
      <c r="C183" s="515" t="s">
        <v>533</v>
      </c>
      <c r="D183" s="516"/>
      <c r="E183" s="516"/>
      <c r="F183" s="516"/>
      <c r="G183" s="516"/>
      <c r="H183" s="516"/>
      <c r="I183" s="516"/>
      <c r="J183" s="516"/>
      <c r="K183" s="516"/>
      <c r="L183" s="516"/>
      <c r="M183" s="516"/>
      <c r="N183" s="516"/>
      <c r="O183" s="516"/>
    </row>
    <row r="184" spans="1:16" ht="15" customHeight="1" x14ac:dyDescent="0.2">
      <c r="B184" s="184"/>
    </row>
    <row r="185" spans="1:16" ht="15" customHeight="1" x14ac:dyDescent="0.2">
      <c r="B185" s="184"/>
      <c r="C185" s="511" t="s">
        <v>534</v>
      </c>
      <c r="D185" s="512"/>
      <c r="E185" s="512"/>
    </row>
    <row r="186" spans="1:16" ht="15" customHeight="1" x14ac:dyDescent="0.2">
      <c r="B186" s="184"/>
      <c r="C186" s="188" t="str">
        <f>IF(D180="Y", "NEW BUILD UNIT, SERVICE REPORT NOT APPLICABLE","")</f>
        <v/>
      </c>
    </row>
    <row r="187" spans="1:16" ht="60" customHeight="1" x14ac:dyDescent="0.2">
      <c r="B187" s="184" t="e">
        <f>B183+1</f>
        <v>#REF!</v>
      </c>
      <c r="C187" s="516"/>
      <c r="D187" s="516"/>
      <c r="E187" s="516"/>
      <c r="F187" s="516"/>
      <c r="G187" s="516"/>
      <c r="H187" s="516"/>
      <c r="I187" s="516"/>
      <c r="J187" s="516"/>
      <c r="K187" s="516"/>
      <c r="L187" s="516"/>
      <c r="M187" s="516"/>
      <c r="N187" s="516"/>
      <c r="O187" s="516"/>
    </row>
    <row r="188" spans="1:16" ht="15" customHeight="1" x14ac:dyDescent="0.2">
      <c r="B188" s="184"/>
    </row>
    <row r="189" spans="1:16" ht="15" customHeight="1" x14ac:dyDescent="0.2">
      <c r="B189" s="184"/>
      <c r="C189" s="511" t="s">
        <v>535</v>
      </c>
      <c r="D189" s="511"/>
      <c r="E189" s="511"/>
    </row>
    <row r="190" spans="1:16" ht="15" customHeight="1" x14ac:dyDescent="0.2">
      <c r="B190" s="184"/>
      <c r="C190" s="188" t="str">
        <f>IF(D180="Y", "NEW BUILD UNIT, SERVICE REPORT NOT APPLICABLE","")</f>
        <v/>
      </c>
    </row>
    <row r="191" spans="1:16" ht="52.15" customHeight="1" x14ac:dyDescent="0.2">
      <c r="B191" s="184" t="e">
        <f>B187+1</f>
        <v>#REF!</v>
      </c>
      <c r="C191" s="516"/>
      <c r="D191" s="516"/>
      <c r="E191" s="516"/>
      <c r="F191" s="516"/>
      <c r="G191" s="516"/>
      <c r="H191" s="516"/>
      <c r="I191" s="516"/>
      <c r="J191" s="516"/>
      <c r="K191" s="516"/>
      <c r="L191" s="516"/>
      <c r="M191" s="516"/>
      <c r="N191" s="516"/>
      <c r="O191" s="516"/>
    </row>
    <row r="192" spans="1:16" ht="15" customHeight="1" x14ac:dyDescent="0.2">
      <c r="B192" s="184"/>
    </row>
    <row r="193" spans="2:15" ht="15" customHeight="1" x14ac:dyDescent="0.2">
      <c r="B193" s="184"/>
      <c r="C193" s="511" t="s">
        <v>536</v>
      </c>
      <c r="D193" s="511"/>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512"/>
      <c r="C1">
        <f>'Cover Service Sheet'!E10</f>
        <v>0</v>
      </c>
    </row>
    <row r="3" spans="1:7" x14ac:dyDescent="0.2">
      <c r="A3" s="520" t="s">
        <v>540</v>
      </c>
      <c r="B3" s="512"/>
      <c r="G3" s="334"/>
    </row>
    <row r="4" spans="1:7" x14ac:dyDescent="0.2">
      <c r="A4" s="520" t="s">
        <v>541</v>
      </c>
      <c r="B4" s="512"/>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512"/>
      <c r="G8" s="334"/>
    </row>
    <row r="9" spans="1:7" x14ac:dyDescent="0.2">
      <c r="A9" s="105" t="s">
        <v>546</v>
      </c>
      <c r="G9" s="334"/>
    </row>
    <row r="10" spans="1:7" x14ac:dyDescent="0.2">
      <c r="A10" s="520" t="s">
        <v>547</v>
      </c>
      <c r="B10" s="512"/>
      <c r="C10" s="512"/>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512"/>
      <c r="C15" s="512"/>
      <c r="G15" s="334"/>
    </row>
    <row r="16" spans="1:7" x14ac:dyDescent="0.2">
      <c r="A16" s="520" t="s">
        <v>551</v>
      </c>
      <c r="B16" s="512"/>
      <c r="C16" s="512"/>
      <c r="D16" s="512"/>
      <c r="E16" s="512"/>
      <c r="F16" s="512"/>
      <c r="G16" s="334"/>
    </row>
    <row r="17" spans="1:7" x14ac:dyDescent="0.2">
      <c r="A17" s="520" t="s">
        <v>552</v>
      </c>
      <c r="B17" s="512"/>
      <c r="G17" s="334"/>
    </row>
    <row r="18" spans="1:7" x14ac:dyDescent="0.2">
      <c r="A18" s="520" t="s">
        <v>553</v>
      </c>
      <c r="B18" s="512"/>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40" t="str">
        <f>'Cover Service Sheet'!E5&amp;'Cover Service Sheet'!F5</f>
        <v/>
      </c>
      <c r="F5" s="540"/>
      <c r="G5" s="540"/>
      <c r="H5" s="540"/>
      <c r="I5" s="540"/>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41">
        <v>0</v>
      </c>
      <c r="F10" s="541"/>
      <c r="G10" s="541"/>
      <c r="H10" s="541"/>
      <c r="I10" s="541"/>
      <c r="J10" s="541"/>
      <c r="K10" s="541"/>
      <c r="L10" s="541"/>
      <c r="M10" s="541"/>
      <c r="N10" s="541"/>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9" t="s">
        <v>567</v>
      </c>
      <c r="D14" s="489"/>
      <c r="E14" s="489"/>
      <c r="F14" s="489"/>
      <c r="G14" s="489"/>
      <c r="H14" s="489"/>
      <c r="I14" s="489"/>
      <c r="J14" s="489"/>
      <c r="K14" s="489"/>
      <c r="L14" s="489"/>
      <c r="M14" s="489"/>
      <c r="N14" s="489"/>
      <c r="O14" s="489"/>
      <c r="P14" s="148"/>
    </row>
    <row r="15" spans="1:17" s="145" customFormat="1" ht="15.75" x14ac:dyDescent="0.2">
      <c r="A15" s="149"/>
      <c r="B15" s="134">
        <f>B13+1</f>
        <v>26</v>
      </c>
      <c r="C15" s="150" t="s">
        <v>459</v>
      </c>
      <c r="D15" s="302"/>
      <c r="E15" s="487" t="s">
        <v>372</v>
      </c>
      <c r="F15" s="487"/>
      <c r="G15" s="493" t="str">
        <f>IF(D15=D7,"ON TIME",IF(D15&gt;D7,"LATE",IF(D15&lt;D7,"EARLY")))</f>
        <v>ON TIME</v>
      </c>
      <c r="H15" s="493"/>
      <c r="I15" s="493"/>
      <c r="J15" s="493"/>
      <c r="K15" s="493"/>
      <c r="L15" s="493"/>
      <c r="M15" s="493"/>
      <c r="N15" s="493"/>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510"/>
      <c r="F25" s="510"/>
      <c r="G25" s="510"/>
      <c r="H25" s="510"/>
      <c r="I25" s="510"/>
      <c r="J25" s="510"/>
      <c r="K25" s="510"/>
      <c r="L25" s="510"/>
      <c r="M25" s="510"/>
      <c r="N25" s="510"/>
      <c r="O25" s="138" t="str">
        <f>IF(A25=TRUE,"Charge circuit checked and verified PASS","")</f>
        <v/>
      </c>
    </row>
    <row r="26" spans="1:16" x14ac:dyDescent="0.2">
      <c r="A26" s="156">
        <v>4.0999999999999996</v>
      </c>
      <c r="B26" s="134">
        <f t="shared" si="0"/>
        <v>36</v>
      </c>
      <c r="C26" s="136" t="s">
        <v>577</v>
      </c>
      <c r="D26" s="339"/>
      <c r="E26" s="537"/>
      <c r="F26" s="537"/>
      <c r="G26" s="537"/>
      <c r="H26" s="537"/>
      <c r="I26" s="537"/>
      <c r="J26" s="537"/>
      <c r="K26" s="537"/>
      <c r="L26" s="537"/>
      <c r="M26" s="537"/>
      <c r="N26" s="537"/>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518"/>
      <c r="F32" s="518"/>
      <c r="G32" s="518"/>
      <c r="H32" s="518"/>
      <c r="I32" s="518"/>
      <c r="J32" s="518"/>
      <c r="K32" s="518"/>
      <c r="L32" s="518"/>
      <c r="M32" s="518"/>
      <c r="N32" s="518"/>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38"/>
      <c r="P62" s="538"/>
      <c r="Q62" s="538"/>
      <c r="R62" s="538"/>
      <c r="S62" s="538"/>
      <c r="T62" s="538"/>
      <c r="U62" s="538"/>
      <c r="V62" s="538"/>
      <c r="W62" s="538"/>
      <c r="X62" s="538"/>
      <c r="Y62" s="539"/>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510"/>
      <c r="F65" s="510"/>
      <c r="G65" s="510"/>
      <c r="H65" s="510"/>
      <c r="I65" s="510"/>
      <c r="J65" s="510"/>
      <c r="K65" s="510"/>
      <c r="L65" s="510"/>
      <c r="M65" s="510"/>
      <c r="N65" s="510"/>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9" t="s">
        <v>433</v>
      </c>
      <c r="D70" s="489"/>
      <c r="E70" s="489"/>
      <c r="F70" s="489"/>
      <c r="G70" s="489"/>
      <c r="H70" s="489"/>
      <c r="I70" s="489"/>
      <c r="J70" s="489"/>
      <c r="K70" s="489"/>
      <c r="L70" s="489"/>
      <c r="M70" s="489"/>
      <c r="N70" s="489"/>
      <c r="O70" s="489"/>
      <c r="P70" s="148"/>
    </row>
    <row r="71" spans="1:16" x14ac:dyDescent="0.2">
      <c r="A71" s="144" t="b">
        <v>0</v>
      </c>
      <c r="B71" s="134">
        <f>B69+1</f>
        <v>80</v>
      </c>
      <c r="C71" s="153"/>
      <c r="D71" s="313" t="s">
        <v>600</v>
      </c>
      <c r="E71" s="510"/>
      <c r="F71" s="510"/>
      <c r="G71" s="510"/>
      <c r="H71" s="510"/>
      <c r="I71" s="510"/>
      <c r="J71" s="510"/>
      <c r="K71" s="510"/>
      <c r="L71" s="510"/>
      <c r="M71" s="510"/>
      <c r="N71" s="510"/>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2" t="s">
        <v>605</v>
      </c>
      <c r="F76" s="492"/>
      <c r="G76" s="492"/>
      <c r="H76" s="492"/>
      <c r="I76" s="492"/>
      <c r="J76" s="492"/>
      <c r="K76" s="492"/>
      <c r="L76" s="492"/>
      <c r="M76" s="492"/>
      <c r="N76" s="492"/>
      <c r="O76" s="138" t="str">
        <f>IF(A76=FALSE,"Secondary purge test FAIL/not completed","Secondary purge test PASS")</f>
        <v>Secondary purge test FAIL/not completed</v>
      </c>
      <c r="P76" s="137"/>
    </row>
    <row r="77" spans="1:16" x14ac:dyDescent="0.2">
      <c r="A77" s="144">
        <v>2000</v>
      </c>
      <c r="B77" s="134">
        <f t="shared" si="1"/>
        <v>86</v>
      </c>
      <c r="C77" s="168"/>
      <c r="D77" s="292"/>
      <c r="E77" s="510"/>
      <c r="F77" s="510"/>
      <c r="G77" s="510"/>
      <c r="H77" s="510"/>
      <c r="I77" s="510"/>
      <c r="J77" s="510"/>
      <c r="K77" s="510"/>
      <c r="L77" s="510"/>
      <c r="M77" s="510"/>
      <c r="N77" s="510"/>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510"/>
      <c r="F78" s="510"/>
      <c r="G78" s="510"/>
      <c r="H78" s="510"/>
      <c r="I78" s="510"/>
      <c r="J78" s="510"/>
      <c r="K78" s="510"/>
      <c r="L78" s="510"/>
      <c r="M78" s="510"/>
      <c r="N78" s="510"/>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510"/>
      <c r="F79" s="510"/>
      <c r="G79" s="510"/>
      <c r="H79" s="510"/>
      <c r="I79" s="510"/>
      <c r="J79" s="510"/>
      <c r="K79" s="510"/>
      <c r="L79" s="510"/>
      <c r="M79" s="510"/>
      <c r="N79" s="510"/>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510"/>
      <c r="F80" s="510"/>
      <c r="G80" s="510"/>
      <c r="H80" s="510"/>
      <c r="I80" s="510"/>
      <c r="J80" s="510"/>
      <c r="K80" s="510"/>
      <c r="L80" s="510"/>
      <c r="M80" s="510"/>
      <c r="N80" s="510"/>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9" t="s">
        <v>451</v>
      </c>
      <c r="D81" s="489"/>
      <c r="E81" s="489"/>
      <c r="F81" s="489"/>
      <c r="G81" s="489"/>
      <c r="H81" s="489"/>
      <c r="I81" s="489"/>
      <c r="J81" s="489"/>
      <c r="K81" s="489"/>
      <c r="L81" s="489"/>
      <c r="M81" s="489"/>
      <c r="N81" s="489"/>
      <c r="O81" s="489"/>
      <c r="P81" s="148"/>
    </row>
    <row r="82" spans="1:16" x14ac:dyDescent="0.2">
      <c r="A82" s="144" t="b">
        <v>0</v>
      </c>
      <c r="B82" s="134">
        <f>B80+1</f>
        <v>90</v>
      </c>
      <c r="C82" s="159"/>
      <c r="D82" s="313" t="s">
        <v>606</v>
      </c>
      <c r="E82" s="513"/>
      <c r="F82" s="514"/>
      <c r="G82" s="514"/>
      <c r="H82" s="514"/>
      <c r="I82" s="514"/>
      <c r="J82" s="514"/>
      <c r="K82" s="505" t="s">
        <v>607</v>
      </c>
      <c r="L82" s="505"/>
      <c r="M82" s="505"/>
      <c r="N82" s="505"/>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2" t="s">
        <v>610</v>
      </c>
      <c r="F84" s="492"/>
      <c r="G84" s="492"/>
      <c r="H84" s="492"/>
      <c r="I84" s="492"/>
      <c r="J84" s="492"/>
      <c r="K84" s="492"/>
      <c r="L84" s="492"/>
      <c r="M84" s="492"/>
      <c r="N84" s="492"/>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36"/>
      <c r="L85" s="536"/>
      <c r="M85" s="536"/>
      <c r="N85" s="536"/>
      <c r="O85" s="138" t="str">
        <f>IF(A85=TRUE,"Customer advised of additional work required for approval","")</f>
        <v/>
      </c>
    </row>
    <row r="86" spans="1:16" x14ac:dyDescent="0.2">
      <c r="A86" s="144" t="b">
        <v>0</v>
      </c>
      <c r="B86" s="134">
        <f t="shared" si="2"/>
        <v>94</v>
      </c>
      <c r="C86" s="159"/>
      <c r="D86" s="312" t="s">
        <v>613</v>
      </c>
      <c r="E86" s="492" t="s">
        <v>610</v>
      </c>
      <c r="F86" s="492"/>
      <c r="G86" s="492"/>
      <c r="H86" s="492"/>
      <c r="I86" s="492"/>
      <c r="J86" s="492"/>
      <c r="K86" s="492"/>
      <c r="L86" s="492"/>
      <c r="M86" s="492"/>
      <c r="N86" s="492"/>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36"/>
      <c r="L87" s="536"/>
      <c r="M87" s="536"/>
      <c r="N87" s="53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496">
        <f>D89-D16</f>
        <v>0</v>
      </c>
      <c r="J89" s="496"/>
      <c r="K89" s="496"/>
      <c r="L89" s="496"/>
      <c r="M89" s="496"/>
      <c r="N89" s="496"/>
      <c r="O89" s="139"/>
    </row>
    <row r="90" spans="1:16" x14ac:dyDescent="0.2">
      <c r="C90" s="489" t="s">
        <v>443</v>
      </c>
      <c r="D90" s="489"/>
      <c r="E90" s="489"/>
      <c r="F90" s="489"/>
      <c r="G90" s="489"/>
      <c r="H90" s="489"/>
      <c r="I90" s="489"/>
      <c r="J90" s="489"/>
      <c r="K90" s="489"/>
      <c r="L90" s="489"/>
      <c r="M90" s="489"/>
      <c r="N90" s="489"/>
      <c r="O90" s="489"/>
      <c r="P90" s="148"/>
    </row>
    <row r="91" spans="1:16" s="145" customFormat="1" ht="15.75" customHeight="1" x14ac:dyDescent="0.2">
      <c r="A91" s="149"/>
      <c r="B91" s="134">
        <f>B89+1</f>
        <v>98</v>
      </c>
      <c r="C91" s="150" t="s">
        <v>444</v>
      </c>
      <c r="D91" s="302"/>
      <c r="E91" s="487" t="s">
        <v>372</v>
      </c>
      <c r="F91" s="487"/>
      <c r="G91" s="488" t="str">
        <f>IF(D91=$D$7,"ON TIME",IF(D91&gt;$D$7,"LATE",IF(D91&lt;$D$7,"EARLY")))</f>
        <v>ON TIME</v>
      </c>
      <c r="H91" s="488"/>
      <c r="I91" s="488"/>
      <c r="J91" s="488"/>
      <c r="K91" s="488"/>
      <c r="L91" s="488"/>
      <c r="M91" s="488"/>
      <c r="N91" s="488"/>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494">
        <v>0</v>
      </c>
      <c r="F93" s="494"/>
      <c r="G93" s="494"/>
      <c r="H93" s="494"/>
      <c r="I93" s="494"/>
      <c r="J93" s="494"/>
      <c r="K93" s="494"/>
      <c r="L93" s="494"/>
      <c r="M93" s="494"/>
      <c r="N93" s="494"/>
      <c r="O93" s="138" t="str">
        <f>IF(A93=TRUE,"SO received and on system","Awaiting customers purchase order")</f>
        <v>Awaiting customers purchase order</v>
      </c>
      <c r="P93" s="145"/>
    </row>
    <row r="94" spans="1:16" x14ac:dyDescent="0.2">
      <c r="A94" s="144" t="b">
        <v>0</v>
      </c>
      <c r="B94" s="134">
        <f t="shared" si="1"/>
        <v>101</v>
      </c>
      <c r="C94" s="170"/>
      <c r="D94" s="313" t="s">
        <v>621</v>
      </c>
      <c r="E94" s="494">
        <v>0</v>
      </c>
      <c r="F94" s="494"/>
      <c r="G94" s="494"/>
      <c r="H94" s="494"/>
      <c r="I94" s="494"/>
      <c r="J94" s="494"/>
      <c r="K94" s="494"/>
      <c r="L94" s="494"/>
      <c r="M94" s="494"/>
      <c r="N94" s="494"/>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34"/>
      <c r="F97" s="533"/>
      <c r="G97" s="533"/>
      <c r="H97" s="533"/>
      <c r="I97" s="533"/>
      <c r="J97" s="533"/>
      <c r="K97" s="505" t="s">
        <v>607</v>
      </c>
      <c r="L97" s="505"/>
      <c r="M97" s="505"/>
      <c r="N97" s="505"/>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35"/>
      <c r="F99" s="510"/>
      <c r="G99" s="510"/>
      <c r="H99" s="510"/>
      <c r="I99" s="510"/>
      <c r="J99" s="510"/>
      <c r="K99" s="510"/>
      <c r="L99" s="510"/>
      <c r="M99" s="510"/>
      <c r="N99" s="510"/>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35"/>
      <c r="F100" s="510"/>
      <c r="G100" s="510"/>
      <c r="H100" s="510"/>
      <c r="I100" s="510"/>
      <c r="J100" s="510"/>
      <c r="K100" s="510"/>
      <c r="L100" s="510"/>
      <c r="M100" s="510"/>
      <c r="N100" s="510"/>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35"/>
      <c r="F101" s="510"/>
      <c r="G101" s="510"/>
      <c r="H101" s="510"/>
      <c r="I101" s="510"/>
      <c r="J101" s="510"/>
      <c r="K101" s="510"/>
      <c r="L101" s="510"/>
      <c r="M101" s="510"/>
      <c r="N101" s="510"/>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35"/>
      <c r="F102" s="510"/>
      <c r="G102" s="510"/>
      <c r="H102" s="510"/>
      <c r="I102" s="510"/>
      <c r="J102" s="510"/>
      <c r="K102" s="510"/>
      <c r="L102" s="510"/>
      <c r="M102" s="510"/>
      <c r="N102" s="510"/>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2" t="s">
        <v>450</v>
      </c>
      <c r="F103" s="492"/>
      <c r="G103" s="492"/>
      <c r="H103" s="492"/>
      <c r="I103" s="492"/>
      <c r="J103" s="492"/>
      <c r="K103" s="492"/>
      <c r="L103" s="492"/>
      <c r="M103" s="492"/>
      <c r="N103" s="492"/>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2" t="s">
        <v>450</v>
      </c>
      <c r="F109" s="492"/>
      <c r="G109" s="492"/>
      <c r="H109" s="492"/>
      <c r="I109" s="492"/>
      <c r="J109" s="492"/>
      <c r="K109" s="492"/>
      <c r="L109" s="492"/>
      <c r="M109" s="492"/>
      <c r="N109" s="492"/>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33"/>
      <c r="L112" s="533"/>
      <c r="M112" s="533"/>
      <c r="N112" s="533"/>
      <c r="O112" s="138" t="str">
        <f>IF(A112=TRUE,"Moisture sensor replaced as part of service","")</f>
        <v/>
      </c>
    </row>
    <row r="113" spans="1:16" x14ac:dyDescent="0.2">
      <c r="A113" s="144" t="b">
        <v>0</v>
      </c>
      <c r="B113" s="134">
        <f t="shared" si="1"/>
        <v>119</v>
      </c>
      <c r="C113" s="159"/>
      <c r="D113" s="313" t="s">
        <v>636</v>
      </c>
      <c r="E113" s="534"/>
      <c r="F113" s="533"/>
      <c r="G113" s="145" t="s">
        <v>637</v>
      </c>
      <c r="I113" s="533"/>
      <c r="J113" s="533"/>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33"/>
      <c r="F115" s="533"/>
      <c r="G115" s="533"/>
      <c r="H115" s="533"/>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9" t="s">
        <v>451</v>
      </c>
      <c r="D120" s="489"/>
      <c r="E120" s="489"/>
      <c r="F120" s="489"/>
      <c r="G120" s="489"/>
      <c r="H120" s="489"/>
      <c r="I120" s="489"/>
      <c r="J120" s="489"/>
      <c r="K120" s="489"/>
      <c r="L120" s="489"/>
      <c r="M120" s="489"/>
      <c r="N120" s="489"/>
      <c r="O120" s="489"/>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510"/>
      <c r="F124" s="510"/>
      <c r="G124" s="510"/>
      <c r="H124" s="510"/>
      <c r="I124" s="510"/>
      <c r="J124" s="510"/>
      <c r="K124" s="510"/>
      <c r="L124" s="510"/>
      <c r="M124" s="510"/>
      <c r="N124" s="510"/>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510"/>
      <c r="F125" s="510"/>
      <c r="G125" s="510"/>
      <c r="H125" s="510"/>
      <c r="I125" s="510"/>
      <c r="J125" s="510"/>
      <c r="K125" s="510"/>
      <c r="L125" s="510"/>
      <c r="M125" s="510"/>
      <c r="N125" s="510"/>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27"/>
      <c r="F127" s="527"/>
      <c r="G127" s="527"/>
      <c r="H127" s="527"/>
      <c r="I127" s="527"/>
      <c r="J127" s="527"/>
      <c r="K127" s="527"/>
      <c r="L127" s="527"/>
      <c r="M127" s="527"/>
      <c r="N127" s="527"/>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93" t="str">
        <f>IF(D131=D13,"ON TIME",IF(D131&gt;D13,"LATE",IF(D131&lt;D13,"EARLY")))</f>
        <v>EARLY</v>
      </c>
      <c r="H131" s="493"/>
      <c r="I131" s="493"/>
      <c r="J131" s="493"/>
      <c r="K131" s="493"/>
      <c r="L131" s="493"/>
      <c r="M131" s="493"/>
      <c r="N131" s="493"/>
      <c r="O131" s="145"/>
      <c r="P131" s="136"/>
    </row>
    <row r="132" spans="1:28" x14ac:dyDescent="0.2">
      <c r="B132" s="134">
        <f t="shared" si="1"/>
        <v>137</v>
      </c>
      <c r="C132" s="150" t="s">
        <v>650</v>
      </c>
      <c r="D132" s="329"/>
      <c r="E132" s="152" t="s">
        <v>618</v>
      </c>
      <c r="F132" s="139"/>
      <c r="G132" s="150"/>
      <c r="H132" s="150"/>
      <c r="I132" s="496">
        <f>D132-D92</f>
        <v>0</v>
      </c>
      <c r="J132" s="496"/>
      <c r="K132" s="496"/>
      <c r="L132" s="496"/>
      <c r="M132" s="496"/>
      <c r="N132" s="496"/>
      <c r="O132" s="139"/>
    </row>
    <row r="133" spans="1:28" x14ac:dyDescent="0.2">
      <c r="C133" s="489" t="s">
        <v>651</v>
      </c>
      <c r="D133" s="489"/>
      <c r="E133" s="489"/>
      <c r="F133" s="489"/>
      <c r="G133" s="489"/>
      <c r="H133" s="489"/>
      <c r="I133" s="489"/>
      <c r="J133" s="489"/>
      <c r="K133" s="489"/>
      <c r="L133" s="489"/>
      <c r="M133" s="489"/>
      <c r="N133" s="489"/>
      <c r="O133" s="489"/>
    </row>
    <row r="134" spans="1:28" ht="15.75" x14ac:dyDescent="0.2">
      <c r="B134" s="134">
        <f>B132+1</f>
        <v>138</v>
      </c>
      <c r="C134" s="150" t="s">
        <v>459</v>
      </c>
      <c r="D134" s="302"/>
      <c r="E134" s="487" t="s">
        <v>372</v>
      </c>
      <c r="F134" s="487"/>
      <c r="G134" s="488" t="str">
        <f>IF(D134=D13,"ON TIME",IF(D134&gt;D13,"LATE",IF(D134&lt;D13,"EARLY")))</f>
        <v>EARLY</v>
      </c>
      <c r="H134" s="488"/>
      <c r="I134" s="488"/>
      <c r="J134" s="488"/>
      <c r="K134" s="488"/>
      <c r="L134" s="488"/>
      <c r="M134" s="488"/>
      <c r="N134" s="488"/>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496">
        <f>D136-D135</f>
        <v>0</v>
      </c>
      <c r="J136" s="496"/>
      <c r="K136" s="496"/>
      <c r="L136" s="496"/>
      <c r="M136" s="496"/>
      <c r="N136" s="496"/>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27"/>
      <c r="F140" s="527"/>
      <c r="G140" s="527"/>
      <c r="H140" s="527"/>
      <c r="I140" s="527"/>
      <c r="J140" s="527"/>
      <c r="K140" s="527"/>
      <c r="L140" s="527"/>
      <c r="M140" s="527"/>
      <c r="N140" s="527"/>
      <c r="O140" s="138" t="str">
        <f>IF(A140=TRUE,"Calibration complete PASSED","")</f>
        <v/>
      </c>
    </row>
    <row r="141" spans="1:28" ht="15.75" x14ac:dyDescent="0.2">
      <c r="C141" s="484" t="s">
        <v>462</v>
      </c>
      <c r="D141" s="484"/>
      <c r="E141" s="484"/>
      <c r="F141" s="484"/>
      <c r="G141" s="484"/>
      <c r="H141" s="484"/>
      <c r="I141" s="484"/>
      <c r="J141" s="484"/>
      <c r="K141" s="484"/>
      <c r="L141" s="484"/>
      <c r="M141" s="484"/>
      <c r="N141" s="484"/>
      <c r="O141" s="484"/>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491" t="s">
        <v>469</v>
      </c>
      <c r="H160" s="491"/>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184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1004</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2096</v>
      </c>
      <c r="H164" s="532"/>
    </row>
    <row r="165" spans="1:18" x14ac:dyDescent="0.2">
      <c r="A165" s="144" t="b">
        <v>0</v>
      </c>
      <c r="B165" s="134">
        <f t="shared" si="3"/>
        <v>167</v>
      </c>
      <c r="C165" s="150" t="s">
        <v>674</v>
      </c>
      <c r="D165" s="317"/>
      <c r="E165" s="135">
        <v>5</v>
      </c>
      <c r="F165" s="135">
        <v>25</v>
      </c>
      <c r="G165" s="531">
        <f>'Auto-Calibration record'!F65</f>
        <v>3116</v>
      </c>
      <c r="H165" s="532"/>
    </row>
    <row r="166" spans="1:18" x14ac:dyDescent="0.2">
      <c r="A166" s="144" t="b">
        <v>0</v>
      </c>
      <c r="B166" s="134">
        <f t="shared" si="3"/>
        <v>168</v>
      </c>
      <c r="C166" s="150" t="s">
        <v>675</v>
      </c>
      <c r="D166" s="349"/>
      <c r="E166" s="135">
        <v>6</v>
      </c>
      <c r="F166" s="135">
        <v>38</v>
      </c>
      <c r="G166" s="531">
        <f>'Auto-Calibration record'!G65</f>
        <v>10301</v>
      </c>
      <c r="H166" s="532"/>
    </row>
    <row r="167" spans="1:18" x14ac:dyDescent="0.2">
      <c r="A167" s="144" t="b">
        <v>0</v>
      </c>
      <c r="B167" s="134">
        <f t="shared" si="3"/>
        <v>169</v>
      </c>
      <c r="C167" s="184" t="s">
        <v>676</v>
      </c>
      <c r="D167" s="349"/>
      <c r="E167" s="135">
        <v>7</v>
      </c>
      <c r="F167" s="135">
        <v>50</v>
      </c>
      <c r="G167" s="531">
        <f>'Auto-Calibration record'!H65</f>
        <v>15776</v>
      </c>
      <c r="H167" s="532"/>
    </row>
    <row r="168" spans="1:18" x14ac:dyDescent="0.2">
      <c r="A168" s="144" t="b">
        <v>0</v>
      </c>
      <c r="B168" s="134">
        <f t="shared" si="3"/>
        <v>170</v>
      </c>
      <c r="C168" s="150" t="s">
        <v>677</v>
      </c>
      <c r="D168" s="349"/>
      <c r="E168" s="135">
        <v>8</v>
      </c>
      <c r="F168" s="135">
        <v>70</v>
      </c>
      <c r="G168" s="531">
        <f>'Auto-Calibration record'!I65</f>
        <v>24523</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6" t="s">
        <v>725</v>
      </c>
      <c r="F219" s="507"/>
      <c r="G219" s="507"/>
      <c r="H219" s="507"/>
      <c r="I219" s="507"/>
      <c r="J219" s="507"/>
      <c r="K219" s="507"/>
      <c r="L219" s="507"/>
      <c r="M219" s="507"/>
      <c r="N219" s="507"/>
      <c r="O219" s="507"/>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488"/>
      <c r="H225" s="488"/>
      <c r="I225" s="488"/>
      <c r="J225" s="488"/>
      <c r="K225" s="488"/>
      <c r="L225" s="488"/>
      <c r="M225" s="488"/>
      <c r="N225" s="488"/>
    </row>
    <row r="226" spans="2:14" x14ac:dyDescent="0.2">
      <c r="B226" s="134">
        <f t="shared" si="4"/>
        <v>223</v>
      </c>
      <c r="C226" s="150" t="s">
        <v>731</v>
      </c>
      <c r="D226" s="329"/>
      <c r="E226" s="152" t="s">
        <v>618</v>
      </c>
      <c r="F226" s="139"/>
      <c r="G226" s="150"/>
      <c r="H226" s="150"/>
      <c r="I226" s="496"/>
      <c r="J226" s="496"/>
      <c r="K226" s="496"/>
      <c r="L226" s="496"/>
      <c r="M226" s="496"/>
      <c r="N226" s="496"/>
    </row>
    <row r="227" spans="2:14" x14ac:dyDescent="0.2">
      <c r="B227" s="134">
        <f t="shared" si="4"/>
        <v>224</v>
      </c>
      <c r="C227" s="136" t="s">
        <v>732</v>
      </c>
      <c r="E227" s="527"/>
      <c r="F227" s="527"/>
      <c r="G227" s="527"/>
      <c r="H227" s="527"/>
      <c r="I227" s="527"/>
      <c r="J227" s="527"/>
      <c r="K227" s="527"/>
      <c r="L227" s="527"/>
      <c r="M227" s="527"/>
      <c r="N227" s="527"/>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21"/>
      <c r="F233" s="522"/>
      <c r="G233" s="522"/>
      <c r="H233" s="522"/>
      <c r="I233" s="522"/>
      <c r="J233" s="522"/>
      <c r="K233" s="523"/>
      <c r="L233" s="139"/>
    </row>
    <row r="234" spans="2:14" x14ac:dyDescent="0.2">
      <c r="B234" s="352"/>
      <c r="C234" s="355" t="s">
        <v>739</v>
      </c>
      <c r="D234" s="354"/>
      <c r="E234" s="521"/>
      <c r="F234" s="522"/>
      <c r="G234" s="522"/>
      <c r="H234" s="522"/>
      <c r="I234" s="522"/>
      <c r="J234" s="522"/>
      <c r="K234" s="523"/>
      <c r="L234" s="139"/>
    </row>
    <row r="235" spans="2:14" x14ac:dyDescent="0.2">
      <c r="B235" s="356"/>
      <c r="C235" s="353" t="s">
        <v>740</v>
      </c>
      <c r="D235" s="357"/>
      <c r="E235" s="521"/>
      <c r="F235" s="522"/>
      <c r="G235" s="522"/>
      <c r="H235" s="522"/>
      <c r="I235" s="522"/>
      <c r="J235" s="522"/>
      <c r="K235" s="523"/>
      <c r="L235" s="139"/>
    </row>
    <row r="236" spans="2:14" x14ac:dyDescent="0.2">
      <c r="B236" s="352"/>
      <c r="C236" s="353"/>
      <c r="D236" s="354"/>
      <c r="E236" s="528" t="s">
        <v>372</v>
      </c>
      <c r="F236" s="529"/>
      <c r="G236" s="530" t="str">
        <f>IF(D225=D13,"ON TIME",IF(D225&gt;D13,"LATE",IF(D225&lt;D13,"EARLY")))</f>
        <v>EARLY</v>
      </c>
      <c r="H236" s="486"/>
      <c r="I236" s="486"/>
      <c r="J236" s="486"/>
      <c r="K236" s="486"/>
      <c r="L236" s="486"/>
      <c r="M236" s="486"/>
      <c r="N236" s="486"/>
    </row>
    <row r="237" spans="2:14" x14ac:dyDescent="0.2">
      <c r="B237" s="352"/>
      <c r="C237" s="353"/>
      <c r="D237" s="354"/>
      <c r="E237" s="521"/>
      <c r="F237" s="522"/>
      <c r="G237" s="522"/>
      <c r="H237" s="522"/>
      <c r="I237" s="522"/>
      <c r="J237" s="522"/>
      <c r="K237" s="523"/>
      <c r="L237" s="139"/>
    </row>
    <row r="238" spans="2:14" x14ac:dyDescent="0.2">
      <c r="B238" s="352"/>
      <c r="C238" s="353"/>
      <c r="D238" s="354"/>
      <c r="E238" s="521"/>
      <c r="F238" s="522"/>
      <c r="G238" s="522"/>
      <c r="H238" s="522"/>
      <c r="I238" s="522"/>
      <c r="J238" s="522"/>
      <c r="K238" s="523"/>
      <c r="L238" s="139"/>
    </row>
    <row r="239" spans="2:14" x14ac:dyDescent="0.2">
      <c r="B239" s="352"/>
      <c r="C239" s="355"/>
      <c r="D239" s="354"/>
      <c r="E239" s="521"/>
      <c r="F239" s="522"/>
      <c r="G239" s="522"/>
      <c r="H239" s="522"/>
      <c r="I239" s="522"/>
      <c r="J239" s="522"/>
      <c r="K239" s="523"/>
      <c r="L239" s="139"/>
    </row>
    <row r="240" spans="2:14" x14ac:dyDescent="0.2">
      <c r="B240" s="352"/>
      <c r="C240" s="355"/>
      <c r="D240" s="354"/>
      <c r="E240" s="521"/>
      <c r="F240" s="522"/>
      <c r="G240" s="522"/>
      <c r="H240" s="522"/>
      <c r="I240" s="522"/>
      <c r="J240" s="522"/>
      <c r="K240" s="523"/>
      <c r="L240" s="139"/>
    </row>
    <row r="241" spans="2:12" x14ac:dyDescent="0.2">
      <c r="B241" s="352"/>
      <c r="C241" s="355"/>
      <c r="D241" s="354"/>
      <c r="E241" s="521"/>
      <c r="F241" s="522"/>
      <c r="G241" s="522"/>
      <c r="H241" s="522"/>
      <c r="I241" s="522"/>
      <c r="J241" s="522"/>
      <c r="K241" s="523"/>
      <c r="L241" s="139"/>
    </row>
    <row r="242" spans="2:12" x14ac:dyDescent="0.2">
      <c r="B242" s="352"/>
      <c r="C242" s="353" t="s">
        <v>741</v>
      </c>
      <c r="D242" s="354"/>
      <c r="E242" s="521"/>
      <c r="F242" s="522"/>
      <c r="G242" s="522"/>
      <c r="H242" s="522"/>
      <c r="I242" s="522"/>
      <c r="J242" s="522"/>
      <c r="K242" s="523"/>
      <c r="L242" s="139"/>
    </row>
    <row r="243" spans="2:12" x14ac:dyDescent="0.2">
      <c r="B243" s="352"/>
      <c r="C243" s="353" t="s">
        <v>538</v>
      </c>
      <c r="D243" s="354"/>
      <c r="E243" s="521"/>
      <c r="F243" s="522"/>
      <c r="G243" s="522"/>
      <c r="H243" s="522"/>
      <c r="I243" s="522"/>
      <c r="J243" s="522"/>
      <c r="K243" s="523"/>
      <c r="L243" s="139"/>
    </row>
    <row r="244" spans="2:12" x14ac:dyDescent="0.2">
      <c r="B244" s="358"/>
      <c r="C244" s="359"/>
      <c r="D244" s="360"/>
      <c r="E244" s="521"/>
      <c r="F244" s="522"/>
      <c r="G244" s="522"/>
      <c r="H244" s="522"/>
      <c r="I244" s="522"/>
      <c r="J244" s="522"/>
      <c r="K244" s="523"/>
      <c r="L244" s="139"/>
    </row>
    <row r="245" spans="2:12" x14ac:dyDescent="0.2">
      <c r="B245" s="352"/>
      <c r="C245" s="355"/>
      <c r="D245" s="354"/>
      <c r="E245" s="521"/>
      <c r="F245" s="522"/>
      <c r="G245" s="522"/>
      <c r="H245" s="522"/>
      <c r="I245" s="522"/>
      <c r="J245" s="522"/>
      <c r="K245" s="523"/>
      <c r="L245" s="139"/>
    </row>
    <row r="246" spans="2:12" x14ac:dyDescent="0.2">
      <c r="B246" s="361"/>
      <c r="C246" s="362"/>
      <c r="D246" s="363"/>
      <c r="E246" s="524"/>
      <c r="F246" s="525"/>
      <c r="G246" s="525"/>
      <c r="H246" s="525"/>
      <c r="I246" s="525"/>
      <c r="J246" s="525"/>
      <c r="K246" s="526"/>
      <c r="L246" s="139"/>
    </row>
    <row r="247" spans="2:12" x14ac:dyDescent="0.2">
      <c r="B247" s="361"/>
      <c r="C247" s="362"/>
      <c r="D247" s="363"/>
      <c r="E247" s="524"/>
      <c r="F247" s="525"/>
      <c r="G247" s="525"/>
      <c r="H247" s="525"/>
      <c r="I247" s="525"/>
      <c r="J247" s="525"/>
      <c r="K247" s="526"/>
      <c r="L247" s="139"/>
    </row>
    <row r="248" spans="2:12" x14ac:dyDescent="0.2">
      <c r="B248" s="361"/>
      <c r="C248" s="362"/>
      <c r="D248" s="363"/>
      <c r="E248" s="524"/>
      <c r="F248" s="525"/>
      <c r="G248" s="525"/>
      <c r="H248" s="525"/>
      <c r="I248" s="525"/>
      <c r="J248" s="525"/>
      <c r="K248" s="526"/>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53" t="str">
        <f>'MP Calibration Certificate'!D17</f>
        <v>5.6mg/l RM8631b</v>
      </c>
      <c r="I3" s="553"/>
    </row>
    <row r="4" spans="1:16" x14ac:dyDescent="0.2">
      <c r="A4" s="105" t="s">
        <v>543</v>
      </c>
      <c r="H4" s="554">
        <f>'MP Calibration Certificate'!D18</f>
        <v>-1</v>
      </c>
      <c r="I4" s="555"/>
    </row>
    <row r="5" spans="1:16" x14ac:dyDescent="0.2">
      <c r="A5" s="105" t="s">
        <v>747</v>
      </c>
      <c r="H5" s="555">
        <f>'Cover Service Sheet'!D6</f>
        <v>0</v>
      </c>
      <c r="I5" s="555"/>
    </row>
    <row r="6" spans="1:16" x14ac:dyDescent="0.2">
      <c r="A6" s="105" t="s">
        <v>748</v>
      </c>
      <c r="H6" s="555">
        <f>'Cover Service Sheet'!D15</f>
        <v>0</v>
      </c>
      <c r="I6" s="555"/>
      <c r="M6" s="130"/>
      <c r="N6" s="131"/>
      <c r="O6" s="131"/>
      <c r="P6" s="193"/>
    </row>
    <row r="7" spans="1:16" x14ac:dyDescent="0.2">
      <c r="A7" s="105" t="s">
        <v>749</v>
      </c>
      <c r="H7" s="555">
        <f>'Cover Service Sheet'!D16</f>
        <v>0</v>
      </c>
      <c r="I7" s="555"/>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6" t="s">
        <v>755</v>
      </c>
      <c r="C14" s="547"/>
      <c r="D14" s="547"/>
      <c r="E14" s="547"/>
      <c r="F14" s="547"/>
      <c r="G14" s="547"/>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63010068</v>
      </c>
      <c r="K30" s="105">
        <f>AUTO!B5</f>
        <v>1024</v>
      </c>
      <c r="L30" s="105">
        <f>AUTO!B6</f>
        <v>0</v>
      </c>
      <c r="M30" s="196" t="str">
        <f>AUTO!B7</f>
        <v>LPA3 NAVAIR</v>
      </c>
      <c r="N30" s="195">
        <f>AUTO!B8</f>
        <v>78</v>
      </c>
      <c r="O30" s="195">
        <f>AUTO!B9</f>
        <v>184</v>
      </c>
      <c r="P30" s="195">
        <f>AUTO!B10</f>
        <v>1004</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511" t="s">
        <v>775</v>
      </c>
      <c r="C41" s="511"/>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0"/>
      <c r="H45" s="369" t="s">
        <v>725</v>
      </c>
      <c r="I45" s="551" t="str">
        <f>'Cover Service Sheet'!D49</f>
        <v>-</v>
      </c>
      <c r="J45" s="552"/>
      <c r="K45" s="552"/>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48" t="s">
        <v>788</v>
      </c>
      <c r="C55" s="549"/>
      <c r="D55" s="549"/>
      <c r="E55" s="549"/>
      <c r="F55" s="549"/>
      <c r="G55" s="549"/>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0"/>
      <c r="H71" s="370" t="s">
        <v>725</v>
      </c>
      <c r="I71" s="551">
        <f>'Cover Service Sheet'!D50</f>
        <v>0</v>
      </c>
      <c r="J71" s="552"/>
      <c r="K71" s="552"/>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2"/>
      <c r="I97" s="543"/>
    </row>
    <row r="98" spans="1:9" x14ac:dyDescent="0.2">
      <c r="A98" s="143">
        <f t="shared" si="1"/>
        <v>73</v>
      </c>
      <c r="B98" s="105" t="s">
        <v>538</v>
      </c>
      <c r="H98" s="544"/>
      <c r="I98" s="545"/>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45</v>
      </c>
      <c r="C7" s="394" t="s">
        <v>836</v>
      </c>
      <c r="D7" s="395" t="s">
        <v>837</v>
      </c>
      <c r="E7" s="394"/>
      <c r="F7" s="118"/>
      <c r="G7" s="118"/>
      <c r="H7" s="118"/>
      <c r="I7" s="118"/>
      <c r="J7" s="118"/>
      <c r="K7" s="118"/>
      <c r="L7" s="118"/>
      <c r="M7" s="118"/>
    </row>
    <row r="8" spans="2:13" x14ac:dyDescent="0.2">
      <c r="B8" s="391">
        <f>VLOOKUP("pump_current_emptying",AUTO!$A$1:$B$1051,2,FALSE)</f>
        <v>357</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33</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12983</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46192.5</v>
      </c>
      <c r="I16" s="566"/>
      <c r="J16" s="567"/>
      <c r="K16" s="118"/>
      <c r="L16" s="118"/>
      <c r="M16" s="118"/>
    </row>
    <row r="17" spans="2:10" x14ac:dyDescent="0.2">
      <c r="B17" s="391"/>
      <c r="C17" s="398"/>
      <c r="D17" s="399"/>
      <c r="E17" s="400"/>
      <c r="F17" s="118"/>
      <c r="G17" s="403" t="s">
        <v>852</v>
      </c>
      <c r="H17" s="568" t="str">
        <f>H15&amp;" "&amp;TEXT(H16,"ddmmyy")</f>
        <v>-1 190626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78</v>
      </c>
      <c r="C65" s="407">
        <f>VLOOKUP("threshold1",AUTO!$A$1:$B$1051,2,FALSE)</f>
        <v>184</v>
      </c>
      <c r="D65" s="407">
        <f>VLOOKUP("threshold2",AUTO!$A$1:$B$1051,2,FALSE)</f>
        <v>1004</v>
      </c>
      <c r="E65" s="407">
        <f>VLOOKUP("threshold3",AUTO!$A$1:$B$1051,2,FALSE)</f>
        <v>2096</v>
      </c>
      <c r="F65" s="407">
        <f>VLOOKUP("threshold4",AUTO!$A$1:$B$1051,2,FALSE)</f>
        <v>3116</v>
      </c>
      <c r="G65" s="407">
        <f>VLOOKUP("threshold5",AUTO!$A$1:$B$1051,2,FALSE)</f>
        <v>10301</v>
      </c>
      <c r="H65" s="407">
        <f>VLOOKUP("threshold6",AUTO!$A$1:$B$1051,2,FALSE)</f>
        <v>15776</v>
      </c>
      <c r="I65" s="407">
        <f>VLOOKUP("threshold7",AUTO!$A$1:$B$1051,2,FALSE)</f>
        <v>24523</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1056121</v>
      </c>
      <c r="D68" s="379">
        <f>(C68-B68)/B68</f>
        <v>-2.0731961300338907E-4</v>
      </c>
      <c r="E68" s="391"/>
      <c r="F68" s="379"/>
      <c r="G68" s="391"/>
      <c r="H68" s="379"/>
      <c r="I68" s="412">
        <f>(C68)</f>
        <v>1056121</v>
      </c>
      <c r="J68" s="379">
        <f>(I68-$B68)/$B68</f>
        <v>-2.0731961300338907E-4</v>
      </c>
    </row>
    <row r="69" spans="1:10" ht="18" customHeight="1" x14ac:dyDescent="0.2">
      <c r="A69" s="410">
        <v>6</v>
      </c>
      <c r="B69" s="411">
        <f>VLOOKUP("reference_count_1",AUTO!$A$1:$B$1051,2,FALSE)</f>
        <v>459350</v>
      </c>
      <c r="C69" s="391">
        <f>VLOOKUP("verification_count_1_1",AUTO!$A$1:$B$1051,2,FALSE)</f>
        <v>462144</v>
      </c>
      <c r="D69" s="379">
        <f t="shared" ref="D69:D76" si="0">(C69-B69)/B69</f>
        <v>6.082507891585937E-3</v>
      </c>
      <c r="E69" s="391"/>
      <c r="F69" s="379"/>
      <c r="G69" s="391"/>
      <c r="H69" s="379"/>
      <c r="I69" s="412">
        <f t="shared" ref="I69:I76" si="1">(C69)</f>
        <v>462144</v>
      </c>
      <c r="J69" s="379">
        <f t="shared" ref="J69:J76" si="2">(I69-$B69)/$B69</f>
        <v>6.082507891585937E-3</v>
      </c>
    </row>
    <row r="70" spans="1:10" ht="18" customHeight="1" x14ac:dyDescent="0.2">
      <c r="A70" s="410">
        <v>10</v>
      </c>
      <c r="B70" s="411">
        <f>VLOOKUP("reference_count32_6",AUTO!$A$1:$B$1051,2,FALSE)*100</f>
        <v>106950</v>
      </c>
      <c r="C70" s="413">
        <f>VLOOKUP("verification_count32_1_6",AUTO!$A$1:$B$1051,2,FALSE)*100</f>
        <v>108095</v>
      </c>
      <c r="D70" s="379">
        <f t="shared" si="0"/>
        <v>1.0705937353903693E-2</v>
      </c>
      <c r="E70" s="413"/>
      <c r="F70" s="379"/>
      <c r="G70" s="413"/>
      <c r="H70" s="379"/>
      <c r="I70" s="412">
        <f t="shared" si="1"/>
        <v>108095</v>
      </c>
      <c r="J70" s="379">
        <f t="shared" si="2"/>
        <v>1.0705937353903693E-2</v>
      </c>
    </row>
    <row r="71" spans="1:10" ht="18" customHeight="1" x14ac:dyDescent="0.2">
      <c r="A71" s="410">
        <v>14</v>
      </c>
      <c r="B71" s="411">
        <f>VLOOKUP("reference_count_2",AUTO!$A$1:$B$1051,2,FALSE)</f>
        <v>36410</v>
      </c>
      <c r="C71" s="391">
        <f>VLOOKUP("verification_count_1_2",AUTO!$A$1:$B$1051,2,FALSE)</f>
        <v>36990</v>
      </c>
      <c r="D71" s="379">
        <f t="shared" si="0"/>
        <v>1.5929689645701732E-2</v>
      </c>
      <c r="E71" s="391"/>
      <c r="F71" s="379"/>
      <c r="G71" s="391"/>
      <c r="H71" s="379"/>
      <c r="I71" s="412">
        <f t="shared" si="1"/>
        <v>36990</v>
      </c>
      <c r="J71" s="379">
        <f t="shared" si="2"/>
        <v>1.5929689645701732E-2</v>
      </c>
    </row>
    <row r="72" spans="1:10" ht="18" customHeight="1" x14ac:dyDescent="0.2">
      <c r="A72" s="410">
        <v>21</v>
      </c>
      <c r="B72" s="411">
        <f>VLOOKUP("reference_count_3",AUTO!$A$1:$B$1051,2,FALSE)</f>
        <v>10940</v>
      </c>
      <c r="C72" s="391">
        <f>VLOOKUP("verification_count_1_3",AUTO!$A$1:$B$1051,2,FALSE)</f>
        <v>10613</v>
      </c>
      <c r="D72" s="379">
        <f t="shared" si="0"/>
        <v>-2.9890310786106034E-2</v>
      </c>
      <c r="E72" s="391"/>
      <c r="F72" s="379"/>
      <c r="G72" s="391"/>
      <c r="H72" s="379"/>
      <c r="I72" s="412">
        <f t="shared" si="1"/>
        <v>10613</v>
      </c>
      <c r="J72" s="379">
        <f t="shared" si="2"/>
        <v>-2.9890310786106034E-2</v>
      </c>
    </row>
    <row r="73" spans="1:10" ht="18" customHeight="1" x14ac:dyDescent="0.2">
      <c r="A73" s="410">
        <v>25</v>
      </c>
      <c r="B73" s="411">
        <f>VLOOKUP("reference_count_4",AUTO!$A$1:$B$1051,2,FALSE)</f>
        <v>5210</v>
      </c>
      <c r="C73" s="391">
        <f>VLOOKUP("verification_count_1_4",AUTO!$A$1:$B$1051,2,FALSE)</f>
        <v>4874</v>
      </c>
      <c r="D73" s="379">
        <f t="shared" si="0"/>
        <v>-6.4491362763915552E-2</v>
      </c>
      <c r="E73" s="391"/>
      <c r="F73" s="379"/>
      <c r="G73" s="391"/>
      <c r="H73" s="379"/>
      <c r="I73" s="412">
        <f t="shared" si="1"/>
        <v>4874</v>
      </c>
      <c r="J73" s="379">
        <f t="shared" si="2"/>
        <v>-6.4491362763915552E-2</v>
      </c>
    </row>
    <row r="74" spans="1:10" ht="18" customHeight="1" x14ac:dyDescent="0.2">
      <c r="A74" s="410">
        <v>38</v>
      </c>
      <c r="B74" s="411">
        <f>VLOOKUP("reference_count_5",AUTO!$A$1:$B$1051,2,FALSE)</f>
        <v>611.721</v>
      </c>
      <c r="C74" s="391">
        <f>VLOOKUP("verification_count_1_5",AUTO!$A$1:$B$1051,2,FALSE)</f>
        <v>446</v>
      </c>
      <c r="D74" s="379">
        <f t="shared" si="0"/>
        <v>-0.27090945055016913</v>
      </c>
      <c r="E74" s="391"/>
      <c r="F74" s="379"/>
      <c r="G74" s="391"/>
      <c r="H74" s="379"/>
      <c r="I74" s="412">
        <f t="shared" si="1"/>
        <v>446</v>
      </c>
      <c r="J74" s="379">
        <f t="shared" si="2"/>
        <v>-0.27090945055016913</v>
      </c>
    </row>
    <row r="75" spans="1:10" ht="18" customHeight="1" x14ac:dyDescent="0.2">
      <c r="A75" s="410">
        <v>50</v>
      </c>
      <c r="B75" s="411">
        <f>VLOOKUP("reference_count_6",AUTO!$A$1:$B$1051,2,FALSE)</f>
        <v>145.303</v>
      </c>
      <c r="C75" s="391">
        <f>VLOOKUP("verification_count_1_6",AUTO!$A$1:$B$1051,2,FALSE)</f>
        <v>83</v>
      </c>
      <c r="D75" s="379">
        <f t="shared" si="0"/>
        <v>-0.42877986001665486</v>
      </c>
      <c r="E75" s="391"/>
      <c r="F75" s="379"/>
      <c r="G75" s="391"/>
      <c r="H75" s="379"/>
      <c r="I75" s="412">
        <f t="shared" si="1"/>
        <v>83</v>
      </c>
      <c r="J75" s="379">
        <f t="shared" si="2"/>
        <v>-0.42877986001665486</v>
      </c>
    </row>
    <row r="76" spans="1:10" ht="18" customHeight="1" x14ac:dyDescent="0.2">
      <c r="A76" s="410">
        <v>70</v>
      </c>
      <c r="B76" s="411">
        <f>VLOOKUP("reference_count_7",AUTO!$A$1:$B$1051,2,FALSE)</f>
        <v>24.939</v>
      </c>
      <c r="C76" s="391">
        <f>VLOOKUP("verification_count_1_7",AUTO!$A$1:$B$1051,2,FALSE)</f>
        <v>13</v>
      </c>
      <c r="D76" s="379">
        <f t="shared" si="0"/>
        <v>-0.47872809655559567</v>
      </c>
      <c r="E76" s="391"/>
      <c r="F76" s="379"/>
      <c r="G76" s="391"/>
      <c r="H76" s="379"/>
      <c r="I76" s="412">
        <f t="shared" si="1"/>
        <v>13</v>
      </c>
      <c r="J76" s="379">
        <f t="shared" si="2"/>
        <v>-0.47872809655559567</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887</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890</v>
      </c>
      <c r="L17" s="417"/>
      <c r="M17" s="417"/>
      <c r="N17" s="418"/>
      <c r="O17" s="419" t="str">
        <f>'Auto-Calibration record'!H18</f>
        <v>RM8631b</v>
      </c>
    </row>
    <row r="18" spans="2:15" ht="25.9" customHeight="1" x14ac:dyDescent="0.25">
      <c r="B18" s="414" t="s">
        <v>891</v>
      </c>
      <c r="C18" s="420"/>
      <c r="D18" s="585">
        <f>'Auto-Calibration record'!H15</f>
        <v>-1</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579"/>
      <c r="J28" s="425">
        <f>'Auto-Calibration record'!I68</f>
        <v>1056121</v>
      </c>
      <c r="K28" s="425">
        <f t="shared" ref="K28:K33" si="0">J28-H28</f>
        <v>-219</v>
      </c>
      <c r="L28" s="38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579"/>
      <c r="J29" s="425">
        <f>'Auto-Calibration record'!I69</f>
        <v>462144</v>
      </c>
      <c r="K29" s="425">
        <f t="shared" si="0"/>
        <v>2794</v>
      </c>
      <c r="L29" s="383">
        <f t="shared" si="1"/>
        <v>6.082507891585937E-3</v>
      </c>
    </row>
    <row r="30" spans="2:15" s="77" customFormat="1" ht="25.9" customHeight="1" x14ac:dyDescent="0.2">
      <c r="D30" s="596" t="s">
        <v>910</v>
      </c>
      <c r="E30" s="596"/>
      <c r="F30" s="584">
        <f>'Auto-Calibration record'!D65</f>
        <v>1004</v>
      </c>
      <c r="G30" s="584"/>
      <c r="H30" s="579">
        <f>'Auto-Calibration record'!B71</f>
        <v>36410</v>
      </c>
      <c r="I30" s="579"/>
      <c r="J30" s="425">
        <f>'Auto-Calibration record'!I71</f>
        <v>36990</v>
      </c>
      <c r="K30" s="425">
        <f t="shared" si="0"/>
        <v>580</v>
      </c>
      <c r="L30" s="383">
        <f t="shared" si="1"/>
        <v>1.5929689645701732E-2</v>
      </c>
    </row>
    <row r="31" spans="2:15" s="77" customFormat="1" ht="25.9" customHeight="1" x14ac:dyDescent="0.2">
      <c r="D31" s="596" t="s">
        <v>911</v>
      </c>
      <c r="E31" s="596"/>
      <c r="F31" s="584">
        <f>'Auto-Calibration record'!E65</f>
        <v>2096</v>
      </c>
      <c r="G31" s="584"/>
      <c r="H31" s="579">
        <f>'Auto-Calibration record'!B72</f>
        <v>10940</v>
      </c>
      <c r="I31" s="579"/>
      <c r="J31" s="425">
        <f>'Auto-Calibration record'!I72</f>
        <v>10613</v>
      </c>
      <c r="K31" s="425">
        <f t="shared" si="0"/>
        <v>-327</v>
      </c>
      <c r="L31" s="383">
        <f t="shared" si="1"/>
        <v>-2.9890310786106034E-2</v>
      </c>
    </row>
    <row r="32" spans="2:15" s="77" customFormat="1" ht="25.9" customHeight="1" x14ac:dyDescent="0.2">
      <c r="D32" s="596" t="s">
        <v>912</v>
      </c>
      <c r="E32" s="596"/>
      <c r="F32" s="584">
        <f>'Auto-Calibration record'!F65</f>
        <v>3116</v>
      </c>
      <c r="G32" s="584"/>
      <c r="H32" s="579">
        <f>'Auto-Calibration record'!B73</f>
        <v>5210</v>
      </c>
      <c r="I32" s="579"/>
      <c r="J32" s="425">
        <f>'Auto-Calibration record'!I73</f>
        <v>4874</v>
      </c>
      <c r="K32" s="425">
        <f t="shared" si="0"/>
        <v>-336</v>
      </c>
      <c r="L32" s="383">
        <f t="shared" si="1"/>
        <v>-6.4491362763915552E-2</v>
      </c>
    </row>
    <row r="33" spans="2:12" s="77" customFormat="1" ht="25.9" customHeight="1" x14ac:dyDescent="0.2">
      <c r="D33" s="596" t="s">
        <v>913</v>
      </c>
      <c r="E33" s="596"/>
      <c r="F33" s="584">
        <f>'Auto-Calibration record'!G65</f>
        <v>10301</v>
      </c>
      <c r="G33" s="584"/>
      <c r="H33" s="579">
        <f>'Auto-Calibration record'!B74</f>
        <v>611.721</v>
      </c>
      <c r="I33" s="579"/>
      <c r="J33" s="425">
        <f>'Auto-Calibration record'!I74</f>
        <v>446</v>
      </c>
      <c r="K33" s="425">
        <f t="shared" si="0"/>
        <v>-165.721</v>
      </c>
      <c r="L33" s="383">
        <f t="shared" si="1"/>
        <v>-0.27090945055016913</v>
      </c>
    </row>
    <row r="34" spans="2:12" s="77" customFormat="1" ht="25.9" customHeight="1" x14ac:dyDescent="0.2">
      <c r="D34" s="596" t="s">
        <v>914</v>
      </c>
      <c r="E34" s="596"/>
      <c r="F34" s="584">
        <f>'Auto-Calibration record'!H65</f>
        <v>15776</v>
      </c>
      <c r="G34" s="584"/>
      <c r="H34" s="579">
        <f>'Auto-Calibration record'!B75</f>
        <v>145.303</v>
      </c>
      <c r="I34" s="579"/>
      <c r="J34" s="425">
        <f>'Auto-Calibration record'!I75</f>
        <v>83</v>
      </c>
      <c r="K34" s="425" t="s">
        <v>321</v>
      </c>
      <c r="L34" s="426" t="s">
        <v>321</v>
      </c>
    </row>
    <row r="35" spans="2:12" s="72" customFormat="1" ht="25.9" customHeight="1" x14ac:dyDescent="0.25">
      <c r="D35" s="596" t="s">
        <v>915</v>
      </c>
      <c r="E35" s="596"/>
      <c r="F35" s="592">
        <f>'Auto-Calibration record'!I65</f>
        <v>24523</v>
      </c>
      <c r="G35" s="592"/>
      <c r="H35" s="579">
        <f>'Auto-Calibration record'!B76</f>
        <v>24.939</v>
      </c>
      <c r="I35" s="579"/>
      <c r="J35" s="427">
        <f>'Auto-Calibration record'!I76</f>
        <v>13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106"/>
      <c r="K38" s="106"/>
      <c r="L38" s="106"/>
    </row>
    <row r="39" spans="2:12" ht="25.9" customHeight="1" x14ac:dyDescent="0.2">
      <c r="B39" s="80"/>
      <c r="D39" s="424" t="s">
        <v>905</v>
      </c>
      <c r="E39" s="583" t="s">
        <v>905</v>
      </c>
      <c r="F39" s="583"/>
      <c r="G39" s="583" t="s">
        <v>920</v>
      </c>
      <c r="H39" s="583"/>
      <c r="I39" s="81"/>
      <c r="J39" s="107"/>
      <c r="K39" s="107"/>
      <c r="L39" s="107"/>
    </row>
    <row r="40" spans="2:12" ht="25.9" customHeight="1" x14ac:dyDescent="0.2">
      <c r="B40" s="80"/>
      <c r="D40" s="428">
        <f>'Auto-Calibration record'!B11</f>
        <v>33</v>
      </c>
      <c r="E40" s="579">
        <f>F28-D40</f>
        <v>45</v>
      </c>
      <c r="F40" s="579"/>
      <c r="G40" s="588">
        <f>F28/D40</f>
        <v>2.3636363636363638</v>
      </c>
      <c r="H40" s="588"/>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598" t="s">
        <v>925</v>
      </c>
      <c r="E74" s="599"/>
      <c r="F74" s="599"/>
      <c r="G74" s="600"/>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t="str">
        <f>'Auto-Calibration record'!H26</f>
        <v>John Devereux</v>
      </c>
      <c r="E76" s="594"/>
      <c r="F76" s="595"/>
      <c r="K76" s="433" t="s">
        <v>927</v>
      </c>
      <c r="L76" s="589" t="s">
        <v>928</v>
      </c>
      <c r="M76" s="590"/>
      <c r="N76" s="590"/>
      <c r="O76" s="591"/>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580" t="str">
        <f>'Cover Service Sheet'!C183</f>
        <v xml:space="preserve">
</v>
      </c>
      <c r="C99" s="580"/>
      <c r="D99" s="580"/>
      <c r="E99" s="580"/>
      <c r="F99" s="580"/>
      <c r="G99" s="580"/>
      <c r="H99" s="580"/>
      <c r="I99" s="580"/>
      <c r="J99" s="580"/>
      <c r="K99" s="580"/>
      <c r="L99" s="580"/>
      <c r="M99" s="580"/>
      <c r="N99" s="580"/>
      <c r="O99" s="580"/>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580">
        <f>'Cover Service Sheet'!C187</f>
        <v>0</v>
      </c>
      <c r="C103" s="580"/>
      <c r="D103" s="580"/>
      <c r="E103" s="580"/>
      <c r="F103" s="580"/>
      <c r="G103" s="580"/>
      <c r="H103" s="580"/>
      <c r="I103" s="580"/>
      <c r="J103" s="580"/>
      <c r="K103" s="580"/>
      <c r="L103" s="580"/>
      <c r="M103" s="580"/>
      <c r="N103" s="580"/>
      <c r="O103" s="580"/>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580">
        <f>'Cover Service Sheet'!C191</f>
        <v>0</v>
      </c>
      <c r="C107" s="580"/>
      <c r="D107" s="580"/>
      <c r="E107" s="580"/>
      <c r="F107" s="580"/>
      <c r="G107" s="580"/>
      <c r="H107" s="580"/>
      <c r="I107" s="580"/>
      <c r="J107" s="580"/>
      <c r="K107" s="580"/>
      <c r="L107" s="580"/>
      <c r="M107" s="580"/>
      <c r="N107" s="580"/>
      <c r="O107" s="580"/>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7" t="str">
        <f>'Auto-Calibration record'!H14</f>
        <v>5.6mg/l RM8631b</v>
      </c>
      <c r="E14" s="617"/>
      <c r="F14" s="617"/>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8" t="s">
        <v>953</v>
      </c>
      <c r="C17" s="618"/>
      <c r="D17" s="618"/>
      <c r="E17" s="618"/>
      <c r="F17" s="618"/>
      <c r="G17" s="618"/>
      <c r="H17" s="618"/>
      <c r="I17" s="618"/>
      <c r="J17" s="250"/>
      <c r="K17" s="250"/>
      <c r="L17" s="250"/>
    </row>
    <row r="18" spans="1:12" ht="28.5" customHeight="1" x14ac:dyDescent="0.2">
      <c r="B18" s="618" t="s">
        <v>954</v>
      </c>
      <c r="C18" s="618"/>
      <c r="D18" s="618"/>
      <c r="E18" s="618"/>
      <c r="F18" s="618"/>
      <c r="G18" s="618"/>
      <c r="H18" s="618"/>
      <c r="I18" s="618"/>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11" t="s">
        <v>955</v>
      </c>
      <c r="C20" s="611"/>
      <c r="D20" s="611"/>
      <c r="E20" s="611"/>
      <c r="F20" s="611"/>
      <c r="G20" s="611"/>
      <c r="H20" s="611"/>
      <c r="I20" s="611"/>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16">
        <f>'Auto-Calibration record'!H16</f>
        <v>46192.5</v>
      </c>
      <c r="E25" s="616"/>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12" t="str">
        <f>'Auto-Calibration record'!H14</f>
        <v>5.6mg/l RM8631b</v>
      </c>
      <c r="F41" s="613"/>
      <c r="G41" s="118"/>
    </row>
    <row r="42" spans="1:12" x14ac:dyDescent="0.2">
      <c r="A42" s="37"/>
      <c r="C42" s="252" t="s">
        <v>963</v>
      </c>
      <c r="D42" s="253"/>
      <c r="E42" s="104" t="s">
        <v>951</v>
      </c>
      <c r="F42" s="96" t="str">
        <f>E15</f>
        <v>0-200001</v>
      </c>
    </row>
    <row r="43" spans="1:12" x14ac:dyDescent="0.2">
      <c r="A43" s="37"/>
      <c r="C43" s="61" t="s">
        <v>964</v>
      </c>
      <c r="D43" s="49"/>
      <c r="E43" s="614" t="s">
        <v>965</v>
      </c>
      <c r="F43" s="615"/>
      <c r="G43" s="37"/>
    </row>
    <row r="44" spans="1:12" x14ac:dyDescent="0.2">
      <c r="C44" s="62" t="s">
        <v>966</v>
      </c>
      <c r="D44" s="51"/>
      <c r="E44" s="614">
        <f>'Auto-Calibration record'!B17</f>
        <v>0</v>
      </c>
      <c r="F44" s="615"/>
      <c r="G44" s="37"/>
      <c r="H44" s="3"/>
      <c r="I44" s="3"/>
      <c r="J44" s="3"/>
      <c r="K44" s="3"/>
      <c r="L44" s="3"/>
    </row>
    <row r="45" spans="1:12" x14ac:dyDescent="0.2">
      <c r="C45" s="61" t="s">
        <v>967</v>
      </c>
      <c r="D45" s="49"/>
      <c r="E45" s="614">
        <f>'Auto-Calibration record'!B11</f>
        <v>33</v>
      </c>
      <c r="F45" s="615"/>
      <c r="G45" s="37"/>
    </row>
    <row r="46" spans="1:12" x14ac:dyDescent="0.2">
      <c r="A46" s="37"/>
      <c r="C46" s="61" t="s">
        <v>968</v>
      </c>
      <c r="D46" s="49"/>
      <c r="E46" s="614" t="s">
        <v>969</v>
      </c>
      <c r="F46" s="615"/>
      <c r="G46" s="37"/>
    </row>
    <row r="47" spans="1:12" s="2" customFormat="1" x14ac:dyDescent="0.2">
      <c r="A47" s="1"/>
      <c r="C47" s="61" t="s">
        <v>970</v>
      </c>
      <c r="D47" s="49"/>
      <c r="E47" s="614" t="s">
        <v>971</v>
      </c>
      <c r="F47" s="615"/>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22" t="s">
        <v>975</v>
      </c>
      <c r="E55" s="622"/>
      <c r="F55" s="56" t="s">
        <v>976</v>
      </c>
      <c r="G55" s="55" t="s">
        <v>902</v>
      </c>
      <c r="H55" s="57" t="s">
        <v>902</v>
      </c>
      <c r="I55" s="2"/>
    </row>
    <row r="56" spans="1:10" s="2" customFormat="1" x14ac:dyDescent="0.2">
      <c r="A56" s="37"/>
      <c r="B56" s="384" t="s">
        <v>977</v>
      </c>
      <c r="C56" s="385" t="s">
        <v>905</v>
      </c>
      <c r="D56" s="623" t="s">
        <v>978</v>
      </c>
      <c r="E56" s="623"/>
      <c r="F56" s="387" t="s">
        <v>978</v>
      </c>
      <c r="G56" s="386" t="s">
        <v>978</v>
      </c>
      <c r="H56" s="388" t="s">
        <v>907</v>
      </c>
      <c r="I56" s="58"/>
    </row>
    <row r="57" spans="1:10" x14ac:dyDescent="0.2">
      <c r="A57" s="37"/>
      <c r="B57" s="92">
        <v>4</v>
      </c>
      <c r="C57" s="434">
        <f>'Auto-Calibration record'!B65</f>
        <v>78</v>
      </c>
      <c r="D57" s="620">
        <f>'Auto-Calibration record'!B68</f>
        <v>1056340</v>
      </c>
      <c r="E57" s="621"/>
      <c r="F57" s="435">
        <f>'Auto-Calibration record'!I68</f>
        <v>1056121</v>
      </c>
      <c r="G57" s="434">
        <f t="shared" ref="G57:G62" si="0">F57-D57</f>
        <v>-219</v>
      </c>
      <c r="H57" s="93">
        <f t="shared" ref="H57:H62" si="1">G57/D57</f>
        <v>-2.0731961300338907E-4</v>
      </c>
      <c r="I57" s="59"/>
    </row>
    <row r="58" spans="1:10" s="37" customFormat="1" x14ac:dyDescent="0.2">
      <c r="A58" s="2"/>
      <c r="B58" s="92">
        <v>6</v>
      </c>
      <c r="C58" s="434">
        <f>'Auto-Calibration record'!C65</f>
        <v>184</v>
      </c>
      <c r="D58" s="620">
        <f>'Auto-Calibration record'!B69</f>
        <v>459350</v>
      </c>
      <c r="E58" s="621"/>
      <c r="F58" s="435">
        <f>'Auto-Calibration record'!I69</f>
        <v>462144</v>
      </c>
      <c r="G58" s="434">
        <f t="shared" si="0"/>
        <v>2794</v>
      </c>
      <c r="H58" s="93">
        <f t="shared" si="1"/>
        <v>6.082507891585937E-3</v>
      </c>
      <c r="I58" s="59"/>
    </row>
    <row r="59" spans="1:10" x14ac:dyDescent="0.2">
      <c r="B59" s="92">
        <v>14</v>
      </c>
      <c r="C59" s="434">
        <f>'Auto-Calibration record'!D65</f>
        <v>1004</v>
      </c>
      <c r="D59" s="620">
        <f>'Auto-Calibration record'!B71</f>
        <v>36410</v>
      </c>
      <c r="E59" s="621"/>
      <c r="F59" s="435">
        <f>'Auto-Calibration record'!I71</f>
        <v>36990</v>
      </c>
      <c r="G59" s="434">
        <f t="shared" si="0"/>
        <v>580</v>
      </c>
      <c r="H59" s="93">
        <f t="shared" si="1"/>
        <v>1.5929689645701732E-2</v>
      </c>
      <c r="I59" s="59"/>
    </row>
    <row r="60" spans="1:10" x14ac:dyDescent="0.2">
      <c r="A60" s="37"/>
      <c r="B60" s="92">
        <v>21</v>
      </c>
      <c r="C60" s="434">
        <f>'Auto-Calibration record'!E65</f>
        <v>2096</v>
      </c>
      <c r="D60" s="620">
        <f>'Auto-Calibration record'!B72</f>
        <v>10940</v>
      </c>
      <c r="E60" s="621"/>
      <c r="F60" s="435">
        <f>'Auto-Calibration record'!I72</f>
        <v>10613</v>
      </c>
      <c r="G60" s="434">
        <f t="shared" si="0"/>
        <v>-327</v>
      </c>
      <c r="H60" s="93">
        <f t="shared" si="1"/>
        <v>-2.9890310786106034E-2</v>
      </c>
      <c r="I60" s="59"/>
    </row>
    <row r="61" spans="1:10" x14ac:dyDescent="0.2">
      <c r="B61" s="92">
        <v>25</v>
      </c>
      <c r="C61" s="434">
        <f>'Auto-Calibration record'!F65</f>
        <v>3116</v>
      </c>
      <c r="D61" s="620">
        <f>'Auto-Calibration record'!B73</f>
        <v>5210</v>
      </c>
      <c r="E61" s="621"/>
      <c r="F61" s="435">
        <f>'Auto-Calibration record'!I73</f>
        <v>4874</v>
      </c>
      <c r="G61" s="434">
        <f t="shared" si="0"/>
        <v>-336</v>
      </c>
      <c r="H61" s="93">
        <f t="shared" si="1"/>
        <v>-6.4491362763915552E-2</v>
      </c>
      <c r="I61" s="59"/>
    </row>
    <row r="62" spans="1:10" x14ac:dyDescent="0.2">
      <c r="A62" s="2"/>
      <c r="B62" s="92">
        <v>38</v>
      </c>
      <c r="C62" s="434">
        <f>'Auto-Calibration record'!G65</f>
        <v>10301</v>
      </c>
      <c r="D62" s="620">
        <f>'Auto-Calibration record'!B74</f>
        <v>611.721</v>
      </c>
      <c r="E62" s="621"/>
      <c r="F62" s="435">
        <f>'Auto-Calibration record'!I74</f>
        <v>446</v>
      </c>
      <c r="G62" s="434">
        <f t="shared" si="0"/>
        <v>-165.721</v>
      </c>
      <c r="H62" s="93">
        <f t="shared" si="1"/>
        <v>-0.27090945055016913</v>
      </c>
      <c r="I62" s="59"/>
    </row>
    <row r="63" spans="1:10" x14ac:dyDescent="0.2">
      <c r="B63" s="92" t="s">
        <v>979</v>
      </c>
      <c r="C63" s="434">
        <f>'Auto-Calibration record'!H65</f>
        <v>15776</v>
      </c>
      <c r="D63" s="620">
        <f>'Auto-Calibration record'!B75</f>
        <v>145.303</v>
      </c>
      <c r="E63" s="621"/>
      <c r="F63" s="435">
        <f>'Auto-Calibration record'!I75</f>
        <v>83</v>
      </c>
      <c r="G63" s="436" t="s">
        <v>321</v>
      </c>
      <c r="H63" s="254" t="s">
        <v>321</v>
      </c>
      <c r="I63" s="59"/>
    </row>
    <row r="64" spans="1:10" ht="13.5" thickBot="1" x14ac:dyDescent="0.25">
      <c r="A64" s="37"/>
      <c r="B64" s="94" t="s">
        <v>980</v>
      </c>
      <c r="C64" s="95">
        <f>'Auto-Calibration record'!I65</f>
        <v>24523</v>
      </c>
      <c r="D64" s="620">
        <f>'Auto-Calibration record'!B76</f>
        <v>24.939</v>
      </c>
      <c r="E64" s="621"/>
      <c r="F64" s="102">
        <f>'Auto-Calibration record'!I76</f>
        <v>13</v>
      </c>
      <c r="G64" s="255" t="s">
        <v>321</v>
      </c>
      <c r="H64" s="256" t="s">
        <v>321</v>
      </c>
      <c r="I64" s="59"/>
    </row>
    <row r="65" spans="2:7" x14ac:dyDescent="0.2">
      <c r="B65" s="619" t="s">
        <v>981</v>
      </c>
      <c r="C65" s="619"/>
      <c r="D65" s="619"/>
      <c r="E65" s="619"/>
      <c r="F65" s="619"/>
      <c r="G65" s="619"/>
    </row>
    <row r="67" spans="2:7" x14ac:dyDescent="0.2">
      <c r="B67" s="389" t="s">
        <v>982</v>
      </c>
      <c r="C67" s="390">
        <f>'Auto-Calibration record'!H16</f>
        <v>46192.5</v>
      </c>
    </row>
    <row r="72" spans="2:7" x14ac:dyDescent="0.2">
      <c r="F72" s="5" t="s">
        <v>959</v>
      </c>
    </row>
    <row r="74" spans="2:7" x14ac:dyDescent="0.2">
      <c r="B74" s="60" t="s">
        <v>983</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984</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9" t="s">
        <v>987</v>
      </c>
      <c r="F21" s="629"/>
      <c r="G21" s="629" t="s">
        <v>988</v>
      </c>
      <c r="H21" s="629"/>
      <c r="I21" s="629" t="s">
        <v>989</v>
      </c>
      <c r="J21" s="629"/>
      <c r="M21" s="72"/>
      <c r="N21" s="72"/>
      <c r="O21" s="89"/>
    </row>
    <row r="22" spans="2:15" ht="18" x14ac:dyDescent="0.25">
      <c r="B22" s="71"/>
      <c r="D22" s="440" t="s">
        <v>990</v>
      </c>
      <c r="E22" s="624" t="s">
        <v>991</v>
      </c>
      <c r="F22" s="624"/>
      <c r="G22" s="624" t="s">
        <v>992</v>
      </c>
      <c r="H22" s="624"/>
      <c r="I22" s="624">
        <v>5226</v>
      </c>
      <c r="J22" s="624"/>
      <c r="M22" s="72"/>
      <c r="N22" s="72"/>
      <c r="O22" s="89"/>
    </row>
    <row r="23" spans="2:15" ht="14.25" customHeight="1" x14ac:dyDescent="0.25">
      <c r="B23" s="71"/>
      <c r="D23" s="440" t="s">
        <v>993</v>
      </c>
      <c r="E23" s="624" t="s">
        <v>991</v>
      </c>
      <c r="F23" s="624"/>
      <c r="G23" s="624" t="s">
        <v>992</v>
      </c>
      <c r="H23" s="624"/>
      <c r="I23" s="624">
        <v>5306</v>
      </c>
      <c r="J23" s="624"/>
      <c r="M23" s="72"/>
      <c r="N23" s="72"/>
      <c r="O23" s="89"/>
    </row>
    <row r="24" spans="2:15" ht="14.25" customHeight="1" x14ac:dyDescent="0.25">
      <c r="B24" s="71"/>
      <c r="D24" s="440" t="s">
        <v>994</v>
      </c>
      <c r="E24" s="624" t="s">
        <v>991</v>
      </c>
      <c r="F24" s="624"/>
      <c r="G24" s="624" t="s">
        <v>992</v>
      </c>
      <c r="H24" s="624"/>
      <c r="I24" s="624">
        <v>5326</v>
      </c>
      <c r="J24" s="624"/>
      <c r="M24" s="72"/>
      <c r="N24" s="72"/>
      <c r="O24" s="89"/>
    </row>
    <row r="25" spans="2:15" ht="14.25" customHeight="1" x14ac:dyDescent="0.25">
      <c r="B25" s="71"/>
      <c r="D25" s="440" t="s">
        <v>995</v>
      </c>
      <c r="E25" s="624" t="s">
        <v>991</v>
      </c>
      <c r="F25" s="624"/>
      <c r="G25" s="624" t="s">
        <v>992</v>
      </c>
      <c r="H25" s="624"/>
      <c r="I25" s="624">
        <v>5529</v>
      </c>
      <c r="J25" s="624"/>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2" t="s">
        <v>898</v>
      </c>
      <c r="E32" s="582"/>
      <c r="F32" s="582" t="s">
        <v>899</v>
      </c>
      <c r="G32" s="582"/>
      <c r="H32" s="582" t="s">
        <v>900</v>
      </c>
      <c r="I32" s="582"/>
      <c r="J32" s="423" t="s">
        <v>901</v>
      </c>
      <c r="K32" s="423" t="s">
        <v>902</v>
      </c>
      <c r="L32" s="423" t="s">
        <v>903</v>
      </c>
    </row>
    <row r="33" spans="2:12" s="77" customFormat="1" ht="25.9" customHeight="1" x14ac:dyDescent="0.2">
      <c r="D33" s="583" t="s">
        <v>904</v>
      </c>
      <c r="E33" s="583"/>
      <c r="F33" s="583" t="s">
        <v>905</v>
      </c>
      <c r="G33" s="583"/>
      <c r="H33" s="583" t="s">
        <v>906</v>
      </c>
      <c r="I33" s="583"/>
      <c r="J33" s="424" t="s">
        <v>906</v>
      </c>
      <c r="K33" s="424" t="s">
        <v>906</v>
      </c>
      <c r="L33" s="424" t="s">
        <v>907</v>
      </c>
    </row>
    <row r="34" spans="2:12" s="77" customFormat="1" ht="25.9" customHeight="1" x14ac:dyDescent="0.2">
      <c r="D34" s="596" t="s">
        <v>908</v>
      </c>
      <c r="E34" s="596"/>
      <c r="F34" s="584">
        <f>'Auto-Calibration record'!B65</f>
        <v>78</v>
      </c>
      <c r="G34" s="584"/>
      <c r="H34" s="579">
        <f>'Auto-Calibration record'!B68</f>
        <v>1056340</v>
      </c>
      <c r="I34" s="625"/>
      <c r="J34" s="442">
        <f>'Auto-Calibration record'!I68</f>
        <v>1056121</v>
      </c>
      <c r="K34" s="425">
        <f t="shared" ref="K34:K39" si="0">J34-H34</f>
        <v>-219</v>
      </c>
      <c r="L34" s="443">
        <f t="shared" ref="L34:L39" si="1">K34/H34</f>
        <v>-2.0731961300338907E-4</v>
      </c>
    </row>
    <row r="35" spans="2:12" s="77" customFormat="1" ht="25.9" customHeight="1" x14ac:dyDescent="0.2">
      <c r="D35" s="596" t="s">
        <v>909</v>
      </c>
      <c r="E35" s="596"/>
      <c r="F35" s="584">
        <f>'Auto-Calibration record'!C65</f>
        <v>184</v>
      </c>
      <c r="G35" s="584"/>
      <c r="H35" s="579">
        <f>'Auto-Calibration record'!B69</f>
        <v>459350</v>
      </c>
      <c r="I35" s="625"/>
      <c r="J35" s="442">
        <f>'Auto-Calibration record'!I69</f>
        <v>462144</v>
      </c>
      <c r="K35" s="425">
        <f t="shared" si="0"/>
        <v>2794</v>
      </c>
      <c r="L35" s="443">
        <f t="shared" si="1"/>
        <v>6.082507891585937E-3</v>
      </c>
    </row>
    <row r="36" spans="2:12" s="77" customFormat="1" ht="25.9" customHeight="1" x14ac:dyDescent="0.2">
      <c r="D36" s="596" t="s">
        <v>910</v>
      </c>
      <c r="E36" s="596"/>
      <c r="F36" s="584">
        <f>'Auto-Calibration record'!D65</f>
        <v>1004</v>
      </c>
      <c r="G36" s="584"/>
      <c r="H36" s="579">
        <f>'Auto-Calibration record'!B71</f>
        <v>36410</v>
      </c>
      <c r="I36" s="625"/>
      <c r="J36" s="442">
        <f>'Auto-Calibration record'!I71</f>
        <v>36990</v>
      </c>
      <c r="K36" s="425">
        <f t="shared" si="0"/>
        <v>580</v>
      </c>
      <c r="L36" s="443">
        <f t="shared" si="1"/>
        <v>1.5929689645701732E-2</v>
      </c>
    </row>
    <row r="37" spans="2:12" s="77" customFormat="1" ht="25.9" customHeight="1" x14ac:dyDescent="0.2">
      <c r="D37" s="596" t="s">
        <v>911</v>
      </c>
      <c r="E37" s="596"/>
      <c r="F37" s="584">
        <f>'Auto-Calibration record'!E65</f>
        <v>2096</v>
      </c>
      <c r="G37" s="584"/>
      <c r="H37" s="579">
        <f>'Auto-Calibration record'!B72</f>
        <v>10940</v>
      </c>
      <c r="I37" s="625"/>
      <c r="J37" s="442">
        <f>'Auto-Calibration record'!I72</f>
        <v>10613</v>
      </c>
      <c r="K37" s="425">
        <f t="shared" si="0"/>
        <v>-327</v>
      </c>
      <c r="L37" s="443">
        <f t="shared" si="1"/>
        <v>-2.9890310786106034E-2</v>
      </c>
    </row>
    <row r="38" spans="2:12" s="77" customFormat="1" ht="25.9" customHeight="1" x14ac:dyDescent="0.2">
      <c r="D38" s="596" t="s">
        <v>912</v>
      </c>
      <c r="E38" s="596"/>
      <c r="F38" s="584">
        <f>'Auto-Calibration record'!F65</f>
        <v>3116</v>
      </c>
      <c r="G38" s="584"/>
      <c r="H38" s="579">
        <f>'Auto-Calibration record'!B73</f>
        <v>5210</v>
      </c>
      <c r="I38" s="625"/>
      <c r="J38" s="442">
        <f>'Auto-Calibration record'!I73</f>
        <v>4874</v>
      </c>
      <c r="K38" s="425">
        <f t="shared" si="0"/>
        <v>-336</v>
      </c>
      <c r="L38" s="443">
        <f t="shared" si="1"/>
        <v>-6.4491362763915552E-2</v>
      </c>
    </row>
    <row r="39" spans="2:12" s="77" customFormat="1" ht="25.9" customHeight="1" x14ac:dyDescent="0.2">
      <c r="D39" s="596" t="s">
        <v>913</v>
      </c>
      <c r="E39" s="596"/>
      <c r="F39" s="584">
        <f>'Auto-Calibration record'!G65</f>
        <v>10301</v>
      </c>
      <c r="G39" s="584"/>
      <c r="H39" s="579">
        <f>'Auto-Calibration record'!B74</f>
        <v>611.721</v>
      </c>
      <c r="I39" s="625"/>
      <c r="J39" s="442">
        <f>'Auto-Calibration record'!I74</f>
        <v>446</v>
      </c>
      <c r="K39" s="425">
        <f t="shared" si="0"/>
        <v>-165.721</v>
      </c>
      <c r="L39" s="443">
        <f t="shared" si="1"/>
        <v>-0.27090945055016913</v>
      </c>
    </row>
    <row r="40" spans="2:12" s="77" customFormat="1" ht="25.9" customHeight="1" x14ac:dyDescent="0.2">
      <c r="D40" s="596" t="s">
        <v>914</v>
      </c>
      <c r="E40" s="596"/>
      <c r="F40" s="584">
        <f>'Auto-Calibration record'!H65</f>
        <v>15776</v>
      </c>
      <c r="G40" s="584"/>
      <c r="H40" s="579">
        <f>'Auto-Calibration record'!B75</f>
        <v>145.303</v>
      </c>
      <c r="I40" s="625"/>
      <c r="J40" s="442">
        <f>'Auto-Calibration record'!I75</f>
        <v>83</v>
      </c>
      <c r="K40" s="425" t="s">
        <v>321</v>
      </c>
      <c r="L40" s="426" t="s">
        <v>321</v>
      </c>
    </row>
    <row r="41" spans="2:12" s="72" customFormat="1" ht="25.9" customHeight="1" x14ac:dyDescent="0.25">
      <c r="D41" s="596" t="s">
        <v>915</v>
      </c>
      <c r="E41" s="596"/>
      <c r="F41" s="592">
        <f>'Auto-Calibration record'!I65</f>
        <v>24523</v>
      </c>
      <c r="G41" s="592"/>
      <c r="H41" s="579">
        <f>'Auto-Calibration record'!B76</f>
        <v>24.939</v>
      </c>
      <c r="I41" s="625"/>
      <c r="J41" s="442">
        <f>'Auto-Calibration record'!I76</f>
        <v>13</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2" t="s">
        <v>918</v>
      </c>
      <c r="F44" s="582"/>
      <c r="G44" s="582" t="s">
        <v>919</v>
      </c>
      <c r="H44" s="582"/>
      <c r="I44" s="77"/>
      <c r="J44" s="423" t="s">
        <v>996</v>
      </c>
      <c r="K44" s="423" t="s">
        <v>997</v>
      </c>
      <c r="L44" s="423" t="s">
        <v>919</v>
      </c>
    </row>
    <row r="45" spans="2:12" ht="25.9" customHeight="1" x14ac:dyDescent="0.2">
      <c r="B45" s="80"/>
      <c r="D45" s="424" t="s">
        <v>905</v>
      </c>
      <c r="E45" s="583" t="s">
        <v>905</v>
      </c>
      <c r="F45" s="583"/>
      <c r="G45" s="583" t="s">
        <v>920</v>
      </c>
      <c r="H45" s="583"/>
      <c r="I45" s="81"/>
      <c r="J45" s="424" t="s">
        <v>905</v>
      </c>
      <c r="K45" s="424" t="s">
        <v>905</v>
      </c>
      <c r="L45" s="424" t="s">
        <v>920</v>
      </c>
    </row>
    <row r="46" spans="2:12" ht="25.9" customHeight="1" x14ac:dyDescent="0.2">
      <c r="B46" s="80"/>
      <c r="D46" s="428">
        <f>'Auto-Calibration record'!B17</f>
        <v>0</v>
      </c>
      <c r="E46" s="579">
        <f>F34-D46</f>
        <v>78</v>
      </c>
      <c r="F46" s="579"/>
      <c r="G46" s="588" t="e">
        <f>F34/D46</f>
        <v>#DIV/0!</v>
      </c>
      <c r="H46" s="588"/>
      <c r="I46" s="81"/>
      <c r="J46" s="428">
        <f>'Auto-Calibration record'!B11</f>
        <v>33</v>
      </c>
      <c r="K46" s="425">
        <f>F35-J46</f>
        <v>151</v>
      </c>
      <c r="L46" s="429">
        <f>F35/J46</f>
        <v>5.5757575757575761</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601" t="s">
        <v>923</v>
      </c>
      <c r="L78" s="602"/>
      <c r="M78" s="602"/>
      <c r="N78" s="602"/>
      <c r="O78" s="603"/>
    </row>
    <row r="79" spans="2:16" s="64" customFormat="1" ht="25.9" customHeight="1" x14ac:dyDescent="0.2">
      <c r="H79" s="1"/>
      <c r="I79" s="1"/>
      <c r="K79" s="604"/>
      <c r="L79" s="605"/>
      <c r="M79" s="605"/>
      <c r="N79" s="605"/>
      <c r="O79" s="606"/>
    </row>
    <row r="80" spans="2:16" s="64" customFormat="1" ht="25.9" customHeight="1" x14ac:dyDescent="0.2">
      <c r="B80" s="430" t="s">
        <v>924</v>
      </c>
      <c r="C80" s="431"/>
      <c r="D80" s="626" t="s">
        <v>925</v>
      </c>
      <c r="E80" s="627"/>
      <c r="F80" s="627"/>
      <c r="G80" s="628"/>
      <c r="H80" s="1"/>
      <c r="I80" s="1"/>
      <c r="K80" s="604"/>
      <c r="L80" s="605"/>
      <c r="M80" s="605"/>
      <c r="N80" s="605"/>
      <c r="O80" s="606"/>
    </row>
    <row r="81" spans="2:16" s="64" customFormat="1" ht="25.9" customHeight="1" x14ac:dyDescent="0.2">
      <c r="K81" s="607"/>
      <c r="L81" s="608"/>
      <c r="M81" s="608"/>
      <c r="N81" s="608"/>
      <c r="O81" s="609"/>
    </row>
    <row r="82" spans="2:16" s="64" customFormat="1" ht="25.9" customHeight="1" x14ac:dyDescent="0.2">
      <c r="B82" s="430" t="s">
        <v>926</v>
      </c>
      <c r="C82" s="431"/>
      <c r="D82" s="593"/>
      <c r="E82" s="594"/>
      <c r="F82" s="595"/>
      <c r="K82" s="433" t="s">
        <v>927</v>
      </c>
      <c r="L82" s="589" t="s">
        <v>928</v>
      </c>
      <c r="M82" s="590"/>
      <c r="N82" s="590"/>
      <c r="O82" s="591"/>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999</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625"/>
      <c r="J28" s="442">
        <f>'Auto-Calibration record'!I68</f>
        <v>1056121</v>
      </c>
      <c r="K28" s="425">
        <f t="shared" ref="K28:K33" si="0">J28-H28</f>
        <v>-219</v>
      </c>
      <c r="L28" s="44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625"/>
      <c r="J29" s="442">
        <f>'Auto-Calibration record'!I69</f>
        <v>462144</v>
      </c>
      <c r="K29" s="425">
        <f t="shared" si="0"/>
        <v>2794</v>
      </c>
      <c r="L29" s="443">
        <f t="shared" si="1"/>
        <v>6.082507891585937E-3</v>
      </c>
    </row>
    <row r="30" spans="2:15" s="77" customFormat="1" ht="25.9" customHeight="1" x14ac:dyDescent="0.2">
      <c r="D30" s="596" t="s">
        <v>910</v>
      </c>
      <c r="E30" s="596"/>
      <c r="F30" s="584">
        <f>'Auto-Calibration record'!D65</f>
        <v>1004</v>
      </c>
      <c r="G30" s="584"/>
      <c r="H30" s="579">
        <f>'Auto-Calibration record'!B71</f>
        <v>36410</v>
      </c>
      <c r="I30" s="625"/>
      <c r="J30" s="442">
        <f>'Auto-Calibration record'!I71</f>
        <v>36990</v>
      </c>
      <c r="K30" s="425">
        <f t="shared" si="0"/>
        <v>580</v>
      </c>
      <c r="L30" s="443">
        <f t="shared" si="1"/>
        <v>1.5929689645701732E-2</v>
      </c>
    </row>
    <row r="31" spans="2:15" s="77" customFormat="1" ht="25.9" customHeight="1" x14ac:dyDescent="0.2">
      <c r="D31" s="596" t="s">
        <v>911</v>
      </c>
      <c r="E31" s="596"/>
      <c r="F31" s="584">
        <f>'Auto-Calibration record'!E65</f>
        <v>2096</v>
      </c>
      <c r="G31" s="584"/>
      <c r="H31" s="579">
        <f>'Auto-Calibration record'!B72</f>
        <v>10940</v>
      </c>
      <c r="I31" s="625"/>
      <c r="J31" s="442">
        <f>'Auto-Calibration record'!I72</f>
        <v>10613</v>
      </c>
      <c r="K31" s="425">
        <f t="shared" si="0"/>
        <v>-327</v>
      </c>
      <c r="L31" s="443">
        <f t="shared" si="1"/>
        <v>-2.9890310786106034E-2</v>
      </c>
    </row>
    <row r="32" spans="2:15" s="77" customFormat="1" ht="25.9" customHeight="1" x14ac:dyDescent="0.2">
      <c r="D32" s="596" t="s">
        <v>912</v>
      </c>
      <c r="E32" s="596"/>
      <c r="F32" s="584">
        <f>'Auto-Calibration record'!F65</f>
        <v>3116</v>
      </c>
      <c r="G32" s="584"/>
      <c r="H32" s="579">
        <f>'Auto-Calibration record'!B73</f>
        <v>5210</v>
      </c>
      <c r="I32" s="625"/>
      <c r="J32" s="442">
        <f>'Auto-Calibration record'!I73</f>
        <v>4874</v>
      </c>
      <c r="K32" s="425">
        <f t="shared" si="0"/>
        <v>-336</v>
      </c>
      <c r="L32" s="443">
        <f t="shared" si="1"/>
        <v>-6.4491362763915552E-2</v>
      </c>
    </row>
    <row r="33" spans="2:14" s="77" customFormat="1" ht="25.9" customHeight="1" x14ac:dyDescent="0.2">
      <c r="D33" s="596" t="s">
        <v>913</v>
      </c>
      <c r="E33" s="596"/>
      <c r="F33" s="584">
        <f>'Auto-Calibration record'!G65</f>
        <v>10301</v>
      </c>
      <c r="G33" s="584"/>
      <c r="H33" s="579">
        <f>'Auto-Calibration record'!B74</f>
        <v>611.721</v>
      </c>
      <c r="I33" s="625"/>
      <c r="J33" s="442">
        <f>'Auto-Calibration record'!I74</f>
        <v>446</v>
      </c>
      <c r="K33" s="425">
        <f t="shared" si="0"/>
        <v>-165.721</v>
      </c>
      <c r="L33" s="443">
        <f t="shared" si="1"/>
        <v>-0.27090945055016913</v>
      </c>
    </row>
    <row r="34" spans="2:14" s="77" customFormat="1" ht="25.9" customHeight="1" x14ac:dyDescent="0.2">
      <c r="D34" s="596" t="s">
        <v>914</v>
      </c>
      <c r="E34" s="596"/>
      <c r="F34" s="584">
        <f>'Auto-Calibration record'!H65</f>
        <v>15776</v>
      </c>
      <c r="G34" s="584"/>
      <c r="H34" s="579">
        <f>'Auto-Calibration record'!B75</f>
        <v>145.303</v>
      </c>
      <c r="I34" s="625"/>
      <c r="J34" s="442">
        <f>'Auto-Calibration record'!I75</f>
        <v>83</v>
      </c>
      <c r="K34" s="425" t="s">
        <v>321</v>
      </c>
      <c r="L34" s="426" t="s">
        <v>321</v>
      </c>
    </row>
    <row r="35" spans="2:14" s="72" customFormat="1" ht="25.9" customHeight="1" x14ac:dyDescent="0.25">
      <c r="D35" s="596" t="s">
        <v>915</v>
      </c>
      <c r="E35" s="596"/>
      <c r="F35" s="592">
        <f>'Auto-Calibration record'!I65</f>
        <v>24523</v>
      </c>
      <c r="G35" s="592"/>
      <c r="H35" s="579">
        <f>'Auto-Calibration record'!B76</f>
        <v>24.939</v>
      </c>
      <c r="I35" s="625"/>
      <c r="J35" s="442">
        <f>'Auto-Calibration record'!I76</f>
        <v>13</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2" t="s">
        <v>918</v>
      </c>
      <c r="F38" s="582"/>
      <c r="G38" s="582" t="s">
        <v>919</v>
      </c>
      <c r="H38" s="582"/>
      <c r="I38" s="77"/>
      <c r="J38" s="423" t="s">
        <v>996</v>
      </c>
      <c r="K38" s="423" t="s">
        <v>997</v>
      </c>
      <c r="L38" s="423" t="s">
        <v>919</v>
      </c>
      <c r="N38" s="97"/>
    </row>
    <row r="39" spans="2:14" ht="25.9" customHeight="1" x14ac:dyDescent="0.2">
      <c r="B39" s="80"/>
      <c r="D39" s="424" t="s">
        <v>905</v>
      </c>
      <c r="E39" s="583" t="s">
        <v>905</v>
      </c>
      <c r="F39" s="583"/>
      <c r="G39" s="583" t="s">
        <v>920</v>
      </c>
      <c r="H39" s="583"/>
      <c r="I39" s="81"/>
      <c r="J39" s="424" t="s">
        <v>905</v>
      </c>
      <c r="K39" s="424" t="s">
        <v>905</v>
      </c>
      <c r="L39" s="424" t="s">
        <v>920</v>
      </c>
    </row>
    <row r="40" spans="2:14" ht="25.9" customHeight="1" x14ac:dyDescent="0.2">
      <c r="B40" s="80"/>
      <c r="D40" s="428">
        <f>'Auto-Calibration record'!B17</f>
        <v>0</v>
      </c>
      <c r="E40" s="579">
        <f>F28-D40</f>
        <v>78</v>
      </c>
      <c r="F40" s="579"/>
      <c r="G40" s="588" t="e">
        <f>F28/D40</f>
        <v>#DIV/0!</v>
      </c>
      <c r="H40" s="588"/>
      <c r="I40" s="81"/>
      <c r="J40" s="428">
        <f>'Auto-Calibration record'!B11</f>
        <v>33</v>
      </c>
      <c r="K40" s="425">
        <f>F29-J40</f>
        <v>151</v>
      </c>
      <c r="L40" s="429">
        <f>F29/J40</f>
        <v>5.5757575757575761</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626" t="s">
        <v>925</v>
      </c>
      <c r="E74" s="627"/>
      <c r="F74" s="627"/>
      <c r="G74" s="628"/>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c r="E76" s="594"/>
      <c r="F76" s="595"/>
      <c r="K76" s="433" t="s">
        <v>927</v>
      </c>
      <c r="L76" s="589" t="s">
        <v>928</v>
      </c>
      <c r="M76" s="590"/>
      <c r="N76" s="590"/>
      <c r="O76" s="591"/>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999</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625"/>
      <c r="J28" s="442">
        <f>'Auto-Calibration record'!I68</f>
        <v>1056121</v>
      </c>
      <c r="K28" s="425">
        <f t="shared" ref="K28:K33" si="0">J28-H28</f>
        <v>-219</v>
      </c>
      <c r="L28" s="44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625"/>
      <c r="J29" s="442">
        <f>'Auto-Calibration record'!I69</f>
        <v>462144</v>
      </c>
      <c r="K29" s="425">
        <f t="shared" si="0"/>
        <v>2794</v>
      </c>
      <c r="L29" s="443">
        <f t="shared" si="1"/>
        <v>6.082507891585937E-3</v>
      </c>
    </row>
    <row r="30" spans="2:15" s="77" customFormat="1" ht="25.9" customHeight="1" x14ac:dyDescent="0.2">
      <c r="D30" s="596" t="s">
        <v>910</v>
      </c>
      <c r="E30" s="596"/>
      <c r="F30" s="584">
        <f>'Auto-Calibration record'!D65</f>
        <v>1004</v>
      </c>
      <c r="G30" s="584"/>
      <c r="H30" s="579">
        <f>'Auto-Calibration record'!B71</f>
        <v>36410</v>
      </c>
      <c r="I30" s="625"/>
      <c r="J30" s="442">
        <f>'Auto-Calibration record'!I71</f>
        <v>36990</v>
      </c>
      <c r="K30" s="425">
        <f t="shared" si="0"/>
        <v>580</v>
      </c>
      <c r="L30" s="443">
        <f t="shared" si="1"/>
        <v>1.5929689645701732E-2</v>
      </c>
    </row>
    <row r="31" spans="2:15" s="77" customFormat="1" ht="25.9" customHeight="1" x14ac:dyDescent="0.2">
      <c r="D31" s="596" t="s">
        <v>911</v>
      </c>
      <c r="E31" s="596"/>
      <c r="F31" s="584">
        <f>'Auto-Calibration record'!E65</f>
        <v>2096</v>
      </c>
      <c r="G31" s="584"/>
      <c r="H31" s="579">
        <f>'Auto-Calibration record'!B72</f>
        <v>10940</v>
      </c>
      <c r="I31" s="625"/>
      <c r="J31" s="442">
        <f>'Auto-Calibration record'!I72</f>
        <v>10613</v>
      </c>
      <c r="K31" s="425">
        <f t="shared" si="0"/>
        <v>-327</v>
      </c>
      <c r="L31" s="443">
        <f t="shared" si="1"/>
        <v>-2.9890310786106034E-2</v>
      </c>
    </row>
    <row r="32" spans="2:15" s="77" customFormat="1" ht="25.9" customHeight="1" x14ac:dyDescent="0.2">
      <c r="D32" s="596" t="s">
        <v>912</v>
      </c>
      <c r="E32" s="596"/>
      <c r="F32" s="584">
        <f>'Auto-Calibration record'!F65</f>
        <v>3116</v>
      </c>
      <c r="G32" s="584"/>
      <c r="H32" s="579">
        <f>'Auto-Calibration record'!B73</f>
        <v>5210</v>
      </c>
      <c r="I32" s="625"/>
      <c r="J32" s="442">
        <f>'Auto-Calibration record'!I73</f>
        <v>4874</v>
      </c>
      <c r="K32" s="425">
        <f t="shared" si="0"/>
        <v>-336</v>
      </c>
      <c r="L32" s="443">
        <f t="shared" si="1"/>
        <v>-6.4491362763915552E-2</v>
      </c>
    </row>
    <row r="33" spans="2:12" s="77" customFormat="1" ht="25.9" customHeight="1" x14ac:dyDescent="0.2">
      <c r="D33" s="596" t="s">
        <v>913</v>
      </c>
      <c r="E33" s="596"/>
      <c r="F33" s="584">
        <f>'Auto-Calibration record'!G65</f>
        <v>10301</v>
      </c>
      <c r="G33" s="584"/>
      <c r="H33" s="579">
        <f>'Auto-Calibration record'!B74</f>
        <v>611.721</v>
      </c>
      <c r="I33" s="625"/>
      <c r="J33" s="442">
        <f>'Auto-Calibration record'!I74</f>
        <v>446</v>
      </c>
      <c r="K33" s="425">
        <f t="shared" si="0"/>
        <v>-165.721</v>
      </c>
      <c r="L33" s="443">
        <f t="shared" si="1"/>
        <v>-0.27090945055016913</v>
      </c>
    </row>
    <row r="34" spans="2:12" s="77" customFormat="1" ht="25.9" customHeight="1" x14ac:dyDescent="0.2">
      <c r="D34" s="596" t="s">
        <v>914</v>
      </c>
      <c r="E34" s="596"/>
      <c r="F34" s="584">
        <f>'Auto-Calibration record'!H65</f>
        <v>15776</v>
      </c>
      <c r="G34" s="584"/>
      <c r="H34" s="579">
        <f>'Auto-Calibration record'!B75</f>
        <v>145.303</v>
      </c>
      <c r="I34" s="625"/>
      <c r="J34" s="442">
        <f>'Auto-Calibration record'!I75</f>
        <v>83</v>
      </c>
      <c r="K34" s="425" t="s">
        <v>321</v>
      </c>
      <c r="L34" s="426" t="s">
        <v>321</v>
      </c>
    </row>
    <row r="35" spans="2:12" s="72" customFormat="1" ht="25.9" customHeight="1" x14ac:dyDescent="0.25">
      <c r="D35" s="596" t="s">
        <v>915</v>
      </c>
      <c r="E35" s="596"/>
      <c r="F35" s="592">
        <f>'Auto-Calibration record'!I65</f>
        <v>24523</v>
      </c>
      <c r="G35" s="592"/>
      <c r="H35" s="579">
        <f>'Auto-Calibration record'!B76</f>
        <v>24.939</v>
      </c>
      <c r="I35" s="625"/>
      <c r="J35" s="442">
        <f>'Auto-Calibration record'!I76</f>
        <v>13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423" t="s">
        <v>996</v>
      </c>
      <c r="K38" s="423" t="s">
        <v>997</v>
      </c>
      <c r="L38" s="423" t="s">
        <v>919</v>
      </c>
    </row>
    <row r="39" spans="2:12" ht="25.9" customHeight="1" x14ac:dyDescent="0.2">
      <c r="B39" s="80"/>
      <c r="D39" s="424" t="s">
        <v>905</v>
      </c>
      <c r="E39" s="583" t="s">
        <v>905</v>
      </c>
      <c r="F39" s="583"/>
      <c r="G39" s="583" t="s">
        <v>920</v>
      </c>
      <c r="H39" s="583"/>
      <c r="I39" s="81"/>
      <c r="J39" s="424" t="s">
        <v>905</v>
      </c>
      <c r="K39" s="424" t="s">
        <v>905</v>
      </c>
      <c r="L39" s="424" t="s">
        <v>920</v>
      </c>
    </row>
    <row r="40" spans="2:12" ht="25.9" customHeight="1" x14ac:dyDescent="0.2">
      <c r="B40" s="80"/>
      <c r="D40" s="428">
        <f>'Auto-Calibration record'!B17</f>
        <v>0</v>
      </c>
      <c r="E40" s="579">
        <f>F28-D40</f>
        <v>78</v>
      </c>
      <c r="F40" s="579"/>
      <c r="G40" s="588" t="e">
        <f>F28/D40</f>
        <v>#DIV/0!</v>
      </c>
      <c r="H40" s="588"/>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626" t="s">
        <v>925</v>
      </c>
      <c r="E74" s="627"/>
      <c r="F74" s="627"/>
      <c r="G74" s="628"/>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c r="E76" s="594"/>
      <c r="F76" s="595"/>
      <c r="K76" s="433" t="s">
        <v>927</v>
      </c>
      <c r="L76" s="589" t="s">
        <v>928</v>
      </c>
      <c r="M76" s="590"/>
      <c r="N76" s="590"/>
      <c r="O76" s="591"/>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984</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625"/>
      <c r="J28" s="442">
        <f>'Auto-Calibration record'!I68</f>
        <v>1056121</v>
      </c>
      <c r="K28" s="425">
        <f t="shared" ref="K28:K33" si="0">J28-H28</f>
        <v>-219</v>
      </c>
      <c r="L28" s="44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625"/>
      <c r="J29" s="442">
        <f>'Auto-Calibration record'!I69</f>
        <v>462144</v>
      </c>
      <c r="K29" s="425">
        <f t="shared" si="0"/>
        <v>2794</v>
      </c>
      <c r="L29" s="443">
        <f t="shared" si="1"/>
        <v>6.082507891585937E-3</v>
      </c>
    </row>
    <row r="30" spans="2:15" s="77" customFormat="1" ht="25.9" customHeight="1" x14ac:dyDescent="0.2">
      <c r="D30" s="596" t="s">
        <v>910</v>
      </c>
      <c r="E30" s="596"/>
      <c r="F30" s="584">
        <f>'Auto-Calibration record'!D65</f>
        <v>1004</v>
      </c>
      <c r="G30" s="584"/>
      <c r="H30" s="579">
        <f>'Auto-Calibration record'!B71</f>
        <v>36410</v>
      </c>
      <c r="I30" s="625"/>
      <c r="J30" s="442">
        <f>'Auto-Calibration record'!I71</f>
        <v>36990</v>
      </c>
      <c r="K30" s="425">
        <f t="shared" si="0"/>
        <v>580</v>
      </c>
      <c r="L30" s="443">
        <f t="shared" si="1"/>
        <v>1.5929689645701732E-2</v>
      </c>
    </row>
    <row r="31" spans="2:15" s="77" customFormat="1" ht="25.9" customHeight="1" x14ac:dyDescent="0.2">
      <c r="D31" s="596" t="s">
        <v>911</v>
      </c>
      <c r="E31" s="596"/>
      <c r="F31" s="584">
        <f>'Auto-Calibration record'!E65</f>
        <v>2096</v>
      </c>
      <c r="G31" s="584"/>
      <c r="H31" s="579">
        <f>'Auto-Calibration record'!B72</f>
        <v>10940</v>
      </c>
      <c r="I31" s="625"/>
      <c r="J31" s="442">
        <f>'Auto-Calibration record'!I72</f>
        <v>10613</v>
      </c>
      <c r="K31" s="425">
        <f t="shared" si="0"/>
        <v>-327</v>
      </c>
      <c r="L31" s="443">
        <f t="shared" si="1"/>
        <v>-2.9890310786106034E-2</v>
      </c>
    </row>
    <row r="32" spans="2:15" s="77" customFormat="1" ht="25.9" customHeight="1" x14ac:dyDescent="0.2">
      <c r="D32" s="596" t="s">
        <v>912</v>
      </c>
      <c r="E32" s="596"/>
      <c r="F32" s="584">
        <f>'Auto-Calibration record'!F65</f>
        <v>3116</v>
      </c>
      <c r="G32" s="584"/>
      <c r="H32" s="579">
        <f>'Auto-Calibration record'!B73</f>
        <v>5210</v>
      </c>
      <c r="I32" s="625"/>
      <c r="J32" s="442">
        <f>'Auto-Calibration record'!I73</f>
        <v>4874</v>
      </c>
      <c r="K32" s="425">
        <f t="shared" si="0"/>
        <v>-336</v>
      </c>
      <c r="L32" s="443">
        <f t="shared" si="1"/>
        <v>-6.4491362763915552E-2</v>
      </c>
    </row>
    <row r="33" spans="2:12" s="77" customFormat="1" ht="25.9" customHeight="1" x14ac:dyDescent="0.2">
      <c r="D33" s="596" t="s">
        <v>913</v>
      </c>
      <c r="E33" s="596"/>
      <c r="F33" s="584">
        <f>'Auto-Calibration record'!G65</f>
        <v>10301</v>
      </c>
      <c r="G33" s="584"/>
      <c r="H33" s="579">
        <f>'Auto-Calibration record'!B74</f>
        <v>611.721</v>
      </c>
      <c r="I33" s="625"/>
      <c r="J33" s="442">
        <f>'Auto-Calibration record'!I74</f>
        <v>446</v>
      </c>
      <c r="K33" s="425">
        <f t="shared" si="0"/>
        <v>-165.721</v>
      </c>
      <c r="L33" s="443">
        <f t="shared" si="1"/>
        <v>-0.27090945055016913</v>
      </c>
    </row>
    <row r="34" spans="2:12" s="77" customFormat="1" ht="25.9" customHeight="1" x14ac:dyDescent="0.2">
      <c r="D34" s="596" t="s">
        <v>914</v>
      </c>
      <c r="E34" s="596"/>
      <c r="F34" s="584">
        <f>'Auto-Calibration record'!H65</f>
        <v>15776</v>
      </c>
      <c r="G34" s="584"/>
      <c r="H34" s="579">
        <f>'Auto-Calibration record'!B75</f>
        <v>145.303</v>
      </c>
      <c r="I34" s="625"/>
      <c r="J34" s="442">
        <f>'Auto-Calibration record'!I75</f>
        <v>83</v>
      </c>
      <c r="K34" s="425" t="s">
        <v>321</v>
      </c>
      <c r="L34" s="426" t="s">
        <v>321</v>
      </c>
    </row>
    <row r="35" spans="2:12" s="72" customFormat="1" ht="25.9" customHeight="1" x14ac:dyDescent="0.25">
      <c r="D35" s="596" t="s">
        <v>915</v>
      </c>
      <c r="E35" s="596"/>
      <c r="F35" s="592">
        <f>'Auto-Calibration record'!I65</f>
        <v>24523</v>
      </c>
      <c r="G35" s="592"/>
      <c r="H35" s="579">
        <f>'Auto-Calibration record'!B76</f>
        <v>24.939</v>
      </c>
      <c r="I35" s="625"/>
      <c r="J35" s="442">
        <f>'Auto-Calibration record'!I76</f>
        <v>13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423" t="s">
        <v>996</v>
      </c>
      <c r="K38" s="423" t="s">
        <v>997</v>
      </c>
      <c r="L38" s="423" t="s">
        <v>919</v>
      </c>
    </row>
    <row r="39" spans="2:12" ht="25.9" customHeight="1" x14ac:dyDescent="0.2">
      <c r="B39" s="80"/>
      <c r="D39" s="424" t="s">
        <v>905</v>
      </c>
      <c r="E39" s="583" t="s">
        <v>905</v>
      </c>
      <c r="F39" s="583"/>
      <c r="G39" s="583" t="s">
        <v>920</v>
      </c>
      <c r="H39" s="583"/>
      <c r="I39" s="81"/>
      <c r="J39" s="424" t="s">
        <v>905</v>
      </c>
      <c r="K39" s="424" t="s">
        <v>905</v>
      </c>
      <c r="L39" s="424" t="s">
        <v>920</v>
      </c>
    </row>
    <row r="40" spans="2:12" ht="25.9" customHeight="1" x14ac:dyDescent="0.2">
      <c r="B40" s="80"/>
      <c r="D40" s="428">
        <f>'Auto-Calibration record'!B17</f>
        <v>0</v>
      </c>
      <c r="E40" s="579">
        <f>F28-D40</f>
        <v>78</v>
      </c>
      <c r="F40" s="579"/>
      <c r="G40" s="588" t="e">
        <f>F28/D40</f>
        <v>#DIV/0!</v>
      </c>
      <c r="H40" s="588"/>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626" t="s">
        <v>925</v>
      </c>
      <c r="E74" s="627"/>
      <c r="F74" s="627"/>
      <c r="G74" s="628"/>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c r="E76" s="594"/>
      <c r="F76" s="595"/>
      <c r="K76" s="433" t="s">
        <v>927</v>
      </c>
      <c r="L76" s="589" t="s">
        <v>928</v>
      </c>
      <c r="M76" s="590"/>
      <c r="N76" s="590"/>
      <c r="O76" s="591"/>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610" t="s">
        <v>999</v>
      </c>
      <c r="C13" s="610"/>
      <c r="D13" s="610"/>
      <c r="E13" s="610"/>
      <c r="F13" s="610"/>
      <c r="G13" s="610"/>
      <c r="H13" s="610"/>
      <c r="I13" s="610"/>
      <c r="J13" s="610"/>
      <c r="K13" s="610"/>
      <c r="L13" s="610"/>
      <c r="M13" s="610"/>
      <c r="N13" s="610"/>
      <c r="O13" s="610"/>
      <c r="P13" s="67"/>
    </row>
    <row r="14" spans="1:16" ht="66"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625"/>
      <c r="J28" s="442">
        <f>'MP Calibration Certificate'!J28</f>
        <v>1056121</v>
      </c>
      <c r="K28" s="425">
        <f t="shared" ref="K28:K33" si="0">J28-H28</f>
        <v>-219</v>
      </c>
      <c r="L28" s="44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625"/>
      <c r="J29" s="442">
        <f>'MP Calibration Certificate'!J29</f>
        <v>462144</v>
      </c>
      <c r="K29" s="425">
        <f t="shared" si="0"/>
        <v>2794</v>
      </c>
      <c r="L29" s="443">
        <f t="shared" si="1"/>
        <v>6.082507891585937E-3</v>
      </c>
    </row>
    <row r="30" spans="2:15" s="77" customFormat="1" ht="25.9" customHeight="1" x14ac:dyDescent="0.2">
      <c r="D30" s="596" t="s">
        <v>910</v>
      </c>
      <c r="E30" s="596"/>
      <c r="F30" s="584">
        <f>'Auto-Calibration record'!D65</f>
        <v>1004</v>
      </c>
      <c r="G30" s="584"/>
      <c r="H30" s="579">
        <f>'Auto-Calibration record'!B71</f>
        <v>36410</v>
      </c>
      <c r="I30" s="625"/>
      <c r="J30" s="442">
        <f>'MP Calibration Certificate'!J30</f>
        <v>36990</v>
      </c>
      <c r="K30" s="425">
        <f t="shared" si="0"/>
        <v>580</v>
      </c>
      <c r="L30" s="443">
        <f t="shared" si="1"/>
        <v>1.5929689645701732E-2</v>
      </c>
    </row>
    <row r="31" spans="2:15" s="77" customFormat="1" ht="25.9" customHeight="1" x14ac:dyDescent="0.2">
      <c r="D31" s="596" t="s">
        <v>911</v>
      </c>
      <c r="E31" s="596"/>
      <c r="F31" s="584">
        <f>'Auto-Calibration record'!E65</f>
        <v>2096</v>
      </c>
      <c r="G31" s="584"/>
      <c r="H31" s="579">
        <f>'Auto-Calibration record'!B72</f>
        <v>10940</v>
      </c>
      <c r="I31" s="625"/>
      <c r="J31" s="442">
        <f>'MP Calibration Certificate'!J31</f>
        <v>10613</v>
      </c>
      <c r="K31" s="425">
        <f t="shared" si="0"/>
        <v>-327</v>
      </c>
      <c r="L31" s="443">
        <f t="shared" si="1"/>
        <v>-2.9890310786106034E-2</v>
      </c>
    </row>
    <row r="32" spans="2:15" s="77" customFormat="1" ht="25.9" customHeight="1" x14ac:dyDescent="0.2">
      <c r="D32" s="596" t="s">
        <v>912</v>
      </c>
      <c r="E32" s="596"/>
      <c r="F32" s="584">
        <f>'Auto-Calibration record'!F65</f>
        <v>3116</v>
      </c>
      <c r="G32" s="584"/>
      <c r="H32" s="579">
        <f>'Auto-Calibration record'!B73</f>
        <v>5210</v>
      </c>
      <c r="I32" s="625"/>
      <c r="J32" s="442">
        <f>'MP Calibration Certificate'!J32</f>
        <v>4874</v>
      </c>
      <c r="K32" s="425">
        <f t="shared" si="0"/>
        <v>-336</v>
      </c>
      <c r="L32" s="443">
        <f t="shared" si="1"/>
        <v>-6.4491362763915552E-2</v>
      </c>
    </row>
    <row r="33" spans="2:12" s="77" customFormat="1" ht="25.9" customHeight="1" x14ac:dyDescent="0.2">
      <c r="D33" s="596" t="s">
        <v>913</v>
      </c>
      <c r="E33" s="596"/>
      <c r="F33" s="584">
        <f>'Auto-Calibration record'!G65</f>
        <v>10301</v>
      </c>
      <c r="G33" s="584"/>
      <c r="H33" s="579">
        <f>'Auto-Calibration record'!B74</f>
        <v>611.721</v>
      </c>
      <c r="I33" s="625"/>
      <c r="J33" s="442">
        <f>'MP Calibration Certificate'!J33</f>
        <v>446</v>
      </c>
      <c r="K33" s="425">
        <f t="shared" si="0"/>
        <v>-165.721</v>
      </c>
      <c r="L33" s="443">
        <f t="shared" si="1"/>
        <v>-0.27090945055016913</v>
      </c>
    </row>
    <row r="34" spans="2:12" s="77" customFormat="1" ht="25.9" customHeight="1" x14ac:dyDescent="0.2">
      <c r="D34" s="596" t="s">
        <v>914</v>
      </c>
      <c r="E34" s="596"/>
      <c r="F34" s="584">
        <f>'Auto-Calibration record'!H65</f>
        <v>15776</v>
      </c>
      <c r="G34" s="584"/>
      <c r="H34" s="579">
        <f>'Auto-Calibration record'!B75</f>
        <v>145.303</v>
      </c>
      <c r="I34" s="625"/>
      <c r="J34" s="442">
        <f>'MP Calibration Certificate'!J34</f>
        <v>83</v>
      </c>
      <c r="K34" s="425" t="s">
        <v>321</v>
      </c>
      <c r="L34" s="426" t="s">
        <v>321</v>
      </c>
    </row>
    <row r="35" spans="2:12" s="72" customFormat="1" ht="25.9" customHeight="1" x14ac:dyDescent="0.25">
      <c r="D35" s="596" t="s">
        <v>915</v>
      </c>
      <c r="E35" s="596"/>
      <c r="F35" s="592">
        <f>'Auto-Calibration record'!I65</f>
        <v>24523</v>
      </c>
      <c r="G35" s="592"/>
      <c r="H35" s="579">
        <f>'Auto-Calibration record'!B76</f>
        <v>24.939</v>
      </c>
      <c r="I35" s="625"/>
      <c r="J35" s="442">
        <f>'MP Calibration Certificate'!J35</f>
        <v>13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423" t="s">
        <v>996</v>
      </c>
      <c r="K38" s="423" t="s">
        <v>997</v>
      </c>
      <c r="L38" s="423" t="s">
        <v>919</v>
      </c>
    </row>
    <row r="39" spans="2:12" ht="25.9" customHeight="1" x14ac:dyDescent="0.2">
      <c r="B39" s="80"/>
      <c r="D39" s="424" t="s">
        <v>905</v>
      </c>
      <c r="E39" s="583" t="s">
        <v>905</v>
      </c>
      <c r="F39" s="583"/>
      <c r="G39" s="583" t="s">
        <v>920</v>
      </c>
      <c r="H39" s="583"/>
      <c r="I39" s="81"/>
      <c r="J39" s="424" t="s">
        <v>905</v>
      </c>
      <c r="K39" s="424" t="s">
        <v>905</v>
      </c>
      <c r="L39" s="424" t="s">
        <v>920</v>
      </c>
    </row>
    <row r="40" spans="2:12" ht="25.9" customHeight="1" x14ac:dyDescent="0.2">
      <c r="B40" s="80"/>
      <c r="D40" s="428">
        <f>'Auto-Calibration record'!B17</f>
        <v>0</v>
      </c>
      <c r="E40" s="579">
        <f>F28-D40</f>
        <v>78</v>
      </c>
      <c r="F40" s="579"/>
      <c r="G40" s="588" t="e">
        <f>F28/D40</f>
        <v>#DIV/0!</v>
      </c>
      <c r="H40" s="588"/>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626" t="s">
        <v>925</v>
      </c>
      <c r="E74" s="627"/>
      <c r="F74" s="627"/>
      <c r="G74" s="628"/>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c r="E76" s="594"/>
      <c r="F76" s="595"/>
      <c r="K76" s="433" t="s">
        <v>927</v>
      </c>
      <c r="L76" s="589" t="s">
        <v>928</v>
      </c>
      <c r="M76" s="590"/>
      <c r="N76" s="590"/>
      <c r="O76" s="591"/>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984</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985</v>
      </c>
      <c r="L17" s="417"/>
      <c r="M17" s="417"/>
      <c r="N17" s="418"/>
      <c r="O17" s="437" t="str">
        <f>'Auto-Calibration record'!H18</f>
        <v>RM8631b</v>
      </c>
    </row>
    <row r="18" spans="2:15" ht="25.9" customHeight="1" x14ac:dyDescent="0.25">
      <c r="B18" s="414" t="s">
        <v>891</v>
      </c>
      <c r="C18" s="420"/>
      <c r="D18" s="585" t="e">
        <f>'Auto-Calibration record'!#REF!&amp;'Auto-Calibration record'!H15</f>
        <v>#REF!</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625"/>
      <c r="J28" s="442">
        <f>'Auto-Calibration record'!I68</f>
        <v>1056121</v>
      </c>
      <c r="K28" s="425">
        <f t="shared" ref="K28:K33" si="0">J28-H28</f>
        <v>-219</v>
      </c>
      <c r="L28" s="443">
        <f t="shared" ref="L28:L33" si="1">K28/H28</f>
        <v>-2.0731961300338907E-4</v>
      </c>
    </row>
    <row r="29" spans="2:15" s="77" customFormat="1" ht="25.9" customHeight="1" x14ac:dyDescent="0.2">
      <c r="D29" s="596" t="s">
        <v>909</v>
      </c>
      <c r="E29" s="596"/>
      <c r="F29" s="584">
        <f>'Auto-Calibration record'!C65</f>
        <v>184</v>
      </c>
      <c r="G29" s="584"/>
      <c r="H29" s="579">
        <f>'Auto-Calibration record'!B69</f>
        <v>459350</v>
      </c>
      <c r="I29" s="625"/>
      <c r="J29" s="442">
        <f>'Auto-Calibration record'!I69</f>
        <v>462144</v>
      </c>
      <c r="K29" s="425">
        <f t="shared" si="0"/>
        <v>2794</v>
      </c>
      <c r="L29" s="443">
        <f t="shared" si="1"/>
        <v>6.082507891585937E-3</v>
      </c>
    </row>
    <row r="30" spans="2:15" s="77" customFormat="1" ht="25.9" customHeight="1" x14ac:dyDescent="0.2">
      <c r="D30" s="596" t="s">
        <v>910</v>
      </c>
      <c r="E30" s="596"/>
      <c r="F30" s="584">
        <f>'Auto-Calibration record'!D65</f>
        <v>1004</v>
      </c>
      <c r="G30" s="584"/>
      <c r="H30" s="579">
        <f>'Auto-Calibration record'!B71</f>
        <v>36410</v>
      </c>
      <c r="I30" s="625"/>
      <c r="J30" s="442">
        <f>'Auto-Calibration record'!I71</f>
        <v>36990</v>
      </c>
      <c r="K30" s="425">
        <f t="shared" si="0"/>
        <v>580</v>
      </c>
      <c r="L30" s="443">
        <f t="shared" si="1"/>
        <v>1.5929689645701732E-2</v>
      </c>
    </row>
    <row r="31" spans="2:15" s="77" customFormat="1" ht="25.9" customHeight="1" x14ac:dyDescent="0.2">
      <c r="D31" s="596" t="s">
        <v>911</v>
      </c>
      <c r="E31" s="596"/>
      <c r="F31" s="584">
        <f>'Auto-Calibration record'!E65</f>
        <v>2096</v>
      </c>
      <c r="G31" s="584"/>
      <c r="H31" s="579">
        <f>'Auto-Calibration record'!B72</f>
        <v>10940</v>
      </c>
      <c r="I31" s="625"/>
      <c r="J31" s="442">
        <f>'Auto-Calibration record'!I72</f>
        <v>10613</v>
      </c>
      <c r="K31" s="425">
        <f t="shared" si="0"/>
        <v>-327</v>
      </c>
      <c r="L31" s="443">
        <f t="shared" si="1"/>
        <v>-2.9890310786106034E-2</v>
      </c>
    </row>
    <row r="32" spans="2:15" s="77" customFormat="1" ht="25.9" customHeight="1" x14ac:dyDescent="0.2">
      <c r="D32" s="596" t="s">
        <v>912</v>
      </c>
      <c r="E32" s="596"/>
      <c r="F32" s="584">
        <f>'Auto-Calibration record'!F65</f>
        <v>3116</v>
      </c>
      <c r="G32" s="584"/>
      <c r="H32" s="579">
        <f>'Auto-Calibration record'!B73</f>
        <v>5210</v>
      </c>
      <c r="I32" s="625"/>
      <c r="J32" s="442">
        <f>'Auto-Calibration record'!I73</f>
        <v>4874</v>
      </c>
      <c r="K32" s="425">
        <f t="shared" si="0"/>
        <v>-336</v>
      </c>
      <c r="L32" s="443">
        <f t="shared" si="1"/>
        <v>-6.4491362763915552E-2</v>
      </c>
    </row>
    <row r="33" spans="2:12" s="77" customFormat="1" ht="25.9" customHeight="1" x14ac:dyDescent="0.2">
      <c r="D33" s="596" t="s">
        <v>913</v>
      </c>
      <c r="E33" s="596"/>
      <c r="F33" s="584">
        <f>'Auto-Calibration record'!G65</f>
        <v>10301</v>
      </c>
      <c r="G33" s="584"/>
      <c r="H33" s="579">
        <f>'Auto-Calibration record'!B74</f>
        <v>611.721</v>
      </c>
      <c r="I33" s="625"/>
      <c r="J33" s="442">
        <f>'Auto-Calibration record'!I74</f>
        <v>446</v>
      </c>
      <c r="K33" s="425">
        <f t="shared" si="0"/>
        <v>-165.721</v>
      </c>
      <c r="L33" s="443">
        <f t="shared" si="1"/>
        <v>-0.27090945055016913</v>
      </c>
    </row>
    <row r="34" spans="2:12" s="77" customFormat="1" ht="25.9" customHeight="1" x14ac:dyDescent="0.2">
      <c r="D34" s="596" t="s">
        <v>914</v>
      </c>
      <c r="E34" s="596"/>
      <c r="F34" s="584">
        <f>'Auto-Calibration record'!H65</f>
        <v>15776</v>
      </c>
      <c r="G34" s="584"/>
      <c r="H34" s="579">
        <f>'Auto-Calibration record'!B75</f>
        <v>145.303</v>
      </c>
      <c r="I34" s="625"/>
      <c r="J34" s="442">
        <f>'Auto-Calibration record'!I75</f>
        <v>83</v>
      </c>
      <c r="K34" s="425" t="s">
        <v>321</v>
      </c>
      <c r="L34" s="426" t="s">
        <v>321</v>
      </c>
    </row>
    <row r="35" spans="2:12" s="72" customFormat="1" ht="25.9" customHeight="1" x14ac:dyDescent="0.25">
      <c r="D35" s="596" t="s">
        <v>915</v>
      </c>
      <c r="E35" s="596"/>
      <c r="F35" s="592">
        <f>'Auto-Calibration record'!I65</f>
        <v>24523</v>
      </c>
      <c r="G35" s="592"/>
      <c r="H35" s="579">
        <f>'Auto-Calibration record'!B76</f>
        <v>24.939</v>
      </c>
      <c r="I35" s="625"/>
      <c r="J35" s="442">
        <f>'Auto-Calibration record'!I76</f>
        <v>13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423" t="s">
        <v>996</v>
      </c>
      <c r="K38" s="423" t="s">
        <v>997</v>
      </c>
      <c r="L38" s="423" t="s">
        <v>919</v>
      </c>
    </row>
    <row r="39" spans="2:12" ht="25.9" customHeight="1" x14ac:dyDescent="0.2">
      <c r="B39" s="80"/>
      <c r="D39" s="424" t="s">
        <v>905</v>
      </c>
      <c r="E39" s="583" t="s">
        <v>905</v>
      </c>
      <c r="F39" s="583"/>
      <c r="G39" s="583" t="s">
        <v>920</v>
      </c>
      <c r="H39" s="583"/>
      <c r="I39" s="81"/>
      <c r="J39" s="424" t="s">
        <v>905</v>
      </c>
      <c r="K39" s="424" t="s">
        <v>905</v>
      </c>
      <c r="L39" s="424" t="s">
        <v>920</v>
      </c>
    </row>
    <row r="40" spans="2:12" ht="25.9" customHeight="1" x14ac:dyDescent="0.2">
      <c r="B40" s="80"/>
      <c r="D40" s="428">
        <f>'Auto-Calibration record'!B17</f>
        <v>0</v>
      </c>
      <c r="E40" s="625">
        <f>F28-D40</f>
        <v>78</v>
      </c>
      <c r="F40" s="625"/>
      <c r="G40" s="639" t="e">
        <f>F28/D40</f>
        <v>#DIV/0!</v>
      </c>
      <c r="H40" s="639"/>
      <c r="I40" s="81"/>
      <c r="J40" s="428">
        <f>'Auto-Calibration record'!B11</f>
        <v>33</v>
      </c>
      <c r="K40" s="441">
        <f>F29-J40</f>
        <v>151</v>
      </c>
      <c r="L40" s="445">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626" t="s">
        <v>925</v>
      </c>
      <c r="E74" s="627"/>
      <c r="F74" s="627"/>
      <c r="G74" s="628"/>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c r="E76" s="594"/>
      <c r="F76" s="595"/>
      <c r="K76" s="433" t="s">
        <v>927</v>
      </c>
      <c r="L76" s="589" t="s">
        <v>928</v>
      </c>
      <c r="M76" s="590"/>
      <c r="N76" s="590"/>
      <c r="O76" s="591"/>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97" t="s">
        <v>886</v>
      </c>
      <c r="C10" s="597"/>
      <c r="D10" s="597"/>
      <c r="E10" s="597"/>
      <c r="F10" s="597"/>
      <c r="G10" s="597"/>
      <c r="H10" s="597"/>
      <c r="I10" s="597"/>
      <c r="J10" s="597"/>
      <c r="K10" s="597"/>
      <c r="L10" s="597"/>
      <c r="M10" s="597"/>
      <c r="N10" s="597"/>
      <c r="O10" s="597"/>
      <c r="P10" s="597"/>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610" t="s">
        <v>887</v>
      </c>
      <c r="C13" s="610"/>
      <c r="D13" s="610"/>
      <c r="E13" s="610"/>
      <c r="F13" s="610"/>
      <c r="G13" s="610"/>
      <c r="H13" s="610"/>
      <c r="I13" s="610"/>
      <c r="J13" s="610"/>
      <c r="K13" s="610"/>
      <c r="L13" s="610"/>
      <c r="M13" s="610"/>
      <c r="N13" s="610"/>
      <c r="O13" s="610"/>
      <c r="P13" s="67"/>
    </row>
    <row r="14" spans="1:16" ht="77.25" customHeight="1" x14ac:dyDescent="0.2">
      <c r="A14" s="68"/>
      <c r="B14" s="610" t="s">
        <v>888</v>
      </c>
      <c r="C14" s="610"/>
      <c r="D14" s="610"/>
      <c r="E14" s="610"/>
      <c r="F14" s="610"/>
      <c r="G14" s="610"/>
      <c r="H14" s="610"/>
      <c r="I14" s="610"/>
      <c r="J14" s="610"/>
      <c r="K14" s="610"/>
      <c r="L14" s="610"/>
      <c r="M14" s="610"/>
      <c r="N14" s="610"/>
      <c r="O14" s="610"/>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581" t="str">
        <f>'Auto-Calibration record'!H14</f>
        <v>5.6mg/l RM8631b</v>
      </c>
      <c r="E17" s="581"/>
      <c r="F17" s="581"/>
      <c r="K17" s="416" t="s">
        <v>890</v>
      </c>
      <c r="L17" s="417"/>
      <c r="M17" s="417"/>
      <c r="N17" s="418"/>
      <c r="O17" s="419" t="str">
        <f>'Auto-Calibration record'!H18</f>
        <v>RM8631b</v>
      </c>
    </row>
    <row r="18" spans="2:15" ht="25.9" customHeight="1" x14ac:dyDescent="0.25">
      <c r="B18" s="414" t="s">
        <v>891</v>
      </c>
      <c r="C18" s="420"/>
      <c r="D18" s="585">
        <f>'Auto-Calibration record'!H15</f>
        <v>-1</v>
      </c>
      <c r="E18" s="586"/>
      <c r="F18" s="587"/>
      <c r="K18" s="380" t="s">
        <v>892</v>
      </c>
      <c r="L18" s="381"/>
      <c r="M18" s="381"/>
      <c r="N18" s="382"/>
      <c r="O18" s="421">
        <f>'Auto-Calibration record'!H16</f>
        <v>46192.5</v>
      </c>
    </row>
    <row r="19" spans="2:15" ht="25.9" customHeight="1" x14ac:dyDescent="0.25">
      <c r="B19" s="414" t="s">
        <v>893</v>
      </c>
      <c r="C19" s="420"/>
      <c r="D19" s="585" t="str">
        <f>'Auto-Calibration record'!H17</f>
        <v>-1 190626</v>
      </c>
      <c r="E19" s="586"/>
      <c r="F19" s="587"/>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2" t="s">
        <v>898</v>
      </c>
      <c r="E26" s="582"/>
      <c r="F26" s="582" t="s">
        <v>899</v>
      </c>
      <c r="G26" s="582"/>
      <c r="H26" s="582" t="s">
        <v>900</v>
      </c>
      <c r="I26" s="582"/>
      <c r="J26" s="423" t="s">
        <v>901</v>
      </c>
      <c r="K26" s="423" t="s">
        <v>902</v>
      </c>
      <c r="L26" s="423" t="s">
        <v>903</v>
      </c>
    </row>
    <row r="27" spans="2:15" s="77" customFormat="1" ht="25.9" customHeight="1" x14ac:dyDescent="0.2">
      <c r="D27" s="583" t="s">
        <v>904</v>
      </c>
      <c r="E27" s="583"/>
      <c r="F27" s="583" t="s">
        <v>905</v>
      </c>
      <c r="G27" s="583"/>
      <c r="H27" s="583" t="s">
        <v>906</v>
      </c>
      <c r="I27" s="583"/>
      <c r="J27" s="424" t="s">
        <v>906</v>
      </c>
      <c r="K27" s="424" t="s">
        <v>906</v>
      </c>
      <c r="L27" s="424" t="s">
        <v>907</v>
      </c>
    </row>
    <row r="28" spans="2:15" s="77" customFormat="1" ht="25.9" customHeight="1" x14ac:dyDescent="0.2">
      <c r="D28" s="596" t="s">
        <v>908</v>
      </c>
      <c r="E28" s="596"/>
      <c r="F28" s="584">
        <f>'Auto-Calibration record'!B65</f>
        <v>78</v>
      </c>
      <c r="G28" s="584"/>
      <c r="H28" s="579">
        <f>'Auto-Calibration record'!B68</f>
        <v>1056340</v>
      </c>
      <c r="I28" s="579"/>
      <c r="J28" s="425">
        <f>'Auto-Calibration record'!I68</f>
        <v>1056121</v>
      </c>
      <c r="K28" s="425">
        <f t="shared" ref="K28:K35" si="0">J28-H28</f>
        <v>-219</v>
      </c>
      <c r="L28" s="383">
        <f t="shared" ref="L28:L35" si="1">K28/H28</f>
        <v>-2.0731961300338907E-4</v>
      </c>
    </row>
    <row r="29" spans="2:15" s="77" customFormat="1" ht="25.9" customHeight="1" x14ac:dyDescent="0.2">
      <c r="D29" s="596" t="s">
        <v>909</v>
      </c>
      <c r="E29" s="596"/>
      <c r="F29" s="584">
        <f>'Auto-Calibration record'!C65</f>
        <v>184</v>
      </c>
      <c r="G29" s="584"/>
      <c r="H29" s="579">
        <f>'Auto-Calibration record'!B69</f>
        <v>459350</v>
      </c>
      <c r="I29" s="579"/>
      <c r="J29" s="425">
        <f>'Auto-Calibration record'!I69</f>
        <v>462144</v>
      </c>
      <c r="K29" s="425">
        <f t="shared" si="0"/>
        <v>2794</v>
      </c>
      <c r="L29" s="383">
        <f t="shared" si="1"/>
        <v>6.082507891585937E-3</v>
      </c>
    </row>
    <row r="30" spans="2:15" s="77" customFormat="1" ht="25.9" customHeight="1" x14ac:dyDescent="0.2">
      <c r="D30" s="596" t="s">
        <v>910</v>
      </c>
      <c r="E30" s="596"/>
      <c r="F30" s="584">
        <f>'Auto-Calibration record'!D65</f>
        <v>1004</v>
      </c>
      <c r="G30" s="584"/>
      <c r="H30" s="579">
        <f>'Auto-Calibration record'!B71</f>
        <v>36410</v>
      </c>
      <c r="I30" s="579"/>
      <c r="J30" s="425">
        <f>'Auto-Calibration record'!I71</f>
        <v>36990</v>
      </c>
      <c r="K30" s="425">
        <f t="shared" si="0"/>
        <v>580</v>
      </c>
      <c r="L30" s="383">
        <f t="shared" si="1"/>
        <v>1.5929689645701732E-2</v>
      </c>
    </row>
    <row r="31" spans="2:15" s="77" customFormat="1" ht="25.9" customHeight="1" x14ac:dyDescent="0.2">
      <c r="D31" s="596" t="s">
        <v>911</v>
      </c>
      <c r="E31" s="596"/>
      <c r="F31" s="584">
        <f>'Auto-Calibration record'!E65</f>
        <v>2096</v>
      </c>
      <c r="G31" s="584"/>
      <c r="H31" s="579">
        <f>'Auto-Calibration record'!B72</f>
        <v>10940</v>
      </c>
      <c r="I31" s="579"/>
      <c r="J31" s="425">
        <f>'Auto-Calibration record'!I72</f>
        <v>10613</v>
      </c>
      <c r="K31" s="425">
        <f t="shared" si="0"/>
        <v>-327</v>
      </c>
      <c r="L31" s="383">
        <f t="shared" si="1"/>
        <v>-2.9890310786106034E-2</v>
      </c>
    </row>
    <row r="32" spans="2:15" s="77" customFormat="1" ht="25.9" customHeight="1" x14ac:dyDescent="0.2">
      <c r="D32" s="596" t="s">
        <v>912</v>
      </c>
      <c r="E32" s="596"/>
      <c r="F32" s="584">
        <f>'Auto-Calibration record'!F65</f>
        <v>3116</v>
      </c>
      <c r="G32" s="584"/>
      <c r="H32" s="579">
        <f>'Auto-Calibration record'!B73</f>
        <v>5210</v>
      </c>
      <c r="I32" s="579"/>
      <c r="J32" s="425">
        <f>'Auto-Calibration record'!I73</f>
        <v>4874</v>
      </c>
      <c r="K32" s="425">
        <f t="shared" si="0"/>
        <v>-336</v>
      </c>
      <c r="L32" s="383">
        <f t="shared" si="1"/>
        <v>-6.4491362763915552E-2</v>
      </c>
    </row>
    <row r="33" spans="2:12" s="77" customFormat="1" ht="25.9" customHeight="1" x14ac:dyDescent="0.2">
      <c r="D33" s="596" t="s">
        <v>913</v>
      </c>
      <c r="E33" s="596"/>
      <c r="F33" s="584">
        <f>'Auto-Calibration record'!G65</f>
        <v>10301</v>
      </c>
      <c r="G33" s="584"/>
      <c r="H33" s="579">
        <f>'Auto-Calibration record'!B74</f>
        <v>611.721</v>
      </c>
      <c r="I33" s="579"/>
      <c r="J33" s="425">
        <f>'Auto-Calibration record'!I74</f>
        <v>446</v>
      </c>
      <c r="K33" s="425">
        <f t="shared" si="0"/>
        <v>-165.721</v>
      </c>
      <c r="L33" s="383">
        <f t="shared" si="1"/>
        <v>-0.27090945055016913</v>
      </c>
    </row>
    <row r="34" spans="2:12" s="77" customFormat="1" ht="25.9" customHeight="1" x14ac:dyDescent="0.2">
      <c r="D34" s="596" t="s">
        <v>1006</v>
      </c>
      <c r="E34" s="596"/>
      <c r="F34" s="584">
        <f>'Auto-Calibration record'!H65</f>
        <v>15776</v>
      </c>
      <c r="G34" s="584"/>
      <c r="H34" s="579">
        <f>'Auto-Calibration record'!B75</f>
        <v>145.303</v>
      </c>
      <c r="I34" s="579"/>
      <c r="J34" s="425">
        <f>'Auto-Calibration record'!I75</f>
        <v>83</v>
      </c>
      <c r="K34" s="425">
        <f t="shared" si="0"/>
        <v>-62.302999999999997</v>
      </c>
      <c r="L34" s="383">
        <f t="shared" si="1"/>
        <v>-0.42877986001665486</v>
      </c>
    </row>
    <row r="35" spans="2:12" s="72" customFormat="1" ht="25.9" customHeight="1" x14ac:dyDescent="0.25">
      <c r="D35" s="596" t="s">
        <v>1007</v>
      </c>
      <c r="E35" s="596"/>
      <c r="F35" s="592">
        <f>'Auto-Calibration record'!I65</f>
        <v>24523</v>
      </c>
      <c r="G35" s="592"/>
      <c r="H35" s="579">
        <f>'Auto-Calibration record'!B76</f>
        <v>24.939</v>
      </c>
      <c r="I35" s="579"/>
      <c r="J35" s="427">
        <f>'Auto-Calibration record'!I76</f>
        <v>13</v>
      </c>
      <c r="K35" s="425">
        <f t="shared" si="0"/>
        <v>-11.939</v>
      </c>
      <c r="L35" s="383">
        <f t="shared" si="1"/>
        <v>-0.47872809655559567</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2" t="s">
        <v>918</v>
      </c>
      <c r="F38" s="582"/>
      <c r="G38" s="582" t="s">
        <v>919</v>
      </c>
      <c r="H38" s="582"/>
      <c r="I38" s="77"/>
      <c r="J38" s="106"/>
      <c r="K38" s="106"/>
      <c r="L38" s="106"/>
    </row>
    <row r="39" spans="2:12" ht="25.9" customHeight="1" x14ac:dyDescent="0.2">
      <c r="B39" s="80"/>
      <c r="D39" s="424" t="s">
        <v>905</v>
      </c>
      <c r="E39" s="583" t="s">
        <v>905</v>
      </c>
      <c r="F39" s="583"/>
      <c r="G39" s="583" t="s">
        <v>920</v>
      </c>
      <c r="H39" s="583"/>
      <c r="I39" s="81"/>
      <c r="J39" s="107"/>
      <c r="K39" s="107"/>
      <c r="L39" s="107"/>
    </row>
    <row r="40" spans="2:12" ht="25.9" customHeight="1" x14ac:dyDescent="0.2">
      <c r="B40" s="80"/>
      <c r="D40" s="428">
        <f>'Auto-Calibration record'!B11</f>
        <v>33</v>
      </c>
      <c r="E40" s="579">
        <f>F28-D40</f>
        <v>45</v>
      </c>
      <c r="F40" s="579"/>
      <c r="G40" s="588">
        <f>F28/D40</f>
        <v>2.3636363636363638</v>
      </c>
      <c r="H40" s="588"/>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601" t="s">
        <v>923</v>
      </c>
      <c r="L72" s="602"/>
      <c r="M72" s="602"/>
      <c r="N72" s="602"/>
      <c r="O72" s="603"/>
    </row>
    <row r="73" spans="2:16" s="64" customFormat="1" ht="25.9" customHeight="1" x14ac:dyDescent="0.2">
      <c r="H73" s="1"/>
      <c r="I73" s="1"/>
      <c r="K73" s="604"/>
      <c r="L73" s="605"/>
      <c r="M73" s="605"/>
      <c r="N73" s="605"/>
      <c r="O73" s="606"/>
    </row>
    <row r="74" spans="2:16" s="64" customFormat="1" ht="25.9" customHeight="1" x14ac:dyDescent="0.2">
      <c r="B74" s="430" t="s">
        <v>924</v>
      </c>
      <c r="C74" s="431"/>
      <c r="D74" s="598" t="s">
        <v>925</v>
      </c>
      <c r="E74" s="599"/>
      <c r="F74" s="599"/>
      <c r="G74" s="600"/>
      <c r="H74" s="1"/>
      <c r="I74" s="1"/>
      <c r="K74" s="604"/>
      <c r="L74" s="605"/>
      <c r="M74" s="605"/>
      <c r="N74" s="605"/>
      <c r="O74" s="606"/>
    </row>
    <row r="75" spans="2:16" s="64" customFormat="1" ht="25.9" customHeight="1" x14ac:dyDescent="0.2">
      <c r="K75" s="607"/>
      <c r="L75" s="608"/>
      <c r="M75" s="608"/>
      <c r="N75" s="608"/>
      <c r="O75" s="609"/>
    </row>
    <row r="76" spans="2:16" s="64" customFormat="1" ht="25.9" customHeight="1" x14ac:dyDescent="0.2">
      <c r="B76" s="430" t="s">
        <v>926</v>
      </c>
      <c r="C76" s="431"/>
      <c r="D76" s="593" t="str">
        <f>'Auto-Calibration record'!H26</f>
        <v>John Devereux</v>
      </c>
      <c r="E76" s="594"/>
      <c r="F76" s="595"/>
      <c r="K76" s="433" t="s">
        <v>927</v>
      </c>
      <c r="L76" s="589" t="s">
        <v>928</v>
      </c>
      <c r="M76" s="590"/>
      <c r="N76" s="590"/>
      <c r="O76" s="591"/>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580" t="str">
        <f>'Cover Service Sheet'!C183</f>
        <v xml:space="preserve">
</v>
      </c>
      <c r="C99" s="580"/>
      <c r="D99" s="580"/>
      <c r="E99" s="580"/>
      <c r="F99" s="580"/>
      <c r="G99" s="580"/>
      <c r="H99" s="580"/>
      <c r="I99" s="580"/>
      <c r="J99" s="580"/>
      <c r="K99" s="580"/>
      <c r="L99" s="580"/>
      <c r="M99" s="580"/>
      <c r="N99" s="580"/>
      <c r="O99" s="580"/>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580">
        <f>'Cover Service Sheet'!C187</f>
        <v>0</v>
      </c>
      <c r="C103" s="580"/>
      <c r="D103" s="580"/>
      <c r="E103" s="580"/>
      <c r="F103" s="580"/>
      <c r="G103" s="580"/>
      <c r="H103" s="580"/>
      <c r="I103" s="580"/>
      <c r="J103" s="580"/>
      <c r="K103" s="580"/>
      <c r="L103" s="580"/>
      <c r="M103" s="580"/>
      <c r="N103" s="580"/>
      <c r="O103" s="580"/>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580">
        <f>'Cover Service Sheet'!C191</f>
        <v>0</v>
      </c>
      <c r="C107" s="580"/>
      <c r="D107" s="580"/>
      <c r="E107" s="580"/>
      <c r="F107" s="580"/>
      <c r="G107" s="580"/>
      <c r="H107" s="580"/>
      <c r="I107" s="580"/>
      <c r="J107" s="580"/>
      <c r="K107" s="580"/>
      <c r="L107" s="580"/>
      <c r="M107" s="580"/>
      <c r="N107" s="580"/>
      <c r="O107" s="580"/>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1" t="s">
        <v>1008</v>
      </c>
      <c r="B1" s="641"/>
      <c r="C1" s="641"/>
      <c r="D1" s="641"/>
      <c r="E1" s="641"/>
      <c r="F1" s="641"/>
      <c r="G1" s="641"/>
      <c r="H1" s="641"/>
    </row>
    <row r="3" spans="1:8" ht="19.5" customHeight="1" x14ac:dyDescent="0.25">
      <c r="A3" s="463" t="s">
        <v>1009</v>
      </c>
      <c r="B3" s="447" t="s">
        <v>1010</v>
      </c>
      <c r="C3" s="448" t="str">
        <f>VLOOKUP("product",AUTO!$A$1:$B$1051,2,FALSE)</f>
        <v>LPA3 NAVAIR</v>
      </c>
      <c r="D3" s="449"/>
      <c r="E3" s="447" t="s">
        <v>538</v>
      </c>
      <c r="F3" s="450"/>
      <c r="G3" s="450"/>
      <c r="H3" s="451">
        <f>VLOOKUP("date_",AUTO!$A$1:$B$1051,2,FALSE)</f>
        <v>46192.5</v>
      </c>
    </row>
    <row r="4" spans="1:8" ht="19.5" customHeight="1" x14ac:dyDescent="0.25">
      <c r="A4" s="463"/>
      <c r="B4" s="447" t="s">
        <v>543</v>
      </c>
      <c r="C4" s="448">
        <f>VLOOKUP("serial_number",AUTO!$A$1:$B$1051,2,FALSE)</f>
        <v>63010068</v>
      </c>
      <c r="D4" s="449"/>
      <c r="E4" s="447" t="s">
        <v>1011</v>
      </c>
      <c r="F4" s="450"/>
      <c r="G4" s="450"/>
      <c r="H4" s="450" t="s">
        <v>1012</v>
      </c>
    </row>
    <row r="5" spans="1:8" ht="19.5" customHeight="1" x14ac:dyDescent="0.25">
      <c r="A5" s="463"/>
      <c r="B5" s="447" t="s">
        <v>1010</v>
      </c>
      <c r="C5" s="448" t="str">
        <f>VLOOKUP("product",AUTO!$A$1:$B$1051,2,FALSE)</f>
        <v>LPA3 NAVAIR</v>
      </c>
      <c r="D5" s="449"/>
      <c r="E5" s="452" t="s">
        <v>1013</v>
      </c>
      <c r="F5" s="450"/>
      <c r="G5" s="450"/>
      <c r="H5" s="450" t="s">
        <v>1014</v>
      </c>
    </row>
    <row r="6" spans="1:8" ht="19.5" customHeight="1" x14ac:dyDescent="0.25">
      <c r="A6" s="463"/>
      <c r="B6" s="447" t="s">
        <v>543</v>
      </c>
      <c r="C6" s="448">
        <f>VLOOKUP("serial_number",AUTO!$A$1:$B$1051,2,FALSE)</f>
        <v>63010068</v>
      </c>
      <c r="D6" s="449"/>
      <c r="E6" s="452" t="s">
        <v>1015</v>
      </c>
      <c r="F6" s="450"/>
      <c r="G6" s="450"/>
      <c r="H6" s="450" t="s">
        <v>1016</v>
      </c>
    </row>
    <row r="7" spans="1:8" ht="19.5" customHeight="1" x14ac:dyDescent="0.25">
      <c r="A7" s="475" t="s">
        <v>1017</v>
      </c>
      <c r="B7" s="475"/>
      <c r="C7" s="448">
        <f>VLOOKUP("no_noise_threshold",AUTO!$A$1:$B$1051,2,FALSE)</f>
        <v>33</v>
      </c>
      <c r="D7" s="449"/>
      <c r="E7" s="452" t="s">
        <v>1018</v>
      </c>
      <c r="F7" s="450"/>
      <c r="G7" s="450">
        <v>20000</v>
      </c>
      <c r="H7" s="447" t="s">
        <v>1019</v>
      </c>
    </row>
    <row r="8" spans="1:8" ht="19.5" customHeight="1" x14ac:dyDescent="0.25">
      <c r="A8" s="475" t="s">
        <v>1020</v>
      </c>
      <c r="B8" s="475"/>
      <c r="C8" s="448">
        <f>VLOOKUP("sample_volume_ml",AUTO!$A$1:$B$1051,2,FALSE)</f>
        <v>50</v>
      </c>
      <c r="D8" s="449"/>
      <c r="E8" s="447" t="s">
        <v>1021</v>
      </c>
      <c r="F8" s="450"/>
      <c r="G8" s="450">
        <v>30</v>
      </c>
      <c r="H8" s="447" t="s">
        <v>1022</v>
      </c>
    </row>
    <row r="9" spans="1:8" ht="19.5" customHeight="1" x14ac:dyDescent="0.25">
      <c r="A9" s="475" t="s">
        <v>1023</v>
      </c>
      <c r="B9" s="475"/>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6" t="s">
        <v>1025</v>
      </c>
      <c r="B10" s="476"/>
      <c r="C10" s="476"/>
      <c r="D10" s="476"/>
      <c r="E10" s="476"/>
      <c r="F10" s="476"/>
      <c r="G10" s="476"/>
      <c r="H10" s="476"/>
    </row>
    <row r="11" spans="1:8" ht="19.5" customHeight="1" x14ac:dyDescent="0.25">
      <c r="A11" s="446" t="s">
        <v>1026</v>
      </c>
      <c r="B11" s="640">
        <v>0.5</v>
      </c>
      <c r="C11" s="640"/>
      <c r="D11" s="446" t="s">
        <v>1027</v>
      </c>
      <c r="E11" s="446" t="s">
        <v>1028</v>
      </c>
      <c r="F11" s="640">
        <v>2.7</v>
      </c>
      <c r="G11" s="640"/>
      <c r="H11" s="446" t="s">
        <v>1029</v>
      </c>
    </row>
    <row r="12" spans="1:8" ht="19.5" customHeight="1" x14ac:dyDescent="0.25">
      <c r="A12" s="446" t="s">
        <v>1030</v>
      </c>
      <c r="B12" s="640">
        <v>0.6</v>
      </c>
      <c r="C12" s="640"/>
      <c r="D12" s="446" t="s">
        <v>1027</v>
      </c>
      <c r="E12" s="446" t="s">
        <v>1031</v>
      </c>
      <c r="F12" s="640">
        <v>8.3000000000000007</v>
      </c>
      <c r="G12" s="640"/>
      <c r="H12" s="446" t="s">
        <v>1029</v>
      </c>
    </row>
    <row r="13" spans="1:8" ht="19.5" customHeight="1" x14ac:dyDescent="0.25">
      <c r="A13" s="446" t="s">
        <v>1032</v>
      </c>
      <c r="B13" s="640">
        <v>10.199999999999999</v>
      </c>
      <c r="C13" s="640"/>
      <c r="D13" s="446" t="s">
        <v>1027</v>
      </c>
      <c r="E13" s="446" t="s">
        <v>1033</v>
      </c>
      <c r="F13" s="640">
        <v>8.3000000000000007</v>
      </c>
      <c r="G13" s="640"/>
      <c r="H13" s="446" t="s">
        <v>1029</v>
      </c>
    </row>
    <row r="16" spans="1:8" ht="30" customHeight="1" x14ac:dyDescent="0.25">
      <c r="A16" s="478" t="s">
        <v>1034</v>
      </c>
      <c r="B16" s="478"/>
      <c r="C16" s="478"/>
      <c r="E16" s="478" t="s">
        <v>1035</v>
      </c>
      <c r="F16" s="478"/>
      <c r="G16" s="478"/>
      <c r="H16" s="478"/>
    </row>
    <row r="17" spans="1:8" ht="42" customHeight="1" x14ac:dyDescent="0.25">
      <c r="A17" s="453" t="s">
        <v>898</v>
      </c>
      <c r="B17" s="453" t="s">
        <v>1036</v>
      </c>
      <c r="C17" s="453" t="s">
        <v>1037</v>
      </c>
      <c r="E17" s="453" t="s">
        <v>898</v>
      </c>
      <c r="F17" s="453" t="s">
        <v>1038</v>
      </c>
      <c r="G17" s="478" t="s">
        <v>1039</v>
      </c>
      <c r="H17" s="478"/>
    </row>
    <row r="18" spans="1:8" ht="18" customHeight="1" x14ac:dyDescent="0.25">
      <c r="A18" s="454" t="s">
        <v>1040</v>
      </c>
      <c r="B18" s="454" t="s">
        <v>1041</v>
      </c>
      <c r="C18" s="454" t="s">
        <v>1041</v>
      </c>
      <c r="E18" s="454" t="s">
        <v>1040</v>
      </c>
      <c r="F18" s="454" t="s">
        <v>1041</v>
      </c>
      <c r="G18" s="477" t="s">
        <v>1042</v>
      </c>
      <c r="H18" s="477"/>
    </row>
    <row r="19" spans="1:8" ht="18" customHeight="1" x14ac:dyDescent="0.25">
      <c r="A19" s="448">
        <f>VLOOKUP("threshold32_0_sz",AUTO!$A$1:$B$1051,2,FALSE)</f>
        <v>4</v>
      </c>
      <c r="B19" s="448">
        <f>VLOOKUP("reference_count_0",AUTO!$A$1:$B$1051,2,FALSE)</f>
        <v>1056340</v>
      </c>
      <c r="C19" s="455">
        <f>'Auto-Calibration record'!$I$68</f>
        <v>1056121</v>
      </c>
      <c r="E19" s="448">
        <f>VLOOKUP("threshold32_0_sz",AUTO!$A$1:$B$1051,2,FALSE)</f>
        <v>4</v>
      </c>
      <c r="F19" s="448">
        <f>VLOOKUP("reference_count_0",AUTO!$A$1:$B$1051,2,FALSE)</f>
        <v>1056340</v>
      </c>
      <c r="G19" s="480">
        <f>VLOOKUP("threshold32_0_value",AUTO!$A$1:$B$1051,2,FALSE)</f>
        <v>78</v>
      </c>
      <c r="H19" s="481">
        <f>VLOOKUP("threshold32_0_sz",AUTO!$A$1:$B$1051,2,FALSE)</f>
        <v>4</v>
      </c>
    </row>
    <row r="20" spans="1:8" ht="18" customHeight="1" x14ac:dyDescent="0.25">
      <c r="A20" s="448">
        <f>VLOOKUP("threshold32_2_sz",AUTO!$A$1:$B$1051,2,FALSE)</f>
        <v>6</v>
      </c>
      <c r="B20" s="448">
        <f>VLOOKUP("reference_count_1",AUTO!$A$1:$B$1051,2,FALSE)</f>
        <v>459350</v>
      </c>
      <c r="C20" s="455">
        <f>'Auto-Calibration record'!$I$69</f>
        <v>462144</v>
      </c>
      <c r="E20" s="448">
        <f>VLOOKUP("threshold32_2_sz",AUTO!$A$1:$B$1051,2,FALSE)</f>
        <v>6</v>
      </c>
      <c r="F20" s="448">
        <f>VLOOKUP("reference_count_1",AUTO!$A$1:$B$1051,2,FALSE)</f>
        <v>459350</v>
      </c>
      <c r="G20" s="480">
        <f>VLOOKUP("threshold32_2_value",AUTO!$A$1:$B$1051,2,FALSE)</f>
        <v>184</v>
      </c>
      <c r="H20" s="48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108095</v>
      </c>
      <c r="E21" s="448">
        <f>VLOOKUP("threshold32_6_sz",AUTO!$A$1:$B$1051,2,FALSE)</f>
        <v>10</v>
      </c>
      <c r="F21" s="448">
        <f>VLOOKUP("reference_count32_6",AUTO!$A$1:$B$1051,2,FALSE)*100</f>
        <v>106950</v>
      </c>
      <c r="G21" s="480">
        <f>VLOOKUP("threshold32_6_value",AUTO!$A$1:$B$1051,2,FALSE)</f>
        <v>518</v>
      </c>
      <c r="H21" s="48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36990</v>
      </c>
      <c r="E22" s="448">
        <f>VLOOKUP("threshold32_10_sz",AUTO!$A$1:$B$1051,2,FALSE)</f>
        <v>14</v>
      </c>
      <c r="F22" s="448">
        <f>VLOOKUP("reference_count_2",AUTO!$A$1:$B$1051,2,FALSE)</f>
        <v>36410</v>
      </c>
      <c r="G22" s="480">
        <f>VLOOKUP("threshold32_10_value",AUTO!$A$1:$B$1051,2,FALSE)</f>
        <v>1004</v>
      </c>
      <c r="H22" s="48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10613</v>
      </c>
      <c r="E23" s="448">
        <f>VLOOKUP("threshold32_17_sz",AUTO!$A$1:$B$1051,2,FALSE)</f>
        <v>21</v>
      </c>
      <c r="F23" s="448">
        <f>VLOOKUP("reference_count_3",AUTO!$A$1:$B$1051,2,FALSE)</f>
        <v>10940</v>
      </c>
      <c r="G23" s="480">
        <f>VLOOKUP("threshold32_17_value",AUTO!$A$1:$B$1051,2,FALSE)</f>
        <v>2096</v>
      </c>
      <c r="H23" s="481">
        <f>VLOOKUP("threshold32_17_sz",AUTO!$A$1:$B$1051,2,FALSE)</f>
        <v>21</v>
      </c>
    </row>
    <row r="24" spans="1:8" ht="18" customHeight="1" x14ac:dyDescent="0.25">
      <c r="A24" s="448">
        <f>VLOOKUP("threshold32_21_sz",AUTO!$A$1:$B$1051,2,FALSE)</f>
        <v>25</v>
      </c>
      <c r="B24" s="448">
        <f>VLOOKUP("reference_count_4",AUTO!$A$1:$B$1051,2,FALSE)</f>
        <v>5210</v>
      </c>
      <c r="C24" s="455">
        <f>'Auto-Calibration record'!$I$73</f>
        <v>4874</v>
      </c>
      <c r="E24" s="448">
        <f>VLOOKUP("threshold32_21_sz",AUTO!$A$1:$B$1051,2,FALSE)</f>
        <v>25</v>
      </c>
      <c r="F24" s="448">
        <f>VLOOKUP("reference_count_4",AUTO!$A$1:$B$1051,2,FALSE)</f>
        <v>5210</v>
      </c>
      <c r="G24" s="480">
        <f>VLOOKUP("threshold32_21_value",AUTO!$A$1:$B$1051,2,FALSE)</f>
        <v>3116</v>
      </c>
      <c r="H24" s="48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446</v>
      </c>
      <c r="E25" s="448">
        <f>VLOOKUP("threshold32_27_sz",AUTO!$A$1:$B$1051,2,FALSE)</f>
        <v>38</v>
      </c>
      <c r="F25" s="448">
        <f>VLOOKUP("reference_count_5",AUTO!$A$1:$B$1051,2,FALSE)</f>
        <v>611.721</v>
      </c>
      <c r="G25" s="480">
        <f>VLOOKUP("threshold32_27_value",AUTO!$A$1:$B$1051,2,FALSE)</f>
        <v>10301</v>
      </c>
      <c r="H25" s="48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83</v>
      </c>
      <c r="E26" s="448">
        <f>VLOOKUP("threshold32_28_sz",AUTO!$A$1:$B$1051,2,FALSE)</f>
        <v>50</v>
      </c>
      <c r="F26" s="448">
        <f>VLOOKUP("reference_count_6",AUTO!$A$1:$B$1051,2,FALSE)</f>
        <v>145.303</v>
      </c>
      <c r="G26" s="480">
        <f>VLOOKUP("threshold32_28_value",AUTO!$A$1:$B$1051,2,FALSE)</f>
        <v>15776</v>
      </c>
      <c r="H26" s="48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13</v>
      </c>
      <c r="E27" s="448">
        <f>VLOOKUP("threshold32_29_sz",AUTO!$A$1:$B$1051,2,FALSE)</f>
        <v>70</v>
      </c>
      <c r="F27" s="448">
        <f>VLOOKUP("reference_count_7",AUTO!$A$1:$B$1051,2,FALSE)</f>
        <v>24.939</v>
      </c>
      <c r="G27" s="480">
        <f>VLOOKUP("threshold32_29_value",AUTO!$A$1:$B$1051,2,FALSE)</f>
        <v>24523</v>
      </c>
      <c r="H27" s="481">
        <f>VLOOKUP("threshold32_29_sz",AUTO!$A$1:$B$1051,2,FALSE)</f>
        <v>70</v>
      </c>
    </row>
    <row r="28" spans="1:8" ht="18" customHeight="1" x14ac:dyDescent="0.25">
      <c r="A28" s="448"/>
      <c r="B28" s="448"/>
      <c r="C28" s="448"/>
      <c r="E28" s="448"/>
      <c r="F28" s="448"/>
      <c r="G28" s="479"/>
      <c r="H28" s="479"/>
    </row>
    <row r="29" spans="1:8" ht="18" customHeight="1" x14ac:dyDescent="0.25">
      <c r="A29" s="448"/>
      <c r="B29" s="448"/>
      <c r="C29" s="448"/>
      <c r="E29" s="448"/>
      <c r="F29" s="448"/>
      <c r="G29" s="479"/>
      <c r="H29" s="479"/>
    </row>
    <row r="30" spans="1:8" ht="18" customHeight="1" x14ac:dyDescent="0.25">
      <c r="A30" s="448"/>
      <c r="B30" s="448"/>
      <c r="C30" s="448"/>
      <c r="E30" s="448"/>
      <c r="F30" s="448"/>
      <c r="G30" s="479"/>
      <c r="H30" s="479"/>
    </row>
    <row r="31" spans="1:8" ht="18" customHeight="1" x14ac:dyDescent="0.25">
      <c r="A31" s="448"/>
      <c r="B31" s="448"/>
      <c r="C31" s="448"/>
      <c r="E31" s="448"/>
      <c r="F31" s="448"/>
      <c r="G31" s="479"/>
      <c r="H31" s="479"/>
    </row>
    <row r="32" spans="1:8" ht="18" customHeight="1" x14ac:dyDescent="0.25">
      <c r="A32" s="448"/>
      <c r="B32" s="448"/>
      <c r="C32" s="448"/>
      <c r="E32" s="448"/>
      <c r="F32" s="448"/>
      <c r="G32" s="479"/>
      <c r="H32" s="479"/>
    </row>
    <row r="33" spans="1:8" ht="18" customHeight="1" x14ac:dyDescent="0.25">
      <c r="A33" s="448"/>
      <c r="B33" s="448"/>
      <c r="C33" s="448"/>
      <c r="E33" s="448"/>
      <c r="F33" s="448"/>
      <c r="G33" s="479"/>
      <c r="H33" s="479"/>
    </row>
    <row r="34" spans="1:8" ht="18" customHeight="1" x14ac:dyDescent="0.25">
      <c r="A34" s="448"/>
      <c r="B34" s="448"/>
      <c r="C34" s="448"/>
      <c r="E34" s="448"/>
      <c r="F34" s="448"/>
      <c r="G34" s="479"/>
      <c r="H34" s="479"/>
    </row>
    <row r="35" spans="1:8" ht="18" customHeight="1" x14ac:dyDescent="0.25">
      <c r="A35" s="448"/>
      <c r="B35" s="448"/>
      <c r="C35" s="448"/>
      <c r="E35" s="448"/>
      <c r="F35" s="448"/>
      <c r="G35" s="479"/>
      <c r="H35" s="479"/>
    </row>
    <row r="36" spans="1:8" ht="18" customHeight="1" x14ac:dyDescent="0.25">
      <c r="A36" s="448"/>
      <c r="B36" s="448"/>
      <c r="C36" s="448"/>
      <c r="E36" s="448"/>
      <c r="F36" s="448"/>
      <c r="G36" s="479"/>
      <c r="H36" s="479"/>
    </row>
    <row r="37" spans="1:8" ht="18" customHeight="1" x14ac:dyDescent="0.25">
      <c r="A37" s="448"/>
      <c r="B37" s="448"/>
      <c r="C37" s="448"/>
      <c r="E37" s="448"/>
      <c r="F37" s="448"/>
      <c r="G37" s="479"/>
      <c r="H37" s="479"/>
    </row>
    <row r="38" spans="1:8" ht="18" customHeight="1" x14ac:dyDescent="0.25">
      <c r="A38" s="448"/>
      <c r="B38" s="448"/>
      <c r="C38" s="448"/>
      <c r="E38" s="448"/>
      <c r="F38" s="448"/>
      <c r="G38" s="479"/>
      <c r="H38" s="479"/>
    </row>
  </sheetData>
  <mergeCells count="36">
    <mergeCell ref="A10:H10"/>
    <mergeCell ref="A1:H1"/>
    <mergeCell ref="A3:A6"/>
    <mergeCell ref="A7:B7"/>
    <mergeCell ref="A8:B8"/>
    <mergeCell ref="A9:B9"/>
    <mergeCell ref="B11:C11"/>
    <mergeCell ref="F11:G11"/>
    <mergeCell ref="B12:C12"/>
    <mergeCell ref="F12:G12"/>
    <mergeCell ref="B13:C13"/>
    <mergeCell ref="F13:G13"/>
    <mergeCell ref="G26:H26"/>
    <mergeCell ref="A16:C16"/>
    <mergeCell ref="E16:H16"/>
    <mergeCell ref="G17:H17"/>
    <mergeCell ref="G18:H18"/>
    <mergeCell ref="G19:H19"/>
    <mergeCell ref="G20:H20"/>
    <mergeCell ref="G21:H21"/>
    <mergeCell ref="G22:H22"/>
    <mergeCell ref="G23:H23"/>
    <mergeCell ref="G24:H24"/>
    <mergeCell ref="G25:H25"/>
    <mergeCell ref="G38:H38"/>
    <mergeCell ref="G27:H27"/>
    <mergeCell ref="G28:H28"/>
    <mergeCell ref="G29:H29"/>
    <mergeCell ref="G30:H30"/>
    <mergeCell ref="G31:H31"/>
    <mergeCell ref="G32:H32"/>
    <mergeCell ref="G33:H33"/>
    <mergeCell ref="G34:H34"/>
    <mergeCell ref="G35:H35"/>
    <mergeCell ref="G36:H36"/>
    <mergeCell ref="G37:H37"/>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57" t="s">
        <v>1008</v>
      </c>
      <c r="D10" s="458"/>
      <c r="E10" s="458"/>
      <c r="F10" s="458"/>
      <c r="G10" s="458"/>
      <c r="H10" s="458"/>
      <c r="I10" s="458"/>
      <c r="J10" s="459"/>
      <c r="K10" s="264"/>
    </row>
    <row r="11" spans="2:18" ht="14.65" customHeight="1" x14ac:dyDescent="0.25">
      <c r="B11" s="263"/>
      <c r="C11" s="460"/>
      <c r="D11" s="461"/>
      <c r="E11" s="461"/>
      <c r="F11" s="461"/>
      <c r="G11" s="461"/>
      <c r="H11" s="461"/>
      <c r="I11" s="461"/>
      <c r="J11" s="462"/>
      <c r="K11" s="264"/>
    </row>
    <row r="12" spans="2:18" ht="14.65" customHeight="1" x14ac:dyDescent="0.25">
      <c r="B12" s="263"/>
      <c r="C12" s="463" t="s">
        <v>1009</v>
      </c>
      <c r="D12" s="447" t="s">
        <v>1010</v>
      </c>
      <c r="E12" s="448" t="str">
        <f>VLOOKUP("product",AUTO!$A$1:$B$1051,2,FALSE)</f>
        <v>LPA3 NAVAIR</v>
      </c>
      <c r="F12" s="449"/>
      <c r="G12" s="464" t="s">
        <v>538</v>
      </c>
      <c r="H12" s="465"/>
      <c r="I12" s="466">
        <v>46147.7</v>
      </c>
      <c r="J12" s="467"/>
      <c r="K12" s="264"/>
    </row>
    <row r="13" spans="2:18" x14ac:dyDescent="0.25">
      <c r="B13" s="263"/>
      <c r="C13" s="463"/>
      <c r="D13" s="447" t="s">
        <v>543</v>
      </c>
      <c r="E13" s="448">
        <f>VLOOKUP("serial_number",AUTO!$A$1:$B$1051,2,FALSE)</f>
        <v>63010068</v>
      </c>
      <c r="F13" s="449"/>
      <c r="G13" s="464" t="s">
        <v>1011</v>
      </c>
      <c r="H13" s="465"/>
      <c r="I13" s="468" t="s">
        <v>1045</v>
      </c>
      <c r="J13" s="469"/>
      <c r="K13" s="264"/>
    </row>
    <row r="14" spans="2:18" ht="14.65" customHeight="1" x14ac:dyDescent="0.25">
      <c r="B14" s="263"/>
      <c r="C14" s="463"/>
      <c r="D14" s="447" t="s">
        <v>1010</v>
      </c>
      <c r="E14" s="448" t="str">
        <f>VLOOKUP("product",AUTO!$A$1:$B$1051,2,FALSE)</f>
        <v>LPA3 NAVAIR</v>
      </c>
      <c r="F14" s="449"/>
      <c r="G14" s="470" t="s">
        <v>1013</v>
      </c>
      <c r="H14" s="471"/>
      <c r="I14" s="468" t="s">
        <v>1014</v>
      </c>
      <c r="J14" s="469"/>
      <c r="K14" s="264"/>
    </row>
    <row r="15" spans="2:18" ht="14.65" customHeight="1" x14ac:dyDescent="0.25">
      <c r="B15" s="263"/>
      <c r="C15" s="463"/>
      <c r="D15" s="447" t="s">
        <v>543</v>
      </c>
      <c r="E15" s="448">
        <f>VLOOKUP("serial_number",AUTO!$A$1:$B$1051,2,FALSE)</f>
        <v>63010068</v>
      </c>
      <c r="F15" s="449"/>
      <c r="G15" s="470" t="s">
        <v>1015</v>
      </c>
      <c r="H15" s="471"/>
      <c r="I15" s="468" t="s">
        <v>1046</v>
      </c>
      <c r="J15" s="469"/>
      <c r="K15" s="264"/>
      <c r="P15" s="266"/>
      <c r="Q15" s="474"/>
      <c r="R15" s="474"/>
    </row>
    <row r="16" spans="2:18" ht="15.4" customHeight="1" x14ac:dyDescent="0.25">
      <c r="B16" s="263"/>
      <c r="C16" s="475" t="s">
        <v>1017</v>
      </c>
      <c r="D16" s="475"/>
      <c r="E16" s="448">
        <f>VLOOKUP("no_noise_threshold",AUTO!$A$1:$B$1051,2,FALSE)</f>
        <v>33</v>
      </c>
      <c r="F16" s="449"/>
      <c r="G16" s="470" t="s">
        <v>1018</v>
      </c>
      <c r="H16" s="471"/>
      <c r="I16" s="450">
        <v>30000</v>
      </c>
      <c r="J16" s="447" t="s">
        <v>1019</v>
      </c>
      <c r="K16" s="264"/>
      <c r="P16" s="267"/>
      <c r="Q16" s="473"/>
      <c r="R16" s="473"/>
    </row>
    <row r="17" spans="2:18" ht="14.65" customHeight="1" x14ac:dyDescent="0.25">
      <c r="B17" s="263"/>
      <c r="C17" s="475" t="s">
        <v>1020</v>
      </c>
      <c r="D17" s="475"/>
      <c r="E17" s="448">
        <f>VLOOKUP("sample_volume_ml",AUTO!$A$1:$B$1051,2,FALSE)</f>
        <v>50</v>
      </c>
      <c r="F17" s="449"/>
      <c r="G17" s="464" t="s">
        <v>1021</v>
      </c>
      <c r="H17" s="465"/>
      <c r="I17" s="450">
        <v>30</v>
      </c>
      <c r="J17" s="447" t="s">
        <v>1022</v>
      </c>
      <c r="K17" s="264"/>
      <c r="P17" s="267"/>
      <c r="Q17" s="473"/>
      <c r="R17" s="473"/>
    </row>
    <row r="18" spans="2:18" ht="14.65" customHeight="1" x14ac:dyDescent="0.25">
      <c r="B18" s="263"/>
      <c r="C18" s="475" t="s">
        <v>1023</v>
      </c>
      <c r="D18" s="475"/>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64" t="s">
        <v>1024</v>
      </c>
      <c r="H18" s="465"/>
      <c r="I18" s="450">
        <v>30</v>
      </c>
      <c r="J18" s="447" t="s">
        <v>1022</v>
      </c>
      <c r="K18" s="264"/>
      <c r="P18" s="267"/>
      <c r="Q18" s="473"/>
      <c r="R18" s="473"/>
    </row>
    <row r="19" spans="2:18" ht="14.65" customHeight="1" x14ac:dyDescent="0.25">
      <c r="B19" s="263"/>
      <c r="C19" s="476" t="s">
        <v>1025</v>
      </c>
      <c r="D19" s="476"/>
      <c r="E19" s="476"/>
      <c r="F19" s="476"/>
      <c r="G19" s="476"/>
      <c r="H19" s="476"/>
      <c r="I19" s="476"/>
      <c r="J19" s="476"/>
      <c r="K19" s="264"/>
      <c r="P19" s="267"/>
      <c r="Q19" s="473"/>
      <c r="R19" s="473"/>
    </row>
    <row r="20" spans="2:18" x14ac:dyDescent="0.25">
      <c r="B20" s="263"/>
      <c r="C20" s="446" t="s">
        <v>1026</v>
      </c>
      <c r="D20" s="472">
        <v>0.5</v>
      </c>
      <c r="E20" s="472"/>
      <c r="F20" s="446" t="s">
        <v>1027</v>
      </c>
      <c r="G20" s="446" t="s">
        <v>1028</v>
      </c>
      <c r="H20" s="472">
        <v>2.7</v>
      </c>
      <c r="I20" s="472"/>
      <c r="J20" s="446" t="s">
        <v>1029</v>
      </c>
      <c r="K20" s="264"/>
      <c r="P20" s="267"/>
      <c r="Q20" s="473"/>
      <c r="R20" s="473"/>
    </row>
    <row r="21" spans="2:18" x14ac:dyDescent="0.25">
      <c r="B21" s="263"/>
      <c r="C21" s="446" t="s">
        <v>1030</v>
      </c>
      <c r="D21" s="472">
        <v>0.6</v>
      </c>
      <c r="E21" s="472"/>
      <c r="F21" s="446" t="s">
        <v>1027</v>
      </c>
      <c r="G21" s="446" t="s">
        <v>1031</v>
      </c>
      <c r="H21" s="472">
        <v>8.3000000000000007</v>
      </c>
      <c r="I21" s="472"/>
      <c r="J21" s="446" t="s">
        <v>1029</v>
      </c>
      <c r="K21" s="264"/>
      <c r="P21" s="267"/>
      <c r="Q21" s="473"/>
      <c r="R21" s="473"/>
    </row>
    <row r="22" spans="2:18" x14ac:dyDescent="0.25">
      <c r="B22" s="263"/>
      <c r="C22" s="446" t="s">
        <v>1032</v>
      </c>
      <c r="D22" s="472">
        <v>10.199999999999999</v>
      </c>
      <c r="E22" s="472"/>
      <c r="F22" s="446" t="s">
        <v>1027</v>
      </c>
      <c r="G22" s="446" t="s">
        <v>1033</v>
      </c>
      <c r="H22" s="472">
        <v>8.3000000000000007</v>
      </c>
      <c r="I22" s="472"/>
      <c r="J22" s="446" t="s">
        <v>1029</v>
      </c>
      <c r="K22" s="264"/>
      <c r="P22" s="267"/>
      <c r="Q22" s="473"/>
      <c r="R22" s="473"/>
    </row>
    <row r="23" spans="2:18" ht="14.1" customHeight="1" x14ac:dyDescent="0.25">
      <c r="B23" s="263"/>
      <c r="C23" s="257"/>
      <c r="D23" s="257"/>
      <c r="E23" s="257"/>
      <c r="F23" s="257"/>
      <c r="G23" s="257"/>
      <c r="H23" s="257"/>
      <c r="I23" s="257"/>
      <c r="J23" s="257"/>
      <c r="K23" s="264"/>
      <c r="P23" s="267"/>
      <c r="Q23" s="473"/>
      <c r="R23" s="473"/>
    </row>
    <row r="24" spans="2:18" ht="14.65" customHeight="1" x14ac:dyDescent="0.25">
      <c r="B24" s="263"/>
      <c r="C24" s="478" t="s">
        <v>1034</v>
      </c>
      <c r="D24" s="478"/>
      <c r="E24" s="478"/>
      <c r="F24" s="257"/>
      <c r="G24" s="478" t="s">
        <v>1035</v>
      </c>
      <c r="H24" s="478"/>
      <c r="I24" s="478"/>
      <c r="J24" s="478"/>
      <c r="K24" s="264"/>
      <c r="P24" s="267"/>
      <c r="Q24" s="473"/>
      <c r="R24" s="473"/>
    </row>
    <row r="25" spans="2:18" ht="30" x14ac:dyDescent="0.25">
      <c r="B25" s="263"/>
      <c r="C25" s="453" t="s">
        <v>898</v>
      </c>
      <c r="D25" s="453" t="s">
        <v>1036</v>
      </c>
      <c r="E25" s="453" t="s">
        <v>1037</v>
      </c>
      <c r="F25" s="257"/>
      <c r="G25" s="453" t="s">
        <v>898</v>
      </c>
      <c r="H25" s="453" t="s">
        <v>1038</v>
      </c>
      <c r="I25" s="478" t="s">
        <v>1039</v>
      </c>
      <c r="J25" s="478"/>
      <c r="K25" s="264"/>
    </row>
    <row r="26" spans="2:18" x14ac:dyDescent="0.25">
      <c r="B26" s="263"/>
      <c r="C26" s="454" t="s">
        <v>1040</v>
      </c>
      <c r="D26" s="454" t="s">
        <v>1041</v>
      </c>
      <c r="E26" s="454" t="s">
        <v>1041</v>
      </c>
      <c r="F26" s="257"/>
      <c r="G26" s="454" t="s">
        <v>1040</v>
      </c>
      <c r="H26" s="454" t="s">
        <v>1041</v>
      </c>
      <c r="I26" s="477" t="s">
        <v>1042</v>
      </c>
      <c r="J26" s="477"/>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80">
        <f>VLOOKUP("threshold32_0_value",AUTO!$A$1:$B$1051,2,FALSE)</f>
        <v>78</v>
      </c>
      <c r="J27" s="48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80">
        <f>VLOOKUP("threshold32_2_value",AUTO!$A$1:$B$1051,2,FALSE)</f>
        <v>184</v>
      </c>
      <c r="J28" s="48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80">
        <f>VLOOKUP("threshold32_6_value",AUTO!$A$1:$B$1051,2,FALSE)</f>
        <v>518</v>
      </c>
      <c r="J29" s="48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80">
        <f>VLOOKUP("threshold32_10_value",AUTO!$A$1:$B$1051,2,FALSE)</f>
        <v>1004</v>
      </c>
      <c r="J30" s="48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80">
        <f>VLOOKUP("threshold32_17_value",AUTO!$A$1:$B$1051,2,FALSE)</f>
        <v>2096</v>
      </c>
      <c r="J31" s="48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80">
        <f>VLOOKUP("threshold32_21_value",AUTO!$A$1:$B$1051,2,FALSE)</f>
        <v>3116</v>
      </c>
      <c r="J32" s="48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80">
        <f>VLOOKUP("threshold32_27_value",AUTO!$A$1:$B$1051,2,FALSE)</f>
        <v>10301</v>
      </c>
      <c r="J33" s="48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80">
        <f>VLOOKUP("threshold32_28_value",AUTO!$A$1:$B$1051,2,FALSE)</f>
        <v>15776</v>
      </c>
      <c r="J34" s="48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80">
        <f>VLOOKUP("threshold32_29_value",AUTO!$A$1:$B$1051,2,FALSE)</f>
        <v>24523</v>
      </c>
      <c r="J35" s="481">
        <f>VLOOKUP("threshold32_29_sz",AUTO!$A$1:$B$1051,2,FALSE)</f>
        <v>70</v>
      </c>
      <c r="K35" s="264"/>
    </row>
    <row r="36" spans="2:11" x14ac:dyDescent="0.25">
      <c r="B36" s="263"/>
      <c r="C36" s="448"/>
      <c r="D36" s="448"/>
      <c r="E36" s="448"/>
      <c r="F36" s="257"/>
      <c r="G36" s="448"/>
      <c r="H36" s="448"/>
      <c r="I36" s="479"/>
      <c r="J36" s="479"/>
      <c r="K36" s="264"/>
    </row>
    <row r="37" spans="2:11" x14ac:dyDescent="0.25">
      <c r="B37" s="263"/>
      <c r="C37" s="448"/>
      <c r="D37" s="448"/>
      <c r="E37" s="448"/>
      <c r="F37" s="257"/>
      <c r="G37" s="448"/>
      <c r="H37" s="448"/>
      <c r="I37" s="479"/>
      <c r="J37" s="479"/>
      <c r="K37" s="264"/>
    </row>
    <row r="38" spans="2:11" x14ac:dyDescent="0.25">
      <c r="B38" s="263"/>
      <c r="C38" s="448"/>
      <c r="D38" s="448"/>
      <c r="E38" s="448"/>
      <c r="F38" s="257"/>
      <c r="G38" s="448"/>
      <c r="H38" s="448"/>
      <c r="I38" s="479"/>
      <c r="J38" s="479"/>
      <c r="K38" s="264"/>
    </row>
    <row r="39" spans="2:11" x14ac:dyDescent="0.25">
      <c r="B39" s="263"/>
      <c r="C39" s="448"/>
      <c r="D39" s="448"/>
      <c r="E39" s="448"/>
      <c r="F39" s="257"/>
      <c r="G39" s="448"/>
      <c r="H39" s="448"/>
      <c r="I39" s="479"/>
      <c r="J39" s="479"/>
      <c r="K39" s="264"/>
    </row>
    <row r="40" spans="2:11" x14ac:dyDescent="0.25">
      <c r="B40" s="263"/>
      <c r="C40" s="448"/>
      <c r="D40" s="448"/>
      <c r="E40" s="448"/>
      <c r="F40" s="257"/>
      <c r="G40" s="448"/>
      <c r="H40" s="448"/>
      <c r="I40" s="479"/>
      <c r="J40" s="479"/>
      <c r="K40" s="264"/>
    </row>
    <row r="41" spans="2:11" x14ac:dyDescent="0.25">
      <c r="B41" s="263"/>
      <c r="C41" s="448"/>
      <c r="D41" s="448"/>
      <c r="E41" s="448"/>
      <c r="F41" s="257"/>
      <c r="G41" s="448"/>
      <c r="H41" s="448"/>
      <c r="I41" s="479"/>
      <c r="J41" s="479"/>
      <c r="K41" s="264"/>
    </row>
    <row r="42" spans="2:11" x14ac:dyDescent="0.25">
      <c r="B42" s="263"/>
      <c r="C42" s="448"/>
      <c r="D42" s="448"/>
      <c r="E42" s="448"/>
      <c r="F42" s="257"/>
      <c r="G42" s="448"/>
      <c r="H42" s="448"/>
      <c r="I42" s="479"/>
      <c r="J42" s="479"/>
      <c r="K42" s="264"/>
    </row>
    <row r="43" spans="2:11" x14ac:dyDescent="0.25">
      <c r="B43" s="263"/>
      <c r="C43" s="448"/>
      <c r="D43" s="448"/>
      <c r="E43" s="448"/>
      <c r="F43" s="257"/>
      <c r="G43" s="448"/>
      <c r="H43" s="448"/>
      <c r="I43" s="479"/>
      <c r="J43" s="479"/>
      <c r="K43" s="264"/>
    </row>
    <row r="44" spans="2:11" x14ac:dyDescent="0.25">
      <c r="B44" s="263"/>
      <c r="C44" s="448"/>
      <c r="D44" s="448"/>
      <c r="E44" s="448"/>
      <c r="F44" s="257"/>
      <c r="G44" s="448"/>
      <c r="H44" s="448"/>
      <c r="I44" s="479"/>
      <c r="J44" s="479"/>
      <c r="K44" s="264"/>
    </row>
    <row r="45" spans="2:11" x14ac:dyDescent="0.25">
      <c r="B45" s="263"/>
      <c r="C45" s="448"/>
      <c r="D45" s="448"/>
      <c r="E45" s="448"/>
      <c r="F45" s="257"/>
      <c r="G45" s="448"/>
      <c r="H45" s="448"/>
      <c r="I45" s="479"/>
      <c r="J45" s="479"/>
      <c r="K45" s="264"/>
    </row>
    <row r="46" spans="2:11" x14ac:dyDescent="0.25">
      <c r="B46" s="263"/>
      <c r="C46" s="448"/>
      <c r="D46" s="448"/>
      <c r="E46" s="448"/>
      <c r="F46" s="257"/>
      <c r="G46" s="448"/>
      <c r="H46" s="448"/>
      <c r="I46" s="479"/>
      <c r="J46" s="479"/>
      <c r="K46" s="264"/>
    </row>
    <row r="47" spans="2:11" x14ac:dyDescent="0.25">
      <c r="B47" s="263"/>
      <c r="K47" s="264"/>
    </row>
    <row r="48" spans="2:11" ht="14.65" customHeight="1" x14ac:dyDescent="0.25">
      <c r="B48" s="263"/>
      <c r="C48" s="482" t="s">
        <v>1047</v>
      </c>
      <c r="D48" s="483"/>
      <c r="E48" s="483"/>
      <c r="F48" s="483"/>
      <c r="G48" s="483"/>
      <c r="H48" s="483"/>
      <c r="I48" s="483"/>
      <c r="J48" s="483"/>
      <c r="K48" s="264"/>
    </row>
    <row r="49" spans="2:11" x14ac:dyDescent="0.25">
      <c r="B49" s="263"/>
      <c r="C49" s="483"/>
      <c r="D49" s="483"/>
      <c r="E49" s="483"/>
      <c r="F49" s="483"/>
      <c r="G49" s="483"/>
      <c r="H49" s="483"/>
      <c r="I49" s="483"/>
      <c r="J49" s="483"/>
      <c r="K49" s="264"/>
    </row>
    <row r="50" spans="2:11" x14ac:dyDescent="0.25">
      <c r="B50" s="263"/>
      <c r="C50" s="483"/>
      <c r="D50" s="483"/>
      <c r="E50" s="483"/>
      <c r="F50" s="483"/>
      <c r="G50" s="483"/>
      <c r="H50" s="483"/>
      <c r="I50" s="483"/>
      <c r="J50" s="483"/>
      <c r="K50" s="264"/>
    </row>
    <row r="51" spans="2:11" x14ac:dyDescent="0.25">
      <c r="B51" s="263"/>
      <c r="C51" s="483"/>
      <c r="D51" s="483"/>
      <c r="E51" s="483"/>
      <c r="F51" s="483"/>
      <c r="G51" s="483"/>
      <c r="H51" s="483"/>
      <c r="I51" s="483"/>
      <c r="J51" s="483"/>
      <c r="K51" s="264"/>
    </row>
    <row r="52" spans="2:11" x14ac:dyDescent="0.25">
      <c r="B52" s="263"/>
      <c r="C52" s="483"/>
      <c r="D52" s="483"/>
      <c r="E52" s="483"/>
      <c r="F52" s="483"/>
      <c r="G52" s="483"/>
      <c r="H52" s="483"/>
      <c r="I52" s="483"/>
      <c r="J52" s="483"/>
      <c r="K52" s="264"/>
    </row>
    <row r="53" spans="2:11" x14ac:dyDescent="0.25">
      <c r="B53" s="268"/>
      <c r="C53" s="269"/>
      <c r="D53" s="269"/>
      <c r="E53" s="269"/>
      <c r="F53" s="269"/>
      <c r="G53" s="269"/>
      <c r="H53" s="269"/>
      <c r="I53" s="269"/>
      <c r="J53" s="269"/>
      <c r="K53" s="270"/>
    </row>
  </sheetData>
  <mergeCells count="58">
    <mergeCell ref="I45:J45"/>
    <mergeCell ref="I46:J46"/>
    <mergeCell ref="C48:J52"/>
    <mergeCell ref="I39:J39"/>
    <mergeCell ref="I40:J40"/>
    <mergeCell ref="I41:J41"/>
    <mergeCell ref="I42:J42"/>
    <mergeCell ref="I43:J43"/>
    <mergeCell ref="I44:J44"/>
    <mergeCell ref="I38:J38"/>
    <mergeCell ref="I27:J27"/>
    <mergeCell ref="I28:J28"/>
    <mergeCell ref="I29:J29"/>
    <mergeCell ref="I30:J30"/>
    <mergeCell ref="I31:J31"/>
    <mergeCell ref="I32:J32"/>
    <mergeCell ref="I33:J33"/>
    <mergeCell ref="I34:J34"/>
    <mergeCell ref="I35:J35"/>
    <mergeCell ref="I36:J36"/>
    <mergeCell ref="I37:J37"/>
    <mergeCell ref="I26:J26"/>
    <mergeCell ref="D21:E21"/>
    <mergeCell ref="H21:I21"/>
    <mergeCell ref="Q21:R21"/>
    <mergeCell ref="D22:E22"/>
    <mergeCell ref="H22:I22"/>
    <mergeCell ref="Q22:R22"/>
    <mergeCell ref="Q23:R23"/>
    <mergeCell ref="C24:E24"/>
    <mergeCell ref="G24:J24"/>
    <mergeCell ref="Q24:R24"/>
    <mergeCell ref="I25:J2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C10:J11"/>
    <mergeCell ref="C12:C15"/>
    <mergeCell ref="G12:H12"/>
    <mergeCell ref="I12:J12"/>
    <mergeCell ref="G13:H13"/>
    <mergeCell ref="I13:J13"/>
    <mergeCell ref="G14:H14"/>
    <mergeCell ref="I14:J14"/>
    <mergeCell ref="G15:H15"/>
    <mergeCell ref="I15:J15"/>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2026-06-19T11:11:28Z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