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8_{FB706920-7B1E-4368-847F-5B5F2739763F}" xr6:coauthVersionLast="47" xr6:coauthVersionMax="47" xr10:uidLastSave="{00000000-0000-0000-0000-000000000000}"/>
  <bookViews>
    <workbookView xWindow="-98" yWindow="-98" windowWidth="28996" windowHeight="17745"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<sst xmlns="http://schemas.openxmlformats.org/spreadsheetml/2006/main" count="12014" uniqueCount="1010">
  <si>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</si>
  <si>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</si>
  <si>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</si>
  <si>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</si>
  <si>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</si>
  <si>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</si>
  <si>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</si>
  <si>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</si>
  <si>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</si>
  <si>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</si>
  <si>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</si>
  <si>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</si>
  <si>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</si>
  <si>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</si>
  <si>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</si>
  <si>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</si>
  <si>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</si>
  <si>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</si>
  <si>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</si>
  <si>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</si>
  <si>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</si>
  <si>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</si>
  <si>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</si>
  <si>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</si>
  <si>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</si>
  <si>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</si>
  <si>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</si>
  <si>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</si>
  <si>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</si>
  <si>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</si>
  <si>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</si>
  <si>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</si>
  <si>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</si>
  <si>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</si>
  <si>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</si>
  <si>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</si>
  <si>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</si>
  <si>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</si>
  <si>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</si>
  <si>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</si>
  <si>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</si>
  <si>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</si>
  <si>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</si>
  <si>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</si>
  <si>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</si>
  <si>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</si>
  <si>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</si>
  <si>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</si>
  <si>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</si>
  <si>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</si>
  <si>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</si>
  <si>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</si>
  <si>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</si>
  <si>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</si>
  <si>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</si>
  <si>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</si>
  <si>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</si>
  <si>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</si>
  <si>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</si>
  <si>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</si>
  <si>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</si>
  <si>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</si>
  <si>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</si>
  <si>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</si>
  <si>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</si>
  <si>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</si>
  <si>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</si>
  <si>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</si>
  <si>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</si>
  <si>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</si>
  <si>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</si>
  <si>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</si>
  <si>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</si>
  <si>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</si>
  <si>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</si>
  <si>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</si>
  <si>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</si>
  <si>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</si>
  <si>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</si>
  <si>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</si>
  <si>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</si>
  <si>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</si>
  <si>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</si>
  <si>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</si>
  <si>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</si>
  <si>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</si>
  <si>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</si>
  <si>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</si>
  <si>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</si>
  <si>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</si>
  <si>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</si>
  <si>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</si>
  <si>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</si>
  <si>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</si>
  <si>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</si>
  <si>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</si>
  <si>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</si>
  <si>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</si>
  <si>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</si>
  <si>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</si>
  <si>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</si>
  <si>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</si>
  <si>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</si>
  <si>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</si>
  <si>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</si>
  <si>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</si>
  <si>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</si>
  <si>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</si>
  <si>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</si>
  <si>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</si>
  <si>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</si>
  <si>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</si>
  <si>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</si>
  <si>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</si>
  <si>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</si>
  <si>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</si>
  <si>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</si>
  <si>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</si>
  <si>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</si>
  <si>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</si>
  <si>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</si>
  <si>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</si>
  <si>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</si>
  <si>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</si>
  <si>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</si>
  <si>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</si>
  <si>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</si>
  <si>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</si>
  <si>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</si>
  <si>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</si>
  <si>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</si>
  <si>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</si>
  <si>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</si>
  <si>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</si>
  <si>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</si>
  <si>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</si>
  <si>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</si>
  <si>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</si>
  <si>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</si>
  <si>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</si>
  <si>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</si>
  <si>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</si>
  <si>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</si>
  <si>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</si>
  <si>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</si>
  <si>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</si>
  <si>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</si>
  <si>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</si>
  <si>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</si>
  <si>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</si>
  <si>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</si>
  <si>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</si>
  <si>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</si>
  <si>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</si>
  <si>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</si>
  <si>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</si>
  <si>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</si>
  <si>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</si>
  <si>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</si>
  <si>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</si>
  <si>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</si>
  <si>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</si>
  <si>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</si>
  <si>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</si>
  <si>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</si>
  <si>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</si>
  <si>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</si>
  <si>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</si>
  <si>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</si>
  <si>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</si>
  <si>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</si>
  <si>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</si>
  <si>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</si>
  <si>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</si>
  <si>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</si>
  <si>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</si>
  <si>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</si>
  <si>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</si>
  <si>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</si>
  <si>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</si>
  <si>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</si>
  <si>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</si>
  <si>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</si>
  <si>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</si>
  <si>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</si>
  <si>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</si>
  <si>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</si>
  <si>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</si>
  <si>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</si>
  <si>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</si>
  <si>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</si>
  <si>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</si>
  <si>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</si>
  <si>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</si>
  <si>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</si>
  <si>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</si>
  <si>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</si>
  <si>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</si>
  <si>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</si>
  <si>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</si>
  <si>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</si>
  <si>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</si>
  <si>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</si>
  <si>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</si>
  <si>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</si>
  <si>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</si>
  <si>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</si>
  <si>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</si>
  <si>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</si>
  <si>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</si>
  <si>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</si>
  <si>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</si>
  <si>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</si>
  <si>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</si>
  <si>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</si>
  <si>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</si>
  <si>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</si>
  <si>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</si>
  <si>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</si>
  <si>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</si>
  <si>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</si>
  <si>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</si>
  <si>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</si>
  <si>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</si>
  <si>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</si>
  <si>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</si>
  <si>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</si>
  <si>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</si>
  <si>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</si>
  <si>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</si>
  <si>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</si>
  <si>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</si>
  <si>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</si>
  <si>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</si>
  <si>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</si>
  <si>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</si>
  <si>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</si>
  <si>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</si>
  <si>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</si>
  <si>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</si>
  <si>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</si>
  <si>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</si>
  <si>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</si>
  <si>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</si>
  <si>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</si>
  <si>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</si>
  <si>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</si>
  <si>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</si>
  <si>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</si>
  <si>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</si>
  <si>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</si>
  <si>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</si>
  <si>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</si>
  <si>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</si>
  <si>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</si>
  <si>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</si>
  <si>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</si>
  <si>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</si>
  <si>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</si>
  <si>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</si>
  <si>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</si>
  <si>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</si>
  <si>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</si>
  <si>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</si>
  <si>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</si>
  <si>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</si>
  <si>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</si>
  <si>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</si>
  <si>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</si>
  <si>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</si>
  <si>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</si>
  <si>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</si>
  <si>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</si>
  <si>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</si>
  <si>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</si>
  <si>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</si>
  <si>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</si>
  <si>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</si>
  <si>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</si>
  <si>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</si>
  <si>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</si>
  <si>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</si>
  <si>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</si>
  <si>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</si>
  <si>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</si>
  <si>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</si>
  <si>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</si>
  <si>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</si>
  <si>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</si>
  <si>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</si>
  <si>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</si>
  <si>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</si>
  <si>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</si>
  <si>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</si>
  <si>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</si>
  <si>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</si>
  <si>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</si>
  <si>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</si>
  <si>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</si>
  <si>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</si>
  <si>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</si>
  <si>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</si>
  <si>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</si>
  <si>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</si>
  <si>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</si>
  <si>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</si>
  <si>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</si>
  <si>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</si>
  <si>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</si>
  <si>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</si>
  <si>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</si>
  <si>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</si>
  <si>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</si>
  <si>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</si>
  <si>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</si>
  <si>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</si>
  <si>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</si>
  <si>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</si>
  <si>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</si>
  <si>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</si>
  <si>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</si>
  <si>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</si>
  <si>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</si>
  <si>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</si>
  <si>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</si>
  <si>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</si>
  <si>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</si>
  <si>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</si>
  <si>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</si>
  <si>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</si>
  <si>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</si>
  <si>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</si>
  <si>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</si>
  <si>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</si>
  <si>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</si>
  <si>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</si>
  <si>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</si>
  <si>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</si>
  <si>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</si>
  <si>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</si>
  <si>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</si>
  <si>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</si>
  <si>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</si>
  <si>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</si>
  <si>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</si>
  <si>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</si>
  <si>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</si>
  <si>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</si>
  <si>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</si>
  <si>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</si>
  <si>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</si>
  <si>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</si>
  <si>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</si>
  <si>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</si>
  <si>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</si>
  <si>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</si>
  <si>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</si>
  <si>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</si>
  <si>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</si>
  <si>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</si>
  <si>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</si>
  <si>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</si>
  <si>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</si>
  <si>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</si>
  <si>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</si>
  <si>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</si>
  <si>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</si>
  <si>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</si>
  <si>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</si>
  <si>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</si>
  <si>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</si>
  <si>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</si>
  <si>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</si>
  <si>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</si>
  <si>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</si>
  <si>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</si>
  <si>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</si>
  <si>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</si>
  <si>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</si>
  <si>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</si>
  <si>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</si>
  <si>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</si>
  <si>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</si>
  <si>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</si>
  <si>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</si>
  <si>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</si>
  <si>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</si>
  <si>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</si>
  <si>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</si>
  <si>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</si>
  <si>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</si>
  <si>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</si>
  <si>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</si>
  <si>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</si>
  <si>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</si>
  <si>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</si>
  <si>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</si>
  <si>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</si>
  <si>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</si>
  <si>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</si>
  <si>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</si>
  <si>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</si>
  <si>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</si>
  <si>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</si>
  <si>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</si>
  <si>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</si>
  <si>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</si>
  <si>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</si>
  <si>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</si>
  <si>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</si>
  <si>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</si>
  <si>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</si>
  <si>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</si>
  <si>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</si>
  <si>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</si>
  <si>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</si>
  <si>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</si>
  <si>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</si>
  <si>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</si>
  <si>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</si>
  <si>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</si>
  <si>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</si>
  <si>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</si>
  <si>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</si>
  <si>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</si>
  <si>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</si>
  <si>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</si>
  <si>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</si>
  <si>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</si>
  <si>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</si>
  <si>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</si>
  <si>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</si>
  <si>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</si>
  <si>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</si>
  <si>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</si>
  <si>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</si>
  <si>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</si>
  <si>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</si>
  <si>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</si>
  <si>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</si>
  <si>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</si>
  <si>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</si>
  <si>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</si>
  <si>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</si>
  <si>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</si>
  <si>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</si>
  <si>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</si>
  <si>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</si>
  <si>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</si>
  <si>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</si>
  <si>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</si>
  <si>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</si>
  <si>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</si>
  <si>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</si>
  <si>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</si>
  <si>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</si>
  <si>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</si>
  <si>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</si>
  <si>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</si>
  <si>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</si>
  <si>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</si>
  <si>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</si>
  <si>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</si>
  <si>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</si>
  <si>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</si>
  <si>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</si>
  <si>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</si>
  <si>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</si>
  <si>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</si>
  <si>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</si>
  <si>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</si>
  <si>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</si>
  <si>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</si>
  <si>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</si>
  <si>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</si>
  <si>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</si>
  <si>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</si>
  <si>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</si>
  <si>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</si>
  <si>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</si>
  <si>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</si>
  <si>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</si>
  <si>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</si>
  <si>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</si>
  <si>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</si>
  <si>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</si>
  <si>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</si>
  <si>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</si>
  <si>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</si>
  <si>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</si>
  <si>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</si>
  <si>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</si>
  <si>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</si>
  <si>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</si>
  <si>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</si>
  <si>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</si>
  <si>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</si>
  <si>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</si>
  <si>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</si>
  <si>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</si>
  <si>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</si>
  <si>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</si>
  <si>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</si>
  <si>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</si>
  <si>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</si>
  <si>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</si>
  <si>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</si>
  <si>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</si>
  <si>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</si>
  <si>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</si>
  <si>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</si>
  <si>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</si>
  <si>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</si>
  <si>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</si>
  <si>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</si>
  <si>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</si>
  <si>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</si>
  <si>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</si>
  <si>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</si>
  <si>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</si>
  <si>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</si>
  <si>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</si>
  <si>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</si>
  <si>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</si>
  <si>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</si>
  <si>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</si>
  <si>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</si>
  <si>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</si>
  <si>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</si>
  <si>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</si>
  <si>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</si>
  <si>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</si>
  <si>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</si>
  <si>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</si>
  <si>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</si>
  <si>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</si>
  <si>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</si>
  <si>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</si>
  <si>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</si>
  <si>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</si>
  <si>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</si>
  <si>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</si>
  <si>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</si>
  <si>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</si>
  <si>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</si>
  <si>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</si>
  <si>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</si>
  <si>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</si>
  <si>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</si>
  <si>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</si>
  <si>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</si>
  <si>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</si>
  <si>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</si>
  <si>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</si>
  <si>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</si>
  <si>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</si>
  <si>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</si>
  <si>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</si>
  <si>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</si>
  <si>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</si>
  <si>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</si>
  <si>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</si>
  <si>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</si>
  <si>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</si>
  <si>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</si>
  <si>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</si>
  <si>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</si>
  <si>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</si>
  <si>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</si>
  <si>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</si>
  <si>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</si>
  <si>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</si>
  <si>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</si>
  <si>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</si>
  <si>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</si>
  <si>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</si>
  <si>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</si>
  <si>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</si>
  <si>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</si>
  <si>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</si>
  <si>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</si>
  <si>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</si>
  <si>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</si>
  <si>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</si>
  <si>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</si>
  <si>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</si>
  <si>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</si>
  <si>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</si>
  <si>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</si>
  <si>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</si>
  <si>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</si>
  <si>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</si>
  <si>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</si>
  <si>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</si>
  <si>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</si>
  <si>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</si>
  <si>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</si>
  <si>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</si>
  <si>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</si>
  <si>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</si>
  <si>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</si>
  <si>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</si>
  <si>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</si>
  <si>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</si>
  <si>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</si>
  <si>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</si>
  <si>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</si>
  <si>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</si>
  <si>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</si>
  <si>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</si>
  <si>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</si>
  <si>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</si>
  <si>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</si>
  <si>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</si>
  <si>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</si>
  <si>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</si>
  <si>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</si>
  <si>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</si>
  <si>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</si>
  <si>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</si>
  <si>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</si>
  <si>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</si>
  <si>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</si>
  <si>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</si>
  <si>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</si>
  <si>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</si>
  <si>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</si>
  <si>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</si>
  <si>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</si>
  <si>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</si>
  <si>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</si>
  <si>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</si>
  <si>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</si>
  <si>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</si>
  <si>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</si>
  <si>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</si>
  <si>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</si>
  <si>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</si>
  <si>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</si>
  <si>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</si>
  <si>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</si>
  <si>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</si>
  <si>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</si>
  <si>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</si>
  <si>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</si>
  <si>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</si>
  <si>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</si>
  <si>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</si>
  <si>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</si>
  <si>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</si>
  <si>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</si>
  <si>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</si>
  <si>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</si>
  <si>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</si>
  <si>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</si>
  <si>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</si>
  <si>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</si>
  <si>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</si>
  <si>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</si>
  <si>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</si>
  <si>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</si>
  <si>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</si>
  <si>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</si>
  <si>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</si>
  <si>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</si>
  <si>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</si>
  <si>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</si>
  <si>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</si>
  <si>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</si>
  <si>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</si>
  <si>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</si>
  <si>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</si>
  <si>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</si>
  <si>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</si>
  <si>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</si>
  <si>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</si>
  <si>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</si>
  <si>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</si>
  <si>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</si>
  <si>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</si>
  <si>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</si>
  <si>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</si>
  <si>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</si>
  <si>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</si>
  <si>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</si>
  <si>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</si>
  <si>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</si>
  <si>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</si>
  <si>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</si>
  <si>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</si>
  <si>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</si>
  <si>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</si>
  <si>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</si>
  <si>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</si>
  <si>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</si>
  <si>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</si>
  <si>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</si>
  <si>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</si>
  <si>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</si>
  <si>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</si>
  <si>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</si>
  <si>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</si>
  <si>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</si>
  <si>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</si>
  <si>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</si>
  <si>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</si>
  <si>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</si>
  <si>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</si>
  <si>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</si>
  <si>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</si>
  <si>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</si>
  <si>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</si>
  <si>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</si>
  <si>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</si>
  <si>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</si>
  <si>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</si>
  <si>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</si>
  <si>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</si>
  <si>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</si>
  <si>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</si>
  <si>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</si>
  <si>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</si>
  <si>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</si>
  <si>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</si>
  <si>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</si>
  <si>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</si>
  <si>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</si>
  <si>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</si>
  <si>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</si>
  <si>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</si>
  <si>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</si>
  <si>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</si>
  <si>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</si>
  <si>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</si>
  <si>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</si>
  <si>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</si>
  <si>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</si>
  <si>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</si>
  <si>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</si>
  <si>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</si>
  <si>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</si>
  <si>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</si>
  <si>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</si>
  <si>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</si>
  <si>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</si>
  <si>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</si>
  <si>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</si>
  <si>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</si>
  <si>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</si>
  <si>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</si>
  <si>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</si>
  <si>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</si>
  <si>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</si>
  <si>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</si>
  <si>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</si>
  <si>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</si>
  <si>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</si>
  <si>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</si>
  <si>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</si>
  <si>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</si>
  <si>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</si>
  <si>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</si>
  <si>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</si>
  <si>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</si>
  <si>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</si>
  <si>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</si>
  <si>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</si>
  <si>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</si>
  <si>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</si>
  <si>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</si>
  <si>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</si>
  <si>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</si>
  <si>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</si>
  <si>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</si>
  <si>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</si>
  <si>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</si>
  <si>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</si>
  <si>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</si>
  <si>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</si>
  <si>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</si>
  <si>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</si>
  <si>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</si>
  <si>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</si>
  <si>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</si>
  <si>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</si>
  <si>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</si>
  <si>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</si>
  <si>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</si>
  <si>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</si>
  <si>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</si>
  <si>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</si>
  <si>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</si>
  <si>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</si>
  <si>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</si>
  <si>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</si>
  <si>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</si>
  <si>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</si>
  <si>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</si>
  <si>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</si>
  <si>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</si>
  <si>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</si>
  <si>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</si>
  <si>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</si>
  <si>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</si>
  <si>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</si>
  <si>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</si>
  <si>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</si>
  <si>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</si>
  <si>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</si>
  <si>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</si>
  <si>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</si>
  <si>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</si>
  <si>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</si>
  <si>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</si>
  <si>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</si>
  <si>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</si>
  <si>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</si>
  <si>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</si>
  <si>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</si>
  <si>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</si>
  <si>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</si>
  <si>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</si>
  <si>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</si>
  <si>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</si>
  <si>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</si>
  <si>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</si>
  <si>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</si>
  <si>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</si>
  <si>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</si>
  <si>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</si>
  <si>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</si>
  <si>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</si>
  <si>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</si>
  <si>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</si>
  <si>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</si>
  <si>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</si>
  <si>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</si>
  <si>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</si>
  <si>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</si>
  <si>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</si>
  <si>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</si>
  <si>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</si>
  <si>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</si>
  <si>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</si>
  <si>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</si>
  <si>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</si>
  <si>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</si>
  <si>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</si>
  <si>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</si>
  <si>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</si>
  <si>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</si>
  <si>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</si>
  <si>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</si>
  <si>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</si>
  <si>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</si>
  <si>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</si>
  <si>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</si>
  <si>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</si>
  <si>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</si>
  <si>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</si>
  <si>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</si>
  <si>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</si>
  <si>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</si>
  <si>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</si>
  <si>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</si>
  <si>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</si>
  <si>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</si>
  <si>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</si>
  <si>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</si>
  <si>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</si>
  <si>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</si>
  <si>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</si>
  <si>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</si>
  <si>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</si>
  <si>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</si>
  <si>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</si>
  <si>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</si>
  <si>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</si>
  <si>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</si>
  <si>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</si>
  <si>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</si>
  <si>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</si>
  <si>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</si>
  <si>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</si>
  <si>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</si>
  <si>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</si>
  <si>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</si>
  <si>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</si>
  <si>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</si>
  <si>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</si>
  <si>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</si>
  <si>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</si>
  <si>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</si>
  <si>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</si>
  <si>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</si>
  <si>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</si>
  <si>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</si>
  <si>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</si>
  <si>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</si>
  <si>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</si>
  <si>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</si>
  <si>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</si>
  <si>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</si>
  <si>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</si>
  <si>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</si>
  <si>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</si>
  <si>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</si>
  <si>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</si>
  <si>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</si>
  <si>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</si>
  <si>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</si>
  <si>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</si>
  <si>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</si>
  <si>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</si>
  <si>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</si>
  <si>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</si>
  <si>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</si>
  <si>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</si>
  <si>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</si>
  <si>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</si>
  <si>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</si>
  <si>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</si>
  <si>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</si>
  <si>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</si>
  <si>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</si>
  <si>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</si>
  <si>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</si>
  <si>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</si>
  <si>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</si>
  <si>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</si>
  <si>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</si>
  <si>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</si>
  <si>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</si>
  <si>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</si>
  <si>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</si>
  <si>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</si>
  <si>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</si>
  <si>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</si>
  <si>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</si>
  <si>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</si>
  <si>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</si>
  <si>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</si>
  <si>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</si>
  <si>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</si>
  <si>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</si>
  <si>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</si>
  <si>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</si>
  <si>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</si>
  <si>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</si>
  <si>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</si>
  <si>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</si>
  <si>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</si>
  <si>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</si>
  <si>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</si>
  <si>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</si>
  <si>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</si>
  <si>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</si>
  <si>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</si>
  <si>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</si>
  <si>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</si>
  <si>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</si>
  <si>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</si>
  <si>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</si>
  <si>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</si>
  <si>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</si>
  <si>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</si>
  <si>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</si>
  <si>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</si>
  <si>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</si>
  <si>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</si>
  <si>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</si>
  <si>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</si>
  <si>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</si>
  <si>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</si>
  <si>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</si>
  <si>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</si>
  <si>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</si>
  <si>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</si>
  <si>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</si>
  <si>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</si>
  <si>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</si>
  <si>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</si>
  <si>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</si>
  <si>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</si>
  <si>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</si>
  <si>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</si>
  <si>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</si>
  <si>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</si>
  <si>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</si>
  <si>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</si>
  <si>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</si>
  <si>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</si>
  <si>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</si>
  <si>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</si>
  <si>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</si>
  <si>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</si>
  <si>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</si>
  <si>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</si>
  <si>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</si>
  <si>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</si>
  <si>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</si>
  <si>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</si>
  <si>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</si>
  <si>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</si>
  <si>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RM8632b</t>
  </si>
  <si>
    <t>REFERENCE MATERIAL BATCH NUMBER</t>
  </si>
  <si>
    <t>&gt;50</t>
  </si>
  <si>
    <t>&gt;70</t>
  </si>
  <si>
    <t>LPA3 NAVAIR #63010045 CALIBRATE</t>
  </si>
  <si>
    <t>5.6mg/l RM8631b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</si>
</sst>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5">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88</c:v>
                </c:pt>
                <c:pt idx="1">
                  <c:v>210</c:v>
                </c:pt>
                <c:pt idx="2">
                  <c:v>1060</c:v>
                </c:pt>
                <c:pt idx="3">
                  <c:v>1964</c:v>
                </c:pt>
                <c:pt idx="4">
                  <c:v>2696</c:v>
                </c:pt>
                <c:pt idx="5">
                  <c:v>4778</c:v>
                </c:pt>
                <c:pt idx="6">
                  <c:v>10058</c:v>
                </c:pt>
                <c:pt idx="7">
                  <c:v>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1522410</c:v>
                </c:pt>
                <c:pt idx="1">
                  <c:v>583320</c:v>
                </c:pt>
                <c:pt idx="2">
                  <c:v>125420</c:v>
                </c:pt>
                <c:pt idx="3">
                  <c:v>42220</c:v>
                </c:pt>
                <c:pt idx="4">
                  <c:v>14610</c:v>
                </c:pt>
                <c:pt idx="5">
                  <c:v>9410</c:v>
                </c:pt>
                <c:pt idx="6">
                  <c:v>4350</c:v>
                </c:pt>
                <c:pt idx="7">
                  <c:v>2730</c:v>
                </c:pt>
                <c:pt idx="8">
                  <c:v>65535</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1472092.3333333333</c:v>
                </c:pt>
                <c:pt idx="1">
                  <c:v>569246</c:v>
                </c:pt>
                <c:pt idx="2">
                  <c:v>123488.33333333333</c:v>
                </c:pt>
                <c:pt idx="3">
                  <c:v>41569</c:v>
                </c:pt>
                <c:pt idx="4">
                  <c:v>15000</c:v>
                </c:pt>
                <c:pt idx="5">
                  <c:v>9239</c:v>
                </c:pt>
                <c:pt idx="6">
                  <c:v>4279.333333333333</c:v>
                </c:pt>
                <c:pt idx="7">
                  <c:v>2567.6666666666665</c:v>
                </c:pt>
                <c:pt idx="8">
                  <c:v>3590525</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1522410</c:v>
                </c:pt>
                <c:pt idx="1">
                  <c:v>583320</c:v>
                </c:pt>
                <c:pt idx="2">
                  <c:v>125420</c:v>
                </c:pt>
                <c:pt idx="3">
                  <c:v>42220</c:v>
                </c:pt>
                <c:pt idx="4">
                  <c:v>14610</c:v>
                </c:pt>
                <c:pt idx="5">
                  <c:v>9410</c:v>
                </c:pt>
                <c:pt idx="6">
                  <c:v>4350</c:v>
                </c:pt>
                <c:pt idx="7">
                  <c:v>2730</c:v>
                </c:pt>
                <c:pt idx="8">
                  <c:v>65535</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1472092.3333333333</c:v>
                </c:pt>
                <c:pt idx="1">
                  <c:v>569246</c:v>
                </c:pt>
                <c:pt idx="2">
                  <c:v>123488.33333333333</c:v>
                </c:pt>
                <c:pt idx="3">
                  <c:v>41569</c:v>
                </c:pt>
                <c:pt idx="4">
                  <c:v>15000</c:v>
                </c:pt>
                <c:pt idx="5">
                  <c:v>9239</c:v>
                </c:pt>
                <c:pt idx="6">
                  <c:v>4279.333333333333</c:v>
                </c:pt>
                <c:pt idx="7">
                  <c:v>2567.6666666666665</c:v>
                </c:pt>
                <c:pt idx="8">
                  <c:v>3590525</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1522410</c:v>
                </c:pt>
                <c:pt idx="1">
                  <c:v>583320</c:v>
                </c:pt>
                <c:pt idx="2">
                  <c:v>125420</c:v>
                </c:pt>
                <c:pt idx="3">
                  <c:v>42220</c:v>
                </c:pt>
                <c:pt idx="4">
                  <c:v>14610</c:v>
                </c:pt>
                <c:pt idx="5">
                  <c:v>9410</c:v>
                </c:pt>
                <c:pt idx="6">
                  <c:v>4350</c:v>
                </c:pt>
                <c:pt idx="7">
                  <c:v>2730</c:v>
                </c:pt>
                <c:pt idx="8">
                  <c:v>65535</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1472092.3333333333</c:v>
                </c:pt>
                <c:pt idx="1">
                  <c:v>569246</c:v>
                </c:pt>
                <c:pt idx="2">
                  <c:v>123488.33333333333</c:v>
                </c:pt>
                <c:pt idx="3">
                  <c:v>41569</c:v>
                </c:pt>
                <c:pt idx="4">
                  <c:v>15000</c:v>
                </c:pt>
                <c:pt idx="5">
                  <c:v>9239</c:v>
                </c:pt>
                <c:pt idx="6">
                  <c:v>4279.333333333333</c:v>
                </c:pt>
                <c:pt idx="7">
                  <c:v>2567.6666666666665</c:v>
                </c:pt>
                <c:pt idx="8">
                  <c:v>3590525</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1522410</c:v>
                </c:pt>
                <c:pt idx="1">
                  <c:v>583320</c:v>
                </c:pt>
                <c:pt idx="2">
                  <c:v>125420</c:v>
                </c:pt>
                <c:pt idx="3">
                  <c:v>42220</c:v>
                </c:pt>
                <c:pt idx="4">
                  <c:v>14610</c:v>
                </c:pt>
                <c:pt idx="5">
                  <c:v>9410</c:v>
                </c:pt>
                <c:pt idx="6">
                  <c:v>4350</c:v>
                </c:pt>
                <c:pt idx="7">
                  <c:v>2730</c:v>
                </c:pt>
                <c:pt idx="8">
                  <c:v>65535</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1472092.3333333333</c:v>
                </c:pt>
                <c:pt idx="1">
                  <c:v>569246</c:v>
                </c:pt>
                <c:pt idx="2">
                  <c:v>123488.33333333333</c:v>
                </c:pt>
                <c:pt idx="3">
                  <c:v>41569</c:v>
                </c:pt>
                <c:pt idx="4">
                  <c:v>15000</c:v>
                </c:pt>
                <c:pt idx="5">
                  <c:v>9239</c:v>
                </c:pt>
                <c:pt idx="6">
                  <c:v>4279.333333333333</c:v>
                </c:pt>
                <c:pt idx="7">
                  <c:v>2567.6666666666665</c:v>
                </c:pt>
                <c:pt idx="8">
                  <c:v>3590525</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1522410</c:v>
                </c:pt>
                <c:pt idx="1">
                  <c:v>583320</c:v>
                </c:pt>
                <c:pt idx="2">
                  <c:v>125420</c:v>
                </c:pt>
                <c:pt idx="3">
                  <c:v>42220</c:v>
                </c:pt>
                <c:pt idx="4">
                  <c:v>14610</c:v>
                </c:pt>
                <c:pt idx="5">
                  <c:v>9410</c:v>
                </c:pt>
                <c:pt idx="6">
                  <c:v>4350</c:v>
                </c:pt>
                <c:pt idx="7">
                  <c:v>2730</c:v>
                </c:pt>
                <c:pt idx="8">
                  <c:v>65535</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1472092.3333333333</c:v>
                </c:pt>
                <c:pt idx="1">
                  <c:v>569246</c:v>
                </c:pt>
                <c:pt idx="2">
                  <c:v>123488.33333333333</c:v>
                </c:pt>
                <c:pt idx="3">
                  <c:v>41569</c:v>
                </c:pt>
                <c:pt idx="4">
                  <c:v>15000</c:v>
                </c:pt>
                <c:pt idx="5">
                  <c:v>9239</c:v>
                </c:pt>
                <c:pt idx="6">
                  <c:v>4279.333333333333</c:v>
                </c:pt>
                <c:pt idx="7">
                  <c:v>2567.6666666666665</c:v>
                </c:pt>
                <c:pt idx="8">
                  <c:v>3590525</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1522410</c:v>
                </c:pt>
                <c:pt idx="1">
                  <c:v>583320</c:v>
                </c:pt>
                <c:pt idx="2">
                  <c:v>125420</c:v>
                </c:pt>
                <c:pt idx="3">
                  <c:v>42220</c:v>
                </c:pt>
                <c:pt idx="4">
                  <c:v>14610</c:v>
                </c:pt>
                <c:pt idx="5">
                  <c:v>9410</c:v>
                </c:pt>
                <c:pt idx="6">
                  <c:v>4350</c:v>
                </c:pt>
                <c:pt idx="7">
                  <c:v>2730</c:v>
                </c:pt>
                <c:pt idx="8">
                  <c:v>65535</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1472092.3333333333</c:v>
                </c:pt>
                <c:pt idx="1">
                  <c:v>569246</c:v>
                </c:pt>
                <c:pt idx="2">
                  <c:v>123488.33333333333</c:v>
                </c:pt>
                <c:pt idx="3">
                  <c:v>41569</c:v>
                </c:pt>
                <c:pt idx="4">
                  <c:v>15000</c:v>
                </c:pt>
                <c:pt idx="5">
                  <c:v>9239</c:v>
                </c:pt>
                <c:pt idx="6">
                  <c:v>4279.333333333333</c:v>
                </c:pt>
                <c:pt idx="7">
                  <c:v>2567.6666666666665</c:v>
                </c:pt>
                <c:pt idx="8">
                  <c:v>3590525</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1522410</c:v>
                </c:pt>
                <c:pt idx="1">
                  <c:v>583320</c:v>
                </c:pt>
                <c:pt idx="2">
                  <c:v>125420</c:v>
                </c:pt>
                <c:pt idx="3">
                  <c:v>42220</c:v>
                </c:pt>
                <c:pt idx="4">
                  <c:v>14610</c:v>
                </c:pt>
                <c:pt idx="5">
                  <c:v>9410</c:v>
                </c:pt>
                <c:pt idx="6">
                  <c:v>4350</c:v>
                </c:pt>
                <c:pt idx="7">
                  <c:v>2730</c:v>
                </c:pt>
                <c:pt idx="8">
                  <c:v>65535</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1472092.3333333333</c:v>
                </c:pt>
                <c:pt idx="1">
                  <c:v>569246</c:v>
                </c:pt>
                <c:pt idx="2">
                  <c:v>123488.33333333333</c:v>
                </c:pt>
                <c:pt idx="3">
                  <c:v>41569</c:v>
                </c:pt>
                <c:pt idx="4">
                  <c:v>15000</c:v>
                </c:pt>
                <c:pt idx="5">
                  <c:v>9239</c:v>
                </c:pt>
                <c:pt idx="6">
                  <c:v>4279.333333333333</c:v>
                </c:pt>
                <c:pt idx="7">
                  <c:v>2567.6666666666665</c:v>
                </c:pt>
                <c:pt idx="8">
                  <c:v>3590525</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1522410</c:v>
                </c:pt>
                <c:pt idx="1">
                  <c:v>583320</c:v>
                </c:pt>
                <c:pt idx="2">
                  <c:v>125420</c:v>
                </c:pt>
                <c:pt idx="3">
                  <c:v>42220</c:v>
                </c:pt>
                <c:pt idx="4">
                  <c:v>14610</c:v>
                </c:pt>
                <c:pt idx="5">
                  <c:v>9410</c:v>
                </c:pt>
                <c:pt idx="6">
                  <c:v>4350</c:v>
                </c:pt>
                <c:pt idx="7">
                  <c:v>2730</c:v>
                </c:pt>
                <c:pt idx="8">
                  <c:v>65535</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1472092.3333333333</c:v>
                </c:pt>
                <c:pt idx="1">
                  <c:v>569246</c:v>
                </c:pt>
                <c:pt idx="2">
                  <c:v>123488.33333333333</c:v>
                </c:pt>
                <c:pt idx="3">
                  <c:v>41569</c:v>
                </c:pt>
                <c:pt idx="4">
                  <c:v>15000</c:v>
                </c:pt>
                <c:pt idx="5">
                  <c:v>9239</c:v>
                </c:pt>
                <c:pt idx="6">
                  <c:v>4279.333333333333</c:v>
                </c:pt>
                <c:pt idx="7">
                  <c:v>2567.6666666666665</c:v>
                </c:pt>
                <c:pt idx="8">
                  <c:v>3590525</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abSelected="1" topLeftCell="A205" workbookViewId="0">
      <selection activeCell="B210" sqref="B210"/>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63010045</v>
      </c>
      <c r="H4" s="154"/>
    </row>
    <row r="5" spans="1:9" x14ac:dyDescent="0.35">
      <c r="A5" t="s">
        <v>710</v>
      </c>
      <c r="B5">
        <v>1072</v>
      </c>
      <c r="H5" s="154"/>
      <c r="I5" s="154"/>
    </row>
    <row r="6" spans="1:9" x14ac:dyDescent="0.35">
      <c r="A6" t="s">
        <v>711</v>
      </c>
      <c r="B6">
        <v>0</v>
      </c>
      <c r="H6" s="154"/>
      <c r="I6" s="154"/>
    </row>
    <row r="7" spans="1:9" x14ac:dyDescent="0.35">
      <c r="A7" t="s">
        <v>712</v>
      </c>
      <c r="B7" t="s">
        <v>1008</v>
      </c>
      <c r="H7" s="154"/>
      <c r="I7" s="154"/>
    </row>
    <row r="8" spans="1:9" x14ac:dyDescent="0.35">
      <c r="A8" t="s">
        <v>713</v>
      </c>
      <c r="B8">
        <v>88</v>
      </c>
      <c r="H8" s="154"/>
      <c r="I8" s="154"/>
    </row>
    <row r="9" spans="1:9" x14ac:dyDescent="0.35">
      <c r="A9" t="s">
        <v>714</v>
      </c>
      <c r="B9">
        <v>210</v>
      </c>
      <c r="H9" s="154"/>
      <c r="I9" s="154"/>
    </row>
    <row r="10" spans="1:9" x14ac:dyDescent="0.35">
      <c r="A10" t="s">
        <v>715</v>
      </c>
      <c r="B10">
        <v>1060</v>
      </c>
      <c r="H10" s="154"/>
      <c r="I10" s="154"/>
    </row>
    <row r="11" spans="1:9" x14ac:dyDescent="0.35">
      <c r="A11" t="s">
        <v>716</v>
      </c>
      <c r="B11">
        <v>1964</v>
      </c>
      <c r="H11" s="154"/>
      <c r="I11" s="154"/>
    </row>
    <row r="12" spans="1:9" x14ac:dyDescent="0.35">
      <c r="A12" t="s">
        <v>717</v>
      </c>
      <c r="B12">
        <v>2696</v>
      </c>
      <c r="H12" s="154"/>
      <c r="I12" s="154"/>
    </row>
    <row r="13" spans="1:9" x14ac:dyDescent="0.35">
      <c r="A13" t="s">
        <v>718</v>
      </c>
      <c r="B13">
        <v>4778</v>
      </c>
      <c r="H13" s="154"/>
      <c r="I13" s="154"/>
    </row>
    <row r="14" spans="1:9" x14ac:dyDescent="0.35">
      <c r="A14" t="s">
        <v>719</v>
      </c>
      <c r="B14">
        <v>10058</v>
      </c>
      <c r="H14" s="154"/>
      <c r="I14" s="154"/>
    </row>
    <row r="15" spans="1:9" x14ac:dyDescent="0.35">
      <c r="A15" t="s">
        <v>720</v>
      </c>
      <c r="B15">
        <v>0</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12373</v>
      </c>
      <c r="H21" s="154"/>
      <c r="I21" s="154"/>
    </row>
    <row r="22" spans="1:9" x14ac:dyDescent="0.35">
      <c r="A22" t="s">
        <v>727</v>
      </c>
      <c r="B22">
        <v>101.09</v>
      </c>
      <c r="H22" s="154"/>
      <c r="I22" s="154"/>
    </row>
    <row r="23" spans="1:9" x14ac:dyDescent="0.35">
      <c r="A23" t="s">
        <v>728</v>
      </c>
      <c r="B23">
        <v>50</v>
      </c>
      <c r="H23" s="154"/>
      <c r="I23" s="154"/>
    </row>
    <row r="24" spans="1:9" x14ac:dyDescent="0.35">
      <c r="A24" t="s">
        <v>729</v>
      </c>
      <c r="B24">
        <v>1779109105</v>
      </c>
      <c r="H24" s="154"/>
      <c r="I24" s="154"/>
    </row>
    <row r="25" spans="1:9" x14ac:dyDescent="0.35">
      <c r="A25" t="s">
        <v>730</v>
      </c>
      <c r="B25">
        <v>1810645105</v>
      </c>
      <c r="H25" s="154"/>
      <c r="I25" s="154"/>
    </row>
    <row r="26" spans="1:9" x14ac:dyDescent="0.35">
      <c r="A26" t="s">
        <v>731</v>
      </c>
      <c r="B26">
        <v>0</v>
      </c>
      <c r="H26" s="154"/>
      <c r="I26" s="154"/>
    </row>
    <row r="27" spans="1:9" x14ac:dyDescent="0.35">
      <c r="A27" t="s">
        <v>732</v>
      </c>
      <c r="B27">
        <v>0</v>
      </c>
      <c r="H27" s="154"/>
      <c r="I27" s="154"/>
    </row>
    <row r="28" spans="1:9" x14ac:dyDescent="0.35">
      <c r="A28" t="s">
        <v>733</v>
      </c>
      <c r="B28">
        <v>0</v>
      </c>
      <c r="H28" s="154"/>
      <c r="I28" s="154"/>
    </row>
    <row r="29" spans="1:9" x14ac:dyDescent="0.35">
      <c r="A29" t="s">
        <v>734</v>
      </c>
      <c r="B29">
        <v>18</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88</v>
      </c>
      <c r="H52" s="154"/>
      <c r="I52" s="154"/>
    </row>
    <row r="53" spans="1:9" x14ac:dyDescent="0.35">
      <c r="A53" t="s">
        <v>758</v>
      </c>
      <c r="B53">
        <v>142</v>
      </c>
      <c r="H53" s="154"/>
      <c r="I53" s="154"/>
    </row>
    <row r="54" spans="1:9" x14ac:dyDescent="0.35">
      <c r="A54" t="s">
        <v>759</v>
      </c>
      <c r="B54">
        <v>210</v>
      </c>
      <c r="H54" s="154"/>
      <c r="I54" s="154"/>
    </row>
    <row r="55" spans="1:9" x14ac:dyDescent="0.35">
      <c r="A55" t="s">
        <v>760</v>
      </c>
      <c r="B55">
        <v>284</v>
      </c>
      <c r="H55" s="154"/>
      <c r="I55" s="154"/>
    </row>
    <row r="56" spans="1:9" x14ac:dyDescent="0.35">
      <c r="A56" t="s">
        <v>761</v>
      </c>
      <c r="B56">
        <v>372</v>
      </c>
      <c r="H56" s="154"/>
      <c r="I56" s="154"/>
    </row>
    <row r="57" spans="1:9" x14ac:dyDescent="0.35">
      <c r="A57" t="s">
        <v>762</v>
      </c>
      <c r="B57">
        <v>470</v>
      </c>
      <c r="H57" s="154"/>
      <c r="I57" s="154"/>
    </row>
    <row r="58" spans="1:9" x14ac:dyDescent="0.35">
      <c r="A58" t="s">
        <v>763</v>
      </c>
      <c r="B58">
        <v>572</v>
      </c>
      <c r="H58" s="154"/>
    </row>
    <row r="59" spans="1:9" x14ac:dyDescent="0.35">
      <c r="A59" t="s">
        <v>764</v>
      </c>
      <c r="B59">
        <v>690</v>
      </c>
      <c r="H59" s="154"/>
      <c r="I59" s="154"/>
    </row>
    <row r="60" spans="1:9" x14ac:dyDescent="0.35">
      <c r="A60" t="s">
        <v>765</v>
      </c>
      <c r="B60">
        <v>814</v>
      </c>
      <c r="H60" s="154"/>
      <c r="I60" s="154"/>
    </row>
    <row r="61" spans="1:9" x14ac:dyDescent="0.35">
      <c r="A61" t="s">
        <v>766</v>
      </c>
      <c r="B61">
        <v>936</v>
      </c>
      <c r="H61" s="154"/>
      <c r="I61" s="154"/>
    </row>
    <row r="62" spans="1:9" x14ac:dyDescent="0.35">
      <c r="A62" t="s">
        <v>767</v>
      </c>
      <c r="B62">
        <v>1060</v>
      </c>
      <c r="H62" s="154"/>
      <c r="I62" s="154"/>
    </row>
    <row r="63" spans="1:9" x14ac:dyDescent="0.35">
      <c r="A63" t="s">
        <v>768</v>
      </c>
      <c r="B63">
        <v>1180</v>
      </c>
      <c r="H63" s="154"/>
      <c r="I63" s="154"/>
    </row>
    <row r="64" spans="1:9" x14ac:dyDescent="0.35">
      <c r="A64" t="s">
        <v>769</v>
      </c>
      <c r="B64">
        <v>1302</v>
      </c>
      <c r="H64" s="154"/>
      <c r="I64" s="154"/>
    </row>
    <row r="65" spans="1:9" x14ac:dyDescent="0.35">
      <c r="A65" t="s">
        <v>770</v>
      </c>
      <c r="B65">
        <v>1424</v>
      </c>
      <c r="H65" s="154"/>
      <c r="I65" s="154"/>
    </row>
    <row r="66" spans="1:9" x14ac:dyDescent="0.35">
      <c r="A66" t="s">
        <v>771</v>
      </c>
      <c r="B66">
        <v>1530</v>
      </c>
      <c r="H66" s="154"/>
      <c r="I66" s="154"/>
    </row>
    <row r="67" spans="1:9" x14ac:dyDescent="0.35">
      <c r="A67" t="s">
        <v>772</v>
      </c>
      <c r="B67">
        <v>1658</v>
      </c>
      <c r="H67" s="154"/>
      <c r="I67" s="154"/>
    </row>
    <row r="68" spans="1:9" x14ac:dyDescent="0.35">
      <c r="A68" t="s">
        <v>773</v>
      </c>
      <c r="B68">
        <v>1808</v>
      </c>
      <c r="H68" s="154"/>
      <c r="I68" s="154"/>
    </row>
    <row r="69" spans="1:9" x14ac:dyDescent="0.35">
      <c r="A69" t="s">
        <v>774</v>
      </c>
      <c r="B69">
        <v>1964</v>
      </c>
      <c r="H69" s="154"/>
      <c r="I69" s="154"/>
    </row>
    <row r="70" spans="1:9" x14ac:dyDescent="0.35">
      <c r="A70" t="s">
        <v>775</v>
      </c>
      <c r="B70">
        <v>2142</v>
      </c>
      <c r="H70" s="154"/>
      <c r="I70" s="154"/>
    </row>
    <row r="71" spans="1:9" x14ac:dyDescent="0.35">
      <c r="A71" t="s">
        <v>776</v>
      </c>
      <c r="B71">
        <v>2326</v>
      </c>
      <c r="H71" s="154"/>
      <c r="I71" s="154"/>
    </row>
    <row r="72" spans="1:9" x14ac:dyDescent="0.35">
      <c r="A72" t="s">
        <v>777</v>
      </c>
      <c r="B72">
        <v>2504</v>
      </c>
      <c r="H72" s="154"/>
      <c r="I72" s="154"/>
    </row>
    <row r="73" spans="1:9" x14ac:dyDescent="0.35">
      <c r="A73" t="s">
        <v>778</v>
      </c>
      <c r="B73">
        <v>2696</v>
      </c>
      <c r="H73" s="154"/>
      <c r="I73" s="154"/>
    </row>
    <row r="74" spans="1:9" x14ac:dyDescent="0.35">
      <c r="A74" t="s">
        <v>779</v>
      </c>
      <c r="B74">
        <v>2900</v>
      </c>
      <c r="H74" s="154"/>
      <c r="I74" s="154"/>
    </row>
    <row r="75" spans="1:9" x14ac:dyDescent="0.35">
      <c r="A75" t="s">
        <v>780</v>
      </c>
      <c r="B75">
        <v>3096</v>
      </c>
      <c r="H75" s="154"/>
    </row>
    <row r="76" spans="1:9" x14ac:dyDescent="0.35">
      <c r="A76" t="s">
        <v>781</v>
      </c>
      <c r="B76">
        <v>3278</v>
      </c>
      <c r="H76" s="154"/>
      <c r="I76" s="154"/>
    </row>
    <row r="77" spans="1:9" x14ac:dyDescent="0.35">
      <c r="A77" t="s">
        <v>782</v>
      </c>
      <c r="B77">
        <v>3394</v>
      </c>
      <c r="H77" s="154"/>
    </row>
    <row r="78" spans="1:9" x14ac:dyDescent="0.35">
      <c r="A78" t="s">
        <v>783</v>
      </c>
      <c r="B78">
        <v>3572</v>
      </c>
      <c r="H78" s="154"/>
      <c r="I78" s="154"/>
    </row>
    <row r="79" spans="1:9" x14ac:dyDescent="0.35">
      <c r="A79" t="s">
        <v>784</v>
      </c>
      <c r="B79">
        <v>4778</v>
      </c>
      <c r="H79" s="154"/>
      <c r="I79" s="154"/>
    </row>
    <row r="80" spans="1:9" x14ac:dyDescent="0.35">
      <c r="A80" t="s">
        <v>785</v>
      </c>
      <c r="B80">
        <v>10058</v>
      </c>
      <c r="H80" s="154"/>
      <c r="I80" s="154"/>
    </row>
    <row r="81" spans="1:9" x14ac:dyDescent="0.35">
      <c r="A81" t="s">
        <v>786</v>
      </c>
      <c r="B81">
        <v>24900</v>
      </c>
      <c r="H81" s="154"/>
      <c r="I81" s="154"/>
    </row>
    <row r="82" spans="1:9" x14ac:dyDescent="0.35">
      <c r="A82" t="s">
        <v>787</v>
      </c>
      <c r="B82">
        <v>0</v>
      </c>
      <c r="H82" s="154"/>
      <c r="I82" s="154"/>
    </row>
    <row r="83" spans="1:9" x14ac:dyDescent="0.35">
      <c r="A83" t="s">
        <v>788</v>
      </c>
      <c r="B83">
        <v>0</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1454053</v>
      </c>
      <c r="H117" s="154"/>
      <c r="I117" s="154"/>
    </row>
    <row r="118" spans="1:9" x14ac:dyDescent="0.35">
      <c r="A118" t="s">
        <v>823</v>
      </c>
      <c r="B118">
        <v>565718</v>
      </c>
      <c r="H118" s="154"/>
      <c r="I118" s="154"/>
    </row>
    <row r="119" spans="1:9" x14ac:dyDescent="0.35">
      <c r="A119" t="s">
        <v>824</v>
      </c>
      <c r="B119">
        <v>41279</v>
      </c>
      <c r="H119" s="154"/>
      <c r="I119" s="154"/>
    </row>
    <row r="120" spans="1:9" x14ac:dyDescent="0.35">
      <c r="A120" t="s">
        <v>825</v>
      </c>
      <c r="B120">
        <v>15098</v>
      </c>
      <c r="H120" s="154"/>
      <c r="I120" s="154"/>
    </row>
    <row r="121" spans="1:9" x14ac:dyDescent="0.35">
      <c r="A121" t="s">
        <v>826</v>
      </c>
      <c r="B121">
        <v>9401</v>
      </c>
      <c r="H121" s="154"/>
      <c r="I121" s="154"/>
    </row>
    <row r="122" spans="1:9" x14ac:dyDescent="0.35">
      <c r="A122" t="s">
        <v>827</v>
      </c>
      <c r="B122">
        <v>4377</v>
      </c>
      <c r="H122" s="154"/>
      <c r="I122" s="154"/>
    </row>
    <row r="123" spans="1:9" x14ac:dyDescent="0.35">
      <c r="A123" t="s">
        <v>828</v>
      </c>
      <c r="B123">
        <v>2652</v>
      </c>
      <c r="H123" s="154"/>
      <c r="I123" s="154"/>
    </row>
    <row r="124" spans="1:9" x14ac:dyDescent="0.35">
      <c r="A124" t="s">
        <v>829</v>
      </c>
      <c r="B124">
        <v>5365336</v>
      </c>
      <c r="H124" s="154"/>
      <c r="I124" s="154"/>
    </row>
    <row r="125" spans="1:9" x14ac:dyDescent="0.35">
      <c r="A125" t="s">
        <v>830</v>
      </c>
      <c r="B125">
        <v>1465784</v>
      </c>
      <c r="H125" s="154"/>
      <c r="I125" s="154"/>
    </row>
    <row r="126" spans="1:9" x14ac:dyDescent="0.35">
      <c r="A126" t="s">
        <v>831</v>
      </c>
      <c r="B126">
        <v>566766</v>
      </c>
      <c r="H126" s="154"/>
      <c r="I126" s="154"/>
    </row>
    <row r="127" spans="1:9" x14ac:dyDescent="0.35">
      <c r="A127" t="s">
        <v>832</v>
      </c>
      <c r="B127">
        <v>41767</v>
      </c>
      <c r="H127" s="154"/>
      <c r="I127" s="154"/>
    </row>
    <row r="128" spans="1:9" x14ac:dyDescent="0.35">
      <c r="A128" t="s">
        <v>833</v>
      </c>
      <c r="B128">
        <v>14789</v>
      </c>
      <c r="H128" s="154"/>
      <c r="I128" s="154"/>
    </row>
    <row r="129" spans="1:9" x14ac:dyDescent="0.35">
      <c r="A129" t="s">
        <v>834</v>
      </c>
      <c r="B129">
        <v>9140</v>
      </c>
      <c r="H129" s="154"/>
      <c r="I129" s="154"/>
    </row>
    <row r="130" spans="1:9" x14ac:dyDescent="0.35">
      <c r="A130" t="s">
        <v>835</v>
      </c>
      <c r="B130">
        <v>4239</v>
      </c>
      <c r="H130" s="154"/>
      <c r="I130" s="155"/>
    </row>
    <row r="131" spans="1:9" x14ac:dyDescent="0.35">
      <c r="A131" t="s">
        <v>836</v>
      </c>
      <c r="B131">
        <v>2537</v>
      </c>
      <c r="H131" s="154"/>
      <c r="I131" s="154"/>
    </row>
    <row r="132" spans="1:9" x14ac:dyDescent="0.35">
      <c r="A132" t="s">
        <v>837</v>
      </c>
      <c r="B132">
        <v>5405458</v>
      </c>
      <c r="H132" s="154"/>
      <c r="I132" s="154"/>
    </row>
    <row r="133" spans="1:9" x14ac:dyDescent="0.35">
      <c r="A133" t="s">
        <v>838</v>
      </c>
      <c r="B133">
        <v>1496440</v>
      </c>
      <c r="H133" s="154"/>
      <c r="I133" s="154"/>
    </row>
    <row r="134" spans="1:9" x14ac:dyDescent="0.35">
      <c r="A134" t="s">
        <v>839</v>
      </c>
      <c r="B134">
        <v>575254</v>
      </c>
      <c r="H134" s="154"/>
      <c r="I134" s="154"/>
    </row>
    <row r="135" spans="1:9" x14ac:dyDescent="0.35">
      <c r="A135" t="s">
        <v>840</v>
      </c>
      <c r="B135">
        <v>41661</v>
      </c>
      <c r="H135" s="154"/>
      <c r="I135" s="154"/>
    </row>
    <row r="136" spans="1:9" x14ac:dyDescent="0.35">
      <c r="A136" t="s">
        <v>841</v>
      </c>
      <c r="B136">
        <v>15113</v>
      </c>
      <c r="H136" s="154"/>
      <c r="I136" s="154"/>
    </row>
    <row r="137" spans="1:9" x14ac:dyDescent="0.35">
      <c r="A137" t="s">
        <v>842</v>
      </c>
      <c r="B137">
        <v>9176</v>
      </c>
      <c r="H137" s="154"/>
      <c r="I137" s="154"/>
    </row>
    <row r="138" spans="1:9" x14ac:dyDescent="0.35">
      <c r="A138" t="s">
        <v>843</v>
      </c>
      <c r="B138">
        <v>4222</v>
      </c>
      <c r="H138" s="154"/>
      <c r="I138" s="154"/>
    </row>
    <row r="139" spans="1:9" x14ac:dyDescent="0.35">
      <c r="A139" t="s">
        <v>844</v>
      </c>
      <c r="B139">
        <v>2514</v>
      </c>
      <c r="H139" s="154"/>
      <c r="I139" s="154"/>
    </row>
    <row r="140" spans="1:9" x14ac:dyDescent="0.35">
      <c r="A140" t="s">
        <v>845</v>
      </c>
      <c r="B140">
        <v>781</v>
      </c>
      <c r="H140" s="154"/>
      <c r="I140" s="154"/>
    </row>
    <row r="141" spans="1:9" x14ac:dyDescent="0.35">
      <c r="A141" t="s">
        <v>846</v>
      </c>
      <c r="B141">
        <v>1522410</v>
      </c>
      <c r="H141" s="154"/>
      <c r="I141" s="154"/>
    </row>
    <row r="142" spans="1:9" x14ac:dyDescent="0.35">
      <c r="A142" t="s">
        <v>847</v>
      </c>
      <c r="B142">
        <v>583320</v>
      </c>
      <c r="H142" s="154"/>
      <c r="I142" s="154"/>
    </row>
    <row r="143" spans="1:9" x14ac:dyDescent="0.35">
      <c r="A143" t="s">
        <v>848</v>
      </c>
      <c r="B143">
        <v>42220</v>
      </c>
      <c r="H143" s="154"/>
      <c r="I143" s="154"/>
    </row>
    <row r="144" spans="1:9" x14ac:dyDescent="0.35">
      <c r="A144" t="s">
        <v>849</v>
      </c>
      <c r="B144">
        <v>14610</v>
      </c>
      <c r="H144" s="154"/>
      <c r="I144" s="157"/>
    </row>
    <row r="145" spans="1:2" x14ac:dyDescent="0.35">
      <c r="A145" t="s">
        <v>850</v>
      </c>
      <c r="B145">
        <v>9410</v>
      </c>
    </row>
    <row r="146" spans="1:2" x14ac:dyDescent="0.35">
      <c r="A146" t="s">
        <v>851</v>
      </c>
      <c r="B146">
        <v>4350</v>
      </c>
    </row>
    <row r="147" spans="1:2" x14ac:dyDescent="0.35">
      <c r="A147" t="s">
        <v>852</v>
      </c>
      <c r="B147">
        <v>2730</v>
      </c>
    </row>
    <row r="148" spans="1:2" x14ac:dyDescent="0.35">
      <c r="A148" t="s">
        <v>853</v>
      </c>
      <c r="B148">
        <v>65535</v>
      </c>
    </row>
    <row r="149" spans="1:2" x14ac:dyDescent="0.35">
      <c r="A149" t="s">
        <v>854</v>
      </c>
      <c r="B149">
        <v>14540.5</v>
      </c>
    </row>
    <row r="150" spans="1:2" x14ac:dyDescent="0.35">
      <c r="A150" t="s">
        <v>855</v>
      </c>
      <c r="B150">
        <v>8846.2999999999993</v>
      </c>
    </row>
    <row r="151" spans="1:2" x14ac:dyDescent="0.35">
      <c r="A151" t="s">
        <v>856</v>
      </c>
      <c r="B151">
        <v>5657.18</v>
      </c>
    </row>
    <row r="152" spans="1:2" x14ac:dyDescent="0.35">
      <c r="A152" t="s">
        <v>857</v>
      </c>
      <c r="B152">
        <v>3797.79</v>
      </c>
    </row>
    <row r="153" spans="1:2" x14ac:dyDescent="0.35">
      <c r="A153" t="s">
        <v>858</v>
      </c>
      <c r="B153">
        <v>2539.85</v>
      </c>
    </row>
    <row r="154" spans="1:2" x14ac:dyDescent="0.35">
      <c r="A154" t="s">
        <v>859</v>
      </c>
      <c r="B154">
        <v>1729.64</v>
      </c>
    </row>
    <row r="155" spans="1:2" x14ac:dyDescent="0.35">
      <c r="A155" t="s">
        <v>860</v>
      </c>
      <c r="B155">
        <v>1228.43</v>
      </c>
    </row>
    <row r="156" spans="1:2" x14ac:dyDescent="0.35">
      <c r="A156" t="s">
        <v>861</v>
      </c>
      <c r="B156">
        <v>872.85</v>
      </c>
    </row>
    <row r="157" spans="1:2" x14ac:dyDescent="0.35">
      <c r="A157" t="s">
        <v>862</v>
      </c>
      <c r="B157">
        <v>654.18600000000004</v>
      </c>
    </row>
    <row r="158" spans="1:2" x14ac:dyDescent="0.35">
      <c r="A158" t="s">
        <v>863</v>
      </c>
      <c r="B158">
        <v>509.67599999999999</v>
      </c>
    </row>
    <row r="159" spans="1:2" x14ac:dyDescent="0.35">
      <c r="A159" t="s">
        <v>864</v>
      </c>
      <c r="B159">
        <v>412.79700000000003</v>
      </c>
    </row>
    <row r="160" spans="1:2" x14ac:dyDescent="0.35">
      <c r="A160" t="s">
        <v>865</v>
      </c>
      <c r="B160">
        <v>342.565</v>
      </c>
    </row>
    <row r="161" spans="1:2" x14ac:dyDescent="0.35">
      <c r="A161" t="s">
        <v>866</v>
      </c>
      <c r="B161">
        <v>291.44799999999998</v>
      </c>
    </row>
    <row r="162" spans="1:2" x14ac:dyDescent="0.35">
      <c r="A162" t="s">
        <v>867</v>
      </c>
      <c r="B162">
        <v>249.297</v>
      </c>
    </row>
    <row r="163" spans="1:2" x14ac:dyDescent="0.35">
      <c r="A163" t="s">
        <v>868</v>
      </c>
      <c r="B163">
        <v>222.58600000000001</v>
      </c>
    </row>
    <row r="164" spans="1:2" x14ac:dyDescent="0.35">
      <c r="A164" t="s">
        <v>869</v>
      </c>
      <c r="B164">
        <v>195.12899999999999</v>
      </c>
    </row>
    <row r="165" spans="1:2" x14ac:dyDescent="0.35">
      <c r="A165" t="s">
        <v>870</v>
      </c>
      <c r="B165">
        <v>170.971</v>
      </c>
    </row>
    <row r="166" spans="1:2" x14ac:dyDescent="0.35">
      <c r="A166" t="s">
        <v>871</v>
      </c>
      <c r="B166">
        <v>150.98500000000001</v>
      </c>
    </row>
    <row r="167" spans="1:2" x14ac:dyDescent="0.35">
      <c r="A167" t="s">
        <v>872</v>
      </c>
      <c r="B167">
        <v>131.18600000000001</v>
      </c>
    </row>
    <row r="168" spans="1:2" x14ac:dyDescent="0.35">
      <c r="A168" t="s">
        <v>873</v>
      </c>
      <c r="B168">
        <v>116.30500000000001</v>
      </c>
    </row>
    <row r="169" spans="1:2" x14ac:dyDescent="0.35">
      <c r="A169" t="s">
        <v>874</v>
      </c>
      <c r="B169">
        <v>103.16800000000001</v>
      </c>
    </row>
    <row r="170" spans="1:2" x14ac:dyDescent="0.35">
      <c r="A170" t="s">
        <v>875</v>
      </c>
      <c r="B170">
        <v>94.015500000000003</v>
      </c>
    </row>
    <row r="171" spans="1:2" x14ac:dyDescent="0.35">
      <c r="A171" t="s">
        <v>876</v>
      </c>
      <c r="B171">
        <v>84.178200000000004</v>
      </c>
    </row>
    <row r="172" spans="1:2" x14ac:dyDescent="0.35">
      <c r="A172" t="s">
        <v>877</v>
      </c>
      <c r="B172">
        <v>75.772800000000004</v>
      </c>
    </row>
    <row r="173" spans="1:2" x14ac:dyDescent="0.35">
      <c r="A173" t="s">
        <v>878</v>
      </c>
      <c r="B173">
        <v>69.671099999999996</v>
      </c>
    </row>
    <row r="174" spans="1:2" x14ac:dyDescent="0.35">
      <c r="A174" t="s">
        <v>879</v>
      </c>
      <c r="B174">
        <v>66.059899999999999</v>
      </c>
    </row>
    <row r="175" spans="1:2" x14ac:dyDescent="0.35">
      <c r="A175" t="s">
        <v>880</v>
      </c>
      <c r="B175">
        <v>62.6355</v>
      </c>
    </row>
    <row r="176" spans="1:2" x14ac:dyDescent="0.35">
      <c r="A176" t="s">
        <v>881</v>
      </c>
      <c r="B176">
        <v>43.770099999999999</v>
      </c>
    </row>
    <row r="177" spans="1:2" x14ac:dyDescent="0.35">
      <c r="A177" t="s">
        <v>882</v>
      </c>
      <c r="B177">
        <v>26.523599999999998</v>
      </c>
    </row>
    <row r="178" spans="1:2" x14ac:dyDescent="0.35">
      <c r="A178" t="s">
        <v>883</v>
      </c>
      <c r="B178">
        <v>7.8194400000000002</v>
      </c>
    </row>
    <row r="179" spans="1:2" x14ac:dyDescent="0.35">
      <c r="A179" t="s">
        <v>884</v>
      </c>
      <c r="B179">
        <v>53653.4</v>
      </c>
    </row>
    <row r="180" spans="1:2" x14ac:dyDescent="0.35">
      <c r="A180" t="s">
        <v>885</v>
      </c>
      <c r="B180">
        <v>53653.4</v>
      </c>
    </row>
    <row r="181" spans="1:2" x14ac:dyDescent="0.35">
      <c r="A181" t="s">
        <v>886</v>
      </c>
      <c r="B181">
        <v>14657.8</v>
      </c>
    </row>
    <row r="182" spans="1:2" x14ac:dyDescent="0.35">
      <c r="A182" t="s">
        <v>887</v>
      </c>
      <c r="B182">
        <v>8891.2999999999993</v>
      </c>
    </row>
    <row r="183" spans="1:2" x14ac:dyDescent="0.35">
      <c r="A183" t="s">
        <v>888</v>
      </c>
      <c r="B183">
        <v>5667.66</v>
      </c>
    </row>
    <row r="184" spans="1:2" x14ac:dyDescent="0.35">
      <c r="A184" t="s">
        <v>889</v>
      </c>
      <c r="B184">
        <v>3819.07</v>
      </c>
    </row>
    <row r="185" spans="1:2" x14ac:dyDescent="0.35">
      <c r="A185" t="s">
        <v>890</v>
      </c>
      <c r="B185">
        <v>2558.87</v>
      </c>
    </row>
    <row r="186" spans="1:2" x14ac:dyDescent="0.35">
      <c r="A186" t="s">
        <v>891</v>
      </c>
      <c r="B186">
        <v>1744.28</v>
      </c>
    </row>
    <row r="187" spans="1:2" x14ac:dyDescent="0.35">
      <c r="A187" t="s">
        <v>892</v>
      </c>
      <c r="B187">
        <v>1238.25</v>
      </c>
    </row>
    <row r="188" spans="1:2" x14ac:dyDescent="0.35">
      <c r="A188" t="s">
        <v>893</v>
      </c>
      <c r="B188">
        <v>882.80100000000004</v>
      </c>
    </row>
    <row r="189" spans="1:2" x14ac:dyDescent="0.35">
      <c r="A189" t="s">
        <v>894</v>
      </c>
      <c r="B189">
        <v>656.34900000000005</v>
      </c>
    </row>
    <row r="190" spans="1:2" x14ac:dyDescent="0.35">
      <c r="A190" t="s">
        <v>895</v>
      </c>
      <c r="B190">
        <v>516.625</v>
      </c>
    </row>
    <row r="191" spans="1:2" x14ac:dyDescent="0.35">
      <c r="A191" t="s">
        <v>896</v>
      </c>
      <c r="B191">
        <v>417.67700000000002</v>
      </c>
    </row>
    <row r="192" spans="1:2" x14ac:dyDescent="0.35">
      <c r="A192" t="s">
        <v>897</v>
      </c>
      <c r="B192">
        <v>344.41699999999997</v>
      </c>
    </row>
    <row r="193" spans="1:2" x14ac:dyDescent="0.35">
      <c r="A193" t="s">
        <v>898</v>
      </c>
      <c r="B193">
        <v>290.60899999999998</v>
      </c>
    </row>
    <row r="194" spans="1:2" x14ac:dyDescent="0.35">
      <c r="A194" t="s">
        <v>899</v>
      </c>
      <c r="B194">
        <v>251.828</v>
      </c>
    </row>
    <row r="195" spans="1:2" x14ac:dyDescent="0.35">
      <c r="A195" t="s">
        <v>900</v>
      </c>
      <c r="B195">
        <v>224.27</v>
      </c>
    </row>
    <row r="196" spans="1:2" x14ac:dyDescent="0.35">
      <c r="A196" t="s">
        <v>901</v>
      </c>
      <c r="B196">
        <v>195.09</v>
      </c>
    </row>
    <row r="197" spans="1:2" x14ac:dyDescent="0.35">
      <c r="A197" t="s">
        <v>902</v>
      </c>
      <c r="B197">
        <v>169.65199999999999</v>
      </c>
    </row>
    <row r="198" spans="1:2" x14ac:dyDescent="0.35">
      <c r="A198" t="s">
        <v>903</v>
      </c>
      <c r="B198">
        <v>147.892</v>
      </c>
    </row>
    <row r="199" spans="1:2" x14ac:dyDescent="0.35">
      <c r="A199" t="s">
        <v>904</v>
      </c>
      <c r="B199">
        <v>129.499</v>
      </c>
    </row>
    <row r="200" spans="1:2" x14ac:dyDescent="0.35">
      <c r="A200" t="s">
        <v>905</v>
      </c>
      <c r="B200">
        <v>114.161</v>
      </c>
    </row>
    <row r="201" spans="1:2" x14ac:dyDescent="0.35">
      <c r="A201" t="s">
        <v>906</v>
      </c>
      <c r="B201">
        <v>102.066</v>
      </c>
    </row>
    <row r="202" spans="1:2" x14ac:dyDescent="0.35">
      <c r="A202" t="s">
        <v>907</v>
      </c>
      <c r="B202">
        <v>91.403800000000004</v>
      </c>
    </row>
    <row r="203" spans="1:2" x14ac:dyDescent="0.35">
      <c r="A203" t="s">
        <v>908</v>
      </c>
      <c r="B203">
        <v>82.363200000000006</v>
      </c>
    </row>
    <row r="204" spans="1:2" x14ac:dyDescent="0.35">
      <c r="A204" t="s">
        <v>909</v>
      </c>
      <c r="B204">
        <v>76.253</v>
      </c>
    </row>
    <row r="205" spans="1:2" x14ac:dyDescent="0.35">
      <c r="A205" t="s">
        <v>910</v>
      </c>
      <c r="B205">
        <v>69.3322</v>
      </c>
    </row>
    <row r="206" spans="1:2" x14ac:dyDescent="0.35">
      <c r="A206" t="s">
        <v>911</v>
      </c>
      <c r="B206">
        <v>66.027699999999996</v>
      </c>
    </row>
    <row r="207" spans="1:2" x14ac:dyDescent="0.35">
      <c r="A207" t="s">
        <v>912</v>
      </c>
      <c r="B207">
        <v>61.6633</v>
      </c>
    </row>
    <row r="208" spans="1:2" x14ac:dyDescent="0.35">
      <c r="A208" t="s">
        <v>913</v>
      </c>
      <c r="B208">
        <v>42.397399999999998</v>
      </c>
    </row>
    <row r="209" spans="1:2" x14ac:dyDescent="0.35">
      <c r="A209" t="s">
        <v>914</v>
      </c>
      <c r="B209">
        <v>25.376100000000001</v>
      </c>
    </row>
    <row r="210" spans="1:2" x14ac:dyDescent="0.35">
      <c r="A210" t="s">
        <v>915</v>
      </c>
      <c r="B210">
        <v>7.8194400000000002</v>
      </c>
    </row>
    <row r="211" spans="1:2" x14ac:dyDescent="0.35">
      <c r="A211" t="s">
        <v>916</v>
      </c>
      <c r="B211">
        <v>54054.6</v>
      </c>
    </row>
    <row r="212" spans="1:2" x14ac:dyDescent="0.35">
      <c r="A212" t="s">
        <v>917</v>
      </c>
      <c r="B212">
        <v>54054.6</v>
      </c>
    </row>
    <row r="213" spans="1:2" x14ac:dyDescent="0.35">
      <c r="A213" t="s">
        <v>918</v>
      </c>
      <c r="B213">
        <v>14964.4</v>
      </c>
    </row>
    <row r="214" spans="1:2" x14ac:dyDescent="0.35">
      <c r="A214" t="s">
        <v>919</v>
      </c>
      <c r="B214">
        <v>9058.73</v>
      </c>
    </row>
    <row r="215" spans="1:2" x14ac:dyDescent="0.35">
      <c r="A215" t="s">
        <v>920</v>
      </c>
      <c r="B215">
        <v>5752.54</v>
      </c>
    </row>
    <row r="216" spans="1:2" x14ac:dyDescent="0.35">
      <c r="A216" t="s">
        <v>921</v>
      </c>
      <c r="B216">
        <v>3875.5</v>
      </c>
    </row>
    <row r="217" spans="1:2" x14ac:dyDescent="0.35">
      <c r="A217" t="s">
        <v>922</v>
      </c>
      <c r="B217">
        <v>2585.17</v>
      </c>
    </row>
    <row r="218" spans="1:2" x14ac:dyDescent="0.35">
      <c r="A218" t="s">
        <v>923</v>
      </c>
      <c r="B218">
        <v>1752.81</v>
      </c>
    </row>
    <row r="219" spans="1:2" x14ac:dyDescent="0.35">
      <c r="A219" t="s">
        <v>924</v>
      </c>
      <c r="B219">
        <v>1237.97</v>
      </c>
    </row>
    <row r="220" spans="1:2" x14ac:dyDescent="0.35">
      <c r="A220" t="s">
        <v>925</v>
      </c>
      <c r="B220">
        <v>885.53599999999994</v>
      </c>
    </row>
    <row r="221" spans="1:2" x14ac:dyDescent="0.35">
      <c r="A221" t="s">
        <v>926</v>
      </c>
      <c r="B221">
        <v>657.95899999999995</v>
      </c>
    </row>
    <row r="222" spans="1:2" x14ac:dyDescent="0.35">
      <c r="A222" t="s">
        <v>927</v>
      </c>
      <c r="B222">
        <v>514.14400000000001</v>
      </c>
    </row>
    <row r="223" spans="1:2" x14ac:dyDescent="0.35">
      <c r="A223" t="s">
        <v>928</v>
      </c>
      <c r="B223">
        <v>416.62</v>
      </c>
    </row>
    <row r="224" spans="1:2" x14ac:dyDescent="0.35">
      <c r="A224" t="s">
        <v>929</v>
      </c>
      <c r="B224">
        <v>349.685</v>
      </c>
    </row>
    <row r="225" spans="1:2" x14ac:dyDescent="0.35">
      <c r="A225" t="s">
        <v>930</v>
      </c>
      <c r="B225">
        <v>295.7</v>
      </c>
    </row>
    <row r="226" spans="1:2" x14ac:dyDescent="0.35">
      <c r="A226" t="s">
        <v>931</v>
      </c>
      <c r="B226">
        <v>256.41500000000002</v>
      </c>
    </row>
    <row r="227" spans="1:2" x14ac:dyDescent="0.35">
      <c r="A227" t="s">
        <v>932</v>
      </c>
      <c r="B227">
        <v>227.64</v>
      </c>
    </row>
    <row r="228" spans="1:2" x14ac:dyDescent="0.35">
      <c r="A228" t="s">
        <v>933</v>
      </c>
      <c r="B228">
        <v>199.99</v>
      </c>
    </row>
    <row r="229" spans="1:2" x14ac:dyDescent="0.35">
      <c r="A229" t="s">
        <v>934</v>
      </c>
      <c r="B229">
        <v>173.154</v>
      </c>
    </row>
    <row r="230" spans="1:2" x14ac:dyDescent="0.35">
      <c r="A230" t="s">
        <v>935</v>
      </c>
      <c r="B230">
        <v>151.13399999999999</v>
      </c>
    </row>
    <row r="231" spans="1:2" x14ac:dyDescent="0.35">
      <c r="A231" t="s">
        <v>936</v>
      </c>
      <c r="B231">
        <v>131.99199999999999</v>
      </c>
    </row>
    <row r="232" spans="1:2" x14ac:dyDescent="0.35">
      <c r="A232" t="s">
        <v>937</v>
      </c>
      <c r="B232">
        <v>116.791</v>
      </c>
    </row>
    <row r="233" spans="1:2" x14ac:dyDescent="0.35">
      <c r="A233" t="s">
        <v>938</v>
      </c>
      <c r="B233">
        <v>103.217</v>
      </c>
    </row>
    <row r="234" spans="1:2" x14ac:dyDescent="0.35">
      <c r="A234" t="s">
        <v>939</v>
      </c>
      <c r="B234">
        <v>91.769000000000005</v>
      </c>
    </row>
    <row r="235" spans="1:2" x14ac:dyDescent="0.35">
      <c r="A235" t="s">
        <v>940</v>
      </c>
      <c r="B235">
        <v>81.822599999999994</v>
      </c>
    </row>
    <row r="236" spans="1:2" x14ac:dyDescent="0.35">
      <c r="A236" t="s">
        <v>941</v>
      </c>
      <c r="B236">
        <v>74.253399999999999</v>
      </c>
    </row>
    <row r="237" spans="1:2" x14ac:dyDescent="0.35">
      <c r="A237" t="s">
        <v>942</v>
      </c>
      <c r="B237">
        <v>68.811099999999996</v>
      </c>
    </row>
    <row r="238" spans="1:2" x14ac:dyDescent="0.35">
      <c r="A238" t="s">
        <v>943</v>
      </c>
      <c r="B238">
        <v>65.495599999999996</v>
      </c>
    </row>
    <row r="239" spans="1:2" x14ac:dyDescent="0.35">
      <c r="A239" t="s">
        <v>944</v>
      </c>
      <c r="B239">
        <v>60.491199999999999</v>
      </c>
    </row>
    <row r="240" spans="1:2" x14ac:dyDescent="0.35">
      <c r="A240" t="s">
        <v>945</v>
      </c>
      <c r="B240">
        <v>42.225000000000001</v>
      </c>
    </row>
    <row r="241" spans="1:2" x14ac:dyDescent="0.35">
      <c r="A241" t="s">
        <v>946</v>
      </c>
      <c r="B241">
        <v>25.147300000000001</v>
      </c>
    </row>
    <row r="242" spans="1:2" x14ac:dyDescent="0.35">
      <c r="A242" t="s">
        <v>947</v>
      </c>
      <c r="B242">
        <v>7.8194400000000002</v>
      </c>
    </row>
    <row r="243" spans="1:2" x14ac:dyDescent="0.35">
      <c r="A243" t="s">
        <v>948</v>
      </c>
      <c r="B243">
        <v>55263</v>
      </c>
    </row>
    <row r="244" spans="1:2" x14ac:dyDescent="0.35">
      <c r="A244" t="s">
        <v>949</v>
      </c>
      <c r="B244">
        <v>55263</v>
      </c>
    </row>
    <row r="245" spans="1:2" x14ac:dyDescent="0.35">
      <c r="A245" t="s">
        <v>950</v>
      </c>
      <c r="B245">
        <v>15224.1</v>
      </c>
    </row>
    <row r="246" spans="1:2" x14ac:dyDescent="0.35">
      <c r="A246" t="s">
        <v>951</v>
      </c>
      <c r="B246">
        <v>9220.4</v>
      </c>
    </row>
    <row r="247" spans="1:2" x14ac:dyDescent="0.35">
      <c r="A247" t="s">
        <v>952</v>
      </c>
      <c r="B247">
        <v>5833.2</v>
      </c>
    </row>
    <row r="248" spans="1:2" x14ac:dyDescent="0.35">
      <c r="A248" t="s">
        <v>953</v>
      </c>
      <c r="B248">
        <v>3952.6</v>
      </c>
    </row>
    <row r="249" spans="1:2" x14ac:dyDescent="0.35">
      <c r="A249" t="s">
        <v>954</v>
      </c>
      <c r="B249">
        <v>2635.5</v>
      </c>
    </row>
    <row r="250" spans="1:2" x14ac:dyDescent="0.35">
      <c r="A250" t="s">
        <v>955</v>
      </c>
      <c r="B250">
        <v>1786.6</v>
      </c>
    </row>
    <row r="251" spans="1:2" x14ac:dyDescent="0.35">
      <c r="A251" t="s">
        <v>956</v>
      </c>
      <c r="B251">
        <v>1254.2</v>
      </c>
    </row>
    <row r="252" spans="1:2" x14ac:dyDescent="0.35">
      <c r="A252" t="s">
        <v>957</v>
      </c>
      <c r="B252">
        <v>904.5</v>
      </c>
    </row>
    <row r="253" spans="1:2" x14ac:dyDescent="0.35">
      <c r="A253" t="s">
        <v>958</v>
      </c>
      <c r="B253">
        <v>671.1</v>
      </c>
    </row>
    <row r="254" spans="1:2" x14ac:dyDescent="0.35">
      <c r="A254" t="s">
        <v>959</v>
      </c>
      <c r="B254">
        <v>524.79999999999995</v>
      </c>
    </row>
    <row r="255" spans="1:2" x14ac:dyDescent="0.35">
      <c r="A255" t="s">
        <v>960</v>
      </c>
      <c r="B255">
        <v>422.2</v>
      </c>
    </row>
    <row r="256" spans="1:2" x14ac:dyDescent="0.35">
      <c r="A256" t="s">
        <v>961</v>
      </c>
      <c r="B256">
        <v>348.1</v>
      </c>
    </row>
    <row r="257" spans="1:2" x14ac:dyDescent="0.35">
      <c r="A257" t="s">
        <v>962</v>
      </c>
      <c r="B257">
        <v>296.89999999999998</v>
      </c>
    </row>
    <row r="258" spans="1:2" x14ac:dyDescent="0.35">
      <c r="A258" t="s">
        <v>963</v>
      </c>
      <c r="B258">
        <v>258.10000000000002</v>
      </c>
    </row>
    <row r="259" spans="1:2" x14ac:dyDescent="0.35">
      <c r="A259" t="s">
        <v>964</v>
      </c>
      <c r="B259">
        <v>224</v>
      </c>
    </row>
    <row r="260" spans="1:2" x14ac:dyDescent="0.35">
      <c r="A260" t="s">
        <v>965</v>
      </c>
      <c r="B260">
        <v>194.7</v>
      </c>
    </row>
    <row r="261" spans="1:2" x14ac:dyDescent="0.35">
      <c r="A261" t="s">
        <v>966</v>
      </c>
      <c r="B261">
        <v>167.7</v>
      </c>
    </row>
    <row r="262" spans="1:2" x14ac:dyDescent="0.35">
      <c r="A262" t="s">
        <v>967</v>
      </c>
      <c r="B262">
        <v>146.1</v>
      </c>
    </row>
    <row r="263" spans="1:2" x14ac:dyDescent="0.35">
      <c r="A263" t="s">
        <v>968</v>
      </c>
      <c r="B263">
        <v>128.69999999999999</v>
      </c>
    </row>
    <row r="264" spans="1:2" x14ac:dyDescent="0.35">
      <c r="A264" t="s">
        <v>969</v>
      </c>
      <c r="B264">
        <v>115</v>
      </c>
    </row>
    <row r="265" spans="1:2" x14ac:dyDescent="0.35">
      <c r="A265" t="s">
        <v>970</v>
      </c>
      <c r="B265">
        <v>103.9</v>
      </c>
    </row>
    <row r="266" spans="1:2" x14ac:dyDescent="0.35">
      <c r="A266" t="s">
        <v>971</v>
      </c>
      <c r="B266">
        <v>94.1</v>
      </c>
    </row>
    <row r="267" spans="1:2" x14ac:dyDescent="0.35">
      <c r="A267" t="s">
        <v>972</v>
      </c>
      <c r="B267">
        <v>84.4</v>
      </c>
    </row>
    <row r="268" spans="1:2" x14ac:dyDescent="0.35">
      <c r="A268" t="s">
        <v>973</v>
      </c>
      <c r="B268">
        <v>77.2</v>
      </c>
    </row>
    <row r="269" spans="1:2" x14ac:dyDescent="0.35">
      <c r="A269" t="s">
        <v>974</v>
      </c>
      <c r="B269">
        <v>70.900000000000006</v>
      </c>
    </row>
    <row r="270" spans="1:2" x14ac:dyDescent="0.35">
      <c r="A270" t="s">
        <v>975</v>
      </c>
      <c r="B270">
        <v>66.2</v>
      </c>
    </row>
    <row r="271" spans="1:2" x14ac:dyDescent="0.35">
      <c r="A271" t="s">
        <v>976</v>
      </c>
      <c r="B271">
        <v>62</v>
      </c>
    </row>
    <row r="272" spans="1:2" x14ac:dyDescent="0.35">
      <c r="A272" t="s">
        <v>977</v>
      </c>
      <c r="B272">
        <v>43.5</v>
      </c>
    </row>
    <row r="273" spans="1:2" x14ac:dyDescent="0.35">
      <c r="A273" t="s">
        <v>978</v>
      </c>
      <c r="B273">
        <v>27.3</v>
      </c>
    </row>
    <row r="274" spans="1:2" x14ac:dyDescent="0.35">
      <c r="A274" t="s">
        <v>979</v>
      </c>
      <c r="B274">
        <v>65535</v>
      </c>
    </row>
    <row r="275" spans="1:2" x14ac:dyDescent="0.35">
      <c r="A275" t="s">
        <v>980</v>
      </c>
      <c r="B275">
        <v>65535</v>
      </c>
    </row>
    <row r="276" spans="1:2" x14ac:dyDescent="0.35">
      <c r="A276" t="s">
        <v>981</v>
      </c>
      <c r="B276">
        <v>65535</v>
      </c>
    </row>
    <row r="277" spans="1:2" x14ac:dyDescent="0.35">
      <c r="A277" t="s">
        <v>982</v>
      </c>
    </row>
    <row r="278" spans="1:2" x14ac:dyDescent="0.35">
      <c r="A278" t="s">
        <v>983</v>
      </c>
      <c r="B278">
        <v>20</v>
      </c>
    </row>
    <row r="279" spans="1:2" x14ac:dyDescent="0.35">
      <c r="A279" t="s">
        <v>984</v>
      </c>
      <c r="B279">
        <v>233</v>
      </c>
    </row>
    <row r="280" spans="1:2" x14ac:dyDescent="0.35">
      <c r="A280" t="s">
        <v>985</v>
      </c>
      <c r="B280">
        <v>12508</v>
      </c>
    </row>
    <row r="281" spans="1:2" x14ac:dyDescent="0.35">
      <c r="A281" t="s">
        <v>986</v>
      </c>
      <c r="B281">
        <v>30</v>
      </c>
    </row>
    <row r="282" spans="1:2" x14ac:dyDescent="0.35">
      <c r="A282" t="s">
        <v>987</v>
      </c>
    </row>
    <row r="283" spans="1:2" x14ac:dyDescent="0.35">
      <c r="A283" t="s">
        <v>988</v>
      </c>
      <c r="B283">
        <v>46160.6</v>
      </c>
    </row>
    <row r="284" spans="1:2" x14ac:dyDescent="0.35">
      <c r="A284" t="s">
        <v>989</v>
      </c>
      <c r="B284">
        <v>63010045</v>
      </c>
    </row>
    <row r="285" spans="1:2" x14ac:dyDescent="0.35">
      <c r="A285" t="s">
        <v>990</v>
      </c>
    </row>
    <row r="286" spans="1:2" x14ac:dyDescent="0.35">
      <c r="A286" t="s">
        <v>991</v>
      </c>
      <c r="B286">
        <v>1</v>
      </c>
    </row>
    <row r="287" spans="1:2" x14ac:dyDescent="0.35">
      <c r="A287" t="s">
        <v>992</v>
      </c>
      <c r="B287">
        <v>1</v>
      </c>
    </row>
    <row r="288" spans="1:2" x14ac:dyDescent="0.35">
      <c r="A288" t="s">
        <v>993</v>
      </c>
      <c r="B288">
        <v>5.6</v>
      </c>
    </row>
    <row r="289" spans="1:2" x14ac:dyDescent="0.35">
      <c r="A289" t="s">
        <v>994</v>
      </c>
      <c r="B289">
        <v>5.6</v>
      </c>
    </row>
    <row r="290" spans="1:2" x14ac:dyDescent="0.35">
      <c r="A290" t="s">
        <v>995</v>
      </c>
      <c r="B290">
        <v>5.6</v>
      </c>
    </row>
    <row r="291" spans="1:2" x14ac:dyDescent="0.35">
      <c r="A291" t="s">
        <v>996</v>
      </c>
      <c r="B291">
        <v>1</v>
      </c>
    </row>
    <row r="292" spans="1:2" x14ac:dyDescent="0.35">
      <c r="A292" t="s">
        <v>997</v>
      </c>
      <c r="B292">
        <v>1</v>
      </c>
    </row>
    <row r="293" spans="1:2" x14ac:dyDescent="0.35">
      <c r="A293" t="s">
        <v>998</v>
      </c>
      <c r="B293">
        <v>5.6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D4" sqref="D4"/>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63010045</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63010045</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88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210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1060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63010045</v>
      </c>
      <c r="F119" s="335">
        <f t="shared" si="5"/>
        <v>4</v>
      </c>
      <c r="G119" s="377">
        <v>21</v>
      </c>
      <c r="H119" s="354">
        <f>'Auto-Calibration record'!$E$65</f>
        <v>1964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2696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4778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10058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63010045</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63010045</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63010045</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88</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210</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1060</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1964</v>
      </c>
      <c r="H164" s="479"/>
    </row>
    <row r="165" spans="1:18" x14ac:dyDescent="0.35">
      <c r="A165" s="219" t="b">
        <v>0</v>
      </c>
      <c r="B165" s="203">
        <f t="shared" si="3"/>
        <v>167</v>
      </c>
      <c r="C165" s="228" t="s">
        <v>358</v>
      </c>
      <c r="D165" s="270"/>
      <c r="E165" s="204">
        <v>5</v>
      </c>
      <c r="F165" s="204">
        <v>25</v>
      </c>
      <c r="G165" s="478">
        <f>'Auto-Calibration record'!F65</f>
        <v>2696</v>
      </c>
      <c r="H165" s="479"/>
    </row>
    <row r="166" spans="1:18" x14ac:dyDescent="0.35">
      <c r="A166" s="219" t="b">
        <v>0</v>
      </c>
      <c r="B166" s="203">
        <f t="shared" si="3"/>
        <v>168</v>
      </c>
      <c r="C166" s="228" t="s">
        <v>359</v>
      </c>
      <c r="D166" s="273"/>
      <c r="E166" s="204">
        <v>6</v>
      </c>
      <c r="F166" s="204">
        <v>38</v>
      </c>
      <c r="G166" s="478">
        <f>'Auto-Calibration record'!G65</f>
        <v>4778</v>
      </c>
      <c r="H166" s="479"/>
    </row>
    <row r="167" spans="1:18" x14ac:dyDescent="0.35">
      <c r="A167" s="219" t="b">
        <v>0</v>
      </c>
      <c r="B167" s="203">
        <f t="shared" si="3"/>
        <v>169</v>
      </c>
      <c r="C167" s="279" t="s">
        <v>360</v>
      </c>
      <c r="D167" s="273"/>
      <c r="E167" s="204">
        <v>7</v>
      </c>
      <c r="F167" s="204">
        <v>50</v>
      </c>
      <c r="G167" s="478">
        <f>'Auto-Calibration record'!H65</f>
        <v>10058</v>
      </c>
      <c r="H167" s="479"/>
    </row>
    <row r="168" spans="1:18" x14ac:dyDescent="0.35">
      <c r="A168" s="219" t="b">
        <v>0</v>
      </c>
      <c r="B168" s="203">
        <f t="shared" si="3"/>
        <v>170</v>
      </c>
      <c r="C168" s="228" t="s">
        <v>361</v>
      </c>
      <c r="D168" s="273"/>
      <c r="E168" s="204">
        <v>8</v>
      </c>
      <c r="F168" s="204">
        <v>70</v>
      </c>
      <c r="G168" s="478">
        <f>'Auto-Calibration record'!I65</f>
        <v>0</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63010045</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63010045</v>
      </c>
      <c r="K30" s="166">
        <f>AUTO!B5</f>
        <v>1072</v>
      </c>
      <c r="L30" s="166">
        <f>AUTO!B6</f>
        <v>0</v>
      </c>
      <c r="M30" s="310" t="str">
        <f>AUTO!B7</f>
        <v>LPA3 NAVAIR #63010045 CALIBRATE</v>
      </c>
      <c r="N30" s="309">
        <f>AUTO!B8</f>
        <v>88</v>
      </c>
      <c r="O30" s="309">
        <f>AUTO!B9</f>
        <v>210</v>
      </c>
      <c r="P30" s="309">
        <f>AUTO!B10</f>
        <v>1060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opLeftCell="A19" zoomScale="70" zoomScaleNormal="70" zoomScaleSheetLayoutView="100" workbookViewId="0">
      <selection activeCell="G76" sqref="G76"/>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20</v>
      </c>
      <c r="C7" s="391" t="s">
        <v>519</v>
      </c>
      <c r="D7" s="392" t="s">
        <v>520</v>
      </c>
      <c r="E7" s="391"/>
      <c r="F7" s="183"/>
      <c r="G7" s="183"/>
      <c r="H7" s="183"/>
      <c r="I7" s="183"/>
      <c r="J7" s="183"/>
      <c r="K7" s="183"/>
      <c r="L7" s="183"/>
      <c r="M7" s="183"/>
    </row>
    <row r="8" spans="2:13" x14ac:dyDescent="0.35">
      <c r="B8" s="390">
        <f>VLOOKUP("pump_current_emptying",AUTO!$A$1:$B$1051,2,FALSE)</f>
        <v>233</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30</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12508</v>
      </c>
      <c r="C14" s="176" t="s">
        <v>531</v>
      </c>
      <c r="D14" s="177" t="s">
        <v>532</v>
      </c>
      <c r="E14" s="176"/>
      <c r="F14" s="183"/>
      <c r="G14" s="181" t="s">
        <v>533</v>
      </c>
      <c r="H14" s="522" t="s">
        <v>1009</v>
      </c>
      <c r="I14" s="523"/>
      <c r="J14" s="523"/>
      <c r="K14" s="396"/>
      <c r="L14" s="396"/>
      <c r="M14" s="406"/>
    </row>
    <row r="15" spans="2:13" ht="12.75" customHeight="1" x14ac:dyDescent="0.35">
      <c r="B15" s="407"/>
      <c r="C15" s="396"/>
      <c r="D15" s="397"/>
      <c r="E15" s="396"/>
      <c r="F15" s="183"/>
      <c r="G15" s="181" t="s">
        <v>241</v>
      </c>
      <c r="H15" s="513">
        <f>VLOOKUP("serial_number_",AUTO!$A$1:$B$1051,2,FALSE)</f>
        <v>63010045</v>
      </c>
      <c r="I15" s="514"/>
      <c r="J15" s="515"/>
      <c r="K15" s="183"/>
      <c r="L15" s="183"/>
      <c r="M15" s="183"/>
    </row>
    <row r="16" spans="2:13" ht="13.15" x14ac:dyDescent="0.35">
      <c r="B16" s="182"/>
      <c r="C16" s="174"/>
      <c r="D16" s="398"/>
      <c r="E16" s="399"/>
      <c r="F16" s="183"/>
      <c r="G16" s="181" t="s">
        <v>236</v>
      </c>
      <c r="H16" s="510">
        <f>VLOOKUP("date_",AUTO!$A$1:$B$1051,2,FALSE)</f>
        <v>46160.6</v>
      </c>
      <c r="I16" s="511"/>
      <c r="J16" s="512"/>
      <c r="K16" s="183"/>
      <c r="L16" s="183"/>
      <c r="M16" s="183"/>
    </row>
    <row r="17" spans="2:10" ht="13.15" x14ac:dyDescent="0.35">
      <c r="B17" s="390"/>
      <c r="C17" s="402"/>
      <c r="D17" s="180"/>
      <c r="E17" s="403"/>
      <c r="F17" s="183"/>
      <c r="G17" s="181" t="s">
        <v>534</v>
      </c>
      <c r="H17" s="513" t="str">
        <f>H15&amp;" "&amp;TEXT(H16,"ddmmyy")</f>
        <v>63010045 180526</v>
      </c>
      <c r="I17" s="514"/>
      <c r="J17" s="515"/>
    </row>
    <row r="18" spans="2:10" ht="13.15" x14ac:dyDescent="0.35">
      <c r="B18" s="390"/>
      <c r="C18" s="176"/>
      <c r="D18" s="177"/>
      <c r="E18" s="176"/>
      <c r="F18" s="183"/>
      <c r="G18" s="181" t="s">
        <v>1003</v>
      </c>
      <c r="H18" s="519" t="s">
        <v>1004</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1</v>
      </c>
      <c r="C23" s="403" t="s">
        <v>538</v>
      </c>
      <c r="D23" s="180" t="s">
        <v>539</v>
      </c>
      <c r="E23" s="403"/>
      <c r="F23" s="183"/>
      <c r="G23" s="505"/>
      <c r="H23" s="507"/>
      <c r="I23" s="183"/>
      <c r="J23" s="183"/>
    </row>
    <row r="24" spans="2:10" x14ac:dyDescent="0.35">
      <c r="B24" s="390">
        <f>VLOOKUP("calc_init_volume",AUTO!$A$1:$B$1051,2,FALSE)</f>
        <v>1</v>
      </c>
      <c r="C24" s="176" t="s">
        <v>540</v>
      </c>
      <c r="D24" s="177" t="s">
        <v>541</v>
      </c>
      <c r="E24" s="176"/>
      <c r="F24" s="183"/>
      <c r="G24" s="505"/>
      <c r="H24" s="508"/>
      <c r="I24" s="183"/>
      <c r="J24" s="183"/>
    </row>
    <row r="25" spans="2:10" x14ac:dyDescent="0.35">
      <c r="B25" s="390">
        <f>VLOOKUP("desired_concentration",AUTO!$A$1:$B$1051,2,FALSE)</f>
        <v>5.6</v>
      </c>
      <c r="C25" s="176" t="s">
        <v>542</v>
      </c>
      <c r="D25" s="177" t="s">
        <v>543</v>
      </c>
      <c r="E25" s="176"/>
      <c r="F25" s="183"/>
      <c r="G25" s="183"/>
      <c r="H25" s="183"/>
      <c r="I25" s="183"/>
      <c r="J25" s="183"/>
    </row>
    <row r="26" spans="2:10" x14ac:dyDescent="0.35">
      <c r="B26" s="390">
        <f>VLOOKUP("calc_qty_add",AUTO!$A$1:$B$1051,2,FALSE)</f>
        <v>5.6</v>
      </c>
      <c r="C26" s="176" t="s">
        <v>544</v>
      </c>
      <c r="D26" s="177" t="s">
        <v>545</v>
      </c>
      <c r="E26" s="176"/>
      <c r="F26" s="183"/>
      <c r="G26" s="184" t="s">
        <v>546</v>
      </c>
      <c r="H26" s="503" t="s">
        <v>704</v>
      </c>
      <c r="I26" s="504"/>
      <c r="J26" s="183"/>
    </row>
    <row r="27" spans="2:10" x14ac:dyDescent="0.35">
      <c r="B27" s="390">
        <f>VLOOKUP("meas_qty_add",AUTO!$A$1:$B$1051,2,FALSE)</f>
        <v>5.6</v>
      </c>
      <c r="C27" s="176" t="s">
        <v>544</v>
      </c>
      <c r="D27" s="177" t="s">
        <v>547</v>
      </c>
      <c r="E27" s="176"/>
      <c r="F27" s="183"/>
      <c r="G27" s="184" t="s">
        <v>548</v>
      </c>
      <c r="H27" s="489"/>
      <c r="I27" s="490"/>
      <c r="J27" s="183"/>
    </row>
    <row r="28" spans="2:10" x14ac:dyDescent="0.35">
      <c r="B28" s="390">
        <f>VLOOKUP("meas_final_level",AUTO!$A$1:$B$1051,2,FALSE)</f>
        <v>1</v>
      </c>
      <c r="C28" s="176" t="s">
        <v>538</v>
      </c>
      <c r="D28" s="177" t="s">
        <v>549</v>
      </c>
      <c r="E28" s="176"/>
      <c r="F28" s="183"/>
      <c r="G28" s="183"/>
      <c r="H28" s="183"/>
      <c r="I28" s="183"/>
      <c r="J28" s="183"/>
    </row>
    <row r="29" spans="2:10" x14ac:dyDescent="0.35">
      <c r="B29" s="390">
        <f>VLOOKUP("calc_volume",AUTO!$A$1:$B$1051,2,FALSE)</f>
        <v>1</v>
      </c>
      <c r="C29" s="176" t="s">
        <v>540</v>
      </c>
      <c r="D29" s="177" t="s">
        <v>550</v>
      </c>
      <c r="E29" s="176"/>
      <c r="F29" s="183"/>
      <c r="G29" s="183"/>
      <c r="H29" s="183"/>
      <c r="I29" s="183"/>
      <c r="J29" s="183"/>
    </row>
    <row r="30" spans="2:10" x14ac:dyDescent="0.35">
      <c r="B30" s="427">
        <f>VLOOKUP("calc_concentration",AUTO!$A$1:$B$1051,2,FALSE)</f>
        <v>5.6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88</v>
      </c>
      <c r="C65" s="196">
        <f>VLOOKUP("threshold1",AUTO!$A$1:$B$1051,2,FALSE)</f>
        <v>210</v>
      </c>
      <c r="D65" s="196">
        <f>VLOOKUP("threshold2",AUTO!$A$1:$B$1051,2,FALSE)</f>
        <v>1060</v>
      </c>
      <c r="E65" s="196">
        <f>VLOOKUP("threshold3",AUTO!$A$1:$B$1051,2,FALSE)</f>
        <v>1964</v>
      </c>
      <c r="F65" s="196">
        <f>VLOOKUP("threshold4",AUTO!$A$1:$B$1051,2,FALSE)</f>
        <v>2696</v>
      </c>
      <c r="G65" s="196">
        <f>VLOOKUP("threshold5",AUTO!$A$1:$B$1051,2,FALSE)</f>
        <v>4778</v>
      </c>
      <c r="H65" s="196">
        <f>VLOOKUP("threshold6",AUTO!$A$1:$B$1051,2,FALSE)</f>
        <v>10058</v>
      </c>
      <c r="I65" s="196">
        <f>VLOOKUP("threshold7",AUTO!$A$1:$B$1051,2,FALSE)</f>
        <v>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1522410</v>
      </c>
      <c r="C68" s="390">
        <f>VLOOKUP("verification_count_1_0",AUTO!$A$1:$B$1051,2,FALSE)</f>
        <v>1454053</v>
      </c>
      <c r="D68" s="156">
        <f>(C68-B68)/B68</f>
        <v>-4.4900519570943438E-2</v>
      </c>
      <c r="E68" s="390">
        <f>VLOOKUP("verification_count_2_0",AUTO!$A$1:$B$1051,2,FALSE)</f>
        <v>1465784</v>
      </c>
      <c r="F68" s="156">
        <f>(E68-B68)/B68</f>
        <v>-3.7194973758711516E-2</v>
      </c>
      <c r="G68" s="390">
        <f>VLOOKUP("verification_count_3_0",AUTO!$A$1:$B$1051,2,FALSE)</f>
        <v>1496440</v>
      </c>
      <c r="H68" s="156">
        <f>(G68-B68)/B68</f>
        <v>-1.7058479647401158E-2</v>
      </c>
      <c r="I68" s="329">
        <f>(C68+E68+G68)/3</f>
        <v>1472092.3333333333</v>
      </c>
      <c r="J68" s="156">
        <f>(I68-$B68)/$B68</f>
        <v>-3.3051324325685423E-2</v>
      </c>
    </row>
    <row r="69" spans="1:10" ht="18" customHeight="1" x14ac:dyDescent="0.35">
      <c r="A69" s="139">
        <v>6</v>
      </c>
      <c r="B69" s="163">
        <f>VLOOKUP("reference_count_1",AUTO!$A$1:$B$1051,2,FALSE)</f>
        <v>583320</v>
      </c>
      <c r="C69" s="390">
        <f>VLOOKUP("verification_count_1_1",AUTO!$A$1:$B$1051,2,FALSE)</f>
        <v>565718</v>
      </c>
      <c r="D69" s="156">
        <f t="shared" ref="D69:D76" si="0">(C69-B69)/B69</f>
        <v>-3.0175546869642734E-2</v>
      </c>
      <c r="E69" s="390">
        <f>VLOOKUP("verification_count_2_1",AUTO!$A$1:$B$1051,2,FALSE)</f>
        <v>566766</v>
      </c>
      <c r="F69" s="156">
        <f t="shared" ref="F69:F76" si="1">(E69-B69)/B69</f>
        <v>-2.8378934375642872E-2</v>
      </c>
      <c r="G69" s="390">
        <f>VLOOKUP("verification_count_3_1",AUTO!$A$1:$B$1051,2,FALSE)</f>
        <v>575254</v>
      </c>
      <c r="H69" s="156">
        <f t="shared" ref="H69:H76" si="2">(G69-B69)/B69</f>
        <v>-1.3827744634163067E-2</v>
      </c>
      <c r="I69" s="329">
        <f t="shared" ref="I69:I76" si="3">(C69+E69+G69)/3</f>
        <v>569246</v>
      </c>
      <c r="J69" s="156">
        <f t="shared" ref="J69:J76" si="4">(I69-$B69)/$B69</f>
        <v>-2.4127408626482889E-2</v>
      </c>
    </row>
    <row r="70" spans="1:10" ht="18" customHeight="1" x14ac:dyDescent="0.35">
      <c r="A70" s="139">
        <v>10</v>
      </c>
      <c r="B70" s="163">
        <f>VLOOKUP("reference_count32_6",AUTO!$A$1:$B$1051,2,FALSE)*100</f>
        <v>125420</v>
      </c>
      <c r="C70" s="430">
        <f>VLOOKUP("verification_count32_1_6",AUTO!$A$1:$B$1051,2,FALSE)*100</f>
        <v>122843</v>
      </c>
      <c r="D70" s="156">
        <f t="shared" si="0"/>
        <v>-2.0546962206984532E-2</v>
      </c>
      <c r="E70" s="430">
        <f>VLOOKUP("verification_count32_2_6",AUTO!$A$1:$B$1051,2,FALSE)*100</f>
        <v>123825</v>
      </c>
      <c r="F70" s="156">
        <f t="shared" si="1"/>
        <v>-1.2717269972891085E-2</v>
      </c>
      <c r="G70" s="430">
        <f>VLOOKUP("verification_count32_3_6",AUTO!$A$1:$B$1051,2,FALSE)*100</f>
        <v>123797</v>
      </c>
      <c r="H70" s="156">
        <f t="shared" si="2"/>
        <v>-1.2940519853292936E-2</v>
      </c>
      <c r="I70" s="329">
        <f t="shared" si="3"/>
        <v>123488.33333333333</v>
      </c>
      <c r="J70" s="156">
        <f t="shared" si="4"/>
        <v>-1.5401584011056223E-2</v>
      </c>
    </row>
    <row r="71" spans="1:10" ht="18" customHeight="1" x14ac:dyDescent="0.35">
      <c r="A71" s="139">
        <v>14</v>
      </c>
      <c r="B71" s="163">
        <f>VLOOKUP("reference_count_2",AUTO!$A$1:$B$1051,2,FALSE)</f>
        <v>42220</v>
      </c>
      <c r="C71" s="390">
        <f>VLOOKUP("verification_count_1_2",AUTO!$A$1:$B$1051,2,FALSE)</f>
        <v>41279</v>
      </c>
      <c r="D71" s="156">
        <f t="shared" si="0"/>
        <v>-2.2288015158692564E-2</v>
      </c>
      <c r="E71" s="390">
        <f>VLOOKUP("verification_count_2_2",AUTO!$A$1:$B$1051,2,FALSE)</f>
        <v>41767</v>
      </c>
      <c r="F71" s="156">
        <f t="shared" si="1"/>
        <v>-1.0729512079583135E-2</v>
      </c>
      <c r="G71" s="390">
        <f>VLOOKUP("verification_count_3_2",AUTO!$A$1:$B$1051,2,FALSE)</f>
        <v>41661</v>
      </c>
      <c r="H71" s="156">
        <f t="shared" si="2"/>
        <v>-1.3240170535291331E-2</v>
      </c>
      <c r="I71" s="329">
        <f t="shared" si="3"/>
        <v>41569</v>
      </c>
      <c r="J71" s="156">
        <f t="shared" si="4"/>
        <v>-1.5419232591189011E-2</v>
      </c>
    </row>
    <row r="72" spans="1:10" ht="18" customHeight="1" x14ac:dyDescent="0.35">
      <c r="A72" s="139">
        <v>21</v>
      </c>
      <c r="B72" s="163">
        <f>VLOOKUP("reference_count_3",AUTO!$A$1:$B$1051,2,FALSE)</f>
        <v>14610</v>
      </c>
      <c r="C72" s="390">
        <f>VLOOKUP("verification_count_1_3",AUTO!$A$1:$B$1051,2,FALSE)</f>
        <v>15098</v>
      </c>
      <c r="D72" s="156">
        <f t="shared" si="0"/>
        <v>3.3401779603011633E-2</v>
      </c>
      <c r="E72" s="390">
        <f>VLOOKUP("verification_count_2_3",AUTO!$A$1:$B$1051,2,FALSE)</f>
        <v>14789</v>
      </c>
      <c r="F72" s="156">
        <f t="shared" si="1"/>
        <v>1.2251882272416153E-2</v>
      </c>
      <c r="G72" s="390">
        <f>VLOOKUP("verification_count_3_3",AUTO!$A$1:$B$1051,2,FALSE)</f>
        <v>15113</v>
      </c>
      <c r="H72" s="156">
        <f t="shared" si="2"/>
        <v>3.4428473648186173E-2</v>
      </c>
      <c r="I72" s="329">
        <f t="shared" si="3"/>
        <v>15000</v>
      </c>
      <c r="J72" s="156">
        <f t="shared" si="4"/>
        <v>2.6694045174537988E-2</v>
      </c>
    </row>
    <row r="73" spans="1:10" ht="18" customHeight="1" x14ac:dyDescent="0.35">
      <c r="A73" s="139">
        <v>25</v>
      </c>
      <c r="B73" s="163">
        <f>VLOOKUP("reference_count_4",AUTO!$A$1:$B$1051,2,FALSE)</f>
        <v>9410</v>
      </c>
      <c r="C73" s="390">
        <f>VLOOKUP("verification_count_1_4",AUTO!$A$1:$B$1051,2,FALSE)</f>
        <v>9401</v>
      </c>
      <c r="D73" s="156">
        <f t="shared" si="0"/>
        <v>-9.5642933049946868E-4</v>
      </c>
      <c r="E73" s="390">
        <f>VLOOKUP("verification_count_2_4",AUTO!$A$1:$B$1051,2,FALSE)</f>
        <v>9140</v>
      </c>
      <c r="F73" s="156">
        <f t="shared" si="1"/>
        <v>-2.8692879914984058E-2</v>
      </c>
      <c r="G73" s="390">
        <f>VLOOKUP("verification_count_3_4",AUTO!$A$1:$B$1051,2,FALSE)</f>
        <v>9176</v>
      </c>
      <c r="H73" s="156">
        <f t="shared" si="2"/>
        <v>-2.4867162592986186E-2</v>
      </c>
      <c r="I73" s="329">
        <f t="shared" si="3"/>
        <v>9239</v>
      </c>
      <c r="J73" s="156">
        <f t="shared" si="4"/>
        <v>-1.8172157279489905E-2</v>
      </c>
    </row>
    <row r="74" spans="1:10" ht="18" customHeight="1" x14ac:dyDescent="0.35">
      <c r="A74" s="139">
        <v>38</v>
      </c>
      <c r="B74" s="163">
        <f>VLOOKUP("reference_count_5",AUTO!$A$1:$B$1051,2,FALSE)</f>
        <v>4350</v>
      </c>
      <c r="C74" s="390">
        <f>VLOOKUP("verification_count_1_5",AUTO!$A$1:$B$1051,2,FALSE)</f>
        <v>4377</v>
      </c>
      <c r="D74" s="156">
        <f t="shared" si="0"/>
        <v>6.2068965517241377E-3</v>
      </c>
      <c r="E74" s="390">
        <f>VLOOKUP("verification_count_2_5",AUTO!$A$1:$B$1051,2,FALSE)</f>
        <v>4239</v>
      </c>
      <c r="F74" s="156">
        <f t="shared" si="1"/>
        <v>-2.5517241379310347E-2</v>
      </c>
      <c r="G74" s="390">
        <f>VLOOKUP("verification_count_3_5",AUTO!$A$1:$B$1051,2,FALSE)</f>
        <v>4222</v>
      </c>
      <c r="H74" s="156">
        <f t="shared" si="2"/>
        <v>-2.9425287356321838E-2</v>
      </c>
      <c r="I74" s="329">
        <f t="shared" si="3"/>
        <v>4279.333333333333</v>
      </c>
      <c r="J74" s="156">
        <f t="shared" si="4"/>
        <v>-1.6245210727969417E-2</v>
      </c>
    </row>
    <row r="75" spans="1:10" ht="18" customHeight="1" x14ac:dyDescent="0.35">
      <c r="A75" s="139">
        <v>50</v>
      </c>
      <c r="B75" s="163">
        <f>VLOOKUP("reference_count_6",AUTO!$A$1:$B$1051,2,FALSE)</f>
        <v>2730</v>
      </c>
      <c r="C75" s="390">
        <f>VLOOKUP("verification_count_1_6",AUTO!$A$1:$B$1051,2,FALSE)</f>
        <v>2652</v>
      </c>
      <c r="D75" s="156">
        <f t="shared" si="0"/>
        <v>-2.8571428571428571E-2</v>
      </c>
      <c r="E75" s="390">
        <f>VLOOKUP("verification_count_2_6",AUTO!$A$1:$B$1051,2,FALSE)</f>
        <v>2537</v>
      </c>
      <c r="F75" s="156">
        <f t="shared" si="1"/>
        <v>-7.0695970695970695E-2</v>
      </c>
      <c r="G75" s="390">
        <f>VLOOKUP("verification_count_3_6",AUTO!$A$1:$B$1051,2,FALSE)</f>
        <v>2514</v>
      </c>
      <c r="H75" s="156">
        <f t="shared" si="2"/>
        <v>-7.9120879120879117E-2</v>
      </c>
      <c r="I75" s="329">
        <f t="shared" si="3"/>
        <v>2567.6666666666665</v>
      </c>
      <c r="J75" s="156">
        <f t="shared" si="4"/>
        <v>-5.9462759462759515E-2</v>
      </c>
    </row>
    <row r="76" spans="1:10" ht="18" customHeight="1" x14ac:dyDescent="0.35">
      <c r="A76" s="139">
        <v>70</v>
      </c>
      <c r="B76" s="163">
        <f>VLOOKUP("reference_count_7",AUTO!$A$1:$B$1051,2,FALSE)</f>
        <v>65535</v>
      </c>
      <c r="C76" s="390">
        <f>VLOOKUP("verification_count_1_7",AUTO!$A$1:$B$1051,2,FALSE)</f>
        <v>5365336</v>
      </c>
      <c r="D76" s="156">
        <f t="shared" si="0"/>
        <v>80.869779507133586</v>
      </c>
      <c r="E76" s="390">
        <f>VLOOKUP("verification_count_2_7",AUTO!$A$1:$B$1051,2,FALSE)</f>
        <v>5405458</v>
      </c>
      <c r="F76" s="156">
        <f t="shared" si="1"/>
        <v>81.482001983672845</v>
      </c>
      <c r="G76" s="390">
        <f>VLOOKUP("verification_count_3_7",AUTO!$A$1:$B$1051,2,FALSE)</f>
        <v>781</v>
      </c>
      <c r="H76" s="156">
        <f t="shared" si="2"/>
        <v>-0.98808270389868014</v>
      </c>
      <c r="I76" s="329">
        <f t="shared" si="3"/>
        <v>3590525</v>
      </c>
      <c r="J76" s="156">
        <f t="shared" si="4"/>
        <v>53.78789959563592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4" sqref="F24"/>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1005</v>
      </c>
      <c r="L17" s="96"/>
      <c r="M17" s="96"/>
      <c r="N17" s="97"/>
      <c r="O17" s="378" t="str">
        <f>'Auto-Calibration record'!H18</f>
        <v>RM8632b</v>
      </c>
    </row>
    <row r="18" spans="2:15" ht="25.9" customHeight="1" x14ac:dyDescent="0.45">
      <c r="B18" s="131" t="s">
        <v>573</v>
      </c>
      <c r="C18" s="132"/>
      <c r="D18" s="530">
        <f>'Auto-Calibration record'!H15</f>
        <v>63010045</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1522410</v>
      </c>
      <c r="I28" s="524"/>
      <c r="J28" s="159">
        <f>'Auto-Calibration record'!I68</f>
        <v>1472092.3333333333</v>
      </c>
      <c r="K28" s="159">
        <f t="shared" ref="K28:K33" si="0">J28-H28</f>
        <v>-50317.666666666744</v>
      </c>
      <c r="L28" s="379">
        <f t="shared" ref="L28:L33" si="1">K28/H28</f>
        <v>-3.3051324325685423E-2</v>
      </c>
    </row>
    <row r="29" spans="2:15" s="108" customFormat="1" ht="25.9" customHeight="1" x14ac:dyDescent="0.35">
      <c r="D29" s="541" t="s">
        <v>591</v>
      </c>
      <c r="E29" s="541"/>
      <c r="F29" s="529">
        <f>'Auto-Calibration record'!C65</f>
        <v>210</v>
      </c>
      <c r="G29" s="529"/>
      <c r="H29" s="524">
        <f>'Auto-Calibration record'!B69</f>
        <v>583320</v>
      </c>
      <c r="I29" s="524"/>
      <c r="J29" s="159">
        <f>'Auto-Calibration record'!I69</f>
        <v>569246</v>
      </c>
      <c r="K29" s="159">
        <f t="shared" si="0"/>
        <v>-14074</v>
      </c>
      <c r="L29" s="379">
        <f t="shared" si="1"/>
        <v>-2.4127408626482889E-2</v>
      </c>
    </row>
    <row r="30" spans="2:15" s="108" customFormat="1" ht="25.9" customHeight="1" x14ac:dyDescent="0.35">
      <c r="D30" s="541" t="s">
        <v>592</v>
      </c>
      <c r="E30" s="541"/>
      <c r="F30" s="529">
        <f>'Auto-Calibration record'!D65</f>
        <v>1060</v>
      </c>
      <c r="G30" s="529"/>
      <c r="H30" s="524">
        <f>'Auto-Calibration record'!B71</f>
        <v>42220</v>
      </c>
      <c r="I30" s="524"/>
      <c r="J30" s="159">
        <f>'Auto-Calibration record'!I71</f>
        <v>41569</v>
      </c>
      <c r="K30" s="159">
        <f t="shared" si="0"/>
        <v>-651</v>
      </c>
      <c r="L30" s="379">
        <f t="shared" si="1"/>
        <v>-1.5419232591189011E-2</v>
      </c>
    </row>
    <row r="31" spans="2:15" s="108" customFormat="1" ht="25.9" customHeight="1" x14ac:dyDescent="0.35">
      <c r="D31" s="541" t="s">
        <v>593</v>
      </c>
      <c r="E31" s="541"/>
      <c r="F31" s="529">
        <f>'Auto-Calibration record'!E65</f>
        <v>1964</v>
      </c>
      <c r="G31" s="529"/>
      <c r="H31" s="524">
        <f>'Auto-Calibration record'!B72</f>
        <v>14610</v>
      </c>
      <c r="I31" s="524"/>
      <c r="J31" s="159">
        <f>'Auto-Calibration record'!I72</f>
        <v>15000</v>
      </c>
      <c r="K31" s="159">
        <f t="shared" si="0"/>
        <v>390</v>
      </c>
      <c r="L31" s="379">
        <f t="shared" si="1"/>
        <v>2.6694045174537988E-2</v>
      </c>
    </row>
    <row r="32" spans="2:15" s="108" customFormat="1" ht="25.9" customHeight="1" x14ac:dyDescent="0.35">
      <c r="D32" s="541" t="s">
        <v>594</v>
      </c>
      <c r="E32" s="541"/>
      <c r="F32" s="529">
        <f>'Auto-Calibration record'!F65</f>
        <v>2696</v>
      </c>
      <c r="G32" s="529"/>
      <c r="H32" s="524">
        <f>'Auto-Calibration record'!B73</f>
        <v>9410</v>
      </c>
      <c r="I32" s="524"/>
      <c r="J32" s="159">
        <f>'Auto-Calibration record'!I73</f>
        <v>9239</v>
      </c>
      <c r="K32" s="159">
        <f t="shared" si="0"/>
        <v>-171</v>
      </c>
      <c r="L32" s="379">
        <f t="shared" si="1"/>
        <v>-1.8172157279489905E-2</v>
      </c>
    </row>
    <row r="33" spans="2:12" s="108" customFormat="1" ht="25.9" customHeight="1" x14ac:dyDescent="0.35">
      <c r="D33" s="541" t="s">
        <v>595</v>
      </c>
      <c r="E33" s="541"/>
      <c r="F33" s="529">
        <f>'Auto-Calibration record'!G65</f>
        <v>4778</v>
      </c>
      <c r="G33" s="529"/>
      <c r="H33" s="524">
        <f>'Auto-Calibration record'!B74</f>
        <v>4350</v>
      </c>
      <c r="I33" s="524"/>
      <c r="J33" s="159">
        <f>'Auto-Calibration record'!I74</f>
        <v>4279.333333333333</v>
      </c>
      <c r="K33" s="159">
        <f t="shared" si="0"/>
        <v>-70.66666666666697</v>
      </c>
      <c r="L33" s="379">
        <f t="shared" si="1"/>
        <v>-1.6245210727969417E-2</v>
      </c>
    </row>
    <row r="34" spans="2:12" s="108" customFormat="1" ht="25.9" customHeight="1" x14ac:dyDescent="0.35">
      <c r="D34" s="541" t="s">
        <v>596</v>
      </c>
      <c r="E34" s="541"/>
      <c r="F34" s="529">
        <f>'Auto-Calibration record'!H65</f>
        <v>10058</v>
      </c>
      <c r="G34" s="529"/>
      <c r="H34" s="524">
        <f>'Auto-Calibration record'!B75</f>
        <v>2730</v>
      </c>
      <c r="I34" s="524"/>
      <c r="J34" s="159">
        <f>'Auto-Calibration record'!I75</f>
        <v>2567.6666666666665</v>
      </c>
      <c r="K34" s="159" t="s">
        <v>23</v>
      </c>
      <c r="L34" s="112" t="s">
        <v>23</v>
      </c>
    </row>
    <row r="35" spans="2:12" s="102" customFormat="1" ht="25.9" customHeight="1" x14ac:dyDescent="0.45">
      <c r="D35" s="541" t="s">
        <v>597</v>
      </c>
      <c r="E35" s="541"/>
      <c r="F35" s="537">
        <f>'Auto-Calibration record'!I65</f>
        <v>0</v>
      </c>
      <c r="G35" s="537"/>
      <c r="H35" s="524">
        <f>'Auto-Calibration record'!B76</f>
        <v>65535</v>
      </c>
      <c r="I35" s="524"/>
      <c r="J35" s="380">
        <f>'Auto-Calibration record'!I76</f>
        <v>3590525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30</v>
      </c>
      <c r="E40" s="524">
        <f>F28-D40</f>
        <v>58</v>
      </c>
      <c r="F40" s="524"/>
      <c r="G40" s="533">
        <f>F28/D40</f>
        <v>2.9333333333333331</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Jamie Soule</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062810045</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062810045</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46160.6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062810045</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30</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88</v>
      </c>
      <c r="D57" s="565">
        <f>'Auto-Calibration record'!B68</f>
        <v>1522410</v>
      </c>
      <c r="E57" s="566"/>
      <c r="F57" s="160">
        <f>'Auto-Calibration record'!I68</f>
        <v>1472092.3333333333</v>
      </c>
      <c r="G57" s="145">
        <f t="shared" ref="G57:G62" si="0">F57-D57</f>
        <v>-50317.666666666744</v>
      </c>
      <c r="H57" s="147">
        <f t="shared" ref="H57:H62" si="1">G57/D57</f>
        <v>-3.3051324325685423E-2</v>
      </c>
      <c r="I57" s="81"/>
    </row>
    <row r="58" spans="1:10" s="59" customFormat="1" x14ac:dyDescent="0.35">
      <c r="A58" s="2"/>
      <c r="B58" s="146">
        <v>6</v>
      </c>
      <c r="C58" s="145">
        <f>'Auto-Calibration record'!C65</f>
        <v>210</v>
      </c>
      <c r="D58" s="565">
        <f>'Auto-Calibration record'!B69</f>
        <v>583320</v>
      </c>
      <c r="E58" s="566"/>
      <c r="F58" s="160">
        <f>'Auto-Calibration record'!I69</f>
        <v>569246</v>
      </c>
      <c r="G58" s="145">
        <f t="shared" si="0"/>
        <v>-14074</v>
      </c>
      <c r="H58" s="147">
        <f t="shared" si="1"/>
        <v>-2.4127408626482889E-2</v>
      </c>
      <c r="I58" s="81"/>
    </row>
    <row r="59" spans="1:10" x14ac:dyDescent="0.35">
      <c r="B59" s="146">
        <v>14</v>
      </c>
      <c r="C59" s="145">
        <f>'Auto-Calibration record'!D65</f>
        <v>1060</v>
      </c>
      <c r="D59" s="565">
        <f>'Auto-Calibration record'!B71</f>
        <v>42220</v>
      </c>
      <c r="E59" s="566"/>
      <c r="F59" s="160">
        <f>'Auto-Calibration record'!I71</f>
        <v>41569</v>
      </c>
      <c r="G59" s="145">
        <f t="shared" si="0"/>
        <v>-651</v>
      </c>
      <c r="H59" s="147">
        <f t="shared" si="1"/>
        <v>-1.5419232591189011E-2</v>
      </c>
      <c r="I59" s="81"/>
    </row>
    <row r="60" spans="1:10" x14ac:dyDescent="0.35">
      <c r="A60" s="59"/>
      <c r="B60" s="146">
        <v>21</v>
      </c>
      <c r="C60" s="145">
        <f>'Auto-Calibration record'!E65</f>
        <v>1964</v>
      </c>
      <c r="D60" s="565">
        <f>'Auto-Calibration record'!B72</f>
        <v>14610</v>
      </c>
      <c r="E60" s="566"/>
      <c r="F60" s="160">
        <f>'Auto-Calibration record'!I72</f>
        <v>15000</v>
      </c>
      <c r="G60" s="145">
        <f t="shared" si="0"/>
        <v>390</v>
      </c>
      <c r="H60" s="147">
        <f t="shared" si="1"/>
        <v>2.6694045174537988E-2</v>
      </c>
      <c r="I60" s="81"/>
    </row>
    <row r="61" spans="1:10" x14ac:dyDescent="0.35">
      <c r="B61" s="146">
        <v>25</v>
      </c>
      <c r="C61" s="145">
        <f>'Auto-Calibration record'!F65</f>
        <v>2696</v>
      </c>
      <c r="D61" s="565">
        <f>'Auto-Calibration record'!B73</f>
        <v>9410</v>
      </c>
      <c r="E61" s="566"/>
      <c r="F61" s="160">
        <f>'Auto-Calibration record'!I73</f>
        <v>9239</v>
      </c>
      <c r="G61" s="145">
        <f t="shared" si="0"/>
        <v>-171</v>
      </c>
      <c r="H61" s="147">
        <f t="shared" si="1"/>
        <v>-1.8172157279489905E-2</v>
      </c>
      <c r="I61" s="81"/>
    </row>
    <row r="62" spans="1:10" x14ac:dyDescent="0.35">
      <c r="A62" s="2"/>
      <c r="B62" s="146">
        <v>38</v>
      </c>
      <c r="C62" s="145">
        <f>'Auto-Calibration record'!G65</f>
        <v>4778</v>
      </c>
      <c r="D62" s="565">
        <f>'Auto-Calibration record'!B74</f>
        <v>4350</v>
      </c>
      <c r="E62" s="566"/>
      <c r="F62" s="160">
        <f>'Auto-Calibration record'!I74</f>
        <v>4279.333333333333</v>
      </c>
      <c r="G62" s="145">
        <f t="shared" si="0"/>
        <v>-70.66666666666697</v>
      </c>
      <c r="H62" s="147">
        <f t="shared" si="1"/>
        <v>-1.6245210727969417E-2</v>
      </c>
      <c r="I62" s="81"/>
    </row>
    <row r="63" spans="1:10" x14ac:dyDescent="0.35">
      <c r="B63" s="146" t="s">
        <v>661</v>
      </c>
      <c r="C63" s="145">
        <f>'Auto-Calibration record'!H65</f>
        <v>10058</v>
      </c>
      <c r="D63" s="565">
        <f>'Auto-Calibration record'!B75</f>
        <v>2730</v>
      </c>
      <c r="E63" s="566"/>
      <c r="F63" s="160">
        <f>'Auto-Calibration record'!I75</f>
        <v>2567.6666666666665</v>
      </c>
      <c r="G63" s="423" t="s">
        <v>23</v>
      </c>
      <c r="H63" s="424" t="s">
        <v>23</v>
      </c>
      <c r="I63" s="81"/>
    </row>
    <row r="64" spans="1:10" ht="13.15" thickBot="1" x14ac:dyDescent="0.4">
      <c r="A64" s="59"/>
      <c r="B64" s="148" t="s">
        <v>662</v>
      </c>
      <c r="C64" s="149">
        <f>'Auto-Calibration record'!I65</f>
        <v>0</v>
      </c>
      <c r="D64" s="565">
        <f>'Auto-Calibration record'!B76</f>
        <v>65535</v>
      </c>
      <c r="E64" s="566"/>
      <c r="F64" s="161">
        <f>'Auto-Calibration record'!I76</f>
        <v>3590525</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46160.6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88</v>
      </c>
      <c r="G34" s="529"/>
      <c r="H34" s="524">
        <f>'Auto-Calibration record'!B68</f>
        <v>1522410</v>
      </c>
      <c r="I34" s="570"/>
      <c r="J34" s="158">
        <f>'Auto-Calibration record'!I68</f>
        <v>1472092.3333333333</v>
      </c>
      <c r="K34" s="159">
        <f t="shared" ref="K34:K39" si="0">J34-H34</f>
        <v>-50317.666666666744</v>
      </c>
      <c r="L34" s="111">
        <f t="shared" ref="L34:L39" si="1">K34/H34</f>
        <v>-3.3051324325685423E-2</v>
      </c>
    </row>
    <row r="35" spans="2:12" s="108" customFormat="1" ht="25.9" customHeight="1" x14ac:dyDescent="0.35">
      <c r="D35" s="541" t="s">
        <v>591</v>
      </c>
      <c r="E35" s="541"/>
      <c r="F35" s="529">
        <f>'Auto-Calibration record'!C65</f>
        <v>210</v>
      </c>
      <c r="G35" s="529"/>
      <c r="H35" s="524">
        <f>'Auto-Calibration record'!B69</f>
        <v>583320</v>
      </c>
      <c r="I35" s="570"/>
      <c r="J35" s="158">
        <f>'Auto-Calibration record'!I69</f>
        <v>569246</v>
      </c>
      <c r="K35" s="159">
        <f t="shared" si="0"/>
        <v>-14074</v>
      </c>
      <c r="L35" s="111">
        <f t="shared" si="1"/>
        <v>-2.4127408626482889E-2</v>
      </c>
    </row>
    <row r="36" spans="2:12" s="108" customFormat="1" ht="25.9" customHeight="1" x14ac:dyDescent="0.35">
      <c r="D36" s="541" t="s">
        <v>592</v>
      </c>
      <c r="E36" s="541"/>
      <c r="F36" s="529">
        <f>'Auto-Calibration record'!D65</f>
        <v>1060</v>
      </c>
      <c r="G36" s="529"/>
      <c r="H36" s="524">
        <f>'Auto-Calibration record'!B71</f>
        <v>42220</v>
      </c>
      <c r="I36" s="570"/>
      <c r="J36" s="158">
        <f>'Auto-Calibration record'!I71</f>
        <v>41569</v>
      </c>
      <c r="K36" s="159">
        <f t="shared" si="0"/>
        <v>-651</v>
      </c>
      <c r="L36" s="111">
        <f t="shared" si="1"/>
        <v>-1.5419232591189011E-2</v>
      </c>
    </row>
    <row r="37" spans="2:12" s="108" customFormat="1" ht="25.9" customHeight="1" x14ac:dyDescent="0.35">
      <c r="D37" s="541" t="s">
        <v>593</v>
      </c>
      <c r="E37" s="541"/>
      <c r="F37" s="529">
        <f>'Auto-Calibration record'!E65</f>
        <v>1964</v>
      </c>
      <c r="G37" s="529"/>
      <c r="H37" s="524">
        <f>'Auto-Calibration record'!B72</f>
        <v>14610</v>
      </c>
      <c r="I37" s="570"/>
      <c r="J37" s="158">
        <f>'Auto-Calibration record'!I72</f>
        <v>15000</v>
      </c>
      <c r="K37" s="159">
        <f t="shared" si="0"/>
        <v>390</v>
      </c>
      <c r="L37" s="111">
        <f t="shared" si="1"/>
        <v>2.6694045174537988E-2</v>
      </c>
    </row>
    <row r="38" spans="2:12" s="108" customFormat="1" ht="25.9" customHeight="1" x14ac:dyDescent="0.35">
      <c r="D38" s="541" t="s">
        <v>594</v>
      </c>
      <c r="E38" s="541"/>
      <c r="F38" s="529">
        <f>'Auto-Calibration record'!F65</f>
        <v>2696</v>
      </c>
      <c r="G38" s="529"/>
      <c r="H38" s="524">
        <f>'Auto-Calibration record'!B73</f>
        <v>9410</v>
      </c>
      <c r="I38" s="570"/>
      <c r="J38" s="158">
        <f>'Auto-Calibration record'!I73</f>
        <v>9239</v>
      </c>
      <c r="K38" s="159">
        <f t="shared" si="0"/>
        <v>-171</v>
      </c>
      <c r="L38" s="111">
        <f t="shared" si="1"/>
        <v>-1.8172157279489905E-2</v>
      </c>
    </row>
    <row r="39" spans="2:12" s="108" customFormat="1" ht="25.9" customHeight="1" x14ac:dyDescent="0.35">
      <c r="D39" s="541" t="s">
        <v>595</v>
      </c>
      <c r="E39" s="541"/>
      <c r="F39" s="529">
        <f>'Auto-Calibration record'!G65</f>
        <v>4778</v>
      </c>
      <c r="G39" s="529"/>
      <c r="H39" s="524">
        <f>'Auto-Calibration record'!B74</f>
        <v>4350</v>
      </c>
      <c r="I39" s="570"/>
      <c r="J39" s="158">
        <f>'Auto-Calibration record'!I74</f>
        <v>4279.333333333333</v>
      </c>
      <c r="K39" s="159">
        <f t="shared" si="0"/>
        <v>-70.66666666666697</v>
      </c>
      <c r="L39" s="111">
        <f t="shared" si="1"/>
        <v>-1.6245210727969417E-2</v>
      </c>
    </row>
    <row r="40" spans="2:12" s="108" customFormat="1" ht="25.9" customHeight="1" x14ac:dyDescent="0.35">
      <c r="D40" s="541" t="s">
        <v>596</v>
      </c>
      <c r="E40" s="541"/>
      <c r="F40" s="529">
        <f>'Auto-Calibration record'!H65</f>
        <v>10058</v>
      </c>
      <c r="G40" s="529"/>
      <c r="H40" s="524">
        <f>'Auto-Calibration record'!B75</f>
        <v>2730</v>
      </c>
      <c r="I40" s="570"/>
      <c r="J40" s="158">
        <f>'Auto-Calibration record'!I75</f>
        <v>2567.6666666666665</v>
      </c>
      <c r="K40" s="159" t="s">
        <v>23</v>
      </c>
      <c r="L40" s="112" t="s">
        <v>23</v>
      </c>
    </row>
    <row r="41" spans="2:12" s="102" customFormat="1" ht="25.9" customHeight="1" x14ac:dyDescent="0.45">
      <c r="D41" s="541" t="s">
        <v>597</v>
      </c>
      <c r="E41" s="541"/>
      <c r="F41" s="537">
        <f>'Auto-Calibration record'!I65</f>
        <v>0</v>
      </c>
      <c r="G41" s="537"/>
      <c r="H41" s="524">
        <f>'Auto-Calibration record'!B76</f>
        <v>65535</v>
      </c>
      <c r="I41" s="570"/>
      <c r="J41" s="158">
        <f>'Auto-Calibration record'!I76</f>
        <v>3590525</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88</v>
      </c>
      <c r="F46" s="524"/>
      <c r="G46" s="533" t="e">
        <f>F34/D46</f>
        <v>#DIV/0!</v>
      </c>
      <c r="H46" s="533"/>
      <c r="I46" s="116"/>
      <c r="J46" s="129">
        <f>'Auto-Calibration record'!B11</f>
        <v>30</v>
      </c>
      <c r="K46" s="159">
        <f>F35-J46</f>
        <v>180</v>
      </c>
      <c r="L46" s="151">
        <f>F35/J46</f>
        <v>7</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1522410</v>
      </c>
      <c r="I28" s="570"/>
      <c r="J28" s="158">
        <f>'Auto-Calibration record'!I68</f>
        <v>1472092.3333333333</v>
      </c>
      <c r="K28" s="159">
        <f t="shared" ref="K28:K33" si="0">J28-H28</f>
        <v>-50317.666666666744</v>
      </c>
      <c r="L28" s="111">
        <f t="shared" ref="L28:L33" si="1">K28/H28</f>
        <v>-3.3051324325685423E-2</v>
      </c>
    </row>
    <row r="29" spans="2:15" s="108" customFormat="1" ht="25.9" customHeight="1" x14ac:dyDescent="0.35">
      <c r="D29" s="541" t="s">
        <v>591</v>
      </c>
      <c r="E29" s="541"/>
      <c r="F29" s="529">
        <f>'Auto-Calibration record'!C65</f>
        <v>210</v>
      </c>
      <c r="G29" s="529"/>
      <c r="H29" s="524">
        <f>'Auto-Calibration record'!B69</f>
        <v>583320</v>
      </c>
      <c r="I29" s="570"/>
      <c r="J29" s="158">
        <f>'Auto-Calibration record'!I69</f>
        <v>569246</v>
      </c>
      <c r="K29" s="159">
        <f t="shared" si="0"/>
        <v>-14074</v>
      </c>
      <c r="L29" s="111">
        <f t="shared" si="1"/>
        <v>-2.4127408626482889E-2</v>
      </c>
    </row>
    <row r="30" spans="2:15" s="108" customFormat="1" ht="25.9" customHeight="1" x14ac:dyDescent="0.35">
      <c r="D30" s="541" t="s">
        <v>592</v>
      </c>
      <c r="E30" s="541"/>
      <c r="F30" s="529">
        <f>'Auto-Calibration record'!D65</f>
        <v>1060</v>
      </c>
      <c r="G30" s="529"/>
      <c r="H30" s="524">
        <f>'Auto-Calibration record'!B71</f>
        <v>42220</v>
      </c>
      <c r="I30" s="570"/>
      <c r="J30" s="158">
        <f>'Auto-Calibration record'!I71</f>
        <v>41569</v>
      </c>
      <c r="K30" s="159">
        <f t="shared" si="0"/>
        <v>-651</v>
      </c>
      <c r="L30" s="111">
        <f t="shared" si="1"/>
        <v>-1.5419232591189011E-2</v>
      </c>
    </row>
    <row r="31" spans="2:15" s="108" customFormat="1" ht="25.9" customHeight="1" x14ac:dyDescent="0.35">
      <c r="D31" s="541" t="s">
        <v>593</v>
      </c>
      <c r="E31" s="541"/>
      <c r="F31" s="529">
        <f>'Auto-Calibration record'!E65</f>
        <v>1964</v>
      </c>
      <c r="G31" s="529"/>
      <c r="H31" s="524">
        <f>'Auto-Calibration record'!B72</f>
        <v>14610</v>
      </c>
      <c r="I31" s="570"/>
      <c r="J31" s="158">
        <f>'Auto-Calibration record'!I72</f>
        <v>15000</v>
      </c>
      <c r="K31" s="159">
        <f t="shared" si="0"/>
        <v>390</v>
      </c>
      <c r="L31" s="111">
        <f t="shared" si="1"/>
        <v>2.6694045174537988E-2</v>
      </c>
    </row>
    <row r="32" spans="2:15" s="108" customFormat="1" ht="25.9" customHeight="1" x14ac:dyDescent="0.35">
      <c r="D32" s="541" t="s">
        <v>594</v>
      </c>
      <c r="E32" s="541"/>
      <c r="F32" s="529">
        <f>'Auto-Calibration record'!F65</f>
        <v>2696</v>
      </c>
      <c r="G32" s="529"/>
      <c r="H32" s="524">
        <f>'Auto-Calibration record'!B73</f>
        <v>9410</v>
      </c>
      <c r="I32" s="570"/>
      <c r="J32" s="158">
        <f>'Auto-Calibration record'!I73</f>
        <v>9239</v>
      </c>
      <c r="K32" s="159">
        <f t="shared" si="0"/>
        <v>-171</v>
      </c>
      <c r="L32" s="111">
        <f t="shared" si="1"/>
        <v>-1.8172157279489905E-2</v>
      </c>
    </row>
    <row r="33" spans="2:14" s="108" customFormat="1" ht="25.9" customHeight="1" x14ac:dyDescent="0.35">
      <c r="D33" s="541" t="s">
        <v>595</v>
      </c>
      <c r="E33" s="541"/>
      <c r="F33" s="529">
        <f>'Auto-Calibration record'!G65</f>
        <v>4778</v>
      </c>
      <c r="G33" s="529"/>
      <c r="H33" s="524">
        <f>'Auto-Calibration record'!B74</f>
        <v>4350</v>
      </c>
      <c r="I33" s="570"/>
      <c r="J33" s="158">
        <f>'Auto-Calibration record'!I74</f>
        <v>4279.333333333333</v>
      </c>
      <c r="K33" s="159">
        <f t="shared" si="0"/>
        <v>-70.66666666666697</v>
      </c>
      <c r="L33" s="111">
        <f t="shared" si="1"/>
        <v>-1.6245210727969417E-2</v>
      </c>
    </row>
    <row r="34" spans="2:14" s="108" customFormat="1" ht="25.9" customHeight="1" x14ac:dyDescent="0.35">
      <c r="D34" s="541" t="s">
        <v>596</v>
      </c>
      <c r="E34" s="541"/>
      <c r="F34" s="529">
        <f>'Auto-Calibration record'!H65</f>
        <v>10058</v>
      </c>
      <c r="G34" s="529"/>
      <c r="H34" s="524">
        <f>'Auto-Calibration record'!B75</f>
        <v>2730</v>
      </c>
      <c r="I34" s="570"/>
      <c r="J34" s="158">
        <f>'Auto-Calibration record'!I75</f>
        <v>2567.6666666666665</v>
      </c>
      <c r="K34" s="159" t="s">
        <v>23</v>
      </c>
      <c r="L34" s="112" t="s">
        <v>23</v>
      </c>
    </row>
    <row r="35" spans="2:14" s="102" customFormat="1" ht="25.9" customHeight="1" x14ac:dyDescent="0.45">
      <c r="D35" s="541" t="s">
        <v>597</v>
      </c>
      <c r="E35" s="541"/>
      <c r="F35" s="537">
        <f>'Auto-Calibration record'!I65</f>
        <v>0</v>
      </c>
      <c r="G35" s="537"/>
      <c r="H35" s="524">
        <f>'Auto-Calibration record'!B76</f>
        <v>65535</v>
      </c>
      <c r="I35" s="570"/>
      <c r="J35" s="158">
        <f>'Auto-Calibration record'!I76</f>
        <v>3590525</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88</v>
      </c>
      <c r="F40" s="524"/>
      <c r="G40" s="533" t="e">
        <f>F28/D40</f>
        <v>#DIV/0!</v>
      </c>
      <c r="H40" s="533"/>
      <c r="I40" s="116"/>
      <c r="J40" s="129">
        <f>'Auto-Calibration record'!B11</f>
        <v>30</v>
      </c>
      <c r="K40" s="159">
        <f>F29-J40</f>
        <v>180</v>
      </c>
      <c r="L40" s="151">
        <f>F29/J40</f>
        <v>7</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1522410</v>
      </c>
      <c r="I28" s="570"/>
      <c r="J28" s="158">
        <f>'Auto-Calibration record'!I68</f>
        <v>1472092.3333333333</v>
      </c>
      <c r="K28" s="159">
        <f t="shared" ref="K28:K33" si="0">J28-H28</f>
        <v>-50317.666666666744</v>
      </c>
      <c r="L28" s="111">
        <f t="shared" ref="L28:L33" si="1">K28/H28</f>
        <v>-3.3051324325685423E-2</v>
      </c>
    </row>
    <row r="29" spans="2:15" s="108" customFormat="1" ht="25.9" customHeight="1" x14ac:dyDescent="0.35">
      <c r="D29" s="541" t="s">
        <v>591</v>
      </c>
      <c r="E29" s="541"/>
      <c r="F29" s="529">
        <f>'Auto-Calibration record'!C65</f>
        <v>210</v>
      </c>
      <c r="G29" s="529"/>
      <c r="H29" s="524">
        <f>'Auto-Calibration record'!B69</f>
        <v>583320</v>
      </c>
      <c r="I29" s="570"/>
      <c r="J29" s="158">
        <f>'Auto-Calibration record'!I69</f>
        <v>569246</v>
      </c>
      <c r="K29" s="159">
        <f t="shared" si="0"/>
        <v>-14074</v>
      </c>
      <c r="L29" s="111">
        <f t="shared" si="1"/>
        <v>-2.4127408626482889E-2</v>
      </c>
    </row>
    <row r="30" spans="2:15" s="108" customFormat="1" ht="25.9" customHeight="1" x14ac:dyDescent="0.35">
      <c r="D30" s="541" t="s">
        <v>592</v>
      </c>
      <c r="E30" s="541"/>
      <c r="F30" s="529">
        <f>'Auto-Calibration record'!D65</f>
        <v>1060</v>
      </c>
      <c r="G30" s="529"/>
      <c r="H30" s="524">
        <f>'Auto-Calibration record'!B71</f>
        <v>42220</v>
      </c>
      <c r="I30" s="570"/>
      <c r="J30" s="158">
        <f>'Auto-Calibration record'!I71</f>
        <v>41569</v>
      </c>
      <c r="K30" s="159">
        <f t="shared" si="0"/>
        <v>-651</v>
      </c>
      <c r="L30" s="111">
        <f t="shared" si="1"/>
        <v>-1.5419232591189011E-2</v>
      </c>
    </row>
    <row r="31" spans="2:15" s="108" customFormat="1" ht="25.9" customHeight="1" x14ac:dyDescent="0.35">
      <c r="D31" s="541" t="s">
        <v>593</v>
      </c>
      <c r="E31" s="541"/>
      <c r="F31" s="529">
        <f>'Auto-Calibration record'!E65</f>
        <v>1964</v>
      </c>
      <c r="G31" s="529"/>
      <c r="H31" s="524">
        <f>'Auto-Calibration record'!B72</f>
        <v>14610</v>
      </c>
      <c r="I31" s="570"/>
      <c r="J31" s="158">
        <f>'Auto-Calibration record'!I72</f>
        <v>15000</v>
      </c>
      <c r="K31" s="159">
        <f t="shared" si="0"/>
        <v>390</v>
      </c>
      <c r="L31" s="111">
        <f t="shared" si="1"/>
        <v>2.6694045174537988E-2</v>
      </c>
    </row>
    <row r="32" spans="2:15" s="108" customFormat="1" ht="25.9" customHeight="1" x14ac:dyDescent="0.35">
      <c r="D32" s="541" t="s">
        <v>594</v>
      </c>
      <c r="E32" s="541"/>
      <c r="F32" s="529">
        <f>'Auto-Calibration record'!F65</f>
        <v>2696</v>
      </c>
      <c r="G32" s="529"/>
      <c r="H32" s="524">
        <f>'Auto-Calibration record'!B73</f>
        <v>9410</v>
      </c>
      <c r="I32" s="570"/>
      <c r="J32" s="158">
        <f>'Auto-Calibration record'!I73</f>
        <v>9239</v>
      </c>
      <c r="K32" s="159">
        <f t="shared" si="0"/>
        <v>-171</v>
      </c>
      <c r="L32" s="111">
        <f t="shared" si="1"/>
        <v>-1.8172157279489905E-2</v>
      </c>
    </row>
    <row r="33" spans="2:12" s="108" customFormat="1" ht="25.9" customHeight="1" x14ac:dyDescent="0.35">
      <c r="D33" s="541" t="s">
        <v>595</v>
      </c>
      <c r="E33" s="541"/>
      <c r="F33" s="529">
        <f>'Auto-Calibration record'!G65</f>
        <v>4778</v>
      </c>
      <c r="G33" s="529"/>
      <c r="H33" s="524">
        <f>'Auto-Calibration record'!B74</f>
        <v>4350</v>
      </c>
      <c r="I33" s="570"/>
      <c r="J33" s="158">
        <f>'Auto-Calibration record'!I74</f>
        <v>4279.333333333333</v>
      </c>
      <c r="K33" s="159">
        <f t="shared" si="0"/>
        <v>-70.66666666666697</v>
      </c>
      <c r="L33" s="111">
        <f t="shared" si="1"/>
        <v>-1.6245210727969417E-2</v>
      </c>
    </row>
    <row r="34" spans="2:12" s="108" customFormat="1" ht="25.9" customHeight="1" x14ac:dyDescent="0.35">
      <c r="D34" s="541" t="s">
        <v>596</v>
      </c>
      <c r="E34" s="541"/>
      <c r="F34" s="529">
        <f>'Auto-Calibration record'!H65</f>
        <v>10058</v>
      </c>
      <c r="G34" s="529"/>
      <c r="H34" s="524">
        <f>'Auto-Calibration record'!B75</f>
        <v>2730</v>
      </c>
      <c r="I34" s="570"/>
      <c r="J34" s="158">
        <f>'Auto-Calibration record'!I75</f>
        <v>2567.6666666666665</v>
      </c>
      <c r="K34" s="159" t="s">
        <v>23</v>
      </c>
      <c r="L34" s="112" t="s">
        <v>23</v>
      </c>
    </row>
    <row r="35" spans="2:12" s="102" customFormat="1" ht="25.9" customHeight="1" x14ac:dyDescent="0.45">
      <c r="D35" s="541" t="s">
        <v>597</v>
      </c>
      <c r="E35" s="541"/>
      <c r="F35" s="537">
        <f>'Auto-Calibration record'!I65</f>
        <v>0</v>
      </c>
      <c r="G35" s="537"/>
      <c r="H35" s="524">
        <f>'Auto-Calibration record'!B76</f>
        <v>65535</v>
      </c>
      <c r="I35" s="570"/>
      <c r="J35" s="158">
        <f>'Auto-Calibration record'!I76</f>
        <v>3590525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88</v>
      </c>
      <c r="F40" s="524"/>
      <c r="G40" s="533" t="e">
        <f>F28/D40</f>
        <v>#DIV/0!</v>
      </c>
      <c r="H40" s="533"/>
      <c r="I40" s="116"/>
      <c r="J40" s="129">
        <f>'Auto-Calibration record'!B11</f>
        <v>30</v>
      </c>
      <c r="K40" s="159">
        <f>F29-J40</f>
        <v>180</v>
      </c>
      <c r="L40" s="151">
        <f>F29/J40</f>
        <v>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1522410</v>
      </c>
      <c r="I28" s="570"/>
      <c r="J28" s="158">
        <f>'Auto-Calibration record'!I68</f>
        <v>1472092.3333333333</v>
      </c>
      <c r="K28" s="159">
        <f t="shared" ref="K28:K33" si="0">J28-H28</f>
        <v>-50317.666666666744</v>
      </c>
      <c r="L28" s="111">
        <f t="shared" ref="L28:L33" si="1">K28/H28</f>
        <v>-3.3051324325685423E-2</v>
      </c>
    </row>
    <row r="29" spans="2:15" s="108" customFormat="1" ht="25.9" customHeight="1" x14ac:dyDescent="0.35">
      <c r="D29" s="541" t="s">
        <v>591</v>
      </c>
      <c r="E29" s="541"/>
      <c r="F29" s="529">
        <f>'Auto-Calibration record'!C65</f>
        <v>210</v>
      </c>
      <c r="G29" s="529"/>
      <c r="H29" s="524">
        <f>'Auto-Calibration record'!B69</f>
        <v>583320</v>
      </c>
      <c r="I29" s="570"/>
      <c r="J29" s="158">
        <f>'Auto-Calibration record'!I69</f>
        <v>569246</v>
      </c>
      <c r="K29" s="159">
        <f t="shared" si="0"/>
        <v>-14074</v>
      </c>
      <c r="L29" s="111">
        <f t="shared" si="1"/>
        <v>-2.4127408626482889E-2</v>
      </c>
    </row>
    <row r="30" spans="2:15" s="108" customFormat="1" ht="25.9" customHeight="1" x14ac:dyDescent="0.35">
      <c r="D30" s="541" t="s">
        <v>592</v>
      </c>
      <c r="E30" s="541"/>
      <c r="F30" s="529">
        <f>'Auto-Calibration record'!D65</f>
        <v>1060</v>
      </c>
      <c r="G30" s="529"/>
      <c r="H30" s="524">
        <f>'Auto-Calibration record'!B71</f>
        <v>42220</v>
      </c>
      <c r="I30" s="570"/>
      <c r="J30" s="158">
        <f>'Auto-Calibration record'!I71</f>
        <v>41569</v>
      </c>
      <c r="K30" s="159">
        <f t="shared" si="0"/>
        <v>-651</v>
      </c>
      <c r="L30" s="111">
        <f t="shared" si="1"/>
        <v>-1.5419232591189011E-2</v>
      </c>
    </row>
    <row r="31" spans="2:15" s="108" customFormat="1" ht="25.9" customHeight="1" x14ac:dyDescent="0.35">
      <c r="D31" s="541" t="s">
        <v>593</v>
      </c>
      <c r="E31" s="541"/>
      <c r="F31" s="529">
        <f>'Auto-Calibration record'!E65</f>
        <v>1964</v>
      </c>
      <c r="G31" s="529"/>
      <c r="H31" s="524">
        <f>'Auto-Calibration record'!B72</f>
        <v>14610</v>
      </c>
      <c r="I31" s="570"/>
      <c r="J31" s="158">
        <f>'Auto-Calibration record'!I72</f>
        <v>15000</v>
      </c>
      <c r="K31" s="159">
        <f t="shared" si="0"/>
        <v>390</v>
      </c>
      <c r="L31" s="111">
        <f t="shared" si="1"/>
        <v>2.6694045174537988E-2</v>
      </c>
    </row>
    <row r="32" spans="2:15" s="108" customFormat="1" ht="25.9" customHeight="1" x14ac:dyDescent="0.35">
      <c r="D32" s="541" t="s">
        <v>594</v>
      </c>
      <c r="E32" s="541"/>
      <c r="F32" s="529">
        <f>'Auto-Calibration record'!F65</f>
        <v>2696</v>
      </c>
      <c r="G32" s="529"/>
      <c r="H32" s="524">
        <f>'Auto-Calibration record'!B73</f>
        <v>9410</v>
      </c>
      <c r="I32" s="570"/>
      <c r="J32" s="158">
        <f>'Auto-Calibration record'!I73</f>
        <v>9239</v>
      </c>
      <c r="K32" s="159">
        <f t="shared" si="0"/>
        <v>-171</v>
      </c>
      <c r="L32" s="111">
        <f t="shared" si="1"/>
        <v>-1.8172157279489905E-2</v>
      </c>
    </row>
    <row r="33" spans="2:12" s="108" customFormat="1" ht="25.9" customHeight="1" x14ac:dyDescent="0.35">
      <c r="D33" s="541" t="s">
        <v>595</v>
      </c>
      <c r="E33" s="541"/>
      <c r="F33" s="529">
        <f>'Auto-Calibration record'!G65</f>
        <v>4778</v>
      </c>
      <c r="G33" s="529"/>
      <c r="H33" s="524">
        <f>'Auto-Calibration record'!B74</f>
        <v>4350</v>
      </c>
      <c r="I33" s="570"/>
      <c r="J33" s="158">
        <f>'Auto-Calibration record'!I74</f>
        <v>4279.333333333333</v>
      </c>
      <c r="K33" s="159">
        <f t="shared" si="0"/>
        <v>-70.66666666666697</v>
      </c>
      <c r="L33" s="111">
        <f t="shared" si="1"/>
        <v>-1.6245210727969417E-2</v>
      </c>
    </row>
    <row r="34" spans="2:12" s="108" customFormat="1" ht="25.9" customHeight="1" x14ac:dyDescent="0.35">
      <c r="D34" s="541" t="s">
        <v>596</v>
      </c>
      <c r="E34" s="541"/>
      <c r="F34" s="529">
        <f>'Auto-Calibration record'!H65</f>
        <v>10058</v>
      </c>
      <c r="G34" s="529"/>
      <c r="H34" s="524">
        <f>'Auto-Calibration record'!B75</f>
        <v>2730</v>
      </c>
      <c r="I34" s="570"/>
      <c r="J34" s="158">
        <f>'Auto-Calibration record'!I75</f>
        <v>2567.6666666666665</v>
      </c>
      <c r="K34" s="159" t="s">
        <v>23</v>
      </c>
      <c r="L34" s="112" t="s">
        <v>23</v>
      </c>
    </row>
    <row r="35" spans="2:12" s="102" customFormat="1" ht="25.9" customHeight="1" x14ac:dyDescent="0.45">
      <c r="D35" s="541" t="s">
        <v>597</v>
      </c>
      <c r="E35" s="541"/>
      <c r="F35" s="537">
        <f>'Auto-Calibration record'!I65</f>
        <v>0</v>
      </c>
      <c r="G35" s="537"/>
      <c r="H35" s="524">
        <f>'Auto-Calibration record'!B76</f>
        <v>65535</v>
      </c>
      <c r="I35" s="570"/>
      <c r="J35" s="158">
        <f>'Auto-Calibration record'!I76</f>
        <v>3590525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88</v>
      </c>
      <c r="F40" s="524"/>
      <c r="G40" s="533" t="e">
        <f>F28/D40</f>
        <v>#DIV/0!</v>
      </c>
      <c r="H40" s="533"/>
      <c r="I40" s="116"/>
      <c r="J40" s="129">
        <f>'Auto-Calibration record'!B11</f>
        <v>30</v>
      </c>
      <c r="K40" s="159">
        <f>F29-J40</f>
        <v>180</v>
      </c>
      <c r="L40" s="151">
        <f>F29/J40</f>
        <v>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1522410</v>
      </c>
      <c r="I28" s="570"/>
      <c r="J28" s="158">
        <f>'MP Calibration Certificate'!J28</f>
        <v>1472092.3333333333</v>
      </c>
      <c r="K28" s="159">
        <f t="shared" ref="K28:K33" si="0">J28-H28</f>
        <v>-50317.666666666744</v>
      </c>
      <c r="L28" s="111">
        <f t="shared" ref="L28:L33" si="1">K28/H28</f>
        <v>-3.3051324325685423E-2</v>
      </c>
    </row>
    <row r="29" spans="2:15" s="108" customFormat="1" ht="25.9" customHeight="1" x14ac:dyDescent="0.35">
      <c r="D29" s="541" t="s">
        <v>591</v>
      </c>
      <c r="E29" s="541"/>
      <c r="F29" s="529">
        <f>'Auto-Calibration record'!C65</f>
        <v>210</v>
      </c>
      <c r="G29" s="529"/>
      <c r="H29" s="524">
        <f>'Auto-Calibration record'!B69</f>
        <v>583320</v>
      </c>
      <c r="I29" s="570"/>
      <c r="J29" s="158">
        <f>'MP Calibration Certificate'!J29</f>
        <v>569246</v>
      </c>
      <c r="K29" s="159">
        <f t="shared" si="0"/>
        <v>-14074</v>
      </c>
      <c r="L29" s="111">
        <f t="shared" si="1"/>
        <v>-2.4127408626482889E-2</v>
      </c>
    </row>
    <row r="30" spans="2:15" s="108" customFormat="1" ht="25.9" customHeight="1" x14ac:dyDescent="0.35">
      <c r="D30" s="541" t="s">
        <v>592</v>
      </c>
      <c r="E30" s="541"/>
      <c r="F30" s="529">
        <f>'Auto-Calibration record'!D65</f>
        <v>1060</v>
      </c>
      <c r="G30" s="529"/>
      <c r="H30" s="524">
        <f>'Auto-Calibration record'!B71</f>
        <v>42220</v>
      </c>
      <c r="I30" s="570"/>
      <c r="J30" s="158">
        <f>'MP Calibration Certificate'!J30</f>
        <v>41569</v>
      </c>
      <c r="K30" s="159">
        <f t="shared" si="0"/>
        <v>-651</v>
      </c>
      <c r="L30" s="111">
        <f t="shared" si="1"/>
        <v>-1.5419232591189011E-2</v>
      </c>
    </row>
    <row r="31" spans="2:15" s="108" customFormat="1" ht="25.9" customHeight="1" x14ac:dyDescent="0.35">
      <c r="D31" s="541" t="s">
        <v>593</v>
      </c>
      <c r="E31" s="541"/>
      <c r="F31" s="529">
        <f>'Auto-Calibration record'!E65</f>
        <v>1964</v>
      </c>
      <c r="G31" s="529"/>
      <c r="H31" s="524">
        <f>'Auto-Calibration record'!B72</f>
        <v>14610</v>
      </c>
      <c r="I31" s="570"/>
      <c r="J31" s="158">
        <f>'MP Calibration Certificate'!J31</f>
        <v>15000</v>
      </c>
      <c r="K31" s="159">
        <f t="shared" si="0"/>
        <v>390</v>
      </c>
      <c r="L31" s="111">
        <f t="shared" si="1"/>
        <v>2.6694045174537988E-2</v>
      </c>
    </row>
    <row r="32" spans="2:15" s="108" customFormat="1" ht="25.9" customHeight="1" x14ac:dyDescent="0.35">
      <c r="D32" s="541" t="s">
        <v>594</v>
      </c>
      <c r="E32" s="541"/>
      <c r="F32" s="529">
        <f>'Auto-Calibration record'!F65</f>
        <v>2696</v>
      </c>
      <c r="G32" s="529"/>
      <c r="H32" s="524">
        <f>'Auto-Calibration record'!B73</f>
        <v>9410</v>
      </c>
      <c r="I32" s="570"/>
      <c r="J32" s="158">
        <f>'MP Calibration Certificate'!J32</f>
        <v>9239</v>
      </c>
      <c r="K32" s="159">
        <f t="shared" si="0"/>
        <v>-171</v>
      </c>
      <c r="L32" s="111">
        <f t="shared" si="1"/>
        <v>-1.8172157279489905E-2</v>
      </c>
    </row>
    <row r="33" spans="2:12" s="108" customFormat="1" ht="25.9" customHeight="1" x14ac:dyDescent="0.35">
      <c r="D33" s="541" t="s">
        <v>595</v>
      </c>
      <c r="E33" s="541"/>
      <c r="F33" s="529">
        <f>'Auto-Calibration record'!G65</f>
        <v>4778</v>
      </c>
      <c r="G33" s="529"/>
      <c r="H33" s="524">
        <f>'Auto-Calibration record'!B74</f>
        <v>4350</v>
      </c>
      <c r="I33" s="570"/>
      <c r="J33" s="158">
        <f>'MP Calibration Certificate'!J33</f>
        <v>4279.333333333333</v>
      </c>
      <c r="K33" s="159">
        <f t="shared" si="0"/>
        <v>-70.66666666666697</v>
      </c>
      <c r="L33" s="111">
        <f t="shared" si="1"/>
        <v>-1.6245210727969417E-2</v>
      </c>
    </row>
    <row r="34" spans="2:12" s="108" customFormat="1" ht="25.9" customHeight="1" x14ac:dyDescent="0.35">
      <c r="D34" s="541" t="s">
        <v>596</v>
      </c>
      <c r="E34" s="541"/>
      <c r="F34" s="529">
        <f>'Auto-Calibration record'!H65</f>
        <v>10058</v>
      </c>
      <c r="G34" s="529"/>
      <c r="H34" s="524">
        <f>'Auto-Calibration record'!B75</f>
        <v>2730</v>
      </c>
      <c r="I34" s="570"/>
      <c r="J34" s="158">
        <f>'MP Calibration Certificate'!J34</f>
        <v>2567.6666666666665</v>
      </c>
      <c r="K34" s="159" t="s">
        <v>23</v>
      </c>
      <c r="L34" s="112" t="s">
        <v>23</v>
      </c>
    </row>
    <row r="35" spans="2:12" s="102" customFormat="1" ht="25.9" customHeight="1" x14ac:dyDescent="0.45">
      <c r="D35" s="541" t="s">
        <v>597</v>
      </c>
      <c r="E35" s="541"/>
      <c r="F35" s="537">
        <f>'Auto-Calibration record'!I65</f>
        <v>0</v>
      </c>
      <c r="G35" s="537"/>
      <c r="H35" s="524">
        <f>'Auto-Calibration record'!B76</f>
        <v>65535</v>
      </c>
      <c r="I35" s="570"/>
      <c r="J35" s="158">
        <f>'MP Calibration Certificate'!J35</f>
        <v>3590525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88</v>
      </c>
      <c r="F40" s="524"/>
      <c r="G40" s="533" t="e">
        <f>F28/D40</f>
        <v>#DIV/0!</v>
      </c>
      <c r="H40" s="533"/>
      <c r="I40" s="116"/>
      <c r="J40" s="129">
        <f>'Auto-Calibration record'!B11</f>
        <v>30</v>
      </c>
      <c r="K40" s="159">
        <f>F29-J40</f>
        <v>180</v>
      </c>
      <c r="L40" s="151">
        <f>F29/J40</f>
        <v>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RM8632b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1522410</v>
      </c>
      <c r="I28" s="570"/>
      <c r="J28" s="158">
        <f>'Auto-Calibration record'!I68</f>
        <v>1472092.3333333333</v>
      </c>
      <c r="K28" s="159">
        <f t="shared" ref="K28:K33" si="0">J28-H28</f>
        <v>-50317.666666666744</v>
      </c>
      <c r="L28" s="111">
        <f t="shared" ref="L28:L33" si="1">K28/H28</f>
        <v>-3.3051324325685423E-2</v>
      </c>
    </row>
    <row r="29" spans="2:15" s="108" customFormat="1" ht="25.9" customHeight="1" x14ac:dyDescent="0.35">
      <c r="D29" s="541" t="s">
        <v>591</v>
      </c>
      <c r="E29" s="541"/>
      <c r="F29" s="529">
        <f>'Auto-Calibration record'!C65</f>
        <v>210</v>
      </c>
      <c r="G29" s="529"/>
      <c r="H29" s="524">
        <f>'Auto-Calibration record'!B69</f>
        <v>583320</v>
      </c>
      <c r="I29" s="570"/>
      <c r="J29" s="158">
        <f>'Auto-Calibration record'!I69</f>
        <v>569246</v>
      </c>
      <c r="K29" s="159">
        <f t="shared" si="0"/>
        <v>-14074</v>
      </c>
      <c r="L29" s="111">
        <f t="shared" si="1"/>
        <v>-2.4127408626482889E-2</v>
      </c>
    </row>
    <row r="30" spans="2:15" s="108" customFormat="1" ht="25.9" customHeight="1" x14ac:dyDescent="0.35">
      <c r="D30" s="541" t="s">
        <v>592</v>
      </c>
      <c r="E30" s="541"/>
      <c r="F30" s="529">
        <f>'Auto-Calibration record'!D65</f>
        <v>1060</v>
      </c>
      <c r="G30" s="529"/>
      <c r="H30" s="524">
        <f>'Auto-Calibration record'!B71</f>
        <v>42220</v>
      </c>
      <c r="I30" s="570"/>
      <c r="J30" s="158">
        <f>'Auto-Calibration record'!I71</f>
        <v>41569</v>
      </c>
      <c r="K30" s="159">
        <f t="shared" si="0"/>
        <v>-651</v>
      </c>
      <c r="L30" s="111">
        <f t="shared" si="1"/>
        <v>-1.5419232591189011E-2</v>
      </c>
    </row>
    <row r="31" spans="2:15" s="108" customFormat="1" ht="25.9" customHeight="1" x14ac:dyDescent="0.35">
      <c r="D31" s="541" t="s">
        <v>593</v>
      </c>
      <c r="E31" s="541"/>
      <c r="F31" s="529">
        <f>'Auto-Calibration record'!E65</f>
        <v>1964</v>
      </c>
      <c r="G31" s="529"/>
      <c r="H31" s="524">
        <f>'Auto-Calibration record'!B72</f>
        <v>14610</v>
      </c>
      <c r="I31" s="570"/>
      <c r="J31" s="158">
        <f>'Auto-Calibration record'!I72</f>
        <v>15000</v>
      </c>
      <c r="K31" s="159">
        <f t="shared" si="0"/>
        <v>390</v>
      </c>
      <c r="L31" s="111">
        <f t="shared" si="1"/>
        <v>2.6694045174537988E-2</v>
      </c>
    </row>
    <row r="32" spans="2:15" s="108" customFormat="1" ht="25.9" customHeight="1" x14ac:dyDescent="0.35">
      <c r="D32" s="541" t="s">
        <v>594</v>
      </c>
      <c r="E32" s="541"/>
      <c r="F32" s="529">
        <f>'Auto-Calibration record'!F65</f>
        <v>2696</v>
      </c>
      <c r="G32" s="529"/>
      <c r="H32" s="524">
        <f>'Auto-Calibration record'!B73</f>
        <v>9410</v>
      </c>
      <c r="I32" s="570"/>
      <c r="J32" s="158">
        <f>'Auto-Calibration record'!I73</f>
        <v>9239</v>
      </c>
      <c r="K32" s="159">
        <f t="shared" si="0"/>
        <v>-171</v>
      </c>
      <c r="L32" s="111">
        <f t="shared" si="1"/>
        <v>-1.8172157279489905E-2</v>
      </c>
    </row>
    <row r="33" spans="2:12" s="108" customFormat="1" ht="25.9" customHeight="1" x14ac:dyDescent="0.35">
      <c r="D33" s="541" t="s">
        <v>595</v>
      </c>
      <c r="E33" s="541"/>
      <c r="F33" s="529">
        <f>'Auto-Calibration record'!G65</f>
        <v>4778</v>
      </c>
      <c r="G33" s="529"/>
      <c r="H33" s="524">
        <f>'Auto-Calibration record'!B74</f>
        <v>4350</v>
      </c>
      <c r="I33" s="570"/>
      <c r="J33" s="158">
        <f>'Auto-Calibration record'!I74</f>
        <v>4279.333333333333</v>
      </c>
      <c r="K33" s="159">
        <f t="shared" si="0"/>
        <v>-70.66666666666697</v>
      </c>
      <c r="L33" s="111">
        <f t="shared" si="1"/>
        <v>-1.6245210727969417E-2</v>
      </c>
    </row>
    <row r="34" spans="2:12" s="108" customFormat="1" ht="25.9" customHeight="1" x14ac:dyDescent="0.35">
      <c r="D34" s="541" t="s">
        <v>596</v>
      </c>
      <c r="E34" s="541"/>
      <c r="F34" s="529">
        <f>'Auto-Calibration record'!H65</f>
        <v>10058</v>
      </c>
      <c r="G34" s="529"/>
      <c r="H34" s="524">
        <f>'Auto-Calibration record'!B75</f>
        <v>2730</v>
      </c>
      <c r="I34" s="570"/>
      <c r="J34" s="158">
        <f>'Auto-Calibration record'!I75</f>
        <v>2567.6666666666665</v>
      </c>
      <c r="K34" s="159" t="s">
        <v>23</v>
      </c>
      <c r="L34" s="112" t="s">
        <v>23</v>
      </c>
    </row>
    <row r="35" spans="2:12" s="102" customFormat="1" ht="25.9" customHeight="1" x14ac:dyDescent="0.45">
      <c r="D35" s="541" t="s">
        <v>597</v>
      </c>
      <c r="E35" s="541"/>
      <c r="F35" s="537">
        <f>'Auto-Calibration record'!I65</f>
        <v>0</v>
      </c>
      <c r="G35" s="537"/>
      <c r="H35" s="524">
        <f>'Auto-Calibration record'!B76</f>
        <v>65535</v>
      </c>
      <c r="I35" s="570"/>
      <c r="J35" s="158">
        <f>'Auto-Calibration record'!I76</f>
        <v>3590525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88</v>
      </c>
      <c r="F40" s="570"/>
      <c r="G40" s="584" t="e">
        <f>F28/D40</f>
        <v>#DIV/0!</v>
      </c>
      <c r="H40" s="584"/>
      <c r="I40" s="116"/>
      <c r="J40" s="129">
        <f>'Auto-Calibration record'!B11</f>
        <v>30</v>
      </c>
      <c r="K40" s="110">
        <f>F29-J40</f>
        <v>180</v>
      </c>
      <c r="L40" s="117">
        <f>F29/J40</f>
        <v>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1005</v>
      </c>
      <c r="L17" s="96"/>
      <c r="M17" s="96"/>
      <c r="N17" s="97"/>
      <c r="O17" s="378" t="str">
        <f>'Auto-Calibration record'!H18</f>
        <v>RM8632b</v>
      </c>
    </row>
    <row r="18" spans="2:15" ht="25.9" customHeight="1" x14ac:dyDescent="0.45">
      <c r="B18" s="131" t="s">
        <v>573</v>
      </c>
      <c r="C18" s="132"/>
      <c r="D18" s="530">
        <f>'Auto-Calibration record'!H15</f>
        <v>63010045</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63010045 180526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88</v>
      </c>
      <c r="G28" s="529"/>
      <c r="H28" s="524">
        <f>'Auto-Calibration record'!B68</f>
        <v>1522410</v>
      </c>
      <c r="I28" s="524"/>
      <c r="J28" s="159">
        <f>'Auto-Calibration record'!I68</f>
        <v>1472092.3333333333</v>
      </c>
      <c r="K28" s="159">
        <f t="shared" ref="K28:K35" si="0">J28-H28</f>
        <v>-50317.666666666744</v>
      </c>
      <c r="L28" s="379">
        <f t="shared" ref="L28:L35" si="1">K28/H28</f>
        <v>-3.3051324325685423E-2</v>
      </c>
    </row>
    <row r="29" spans="2:15" s="108" customFormat="1" ht="25.9" customHeight="1" x14ac:dyDescent="0.35">
      <c r="D29" s="541" t="s">
        <v>591</v>
      </c>
      <c r="E29" s="541"/>
      <c r="F29" s="529">
        <f>'Auto-Calibration record'!C65</f>
        <v>210</v>
      </c>
      <c r="G29" s="529"/>
      <c r="H29" s="524">
        <f>'Auto-Calibration record'!B69</f>
        <v>583320</v>
      </c>
      <c r="I29" s="524"/>
      <c r="J29" s="159">
        <f>'Auto-Calibration record'!I69</f>
        <v>569246</v>
      </c>
      <c r="K29" s="159">
        <f t="shared" si="0"/>
        <v>-14074</v>
      </c>
      <c r="L29" s="379">
        <f t="shared" si="1"/>
        <v>-2.4127408626482889E-2</v>
      </c>
    </row>
    <row r="30" spans="2:15" s="108" customFormat="1" ht="25.9" customHeight="1" x14ac:dyDescent="0.35">
      <c r="D30" s="541" t="s">
        <v>592</v>
      </c>
      <c r="E30" s="541"/>
      <c r="F30" s="529">
        <f>'Auto-Calibration record'!D65</f>
        <v>1060</v>
      </c>
      <c r="G30" s="529"/>
      <c r="H30" s="524">
        <f>'Auto-Calibration record'!B71</f>
        <v>42220</v>
      </c>
      <c r="I30" s="524"/>
      <c r="J30" s="159">
        <f>'Auto-Calibration record'!I71</f>
        <v>41569</v>
      </c>
      <c r="K30" s="159">
        <f t="shared" si="0"/>
        <v>-651</v>
      </c>
      <c r="L30" s="379">
        <f t="shared" si="1"/>
        <v>-1.5419232591189011E-2</v>
      </c>
    </row>
    <row r="31" spans="2:15" s="108" customFormat="1" ht="25.9" customHeight="1" x14ac:dyDescent="0.35">
      <c r="D31" s="541" t="s">
        <v>593</v>
      </c>
      <c r="E31" s="541"/>
      <c r="F31" s="529">
        <f>'Auto-Calibration record'!E65</f>
        <v>1964</v>
      </c>
      <c r="G31" s="529"/>
      <c r="H31" s="524">
        <f>'Auto-Calibration record'!B72</f>
        <v>14610</v>
      </c>
      <c r="I31" s="524"/>
      <c r="J31" s="159">
        <f>'Auto-Calibration record'!I72</f>
        <v>15000</v>
      </c>
      <c r="K31" s="159">
        <f t="shared" si="0"/>
        <v>390</v>
      </c>
      <c r="L31" s="379">
        <f t="shared" si="1"/>
        <v>2.6694045174537988E-2</v>
      </c>
    </row>
    <row r="32" spans="2:15" s="108" customFormat="1" ht="25.9" customHeight="1" x14ac:dyDescent="0.35">
      <c r="D32" s="541" t="s">
        <v>594</v>
      </c>
      <c r="E32" s="541"/>
      <c r="F32" s="529">
        <f>'Auto-Calibration record'!F65</f>
        <v>2696</v>
      </c>
      <c r="G32" s="529"/>
      <c r="H32" s="524">
        <f>'Auto-Calibration record'!B73</f>
        <v>9410</v>
      </c>
      <c r="I32" s="524"/>
      <c r="J32" s="159">
        <f>'Auto-Calibration record'!I73</f>
        <v>9239</v>
      </c>
      <c r="K32" s="159">
        <f t="shared" si="0"/>
        <v>-171</v>
      </c>
      <c r="L32" s="379">
        <f t="shared" si="1"/>
        <v>-1.8172157279489905E-2</v>
      </c>
    </row>
    <row r="33" spans="2:12" s="108" customFormat="1" ht="25.9" customHeight="1" x14ac:dyDescent="0.35">
      <c r="D33" s="541" t="s">
        <v>595</v>
      </c>
      <c r="E33" s="541"/>
      <c r="F33" s="529">
        <f>'Auto-Calibration record'!G65</f>
        <v>4778</v>
      </c>
      <c r="G33" s="529"/>
      <c r="H33" s="524">
        <f>'Auto-Calibration record'!B74</f>
        <v>4350</v>
      </c>
      <c r="I33" s="524"/>
      <c r="J33" s="159">
        <f>'Auto-Calibration record'!I74</f>
        <v>4279.333333333333</v>
      </c>
      <c r="K33" s="159">
        <f t="shared" si="0"/>
        <v>-70.66666666666697</v>
      </c>
      <c r="L33" s="379">
        <f t="shared" si="1"/>
        <v>-1.6245210727969417E-2</v>
      </c>
    </row>
    <row r="34" spans="2:12" s="108" customFormat="1" ht="25.9" customHeight="1" x14ac:dyDescent="0.35">
      <c r="D34" s="541" t="s">
        <v>1006</v>
      </c>
      <c r="E34" s="541"/>
      <c r="F34" s="529">
        <f>'Auto-Calibration record'!H65</f>
        <v>10058</v>
      </c>
      <c r="G34" s="529"/>
      <c r="H34" s="524">
        <f>'Auto-Calibration record'!B75</f>
        <v>2730</v>
      </c>
      <c r="I34" s="524"/>
      <c r="J34" s="159">
        <f>'Auto-Calibration record'!I75</f>
        <v>2567.6666666666665</v>
      </c>
      <c r="K34" s="159">
        <f t="shared" si="0"/>
        <v>-162.33333333333348</v>
      </c>
      <c r="L34" s="379">
        <f t="shared" si="1"/>
        <v>-5.9462759462759515E-2</v>
      </c>
    </row>
    <row r="35" spans="2:12" s="102" customFormat="1" ht="25.9" customHeight="1" x14ac:dyDescent="0.45">
      <c r="D35" s="541" t="s">
        <v>1007</v>
      </c>
      <c r="E35" s="541"/>
      <c r="F35" s="537">
        <f>'Auto-Calibration record'!I65</f>
        <v>0</v>
      </c>
      <c r="G35" s="537"/>
      <c r="H35" s="524">
        <f>'Auto-Calibration record'!B76</f>
        <v>65535</v>
      </c>
      <c r="I35" s="524"/>
      <c r="J35" s="380">
        <f>'Auto-Calibration record'!I76</f>
        <v>3590525</v>
      </c>
      <c r="K35" s="159">
        <f t="shared" si="0"/>
        <v>3524990</v>
      </c>
      <c r="L35" s="379">
        <f t="shared" si="1"/>
        <v>53.78789959563592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30</v>
      </c>
      <c r="E40" s="524">
        <f>F28-D40</f>
        <v>58</v>
      </c>
      <c r="F40" s="524"/>
      <c r="G40" s="533">
        <f>F28/D40</f>
        <v>2.9333333333333331</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Jamie Soule</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2026-05-18T13:17:58Z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