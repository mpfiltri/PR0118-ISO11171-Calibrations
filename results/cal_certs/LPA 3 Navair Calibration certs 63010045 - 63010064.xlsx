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SynologyNAS\D-2Inc\Product Documents\497 - LPA3 (MP Filtri) Hydraulic Particle Counter\Calibration\Calibrations\"/>
    </mc:Choice>
  </mc:AlternateContent>
  <xr:revisionPtr revIDLastSave="0" documentId="13_ncr:1_{53A42BE9-CF23-482C-AE04-F1E64345946B}" xr6:coauthVersionLast="47" xr6:coauthVersionMax="47" xr10:uidLastSave="{00000000-0000-0000-0000-000000000000}"/>
  <bookViews>
    <workbookView xWindow="-120" yWindow="-120" windowWidth="29040" windowHeight="15720" tabRatio="877" firstSheet="13" activeTab="20" xr2:uid="{42384B08-A203-4557-8ECF-6CA11FFCA2C8}"/>
  </bookViews>
  <sheets>
    <sheet name="BS110 Cal'd Thresholds" sheetId="35" r:id="rId1"/>
    <sheet name="Serial Number 63010045" sheetId="21" r:id="rId2"/>
    <sheet name="Serial Number 63010046" sheetId="24" r:id="rId3"/>
    <sheet name="Serial Number 63010047" sheetId="34" r:id="rId4"/>
    <sheet name="Serial Number 63010048" sheetId="16" r:id="rId5"/>
    <sheet name="Serial Number 63010049" sheetId="33" r:id="rId6"/>
    <sheet name="Serial Number 63010050" sheetId="30" r:id="rId7"/>
    <sheet name="Serial Number 63010051" sheetId="1" r:id="rId8"/>
    <sheet name="Serial Number 63010052" sheetId="27" r:id="rId9"/>
    <sheet name="Serial Number 63010053" sheetId="19" r:id="rId10"/>
    <sheet name="Serial Number 63010054" sheetId="29" r:id="rId11"/>
    <sheet name="Serial Number 63010055" sheetId="22" r:id="rId12"/>
    <sheet name="Serial Number 63010056" sheetId="31" r:id="rId13"/>
    <sheet name="Serial Number 63010057" sheetId="25" r:id="rId14"/>
    <sheet name="Serial Number 63010058" sheetId="15" r:id="rId15"/>
    <sheet name="Serial Number 63010059" sheetId="18" r:id="rId16"/>
    <sheet name="Serial Number 63010060" sheetId="17" r:id="rId17"/>
    <sheet name="Serial Number 63010061" sheetId="32" r:id="rId18"/>
    <sheet name="Serial Number 63010062" sheetId="26" r:id="rId19"/>
    <sheet name="Serial Number 63010063" sheetId="20" r:id="rId20"/>
    <sheet name="Serial Number 63010064" sheetId="23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1" i="30" l="1"/>
  <c r="E40" i="30"/>
  <c r="E39" i="30"/>
  <c r="E38" i="30"/>
  <c r="E37" i="30"/>
  <c r="E36" i="30"/>
  <c r="E41" i="31"/>
  <c r="E40" i="31"/>
  <c r="E39" i="31"/>
  <c r="E38" i="31"/>
  <c r="E37" i="31"/>
  <c r="E36" i="31"/>
  <c r="E41" i="34"/>
  <c r="E40" i="34"/>
  <c r="E39" i="34"/>
  <c r="E38" i="34"/>
  <c r="E37" i="34"/>
  <c r="E36" i="34"/>
  <c r="E41" i="33"/>
  <c r="E40" i="33"/>
  <c r="E39" i="33"/>
  <c r="E38" i="33"/>
  <c r="E37" i="33"/>
  <c r="E36" i="33"/>
  <c r="H45" i="34"/>
  <c r="G45" i="34"/>
  <c r="H44" i="34"/>
  <c r="G44" i="34"/>
  <c r="H43" i="34"/>
  <c r="G43" i="34"/>
  <c r="H41" i="34"/>
  <c r="G41" i="34"/>
  <c r="H40" i="34"/>
  <c r="G40" i="34"/>
  <c r="H39" i="34"/>
  <c r="G39" i="34"/>
  <c r="H38" i="34"/>
  <c r="G38" i="34"/>
  <c r="H37" i="34"/>
  <c r="G37" i="34"/>
  <c r="H36" i="34"/>
  <c r="G36" i="34"/>
  <c r="H45" i="33"/>
  <c r="G45" i="33"/>
  <c r="H44" i="33"/>
  <c r="G44" i="33"/>
  <c r="H43" i="33"/>
  <c r="G43" i="33"/>
  <c r="H41" i="33"/>
  <c r="G41" i="33"/>
  <c r="H40" i="33"/>
  <c r="G40" i="33"/>
  <c r="H39" i="33"/>
  <c r="G39" i="33"/>
  <c r="H38" i="33"/>
  <c r="G38" i="33"/>
  <c r="H37" i="33"/>
  <c r="G37" i="33"/>
  <c r="H36" i="33"/>
  <c r="G36" i="33"/>
  <c r="E41" i="32"/>
  <c r="E40" i="32"/>
  <c r="E39" i="32"/>
  <c r="E38" i="32"/>
  <c r="E37" i="32"/>
  <c r="E36" i="32"/>
  <c r="H45" i="32"/>
  <c r="G45" i="32"/>
  <c r="H44" i="32"/>
  <c r="G44" i="32"/>
  <c r="H43" i="32"/>
  <c r="G43" i="32"/>
  <c r="H41" i="32"/>
  <c r="G41" i="32"/>
  <c r="H40" i="32"/>
  <c r="G40" i="32"/>
  <c r="H39" i="32"/>
  <c r="G39" i="32"/>
  <c r="H38" i="32"/>
  <c r="G38" i="32"/>
  <c r="H37" i="32"/>
  <c r="G37" i="32"/>
  <c r="H36" i="32"/>
  <c r="G36" i="32"/>
  <c r="E41" i="29"/>
  <c r="E40" i="29"/>
  <c r="E39" i="29"/>
  <c r="E38" i="29"/>
  <c r="E37" i="29"/>
  <c r="E36" i="29"/>
  <c r="H45" i="31"/>
  <c r="G45" i="31"/>
  <c r="H44" i="31"/>
  <c r="G44" i="31"/>
  <c r="H43" i="31"/>
  <c r="G43" i="31"/>
  <c r="H41" i="31"/>
  <c r="G41" i="31"/>
  <c r="H40" i="31"/>
  <c r="G40" i="31"/>
  <c r="H39" i="31"/>
  <c r="G39" i="31"/>
  <c r="H38" i="31"/>
  <c r="G38" i="31"/>
  <c r="H37" i="31"/>
  <c r="G37" i="31"/>
  <c r="H36" i="31"/>
  <c r="G36" i="31"/>
  <c r="H45" i="30"/>
  <c r="G45" i="30"/>
  <c r="H44" i="30"/>
  <c r="G44" i="30"/>
  <c r="H43" i="30"/>
  <c r="G43" i="30"/>
  <c r="H41" i="30"/>
  <c r="G41" i="30"/>
  <c r="H40" i="30"/>
  <c r="G40" i="30"/>
  <c r="H39" i="30"/>
  <c r="G39" i="30"/>
  <c r="H38" i="30"/>
  <c r="G38" i="30"/>
  <c r="H37" i="30"/>
  <c r="G37" i="30"/>
  <c r="H36" i="30"/>
  <c r="G36" i="30"/>
  <c r="H45" i="29"/>
  <c r="G45" i="29"/>
  <c r="H44" i="29"/>
  <c r="G44" i="29"/>
  <c r="H43" i="29"/>
  <c r="G43" i="29"/>
  <c r="H41" i="29"/>
  <c r="G41" i="29"/>
  <c r="H40" i="29"/>
  <c r="G40" i="29"/>
  <c r="H39" i="29"/>
  <c r="G39" i="29"/>
  <c r="H38" i="29"/>
  <c r="G38" i="29"/>
  <c r="H37" i="29"/>
  <c r="G37" i="29"/>
  <c r="H36" i="29"/>
  <c r="G36" i="29"/>
  <c r="E36" i="27"/>
  <c r="E37" i="27"/>
  <c r="E38" i="27"/>
  <c r="E39" i="27"/>
  <c r="E40" i="27"/>
  <c r="E41" i="27"/>
  <c r="H45" i="27"/>
  <c r="G45" i="27"/>
  <c r="H44" i="27"/>
  <c r="G44" i="27"/>
  <c r="H43" i="27"/>
  <c r="G43" i="27"/>
  <c r="H41" i="27"/>
  <c r="G41" i="27"/>
  <c r="H40" i="27"/>
  <c r="G40" i="27"/>
  <c r="H39" i="27"/>
  <c r="G39" i="27"/>
  <c r="H38" i="27"/>
  <c r="G38" i="27"/>
  <c r="H37" i="27"/>
  <c r="G37" i="27"/>
  <c r="H36" i="27"/>
  <c r="G36" i="27"/>
  <c r="E41" i="26"/>
  <c r="E40" i="26"/>
  <c r="E39" i="26"/>
  <c r="E38" i="26"/>
  <c r="E37" i="26"/>
  <c r="E36" i="26"/>
  <c r="H45" i="26"/>
  <c r="G45" i="26"/>
  <c r="H44" i="26"/>
  <c r="G44" i="26"/>
  <c r="H43" i="26"/>
  <c r="G43" i="26"/>
  <c r="H41" i="26"/>
  <c r="G41" i="26"/>
  <c r="H40" i="26"/>
  <c r="G40" i="26"/>
  <c r="H39" i="26"/>
  <c r="G39" i="26"/>
  <c r="H38" i="26"/>
  <c r="G38" i="26"/>
  <c r="H37" i="26"/>
  <c r="G37" i="26"/>
  <c r="H36" i="26"/>
  <c r="G36" i="26"/>
  <c r="H45" i="25"/>
  <c r="G45" i="25"/>
  <c r="H44" i="25"/>
  <c r="G44" i="25"/>
  <c r="H43" i="25"/>
  <c r="G43" i="25"/>
  <c r="H41" i="25"/>
  <c r="G41" i="25"/>
  <c r="E41" i="25"/>
  <c r="H40" i="25"/>
  <c r="G40" i="25"/>
  <c r="E40" i="25"/>
  <c r="H39" i="25"/>
  <c r="G39" i="25"/>
  <c r="E39" i="25"/>
  <c r="H38" i="25"/>
  <c r="G38" i="25"/>
  <c r="E38" i="25"/>
  <c r="H37" i="25"/>
  <c r="G37" i="25"/>
  <c r="E37" i="25"/>
  <c r="H36" i="25"/>
  <c r="G36" i="25"/>
  <c r="E36" i="25"/>
  <c r="G45" i="24"/>
  <c r="G44" i="24"/>
  <c r="H43" i="24"/>
  <c r="G43" i="24"/>
  <c r="H41" i="24"/>
  <c r="G41" i="24"/>
  <c r="E41" i="24"/>
  <c r="H40" i="24"/>
  <c r="G40" i="24"/>
  <c r="E40" i="24"/>
  <c r="H39" i="24"/>
  <c r="G39" i="24"/>
  <c r="E39" i="24"/>
  <c r="H38" i="24"/>
  <c r="G38" i="24"/>
  <c r="E38" i="24"/>
  <c r="H37" i="24"/>
  <c r="G37" i="24"/>
  <c r="E37" i="24"/>
  <c r="H36" i="24"/>
  <c r="G36" i="24"/>
  <c r="E36" i="24"/>
  <c r="H45" i="23"/>
  <c r="G45" i="23"/>
  <c r="H44" i="23"/>
  <c r="G44" i="23"/>
  <c r="H43" i="23"/>
  <c r="G43" i="23"/>
  <c r="H41" i="23"/>
  <c r="G41" i="23"/>
  <c r="E41" i="23"/>
  <c r="H40" i="23"/>
  <c r="G40" i="23"/>
  <c r="E40" i="23"/>
  <c r="H39" i="23"/>
  <c r="G39" i="23"/>
  <c r="E39" i="23"/>
  <c r="H38" i="23"/>
  <c r="G38" i="23"/>
  <c r="E38" i="23"/>
  <c r="H37" i="23"/>
  <c r="G37" i="23"/>
  <c r="E37" i="23"/>
  <c r="H36" i="23"/>
  <c r="G36" i="23"/>
  <c r="E36" i="23"/>
  <c r="H45" i="22"/>
  <c r="G45" i="22"/>
  <c r="H44" i="22"/>
  <c r="G44" i="22"/>
  <c r="H43" i="22"/>
  <c r="G43" i="22"/>
  <c r="H41" i="22"/>
  <c r="G41" i="22"/>
  <c r="E41" i="22"/>
  <c r="H40" i="22"/>
  <c r="G40" i="22"/>
  <c r="E40" i="22"/>
  <c r="H39" i="22"/>
  <c r="G39" i="22"/>
  <c r="E39" i="22"/>
  <c r="H38" i="22"/>
  <c r="G38" i="22"/>
  <c r="E38" i="22"/>
  <c r="H37" i="22"/>
  <c r="G37" i="22"/>
  <c r="E37" i="22"/>
  <c r="H36" i="22"/>
  <c r="G36" i="22"/>
  <c r="E36" i="22"/>
  <c r="G45" i="21"/>
  <c r="H44" i="21"/>
  <c r="G44" i="21"/>
  <c r="G43" i="21"/>
  <c r="H41" i="21"/>
  <c r="G41" i="21"/>
  <c r="E41" i="21"/>
  <c r="H40" i="21"/>
  <c r="G40" i="21"/>
  <c r="E40" i="21"/>
  <c r="H39" i="21"/>
  <c r="G39" i="21"/>
  <c r="E39" i="21"/>
  <c r="H38" i="21"/>
  <c r="G38" i="21"/>
  <c r="E38" i="21"/>
  <c r="H37" i="21"/>
  <c r="G37" i="21"/>
  <c r="E37" i="21"/>
  <c r="H36" i="21"/>
  <c r="G36" i="21"/>
  <c r="E36" i="21"/>
  <c r="H45" i="20"/>
  <c r="G45" i="20"/>
  <c r="H44" i="20"/>
  <c r="G44" i="20"/>
  <c r="H43" i="20"/>
  <c r="G43" i="20"/>
  <c r="H41" i="20"/>
  <c r="G41" i="20"/>
  <c r="E41" i="20"/>
  <c r="H40" i="20"/>
  <c r="G40" i="20"/>
  <c r="E40" i="20"/>
  <c r="H39" i="20"/>
  <c r="G39" i="20"/>
  <c r="E39" i="20"/>
  <c r="H38" i="20"/>
  <c r="G38" i="20"/>
  <c r="E38" i="20"/>
  <c r="H37" i="20"/>
  <c r="G37" i="20"/>
  <c r="E37" i="20"/>
  <c r="H36" i="20"/>
  <c r="G36" i="20"/>
  <c r="E36" i="20"/>
  <c r="H45" i="19"/>
  <c r="G45" i="19"/>
  <c r="H44" i="19"/>
  <c r="G44" i="19"/>
  <c r="H43" i="19"/>
  <c r="G43" i="19"/>
  <c r="H41" i="19"/>
  <c r="G41" i="19"/>
  <c r="E41" i="19"/>
  <c r="H40" i="19"/>
  <c r="G40" i="19"/>
  <c r="E40" i="19"/>
  <c r="H39" i="19"/>
  <c r="G39" i="19"/>
  <c r="E39" i="19"/>
  <c r="H38" i="19"/>
  <c r="G38" i="19"/>
  <c r="E38" i="19"/>
  <c r="H37" i="19"/>
  <c r="G37" i="19"/>
  <c r="E37" i="19"/>
  <c r="H36" i="19"/>
  <c r="G36" i="19"/>
  <c r="E36" i="19"/>
  <c r="H45" i="18"/>
  <c r="G45" i="18"/>
  <c r="H44" i="18"/>
  <c r="G44" i="18"/>
  <c r="H43" i="18"/>
  <c r="G43" i="18"/>
  <c r="H41" i="18"/>
  <c r="G41" i="18"/>
  <c r="E41" i="18"/>
  <c r="H40" i="18"/>
  <c r="G40" i="18"/>
  <c r="E40" i="18"/>
  <c r="H39" i="18"/>
  <c r="G39" i="18"/>
  <c r="E39" i="18"/>
  <c r="H38" i="18"/>
  <c r="G38" i="18"/>
  <c r="E38" i="18"/>
  <c r="H37" i="18"/>
  <c r="G37" i="18"/>
  <c r="E37" i="18"/>
  <c r="H36" i="18"/>
  <c r="G36" i="18"/>
  <c r="E36" i="18"/>
  <c r="H45" i="17"/>
  <c r="G45" i="17"/>
  <c r="H44" i="17"/>
  <c r="G44" i="17"/>
  <c r="H43" i="17"/>
  <c r="G43" i="17"/>
  <c r="H41" i="17"/>
  <c r="G41" i="17"/>
  <c r="E41" i="17"/>
  <c r="H40" i="17"/>
  <c r="G40" i="17"/>
  <c r="E40" i="17"/>
  <c r="H39" i="17"/>
  <c r="G39" i="17"/>
  <c r="E39" i="17"/>
  <c r="H38" i="17"/>
  <c r="G38" i="17"/>
  <c r="E38" i="17"/>
  <c r="H37" i="17"/>
  <c r="G37" i="17"/>
  <c r="E37" i="17"/>
  <c r="H36" i="17"/>
  <c r="G36" i="17"/>
  <c r="E36" i="17"/>
  <c r="H45" i="16"/>
  <c r="G45" i="16"/>
  <c r="H44" i="16"/>
  <c r="G44" i="16"/>
  <c r="H43" i="16"/>
  <c r="G43" i="16"/>
  <c r="H41" i="16"/>
  <c r="G41" i="16"/>
  <c r="E41" i="16"/>
  <c r="H40" i="16"/>
  <c r="G40" i="16"/>
  <c r="E40" i="16"/>
  <c r="H39" i="16"/>
  <c r="G39" i="16"/>
  <c r="E39" i="16"/>
  <c r="H38" i="16"/>
  <c r="G38" i="16"/>
  <c r="E38" i="16"/>
  <c r="H37" i="16"/>
  <c r="G37" i="16"/>
  <c r="E37" i="16"/>
  <c r="H36" i="16"/>
  <c r="G36" i="16"/>
  <c r="E36" i="16"/>
  <c r="H45" i="15"/>
  <c r="G45" i="15"/>
  <c r="H44" i="15"/>
  <c r="G44" i="15"/>
  <c r="H43" i="15"/>
  <c r="G43" i="15"/>
  <c r="H41" i="15"/>
  <c r="G41" i="15"/>
  <c r="E41" i="15"/>
  <c r="H40" i="15"/>
  <c r="G40" i="15"/>
  <c r="E40" i="15"/>
  <c r="H39" i="15"/>
  <c r="G39" i="15"/>
  <c r="E39" i="15"/>
  <c r="H38" i="15"/>
  <c r="G38" i="15"/>
  <c r="E38" i="15"/>
  <c r="H37" i="15"/>
  <c r="G37" i="15"/>
  <c r="E37" i="15"/>
  <c r="H36" i="15"/>
  <c r="G36" i="15"/>
  <c r="E36" i="15"/>
  <c r="H45" i="1"/>
  <c r="G45" i="1"/>
  <c r="H44" i="1"/>
  <c r="G44" i="1"/>
  <c r="H43" i="1"/>
  <c r="G43" i="1"/>
  <c r="H41" i="1"/>
  <c r="G41" i="1"/>
  <c r="E41" i="1"/>
  <c r="H40" i="1"/>
  <c r="G40" i="1"/>
  <c r="E40" i="1"/>
  <c r="H39" i="1"/>
  <c r="G39" i="1"/>
  <c r="E39" i="1"/>
  <c r="H38" i="1"/>
  <c r="G38" i="1"/>
  <c r="E38" i="1"/>
  <c r="H37" i="1"/>
  <c r="G37" i="1"/>
  <c r="E37" i="1"/>
  <c r="H36" i="1"/>
  <c r="G36" i="1"/>
  <c r="E36" i="1"/>
  <c r="H45" i="24" l="1"/>
  <c r="H44" i="24"/>
  <c r="H45" i="21"/>
  <c r="H43" i="21"/>
</calcChain>
</file>

<file path=xl/sharedStrings.xml><?xml version="1.0" encoding="utf-8"?>
<sst xmlns="http://schemas.openxmlformats.org/spreadsheetml/2006/main" count="1326" uniqueCount="120">
  <si>
    <t>Table 4 — APC Calibration summary</t>
  </si>
  <si>
    <t>APC
Sensor</t>
  </si>
  <si>
    <t>Model</t>
  </si>
  <si>
    <t>LPA 3 NAVAIR</t>
  </si>
  <si>
    <t>Date</t>
  </si>
  <si>
    <t>Serial Number</t>
  </si>
  <si>
    <t>Operator</t>
  </si>
  <si>
    <t>KAP</t>
  </si>
  <si>
    <t xml:space="preserve">LPA 3 PRIMARY </t>
  </si>
  <si>
    <t>Calibration type (primary or secondary)</t>
  </si>
  <si>
    <t>SECONDARY</t>
  </si>
  <si>
    <t>11171-00009</t>
  </si>
  <si>
    <t>Calibration sample identification numbers</t>
  </si>
  <si>
    <t>S250602008 (35D)</t>
  </si>
  <si>
    <t>Noise level (Annex A)  [mV]</t>
  </si>
  <si>
    <t>Coincidence error limit (Annex B)</t>
  </si>
  <si>
    <t>particles/mL</t>
  </si>
  <si>
    <t>Sample volume (Annex A)  [mL]</t>
  </si>
  <si>
    <t>Working flow rate (Annex C)</t>
  </si>
  <si>
    <t>mL/min</t>
  </si>
  <si>
    <t>Cv, vol (Annex A)  [%]</t>
  </si>
  <si>
    <t>Flow rate range (Annex C)</t>
  </si>
  <si>
    <t>Resolution (Annex D)</t>
  </si>
  <si>
    <t>S_R</t>
  </si>
  <si>
    <t>µm</t>
  </si>
  <si>
    <t>R_R</t>
  </si>
  <si>
    <t>%</t>
  </si>
  <si>
    <t>S_L</t>
  </si>
  <si>
    <t>R_L</t>
  </si>
  <si>
    <t>d</t>
  </si>
  <si>
    <t>R</t>
  </si>
  <si>
    <t>Verification of Particle Counting Accuracy (Annex E)</t>
  </si>
  <si>
    <t>Particle Size Calibration Summary (Clause 6)</t>
  </si>
  <si>
    <t>Particle Size</t>
  </si>
  <si>
    <t>Expected particle concentration</t>
  </si>
  <si>
    <t>Observed particle concentration</t>
  </si>
  <si>
    <t>Particle Concentration</t>
  </si>
  <si>
    <t>Threshold Setting</t>
  </si>
  <si>
    <t>µm(c)</t>
  </si>
  <si>
    <t>Particles/mL</t>
  </si>
  <si>
    <t>mV</t>
  </si>
  <si>
    <t>PartiStan 28DR</t>
  </si>
  <si>
    <t>MP Filtri UK Ltd</t>
  </si>
  <si>
    <t>Keep House, Conference Way, Vale Park</t>
  </si>
  <si>
    <t>Evesham</t>
  </si>
  <si>
    <t>England</t>
  </si>
  <si>
    <t>WR11 1LB</t>
  </si>
  <si>
    <t>www.mpfiltri.com</t>
  </si>
  <si>
    <t xml:space="preserve">Method of calibration and traceability: 
This device was calibrated using PartiStan 2806 Secondary reference fluid, Sizes and particle concentrations determined on a primary calibrated instrument using NIST SRM 2806d. 
Particle sizes 38, 50, 70 microns calibrated using NIST traceable glass spheres in accordance with clause 6. </t>
  </si>
  <si>
    <t>PartiStan (28DR)</t>
  </si>
  <si>
    <t>Cal'd thresholds</t>
  </si>
  <si>
    <t>Counts</t>
  </si>
  <si>
    <t>S/N</t>
  </si>
  <si>
    <t>Ref material</t>
  </si>
  <si>
    <t>35D</t>
  </si>
  <si>
    <t>28DR</t>
  </si>
  <si>
    <t>Step 1</t>
  </si>
  <si>
    <t>Prepare PartiStan - 60s shake, 60s ultrasonic, 60s turn over/roll bottle, 60s ultrasonic</t>
  </si>
  <si>
    <t>Step 2</t>
  </si>
  <si>
    <t>Decant into 4x bottles (Cleaned with heptane + dried)</t>
  </si>
  <si>
    <t>Step 3</t>
  </si>
  <si>
    <t>Open LPA View, connect LPA3 via USB-NETTWarrior to laptop. Ctrl+N &gt; LPA3 Calibration &gt; Select LPA3 COM port</t>
  </si>
  <si>
    <t>Step 4</t>
  </si>
  <si>
    <t>Select PartiStan varient (EG, Partistan 2806 Lot 35D.) Click APPLY Edit</t>
  </si>
  <si>
    <t>Step 5</t>
  </si>
  <si>
    <t>Shake 1x decanted bottle of fluid for 60s. Remove lid &amp; put bottle into bottle sampler. Fit Vacuum cap 60s Vacuum. If bubbles still appear at top, another 15-30s vacuum.</t>
  </si>
  <si>
    <t>Step 6</t>
  </si>
  <si>
    <t>switch bottle sampler cap - set to unit to sample. Turn on unit. Let bottle sampler unit it reaches pressure and stops</t>
  </si>
  <si>
    <t>Step 7</t>
  </si>
  <si>
    <t>Start test on LPA3 once Bottle sampler switches off.</t>
  </si>
  <si>
    <t>Step 8</t>
  </si>
  <si>
    <t>Allow LPA3 test to run</t>
  </si>
  <si>
    <t>Step 9</t>
  </si>
  <si>
    <t>Once LPA3 says EMPTYING, click 'AUTO ADJUST' button on LPA view. allow 30~s for adjustment to complete.</t>
  </si>
  <si>
    <t>Manually set 38, 50, 70 micron levels on the LPA3 itself. Then on the same screen, click 'recalculate'</t>
  </si>
  <si>
    <t>Step 10</t>
  </si>
  <si>
    <t>Once test is finished, repeat steps 4-8. Await test results to auto print to compare as a verification test.</t>
  </si>
  <si>
    <t>NAVAIR Kit Serial Number Tracking</t>
  </si>
  <si>
    <t>NAVAIR Particle Counter (S/N)</t>
  </si>
  <si>
    <t>Bottle Sampler (S/N)</t>
  </si>
  <si>
    <t>D23001</t>
  </si>
  <si>
    <t>BS2139</t>
  </si>
  <si>
    <t>D23002</t>
  </si>
  <si>
    <t>BS2130</t>
  </si>
  <si>
    <t>D23003</t>
  </si>
  <si>
    <t>BS2131</t>
  </si>
  <si>
    <t>D23004</t>
  </si>
  <si>
    <t>BS2133</t>
  </si>
  <si>
    <t>D23005</t>
  </si>
  <si>
    <t>BS2144</t>
  </si>
  <si>
    <t>D23006</t>
  </si>
  <si>
    <t>BS2205</t>
  </si>
  <si>
    <t>D23007</t>
  </si>
  <si>
    <t>BS2206</t>
  </si>
  <si>
    <t>D23008</t>
  </si>
  <si>
    <t>BS2208</t>
  </si>
  <si>
    <t>D23009</t>
  </si>
  <si>
    <t>BS2137</t>
  </si>
  <si>
    <t>D23010</t>
  </si>
  <si>
    <t>BS2207</t>
  </si>
  <si>
    <t>D23011</t>
  </si>
  <si>
    <t>BS2142</t>
  </si>
  <si>
    <t>D23012</t>
  </si>
  <si>
    <t>BS2138</t>
  </si>
  <si>
    <t>D23013</t>
  </si>
  <si>
    <t>BS2134</t>
  </si>
  <si>
    <t>D23014</t>
  </si>
  <si>
    <t>BS2143</t>
  </si>
  <si>
    <t>D23015</t>
  </si>
  <si>
    <t>BS2140</t>
  </si>
  <si>
    <t>D23016</t>
  </si>
  <si>
    <t>BS2141</t>
  </si>
  <si>
    <t>D23017</t>
  </si>
  <si>
    <t>BS2136</t>
  </si>
  <si>
    <t>D23018</t>
  </si>
  <si>
    <t>BS2135</t>
  </si>
  <si>
    <t>D23019</t>
  </si>
  <si>
    <t>BS2209</t>
  </si>
  <si>
    <t>D23020</t>
  </si>
  <si>
    <t>BS2132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</si>
</sst>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4"/>
      <name val="Calibri"/>
      <family val="2"/>
    </font>
    <font>
      <sz val="11"/>
      <name val="Calibri"/>
      <family val="2"/>
    </font>
    <font>
      <sz val="10"/>
      <name val="Arial"/>
      <family val="2"/>
    </font>
    <font>
      <b/>
      <sz val="11"/>
      <name val="Calibri"/>
      <family val="2"/>
    </font>
    <font>
      <i/>
      <sz val="10"/>
      <name val="Calibri"/>
      <family val="2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DE7"/>
        <bgColor rgb="FFFFFFCC"/>
      </patternFill>
    </fill>
    <fill>
      <patternFill patternType="solid">
        <fgColor rgb="FFE8EAF6"/>
        <bgColor rgb="FFFFFDE7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9" fillId="0" borderId="0" applyNumberFormat="0" applyFill="0" applyBorder="0" applyAlignment="0" applyProtection="0"/>
  </cellStyleXfs>
  <cellXfs count="94">
    <xf numFmtId="0" fontId="0" fillId="0" borderId="0" xfId="0"/>
    <xf numFmtId="0" fontId="2" fillId="0" borderId="0" xfId="2"/>
    <xf numFmtId="0" fontId="4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left" vertical="center" wrapText="1"/>
    </xf>
    <xf numFmtId="0" fontId="4" fillId="2" borderId="1" xfId="2" applyFont="1" applyFill="1" applyBorder="1" applyAlignment="1">
      <alignment horizontal="left" vertical="center" wrapText="1"/>
    </xf>
    <xf numFmtId="0" fontId="2" fillId="0" borderId="1" xfId="2" applyBorder="1"/>
    <xf numFmtId="0" fontId="4" fillId="2" borderId="1" xfId="2" applyFont="1" applyFill="1" applyBorder="1" applyAlignment="1">
      <alignment vertical="center" wrapText="1"/>
    </xf>
    <xf numFmtId="164" fontId="5" fillId="0" borderId="0" xfId="1" applyNumberFormat="1" applyFont="1"/>
    <xf numFmtId="0" fontId="6" fillId="3" borderId="1" xfId="2" applyFont="1" applyFill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2" fontId="4" fillId="2" borderId="1" xfId="2" applyNumberFormat="1" applyFont="1" applyFill="1" applyBorder="1" applyAlignment="1">
      <alignment horizontal="left" vertical="center" wrapText="1"/>
    </xf>
    <xf numFmtId="0" fontId="8" fillId="0" borderId="1" xfId="2" applyFont="1" applyBorder="1"/>
    <xf numFmtId="0" fontId="8" fillId="0" borderId="0" xfId="2" applyFont="1"/>
    <xf numFmtId="0" fontId="7" fillId="0" borderId="0" xfId="2" applyFont="1" applyAlignment="1">
      <alignment horizontal="center" vertical="center" wrapText="1"/>
    </xf>
    <xf numFmtId="2" fontId="4" fillId="0" borderId="0" xfId="2" applyNumberFormat="1" applyFont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9" fillId="0" borderId="0" xfId="3" applyBorder="1"/>
    <xf numFmtId="164" fontId="5" fillId="0" borderId="0" xfId="1" applyNumberFormat="1" applyFont="1" applyBorder="1"/>
    <xf numFmtId="0" fontId="0" fillId="0" borderId="8" xfId="0" applyBorder="1"/>
    <xf numFmtId="0" fontId="0" fillId="0" borderId="4" xfId="0" applyBorder="1"/>
    <xf numFmtId="0" fontId="0" fillId="0" borderId="9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4" fillId="4" borderId="1" xfId="2" applyFont="1" applyFill="1" applyBorder="1" applyAlignment="1">
      <alignment horizontal="center" vertical="center" wrapText="1"/>
    </xf>
    <xf numFmtId="0" fontId="4" fillId="0" borderId="0" xfId="2" applyFont="1" applyAlignment="1">
      <alignment vertical="center" wrapText="1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5" borderId="0" xfId="2" applyFill="1"/>
    <xf numFmtId="0" fontId="4" fillId="0" borderId="2" xfId="2" applyFont="1" applyBorder="1" applyAlignment="1">
      <alignment horizontal="left" vertical="center"/>
    </xf>
    <xf numFmtId="0" fontId="4" fillId="0" borderId="3" xfId="2" applyFont="1" applyBorder="1" applyAlignment="1">
      <alignment horizontal="left" vertical="center"/>
    </xf>
    <xf numFmtId="0" fontId="4" fillId="2" borderId="1" xfId="2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2" borderId="2" xfId="2" applyFont="1" applyFill="1" applyBorder="1" applyAlignment="1">
      <alignment horizontal="left" vertical="center" wrapText="1"/>
    </xf>
    <xf numFmtId="0" fontId="4" fillId="2" borderId="3" xfId="2" applyFont="1" applyFill="1" applyBorder="1" applyAlignment="1">
      <alignment horizontal="left" vertical="center" wrapText="1"/>
    </xf>
    <xf numFmtId="0" fontId="4" fillId="0" borderId="0" xfId="2" applyFont="1" applyAlignment="1">
      <alignment horizontal="left" vertical="center" wrapText="1"/>
    </xf>
    <xf numFmtId="0" fontId="6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7" fillId="0" borderId="0" xfId="2" applyFont="1" applyAlignment="1">
      <alignment horizontal="center" vertical="center" wrapText="1"/>
    </xf>
    <xf numFmtId="0" fontId="4" fillId="0" borderId="1" xfId="2" applyFont="1" applyBorder="1" applyAlignment="1">
      <alignment horizontal="left" vertical="center" wrapText="1"/>
    </xf>
    <xf numFmtId="0" fontId="4" fillId="0" borderId="2" xfId="2" applyFont="1" applyBorder="1" applyAlignment="1">
      <alignment horizontal="left" vertical="center"/>
    </xf>
    <xf numFmtId="0" fontId="4" fillId="0" borderId="3" xfId="2" applyFont="1" applyBorder="1" applyAlignment="1">
      <alignment horizontal="left" vertical="center"/>
    </xf>
    <xf numFmtId="0" fontId="4" fillId="0" borderId="2" xfId="2" applyFont="1" applyBorder="1" applyAlignment="1">
      <alignment horizontal="left" vertical="center" wrapText="1"/>
    </xf>
    <xf numFmtId="0" fontId="4" fillId="0" borderId="3" xfId="2" applyFont="1" applyBorder="1" applyAlignment="1">
      <alignment horizontal="left" vertical="center" wrapText="1"/>
    </xf>
    <xf numFmtId="0" fontId="6" fillId="3" borderId="1" xfId="2" applyFont="1" applyFill="1" applyBorder="1" applyAlignment="1">
      <alignment horizontal="left" vertical="center" wrapText="1"/>
    </xf>
    <xf numFmtId="0" fontId="4" fillId="6" borderId="2" xfId="2" applyFont="1" applyFill="1" applyBorder="1" applyAlignment="1">
      <alignment horizontal="center" vertical="center" wrapText="1"/>
    </xf>
    <xf numFmtId="0" fontId="4" fillId="6" borderId="12" xfId="2" applyFont="1" applyFill="1" applyBorder="1" applyAlignment="1">
      <alignment horizontal="center" vertical="center" wrapText="1"/>
    </xf>
    <xf numFmtId="0" fontId="4" fillId="6" borderId="3" xfId="2" applyFont="1" applyFill="1" applyBorder="1" applyAlignment="1">
      <alignment horizontal="center" vertical="center" wrapText="1"/>
    </xf>
    <xf numFmtId="0" fontId="3" fillId="0" borderId="5" xfId="2" applyFont="1" applyBorder="1" applyAlignment="1">
      <alignment horizontal="center" vertical="center" wrapText="1"/>
    </xf>
    <xf numFmtId="0" fontId="3" fillId="0" borderId="6" xfId="2" applyFont="1" applyBorder="1" applyAlignment="1">
      <alignment horizontal="center" vertical="center" wrapText="1"/>
    </xf>
    <xf numFmtId="0" fontId="3" fillId="0" borderId="7" xfId="2" applyFont="1" applyBorder="1" applyAlignment="1">
      <alignment horizontal="center" vertical="center" wrapText="1"/>
    </xf>
    <xf numFmtId="0" fontId="3" fillId="0" borderId="8" xfId="2" applyFont="1" applyBorder="1" applyAlignment="1">
      <alignment horizontal="center" vertical="center" wrapText="1"/>
    </xf>
    <xf numFmtId="0" fontId="3" fillId="0" borderId="4" xfId="2" applyFont="1" applyBorder="1" applyAlignment="1">
      <alignment horizontal="center" vertical="center" wrapText="1"/>
    </xf>
    <xf numFmtId="0" fontId="3" fillId="0" borderId="9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14" fontId="4" fillId="2" borderId="2" xfId="2" applyNumberFormat="1" applyFont="1" applyFill="1" applyBorder="1" applyAlignment="1">
      <alignment horizontal="center" vertical="center" wrapText="1"/>
    </xf>
    <xf numFmtId="14" fontId="4" fillId="2" borderId="3" xfId="2" applyNumberFormat="1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horizontal="left"/>
    </xf>
    <xf numFmtId="0" fontId="0" fillId="0" borderId="0" xfId="0" applyBorder="1"/>
    <xf numFmtId="0" fontId="9" fillId="0" borderId="1" xfId="3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7" fillId="0" borderId="0" xfId="2" applyFont="1" applyBorder="1" applyAlignment="1">
      <alignment horizontal="center" vertical="center" wrapText="1"/>
    </xf>
    <xf numFmtId="0" fontId="4" fillId="0" borderId="0" xfId="2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4" fillId="0" borderId="13" xfId="2" applyFont="1" applyBorder="1" applyAlignment="1">
      <alignment horizontal="center" vertical="center" wrapText="1"/>
    </xf>
    <xf numFmtId="0" fontId="4" fillId="0" borderId="14" xfId="2" applyFont="1" applyBorder="1" applyAlignment="1">
      <alignment horizontal="center" vertical="center" wrapText="1"/>
    </xf>
    <xf numFmtId="0" fontId="4" fillId="0" borderId="15" xfId="2" applyFont="1" applyBorder="1" applyAlignment="1">
      <alignment horizontal="center" vertical="center" wrapText="1"/>
    </xf>
  </cellXfs>
  <cellStyles count="4">
    <cellStyle name="Hyperlink" xfId="3" builtinId="8"/>
    <cellStyle name="Normal" xfId="0" builtinId="0"/>
    <cellStyle name="Normal 3" xfId="2" xr:uid="{F48FF8C3-4BB0-41B8-AE82-AA81918F202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8620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989E64-3534-4BEB-94D5-84F5648421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8620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B0BF70-6526-48B5-92B8-D349DB7EE9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8620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A5D7BA-87E9-424A-A1B4-D4C8BADD80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8620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5C0516-21BB-4DEA-B603-163C110401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8620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F2E88D-3BA9-41BC-BB04-419407EB07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8620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958E95-4DAF-4F74-A929-00B1122E86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8620</xdr:colOff>
      <xdr:row>8</xdr:row>
      <xdr:rowOff>7744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E1F50FE-3A7C-EEC6-7744-0241235EAF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106334" y="42333"/>
          <a:ext cx="4106334" cy="109026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8620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2A8661-F2FE-44FE-8B03-AD997770E3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8620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74317A-B196-4F58-9FD2-7C2755DACD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8620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120097-8C20-4A05-82C2-FD6D8048B2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8620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F56C75-E609-47C0-BDAC-FA4789144E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8620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62F2C4-8AAD-4083-A9BE-EAD11F64DF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8620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EE9D52-7FF3-49A4-A912-ADE1AB4D5F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8620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65DB3A-96C8-41ED-A961-C924BFBBCF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8620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AC7303-DFD7-4AD7-AEC8-4AA6E6BD8C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8620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81B8C-8951-4793-B66A-27925A5ACE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8620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58E3C0-4D11-4EC6-A7B8-DD8C25BA97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8620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1FC4EE-4833-497A-9CE7-61CD77A6AE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8620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1921BE-C829-4DBE-9879-9993E9D0D2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169334</xdr:colOff>
      <xdr:row>2</xdr:row>
      <xdr:rowOff>42333</xdr:rowOff>
    </xdr:from>
    <xdr:to>
      <xdr:col>10</xdr:col>
      <xdr:colOff>8620</xdr:colOff>
      <xdr:row>8</xdr:row>
      <xdr:rowOff>7744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8258B9-D015-41E4-98CA-20A2BCA69F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551" t="1465" r="63036" b="82599"/>
        <a:stretch>
          <a:fillRect/>
        </a:stretch>
      </xdr:blipFill>
      <xdr:spPr>
        <a:xfrm>
          <a:off x="4371220" y="412447"/>
          <a:ext cx="4100892" cy="10757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pfiltri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mpfiltri.com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mpfiltri.com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mpfiltri.com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mpfiltri.com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mpfiltri.com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mpfiltri.com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mpfiltri.com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mpfiltri.com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mpfiltri.com/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mpfiltri.com/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mpfiltri.com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mpfiltri.com/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mpfiltri.com/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mpfiltri.com/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://www.mpfiltri.com/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://www.mpfiltri.com/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www.mpfiltri.com/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www.mpfiltri.com/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://www.mpfiltr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66AE5-1360-4827-B741-2421859206A8}">
  <dimension ref="B2:V39"/>
  <sheetViews>
    <sheetView workbookViewId="0">
      <selection activeCell="T9" sqref="T9"/>
    </sheetView>
  </sheetViews>
  <sheetFormatPr defaultColWidth="9.28515625" defaultRowHeight="15" x14ac:dyDescent="0.25"/>
  <cols>
    <col min="1" max="1" width="3.42578125" style="29" customWidth="1"/>
    <col min="2" max="2" width="14.7109375" style="29" bestFit="1" customWidth="1"/>
    <col min="3" max="3" width="11.140625" style="29" customWidth="1"/>
    <col min="4" max="12" width="9.28515625" style="29"/>
    <col min="13" max="13" width="4.7109375" style="29" customWidth="1"/>
    <col min="14" max="16384" width="9.28515625" style="29"/>
  </cols>
  <sheetData>
    <row r="2" spans="2:22" x14ac:dyDescent="0.25">
      <c r="B2" s="72" t="s">
        <v>50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/>
      <c r="N2" s="72" t="s">
        <v>51</v>
      </c>
      <c r="O2" s="72"/>
      <c r="P2" s="72"/>
      <c r="Q2" s="72"/>
      <c r="R2" s="72"/>
      <c r="S2" s="72"/>
      <c r="T2" s="72"/>
      <c r="U2" s="72"/>
      <c r="V2" s="72"/>
    </row>
    <row r="3" spans="2:22" x14ac:dyDescent="0.25"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N3" s="72"/>
      <c r="O3" s="72"/>
      <c r="P3" s="72"/>
      <c r="Q3" s="72"/>
      <c r="R3" s="72"/>
      <c r="S3" s="72"/>
      <c r="T3" s="72"/>
      <c r="U3" s="72"/>
      <c r="V3" s="72"/>
    </row>
    <row r="4" spans="2:22" x14ac:dyDescent="0.25">
      <c r="B4" s="26" t="s">
        <v>52</v>
      </c>
      <c r="C4" s="26" t="s">
        <v>53</v>
      </c>
      <c r="D4" s="26">
        <v>4</v>
      </c>
      <c r="E4" s="26">
        <v>6</v>
      </c>
      <c r="F4" s="26">
        <v>10</v>
      </c>
      <c r="G4" s="26">
        <v>14</v>
      </c>
      <c r="H4" s="26">
        <v>21</v>
      </c>
      <c r="I4" s="26">
        <v>25</v>
      </c>
      <c r="J4" s="26">
        <v>38</v>
      </c>
      <c r="K4" s="26">
        <v>50</v>
      </c>
      <c r="L4" s="26">
        <v>70</v>
      </c>
      <c r="N4" s="26">
        <v>4</v>
      </c>
      <c r="O4" s="26">
        <v>6</v>
      </c>
      <c r="P4" s="26">
        <v>10</v>
      </c>
      <c r="Q4" s="26">
        <v>14</v>
      </c>
      <c r="R4" s="26">
        <v>21</v>
      </c>
      <c r="S4" s="26">
        <v>25</v>
      </c>
      <c r="T4" s="26">
        <v>38</v>
      </c>
      <c r="U4" s="26">
        <v>50</v>
      </c>
      <c r="V4" s="26">
        <v>70</v>
      </c>
    </row>
    <row r="5" spans="2:22" x14ac:dyDescent="0.25">
      <c r="B5" s="30">
        <v>63010058</v>
      </c>
      <c r="C5" s="28" t="s">
        <v>54</v>
      </c>
      <c r="D5" s="28">
        <v>96</v>
      </c>
      <c r="E5" s="28">
        <v>234</v>
      </c>
      <c r="F5" s="28">
        <v>644</v>
      </c>
      <c r="G5" s="28">
        <v>1252</v>
      </c>
      <c r="H5" s="28">
        <v>2520</v>
      </c>
      <c r="I5" s="28">
        <v>3710</v>
      </c>
      <c r="J5" s="25">
        <v>10198</v>
      </c>
      <c r="K5" s="25">
        <v>15876</v>
      </c>
      <c r="L5" s="25">
        <v>25071</v>
      </c>
      <c r="N5" s="28">
        <v>1067280</v>
      </c>
      <c r="O5" s="28">
        <v>452414</v>
      </c>
      <c r="P5" s="28">
        <v>107290</v>
      </c>
      <c r="Q5" s="28">
        <v>34817</v>
      </c>
      <c r="R5" s="28">
        <v>10344</v>
      </c>
      <c r="S5" s="28">
        <v>4626</v>
      </c>
      <c r="T5" s="28">
        <v>438</v>
      </c>
      <c r="U5" s="28">
        <v>85</v>
      </c>
      <c r="V5" s="28">
        <v>4</v>
      </c>
    </row>
    <row r="6" spans="2:22" x14ac:dyDescent="0.25">
      <c r="B6" s="30">
        <v>63010051</v>
      </c>
      <c r="C6" s="28" t="s">
        <v>54</v>
      </c>
      <c r="D6" s="28">
        <v>92</v>
      </c>
      <c r="E6" s="28">
        <v>212</v>
      </c>
      <c r="F6" s="28">
        <v>578</v>
      </c>
      <c r="G6" s="28">
        <v>1110</v>
      </c>
      <c r="H6" s="28">
        <v>2210</v>
      </c>
      <c r="I6" s="28">
        <v>3204</v>
      </c>
      <c r="J6" s="25">
        <v>10011</v>
      </c>
      <c r="K6" s="25">
        <v>16174</v>
      </c>
      <c r="L6" s="25">
        <v>24822</v>
      </c>
      <c r="N6" s="28">
        <v>1080432</v>
      </c>
      <c r="O6" s="28">
        <v>464413</v>
      </c>
      <c r="P6" s="28">
        <v>108641</v>
      </c>
      <c r="Q6" s="28">
        <v>37354</v>
      </c>
      <c r="R6" s="28">
        <v>10130</v>
      </c>
      <c r="S6" s="28">
        <v>5439</v>
      </c>
      <c r="T6" s="28">
        <v>540</v>
      </c>
      <c r="U6" s="28">
        <v>83</v>
      </c>
      <c r="V6" s="28">
        <v>23</v>
      </c>
    </row>
    <row r="7" spans="2:22" x14ac:dyDescent="0.25">
      <c r="B7" s="30">
        <v>63010055</v>
      </c>
      <c r="C7" s="28" t="s">
        <v>54</v>
      </c>
      <c r="D7" s="28">
        <v>82</v>
      </c>
      <c r="E7" s="28">
        <v>190</v>
      </c>
      <c r="F7" s="28">
        <v>530</v>
      </c>
      <c r="G7" s="28">
        <v>1030</v>
      </c>
      <c r="H7" s="28">
        <v>2076</v>
      </c>
      <c r="I7" s="28">
        <v>3036</v>
      </c>
      <c r="J7" s="25">
        <v>10144</v>
      </c>
      <c r="K7" s="25">
        <v>15958</v>
      </c>
      <c r="L7" s="25">
        <v>25096</v>
      </c>
      <c r="N7" s="28">
        <v>1098065</v>
      </c>
      <c r="O7" s="28">
        <v>468172</v>
      </c>
      <c r="P7" s="28">
        <v>107450</v>
      </c>
      <c r="Q7" s="28">
        <v>36852</v>
      </c>
      <c r="R7" s="28">
        <v>11173</v>
      </c>
      <c r="S7" s="28">
        <v>5463</v>
      </c>
      <c r="T7" s="28">
        <v>195</v>
      </c>
      <c r="U7" s="28">
        <v>37</v>
      </c>
      <c r="V7" s="28">
        <v>4</v>
      </c>
    </row>
    <row r="8" spans="2:22" s="33" customFormat="1" x14ac:dyDescent="0.25">
      <c r="B8" s="30">
        <v>63010046</v>
      </c>
      <c r="C8" s="31" t="s">
        <v>54</v>
      </c>
      <c r="D8" s="31">
        <v>90</v>
      </c>
      <c r="E8" s="31">
        <v>218</v>
      </c>
      <c r="F8" s="31">
        <v>600</v>
      </c>
      <c r="G8" s="31">
        <v>1178</v>
      </c>
      <c r="H8" s="31">
        <v>2406</v>
      </c>
      <c r="I8" s="31">
        <v>3528</v>
      </c>
      <c r="J8" s="32">
        <v>9952</v>
      </c>
      <c r="K8" s="32">
        <v>16091</v>
      </c>
      <c r="L8" s="32">
        <v>24765</v>
      </c>
      <c r="N8" s="31">
        <v>1095753</v>
      </c>
      <c r="O8" s="31">
        <v>463914</v>
      </c>
      <c r="P8" s="31">
        <v>107953</v>
      </c>
      <c r="Q8" s="31">
        <v>35860</v>
      </c>
      <c r="R8" s="31">
        <v>10524</v>
      </c>
      <c r="S8" s="31">
        <v>4913</v>
      </c>
      <c r="T8" s="31">
        <v>292</v>
      </c>
      <c r="U8" s="31">
        <v>71</v>
      </c>
      <c r="V8" s="31">
        <v>11</v>
      </c>
    </row>
    <row r="9" spans="2:22" x14ac:dyDescent="0.25">
      <c r="B9" s="30">
        <v>63010063</v>
      </c>
      <c r="C9" s="28" t="s">
        <v>54</v>
      </c>
      <c r="D9" s="28">
        <v>86</v>
      </c>
      <c r="E9" s="28">
        <v>196</v>
      </c>
      <c r="F9" s="28">
        <v>546</v>
      </c>
      <c r="G9" s="28">
        <v>1076</v>
      </c>
      <c r="H9" s="28">
        <v>2230</v>
      </c>
      <c r="I9" s="28">
        <v>3408</v>
      </c>
      <c r="J9" s="25">
        <v>10233</v>
      </c>
      <c r="K9" s="25">
        <v>16112</v>
      </c>
      <c r="L9" s="25">
        <v>25018</v>
      </c>
      <c r="N9" s="28">
        <v>1081379</v>
      </c>
      <c r="O9" s="28">
        <v>467448</v>
      </c>
      <c r="P9" s="28">
        <v>107530</v>
      </c>
      <c r="Q9" s="28">
        <v>36531</v>
      </c>
      <c r="R9" s="28">
        <v>10988</v>
      </c>
      <c r="S9" s="28">
        <v>5210</v>
      </c>
      <c r="T9" s="28">
        <v>397</v>
      </c>
      <c r="U9" s="28">
        <v>146</v>
      </c>
      <c r="V9" s="28">
        <v>40</v>
      </c>
    </row>
    <row r="10" spans="2:22" x14ac:dyDescent="0.25">
      <c r="B10" s="30">
        <v>63010045</v>
      </c>
      <c r="C10" s="28" t="s">
        <v>54</v>
      </c>
      <c r="D10" s="28">
        <v>92</v>
      </c>
      <c r="E10" s="28">
        <v>212</v>
      </c>
      <c r="F10" s="28">
        <v>578</v>
      </c>
      <c r="G10" s="28">
        <v>1116</v>
      </c>
      <c r="H10" s="28">
        <v>2204</v>
      </c>
      <c r="I10" s="28">
        <v>3170</v>
      </c>
      <c r="J10" s="25">
        <v>9921</v>
      </c>
      <c r="K10" s="25">
        <v>15849</v>
      </c>
      <c r="L10" s="25">
        <v>24883</v>
      </c>
      <c r="N10" s="28">
        <v>1072065</v>
      </c>
      <c r="O10" s="28">
        <v>463979</v>
      </c>
      <c r="P10" s="28">
        <v>106685</v>
      </c>
      <c r="Q10" s="28">
        <v>36282</v>
      </c>
      <c r="R10" s="28">
        <v>10974</v>
      </c>
      <c r="S10" s="28">
        <v>5229</v>
      </c>
      <c r="T10" s="28">
        <v>153</v>
      </c>
      <c r="U10" s="28">
        <v>5</v>
      </c>
      <c r="V10" s="28">
        <v>0</v>
      </c>
    </row>
    <row r="11" spans="2:22" x14ac:dyDescent="0.25">
      <c r="B11" s="30">
        <v>63010048</v>
      </c>
      <c r="C11" s="28" t="s">
        <v>54</v>
      </c>
      <c r="D11" s="28">
        <v>80</v>
      </c>
      <c r="E11" s="28">
        <v>184</v>
      </c>
      <c r="F11" s="28">
        <v>514</v>
      </c>
      <c r="G11" s="28">
        <v>1006</v>
      </c>
      <c r="H11" s="28">
        <v>2032</v>
      </c>
      <c r="I11" s="28">
        <v>2962</v>
      </c>
      <c r="J11" s="25">
        <v>10165</v>
      </c>
      <c r="K11" s="25">
        <v>16205</v>
      </c>
      <c r="L11" s="25">
        <v>24750</v>
      </c>
      <c r="N11" s="28">
        <v>1084234</v>
      </c>
      <c r="O11" s="28">
        <v>465319</v>
      </c>
      <c r="P11" s="28">
        <v>108256</v>
      </c>
      <c r="Q11" s="28">
        <v>37308</v>
      </c>
      <c r="R11" s="28">
        <v>11293</v>
      </c>
      <c r="S11" s="28">
        <v>5214</v>
      </c>
      <c r="T11" s="28">
        <v>140</v>
      </c>
      <c r="U11" s="28">
        <v>35</v>
      </c>
      <c r="V11" s="28">
        <v>5</v>
      </c>
    </row>
    <row r="12" spans="2:22" x14ac:dyDescent="0.25">
      <c r="B12" s="30">
        <v>63010053</v>
      </c>
      <c r="C12" s="28" t="s">
        <v>54</v>
      </c>
      <c r="D12" s="28">
        <v>88</v>
      </c>
      <c r="E12" s="28">
        <v>198</v>
      </c>
      <c r="F12" s="28">
        <v>546</v>
      </c>
      <c r="G12" s="28">
        <v>1060</v>
      </c>
      <c r="H12" s="28">
        <v>2192</v>
      </c>
      <c r="I12" s="28">
        <v>3290</v>
      </c>
      <c r="J12" s="25">
        <v>10037</v>
      </c>
      <c r="K12" s="25">
        <v>16014</v>
      </c>
      <c r="L12" s="25">
        <v>25093</v>
      </c>
      <c r="N12" s="28">
        <v>1047957</v>
      </c>
      <c r="O12" s="28">
        <v>452696</v>
      </c>
      <c r="P12" s="28">
        <v>103307</v>
      </c>
      <c r="Q12" s="28">
        <v>35294</v>
      </c>
      <c r="R12" s="28">
        <v>10125</v>
      </c>
      <c r="S12" s="28">
        <v>4785</v>
      </c>
      <c r="T12" s="28">
        <v>251</v>
      </c>
      <c r="U12" s="28">
        <v>54</v>
      </c>
      <c r="V12" s="28">
        <v>13</v>
      </c>
    </row>
    <row r="13" spans="2:22" x14ac:dyDescent="0.25">
      <c r="B13" s="30">
        <v>63010060</v>
      </c>
      <c r="C13" s="28" t="s">
        <v>54</v>
      </c>
      <c r="D13" s="28">
        <v>68</v>
      </c>
      <c r="E13" s="28">
        <v>152</v>
      </c>
      <c r="F13" s="28">
        <v>428</v>
      </c>
      <c r="G13" s="28">
        <v>876</v>
      </c>
      <c r="H13" s="28">
        <v>1886</v>
      </c>
      <c r="I13" s="28">
        <v>2856</v>
      </c>
      <c r="J13" s="25">
        <v>10256</v>
      </c>
      <c r="K13" s="25">
        <v>15907</v>
      </c>
      <c r="L13" s="25">
        <v>24810</v>
      </c>
      <c r="N13" s="28">
        <v>1073037</v>
      </c>
      <c r="O13" s="28">
        <v>463405</v>
      </c>
      <c r="P13" s="28">
        <v>107139</v>
      </c>
      <c r="Q13" s="28">
        <v>36590</v>
      </c>
      <c r="R13" s="28">
        <v>10984</v>
      </c>
      <c r="S13" s="28">
        <v>5215</v>
      </c>
      <c r="T13" s="28">
        <v>245</v>
      </c>
      <c r="U13" s="28">
        <v>28</v>
      </c>
      <c r="V13" s="28">
        <v>5</v>
      </c>
    </row>
    <row r="14" spans="2:22" x14ac:dyDescent="0.25">
      <c r="B14" s="30">
        <v>63010059</v>
      </c>
      <c r="C14" s="28" t="s">
        <v>54</v>
      </c>
      <c r="D14" s="28">
        <v>90</v>
      </c>
      <c r="E14" s="28">
        <v>204</v>
      </c>
      <c r="F14" s="28">
        <v>552</v>
      </c>
      <c r="G14" s="28">
        <v>1064</v>
      </c>
      <c r="H14" s="28">
        <v>2092</v>
      </c>
      <c r="I14" s="28">
        <v>3036</v>
      </c>
      <c r="J14" s="25">
        <v>9879</v>
      </c>
      <c r="K14" s="25">
        <v>16188</v>
      </c>
      <c r="L14" s="25">
        <v>24977</v>
      </c>
      <c r="N14" s="28">
        <v>1067797</v>
      </c>
      <c r="O14" s="28">
        <v>465672</v>
      </c>
      <c r="P14" s="28">
        <v>109250</v>
      </c>
      <c r="Q14" s="28">
        <v>37641</v>
      </c>
      <c r="R14" s="28">
        <v>12062</v>
      </c>
      <c r="S14" s="28">
        <v>5929</v>
      </c>
      <c r="T14" s="28">
        <v>280</v>
      </c>
      <c r="U14" s="28">
        <v>59</v>
      </c>
      <c r="V14" s="28">
        <v>5</v>
      </c>
    </row>
    <row r="15" spans="2:22" x14ac:dyDescent="0.25">
      <c r="B15" s="30">
        <v>63010062</v>
      </c>
      <c r="C15" s="28" t="s">
        <v>54</v>
      </c>
      <c r="D15" s="28">
        <v>92</v>
      </c>
      <c r="E15" s="28">
        <v>206</v>
      </c>
      <c r="F15" s="28">
        <v>562</v>
      </c>
      <c r="G15" s="28">
        <v>1092</v>
      </c>
      <c r="H15" s="28">
        <v>2204</v>
      </c>
      <c r="I15" s="28">
        <v>3178</v>
      </c>
      <c r="J15" s="25">
        <v>10118</v>
      </c>
      <c r="K15" s="25">
        <v>15862</v>
      </c>
      <c r="L15" s="25">
        <v>24791</v>
      </c>
      <c r="N15" s="28">
        <v>1026589</v>
      </c>
      <c r="O15" s="28">
        <v>439066</v>
      </c>
      <c r="P15" s="28">
        <v>100360</v>
      </c>
      <c r="Q15" s="28">
        <v>34463</v>
      </c>
      <c r="R15" s="28">
        <v>10400</v>
      </c>
      <c r="S15" s="28">
        <v>5071</v>
      </c>
      <c r="T15" s="28">
        <v>291</v>
      </c>
      <c r="U15" s="28">
        <v>52</v>
      </c>
      <c r="V15" s="28">
        <v>5</v>
      </c>
    </row>
    <row r="16" spans="2:22" x14ac:dyDescent="0.25">
      <c r="B16" s="30">
        <v>63010057</v>
      </c>
      <c r="C16" s="28" t="s">
        <v>55</v>
      </c>
      <c r="D16" s="28">
        <v>74</v>
      </c>
      <c r="E16" s="28">
        <v>184</v>
      </c>
      <c r="F16" s="28">
        <v>599</v>
      </c>
      <c r="G16" s="28">
        <v>1020</v>
      </c>
      <c r="H16" s="28">
        <v>2080</v>
      </c>
      <c r="I16" s="28">
        <v>2938</v>
      </c>
      <c r="J16" s="25">
        <v>10084</v>
      </c>
      <c r="K16" s="25">
        <v>16139</v>
      </c>
      <c r="L16" s="25">
        <v>25112</v>
      </c>
      <c r="N16" s="28">
        <v>583527</v>
      </c>
      <c r="O16" s="28">
        <v>244923</v>
      </c>
      <c r="P16" s="28">
        <v>52820</v>
      </c>
      <c r="Q16" s="28">
        <v>18403</v>
      </c>
      <c r="R16" s="28">
        <v>5520</v>
      </c>
      <c r="S16" s="28">
        <v>2422</v>
      </c>
      <c r="T16" s="28">
        <v>176</v>
      </c>
      <c r="U16" s="28">
        <v>51</v>
      </c>
      <c r="V16" s="28">
        <v>11</v>
      </c>
    </row>
    <row r="17" spans="2:22" x14ac:dyDescent="0.25">
      <c r="B17" s="30">
        <v>63010064</v>
      </c>
      <c r="C17" s="28" t="s">
        <v>55</v>
      </c>
      <c r="D17" s="28">
        <v>84</v>
      </c>
      <c r="E17" s="28">
        <v>198</v>
      </c>
      <c r="F17" s="28">
        <v>562</v>
      </c>
      <c r="G17" s="28">
        <v>1126</v>
      </c>
      <c r="H17" s="28">
        <v>2374</v>
      </c>
      <c r="I17" s="28">
        <v>3670</v>
      </c>
      <c r="J17" s="25">
        <v>9944</v>
      </c>
      <c r="K17" s="25">
        <v>15971</v>
      </c>
      <c r="L17" s="25">
        <v>24856</v>
      </c>
      <c r="N17" s="28">
        <v>587439</v>
      </c>
      <c r="O17" s="28">
        <v>248984</v>
      </c>
      <c r="P17" s="28">
        <v>55040</v>
      </c>
      <c r="Q17" s="28">
        <v>18220</v>
      </c>
      <c r="R17" s="28">
        <v>5552</v>
      </c>
      <c r="S17" s="28">
        <v>2417</v>
      </c>
      <c r="T17" s="28">
        <v>197</v>
      </c>
      <c r="U17" s="28">
        <v>67</v>
      </c>
      <c r="V17" s="28">
        <v>22</v>
      </c>
    </row>
    <row r="18" spans="2:22" x14ac:dyDescent="0.25">
      <c r="B18" s="30">
        <v>63010052</v>
      </c>
      <c r="C18" s="28" t="s">
        <v>55</v>
      </c>
      <c r="D18" s="28">
        <v>70</v>
      </c>
      <c r="E18" s="28">
        <v>176</v>
      </c>
      <c r="F18" s="28">
        <v>538</v>
      </c>
      <c r="G18" s="28">
        <v>1074</v>
      </c>
      <c r="H18" s="28">
        <v>2394</v>
      </c>
      <c r="I18" s="28">
        <v>3666</v>
      </c>
      <c r="J18" s="25">
        <v>10201</v>
      </c>
      <c r="K18" s="25">
        <v>16053</v>
      </c>
      <c r="L18" s="25">
        <v>25029</v>
      </c>
      <c r="N18" s="28">
        <v>581699</v>
      </c>
      <c r="O18" s="28">
        <v>246254</v>
      </c>
      <c r="P18" s="28">
        <v>55816</v>
      </c>
      <c r="Q18" s="28">
        <v>18361</v>
      </c>
      <c r="R18" s="28">
        <v>4886</v>
      </c>
      <c r="S18" s="28">
        <v>2297</v>
      </c>
      <c r="T18" s="28">
        <v>178</v>
      </c>
      <c r="U18" s="28">
        <v>44</v>
      </c>
      <c r="V18" s="28">
        <v>11</v>
      </c>
    </row>
    <row r="19" spans="2:22" x14ac:dyDescent="0.25">
      <c r="B19" s="30">
        <v>63010054</v>
      </c>
      <c r="C19" s="28" t="s">
        <v>55</v>
      </c>
      <c r="D19" s="28">
        <v>86</v>
      </c>
      <c r="E19" s="28">
        <v>204</v>
      </c>
      <c r="F19" s="28">
        <v>572</v>
      </c>
      <c r="G19" s="28">
        <v>1108</v>
      </c>
      <c r="H19" s="28">
        <v>2382</v>
      </c>
      <c r="I19" s="28">
        <v>3608</v>
      </c>
      <c r="J19" s="25">
        <v>10029</v>
      </c>
      <c r="K19" s="25">
        <v>16221</v>
      </c>
      <c r="L19" s="25">
        <v>24748</v>
      </c>
      <c r="N19" s="28">
        <v>576773</v>
      </c>
      <c r="O19" s="28">
        <v>241361</v>
      </c>
      <c r="P19" s="28">
        <v>54256</v>
      </c>
      <c r="Q19" s="28">
        <v>18343</v>
      </c>
      <c r="R19" s="28">
        <v>5165</v>
      </c>
      <c r="S19" s="28">
        <v>2195</v>
      </c>
      <c r="T19" s="28">
        <v>196</v>
      </c>
      <c r="U19" s="28">
        <v>11</v>
      </c>
      <c r="V19" s="28">
        <v>0</v>
      </c>
    </row>
    <row r="20" spans="2:22" x14ac:dyDescent="0.25">
      <c r="B20" s="34">
        <v>63010061</v>
      </c>
      <c r="C20" s="28" t="s">
        <v>55</v>
      </c>
      <c r="D20" s="28">
        <v>90</v>
      </c>
      <c r="E20" s="28">
        <v>206</v>
      </c>
      <c r="F20" s="28">
        <v>566</v>
      </c>
      <c r="G20" s="28">
        <v>1106</v>
      </c>
      <c r="H20" s="28">
        <v>2376</v>
      </c>
      <c r="I20" s="28">
        <v>3696</v>
      </c>
      <c r="J20" s="25">
        <v>10177</v>
      </c>
      <c r="K20" s="25">
        <v>15895</v>
      </c>
      <c r="L20" s="25">
        <v>25088</v>
      </c>
      <c r="N20" s="28">
        <v>568042</v>
      </c>
      <c r="O20" s="28">
        <v>233547</v>
      </c>
      <c r="P20" s="28">
        <v>54256</v>
      </c>
      <c r="Q20" s="28">
        <v>19116</v>
      </c>
      <c r="R20" s="28">
        <v>5478</v>
      </c>
      <c r="S20" s="28">
        <v>2206</v>
      </c>
      <c r="T20" s="28">
        <v>146</v>
      </c>
      <c r="U20" s="28">
        <v>33</v>
      </c>
      <c r="V20" s="28">
        <v>5</v>
      </c>
    </row>
    <row r="21" spans="2:22" x14ac:dyDescent="0.25">
      <c r="B21" s="30">
        <v>63010049</v>
      </c>
      <c r="C21" s="28" t="s">
        <v>55</v>
      </c>
      <c r="D21" s="28">
        <v>80</v>
      </c>
      <c r="E21" s="28">
        <v>190</v>
      </c>
      <c r="F21" s="28">
        <v>542</v>
      </c>
      <c r="G21" s="28">
        <v>1084</v>
      </c>
      <c r="H21" s="28">
        <v>2606</v>
      </c>
      <c r="I21" s="28">
        <v>3570</v>
      </c>
      <c r="J21" s="25">
        <v>9907</v>
      </c>
      <c r="K21" s="25">
        <v>16076</v>
      </c>
      <c r="L21" s="25">
        <v>24844</v>
      </c>
      <c r="N21" s="28">
        <v>575120</v>
      </c>
      <c r="O21" s="28">
        <v>240372</v>
      </c>
      <c r="P21" s="28">
        <v>53477</v>
      </c>
      <c r="Q21" s="28">
        <v>17226</v>
      </c>
      <c r="R21" s="28">
        <v>4766</v>
      </c>
      <c r="S21" s="28">
        <v>1968</v>
      </c>
      <c r="T21" s="28">
        <v>124</v>
      </c>
      <c r="U21" s="28">
        <v>34</v>
      </c>
      <c r="V21" s="28">
        <v>0</v>
      </c>
    </row>
    <row r="22" spans="2:22" x14ac:dyDescent="0.25">
      <c r="B22" s="30">
        <v>63010047</v>
      </c>
      <c r="C22" s="28" t="s">
        <v>55</v>
      </c>
      <c r="D22" s="28">
        <v>84</v>
      </c>
      <c r="E22" s="28">
        <v>194</v>
      </c>
      <c r="F22" s="28">
        <v>544</v>
      </c>
      <c r="G22" s="28">
        <v>1102</v>
      </c>
      <c r="H22" s="28">
        <v>2350</v>
      </c>
      <c r="I22" s="28">
        <v>3700</v>
      </c>
      <c r="J22" s="25">
        <v>10245</v>
      </c>
      <c r="K22" s="25">
        <v>15924</v>
      </c>
      <c r="L22" s="25">
        <v>24995</v>
      </c>
      <c r="N22" s="28">
        <v>564137</v>
      </c>
      <c r="O22" s="28">
        <v>233524</v>
      </c>
      <c r="P22" s="28">
        <v>51730</v>
      </c>
      <c r="Q22" s="28">
        <v>17526</v>
      </c>
      <c r="R22" s="28">
        <v>5242</v>
      </c>
      <c r="S22" s="28">
        <v>2362</v>
      </c>
      <c r="T22" s="28">
        <v>213</v>
      </c>
      <c r="U22" s="28">
        <v>50</v>
      </c>
      <c r="V22" s="28">
        <v>11</v>
      </c>
    </row>
    <row r="23" spans="2:22" x14ac:dyDescent="0.25">
      <c r="B23" s="30">
        <v>63010056</v>
      </c>
      <c r="C23" s="28" t="s">
        <v>55</v>
      </c>
      <c r="D23" s="28">
        <v>82</v>
      </c>
      <c r="E23" s="28">
        <v>194</v>
      </c>
      <c r="F23" s="28">
        <v>552</v>
      </c>
      <c r="G23" s="28">
        <v>1132</v>
      </c>
      <c r="H23" s="28">
        <v>2460</v>
      </c>
      <c r="I23" s="28">
        <v>3678</v>
      </c>
      <c r="J23" s="25">
        <v>9988</v>
      </c>
      <c r="K23" s="25">
        <v>16167</v>
      </c>
      <c r="L23" s="25">
        <v>24783</v>
      </c>
      <c r="N23" s="28">
        <v>588203</v>
      </c>
      <c r="O23" s="28">
        <v>241359</v>
      </c>
      <c r="P23" s="28">
        <v>54502</v>
      </c>
      <c r="Q23" s="28">
        <v>18240</v>
      </c>
      <c r="R23" s="28">
        <v>5174</v>
      </c>
      <c r="S23" s="28">
        <v>2277</v>
      </c>
      <c r="T23" s="28">
        <v>213</v>
      </c>
      <c r="U23" s="28">
        <v>22</v>
      </c>
      <c r="V23" s="28">
        <v>0</v>
      </c>
    </row>
    <row r="24" spans="2:22" x14ac:dyDescent="0.25">
      <c r="B24" s="30">
        <v>63010050</v>
      </c>
      <c r="C24" s="28" t="s">
        <v>55</v>
      </c>
      <c r="D24" s="28">
        <v>88</v>
      </c>
      <c r="E24" s="28">
        <v>198</v>
      </c>
      <c r="F24" s="28">
        <v>534</v>
      </c>
      <c r="G24" s="28">
        <v>1022</v>
      </c>
      <c r="H24" s="28">
        <v>2070</v>
      </c>
      <c r="I24" s="28">
        <v>3086</v>
      </c>
      <c r="J24" s="25">
        <v>10132</v>
      </c>
      <c r="K24" s="25">
        <v>15873</v>
      </c>
      <c r="L24" s="25">
        <v>25054</v>
      </c>
      <c r="N24" s="28">
        <v>580080</v>
      </c>
      <c r="O24" s="28">
        <v>247742</v>
      </c>
      <c r="P24" s="28">
        <v>57630</v>
      </c>
      <c r="Q24" s="28">
        <v>20111</v>
      </c>
      <c r="R24" s="28">
        <v>6461</v>
      </c>
      <c r="S24" s="28">
        <v>3057</v>
      </c>
      <c r="T24" s="28">
        <v>159</v>
      </c>
      <c r="U24" s="28">
        <v>51</v>
      </c>
      <c r="V24" s="28">
        <v>0</v>
      </c>
    </row>
    <row r="25" spans="2:22" x14ac:dyDescent="0.25">
      <c r="J25" s="29">
        <v>10072</v>
      </c>
      <c r="K25" s="29">
        <v>16030</v>
      </c>
      <c r="L25" s="29">
        <v>24934</v>
      </c>
    </row>
    <row r="26" spans="2:22" hidden="1" x14ac:dyDescent="0.25"/>
    <row r="27" spans="2:22" hidden="1" x14ac:dyDescent="0.25"/>
    <row r="28" spans="2:22" x14ac:dyDescent="0.25">
      <c r="T28" s="35"/>
      <c r="U28" s="35"/>
    </row>
    <row r="29" spans="2:22" x14ac:dyDescent="0.25">
      <c r="B29" s="36" t="s">
        <v>56</v>
      </c>
      <c r="C29" s="36"/>
      <c r="D29" s="73" t="s">
        <v>57</v>
      </c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35"/>
      <c r="U29" s="35"/>
      <c r="V29" s="35"/>
    </row>
    <row r="30" spans="2:22" x14ac:dyDescent="0.25">
      <c r="B30" s="29" t="s">
        <v>58</v>
      </c>
      <c r="D30" s="71" t="s">
        <v>59</v>
      </c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35"/>
      <c r="U30" s="35"/>
      <c r="V30" s="35"/>
    </row>
    <row r="31" spans="2:22" x14ac:dyDescent="0.25">
      <c r="B31" s="29" t="s">
        <v>60</v>
      </c>
      <c r="D31" s="71" t="s">
        <v>61</v>
      </c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35"/>
      <c r="U31" s="35"/>
      <c r="V31" s="35"/>
    </row>
    <row r="32" spans="2:22" x14ac:dyDescent="0.25">
      <c r="B32" s="29" t="s">
        <v>62</v>
      </c>
      <c r="D32" s="37" t="s">
        <v>63</v>
      </c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5"/>
      <c r="U32" s="35"/>
      <c r="V32" s="35"/>
    </row>
    <row r="33" spans="2:22" ht="14.65" customHeight="1" x14ac:dyDescent="0.25">
      <c r="B33" s="29" t="s">
        <v>64</v>
      </c>
      <c r="D33" s="71" t="s">
        <v>65</v>
      </c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35"/>
      <c r="U33" s="35"/>
      <c r="V33" s="35"/>
    </row>
    <row r="34" spans="2:22" x14ac:dyDescent="0.25">
      <c r="B34" s="29" t="s">
        <v>66</v>
      </c>
      <c r="D34" s="71" t="s">
        <v>67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35"/>
      <c r="U34" s="35"/>
      <c r="V34" s="35"/>
    </row>
    <row r="35" spans="2:22" ht="14.65" customHeight="1" x14ac:dyDescent="0.25">
      <c r="B35" s="29" t="s">
        <v>68</v>
      </c>
      <c r="D35" s="71" t="s">
        <v>69</v>
      </c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35"/>
      <c r="U35" s="35"/>
    </row>
    <row r="36" spans="2:22" x14ac:dyDescent="0.25">
      <c r="B36" s="29" t="s">
        <v>70</v>
      </c>
      <c r="D36" s="71" t="s">
        <v>71</v>
      </c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35"/>
      <c r="U36" s="35"/>
    </row>
    <row r="37" spans="2:22" x14ac:dyDescent="0.25">
      <c r="B37" s="29" t="s">
        <v>72</v>
      </c>
      <c r="D37" s="74" t="s">
        <v>73</v>
      </c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</row>
    <row r="38" spans="2:22" x14ac:dyDescent="0.25">
      <c r="B38" s="29" t="s">
        <v>72</v>
      </c>
      <c r="D38" s="71" t="s">
        <v>74</v>
      </c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</row>
    <row r="39" spans="2:22" x14ac:dyDescent="0.25">
      <c r="B39" s="29" t="s">
        <v>75</v>
      </c>
      <c r="D39" s="71" t="s">
        <v>76</v>
      </c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</row>
  </sheetData>
  <mergeCells count="12">
    <mergeCell ref="D39:S39"/>
    <mergeCell ref="B2:L3"/>
    <mergeCell ref="N2:V3"/>
    <mergeCell ref="D29:S29"/>
    <mergeCell ref="D30:S30"/>
    <mergeCell ref="D31:S31"/>
    <mergeCell ref="D33:S33"/>
    <mergeCell ref="D34:S34"/>
    <mergeCell ref="D35:S35"/>
    <mergeCell ref="D36:S36"/>
    <mergeCell ref="D37:S37"/>
    <mergeCell ref="D38:S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5B94-81F8-4659-9386-996CA5367312}">
  <sheetPr>
    <pageSetUpPr fitToPage="1"/>
  </sheetPr>
  <dimension ref="B2:S63"/>
  <sheetViews>
    <sheetView showGridLines="0" zoomScale="90" zoomScaleNormal="90" workbookViewId="0">
      <selection activeCell="C10" sqref="C10:J17"/>
    </sheetView>
  </sheetViews>
  <sheetFormatPr defaultRowHeight="15" x14ac:dyDescent="0.25"/>
  <cols>
    <col min="1" max="1" width="3.7109375" customWidth="1"/>
    <col min="2" max="2" width="3.140625" customWidth="1"/>
    <col min="3" max="3" width="10" customWidth="1"/>
    <col min="4" max="4" width="16.7109375" customWidth="1"/>
    <col min="5" max="5" width="25.7109375" customWidth="1"/>
    <col min="6" max="6" width="4" customWidth="1"/>
    <col min="7" max="7" width="10" customWidth="1"/>
    <col min="8" max="8" width="25.7109375" customWidth="1"/>
    <col min="9" max="9" width="10.140625" customWidth="1"/>
    <col min="10" max="10" width="10.85546875" customWidth="1"/>
    <col min="11" max="11" width="3.140625" customWidth="1"/>
  </cols>
  <sheetData>
    <row r="2" spans="2:11" x14ac:dyDescent="0.2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1" x14ac:dyDescent="0.25">
      <c r="B3" s="18"/>
      <c r="C3" t="s">
        <v>42</v>
      </c>
      <c r="K3" s="19"/>
    </row>
    <row r="4" spans="2:11" x14ac:dyDescent="0.25">
      <c r="B4" s="18"/>
      <c r="C4" t="s">
        <v>43</v>
      </c>
      <c r="K4" s="19"/>
    </row>
    <row r="5" spans="2:11" x14ac:dyDescent="0.25">
      <c r="B5" s="18"/>
      <c r="C5" t="s">
        <v>44</v>
      </c>
      <c r="K5" s="19"/>
    </row>
    <row r="6" spans="2:11" x14ac:dyDescent="0.25">
      <c r="B6" s="18"/>
      <c r="C6" t="s">
        <v>45</v>
      </c>
      <c r="K6" s="19"/>
    </row>
    <row r="7" spans="2:11" x14ac:dyDescent="0.25">
      <c r="B7" s="18"/>
      <c r="C7" t="s">
        <v>46</v>
      </c>
      <c r="K7" s="19"/>
    </row>
    <row r="8" spans="2:11" x14ac:dyDescent="0.25">
      <c r="B8" s="18"/>
      <c r="C8" s="20" t="s">
        <v>47</v>
      </c>
      <c r="K8" s="19"/>
    </row>
    <row r="9" spans="2:11" x14ac:dyDescent="0.25">
      <c r="B9" s="18"/>
      <c r="C9" s="20"/>
      <c r="K9" s="19"/>
    </row>
    <row r="10" spans="2:11" x14ac:dyDescent="0.25">
      <c r="B10" s="18"/>
      <c r="C10" s="86" t="s">
        <v>77</v>
      </c>
      <c r="D10" s="76"/>
      <c r="E10" s="76"/>
      <c r="F10" s="76"/>
      <c r="G10" s="76"/>
      <c r="H10" s="76"/>
      <c r="I10" s="76"/>
      <c r="J10" s="76"/>
      <c r="K10" s="19"/>
    </row>
    <row r="11" spans="2:11" x14ac:dyDescent="0.25">
      <c r="B11" s="18"/>
      <c r="C11" s="76"/>
      <c r="D11" s="76"/>
      <c r="E11" s="76"/>
      <c r="F11" s="76"/>
      <c r="G11" s="76"/>
      <c r="H11" s="76"/>
      <c r="I11" s="76"/>
      <c r="J11" s="76"/>
      <c r="K11" s="19"/>
    </row>
    <row r="12" spans="2:11" x14ac:dyDescent="0.25">
      <c r="B12" s="18"/>
      <c r="C12" s="90" t="s">
        <v>78</v>
      </c>
      <c r="D12" s="90"/>
      <c r="E12" s="90"/>
      <c r="F12" s="90"/>
      <c r="G12" s="90" t="s">
        <v>79</v>
      </c>
      <c r="H12" s="90"/>
      <c r="I12" s="90"/>
      <c r="J12" s="90"/>
      <c r="K12" s="19"/>
    </row>
    <row r="13" spans="2:11" x14ac:dyDescent="0.25">
      <c r="B13" s="18"/>
      <c r="C13" s="90"/>
      <c r="D13" s="90"/>
      <c r="E13" s="90"/>
      <c r="F13" s="90"/>
      <c r="G13" s="90"/>
      <c r="H13" s="90"/>
      <c r="I13" s="90"/>
      <c r="J13" s="90"/>
      <c r="K13" s="19"/>
    </row>
    <row r="14" spans="2:11" x14ac:dyDescent="0.25">
      <c r="B14" s="18"/>
      <c r="C14" s="90"/>
      <c r="D14" s="90"/>
      <c r="E14" s="90"/>
      <c r="F14" s="90"/>
      <c r="G14" s="90"/>
      <c r="H14" s="90"/>
      <c r="I14" s="90"/>
      <c r="J14" s="90"/>
      <c r="K14" s="19"/>
    </row>
    <row r="15" spans="2:11" x14ac:dyDescent="0.25">
      <c r="B15" s="18"/>
      <c r="C15" s="90" t="s">
        <v>80</v>
      </c>
      <c r="D15" s="90"/>
      <c r="E15" s="90"/>
      <c r="F15" s="90"/>
      <c r="G15" s="77" t="s">
        <v>81</v>
      </c>
      <c r="H15" s="78"/>
      <c r="I15" s="78"/>
      <c r="J15" s="79"/>
      <c r="K15" s="19"/>
    </row>
    <row r="16" spans="2:11" x14ac:dyDescent="0.25">
      <c r="B16" s="18"/>
      <c r="C16" s="90"/>
      <c r="D16" s="90"/>
      <c r="E16" s="90"/>
      <c r="F16" s="90"/>
      <c r="G16" s="80"/>
      <c r="H16" s="81"/>
      <c r="I16" s="81"/>
      <c r="J16" s="82"/>
      <c r="K16" s="19"/>
    </row>
    <row r="17" spans="2:19" x14ac:dyDescent="0.25">
      <c r="B17" s="18"/>
      <c r="C17" s="90"/>
      <c r="D17" s="90"/>
      <c r="E17" s="90"/>
      <c r="F17" s="90"/>
      <c r="G17" s="83"/>
      <c r="H17" s="84"/>
      <c r="I17" s="84"/>
      <c r="J17" s="85"/>
      <c r="K17" s="19"/>
    </row>
    <row r="18" spans="2:19" ht="14.65" customHeight="1" x14ac:dyDescent="0.25">
      <c r="B18" s="18"/>
      <c r="C18" s="87"/>
      <c r="D18" s="87"/>
      <c r="E18" s="87"/>
      <c r="F18" s="87"/>
      <c r="G18" s="87"/>
      <c r="H18" s="87"/>
      <c r="I18" s="87"/>
      <c r="J18" s="87"/>
      <c r="K18" s="19"/>
    </row>
    <row r="19" spans="2:19" ht="14.65" customHeight="1" x14ac:dyDescent="0.25">
      <c r="B19" s="18"/>
      <c r="C19" s="59" t="s">
        <v>0</v>
      </c>
      <c r="D19" s="60"/>
      <c r="E19" s="60"/>
      <c r="F19" s="60"/>
      <c r="G19" s="60"/>
      <c r="H19" s="60"/>
      <c r="I19" s="60"/>
      <c r="J19" s="61"/>
      <c r="K19" s="19"/>
    </row>
    <row r="20" spans="2:19" x14ac:dyDescent="0.25">
      <c r="B20" s="18"/>
      <c r="C20" s="62"/>
      <c r="D20" s="63"/>
      <c r="E20" s="63"/>
      <c r="F20" s="63"/>
      <c r="G20" s="63"/>
      <c r="H20" s="63"/>
      <c r="I20" s="63"/>
      <c r="J20" s="64"/>
      <c r="K20" s="19"/>
      <c r="Q20" s="75"/>
      <c r="R20" s="75"/>
      <c r="S20" s="75"/>
    </row>
    <row r="21" spans="2:19" ht="14.65" customHeight="1" x14ac:dyDescent="0.25">
      <c r="B21" s="18"/>
      <c r="C21" s="91" t="s">
        <v>1</v>
      </c>
      <c r="D21" s="3" t="s">
        <v>2</v>
      </c>
      <c r="E21" s="4" t="s">
        <v>3</v>
      </c>
      <c r="F21" s="5"/>
      <c r="G21" s="53" t="s">
        <v>4</v>
      </c>
      <c r="H21" s="54"/>
      <c r="I21" s="66">
        <v>46183</v>
      </c>
      <c r="J21" s="67"/>
      <c r="K21" s="19"/>
      <c r="Q21" s="75"/>
      <c r="R21" s="75"/>
      <c r="S21" s="75"/>
    </row>
    <row r="22" spans="2:19" ht="14.65" customHeight="1" x14ac:dyDescent="0.25">
      <c r="B22" s="18"/>
      <c r="C22" s="92"/>
      <c r="D22" s="3" t="s">
        <v>5</v>
      </c>
      <c r="E22" s="4">
        <v>63010045</v>
      </c>
      <c r="F22" s="5"/>
      <c r="G22" s="53" t="s">
        <v>6</v>
      </c>
      <c r="H22" s="54"/>
      <c r="I22" s="68" t="s">
        <v>7</v>
      </c>
      <c r="J22" s="69"/>
      <c r="K22" s="19"/>
      <c r="P22" s="13"/>
      <c r="Q22" s="88"/>
      <c r="R22" s="88"/>
      <c r="S22" s="75"/>
    </row>
    <row r="23" spans="2:19" ht="15.4" customHeight="1" x14ac:dyDescent="0.25">
      <c r="B23" s="18"/>
      <c r="C23" s="92"/>
      <c r="D23" s="3" t="s">
        <v>2</v>
      </c>
      <c r="E23" s="4" t="s">
        <v>8</v>
      </c>
      <c r="F23" s="5"/>
      <c r="G23" s="51" t="s">
        <v>9</v>
      </c>
      <c r="H23" s="52"/>
      <c r="I23" s="68" t="s">
        <v>10</v>
      </c>
      <c r="J23" s="69"/>
      <c r="K23" s="19"/>
      <c r="P23" s="14"/>
      <c r="Q23" s="89"/>
      <c r="R23" s="89"/>
      <c r="S23" s="75"/>
    </row>
    <row r="24" spans="2:19" ht="14.65" customHeight="1" x14ac:dyDescent="0.25">
      <c r="B24" s="18"/>
      <c r="C24" s="93"/>
      <c r="D24" s="3" t="s">
        <v>5</v>
      </c>
      <c r="E24" s="4" t="s">
        <v>11</v>
      </c>
      <c r="F24" s="5"/>
      <c r="G24" s="39" t="s">
        <v>12</v>
      </c>
      <c r="H24" s="40"/>
      <c r="I24" s="68" t="s">
        <v>13</v>
      </c>
      <c r="J24" s="69"/>
      <c r="K24" s="19"/>
      <c r="P24" s="14"/>
      <c r="Q24" s="46"/>
      <c r="R24" s="46"/>
    </row>
    <row r="25" spans="2:19" ht="14.65" customHeight="1" x14ac:dyDescent="0.25">
      <c r="B25" s="18"/>
      <c r="C25" s="53" t="s">
        <v>14</v>
      </c>
      <c r="D25" s="54"/>
      <c r="E25" s="4">
        <v>54</v>
      </c>
      <c r="F25" s="5"/>
      <c r="G25" s="51" t="s">
        <v>15</v>
      </c>
      <c r="H25" s="52"/>
      <c r="I25" s="6">
        <v>30000</v>
      </c>
      <c r="J25" s="3" t="s">
        <v>16</v>
      </c>
      <c r="K25" s="19"/>
      <c r="P25" s="14"/>
      <c r="Q25" s="46"/>
      <c r="R25" s="46"/>
    </row>
    <row r="26" spans="2:19" ht="14.65" customHeight="1" x14ac:dyDescent="0.25">
      <c r="B26" s="18"/>
      <c r="C26" s="53" t="s">
        <v>17</v>
      </c>
      <c r="D26" s="54"/>
      <c r="E26" s="4">
        <v>40</v>
      </c>
      <c r="F26" s="5"/>
      <c r="G26" s="53" t="s">
        <v>18</v>
      </c>
      <c r="H26" s="54"/>
      <c r="I26" s="6">
        <v>30</v>
      </c>
      <c r="J26" s="3" t="s">
        <v>19</v>
      </c>
      <c r="K26" s="19"/>
      <c r="P26" s="14"/>
      <c r="Q26" s="46"/>
      <c r="R26" s="46"/>
    </row>
    <row r="27" spans="2:19" x14ac:dyDescent="0.25">
      <c r="B27" s="18"/>
      <c r="C27" s="53" t="s">
        <v>20</v>
      </c>
      <c r="D27" s="54"/>
      <c r="E27" s="7">
        <v>1.2E-2</v>
      </c>
      <c r="F27" s="5"/>
      <c r="G27" s="53" t="s">
        <v>21</v>
      </c>
      <c r="H27" s="54"/>
      <c r="I27" s="6">
        <v>30</v>
      </c>
      <c r="J27" s="3" t="s">
        <v>19</v>
      </c>
      <c r="K27" s="19"/>
      <c r="P27" s="14"/>
      <c r="Q27" s="46"/>
      <c r="R27" s="46"/>
    </row>
    <row r="28" spans="2:19" x14ac:dyDescent="0.25">
      <c r="B28" s="18"/>
      <c r="C28" s="55" t="s">
        <v>22</v>
      </c>
      <c r="D28" s="55"/>
      <c r="E28" s="55"/>
      <c r="F28" s="55"/>
      <c r="G28" s="55"/>
      <c r="H28" s="55"/>
      <c r="I28" s="55"/>
      <c r="J28" s="55"/>
      <c r="K28" s="19"/>
      <c r="P28" s="14"/>
      <c r="Q28" s="46"/>
      <c r="R28" s="46"/>
    </row>
    <row r="29" spans="2:19" x14ac:dyDescent="0.25">
      <c r="B29" s="18"/>
      <c r="C29" s="2" t="s">
        <v>23</v>
      </c>
      <c r="D29" s="48">
        <v>0.5</v>
      </c>
      <c r="E29" s="48"/>
      <c r="F29" s="2" t="s">
        <v>24</v>
      </c>
      <c r="G29" s="2" t="s">
        <v>25</v>
      </c>
      <c r="H29" s="48">
        <v>2.7</v>
      </c>
      <c r="I29" s="48"/>
      <c r="J29" s="2" t="s">
        <v>26</v>
      </c>
      <c r="K29" s="19"/>
      <c r="P29" s="14"/>
      <c r="Q29" s="46"/>
      <c r="R29" s="46"/>
    </row>
    <row r="30" spans="2:19" ht="14.1" customHeight="1" x14ac:dyDescent="0.25">
      <c r="B30" s="18"/>
      <c r="C30" s="2" t="s">
        <v>27</v>
      </c>
      <c r="D30" s="48">
        <v>0.6</v>
      </c>
      <c r="E30" s="48"/>
      <c r="F30" s="2" t="s">
        <v>24</v>
      </c>
      <c r="G30" s="2" t="s">
        <v>28</v>
      </c>
      <c r="H30" s="48">
        <v>8.3000000000000007</v>
      </c>
      <c r="I30" s="48"/>
      <c r="J30" s="2" t="s">
        <v>26</v>
      </c>
      <c r="K30" s="19"/>
      <c r="P30" s="14"/>
      <c r="Q30" s="46"/>
      <c r="R30" s="46"/>
    </row>
    <row r="31" spans="2:19" ht="14.65" customHeight="1" x14ac:dyDescent="0.25">
      <c r="B31" s="18"/>
      <c r="C31" s="2" t="s">
        <v>29</v>
      </c>
      <c r="D31" s="48">
        <v>10.199999999999999</v>
      </c>
      <c r="E31" s="48"/>
      <c r="F31" s="2" t="s">
        <v>24</v>
      </c>
      <c r="G31" s="2" t="s">
        <v>30</v>
      </c>
      <c r="H31" s="48">
        <v>8.3000000000000007</v>
      </c>
      <c r="I31" s="48"/>
      <c r="J31" s="2" t="s">
        <v>26</v>
      </c>
      <c r="K31" s="19"/>
      <c r="P31" s="14"/>
      <c r="Q31" s="46"/>
      <c r="R31" s="46"/>
    </row>
    <row r="32" spans="2:19" x14ac:dyDescent="0.25">
      <c r="B32" s="18"/>
      <c r="C32" s="1"/>
      <c r="D32" s="1"/>
      <c r="E32" s="1"/>
      <c r="F32" s="1"/>
      <c r="G32" s="1"/>
      <c r="H32" s="1"/>
      <c r="I32" s="1"/>
      <c r="J32" s="1"/>
      <c r="K32" s="19"/>
    </row>
    <row r="33" spans="2:11" x14ac:dyDescent="0.25">
      <c r="B33" s="18"/>
      <c r="C33" s="47" t="s">
        <v>31</v>
      </c>
      <c r="D33" s="47"/>
      <c r="E33" s="47"/>
      <c r="F33" s="1"/>
      <c r="G33" s="47" t="s">
        <v>32</v>
      </c>
      <c r="H33" s="47"/>
      <c r="I33" s="47"/>
      <c r="J33" s="47"/>
      <c r="K33" s="19"/>
    </row>
    <row r="34" spans="2:11" ht="30" x14ac:dyDescent="0.25">
      <c r="B34" s="18"/>
      <c r="C34" s="8" t="s">
        <v>33</v>
      </c>
      <c r="D34" s="8" t="s">
        <v>34</v>
      </c>
      <c r="E34" s="8" t="s">
        <v>35</v>
      </c>
      <c r="F34" s="1"/>
      <c r="G34" s="8" t="s">
        <v>33</v>
      </c>
      <c r="H34" s="8" t="s">
        <v>36</v>
      </c>
      <c r="I34" s="47" t="s">
        <v>37</v>
      </c>
      <c r="J34" s="47"/>
      <c r="K34" s="19"/>
    </row>
    <row r="35" spans="2:11" x14ac:dyDescent="0.25">
      <c r="B35" s="18"/>
      <c r="C35" s="9" t="s">
        <v>38</v>
      </c>
      <c r="D35" s="9" t="s">
        <v>39</v>
      </c>
      <c r="E35" s="9" t="s">
        <v>39</v>
      </c>
      <c r="F35" s="1"/>
      <c r="G35" s="9" t="s">
        <v>38</v>
      </c>
      <c r="H35" s="9" t="s">
        <v>39</v>
      </c>
      <c r="I35" s="70" t="s">
        <v>40</v>
      </c>
      <c r="J35" s="70"/>
      <c r="K35" s="19"/>
    </row>
    <row r="36" spans="2:11" x14ac:dyDescent="0.25">
      <c r="B36" s="18"/>
      <c r="C36" s="4">
        <v>4</v>
      </c>
      <c r="D36" s="4">
        <v>10809.4</v>
      </c>
      <c r="E36" s="10">
        <f>1072065/100</f>
        <v>10720.65</v>
      </c>
      <c r="F36" s="1"/>
      <c r="G36" s="4">
        <f>C36</f>
        <v>4</v>
      </c>
      <c r="H36" s="4">
        <f>D36</f>
        <v>10809.4</v>
      </c>
      <c r="I36" s="44">
        <v>92</v>
      </c>
      <c r="J36" s="45"/>
      <c r="K36" s="19"/>
    </row>
    <row r="37" spans="2:11" x14ac:dyDescent="0.25">
      <c r="B37" s="18"/>
      <c r="C37" s="4">
        <v>6</v>
      </c>
      <c r="D37" s="4">
        <v>4647.7</v>
      </c>
      <c r="E37" s="10">
        <f>463979/100</f>
        <v>4639.79</v>
      </c>
      <c r="F37" s="1"/>
      <c r="G37" s="4">
        <f t="shared" ref="G37:H45" si="0">C37</f>
        <v>6</v>
      </c>
      <c r="H37" s="4">
        <f t="shared" si="0"/>
        <v>4647.7</v>
      </c>
      <c r="I37" s="44">
        <v>212</v>
      </c>
      <c r="J37" s="45"/>
      <c r="K37" s="19"/>
    </row>
    <row r="38" spans="2:11" x14ac:dyDescent="0.25">
      <c r="B38" s="18"/>
      <c r="C38" s="4">
        <v>10</v>
      </c>
      <c r="D38" s="4">
        <v>1074.3</v>
      </c>
      <c r="E38" s="10">
        <f>106685/100</f>
        <v>1066.8499999999999</v>
      </c>
      <c r="F38" s="1"/>
      <c r="G38" s="4">
        <f t="shared" si="0"/>
        <v>10</v>
      </c>
      <c r="H38" s="4">
        <f t="shared" si="0"/>
        <v>1074.3</v>
      </c>
      <c r="I38" s="44">
        <v>578</v>
      </c>
      <c r="J38" s="45"/>
      <c r="K38" s="19"/>
    </row>
    <row r="39" spans="2:11" x14ac:dyDescent="0.25">
      <c r="B39" s="18"/>
      <c r="C39" s="4">
        <v>14</v>
      </c>
      <c r="D39" s="4">
        <v>365.5</v>
      </c>
      <c r="E39" s="10">
        <f>36282/100</f>
        <v>362.82</v>
      </c>
      <c r="F39" s="1"/>
      <c r="G39" s="4">
        <f t="shared" si="0"/>
        <v>14</v>
      </c>
      <c r="H39" s="4">
        <f t="shared" si="0"/>
        <v>365.5</v>
      </c>
      <c r="I39" s="44">
        <v>1116</v>
      </c>
      <c r="J39" s="45"/>
      <c r="K39" s="19"/>
    </row>
    <row r="40" spans="2:11" x14ac:dyDescent="0.25">
      <c r="B40" s="18"/>
      <c r="C40" s="4">
        <v>21</v>
      </c>
      <c r="D40" s="4">
        <v>109.8</v>
      </c>
      <c r="E40" s="10">
        <f>10974/100</f>
        <v>109.74</v>
      </c>
      <c r="F40" s="1"/>
      <c r="G40" s="4">
        <f t="shared" si="0"/>
        <v>21</v>
      </c>
      <c r="H40" s="4">
        <f t="shared" si="0"/>
        <v>109.8</v>
      </c>
      <c r="I40" s="44">
        <v>2204</v>
      </c>
      <c r="J40" s="45"/>
      <c r="K40" s="19"/>
    </row>
    <row r="41" spans="2:11" x14ac:dyDescent="0.25">
      <c r="B41" s="18"/>
      <c r="C41" s="4">
        <v>25</v>
      </c>
      <c r="D41" s="4">
        <v>52.1</v>
      </c>
      <c r="E41" s="10">
        <f>5229/100</f>
        <v>52.29</v>
      </c>
      <c r="F41" s="1"/>
      <c r="G41" s="4">
        <f t="shared" si="0"/>
        <v>25</v>
      </c>
      <c r="H41" s="4">
        <f t="shared" si="0"/>
        <v>52.1</v>
      </c>
      <c r="I41" s="44">
        <v>3170</v>
      </c>
      <c r="J41" s="45"/>
      <c r="K41" s="19"/>
    </row>
    <row r="42" spans="2:11" x14ac:dyDescent="0.25">
      <c r="B42" s="18"/>
      <c r="C42" s="56"/>
      <c r="D42" s="57"/>
      <c r="E42" s="58"/>
      <c r="F42" s="38"/>
      <c r="G42" s="56"/>
      <c r="H42" s="57"/>
      <c r="I42" s="57"/>
      <c r="J42" s="58"/>
      <c r="K42" s="19"/>
    </row>
    <row r="43" spans="2:11" x14ac:dyDescent="0.25">
      <c r="B43" s="18"/>
      <c r="C43" s="4">
        <v>38</v>
      </c>
      <c r="D43" s="4">
        <v>438</v>
      </c>
      <c r="E43" s="10">
        <v>441</v>
      </c>
      <c r="F43" s="1"/>
      <c r="G43" s="4">
        <f t="shared" si="0"/>
        <v>38</v>
      </c>
      <c r="H43" s="4">
        <f t="shared" si="0"/>
        <v>438</v>
      </c>
      <c r="I43" s="44">
        <v>9921</v>
      </c>
      <c r="J43" s="45"/>
      <c r="K43" s="19"/>
    </row>
    <row r="44" spans="2:11" x14ac:dyDescent="0.25">
      <c r="B44" s="18"/>
      <c r="C44" s="4">
        <v>50</v>
      </c>
      <c r="D44" s="4">
        <v>264</v>
      </c>
      <c r="E44" s="10">
        <v>290</v>
      </c>
      <c r="F44" s="1"/>
      <c r="G44" s="4">
        <f t="shared" si="0"/>
        <v>50</v>
      </c>
      <c r="H44" s="4">
        <f t="shared" si="0"/>
        <v>264</v>
      </c>
      <c r="I44" s="44">
        <v>1589</v>
      </c>
      <c r="J44" s="45"/>
      <c r="K44" s="19"/>
    </row>
    <row r="45" spans="2:11" x14ac:dyDescent="0.25">
      <c r="B45" s="18"/>
      <c r="C45" s="4">
        <v>70</v>
      </c>
      <c r="D45" s="4">
        <v>87</v>
      </c>
      <c r="E45" s="10">
        <v>80</v>
      </c>
      <c r="F45" s="1"/>
      <c r="G45" s="4">
        <f t="shared" si="0"/>
        <v>70</v>
      </c>
      <c r="H45" s="4">
        <f t="shared" si="0"/>
        <v>87</v>
      </c>
      <c r="I45" s="44">
        <v>24883</v>
      </c>
      <c r="J45" s="45"/>
      <c r="K45" s="19"/>
    </row>
    <row r="46" spans="2:11" x14ac:dyDescent="0.25">
      <c r="B46" s="18"/>
      <c r="C46" s="4"/>
      <c r="D46" s="4"/>
      <c r="E46" s="4"/>
      <c r="F46" s="1"/>
      <c r="G46" s="4"/>
      <c r="H46" s="4"/>
      <c r="I46" s="41"/>
      <c r="J46" s="41"/>
      <c r="K46" s="19"/>
    </row>
    <row r="47" spans="2:11" x14ac:dyDescent="0.25">
      <c r="B47" s="18"/>
      <c r="C47" s="4"/>
      <c r="D47" s="4"/>
      <c r="E47" s="4"/>
      <c r="F47" s="1"/>
      <c r="G47" s="4"/>
      <c r="H47" s="4"/>
      <c r="I47" s="41"/>
      <c r="J47" s="41"/>
      <c r="K47" s="19"/>
    </row>
    <row r="48" spans="2:11" x14ac:dyDescent="0.25">
      <c r="B48" s="18"/>
      <c r="C48" s="4"/>
      <c r="D48" s="4"/>
      <c r="E48" s="4"/>
      <c r="F48" s="1"/>
      <c r="G48" s="4"/>
      <c r="H48" s="4"/>
      <c r="I48" s="41"/>
      <c r="J48" s="41"/>
      <c r="K48" s="19"/>
    </row>
    <row r="49" spans="2:11" x14ac:dyDescent="0.25">
      <c r="B49" s="18"/>
      <c r="C49" s="4"/>
      <c r="D49" s="4"/>
      <c r="E49" s="4"/>
      <c r="F49" s="1"/>
      <c r="G49" s="4"/>
      <c r="H49" s="4"/>
      <c r="I49" s="41"/>
      <c r="J49" s="41"/>
      <c r="K49" s="19"/>
    </row>
    <row r="50" spans="2:11" x14ac:dyDescent="0.25">
      <c r="B50" s="18"/>
      <c r="C50" s="4"/>
      <c r="D50" s="4"/>
      <c r="E50" s="4"/>
      <c r="F50" s="1"/>
      <c r="G50" s="4"/>
      <c r="H50" s="4"/>
      <c r="I50" s="41"/>
      <c r="J50" s="41"/>
      <c r="K50" s="19"/>
    </row>
    <row r="51" spans="2:11" x14ac:dyDescent="0.25">
      <c r="B51" s="18"/>
      <c r="C51" s="4"/>
      <c r="D51" s="4"/>
      <c r="E51" s="4"/>
      <c r="F51" s="1"/>
      <c r="G51" s="4"/>
      <c r="H51" s="4"/>
      <c r="I51" s="41"/>
      <c r="J51" s="41"/>
      <c r="K51" s="19"/>
    </row>
    <row r="52" spans="2:11" x14ac:dyDescent="0.25">
      <c r="B52" s="18"/>
      <c r="C52" s="4"/>
      <c r="D52" s="4"/>
      <c r="E52" s="4"/>
      <c r="F52" s="1"/>
      <c r="G52" s="4"/>
      <c r="H52" s="4"/>
      <c r="I52" s="41"/>
      <c r="J52" s="41"/>
      <c r="K52" s="19"/>
    </row>
    <row r="53" spans="2:11" x14ac:dyDescent="0.25">
      <c r="B53" s="18"/>
      <c r="C53" s="4"/>
      <c r="D53" s="4"/>
      <c r="E53" s="4"/>
      <c r="F53" s="1"/>
      <c r="G53" s="4"/>
      <c r="H53" s="4"/>
      <c r="I53" s="41"/>
      <c r="J53" s="41"/>
      <c r="K53" s="19"/>
    </row>
    <row r="54" spans="2:11" x14ac:dyDescent="0.25">
      <c r="B54" s="18"/>
      <c r="C54" s="4"/>
      <c r="D54" s="4"/>
      <c r="E54" s="4"/>
      <c r="F54" s="1"/>
      <c r="G54" s="4"/>
      <c r="H54" s="4"/>
      <c r="I54" s="41"/>
      <c r="J54" s="41"/>
      <c r="K54" s="19"/>
    </row>
    <row r="55" spans="2:11" x14ac:dyDescent="0.25">
      <c r="B55" s="18"/>
      <c r="C55" s="4"/>
      <c r="D55" s="4"/>
      <c r="E55" s="4"/>
      <c r="F55" s="1"/>
      <c r="G55" s="4"/>
      <c r="H55" s="4"/>
      <c r="I55" s="41"/>
      <c r="J55" s="41"/>
      <c r="K55" s="19"/>
    </row>
    <row r="56" spans="2:11" ht="14.65" customHeight="1" x14ac:dyDescent="0.25">
      <c r="B56" s="18"/>
      <c r="C56" s="4"/>
      <c r="D56" s="4"/>
      <c r="E56" s="4"/>
      <c r="F56" s="1"/>
      <c r="G56" s="4"/>
      <c r="H56" s="4"/>
      <c r="I56" s="41"/>
      <c r="J56" s="41"/>
      <c r="K56" s="19"/>
    </row>
    <row r="57" spans="2:11" x14ac:dyDescent="0.25">
      <c r="B57" s="18"/>
      <c r="K57" s="19"/>
    </row>
    <row r="58" spans="2:11" x14ac:dyDescent="0.25">
      <c r="B58" s="18"/>
      <c r="C58" s="42" t="s">
        <v>48</v>
      </c>
      <c r="D58" s="43"/>
      <c r="E58" s="43"/>
      <c r="F58" s="43"/>
      <c r="G58" s="43"/>
      <c r="H58" s="43"/>
      <c r="I58" s="43"/>
      <c r="J58" s="43"/>
      <c r="K58" s="19"/>
    </row>
    <row r="59" spans="2:11" x14ac:dyDescent="0.25">
      <c r="B59" s="18"/>
      <c r="C59" s="43"/>
      <c r="D59" s="43"/>
      <c r="E59" s="43"/>
      <c r="F59" s="43"/>
      <c r="G59" s="43"/>
      <c r="H59" s="43"/>
      <c r="I59" s="43"/>
      <c r="J59" s="43"/>
      <c r="K59" s="19"/>
    </row>
    <row r="60" spans="2:11" x14ac:dyDescent="0.25">
      <c r="B60" s="18"/>
      <c r="C60" s="43"/>
      <c r="D60" s="43"/>
      <c r="E60" s="43"/>
      <c r="F60" s="43"/>
      <c r="G60" s="43"/>
      <c r="H60" s="43"/>
      <c r="I60" s="43"/>
      <c r="J60" s="43"/>
      <c r="K60" s="19"/>
    </row>
    <row r="61" spans="2:11" x14ac:dyDescent="0.25">
      <c r="B61" s="18"/>
      <c r="C61" s="43"/>
      <c r="D61" s="43"/>
      <c r="E61" s="43"/>
      <c r="F61" s="43"/>
      <c r="G61" s="43"/>
      <c r="H61" s="43"/>
      <c r="I61" s="43"/>
      <c r="J61" s="43"/>
      <c r="K61" s="19"/>
    </row>
    <row r="62" spans="2:11" x14ac:dyDescent="0.25">
      <c r="B62" s="18"/>
      <c r="C62" s="43"/>
      <c r="D62" s="43"/>
      <c r="E62" s="43"/>
      <c r="F62" s="43"/>
      <c r="G62" s="43"/>
      <c r="H62" s="43"/>
      <c r="I62" s="43"/>
      <c r="J62" s="43"/>
      <c r="K62" s="19"/>
    </row>
    <row r="63" spans="2:11" x14ac:dyDescent="0.25">
      <c r="B63" s="22"/>
      <c r="C63" s="23"/>
      <c r="D63" s="23"/>
      <c r="E63" s="23"/>
      <c r="F63" s="23"/>
      <c r="G63" s="23"/>
      <c r="H63" s="23"/>
      <c r="I63" s="23"/>
      <c r="J63" s="23"/>
      <c r="K63" s="24"/>
    </row>
  </sheetData>
  <mergeCells count="64">
    <mergeCell ref="G12:J14"/>
    <mergeCell ref="G15:J17"/>
    <mergeCell ref="C21:C24"/>
    <mergeCell ref="Q25:R25"/>
    <mergeCell ref="Q24:R24"/>
    <mergeCell ref="Q23:R23"/>
    <mergeCell ref="Q22:R22"/>
    <mergeCell ref="I24:J24"/>
    <mergeCell ref="I23:J23"/>
    <mergeCell ref="I22:J22"/>
    <mergeCell ref="I21:J21"/>
    <mergeCell ref="G23:H23"/>
    <mergeCell ref="G22:H22"/>
    <mergeCell ref="G21:H21"/>
    <mergeCell ref="C19:J20"/>
    <mergeCell ref="C10:J11"/>
    <mergeCell ref="G27:H27"/>
    <mergeCell ref="G26:H26"/>
    <mergeCell ref="G25:H25"/>
    <mergeCell ref="C27:D27"/>
    <mergeCell ref="C26:D26"/>
    <mergeCell ref="C25:D25"/>
    <mergeCell ref="C12:F14"/>
    <mergeCell ref="C15:F17"/>
    <mergeCell ref="C42:E42"/>
    <mergeCell ref="G42:J42"/>
    <mergeCell ref="D29:E29"/>
    <mergeCell ref="H29:I29"/>
    <mergeCell ref="I35:J35"/>
    <mergeCell ref="D30:E30"/>
    <mergeCell ref="Q27:R27"/>
    <mergeCell ref="C28:J28"/>
    <mergeCell ref="Q26:R26"/>
    <mergeCell ref="H30:I30"/>
    <mergeCell ref="Q28:R28"/>
    <mergeCell ref="D31:E31"/>
    <mergeCell ref="H31:I31"/>
    <mergeCell ref="Q29:R29"/>
    <mergeCell ref="Q30:R30"/>
    <mergeCell ref="C33:E33"/>
    <mergeCell ref="G33:J33"/>
    <mergeCell ref="Q31:R31"/>
    <mergeCell ref="I34:J34"/>
    <mergeCell ref="I48:J48"/>
    <mergeCell ref="I36:J36"/>
    <mergeCell ref="I37:J37"/>
    <mergeCell ref="I38:J38"/>
    <mergeCell ref="I39:J39"/>
    <mergeCell ref="I40:J40"/>
    <mergeCell ref="I41:J41"/>
    <mergeCell ref="I43:J43"/>
    <mergeCell ref="I44:J44"/>
    <mergeCell ref="I45:J45"/>
    <mergeCell ref="I46:J46"/>
    <mergeCell ref="I47:J47"/>
    <mergeCell ref="I55:J55"/>
    <mergeCell ref="I56:J56"/>
    <mergeCell ref="C58:J62"/>
    <mergeCell ref="I49:J49"/>
    <mergeCell ref="I50:J50"/>
    <mergeCell ref="I51:J51"/>
    <mergeCell ref="I52:J52"/>
    <mergeCell ref="I53:J53"/>
    <mergeCell ref="I54:J54"/>
  </mergeCells>
  <hyperlinks>
    <hyperlink ref="C8" r:id="rId1" xr:uid="{E3631215-9895-4C5F-AF4E-27785E84C00A}"/>
  </hyperlinks>
  <pageMargins left="0.7" right="0.7" top="0.75" bottom="0.75" header="0.3" footer="0.3"/>
  <pageSetup scale="48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394C2-9A5A-4CF7-AD1F-9A3DCF7CFBCB}">
  <sheetPr>
    <pageSetUpPr fitToPage="1"/>
  </sheetPr>
  <dimension ref="B2:R63"/>
  <sheetViews>
    <sheetView showGridLines="0" zoomScale="90" zoomScaleNormal="90" workbookViewId="0">
      <selection activeCell="C10" sqref="C10:J17"/>
    </sheetView>
  </sheetViews>
  <sheetFormatPr defaultRowHeight="15" x14ac:dyDescent="0.25"/>
  <cols>
    <col min="1" max="1" width="3.7109375" customWidth="1"/>
    <col min="2" max="2" width="3.140625" customWidth="1"/>
    <col min="3" max="3" width="10" customWidth="1"/>
    <col min="4" max="4" width="16.7109375" customWidth="1"/>
    <col min="5" max="5" width="25.7109375" customWidth="1"/>
    <col min="6" max="6" width="4" customWidth="1"/>
    <col min="7" max="7" width="10" customWidth="1"/>
    <col min="8" max="8" width="25.7109375" customWidth="1"/>
    <col min="9" max="9" width="10.140625" customWidth="1"/>
    <col min="10" max="10" width="10.85546875" customWidth="1"/>
    <col min="11" max="11" width="3.140625" customWidth="1"/>
  </cols>
  <sheetData>
    <row r="2" spans="2:11" x14ac:dyDescent="0.2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1" x14ac:dyDescent="0.25">
      <c r="B3" s="18"/>
      <c r="C3" t="s">
        <v>42</v>
      </c>
      <c r="K3" s="19"/>
    </row>
    <row r="4" spans="2:11" x14ac:dyDescent="0.25">
      <c r="B4" s="18"/>
      <c r="C4" t="s">
        <v>43</v>
      </c>
      <c r="K4" s="19"/>
    </row>
    <row r="5" spans="2:11" x14ac:dyDescent="0.25">
      <c r="B5" s="18"/>
      <c r="C5" t="s">
        <v>44</v>
      </c>
      <c r="K5" s="19"/>
    </row>
    <row r="6" spans="2:11" x14ac:dyDescent="0.25">
      <c r="B6" s="18"/>
      <c r="C6" t="s">
        <v>45</v>
      </c>
      <c r="K6" s="19"/>
    </row>
    <row r="7" spans="2:11" x14ac:dyDescent="0.25">
      <c r="B7" s="18"/>
      <c r="C7" t="s">
        <v>46</v>
      </c>
      <c r="K7" s="19"/>
    </row>
    <row r="8" spans="2:11" x14ac:dyDescent="0.25">
      <c r="B8" s="18"/>
      <c r="C8" s="20" t="s">
        <v>47</v>
      </c>
      <c r="K8" s="19"/>
    </row>
    <row r="9" spans="2:11" x14ac:dyDescent="0.25">
      <c r="B9" s="18"/>
      <c r="C9" s="20"/>
      <c r="K9" s="19"/>
    </row>
    <row r="10" spans="2:11" x14ac:dyDescent="0.25">
      <c r="B10" s="18"/>
      <c r="C10" s="86" t="s">
        <v>77</v>
      </c>
      <c r="D10" s="76"/>
      <c r="E10" s="76"/>
      <c r="F10" s="76"/>
      <c r="G10" s="76"/>
      <c r="H10" s="76"/>
      <c r="I10" s="76"/>
      <c r="J10" s="76"/>
      <c r="K10" s="19"/>
    </row>
    <row r="11" spans="2:11" x14ac:dyDescent="0.25">
      <c r="B11" s="18"/>
      <c r="C11" s="76"/>
      <c r="D11" s="76"/>
      <c r="E11" s="76"/>
      <c r="F11" s="76"/>
      <c r="G11" s="76"/>
      <c r="H11" s="76"/>
      <c r="I11" s="76"/>
      <c r="J11" s="76"/>
      <c r="K11" s="19"/>
    </row>
    <row r="12" spans="2:11" x14ac:dyDescent="0.25">
      <c r="B12" s="18"/>
      <c r="C12" s="90" t="s">
        <v>78</v>
      </c>
      <c r="D12" s="90"/>
      <c r="E12" s="90"/>
      <c r="F12" s="90"/>
      <c r="G12" s="90" t="s">
        <v>79</v>
      </c>
      <c r="H12" s="90"/>
      <c r="I12" s="90"/>
      <c r="J12" s="90"/>
      <c r="K12" s="19"/>
    </row>
    <row r="13" spans="2:11" x14ac:dyDescent="0.25">
      <c r="B13" s="18"/>
      <c r="C13" s="90"/>
      <c r="D13" s="90"/>
      <c r="E13" s="90"/>
      <c r="F13" s="90"/>
      <c r="G13" s="90"/>
      <c r="H13" s="90"/>
      <c r="I13" s="90"/>
      <c r="J13" s="90"/>
      <c r="K13" s="19"/>
    </row>
    <row r="14" spans="2:11" x14ac:dyDescent="0.25">
      <c r="B14" s="18"/>
      <c r="C14" s="90"/>
      <c r="D14" s="90"/>
      <c r="E14" s="90"/>
      <c r="F14" s="90"/>
      <c r="G14" s="90"/>
      <c r="H14" s="90"/>
      <c r="I14" s="90"/>
      <c r="J14" s="90"/>
      <c r="K14" s="19"/>
    </row>
    <row r="15" spans="2:11" x14ac:dyDescent="0.25">
      <c r="B15" s="18"/>
      <c r="C15" s="90" t="s">
        <v>82</v>
      </c>
      <c r="D15" s="90"/>
      <c r="E15" s="90"/>
      <c r="F15" s="90"/>
      <c r="G15" s="77" t="s">
        <v>83</v>
      </c>
      <c r="H15" s="78"/>
      <c r="I15" s="78"/>
      <c r="J15" s="79"/>
      <c r="K15" s="19"/>
    </row>
    <row r="16" spans="2:11" x14ac:dyDescent="0.25">
      <c r="B16" s="18"/>
      <c r="C16" s="90"/>
      <c r="D16" s="90"/>
      <c r="E16" s="90"/>
      <c r="F16" s="90"/>
      <c r="G16" s="80"/>
      <c r="H16" s="81"/>
      <c r="I16" s="81"/>
      <c r="J16" s="82"/>
      <c r="K16" s="19"/>
    </row>
    <row r="17" spans="2:18" x14ac:dyDescent="0.25">
      <c r="B17" s="18"/>
      <c r="C17" s="90"/>
      <c r="D17" s="90"/>
      <c r="E17" s="90"/>
      <c r="F17" s="90"/>
      <c r="G17" s="83"/>
      <c r="H17" s="84"/>
      <c r="I17" s="84"/>
      <c r="J17" s="85"/>
      <c r="K17" s="19"/>
    </row>
    <row r="18" spans="2:18" x14ac:dyDescent="0.25">
      <c r="B18" s="18"/>
      <c r="K18" s="19"/>
    </row>
    <row r="19" spans="2:18" ht="18.399999999999999" customHeight="1" x14ac:dyDescent="0.25">
      <c r="B19" s="18"/>
      <c r="C19" s="59" t="s">
        <v>0</v>
      </c>
      <c r="D19" s="60"/>
      <c r="E19" s="60"/>
      <c r="F19" s="60"/>
      <c r="G19" s="60"/>
      <c r="H19" s="60"/>
      <c r="I19" s="60"/>
      <c r="J19" s="61"/>
      <c r="K19" s="19"/>
    </row>
    <row r="20" spans="2:18" ht="14.65" customHeight="1" x14ac:dyDescent="0.25">
      <c r="B20" s="18"/>
      <c r="C20" s="62"/>
      <c r="D20" s="63"/>
      <c r="E20" s="63"/>
      <c r="F20" s="63"/>
      <c r="G20" s="63"/>
      <c r="H20" s="63"/>
      <c r="I20" s="63"/>
      <c r="J20" s="64"/>
      <c r="K20" s="19"/>
    </row>
    <row r="21" spans="2:18" ht="14.65" customHeight="1" x14ac:dyDescent="0.25">
      <c r="B21" s="18"/>
      <c r="C21" s="65" t="s">
        <v>1</v>
      </c>
      <c r="D21" s="3" t="s">
        <v>2</v>
      </c>
      <c r="E21" s="4" t="s">
        <v>3</v>
      </c>
      <c r="F21" s="5"/>
      <c r="G21" s="53" t="s">
        <v>4</v>
      </c>
      <c r="H21" s="54"/>
      <c r="I21" s="66">
        <v>46183</v>
      </c>
      <c r="J21" s="67"/>
      <c r="K21" s="19"/>
    </row>
    <row r="22" spans="2:18" x14ac:dyDescent="0.25">
      <c r="B22" s="18"/>
      <c r="C22" s="65"/>
      <c r="D22" s="3" t="s">
        <v>5</v>
      </c>
      <c r="E22" s="4">
        <v>63010046</v>
      </c>
      <c r="F22" s="5"/>
      <c r="G22" s="53" t="s">
        <v>6</v>
      </c>
      <c r="H22" s="54"/>
      <c r="I22" s="68" t="s">
        <v>7</v>
      </c>
      <c r="J22" s="69"/>
      <c r="K22" s="19"/>
    </row>
    <row r="23" spans="2:18" ht="14.65" customHeight="1" x14ac:dyDescent="0.25">
      <c r="B23" s="18"/>
      <c r="C23" s="65"/>
      <c r="D23" s="3" t="s">
        <v>2</v>
      </c>
      <c r="E23" s="4" t="s">
        <v>8</v>
      </c>
      <c r="F23" s="5"/>
      <c r="G23" s="51" t="s">
        <v>9</v>
      </c>
      <c r="H23" s="52"/>
      <c r="I23" s="68" t="s">
        <v>10</v>
      </c>
      <c r="J23" s="69"/>
      <c r="K23" s="19"/>
    </row>
    <row r="24" spans="2:18" ht="14.65" customHeight="1" x14ac:dyDescent="0.25">
      <c r="B24" s="18"/>
      <c r="C24" s="65"/>
      <c r="D24" s="3" t="s">
        <v>5</v>
      </c>
      <c r="E24" s="4" t="s">
        <v>11</v>
      </c>
      <c r="F24" s="5"/>
      <c r="G24" s="51" t="s">
        <v>12</v>
      </c>
      <c r="H24" s="52"/>
      <c r="I24" s="68" t="s">
        <v>13</v>
      </c>
      <c r="J24" s="69"/>
      <c r="K24" s="19"/>
      <c r="P24" s="13"/>
      <c r="Q24" s="49"/>
      <c r="R24" s="49"/>
    </row>
    <row r="25" spans="2:18" ht="15.4" customHeight="1" x14ac:dyDescent="0.25">
      <c r="B25" s="18"/>
      <c r="C25" s="50" t="s">
        <v>14</v>
      </c>
      <c r="D25" s="50"/>
      <c r="E25" s="4">
        <v>54</v>
      </c>
      <c r="F25" s="5"/>
      <c r="G25" s="51" t="s">
        <v>15</v>
      </c>
      <c r="H25" s="52"/>
      <c r="I25" s="6">
        <v>30000</v>
      </c>
      <c r="J25" s="3" t="s">
        <v>16</v>
      </c>
      <c r="K25" s="19"/>
      <c r="P25" s="14"/>
      <c r="Q25" s="46"/>
      <c r="R25" s="46"/>
    </row>
    <row r="26" spans="2:18" ht="14.65" customHeight="1" x14ac:dyDescent="0.25">
      <c r="B26" s="18"/>
      <c r="C26" s="50" t="s">
        <v>17</v>
      </c>
      <c r="D26" s="50"/>
      <c r="E26" s="4">
        <v>40</v>
      </c>
      <c r="F26" s="5"/>
      <c r="G26" s="53" t="s">
        <v>18</v>
      </c>
      <c r="H26" s="54"/>
      <c r="I26" s="6">
        <v>30</v>
      </c>
      <c r="J26" s="3" t="s">
        <v>19</v>
      </c>
      <c r="K26" s="19"/>
      <c r="P26" s="14"/>
      <c r="Q26" s="46"/>
      <c r="R26" s="46"/>
    </row>
    <row r="27" spans="2:18" ht="14.65" customHeight="1" x14ac:dyDescent="0.25">
      <c r="B27" s="18"/>
      <c r="C27" s="50" t="s">
        <v>20</v>
      </c>
      <c r="D27" s="50"/>
      <c r="E27" s="7">
        <v>1.2E-2</v>
      </c>
      <c r="F27" s="5"/>
      <c r="G27" s="53" t="s">
        <v>21</v>
      </c>
      <c r="H27" s="54"/>
      <c r="I27" s="6">
        <v>30</v>
      </c>
      <c r="J27" s="3" t="s">
        <v>19</v>
      </c>
      <c r="K27" s="19"/>
      <c r="P27" s="14"/>
      <c r="Q27" s="46"/>
      <c r="R27" s="46"/>
    </row>
    <row r="28" spans="2:18" ht="14.65" customHeight="1" x14ac:dyDescent="0.25">
      <c r="B28" s="18"/>
      <c r="C28" s="55" t="s">
        <v>22</v>
      </c>
      <c r="D28" s="55"/>
      <c r="E28" s="55"/>
      <c r="F28" s="55"/>
      <c r="G28" s="55"/>
      <c r="H28" s="55"/>
      <c r="I28" s="55"/>
      <c r="J28" s="55"/>
      <c r="K28" s="19"/>
      <c r="P28" s="14"/>
      <c r="Q28" s="46"/>
      <c r="R28" s="46"/>
    </row>
    <row r="29" spans="2:18" x14ac:dyDescent="0.25">
      <c r="B29" s="18"/>
      <c r="C29" s="2" t="s">
        <v>23</v>
      </c>
      <c r="D29" s="48">
        <v>0.5</v>
      </c>
      <c r="E29" s="48"/>
      <c r="F29" s="2" t="s">
        <v>24</v>
      </c>
      <c r="G29" s="2" t="s">
        <v>25</v>
      </c>
      <c r="H29" s="48">
        <v>2.7</v>
      </c>
      <c r="I29" s="48"/>
      <c r="J29" s="2" t="s">
        <v>26</v>
      </c>
      <c r="K29" s="19"/>
      <c r="P29" s="14"/>
      <c r="Q29" s="46"/>
      <c r="R29" s="46"/>
    </row>
    <row r="30" spans="2:18" x14ac:dyDescent="0.25">
      <c r="B30" s="18"/>
      <c r="C30" s="2" t="s">
        <v>27</v>
      </c>
      <c r="D30" s="48">
        <v>0.6</v>
      </c>
      <c r="E30" s="48"/>
      <c r="F30" s="2" t="s">
        <v>24</v>
      </c>
      <c r="G30" s="2" t="s">
        <v>28</v>
      </c>
      <c r="H30" s="48">
        <v>8.3000000000000007</v>
      </c>
      <c r="I30" s="48"/>
      <c r="J30" s="2" t="s">
        <v>26</v>
      </c>
      <c r="K30" s="19"/>
      <c r="P30" s="14"/>
      <c r="Q30" s="46"/>
      <c r="R30" s="46"/>
    </row>
    <row r="31" spans="2:18" x14ac:dyDescent="0.25">
      <c r="B31" s="18"/>
      <c r="C31" s="2" t="s">
        <v>29</v>
      </c>
      <c r="D31" s="48">
        <v>10.199999999999999</v>
      </c>
      <c r="E31" s="48"/>
      <c r="F31" s="2" t="s">
        <v>24</v>
      </c>
      <c r="G31" s="2" t="s">
        <v>30</v>
      </c>
      <c r="H31" s="48">
        <v>8.3000000000000007</v>
      </c>
      <c r="I31" s="48"/>
      <c r="J31" s="2" t="s">
        <v>26</v>
      </c>
      <c r="K31" s="19"/>
      <c r="P31" s="14"/>
      <c r="Q31" s="46"/>
      <c r="R31" s="46"/>
    </row>
    <row r="32" spans="2:18" ht="14.1" customHeight="1" x14ac:dyDescent="0.25">
      <c r="B32" s="18"/>
      <c r="C32" s="1"/>
      <c r="D32" s="1"/>
      <c r="E32" s="1"/>
      <c r="F32" s="1"/>
      <c r="G32" s="1"/>
      <c r="H32" s="1"/>
      <c r="I32" s="1"/>
      <c r="J32" s="1"/>
      <c r="K32" s="19"/>
      <c r="P32" s="14"/>
      <c r="Q32" s="46"/>
      <c r="R32" s="46"/>
    </row>
    <row r="33" spans="2:18" ht="14.65" customHeight="1" x14ac:dyDescent="0.25">
      <c r="B33" s="18"/>
      <c r="C33" s="47" t="s">
        <v>31</v>
      </c>
      <c r="D33" s="47"/>
      <c r="E33" s="47"/>
      <c r="F33" s="1"/>
      <c r="G33" s="47" t="s">
        <v>32</v>
      </c>
      <c r="H33" s="47"/>
      <c r="I33" s="47"/>
      <c r="J33" s="47"/>
      <c r="K33" s="19"/>
      <c r="P33" s="14"/>
      <c r="Q33" s="46"/>
      <c r="R33" s="46"/>
    </row>
    <row r="34" spans="2:18" ht="30" x14ac:dyDescent="0.25">
      <c r="B34" s="18"/>
      <c r="C34" s="8" t="s">
        <v>33</v>
      </c>
      <c r="D34" s="8" t="s">
        <v>34</v>
      </c>
      <c r="E34" s="8" t="s">
        <v>35</v>
      </c>
      <c r="F34" s="1"/>
      <c r="G34" s="8" t="s">
        <v>33</v>
      </c>
      <c r="H34" s="8" t="s">
        <v>36</v>
      </c>
      <c r="I34" s="47" t="s">
        <v>37</v>
      </c>
      <c r="J34" s="47"/>
      <c r="K34" s="19"/>
    </row>
    <row r="35" spans="2:18" x14ac:dyDescent="0.25">
      <c r="B35" s="18"/>
      <c r="C35" s="9" t="s">
        <v>38</v>
      </c>
      <c r="D35" s="9" t="s">
        <v>39</v>
      </c>
      <c r="E35" s="9" t="s">
        <v>39</v>
      </c>
      <c r="F35" s="1"/>
      <c r="G35" s="9" t="s">
        <v>38</v>
      </c>
      <c r="H35" s="9" t="s">
        <v>39</v>
      </c>
      <c r="I35" s="70" t="s">
        <v>40</v>
      </c>
      <c r="J35" s="70"/>
      <c r="K35" s="19"/>
    </row>
    <row r="36" spans="2:18" x14ac:dyDescent="0.25">
      <c r="B36" s="18"/>
      <c r="C36" s="4">
        <v>4</v>
      </c>
      <c r="D36" s="4">
        <v>10809.4</v>
      </c>
      <c r="E36" s="10">
        <f>1095753/100</f>
        <v>10957.53</v>
      </c>
      <c r="F36" s="1"/>
      <c r="G36" s="4">
        <f>C36</f>
        <v>4</v>
      </c>
      <c r="H36" s="4">
        <f>D36</f>
        <v>10809.4</v>
      </c>
      <c r="I36" s="44">
        <v>90</v>
      </c>
      <c r="J36" s="45"/>
      <c r="K36" s="19"/>
    </row>
    <row r="37" spans="2:18" x14ac:dyDescent="0.25">
      <c r="B37" s="18"/>
      <c r="C37" s="4">
        <v>6</v>
      </c>
      <c r="D37" s="4">
        <v>4647.7</v>
      </c>
      <c r="E37" s="10">
        <f>463914/100</f>
        <v>4639.1400000000003</v>
      </c>
      <c r="F37" s="1"/>
      <c r="G37" s="4">
        <f t="shared" ref="G37:H45" si="0">C37</f>
        <v>6</v>
      </c>
      <c r="H37" s="4">
        <f t="shared" si="0"/>
        <v>4647.7</v>
      </c>
      <c r="I37" s="44">
        <v>218</v>
      </c>
      <c r="J37" s="45"/>
      <c r="K37" s="19"/>
    </row>
    <row r="38" spans="2:18" x14ac:dyDescent="0.25">
      <c r="B38" s="18"/>
      <c r="C38" s="4">
        <v>10</v>
      </c>
      <c r="D38" s="4">
        <v>1074.3</v>
      </c>
      <c r="E38" s="10">
        <f>107953/100</f>
        <v>1079.53</v>
      </c>
      <c r="F38" s="1"/>
      <c r="G38" s="4">
        <f t="shared" si="0"/>
        <v>10</v>
      </c>
      <c r="H38" s="4">
        <f t="shared" si="0"/>
        <v>1074.3</v>
      </c>
      <c r="I38" s="44">
        <v>600</v>
      </c>
      <c r="J38" s="45"/>
      <c r="K38" s="19"/>
    </row>
    <row r="39" spans="2:18" x14ac:dyDescent="0.25">
      <c r="B39" s="18"/>
      <c r="C39" s="4">
        <v>14</v>
      </c>
      <c r="D39" s="4">
        <v>365.5</v>
      </c>
      <c r="E39" s="10">
        <f>35860/100</f>
        <v>358.6</v>
      </c>
      <c r="F39" s="1"/>
      <c r="G39" s="4">
        <f t="shared" si="0"/>
        <v>14</v>
      </c>
      <c r="H39" s="4">
        <f t="shared" si="0"/>
        <v>365.5</v>
      </c>
      <c r="I39" s="44">
        <v>1178</v>
      </c>
      <c r="J39" s="45"/>
      <c r="K39" s="19"/>
    </row>
    <row r="40" spans="2:18" x14ac:dyDescent="0.25">
      <c r="B40" s="18"/>
      <c r="C40" s="4">
        <v>21</v>
      </c>
      <c r="D40" s="4">
        <v>109.8</v>
      </c>
      <c r="E40" s="10">
        <f>10524/100</f>
        <v>105.24</v>
      </c>
      <c r="F40" s="1"/>
      <c r="G40" s="4">
        <f t="shared" si="0"/>
        <v>21</v>
      </c>
      <c r="H40" s="4">
        <f t="shared" si="0"/>
        <v>109.8</v>
      </c>
      <c r="I40" s="44">
        <v>2406</v>
      </c>
      <c r="J40" s="45"/>
      <c r="K40" s="19"/>
    </row>
    <row r="41" spans="2:18" x14ac:dyDescent="0.25">
      <c r="B41" s="18"/>
      <c r="C41" s="4">
        <v>25</v>
      </c>
      <c r="D41" s="4">
        <v>52.1</v>
      </c>
      <c r="E41" s="10">
        <f>4913/100</f>
        <v>49.13</v>
      </c>
      <c r="F41" s="1"/>
      <c r="G41" s="4">
        <f t="shared" si="0"/>
        <v>25</v>
      </c>
      <c r="H41" s="4">
        <f t="shared" si="0"/>
        <v>52.1</v>
      </c>
      <c r="I41" s="44">
        <v>3528</v>
      </c>
      <c r="J41" s="45"/>
      <c r="K41" s="19"/>
    </row>
    <row r="42" spans="2:18" x14ac:dyDescent="0.25">
      <c r="B42" s="18"/>
      <c r="C42" s="56"/>
      <c r="D42" s="57"/>
      <c r="E42" s="58"/>
      <c r="F42" s="1"/>
      <c r="G42" s="56"/>
      <c r="H42" s="57"/>
      <c r="I42" s="57"/>
      <c r="J42" s="58"/>
      <c r="K42" s="19"/>
    </row>
    <row r="43" spans="2:18" x14ac:dyDescent="0.25">
      <c r="B43" s="18"/>
      <c r="C43" s="4">
        <v>38</v>
      </c>
      <c r="D43" s="4">
        <v>450</v>
      </c>
      <c r="E43" s="10">
        <v>461</v>
      </c>
      <c r="F43" s="1"/>
      <c r="G43" s="4">
        <f t="shared" si="0"/>
        <v>38</v>
      </c>
      <c r="H43" s="4">
        <f t="shared" si="0"/>
        <v>450</v>
      </c>
      <c r="I43" s="44">
        <v>9952</v>
      </c>
      <c r="J43" s="45"/>
      <c r="K43" s="19"/>
    </row>
    <row r="44" spans="2:18" x14ac:dyDescent="0.25">
      <c r="B44" s="18"/>
      <c r="C44" s="4">
        <v>50</v>
      </c>
      <c r="D44" s="4">
        <v>286</v>
      </c>
      <c r="E44" s="10">
        <v>254</v>
      </c>
      <c r="F44" s="1"/>
      <c r="G44" s="4">
        <f t="shared" si="0"/>
        <v>50</v>
      </c>
      <c r="H44" s="4">
        <f t="shared" si="0"/>
        <v>286</v>
      </c>
      <c r="I44" s="44">
        <v>16091</v>
      </c>
      <c r="J44" s="45"/>
      <c r="K44" s="19"/>
    </row>
    <row r="45" spans="2:18" x14ac:dyDescent="0.25">
      <c r="B45" s="18"/>
      <c r="C45" s="4">
        <v>70</v>
      </c>
      <c r="D45" s="4">
        <v>82</v>
      </c>
      <c r="E45" s="10">
        <v>70</v>
      </c>
      <c r="F45" s="1"/>
      <c r="G45" s="4">
        <f t="shared" si="0"/>
        <v>70</v>
      </c>
      <c r="H45" s="4">
        <f t="shared" si="0"/>
        <v>82</v>
      </c>
      <c r="I45" s="44">
        <v>24765</v>
      </c>
      <c r="J45" s="45"/>
      <c r="K45" s="19"/>
    </row>
    <row r="46" spans="2:18" x14ac:dyDescent="0.25">
      <c r="B46" s="18"/>
      <c r="C46" s="4"/>
      <c r="D46" s="4"/>
      <c r="E46" s="4"/>
      <c r="F46" s="1"/>
      <c r="G46" s="4"/>
      <c r="H46" s="4"/>
      <c r="I46" s="41"/>
      <c r="J46" s="41"/>
      <c r="K46" s="19"/>
    </row>
    <row r="47" spans="2:18" x14ac:dyDescent="0.25">
      <c r="B47" s="18"/>
      <c r="C47" s="4"/>
      <c r="D47" s="4"/>
      <c r="E47" s="4"/>
      <c r="F47" s="1"/>
      <c r="G47" s="4"/>
      <c r="H47" s="4"/>
      <c r="I47" s="41"/>
      <c r="J47" s="41"/>
      <c r="K47" s="19"/>
    </row>
    <row r="48" spans="2:18" x14ac:dyDescent="0.25">
      <c r="B48" s="18"/>
      <c r="C48" s="4"/>
      <c r="D48" s="4"/>
      <c r="E48" s="4"/>
      <c r="F48" s="1"/>
      <c r="G48" s="4"/>
      <c r="H48" s="4"/>
      <c r="I48" s="41"/>
      <c r="J48" s="41"/>
      <c r="K48" s="19"/>
    </row>
    <row r="49" spans="2:11" x14ac:dyDescent="0.25">
      <c r="B49" s="18"/>
      <c r="C49" s="4"/>
      <c r="D49" s="4"/>
      <c r="E49" s="4"/>
      <c r="F49" s="1"/>
      <c r="G49" s="4"/>
      <c r="H49" s="4"/>
      <c r="I49" s="41"/>
      <c r="J49" s="41"/>
      <c r="K49" s="19"/>
    </row>
    <row r="50" spans="2:11" x14ac:dyDescent="0.25">
      <c r="B50" s="18"/>
      <c r="C50" s="4"/>
      <c r="D50" s="4"/>
      <c r="E50" s="4"/>
      <c r="F50" s="1"/>
      <c r="G50" s="4"/>
      <c r="H50" s="4"/>
      <c r="I50" s="41"/>
      <c r="J50" s="41"/>
      <c r="K50" s="19"/>
    </row>
    <row r="51" spans="2:11" x14ac:dyDescent="0.25">
      <c r="B51" s="18"/>
      <c r="C51" s="4"/>
      <c r="D51" s="4"/>
      <c r="E51" s="4"/>
      <c r="F51" s="1"/>
      <c r="G51" s="4"/>
      <c r="H51" s="4"/>
      <c r="I51" s="41"/>
      <c r="J51" s="41"/>
      <c r="K51" s="19"/>
    </row>
    <row r="52" spans="2:11" x14ac:dyDescent="0.25">
      <c r="B52" s="18"/>
      <c r="C52" s="4"/>
      <c r="D52" s="4"/>
      <c r="E52" s="4"/>
      <c r="F52" s="1"/>
      <c r="G52" s="4"/>
      <c r="H52" s="4"/>
      <c r="I52" s="41"/>
      <c r="J52" s="41"/>
      <c r="K52" s="19"/>
    </row>
    <row r="53" spans="2:11" x14ac:dyDescent="0.25">
      <c r="B53" s="18"/>
      <c r="C53" s="4"/>
      <c r="D53" s="4"/>
      <c r="E53" s="4"/>
      <c r="F53" s="1"/>
      <c r="G53" s="4"/>
      <c r="H53" s="4"/>
      <c r="I53" s="41"/>
      <c r="J53" s="41"/>
      <c r="K53" s="19"/>
    </row>
    <row r="54" spans="2:11" x14ac:dyDescent="0.25">
      <c r="B54" s="18"/>
      <c r="C54" s="4"/>
      <c r="D54" s="4"/>
      <c r="E54" s="4"/>
      <c r="F54" s="1"/>
      <c r="G54" s="4"/>
      <c r="H54" s="4"/>
      <c r="I54" s="41"/>
      <c r="J54" s="41"/>
      <c r="K54" s="19"/>
    </row>
    <row r="55" spans="2:11" x14ac:dyDescent="0.25">
      <c r="B55" s="18"/>
      <c r="C55" s="4"/>
      <c r="D55" s="4"/>
      <c r="E55" s="4"/>
      <c r="F55" s="1"/>
      <c r="G55" s="4"/>
      <c r="H55" s="4"/>
      <c r="I55" s="41"/>
      <c r="J55" s="41"/>
      <c r="K55" s="19"/>
    </row>
    <row r="56" spans="2:11" x14ac:dyDescent="0.25">
      <c r="B56" s="18"/>
      <c r="C56" s="4"/>
      <c r="D56" s="4"/>
      <c r="E56" s="4"/>
      <c r="F56" s="1"/>
      <c r="G56" s="4"/>
      <c r="H56" s="4"/>
      <c r="I56" s="41"/>
      <c r="J56" s="41"/>
      <c r="K56" s="19"/>
    </row>
    <row r="57" spans="2:11" x14ac:dyDescent="0.25">
      <c r="B57" s="18"/>
      <c r="K57" s="19"/>
    </row>
    <row r="58" spans="2:11" ht="14.65" customHeight="1" x14ac:dyDescent="0.25">
      <c r="B58" s="18"/>
      <c r="C58" s="42" t="s">
        <v>48</v>
      </c>
      <c r="D58" s="43"/>
      <c r="E58" s="43"/>
      <c r="F58" s="43"/>
      <c r="G58" s="43"/>
      <c r="H58" s="43"/>
      <c r="I58" s="43"/>
      <c r="J58" s="43"/>
      <c r="K58" s="19"/>
    </row>
    <row r="59" spans="2:11" x14ac:dyDescent="0.25">
      <c r="B59" s="18"/>
      <c r="C59" s="43"/>
      <c r="D59" s="43"/>
      <c r="E59" s="43"/>
      <c r="F59" s="43"/>
      <c r="G59" s="43"/>
      <c r="H59" s="43"/>
      <c r="I59" s="43"/>
      <c r="J59" s="43"/>
      <c r="K59" s="19"/>
    </row>
    <row r="60" spans="2:11" x14ac:dyDescent="0.25">
      <c r="B60" s="18"/>
      <c r="C60" s="43"/>
      <c r="D60" s="43"/>
      <c r="E60" s="43"/>
      <c r="F60" s="43"/>
      <c r="G60" s="43"/>
      <c r="H60" s="43"/>
      <c r="I60" s="43"/>
      <c r="J60" s="43"/>
      <c r="K60" s="19"/>
    </row>
    <row r="61" spans="2:11" x14ac:dyDescent="0.25">
      <c r="B61" s="18"/>
      <c r="C61" s="43"/>
      <c r="D61" s="43"/>
      <c r="E61" s="43"/>
      <c r="F61" s="43"/>
      <c r="G61" s="43"/>
      <c r="H61" s="43"/>
      <c r="I61" s="43"/>
      <c r="J61" s="43"/>
      <c r="K61" s="19"/>
    </row>
    <row r="62" spans="2:11" x14ac:dyDescent="0.25">
      <c r="B62" s="18"/>
      <c r="C62" s="43"/>
      <c r="D62" s="43"/>
      <c r="E62" s="43"/>
      <c r="F62" s="43"/>
      <c r="G62" s="43"/>
      <c r="H62" s="43"/>
      <c r="I62" s="43"/>
      <c r="J62" s="43"/>
      <c r="K62" s="19"/>
    </row>
    <row r="63" spans="2:11" x14ac:dyDescent="0.25">
      <c r="B63" s="22"/>
      <c r="C63" s="23"/>
      <c r="D63" s="23"/>
      <c r="E63" s="23"/>
      <c r="F63" s="23"/>
      <c r="G63" s="23"/>
      <c r="H63" s="23"/>
      <c r="I63" s="23"/>
      <c r="J63" s="23"/>
      <c r="K63" s="24"/>
    </row>
  </sheetData>
  <mergeCells count="65">
    <mergeCell ref="C10:J11"/>
    <mergeCell ref="C12:F14"/>
    <mergeCell ref="G12:J14"/>
    <mergeCell ref="C15:F17"/>
    <mergeCell ref="G15:J17"/>
    <mergeCell ref="C42:E42"/>
    <mergeCell ref="G42:J42"/>
    <mergeCell ref="C19:J20"/>
    <mergeCell ref="C21:C24"/>
    <mergeCell ref="G21:H21"/>
    <mergeCell ref="I21:J21"/>
    <mergeCell ref="G22:H22"/>
    <mergeCell ref="I22:J22"/>
    <mergeCell ref="G23:H23"/>
    <mergeCell ref="I23:J23"/>
    <mergeCell ref="G24:H24"/>
    <mergeCell ref="I24:J24"/>
    <mergeCell ref="D29:E29"/>
    <mergeCell ref="H29:I29"/>
    <mergeCell ref="I35:J35"/>
    <mergeCell ref="D30:E30"/>
    <mergeCell ref="Q29:R29"/>
    <mergeCell ref="Q24:R24"/>
    <mergeCell ref="C25:D25"/>
    <mergeCell ref="G25:H25"/>
    <mergeCell ref="Q25:R25"/>
    <mergeCell ref="C26:D26"/>
    <mergeCell ref="G26:H26"/>
    <mergeCell ref="Q26:R26"/>
    <mergeCell ref="C27:D27"/>
    <mergeCell ref="G27:H27"/>
    <mergeCell ref="Q27:R27"/>
    <mergeCell ref="C28:J28"/>
    <mergeCell ref="Q28:R28"/>
    <mergeCell ref="H30:I30"/>
    <mergeCell ref="Q30:R30"/>
    <mergeCell ref="D31:E31"/>
    <mergeCell ref="H31:I31"/>
    <mergeCell ref="Q31:R31"/>
    <mergeCell ref="Q32:R32"/>
    <mergeCell ref="C33:E33"/>
    <mergeCell ref="G33:J33"/>
    <mergeCell ref="Q33:R33"/>
    <mergeCell ref="I34:J34"/>
    <mergeCell ref="I48:J48"/>
    <mergeCell ref="I36:J36"/>
    <mergeCell ref="I37:J37"/>
    <mergeCell ref="I38:J38"/>
    <mergeCell ref="I39:J39"/>
    <mergeCell ref="I40:J40"/>
    <mergeCell ref="I41:J41"/>
    <mergeCell ref="I43:J43"/>
    <mergeCell ref="I44:J44"/>
    <mergeCell ref="I45:J45"/>
    <mergeCell ref="I46:J46"/>
    <mergeCell ref="I47:J47"/>
    <mergeCell ref="I55:J55"/>
    <mergeCell ref="I56:J56"/>
    <mergeCell ref="C58:J62"/>
    <mergeCell ref="I49:J49"/>
    <mergeCell ref="I50:J50"/>
    <mergeCell ref="I51:J51"/>
    <mergeCell ref="I52:J52"/>
    <mergeCell ref="I53:J53"/>
    <mergeCell ref="I54:J54"/>
  </mergeCells>
  <hyperlinks>
    <hyperlink ref="C8" r:id="rId1" xr:uid="{55CC8DF3-4F2F-4E3C-987D-10C9AAC660A3}"/>
  </hyperlinks>
  <pageMargins left="0.7" right="0.7" top="0.75" bottom="0.75" header="0.3" footer="0.3"/>
  <pageSetup scale="48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1DE42-1FDF-4143-AEE8-2DEFD63E3147}">
  <sheetPr>
    <pageSetUpPr fitToPage="1"/>
  </sheetPr>
  <dimension ref="B2:R63"/>
  <sheetViews>
    <sheetView showGridLines="0" zoomScale="90" zoomScaleNormal="90" workbookViewId="0">
      <selection activeCell="C10" sqref="C10:J17"/>
    </sheetView>
  </sheetViews>
  <sheetFormatPr defaultRowHeight="15" x14ac:dyDescent="0.25"/>
  <cols>
    <col min="1" max="1" width="3.7109375" customWidth="1"/>
    <col min="2" max="2" width="3.140625" customWidth="1"/>
    <col min="3" max="3" width="10" customWidth="1"/>
    <col min="4" max="4" width="16.7109375" customWidth="1"/>
    <col min="5" max="5" width="25.7109375" customWidth="1"/>
    <col min="6" max="6" width="4" customWidth="1"/>
    <col min="7" max="7" width="10" customWidth="1"/>
    <col min="8" max="8" width="25.7109375" customWidth="1"/>
    <col min="9" max="9" width="10.140625" customWidth="1"/>
    <col min="10" max="10" width="10.85546875" customWidth="1"/>
    <col min="11" max="11" width="3.140625" customWidth="1"/>
  </cols>
  <sheetData>
    <row r="2" spans="2:11" x14ac:dyDescent="0.2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1" x14ac:dyDescent="0.25">
      <c r="B3" s="18"/>
      <c r="C3" t="s">
        <v>42</v>
      </c>
      <c r="K3" s="19"/>
    </row>
    <row r="4" spans="2:11" x14ac:dyDescent="0.25">
      <c r="B4" s="18"/>
      <c r="C4" t="s">
        <v>43</v>
      </c>
      <c r="K4" s="19"/>
    </row>
    <row r="5" spans="2:11" x14ac:dyDescent="0.25">
      <c r="B5" s="18"/>
      <c r="C5" t="s">
        <v>44</v>
      </c>
      <c r="K5" s="19"/>
    </row>
    <row r="6" spans="2:11" x14ac:dyDescent="0.25">
      <c r="B6" s="18"/>
      <c r="C6" t="s">
        <v>45</v>
      </c>
      <c r="K6" s="19"/>
    </row>
    <row r="7" spans="2:11" x14ac:dyDescent="0.25">
      <c r="B7" s="18"/>
      <c r="C7" t="s">
        <v>46</v>
      </c>
      <c r="K7" s="19"/>
    </row>
    <row r="8" spans="2:11" x14ac:dyDescent="0.25">
      <c r="B8" s="18"/>
      <c r="C8" s="20" t="s">
        <v>47</v>
      </c>
      <c r="K8" s="19"/>
    </row>
    <row r="9" spans="2:11" x14ac:dyDescent="0.25">
      <c r="B9" s="18"/>
      <c r="C9" s="20"/>
      <c r="K9" s="19"/>
    </row>
    <row r="10" spans="2:11" x14ac:dyDescent="0.25">
      <c r="B10" s="18"/>
      <c r="C10" s="86" t="s">
        <v>77</v>
      </c>
      <c r="D10" s="76"/>
      <c r="E10" s="76"/>
      <c r="F10" s="76"/>
      <c r="G10" s="76"/>
      <c r="H10" s="76"/>
      <c r="I10" s="76"/>
      <c r="J10" s="76"/>
      <c r="K10" s="19"/>
    </row>
    <row r="11" spans="2:11" x14ac:dyDescent="0.25">
      <c r="B11" s="18"/>
      <c r="C11" s="76"/>
      <c r="D11" s="76"/>
      <c r="E11" s="76"/>
      <c r="F11" s="76"/>
      <c r="G11" s="76"/>
      <c r="H11" s="76"/>
      <c r="I11" s="76"/>
      <c r="J11" s="76"/>
      <c r="K11" s="19"/>
    </row>
    <row r="12" spans="2:11" x14ac:dyDescent="0.25">
      <c r="B12" s="18"/>
      <c r="C12" s="90" t="s">
        <v>78</v>
      </c>
      <c r="D12" s="90"/>
      <c r="E12" s="90"/>
      <c r="F12" s="90"/>
      <c r="G12" s="90" t="s">
        <v>79</v>
      </c>
      <c r="H12" s="90"/>
      <c r="I12" s="90"/>
      <c r="J12" s="90"/>
      <c r="K12" s="19"/>
    </row>
    <row r="13" spans="2:11" x14ac:dyDescent="0.25">
      <c r="B13" s="18"/>
      <c r="C13" s="90"/>
      <c r="D13" s="90"/>
      <c r="E13" s="90"/>
      <c r="F13" s="90"/>
      <c r="G13" s="90"/>
      <c r="H13" s="90"/>
      <c r="I13" s="90"/>
      <c r="J13" s="90"/>
      <c r="K13" s="19"/>
    </row>
    <row r="14" spans="2:11" x14ac:dyDescent="0.25">
      <c r="B14" s="18"/>
      <c r="C14" s="90"/>
      <c r="D14" s="90"/>
      <c r="E14" s="90"/>
      <c r="F14" s="90"/>
      <c r="G14" s="90"/>
      <c r="H14" s="90"/>
      <c r="I14" s="90"/>
      <c r="J14" s="90"/>
      <c r="K14" s="19"/>
    </row>
    <row r="15" spans="2:11" x14ac:dyDescent="0.25">
      <c r="B15" s="18"/>
      <c r="C15" s="90" t="s">
        <v>84</v>
      </c>
      <c r="D15" s="90"/>
      <c r="E15" s="90"/>
      <c r="F15" s="90"/>
      <c r="G15" s="77" t="s">
        <v>85</v>
      </c>
      <c r="H15" s="78"/>
      <c r="I15" s="78"/>
      <c r="J15" s="79"/>
      <c r="K15" s="19"/>
    </row>
    <row r="16" spans="2:11" x14ac:dyDescent="0.25">
      <c r="B16" s="18"/>
      <c r="C16" s="90"/>
      <c r="D16" s="90"/>
      <c r="E16" s="90"/>
      <c r="F16" s="90"/>
      <c r="G16" s="80"/>
      <c r="H16" s="81"/>
      <c r="I16" s="81"/>
      <c r="J16" s="82"/>
      <c r="K16" s="19"/>
    </row>
    <row r="17" spans="2:18" x14ac:dyDescent="0.25">
      <c r="B17" s="18"/>
      <c r="C17" s="90"/>
      <c r="D17" s="90"/>
      <c r="E17" s="90"/>
      <c r="F17" s="90"/>
      <c r="G17" s="83"/>
      <c r="H17" s="84"/>
      <c r="I17" s="84"/>
      <c r="J17" s="85"/>
      <c r="K17" s="19"/>
    </row>
    <row r="18" spans="2:18" x14ac:dyDescent="0.25">
      <c r="B18" s="18"/>
      <c r="K18" s="19"/>
    </row>
    <row r="19" spans="2:18" ht="18.399999999999999" customHeight="1" x14ac:dyDescent="0.25">
      <c r="B19" s="18"/>
      <c r="C19" s="59" t="s">
        <v>0</v>
      </c>
      <c r="D19" s="60"/>
      <c r="E19" s="60"/>
      <c r="F19" s="60"/>
      <c r="G19" s="60"/>
      <c r="H19" s="60"/>
      <c r="I19" s="60"/>
      <c r="J19" s="61"/>
      <c r="K19" s="19"/>
    </row>
    <row r="20" spans="2:18" ht="14.65" customHeight="1" x14ac:dyDescent="0.25">
      <c r="B20" s="18"/>
      <c r="C20" s="62"/>
      <c r="D20" s="63"/>
      <c r="E20" s="63"/>
      <c r="F20" s="63"/>
      <c r="G20" s="63"/>
      <c r="H20" s="63"/>
      <c r="I20" s="63"/>
      <c r="J20" s="64"/>
      <c r="K20" s="19"/>
    </row>
    <row r="21" spans="2:18" ht="14.65" customHeight="1" x14ac:dyDescent="0.25">
      <c r="B21" s="18"/>
      <c r="C21" s="65" t="s">
        <v>1</v>
      </c>
      <c r="D21" s="3" t="s">
        <v>2</v>
      </c>
      <c r="E21" s="4" t="s">
        <v>3</v>
      </c>
      <c r="F21" s="5"/>
      <c r="G21" s="53" t="s">
        <v>4</v>
      </c>
      <c r="H21" s="54"/>
      <c r="I21" s="66">
        <v>46184</v>
      </c>
      <c r="J21" s="67"/>
      <c r="K21" s="19"/>
    </row>
    <row r="22" spans="2:18" x14ac:dyDescent="0.25">
      <c r="B22" s="18"/>
      <c r="C22" s="65"/>
      <c r="D22" s="3" t="s">
        <v>5</v>
      </c>
      <c r="E22" s="4">
        <v>63010047</v>
      </c>
      <c r="F22" s="5"/>
      <c r="G22" s="53" t="s">
        <v>6</v>
      </c>
      <c r="H22" s="54"/>
      <c r="I22" s="68" t="s">
        <v>7</v>
      </c>
      <c r="J22" s="69"/>
      <c r="K22" s="19"/>
    </row>
    <row r="23" spans="2:18" ht="14.65" customHeight="1" x14ac:dyDescent="0.25">
      <c r="B23" s="18"/>
      <c r="C23" s="65"/>
      <c r="D23" s="3" t="s">
        <v>2</v>
      </c>
      <c r="E23" s="4" t="s">
        <v>8</v>
      </c>
      <c r="F23" s="5"/>
      <c r="G23" s="51" t="s">
        <v>9</v>
      </c>
      <c r="H23" s="52"/>
      <c r="I23" s="68" t="s">
        <v>10</v>
      </c>
      <c r="J23" s="69"/>
      <c r="K23" s="19"/>
    </row>
    <row r="24" spans="2:18" ht="14.65" customHeight="1" x14ac:dyDescent="0.25">
      <c r="B24" s="18"/>
      <c r="C24" s="65"/>
      <c r="D24" s="3" t="s">
        <v>5</v>
      </c>
      <c r="E24" s="4" t="s">
        <v>11</v>
      </c>
      <c r="F24" s="5"/>
      <c r="G24" s="51" t="s">
        <v>12</v>
      </c>
      <c r="H24" s="52"/>
      <c r="I24" s="68" t="s">
        <v>49</v>
      </c>
      <c r="J24" s="69"/>
      <c r="K24" s="19"/>
      <c r="P24" s="13"/>
      <c r="Q24" s="49"/>
      <c r="R24" s="49"/>
    </row>
    <row r="25" spans="2:18" ht="15.4" customHeight="1" x14ac:dyDescent="0.25">
      <c r="B25" s="18"/>
      <c r="C25" s="50" t="s">
        <v>14</v>
      </c>
      <c r="D25" s="50"/>
      <c r="E25" s="4">
        <v>54</v>
      </c>
      <c r="F25" s="5"/>
      <c r="G25" s="51" t="s">
        <v>15</v>
      </c>
      <c r="H25" s="52"/>
      <c r="I25" s="6">
        <v>30000</v>
      </c>
      <c r="J25" s="3" t="s">
        <v>16</v>
      </c>
      <c r="K25" s="19"/>
      <c r="P25" s="14"/>
      <c r="Q25" s="46"/>
      <c r="R25" s="46"/>
    </row>
    <row r="26" spans="2:18" ht="14.65" customHeight="1" x14ac:dyDescent="0.25">
      <c r="B26" s="18"/>
      <c r="C26" s="50" t="s">
        <v>17</v>
      </c>
      <c r="D26" s="50"/>
      <c r="E26" s="4">
        <v>40</v>
      </c>
      <c r="F26" s="5"/>
      <c r="G26" s="53" t="s">
        <v>18</v>
      </c>
      <c r="H26" s="54"/>
      <c r="I26" s="6">
        <v>30</v>
      </c>
      <c r="J26" s="3" t="s">
        <v>19</v>
      </c>
      <c r="K26" s="19"/>
      <c r="P26" s="14"/>
      <c r="Q26" s="46"/>
      <c r="R26" s="46"/>
    </row>
    <row r="27" spans="2:18" ht="14.65" customHeight="1" x14ac:dyDescent="0.25">
      <c r="B27" s="18"/>
      <c r="C27" s="50" t="s">
        <v>20</v>
      </c>
      <c r="D27" s="50"/>
      <c r="E27" s="7">
        <v>1.2E-2</v>
      </c>
      <c r="F27" s="5"/>
      <c r="G27" s="53" t="s">
        <v>21</v>
      </c>
      <c r="H27" s="54"/>
      <c r="I27" s="6">
        <v>30</v>
      </c>
      <c r="J27" s="3" t="s">
        <v>19</v>
      </c>
      <c r="K27" s="19"/>
      <c r="P27" s="14"/>
      <c r="Q27" s="46"/>
      <c r="R27" s="46"/>
    </row>
    <row r="28" spans="2:18" ht="14.65" customHeight="1" x14ac:dyDescent="0.25">
      <c r="B28" s="18"/>
      <c r="C28" s="55" t="s">
        <v>22</v>
      </c>
      <c r="D28" s="55"/>
      <c r="E28" s="55"/>
      <c r="F28" s="55"/>
      <c r="G28" s="55"/>
      <c r="H28" s="55"/>
      <c r="I28" s="55"/>
      <c r="J28" s="55"/>
      <c r="K28" s="19"/>
      <c r="P28" s="14"/>
      <c r="Q28" s="46"/>
      <c r="R28" s="46"/>
    </row>
    <row r="29" spans="2:18" x14ac:dyDescent="0.25">
      <c r="B29" s="18"/>
      <c r="C29" s="2" t="s">
        <v>23</v>
      </c>
      <c r="D29" s="48">
        <v>0.5</v>
      </c>
      <c r="E29" s="48"/>
      <c r="F29" s="2" t="s">
        <v>24</v>
      </c>
      <c r="G29" s="2" t="s">
        <v>25</v>
      </c>
      <c r="H29" s="48">
        <v>2.7</v>
      </c>
      <c r="I29" s="48"/>
      <c r="J29" s="2" t="s">
        <v>26</v>
      </c>
      <c r="K29" s="19"/>
      <c r="P29" s="14"/>
      <c r="Q29" s="46"/>
      <c r="R29" s="46"/>
    </row>
    <row r="30" spans="2:18" x14ac:dyDescent="0.25">
      <c r="B30" s="18"/>
      <c r="C30" s="2" t="s">
        <v>27</v>
      </c>
      <c r="D30" s="48">
        <v>0.6</v>
      </c>
      <c r="E30" s="48"/>
      <c r="F30" s="2" t="s">
        <v>24</v>
      </c>
      <c r="G30" s="2" t="s">
        <v>28</v>
      </c>
      <c r="H30" s="48">
        <v>8.3000000000000007</v>
      </c>
      <c r="I30" s="48"/>
      <c r="J30" s="2" t="s">
        <v>26</v>
      </c>
      <c r="K30" s="19"/>
      <c r="P30" s="14"/>
      <c r="Q30" s="46"/>
      <c r="R30" s="46"/>
    </row>
    <row r="31" spans="2:18" x14ac:dyDescent="0.25">
      <c r="B31" s="18"/>
      <c r="C31" s="2" t="s">
        <v>29</v>
      </c>
      <c r="D31" s="48">
        <v>10.199999999999999</v>
      </c>
      <c r="E31" s="48"/>
      <c r="F31" s="2" t="s">
        <v>24</v>
      </c>
      <c r="G31" s="2" t="s">
        <v>30</v>
      </c>
      <c r="H31" s="48">
        <v>8.3000000000000007</v>
      </c>
      <c r="I31" s="48"/>
      <c r="J31" s="2" t="s">
        <v>26</v>
      </c>
      <c r="K31" s="19"/>
      <c r="P31" s="14"/>
      <c r="Q31" s="46"/>
      <c r="R31" s="46"/>
    </row>
    <row r="32" spans="2:18" ht="14.1" customHeight="1" x14ac:dyDescent="0.25">
      <c r="B32" s="18"/>
      <c r="C32" s="1"/>
      <c r="D32" s="1"/>
      <c r="E32" s="1"/>
      <c r="F32" s="1"/>
      <c r="G32" s="1"/>
      <c r="H32" s="1"/>
      <c r="I32" s="1"/>
      <c r="J32" s="1"/>
      <c r="K32" s="19"/>
      <c r="P32" s="14"/>
      <c r="Q32" s="46"/>
      <c r="R32" s="46"/>
    </row>
    <row r="33" spans="2:18" ht="14.65" customHeight="1" x14ac:dyDescent="0.25">
      <c r="B33" s="18"/>
      <c r="C33" s="47" t="s">
        <v>31</v>
      </c>
      <c r="D33" s="47"/>
      <c r="E33" s="47"/>
      <c r="F33" s="1"/>
      <c r="G33" s="47" t="s">
        <v>32</v>
      </c>
      <c r="H33" s="47"/>
      <c r="I33" s="47"/>
      <c r="J33" s="47"/>
      <c r="K33" s="19"/>
      <c r="P33" s="14"/>
      <c r="Q33" s="46"/>
      <c r="R33" s="46"/>
    </row>
    <row r="34" spans="2:18" ht="30" x14ac:dyDescent="0.25">
      <c r="B34" s="18"/>
      <c r="C34" s="8" t="s">
        <v>33</v>
      </c>
      <c r="D34" s="8" t="s">
        <v>34</v>
      </c>
      <c r="E34" s="8" t="s">
        <v>35</v>
      </c>
      <c r="F34" s="1"/>
      <c r="G34" s="8" t="s">
        <v>33</v>
      </c>
      <c r="H34" s="8" t="s">
        <v>36</v>
      </c>
      <c r="I34" s="47" t="s">
        <v>37</v>
      </c>
      <c r="J34" s="47"/>
      <c r="K34" s="19"/>
      <c r="M34" s="27"/>
      <c r="N34" s="27"/>
      <c r="O34" s="27"/>
    </row>
    <row r="35" spans="2:18" x14ac:dyDescent="0.25">
      <c r="B35" s="18"/>
      <c r="C35" s="9" t="s">
        <v>38</v>
      </c>
      <c r="D35" s="9" t="s">
        <v>39</v>
      </c>
      <c r="E35" s="9" t="s">
        <v>39</v>
      </c>
      <c r="F35" s="1"/>
      <c r="G35" s="9" t="s">
        <v>38</v>
      </c>
      <c r="H35" s="9" t="s">
        <v>39</v>
      </c>
      <c r="I35" s="70" t="s">
        <v>40</v>
      </c>
      <c r="J35" s="70"/>
      <c r="K35" s="19"/>
    </row>
    <row r="36" spans="2:18" x14ac:dyDescent="0.25">
      <c r="B36" s="18"/>
      <c r="C36" s="4">
        <v>4</v>
      </c>
      <c r="D36" s="4">
        <v>5822.6</v>
      </c>
      <c r="E36" s="10">
        <f>564137/100</f>
        <v>5641.37</v>
      </c>
      <c r="F36" s="1"/>
      <c r="G36" s="4">
        <f>C36</f>
        <v>4</v>
      </c>
      <c r="H36" s="4">
        <f>D36</f>
        <v>5822.6</v>
      </c>
      <c r="I36" s="44">
        <v>84</v>
      </c>
      <c r="J36" s="45"/>
      <c r="K36" s="19"/>
    </row>
    <row r="37" spans="2:18" x14ac:dyDescent="0.25">
      <c r="B37" s="18"/>
      <c r="C37" s="4">
        <v>6</v>
      </c>
      <c r="D37" s="4">
        <v>2422.5</v>
      </c>
      <c r="E37" s="10">
        <f>233524/100</f>
        <v>2335.2399999999998</v>
      </c>
      <c r="F37" s="1"/>
      <c r="G37" s="4">
        <f t="shared" ref="G37:H45" si="0">C37</f>
        <v>6</v>
      </c>
      <c r="H37" s="4">
        <f t="shared" si="0"/>
        <v>2422.5</v>
      </c>
      <c r="I37" s="44">
        <v>194</v>
      </c>
      <c r="J37" s="45"/>
      <c r="K37" s="19"/>
      <c r="M37" s="27"/>
      <c r="N37" s="27"/>
      <c r="O37" s="27"/>
    </row>
    <row r="38" spans="2:18" x14ac:dyDescent="0.25">
      <c r="B38" s="18"/>
      <c r="C38" s="4">
        <v>10</v>
      </c>
      <c r="D38" s="4">
        <v>543.79999999999995</v>
      </c>
      <c r="E38" s="10">
        <f>51730/100</f>
        <v>517.29999999999995</v>
      </c>
      <c r="F38" s="1"/>
      <c r="G38" s="4">
        <f t="shared" si="0"/>
        <v>10</v>
      </c>
      <c r="H38" s="4">
        <f t="shared" si="0"/>
        <v>543.79999999999995</v>
      </c>
      <c r="I38" s="44">
        <v>544</v>
      </c>
      <c r="J38" s="45"/>
      <c r="K38" s="19"/>
    </row>
    <row r="39" spans="2:18" x14ac:dyDescent="0.25">
      <c r="B39" s="18"/>
      <c r="C39" s="4">
        <v>14</v>
      </c>
      <c r="D39" s="4">
        <v>182.5</v>
      </c>
      <c r="E39" s="10">
        <f>17526/100</f>
        <v>175.26</v>
      </c>
      <c r="F39" s="1"/>
      <c r="G39" s="4">
        <f t="shared" si="0"/>
        <v>14</v>
      </c>
      <c r="H39" s="4">
        <f t="shared" si="0"/>
        <v>182.5</v>
      </c>
      <c r="I39" s="44">
        <v>1102</v>
      </c>
      <c r="J39" s="45"/>
      <c r="K39" s="19"/>
    </row>
    <row r="40" spans="2:18" x14ac:dyDescent="0.25">
      <c r="B40" s="18"/>
      <c r="C40" s="4">
        <v>21</v>
      </c>
      <c r="D40" s="4">
        <v>51.7</v>
      </c>
      <c r="E40" s="10">
        <f>5242/100</f>
        <v>52.42</v>
      </c>
      <c r="F40" s="1"/>
      <c r="G40" s="4">
        <f t="shared" si="0"/>
        <v>21</v>
      </c>
      <c r="H40" s="4">
        <f t="shared" si="0"/>
        <v>51.7</v>
      </c>
      <c r="I40" s="44">
        <v>2350</v>
      </c>
      <c r="J40" s="45"/>
      <c r="K40" s="19"/>
    </row>
    <row r="41" spans="2:18" x14ac:dyDescent="0.25">
      <c r="B41" s="18"/>
      <c r="C41" s="4">
        <v>25</v>
      </c>
      <c r="D41" s="4">
        <v>22.8</v>
      </c>
      <c r="E41" s="10">
        <f>2362/100</f>
        <v>23.62</v>
      </c>
      <c r="F41" s="1"/>
      <c r="G41" s="4">
        <f t="shared" si="0"/>
        <v>25</v>
      </c>
      <c r="H41" s="4">
        <f t="shared" si="0"/>
        <v>22.8</v>
      </c>
      <c r="I41" s="44">
        <v>3700</v>
      </c>
      <c r="J41" s="45"/>
      <c r="K41" s="19"/>
    </row>
    <row r="42" spans="2:18" x14ac:dyDescent="0.25">
      <c r="B42" s="18"/>
      <c r="C42" s="56"/>
      <c r="D42" s="57"/>
      <c r="E42" s="58"/>
      <c r="F42" s="1"/>
      <c r="G42" s="56"/>
      <c r="H42" s="57"/>
      <c r="I42" s="57"/>
      <c r="J42" s="58"/>
      <c r="K42" s="19"/>
    </row>
    <row r="43" spans="2:18" x14ac:dyDescent="0.25">
      <c r="B43" s="18"/>
      <c r="C43" s="4">
        <v>38</v>
      </c>
      <c r="D43" s="4">
        <v>457</v>
      </c>
      <c r="E43" s="10">
        <v>448</v>
      </c>
      <c r="F43" s="1"/>
      <c r="G43" s="4">
        <f t="shared" si="0"/>
        <v>38</v>
      </c>
      <c r="H43" s="4">
        <f t="shared" si="0"/>
        <v>457</v>
      </c>
      <c r="I43" s="44">
        <v>10245</v>
      </c>
      <c r="J43" s="45"/>
      <c r="K43" s="19"/>
    </row>
    <row r="44" spans="2:18" x14ac:dyDescent="0.25">
      <c r="B44" s="18"/>
      <c r="C44" s="4">
        <v>50</v>
      </c>
      <c r="D44" s="4">
        <v>263</v>
      </c>
      <c r="E44" s="10">
        <v>242</v>
      </c>
      <c r="F44" s="1"/>
      <c r="G44" s="4">
        <f t="shared" si="0"/>
        <v>50</v>
      </c>
      <c r="H44" s="4">
        <f t="shared" si="0"/>
        <v>263</v>
      </c>
      <c r="I44" s="44">
        <v>15924</v>
      </c>
      <c r="J44" s="45"/>
      <c r="K44" s="19"/>
    </row>
    <row r="45" spans="2:18" x14ac:dyDescent="0.25">
      <c r="B45" s="18"/>
      <c r="C45" s="4">
        <v>70</v>
      </c>
      <c r="D45" s="4">
        <v>79</v>
      </c>
      <c r="E45" s="10">
        <v>81</v>
      </c>
      <c r="F45" s="1"/>
      <c r="G45" s="4">
        <f t="shared" si="0"/>
        <v>70</v>
      </c>
      <c r="H45" s="4">
        <f t="shared" si="0"/>
        <v>79</v>
      </c>
      <c r="I45" s="44">
        <v>24995</v>
      </c>
      <c r="J45" s="45"/>
      <c r="K45" s="19"/>
    </row>
    <row r="46" spans="2:18" x14ac:dyDescent="0.25">
      <c r="B46" s="18"/>
      <c r="C46" s="4"/>
      <c r="D46" s="4"/>
      <c r="E46" s="4"/>
      <c r="F46" s="1"/>
      <c r="G46" s="4"/>
      <c r="H46" s="4"/>
      <c r="I46" s="41"/>
      <c r="J46" s="41"/>
      <c r="K46" s="19"/>
    </row>
    <row r="47" spans="2:18" x14ac:dyDescent="0.25">
      <c r="B47" s="18"/>
      <c r="C47" s="4"/>
      <c r="D47" s="4"/>
      <c r="E47" s="4"/>
      <c r="F47" s="1"/>
      <c r="G47" s="4"/>
      <c r="H47" s="4"/>
      <c r="I47" s="41"/>
      <c r="J47" s="41"/>
      <c r="K47" s="19"/>
    </row>
    <row r="48" spans="2:18" x14ac:dyDescent="0.25">
      <c r="B48" s="18"/>
      <c r="C48" s="4"/>
      <c r="D48" s="4"/>
      <c r="E48" s="4"/>
      <c r="F48" s="1"/>
      <c r="G48" s="4"/>
      <c r="H48" s="4"/>
      <c r="I48" s="41"/>
      <c r="J48" s="41"/>
      <c r="K48" s="19"/>
    </row>
    <row r="49" spans="2:11" x14ac:dyDescent="0.25">
      <c r="B49" s="18"/>
      <c r="C49" s="4"/>
      <c r="D49" s="4"/>
      <c r="E49" s="4"/>
      <c r="F49" s="1"/>
      <c r="G49" s="4"/>
      <c r="H49" s="4"/>
      <c r="I49" s="41"/>
      <c r="J49" s="41"/>
      <c r="K49" s="19"/>
    </row>
    <row r="50" spans="2:11" x14ac:dyDescent="0.25">
      <c r="B50" s="18"/>
      <c r="C50" s="4"/>
      <c r="D50" s="4"/>
      <c r="E50" s="4"/>
      <c r="F50" s="1"/>
      <c r="G50" s="4"/>
      <c r="H50" s="4"/>
      <c r="I50" s="41"/>
      <c r="J50" s="41"/>
      <c r="K50" s="19"/>
    </row>
    <row r="51" spans="2:11" x14ac:dyDescent="0.25">
      <c r="B51" s="18"/>
      <c r="C51" s="4"/>
      <c r="D51" s="4"/>
      <c r="E51" s="4"/>
      <c r="F51" s="1"/>
      <c r="G51" s="4"/>
      <c r="H51" s="4"/>
      <c r="I51" s="41"/>
      <c r="J51" s="41"/>
      <c r="K51" s="19"/>
    </row>
    <row r="52" spans="2:11" x14ac:dyDescent="0.25">
      <c r="B52" s="18"/>
      <c r="C52" s="4"/>
      <c r="D52" s="4"/>
      <c r="E52" s="4"/>
      <c r="F52" s="1"/>
      <c r="G52" s="4"/>
      <c r="H52" s="4"/>
      <c r="I52" s="41"/>
      <c r="J52" s="41"/>
      <c r="K52" s="19"/>
    </row>
    <row r="53" spans="2:11" x14ac:dyDescent="0.25">
      <c r="B53" s="18"/>
      <c r="C53" s="4"/>
      <c r="D53" s="4"/>
      <c r="E53" s="4"/>
      <c r="F53" s="1"/>
      <c r="G53" s="4"/>
      <c r="H53" s="4"/>
      <c r="I53" s="41"/>
      <c r="J53" s="41"/>
      <c r="K53" s="19"/>
    </row>
    <row r="54" spans="2:11" x14ac:dyDescent="0.25">
      <c r="B54" s="18"/>
      <c r="C54" s="4"/>
      <c r="D54" s="4"/>
      <c r="E54" s="4"/>
      <c r="F54" s="1"/>
      <c r="G54" s="4"/>
      <c r="H54" s="4"/>
      <c r="I54" s="41"/>
      <c r="J54" s="41"/>
      <c r="K54" s="19"/>
    </row>
    <row r="55" spans="2:11" x14ac:dyDescent="0.25">
      <c r="B55" s="18"/>
      <c r="C55" s="4"/>
      <c r="D55" s="4"/>
      <c r="E55" s="4"/>
      <c r="F55" s="1"/>
      <c r="G55" s="4"/>
      <c r="H55" s="4"/>
      <c r="I55" s="41"/>
      <c r="J55" s="41"/>
      <c r="K55" s="19"/>
    </row>
    <row r="56" spans="2:11" x14ac:dyDescent="0.25">
      <c r="B56" s="18"/>
      <c r="C56" s="4"/>
      <c r="D56" s="4"/>
      <c r="E56" s="4"/>
      <c r="F56" s="1"/>
      <c r="G56" s="4"/>
      <c r="H56" s="4"/>
      <c r="I56" s="41"/>
      <c r="J56" s="41"/>
      <c r="K56" s="19"/>
    </row>
    <row r="57" spans="2:11" x14ac:dyDescent="0.25">
      <c r="B57" s="18"/>
      <c r="K57" s="19"/>
    </row>
    <row r="58" spans="2:11" ht="14.65" customHeight="1" x14ac:dyDescent="0.25">
      <c r="B58" s="18"/>
      <c r="C58" s="42" t="s">
        <v>48</v>
      </c>
      <c r="D58" s="43"/>
      <c r="E58" s="43"/>
      <c r="F58" s="43"/>
      <c r="G58" s="43"/>
      <c r="H58" s="43"/>
      <c r="I58" s="43"/>
      <c r="J58" s="43"/>
      <c r="K58" s="19"/>
    </row>
    <row r="59" spans="2:11" x14ac:dyDescent="0.25">
      <c r="B59" s="18"/>
      <c r="C59" s="43"/>
      <c r="D59" s="43"/>
      <c r="E59" s="43"/>
      <c r="F59" s="43"/>
      <c r="G59" s="43"/>
      <c r="H59" s="43"/>
      <c r="I59" s="43"/>
      <c r="J59" s="43"/>
      <c r="K59" s="19"/>
    </row>
    <row r="60" spans="2:11" x14ac:dyDescent="0.25">
      <c r="B60" s="18"/>
      <c r="C60" s="43"/>
      <c r="D60" s="43"/>
      <c r="E60" s="43"/>
      <c r="F60" s="43"/>
      <c r="G60" s="43"/>
      <c r="H60" s="43"/>
      <c r="I60" s="43"/>
      <c r="J60" s="43"/>
      <c r="K60" s="19"/>
    </row>
    <row r="61" spans="2:11" x14ac:dyDescent="0.25">
      <c r="B61" s="18"/>
      <c r="C61" s="43"/>
      <c r="D61" s="43"/>
      <c r="E61" s="43"/>
      <c r="F61" s="43"/>
      <c r="G61" s="43"/>
      <c r="H61" s="43"/>
      <c r="I61" s="43"/>
      <c r="J61" s="43"/>
      <c r="K61" s="19"/>
    </row>
    <row r="62" spans="2:11" x14ac:dyDescent="0.25">
      <c r="B62" s="18"/>
      <c r="C62" s="43"/>
      <c r="D62" s="43"/>
      <c r="E62" s="43"/>
      <c r="F62" s="43"/>
      <c r="G62" s="43"/>
      <c r="H62" s="43"/>
      <c r="I62" s="43"/>
      <c r="J62" s="43"/>
      <c r="K62" s="19"/>
    </row>
    <row r="63" spans="2:11" x14ac:dyDescent="0.25">
      <c r="B63" s="22"/>
      <c r="C63" s="23"/>
      <c r="D63" s="23"/>
      <c r="E63" s="23"/>
      <c r="F63" s="23"/>
      <c r="G63" s="23"/>
      <c r="H63" s="23"/>
      <c r="I63" s="23"/>
      <c r="J63" s="23"/>
      <c r="K63" s="24"/>
    </row>
  </sheetData>
  <mergeCells count="65">
    <mergeCell ref="C10:J11"/>
    <mergeCell ref="C12:F14"/>
    <mergeCell ref="G12:J14"/>
    <mergeCell ref="C15:F17"/>
    <mergeCell ref="G15:J17"/>
    <mergeCell ref="C42:E42"/>
    <mergeCell ref="G42:J42"/>
    <mergeCell ref="C19:J20"/>
    <mergeCell ref="C21:C24"/>
    <mergeCell ref="G21:H21"/>
    <mergeCell ref="I21:J21"/>
    <mergeCell ref="G22:H22"/>
    <mergeCell ref="I22:J22"/>
    <mergeCell ref="G23:H23"/>
    <mergeCell ref="I23:J23"/>
    <mergeCell ref="G24:H24"/>
    <mergeCell ref="I24:J24"/>
    <mergeCell ref="D29:E29"/>
    <mergeCell ref="H29:I29"/>
    <mergeCell ref="I35:J35"/>
    <mergeCell ref="D30:E30"/>
    <mergeCell ref="Q29:R29"/>
    <mergeCell ref="Q24:R24"/>
    <mergeCell ref="C25:D25"/>
    <mergeCell ref="G25:H25"/>
    <mergeCell ref="Q25:R25"/>
    <mergeCell ref="C26:D26"/>
    <mergeCell ref="G26:H26"/>
    <mergeCell ref="Q26:R26"/>
    <mergeCell ref="C27:D27"/>
    <mergeCell ref="G27:H27"/>
    <mergeCell ref="Q27:R27"/>
    <mergeCell ref="C28:J28"/>
    <mergeCell ref="Q28:R28"/>
    <mergeCell ref="H30:I30"/>
    <mergeCell ref="Q30:R30"/>
    <mergeCell ref="D31:E31"/>
    <mergeCell ref="H31:I31"/>
    <mergeCell ref="Q31:R31"/>
    <mergeCell ref="Q32:R32"/>
    <mergeCell ref="C33:E33"/>
    <mergeCell ref="G33:J33"/>
    <mergeCell ref="Q33:R33"/>
    <mergeCell ref="I34:J34"/>
    <mergeCell ref="I48:J48"/>
    <mergeCell ref="I36:J36"/>
    <mergeCell ref="I37:J37"/>
    <mergeCell ref="I38:J38"/>
    <mergeCell ref="I39:J39"/>
    <mergeCell ref="I40:J40"/>
    <mergeCell ref="I41:J41"/>
    <mergeCell ref="I43:J43"/>
    <mergeCell ref="I44:J44"/>
    <mergeCell ref="I45:J45"/>
    <mergeCell ref="I46:J46"/>
    <mergeCell ref="I47:J47"/>
    <mergeCell ref="I55:J55"/>
    <mergeCell ref="I56:J56"/>
    <mergeCell ref="C58:J62"/>
    <mergeCell ref="I49:J49"/>
    <mergeCell ref="I50:J50"/>
    <mergeCell ref="I51:J51"/>
    <mergeCell ref="I52:J52"/>
    <mergeCell ref="I53:J53"/>
    <mergeCell ref="I54:J54"/>
  </mergeCells>
  <hyperlinks>
    <hyperlink ref="C8" r:id="rId1" xr:uid="{40C03598-730C-411D-9BA2-FDCA2785D6BB}"/>
  </hyperlinks>
  <pageMargins left="0.7" right="0.7" top="0.75" bottom="0.75" header="0.3" footer="0.3"/>
  <pageSetup scale="48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32775-216F-444E-946C-0C5DE56093B0}">
  <sheetPr>
    <pageSetUpPr fitToPage="1"/>
  </sheetPr>
  <dimension ref="B2:R63"/>
  <sheetViews>
    <sheetView showGridLines="0" zoomScale="90" zoomScaleNormal="90" workbookViewId="0">
      <selection activeCell="C10" sqref="C10:J17"/>
    </sheetView>
  </sheetViews>
  <sheetFormatPr defaultRowHeight="15" x14ac:dyDescent="0.25"/>
  <cols>
    <col min="1" max="1" width="3.7109375" customWidth="1"/>
    <col min="2" max="2" width="3.140625" customWidth="1"/>
    <col min="3" max="3" width="10" customWidth="1"/>
    <col min="4" max="4" width="16.7109375" customWidth="1"/>
    <col min="5" max="5" width="25.7109375" customWidth="1"/>
    <col min="6" max="6" width="4" customWidth="1"/>
    <col min="7" max="7" width="10" customWidth="1"/>
    <col min="8" max="8" width="25.7109375" customWidth="1"/>
    <col min="9" max="9" width="10.140625" customWidth="1"/>
    <col min="10" max="10" width="10.85546875" customWidth="1"/>
    <col min="11" max="11" width="3.140625" customWidth="1"/>
  </cols>
  <sheetData>
    <row r="2" spans="2:11" x14ac:dyDescent="0.2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1" x14ac:dyDescent="0.25">
      <c r="B3" s="18"/>
      <c r="C3" t="s">
        <v>42</v>
      </c>
      <c r="K3" s="19"/>
    </row>
    <row r="4" spans="2:11" x14ac:dyDescent="0.25">
      <c r="B4" s="18"/>
      <c r="C4" t="s">
        <v>43</v>
      </c>
      <c r="K4" s="19"/>
    </row>
    <row r="5" spans="2:11" x14ac:dyDescent="0.25">
      <c r="B5" s="18"/>
      <c r="C5" t="s">
        <v>44</v>
      </c>
      <c r="K5" s="19"/>
    </row>
    <row r="6" spans="2:11" x14ac:dyDescent="0.25">
      <c r="B6" s="18"/>
      <c r="C6" t="s">
        <v>45</v>
      </c>
      <c r="K6" s="19"/>
    </row>
    <row r="7" spans="2:11" x14ac:dyDescent="0.25">
      <c r="B7" s="18"/>
      <c r="C7" t="s">
        <v>46</v>
      </c>
      <c r="K7" s="19"/>
    </row>
    <row r="8" spans="2:11" x14ac:dyDescent="0.25">
      <c r="B8" s="18"/>
      <c r="C8" s="20" t="s">
        <v>47</v>
      </c>
      <c r="K8" s="19"/>
    </row>
    <row r="9" spans="2:11" x14ac:dyDescent="0.25">
      <c r="B9" s="18"/>
      <c r="C9" s="20"/>
      <c r="K9" s="19"/>
    </row>
    <row r="10" spans="2:11" x14ac:dyDescent="0.25">
      <c r="B10" s="18"/>
      <c r="C10" s="86" t="s">
        <v>77</v>
      </c>
      <c r="D10" s="76"/>
      <c r="E10" s="76"/>
      <c r="F10" s="76"/>
      <c r="G10" s="76"/>
      <c r="H10" s="76"/>
      <c r="I10" s="76"/>
      <c r="J10" s="76"/>
      <c r="K10" s="19"/>
    </row>
    <row r="11" spans="2:11" x14ac:dyDescent="0.25">
      <c r="B11" s="18"/>
      <c r="C11" s="76"/>
      <c r="D11" s="76"/>
      <c r="E11" s="76"/>
      <c r="F11" s="76"/>
      <c r="G11" s="76"/>
      <c r="H11" s="76"/>
      <c r="I11" s="76"/>
      <c r="J11" s="76"/>
      <c r="K11" s="19"/>
    </row>
    <row r="12" spans="2:11" x14ac:dyDescent="0.25">
      <c r="B12" s="18"/>
      <c r="C12" s="90" t="s">
        <v>78</v>
      </c>
      <c r="D12" s="90"/>
      <c r="E12" s="90"/>
      <c r="F12" s="90"/>
      <c r="G12" s="90" t="s">
        <v>79</v>
      </c>
      <c r="H12" s="90"/>
      <c r="I12" s="90"/>
      <c r="J12" s="90"/>
      <c r="K12" s="19"/>
    </row>
    <row r="13" spans="2:11" x14ac:dyDescent="0.25">
      <c r="B13" s="18"/>
      <c r="C13" s="90"/>
      <c r="D13" s="90"/>
      <c r="E13" s="90"/>
      <c r="F13" s="90"/>
      <c r="G13" s="90"/>
      <c r="H13" s="90"/>
      <c r="I13" s="90"/>
      <c r="J13" s="90"/>
      <c r="K13" s="19"/>
    </row>
    <row r="14" spans="2:11" x14ac:dyDescent="0.25">
      <c r="B14" s="18"/>
      <c r="C14" s="90"/>
      <c r="D14" s="90"/>
      <c r="E14" s="90"/>
      <c r="F14" s="90"/>
      <c r="G14" s="90"/>
      <c r="H14" s="90"/>
      <c r="I14" s="90"/>
      <c r="J14" s="90"/>
      <c r="K14" s="19"/>
    </row>
    <row r="15" spans="2:11" x14ac:dyDescent="0.25">
      <c r="B15" s="18"/>
      <c r="C15" s="90" t="s">
        <v>86</v>
      </c>
      <c r="D15" s="90"/>
      <c r="E15" s="90"/>
      <c r="F15" s="90"/>
      <c r="G15" s="77" t="s">
        <v>87</v>
      </c>
      <c r="H15" s="78"/>
      <c r="I15" s="78"/>
      <c r="J15" s="79"/>
      <c r="K15" s="19"/>
    </row>
    <row r="16" spans="2:11" x14ac:dyDescent="0.25">
      <c r="B16" s="18"/>
      <c r="C16" s="90"/>
      <c r="D16" s="90"/>
      <c r="E16" s="90"/>
      <c r="F16" s="90"/>
      <c r="G16" s="80"/>
      <c r="H16" s="81"/>
      <c r="I16" s="81"/>
      <c r="J16" s="82"/>
      <c r="K16" s="19"/>
    </row>
    <row r="17" spans="2:18" x14ac:dyDescent="0.25">
      <c r="B17" s="18"/>
      <c r="C17" s="90"/>
      <c r="D17" s="90"/>
      <c r="E17" s="90"/>
      <c r="F17" s="90"/>
      <c r="G17" s="83"/>
      <c r="H17" s="84"/>
      <c r="I17" s="84"/>
      <c r="J17" s="85"/>
      <c r="K17" s="19"/>
    </row>
    <row r="18" spans="2:18" x14ac:dyDescent="0.25">
      <c r="B18" s="18"/>
      <c r="K18" s="19"/>
    </row>
    <row r="19" spans="2:18" ht="18.399999999999999" customHeight="1" x14ac:dyDescent="0.25">
      <c r="B19" s="18"/>
      <c r="C19" s="59" t="s">
        <v>0</v>
      </c>
      <c r="D19" s="60"/>
      <c r="E19" s="60"/>
      <c r="F19" s="60"/>
      <c r="G19" s="60"/>
      <c r="H19" s="60"/>
      <c r="I19" s="60"/>
      <c r="J19" s="61"/>
      <c r="K19" s="19"/>
    </row>
    <row r="20" spans="2:18" ht="14.65" customHeight="1" x14ac:dyDescent="0.25">
      <c r="B20" s="18"/>
      <c r="C20" s="62"/>
      <c r="D20" s="63"/>
      <c r="E20" s="63"/>
      <c r="F20" s="63"/>
      <c r="G20" s="63"/>
      <c r="H20" s="63"/>
      <c r="I20" s="63"/>
      <c r="J20" s="64"/>
      <c r="K20" s="19"/>
    </row>
    <row r="21" spans="2:18" ht="14.65" customHeight="1" x14ac:dyDescent="0.25">
      <c r="B21" s="18"/>
      <c r="C21" s="65" t="s">
        <v>1</v>
      </c>
      <c r="D21" s="3" t="s">
        <v>2</v>
      </c>
      <c r="E21" s="4" t="s">
        <v>3</v>
      </c>
      <c r="F21" s="5"/>
      <c r="G21" s="53" t="s">
        <v>4</v>
      </c>
      <c r="H21" s="54"/>
      <c r="I21" s="66">
        <v>46183</v>
      </c>
      <c r="J21" s="67"/>
      <c r="K21" s="19"/>
    </row>
    <row r="22" spans="2:18" x14ac:dyDescent="0.25">
      <c r="B22" s="18"/>
      <c r="C22" s="65"/>
      <c r="D22" s="3" t="s">
        <v>5</v>
      </c>
      <c r="E22" s="4">
        <v>63010048</v>
      </c>
      <c r="F22" s="5"/>
      <c r="G22" s="53" t="s">
        <v>6</v>
      </c>
      <c r="H22" s="54"/>
      <c r="I22" s="68" t="s">
        <v>7</v>
      </c>
      <c r="J22" s="69"/>
      <c r="K22" s="19"/>
    </row>
    <row r="23" spans="2:18" ht="14.65" customHeight="1" x14ac:dyDescent="0.25">
      <c r="B23" s="18"/>
      <c r="C23" s="65"/>
      <c r="D23" s="3" t="s">
        <v>2</v>
      </c>
      <c r="E23" s="4" t="s">
        <v>8</v>
      </c>
      <c r="F23" s="5"/>
      <c r="G23" s="51" t="s">
        <v>9</v>
      </c>
      <c r="H23" s="52"/>
      <c r="I23" s="68" t="s">
        <v>10</v>
      </c>
      <c r="J23" s="69"/>
      <c r="K23" s="19"/>
    </row>
    <row r="24" spans="2:18" ht="14.65" customHeight="1" x14ac:dyDescent="0.25">
      <c r="B24" s="18"/>
      <c r="C24" s="65"/>
      <c r="D24" s="3" t="s">
        <v>5</v>
      </c>
      <c r="E24" s="4" t="s">
        <v>11</v>
      </c>
      <c r="F24" s="5"/>
      <c r="G24" s="51" t="s">
        <v>12</v>
      </c>
      <c r="H24" s="52"/>
      <c r="I24" s="68" t="s">
        <v>13</v>
      </c>
      <c r="J24" s="69"/>
      <c r="K24" s="19"/>
      <c r="P24" s="13"/>
      <c r="Q24" s="49"/>
      <c r="R24" s="49"/>
    </row>
    <row r="25" spans="2:18" ht="15.4" customHeight="1" x14ac:dyDescent="0.25">
      <c r="B25" s="18"/>
      <c r="C25" s="50" t="s">
        <v>14</v>
      </c>
      <c r="D25" s="50"/>
      <c r="E25" s="4">
        <v>54</v>
      </c>
      <c r="F25" s="5"/>
      <c r="G25" s="51" t="s">
        <v>15</v>
      </c>
      <c r="H25" s="52"/>
      <c r="I25" s="6">
        <v>30000</v>
      </c>
      <c r="J25" s="3" t="s">
        <v>16</v>
      </c>
      <c r="K25" s="19"/>
      <c r="P25" s="14"/>
      <c r="Q25" s="46"/>
      <c r="R25" s="46"/>
    </row>
    <row r="26" spans="2:18" ht="14.65" customHeight="1" x14ac:dyDescent="0.25">
      <c r="B26" s="18"/>
      <c r="C26" s="50" t="s">
        <v>17</v>
      </c>
      <c r="D26" s="50"/>
      <c r="E26" s="4">
        <v>40</v>
      </c>
      <c r="F26" s="5"/>
      <c r="G26" s="53" t="s">
        <v>18</v>
      </c>
      <c r="H26" s="54"/>
      <c r="I26" s="6">
        <v>30</v>
      </c>
      <c r="J26" s="3" t="s">
        <v>19</v>
      </c>
      <c r="K26" s="19"/>
      <c r="P26" s="14"/>
      <c r="Q26" s="46"/>
      <c r="R26" s="46"/>
    </row>
    <row r="27" spans="2:18" ht="14.65" customHeight="1" x14ac:dyDescent="0.25">
      <c r="B27" s="18"/>
      <c r="C27" s="50" t="s">
        <v>20</v>
      </c>
      <c r="D27" s="50"/>
      <c r="E27" s="7">
        <v>1.2E-2</v>
      </c>
      <c r="F27" s="5"/>
      <c r="G27" s="53" t="s">
        <v>21</v>
      </c>
      <c r="H27" s="54"/>
      <c r="I27" s="6">
        <v>30</v>
      </c>
      <c r="J27" s="3" t="s">
        <v>19</v>
      </c>
      <c r="K27" s="19"/>
      <c r="P27" s="14"/>
      <c r="Q27" s="46"/>
      <c r="R27" s="46"/>
    </row>
    <row r="28" spans="2:18" ht="14.65" customHeight="1" x14ac:dyDescent="0.25">
      <c r="B28" s="18"/>
      <c r="C28" s="55" t="s">
        <v>22</v>
      </c>
      <c r="D28" s="55"/>
      <c r="E28" s="55"/>
      <c r="F28" s="55"/>
      <c r="G28" s="55"/>
      <c r="H28" s="55"/>
      <c r="I28" s="55"/>
      <c r="J28" s="55"/>
      <c r="K28" s="19"/>
      <c r="P28" s="14"/>
      <c r="Q28" s="46"/>
      <c r="R28" s="46"/>
    </row>
    <row r="29" spans="2:18" x14ac:dyDescent="0.25">
      <c r="B29" s="18"/>
      <c r="C29" s="2" t="s">
        <v>23</v>
      </c>
      <c r="D29" s="48">
        <v>0.5</v>
      </c>
      <c r="E29" s="48"/>
      <c r="F29" s="2" t="s">
        <v>24</v>
      </c>
      <c r="G29" s="2" t="s">
        <v>25</v>
      </c>
      <c r="H29" s="48">
        <v>2.7</v>
      </c>
      <c r="I29" s="48"/>
      <c r="J29" s="2" t="s">
        <v>26</v>
      </c>
      <c r="K29" s="19"/>
      <c r="P29" s="14"/>
      <c r="Q29" s="46"/>
      <c r="R29" s="46"/>
    </row>
    <row r="30" spans="2:18" x14ac:dyDescent="0.25">
      <c r="B30" s="18"/>
      <c r="C30" s="2" t="s">
        <v>27</v>
      </c>
      <c r="D30" s="48">
        <v>0.6</v>
      </c>
      <c r="E30" s="48"/>
      <c r="F30" s="2" t="s">
        <v>24</v>
      </c>
      <c r="G30" s="2" t="s">
        <v>28</v>
      </c>
      <c r="H30" s="48">
        <v>8.3000000000000007</v>
      </c>
      <c r="I30" s="48"/>
      <c r="J30" s="2" t="s">
        <v>26</v>
      </c>
      <c r="K30" s="19"/>
      <c r="P30" s="14"/>
      <c r="Q30" s="46"/>
      <c r="R30" s="46"/>
    </row>
    <row r="31" spans="2:18" x14ac:dyDescent="0.25">
      <c r="B31" s="18"/>
      <c r="C31" s="2" t="s">
        <v>29</v>
      </c>
      <c r="D31" s="48">
        <v>10.199999999999999</v>
      </c>
      <c r="E31" s="48"/>
      <c r="F31" s="2" t="s">
        <v>24</v>
      </c>
      <c r="G31" s="2" t="s">
        <v>30</v>
      </c>
      <c r="H31" s="48">
        <v>8.3000000000000007</v>
      </c>
      <c r="I31" s="48"/>
      <c r="J31" s="2" t="s">
        <v>26</v>
      </c>
      <c r="K31" s="19"/>
      <c r="P31" s="14"/>
      <c r="Q31" s="46"/>
      <c r="R31" s="46"/>
    </row>
    <row r="32" spans="2:18" ht="14.1" customHeight="1" x14ac:dyDescent="0.25">
      <c r="B32" s="18"/>
      <c r="C32" s="1"/>
      <c r="D32" s="1"/>
      <c r="E32" s="1"/>
      <c r="F32" s="1"/>
      <c r="G32" s="1"/>
      <c r="H32" s="1"/>
      <c r="I32" s="1"/>
      <c r="J32" s="1"/>
      <c r="K32" s="19"/>
      <c r="P32" s="14"/>
      <c r="Q32" s="46"/>
      <c r="R32" s="46"/>
    </row>
    <row r="33" spans="2:18" ht="14.65" customHeight="1" x14ac:dyDescent="0.25">
      <c r="B33" s="18"/>
      <c r="C33" s="47" t="s">
        <v>31</v>
      </c>
      <c r="D33" s="47"/>
      <c r="E33" s="47"/>
      <c r="F33" s="1"/>
      <c r="G33" s="47" t="s">
        <v>32</v>
      </c>
      <c r="H33" s="47"/>
      <c r="I33" s="47"/>
      <c r="J33" s="47"/>
      <c r="K33" s="19"/>
      <c r="P33" s="14"/>
      <c r="Q33" s="46"/>
      <c r="R33" s="46"/>
    </row>
    <row r="34" spans="2:18" ht="30" x14ac:dyDescent="0.25">
      <c r="B34" s="18"/>
      <c r="C34" s="8" t="s">
        <v>33</v>
      </c>
      <c r="D34" s="8" t="s">
        <v>34</v>
      </c>
      <c r="E34" s="8" t="s">
        <v>35</v>
      </c>
      <c r="F34" s="1"/>
      <c r="G34" s="8" t="s">
        <v>33</v>
      </c>
      <c r="H34" s="8" t="s">
        <v>36</v>
      </c>
      <c r="I34" s="47" t="s">
        <v>37</v>
      </c>
      <c r="J34" s="47"/>
      <c r="K34" s="19"/>
    </row>
    <row r="35" spans="2:18" x14ac:dyDescent="0.25">
      <c r="B35" s="18"/>
      <c r="C35" s="9" t="s">
        <v>38</v>
      </c>
      <c r="D35" s="9" t="s">
        <v>39</v>
      </c>
      <c r="E35" s="9" t="s">
        <v>39</v>
      </c>
      <c r="F35" s="1"/>
      <c r="G35" s="9" t="s">
        <v>38</v>
      </c>
      <c r="H35" s="9" t="s">
        <v>39</v>
      </c>
      <c r="I35" s="70" t="s">
        <v>40</v>
      </c>
      <c r="J35" s="70"/>
      <c r="K35" s="19"/>
    </row>
    <row r="36" spans="2:18" x14ac:dyDescent="0.25">
      <c r="B36" s="18"/>
      <c r="C36" s="4">
        <v>4</v>
      </c>
      <c r="D36" s="4">
        <v>10809.4</v>
      </c>
      <c r="E36" s="10">
        <f>1084234/100</f>
        <v>10842.34</v>
      </c>
      <c r="F36" s="1"/>
      <c r="G36" s="4">
        <f>C36</f>
        <v>4</v>
      </c>
      <c r="H36" s="4">
        <f>D36</f>
        <v>10809.4</v>
      </c>
      <c r="I36" s="44">
        <v>80</v>
      </c>
      <c r="J36" s="45"/>
      <c r="K36" s="19"/>
    </row>
    <row r="37" spans="2:18" x14ac:dyDescent="0.25">
      <c r="B37" s="18"/>
      <c r="C37" s="4">
        <v>6</v>
      </c>
      <c r="D37" s="4">
        <v>4647.7</v>
      </c>
      <c r="E37" s="10">
        <f>465319/100</f>
        <v>4653.1899999999996</v>
      </c>
      <c r="F37" s="1"/>
      <c r="G37" s="4">
        <f t="shared" ref="G37:H45" si="0">C37</f>
        <v>6</v>
      </c>
      <c r="H37" s="4">
        <f t="shared" si="0"/>
        <v>4647.7</v>
      </c>
      <c r="I37" s="44">
        <v>184</v>
      </c>
      <c r="J37" s="45"/>
      <c r="K37" s="19"/>
    </row>
    <row r="38" spans="2:18" x14ac:dyDescent="0.25">
      <c r="B38" s="18"/>
      <c r="C38" s="4">
        <v>10</v>
      </c>
      <c r="D38" s="4">
        <v>1074.3</v>
      </c>
      <c r="E38" s="10">
        <f>108256/100</f>
        <v>1082.56</v>
      </c>
      <c r="F38" s="1"/>
      <c r="G38" s="4">
        <f t="shared" si="0"/>
        <v>10</v>
      </c>
      <c r="H38" s="4">
        <f t="shared" si="0"/>
        <v>1074.3</v>
      </c>
      <c r="I38" s="44">
        <v>514</v>
      </c>
      <c r="J38" s="45"/>
      <c r="K38" s="19"/>
    </row>
    <row r="39" spans="2:18" x14ac:dyDescent="0.25">
      <c r="B39" s="18"/>
      <c r="C39" s="4">
        <v>14</v>
      </c>
      <c r="D39" s="4">
        <v>365.5</v>
      </c>
      <c r="E39" s="10">
        <f>37308/100</f>
        <v>373.08</v>
      </c>
      <c r="F39" s="1"/>
      <c r="G39" s="4">
        <f t="shared" si="0"/>
        <v>14</v>
      </c>
      <c r="H39" s="4">
        <f t="shared" si="0"/>
        <v>365.5</v>
      </c>
      <c r="I39" s="44">
        <v>1006</v>
      </c>
      <c r="J39" s="45"/>
      <c r="K39" s="19"/>
    </row>
    <row r="40" spans="2:18" x14ac:dyDescent="0.25">
      <c r="B40" s="18"/>
      <c r="C40" s="4">
        <v>21</v>
      </c>
      <c r="D40" s="4">
        <v>109.8</v>
      </c>
      <c r="E40" s="10">
        <f>11293/100</f>
        <v>112.93</v>
      </c>
      <c r="F40" s="1"/>
      <c r="G40" s="4">
        <f t="shared" si="0"/>
        <v>21</v>
      </c>
      <c r="H40" s="4">
        <f t="shared" si="0"/>
        <v>109.8</v>
      </c>
      <c r="I40" s="44">
        <v>2032</v>
      </c>
      <c r="J40" s="45"/>
      <c r="K40" s="19"/>
    </row>
    <row r="41" spans="2:18" x14ac:dyDescent="0.25">
      <c r="B41" s="18"/>
      <c r="C41" s="4">
        <v>25</v>
      </c>
      <c r="D41" s="4">
        <v>52.1</v>
      </c>
      <c r="E41" s="10">
        <f>5214/100</f>
        <v>52.14</v>
      </c>
      <c r="F41" s="1"/>
      <c r="G41" s="4">
        <f t="shared" si="0"/>
        <v>25</v>
      </c>
      <c r="H41" s="4">
        <f t="shared" si="0"/>
        <v>52.1</v>
      </c>
      <c r="I41" s="44">
        <v>2962</v>
      </c>
      <c r="J41" s="45"/>
      <c r="K41" s="19"/>
    </row>
    <row r="42" spans="2:18" x14ac:dyDescent="0.25">
      <c r="B42" s="18"/>
      <c r="C42" s="56"/>
      <c r="D42" s="57"/>
      <c r="E42" s="58"/>
      <c r="F42" s="1"/>
      <c r="G42" s="56"/>
      <c r="H42" s="57"/>
      <c r="I42" s="57"/>
      <c r="J42" s="58"/>
      <c r="K42" s="19"/>
    </row>
    <row r="43" spans="2:18" x14ac:dyDescent="0.25">
      <c r="B43" s="18"/>
      <c r="C43" s="4">
        <v>38</v>
      </c>
      <c r="D43" s="4">
        <v>400</v>
      </c>
      <c r="E43" s="10">
        <v>371</v>
      </c>
      <c r="F43" s="1"/>
      <c r="G43" s="4">
        <f t="shared" si="0"/>
        <v>38</v>
      </c>
      <c r="H43" s="4">
        <f t="shared" si="0"/>
        <v>400</v>
      </c>
      <c r="I43" s="44">
        <v>10165</v>
      </c>
      <c r="J43" s="45"/>
      <c r="K43" s="19"/>
    </row>
    <row r="44" spans="2:18" x14ac:dyDescent="0.25">
      <c r="B44" s="18"/>
      <c r="C44" s="4">
        <v>50</v>
      </c>
      <c r="D44" s="4">
        <v>132</v>
      </c>
      <c r="E44" s="10">
        <v>132</v>
      </c>
      <c r="F44" s="1"/>
      <c r="G44" s="4">
        <f t="shared" si="0"/>
        <v>50</v>
      </c>
      <c r="H44" s="4">
        <f t="shared" si="0"/>
        <v>132</v>
      </c>
      <c r="I44" s="44">
        <v>16205</v>
      </c>
      <c r="J44" s="45"/>
      <c r="K44" s="19"/>
    </row>
    <row r="45" spans="2:18" x14ac:dyDescent="0.25">
      <c r="B45" s="18"/>
      <c r="C45" s="4">
        <v>70</v>
      </c>
      <c r="D45" s="4">
        <v>20</v>
      </c>
      <c r="E45" s="10">
        <v>14</v>
      </c>
      <c r="F45" s="1"/>
      <c r="G45" s="4">
        <f t="shared" si="0"/>
        <v>70</v>
      </c>
      <c r="H45" s="4">
        <f t="shared" si="0"/>
        <v>20</v>
      </c>
      <c r="I45" s="44">
        <v>24750</v>
      </c>
      <c r="J45" s="45"/>
      <c r="K45" s="19"/>
    </row>
    <row r="46" spans="2:18" x14ac:dyDescent="0.25">
      <c r="B46" s="18"/>
      <c r="C46" s="4"/>
      <c r="D46" s="4"/>
      <c r="E46" s="4"/>
      <c r="F46" s="1"/>
      <c r="G46" s="4"/>
      <c r="H46" s="4"/>
      <c r="I46" s="41"/>
      <c r="J46" s="41"/>
      <c r="K46" s="19"/>
    </row>
    <row r="47" spans="2:18" x14ac:dyDescent="0.25">
      <c r="B47" s="18"/>
      <c r="C47" s="4"/>
      <c r="D47" s="4"/>
      <c r="E47" s="4"/>
      <c r="F47" s="1"/>
      <c r="G47" s="4"/>
      <c r="H47" s="4"/>
      <c r="I47" s="41"/>
      <c r="J47" s="41"/>
      <c r="K47" s="19"/>
    </row>
    <row r="48" spans="2:18" x14ac:dyDescent="0.25">
      <c r="B48" s="18"/>
      <c r="C48" s="4"/>
      <c r="D48" s="4"/>
      <c r="E48" s="4"/>
      <c r="F48" s="1"/>
      <c r="G48" s="4"/>
      <c r="H48" s="4"/>
      <c r="I48" s="41"/>
      <c r="J48" s="41"/>
      <c r="K48" s="19"/>
    </row>
    <row r="49" spans="2:11" x14ac:dyDescent="0.25">
      <c r="B49" s="18"/>
      <c r="C49" s="4"/>
      <c r="D49" s="4"/>
      <c r="E49" s="4"/>
      <c r="F49" s="1"/>
      <c r="G49" s="4"/>
      <c r="H49" s="4"/>
      <c r="I49" s="41"/>
      <c r="J49" s="41"/>
      <c r="K49" s="19"/>
    </row>
    <row r="50" spans="2:11" x14ac:dyDescent="0.25">
      <c r="B50" s="18"/>
      <c r="C50" s="4"/>
      <c r="D50" s="4"/>
      <c r="E50" s="4"/>
      <c r="F50" s="1"/>
      <c r="G50" s="4"/>
      <c r="H50" s="4"/>
      <c r="I50" s="41"/>
      <c r="J50" s="41"/>
      <c r="K50" s="19"/>
    </row>
    <row r="51" spans="2:11" x14ac:dyDescent="0.25">
      <c r="B51" s="18"/>
      <c r="C51" s="4"/>
      <c r="D51" s="4"/>
      <c r="E51" s="4"/>
      <c r="F51" s="1"/>
      <c r="G51" s="4"/>
      <c r="H51" s="4"/>
      <c r="I51" s="41"/>
      <c r="J51" s="41"/>
      <c r="K51" s="19"/>
    </row>
    <row r="52" spans="2:11" x14ac:dyDescent="0.25">
      <c r="B52" s="18"/>
      <c r="C52" s="4"/>
      <c r="D52" s="4"/>
      <c r="E52" s="4"/>
      <c r="F52" s="1"/>
      <c r="G52" s="4"/>
      <c r="H52" s="4"/>
      <c r="I52" s="41"/>
      <c r="J52" s="41"/>
      <c r="K52" s="19"/>
    </row>
    <row r="53" spans="2:11" x14ac:dyDescent="0.25">
      <c r="B53" s="18"/>
      <c r="C53" s="4"/>
      <c r="D53" s="4"/>
      <c r="E53" s="4"/>
      <c r="F53" s="1"/>
      <c r="G53" s="4"/>
      <c r="H53" s="4"/>
      <c r="I53" s="41"/>
      <c r="J53" s="41"/>
      <c r="K53" s="19"/>
    </row>
    <row r="54" spans="2:11" x14ac:dyDescent="0.25">
      <c r="B54" s="18"/>
      <c r="C54" s="4"/>
      <c r="D54" s="4"/>
      <c r="E54" s="4"/>
      <c r="F54" s="1"/>
      <c r="G54" s="4"/>
      <c r="H54" s="4"/>
      <c r="I54" s="41"/>
      <c r="J54" s="41"/>
      <c r="K54" s="19"/>
    </row>
    <row r="55" spans="2:11" x14ac:dyDescent="0.25">
      <c r="B55" s="18"/>
      <c r="C55" s="4"/>
      <c r="D55" s="4"/>
      <c r="E55" s="4"/>
      <c r="F55" s="1"/>
      <c r="G55" s="4"/>
      <c r="H55" s="4"/>
      <c r="I55" s="41"/>
      <c r="J55" s="41"/>
      <c r="K55" s="19"/>
    </row>
    <row r="56" spans="2:11" x14ac:dyDescent="0.25">
      <c r="B56" s="18"/>
      <c r="C56" s="4"/>
      <c r="D56" s="4"/>
      <c r="E56" s="4"/>
      <c r="F56" s="1"/>
      <c r="G56" s="4"/>
      <c r="H56" s="4"/>
      <c r="I56" s="41"/>
      <c r="J56" s="41"/>
      <c r="K56" s="19"/>
    </row>
    <row r="57" spans="2:11" x14ac:dyDescent="0.25">
      <c r="B57" s="18"/>
      <c r="K57" s="19"/>
    </row>
    <row r="58" spans="2:11" ht="14.65" customHeight="1" x14ac:dyDescent="0.25">
      <c r="B58" s="18"/>
      <c r="C58" s="42" t="s">
        <v>48</v>
      </c>
      <c r="D58" s="43"/>
      <c r="E58" s="43"/>
      <c r="F58" s="43"/>
      <c r="G58" s="43"/>
      <c r="H58" s="43"/>
      <c r="I58" s="43"/>
      <c r="J58" s="43"/>
      <c r="K58" s="19"/>
    </row>
    <row r="59" spans="2:11" x14ac:dyDescent="0.25">
      <c r="B59" s="18"/>
      <c r="C59" s="43"/>
      <c r="D59" s="43"/>
      <c r="E59" s="43"/>
      <c r="F59" s="43"/>
      <c r="G59" s="43"/>
      <c r="H59" s="43"/>
      <c r="I59" s="43"/>
      <c r="J59" s="43"/>
      <c r="K59" s="19"/>
    </row>
    <row r="60" spans="2:11" x14ac:dyDescent="0.25">
      <c r="B60" s="18"/>
      <c r="C60" s="43"/>
      <c r="D60" s="43"/>
      <c r="E60" s="43"/>
      <c r="F60" s="43"/>
      <c r="G60" s="43"/>
      <c r="H60" s="43"/>
      <c r="I60" s="43"/>
      <c r="J60" s="43"/>
      <c r="K60" s="19"/>
    </row>
    <row r="61" spans="2:11" x14ac:dyDescent="0.25">
      <c r="B61" s="18"/>
      <c r="C61" s="43"/>
      <c r="D61" s="43"/>
      <c r="E61" s="43"/>
      <c r="F61" s="43"/>
      <c r="G61" s="43"/>
      <c r="H61" s="43"/>
      <c r="I61" s="43"/>
      <c r="J61" s="43"/>
      <c r="K61" s="19"/>
    </row>
    <row r="62" spans="2:11" x14ac:dyDescent="0.25">
      <c r="B62" s="18"/>
      <c r="C62" s="43"/>
      <c r="D62" s="43"/>
      <c r="E62" s="43"/>
      <c r="F62" s="43"/>
      <c r="G62" s="43"/>
      <c r="H62" s="43"/>
      <c r="I62" s="43"/>
      <c r="J62" s="43"/>
      <c r="K62" s="19"/>
    </row>
    <row r="63" spans="2:11" x14ac:dyDescent="0.25">
      <c r="B63" s="22"/>
      <c r="C63" s="23"/>
      <c r="D63" s="23"/>
      <c r="E63" s="23"/>
      <c r="F63" s="23"/>
      <c r="G63" s="23"/>
      <c r="H63" s="23"/>
      <c r="I63" s="23"/>
      <c r="J63" s="23"/>
      <c r="K63" s="24"/>
    </row>
  </sheetData>
  <mergeCells count="65">
    <mergeCell ref="C10:J11"/>
    <mergeCell ref="C12:F14"/>
    <mergeCell ref="G12:J14"/>
    <mergeCell ref="C15:F17"/>
    <mergeCell ref="G15:J17"/>
    <mergeCell ref="C42:E42"/>
    <mergeCell ref="G42:J42"/>
    <mergeCell ref="C19:J20"/>
    <mergeCell ref="C21:C24"/>
    <mergeCell ref="G21:H21"/>
    <mergeCell ref="I21:J21"/>
    <mergeCell ref="G22:H22"/>
    <mergeCell ref="I22:J22"/>
    <mergeCell ref="G23:H23"/>
    <mergeCell ref="I23:J23"/>
    <mergeCell ref="G24:H24"/>
    <mergeCell ref="I24:J24"/>
    <mergeCell ref="D29:E29"/>
    <mergeCell ref="H29:I29"/>
    <mergeCell ref="I35:J35"/>
    <mergeCell ref="D30:E30"/>
    <mergeCell ref="Q29:R29"/>
    <mergeCell ref="Q24:R24"/>
    <mergeCell ref="C25:D25"/>
    <mergeCell ref="G25:H25"/>
    <mergeCell ref="Q25:R25"/>
    <mergeCell ref="C26:D26"/>
    <mergeCell ref="G26:H26"/>
    <mergeCell ref="Q26:R26"/>
    <mergeCell ref="C27:D27"/>
    <mergeCell ref="G27:H27"/>
    <mergeCell ref="Q27:R27"/>
    <mergeCell ref="C28:J28"/>
    <mergeCell ref="Q28:R28"/>
    <mergeCell ref="H30:I30"/>
    <mergeCell ref="Q30:R30"/>
    <mergeCell ref="D31:E31"/>
    <mergeCell ref="H31:I31"/>
    <mergeCell ref="Q31:R31"/>
    <mergeCell ref="Q32:R32"/>
    <mergeCell ref="C33:E33"/>
    <mergeCell ref="G33:J33"/>
    <mergeCell ref="Q33:R33"/>
    <mergeCell ref="I34:J34"/>
    <mergeCell ref="I48:J48"/>
    <mergeCell ref="I36:J36"/>
    <mergeCell ref="I37:J37"/>
    <mergeCell ref="I38:J38"/>
    <mergeCell ref="I39:J39"/>
    <mergeCell ref="I40:J40"/>
    <mergeCell ref="I41:J41"/>
    <mergeCell ref="I43:J43"/>
    <mergeCell ref="I44:J44"/>
    <mergeCell ref="I45:J45"/>
    <mergeCell ref="I46:J46"/>
    <mergeCell ref="I47:J47"/>
    <mergeCell ref="I55:J55"/>
    <mergeCell ref="I56:J56"/>
    <mergeCell ref="C58:J62"/>
    <mergeCell ref="I49:J49"/>
    <mergeCell ref="I50:J50"/>
    <mergeCell ref="I51:J51"/>
    <mergeCell ref="I52:J52"/>
    <mergeCell ref="I53:J53"/>
    <mergeCell ref="I54:J54"/>
  </mergeCells>
  <hyperlinks>
    <hyperlink ref="C8" r:id="rId1" xr:uid="{E3726FE0-52EE-471C-BED5-9ED1DA948DDC}"/>
  </hyperlinks>
  <pageMargins left="0.7" right="0.7" top="0.75" bottom="0.75" header="0.3" footer="0.3"/>
  <pageSetup scale="48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38987-6600-469E-83D2-8E0D01577823}">
  <sheetPr>
    <pageSetUpPr fitToPage="1"/>
  </sheetPr>
  <dimension ref="B2:R63"/>
  <sheetViews>
    <sheetView showGridLines="0" zoomScale="90" zoomScaleNormal="90" workbookViewId="0">
      <selection activeCell="C10" sqref="C10:J17"/>
    </sheetView>
  </sheetViews>
  <sheetFormatPr defaultRowHeight="15" x14ac:dyDescent="0.25"/>
  <cols>
    <col min="1" max="1" width="3.7109375" customWidth="1"/>
    <col min="2" max="2" width="3.140625" customWidth="1"/>
    <col min="3" max="3" width="10" customWidth="1"/>
    <col min="4" max="4" width="16.7109375" customWidth="1"/>
    <col min="5" max="5" width="25.7109375" customWidth="1"/>
    <col min="6" max="6" width="4" customWidth="1"/>
    <col min="7" max="7" width="10" customWidth="1"/>
    <col min="8" max="8" width="25.7109375" customWidth="1"/>
    <col min="9" max="9" width="10.140625" customWidth="1"/>
    <col min="10" max="10" width="10.85546875" customWidth="1"/>
    <col min="11" max="11" width="3.140625" customWidth="1"/>
  </cols>
  <sheetData>
    <row r="2" spans="2:11" x14ac:dyDescent="0.2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1" x14ac:dyDescent="0.25">
      <c r="B3" s="18"/>
      <c r="C3" t="s">
        <v>42</v>
      </c>
      <c r="K3" s="19"/>
    </row>
    <row r="4" spans="2:11" x14ac:dyDescent="0.25">
      <c r="B4" s="18"/>
      <c r="C4" t="s">
        <v>43</v>
      </c>
      <c r="K4" s="19"/>
    </row>
    <row r="5" spans="2:11" x14ac:dyDescent="0.25">
      <c r="B5" s="18"/>
      <c r="C5" t="s">
        <v>44</v>
      </c>
      <c r="K5" s="19"/>
    </row>
    <row r="6" spans="2:11" x14ac:dyDescent="0.25">
      <c r="B6" s="18"/>
      <c r="C6" t="s">
        <v>45</v>
      </c>
      <c r="K6" s="19"/>
    </row>
    <row r="7" spans="2:11" x14ac:dyDescent="0.25">
      <c r="B7" s="18"/>
      <c r="C7" t="s">
        <v>46</v>
      </c>
      <c r="K7" s="19"/>
    </row>
    <row r="8" spans="2:11" x14ac:dyDescent="0.25">
      <c r="B8" s="18"/>
      <c r="C8" s="20" t="s">
        <v>47</v>
      </c>
      <c r="K8" s="19"/>
    </row>
    <row r="9" spans="2:11" x14ac:dyDescent="0.25">
      <c r="B9" s="18"/>
      <c r="C9" s="20"/>
      <c r="K9" s="19"/>
    </row>
    <row r="10" spans="2:11" x14ac:dyDescent="0.25">
      <c r="B10" s="18"/>
      <c r="C10" s="86" t="s">
        <v>77</v>
      </c>
      <c r="D10" s="76"/>
      <c r="E10" s="76"/>
      <c r="F10" s="76"/>
      <c r="G10" s="76"/>
      <c r="H10" s="76"/>
      <c r="I10" s="76"/>
      <c r="J10" s="76"/>
      <c r="K10" s="19"/>
    </row>
    <row r="11" spans="2:11" x14ac:dyDescent="0.25">
      <c r="B11" s="18"/>
      <c r="C11" s="76"/>
      <c r="D11" s="76"/>
      <c r="E11" s="76"/>
      <c r="F11" s="76"/>
      <c r="G11" s="76"/>
      <c r="H11" s="76"/>
      <c r="I11" s="76"/>
      <c r="J11" s="76"/>
      <c r="K11" s="19"/>
    </row>
    <row r="12" spans="2:11" x14ac:dyDescent="0.25">
      <c r="B12" s="18"/>
      <c r="C12" s="90" t="s">
        <v>78</v>
      </c>
      <c r="D12" s="90"/>
      <c r="E12" s="90"/>
      <c r="F12" s="90"/>
      <c r="G12" s="90" t="s">
        <v>79</v>
      </c>
      <c r="H12" s="90"/>
      <c r="I12" s="90"/>
      <c r="J12" s="90"/>
      <c r="K12" s="19"/>
    </row>
    <row r="13" spans="2:11" x14ac:dyDescent="0.25">
      <c r="B13" s="18"/>
      <c r="C13" s="90"/>
      <c r="D13" s="90"/>
      <c r="E13" s="90"/>
      <c r="F13" s="90"/>
      <c r="G13" s="90"/>
      <c r="H13" s="90"/>
      <c r="I13" s="90"/>
      <c r="J13" s="90"/>
      <c r="K13" s="19"/>
    </row>
    <row r="14" spans="2:11" x14ac:dyDescent="0.25">
      <c r="B14" s="18"/>
      <c r="C14" s="90"/>
      <c r="D14" s="90"/>
      <c r="E14" s="90"/>
      <c r="F14" s="90"/>
      <c r="G14" s="90"/>
      <c r="H14" s="90"/>
      <c r="I14" s="90"/>
      <c r="J14" s="90"/>
      <c r="K14" s="19"/>
    </row>
    <row r="15" spans="2:11" x14ac:dyDescent="0.25">
      <c r="B15" s="18"/>
      <c r="C15" s="90" t="s">
        <v>88</v>
      </c>
      <c r="D15" s="90"/>
      <c r="E15" s="90"/>
      <c r="F15" s="90"/>
      <c r="G15" s="77" t="s">
        <v>89</v>
      </c>
      <c r="H15" s="78"/>
      <c r="I15" s="78"/>
      <c r="J15" s="79"/>
      <c r="K15" s="19"/>
    </row>
    <row r="16" spans="2:11" x14ac:dyDescent="0.25">
      <c r="B16" s="18"/>
      <c r="C16" s="90"/>
      <c r="D16" s="90"/>
      <c r="E16" s="90"/>
      <c r="F16" s="90"/>
      <c r="G16" s="80"/>
      <c r="H16" s="81"/>
      <c r="I16" s="81"/>
      <c r="J16" s="82"/>
      <c r="K16" s="19"/>
    </row>
    <row r="17" spans="2:18" x14ac:dyDescent="0.25">
      <c r="B17" s="18"/>
      <c r="C17" s="90"/>
      <c r="D17" s="90"/>
      <c r="E17" s="90"/>
      <c r="F17" s="90"/>
      <c r="G17" s="83"/>
      <c r="H17" s="84"/>
      <c r="I17" s="84"/>
      <c r="J17" s="85"/>
      <c r="K17" s="19"/>
    </row>
    <row r="18" spans="2:18" x14ac:dyDescent="0.25">
      <c r="B18" s="18"/>
      <c r="K18" s="19"/>
    </row>
    <row r="19" spans="2:18" ht="18.399999999999999" customHeight="1" x14ac:dyDescent="0.25">
      <c r="B19" s="18"/>
      <c r="C19" s="59" t="s">
        <v>0</v>
      </c>
      <c r="D19" s="60"/>
      <c r="E19" s="60"/>
      <c r="F19" s="60"/>
      <c r="G19" s="60"/>
      <c r="H19" s="60"/>
      <c r="I19" s="60"/>
      <c r="J19" s="61"/>
      <c r="K19" s="19"/>
    </row>
    <row r="20" spans="2:18" ht="14.65" customHeight="1" x14ac:dyDescent="0.25">
      <c r="B20" s="18"/>
      <c r="C20" s="62"/>
      <c r="D20" s="63"/>
      <c r="E20" s="63"/>
      <c r="F20" s="63"/>
      <c r="G20" s="63"/>
      <c r="H20" s="63"/>
      <c r="I20" s="63"/>
      <c r="J20" s="64"/>
      <c r="K20" s="19"/>
    </row>
    <row r="21" spans="2:18" ht="14.65" customHeight="1" x14ac:dyDescent="0.25">
      <c r="B21" s="18"/>
      <c r="C21" s="65" t="s">
        <v>1</v>
      </c>
      <c r="D21" s="3" t="s">
        <v>2</v>
      </c>
      <c r="E21" s="4" t="s">
        <v>3</v>
      </c>
      <c r="F21" s="5"/>
      <c r="G21" s="53" t="s">
        <v>4</v>
      </c>
      <c r="H21" s="54"/>
      <c r="I21" s="66">
        <v>46184</v>
      </c>
      <c r="J21" s="67"/>
      <c r="K21" s="19"/>
    </row>
    <row r="22" spans="2:18" x14ac:dyDescent="0.25">
      <c r="B22" s="18"/>
      <c r="C22" s="65"/>
      <c r="D22" s="3" t="s">
        <v>5</v>
      </c>
      <c r="E22" s="4">
        <v>63010049</v>
      </c>
      <c r="F22" s="5"/>
      <c r="G22" s="53" t="s">
        <v>6</v>
      </c>
      <c r="H22" s="54"/>
      <c r="I22" s="68" t="s">
        <v>7</v>
      </c>
      <c r="J22" s="69"/>
      <c r="K22" s="19"/>
    </row>
    <row r="23" spans="2:18" ht="14.65" customHeight="1" x14ac:dyDescent="0.25">
      <c r="B23" s="18"/>
      <c r="C23" s="65"/>
      <c r="D23" s="3" t="s">
        <v>2</v>
      </c>
      <c r="E23" s="4" t="s">
        <v>8</v>
      </c>
      <c r="F23" s="5"/>
      <c r="G23" s="51" t="s">
        <v>9</v>
      </c>
      <c r="H23" s="52"/>
      <c r="I23" s="68" t="s">
        <v>10</v>
      </c>
      <c r="J23" s="69"/>
      <c r="K23" s="19"/>
    </row>
    <row r="24" spans="2:18" ht="14.65" customHeight="1" x14ac:dyDescent="0.25">
      <c r="B24" s="18"/>
      <c r="C24" s="65"/>
      <c r="D24" s="3" t="s">
        <v>5</v>
      </c>
      <c r="E24" s="4" t="s">
        <v>11</v>
      </c>
      <c r="F24" s="5"/>
      <c r="G24" s="51" t="s">
        <v>12</v>
      </c>
      <c r="H24" s="52"/>
      <c r="I24" s="68" t="s">
        <v>49</v>
      </c>
      <c r="J24" s="69"/>
      <c r="K24" s="19"/>
      <c r="P24" s="13"/>
      <c r="Q24" s="49"/>
      <c r="R24" s="49"/>
    </row>
    <row r="25" spans="2:18" ht="15.4" customHeight="1" x14ac:dyDescent="0.25">
      <c r="B25" s="18"/>
      <c r="C25" s="50" t="s">
        <v>14</v>
      </c>
      <c r="D25" s="50"/>
      <c r="E25" s="4">
        <v>54</v>
      </c>
      <c r="F25" s="5"/>
      <c r="G25" s="51" t="s">
        <v>15</v>
      </c>
      <c r="H25" s="52"/>
      <c r="I25" s="6">
        <v>30000</v>
      </c>
      <c r="J25" s="3" t="s">
        <v>16</v>
      </c>
      <c r="K25" s="19"/>
      <c r="P25" s="14"/>
      <c r="Q25" s="46"/>
      <c r="R25" s="46"/>
    </row>
    <row r="26" spans="2:18" ht="14.65" customHeight="1" x14ac:dyDescent="0.25">
      <c r="B26" s="18"/>
      <c r="C26" s="50" t="s">
        <v>17</v>
      </c>
      <c r="D26" s="50"/>
      <c r="E26" s="4">
        <v>40</v>
      </c>
      <c r="F26" s="5"/>
      <c r="G26" s="53" t="s">
        <v>18</v>
      </c>
      <c r="H26" s="54"/>
      <c r="I26" s="6">
        <v>30</v>
      </c>
      <c r="J26" s="3" t="s">
        <v>19</v>
      </c>
      <c r="K26" s="19"/>
      <c r="P26" s="14"/>
      <c r="Q26" s="46"/>
      <c r="R26" s="46"/>
    </row>
    <row r="27" spans="2:18" ht="14.65" customHeight="1" x14ac:dyDescent="0.25">
      <c r="B27" s="18"/>
      <c r="C27" s="50" t="s">
        <v>20</v>
      </c>
      <c r="D27" s="50"/>
      <c r="E27" s="7">
        <v>1.2E-2</v>
      </c>
      <c r="F27" s="5"/>
      <c r="G27" s="53" t="s">
        <v>21</v>
      </c>
      <c r="H27" s="54"/>
      <c r="I27" s="6">
        <v>30</v>
      </c>
      <c r="J27" s="3" t="s">
        <v>19</v>
      </c>
      <c r="K27" s="19"/>
      <c r="P27" s="14"/>
      <c r="Q27" s="46"/>
      <c r="R27" s="46"/>
    </row>
    <row r="28" spans="2:18" ht="14.65" customHeight="1" x14ac:dyDescent="0.25">
      <c r="B28" s="18"/>
      <c r="C28" s="55" t="s">
        <v>22</v>
      </c>
      <c r="D28" s="55"/>
      <c r="E28" s="55"/>
      <c r="F28" s="55"/>
      <c r="G28" s="55"/>
      <c r="H28" s="55"/>
      <c r="I28" s="55"/>
      <c r="J28" s="55"/>
      <c r="K28" s="19"/>
      <c r="P28" s="14"/>
      <c r="Q28" s="46"/>
      <c r="R28" s="46"/>
    </row>
    <row r="29" spans="2:18" x14ac:dyDescent="0.25">
      <c r="B29" s="18"/>
      <c r="C29" s="2" t="s">
        <v>23</v>
      </c>
      <c r="D29" s="48">
        <v>0.5</v>
      </c>
      <c r="E29" s="48"/>
      <c r="F29" s="2" t="s">
        <v>24</v>
      </c>
      <c r="G29" s="2" t="s">
        <v>25</v>
      </c>
      <c r="H29" s="48">
        <v>2.7</v>
      </c>
      <c r="I29" s="48"/>
      <c r="J29" s="2" t="s">
        <v>26</v>
      </c>
      <c r="K29" s="19"/>
      <c r="P29" s="14"/>
      <c r="Q29" s="46"/>
      <c r="R29" s="46"/>
    </row>
    <row r="30" spans="2:18" x14ac:dyDescent="0.25">
      <c r="B30" s="18"/>
      <c r="C30" s="2" t="s">
        <v>27</v>
      </c>
      <c r="D30" s="48">
        <v>0.6</v>
      </c>
      <c r="E30" s="48"/>
      <c r="F30" s="2" t="s">
        <v>24</v>
      </c>
      <c r="G30" s="2" t="s">
        <v>28</v>
      </c>
      <c r="H30" s="48">
        <v>8.3000000000000007</v>
      </c>
      <c r="I30" s="48"/>
      <c r="J30" s="2" t="s">
        <v>26</v>
      </c>
      <c r="K30" s="19"/>
      <c r="P30" s="14"/>
      <c r="Q30" s="46"/>
      <c r="R30" s="46"/>
    </row>
    <row r="31" spans="2:18" x14ac:dyDescent="0.25">
      <c r="B31" s="18"/>
      <c r="C31" s="2" t="s">
        <v>29</v>
      </c>
      <c r="D31" s="48">
        <v>10.199999999999999</v>
      </c>
      <c r="E31" s="48"/>
      <c r="F31" s="2" t="s">
        <v>24</v>
      </c>
      <c r="G31" s="2" t="s">
        <v>30</v>
      </c>
      <c r="H31" s="48">
        <v>8.3000000000000007</v>
      </c>
      <c r="I31" s="48"/>
      <c r="J31" s="2" t="s">
        <v>26</v>
      </c>
      <c r="K31" s="19"/>
      <c r="P31" s="14"/>
      <c r="Q31" s="46"/>
      <c r="R31" s="46"/>
    </row>
    <row r="32" spans="2:18" ht="14.1" customHeight="1" x14ac:dyDescent="0.25">
      <c r="B32" s="18"/>
      <c r="C32" s="1"/>
      <c r="D32" s="1"/>
      <c r="E32" s="1"/>
      <c r="F32" s="1"/>
      <c r="G32" s="1"/>
      <c r="H32" s="1"/>
      <c r="I32" s="1"/>
      <c r="J32" s="1"/>
      <c r="K32" s="19"/>
      <c r="P32" s="14"/>
      <c r="Q32" s="46"/>
      <c r="R32" s="46"/>
    </row>
    <row r="33" spans="2:18" ht="14.65" customHeight="1" x14ac:dyDescent="0.25">
      <c r="B33" s="18"/>
      <c r="C33" s="47" t="s">
        <v>31</v>
      </c>
      <c r="D33" s="47"/>
      <c r="E33" s="47"/>
      <c r="F33" s="1"/>
      <c r="G33" s="47" t="s">
        <v>32</v>
      </c>
      <c r="H33" s="47"/>
      <c r="I33" s="47"/>
      <c r="J33" s="47"/>
      <c r="K33" s="19"/>
      <c r="P33" s="14"/>
      <c r="Q33" s="46"/>
      <c r="R33" s="46"/>
    </row>
    <row r="34" spans="2:18" ht="30" x14ac:dyDescent="0.25">
      <c r="B34" s="18"/>
      <c r="C34" s="8" t="s">
        <v>33</v>
      </c>
      <c r="D34" s="8" t="s">
        <v>34</v>
      </c>
      <c r="E34" s="8" t="s">
        <v>35</v>
      </c>
      <c r="F34" s="1"/>
      <c r="G34" s="8" t="s">
        <v>33</v>
      </c>
      <c r="H34" s="8" t="s">
        <v>36</v>
      </c>
      <c r="I34" s="47" t="s">
        <v>37</v>
      </c>
      <c r="J34" s="47"/>
      <c r="K34" s="19"/>
      <c r="M34" s="27"/>
      <c r="N34" s="27"/>
      <c r="O34" s="27"/>
    </row>
    <row r="35" spans="2:18" x14ac:dyDescent="0.25">
      <c r="B35" s="18"/>
      <c r="C35" s="9" t="s">
        <v>38</v>
      </c>
      <c r="D35" s="9" t="s">
        <v>39</v>
      </c>
      <c r="E35" s="9" t="s">
        <v>39</v>
      </c>
      <c r="F35" s="1"/>
      <c r="G35" s="9" t="s">
        <v>38</v>
      </c>
      <c r="H35" s="9" t="s">
        <v>39</v>
      </c>
      <c r="I35" s="70" t="s">
        <v>40</v>
      </c>
      <c r="J35" s="70"/>
      <c r="K35" s="19"/>
    </row>
    <row r="36" spans="2:18" x14ac:dyDescent="0.25">
      <c r="B36" s="18"/>
      <c r="C36" s="4">
        <v>4</v>
      </c>
      <c r="D36" s="4">
        <v>5822.6</v>
      </c>
      <c r="E36" s="10">
        <f>575120/100</f>
        <v>5751.2</v>
      </c>
      <c r="F36" s="1"/>
      <c r="G36" s="4">
        <f>C36</f>
        <v>4</v>
      </c>
      <c r="H36" s="4">
        <f>D36</f>
        <v>5822.6</v>
      </c>
      <c r="I36" s="44">
        <v>80</v>
      </c>
      <c r="J36" s="45"/>
      <c r="K36" s="19"/>
    </row>
    <row r="37" spans="2:18" x14ac:dyDescent="0.25">
      <c r="B37" s="18"/>
      <c r="C37" s="4">
        <v>6</v>
      </c>
      <c r="D37" s="4">
        <v>2422.5</v>
      </c>
      <c r="E37" s="10">
        <f>240372/100</f>
        <v>2403.7199999999998</v>
      </c>
      <c r="F37" s="1"/>
      <c r="G37" s="4">
        <f t="shared" ref="G37:H45" si="0">C37</f>
        <v>6</v>
      </c>
      <c r="H37" s="4">
        <f t="shared" si="0"/>
        <v>2422.5</v>
      </c>
      <c r="I37" s="44">
        <v>190</v>
      </c>
      <c r="J37" s="45"/>
      <c r="K37" s="19"/>
      <c r="M37" s="27"/>
      <c r="N37" s="27"/>
      <c r="O37" s="27"/>
    </row>
    <row r="38" spans="2:18" x14ac:dyDescent="0.25">
      <c r="B38" s="18"/>
      <c r="C38" s="4">
        <v>10</v>
      </c>
      <c r="D38" s="4">
        <v>543.79999999999995</v>
      </c>
      <c r="E38" s="10">
        <f>53477/100</f>
        <v>534.77</v>
      </c>
      <c r="F38" s="1"/>
      <c r="G38" s="4">
        <f t="shared" si="0"/>
        <v>10</v>
      </c>
      <c r="H38" s="4">
        <f t="shared" si="0"/>
        <v>543.79999999999995</v>
      </c>
      <c r="I38" s="44">
        <v>542</v>
      </c>
      <c r="J38" s="45"/>
      <c r="K38" s="19"/>
    </row>
    <row r="39" spans="2:18" x14ac:dyDescent="0.25">
      <c r="B39" s="18"/>
      <c r="C39" s="4">
        <v>14</v>
      </c>
      <c r="D39" s="4">
        <v>182.5</v>
      </c>
      <c r="E39" s="10">
        <f>17226/100</f>
        <v>172.26</v>
      </c>
      <c r="F39" s="1"/>
      <c r="G39" s="4">
        <f t="shared" si="0"/>
        <v>14</v>
      </c>
      <c r="H39" s="4">
        <f t="shared" si="0"/>
        <v>182.5</v>
      </c>
      <c r="I39" s="44">
        <v>1084</v>
      </c>
      <c r="J39" s="45"/>
      <c r="K39" s="19"/>
    </row>
    <row r="40" spans="2:18" x14ac:dyDescent="0.25">
      <c r="B40" s="18"/>
      <c r="C40" s="4">
        <v>21</v>
      </c>
      <c r="D40" s="4">
        <v>51.7</v>
      </c>
      <c r="E40" s="10">
        <f>4766/100</f>
        <v>47.66</v>
      </c>
      <c r="F40" s="1"/>
      <c r="G40" s="4">
        <f t="shared" si="0"/>
        <v>21</v>
      </c>
      <c r="H40" s="4">
        <f t="shared" si="0"/>
        <v>51.7</v>
      </c>
      <c r="I40" s="44">
        <v>2606</v>
      </c>
      <c r="J40" s="45"/>
      <c r="K40" s="19"/>
    </row>
    <row r="41" spans="2:18" x14ac:dyDescent="0.25">
      <c r="B41" s="18"/>
      <c r="C41" s="4">
        <v>25</v>
      </c>
      <c r="D41" s="4">
        <v>22.8</v>
      </c>
      <c r="E41" s="10">
        <f>1968/100</f>
        <v>19.68</v>
      </c>
      <c r="F41" s="1"/>
      <c r="G41" s="4">
        <f t="shared" si="0"/>
        <v>25</v>
      </c>
      <c r="H41" s="4">
        <f t="shared" si="0"/>
        <v>22.8</v>
      </c>
      <c r="I41" s="44">
        <v>3570</v>
      </c>
      <c r="J41" s="45"/>
      <c r="K41" s="19"/>
    </row>
    <row r="42" spans="2:18" x14ac:dyDescent="0.25">
      <c r="B42" s="18"/>
      <c r="C42" s="56"/>
      <c r="D42" s="57"/>
      <c r="E42" s="58"/>
      <c r="F42" s="1"/>
      <c r="G42" s="56"/>
      <c r="H42" s="57"/>
      <c r="I42" s="57"/>
      <c r="J42" s="58"/>
      <c r="K42" s="19"/>
    </row>
    <row r="43" spans="2:18" x14ac:dyDescent="0.25">
      <c r="B43" s="18"/>
      <c r="C43" s="4">
        <v>38</v>
      </c>
      <c r="D43" s="4">
        <v>394</v>
      </c>
      <c r="E43" s="10">
        <v>392</v>
      </c>
      <c r="F43" s="1"/>
      <c r="G43" s="4">
        <f t="shared" si="0"/>
        <v>38</v>
      </c>
      <c r="H43" s="4">
        <f t="shared" si="0"/>
        <v>394</v>
      </c>
      <c r="I43" s="44">
        <v>9907</v>
      </c>
      <c r="J43" s="45"/>
      <c r="K43" s="19"/>
    </row>
    <row r="44" spans="2:18" x14ac:dyDescent="0.25">
      <c r="B44" s="18"/>
      <c r="C44" s="4">
        <v>50</v>
      </c>
      <c r="D44" s="4">
        <v>79</v>
      </c>
      <c r="E44" s="10">
        <v>89</v>
      </c>
      <c r="F44" s="1"/>
      <c r="G44" s="4">
        <f t="shared" si="0"/>
        <v>50</v>
      </c>
      <c r="H44" s="4">
        <f t="shared" si="0"/>
        <v>79</v>
      </c>
      <c r="I44" s="44">
        <v>16076</v>
      </c>
      <c r="J44" s="45"/>
      <c r="K44" s="19"/>
    </row>
    <row r="45" spans="2:18" x14ac:dyDescent="0.25">
      <c r="B45" s="18"/>
      <c r="C45" s="4">
        <v>70</v>
      </c>
      <c r="D45" s="4">
        <v>11</v>
      </c>
      <c r="E45" s="10">
        <v>7.2</v>
      </c>
      <c r="F45" s="1"/>
      <c r="G45" s="4">
        <f t="shared" si="0"/>
        <v>70</v>
      </c>
      <c r="H45" s="4">
        <f t="shared" si="0"/>
        <v>11</v>
      </c>
      <c r="I45" s="44">
        <v>24844</v>
      </c>
      <c r="J45" s="45"/>
      <c r="K45" s="19"/>
    </row>
    <row r="46" spans="2:18" x14ac:dyDescent="0.25">
      <c r="B46" s="18"/>
      <c r="C46" s="4"/>
      <c r="D46" s="4"/>
      <c r="E46" s="4"/>
      <c r="F46" s="1"/>
      <c r="G46" s="4"/>
      <c r="H46" s="4"/>
      <c r="I46" s="41"/>
      <c r="J46" s="41"/>
      <c r="K46" s="19"/>
    </row>
    <row r="47" spans="2:18" x14ac:dyDescent="0.25">
      <c r="B47" s="18"/>
      <c r="C47" s="4"/>
      <c r="D47" s="4"/>
      <c r="E47" s="4"/>
      <c r="F47" s="1"/>
      <c r="G47" s="4"/>
      <c r="H47" s="4"/>
      <c r="I47" s="41"/>
      <c r="J47" s="41"/>
      <c r="K47" s="19"/>
    </row>
    <row r="48" spans="2:18" x14ac:dyDescent="0.25">
      <c r="B48" s="18"/>
      <c r="C48" s="4"/>
      <c r="D48" s="4"/>
      <c r="E48" s="4"/>
      <c r="F48" s="1"/>
      <c r="G48" s="4"/>
      <c r="H48" s="4"/>
      <c r="I48" s="41"/>
      <c r="J48" s="41"/>
      <c r="K48" s="19"/>
    </row>
    <row r="49" spans="2:11" x14ac:dyDescent="0.25">
      <c r="B49" s="18"/>
      <c r="C49" s="4"/>
      <c r="D49" s="4"/>
      <c r="E49" s="4"/>
      <c r="F49" s="1"/>
      <c r="G49" s="4"/>
      <c r="H49" s="4"/>
      <c r="I49" s="41"/>
      <c r="J49" s="41"/>
      <c r="K49" s="19"/>
    </row>
    <row r="50" spans="2:11" x14ac:dyDescent="0.25">
      <c r="B50" s="18"/>
      <c r="C50" s="4"/>
      <c r="D50" s="4"/>
      <c r="E50" s="4"/>
      <c r="F50" s="1"/>
      <c r="G50" s="4"/>
      <c r="H50" s="4"/>
      <c r="I50" s="41"/>
      <c r="J50" s="41"/>
      <c r="K50" s="19"/>
    </row>
    <row r="51" spans="2:11" x14ac:dyDescent="0.25">
      <c r="B51" s="18"/>
      <c r="C51" s="4"/>
      <c r="D51" s="4"/>
      <c r="E51" s="4"/>
      <c r="F51" s="1"/>
      <c r="G51" s="4"/>
      <c r="H51" s="4"/>
      <c r="I51" s="41"/>
      <c r="J51" s="41"/>
      <c r="K51" s="19"/>
    </row>
    <row r="52" spans="2:11" x14ac:dyDescent="0.25">
      <c r="B52" s="18"/>
      <c r="C52" s="4"/>
      <c r="D52" s="4"/>
      <c r="E52" s="4"/>
      <c r="F52" s="1"/>
      <c r="G52" s="4"/>
      <c r="H52" s="4"/>
      <c r="I52" s="41"/>
      <c r="J52" s="41"/>
      <c r="K52" s="19"/>
    </row>
    <row r="53" spans="2:11" x14ac:dyDescent="0.25">
      <c r="B53" s="18"/>
      <c r="C53" s="4"/>
      <c r="D53" s="4"/>
      <c r="E53" s="4"/>
      <c r="F53" s="1"/>
      <c r="G53" s="4"/>
      <c r="H53" s="4"/>
      <c r="I53" s="41"/>
      <c r="J53" s="41"/>
      <c r="K53" s="19"/>
    </row>
    <row r="54" spans="2:11" x14ac:dyDescent="0.25">
      <c r="B54" s="18"/>
      <c r="C54" s="4"/>
      <c r="D54" s="4"/>
      <c r="E54" s="4"/>
      <c r="F54" s="1"/>
      <c r="G54" s="4"/>
      <c r="H54" s="4"/>
      <c r="I54" s="41"/>
      <c r="J54" s="41"/>
      <c r="K54" s="19"/>
    </row>
    <row r="55" spans="2:11" x14ac:dyDescent="0.25">
      <c r="B55" s="18"/>
      <c r="C55" s="4"/>
      <c r="D55" s="4"/>
      <c r="E55" s="4"/>
      <c r="F55" s="1"/>
      <c r="G55" s="4"/>
      <c r="H55" s="4"/>
      <c r="I55" s="41"/>
      <c r="J55" s="41"/>
      <c r="K55" s="19"/>
    </row>
    <row r="56" spans="2:11" x14ac:dyDescent="0.25">
      <c r="B56" s="18"/>
      <c r="C56" s="4"/>
      <c r="D56" s="4"/>
      <c r="E56" s="4"/>
      <c r="F56" s="1"/>
      <c r="G56" s="4"/>
      <c r="H56" s="4"/>
      <c r="I56" s="41"/>
      <c r="J56" s="41"/>
      <c r="K56" s="19"/>
    </row>
    <row r="57" spans="2:11" x14ac:dyDescent="0.25">
      <c r="B57" s="18"/>
      <c r="K57" s="19"/>
    </row>
    <row r="58" spans="2:11" ht="14.65" customHeight="1" x14ac:dyDescent="0.25">
      <c r="B58" s="18"/>
      <c r="C58" s="42" t="s">
        <v>48</v>
      </c>
      <c r="D58" s="43"/>
      <c r="E58" s="43"/>
      <c r="F58" s="43"/>
      <c r="G58" s="43"/>
      <c r="H58" s="43"/>
      <c r="I58" s="43"/>
      <c r="J58" s="43"/>
      <c r="K58" s="19"/>
    </row>
    <row r="59" spans="2:11" x14ac:dyDescent="0.25">
      <c r="B59" s="18"/>
      <c r="C59" s="43"/>
      <c r="D59" s="43"/>
      <c r="E59" s="43"/>
      <c r="F59" s="43"/>
      <c r="G59" s="43"/>
      <c r="H59" s="43"/>
      <c r="I59" s="43"/>
      <c r="J59" s="43"/>
      <c r="K59" s="19"/>
    </row>
    <row r="60" spans="2:11" x14ac:dyDescent="0.25">
      <c r="B60" s="18"/>
      <c r="C60" s="43"/>
      <c r="D60" s="43"/>
      <c r="E60" s="43"/>
      <c r="F60" s="43"/>
      <c r="G60" s="43"/>
      <c r="H60" s="43"/>
      <c r="I60" s="43"/>
      <c r="J60" s="43"/>
      <c r="K60" s="19"/>
    </row>
    <row r="61" spans="2:11" x14ac:dyDescent="0.25">
      <c r="B61" s="18"/>
      <c r="C61" s="43"/>
      <c r="D61" s="43"/>
      <c r="E61" s="43"/>
      <c r="F61" s="43"/>
      <c r="G61" s="43"/>
      <c r="H61" s="43"/>
      <c r="I61" s="43"/>
      <c r="J61" s="43"/>
      <c r="K61" s="19"/>
    </row>
    <row r="62" spans="2:11" x14ac:dyDescent="0.25">
      <c r="B62" s="18"/>
      <c r="C62" s="43"/>
      <c r="D62" s="43"/>
      <c r="E62" s="43"/>
      <c r="F62" s="43"/>
      <c r="G62" s="43"/>
      <c r="H62" s="43"/>
      <c r="I62" s="43"/>
      <c r="J62" s="43"/>
      <c r="K62" s="19"/>
    </row>
    <row r="63" spans="2:11" x14ac:dyDescent="0.25">
      <c r="B63" s="22"/>
      <c r="C63" s="23"/>
      <c r="D63" s="23"/>
      <c r="E63" s="23"/>
      <c r="F63" s="23"/>
      <c r="G63" s="23"/>
      <c r="H63" s="23"/>
      <c r="I63" s="23"/>
      <c r="J63" s="23"/>
      <c r="K63" s="24"/>
    </row>
  </sheetData>
  <mergeCells count="65">
    <mergeCell ref="C10:J11"/>
    <mergeCell ref="C12:F14"/>
    <mergeCell ref="G12:J14"/>
    <mergeCell ref="C15:F17"/>
    <mergeCell ref="G15:J17"/>
    <mergeCell ref="C42:E42"/>
    <mergeCell ref="G42:J42"/>
    <mergeCell ref="C19:J20"/>
    <mergeCell ref="C21:C24"/>
    <mergeCell ref="G21:H21"/>
    <mergeCell ref="I21:J21"/>
    <mergeCell ref="G22:H22"/>
    <mergeCell ref="I22:J22"/>
    <mergeCell ref="G23:H23"/>
    <mergeCell ref="I23:J23"/>
    <mergeCell ref="G24:H24"/>
    <mergeCell ref="I24:J24"/>
    <mergeCell ref="D29:E29"/>
    <mergeCell ref="H29:I29"/>
    <mergeCell ref="I35:J35"/>
    <mergeCell ref="D30:E30"/>
    <mergeCell ref="Q29:R29"/>
    <mergeCell ref="Q24:R24"/>
    <mergeCell ref="C25:D25"/>
    <mergeCell ref="G25:H25"/>
    <mergeCell ref="Q25:R25"/>
    <mergeCell ref="C26:D26"/>
    <mergeCell ref="G26:H26"/>
    <mergeCell ref="Q26:R26"/>
    <mergeCell ref="C27:D27"/>
    <mergeCell ref="G27:H27"/>
    <mergeCell ref="Q27:R27"/>
    <mergeCell ref="C28:J28"/>
    <mergeCell ref="Q28:R28"/>
    <mergeCell ref="H30:I30"/>
    <mergeCell ref="Q30:R30"/>
    <mergeCell ref="D31:E31"/>
    <mergeCell ref="H31:I31"/>
    <mergeCell ref="Q31:R31"/>
    <mergeCell ref="Q32:R32"/>
    <mergeCell ref="C33:E33"/>
    <mergeCell ref="G33:J33"/>
    <mergeCell ref="Q33:R33"/>
    <mergeCell ref="I34:J34"/>
    <mergeCell ref="I48:J48"/>
    <mergeCell ref="I36:J36"/>
    <mergeCell ref="I37:J37"/>
    <mergeCell ref="I38:J38"/>
    <mergeCell ref="I39:J39"/>
    <mergeCell ref="I40:J40"/>
    <mergeCell ref="I41:J41"/>
    <mergeCell ref="I43:J43"/>
    <mergeCell ref="I44:J44"/>
    <mergeCell ref="I45:J45"/>
    <mergeCell ref="I46:J46"/>
    <mergeCell ref="I47:J47"/>
    <mergeCell ref="I55:J55"/>
    <mergeCell ref="I56:J56"/>
    <mergeCell ref="C58:J62"/>
    <mergeCell ref="I49:J49"/>
    <mergeCell ref="I50:J50"/>
    <mergeCell ref="I51:J51"/>
    <mergeCell ref="I52:J52"/>
    <mergeCell ref="I53:J53"/>
    <mergeCell ref="I54:J54"/>
  </mergeCells>
  <hyperlinks>
    <hyperlink ref="C8" r:id="rId1" xr:uid="{CA68D52E-E6B0-48B5-90A2-1B6E27B500A6}"/>
  </hyperlinks>
  <pageMargins left="0.7" right="0.7" top="0.75" bottom="0.75" header="0.3" footer="0.3"/>
  <pageSetup scale="48"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5ECF7-A56E-4FC4-888A-33EDBC77E2AA}">
  <sheetPr>
    <pageSetUpPr fitToPage="1"/>
  </sheetPr>
  <dimension ref="B2:R63"/>
  <sheetViews>
    <sheetView showGridLines="0" zoomScale="90" zoomScaleNormal="90" workbookViewId="0">
      <selection activeCell="C10" sqref="C10:J17"/>
    </sheetView>
  </sheetViews>
  <sheetFormatPr defaultRowHeight="15" x14ac:dyDescent="0.25"/>
  <cols>
    <col min="1" max="1" width="3.7109375" customWidth="1"/>
    <col min="2" max="2" width="3.140625" customWidth="1"/>
    <col min="3" max="3" width="10" customWidth="1"/>
    <col min="4" max="4" width="16.7109375" customWidth="1"/>
    <col min="5" max="5" width="25.7109375" customWidth="1"/>
    <col min="6" max="6" width="4" customWidth="1"/>
    <col min="7" max="7" width="10" customWidth="1"/>
    <col min="8" max="8" width="25.7109375" customWidth="1"/>
    <col min="9" max="9" width="10.140625" customWidth="1"/>
    <col min="10" max="10" width="10.85546875" customWidth="1"/>
    <col min="11" max="11" width="3.140625" customWidth="1"/>
  </cols>
  <sheetData>
    <row r="2" spans="2:11" x14ac:dyDescent="0.2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1" x14ac:dyDescent="0.25">
      <c r="B3" s="18"/>
      <c r="C3" t="s">
        <v>42</v>
      </c>
      <c r="K3" s="19"/>
    </row>
    <row r="4" spans="2:11" x14ac:dyDescent="0.25">
      <c r="B4" s="18"/>
      <c r="C4" t="s">
        <v>43</v>
      </c>
      <c r="K4" s="19"/>
    </row>
    <row r="5" spans="2:11" x14ac:dyDescent="0.25">
      <c r="B5" s="18"/>
      <c r="C5" t="s">
        <v>44</v>
      </c>
      <c r="K5" s="19"/>
    </row>
    <row r="6" spans="2:11" x14ac:dyDescent="0.25">
      <c r="B6" s="18"/>
      <c r="C6" t="s">
        <v>45</v>
      </c>
      <c r="K6" s="19"/>
    </row>
    <row r="7" spans="2:11" x14ac:dyDescent="0.25">
      <c r="B7" s="18"/>
      <c r="C7" t="s">
        <v>46</v>
      </c>
      <c r="K7" s="19"/>
    </row>
    <row r="8" spans="2:11" x14ac:dyDescent="0.25">
      <c r="B8" s="18"/>
      <c r="C8" s="20" t="s">
        <v>47</v>
      </c>
      <c r="K8" s="19"/>
    </row>
    <row r="9" spans="2:11" x14ac:dyDescent="0.25">
      <c r="B9" s="18"/>
      <c r="C9" s="20"/>
      <c r="K9" s="19"/>
    </row>
    <row r="10" spans="2:11" x14ac:dyDescent="0.25">
      <c r="B10" s="18"/>
      <c r="C10" s="86" t="s">
        <v>77</v>
      </c>
      <c r="D10" s="76"/>
      <c r="E10" s="76"/>
      <c r="F10" s="76"/>
      <c r="G10" s="76"/>
      <c r="H10" s="76"/>
      <c r="I10" s="76"/>
      <c r="J10" s="76"/>
      <c r="K10" s="19"/>
    </row>
    <row r="11" spans="2:11" x14ac:dyDescent="0.25">
      <c r="B11" s="18"/>
      <c r="C11" s="76"/>
      <c r="D11" s="76"/>
      <c r="E11" s="76"/>
      <c r="F11" s="76"/>
      <c r="G11" s="76"/>
      <c r="H11" s="76"/>
      <c r="I11" s="76"/>
      <c r="J11" s="76"/>
      <c r="K11" s="19"/>
    </row>
    <row r="12" spans="2:11" x14ac:dyDescent="0.25">
      <c r="B12" s="18"/>
      <c r="C12" s="90" t="s">
        <v>78</v>
      </c>
      <c r="D12" s="90"/>
      <c r="E12" s="90"/>
      <c r="F12" s="90"/>
      <c r="G12" s="90" t="s">
        <v>79</v>
      </c>
      <c r="H12" s="90"/>
      <c r="I12" s="90"/>
      <c r="J12" s="90"/>
      <c r="K12" s="19"/>
    </row>
    <row r="13" spans="2:11" x14ac:dyDescent="0.25">
      <c r="B13" s="18"/>
      <c r="C13" s="90"/>
      <c r="D13" s="90"/>
      <c r="E13" s="90"/>
      <c r="F13" s="90"/>
      <c r="G13" s="90"/>
      <c r="H13" s="90"/>
      <c r="I13" s="90"/>
      <c r="J13" s="90"/>
      <c r="K13" s="19"/>
    </row>
    <row r="14" spans="2:11" x14ac:dyDescent="0.25">
      <c r="B14" s="18"/>
      <c r="C14" s="90"/>
      <c r="D14" s="90"/>
      <c r="E14" s="90"/>
      <c r="F14" s="90"/>
      <c r="G14" s="90"/>
      <c r="H14" s="90"/>
      <c r="I14" s="90"/>
      <c r="J14" s="90"/>
      <c r="K14" s="19"/>
    </row>
    <row r="15" spans="2:11" x14ac:dyDescent="0.25">
      <c r="B15" s="18"/>
      <c r="C15" s="90" t="s">
        <v>90</v>
      </c>
      <c r="D15" s="90"/>
      <c r="E15" s="90"/>
      <c r="F15" s="90"/>
      <c r="G15" s="77" t="s">
        <v>91</v>
      </c>
      <c r="H15" s="78"/>
      <c r="I15" s="78"/>
      <c r="J15" s="79"/>
      <c r="K15" s="19"/>
    </row>
    <row r="16" spans="2:11" x14ac:dyDescent="0.25">
      <c r="B16" s="18"/>
      <c r="C16" s="90"/>
      <c r="D16" s="90"/>
      <c r="E16" s="90"/>
      <c r="F16" s="90"/>
      <c r="G16" s="80"/>
      <c r="H16" s="81"/>
      <c r="I16" s="81"/>
      <c r="J16" s="82"/>
      <c r="K16" s="19"/>
    </row>
    <row r="17" spans="2:18" x14ac:dyDescent="0.25">
      <c r="B17" s="18"/>
      <c r="C17" s="90"/>
      <c r="D17" s="90"/>
      <c r="E17" s="90"/>
      <c r="F17" s="90"/>
      <c r="G17" s="83"/>
      <c r="H17" s="84"/>
      <c r="I17" s="84"/>
      <c r="J17" s="85"/>
      <c r="K17" s="19"/>
    </row>
    <row r="18" spans="2:18" x14ac:dyDescent="0.25">
      <c r="B18" s="18"/>
      <c r="K18" s="19"/>
    </row>
    <row r="19" spans="2:18" ht="18.399999999999999" customHeight="1" x14ac:dyDescent="0.25">
      <c r="B19" s="18"/>
      <c r="C19" s="59" t="s">
        <v>0</v>
      </c>
      <c r="D19" s="60"/>
      <c r="E19" s="60"/>
      <c r="F19" s="60"/>
      <c r="G19" s="60"/>
      <c r="H19" s="60"/>
      <c r="I19" s="60"/>
      <c r="J19" s="61"/>
      <c r="K19" s="19"/>
    </row>
    <row r="20" spans="2:18" ht="14.65" customHeight="1" x14ac:dyDescent="0.25">
      <c r="B20" s="18"/>
      <c r="C20" s="62"/>
      <c r="D20" s="63"/>
      <c r="E20" s="63"/>
      <c r="F20" s="63"/>
      <c r="G20" s="63"/>
      <c r="H20" s="63"/>
      <c r="I20" s="63"/>
      <c r="J20" s="64"/>
      <c r="K20" s="19"/>
    </row>
    <row r="21" spans="2:18" ht="14.65" customHeight="1" x14ac:dyDescent="0.25">
      <c r="B21" s="18"/>
      <c r="C21" s="65" t="s">
        <v>1</v>
      </c>
      <c r="D21" s="3" t="s">
        <v>2</v>
      </c>
      <c r="E21" s="4" t="s">
        <v>3</v>
      </c>
      <c r="F21" s="5"/>
      <c r="G21" s="53" t="s">
        <v>4</v>
      </c>
      <c r="H21" s="54"/>
      <c r="I21" s="66">
        <v>46184</v>
      </c>
      <c r="J21" s="67"/>
      <c r="K21" s="19"/>
    </row>
    <row r="22" spans="2:18" x14ac:dyDescent="0.25">
      <c r="B22" s="18"/>
      <c r="C22" s="65"/>
      <c r="D22" s="3" t="s">
        <v>5</v>
      </c>
      <c r="E22" s="4">
        <v>63010050</v>
      </c>
      <c r="F22" s="5"/>
      <c r="G22" s="53" t="s">
        <v>6</v>
      </c>
      <c r="H22" s="54"/>
      <c r="I22" s="68" t="s">
        <v>7</v>
      </c>
      <c r="J22" s="69"/>
      <c r="K22" s="19"/>
    </row>
    <row r="23" spans="2:18" ht="14.65" customHeight="1" x14ac:dyDescent="0.25">
      <c r="B23" s="18"/>
      <c r="C23" s="65"/>
      <c r="D23" s="3" t="s">
        <v>2</v>
      </c>
      <c r="E23" s="4" t="s">
        <v>8</v>
      </c>
      <c r="F23" s="5"/>
      <c r="G23" s="51" t="s">
        <v>9</v>
      </c>
      <c r="H23" s="52"/>
      <c r="I23" s="68" t="s">
        <v>10</v>
      </c>
      <c r="J23" s="69"/>
      <c r="K23" s="19"/>
    </row>
    <row r="24" spans="2:18" ht="14.65" customHeight="1" x14ac:dyDescent="0.25">
      <c r="B24" s="18"/>
      <c r="C24" s="65"/>
      <c r="D24" s="3" t="s">
        <v>5</v>
      </c>
      <c r="E24" s="4" t="s">
        <v>11</v>
      </c>
      <c r="F24" s="5"/>
      <c r="G24" s="51" t="s">
        <v>12</v>
      </c>
      <c r="H24" s="52"/>
      <c r="I24" s="68" t="s">
        <v>49</v>
      </c>
      <c r="J24" s="69"/>
      <c r="K24" s="19"/>
      <c r="P24" s="13"/>
      <c r="Q24" s="49"/>
      <c r="R24" s="49"/>
    </row>
    <row r="25" spans="2:18" ht="15.4" customHeight="1" x14ac:dyDescent="0.25">
      <c r="B25" s="18"/>
      <c r="C25" s="50" t="s">
        <v>14</v>
      </c>
      <c r="D25" s="50"/>
      <c r="E25" s="4">
        <v>54</v>
      </c>
      <c r="F25" s="5"/>
      <c r="G25" s="51" t="s">
        <v>15</v>
      </c>
      <c r="H25" s="52"/>
      <c r="I25" s="6">
        <v>30000</v>
      </c>
      <c r="J25" s="3" t="s">
        <v>16</v>
      </c>
      <c r="K25" s="19"/>
      <c r="P25" s="14"/>
      <c r="Q25" s="46"/>
      <c r="R25" s="46"/>
    </row>
    <row r="26" spans="2:18" ht="14.65" customHeight="1" x14ac:dyDescent="0.25">
      <c r="B26" s="18"/>
      <c r="C26" s="50" t="s">
        <v>17</v>
      </c>
      <c r="D26" s="50"/>
      <c r="E26" s="4">
        <v>40</v>
      </c>
      <c r="F26" s="5"/>
      <c r="G26" s="53" t="s">
        <v>18</v>
      </c>
      <c r="H26" s="54"/>
      <c r="I26" s="6">
        <v>30</v>
      </c>
      <c r="J26" s="3" t="s">
        <v>19</v>
      </c>
      <c r="K26" s="19"/>
      <c r="P26" s="14"/>
      <c r="Q26" s="46"/>
      <c r="R26" s="46"/>
    </row>
    <row r="27" spans="2:18" ht="14.65" customHeight="1" x14ac:dyDescent="0.25">
      <c r="B27" s="18"/>
      <c r="C27" s="50" t="s">
        <v>20</v>
      </c>
      <c r="D27" s="50"/>
      <c r="E27" s="7">
        <v>1.2E-2</v>
      </c>
      <c r="F27" s="5"/>
      <c r="G27" s="53" t="s">
        <v>21</v>
      </c>
      <c r="H27" s="54"/>
      <c r="I27" s="6">
        <v>30</v>
      </c>
      <c r="J27" s="3" t="s">
        <v>19</v>
      </c>
      <c r="K27" s="19"/>
      <c r="P27" s="14"/>
      <c r="Q27" s="46"/>
      <c r="R27" s="46"/>
    </row>
    <row r="28" spans="2:18" ht="14.65" customHeight="1" x14ac:dyDescent="0.25">
      <c r="B28" s="18"/>
      <c r="C28" s="55" t="s">
        <v>22</v>
      </c>
      <c r="D28" s="55"/>
      <c r="E28" s="55"/>
      <c r="F28" s="55"/>
      <c r="G28" s="55"/>
      <c r="H28" s="55"/>
      <c r="I28" s="55"/>
      <c r="J28" s="55"/>
      <c r="K28" s="19"/>
      <c r="P28" s="14"/>
      <c r="Q28" s="46"/>
      <c r="R28" s="46"/>
    </row>
    <row r="29" spans="2:18" x14ac:dyDescent="0.25">
      <c r="B29" s="18"/>
      <c r="C29" s="2" t="s">
        <v>23</v>
      </c>
      <c r="D29" s="48">
        <v>0.5</v>
      </c>
      <c r="E29" s="48"/>
      <c r="F29" s="2" t="s">
        <v>24</v>
      </c>
      <c r="G29" s="2" t="s">
        <v>25</v>
      </c>
      <c r="H29" s="48">
        <v>2.7</v>
      </c>
      <c r="I29" s="48"/>
      <c r="J29" s="2" t="s">
        <v>26</v>
      </c>
      <c r="K29" s="19"/>
      <c r="P29" s="14"/>
      <c r="Q29" s="46"/>
      <c r="R29" s="46"/>
    </row>
    <row r="30" spans="2:18" x14ac:dyDescent="0.25">
      <c r="B30" s="18"/>
      <c r="C30" s="2" t="s">
        <v>27</v>
      </c>
      <c r="D30" s="48">
        <v>0.6</v>
      </c>
      <c r="E30" s="48"/>
      <c r="F30" s="2" t="s">
        <v>24</v>
      </c>
      <c r="G30" s="2" t="s">
        <v>28</v>
      </c>
      <c r="H30" s="48">
        <v>8.3000000000000007</v>
      </c>
      <c r="I30" s="48"/>
      <c r="J30" s="2" t="s">
        <v>26</v>
      </c>
      <c r="K30" s="19"/>
      <c r="P30" s="14"/>
      <c r="Q30" s="46"/>
      <c r="R30" s="46"/>
    </row>
    <row r="31" spans="2:18" x14ac:dyDescent="0.25">
      <c r="B31" s="18"/>
      <c r="C31" s="2" t="s">
        <v>29</v>
      </c>
      <c r="D31" s="48">
        <v>10.199999999999999</v>
      </c>
      <c r="E31" s="48"/>
      <c r="F31" s="2" t="s">
        <v>24</v>
      </c>
      <c r="G31" s="2" t="s">
        <v>30</v>
      </c>
      <c r="H31" s="48">
        <v>8.3000000000000007</v>
      </c>
      <c r="I31" s="48"/>
      <c r="J31" s="2" t="s">
        <v>26</v>
      </c>
      <c r="K31" s="19"/>
      <c r="P31" s="14"/>
      <c r="Q31" s="46"/>
      <c r="R31" s="46"/>
    </row>
    <row r="32" spans="2:18" ht="14.1" customHeight="1" x14ac:dyDescent="0.25">
      <c r="B32" s="18"/>
      <c r="C32" s="1"/>
      <c r="D32" s="1"/>
      <c r="E32" s="1"/>
      <c r="F32" s="1"/>
      <c r="G32" s="1"/>
      <c r="H32" s="1"/>
      <c r="I32" s="1"/>
      <c r="J32" s="1"/>
      <c r="K32" s="19"/>
      <c r="P32" s="14"/>
      <c r="Q32" s="46"/>
      <c r="R32" s="46"/>
    </row>
    <row r="33" spans="2:18" ht="14.65" customHeight="1" x14ac:dyDescent="0.25">
      <c r="B33" s="18"/>
      <c r="C33" s="47" t="s">
        <v>31</v>
      </c>
      <c r="D33" s="47"/>
      <c r="E33" s="47"/>
      <c r="F33" s="1"/>
      <c r="G33" s="47" t="s">
        <v>32</v>
      </c>
      <c r="H33" s="47"/>
      <c r="I33" s="47"/>
      <c r="J33" s="47"/>
      <c r="K33" s="19"/>
      <c r="P33" s="14"/>
      <c r="Q33" s="46"/>
      <c r="R33" s="46"/>
    </row>
    <row r="34" spans="2:18" ht="30" x14ac:dyDescent="0.25">
      <c r="B34" s="18"/>
      <c r="C34" s="8" t="s">
        <v>33</v>
      </c>
      <c r="D34" s="8" t="s">
        <v>34</v>
      </c>
      <c r="E34" s="8" t="s">
        <v>35</v>
      </c>
      <c r="F34" s="1"/>
      <c r="G34" s="8" t="s">
        <v>33</v>
      </c>
      <c r="H34" s="8" t="s">
        <v>36</v>
      </c>
      <c r="I34" s="47" t="s">
        <v>37</v>
      </c>
      <c r="J34" s="47"/>
      <c r="K34" s="19"/>
    </row>
    <row r="35" spans="2:18" x14ac:dyDescent="0.25">
      <c r="B35" s="18"/>
      <c r="C35" s="9" t="s">
        <v>38</v>
      </c>
      <c r="D35" s="9" t="s">
        <v>39</v>
      </c>
      <c r="E35" s="9" t="s">
        <v>39</v>
      </c>
      <c r="F35" s="1"/>
      <c r="G35" s="9" t="s">
        <v>38</v>
      </c>
      <c r="H35" s="9" t="s">
        <v>39</v>
      </c>
      <c r="I35" s="70" t="s">
        <v>40</v>
      </c>
      <c r="J35" s="70"/>
      <c r="K35" s="19"/>
    </row>
    <row r="36" spans="2:18" x14ac:dyDescent="0.25">
      <c r="B36" s="18"/>
      <c r="C36" s="4">
        <v>4</v>
      </c>
      <c r="D36" s="4">
        <v>5822.6</v>
      </c>
      <c r="E36" s="10">
        <f>580080/100</f>
        <v>5800.8</v>
      </c>
      <c r="F36" s="1"/>
      <c r="G36" s="4">
        <f>C36</f>
        <v>4</v>
      </c>
      <c r="H36" s="4">
        <f>D36</f>
        <v>5822.6</v>
      </c>
      <c r="I36" s="44">
        <v>88</v>
      </c>
      <c r="J36" s="45"/>
      <c r="K36" s="19"/>
    </row>
    <row r="37" spans="2:18" x14ac:dyDescent="0.25">
      <c r="B37" s="18"/>
      <c r="C37" s="4">
        <v>6</v>
      </c>
      <c r="D37" s="4">
        <v>2422.5</v>
      </c>
      <c r="E37" s="10">
        <f>247742/100</f>
        <v>2477.42</v>
      </c>
      <c r="F37" s="1"/>
      <c r="G37" s="4">
        <f t="shared" ref="G37:H45" si="0">C37</f>
        <v>6</v>
      </c>
      <c r="H37" s="4">
        <f t="shared" si="0"/>
        <v>2422.5</v>
      </c>
      <c r="I37" s="44">
        <v>198</v>
      </c>
      <c r="J37" s="45"/>
      <c r="K37" s="19"/>
    </row>
    <row r="38" spans="2:18" x14ac:dyDescent="0.25">
      <c r="B38" s="18"/>
      <c r="C38" s="4">
        <v>10</v>
      </c>
      <c r="D38" s="4">
        <v>543.79999999999995</v>
      </c>
      <c r="E38" s="10">
        <f>57630/100</f>
        <v>576.29999999999995</v>
      </c>
      <c r="F38" s="1"/>
      <c r="G38" s="4">
        <f t="shared" si="0"/>
        <v>10</v>
      </c>
      <c r="H38" s="4">
        <f t="shared" si="0"/>
        <v>543.79999999999995</v>
      </c>
      <c r="I38" s="44">
        <v>534</v>
      </c>
      <c r="J38" s="45"/>
      <c r="K38" s="19"/>
      <c r="O38" s="27"/>
      <c r="P38" s="27"/>
      <c r="Q38" s="27"/>
    </row>
    <row r="39" spans="2:18" x14ac:dyDescent="0.25">
      <c r="B39" s="18"/>
      <c r="C39" s="4">
        <v>14</v>
      </c>
      <c r="D39" s="4">
        <v>182.5</v>
      </c>
      <c r="E39" s="10">
        <f>20111/100</f>
        <v>201.11</v>
      </c>
      <c r="F39" s="1"/>
      <c r="G39" s="4">
        <f t="shared" si="0"/>
        <v>14</v>
      </c>
      <c r="H39" s="4">
        <f t="shared" si="0"/>
        <v>182.5</v>
      </c>
      <c r="I39" s="44">
        <v>1022</v>
      </c>
      <c r="J39" s="45"/>
      <c r="K39" s="19"/>
    </row>
    <row r="40" spans="2:18" x14ac:dyDescent="0.25">
      <c r="B40" s="18"/>
      <c r="C40" s="4">
        <v>21</v>
      </c>
      <c r="D40" s="4">
        <v>51.7</v>
      </c>
      <c r="E40" s="10">
        <f>6461/100</f>
        <v>64.61</v>
      </c>
      <c r="F40" s="1"/>
      <c r="G40" s="4">
        <f t="shared" si="0"/>
        <v>21</v>
      </c>
      <c r="H40" s="4">
        <f t="shared" si="0"/>
        <v>51.7</v>
      </c>
      <c r="I40" s="44">
        <v>2070</v>
      </c>
      <c r="J40" s="45"/>
      <c r="K40" s="19"/>
    </row>
    <row r="41" spans="2:18" x14ac:dyDescent="0.25">
      <c r="B41" s="18"/>
      <c r="C41" s="4">
        <v>25</v>
      </c>
      <c r="D41" s="4">
        <v>22.8</v>
      </c>
      <c r="E41" s="10">
        <f>3057/100</f>
        <v>30.57</v>
      </c>
      <c r="F41" s="1"/>
      <c r="G41" s="4">
        <f t="shared" si="0"/>
        <v>25</v>
      </c>
      <c r="H41" s="4">
        <f t="shared" si="0"/>
        <v>22.8</v>
      </c>
      <c r="I41" s="44">
        <v>3086</v>
      </c>
      <c r="J41" s="45"/>
      <c r="K41" s="19"/>
    </row>
    <row r="42" spans="2:18" x14ac:dyDescent="0.25">
      <c r="B42" s="18"/>
      <c r="C42" s="56"/>
      <c r="D42" s="57"/>
      <c r="E42" s="58"/>
      <c r="F42" s="1"/>
      <c r="G42" s="56"/>
      <c r="H42" s="57"/>
      <c r="I42" s="57"/>
      <c r="J42" s="58"/>
      <c r="K42" s="19"/>
    </row>
    <row r="43" spans="2:18" x14ac:dyDescent="0.25">
      <c r="B43" s="18"/>
      <c r="C43" s="4">
        <v>38</v>
      </c>
      <c r="D43" s="4">
        <v>441</v>
      </c>
      <c r="E43" s="10">
        <v>481</v>
      </c>
      <c r="F43" s="1"/>
      <c r="G43" s="4">
        <f t="shared" si="0"/>
        <v>38</v>
      </c>
      <c r="H43" s="4">
        <f t="shared" si="0"/>
        <v>441</v>
      </c>
      <c r="I43" s="44">
        <v>10132</v>
      </c>
      <c r="J43" s="45"/>
      <c r="K43" s="19"/>
    </row>
    <row r="44" spans="2:18" x14ac:dyDescent="0.25">
      <c r="B44" s="18"/>
      <c r="C44" s="4">
        <v>50</v>
      </c>
      <c r="D44" s="4">
        <v>102</v>
      </c>
      <c r="E44" s="10">
        <v>96</v>
      </c>
      <c r="F44" s="1"/>
      <c r="G44" s="4">
        <f t="shared" si="0"/>
        <v>50</v>
      </c>
      <c r="H44" s="4">
        <f t="shared" si="0"/>
        <v>102</v>
      </c>
      <c r="I44" s="44">
        <v>15873</v>
      </c>
      <c r="J44" s="45"/>
      <c r="K44" s="19"/>
    </row>
    <row r="45" spans="2:18" x14ac:dyDescent="0.25">
      <c r="B45" s="18"/>
      <c r="C45" s="4">
        <v>70</v>
      </c>
      <c r="D45" s="4">
        <v>23</v>
      </c>
      <c r="E45" s="10">
        <v>12</v>
      </c>
      <c r="F45" s="1"/>
      <c r="G45" s="4">
        <f t="shared" si="0"/>
        <v>70</v>
      </c>
      <c r="H45" s="4">
        <f t="shared" si="0"/>
        <v>23</v>
      </c>
      <c r="I45" s="44">
        <v>25054</v>
      </c>
      <c r="J45" s="45"/>
      <c r="K45" s="19"/>
    </row>
    <row r="46" spans="2:18" x14ac:dyDescent="0.25">
      <c r="B46" s="18"/>
      <c r="C46" s="4"/>
      <c r="D46" s="4"/>
      <c r="E46" s="4"/>
      <c r="F46" s="1"/>
      <c r="G46" s="4"/>
      <c r="H46" s="4"/>
      <c r="I46" s="41"/>
      <c r="J46" s="41"/>
      <c r="K46" s="19"/>
    </row>
    <row r="47" spans="2:18" x14ac:dyDescent="0.25">
      <c r="B47" s="18"/>
      <c r="C47" s="4"/>
      <c r="D47" s="4"/>
      <c r="E47" s="4"/>
      <c r="F47" s="1"/>
      <c r="G47" s="4"/>
      <c r="H47" s="4"/>
      <c r="I47" s="41"/>
      <c r="J47" s="41"/>
      <c r="K47" s="19"/>
    </row>
    <row r="48" spans="2:18" x14ac:dyDescent="0.25">
      <c r="B48" s="18"/>
      <c r="C48" s="4"/>
      <c r="D48" s="4"/>
      <c r="E48" s="4"/>
      <c r="F48" s="1"/>
      <c r="G48" s="4"/>
      <c r="H48" s="4"/>
      <c r="I48" s="41"/>
      <c r="J48" s="41"/>
      <c r="K48" s="19"/>
    </row>
    <row r="49" spans="2:11" x14ac:dyDescent="0.25">
      <c r="B49" s="18"/>
      <c r="C49" s="4"/>
      <c r="D49" s="4"/>
      <c r="E49" s="4"/>
      <c r="F49" s="1"/>
      <c r="G49" s="4"/>
      <c r="H49" s="4"/>
      <c r="I49" s="41"/>
      <c r="J49" s="41"/>
      <c r="K49" s="19"/>
    </row>
    <row r="50" spans="2:11" x14ac:dyDescent="0.25">
      <c r="B50" s="18"/>
      <c r="C50" s="4"/>
      <c r="D50" s="4"/>
      <c r="E50" s="4"/>
      <c r="F50" s="1"/>
      <c r="G50" s="4"/>
      <c r="H50" s="4"/>
      <c r="I50" s="41"/>
      <c r="J50" s="41"/>
      <c r="K50" s="19"/>
    </row>
    <row r="51" spans="2:11" x14ac:dyDescent="0.25">
      <c r="B51" s="18"/>
      <c r="C51" s="4"/>
      <c r="D51" s="4"/>
      <c r="E51" s="4"/>
      <c r="F51" s="1"/>
      <c r="G51" s="4"/>
      <c r="H51" s="4"/>
      <c r="I51" s="41"/>
      <c r="J51" s="41"/>
      <c r="K51" s="19"/>
    </row>
    <row r="52" spans="2:11" x14ac:dyDescent="0.25">
      <c r="B52" s="18"/>
      <c r="C52" s="4"/>
      <c r="D52" s="4"/>
      <c r="E52" s="4"/>
      <c r="F52" s="1"/>
      <c r="G52" s="4"/>
      <c r="H52" s="4"/>
      <c r="I52" s="41"/>
      <c r="J52" s="41"/>
      <c r="K52" s="19"/>
    </row>
    <row r="53" spans="2:11" x14ac:dyDescent="0.25">
      <c r="B53" s="18"/>
      <c r="C53" s="4"/>
      <c r="D53" s="4"/>
      <c r="E53" s="4"/>
      <c r="F53" s="1"/>
      <c r="G53" s="4"/>
      <c r="H53" s="4"/>
      <c r="I53" s="41"/>
      <c r="J53" s="41"/>
      <c r="K53" s="19"/>
    </row>
    <row r="54" spans="2:11" x14ac:dyDescent="0.25">
      <c r="B54" s="18"/>
      <c r="C54" s="4"/>
      <c r="D54" s="4"/>
      <c r="E54" s="4"/>
      <c r="F54" s="1"/>
      <c r="G54" s="4"/>
      <c r="H54" s="4"/>
      <c r="I54" s="41"/>
      <c r="J54" s="41"/>
      <c r="K54" s="19"/>
    </row>
    <row r="55" spans="2:11" x14ac:dyDescent="0.25">
      <c r="B55" s="18"/>
      <c r="C55" s="4"/>
      <c r="D55" s="4"/>
      <c r="E55" s="4"/>
      <c r="F55" s="1"/>
      <c r="G55" s="4"/>
      <c r="H55" s="4"/>
      <c r="I55" s="41"/>
      <c r="J55" s="41"/>
      <c r="K55" s="19"/>
    </row>
    <row r="56" spans="2:11" x14ac:dyDescent="0.25">
      <c r="B56" s="18"/>
      <c r="C56" s="4"/>
      <c r="D56" s="4"/>
      <c r="E56" s="4"/>
      <c r="F56" s="1"/>
      <c r="G56" s="4"/>
      <c r="H56" s="4"/>
      <c r="I56" s="41"/>
      <c r="J56" s="41"/>
      <c r="K56" s="19"/>
    </row>
    <row r="57" spans="2:11" x14ac:dyDescent="0.25">
      <c r="B57" s="18"/>
      <c r="K57" s="19"/>
    </row>
    <row r="58" spans="2:11" ht="14.65" customHeight="1" x14ac:dyDescent="0.25">
      <c r="B58" s="18"/>
      <c r="C58" s="42" t="s">
        <v>48</v>
      </c>
      <c r="D58" s="43"/>
      <c r="E58" s="43"/>
      <c r="F58" s="43"/>
      <c r="G58" s="43"/>
      <c r="H58" s="43"/>
      <c r="I58" s="43"/>
      <c r="J58" s="43"/>
      <c r="K58" s="19"/>
    </row>
    <row r="59" spans="2:11" x14ac:dyDescent="0.25">
      <c r="B59" s="18"/>
      <c r="C59" s="43"/>
      <c r="D59" s="43"/>
      <c r="E59" s="43"/>
      <c r="F59" s="43"/>
      <c r="G59" s="43"/>
      <c r="H59" s="43"/>
      <c r="I59" s="43"/>
      <c r="J59" s="43"/>
      <c r="K59" s="19"/>
    </row>
    <row r="60" spans="2:11" x14ac:dyDescent="0.25">
      <c r="B60" s="18"/>
      <c r="C60" s="43"/>
      <c r="D60" s="43"/>
      <c r="E60" s="43"/>
      <c r="F60" s="43"/>
      <c r="G60" s="43"/>
      <c r="H60" s="43"/>
      <c r="I60" s="43"/>
      <c r="J60" s="43"/>
      <c r="K60" s="19"/>
    </row>
    <row r="61" spans="2:11" x14ac:dyDescent="0.25">
      <c r="B61" s="18"/>
      <c r="C61" s="43"/>
      <c r="D61" s="43"/>
      <c r="E61" s="43"/>
      <c r="F61" s="43"/>
      <c r="G61" s="43"/>
      <c r="H61" s="43"/>
      <c r="I61" s="43"/>
      <c r="J61" s="43"/>
      <c r="K61" s="19"/>
    </row>
    <row r="62" spans="2:11" x14ac:dyDescent="0.25">
      <c r="B62" s="18"/>
      <c r="C62" s="43"/>
      <c r="D62" s="43"/>
      <c r="E62" s="43"/>
      <c r="F62" s="43"/>
      <c r="G62" s="43"/>
      <c r="H62" s="43"/>
      <c r="I62" s="43"/>
      <c r="J62" s="43"/>
      <c r="K62" s="19"/>
    </row>
    <row r="63" spans="2:11" x14ac:dyDescent="0.25">
      <c r="B63" s="22"/>
      <c r="C63" s="23"/>
      <c r="D63" s="23"/>
      <c r="E63" s="23"/>
      <c r="F63" s="23"/>
      <c r="G63" s="23"/>
      <c r="H63" s="23"/>
      <c r="I63" s="23"/>
      <c r="J63" s="23"/>
      <c r="K63" s="24"/>
    </row>
  </sheetData>
  <mergeCells count="65">
    <mergeCell ref="C10:J11"/>
    <mergeCell ref="C12:F14"/>
    <mergeCell ref="G12:J14"/>
    <mergeCell ref="C15:F17"/>
    <mergeCell ref="G15:J17"/>
    <mergeCell ref="C42:E42"/>
    <mergeCell ref="G42:J42"/>
    <mergeCell ref="C19:J20"/>
    <mergeCell ref="C21:C24"/>
    <mergeCell ref="G21:H21"/>
    <mergeCell ref="I21:J21"/>
    <mergeCell ref="G22:H22"/>
    <mergeCell ref="I22:J22"/>
    <mergeCell ref="G23:H23"/>
    <mergeCell ref="I23:J23"/>
    <mergeCell ref="G24:H24"/>
    <mergeCell ref="I24:J24"/>
    <mergeCell ref="D29:E29"/>
    <mergeCell ref="H29:I29"/>
    <mergeCell ref="I35:J35"/>
    <mergeCell ref="D30:E30"/>
    <mergeCell ref="Q29:R29"/>
    <mergeCell ref="Q24:R24"/>
    <mergeCell ref="C25:D25"/>
    <mergeCell ref="G25:H25"/>
    <mergeCell ref="Q25:R25"/>
    <mergeCell ref="C26:D26"/>
    <mergeCell ref="G26:H26"/>
    <mergeCell ref="Q26:R26"/>
    <mergeCell ref="C27:D27"/>
    <mergeCell ref="G27:H27"/>
    <mergeCell ref="Q27:R27"/>
    <mergeCell ref="C28:J28"/>
    <mergeCell ref="Q28:R28"/>
    <mergeCell ref="H30:I30"/>
    <mergeCell ref="Q30:R30"/>
    <mergeCell ref="D31:E31"/>
    <mergeCell ref="H31:I31"/>
    <mergeCell ref="Q31:R31"/>
    <mergeCell ref="Q32:R32"/>
    <mergeCell ref="C33:E33"/>
    <mergeCell ref="G33:J33"/>
    <mergeCell ref="Q33:R33"/>
    <mergeCell ref="I34:J34"/>
    <mergeCell ref="I48:J48"/>
    <mergeCell ref="I36:J36"/>
    <mergeCell ref="I37:J37"/>
    <mergeCell ref="I38:J38"/>
    <mergeCell ref="I39:J39"/>
    <mergeCell ref="I40:J40"/>
    <mergeCell ref="I41:J41"/>
    <mergeCell ref="I43:J43"/>
    <mergeCell ref="I44:J44"/>
    <mergeCell ref="I45:J45"/>
    <mergeCell ref="I46:J46"/>
    <mergeCell ref="I47:J47"/>
    <mergeCell ref="I55:J55"/>
    <mergeCell ref="I56:J56"/>
    <mergeCell ref="C58:J62"/>
    <mergeCell ref="I49:J49"/>
    <mergeCell ref="I50:J50"/>
    <mergeCell ref="I51:J51"/>
    <mergeCell ref="I52:J52"/>
    <mergeCell ref="I53:J53"/>
    <mergeCell ref="I54:J54"/>
  </mergeCells>
  <hyperlinks>
    <hyperlink ref="C8" r:id="rId1" xr:uid="{8D4B8719-1410-4F78-BFDB-7D9480403E2D}"/>
  </hyperlinks>
  <pageMargins left="0.7" right="0.7" top="0.75" bottom="0.75" header="0.3" footer="0.3"/>
  <pageSetup scale="48"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83070-DCF4-4990-B164-EDB2DA915277}">
  <sheetPr>
    <pageSetUpPr fitToPage="1"/>
  </sheetPr>
  <dimension ref="B2:R63"/>
  <sheetViews>
    <sheetView showGridLines="0" zoomScale="90" zoomScaleNormal="90" workbookViewId="0">
      <selection activeCell="O22" sqref="O22"/>
    </sheetView>
  </sheetViews>
  <sheetFormatPr defaultRowHeight="15" x14ac:dyDescent="0.25"/>
  <cols>
    <col min="1" max="1" width="3.7109375" customWidth="1"/>
    <col min="2" max="2" width="3.140625" customWidth="1"/>
    <col min="3" max="3" width="10" customWidth="1"/>
    <col min="4" max="4" width="16.7109375" customWidth="1"/>
    <col min="5" max="5" width="25.7109375" customWidth="1"/>
    <col min="6" max="6" width="4" customWidth="1"/>
    <col min="7" max="7" width="10" customWidth="1"/>
    <col min="8" max="8" width="25.7109375" customWidth="1"/>
    <col min="9" max="9" width="10.140625" customWidth="1"/>
    <col min="10" max="10" width="10.85546875" customWidth="1"/>
    <col min="11" max="11" width="3.140625" customWidth="1"/>
  </cols>
  <sheetData>
    <row r="2" spans="2:11" x14ac:dyDescent="0.2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1" x14ac:dyDescent="0.25">
      <c r="B3" s="18"/>
      <c r="C3" t="s">
        <v>42</v>
      </c>
      <c r="K3" s="19"/>
    </row>
    <row r="4" spans="2:11" x14ac:dyDescent="0.25">
      <c r="B4" s="18"/>
      <c r="C4" t="s">
        <v>43</v>
      </c>
      <c r="K4" s="19"/>
    </row>
    <row r="5" spans="2:11" x14ac:dyDescent="0.25">
      <c r="B5" s="18"/>
      <c r="C5" t="s">
        <v>44</v>
      </c>
      <c r="K5" s="19"/>
    </row>
    <row r="6" spans="2:11" x14ac:dyDescent="0.25">
      <c r="B6" s="18"/>
      <c r="C6" t="s">
        <v>45</v>
      </c>
      <c r="K6" s="19"/>
    </row>
    <row r="7" spans="2:11" x14ac:dyDescent="0.25">
      <c r="B7" s="18"/>
      <c r="C7" t="s">
        <v>46</v>
      </c>
      <c r="K7" s="19"/>
    </row>
    <row r="8" spans="2:11" x14ac:dyDescent="0.25">
      <c r="B8" s="18"/>
      <c r="C8" s="20" t="s">
        <v>47</v>
      </c>
      <c r="K8" s="19"/>
    </row>
    <row r="9" spans="2:11" x14ac:dyDescent="0.25">
      <c r="B9" s="18"/>
      <c r="C9" s="20"/>
      <c r="K9" s="19"/>
    </row>
    <row r="10" spans="2:11" x14ac:dyDescent="0.25">
      <c r="B10" s="18"/>
      <c r="C10" s="86" t="s">
        <v>77</v>
      </c>
      <c r="D10" s="76"/>
      <c r="E10" s="76"/>
      <c r="F10" s="76"/>
      <c r="G10" s="76"/>
      <c r="H10" s="76"/>
      <c r="I10" s="76"/>
      <c r="J10" s="76"/>
      <c r="K10" s="19"/>
    </row>
    <row r="11" spans="2:11" x14ac:dyDescent="0.25">
      <c r="B11" s="18"/>
      <c r="C11" s="76"/>
      <c r="D11" s="76"/>
      <c r="E11" s="76"/>
      <c r="F11" s="76"/>
      <c r="G11" s="76"/>
      <c r="H11" s="76"/>
      <c r="I11" s="76"/>
      <c r="J11" s="76"/>
      <c r="K11" s="19"/>
    </row>
    <row r="12" spans="2:11" x14ac:dyDescent="0.25">
      <c r="B12" s="18"/>
      <c r="C12" s="90" t="s">
        <v>78</v>
      </c>
      <c r="D12" s="90"/>
      <c r="E12" s="90"/>
      <c r="F12" s="90"/>
      <c r="G12" s="90" t="s">
        <v>79</v>
      </c>
      <c r="H12" s="90"/>
      <c r="I12" s="90"/>
      <c r="J12" s="90"/>
      <c r="K12" s="19"/>
    </row>
    <row r="13" spans="2:11" x14ac:dyDescent="0.25">
      <c r="B13" s="18"/>
      <c r="C13" s="90"/>
      <c r="D13" s="90"/>
      <c r="E13" s="90"/>
      <c r="F13" s="90"/>
      <c r="G13" s="90"/>
      <c r="H13" s="90"/>
      <c r="I13" s="90"/>
      <c r="J13" s="90"/>
      <c r="K13" s="19"/>
    </row>
    <row r="14" spans="2:11" x14ac:dyDescent="0.25">
      <c r="B14" s="18"/>
      <c r="C14" s="90"/>
      <c r="D14" s="90"/>
      <c r="E14" s="90"/>
      <c r="F14" s="90"/>
      <c r="G14" s="90"/>
      <c r="H14" s="90"/>
      <c r="I14" s="90"/>
      <c r="J14" s="90"/>
      <c r="K14" s="19"/>
    </row>
    <row r="15" spans="2:11" x14ac:dyDescent="0.25">
      <c r="B15" s="18"/>
      <c r="C15" s="90" t="s">
        <v>92</v>
      </c>
      <c r="D15" s="90"/>
      <c r="E15" s="90"/>
      <c r="F15" s="90"/>
      <c r="G15" s="77" t="s">
        <v>93</v>
      </c>
      <c r="H15" s="78"/>
      <c r="I15" s="78"/>
      <c r="J15" s="79"/>
      <c r="K15" s="19"/>
    </row>
    <row r="16" spans="2:11" x14ac:dyDescent="0.25">
      <c r="B16" s="18"/>
      <c r="C16" s="90"/>
      <c r="D16" s="90"/>
      <c r="E16" s="90"/>
      <c r="F16" s="90"/>
      <c r="G16" s="80"/>
      <c r="H16" s="81"/>
      <c r="I16" s="81"/>
      <c r="J16" s="82"/>
      <c r="K16" s="19"/>
    </row>
    <row r="17" spans="2:18" x14ac:dyDescent="0.25">
      <c r="B17" s="18"/>
      <c r="C17" s="90"/>
      <c r="D17" s="90"/>
      <c r="E17" s="90"/>
      <c r="F17" s="90"/>
      <c r="G17" s="83"/>
      <c r="H17" s="84"/>
      <c r="I17" s="84"/>
      <c r="J17" s="85"/>
      <c r="K17" s="19"/>
    </row>
    <row r="18" spans="2:18" x14ac:dyDescent="0.25">
      <c r="B18" s="18"/>
      <c r="K18" s="19"/>
    </row>
    <row r="19" spans="2:18" ht="18.399999999999999" customHeight="1" x14ac:dyDescent="0.25">
      <c r="B19" s="18"/>
      <c r="C19" s="59" t="s">
        <v>0</v>
      </c>
      <c r="D19" s="60"/>
      <c r="E19" s="60"/>
      <c r="F19" s="60"/>
      <c r="G19" s="60"/>
      <c r="H19" s="60"/>
      <c r="I19" s="60"/>
      <c r="J19" s="61"/>
      <c r="K19" s="19"/>
    </row>
    <row r="20" spans="2:18" x14ac:dyDescent="0.25">
      <c r="B20" s="18"/>
      <c r="C20" s="62"/>
      <c r="D20" s="63"/>
      <c r="E20" s="63"/>
      <c r="F20" s="63"/>
      <c r="G20" s="63"/>
      <c r="H20" s="63"/>
      <c r="I20" s="63"/>
      <c r="J20" s="64"/>
      <c r="K20" s="19"/>
    </row>
    <row r="21" spans="2:18" x14ac:dyDescent="0.25">
      <c r="B21" s="18"/>
      <c r="C21" s="65" t="s">
        <v>1</v>
      </c>
      <c r="D21" s="3" t="s">
        <v>2</v>
      </c>
      <c r="E21" s="4" t="s">
        <v>3</v>
      </c>
      <c r="F21" s="5"/>
      <c r="G21" s="53" t="s">
        <v>4</v>
      </c>
      <c r="H21" s="54"/>
      <c r="I21" s="66">
        <v>46183</v>
      </c>
      <c r="J21" s="67"/>
      <c r="K21" s="19"/>
    </row>
    <row r="22" spans="2:18" x14ac:dyDescent="0.25">
      <c r="B22" s="18"/>
      <c r="C22" s="65"/>
      <c r="D22" s="3" t="s">
        <v>5</v>
      </c>
      <c r="E22" s="4">
        <v>63010051</v>
      </c>
      <c r="F22" s="5"/>
      <c r="G22" s="53" t="s">
        <v>6</v>
      </c>
      <c r="H22" s="54"/>
      <c r="I22" s="68" t="s">
        <v>7</v>
      </c>
      <c r="J22" s="69"/>
      <c r="K22" s="19"/>
    </row>
    <row r="23" spans="2:18" x14ac:dyDescent="0.25">
      <c r="B23" s="18"/>
      <c r="C23" s="65"/>
      <c r="D23" s="3" t="s">
        <v>2</v>
      </c>
      <c r="E23" s="4" t="s">
        <v>8</v>
      </c>
      <c r="F23" s="5"/>
      <c r="G23" s="51" t="s">
        <v>9</v>
      </c>
      <c r="H23" s="52"/>
      <c r="I23" s="68" t="s">
        <v>10</v>
      </c>
      <c r="J23" s="69"/>
      <c r="K23" s="19"/>
    </row>
    <row r="24" spans="2:18" x14ac:dyDescent="0.25">
      <c r="B24" s="18"/>
      <c r="C24" s="65"/>
      <c r="D24" s="3" t="s">
        <v>5</v>
      </c>
      <c r="E24" s="4" t="s">
        <v>11</v>
      </c>
      <c r="F24" s="5"/>
      <c r="G24" s="51" t="s">
        <v>12</v>
      </c>
      <c r="H24" s="52"/>
      <c r="I24" s="68" t="s">
        <v>13</v>
      </c>
      <c r="J24" s="69"/>
      <c r="K24" s="19"/>
      <c r="P24" s="13"/>
      <c r="Q24" s="49"/>
      <c r="R24" s="49"/>
    </row>
    <row r="25" spans="2:18" ht="15.4" customHeight="1" x14ac:dyDescent="0.25">
      <c r="B25" s="18"/>
      <c r="C25" s="50" t="s">
        <v>14</v>
      </c>
      <c r="D25" s="50"/>
      <c r="E25" s="4">
        <v>54</v>
      </c>
      <c r="F25" s="5"/>
      <c r="G25" s="51" t="s">
        <v>15</v>
      </c>
      <c r="H25" s="52"/>
      <c r="I25" s="6">
        <v>30000</v>
      </c>
      <c r="J25" s="3" t="s">
        <v>16</v>
      </c>
      <c r="K25" s="19"/>
      <c r="P25" s="14"/>
      <c r="Q25" s="46"/>
      <c r="R25" s="46"/>
    </row>
    <row r="26" spans="2:18" x14ac:dyDescent="0.25">
      <c r="B26" s="18"/>
      <c r="C26" s="50" t="s">
        <v>17</v>
      </c>
      <c r="D26" s="50"/>
      <c r="E26" s="4">
        <v>40</v>
      </c>
      <c r="F26" s="5"/>
      <c r="G26" s="53" t="s">
        <v>18</v>
      </c>
      <c r="H26" s="54"/>
      <c r="I26" s="6">
        <v>30</v>
      </c>
      <c r="J26" s="3" t="s">
        <v>19</v>
      </c>
      <c r="K26" s="19"/>
      <c r="P26" s="14"/>
      <c r="Q26" s="46"/>
      <c r="R26" s="46"/>
    </row>
    <row r="27" spans="2:18" x14ac:dyDescent="0.25">
      <c r="B27" s="18"/>
      <c r="C27" s="50" t="s">
        <v>20</v>
      </c>
      <c r="D27" s="50"/>
      <c r="E27" s="21">
        <v>1.2E-2</v>
      </c>
      <c r="F27" s="5"/>
      <c r="G27" s="53" t="s">
        <v>21</v>
      </c>
      <c r="H27" s="54"/>
      <c r="I27" s="6">
        <v>30</v>
      </c>
      <c r="J27" s="3" t="s">
        <v>19</v>
      </c>
      <c r="K27" s="19"/>
      <c r="P27" s="14"/>
      <c r="Q27" s="46"/>
      <c r="R27" s="46"/>
    </row>
    <row r="28" spans="2:18" x14ac:dyDescent="0.25">
      <c r="B28" s="18"/>
      <c r="C28" s="55" t="s">
        <v>22</v>
      </c>
      <c r="D28" s="55"/>
      <c r="E28" s="55"/>
      <c r="F28" s="55"/>
      <c r="G28" s="55"/>
      <c r="H28" s="55"/>
      <c r="I28" s="55"/>
      <c r="J28" s="55"/>
      <c r="K28" s="19"/>
      <c r="P28" s="14"/>
      <c r="Q28" s="46"/>
      <c r="R28" s="46"/>
    </row>
    <row r="29" spans="2:18" x14ac:dyDescent="0.25">
      <c r="B29" s="18"/>
      <c r="C29" s="2" t="s">
        <v>23</v>
      </c>
      <c r="D29" s="48">
        <v>0.5</v>
      </c>
      <c r="E29" s="48"/>
      <c r="F29" s="2" t="s">
        <v>24</v>
      </c>
      <c r="G29" s="2" t="s">
        <v>25</v>
      </c>
      <c r="H29" s="48">
        <v>2.7</v>
      </c>
      <c r="I29" s="48"/>
      <c r="J29" s="2" t="s">
        <v>26</v>
      </c>
      <c r="K29" s="19"/>
      <c r="P29" s="14"/>
      <c r="Q29" s="46"/>
      <c r="R29" s="46"/>
    </row>
    <row r="30" spans="2:18" x14ac:dyDescent="0.25">
      <c r="B30" s="18"/>
      <c r="C30" s="2" t="s">
        <v>27</v>
      </c>
      <c r="D30" s="48">
        <v>0.6</v>
      </c>
      <c r="E30" s="48"/>
      <c r="F30" s="2" t="s">
        <v>24</v>
      </c>
      <c r="G30" s="2" t="s">
        <v>28</v>
      </c>
      <c r="H30" s="48">
        <v>8.3000000000000007</v>
      </c>
      <c r="I30" s="48"/>
      <c r="J30" s="2" t="s">
        <v>26</v>
      </c>
      <c r="K30" s="19"/>
      <c r="P30" s="14"/>
      <c r="Q30" s="46"/>
      <c r="R30" s="46"/>
    </row>
    <row r="31" spans="2:18" x14ac:dyDescent="0.25">
      <c r="B31" s="18"/>
      <c r="C31" s="2" t="s">
        <v>29</v>
      </c>
      <c r="D31" s="48">
        <v>10.199999999999999</v>
      </c>
      <c r="E31" s="48"/>
      <c r="F31" s="2" t="s">
        <v>24</v>
      </c>
      <c r="G31" s="2" t="s">
        <v>30</v>
      </c>
      <c r="H31" s="48">
        <v>8.3000000000000007</v>
      </c>
      <c r="I31" s="48"/>
      <c r="J31" s="2" t="s">
        <v>26</v>
      </c>
      <c r="K31" s="19"/>
      <c r="P31" s="14"/>
      <c r="Q31" s="46"/>
      <c r="R31" s="46"/>
    </row>
    <row r="32" spans="2:18" ht="14.1" customHeight="1" x14ac:dyDescent="0.25">
      <c r="B32" s="18"/>
      <c r="C32" s="1"/>
      <c r="D32" s="1"/>
      <c r="E32" s="1"/>
      <c r="F32" s="1"/>
      <c r="G32" s="1"/>
      <c r="H32" s="1"/>
      <c r="I32" s="1"/>
      <c r="J32" s="1"/>
      <c r="K32" s="19"/>
      <c r="P32" s="14"/>
      <c r="Q32" s="46"/>
      <c r="R32" s="46"/>
    </row>
    <row r="33" spans="2:18" x14ac:dyDescent="0.25">
      <c r="B33" s="18"/>
      <c r="C33" s="47" t="s">
        <v>31</v>
      </c>
      <c r="D33" s="47"/>
      <c r="E33" s="47"/>
      <c r="F33" s="1"/>
      <c r="G33" s="47" t="s">
        <v>32</v>
      </c>
      <c r="H33" s="47"/>
      <c r="I33" s="47"/>
      <c r="J33" s="47"/>
      <c r="K33" s="19"/>
      <c r="P33" s="14"/>
      <c r="Q33" s="46"/>
      <c r="R33" s="46"/>
    </row>
    <row r="34" spans="2:18" ht="30" x14ac:dyDescent="0.25">
      <c r="B34" s="18"/>
      <c r="C34" s="8" t="s">
        <v>33</v>
      </c>
      <c r="D34" s="8" t="s">
        <v>34</v>
      </c>
      <c r="E34" s="8" t="s">
        <v>35</v>
      </c>
      <c r="F34" s="1"/>
      <c r="G34" s="8" t="s">
        <v>33</v>
      </c>
      <c r="H34" s="8" t="s">
        <v>36</v>
      </c>
      <c r="I34" s="47" t="s">
        <v>37</v>
      </c>
      <c r="J34" s="47"/>
      <c r="K34" s="19"/>
    </row>
    <row r="35" spans="2:18" x14ac:dyDescent="0.25">
      <c r="B35" s="18"/>
      <c r="C35" s="9" t="s">
        <v>38</v>
      </c>
      <c r="D35" s="9" t="s">
        <v>39</v>
      </c>
      <c r="E35" s="9" t="s">
        <v>39</v>
      </c>
      <c r="F35" s="1"/>
      <c r="G35" s="9" t="s">
        <v>38</v>
      </c>
      <c r="H35" s="9" t="s">
        <v>39</v>
      </c>
      <c r="I35" s="70" t="s">
        <v>40</v>
      </c>
      <c r="J35" s="70"/>
      <c r="K35" s="19"/>
    </row>
    <row r="36" spans="2:18" x14ac:dyDescent="0.25">
      <c r="B36" s="18"/>
      <c r="C36" s="4">
        <v>4</v>
      </c>
      <c r="D36" s="4">
        <v>10809.4</v>
      </c>
      <c r="E36" s="10">
        <f>1080432/100</f>
        <v>10804.32</v>
      </c>
      <c r="F36" s="1"/>
      <c r="G36" s="4">
        <f>C36</f>
        <v>4</v>
      </c>
      <c r="H36" s="4">
        <f>D36</f>
        <v>10809.4</v>
      </c>
      <c r="I36" s="44">
        <v>92</v>
      </c>
      <c r="J36" s="45"/>
      <c r="K36" s="19"/>
    </row>
    <row r="37" spans="2:18" x14ac:dyDescent="0.25">
      <c r="B37" s="18"/>
      <c r="C37" s="4">
        <v>6</v>
      </c>
      <c r="D37" s="4">
        <v>4647.7</v>
      </c>
      <c r="E37" s="10">
        <f>464413/100</f>
        <v>4644.13</v>
      </c>
      <c r="F37" s="1"/>
      <c r="G37" s="4">
        <f t="shared" ref="G37:H45" si="0">C37</f>
        <v>6</v>
      </c>
      <c r="H37" s="4">
        <f t="shared" si="0"/>
        <v>4647.7</v>
      </c>
      <c r="I37" s="44">
        <v>212</v>
      </c>
      <c r="J37" s="45"/>
      <c r="K37" s="19"/>
    </row>
    <row r="38" spans="2:18" x14ac:dyDescent="0.25">
      <c r="B38" s="18"/>
      <c r="C38" s="4">
        <v>10</v>
      </c>
      <c r="D38" s="4">
        <v>1074.3</v>
      </c>
      <c r="E38" s="10">
        <f>108641/100</f>
        <v>1086.4100000000001</v>
      </c>
      <c r="F38" s="1"/>
      <c r="G38" s="4">
        <f t="shared" si="0"/>
        <v>10</v>
      </c>
      <c r="H38" s="4">
        <f t="shared" si="0"/>
        <v>1074.3</v>
      </c>
      <c r="I38" s="44">
        <v>578</v>
      </c>
      <c r="J38" s="45"/>
      <c r="K38" s="19"/>
    </row>
    <row r="39" spans="2:18" x14ac:dyDescent="0.25">
      <c r="B39" s="18"/>
      <c r="C39" s="4">
        <v>14</v>
      </c>
      <c r="D39" s="4">
        <v>365.5</v>
      </c>
      <c r="E39" s="10">
        <f>37354/100</f>
        <v>373.54</v>
      </c>
      <c r="F39" s="1"/>
      <c r="G39" s="4">
        <f t="shared" si="0"/>
        <v>14</v>
      </c>
      <c r="H39" s="4">
        <f t="shared" si="0"/>
        <v>365.5</v>
      </c>
      <c r="I39" s="44">
        <v>1110</v>
      </c>
      <c r="J39" s="45"/>
      <c r="K39" s="19"/>
    </row>
    <row r="40" spans="2:18" x14ac:dyDescent="0.25">
      <c r="B40" s="18"/>
      <c r="C40" s="4">
        <v>21</v>
      </c>
      <c r="D40" s="4">
        <v>109.8</v>
      </c>
      <c r="E40" s="10">
        <f>10130/100</f>
        <v>101.3</v>
      </c>
      <c r="F40" s="1"/>
      <c r="G40" s="4">
        <f t="shared" si="0"/>
        <v>21</v>
      </c>
      <c r="H40" s="4">
        <f t="shared" si="0"/>
        <v>109.8</v>
      </c>
      <c r="I40" s="44">
        <v>2210</v>
      </c>
      <c r="J40" s="45"/>
      <c r="K40" s="19"/>
    </row>
    <row r="41" spans="2:18" x14ac:dyDescent="0.25">
      <c r="B41" s="18"/>
      <c r="C41" s="4">
        <v>25</v>
      </c>
      <c r="D41" s="4">
        <v>52.1</v>
      </c>
      <c r="E41" s="10">
        <f>5439/100</f>
        <v>54.39</v>
      </c>
      <c r="F41" s="1"/>
      <c r="G41" s="4">
        <f t="shared" si="0"/>
        <v>25</v>
      </c>
      <c r="H41" s="4">
        <f t="shared" si="0"/>
        <v>52.1</v>
      </c>
      <c r="I41" s="44">
        <v>3204</v>
      </c>
      <c r="J41" s="45"/>
      <c r="K41" s="19"/>
    </row>
    <row r="42" spans="2:18" x14ac:dyDescent="0.25">
      <c r="B42" s="18"/>
      <c r="C42" s="56"/>
      <c r="D42" s="57"/>
      <c r="E42" s="58"/>
      <c r="F42" s="1"/>
      <c r="G42" s="56"/>
      <c r="H42" s="57"/>
      <c r="I42" s="57"/>
      <c r="J42" s="58"/>
      <c r="K42" s="19"/>
    </row>
    <row r="43" spans="2:18" x14ac:dyDescent="0.25">
      <c r="B43" s="18"/>
      <c r="C43" s="4">
        <v>38</v>
      </c>
      <c r="D43" s="4">
        <v>441</v>
      </c>
      <c r="E43" s="10">
        <v>490</v>
      </c>
      <c r="F43" s="1"/>
      <c r="G43" s="4">
        <f t="shared" si="0"/>
        <v>38</v>
      </c>
      <c r="H43" s="4">
        <f t="shared" si="0"/>
        <v>441</v>
      </c>
      <c r="I43" s="44">
        <v>10011</v>
      </c>
      <c r="J43" s="45"/>
      <c r="K43" s="19"/>
    </row>
    <row r="44" spans="2:18" x14ac:dyDescent="0.25">
      <c r="B44" s="18"/>
      <c r="C44" s="4">
        <v>50</v>
      </c>
      <c r="D44" s="4">
        <v>102</v>
      </c>
      <c r="E44" s="10">
        <v>132</v>
      </c>
      <c r="F44" s="1"/>
      <c r="G44" s="4">
        <f t="shared" si="0"/>
        <v>50</v>
      </c>
      <c r="H44" s="4">
        <f t="shared" si="0"/>
        <v>102</v>
      </c>
      <c r="I44" s="44">
        <v>16174</v>
      </c>
      <c r="J44" s="45"/>
      <c r="K44" s="19"/>
    </row>
    <row r="45" spans="2:18" x14ac:dyDescent="0.25">
      <c r="B45" s="18"/>
      <c r="C45" s="4">
        <v>70</v>
      </c>
      <c r="D45" s="4">
        <v>23</v>
      </c>
      <c r="E45" s="10">
        <v>31</v>
      </c>
      <c r="F45" s="1"/>
      <c r="G45" s="4">
        <f t="shared" si="0"/>
        <v>70</v>
      </c>
      <c r="H45" s="4">
        <f t="shared" si="0"/>
        <v>23</v>
      </c>
      <c r="I45" s="44">
        <v>24822</v>
      </c>
      <c r="J45" s="45"/>
      <c r="K45" s="19"/>
    </row>
    <row r="46" spans="2:18" x14ac:dyDescent="0.25">
      <c r="B46" s="18"/>
      <c r="C46" s="4"/>
      <c r="D46" s="4"/>
      <c r="E46" s="4"/>
      <c r="F46" s="1"/>
      <c r="G46" s="4"/>
      <c r="H46" s="4"/>
      <c r="I46" s="41"/>
      <c r="J46" s="41"/>
      <c r="K46" s="19"/>
    </row>
    <row r="47" spans="2:18" x14ac:dyDescent="0.25">
      <c r="B47" s="18"/>
      <c r="C47" s="4"/>
      <c r="D47" s="4"/>
      <c r="E47" s="4"/>
      <c r="F47" s="1"/>
      <c r="G47" s="4"/>
      <c r="H47" s="4"/>
      <c r="I47" s="41"/>
      <c r="J47" s="41"/>
      <c r="K47" s="19"/>
    </row>
    <row r="48" spans="2:18" x14ac:dyDescent="0.25">
      <c r="B48" s="18"/>
      <c r="C48" s="4"/>
      <c r="D48" s="4"/>
      <c r="E48" s="4"/>
      <c r="F48" s="1"/>
      <c r="G48" s="4"/>
      <c r="H48" s="4"/>
      <c r="I48" s="41"/>
      <c r="J48" s="41"/>
      <c r="K48" s="19"/>
    </row>
    <row r="49" spans="2:11" x14ac:dyDescent="0.25">
      <c r="B49" s="18"/>
      <c r="C49" s="4"/>
      <c r="D49" s="4"/>
      <c r="E49" s="4"/>
      <c r="F49" s="1"/>
      <c r="G49" s="4"/>
      <c r="H49" s="4"/>
      <c r="I49" s="41"/>
      <c r="J49" s="41"/>
      <c r="K49" s="19"/>
    </row>
    <row r="50" spans="2:11" x14ac:dyDescent="0.25">
      <c r="B50" s="18"/>
      <c r="C50" s="4"/>
      <c r="D50" s="4"/>
      <c r="E50" s="4"/>
      <c r="F50" s="1"/>
      <c r="G50" s="4"/>
      <c r="H50" s="4"/>
      <c r="I50" s="41"/>
      <c r="J50" s="41"/>
      <c r="K50" s="19"/>
    </row>
    <row r="51" spans="2:11" x14ac:dyDescent="0.25">
      <c r="B51" s="18"/>
      <c r="C51" s="4"/>
      <c r="D51" s="4"/>
      <c r="E51" s="4"/>
      <c r="F51" s="1"/>
      <c r="G51" s="4"/>
      <c r="H51" s="4"/>
      <c r="I51" s="41"/>
      <c r="J51" s="41"/>
      <c r="K51" s="19"/>
    </row>
    <row r="52" spans="2:11" x14ac:dyDescent="0.25">
      <c r="B52" s="18"/>
      <c r="C52" s="4"/>
      <c r="D52" s="4"/>
      <c r="E52" s="4"/>
      <c r="F52" s="1"/>
      <c r="G52" s="4"/>
      <c r="H52" s="4"/>
      <c r="I52" s="41"/>
      <c r="J52" s="41"/>
      <c r="K52" s="19"/>
    </row>
    <row r="53" spans="2:11" x14ac:dyDescent="0.25">
      <c r="B53" s="18"/>
      <c r="C53" s="4"/>
      <c r="D53" s="4"/>
      <c r="E53" s="4"/>
      <c r="F53" s="1"/>
      <c r="G53" s="4"/>
      <c r="H53" s="4"/>
      <c r="I53" s="41"/>
      <c r="J53" s="41"/>
      <c r="K53" s="19"/>
    </row>
    <row r="54" spans="2:11" x14ac:dyDescent="0.25">
      <c r="B54" s="18"/>
      <c r="C54" s="4"/>
      <c r="D54" s="4"/>
      <c r="E54" s="4"/>
      <c r="F54" s="1"/>
      <c r="G54" s="4"/>
      <c r="H54" s="4"/>
      <c r="I54" s="41"/>
      <c r="J54" s="41"/>
      <c r="K54" s="19"/>
    </row>
    <row r="55" spans="2:11" x14ac:dyDescent="0.25">
      <c r="B55" s="18"/>
      <c r="C55" s="4"/>
      <c r="D55" s="4"/>
      <c r="E55" s="4"/>
      <c r="F55" s="1"/>
      <c r="G55" s="4"/>
      <c r="H55" s="4"/>
      <c r="I55" s="41"/>
      <c r="J55" s="41"/>
      <c r="K55" s="19"/>
    </row>
    <row r="56" spans="2:11" x14ac:dyDescent="0.25">
      <c r="B56" s="18"/>
      <c r="C56" s="4"/>
      <c r="D56" s="4"/>
      <c r="E56" s="4"/>
      <c r="F56" s="1"/>
      <c r="G56" s="4"/>
      <c r="H56" s="4"/>
      <c r="I56" s="41"/>
      <c r="J56" s="41"/>
      <c r="K56" s="19"/>
    </row>
    <row r="57" spans="2:11" x14ac:dyDescent="0.25">
      <c r="B57" s="18"/>
      <c r="K57" s="19"/>
    </row>
    <row r="58" spans="2:11" x14ac:dyDescent="0.25">
      <c r="B58" s="18"/>
      <c r="C58" s="42" t="s">
        <v>48</v>
      </c>
      <c r="D58" s="43"/>
      <c r="E58" s="43"/>
      <c r="F58" s="43"/>
      <c r="G58" s="43"/>
      <c r="H58" s="43"/>
      <c r="I58" s="43"/>
      <c r="J58" s="43"/>
      <c r="K58" s="19"/>
    </row>
    <row r="59" spans="2:11" x14ac:dyDescent="0.25">
      <c r="B59" s="18"/>
      <c r="C59" s="43"/>
      <c r="D59" s="43"/>
      <c r="E59" s="43"/>
      <c r="F59" s="43"/>
      <c r="G59" s="43"/>
      <c r="H59" s="43"/>
      <c r="I59" s="43"/>
      <c r="J59" s="43"/>
      <c r="K59" s="19"/>
    </row>
    <row r="60" spans="2:11" x14ac:dyDescent="0.25">
      <c r="B60" s="18"/>
      <c r="C60" s="43"/>
      <c r="D60" s="43"/>
      <c r="E60" s="43"/>
      <c r="F60" s="43"/>
      <c r="G60" s="43"/>
      <c r="H60" s="43"/>
      <c r="I60" s="43"/>
      <c r="J60" s="43"/>
      <c r="K60" s="19"/>
    </row>
    <row r="61" spans="2:11" x14ac:dyDescent="0.25">
      <c r="B61" s="18"/>
      <c r="C61" s="43"/>
      <c r="D61" s="43"/>
      <c r="E61" s="43"/>
      <c r="F61" s="43"/>
      <c r="G61" s="43"/>
      <c r="H61" s="43"/>
      <c r="I61" s="43"/>
      <c r="J61" s="43"/>
      <c r="K61" s="19"/>
    </row>
    <row r="62" spans="2:11" x14ac:dyDescent="0.25">
      <c r="B62" s="18"/>
      <c r="C62" s="43"/>
      <c r="D62" s="43"/>
      <c r="E62" s="43"/>
      <c r="F62" s="43"/>
      <c r="G62" s="43"/>
      <c r="H62" s="43"/>
      <c r="I62" s="43"/>
      <c r="J62" s="43"/>
      <c r="K62" s="19"/>
    </row>
    <row r="63" spans="2:11" x14ac:dyDescent="0.25">
      <c r="B63" s="22"/>
      <c r="C63" s="23"/>
      <c r="D63" s="23"/>
      <c r="E63" s="23"/>
      <c r="F63" s="23"/>
      <c r="G63" s="23"/>
      <c r="H63" s="23"/>
      <c r="I63" s="23"/>
      <c r="J63" s="23"/>
      <c r="K63" s="24"/>
    </row>
  </sheetData>
  <mergeCells count="65">
    <mergeCell ref="C10:J11"/>
    <mergeCell ref="C12:F14"/>
    <mergeCell ref="G12:J14"/>
    <mergeCell ref="C15:F17"/>
    <mergeCell ref="G15:J17"/>
    <mergeCell ref="C42:E42"/>
    <mergeCell ref="G42:J42"/>
    <mergeCell ref="I54:J54"/>
    <mergeCell ref="I38:J38"/>
    <mergeCell ref="I39:J39"/>
    <mergeCell ref="I40:J40"/>
    <mergeCell ref="I41:J41"/>
    <mergeCell ref="I43:J43"/>
    <mergeCell ref="I44:J44"/>
    <mergeCell ref="I50:J50"/>
    <mergeCell ref="I49:J49"/>
    <mergeCell ref="C19:J20"/>
    <mergeCell ref="I51:J51"/>
    <mergeCell ref="I52:J52"/>
    <mergeCell ref="I53:J53"/>
    <mergeCell ref="C33:E33"/>
    <mergeCell ref="G33:J33"/>
    <mergeCell ref="I34:J34"/>
    <mergeCell ref="I35:J35"/>
    <mergeCell ref="I36:J36"/>
    <mergeCell ref="C28:J28"/>
    <mergeCell ref="D29:E29"/>
    <mergeCell ref="H29:I29"/>
    <mergeCell ref="D30:E30"/>
    <mergeCell ref="H30:I30"/>
    <mergeCell ref="C25:D25"/>
    <mergeCell ref="G25:H25"/>
    <mergeCell ref="C26:D26"/>
    <mergeCell ref="G26:H26"/>
    <mergeCell ref="C27:D27"/>
    <mergeCell ref="G27:H27"/>
    <mergeCell ref="C21:C24"/>
    <mergeCell ref="G21:H21"/>
    <mergeCell ref="G24:H24"/>
    <mergeCell ref="I21:J21"/>
    <mergeCell ref="G22:H22"/>
    <mergeCell ref="I22:J22"/>
    <mergeCell ref="G23:H23"/>
    <mergeCell ref="I23:J23"/>
    <mergeCell ref="I24:J24"/>
    <mergeCell ref="Q24:R24"/>
    <mergeCell ref="Q25:R25"/>
    <mergeCell ref="Q26:R26"/>
    <mergeCell ref="Q27:R27"/>
    <mergeCell ref="Q28:R28"/>
    <mergeCell ref="C58:J62"/>
    <mergeCell ref="Q29:R29"/>
    <mergeCell ref="Q30:R30"/>
    <mergeCell ref="Q31:R31"/>
    <mergeCell ref="Q32:R32"/>
    <mergeCell ref="Q33:R33"/>
    <mergeCell ref="I37:J37"/>
    <mergeCell ref="D31:E31"/>
    <mergeCell ref="H31:I31"/>
    <mergeCell ref="I55:J55"/>
    <mergeCell ref="I56:J56"/>
    <mergeCell ref="I45:J45"/>
    <mergeCell ref="I46:J46"/>
    <mergeCell ref="I47:J47"/>
    <mergeCell ref="I48:J48"/>
  </mergeCells>
  <hyperlinks>
    <hyperlink ref="C8" r:id="rId1" xr:uid="{2963E97B-5672-4496-A473-A7438605A047}"/>
  </hyperlinks>
  <pageMargins left="0.7" right="0.7" top="0.75" bottom="0.75" header="0.3" footer="0.3"/>
  <pageSetup scale="48"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6E0F3-DF98-484B-8ABC-CC87A75E5B2A}">
  <sheetPr>
    <pageSetUpPr fitToPage="1"/>
  </sheetPr>
  <dimension ref="B2:R63"/>
  <sheetViews>
    <sheetView showGridLines="0" zoomScale="90" zoomScaleNormal="90" workbookViewId="0">
      <selection activeCell="C10" sqref="C10:J17"/>
    </sheetView>
  </sheetViews>
  <sheetFormatPr defaultRowHeight="15" x14ac:dyDescent="0.25"/>
  <cols>
    <col min="1" max="1" width="3.7109375" customWidth="1"/>
    <col min="2" max="2" width="3.140625" customWidth="1"/>
    <col min="3" max="3" width="10" customWidth="1"/>
    <col min="4" max="4" width="16.7109375" customWidth="1"/>
    <col min="5" max="5" width="25.7109375" customWidth="1"/>
    <col min="6" max="6" width="4" customWidth="1"/>
    <col min="7" max="7" width="10" customWidth="1"/>
    <col min="8" max="8" width="25.7109375" customWidth="1"/>
    <col min="9" max="9" width="10.140625" customWidth="1"/>
    <col min="10" max="10" width="10.85546875" customWidth="1"/>
    <col min="11" max="11" width="3.140625" customWidth="1"/>
  </cols>
  <sheetData>
    <row r="2" spans="2:11" x14ac:dyDescent="0.2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1" x14ac:dyDescent="0.25">
      <c r="B3" s="18"/>
      <c r="C3" t="s">
        <v>42</v>
      </c>
      <c r="K3" s="19"/>
    </row>
    <row r="4" spans="2:11" x14ac:dyDescent="0.25">
      <c r="B4" s="18"/>
      <c r="C4" t="s">
        <v>43</v>
      </c>
      <c r="K4" s="19"/>
    </row>
    <row r="5" spans="2:11" x14ac:dyDescent="0.25">
      <c r="B5" s="18"/>
      <c r="C5" t="s">
        <v>44</v>
      </c>
      <c r="K5" s="19"/>
    </row>
    <row r="6" spans="2:11" x14ac:dyDescent="0.25">
      <c r="B6" s="18"/>
      <c r="C6" t="s">
        <v>45</v>
      </c>
      <c r="K6" s="19"/>
    </row>
    <row r="7" spans="2:11" x14ac:dyDescent="0.25">
      <c r="B7" s="18"/>
      <c r="C7" t="s">
        <v>46</v>
      </c>
      <c r="K7" s="19"/>
    </row>
    <row r="8" spans="2:11" x14ac:dyDescent="0.25">
      <c r="B8" s="18"/>
      <c r="C8" s="20" t="s">
        <v>47</v>
      </c>
      <c r="K8" s="19"/>
    </row>
    <row r="9" spans="2:11" x14ac:dyDescent="0.25">
      <c r="B9" s="18"/>
      <c r="C9" s="20"/>
      <c r="K9" s="19"/>
    </row>
    <row r="10" spans="2:11" x14ac:dyDescent="0.25">
      <c r="B10" s="18"/>
      <c r="C10" s="86" t="s">
        <v>77</v>
      </c>
      <c r="D10" s="76"/>
      <c r="E10" s="76"/>
      <c r="F10" s="76"/>
      <c r="G10" s="76"/>
      <c r="H10" s="76"/>
      <c r="I10" s="76"/>
      <c r="J10" s="76"/>
      <c r="K10" s="19"/>
    </row>
    <row r="11" spans="2:11" x14ac:dyDescent="0.25">
      <c r="B11" s="18"/>
      <c r="C11" s="76"/>
      <c r="D11" s="76"/>
      <c r="E11" s="76"/>
      <c r="F11" s="76"/>
      <c r="G11" s="76"/>
      <c r="H11" s="76"/>
      <c r="I11" s="76"/>
      <c r="J11" s="76"/>
      <c r="K11" s="19"/>
    </row>
    <row r="12" spans="2:11" x14ac:dyDescent="0.25">
      <c r="B12" s="18"/>
      <c r="C12" s="90" t="s">
        <v>78</v>
      </c>
      <c r="D12" s="90"/>
      <c r="E12" s="90"/>
      <c r="F12" s="90"/>
      <c r="G12" s="90" t="s">
        <v>79</v>
      </c>
      <c r="H12" s="90"/>
      <c r="I12" s="90"/>
      <c r="J12" s="90"/>
      <c r="K12" s="19"/>
    </row>
    <row r="13" spans="2:11" x14ac:dyDescent="0.25">
      <c r="B13" s="18"/>
      <c r="C13" s="90"/>
      <c r="D13" s="90"/>
      <c r="E13" s="90"/>
      <c r="F13" s="90"/>
      <c r="G13" s="90"/>
      <c r="H13" s="90"/>
      <c r="I13" s="90"/>
      <c r="J13" s="90"/>
      <c r="K13" s="19"/>
    </row>
    <row r="14" spans="2:11" x14ac:dyDescent="0.25">
      <c r="B14" s="18"/>
      <c r="C14" s="90"/>
      <c r="D14" s="90"/>
      <c r="E14" s="90"/>
      <c r="F14" s="90"/>
      <c r="G14" s="90"/>
      <c r="H14" s="90"/>
      <c r="I14" s="90"/>
      <c r="J14" s="90"/>
      <c r="K14" s="19"/>
    </row>
    <row r="15" spans="2:11" x14ac:dyDescent="0.25">
      <c r="B15" s="18"/>
      <c r="C15" s="90" t="s">
        <v>94</v>
      </c>
      <c r="D15" s="90"/>
      <c r="E15" s="90"/>
      <c r="F15" s="90"/>
      <c r="G15" s="77" t="s">
        <v>95</v>
      </c>
      <c r="H15" s="78"/>
      <c r="I15" s="78"/>
      <c r="J15" s="79"/>
      <c r="K15" s="19"/>
    </row>
    <row r="16" spans="2:11" x14ac:dyDescent="0.25">
      <c r="B16" s="18"/>
      <c r="C16" s="90"/>
      <c r="D16" s="90"/>
      <c r="E16" s="90"/>
      <c r="F16" s="90"/>
      <c r="G16" s="80"/>
      <c r="H16" s="81"/>
      <c r="I16" s="81"/>
      <c r="J16" s="82"/>
      <c r="K16" s="19"/>
    </row>
    <row r="17" spans="2:18" x14ac:dyDescent="0.25">
      <c r="B17" s="18"/>
      <c r="C17" s="90"/>
      <c r="D17" s="90"/>
      <c r="E17" s="90"/>
      <c r="F17" s="90"/>
      <c r="G17" s="83"/>
      <c r="H17" s="84"/>
      <c r="I17" s="84"/>
      <c r="J17" s="85"/>
      <c r="K17" s="19"/>
    </row>
    <row r="18" spans="2:18" x14ac:dyDescent="0.25">
      <c r="B18" s="18"/>
      <c r="K18" s="19"/>
    </row>
    <row r="19" spans="2:18" ht="18.399999999999999" customHeight="1" x14ac:dyDescent="0.25">
      <c r="B19" s="18"/>
      <c r="C19" s="59" t="s">
        <v>0</v>
      </c>
      <c r="D19" s="60"/>
      <c r="E19" s="60"/>
      <c r="F19" s="60"/>
      <c r="G19" s="60"/>
      <c r="H19" s="60"/>
      <c r="I19" s="60"/>
      <c r="J19" s="61"/>
      <c r="K19" s="19"/>
    </row>
    <row r="20" spans="2:18" ht="14.65" customHeight="1" x14ac:dyDescent="0.25">
      <c r="B20" s="18"/>
      <c r="C20" s="62"/>
      <c r="D20" s="63"/>
      <c r="E20" s="63"/>
      <c r="F20" s="63"/>
      <c r="G20" s="63"/>
      <c r="H20" s="63"/>
      <c r="I20" s="63"/>
      <c r="J20" s="64"/>
      <c r="K20" s="19"/>
    </row>
    <row r="21" spans="2:18" ht="14.65" customHeight="1" x14ac:dyDescent="0.25">
      <c r="B21" s="18"/>
      <c r="C21" s="65" t="s">
        <v>1</v>
      </c>
      <c r="D21" s="3" t="s">
        <v>2</v>
      </c>
      <c r="E21" s="4" t="s">
        <v>3</v>
      </c>
      <c r="F21" s="5"/>
      <c r="G21" s="53" t="s">
        <v>4</v>
      </c>
      <c r="H21" s="54"/>
      <c r="I21" s="66">
        <v>46184</v>
      </c>
      <c r="J21" s="67"/>
      <c r="K21" s="19"/>
    </row>
    <row r="22" spans="2:18" x14ac:dyDescent="0.25">
      <c r="B22" s="18"/>
      <c r="C22" s="65"/>
      <c r="D22" s="3" t="s">
        <v>5</v>
      </c>
      <c r="E22" s="4">
        <v>63010052</v>
      </c>
      <c r="F22" s="5"/>
      <c r="G22" s="53" t="s">
        <v>6</v>
      </c>
      <c r="H22" s="54"/>
      <c r="I22" s="68" t="s">
        <v>7</v>
      </c>
      <c r="J22" s="69"/>
      <c r="K22" s="19"/>
    </row>
    <row r="23" spans="2:18" ht="14.65" customHeight="1" x14ac:dyDescent="0.25">
      <c r="B23" s="18"/>
      <c r="C23" s="65"/>
      <c r="D23" s="3" t="s">
        <v>2</v>
      </c>
      <c r="E23" s="4" t="s">
        <v>8</v>
      </c>
      <c r="F23" s="5"/>
      <c r="G23" s="51" t="s">
        <v>9</v>
      </c>
      <c r="H23" s="52"/>
      <c r="I23" s="68" t="s">
        <v>10</v>
      </c>
      <c r="J23" s="69"/>
      <c r="K23" s="19"/>
    </row>
    <row r="24" spans="2:18" ht="14.65" customHeight="1" x14ac:dyDescent="0.25">
      <c r="B24" s="18"/>
      <c r="C24" s="65"/>
      <c r="D24" s="3" t="s">
        <v>5</v>
      </c>
      <c r="E24" s="4" t="s">
        <v>11</v>
      </c>
      <c r="F24" s="5"/>
      <c r="G24" s="51" t="s">
        <v>12</v>
      </c>
      <c r="H24" s="52"/>
      <c r="I24" s="68" t="s">
        <v>49</v>
      </c>
      <c r="J24" s="69"/>
      <c r="K24" s="19"/>
      <c r="P24" s="13"/>
      <c r="Q24" s="49"/>
      <c r="R24" s="49"/>
    </row>
    <row r="25" spans="2:18" ht="15.4" customHeight="1" x14ac:dyDescent="0.25">
      <c r="B25" s="18"/>
      <c r="C25" s="50" t="s">
        <v>14</v>
      </c>
      <c r="D25" s="50"/>
      <c r="E25" s="4">
        <v>54</v>
      </c>
      <c r="F25" s="5"/>
      <c r="G25" s="51" t="s">
        <v>15</v>
      </c>
      <c r="H25" s="52"/>
      <c r="I25" s="6">
        <v>30000</v>
      </c>
      <c r="J25" s="3" t="s">
        <v>16</v>
      </c>
      <c r="K25" s="19"/>
      <c r="P25" s="14"/>
      <c r="Q25" s="46"/>
      <c r="R25" s="46"/>
    </row>
    <row r="26" spans="2:18" ht="14.65" customHeight="1" x14ac:dyDescent="0.25">
      <c r="B26" s="18"/>
      <c r="C26" s="50" t="s">
        <v>17</v>
      </c>
      <c r="D26" s="50"/>
      <c r="E26" s="4">
        <v>40</v>
      </c>
      <c r="F26" s="5"/>
      <c r="G26" s="53" t="s">
        <v>18</v>
      </c>
      <c r="H26" s="54"/>
      <c r="I26" s="6">
        <v>30</v>
      </c>
      <c r="J26" s="3" t="s">
        <v>19</v>
      </c>
      <c r="K26" s="19"/>
      <c r="P26" s="14"/>
      <c r="Q26" s="46"/>
      <c r="R26" s="46"/>
    </row>
    <row r="27" spans="2:18" ht="14.65" customHeight="1" x14ac:dyDescent="0.25">
      <c r="B27" s="18"/>
      <c r="C27" s="50" t="s">
        <v>20</v>
      </c>
      <c r="D27" s="50"/>
      <c r="E27" s="7">
        <v>1.2E-2</v>
      </c>
      <c r="F27" s="5"/>
      <c r="G27" s="53" t="s">
        <v>21</v>
      </c>
      <c r="H27" s="54"/>
      <c r="I27" s="6">
        <v>30</v>
      </c>
      <c r="J27" s="3" t="s">
        <v>19</v>
      </c>
      <c r="K27" s="19"/>
      <c r="P27" s="14"/>
      <c r="Q27" s="46"/>
      <c r="R27" s="46"/>
    </row>
    <row r="28" spans="2:18" ht="14.65" customHeight="1" x14ac:dyDescent="0.25">
      <c r="B28" s="18"/>
      <c r="C28" s="55" t="s">
        <v>22</v>
      </c>
      <c r="D28" s="55"/>
      <c r="E28" s="55"/>
      <c r="F28" s="55"/>
      <c r="G28" s="55"/>
      <c r="H28" s="55"/>
      <c r="I28" s="55"/>
      <c r="J28" s="55"/>
      <c r="K28" s="19"/>
      <c r="P28" s="14"/>
      <c r="Q28" s="46"/>
      <c r="R28" s="46"/>
    </row>
    <row r="29" spans="2:18" x14ac:dyDescent="0.25">
      <c r="B29" s="18"/>
      <c r="C29" s="2" t="s">
        <v>23</v>
      </c>
      <c r="D29" s="48">
        <v>0.5</v>
      </c>
      <c r="E29" s="48"/>
      <c r="F29" s="2" t="s">
        <v>24</v>
      </c>
      <c r="G29" s="2" t="s">
        <v>25</v>
      </c>
      <c r="H29" s="48">
        <v>2.7</v>
      </c>
      <c r="I29" s="48"/>
      <c r="J29" s="2" t="s">
        <v>26</v>
      </c>
      <c r="K29" s="19"/>
      <c r="P29" s="14"/>
      <c r="Q29" s="46"/>
      <c r="R29" s="46"/>
    </row>
    <row r="30" spans="2:18" x14ac:dyDescent="0.25">
      <c r="B30" s="18"/>
      <c r="C30" s="2" t="s">
        <v>27</v>
      </c>
      <c r="D30" s="48">
        <v>0.6</v>
      </c>
      <c r="E30" s="48"/>
      <c r="F30" s="2" t="s">
        <v>24</v>
      </c>
      <c r="G30" s="2" t="s">
        <v>28</v>
      </c>
      <c r="H30" s="48">
        <v>8.3000000000000007</v>
      </c>
      <c r="I30" s="48"/>
      <c r="J30" s="2" t="s">
        <v>26</v>
      </c>
      <c r="K30" s="19"/>
      <c r="P30" s="14"/>
      <c r="Q30" s="46"/>
      <c r="R30" s="46"/>
    </row>
    <row r="31" spans="2:18" x14ac:dyDescent="0.25">
      <c r="B31" s="18"/>
      <c r="C31" s="2" t="s">
        <v>29</v>
      </c>
      <c r="D31" s="48">
        <v>10.199999999999999</v>
      </c>
      <c r="E31" s="48"/>
      <c r="F31" s="2" t="s">
        <v>24</v>
      </c>
      <c r="G31" s="2" t="s">
        <v>30</v>
      </c>
      <c r="H31" s="48">
        <v>8.3000000000000007</v>
      </c>
      <c r="I31" s="48"/>
      <c r="J31" s="2" t="s">
        <v>26</v>
      </c>
      <c r="K31" s="19"/>
      <c r="P31" s="14"/>
      <c r="Q31" s="46"/>
      <c r="R31" s="46"/>
    </row>
    <row r="32" spans="2:18" ht="14.1" customHeight="1" x14ac:dyDescent="0.25">
      <c r="B32" s="18"/>
      <c r="C32" s="1"/>
      <c r="D32" s="1"/>
      <c r="E32" s="1"/>
      <c r="F32" s="1"/>
      <c r="G32" s="1"/>
      <c r="H32" s="1"/>
      <c r="I32" s="1"/>
      <c r="J32" s="1"/>
      <c r="K32" s="19"/>
      <c r="P32" s="14"/>
      <c r="Q32" s="46"/>
      <c r="R32" s="46"/>
    </row>
    <row r="33" spans="2:18" ht="14.65" customHeight="1" x14ac:dyDescent="0.25">
      <c r="B33" s="18"/>
      <c r="C33" s="47" t="s">
        <v>31</v>
      </c>
      <c r="D33" s="47"/>
      <c r="E33" s="47"/>
      <c r="F33" s="1"/>
      <c r="G33" s="47" t="s">
        <v>32</v>
      </c>
      <c r="H33" s="47"/>
      <c r="I33" s="47"/>
      <c r="J33" s="47"/>
      <c r="K33" s="19"/>
      <c r="P33" s="14"/>
      <c r="Q33" s="46"/>
      <c r="R33" s="46"/>
    </row>
    <row r="34" spans="2:18" ht="30" x14ac:dyDescent="0.25">
      <c r="B34" s="18"/>
      <c r="C34" s="8" t="s">
        <v>33</v>
      </c>
      <c r="D34" s="8" t="s">
        <v>34</v>
      </c>
      <c r="E34" s="8" t="s">
        <v>35</v>
      </c>
      <c r="F34" s="1"/>
      <c r="G34" s="8" t="s">
        <v>33</v>
      </c>
      <c r="H34" s="8" t="s">
        <v>36</v>
      </c>
      <c r="I34" s="47" t="s">
        <v>37</v>
      </c>
      <c r="J34" s="47"/>
      <c r="K34" s="19"/>
    </row>
    <row r="35" spans="2:18" x14ac:dyDescent="0.25">
      <c r="B35" s="18"/>
      <c r="C35" s="9" t="s">
        <v>38</v>
      </c>
      <c r="D35" s="9" t="s">
        <v>39</v>
      </c>
      <c r="E35" s="9" t="s">
        <v>39</v>
      </c>
      <c r="F35" s="1"/>
      <c r="G35" s="9" t="s">
        <v>38</v>
      </c>
      <c r="H35" s="9" t="s">
        <v>39</v>
      </c>
      <c r="I35" s="70" t="s">
        <v>40</v>
      </c>
      <c r="J35" s="70"/>
      <c r="K35" s="19"/>
    </row>
    <row r="36" spans="2:18" x14ac:dyDescent="0.25">
      <c r="B36" s="18"/>
      <c r="C36" s="4">
        <v>4</v>
      </c>
      <c r="D36" s="4">
        <v>5822.6</v>
      </c>
      <c r="E36" s="10">
        <f>581699/100</f>
        <v>5816.99</v>
      </c>
      <c r="F36" s="1"/>
      <c r="G36" s="4">
        <f>C36</f>
        <v>4</v>
      </c>
      <c r="H36" s="4">
        <f>D36</f>
        <v>5822.6</v>
      </c>
      <c r="I36" s="44">
        <v>70</v>
      </c>
      <c r="J36" s="45"/>
      <c r="K36" s="19"/>
    </row>
    <row r="37" spans="2:18" x14ac:dyDescent="0.25">
      <c r="B37" s="18"/>
      <c r="C37" s="4">
        <v>6</v>
      </c>
      <c r="D37" s="4">
        <v>2422.5</v>
      </c>
      <c r="E37" s="10">
        <f>246254/100</f>
        <v>2462.54</v>
      </c>
      <c r="F37" s="1"/>
      <c r="G37" s="4">
        <f t="shared" ref="G37:H45" si="0">C37</f>
        <v>6</v>
      </c>
      <c r="H37" s="4">
        <f t="shared" si="0"/>
        <v>2422.5</v>
      </c>
      <c r="I37" s="44">
        <v>176</v>
      </c>
      <c r="J37" s="45"/>
      <c r="K37" s="19"/>
    </row>
    <row r="38" spans="2:18" x14ac:dyDescent="0.25">
      <c r="B38" s="18"/>
      <c r="C38" s="4">
        <v>10</v>
      </c>
      <c r="D38" s="4">
        <v>543.79999999999995</v>
      </c>
      <c r="E38" s="10">
        <f>55816/100</f>
        <v>558.16</v>
      </c>
      <c r="F38" s="1"/>
      <c r="G38" s="4">
        <f t="shared" si="0"/>
        <v>10</v>
      </c>
      <c r="H38" s="4">
        <f t="shared" si="0"/>
        <v>543.79999999999995</v>
      </c>
      <c r="I38" s="44">
        <v>538</v>
      </c>
      <c r="J38" s="45"/>
      <c r="K38" s="19"/>
    </row>
    <row r="39" spans="2:18" x14ac:dyDescent="0.25">
      <c r="B39" s="18"/>
      <c r="C39" s="4">
        <v>14</v>
      </c>
      <c r="D39" s="4">
        <v>182.5</v>
      </c>
      <c r="E39" s="10">
        <f>18361/100</f>
        <v>183.61</v>
      </c>
      <c r="F39" s="1"/>
      <c r="G39" s="4">
        <f t="shared" si="0"/>
        <v>14</v>
      </c>
      <c r="H39" s="4">
        <f t="shared" si="0"/>
        <v>182.5</v>
      </c>
      <c r="I39" s="44">
        <v>1074</v>
      </c>
      <c r="J39" s="45"/>
      <c r="K39" s="19"/>
    </row>
    <row r="40" spans="2:18" x14ac:dyDescent="0.25">
      <c r="B40" s="18"/>
      <c r="C40" s="4">
        <v>21</v>
      </c>
      <c r="D40" s="4">
        <v>51.7</v>
      </c>
      <c r="E40" s="10">
        <f>4886/100</f>
        <v>48.86</v>
      </c>
      <c r="F40" s="1"/>
      <c r="G40" s="4">
        <f t="shared" si="0"/>
        <v>21</v>
      </c>
      <c r="H40" s="4">
        <f t="shared" si="0"/>
        <v>51.7</v>
      </c>
      <c r="I40" s="44">
        <v>2394</v>
      </c>
      <c r="J40" s="45"/>
      <c r="K40" s="19"/>
    </row>
    <row r="41" spans="2:18" x14ac:dyDescent="0.25">
      <c r="B41" s="18"/>
      <c r="C41" s="4">
        <v>25</v>
      </c>
      <c r="D41" s="4">
        <v>22.8</v>
      </c>
      <c r="E41" s="10">
        <f>2297/100</f>
        <v>22.97</v>
      </c>
      <c r="F41" s="1"/>
      <c r="G41" s="4">
        <f t="shared" si="0"/>
        <v>25</v>
      </c>
      <c r="H41" s="4">
        <f t="shared" si="0"/>
        <v>22.8</v>
      </c>
      <c r="I41" s="44">
        <v>3666</v>
      </c>
      <c r="J41" s="45"/>
      <c r="K41" s="19"/>
    </row>
    <row r="42" spans="2:18" x14ac:dyDescent="0.25">
      <c r="B42" s="18"/>
      <c r="C42" s="56"/>
      <c r="D42" s="57"/>
      <c r="E42" s="58"/>
      <c r="F42" s="1"/>
      <c r="G42" s="56"/>
      <c r="H42" s="57"/>
      <c r="I42" s="57"/>
      <c r="J42" s="58"/>
      <c r="K42" s="19"/>
    </row>
    <row r="43" spans="2:18" x14ac:dyDescent="0.25">
      <c r="B43" s="18"/>
      <c r="C43" s="4">
        <v>38</v>
      </c>
      <c r="D43" s="4">
        <v>374</v>
      </c>
      <c r="E43" s="10">
        <v>370</v>
      </c>
      <c r="F43" s="1"/>
      <c r="G43" s="4">
        <f t="shared" si="0"/>
        <v>38</v>
      </c>
      <c r="H43" s="4">
        <f t="shared" si="0"/>
        <v>374</v>
      </c>
      <c r="I43" s="44">
        <v>10201</v>
      </c>
      <c r="J43" s="45"/>
      <c r="K43" s="19"/>
    </row>
    <row r="44" spans="2:18" x14ac:dyDescent="0.25">
      <c r="B44" s="18"/>
      <c r="C44" s="4">
        <v>50</v>
      </c>
      <c r="D44" s="4">
        <v>102</v>
      </c>
      <c r="E44" s="10">
        <v>102</v>
      </c>
      <c r="F44" s="1"/>
      <c r="G44" s="4">
        <f t="shared" si="0"/>
        <v>50</v>
      </c>
      <c r="H44" s="4">
        <f t="shared" si="0"/>
        <v>102</v>
      </c>
      <c r="I44" s="44">
        <v>16053</v>
      </c>
      <c r="J44" s="45"/>
      <c r="K44" s="19"/>
    </row>
    <row r="45" spans="2:18" x14ac:dyDescent="0.25">
      <c r="B45" s="18"/>
      <c r="C45" s="4">
        <v>70</v>
      </c>
      <c r="D45" s="4">
        <v>34</v>
      </c>
      <c r="E45" s="10">
        <v>10</v>
      </c>
      <c r="F45" s="1"/>
      <c r="G45" s="4">
        <f t="shared" si="0"/>
        <v>70</v>
      </c>
      <c r="H45" s="4">
        <f t="shared" si="0"/>
        <v>34</v>
      </c>
      <c r="I45" s="44">
        <v>25029</v>
      </c>
      <c r="J45" s="45"/>
      <c r="K45" s="19"/>
    </row>
    <row r="46" spans="2:18" x14ac:dyDescent="0.25">
      <c r="B46" s="18"/>
      <c r="C46" s="4"/>
      <c r="D46" s="4"/>
      <c r="E46" s="4"/>
      <c r="F46" s="1"/>
      <c r="G46" s="4"/>
      <c r="H46" s="4"/>
      <c r="I46" s="41"/>
      <c r="J46" s="41"/>
      <c r="K46" s="19"/>
    </row>
    <row r="47" spans="2:18" x14ac:dyDescent="0.25">
      <c r="B47" s="18"/>
      <c r="C47" s="4"/>
      <c r="D47" s="4"/>
      <c r="E47" s="4"/>
      <c r="F47" s="1"/>
      <c r="G47" s="4"/>
      <c r="H47" s="4"/>
      <c r="I47" s="41"/>
      <c r="J47" s="41"/>
      <c r="K47" s="19"/>
    </row>
    <row r="48" spans="2:18" x14ac:dyDescent="0.25">
      <c r="B48" s="18"/>
      <c r="C48" s="4"/>
      <c r="D48" s="4"/>
      <c r="E48" s="4"/>
      <c r="F48" s="1"/>
      <c r="G48" s="4"/>
      <c r="H48" s="4"/>
      <c r="I48" s="41"/>
      <c r="J48" s="41"/>
      <c r="K48" s="19"/>
    </row>
    <row r="49" spans="2:11" x14ac:dyDescent="0.25">
      <c r="B49" s="18"/>
      <c r="C49" s="4"/>
      <c r="D49" s="4"/>
      <c r="E49" s="4"/>
      <c r="F49" s="1"/>
      <c r="G49" s="4"/>
      <c r="H49" s="4"/>
      <c r="I49" s="41"/>
      <c r="J49" s="41"/>
      <c r="K49" s="19"/>
    </row>
    <row r="50" spans="2:11" x14ac:dyDescent="0.25">
      <c r="B50" s="18"/>
      <c r="C50" s="4"/>
      <c r="D50" s="4"/>
      <c r="E50" s="4"/>
      <c r="F50" s="1"/>
      <c r="G50" s="4"/>
      <c r="H50" s="4"/>
      <c r="I50" s="41"/>
      <c r="J50" s="41"/>
      <c r="K50" s="19"/>
    </row>
    <row r="51" spans="2:11" x14ac:dyDescent="0.25">
      <c r="B51" s="18"/>
      <c r="C51" s="4"/>
      <c r="D51" s="4"/>
      <c r="E51" s="4"/>
      <c r="F51" s="1"/>
      <c r="G51" s="4"/>
      <c r="H51" s="4"/>
      <c r="I51" s="41"/>
      <c r="J51" s="41"/>
      <c r="K51" s="19"/>
    </row>
    <row r="52" spans="2:11" x14ac:dyDescent="0.25">
      <c r="B52" s="18"/>
      <c r="C52" s="4"/>
      <c r="D52" s="4"/>
      <c r="E52" s="4"/>
      <c r="F52" s="1"/>
      <c r="G52" s="4"/>
      <c r="H52" s="4"/>
      <c r="I52" s="41"/>
      <c r="J52" s="41"/>
      <c r="K52" s="19"/>
    </row>
    <row r="53" spans="2:11" x14ac:dyDescent="0.25">
      <c r="B53" s="18"/>
      <c r="C53" s="4"/>
      <c r="D53" s="4"/>
      <c r="E53" s="4"/>
      <c r="F53" s="1"/>
      <c r="G53" s="4"/>
      <c r="H53" s="4"/>
      <c r="I53" s="41"/>
      <c r="J53" s="41"/>
      <c r="K53" s="19"/>
    </row>
    <row r="54" spans="2:11" x14ac:dyDescent="0.25">
      <c r="B54" s="18"/>
      <c r="C54" s="4"/>
      <c r="D54" s="4"/>
      <c r="E54" s="4"/>
      <c r="F54" s="1"/>
      <c r="G54" s="4"/>
      <c r="H54" s="4"/>
      <c r="I54" s="41"/>
      <c r="J54" s="41"/>
      <c r="K54" s="19"/>
    </row>
    <row r="55" spans="2:11" x14ac:dyDescent="0.25">
      <c r="B55" s="18"/>
      <c r="C55" s="4"/>
      <c r="D55" s="4"/>
      <c r="E55" s="4"/>
      <c r="F55" s="1"/>
      <c r="G55" s="4"/>
      <c r="H55" s="4"/>
      <c r="I55" s="41"/>
      <c r="J55" s="41"/>
      <c r="K55" s="19"/>
    </row>
    <row r="56" spans="2:11" x14ac:dyDescent="0.25">
      <c r="B56" s="18"/>
      <c r="C56" s="4"/>
      <c r="D56" s="4"/>
      <c r="E56" s="4"/>
      <c r="F56" s="1"/>
      <c r="G56" s="4"/>
      <c r="H56" s="4"/>
      <c r="I56" s="41"/>
      <c r="J56" s="41"/>
      <c r="K56" s="19"/>
    </row>
    <row r="57" spans="2:11" x14ac:dyDescent="0.25">
      <c r="B57" s="18"/>
      <c r="K57" s="19"/>
    </row>
    <row r="58" spans="2:11" ht="14.65" customHeight="1" x14ac:dyDescent="0.25">
      <c r="B58" s="18"/>
      <c r="C58" s="42" t="s">
        <v>48</v>
      </c>
      <c r="D58" s="43"/>
      <c r="E58" s="43"/>
      <c r="F58" s="43"/>
      <c r="G58" s="43"/>
      <c r="H58" s="43"/>
      <c r="I58" s="43"/>
      <c r="J58" s="43"/>
      <c r="K58" s="19"/>
    </row>
    <row r="59" spans="2:11" x14ac:dyDescent="0.25">
      <c r="B59" s="18"/>
      <c r="C59" s="43"/>
      <c r="D59" s="43"/>
      <c r="E59" s="43"/>
      <c r="F59" s="43"/>
      <c r="G59" s="43"/>
      <c r="H59" s="43"/>
      <c r="I59" s="43"/>
      <c r="J59" s="43"/>
      <c r="K59" s="19"/>
    </row>
    <row r="60" spans="2:11" x14ac:dyDescent="0.25">
      <c r="B60" s="18"/>
      <c r="C60" s="43"/>
      <c r="D60" s="43"/>
      <c r="E60" s="43"/>
      <c r="F60" s="43"/>
      <c r="G60" s="43"/>
      <c r="H60" s="43"/>
      <c r="I60" s="43"/>
      <c r="J60" s="43"/>
      <c r="K60" s="19"/>
    </row>
    <row r="61" spans="2:11" x14ac:dyDescent="0.25">
      <c r="B61" s="18"/>
      <c r="C61" s="43"/>
      <c r="D61" s="43"/>
      <c r="E61" s="43"/>
      <c r="F61" s="43"/>
      <c r="G61" s="43"/>
      <c r="H61" s="43"/>
      <c r="I61" s="43"/>
      <c r="J61" s="43"/>
      <c r="K61" s="19"/>
    </row>
    <row r="62" spans="2:11" x14ac:dyDescent="0.25">
      <c r="B62" s="18"/>
      <c r="C62" s="43"/>
      <c r="D62" s="43"/>
      <c r="E62" s="43"/>
      <c r="F62" s="43"/>
      <c r="G62" s="43"/>
      <c r="H62" s="43"/>
      <c r="I62" s="43"/>
      <c r="J62" s="43"/>
      <c r="K62" s="19"/>
    </row>
    <row r="63" spans="2:11" x14ac:dyDescent="0.25">
      <c r="B63" s="22"/>
      <c r="C63" s="23"/>
      <c r="D63" s="23"/>
      <c r="E63" s="23"/>
      <c r="F63" s="23"/>
      <c r="G63" s="23"/>
      <c r="H63" s="23"/>
      <c r="I63" s="23"/>
      <c r="J63" s="23"/>
      <c r="K63" s="24"/>
    </row>
  </sheetData>
  <mergeCells count="65">
    <mergeCell ref="C10:J11"/>
    <mergeCell ref="C12:F14"/>
    <mergeCell ref="G12:J14"/>
    <mergeCell ref="C15:F17"/>
    <mergeCell ref="G15:J17"/>
    <mergeCell ref="C42:E42"/>
    <mergeCell ref="G42:J42"/>
    <mergeCell ref="C19:J20"/>
    <mergeCell ref="C21:C24"/>
    <mergeCell ref="G21:H21"/>
    <mergeCell ref="I21:J21"/>
    <mergeCell ref="G22:H22"/>
    <mergeCell ref="I22:J22"/>
    <mergeCell ref="G23:H23"/>
    <mergeCell ref="I23:J23"/>
    <mergeCell ref="G24:H24"/>
    <mergeCell ref="I24:J24"/>
    <mergeCell ref="D29:E29"/>
    <mergeCell ref="H29:I29"/>
    <mergeCell ref="I35:J35"/>
    <mergeCell ref="D30:E30"/>
    <mergeCell ref="Q29:R29"/>
    <mergeCell ref="Q24:R24"/>
    <mergeCell ref="C25:D25"/>
    <mergeCell ref="G25:H25"/>
    <mergeCell ref="Q25:R25"/>
    <mergeCell ref="C26:D26"/>
    <mergeCell ref="G26:H26"/>
    <mergeCell ref="Q26:R26"/>
    <mergeCell ref="C27:D27"/>
    <mergeCell ref="G27:H27"/>
    <mergeCell ref="Q27:R27"/>
    <mergeCell ref="C28:J28"/>
    <mergeCell ref="Q28:R28"/>
    <mergeCell ref="H30:I30"/>
    <mergeCell ref="Q30:R30"/>
    <mergeCell ref="D31:E31"/>
    <mergeCell ref="H31:I31"/>
    <mergeCell ref="Q31:R31"/>
    <mergeCell ref="Q32:R32"/>
    <mergeCell ref="C33:E33"/>
    <mergeCell ref="G33:J33"/>
    <mergeCell ref="Q33:R33"/>
    <mergeCell ref="I34:J34"/>
    <mergeCell ref="I48:J48"/>
    <mergeCell ref="I36:J36"/>
    <mergeCell ref="I37:J37"/>
    <mergeCell ref="I38:J38"/>
    <mergeCell ref="I39:J39"/>
    <mergeCell ref="I40:J40"/>
    <mergeCell ref="I41:J41"/>
    <mergeCell ref="I43:J43"/>
    <mergeCell ref="I44:J44"/>
    <mergeCell ref="I45:J45"/>
    <mergeCell ref="I46:J46"/>
    <mergeCell ref="I47:J47"/>
    <mergeCell ref="I55:J55"/>
    <mergeCell ref="I56:J56"/>
    <mergeCell ref="C58:J62"/>
    <mergeCell ref="I49:J49"/>
    <mergeCell ref="I50:J50"/>
    <mergeCell ref="I51:J51"/>
    <mergeCell ref="I52:J52"/>
    <mergeCell ref="I53:J53"/>
    <mergeCell ref="I54:J54"/>
  </mergeCells>
  <hyperlinks>
    <hyperlink ref="C8" r:id="rId1" xr:uid="{CD3B457A-C32D-4CDD-8F2C-6213D52D7484}"/>
  </hyperlinks>
  <pageMargins left="0.7" right="0.7" top="0.75" bottom="0.75" header="0.3" footer="0.3"/>
  <pageSetup scale="48" orientation="portrait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320A7-A769-4C6F-8EE8-692D4985C3B8}">
  <sheetPr>
    <pageSetUpPr fitToPage="1"/>
  </sheetPr>
  <dimension ref="B2:R63"/>
  <sheetViews>
    <sheetView showGridLines="0" zoomScale="90" zoomScaleNormal="90" workbookViewId="0">
      <selection activeCell="C10" sqref="C10:J17"/>
    </sheetView>
  </sheetViews>
  <sheetFormatPr defaultRowHeight="15" x14ac:dyDescent="0.25"/>
  <cols>
    <col min="1" max="1" width="3.7109375" customWidth="1"/>
    <col min="2" max="2" width="3.140625" customWidth="1"/>
    <col min="3" max="3" width="10" customWidth="1"/>
    <col min="4" max="4" width="16.7109375" customWidth="1"/>
    <col min="5" max="5" width="25.7109375" customWidth="1"/>
    <col min="6" max="6" width="4" customWidth="1"/>
    <col min="7" max="7" width="10" customWidth="1"/>
    <col min="8" max="8" width="25.7109375" customWidth="1"/>
    <col min="9" max="9" width="10.140625" customWidth="1"/>
    <col min="10" max="10" width="10.85546875" customWidth="1"/>
    <col min="11" max="11" width="3.140625" customWidth="1"/>
  </cols>
  <sheetData>
    <row r="2" spans="2:11" x14ac:dyDescent="0.2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1" x14ac:dyDescent="0.25">
      <c r="B3" s="18"/>
      <c r="C3" t="s">
        <v>42</v>
      </c>
      <c r="K3" s="19"/>
    </row>
    <row r="4" spans="2:11" x14ac:dyDescent="0.25">
      <c r="B4" s="18"/>
      <c r="C4" t="s">
        <v>43</v>
      </c>
      <c r="K4" s="19"/>
    </row>
    <row r="5" spans="2:11" x14ac:dyDescent="0.25">
      <c r="B5" s="18"/>
      <c r="C5" t="s">
        <v>44</v>
      </c>
      <c r="K5" s="19"/>
    </row>
    <row r="6" spans="2:11" x14ac:dyDescent="0.25">
      <c r="B6" s="18"/>
      <c r="C6" t="s">
        <v>45</v>
      </c>
      <c r="K6" s="19"/>
    </row>
    <row r="7" spans="2:11" x14ac:dyDescent="0.25">
      <c r="B7" s="18"/>
      <c r="C7" t="s">
        <v>46</v>
      </c>
      <c r="K7" s="19"/>
    </row>
    <row r="8" spans="2:11" x14ac:dyDescent="0.25">
      <c r="B8" s="18"/>
      <c r="C8" s="20" t="s">
        <v>47</v>
      </c>
      <c r="K8" s="19"/>
    </row>
    <row r="9" spans="2:11" x14ac:dyDescent="0.25">
      <c r="B9" s="18"/>
      <c r="C9" s="20"/>
      <c r="K9" s="19"/>
    </row>
    <row r="10" spans="2:11" x14ac:dyDescent="0.25">
      <c r="B10" s="18"/>
      <c r="C10" s="86" t="s">
        <v>77</v>
      </c>
      <c r="D10" s="76"/>
      <c r="E10" s="76"/>
      <c r="F10" s="76"/>
      <c r="G10" s="76"/>
      <c r="H10" s="76"/>
      <c r="I10" s="76"/>
      <c r="J10" s="76"/>
      <c r="K10" s="19"/>
    </row>
    <row r="11" spans="2:11" x14ac:dyDescent="0.25">
      <c r="B11" s="18"/>
      <c r="C11" s="76"/>
      <c r="D11" s="76"/>
      <c r="E11" s="76"/>
      <c r="F11" s="76"/>
      <c r="G11" s="76"/>
      <c r="H11" s="76"/>
      <c r="I11" s="76"/>
      <c r="J11" s="76"/>
      <c r="K11" s="19"/>
    </row>
    <row r="12" spans="2:11" x14ac:dyDescent="0.25">
      <c r="B12" s="18"/>
      <c r="C12" s="90" t="s">
        <v>78</v>
      </c>
      <c r="D12" s="90"/>
      <c r="E12" s="90"/>
      <c r="F12" s="90"/>
      <c r="G12" s="90" t="s">
        <v>79</v>
      </c>
      <c r="H12" s="90"/>
      <c r="I12" s="90"/>
      <c r="J12" s="90"/>
      <c r="K12" s="19"/>
    </row>
    <row r="13" spans="2:11" x14ac:dyDescent="0.25">
      <c r="B13" s="18"/>
      <c r="C13" s="90"/>
      <c r="D13" s="90"/>
      <c r="E13" s="90"/>
      <c r="F13" s="90"/>
      <c r="G13" s="90"/>
      <c r="H13" s="90"/>
      <c r="I13" s="90"/>
      <c r="J13" s="90"/>
      <c r="K13" s="19"/>
    </row>
    <row r="14" spans="2:11" x14ac:dyDescent="0.25">
      <c r="B14" s="18"/>
      <c r="C14" s="90"/>
      <c r="D14" s="90"/>
      <c r="E14" s="90"/>
      <c r="F14" s="90"/>
      <c r="G14" s="90"/>
      <c r="H14" s="90"/>
      <c r="I14" s="90"/>
      <c r="J14" s="90"/>
      <c r="K14" s="19"/>
    </row>
    <row r="15" spans="2:11" x14ac:dyDescent="0.25">
      <c r="B15" s="18"/>
      <c r="C15" s="90" t="s">
        <v>96</v>
      </c>
      <c r="D15" s="90"/>
      <c r="E15" s="90"/>
      <c r="F15" s="90"/>
      <c r="G15" s="77" t="s">
        <v>97</v>
      </c>
      <c r="H15" s="78"/>
      <c r="I15" s="78"/>
      <c r="J15" s="79"/>
      <c r="K15" s="19"/>
    </row>
    <row r="16" spans="2:11" x14ac:dyDescent="0.25">
      <c r="B16" s="18"/>
      <c r="C16" s="90"/>
      <c r="D16" s="90"/>
      <c r="E16" s="90"/>
      <c r="F16" s="90"/>
      <c r="G16" s="80"/>
      <c r="H16" s="81"/>
      <c r="I16" s="81"/>
      <c r="J16" s="82"/>
      <c r="K16" s="19"/>
    </row>
    <row r="17" spans="2:18" x14ac:dyDescent="0.25">
      <c r="B17" s="18"/>
      <c r="C17" s="90"/>
      <c r="D17" s="90"/>
      <c r="E17" s="90"/>
      <c r="F17" s="90"/>
      <c r="G17" s="83"/>
      <c r="H17" s="84"/>
      <c r="I17" s="84"/>
      <c r="J17" s="85"/>
      <c r="K17" s="19"/>
    </row>
    <row r="18" spans="2:18" x14ac:dyDescent="0.25">
      <c r="B18" s="18"/>
      <c r="K18" s="19"/>
    </row>
    <row r="19" spans="2:18" ht="18.399999999999999" customHeight="1" x14ac:dyDescent="0.25">
      <c r="B19" s="18"/>
      <c r="C19" s="59" t="s">
        <v>0</v>
      </c>
      <c r="D19" s="60"/>
      <c r="E19" s="60"/>
      <c r="F19" s="60"/>
      <c r="G19" s="60"/>
      <c r="H19" s="60"/>
      <c r="I19" s="60"/>
      <c r="J19" s="61"/>
      <c r="K19" s="19"/>
    </row>
    <row r="20" spans="2:18" ht="14.65" customHeight="1" x14ac:dyDescent="0.25">
      <c r="B20" s="18"/>
      <c r="C20" s="62"/>
      <c r="D20" s="63"/>
      <c r="E20" s="63"/>
      <c r="F20" s="63"/>
      <c r="G20" s="63"/>
      <c r="H20" s="63"/>
      <c r="I20" s="63"/>
      <c r="J20" s="64"/>
      <c r="K20" s="19"/>
    </row>
    <row r="21" spans="2:18" ht="14.65" customHeight="1" x14ac:dyDescent="0.25">
      <c r="B21" s="18"/>
      <c r="C21" s="65" t="s">
        <v>1</v>
      </c>
      <c r="D21" s="3" t="s">
        <v>2</v>
      </c>
      <c r="E21" s="4" t="s">
        <v>3</v>
      </c>
      <c r="F21" s="5"/>
      <c r="G21" s="53" t="s">
        <v>4</v>
      </c>
      <c r="H21" s="54"/>
      <c r="I21" s="66">
        <v>46183</v>
      </c>
      <c r="J21" s="67"/>
      <c r="K21" s="19"/>
    </row>
    <row r="22" spans="2:18" x14ac:dyDescent="0.25">
      <c r="B22" s="18"/>
      <c r="C22" s="65"/>
      <c r="D22" s="3" t="s">
        <v>5</v>
      </c>
      <c r="E22" s="4">
        <v>63010053</v>
      </c>
      <c r="F22" s="5"/>
      <c r="G22" s="53" t="s">
        <v>6</v>
      </c>
      <c r="H22" s="54"/>
      <c r="I22" s="68" t="s">
        <v>7</v>
      </c>
      <c r="J22" s="69"/>
      <c r="K22" s="19"/>
    </row>
    <row r="23" spans="2:18" ht="14.65" customHeight="1" x14ac:dyDescent="0.25">
      <c r="B23" s="18"/>
      <c r="C23" s="65"/>
      <c r="D23" s="3" t="s">
        <v>2</v>
      </c>
      <c r="E23" s="4" t="s">
        <v>8</v>
      </c>
      <c r="F23" s="5"/>
      <c r="G23" s="51" t="s">
        <v>9</v>
      </c>
      <c r="H23" s="52"/>
      <c r="I23" s="68" t="s">
        <v>10</v>
      </c>
      <c r="J23" s="69"/>
      <c r="K23" s="19"/>
    </row>
    <row r="24" spans="2:18" ht="14.65" customHeight="1" x14ac:dyDescent="0.25">
      <c r="B24" s="18"/>
      <c r="C24" s="65"/>
      <c r="D24" s="3" t="s">
        <v>5</v>
      </c>
      <c r="E24" s="4" t="s">
        <v>11</v>
      </c>
      <c r="F24" s="5"/>
      <c r="G24" s="51" t="s">
        <v>12</v>
      </c>
      <c r="H24" s="52"/>
      <c r="I24" s="68" t="s">
        <v>13</v>
      </c>
      <c r="J24" s="69"/>
      <c r="K24" s="19"/>
      <c r="P24" s="13"/>
      <c r="Q24" s="49"/>
      <c r="R24" s="49"/>
    </row>
    <row r="25" spans="2:18" ht="15.4" customHeight="1" x14ac:dyDescent="0.25">
      <c r="B25" s="18"/>
      <c r="C25" s="50" t="s">
        <v>14</v>
      </c>
      <c r="D25" s="50"/>
      <c r="E25" s="4">
        <v>54</v>
      </c>
      <c r="F25" s="5"/>
      <c r="G25" s="51" t="s">
        <v>15</v>
      </c>
      <c r="H25" s="52"/>
      <c r="I25" s="6">
        <v>30000</v>
      </c>
      <c r="J25" s="3" t="s">
        <v>16</v>
      </c>
      <c r="K25" s="19"/>
      <c r="P25" s="14"/>
      <c r="Q25" s="46"/>
      <c r="R25" s="46"/>
    </row>
    <row r="26" spans="2:18" ht="14.65" customHeight="1" x14ac:dyDescent="0.25">
      <c r="B26" s="18"/>
      <c r="C26" s="50" t="s">
        <v>17</v>
      </c>
      <c r="D26" s="50"/>
      <c r="E26" s="4">
        <v>40</v>
      </c>
      <c r="F26" s="5"/>
      <c r="G26" s="53" t="s">
        <v>18</v>
      </c>
      <c r="H26" s="54"/>
      <c r="I26" s="6">
        <v>30</v>
      </c>
      <c r="J26" s="3" t="s">
        <v>19</v>
      </c>
      <c r="K26" s="19"/>
      <c r="P26" s="14"/>
      <c r="Q26" s="46"/>
      <c r="R26" s="46"/>
    </row>
    <row r="27" spans="2:18" ht="14.65" customHeight="1" x14ac:dyDescent="0.25">
      <c r="B27" s="18"/>
      <c r="C27" s="50" t="s">
        <v>20</v>
      </c>
      <c r="D27" s="50"/>
      <c r="E27" s="7">
        <v>1.2E-2</v>
      </c>
      <c r="F27" s="5"/>
      <c r="G27" s="53" t="s">
        <v>21</v>
      </c>
      <c r="H27" s="54"/>
      <c r="I27" s="6">
        <v>30</v>
      </c>
      <c r="J27" s="3" t="s">
        <v>19</v>
      </c>
      <c r="K27" s="19"/>
      <c r="P27" s="14"/>
      <c r="Q27" s="46"/>
      <c r="R27" s="46"/>
    </row>
    <row r="28" spans="2:18" ht="14.65" customHeight="1" x14ac:dyDescent="0.25">
      <c r="B28" s="18"/>
      <c r="C28" s="55" t="s">
        <v>22</v>
      </c>
      <c r="D28" s="55"/>
      <c r="E28" s="55"/>
      <c r="F28" s="55"/>
      <c r="G28" s="55"/>
      <c r="H28" s="55"/>
      <c r="I28" s="55"/>
      <c r="J28" s="55"/>
      <c r="K28" s="19"/>
      <c r="P28" s="14"/>
      <c r="Q28" s="46"/>
      <c r="R28" s="46"/>
    </row>
    <row r="29" spans="2:18" x14ac:dyDescent="0.25">
      <c r="B29" s="18"/>
      <c r="C29" s="2" t="s">
        <v>23</v>
      </c>
      <c r="D29" s="48">
        <v>0.5</v>
      </c>
      <c r="E29" s="48"/>
      <c r="F29" s="2" t="s">
        <v>24</v>
      </c>
      <c r="G29" s="2" t="s">
        <v>25</v>
      </c>
      <c r="H29" s="48">
        <v>2.7</v>
      </c>
      <c r="I29" s="48"/>
      <c r="J29" s="2" t="s">
        <v>26</v>
      </c>
      <c r="K29" s="19"/>
      <c r="P29" s="14"/>
      <c r="Q29" s="46"/>
      <c r="R29" s="46"/>
    </row>
    <row r="30" spans="2:18" x14ac:dyDescent="0.25">
      <c r="B30" s="18"/>
      <c r="C30" s="2" t="s">
        <v>27</v>
      </c>
      <c r="D30" s="48">
        <v>0.6</v>
      </c>
      <c r="E30" s="48"/>
      <c r="F30" s="2" t="s">
        <v>24</v>
      </c>
      <c r="G30" s="2" t="s">
        <v>28</v>
      </c>
      <c r="H30" s="48">
        <v>8.3000000000000007</v>
      </c>
      <c r="I30" s="48"/>
      <c r="J30" s="2" t="s">
        <v>26</v>
      </c>
      <c r="K30" s="19"/>
      <c r="P30" s="14"/>
      <c r="Q30" s="46"/>
      <c r="R30" s="46"/>
    </row>
    <row r="31" spans="2:18" x14ac:dyDescent="0.25">
      <c r="B31" s="18"/>
      <c r="C31" s="2" t="s">
        <v>29</v>
      </c>
      <c r="D31" s="48">
        <v>10.199999999999999</v>
      </c>
      <c r="E31" s="48"/>
      <c r="F31" s="2" t="s">
        <v>24</v>
      </c>
      <c r="G31" s="2" t="s">
        <v>30</v>
      </c>
      <c r="H31" s="48">
        <v>8.3000000000000007</v>
      </c>
      <c r="I31" s="48"/>
      <c r="J31" s="2" t="s">
        <v>26</v>
      </c>
      <c r="K31" s="19"/>
      <c r="P31" s="14"/>
      <c r="Q31" s="46"/>
      <c r="R31" s="46"/>
    </row>
    <row r="32" spans="2:18" ht="14.1" customHeight="1" x14ac:dyDescent="0.25">
      <c r="B32" s="18"/>
      <c r="C32" s="1"/>
      <c r="D32" s="1"/>
      <c r="E32" s="1"/>
      <c r="F32" s="1"/>
      <c r="G32" s="1"/>
      <c r="H32" s="1"/>
      <c r="I32" s="1"/>
      <c r="J32" s="1"/>
      <c r="K32" s="19"/>
      <c r="P32" s="14"/>
      <c r="Q32" s="46"/>
      <c r="R32" s="46"/>
    </row>
    <row r="33" spans="2:18" ht="14.65" customHeight="1" x14ac:dyDescent="0.25">
      <c r="B33" s="18"/>
      <c r="C33" s="47" t="s">
        <v>31</v>
      </c>
      <c r="D33" s="47"/>
      <c r="E33" s="47"/>
      <c r="F33" s="1"/>
      <c r="G33" s="47" t="s">
        <v>32</v>
      </c>
      <c r="H33" s="47"/>
      <c r="I33" s="47"/>
      <c r="J33" s="47"/>
      <c r="K33" s="19"/>
      <c r="P33" s="14"/>
      <c r="Q33" s="46"/>
      <c r="R33" s="46"/>
    </row>
    <row r="34" spans="2:18" ht="30" x14ac:dyDescent="0.25">
      <c r="B34" s="18"/>
      <c r="C34" s="8" t="s">
        <v>33</v>
      </c>
      <c r="D34" s="8" t="s">
        <v>34</v>
      </c>
      <c r="E34" s="8" t="s">
        <v>35</v>
      </c>
      <c r="F34" s="1"/>
      <c r="G34" s="8" t="s">
        <v>33</v>
      </c>
      <c r="H34" s="8" t="s">
        <v>36</v>
      </c>
      <c r="I34" s="47" t="s">
        <v>37</v>
      </c>
      <c r="J34" s="47"/>
      <c r="K34" s="19"/>
    </row>
    <row r="35" spans="2:18" x14ac:dyDescent="0.25">
      <c r="B35" s="18"/>
      <c r="C35" s="9" t="s">
        <v>38</v>
      </c>
      <c r="D35" s="9" t="s">
        <v>39</v>
      </c>
      <c r="E35" s="9" t="s">
        <v>39</v>
      </c>
      <c r="F35" s="1"/>
      <c r="G35" s="9" t="s">
        <v>38</v>
      </c>
      <c r="H35" s="9" t="s">
        <v>39</v>
      </c>
      <c r="I35" s="70" t="s">
        <v>40</v>
      </c>
      <c r="J35" s="70"/>
      <c r="K35" s="19"/>
    </row>
    <row r="36" spans="2:18" x14ac:dyDescent="0.25">
      <c r="B36" s="18"/>
      <c r="C36" s="4">
        <v>4</v>
      </c>
      <c r="D36" s="4">
        <v>10809.4</v>
      </c>
      <c r="E36" s="10">
        <f>1047957/100</f>
        <v>10479.57</v>
      </c>
      <c r="F36" s="1"/>
      <c r="G36" s="4">
        <f>C36</f>
        <v>4</v>
      </c>
      <c r="H36" s="4">
        <f>D36</f>
        <v>10809.4</v>
      </c>
      <c r="I36" s="44">
        <v>88</v>
      </c>
      <c r="J36" s="45"/>
      <c r="K36" s="19"/>
    </row>
    <row r="37" spans="2:18" x14ac:dyDescent="0.25">
      <c r="B37" s="18"/>
      <c r="C37" s="4">
        <v>6</v>
      </c>
      <c r="D37" s="4">
        <v>4647.7</v>
      </c>
      <c r="E37" s="10">
        <f>452696/100</f>
        <v>4526.96</v>
      </c>
      <c r="F37" s="1"/>
      <c r="G37" s="4">
        <f t="shared" ref="G37:H45" si="0">C37</f>
        <v>6</v>
      </c>
      <c r="H37" s="4">
        <f t="shared" si="0"/>
        <v>4647.7</v>
      </c>
      <c r="I37" s="44">
        <v>198</v>
      </c>
      <c r="J37" s="45"/>
      <c r="K37" s="19"/>
    </row>
    <row r="38" spans="2:18" x14ac:dyDescent="0.25">
      <c r="B38" s="18"/>
      <c r="C38" s="4">
        <v>10</v>
      </c>
      <c r="D38" s="4">
        <v>1074.3</v>
      </c>
      <c r="E38" s="10">
        <f>103307/100</f>
        <v>1033.07</v>
      </c>
      <c r="F38" s="1"/>
      <c r="G38" s="4">
        <f t="shared" si="0"/>
        <v>10</v>
      </c>
      <c r="H38" s="4">
        <f t="shared" si="0"/>
        <v>1074.3</v>
      </c>
      <c r="I38" s="44">
        <v>546</v>
      </c>
      <c r="J38" s="45"/>
      <c r="K38" s="19"/>
    </row>
    <row r="39" spans="2:18" x14ac:dyDescent="0.25">
      <c r="B39" s="18"/>
      <c r="C39" s="4">
        <v>14</v>
      </c>
      <c r="D39" s="4">
        <v>365.5</v>
      </c>
      <c r="E39" s="10">
        <f>35294/100</f>
        <v>352.94</v>
      </c>
      <c r="F39" s="1"/>
      <c r="G39" s="4">
        <f t="shared" si="0"/>
        <v>14</v>
      </c>
      <c r="H39" s="4">
        <f t="shared" si="0"/>
        <v>365.5</v>
      </c>
      <c r="I39" s="44">
        <v>1060</v>
      </c>
      <c r="J39" s="45"/>
      <c r="K39" s="19"/>
    </row>
    <row r="40" spans="2:18" x14ac:dyDescent="0.25">
      <c r="B40" s="18"/>
      <c r="C40" s="4">
        <v>21</v>
      </c>
      <c r="D40" s="4">
        <v>109.8</v>
      </c>
      <c r="E40" s="10">
        <f>10125/100</f>
        <v>101.25</v>
      </c>
      <c r="F40" s="1"/>
      <c r="G40" s="4">
        <f t="shared" si="0"/>
        <v>21</v>
      </c>
      <c r="H40" s="4">
        <f t="shared" si="0"/>
        <v>109.8</v>
      </c>
      <c r="I40" s="44">
        <v>2192</v>
      </c>
      <c r="J40" s="45"/>
      <c r="K40" s="19"/>
    </row>
    <row r="41" spans="2:18" x14ac:dyDescent="0.25">
      <c r="B41" s="18"/>
      <c r="C41" s="4">
        <v>25</v>
      </c>
      <c r="D41" s="4">
        <v>52.1</v>
      </c>
      <c r="E41" s="10">
        <f>4785/100</f>
        <v>47.85</v>
      </c>
      <c r="F41" s="1"/>
      <c r="G41" s="4">
        <f t="shared" si="0"/>
        <v>25</v>
      </c>
      <c r="H41" s="4">
        <f t="shared" si="0"/>
        <v>52.1</v>
      </c>
      <c r="I41" s="44">
        <v>3290</v>
      </c>
      <c r="J41" s="45"/>
      <c r="K41" s="19"/>
    </row>
    <row r="42" spans="2:18" x14ac:dyDescent="0.25">
      <c r="B42" s="18"/>
      <c r="C42" s="56"/>
      <c r="D42" s="57"/>
      <c r="E42" s="58"/>
      <c r="F42" s="1"/>
      <c r="G42" s="56"/>
      <c r="H42" s="57"/>
      <c r="I42" s="57"/>
      <c r="J42" s="58"/>
      <c r="K42" s="19"/>
    </row>
    <row r="43" spans="2:18" x14ac:dyDescent="0.25">
      <c r="B43" s="18"/>
      <c r="C43" s="4">
        <v>38</v>
      </c>
      <c r="D43" s="4">
        <v>289</v>
      </c>
      <c r="E43" s="10">
        <v>271</v>
      </c>
      <c r="F43" s="1"/>
      <c r="G43" s="4">
        <f t="shared" si="0"/>
        <v>38</v>
      </c>
      <c r="H43" s="4">
        <f t="shared" si="0"/>
        <v>289</v>
      </c>
      <c r="I43" s="44">
        <v>10037</v>
      </c>
      <c r="J43" s="45"/>
      <c r="K43" s="19"/>
    </row>
    <row r="44" spans="2:18" x14ac:dyDescent="0.25">
      <c r="B44" s="18"/>
      <c r="C44" s="4">
        <v>50</v>
      </c>
      <c r="D44" s="4">
        <v>52</v>
      </c>
      <c r="E44" s="10">
        <v>48</v>
      </c>
      <c r="F44" s="1"/>
      <c r="G44" s="4">
        <f t="shared" si="0"/>
        <v>50</v>
      </c>
      <c r="H44" s="4">
        <f t="shared" si="0"/>
        <v>52</v>
      </c>
      <c r="I44" s="44">
        <v>16014</v>
      </c>
      <c r="J44" s="45"/>
      <c r="K44" s="19"/>
    </row>
    <row r="45" spans="2:18" x14ac:dyDescent="0.25">
      <c r="B45" s="18"/>
      <c r="C45" s="4">
        <v>70</v>
      </c>
      <c r="D45" s="4">
        <v>5</v>
      </c>
      <c r="E45" s="10">
        <v>3</v>
      </c>
      <c r="F45" s="1"/>
      <c r="G45" s="4">
        <f t="shared" si="0"/>
        <v>70</v>
      </c>
      <c r="H45" s="4">
        <f t="shared" si="0"/>
        <v>5</v>
      </c>
      <c r="I45" s="44">
        <v>25093</v>
      </c>
      <c r="J45" s="45"/>
      <c r="K45" s="19"/>
    </row>
    <row r="46" spans="2:18" x14ac:dyDescent="0.25">
      <c r="B46" s="18"/>
      <c r="C46" s="4"/>
      <c r="D46" s="4"/>
      <c r="E46" s="4"/>
      <c r="F46" s="1"/>
      <c r="G46" s="4"/>
      <c r="H46" s="4"/>
      <c r="I46" s="41"/>
      <c r="J46" s="41"/>
      <c r="K46" s="19"/>
    </row>
    <row r="47" spans="2:18" x14ac:dyDescent="0.25">
      <c r="B47" s="18"/>
      <c r="C47" s="4"/>
      <c r="D47" s="4"/>
      <c r="E47" s="4"/>
      <c r="F47" s="1"/>
      <c r="G47" s="4"/>
      <c r="H47" s="4"/>
      <c r="I47" s="41"/>
      <c r="J47" s="41"/>
      <c r="K47" s="19"/>
    </row>
    <row r="48" spans="2:18" x14ac:dyDescent="0.25">
      <c r="B48" s="18"/>
      <c r="C48" s="4"/>
      <c r="D48" s="4"/>
      <c r="E48" s="4"/>
      <c r="F48" s="1"/>
      <c r="G48" s="4"/>
      <c r="H48" s="4"/>
      <c r="I48" s="41"/>
      <c r="J48" s="41"/>
      <c r="K48" s="19"/>
    </row>
    <row r="49" spans="2:11" x14ac:dyDescent="0.25">
      <c r="B49" s="18"/>
      <c r="C49" s="4"/>
      <c r="D49" s="4"/>
      <c r="E49" s="4"/>
      <c r="F49" s="1"/>
      <c r="G49" s="4"/>
      <c r="H49" s="4"/>
      <c r="I49" s="41"/>
      <c r="J49" s="41"/>
      <c r="K49" s="19"/>
    </row>
    <row r="50" spans="2:11" x14ac:dyDescent="0.25">
      <c r="B50" s="18"/>
      <c r="C50" s="4"/>
      <c r="D50" s="4"/>
      <c r="E50" s="4"/>
      <c r="F50" s="1"/>
      <c r="G50" s="4"/>
      <c r="H50" s="4"/>
      <c r="I50" s="41"/>
      <c r="J50" s="41"/>
      <c r="K50" s="19"/>
    </row>
    <row r="51" spans="2:11" x14ac:dyDescent="0.25">
      <c r="B51" s="18"/>
      <c r="C51" s="4"/>
      <c r="D51" s="4"/>
      <c r="E51" s="4"/>
      <c r="F51" s="1"/>
      <c r="G51" s="4"/>
      <c r="H51" s="4"/>
      <c r="I51" s="41"/>
      <c r="J51" s="41"/>
      <c r="K51" s="19"/>
    </row>
    <row r="52" spans="2:11" x14ac:dyDescent="0.25">
      <c r="B52" s="18"/>
      <c r="C52" s="4"/>
      <c r="D52" s="4"/>
      <c r="E52" s="4"/>
      <c r="F52" s="1"/>
      <c r="G52" s="4"/>
      <c r="H52" s="4"/>
      <c r="I52" s="41"/>
      <c r="J52" s="41"/>
      <c r="K52" s="19"/>
    </row>
    <row r="53" spans="2:11" x14ac:dyDescent="0.25">
      <c r="B53" s="18"/>
      <c r="C53" s="4"/>
      <c r="D53" s="4"/>
      <c r="E53" s="4"/>
      <c r="F53" s="1"/>
      <c r="G53" s="4"/>
      <c r="H53" s="4"/>
      <c r="I53" s="41"/>
      <c r="J53" s="41"/>
      <c r="K53" s="19"/>
    </row>
    <row r="54" spans="2:11" x14ac:dyDescent="0.25">
      <c r="B54" s="18"/>
      <c r="C54" s="4"/>
      <c r="D54" s="4"/>
      <c r="E54" s="4"/>
      <c r="F54" s="1"/>
      <c r="G54" s="4"/>
      <c r="H54" s="4"/>
      <c r="I54" s="41"/>
      <c r="J54" s="41"/>
      <c r="K54" s="19"/>
    </row>
    <row r="55" spans="2:11" x14ac:dyDescent="0.25">
      <c r="B55" s="18"/>
      <c r="C55" s="4"/>
      <c r="D55" s="4"/>
      <c r="E55" s="4"/>
      <c r="F55" s="1"/>
      <c r="G55" s="4"/>
      <c r="H55" s="4"/>
      <c r="I55" s="41"/>
      <c r="J55" s="41"/>
      <c r="K55" s="19"/>
    </row>
    <row r="56" spans="2:11" x14ac:dyDescent="0.25">
      <c r="B56" s="18"/>
      <c r="C56" s="4"/>
      <c r="D56" s="4"/>
      <c r="E56" s="4"/>
      <c r="F56" s="1"/>
      <c r="G56" s="4"/>
      <c r="H56" s="4"/>
      <c r="I56" s="41"/>
      <c r="J56" s="41"/>
      <c r="K56" s="19"/>
    </row>
    <row r="57" spans="2:11" x14ac:dyDescent="0.25">
      <c r="B57" s="18"/>
      <c r="K57" s="19"/>
    </row>
    <row r="58" spans="2:11" ht="14.65" customHeight="1" x14ac:dyDescent="0.25">
      <c r="B58" s="18"/>
      <c r="C58" s="42" t="s">
        <v>48</v>
      </c>
      <c r="D58" s="43"/>
      <c r="E58" s="43"/>
      <c r="F58" s="43"/>
      <c r="G58" s="43"/>
      <c r="H58" s="43"/>
      <c r="I58" s="43"/>
      <c r="J58" s="43"/>
      <c r="K58" s="19"/>
    </row>
    <row r="59" spans="2:11" x14ac:dyDescent="0.25">
      <c r="B59" s="18"/>
      <c r="C59" s="43"/>
      <c r="D59" s="43"/>
      <c r="E59" s="43"/>
      <c r="F59" s="43"/>
      <c r="G59" s="43"/>
      <c r="H59" s="43"/>
      <c r="I59" s="43"/>
      <c r="J59" s="43"/>
      <c r="K59" s="19"/>
    </row>
    <row r="60" spans="2:11" x14ac:dyDescent="0.25">
      <c r="B60" s="18"/>
      <c r="C60" s="43"/>
      <c r="D60" s="43"/>
      <c r="E60" s="43"/>
      <c r="F60" s="43"/>
      <c r="G60" s="43"/>
      <c r="H60" s="43"/>
      <c r="I60" s="43"/>
      <c r="J60" s="43"/>
      <c r="K60" s="19"/>
    </row>
    <row r="61" spans="2:11" x14ac:dyDescent="0.25">
      <c r="B61" s="18"/>
      <c r="C61" s="43"/>
      <c r="D61" s="43"/>
      <c r="E61" s="43"/>
      <c r="F61" s="43"/>
      <c r="G61" s="43"/>
      <c r="H61" s="43"/>
      <c r="I61" s="43"/>
      <c r="J61" s="43"/>
      <c r="K61" s="19"/>
    </row>
    <row r="62" spans="2:11" x14ac:dyDescent="0.25">
      <c r="B62" s="18"/>
      <c r="C62" s="43"/>
      <c r="D62" s="43"/>
      <c r="E62" s="43"/>
      <c r="F62" s="43"/>
      <c r="G62" s="43"/>
      <c r="H62" s="43"/>
      <c r="I62" s="43"/>
      <c r="J62" s="43"/>
      <c r="K62" s="19"/>
    </row>
    <row r="63" spans="2:11" x14ac:dyDescent="0.25">
      <c r="B63" s="22"/>
      <c r="C63" s="23"/>
      <c r="D63" s="23"/>
      <c r="E63" s="23"/>
      <c r="F63" s="23"/>
      <c r="G63" s="23"/>
      <c r="H63" s="23"/>
      <c r="I63" s="23"/>
      <c r="J63" s="23"/>
      <c r="K63" s="24"/>
    </row>
  </sheetData>
  <mergeCells count="65">
    <mergeCell ref="C10:J11"/>
    <mergeCell ref="C12:F14"/>
    <mergeCell ref="G12:J14"/>
    <mergeCell ref="C15:F17"/>
    <mergeCell ref="G15:J17"/>
    <mergeCell ref="C42:E42"/>
    <mergeCell ref="G42:J42"/>
    <mergeCell ref="C19:J20"/>
    <mergeCell ref="C21:C24"/>
    <mergeCell ref="G21:H21"/>
    <mergeCell ref="I21:J21"/>
    <mergeCell ref="G22:H22"/>
    <mergeCell ref="I22:J22"/>
    <mergeCell ref="G23:H23"/>
    <mergeCell ref="I23:J23"/>
    <mergeCell ref="G24:H24"/>
    <mergeCell ref="I24:J24"/>
    <mergeCell ref="D29:E29"/>
    <mergeCell ref="H29:I29"/>
    <mergeCell ref="I35:J35"/>
    <mergeCell ref="D30:E30"/>
    <mergeCell ref="Q29:R29"/>
    <mergeCell ref="Q24:R24"/>
    <mergeCell ref="C25:D25"/>
    <mergeCell ref="G25:H25"/>
    <mergeCell ref="Q25:R25"/>
    <mergeCell ref="C26:D26"/>
    <mergeCell ref="G26:H26"/>
    <mergeCell ref="Q26:R26"/>
    <mergeCell ref="C27:D27"/>
    <mergeCell ref="G27:H27"/>
    <mergeCell ref="Q27:R27"/>
    <mergeCell ref="C28:J28"/>
    <mergeCell ref="Q28:R28"/>
    <mergeCell ref="H30:I30"/>
    <mergeCell ref="Q30:R30"/>
    <mergeCell ref="D31:E31"/>
    <mergeCell ref="H31:I31"/>
    <mergeCell ref="Q31:R31"/>
    <mergeCell ref="Q32:R32"/>
    <mergeCell ref="C33:E33"/>
    <mergeCell ref="G33:J33"/>
    <mergeCell ref="Q33:R33"/>
    <mergeCell ref="I34:J34"/>
    <mergeCell ref="I48:J48"/>
    <mergeCell ref="I36:J36"/>
    <mergeCell ref="I37:J37"/>
    <mergeCell ref="I38:J38"/>
    <mergeCell ref="I39:J39"/>
    <mergeCell ref="I40:J40"/>
    <mergeCell ref="I41:J41"/>
    <mergeCell ref="I43:J43"/>
    <mergeCell ref="I44:J44"/>
    <mergeCell ref="I45:J45"/>
    <mergeCell ref="I46:J46"/>
    <mergeCell ref="I47:J47"/>
    <mergeCell ref="I55:J55"/>
    <mergeCell ref="I56:J56"/>
    <mergeCell ref="C58:J62"/>
    <mergeCell ref="I49:J49"/>
    <mergeCell ref="I50:J50"/>
    <mergeCell ref="I51:J51"/>
    <mergeCell ref="I52:J52"/>
    <mergeCell ref="I53:J53"/>
    <mergeCell ref="I54:J54"/>
  </mergeCells>
  <hyperlinks>
    <hyperlink ref="C8" r:id="rId1" xr:uid="{687088CD-F0C8-4C5C-A6A1-CABF74E81B5B}"/>
  </hyperlinks>
  <pageMargins left="0.7" right="0.7" top="0.75" bottom="0.75" header="0.3" footer="0.3"/>
  <pageSetup scale="48" orientation="portrait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EC774-F73D-4C84-BDD8-FB03FB18CDB8}">
  <sheetPr>
    <pageSetUpPr fitToPage="1"/>
  </sheetPr>
  <dimension ref="B2:R63"/>
  <sheetViews>
    <sheetView showGridLines="0" topLeftCell="A5" zoomScale="90" zoomScaleNormal="90" workbookViewId="0">
      <selection activeCell="C10" sqref="C10:J17"/>
    </sheetView>
  </sheetViews>
  <sheetFormatPr defaultRowHeight="15" x14ac:dyDescent="0.25"/>
  <cols>
    <col min="1" max="1" width="3.7109375" customWidth="1"/>
    <col min="2" max="2" width="3.140625" customWidth="1"/>
    <col min="3" max="3" width="10" customWidth="1"/>
    <col min="4" max="4" width="16.7109375" customWidth="1"/>
    <col min="5" max="5" width="25.7109375" customWidth="1"/>
    <col min="6" max="6" width="4" customWidth="1"/>
    <col min="7" max="7" width="10" customWidth="1"/>
    <col min="8" max="8" width="25.7109375" customWidth="1"/>
    <col min="9" max="9" width="10.140625" customWidth="1"/>
    <col min="10" max="10" width="10.85546875" customWidth="1"/>
    <col min="11" max="11" width="3.140625" customWidth="1"/>
  </cols>
  <sheetData>
    <row r="2" spans="2:11" x14ac:dyDescent="0.2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1" x14ac:dyDescent="0.25">
      <c r="B3" s="18"/>
      <c r="C3" t="s">
        <v>42</v>
      </c>
      <c r="K3" s="19"/>
    </row>
    <row r="4" spans="2:11" x14ac:dyDescent="0.25">
      <c r="B4" s="18"/>
      <c r="C4" t="s">
        <v>43</v>
      </c>
      <c r="K4" s="19"/>
    </row>
    <row r="5" spans="2:11" x14ac:dyDescent="0.25">
      <c r="B5" s="18"/>
      <c r="C5" t="s">
        <v>44</v>
      </c>
      <c r="K5" s="19"/>
    </row>
    <row r="6" spans="2:11" x14ac:dyDescent="0.25">
      <c r="B6" s="18"/>
      <c r="C6" t="s">
        <v>45</v>
      </c>
      <c r="K6" s="19"/>
    </row>
    <row r="7" spans="2:11" x14ac:dyDescent="0.25">
      <c r="B7" s="18"/>
      <c r="C7" t="s">
        <v>46</v>
      </c>
      <c r="K7" s="19"/>
    </row>
    <row r="8" spans="2:11" x14ac:dyDescent="0.25">
      <c r="B8" s="18"/>
      <c r="C8" s="20" t="s">
        <v>47</v>
      </c>
      <c r="K8" s="19"/>
    </row>
    <row r="9" spans="2:11" x14ac:dyDescent="0.25">
      <c r="B9" s="18"/>
      <c r="C9" s="20"/>
      <c r="K9" s="19"/>
    </row>
    <row r="10" spans="2:11" x14ac:dyDescent="0.25">
      <c r="B10" s="18"/>
      <c r="C10" s="86" t="s">
        <v>77</v>
      </c>
      <c r="D10" s="76"/>
      <c r="E10" s="76"/>
      <c r="F10" s="76"/>
      <c r="G10" s="76"/>
      <c r="H10" s="76"/>
      <c r="I10" s="76"/>
      <c r="J10" s="76"/>
      <c r="K10" s="19"/>
    </row>
    <row r="11" spans="2:11" x14ac:dyDescent="0.25">
      <c r="B11" s="18"/>
      <c r="C11" s="76"/>
      <c r="D11" s="76"/>
      <c r="E11" s="76"/>
      <c r="F11" s="76"/>
      <c r="G11" s="76"/>
      <c r="H11" s="76"/>
      <c r="I11" s="76"/>
      <c r="J11" s="76"/>
      <c r="K11" s="19"/>
    </row>
    <row r="12" spans="2:11" x14ac:dyDescent="0.25">
      <c r="B12" s="18"/>
      <c r="C12" s="90" t="s">
        <v>78</v>
      </c>
      <c r="D12" s="90"/>
      <c r="E12" s="90"/>
      <c r="F12" s="90"/>
      <c r="G12" s="90" t="s">
        <v>79</v>
      </c>
      <c r="H12" s="90"/>
      <c r="I12" s="90"/>
      <c r="J12" s="90"/>
      <c r="K12" s="19"/>
    </row>
    <row r="13" spans="2:11" x14ac:dyDescent="0.25">
      <c r="B13" s="18"/>
      <c r="C13" s="90"/>
      <c r="D13" s="90"/>
      <c r="E13" s="90"/>
      <c r="F13" s="90"/>
      <c r="G13" s="90"/>
      <c r="H13" s="90"/>
      <c r="I13" s="90"/>
      <c r="J13" s="90"/>
      <c r="K13" s="19"/>
    </row>
    <row r="14" spans="2:11" x14ac:dyDescent="0.25">
      <c r="B14" s="18"/>
      <c r="C14" s="90"/>
      <c r="D14" s="90"/>
      <c r="E14" s="90"/>
      <c r="F14" s="90"/>
      <c r="G14" s="90"/>
      <c r="H14" s="90"/>
      <c r="I14" s="90"/>
      <c r="J14" s="90"/>
      <c r="K14" s="19"/>
    </row>
    <row r="15" spans="2:11" x14ac:dyDescent="0.25">
      <c r="B15" s="18"/>
      <c r="C15" s="90" t="s">
        <v>98</v>
      </c>
      <c r="D15" s="90"/>
      <c r="E15" s="90"/>
      <c r="F15" s="90"/>
      <c r="G15" s="77" t="s">
        <v>99</v>
      </c>
      <c r="H15" s="78"/>
      <c r="I15" s="78"/>
      <c r="J15" s="79"/>
      <c r="K15" s="19"/>
    </row>
    <row r="16" spans="2:11" x14ac:dyDescent="0.25">
      <c r="B16" s="18"/>
      <c r="C16" s="90"/>
      <c r="D16" s="90"/>
      <c r="E16" s="90"/>
      <c r="F16" s="90"/>
      <c r="G16" s="80"/>
      <c r="H16" s="81"/>
      <c r="I16" s="81"/>
      <c r="J16" s="82"/>
      <c r="K16" s="19"/>
    </row>
    <row r="17" spans="2:18" x14ac:dyDescent="0.25">
      <c r="B17" s="18"/>
      <c r="C17" s="90"/>
      <c r="D17" s="90"/>
      <c r="E17" s="90"/>
      <c r="F17" s="90"/>
      <c r="G17" s="83"/>
      <c r="H17" s="84"/>
      <c r="I17" s="84"/>
      <c r="J17" s="85"/>
      <c r="K17" s="19"/>
    </row>
    <row r="18" spans="2:18" x14ac:dyDescent="0.25">
      <c r="B18" s="18"/>
      <c r="K18" s="19"/>
    </row>
    <row r="19" spans="2:18" ht="18.399999999999999" customHeight="1" x14ac:dyDescent="0.25">
      <c r="B19" s="18"/>
      <c r="C19" s="59" t="s">
        <v>0</v>
      </c>
      <c r="D19" s="60"/>
      <c r="E19" s="60"/>
      <c r="F19" s="60"/>
      <c r="G19" s="60"/>
      <c r="H19" s="60"/>
      <c r="I19" s="60"/>
      <c r="J19" s="61"/>
      <c r="K19" s="19"/>
    </row>
    <row r="20" spans="2:18" ht="14.65" customHeight="1" x14ac:dyDescent="0.25">
      <c r="B20" s="18"/>
      <c r="C20" s="62"/>
      <c r="D20" s="63"/>
      <c r="E20" s="63"/>
      <c r="F20" s="63"/>
      <c r="G20" s="63"/>
      <c r="H20" s="63"/>
      <c r="I20" s="63"/>
      <c r="J20" s="64"/>
      <c r="K20" s="19"/>
    </row>
    <row r="21" spans="2:18" ht="14.65" customHeight="1" x14ac:dyDescent="0.25">
      <c r="B21" s="18"/>
      <c r="C21" s="65" t="s">
        <v>1</v>
      </c>
      <c r="D21" s="3" t="s">
        <v>2</v>
      </c>
      <c r="E21" s="4" t="s">
        <v>3</v>
      </c>
      <c r="F21" s="5"/>
      <c r="G21" s="53" t="s">
        <v>4</v>
      </c>
      <c r="H21" s="54"/>
      <c r="I21" s="66">
        <v>46184</v>
      </c>
      <c r="J21" s="67"/>
      <c r="K21" s="19"/>
    </row>
    <row r="22" spans="2:18" x14ac:dyDescent="0.25">
      <c r="B22" s="18"/>
      <c r="C22" s="65"/>
      <c r="D22" s="3" t="s">
        <v>5</v>
      </c>
      <c r="E22" s="4">
        <v>63010054</v>
      </c>
      <c r="F22" s="5"/>
      <c r="G22" s="53" t="s">
        <v>6</v>
      </c>
      <c r="H22" s="54"/>
      <c r="I22" s="68" t="s">
        <v>7</v>
      </c>
      <c r="J22" s="69"/>
      <c r="K22" s="19"/>
    </row>
    <row r="23" spans="2:18" ht="14.65" customHeight="1" x14ac:dyDescent="0.25">
      <c r="B23" s="18"/>
      <c r="C23" s="65"/>
      <c r="D23" s="3" t="s">
        <v>2</v>
      </c>
      <c r="E23" s="4" t="s">
        <v>8</v>
      </c>
      <c r="F23" s="5"/>
      <c r="G23" s="51" t="s">
        <v>9</v>
      </c>
      <c r="H23" s="52"/>
      <c r="I23" s="68" t="s">
        <v>10</v>
      </c>
      <c r="J23" s="69"/>
      <c r="K23" s="19"/>
    </row>
    <row r="24" spans="2:18" ht="14.65" customHeight="1" x14ac:dyDescent="0.25">
      <c r="B24" s="18"/>
      <c r="C24" s="65"/>
      <c r="D24" s="3" t="s">
        <v>5</v>
      </c>
      <c r="E24" s="4" t="s">
        <v>11</v>
      </c>
      <c r="F24" s="5"/>
      <c r="G24" s="51" t="s">
        <v>12</v>
      </c>
      <c r="H24" s="52"/>
      <c r="I24" s="68" t="s">
        <v>49</v>
      </c>
      <c r="J24" s="69"/>
      <c r="K24" s="19"/>
      <c r="P24" s="13"/>
      <c r="Q24" s="49"/>
      <c r="R24" s="49"/>
    </row>
    <row r="25" spans="2:18" ht="15.4" customHeight="1" x14ac:dyDescent="0.25">
      <c r="B25" s="18"/>
      <c r="C25" s="50" t="s">
        <v>14</v>
      </c>
      <c r="D25" s="50"/>
      <c r="E25" s="4">
        <v>54</v>
      </c>
      <c r="F25" s="5"/>
      <c r="G25" s="51" t="s">
        <v>15</v>
      </c>
      <c r="H25" s="52"/>
      <c r="I25" s="6">
        <v>30000</v>
      </c>
      <c r="J25" s="3" t="s">
        <v>16</v>
      </c>
      <c r="K25" s="19"/>
      <c r="P25" s="14"/>
      <c r="Q25" s="46"/>
      <c r="R25" s="46"/>
    </row>
    <row r="26" spans="2:18" ht="14.65" customHeight="1" x14ac:dyDescent="0.25">
      <c r="B26" s="18"/>
      <c r="C26" s="50" t="s">
        <v>17</v>
      </c>
      <c r="D26" s="50"/>
      <c r="E26" s="4">
        <v>40</v>
      </c>
      <c r="F26" s="5"/>
      <c r="G26" s="53" t="s">
        <v>18</v>
      </c>
      <c r="H26" s="54"/>
      <c r="I26" s="6">
        <v>30</v>
      </c>
      <c r="J26" s="3" t="s">
        <v>19</v>
      </c>
      <c r="K26" s="19"/>
      <c r="P26" s="14"/>
      <c r="Q26" s="46"/>
      <c r="R26" s="46"/>
    </row>
    <row r="27" spans="2:18" ht="14.65" customHeight="1" x14ac:dyDescent="0.25">
      <c r="B27" s="18"/>
      <c r="C27" s="50" t="s">
        <v>20</v>
      </c>
      <c r="D27" s="50"/>
      <c r="E27" s="7">
        <v>1.2E-2</v>
      </c>
      <c r="F27" s="5"/>
      <c r="G27" s="53" t="s">
        <v>21</v>
      </c>
      <c r="H27" s="54"/>
      <c r="I27" s="6">
        <v>30</v>
      </c>
      <c r="J27" s="3" t="s">
        <v>19</v>
      </c>
      <c r="K27" s="19"/>
      <c r="P27" s="14"/>
      <c r="Q27" s="46"/>
      <c r="R27" s="46"/>
    </row>
    <row r="28" spans="2:18" ht="14.65" customHeight="1" x14ac:dyDescent="0.25">
      <c r="B28" s="18"/>
      <c r="C28" s="55" t="s">
        <v>22</v>
      </c>
      <c r="D28" s="55"/>
      <c r="E28" s="55"/>
      <c r="F28" s="55"/>
      <c r="G28" s="55"/>
      <c r="H28" s="55"/>
      <c r="I28" s="55"/>
      <c r="J28" s="55"/>
      <c r="K28" s="19"/>
      <c r="P28" s="14"/>
      <c r="Q28" s="46"/>
      <c r="R28" s="46"/>
    </row>
    <row r="29" spans="2:18" x14ac:dyDescent="0.25">
      <c r="B29" s="18"/>
      <c r="C29" s="2" t="s">
        <v>23</v>
      </c>
      <c r="D29" s="48">
        <v>0.5</v>
      </c>
      <c r="E29" s="48"/>
      <c r="F29" s="2" t="s">
        <v>24</v>
      </c>
      <c r="G29" s="2" t="s">
        <v>25</v>
      </c>
      <c r="H29" s="48">
        <v>2.7</v>
      </c>
      <c r="I29" s="48"/>
      <c r="J29" s="2" t="s">
        <v>26</v>
      </c>
      <c r="K29" s="19"/>
      <c r="P29" s="14"/>
      <c r="Q29" s="46"/>
      <c r="R29" s="46"/>
    </row>
    <row r="30" spans="2:18" x14ac:dyDescent="0.25">
      <c r="B30" s="18"/>
      <c r="C30" s="2" t="s">
        <v>27</v>
      </c>
      <c r="D30" s="48">
        <v>0.6</v>
      </c>
      <c r="E30" s="48"/>
      <c r="F30" s="2" t="s">
        <v>24</v>
      </c>
      <c r="G30" s="2" t="s">
        <v>28</v>
      </c>
      <c r="H30" s="48">
        <v>8.3000000000000007</v>
      </c>
      <c r="I30" s="48"/>
      <c r="J30" s="2" t="s">
        <v>26</v>
      </c>
      <c r="K30" s="19"/>
      <c r="P30" s="14"/>
      <c r="Q30" s="46"/>
      <c r="R30" s="46"/>
    </row>
    <row r="31" spans="2:18" x14ac:dyDescent="0.25">
      <c r="B31" s="18"/>
      <c r="C31" s="2" t="s">
        <v>29</v>
      </c>
      <c r="D31" s="48">
        <v>10.199999999999999</v>
      </c>
      <c r="E31" s="48"/>
      <c r="F31" s="2" t="s">
        <v>24</v>
      </c>
      <c r="G31" s="2" t="s">
        <v>30</v>
      </c>
      <c r="H31" s="48">
        <v>8.3000000000000007</v>
      </c>
      <c r="I31" s="48"/>
      <c r="J31" s="2" t="s">
        <v>26</v>
      </c>
      <c r="K31" s="19"/>
      <c r="P31" s="14"/>
      <c r="Q31" s="46"/>
      <c r="R31" s="46"/>
    </row>
    <row r="32" spans="2:18" ht="14.1" customHeight="1" x14ac:dyDescent="0.25">
      <c r="B32" s="18"/>
      <c r="C32" s="1"/>
      <c r="D32" s="1"/>
      <c r="E32" s="1"/>
      <c r="F32" s="1"/>
      <c r="G32" s="1"/>
      <c r="H32" s="1"/>
      <c r="I32" s="1"/>
      <c r="J32" s="1"/>
      <c r="K32" s="19"/>
      <c r="P32" s="14"/>
      <c r="Q32" s="46"/>
      <c r="R32" s="46"/>
    </row>
    <row r="33" spans="2:18" ht="14.65" customHeight="1" x14ac:dyDescent="0.25">
      <c r="B33" s="18"/>
      <c r="C33" s="47" t="s">
        <v>31</v>
      </c>
      <c r="D33" s="47"/>
      <c r="E33" s="47"/>
      <c r="F33" s="1"/>
      <c r="G33" s="47" t="s">
        <v>32</v>
      </c>
      <c r="H33" s="47"/>
      <c r="I33" s="47"/>
      <c r="J33" s="47"/>
      <c r="K33" s="19"/>
      <c r="P33" s="14"/>
      <c r="Q33" s="46"/>
      <c r="R33" s="46"/>
    </row>
    <row r="34" spans="2:18" ht="30" x14ac:dyDescent="0.25">
      <c r="B34" s="18"/>
      <c r="C34" s="8" t="s">
        <v>33</v>
      </c>
      <c r="D34" s="8" t="s">
        <v>34</v>
      </c>
      <c r="E34" s="8" t="s">
        <v>35</v>
      </c>
      <c r="F34" s="1"/>
      <c r="G34" s="8" t="s">
        <v>33</v>
      </c>
      <c r="H34" s="8" t="s">
        <v>36</v>
      </c>
      <c r="I34" s="47" t="s">
        <v>37</v>
      </c>
      <c r="J34" s="47"/>
      <c r="K34" s="19"/>
    </row>
    <row r="35" spans="2:18" x14ac:dyDescent="0.25">
      <c r="B35" s="18"/>
      <c r="C35" s="9" t="s">
        <v>38</v>
      </c>
      <c r="D35" s="9" t="s">
        <v>39</v>
      </c>
      <c r="E35" s="9" t="s">
        <v>39</v>
      </c>
      <c r="F35" s="1"/>
      <c r="G35" s="9" t="s">
        <v>38</v>
      </c>
      <c r="H35" s="9" t="s">
        <v>39</v>
      </c>
      <c r="I35" s="70" t="s">
        <v>40</v>
      </c>
      <c r="J35" s="70"/>
      <c r="K35" s="19"/>
    </row>
    <row r="36" spans="2:18" x14ac:dyDescent="0.25">
      <c r="B36" s="18"/>
      <c r="C36" s="4">
        <v>4</v>
      </c>
      <c r="D36" s="4">
        <v>5822.6</v>
      </c>
      <c r="E36" s="10">
        <f>576773/100</f>
        <v>5767.73</v>
      </c>
      <c r="F36" s="1"/>
      <c r="G36" s="4">
        <f>C36</f>
        <v>4</v>
      </c>
      <c r="H36" s="4">
        <f>D36</f>
        <v>5822.6</v>
      </c>
      <c r="I36" s="44">
        <v>86</v>
      </c>
      <c r="J36" s="45"/>
      <c r="K36" s="19"/>
    </row>
    <row r="37" spans="2:18" x14ac:dyDescent="0.25">
      <c r="B37" s="18"/>
      <c r="C37" s="4">
        <v>6</v>
      </c>
      <c r="D37" s="4">
        <v>2422.5</v>
      </c>
      <c r="E37" s="10">
        <f>241361/100</f>
        <v>2413.61</v>
      </c>
      <c r="F37" s="1"/>
      <c r="G37" s="4">
        <f t="shared" ref="G37:H45" si="0">C37</f>
        <v>6</v>
      </c>
      <c r="H37" s="4">
        <f t="shared" si="0"/>
        <v>2422.5</v>
      </c>
      <c r="I37" s="44">
        <v>204</v>
      </c>
      <c r="J37" s="45"/>
      <c r="K37" s="19"/>
    </row>
    <row r="38" spans="2:18" x14ac:dyDescent="0.25">
      <c r="B38" s="18"/>
      <c r="C38" s="4">
        <v>10</v>
      </c>
      <c r="D38" s="4">
        <v>543.79999999999995</v>
      </c>
      <c r="E38" s="10">
        <f>54256/100</f>
        <v>542.55999999999995</v>
      </c>
      <c r="F38" s="1"/>
      <c r="G38" s="4">
        <f t="shared" si="0"/>
        <v>10</v>
      </c>
      <c r="H38" s="4">
        <f t="shared" si="0"/>
        <v>543.79999999999995</v>
      </c>
      <c r="I38" s="44">
        <v>572</v>
      </c>
      <c r="J38" s="45"/>
      <c r="K38" s="19"/>
    </row>
    <row r="39" spans="2:18" x14ac:dyDescent="0.25">
      <c r="B39" s="18"/>
      <c r="C39" s="4">
        <v>14</v>
      </c>
      <c r="D39" s="4">
        <v>182.5</v>
      </c>
      <c r="E39" s="10">
        <f>18343/100</f>
        <v>183.43</v>
      </c>
      <c r="F39" s="1"/>
      <c r="G39" s="4">
        <f t="shared" si="0"/>
        <v>14</v>
      </c>
      <c r="H39" s="4">
        <f t="shared" si="0"/>
        <v>182.5</v>
      </c>
      <c r="I39" s="44">
        <v>1108</v>
      </c>
      <c r="J39" s="45"/>
      <c r="K39" s="19"/>
    </row>
    <row r="40" spans="2:18" x14ac:dyDescent="0.25">
      <c r="B40" s="18"/>
      <c r="C40" s="4">
        <v>21</v>
      </c>
      <c r="D40" s="4">
        <v>51.7</v>
      </c>
      <c r="E40" s="10">
        <f>5165/100</f>
        <v>51.65</v>
      </c>
      <c r="F40" s="1"/>
      <c r="G40" s="4">
        <f t="shared" si="0"/>
        <v>21</v>
      </c>
      <c r="H40" s="4">
        <f t="shared" si="0"/>
        <v>51.7</v>
      </c>
      <c r="I40" s="44">
        <v>2382</v>
      </c>
      <c r="J40" s="45"/>
      <c r="K40" s="19"/>
    </row>
    <row r="41" spans="2:18" x14ac:dyDescent="0.25">
      <c r="B41" s="18"/>
      <c r="C41" s="4">
        <v>25</v>
      </c>
      <c r="D41" s="4">
        <v>22.8</v>
      </c>
      <c r="E41" s="10">
        <f>2195/100</f>
        <v>21.95</v>
      </c>
      <c r="F41" s="1"/>
      <c r="G41" s="4">
        <f t="shared" si="0"/>
        <v>25</v>
      </c>
      <c r="H41" s="4">
        <f t="shared" si="0"/>
        <v>22.8</v>
      </c>
      <c r="I41" s="44">
        <v>3608</v>
      </c>
      <c r="J41" s="45"/>
      <c r="K41" s="19"/>
    </row>
    <row r="42" spans="2:18" x14ac:dyDescent="0.25">
      <c r="B42" s="18"/>
      <c r="C42" s="56"/>
      <c r="D42" s="57"/>
      <c r="E42" s="58"/>
      <c r="F42" s="1"/>
      <c r="G42" s="56"/>
      <c r="H42" s="57"/>
      <c r="I42" s="57"/>
      <c r="J42" s="58"/>
      <c r="K42" s="19"/>
    </row>
    <row r="43" spans="2:18" x14ac:dyDescent="0.25">
      <c r="B43" s="18"/>
      <c r="C43" s="4">
        <v>38</v>
      </c>
      <c r="D43" s="4">
        <v>359</v>
      </c>
      <c r="E43" s="10">
        <v>303</v>
      </c>
      <c r="F43" s="1"/>
      <c r="G43" s="4">
        <f t="shared" si="0"/>
        <v>38</v>
      </c>
      <c r="H43" s="4">
        <f t="shared" si="0"/>
        <v>359</v>
      </c>
      <c r="I43" s="44">
        <v>10029</v>
      </c>
      <c r="J43" s="45"/>
      <c r="K43" s="19"/>
    </row>
    <row r="44" spans="2:18" x14ac:dyDescent="0.25">
      <c r="B44" s="18"/>
      <c r="C44" s="4">
        <v>50</v>
      </c>
      <c r="D44" s="4">
        <v>68</v>
      </c>
      <c r="E44" s="10">
        <v>71</v>
      </c>
      <c r="F44" s="1"/>
      <c r="G44" s="4">
        <f t="shared" si="0"/>
        <v>50</v>
      </c>
      <c r="H44" s="4">
        <f t="shared" si="0"/>
        <v>68</v>
      </c>
      <c r="I44" s="44">
        <v>16221</v>
      </c>
      <c r="J44" s="45"/>
      <c r="K44" s="19"/>
    </row>
    <row r="45" spans="2:18" x14ac:dyDescent="0.25">
      <c r="B45" s="18"/>
      <c r="C45" s="4">
        <v>70</v>
      </c>
      <c r="D45" s="4">
        <v>12</v>
      </c>
      <c r="E45" s="10">
        <v>11</v>
      </c>
      <c r="F45" s="1"/>
      <c r="G45" s="4">
        <f t="shared" si="0"/>
        <v>70</v>
      </c>
      <c r="H45" s="4">
        <f t="shared" si="0"/>
        <v>12</v>
      </c>
      <c r="I45" s="44">
        <v>24748</v>
      </c>
      <c r="J45" s="45"/>
      <c r="K45" s="19"/>
    </row>
    <row r="46" spans="2:18" x14ac:dyDescent="0.25">
      <c r="B46" s="18"/>
      <c r="C46" s="4"/>
      <c r="D46" s="4"/>
      <c r="E46" s="4"/>
      <c r="F46" s="1"/>
      <c r="G46" s="4"/>
      <c r="H46" s="4"/>
      <c r="I46" s="41"/>
      <c r="J46" s="41"/>
      <c r="K46" s="19"/>
    </row>
    <row r="47" spans="2:18" x14ac:dyDescent="0.25">
      <c r="B47" s="18"/>
      <c r="C47" s="4"/>
      <c r="D47" s="4"/>
      <c r="E47" s="4"/>
      <c r="F47" s="1"/>
      <c r="G47" s="4"/>
      <c r="H47" s="4"/>
      <c r="I47" s="41"/>
      <c r="J47" s="41"/>
      <c r="K47" s="19"/>
    </row>
    <row r="48" spans="2:18" x14ac:dyDescent="0.25">
      <c r="B48" s="18"/>
      <c r="C48" s="4"/>
      <c r="D48" s="4"/>
      <c r="E48" s="4"/>
      <c r="F48" s="1"/>
      <c r="G48" s="4"/>
      <c r="H48" s="4"/>
      <c r="I48" s="41"/>
      <c r="J48" s="41"/>
      <c r="K48" s="19"/>
    </row>
    <row r="49" spans="2:11" x14ac:dyDescent="0.25">
      <c r="B49" s="18"/>
      <c r="C49" s="4"/>
      <c r="D49" s="4"/>
      <c r="E49" s="4"/>
      <c r="F49" s="1"/>
      <c r="G49" s="4"/>
      <c r="H49" s="4"/>
      <c r="I49" s="41"/>
      <c r="J49" s="41"/>
      <c r="K49" s="19"/>
    </row>
    <row r="50" spans="2:11" x14ac:dyDescent="0.25">
      <c r="B50" s="18"/>
      <c r="C50" s="4"/>
      <c r="D50" s="4"/>
      <c r="E50" s="4"/>
      <c r="F50" s="1"/>
      <c r="G50" s="4"/>
      <c r="H50" s="4"/>
      <c r="I50" s="41"/>
      <c r="J50" s="41"/>
      <c r="K50" s="19"/>
    </row>
    <row r="51" spans="2:11" x14ac:dyDescent="0.25">
      <c r="B51" s="18"/>
      <c r="C51" s="4"/>
      <c r="D51" s="4"/>
      <c r="E51" s="4"/>
      <c r="F51" s="1"/>
      <c r="G51" s="4"/>
      <c r="H51" s="4"/>
      <c r="I51" s="41"/>
      <c r="J51" s="41"/>
      <c r="K51" s="19"/>
    </row>
    <row r="52" spans="2:11" x14ac:dyDescent="0.25">
      <c r="B52" s="18"/>
      <c r="C52" s="4"/>
      <c r="D52" s="4"/>
      <c r="E52" s="4"/>
      <c r="F52" s="1"/>
      <c r="G52" s="4"/>
      <c r="H52" s="4"/>
      <c r="I52" s="41"/>
      <c r="J52" s="41"/>
      <c r="K52" s="19"/>
    </row>
    <row r="53" spans="2:11" x14ac:dyDescent="0.25">
      <c r="B53" s="18"/>
      <c r="C53" s="4"/>
      <c r="D53" s="4"/>
      <c r="E53" s="4"/>
      <c r="F53" s="1"/>
      <c r="G53" s="4"/>
      <c r="H53" s="4"/>
      <c r="I53" s="41"/>
      <c r="J53" s="41"/>
      <c r="K53" s="19"/>
    </row>
    <row r="54" spans="2:11" x14ac:dyDescent="0.25">
      <c r="B54" s="18"/>
      <c r="C54" s="4"/>
      <c r="D54" s="4"/>
      <c r="E54" s="4"/>
      <c r="F54" s="1"/>
      <c r="G54" s="4"/>
      <c r="H54" s="4"/>
      <c r="I54" s="41"/>
      <c r="J54" s="41"/>
      <c r="K54" s="19"/>
    </row>
    <row r="55" spans="2:11" x14ac:dyDescent="0.25">
      <c r="B55" s="18"/>
      <c r="C55" s="4"/>
      <c r="D55" s="4"/>
      <c r="E55" s="4"/>
      <c r="F55" s="1"/>
      <c r="G55" s="4"/>
      <c r="H55" s="4"/>
      <c r="I55" s="41"/>
      <c r="J55" s="41"/>
      <c r="K55" s="19"/>
    </row>
    <row r="56" spans="2:11" x14ac:dyDescent="0.25">
      <c r="B56" s="18"/>
      <c r="C56" s="4"/>
      <c r="D56" s="4"/>
      <c r="E56" s="4"/>
      <c r="F56" s="1"/>
      <c r="G56" s="4"/>
      <c r="H56" s="4"/>
      <c r="I56" s="41"/>
      <c r="J56" s="41"/>
      <c r="K56" s="19"/>
    </row>
    <row r="57" spans="2:11" x14ac:dyDescent="0.25">
      <c r="B57" s="18"/>
      <c r="K57" s="19"/>
    </row>
    <row r="58" spans="2:11" ht="14.65" customHeight="1" x14ac:dyDescent="0.25">
      <c r="B58" s="18"/>
      <c r="C58" s="42" t="s">
        <v>48</v>
      </c>
      <c r="D58" s="43"/>
      <c r="E58" s="43"/>
      <c r="F58" s="43"/>
      <c r="G58" s="43"/>
      <c r="H58" s="43"/>
      <c r="I58" s="43"/>
      <c r="J58" s="43"/>
      <c r="K58" s="19"/>
    </row>
    <row r="59" spans="2:11" x14ac:dyDescent="0.25">
      <c r="B59" s="18"/>
      <c r="C59" s="43"/>
      <c r="D59" s="43"/>
      <c r="E59" s="43"/>
      <c r="F59" s="43"/>
      <c r="G59" s="43"/>
      <c r="H59" s="43"/>
      <c r="I59" s="43"/>
      <c r="J59" s="43"/>
      <c r="K59" s="19"/>
    </row>
    <row r="60" spans="2:11" x14ac:dyDescent="0.25">
      <c r="B60" s="18"/>
      <c r="C60" s="43"/>
      <c r="D60" s="43"/>
      <c r="E60" s="43"/>
      <c r="F60" s="43"/>
      <c r="G60" s="43"/>
      <c r="H60" s="43"/>
      <c r="I60" s="43"/>
      <c r="J60" s="43"/>
      <c r="K60" s="19"/>
    </row>
    <row r="61" spans="2:11" x14ac:dyDescent="0.25">
      <c r="B61" s="18"/>
      <c r="C61" s="43"/>
      <c r="D61" s="43"/>
      <c r="E61" s="43"/>
      <c r="F61" s="43"/>
      <c r="G61" s="43"/>
      <c r="H61" s="43"/>
      <c r="I61" s="43"/>
      <c r="J61" s="43"/>
      <c r="K61" s="19"/>
    </row>
    <row r="62" spans="2:11" x14ac:dyDescent="0.25">
      <c r="B62" s="18"/>
      <c r="C62" s="43"/>
      <c r="D62" s="43"/>
      <c r="E62" s="43"/>
      <c r="F62" s="43"/>
      <c r="G62" s="43"/>
      <c r="H62" s="43"/>
      <c r="I62" s="43"/>
      <c r="J62" s="43"/>
      <c r="K62" s="19"/>
    </row>
    <row r="63" spans="2:11" x14ac:dyDescent="0.25">
      <c r="B63" s="22"/>
      <c r="C63" s="23"/>
      <c r="D63" s="23"/>
      <c r="E63" s="23"/>
      <c r="F63" s="23"/>
      <c r="G63" s="23"/>
      <c r="H63" s="23"/>
      <c r="I63" s="23"/>
      <c r="J63" s="23"/>
      <c r="K63" s="24"/>
    </row>
  </sheetData>
  <mergeCells count="65">
    <mergeCell ref="C10:J11"/>
    <mergeCell ref="C12:F14"/>
    <mergeCell ref="G12:J14"/>
    <mergeCell ref="C15:F17"/>
    <mergeCell ref="G15:J17"/>
    <mergeCell ref="C42:E42"/>
    <mergeCell ref="G42:J42"/>
    <mergeCell ref="C19:J20"/>
    <mergeCell ref="C21:C24"/>
    <mergeCell ref="G21:H21"/>
    <mergeCell ref="I21:J21"/>
    <mergeCell ref="G22:H22"/>
    <mergeCell ref="I22:J22"/>
    <mergeCell ref="G23:H23"/>
    <mergeCell ref="I23:J23"/>
    <mergeCell ref="G24:H24"/>
    <mergeCell ref="I24:J24"/>
    <mergeCell ref="D29:E29"/>
    <mergeCell ref="H29:I29"/>
    <mergeCell ref="I35:J35"/>
    <mergeCell ref="D30:E30"/>
    <mergeCell ref="Q29:R29"/>
    <mergeCell ref="Q24:R24"/>
    <mergeCell ref="C25:D25"/>
    <mergeCell ref="G25:H25"/>
    <mergeCell ref="Q25:R25"/>
    <mergeCell ref="C26:D26"/>
    <mergeCell ref="G26:H26"/>
    <mergeCell ref="Q26:R26"/>
    <mergeCell ref="C27:D27"/>
    <mergeCell ref="G27:H27"/>
    <mergeCell ref="Q27:R27"/>
    <mergeCell ref="C28:J28"/>
    <mergeCell ref="Q28:R28"/>
    <mergeCell ref="H30:I30"/>
    <mergeCell ref="Q30:R30"/>
    <mergeCell ref="D31:E31"/>
    <mergeCell ref="H31:I31"/>
    <mergeCell ref="Q31:R31"/>
    <mergeCell ref="Q32:R32"/>
    <mergeCell ref="C33:E33"/>
    <mergeCell ref="G33:J33"/>
    <mergeCell ref="Q33:R33"/>
    <mergeCell ref="I34:J34"/>
    <mergeCell ref="I48:J48"/>
    <mergeCell ref="I36:J36"/>
    <mergeCell ref="I37:J37"/>
    <mergeCell ref="I38:J38"/>
    <mergeCell ref="I39:J39"/>
    <mergeCell ref="I40:J40"/>
    <mergeCell ref="I41:J41"/>
    <mergeCell ref="I43:J43"/>
    <mergeCell ref="I44:J44"/>
    <mergeCell ref="I45:J45"/>
    <mergeCell ref="I46:J46"/>
    <mergeCell ref="I47:J47"/>
    <mergeCell ref="I55:J55"/>
    <mergeCell ref="I56:J56"/>
    <mergeCell ref="C58:J62"/>
    <mergeCell ref="I49:J49"/>
    <mergeCell ref="I50:J50"/>
    <mergeCell ref="I51:J51"/>
    <mergeCell ref="I52:J52"/>
    <mergeCell ref="I53:J53"/>
    <mergeCell ref="I54:J54"/>
  </mergeCells>
  <hyperlinks>
    <hyperlink ref="C8" r:id="rId1" xr:uid="{993972F6-6CD3-4D96-ABAE-C625103B5E96}"/>
  </hyperlinks>
  <pageMargins left="0.7" right="0.7" top="0.75" bottom="0.75" header="0.3" footer="0.3"/>
  <pageSetup scale="48" orientation="portrait" r:id="rId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8B60-A5A0-4939-BF0C-646DF74FD312}">
  <sheetPr>
    <pageSetUpPr fitToPage="1"/>
  </sheetPr>
  <dimension ref="B2:R63"/>
  <sheetViews>
    <sheetView showGridLines="0" zoomScale="90" zoomScaleNormal="90" workbookViewId="0">
      <selection activeCell="C10" sqref="C10:J17"/>
    </sheetView>
  </sheetViews>
  <sheetFormatPr defaultRowHeight="15" x14ac:dyDescent="0.25"/>
  <cols>
    <col min="1" max="1" width="3.7109375" customWidth="1"/>
    <col min="2" max="2" width="3.140625" customWidth="1"/>
    <col min="3" max="3" width="10" customWidth="1"/>
    <col min="4" max="4" width="16.7109375" customWidth="1"/>
    <col min="5" max="5" width="25.7109375" customWidth="1"/>
    <col min="6" max="6" width="4" customWidth="1"/>
    <col min="7" max="7" width="10" customWidth="1"/>
    <col min="8" max="8" width="25.7109375" customWidth="1"/>
    <col min="9" max="9" width="10.140625" customWidth="1"/>
    <col min="10" max="10" width="10.85546875" customWidth="1"/>
    <col min="11" max="11" width="3.140625" customWidth="1"/>
  </cols>
  <sheetData>
    <row r="2" spans="2:11" x14ac:dyDescent="0.2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1" x14ac:dyDescent="0.25">
      <c r="B3" s="18"/>
      <c r="C3" t="s">
        <v>42</v>
      </c>
      <c r="K3" s="19"/>
    </row>
    <row r="4" spans="2:11" x14ac:dyDescent="0.25">
      <c r="B4" s="18"/>
      <c r="C4" t="s">
        <v>43</v>
      </c>
      <c r="K4" s="19"/>
    </row>
    <row r="5" spans="2:11" x14ac:dyDescent="0.25">
      <c r="B5" s="18"/>
      <c r="C5" t="s">
        <v>44</v>
      </c>
      <c r="K5" s="19"/>
    </row>
    <row r="6" spans="2:11" x14ac:dyDescent="0.25">
      <c r="B6" s="18"/>
      <c r="C6" t="s">
        <v>45</v>
      </c>
      <c r="K6" s="19"/>
    </row>
    <row r="7" spans="2:11" x14ac:dyDescent="0.25">
      <c r="B7" s="18"/>
      <c r="C7" t="s">
        <v>46</v>
      </c>
      <c r="K7" s="19"/>
    </row>
    <row r="8" spans="2:11" x14ac:dyDescent="0.25">
      <c r="B8" s="18"/>
      <c r="C8" s="20" t="s">
        <v>47</v>
      </c>
      <c r="K8" s="19"/>
    </row>
    <row r="9" spans="2:11" x14ac:dyDescent="0.25">
      <c r="B9" s="18"/>
      <c r="C9" s="20"/>
      <c r="K9" s="19"/>
    </row>
    <row r="10" spans="2:11" x14ac:dyDescent="0.25">
      <c r="B10" s="18"/>
      <c r="C10" s="86" t="s">
        <v>77</v>
      </c>
      <c r="D10" s="76"/>
      <c r="E10" s="76"/>
      <c r="F10" s="76"/>
      <c r="G10" s="76"/>
      <c r="H10" s="76"/>
      <c r="I10" s="76"/>
      <c r="J10" s="76"/>
      <c r="K10" s="19"/>
    </row>
    <row r="11" spans="2:11" x14ac:dyDescent="0.25">
      <c r="B11" s="18"/>
      <c r="C11" s="76"/>
      <c r="D11" s="76"/>
      <c r="E11" s="76"/>
      <c r="F11" s="76"/>
      <c r="G11" s="76"/>
      <c r="H11" s="76"/>
      <c r="I11" s="76"/>
      <c r="J11" s="76"/>
      <c r="K11" s="19"/>
    </row>
    <row r="12" spans="2:11" x14ac:dyDescent="0.25">
      <c r="B12" s="18"/>
      <c r="C12" s="90" t="s">
        <v>78</v>
      </c>
      <c r="D12" s="90"/>
      <c r="E12" s="90"/>
      <c r="F12" s="90"/>
      <c r="G12" s="90" t="s">
        <v>79</v>
      </c>
      <c r="H12" s="90"/>
      <c r="I12" s="90"/>
      <c r="J12" s="90"/>
      <c r="K12" s="19"/>
    </row>
    <row r="13" spans="2:11" x14ac:dyDescent="0.25">
      <c r="B13" s="18"/>
      <c r="C13" s="90"/>
      <c r="D13" s="90"/>
      <c r="E13" s="90"/>
      <c r="F13" s="90"/>
      <c r="G13" s="90"/>
      <c r="H13" s="90"/>
      <c r="I13" s="90"/>
      <c r="J13" s="90"/>
      <c r="K13" s="19"/>
    </row>
    <row r="14" spans="2:11" x14ac:dyDescent="0.25">
      <c r="B14" s="18"/>
      <c r="C14" s="90"/>
      <c r="D14" s="90"/>
      <c r="E14" s="90"/>
      <c r="F14" s="90"/>
      <c r="G14" s="90"/>
      <c r="H14" s="90"/>
      <c r="I14" s="90"/>
      <c r="J14" s="90"/>
      <c r="K14" s="19"/>
    </row>
    <row r="15" spans="2:11" x14ac:dyDescent="0.25">
      <c r="B15" s="18"/>
      <c r="C15" s="90" t="s">
        <v>100</v>
      </c>
      <c r="D15" s="90"/>
      <c r="E15" s="90"/>
      <c r="F15" s="90"/>
      <c r="G15" s="77" t="s">
        <v>101</v>
      </c>
      <c r="H15" s="78"/>
      <c r="I15" s="78"/>
      <c r="J15" s="79"/>
      <c r="K15" s="19"/>
    </row>
    <row r="16" spans="2:11" x14ac:dyDescent="0.25">
      <c r="B16" s="18"/>
      <c r="C16" s="90"/>
      <c r="D16" s="90"/>
      <c r="E16" s="90"/>
      <c r="F16" s="90"/>
      <c r="G16" s="80"/>
      <c r="H16" s="81"/>
      <c r="I16" s="81"/>
      <c r="J16" s="82"/>
      <c r="K16" s="19"/>
    </row>
    <row r="17" spans="2:18" x14ac:dyDescent="0.25">
      <c r="B17" s="18"/>
      <c r="C17" s="90"/>
      <c r="D17" s="90"/>
      <c r="E17" s="90"/>
      <c r="F17" s="90"/>
      <c r="G17" s="83"/>
      <c r="H17" s="84"/>
      <c r="I17" s="84"/>
      <c r="J17" s="85"/>
      <c r="K17" s="19"/>
    </row>
    <row r="18" spans="2:18" x14ac:dyDescent="0.25">
      <c r="B18" s="18"/>
      <c r="K18" s="19"/>
    </row>
    <row r="19" spans="2:18" ht="18.399999999999999" customHeight="1" x14ac:dyDescent="0.25">
      <c r="B19" s="18"/>
      <c r="C19" s="59" t="s">
        <v>0</v>
      </c>
      <c r="D19" s="60"/>
      <c r="E19" s="60"/>
      <c r="F19" s="60"/>
      <c r="G19" s="60"/>
      <c r="H19" s="60"/>
      <c r="I19" s="60"/>
      <c r="J19" s="61"/>
      <c r="K19" s="19"/>
    </row>
    <row r="20" spans="2:18" ht="14.65" customHeight="1" x14ac:dyDescent="0.25">
      <c r="B20" s="18"/>
      <c r="C20" s="62"/>
      <c r="D20" s="63"/>
      <c r="E20" s="63"/>
      <c r="F20" s="63"/>
      <c r="G20" s="63"/>
      <c r="H20" s="63"/>
      <c r="I20" s="63"/>
      <c r="J20" s="64"/>
      <c r="K20" s="19"/>
    </row>
    <row r="21" spans="2:18" ht="14.65" customHeight="1" x14ac:dyDescent="0.25">
      <c r="B21" s="18"/>
      <c r="C21" s="65" t="s">
        <v>1</v>
      </c>
      <c r="D21" s="3" t="s">
        <v>2</v>
      </c>
      <c r="E21" s="4" t="s">
        <v>3</v>
      </c>
      <c r="F21" s="5"/>
      <c r="G21" s="53" t="s">
        <v>4</v>
      </c>
      <c r="H21" s="54"/>
      <c r="I21" s="66">
        <v>46183</v>
      </c>
      <c r="J21" s="67"/>
      <c r="K21" s="19"/>
    </row>
    <row r="22" spans="2:18" x14ac:dyDescent="0.25">
      <c r="B22" s="18"/>
      <c r="C22" s="65"/>
      <c r="D22" s="3" t="s">
        <v>5</v>
      </c>
      <c r="E22" s="4">
        <v>63010055</v>
      </c>
      <c r="F22" s="5"/>
      <c r="G22" s="53" t="s">
        <v>6</v>
      </c>
      <c r="H22" s="54"/>
      <c r="I22" s="68" t="s">
        <v>7</v>
      </c>
      <c r="J22" s="69"/>
      <c r="K22" s="19"/>
    </row>
    <row r="23" spans="2:18" ht="14.65" customHeight="1" x14ac:dyDescent="0.25">
      <c r="B23" s="18"/>
      <c r="C23" s="65"/>
      <c r="D23" s="3" t="s">
        <v>2</v>
      </c>
      <c r="E23" s="4" t="s">
        <v>8</v>
      </c>
      <c r="F23" s="5"/>
      <c r="G23" s="51" t="s">
        <v>9</v>
      </c>
      <c r="H23" s="52"/>
      <c r="I23" s="68" t="s">
        <v>10</v>
      </c>
      <c r="J23" s="69"/>
      <c r="K23" s="19"/>
    </row>
    <row r="24" spans="2:18" ht="14.65" customHeight="1" x14ac:dyDescent="0.25">
      <c r="B24" s="18"/>
      <c r="C24" s="65"/>
      <c r="D24" s="3" t="s">
        <v>5</v>
      </c>
      <c r="E24" s="4" t="s">
        <v>11</v>
      </c>
      <c r="F24" s="5"/>
      <c r="G24" s="51" t="s">
        <v>12</v>
      </c>
      <c r="H24" s="52"/>
      <c r="I24" s="68" t="s">
        <v>13</v>
      </c>
      <c r="J24" s="69"/>
      <c r="K24" s="19"/>
      <c r="P24" s="13"/>
      <c r="Q24" s="49"/>
      <c r="R24" s="49"/>
    </row>
    <row r="25" spans="2:18" ht="15.4" customHeight="1" x14ac:dyDescent="0.25">
      <c r="B25" s="18"/>
      <c r="C25" s="50" t="s">
        <v>14</v>
      </c>
      <c r="D25" s="50"/>
      <c r="E25" s="4">
        <v>54</v>
      </c>
      <c r="F25" s="5"/>
      <c r="G25" s="51" t="s">
        <v>15</v>
      </c>
      <c r="H25" s="52"/>
      <c r="I25" s="6">
        <v>30000</v>
      </c>
      <c r="J25" s="3" t="s">
        <v>16</v>
      </c>
      <c r="K25" s="19"/>
      <c r="P25" s="14"/>
      <c r="Q25" s="46"/>
      <c r="R25" s="46"/>
    </row>
    <row r="26" spans="2:18" ht="14.65" customHeight="1" x14ac:dyDescent="0.25">
      <c r="B26" s="18"/>
      <c r="C26" s="50" t="s">
        <v>17</v>
      </c>
      <c r="D26" s="50"/>
      <c r="E26" s="4">
        <v>40</v>
      </c>
      <c r="F26" s="5"/>
      <c r="G26" s="53" t="s">
        <v>18</v>
      </c>
      <c r="H26" s="54"/>
      <c r="I26" s="6">
        <v>30</v>
      </c>
      <c r="J26" s="3" t="s">
        <v>19</v>
      </c>
      <c r="K26" s="19"/>
      <c r="P26" s="14"/>
      <c r="Q26" s="46"/>
      <c r="R26" s="46"/>
    </row>
    <row r="27" spans="2:18" ht="14.65" customHeight="1" x14ac:dyDescent="0.25">
      <c r="B27" s="18"/>
      <c r="C27" s="50" t="s">
        <v>20</v>
      </c>
      <c r="D27" s="50"/>
      <c r="E27" s="7">
        <v>1.2E-2</v>
      </c>
      <c r="F27" s="5"/>
      <c r="G27" s="53" t="s">
        <v>21</v>
      </c>
      <c r="H27" s="54"/>
      <c r="I27" s="6">
        <v>30</v>
      </c>
      <c r="J27" s="3" t="s">
        <v>19</v>
      </c>
      <c r="K27" s="19"/>
      <c r="P27" s="14"/>
      <c r="Q27" s="46"/>
      <c r="R27" s="46"/>
    </row>
    <row r="28" spans="2:18" ht="14.65" customHeight="1" x14ac:dyDescent="0.25">
      <c r="B28" s="18"/>
      <c r="C28" s="55" t="s">
        <v>22</v>
      </c>
      <c r="D28" s="55"/>
      <c r="E28" s="55"/>
      <c r="F28" s="55"/>
      <c r="G28" s="55"/>
      <c r="H28" s="55"/>
      <c r="I28" s="55"/>
      <c r="J28" s="55"/>
      <c r="K28" s="19"/>
      <c r="P28" s="14"/>
      <c r="Q28" s="46"/>
      <c r="R28" s="46"/>
    </row>
    <row r="29" spans="2:18" x14ac:dyDescent="0.25">
      <c r="B29" s="18"/>
      <c r="C29" s="2" t="s">
        <v>23</v>
      </c>
      <c r="D29" s="48">
        <v>0.5</v>
      </c>
      <c r="E29" s="48"/>
      <c r="F29" s="2" t="s">
        <v>24</v>
      </c>
      <c r="G29" s="2" t="s">
        <v>25</v>
      </c>
      <c r="H29" s="48">
        <v>2.7</v>
      </c>
      <c r="I29" s="48"/>
      <c r="J29" s="2" t="s">
        <v>26</v>
      </c>
      <c r="K29" s="19"/>
      <c r="P29" s="14"/>
      <c r="Q29" s="46"/>
      <c r="R29" s="46"/>
    </row>
    <row r="30" spans="2:18" x14ac:dyDescent="0.25">
      <c r="B30" s="18"/>
      <c r="C30" s="2" t="s">
        <v>27</v>
      </c>
      <c r="D30" s="48">
        <v>0.6</v>
      </c>
      <c r="E30" s="48"/>
      <c r="F30" s="2" t="s">
        <v>24</v>
      </c>
      <c r="G30" s="2" t="s">
        <v>28</v>
      </c>
      <c r="H30" s="48">
        <v>8.3000000000000007</v>
      </c>
      <c r="I30" s="48"/>
      <c r="J30" s="2" t="s">
        <v>26</v>
      </c>
      <c r="K30" s="19"/>
      <c r="P30" s="14"/>
      <c r="Q30" s="46"/>
      <c r="R30" s="46"/>
    </row>
    <row r="31" spans="2:18" x14ac:dyDescent="0.25">
      <c r="B31" s="18"/>
      <c r="C31" s="2" t="s">
        <v>29</v>
      </c>
      <c r="D31" s="48">
        <v>10.199999999999999</v>
      </c>
      <c r="E31" s="48"/>
      <c r="F31" s="2" t="s">
        <v>24</v>
      </c>
      <c r="G31" s="2" t="s">
        <v>30</v>
      </c>
      <c r="H31" s="48">
        <v>8.3000000000000007</v>
      </c>
      <c r="I31" s="48"/>
      <c r="J31" s="2" t="s">
        <v>26</v>
      </c>
      <c r="K31" s="19"/>
      <c r="P31" s="14"/>
      <c r="Q31" s="46"/>
      <c r="R31" s="46"/>
    </row>
    <row r="32" spans="2:18" ht="14.1" customHeight="1" x14ac:dyDescent="0.25">
      <c r="B32" s="18"/>
      <c r="C32" s="1"/>
      <c r="D32" s="1"/>
      <c r="E32" s="1"/>
      <c r="F32" s="1"/>
      <c r="G32" s="1"/>
      <c r="H32" s="1"/>
      <c r="I32" s="1"/>
      <c r="J32" s="1"/>
      <c r="K32" s="19"/>
      <c r="P32" s="14"/>
      <c r="Q32" s="46"/>
      <c r="R32" s="46"/>
    </row>
    <row r="33" spans="2:18" ht="14.65" customHeight="1" x14ac:dyDescent="0.25">
      <c r="B33" s="18"/>
      <c r="C33" s="47" t="s">
        <v>31</v>
      </c>
      <c r="D33" s="47"/>
      <c r="E33" s="47"/>
      <c r="F33" s="1"/>
      <c r="G33" s="47" t="s">
        <v>32</v>
      </c>
      <c r="H33" s="47"/>
      <c r="I33" s="47"/>
      <c r="J33" s="47"/>
      <c r="K33" s="19"/>
      <c r="P33" s="14"/>
      <c r="Q33" s="46"/>
      <c r="R33" s="46"/>
    </row>
    <row r="34" spans="2:18" ht="30" x14ac:dyDescent="0.25">
      <c r="B34" s="18"/>
      <c r="C34" s="8" t="s">
        <v>33</v>
      </c>
      <c r="D34" s="8" t="s">
        <v>34</v>
      </c>
      <c r="E34" s="8" t="s">
        <v>35</v>
      </c>
      <c r="F34" s="1"/>
      <c r="G34" s="8" t="s">
        <v>33</v>
      </c>
      <c r="H34" s="8" t="s">
        <v>36</v>
      </c>
      <c r="I34" s="47" t="s">
        <v>37</v>
      </c>
      <c r="J34" s="47"/>
      <c r="K34" s="19"/>
    </row>
    <row r="35" spans="2:18" x14ac:dyDescent="0.25">
      <c r="B35" s="18"/>
      <c r="C35" s="9" t="s">
        <v>38</v>
      </c>
      <c r="D35" s="9" t="s">
        <v>39</v>
      </c>
      <c r="E35" s="9" t="s">
        <v>39</v>
      </c>
      <c r="F35" s="1"/>
      <c r="G35" s="9" t="s">
        <v>38</v>
      </c>
      <c r="H35" s="9" t="s">
        <v>39</v>
      </c>
      <c r="I35" s="70" t="s">
        <v>40</v>
      </c>
      <c r="J35" s="70"/>
      <c r="K35" s="19"/>
    </row>
    <row r="36" spans="2:18" x14ac:dyDescent="0.25">
      <c r="B36" s="18"/>
      <c r="C36" s="4">
        <v>4</v>
      </c>
      <c r="D36" s="4">
        <v>10809.4</v>
      </c>
      <c r="E36" s="10">
        <f>1098065/100</f>
        <v>10980.65</v>
      </c>
      <c r="F36" s="1"/>
      <c r="G36" s="4">
        <f>C36</f>
        <v>4</v>
      </c>
      <c r="H36" s="4">
        <f>D36</f>
        <v>10809.4</v>
      </c>
      <c r="I36" s="44">
        <v>82</v>
      </c>
      <c r="J36" s="45"/>
      <c r="K36" s="19"/>
    </row>
    <row r="37" spans="2:18" x14ac:dyDescent="0.25">
      <c r="B37" s="18"/>
      <c r="C37" s="4">
        <v>6</v>
      </c>
      <c r="D37" s="4">
        <v>4647.7</v>
      </c>
      <c r="E37" s="10">
        <f>468172/100</f>
        <v>4681.72</v>
      </c>
      <c r="F37" s="1"/>
      <c r="G37" s="4">
        <f t="shared" ref="G37:H45" si="0">C37</f>
        <v>6</v>
      </c>
      <c r="H37" s="4">
        <f t="shared" si="0"/>
        <v>4647.7</v>
      </c>
      <c r="I37" s="44">
        <v>190</v>
      </c>
      <c r="J37" s="45"/>
      <c r="K37" s="19"/>
    </row>
    <row r="38" spans="2:18" x14ac:dyDescent="0.25">
      <c r="B38" s="18"/>
      <c r="C38" s="4">
        <v>10</v>
      </c>
      <c r="D38" s="4">
        <v>1074.3</v>
      </c>
      <c r="E38" s="10">
        <f>107450/100</f>
        <v>1074.5</v>
      </c>
      <c r="F38" s="1"/>
      <c r="G38" s="4">
        <f t="shared" si="0"/>
        <v>10</v>
      </c>
      <c r="H38" s="4">
        <f t="shared" si="0"/>
        <v>1074.3</v>
      </c>
      <c r="I38" s="44">
        <v>530</v>
      </c>
      <c r="J38" s="45"/>
      <c r="K38" s="19"/>
    </row>
    <row r="39" spans="2:18" x14ac:dyDescent="0.25">
      <c r="B39" s="18"/>
      <c r="C39" s="4">
        <v>14</v>
      </c>
      <c r="D39" s="4">
        <v>365.5</v>
      </c>
      <c r="E39" s="10">
        <f>36852/100</f>
        <v>368.52</v>
      </c>
      <c r="F39" s="1"/>
      <c r="G39" s="4">
        <f t="shared" si="0"/>
        <v>14</v>
      </c>
      <c r="H39" s="4">
        <f t="shared" si="0"/>
        <v>365.5</v>
      </c>
      <c r="I39" s="44">
        <v>1030</v>
      </c>
      <c r="J39" s="45"/>
      <c r="K39" s="19"/>
    </row>
    <row r="40" spans="2:18" x14ac:dyDescent="0.25">
      <c r="B40" s="18"/>
      <c r="C40" s="4">
        <v>21</v>
      </c>
      <c r="D40" s="4">
        <v>109.8</v>
      </c>
      <c r="E40" s="10">
        <f>11173/100</f>
        <v>111.73</v>
      </c>
      <c r="F40" s="1"/>
      <c r="G40" s="4">
        <f t="shared" si="0"/>
        <v>21</v>
      </c>
      <c r="H40" s="4">
        <f t="shared" si="0"/>
        <v>109.8</v>
      </c>
      <c r="I40" s="44">
        <v>2076</v>
      </c>
      <c r="J40" s="45"/>
      <c r="K40" s="19"/>
    </row>
    <row r="41" spans="2:18" x14ac:dyDescent="0.25">
      <c r="B41" s="18"/>
      <c r="C41" s="4">
        <v>25</v>
      </c>
      <c r="D41" s="4">
        <v>52.1</v>
      </c>
      <c r="E41" s="10">
        <f>5463/100</f>
        <v>54.63</v>
      </c>
      <c r="F41" s="1"/>
      <c r="G41" s="4">
        <f t="shared" si="0"/>
        <v>25</v>
      </c>
      <c r="H41" s="4">
        <f t="shared" si="0"/>
        <v>52.1</v>
      </c>
      <c r="I41" s="44">
        <v>3036</v>
      </c>
      <c r="J41" s="45"/>
      <c r="K41" s="19"/>
    </row>
    <row r="42" spans="2:18" x14ac:dyDescent="0.25">
      <c r="B42" s="18"/>
      <c r="C42" s="56"/>
      <c r="D42" s="57"/>
      <c r="E42" s="58"/>
      <c r="F42" s="1"/>
      <c r="G42" s="56"/>
      <c r="H42" s="57"/>
      <c r="I42" s="57"/>
      <c r="J42" s="58"/>
      <c r="K42" s="19"/>
    </row>
    <row r="43" spans="2:18" x14ac:dyDescent="0.25">
      <c r="B43" s="18"/>
      <c r="C43" s="4">
        <v>38</v>
      </c>
      <c r="D43" s="4">
        <v>441</v>
      </c>
      <c r="E43" s="10">
        <v>481</v>
      </c>
      <c r="F43" s="1"/>
      <c r="G43" s="4">
        <f t="shared" si="0"/>
        <v>38</v>
      </c>
      <c r="H43" s="4">
        <f t="shared" si="0"/>
        <v>441</v>
      </c>
      <c r="I43" s="44">
        <v>10144</v>
      </c>
      <c r="J43" s="45"/>
      <c r="K43" s="19"/>
    </row>
    <row r="44" spans="2:18" x14ac:dyDescent="0.25">
      <c r="B44" s="18"/>
      <c r="C44" s="4">
        <v>50</v>
      </c>
      <c r="D44" s="4">
        <v>102</v>
      </c>
      <c r="E44" s="10">
        <v>124</v>
      </c>
      <c r="F44" s="1"/>
      <c r="G44" s="4">
        <f t="shared" si="0"/>
        <v>50</v>
      </c>
      <c r="H44" s="4">
        <f t="shared" si="0"/>
        <v>102</v>
      </c>
      <c r="I44" s="44">
        <v>15958</v>
      </c>
      <c r="J44" s="45"/>
      <c r="K44" s="19"/>
    </row>
    <row r="45" spans="2:18" x14ac:dyDescent="0.25">
      <c r="B45" s="18"/>
      <c r="C45" s="4">
        <v>70</v>
      </c>
      <c r="D45" s="4">
        <v>2.2999999999999998</v>
      </c>
      <c r="E45" s="10">
        <v>4.0999999999999996</v>
      </c>
      <c r="F45" s="1"/>
      <c r="G45" s="4">
        <f t="shared" si="0"/>
        <v>70</v>
      </c>
      <c r="H45" s="4">
        <f t="shared" si="0"/>
        <v>2.2999999999999998</v>
      </c>
      <c r="I45" s="44">
        <v>25096</v>
      </c>
      <c r="J45" s="45"/>
      <c r="K45" s="19"/>
    </row>
    <row r="46" spans="2:18" x14ac:dyDescent="0.25">
      <c r="B46" s="18"/>
      <c r="C46" s="4"/>
      <c r="D46" s="4"/>
      <c r="E46" s="4"/>
      <c r="F46" s="1"/>
      <c r="G46" s="4"/>
      <c r="H46" s="4"/>
      <c r="I46" s="41"/>
      <c r="J46" s="41"/>
      <c r="K46" s="19"/>
    </row>
    <row r="47" spans="2:18" x14ac:dyDescent="0.25">
      <c r="B47" s="18"/>
      <c r="C47" s="4"/>
      <c r="D47" s="4"/>
      <c r="E47" s="4"/>
      <c r="F47" s="1"/>
      <c r="G47" s="4"/>
      <c r="H47" s="4"/>
      <c r="I47" s="41"/>
      <c r="J47" s="41"/>
      <c r="K47" s="19"/>
    </row>
    <row r="48" spans="2:18" x14ac:dyDescent="0.25">
      <c r="B48" s="18"/>
      <c r="C48" s="4"/>
      <c r="D48" s="4"/>
      <c r="E48" s="4"/>
      <c r="F48" s="1"/>
      <c r="G48" s="4"/>
      <c r="H48" s="4"/>
      <c r="I48" s="41"/>
      <c r="J48" s="41"/>
      <c r="K48" s="19"/>
    </row>
    <row r="49" spans="2:11" x14ac:dyDescent="0.25">
      <c r="B49" s="18"/>
      <c r="C49" s="4"/>
      <c r="D49" s="4"/>
      <c r="E49" s="4"/>
      <c r="F49" s="1"/>
      <c r="G49" s="4"/>
      <c r="H49" s="4"/>
      <c r="I49" s="41"/>
      <c r="J49" s="41"/>
      <c r="K49" s="19"/>
    </row>
    <row r="50" spans="2:11" x14ac:dyDescent="0.25">
      <c r="B50" s="18"/>
      <c r="C50" s="4"/>
      <c r="D50" s="4"/>
      <c r="E50" s="4"/>
      <c r="F50" s="1"/>
      <c r="G50" s="4"/>
      <c r="H50" s="4"/>
      <c r="I50" s="41"/>
      <c r="J50" s="41"/>
      <c r="K50" s="19"/>
    </row>
    <row r="51" spans="2:11" x14ac:dyDescent="0.25">
      <c r="B51" s="18"/>
      <c r="C51" s="4"/>
      <c r="D51" s="4"/>
      <c r="E51" s="4"/>
      <c r="F51" s="1"/>
      <c r="G51" s="4"/>
      <c r="H51" s="4"/>
      <c r="I51" s="41"/>
      <c r="J51" s="41"/>
      <c r="K51" s="19"/>
    </row>
    <row r="52" spans="2:11" x14ac:dyDescent="0.25">
      <c r="B52" s="18"/>
      <c r="C52" s="4"/>
      <c r="D52" s="4"/>
      <c r="E52" s="4"/>
      <c r="F52" s="1"/>
      <c r="G52" s="4"/>
      <c r="H52" s="4"/>
      <c r="I52" s="41"/>
      <c r="J52" s="41"/>
      <c r="K52" s="19"/>
    </row>
    <row r="53" spans="2:11" x14ac:dyDescent="0.25">
      <c r="B53" s="18"/>
      <c r="C53" s="4"/>
      <c r="D53" s="4"/>
      <c r="E53" s="4"/>
      <c r="F53" s="1"/>
      <c r="G53" s="4"/>
      <c r="H53" s="4"/>
      <c r="I53" s="41"/>
      <c r="J53" s="41"/>
      <c r="K53" s="19"/>
    </row>
    <row r="54" spans="2:11" x14ac:dyDescent="0.25">
      <c r="B54" s="18"/>
      <c r="C54" s="4"/>
      <c r="D54" s="4"/>
      <c r="E54" s="4"/>
      <c r="F54" s="1"/>
      <c r="G54" s="4"/>
      <c r="H54" s="4"/>
      <c r="I54" s="41"/>
      <c r="J54" s="41"/>
      <c r="K54" s="19"/>
    </row>
    <row r="55" spans="2:11" x14ac:dyDescent="0.25">
      <c r="B55" s="18"/>
      <c r="C55" s="4"/>
      <c r="D55" s="4"/>
      <c r="E55" s="4"/>
      <c r="F55" s="1"/>
      <c r="G55" s="4"/>
      <c r="H55" s="4"/>
      <c r="I55" s="41"/>
      <c r="J55" s="41"/>
      <c r="K55" s="19"/>
    </row>
    <row r="56" spans="2:11" x14ac:dyDescent="0.25">
      <c r="B56" s="18"/>
      <c r="C56" s="4"/>
      <c r="D56" s="4"/>
      <c r="E56" s="4"/>
      <c r="F56" s="1"/>
      <c r="G56" s="4"/>
      <c r="H56" s="4"/>
      <c r="I56" s="41"/>
      <c r="J56" s="41"/>
      <c r="K56" s="19"/>
    </row>
    <row r="57" spans="2:11" x14ac:dyDescent="0.25">
      <c r="B57" s="18"/>
      <c r="K57" s="19"/>
    </row>
    <row r="58" spans="2:11" ht="14.65" customHeight="1" x14ac:dyDescent="0.25">
      <c r="B58" s="18"/>
      <c r="C58" s="42" t="s">
        <v>48</v>
      </c>
      <c r="D58" s="43"/>
      <c r="E58" s="43"/>
      <c r="F58" s="43"/>
      <c r="G58" s="43"/>
      <c r="H58" s="43"/>
      <c r="I58" s="43"/>
      <c r="J58" s="43"/>
      <c r="K58" s="19"/>
    </row>
    <row r="59" spans="2:11" x14ac:dyDescent="0.25">
      <c r="B59" s="18"/>
      <c r="C59" s="43"/>
      <c r="D59" s="43"/>
      <c r="E59" s="43"/>
      <c r="F59" s="43"/>
      <c r="G59" s="43"/>
      <c r="H59" s="43"/>
      <c r="I59" s="43"/>
      <c r="J59" s="43"/>
      <c r="K59" s="19"/>
    </row>
    <row r="60" spans="2:11" x14ac:dyDescent="0.25">
      <c r="B60" s="18"/>
      <c r="C60" s="43"/>
      <c r="D60" s="43"/>
      <c r="E60" s="43"/>
      <c r="F60" s="43"/>
      <c r="G60" s="43"/>
      <c r="H60" s="43"/>
      <c r="I60" s="43"/>
      <c r="J60" s="43"/>
      <c r="K60" s="19"/>
    </row>
    <row r="61" spans="2:11" x14ac:dyDescent="0.25">
      <c r="B61" s="18"/>
      <c r="C61" s="43"/>
      <c r="D61" s="43"/>
      <c r="E61" s="43"/>
      <c r="F61" s="43"/>
      <c r="G61" s="43"/>
      <c r="H61" s="43"/>
      <c r="I61" s="43"/>
      <c r="J61" s="43"/>
      <c r="K61" s="19"/>
    </row>
    <row r="62" spans="2:11" x14ac:dyDescent="0.25">
      <c r="B62" s="18"/>
      <c r="C62" s="43"/>
      <c r="D62" s="43"/>
      <c r="E62" s="43"/>
      <c r="F62" s="43"/>
      <c r="G62" s="43"/>
      <c r="H62" s="43"/>
      <c r="I62" s="43"/>
      <c r="J62" s="43"/>
      <c r="K62" s="19"/>
    </row>
    <row r="63" spans="2:11" x14ac:dyDescent="0.25">
      <c r="B63" s="22"/>
      <c r="C63" s="23"/>
      <c r="D63" s="23"/>
      <c r="E63" s="23"/>
      <c r="F63" s="23"/>
      <c r="G63" s="23"/>
      <c r="H63" s="23"/>
      <c r="I63" s="23"/>
      <c r="J63" s="23"/>
      <c r="K63" s="24"/>
    </row>
  </sheetData>
  <mergeCells count="65">
    <mergeCell ref="C10:J11"/>
    <mergeCell ref="C12:F14"/>
    <mergeCell ref="G12:J14"/>
    <mergeCell ref="C15:F17"/>
    <mergeCell ref="G15:J17"/>
    <mergeCell ref="C42:E42"/>
    <mergeCell ref="G42:J42"/>
    <mergeCell ref="C19:J20"/>
    <mergeCell ref="C21:C24"/>
    <mergeCell ref="G21:H21"/>
    <mergeCell ref="I21:J21"/>
    <mergeCell ref="G22:H22"/>
    <mergeCell ref="I22:J22"/>
    <mergeCell ref="G23:H23"/>
    <mergeCell ref="I23:J23"/>
    <mergeCell ref="G24:H24"/>
    <mergeCell ref="I24:J24"/>
    <mergeCell ref="D29:E29"/>
    <mergeCell ref="H29:I29"/>
    <mergeCell ref="I35:J35"/>
    <mergeCell ref="D30:E30"/>
    <mergeCell ref="Q29:R29"/>
    <mergeCell ref="Q24:R24"/>
    <mergeCell ref="C25:D25"/>
    <mergeCell ref="G25:H25"/>
    <mergeCell ref="Q25:R25"/>
    <mergeCell ref="C26:D26"/>
    <mergeCell ref="G26:H26"/>
    <mergeCell ref="Q26:R26"/>
    <mergeCell ref="C27:D27"/>
    <mergeCell ref="G27:H27"/>
    <mergeCell ref="Q27:R27"/>
    <mergeCell ref="C28:J28"/>
    <mergeCell ref="Q28:R28"/>
    <mergeCell ref="H30:I30"/>
    <mergeCell ref="Q30:R30"/>
    <mergeCell ref="D31:E31"/>
    <mergeCell ref="H31:I31"/>
    <mergeCell ref="Q31:R31"/>
    <mergeCell ref="Q32:R32"/>
    <mergeCell ref="C33:E33"/>
    <mergeCell ref="G33:J33"/>
    <mergeCell ref="Q33:R33"/>
    <mergeCell ref="I34:J34"/>
    <mergeCell ref="I48:J48"/>
    <mergeCell ref="I36:J36"/>
    <mergeCell ref="I37:J37"/>
    <mergeCell ref="I38:J38"/>
    <mergeCell ref="I39:J39"/>
    <mergeCell ref="I40:J40"/>
    <mergeCell ref="I41:J41"/>
    <mergeCell ref="I43:J43"/>
    <mergeCell ref="I44:J44"/>
    <mergeCell ref="I45:J45"/>
    <mergeCell ref="I46:J46"/>
    <mergeCell ref="I47:J47"/>
    <mergeCell ref="I55:J55"/>
    <mergeCell ref="I56:J56"/>
    <mergeCell ref="C58:J62"/>
    <mergeCell ref="I49:J49"/>
    <mergeCell ref="I50:J50"/>
    <mergeCell ref="I51:J51"/>
    <mergeCell ref="I52:J52"/>
    <mergeCell ref="I53:J53"/>
    <mergeCell ref="I54:J54"/>
  </mergeCells>
  <hyperlinks>
    <hyperlink ref="C8" r:id="rId1" xr:uid="{38E30292-27B8-4DC5-B328-49F4E2C2C905}"/>
  </hyperlinks>
  <pageMargins left="0.7" right="0.7" top="0.75" bottom="0.75" header="0.3" footer="0.3"/>
  <pageSetup scale="48" orientation="portrait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07E5D-9F14-41BC-A703-7AB87E0AC15F}">
  <sheetPr>
    <pageSetUpPr fitToPage="1"/>
  </sheetPr>
  <dimension ref="B2:T63"/>
  <sheetViews>
    <sheetView showGridLines="0" zoomScale="90" zoomScaleNormal="90" workbookViewId="0">
      <selection activeCell="C10" sqref="C10:J17"/>
    </sheetView>
  </sheetViews>
  <sheetFormatPr defaultRowHeight="15" x14ac:dyDescent="0.25"/>
  <cols>
    <col min="1" max="1" width="3.7109375" customWidth="1"/>
    <col min="2" max="2" width="3.140625" customWidth="1"/>
    <col min="3" max="3" width="10" customWidth="1"/>
    <col min="4" max="4" width="16.7109375" customWidth="1"/>
    <col min="5" max="5" width="25.7109375" customWidth="1"/>
    <col min="6" max="6" width="4" customWidth="1"/>
    <col min="7" max="7" width="10" customWidth="1"/>
    <col min="8" max="8" width="25.7109375" customWidth="1"/>
    <col min="9" max="9" width="10.140625" customWidth="1"/>
    <col min="10" max="10" width="10.85546875" customWidth="1"/>
    <col min="11" max="11" width="3.140625" customWidth="1"/>
  </cols>
  <sheetData>
    <row r="2" spans="2:11" x14ac:dyDescent="0.2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1" x14ac:dyDescent="0.25">
      <c r="B3" s="18"/>
      <c r="C3" t="s">
        <v>42</v>
      </c>
      <c r="K3" s="19"/>
    </row>
    <row r="4" spans="2:11" x14ac:dyDescent="0.25">
      <c r="B4" s="18"/>
      <c r="C4" t="s">
        <v>43</v>
      </c>
      <c r="K4" s="19"/>
    </row>
    <row r="5" spans="2:11" x14ac:dyDescent="0.25">
      <c r="B5" s="18"/>
      <c r="C5" t="s">
        <v>44</v>
      </c>
      <c r="K5" s="19"/>
    </row>
    <row r="6" spans="2:11" x14ac:dyDescent="0.25">
      <c r="B6" s="18"/>
      <c r="C6" t="s">
        <v>45</v>
      </c>
      <c r="K6" s="19"/>
    </row>
    <row r="7" spans="2:11" x14ac:dyDescent="0.25">
      <c r="B7" s="18"/>
      <c r="C7" t="s">
        <v>46</v>
      </c>
      <c r="K7" s="19"/>
    </row>
    <row r="8" spans="2:11" x14ac:dyDescent="0.25">
      <c r="B8" s="18"/>
      <c r="C8" s="20" t="s">
        <v>47</v>
      </c>
      <c r="K8" s="19"/>
    </row>
    <row r="9" spans="2:11" x14ac:dyDescent="0.25">
      <c r="B9" s="18"/>
      <c r="C9" s="20"/>
      <c r="K9" s="19"/>
    </row>
    <row r="10" spans="2:11" x14ac:dyDescent="0.25">
      <c r="B10" s="18"/>
      <c r="C10" s="86" t="s">
        <v>77</v>
      </c>
      <c r="D10" s="76"/>
      <c r="E10" s="76"/>
      <c r="F10" s="76"/>
      <c r="G10" s="76"/>
      <c r="H10" s="76"/>
      <c r="I10" s="76"/>
      <c r="J10" s="76"/>
      <c r="K10" s="19"/>
    </row>
    <row r="11" spans="2:11" x14ac:dyDescent="0.25">
      <c r="B11" s="18"/>
      <c r="C11" s="76"/>
      <c r="D11" s="76"/>
      <c r="E11" s="76"/>
      <c r="F11" s="76"/>
      <c r="G11" s="76"/>
      <c r="H11" s="76"/>
      <c r="I11" s="76"/>
      <c r="J11" s="76"/>
      <c r="K11" s="19"/>
    </row>
    <row r="12" spans="2:11" x14ac:dyDescent="0.25">
      <c r="B12" s="18"/>
      <c r="C12" s="90" t="s">
        <v>78</v>
      </c>
      <c r="D12" s="90"/>
      <c r="E12" s="90"/>
      <c r="F12" s="90"/>
      <c r="G12" s="90" t="s">
        <v>79</v>
      </c>
      <c r="H12" s="90"/>
      <c r="I12" s="90"/>
      <c r="J12" s="90"/>
      <c r="K12" s="19"/>
    </row>
    <row r="13" spans="2:11" x14ac:dyDescent="0.25">
      <c r="B13" s="18"/>
      <c r="C13" s="90"/>
      <c r="D13" s="90"/>
      <c r="E13" s="90"/>
      <c r="F13" s="90"/>
      <c r="G13" s="90"/>
      <c r="H13" s="90"/>
      <c r="I13" s="90"/>
      <c r="J13" s="90"/>
      <c r="K13" s="19"/>
    </row>
    <row r="14" spans="2:11" x14ac:dyDescent="0.25">
      <c r="B14" s="18"/>
      <c r="C14" s="90"/>
      <c r="D14" s="90"/>
      <c r="E14" s="90"/>
      <c r="F14" s="90"/>
      <c r="G14" s="90"/>
      <c r="H14" s="90"/>
      <c r="I14" s="90"/>
      <c r="J14" s="90"/>
      <c r="K14" s="19"/>
    </row>
    <row r="15" spans="2:11" x14ac:dyDescent="0.25">
      <c r="B15" s="18"/>
      <c r="C15" s="90" t="s">
        <v>102</v>
      </c>
      <c r="D15" s="90"/>
      <c r="E15" s="90"/>
      <c r="F15" s="90"/>
      <c r="G15" s="77" t="s">
        <v>103</v>
      </c>
      <c r="H15" s="78"/>
      <c r="I15" s="78"/>
      <c r="J15" s="79"/>
      <c r="K15" s="19"/>
    </row>
    <row r="16" spans="2:11" x14ac:dyDescent="0.25">
      <c r="B16" s="18"/>
      <c r="C16" s="90"/>
      <c r="D16" s="90"/>
      <c r="E16" s="90"/>
      <c r="F16" s="90"/>
      <c r="G16" s="80"/>
      <c r="H16" s="81"/>
      <c r="I16" s="81"/>
      <c r="J16" s="82"/>
      <c r="K16" s="19"/>
    </row>
    <row r="17" spans="2:18" x14ac:dyDescent="0.25">
      <c r="B17" s="18"/>
      <c r="C17" s="90"/>
      <c r="D17" s="90"/>
      <c r="E17" s="90"/>
      <c r="F17" s="90"/>
      <c r="G17" s="83"/>
      <c r="H17" s="84"/>
      <c r="I17" s="84"/>
      <c r="J17" s="85"/>
      <c r="K17" s="19"/>
    </row>
    <row r="18" spans="2:18" x14ac:dyDescent="0.25">
      <c r="B18" s="18"/>
      <c r="K18" s="19"/>
    </row>
    <row r="19" spans="2:18" ht="18.399999999999999" customHeight="1" x14ac:dyDescent="0.25">
      <c r="B19" s="18"/>
      <c r="C19" s="59" t="s">
        <v>0</v>
      </c>
      <c r="D19" s="60"/>
      <c r="E19" s="60"/>
      <c r="F19" s="60"/>
      <c r="G19" s="60"/>
      <c r="H19" s="60"/>
      <c r="I19" s="60"/>
      <c r="J19" s="61"/>
      <c r="K19" s="19"/>
    </row>
    <row r="20" spans="2:18" ht="14.65" customHeight="1" x14ac:dyDescent="0.25">
      <c r="B20" s="18"/>
      <c r="C20" s="62"/>
      <c r="D20" s="63"/>
      <c r="E20" s="63"/>
      <c r="F20" s="63"/>
      <c r="G20" s="63"/>
      <c r="H20" s="63"/>
      <c r="I20" s="63"/>
      <c r="J20" s="64"/>
      <c r="K20" s="19"/>
    </row>
    <row r="21" spans="2:18" ht="14.65" customHeight="1" x14ac:dyDescent="0.25">
      <c r="B21" s="18"/>
      <c r="C21" s="65" t="s">
        <v>1</v>
      </c>
      <c r="D21" s="3" t="s">
        <v>2</v>
      </c>
      <c r="E21" s="4" t="s">
        <v>3</v>
      </c>
      <c r="F21" s="5"/>
      <c r="G21" s="53" t="s">
        <v>4</v>
      </c>
      <c r="H21" s="54"/>
      <c r="I21" s="66">
        <v>46184</v>
      </c>
      <c r="J21" s="67"/>
      <c r="K21" s="19"/>
    </row>
    <row r="22" spans="2:18" x14ac:dyDescent="0.25">
      <c r="B22" s="18"/>
      <c r="C22" s="65"/>
      <c r="D22" s="3" t="s">
        <v>5</v>
      </c>
      <c r="E22" s="4">
        <v>63010056</v>
      </c>
      <c r="F22" s="5"/>
      <c r="G22" s="53" t="s">
        <v>6</v>
      </c>
      <c r="H22" s="54"/>
      <c r="I22" s="68" t="s">
        <v>7</v>
      </c>
      <c r="J22" s="69"/>
      <c r="K22" s="19"/>
    </row>
    <row r="23" spans="2:18" ht="14.65" customHeight="1" x14ac:dyDescent="0.25">
      <c r="B23" s="18"/>
      <c r="C23" s="65"/>
      <c r="D23" s="3" t="s">
        <v>2</v>
      </c>
      <c r="E23" s="4" t="s">
        <v>8</v>
      </c>
      <c r="F23" s="5"/>
      <c r="G23" s="51" t="s">
        <v>9</v>
      </c>
      <c r="H23" s="52"/>
      <c r="I23" s="68" t="s">
        <v>10</v>
      </c>
      <c r="J23" s="69"/>
      <c r="K23" s="19"/>
    </row>
    <row r="24" spans="2:18" ht="14.65" customHeight="1" x14ac:dyDescent="0.25">
      <c r="B24" s="18"/>
      <c r="C24" s="65"/>
      <c r="D24" s="3" t="s">
        <v>5</v>
      </c>
      <c r="E24" s="4" t="s">
        <v>11</v>
      </c>
      <c r="F24" s="5"/>
      <c r="G24" s="51" t="s">
        <v>12</v>
      </c>
      <c r="H24" s="52"/>
      <c r="I24" s="68" t="s">
        <v>49</v>
      </c>
      <c r="J24" s="69"/>
      <c r="K24" s="19"/>
      <c r="P24" s="13"/>
      <c r="Q24" s="49"/>
      <c r="R24" s="49"/>
    </row>
    <row r="25" spans="2:18" ht="15.4" customHeight="1" x14ac:dyDescent="0.25">
      <c r="B25" s="18"/>
      <c r="C25" s="50" t="s">
        <v>14</v>
      </c>
      <c r="D25" s="50"/>
      <c r="E25" s="4">
        <v>54</v>
      </c>
      <c r="F25" s="5"/>
      <c r="G25" s="51" t="s">
        <v>15</v>
      </c>
      <c r="H25" s="52"/>
      <c r="I25" s="6">
        <v>30000</v>
      </c>
      <c r="J25" s="3" t="s">
        <v>16</v>
      </c>
      <c r="K25" s="19"/>
      <c r="P25" s="14"/>
      <c r="Q25" s="46"/>
      <c r="R25" s="46"/>
    </row>
    <row r="26" spans="2:18" ht="14.65" customHeight="1" x14ac:dyDescent="0.25">
      <c r="B26" s="18"/>
      <c r="C26" s="50" t="s">
        <v>17</v>
      </c>
      <c r="D26" s="50"/>
      <c r="E26" s="4">
        <v>40</v>
      </c>
      <c r="F26" s="5"/>
      <c r="G26" s="53" t="s">
        <v>18</v>
      </c>
      <c r="H26" s="54"/>
      <c r="I26" s="6">
        <v>30</v>
      </c>
      <c r="J26" s="3" t="s">
        <v>19</v>
      </c>
      <c r="K26" s="19"/>
      <c r="P26" s="14"/>
      <c r="Q26" s="46"/>
      <c r="R26" s="46"/>
    </row>
    <row r="27" spans="2:18" ht="14.65" customHeight="1" x14ac:dyDescent="0.25">
      <c r="B27" s="18"/>
      <c r="C27" s="50" t="s">
        <v>20</v>
      </c>
      <c r="D27" s="50"/>
      <c r="E27" s="7">
        <v>1.2E-2</v>
      </c>
      <c r="F27" s="5"/>
      <c r="G27" s="53" t="s">
        <v>21</v>
      </c>
      <c r="H27" s="54"/>
      <c r="I27" s="6">
        <v>30</v>
      </c>
      <c r="J27" s="3" t="s">
        <v>19</v>
      </c>
      <c r="K27" s="19"/>
      <c r="P27" s="14"/>
      <c r="Q27" s="46"/>
      <c r="R27" s="46"/>
    </row>
    <row r="28" spans="2:18" ht="14.65" customHeight="1" x14ac:dyDescent="0.25">
      <c r="B28" s="18"/>
      <c r="C28" s="55" t="s">
        <v>22</v>
      </c>
      <c r="D28" s="55"/>
      <c r="E28" s="55"/>
      <c r="F28" s="55"/>
      <c r="G28" s="55"/>
      <c r="H28" s="55"/>
      <c r="I28" s="55"/>
      <c r="J28" s="55"/>
      <c r="K28" s="19"/>
      <c r="P28" s="14"/>
      <c r="Q28" s="46"/>
      <c r="R28" s="46"/>
    </row>
    <row r="29" spans="2:18" x14ac:dyDescent="0.25">
      <c r="B29" s="18"/>
      <c r="C29" s="2" t="s">
        <v>23</v>
      </c>
      <c r="D29" s="48">
        <v>0.5</v>
      </c>
      <c r="E29" s="48"/>
      <c r="F29" s="2" t="s">
        <v>24</v>
      </c>
      <c r="G29" s="2" t="s">
        <v>25</v>
      </c>
      <c r="H29" s="48">
        <v>2.7</v>
      </c>
      <c r="I29" s="48"/>
      <c r="J29" s="2" t="s">
        <v>26</v>
      </c>
      <c r="K29" s="19"/>
      <c r="P29" s="14"/>
      <c r="Q29" s="46"/>
      <c r="R29" s="46"/>
    </row>
    <row r="30" spans="2:18" x14ac:dyDescent="0.25">
      <c r="B30" s="18"/>
      <c r="C30" s="2" t="s">
        <v>27</v>
      </c>
      <c r="D30" s="48">
        <v>0.6</v>
      </c>
      <c r="E30" s="48"/>
      <c r="F30" s="2" t="s">
        <v>24</v>
      </c>
      <c r="G30" s="2" t="s">
        <v>28</v>
      </c>
      <c r="H30" s="48">
        <v>8.3000000000000007</v>
      </c>
      <c r="I30" s="48"/>
      <c r="J30" s="2" t="s">
        <v>26</v>
      </c>
      <c r="K30" s="19"/>
      <c r="P30" s="14"/>
      <c r="Q30" s="46"/>
      <c r="R30" s="46"/>
    </row>
    <row r="31" spans="2:18" x14ac:dyDescent="0.25">
      <c r="B31" s="18"/>
      <c r="C31" s="2" t="s">
        <v>29</v>
      </c>
      <c r="D31" s="48">
        <v>10.199999999999999</v>
      </c>
      <c r="E31" s="48"/>
      <c r="F31" s="2" t="s">
        <v>24</v>
      </c>
      <c r="G31" s="2" t="s">
        <v>30</v>
      </c>
      <c r="H31" s="48">
        <v>8.3000000000000007</v>
      </c>
      <c r="I31" s="48"/>
      <c r="J31" s="2" t="s">
        <v>26</v>
      </c>
      <c r="K31" s="19"/>
      <c r="P31" s="14"/>
      <c r="Q31" s="46"/>
      <c r="R31" s="46"/>
    </row>
    <row r="32" spans="2:18" ht="14.1" customHeight="1" x14ac:dyDescent="0.25">
      <c r="B32" s="18"/>
      <c r="C32" s="1"/>
      <c r="D32" s="1"/>
      <c r="E32" s="1"/>
      <c r="F32" s="1"/>
      <c r="G32" s="1"/>
      <c r="H32" s="1"/>
      <c r="I32" s="1"/>
      <c r="J32" s="1"/>
      <c r="K32" s="19"/>
      <c r="P32" s="14"/>
      <c r="Q32" s="46"/>
      <c r="R32" s="46"/>
    </row>
    <row r="33" spans="2:20" ht="14.65" customHeight="1" x14ac:dyDescent="0.25">
      <c r="B33" s="18"/>
      <c r="C33" s="47" t="s">
        <v>31</v>
      </c>
      <c r="D33" s="47"/>
      <c r="E33" s="47"/>
      <c r="F33" s="1"/>
      <c r="G33" s="47" t="s">
        <v>32</v>
      </c>
      <c r="H33" s="47"/>
      <c r="I33" s="47"/>
      <c r="J33" s="47"/>
      <c r="K33" s="19"/>
      <c r="P33" s="14"/>
      <c r="Q33" s="46"/>
      <c r="R33" s="46"/>
    </row>
    <row r="34" spans="2:20" ht="30" x14ac:dyDescent="0.25">
      <c r="B34" s="18"/>
      <c r="C34" s="8" t="s">
        <v>33</v>
      </c>
      <c r="D34" s="8" t="s">
        <v>34</v>
      </c>
      <c r="E34" s="8" t="s">
        <v>35</v>
      </c>
      <c r="F34" s="1"/>
      <c r="G34" s="8" t="s">
        <v>33</v>
      </c>
      <c r="H34" s="8" t="s">
        <v>36</v>
      </c>
      <c r="I34" s="47" t="s">
        <v>37</v>
      </c>
      <c r="J34" s="47"/>
      <c r="K34" s="19"/>
    </row>
    <row r="35" spans="2:20" x14ac:dyDescent="0.25">
      <c r="B35" s="18"/>
      <c r="C35" s="9" t="s">
        <v>38</v>
      </c>
      <c r="D35" s="9" t="s">
        <v>39</v>
      </c>
      <c r="E35" s="9" t="s">
        <v>39</v>
      </c>
      <c r="F35" s="1"/>
      <c r="G35" s="9" t="s">
        <v>38</v>
      </c>
      <c r="H35" s="9" t="s">
        <v>39</v>
      </c>
      <c r="I35" s="70" t="s">
        <v>40</v>
      </c>
      <c r="J35" s="70"/>
      <c r="K35" s="19"/>
    </row>
    <row r="36" spans="2:20" x14ac:dyDescent="0.25">
      <c r="B36" s="18"/>
      <c r="C36" s="4">
        <v>4</v>
      </c>
      <c r="D36" s="4">
        <v>5822.6</v>
      </c>
      <c r="E36" s="10">
        <f>588203/100</f>
        <v>5882.03</v>
      </c>
      <c r="F36" s="1"/>
      <c r="G36" s="4">
        <f>C36</f>
        <v>4</v>
      </c>
      <c r="H36" s="4">
        <f>D36</f>
        <v>5822.6</v>
      </c>
      <c r="I36" s="44">
        <v>82</v>
      </c>
      <c r="J36" s="45"/>
      <c r="K36" s="19"/>
    </row>
    <row r="37" spans="2:20" x14ac:dyDescent="0.25">
      <c r="B37" s="18"/>
      <c r="C37" s="4">
        <v>6</v>
      </c>
      <c r="D37" s="4">
        <v>2422.5</v>
      </c>
      <c r="E37" s="10">
        <f>241359/100</f>
        <v>2413.59</v>
      </c>
      <c r="F37" s="1"/>
      <c r="G37" s="4">
        <f t="shared" ref="G37:H45" si="0">C37</f>
        <v>6</v>
      </c>
      <c r="H37" s="4">
        <f t="shared" si="0"/>
        <v>2422.5</v>
      </c>
      <c r="I37" s="44">
        <v>194</v>
      </c>
      <c r="J37" s="45"/>
      <c r="K37" s="19"/>
    </row>
    <row r="38" spans="2:20" x14ac:dyDescent="0.25">
      <c r="B38" s="18"/>
      <c r="C38" s="4">
        <v>10</v>
      </c>
      <c r="D38" s="4">
        <v>543.79999999999995</v>
      </c>
      <c r="E38" s="10">
        <f>54502/100</f>
        <v>545.02</v>
      </c>
      <c r="F38" s="1"/>
      <c r="G38" s="4">
        <f t="shared" si="0"/>
        <v>10</v>
      </c>
      <c r="H38" s="4">
        <f t="shared" si="0"/>
        <v>543.79999999999995</v>
      </c>
      <c r="I38" s="44">
        <v>552</v>
      </c>
      <c r="J38" s="45"/>
      <c r="K38" s="19"/>
    </row>
    <row r="39" spans="2:20" x14ac:dyDescent="0.25">
      <c r="B39" s="18"/>
      <c r="C39" s="4">
        <v>14</v>
      </c>
      <c r="D39" s="4">
        <v>182.5</v>
      </c>
      <c r="E39" s="10">
        <f>18240/100</f>
        <v>182.4</v>
      </c>
      <c r="F39" s="1"/>
      <c r="G39" s="4">
        <f t="shared" si="0"/>
        <v>14</v>
      </c>
      <c r="H39" s="4">
        <f t="shared" si="0"/>
        <v>182.5</v>
      </c>
      <c r="I39" s="44">
        <v>1132</v>
      </c>
      <c r="J39" s="45"/>
      <c r="K39" s="19"/>
      <c r="O39" s="29"/>
      <c r="P39" s="29"/>
      <c r="Q39" s="29"/>
      <c r="R39" s="29"/>
      <c r="S39" s="29"/>
      <c r="T39" s="29"/>
    </row>
    <row r="40" spans="2:20" x14ac:dyDescent="0.25">
      <c r="B40" s="18"/>
      <c r="C40" s="4">
        <v>21</v>
      </c>
      <c r="D40" s="4">
        <v>51.7</v>
      </c>
      <c r="E40" s="10">
        <f>5174/100</f>
        <v>51.74</v>
      </c>
      <c r="F40" s="1"/>
      <c r="G40" s="4">
        <f t="shared" si="0"/>
        <v>21</v>
      </c>
      <c r="H40" s="4">
        <f t="shared" si="0"/>
        <v>51.7</v>
      </c>
      <c r="I40" s="44">
        <v>2460</v>
      </c>
      <c r="J40" s="45"/>
      <c r="K40" s="19"/>
      <c r="O40" s="27"/>
      <c r="P40" s="27"/>
      <c r="Q40" s="27"/>
    </row>
    <row r="41" spans="2:20" x14ac:dyDescent="0.25">
      <c r="B41" s="18"/>
      <c r="C41" s="4">
        <v>25</v>
      </c>
      <c r="D41" s="4">
        <v>22.8</v>
      </c>
      <c r="E41" s="10">
        <f>2277/100</f>
        <v>22.77</v>
      </c>
      <c r="F41" s="1"/>
      <c r="G41" s="4">
        <f t="shared" si="0"/>
        <v>25</v>
      </c>
      <c r="H41" s="4">
        <f t="shared" si="0"/>
        <v>22.8</v>
      </c>
      <c r="I41" s="44">
        <v>3678</v>
      </c>
      <c r="J41" s="45"/>
      <c r="K41" s="19"/>
    </row>
    <row r="42" spans="2:20" x14ac:dyDescent="0.25">
      <c r="B42" s="18"/>
      <c r="C42" s="56"/>
      <c r="D42" s="57"/>
      <c r="E42" s="58"/>
      <c r="F42" s="1"/>
      <c r="G42" s="56"/>
      <c r="H42" s="57"/>
      <c r="I42" s="57"/>
      <c r="J42" s="58"/>
      <c r="K42" s="19"/>
    </row>
    <row r="43" spans="2:20" x14ac:dyDescent="0.25">
      <c r="B43" s="18"/>
      <c r="C43" s="4">
        <v>38</v>
      </c>
      <c r="D43" s="4">
        <v>184</v>
      </c>
      <c r="E43" s="10">
        <v>201</v>
      </c>
      <c r="F43" s="1"/>
      <c r="G43" s="4">
        <f t="shared" si="0"/>
        <v>38</v>
      </c>
      <c r="H43" s="4">
        <f t="shared" si="0"/>
        <v>184</v>
      </c>
      <c r="I43" s="44">
        <v>9988</v>
      </c>
      <c r="J43" s="45"/>
      <c r="K43" s="19"/>
    </row>
    <row r="44" spans="2:20" x14ac:dyDescent="0.25">
      <c r="B44" s="18"/>
      <c r="C44" s="4">
        <v>50</v>
      </c>
      <c r="D44" s="4">
        <v>34.5</v>
      </c>
      <c r="E44" s="10">
        <v>33.4</v>
      </c>
      <c r="F44" s="1"/>
      <c r="G44" s="4">
        <f t="shared" si="0"/>
        <v>50</v>
      </c>
      <c r="H44" s="4">
        <f t="shared" si="0"/>
        <v>34.5</v>
      </c>
      <c r="I44" s="44">
        <v>16167</v>
      </c>
      <c r="J44" s="45"/>
      <c r="K44" s="19"/>
    </row>
    <row r="45" spans="2:20" x14ac:dyDescent="0.25">
      <c r="B45" s="18"/>
      <c r="C45" s="4">
        <v>70</v>
      </c>
      <c r="D45" s="4">
        <v>4.0199999999999996</v>
      </c>
      <c r="E45" s="10">
        <v>2.56</v>
      </c>
      <c r="F45" s="1"/>
      <c r="G45" s="4">
        <f t="shared" si="0"/>
        <v>70</v>
      </c>
      <c r="H45" s="4">
        <f t="shared" si="0"/>
        <v>4.0199999999999996</v>
      </c>
      <c r="I45" s="44">
        <v>24783</v>
      </c>
      <c r="J45" s="45"/>
      <c r="K45" s="19"/>
    </row>
    <row r="46" spans="2:20" x14ac:dyDescent="0.25">
      <c r="B46" s="18"/>
      <c r="C46" s="4"/>
      <c r="D46" s="4"/>
      <c r="E46" s="4"/>
      <c r="F46" s="1"/>
      <c r="G46" s="4"/>
      <c r="H46" s="4"/>
      <c r="I46" s="41"/>
      <c r="J46" s="41"/>
      <c r="K46" s="19"/>
    </row>
    <row r="47" spans="2:20" x14ac:dyDescent="0.25">
      <c r="B47" s="18"/>
      <c r="C47" s="4"/>
      <c r="D47" s="4"/>
      <c r="E47" s="4"/>
      <c r="F47" s="1"/>
      <c r="G47" s="4"/>
      <c r="H47" s="4"/>
      <c r="I47" s="41"/>
      <c r="J47" s="41"/>
      <c r="K47" s="19"/>
    </row>
    <row r="48" spans="2:20" x14ac:dyDescent="0.25">
      <c r="B48" s="18"/>
      <c r="C48" s="4"/>
      <c r="D48" s="4"/>
      <c r="E48" s="4"/>
      <c r="F48" s="1"/>
      <c r="G48" s="4"/>
      <c r="H48" s="4"/>
      <c r="I48" s="41"/>
      <c r="J48" s="41"/>
      <c r="K48" s="19"/>
    </row>
    <row r="49" spans="2:11" x14ac:dyDescent="0.25">
      <c r="B49" s="18"/>
      <c r="C49" s="4"/>
      <c r="D49" s="4"/>
      <c r="E49" s="4"/>
      <c r="F49" s="1"/>
      <c r="G49" s="4"/>
      <c r="H49" s="4"/>
      <c r="I49" s="41"/>
      <c r="J49" s="41"/>
      <c r="K49" s="19"/>
    </row>
    <row r="50" spans="2:11" x14ac:dyDescent="0.25">
      <c r="B50" s="18"/>
      <c r="C50" s="4"/>
      <c r="D50" s="4"/>
      <c r="E50" s="4"/>
      <c r="F50" s="1"/>
      <c r="G50" s="4"/>
      <c r="H50" s="4"/>
      <c r="I50" s="41"/>
      <c r="J50" s="41"/>
      <c r="K50" s="19"/>
    </row>
    <row r="51" spans="2:11" x14ac:dyDescent="0.25">
      <c r="B51" s="18"/>
      <c r="C51" s="4"/>
      <c r="D51" s="4"/>
      <c r="E51" s="4"/>
      <c r="F51" s="1"/>
      <c r="G51" s="4"/>
      <c r="H51" s="4"/>
      <c r="I51" s="41"/>
      <c r="J51" s="41"/>
      <c r="K51" s="19"/>
    </row>
    <row r="52" spans="2:11" x14ac:dyDescent="0.25">
      <c r="B52" s="18"/>
      <c r="C52" s="4"/>
      <c r="D52" s="4"/>
      <c r="E52" s="4"/>
      <c r="F52" s="1"/>
      <c r="G52" s="4"/>
      <c r="H52" s="4"/>
      <c r="I52" s="41"/>
      <c r="J52" s="41"/>
      <c r="K52" s="19"/>
    </row>
    <row r="53" spans="2:11" x14ac:dyDescent="0.25">
      <c r="B53" s="18"/>
      <c r="C53" s="4"/>
      <c r="D53" s="4"/>
      <c r="E53" s="4"/>
      <c r="F53" s="1"/>
      <c r="G53" s="4"/>
      <c r="H53" s="4"/>
      <c r="I53" s="41"/>
      <c r="J53" s="41"/>
      <c r="K53" s="19"/>
    </row>
    <row r="54" spans="2:11" x14ac:dyDescent="0.25">
      <c r="B54" s="18"/>
      <c r="C54" s="4"/>
      <c r="D54" s="4"/>
      <c r="E54" s="4"/>
      <c r="F54" s="1"/>
      <c r="G54" s="4"/>
      <c r="H54" s="4"/>
      <c r="I54" s="41"/>
      <c r="J54" s="41"/>
      <c r="K54" s="19"/>
    </row>
    <row r="55" spans="2:11" x14ac:dyDescent="0.25">
      <c r="B55" s="18"/>
      <c r="C55" s="4"/>
      <c r="D55" s="4"/>
      <c r="E55" s="4"/>
      <c r="F55" s="1"/>
      <c r="G55" s="4"/>
      <c r="H55" s="4"/>
      <c r="I55" s="41"/>
      <c r="J55" s="41"/>
      <c r="K55" s="19"/>
    </row>
    <row r="56" spans="2:11" x14ac:dyDescent="0.25">
      <c r="B56" s="18"/>
      <c r="C56" s="4"/>
      <c r="D56" s="4"/>
      <c r="E56" s="4"/>
      <c r="F56" s="1"/>
      <c r="G56" s="4"/>
      <c r="H56" s="4"/>
      <c r="I56" s="41"/>
      <c r="J56" s="41"/>
      <c r="K56" s="19"/>
    </row>
    <row r="57" spans="2:11" x14ac:dyDescent="0.25">
      <c r="B57" s="18"/>
      <c r="K57" s="19"/>
    </row>
    <row r="58" spans="2:11" ht="14.65" customHeight="1" x14ac:dyDescent="0.25">
      <c r="B58" s="18"/>
      <c r="C58" s="42" t="s">
        <v>48</v>
      </c>
      <c r="D58" s="43"/>
      <c r="E58" s="43"/>
      <c r="F58" s="43"/>
      <c r="G58" s="43"/>
      <c r="H58" s="43"/>
      <c r="I58" s="43"/>
      <c r="J58" s="43"/>
      <c r="K58" s="19"/>
    </row>
    <row r="59" spans="2:11" x14ac:dyDescent="0.25">
      <c r="B59" s="18"/>
      <c r="C59" s="43"/>
      <c r="D59" s="43"/>
      <c r="E59" s="43"/>
      <c r="F59" s="43"/>
      <c r="G59" s="43"/>
      <c r="H59" s="43"/>
      <c r="I59" s="43"/>
      <c r="J59" s="43"/>
      <c r="K59" s="19"/>
    </row>
    <row r="60" spans="2:11" x14ac:dyDescent="0.25">
      <c r="B60" s="18"/>
      <c r="C60" s="43"/>
      <c r="D60" s="43"/>
      <c r="E60" s="43"/>
      <c r="F60" s="43"/>
      <c r="G60" s="43"/>
      <c r="H60" s="43"/>
      <c r="I60" s="43"/>
      <c r="J60" s="43"/>
      <c r="K60" s="19"/>
    </row>
    <row r="61" spans="2:11" x14ac:dyDescent="0.25">
      <c r="B61" s="18"/>
      <c r="C61" s="43"/>
      <c r="D61" s="43"/>
      <c r="E61" s="43"/>
      <c r="F61" s="43"/>
      <c r="G61" s="43"/>
      <c r="H61" s="43"/>
      <c r="I61" s="43"/>
      <c r="J61" s="43"/>
      <c r="K61" s="19"/>
    </row>
    <row r="62" spans="2:11" x14ac:dyDescent="0.25">
      <c r="B62" s="18"/>
      <c r="C62" s="43"/>
      <c r="D62" s="43"/>
      <c r="E62" s="43"/>
      <c r="F62" s="43"/>
      <c r="G62" s="43"/>
      <c r="H62" s="43"/>
      <c r="I62" s="43"/>
      <c r="J62" s="43"/>
      <c r="K62" s="19"/>
    </row>
    <row r="63" spans="2:11" x14ac:dyDescent="0.25">
      <c r="B63" s="22"/>
      <c r="C63" s="23"/>
      <c r="D63" s="23"/>
      <c r="E63" s="23"/>
      <c r="F63" s="23"/>
      <c r="G63" s="23"/>
      <c r="H63" s="23"/>
      <c r="I63" s="23"/>
      <c r="J63" s="23"/>
      <c r="K63" s="24"/>
    </row>
  </sheetData>
  <mergeCells count="65">
    <mergeCell ref="C10:J11"/>
    <mergeCell ref="C12:F14"/>
    <mergeCell ref="G12:J14"/>
    <mergeCell ref="C15:F17"/>
    <mergeCell ref="G15:J17"/>
    <mergeCell ref="C42:E42"/>
    <mergeCell ref="G42:J42"/>
    <mergeCell ref="C19:J20"/>
    <mergeCell ref="C21:C24"/>
    <mergeCell ref="G21:H21"/>
    <mergeCell ref="I21:J21"/>
    <mergeCell ref="G22:H22"/>
    <mergeCell ref="I22:J22"/>
    <mergeCell ref="G23:H23"/>
    <mergeCell ref="I23:J23"/>
    <mergeCell ref="G24:H24"/>
    <mergeCell ref="I24:J24"/>
    <mergeCell ref="D29:E29"/>
    <mergeCell ref="H29:I29"/>
    <mergeCell ref="I35:J35"/>
    <mergeCell ref="D30:E30"/>
    <mergeCell ref="Q29:R29"/>
    <mergeCell ref="Q24:R24"/>
    <mergeCell ref="C25:D25"/>
    <mergeCell ref="G25:H25"/>
    <mergeCell ref="Q25:R25"/>
    <mergeCell ref="C26:D26"/>
    <mergeCell ref="G26:H26"/>
    <mergeCell ref="Q26:R26"/>
    <mergeCell ref="C27:D27"/>
    <mergeCell ref="G27:H27"/>
    <mergeCell ref="Q27:R27"/>
    <mergeCell ref="C28:J28"/>
    <mergeCell ref="Q28:R28"/>
    <mergeCell ref="H30:I30"/>
    <mergeCell ref="Q30:R30"/>
    <mergeCell ref="D31:E31"/>
    <mergeCell ref="H31:I31"/>
    <mergeCell ref="Q31:R31"/>
    <mergeCell ref="Q32:R32"/>
    <mergeCell ref="C33:E33"/>
    <mergeCell ref="G33:J33"/>
    <mergeCell ref="Q33:R33"/>
    <mergeCell ref="I34:J34"/>
    <mergeCell ref="I48:J48"/>
    <mergeCell ref="I36:J36"/>
    <mergeCell ref="I37:J37"/>
    <mergeCell ref="I38:J38"/>
    <mergeCell ref="I39:J39"/>
    <mergeCell ref="I40:J40"/>
    <mergeCell ref="I41:J41"/>
    <mergeCell ref="I43:J43"/>
    <mergeCell ref="I44:J44"/>
    <mergeCell ref="I45:J45"/>
    <mergeCell ref="I46:J46"/>
    <mergeCell ref="I47:J47"/>
    <mergeCell ref="I55:J55"/>
    <mergeCell ref="I56:J56"/>
    <mergeCell ref="C58:J62"/>
    <mergeCell ref="I49:J49"/>
    <mergeCell ref="I50:J50"/>
    <mergeCell ref="I51:J51"/>
    <mergeCell ref="I52:J52"/>
    <mergeCell ref="I53:J53"/>
    <mergeCell ref="I54:J54"/>
  </mergeCells>
  <hyperlinks>
    <hyperlink ref="C8" r:id="rId1" xr:uid="{A2B22378-C269-4F52-B555-D29D46F254A6}"/>
  </hyperlinks>
  <pageMargins left="0.7" right="0.7" top="0.75" bottom="0.75" header="0.3" footer="0.3"/>
  <pageSetup scale="48" orientation="portrait" r:id="rId2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24A3D-1805-485A-8FBB-1E5600003240}">
  <sheetPr>
    <pageSetUpPr fitToPage="1"/>
  </sheetPr>
  <dimension ref="B2:R63"/>
  <sheetViews>
    <sheetView showGridLines="0" zoomScale="90" zoomScaleNormal="90" workbookViewId="0">
      <selection activeCell="C10" sqref="C10:J17"/>
    </sheetView>
  </sheetViews>
  <sheetFormatPr defaultRowHeight="15" x14ac:dyDescent="0.25"/>
  <cols>
    <col min="1" max="1" width="3.7109375" customWidth="1"/>
    <col min="2" max="2" width="3.140625" customWidth="1"/>
    <col min="3" max="3" width="10" customWidth="1"/>
    <col min="4" max="4" width="16.7109375" customWidth="1"/>
    <col min="5" max="5" width="25.7109375" customWidth="1"/>
    <col min="6" max="6" width="4" customWidth="1"/>
    <col min="7" max="7" width="10" customWidth="1"/>
    <col min="8" max="8" width="25.7109375" customWidth="1"/>
    <col min="9" max="9" width="10.140625" customWidth="1"/>
    <col min="10" max="10" width="10.85546875" customWidth="1"/>
    <col min="11" max="11" width="3.140625" customWidth="1"/>
  </cols>
  <sheetData>
    <row r="2" spans="2:11" x14ac:dyDescent="0.2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1" x14ac:dyDescent="0.25">
      <c r="B3" s="18"/>
      <c r="C3" t="s">
        <v>42</v>
      </c>
      <c r="K3" s="19"/>
    </row>
    <row r="4" spans="2:11" x14ac:dyDescent="0.25">
      <c r="B4" s="18"/>
      <c r="C4" t="s">
        <v>43</v>
      </c>
      <c r="K4" s="19"/>
    </row>
    <row r="5" spans="2:11" x14ac:dyDescent="0.25">
      <c r="B5" s="18"/>
      <c r="C5" t="s">
        <v>44</v>
      </c>
      <c r="K5" s="19"/>
    </row>
    <row r="6" spans="2:11" x14ac:dyDescent="0.25">
      <c r="B6" s="18"/>
      <c r="C6" t="s">
        <v>45</v>
      </c>
      <c r="K6" s="19"/>
    </row>
    <row r="7" spans="2:11" x14ac:dyDescent="0.25">
      <c r="B7" s="18"/>
      <c r="C7" t="s">
        <v>46</v>
      </c>
      <c r="K7" s="19"/>
    </row>
    <row r="8" spans="2:11" x14ac:dyDescent="0.25">
      <c r="B8" s="18"/>
      <c r="C8" s="20" t="s">
        <v>47</v>
      </c>
      <c r="K8" s="19"/>
    </row>
    <row r="9" spans="2:11" x14ac:dyDescent="0.25">
      <c r="B9" s="18"/>
      <c r="C9" s="20"/>
      <c r="K9" s="19"/>
    </row>
    <row r="10" spans="2:11" x14ac:dyDescent="0.25">
      <c r="B10" s="18"/>
      <c r="C10" s="86" t="s">
        <v>77</v>
      </c>
      <c r="D10" s="76"/>
      <c r="E10" s="76"/>
      <c r="F10" s="76"/>
      <c r="G10" s="76"/>
      <c r="H10" s="76"/>
      <c r="I10" s="76"/>
      <c r="J10" s="76"/>
      <c r="K10" s="19"/>
    </row>
    <row r="11" spans="2:11" x14ac:dyDescent="0.25">
      <c r="B11" s="18"/>
      <c r="C11" s="76"/>
      <c r="D11" s="76"/>
      <c r="E11" s="76"/>
      <c r="F11" s="76"/>
      <c r="G11" s="76"/>
      <c r="H11" s="76"/>
      <c r="I11" s="76"/>
      <c r="J11" s="76"/>
      <c r="K11" s="19"/>
    </row>
    <row r="12" spans="2:11" x14ac:dyDescent="0.25">
      <c r="B12" s="18"/>
      <c r="C12" s="90" t="s">
        <v>78</v>
      </c>
      <c r="D12" s="90"/>
      <c r="E12" s="90"/>
      <c r="F12" s="90"/>
      <c r="G12" s="90" t="s">
        <v>79</v>
      </c>
      <c r="H12" s="90"/>
      <c r="I12" s="90"/>
      <c r="J12" s="90"/>
      <c r="K12" s="19"/>
    </row>
    <row r="13" spans="2:11" x14ac:dyDescent="0.25">
      <c r="B13" s="18"/>
      <c r="C13" s="90"/>
      <c r="D13" s="90"/>
      <c r="E13" s="90"/>
      <c r="F13" s="90"/>
      <c r="G13" s="90"/>
      <c r="H13" s="90"/>
      <c r="I13" s="90"/>
      <c r="J13" s="90"/>
      <c r="K13" s="19"/>
    </row>
    <row r="14" spans="2:11" x14ac:dyDescent="0.25">
      <c r="B14" s="18"/>
      <c r="C14" s="90"/>
      <c r="D14" s="90"/>
      <c r="E14" s="90"/>
      <c r="F14" s="90"/>
      <c r="G14" s="90"/>
      <c r="H14" s="90"/>
      <c r="I14" s="90"/>
      <c r="J14" s="90"/>
      <c r="K14" s="19"/>
    </row>
    <row r="15" spans="2:11" x14ac:dyDescent="0.25">
      <c r="B15" s="18"/>
      <c r="C15" s="90" t="s">
        <v>104</v>
      </c>
      <c r="D15" s="90"/>
      <c r="E15" s="90"/>
      <c r="F15" s="90"/>
      <c r="G15" s="77" t="s">
        <v>105</v>
      </c>
      <c r="H15" s="78"/>
      <c r="I15" s="78"/>
      <c r="J15" s="79"/>
      <c r="K15" s="19"/>
    </row>
    <row r="16" spans="2:11" x14ac:dyDescent="0.25">
      <c r="B16" s="18"/>
      <c r="C16" s="90"/>
      <c r="D16" s="90"/>
      <c r="E16" s="90"/>
      <c r="F16" s="90"/>
      <c r="G16" s="80"/>
      <c r="H16" s="81"/>
      <c r="I16" s="81"/>
      <c r="J16" s="82"/>
      <c r="K16" s="19"/>
    </row>
    <row r="17" spans="2:18" x14ac:dyDescent="0.25">
      <c r="B17" s="18"/>
      <c r="C17" s="90"/>
      <c r="D17" s="90"/>
      <c r="E17" s="90"/>
      <c r="F17" s="90"/>
      <c r="G17" s="83"/>
      <c r="H17" s="84"/>
      <c r="I17" s="84"/>
      <c r="J17" s="85"/>
      <c r="K17" s="19"/>
    </row>
    <row r="18" spans="2:18" x14ac:dyDescent="0.25">
      <c r="B18" s="18"/>
      <c r="K18" s="19"/>
    </row>
    <row r="19" spans="2:18" ht="18.399999999999999" customHeight="1" x14ac:dyDescent="0.25">
      <c r="B19" s="18"/>
      <c r="C19" s="59" t="s">
        <v>0</v>
      </c>
      <c r="D19" s="60"/>
      <c r="E19" s="60"/>
      <c r="F19" s="60"/>
      <c r="G19" s="60"/>
      <c r="H19" s="60"/>
      <c r="I19" s="60"/>
      <c r="J19" s="61"/>
      <c r="K19" s="19"/>
    </row>
    <row r="20" spans="2:18" ht="14.65" customHeight="1" x14ac:dyDescent="0.25">
      <c r="B20" s="18"/>
      <c r="C20" s="62"/>
      <c r="D20" s="63"/>
      <c r="E20" s="63"/>
      <c r="F20" s="63"/>
      <c r="G20" s="63"/>
      <c r="H20" s="63"/>
      <c r="I20" s="63"/>
      <c r="J20" s="64"/>
      <c r="K20" s="19"/>
    </row>
    <row r="21" spans="2:18" ht="14.65" customHeight="1" x14ac:dyDescent="0.25">
      <c r="B21" s="18"/>
      <c r="C21" s="65" t="s">
        <v>1</v>
      </c>
      <c r="D21" s="3" t="s">
        <v>2</v>
      </c>
      <c r="E21" s="4" t="s">
        <v>3</v>
      </c>
      <c r="F21" s="11"/>
      <c r="G21" s="53" t="s">
        <v>4</v>
      </c>
      <c r="H21" s="54"/>
      <c r="I21" s="66">
        <v>46183</v>
      </c>
      <c r="J21" s="67"/>
      <c r="K21" s="19"/>
    </row>
    <row r="22" spans="2:18" x14ac:dyDescent="0.25">
      <c r="B22" s="18"/>
      <c r="C22" s="65"/>
      <c r="D22" s="3" t="s">
        <v>5</v>
      </c>
      <c r="E22" s="4">
        <v>63010057</v>
      </c>
      <c r="F22" s="11"/>
      <c r="G22" s="53" t="s">
        <v>6</v>
      </c>
      <c r="H22" s="54"/>
      <c r="I22" s="68" t="s">
        <v>7</v>
      </c>
      <c r="J22" s="69"/>
      <c r="K22" s="19"/>
    </row>
    <row r="23" spans="2:18" ht="14.65" customHeight="1" x14ac:dyDescent="0.25">
      <c r="B23" s="18"/>
      <c r="C23" s="65"/>
      <c r="D23" s="3" t="s">
        <v>2</v>
      </c>
      <c r="E23" s="4" t="s">
        <v>8</v>
      </c>
      <c r="F23" s="11"/>
      <c r="G23" s="51" t="s">
        <v>9</v>
      </c>
      <c r="H23" s="52"/>
      <c r="I23" s="68" t="s">
        <v>10</v>
      </c>
      <c r="J23" s="69"/>
      <c r="K23" s="19"/>
    </row>
    <row r="24" spans="2:18" ht="14.65" customHeight="1" x14ac:dyDescent="0.25">
      <c r="B24" s="18"/>
      <c r="C24" s="65"/>
      <c r="D24" s="3" t="s">
        <v>5</v>
      </c>
      <c r="E24" s="4" t="s">
        <v>11</v>
      </c>
      <c r="F24" s="11"/>
      <c r="G24" s="51" t="s">
        <v>12</v>
      </c>
      <c r="H24" s="52"/>
      <c r="I24" s="68" t="s">
        <v>41</v>
      </c>
      <c r="J24" s="69"/>
      <c r="K24" s="19"/>
      <c r="P24" s="13"/>
      <c r="Q24" s="49"/>
      <c r="R24" s="49"/>
    </row>
    <row r="25" spans="2:18" ht="15.4" customHeight="1" x14ac:dyDescent="0.25">
      <c r="B25" s="18"/>
      <c r="C25" s="50" t="s">
        <v>14</v>
      </c>
      <c r="D25" s="50"/>
      <c r="E25" s="4">
        <v>54</v>
      </c>
      <c r="F25" s="11"/>
      <c r="G25" s="51" t="s">
        <v>15</v>
      </c>
      <c r="H25" s="52"/>
      <c r="I25" s="6">
        <v>30000</v>
      </c>
      <c r="J25" s="3" t="s">
        <v>16</v>
      </c>
      <c r="K25" s="19"/>
      <c r="P25" s="14"/>
      <c r="Q25" s="46"/>
      <c r="R25" s="46"/>
    </row>
    <row r="26" spans="2:18" ht="14.65" customHeight="1" x14ac:dyDescent="0.25">
      <c r="B26" s="18"/>
      <c r="C26" s="50" t="s">
        <v>17</v>
      </c>
      <c r="D26" s="50"/>
      <c r="E26" s="4">
        <v>40</v>
      </c>
      <c r="F26" s="11"/>
      <c r="G26" s="53" t="s">
        <v>18</v>
      </c>
      <c r="H26" s="54"/>
      <c r="I26" s="6">
        <v>30</v>
      </c>
      <c r="J26" s="3" t="s">
        <v>19</v>
      </c>
      <c r="K26" s="19"/>
      <c r="P26" s="14"/>
      <c r="Q26" s="46"/>
      <c r="R26" s="46"/>
    </row>
    <row r="27" spans="2:18" ht="14.65" customHeight="1" x14ac:dyDescent="0.25">
      <c r="B27" s="18"/>
      <c r="C27" s="50" t="s">
        <v>20</v>
      </c>
      <c r="D27" s="50"/>
      <c r="E27" s="7">
        <v>1.2E-2</v>
      </c>
      <c r="F27" s="11"/>
      <c r="G27" s="53" t="s">
        <v>21</v>
      </c>
      <c r="H27" s="54"/>
      <c r="I27" s="6">
        <v>30</v>
      </c>
      <c r="J27" s="3" t="s">
        <v>19</v>
      </c>
      <c r="K27" s="19"/>
      <c r="P27" s="14"/>
      <c r="Q27" s="46"/>
      <c r="R27" s="46"/>
    </row>
    <row r="28" spans="2:18" ht="14.65" customHeight="1" x14ac:dyDescent="0.25">
      <c r="B28" s="18"/>
      <c r="C28" s="55" t="s">
        <v>22</v>
      </c>
      <c r="D28" s="55"/>
      <c r="E28" s="55"/>
      <c r="F28" s="55"/>
      <c r="G28" s="55"/>
      <c r="H28" s="55"/>
      <c r="I28" s="55"/>
      <c r="J28" s="55"/>
      <c r="K28" s="19"/>
      <c r="P28" s="14"/>
      <c r="Q28" s="46"/>
      <c r="R28" s="46"/>
    </row>
    <row r="29" spans="2:18" x14ac:dyDescent="0.25">
      <c r="B29" s="18"/>
      <c r="C29" s="2" t="s">
        <v>23</v>
      </c>
      <c r="D29" s="48">
        <v>0.5</v>
      </c>
      <c r="E29" s="48"/>
      <c r="F29" s="2" t="s">
        <v>24</v>
      </c>
      <c r="G29" s="2" t="s">
        <v>25</v>
      </c>
      <c r="H29" s="48">
        <v>2.7</v>
      </c>
      <c r="I29" s="48"/>
      <c r="J29" s="2" t="s">
        <v>26</v>
      </c>
      <c r="K29" s="19"/>
      <c r="P29" s="14"/>
      <c r="Q29" s="46"/>
      <c r="R29" s="46"/>
    </row>
    <row r="30" spans="2:18" x14ac:dyDescent="0.25">
      <c r="B30" s="18"/>
      <c r="C30" s="2" t="s">
        <v>27</v>
      </c>
      <c r="D30" s="48">
        <v>0.6</v>
      </c>
      <c r="E30" s="48"/>
      <c r="F30" s="2" t="s">
        <v>24</v>
      </c>
      <c r="G30" s="2" t="s">
        <v>28</v>
      </c>
      <c r="H30" s="48">
        <v>8.3000000000000007</v>
      </c>
      <c r="I30" s="48"/>
      <c r="J30" s="2" t="s">
        <v>26</v>
      </c>
      <c r="K30" s="19"/>
      <c r="P30" s="14"/>
      <c r="Q30" s="46"/>
      <c r="R30" s="46"/>
    </row>
    <row r="31" spans="2:18" x14ac:dyDescent="0.25">
      <c r="B31" s="18"/>
      <c r="C31" s="2" t="s">
        <v>29</v>
      </c>
      <c r="D31" s="48">
        <v>10.199999999999999</v>
      </c>
      <c r="E31" s="48"/>
      <c r="F31" s="2" t="s">
        <v>24</v>
      </c>
      <c r="G31" s="2" t="s">
        <v>30</v>
      </c>
      <c r="H31" s="48">
        <v>8.3000000000000007</v>
      </c>
      <c r="I31" s="48"/>
      <c r="J31" s="2" t="s">
        <v>26</v>
      </c>
      <c r="K31" s="19"/>
      <c r="P31" s="14"/>
      <c r="Q31" s="46"/>
      <c r="R31" s="46"/>
    </row>
    <row r="32" spans="2:18" ht="14.1" customHeight="1" x14ac:dyDescent="0.25">
      <c r="B32" s="18"/>
      <c r="C32" s="12"/>
      <c r="D32" s="12"/>
      <c r="E32" s="12"/>
      <c r="F32" s="12"/>
      <c r="G32" s="12"/>
      <c r="H32" s="12"/>
      <c r="I32" s="12"/>
      <c r="J32" s="12"/>
      <c r="K32" s="19"/>
      <c r="P32" s="14"/>
      <c r="Q32" s="46"/>
      <c r="R32" s="46"/>
    </row>
    <row r="33" spans="2:18" ht="14.65" customHeight="1" x14ac:dyDescent="0.25">
      <c r="B33" s="18"/>
      <c r="C33" s="47" t="s">
        <v>31</v>
      </c>
      <c r="D33" s="47"/>
      <c r="E33" s="47"/>
      <c r="F33" s="12"/>
      <c r="G33" s="47" t="s">
        <v>32</v>
      </c>
      <c r="H33" s="47"/>
      <c r="I33" s="47"/>
      <c r="J33" s="47"/>
      <c r="K33" s="19"/>
      <c r="P33" s="14"/>
      <c r="Q33" s="46"/>
      <c r="R33" s="46"/>
    </row>
    <row r="34" spans="2:18" ht="30" x14ac:dyDescent="0.25">
      <c r="B34" s="18"/>
      <c r="C34" s="8" t="s">
        <v>33</v>
      </c>
      <c r="D34" s="8" t="s">
        <v>34</v>
      </c>
      <c r="E34" s="8" t="s">
        <v>35</v>
      </c>
      <c r="F34" s="12"/>
      <c r="G34" s="8" t="s">
        <v>33</v>
      </c>
      <c r="H34" s="8" t="s">
        <v>36</v>
      </c>
      <c r="I34" s="47" t="s">
        <v>37</v>
      </c>
      <c r="J34" s="47"/>
      <c r="K34" s="19"/>
    </row>
    <row r="35" spans="2:18" x14ac:dyDescent="0.25">
      <c r="B35" s="18"/>
      <c r="C35" s="9" t="s">
        <v>38</v>
      </c>
      <c r="D35" s="9" t="s">
        <v>39</v>
      </c>
      <c r="E35" s="9" t="s">
        <v>39</v>
      </c>
      <c r="F35" s="12"/>
      <c r="G35" s="9" t="s">
        <v>38</v>
      </c>
      <c r="H35" s="9" t="s">
        <v>39</v>
      </c>
      <c r="I35" s="70" t="s">
        <v>40</v>
      </c>
      <c r="J35" s="70"/>
      <c r="K35" s="19"/>
    </row>
    <row r="36" spans="2:18" x14ac:dyDescent="0.25">
      <c r="B36" s="18"/>
      <c r="C36" s="4">
        <v>4</v>
      </c>
      <c r="D36" s="4">
        <v>5822.6</v>
      </c>
      <c r="E36" s="10">
        <f>583527/100</f>
        <v>5835.27</v>
      </c>
      <c r="F36" s="12"/>
      <c r="G36" s="4">
        <f t="shared" ref="G36:H45" si="0">C36</f>
        <v>4</v>
      </c>
      <c r="H36" s="4">
        <f t="shared" si="0"/>
        <v>5822.6</v>
      </c>
      <c r="I36" s="44">
        <v>74</v>
      </c>
      <c r="J36" s="45"/>
      <c r="K36" s="19"/>
    </row>
    <row r="37" spans="2:18" x14ac:dyDescent="0.25">
      <c r="B37" s="18"/>
      <c r="C37" s="4">
        <v>6</v>
      </c>
      <c r="D37" s="4">
        <v>2422.5</v>
      </c>
      <c r="E37" s="10">
        <f>244923/100</f>
        <v>2449.23</v>
      </c>
      <c r="F37" s="12"/>
      <c r="G37" s="4">
        <f t="shared" si="0"/>
        <v>6</v>
      </c>
      <c r="H37" s="4">
        <f t="shared" si="0"/>
        <v>2422.5</v>
      </c>
      <c r="I37" s="44">
        <v>184</v>
      </c>
      <c r="J37" s="45"/>
      <c r="K37" s="19"/>
    </row>
    <row r="38" spans="2:18" x14ac:dyDescent="0.25">
      <c r="B38" s="18"/>
      <c r="C38" s="4">
        <v>10</v>
      </c>
      <c r="D38" s="4">
        <v>543.79999999999995</v>
      </c>
      <c r="E38" s="10">
        <f>52850/100</f>
        <v>528.5</v>
      </c>
      <c r="F38" s="12"/>
      <c r="G38" s="4">
        <f t="shared" si="0"/>
        <v>10</v>
      </c>
      <c r="H38" s="4">
        <f t="shared" si="0"/>
        <v>543.79999999999995</v>
      </c>
      <c r="I38" s="44">
        <v>599</v>
      </c>
      <c r="J38" s="45"/>
      <c r="K38" s="19"/>
    </row>
    <row r="39" spans="2:18" x14ac:dyDescent="0.25">
      <c r="B39" s="18"/>
      <c r="C39" s="4">
        <v>14</v>
      </c>
      <c r="D39" s="4">
        <v>182.5</v>
      </c>
      <c r="E39" s="10">
        <f>18403/100</f>
        <v>184.03</v>
      </c>
      <c r="F39" s="12"/>
      <c r="G39" s="4">
        <f t="shared" si="0"/>
        <v>14</v>
      </c>
      <c r="H39" s="4">
        <f t="shared" si="0"/>
        <v>182.5</v>
      </c>
      <c r="I39" s="44">
        <v>1020</v>
      </c>
      <c r="J39" s="45"/>
      <c r="K39" s="19"/>
    </row>
    <row r="40" spans="2:18" x14ac:dyDescent="0.25">
      <c r="B40" s="18"/>
      <c r="C40" s="4">
        <v>21</v>
      </c>
      <c r="D40" s="4">
        <v>51.7</v>
      </c>
      <c r="E40" s="10">
        <f>5520/100</f>
        <v>55.2</v>
      </c>
      <c r="F40" s="12"/>
      <c r="G40" s="4">
        <f t="shared" si="0"/>
        <v>21</v>
      </c>
      <c r="H40" s="4">
        <f t="shared" si="0"/>
        <v>51.7</v>
      </c>
      <c r="I40" s="44">
        <v>2080</v>
      </c>
      <c r="J40" s="45"/>
      <c r="K40" s="19"/>
    </row>
    <row r="41" spans="2:18" x14ac:dyDescent="0.25">
      <c r="B41" s="18"/>
      <c r="C41" s="4">
        <v>25</v>
      </c>
      <c r="D41" s="4">
        <v>22.8</v>
      </c>
      <c r="E41" s="10">
        <f>2422/100</f>
        <v>24.22</v>
      </c>
      <c r="F41" s="12"/>
      <c r="G41" s="4">
        <f t="shared" si="0"/>
        <v>25</v>
      </c>
      <c r="H41" s="4">
        <f t="shared" si="0"/>
        <v>22.8</v>
      </c>
      <c r="I41" s="44">
        <v>2938</v>
      </c>
      <c r="J41" s="45"/>
      <c r="K41" s="19"/>
    </row>
    <row r="42" spans="2:18" x14ac:dyDescent="0.25">
      <c r="B42" s="18"/>
      <c r="C42" s="56"/>
      <c r="D42" s="57"/>
      <c r="E42" s="58"/>
      <c r="F42" s="12"/>
      <c r="G42" s="56"/>
      <c r="H42" s="57"/>
      <c r="I42" s="57"/>
      <c r="J42" s="58"/>
      <c r="K42" s="19"/>
    </row>
    <row r="43" spans="2:18" x14ac:dyDescent="0.25">
      <c r="B43" s="18"/>
      <c r="C43" s="4">
        <v>38</v>
      </c>
      <c r="D43" s="4">
        <v>374</v>
      </c>
      <c r="E43" s="10">
        <v>401</v>
      </c>
      <c r="F43" s="12"/>
      <c r="G43" s="4">
        <f t="shared" si="0"/>
        <v>38</v>
      </c>
      <c r="H43" s="4">
        <f t="shared" si="0"/>
        <v>374</v>
      </c>
      <c r="I43" s="44">
        <v>10084</v>
      </c>
      <c r="J43" s="45"/>
      <c r="K43" s="19"/>
    </row>
    <row r="44" spans="2:18" x14ac:dyDescent="0.25">
      <c r="B44" s="18"/>
      <c r="C44" s="4">
        <v>50</v>
      </c>
      <c r="D44" s="4">
        <v>102</v>
      </c>
      <c r="E44" s="10">
        <v>111</v>
      </c>
      <c r="F44" s="12"/>
      <c r="G44" s="4">
        <f t="shared" si="0"/>
        <v>50</v>
      </c>
      <c r="H44" s="4">
        <f t="shared" si="0"/>
        <v>102</v>
      </c>
      <c r="I44" s="44">
        <v>16139</v>
      </c>
      <c r="J44" s="45"/>
      <c r="K44" s="19"/>
    </row>
    <row r="45" spans="2:18" x14ac:dyDescent="0.25">
      <c r="B45" s="18"/>
      <c r="C45" s="4">
        <v>70</v>
      </c>
      <c r="D45" s="4">
        <v>34</v>
      </c>
      <c r="E45" s="10">
        <v>36</v>
      </c>
      <c r="F45" s="12"/>
      <c r="G45" s="4">
        <f t="shared" si="0"/>
        <v>70</v>
      </c>
      <c r="H45" s="4">
        <f t="shared" si="0"/>
        <v>34</v>
      </c>
      <c r="I45" s="44">
        <v>25112</v>
      </c>
      <c r="J45" s="45"/>
      <c r="K45" s="19"/>
    </row>
    <row r="46" spans="2:18" x14ac:dyDescent="0.25">
      <c r="B46" s="18"/>
      <c r="C46" s="4"/>
      <c r="D46" s="4"/>
      <c r="E46" s="4"/>
      <c r="F46" s="12"/>
      <c r="G46" s="4"/>
      <c r="H46" s="4"/>
      <c r="I46" s="41"/>
      <c r="J46" s="41"/>
      <c r="K46" s="19"/>
    </row>
    <row r="47" spans="2:18" x14ac:dyDescent="0.25">
      <c r="B47" s="18"/>
      <c r="C47" s="4"/>
      <c r="D47" s="4"/>
      <c r="E47" s="4"/>
      <c r="F47" s="1"/>
      <c r="G47" s="4"/>
      <c r="H47" s="4"/>
      <c r="I47" s="41"/>
      <c r="J47" s="41"/>
      <c r="K47" s="19"/>
    </row>
    <row r="48" spans="2:18" x14ac:dyDescent="0.25">
      <c r="B48" s="18"/>
      <c r="C48" s="4"/>
      <c r="D48" s="4"/>
      <c r="E48" s="4"/>
      <c r="F48" s="1"/>
      <c r="G48" s="4"/>
      <c r="H48" s="4"/>
      <c r="I48" s="41"/>
      <c r="J48" s="41"/>
      <c r="K48" s="19"/>
    </row>
    <row r="49" spans="2:11" x14ac:dyDescent="0.25">
      <c r="B49" s="18"/>
      <c r="C49" s="4"/>
      <c r="D49" s="4"/>
      <c r="E49" s="4"/>
      <c r="F49" s="1"/>
      <c r="G49" s="4"/>
      <c r="H49" s="4"/>
      <c r="I49" s="41"/>
      <c r="J49" s="41"/>
      <c r="K49" s="19"/>
    </row>
    <row r="50" spans="2:11" x14ac:dyDescent="0.25">
      <c r="B50" s="18"/>
      <c r="C50" s="4"/>
      <c r="D50" s="4"/>
      <c r="E50" s="4"/>
      <c r="F50" s="1"/>
      <c r="G50" s="4"/>
      <c r="H50" s="4"/>
      <c r="I50" s="41"/>
      <c r="J50" s="41"/>
      <c r="K50" s="19"/>
    </row>
    <row r="51" spans="2:11" x14ac:dyDescent="0.25">
      <c r="B51" s="18"/>
      <c r="C51" s="4"/>
      <c r="D51" s="4"/>
      <c r="E51" s="4"/>
      <c r="F51" s="1"/>
      <c r="G51" s="4"/>
      <c r="H51" s="4"/>
      <c r="I51" s="41"/>
      <c r="J51" s="41"/>
      <c r="K51" s="19"/>
    </row>
    <row r="52" spans="2:11" x14ac:dyDescent="0.25">
      <c r="B52" s="18"/>
      <c r="C52" s="4"/>
      <c r="D52" s="4"/>
      <c r="E52" s="4"/>
      <c r="F52" s="1"/>
      <c r="G52" s="4"/>
      <c r="H52" s="4"/>
      <c r="I52" s="41"/>
      <c r="J52" s="41"/>
      <c r="K52" s="19"/>
    </row>
    <row r="53" spans="2:11" x14ac:dyDescent="0.25">
      <c r="B53" s="18"/>
      <c r="C53" s="4"/>
      <c r="D53" s="4"/>
      <c r="E53" s="4"/>
      <c r="F53" s="1"/>
      <c r="G53" s="4"/>
      <c r="H53" s="4"/>
      <c r="I53" s="41"/>
      <c r="J53" s="41"/>
      <c r="K53" s="19"/>
    </row>
    <row r="54" spans="2:11" x14ac:dyDescent="0.25">
      <c r="B54" s="18"/>
      <c r="C54" s="4"/>
      <c r="D54" s="4"/>
      <c r="E54" s="4"/>
      <c r="F54" s="1"/>
      <c r="G54" s="4"/>
      <c r="H54" s="4"/>
      <c r="I54" s="41"/>
      <c r="J54" s="41"/>
      <c r="K54" s="19"/>
    </row>
    <row r="55" spans="2:11" x14ac:dyDescent="0.25">
      <c r="B55" s="18"/>
      <c r="C55" s="4"/>
      <c r="D55" s="4"/>
      <c r="E55" s="4"/>
      <c r="F55" s="1"/>
      <c r="G55" s="4"/>
      <c r="H55" s="4"/>
      <c r="I55" s="41"/>
      <c r="J55" s="41"/>
      <c r="K55" s="19"/>
    </row>
    <row r="56" spans="2:11" x14ac:dyDescent="0.25">
      <c r="B56" s="18"/>
      <c r="C56" s="4"/>
      <c r="D56" s="4"/>
      <c r="E56" s="4"/>
      <c r="F56" s="1"/>
      <c r="G56" s="4"/>
      <c r="H56" s="4"/>
      <c r="I56" s="41"/>
      <c r="J56" s="41"/>
      <c r="K56" s="19"/>
    </row>
    <row r="57" spans="2:11" x14ac:dyDescent="0.25">
      <c r="B57" s="18"/>
      <c r="K57" s="19"/>
    </row>
    <row r="58" spans="2:11" ht="14.65" customHeight="1" x14ac:dyDescent="0.25">
      <c r="B58" s="18"/>
      <c r="C58" s="42" t="s">
        <v>48</v>
      </c>
      <c r="D58" s="43"/>
      <c r="E58" s="43"/>
      <c r="F58" s="43"/>
      <c r="G58" s="43"/>
      <c r="H58" s="43"/>
      <c r="I58" s="43"/>
      <c r="J58" s="43"/>
      <c r="K58" s="19"/>
    </row>
    <row r="59" spans="2:11" x14ac:dyDescent="0.25">
      <c r="B59" s="18"/>
      <c r="C59" s="43"/>
      <c r="D59" s="43"/>
      <c r="E59" s="43"/>
      <c r="F59" s="43"/>
      <c r="G59" s="43"/>
      <c r="H59" s="43"/>
      <c r="I59" s="43"/>
      <c r="J59" s="43"/>
      <c r="K59" s="19"/>
    </row>
    <row r="60" spans="2:11" x14ac:dyDescent="0.25">
      <c r="B60" s="18"/>
      <c r="C60" s="43"/>
      <c r="D60" s="43"/>
      <c r="E60" s="43"/>
      <c r="F60" s="43"/>
      <c r="G60" s="43"/>
      <c r="H60" s="43"/>
      <c r="I60" s="43"/>
      <c r="J60" s="43"/>
      <c r="K60" s="19"/>
    </row>
    <row r="61" spans="2:11" x14ac:dyDescent="0.25">
      <c r="B61" s="18"/>
      <c r="C61" s="43"/>
      <c r="D61" s="43"/>
      <c r="E61" s="43"/>
      <c r="F61" s="43"/>
      <c r="G61" s="43"/>
      <c r="H61" s="43"/>
      <c r="I61" s="43"/>
      <c r="J61" s="43"/>
      <c r="K61" s="19"/>
    </row>
    <row r="62" spans="2:11" x14ac:dyDescent="0.25">
      <c r="B62" s="18"/>
      <c r="C62" s="43"/>
      <c r="D62" s="43"/>
      <c r="E62" s="43"/>
      <c r="F62" s="43"/>
      <c r="G62" s="43"/>
      <c r="H62" s="43"/>
      <c r="I62" s="43"/>
      <c r="J62" s="43"/>
      <c r="K62" s="19"/>
    </row>
    <row r="63" spans="2:11" x14ac:dyDescent="0.25">
      <c r="B63" s="22"/>
      <c r="C63" s="23"/>
      <c r="D63" s="23"/>
      <c r="E63" s="23"/>
      <c r="F63" s="23"/>
      <c r="G63" s="23"/>
      <c r="H63" s="23"/>
      <c r="I63" s="23"/>
      <c r="J63" s="23"/>
      <c r="K63" s="24"/>
    </row>
  </sheetData>
  <mergeCells count="65">
    <mergeCell ref="C10:J11"/>
    <mergeCell ref="C12:F14"/>
    <mergeCell ref="G12:J14"/>
    <mergeCell ref="C15:F17"/>
    <mergeCell ref="G15:J17"/>
    <mergeCell ref="C42:E42"/>
    <mergeCell ref="G42:J42"/>
    <mergeCell ref="C19:J20"/>
    <mergeCell ref="C21:C24"/>
    <mergeCell ref="G21:H21"/>
    <mergeCell ref="I21:J21"/>
    <mergeCell ref="G22:H22"/>
    <mergeCell ref="I22:J22"/>
    <mergeCell ref="G23:H23"/>
    <mergeCell ref="I23:J23"/>
    <mergeCell ref="G24:H24"/>
    <mergeCell ref="I24:J24"/>
    <mergeCell ref="D29:E29"/>
    <mergeCell ref="H29:I29"/>
    <mergeCell ref="I35:J35"/>
    <mergeCell ref="D30:E30"/>
    <mergeCell ref="Q29:R29"/>
    <mergeCell ref="Q24:R24"/>
    <mergeCell ref="C25:D25"/>
    <mergeCell ref="G25:H25"/>
    <mergeCell ref="Q25:R25"/>
    <mergeCell ref="C26:D26"/>
    <mergeCell ref="G26:H26"/>
    <mergeCell ref="Q26:R26"/>
    <mergeCell ref="C27:D27"/>
    <mergeCell ref="G27:H27"/>
    <mergeCell ref="Q27:R27"/>
    <mergeCell ref="C28:J28"/>
    <mergeCell ref="Q28:R28"/>
    <mergeCell ref="H30:I30"/>
    <mergeCell ref="Q30:R30"/>
    <mergeCell ref="D31:E31"/>
    <mergeCell ref="H31:I31"/>
    <mergeCell ref="Q31:R31"/>
    <mergeCell ref="Q32:R32"/>
    <mergeCell ref="C33:E33"/>
    <mergeCell ref="G33:J33"/>
    <mergeCell ref="Q33:R33"/>
    <mergeCell ref="I34:J34"/>
    <mergeCell ref="I48:J48"/>
    <mergeCell ref="I36:J36"/>
    <mergeCell ref="I37:J37"/>
    <mergeCell ref="I38:J38"/>
    <mergeCell ref="I39:J39"/>
    <mergeCell ref="I40:J40"/>
    <mergeCell ref="I41:J41"/>
    <mergeCell ref="I43:J43"/>
    <mergeCell ref="I44:J44"/>
    <mergeCell ref="I45:J45"/>
    <mergeCell ref="I46:J46"/>
    <mergeCell ref="I47:J47"/>
    <mergeCell ref="I55:J55"/>
    <mergeCell ref="I56:J56"/>
    <mergeCell ref="C58:J62"/>
    <mergeCell ref="I49:J49"/>
    <mergeCell ref="I50:J50"/>
    <mergeCell ref="I51:J51"/>
    <mergeCell ref="I52:J52"/>
    <mergeCell ref="I53:J53"/>
    <mergeCell ref="I54:J54"/>
  </mergeCells>
  <hyperlinks>
    <hyperlink ref="C8" r:id="rId1" xr:uid="{A04604C8-62F9-42E1-AFB4-C493BA3EBA4B}"/>
  </hyperlinks>
  <pageMargins left="0.7" right="0.7" top="0.75" bottom="0.75" header="0.3" footer="0.3"/>
  <pageSetup scale="48" orientation="portrait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31218-C1AF-4800-BAF7-813FE10A3365}">
  <sheetPr>
    <pageSetUpPr fitToPage="1"/>
  </sheetPr>
  <dimension ref="B2:R63"/>
  <sheetViews>
    <sheetView showGridLines="0" zoomScale="90" zoomScaleNormal="90" workbookViewId="0">
      <selection activeCell="C10" sqref="C10:J17"/>
    </sheetView>
  </sheetViews>
  <sheetFormatPr defaultRowHeight="15" x14ac:dyDescent="0.25"/>
  <cols>
    <col min="1" max="1" width="3.7109375" customWidth="1"/>
    <col min="2" max="2" width="3.140625" customWidth="1"/>
    <col min="3" max="3" width="10" customWidth="1"/>
    <col min="4" max="4" width="16.7109375" customWidth="1"/>
    <col min="5" max="5" width="25.7109375" customWidth="1"/>
    <col min="6" max="6" width="4" customWidth="1"/>
    <col min="7" max="7" width="10" customWidth="1"/>
    <col min="8" max="8" width="25.7109375" customWidth="1"/>
    <col min="9" max="9" width="10.140625" customWidth="1"/>
    <col min="10" max="10" width="10.85546875" customWidth="1"/>
    <col min="11" max="11" width="3.140625" customWidth="1"/>
  </cols>
  <sheetData>
    <row r="2" spans="2:11" x14ac:dyDescent="0.2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1" x14ac:dyDescent="0.25">
      <c r="B3" s="18"/>
      <c r="C3" t="s">
        <v>42</v>
      </c>
      <c r="K3" s="19"/>
    </row>
    <row r="4" spans="2:11" x14ac:dyDescent="0.25">
      <c r="B4" s="18"/>
      <c r="C4" t="s">
        <v>43</v>
      </c>
      <c r="K4" s="19"/>
    </row>
    <row r="5" spans="2:11" x14ac:dyDescent="0.25">
      <c r="B5" s="18"/>
      <c r="C5" t="s">
        <v>44</v>
      </c>
      <c r="K5" s="19"/>
    </row>
    <row r="6" spans="2:11" x14ac:dyDescent="0.25">
      <c r="B6" s="18"/>
      <c r="C6" t="s">
        <v>45</v>
      </c>
      <c r="K6" s="19"/>
    </row>
    <row r="7" spans="2:11" x14ac:dyDescent="0.25">
      <c r="B7" s="18"/>
      <c r="C7" t="s">
        <v>46</v>
      </c>
      <c r="K7" s="19"/>
    </row>
    <row r="8" spans="2:11" x14ac:dyDescent="0.25">
      <c r="B8" s="18"/>
      <c r="C8" s="20" t="s">
        <v>47</v>
      </c>
      <c r="K8" s="19"/>
    </row>
    <row r="9" spans="2:11" x14ac:dyDescent="0.25">
      <c r="B9" s="18"/>
      <c r="C9" s="20"/>
      <c r="K9" s="19"/>
    </row>
    <row r="10" spans="2:11" x14ac:dyDescent="0.25">
      <c r="B10" s="18"/>
      <c r="C10" s="86" t="s">
        <v>77</v>
      </c>
      <c r="D10" s="76"/>
      <c r="E10" s="76"/>
      <c r="F10" s="76"/>
      <c r="G10" s="76"/>
      <c r="H10" s="76"/>
      <c r="I10" s="76"/>
      <c r="J10" s="76"/>
      <c r="K10" s="19"/>
    </row>
    <row r="11" spans="2:11" x14ac:dyDescent="0.25">
      <c r="B11" s="18"/>
      <c r="C11" s="76"/>
      <c r="D11" s="76"/>
      <c r="E11" s="76"/>
      <c r="F11" s="76"/>
      <c r="G11" s="76"/>
      <c r="H11" s="76"/>
      <c r="I11" s="76"/>
      <c r="J11" s="76"/>
      <c r="K11" s="19"/>
    </row>
    <row r="12" spans="2:11" x14ac:dyDescent="0.25">
      <c r="B12" s="18"/>
      <c r="C12" s="90" t="s">
        <v>78</v>
      </c>
      <c r="D12" s="90"/>
      <c r="E12" s="90"/>
      <c r="F12" s="90"/>
      <c r="G12" s="90" t="s">
        <v>79</v>
      </c>
      <c r="H12" s="90"/>
      <c r="I12" s="90"/>
      <c r="J12" s="90"/>
      <c r="K12" s="19"/>
    </row>
    <row r="13" spans="2:11" x14ac:dyDescent="0.25">
      <c r="B13" s="18"/>
      <c r="C13" s="90"/>
      <c r="D13" s="90"/>
      <c r="E13" s="90"/>
      <c r="F13" s="90"/>
      <c r="G13" s="90"/>
      <c r="H13" s="90"/>
      <c r="I13" s="90"/>
      <c r="J13" s="90"/>
      <c r="K13" s="19"/>
    </row>
    <row r="14" spans="2:11" x14ac:dyDescent="0.25">
      <c r="B14" s="18"/>
      <c r="C14" s="90"/>
      <c r="D14" s="90"/>
      <c r="E14" s="90"/>
      <c r="F14" s="90"/>
      <c r="G14" s="90"/>
      <c r="H14" s="90"/>
      <c r="I14" s="90"/>
      <c r="J14" s="90"/>
      <c r="K14" s="19"/>
    </row>
    <row r="15" spans="2:11" x14ac:dyDescent="0.25">
      <c r="B15" s="18"/>
      <c r="C15" s="90" t="s">
        <v>106</v>
      </c>
      <c r="D15" s="90"/>
      <c r="E15" s="90"/>
      <c r="F15" s="90"/>
      <c r="G15" s="77" t="s">
        <v>107</v>
      </c>
      <c r="H15" s="78"/>
      <c r="I15" s="78"/>
      <c r="J15" s="79"/>
      <c r="K15" s="19"/>
    </row>
    <row r="16" spans="2:11" x14ac:dyDescent="0.25">
      <c r="B16" s="18"/>
      <c r="C16" s="90"/>
      <c r="D16" s="90"/>
      <c r="E16" s="90"/>
      <c r="F16" s="90"/>
      <c r="G16" s="80"/>
      <c r="H16" s="81"/>
      <c r="I16" s="81"/>
      <c r="J16" s="82"/>
      <c r="K16" s="19"/>
    </row>
    <row r="17" spans="2:18" x14ac:dyDescent="0.25">
      <c r="B17" s="18"/>
      <c r="C17" s="90"/>
      <c r="D17" s="90"/>
      <c r="E17" s="90"/>
      <c r="F17" s="90"/>
      <c r="G17" s="83"/>
      <c r="H17" s="84"/>
      <c r="I17" s="84"/>
      <c r="J17" s="85"/>
      <c r="K17" s="19"/>
    </row>
    <row r="18" spans="2:18" x14ac:dyDescent="0.25">
      <c r="B18" s="18"/>
      <c r="K18" s="19"/>
    </row>
    <row r="19" spans="2:18" ht="18.399999999999999" customHeight="1" x14ac:dyDescent="0.25">
      <c r="B19" s="18"/>
      <c r="C19" s="59" t="s">
        <v>0</v>
      </c>
      <c r="D19" s="60"/>
      <c r="E19" s="60"/>
      <c r="F19" s="60"/>
      <c r="G19" s="60"/>
      <c r="H19" s="60"/>
      <c r="I19" s="60"/>
      <c r="J19" s="61"/>
      <c r="K19" s="19"/>
    </row>
    <row r="20" spans="2:18" ht="14.65" customHeight="1" x14ac:dyDescent="0.25">
      <c r="B20" s="18"/>
      <c r="C20" s="62"/>
      <c r="D20" s="63"/>
      <c r="E20" s="63"/>
      <c r="F20" s="63"/>
      <c r="G20" s="63"/>
      <c r="H20" s="63"/>
      <c r="I20" s="63"/>
      <c r="J20" s="64"/>
      <c r="K20" s="19"/>
    </row>
    <row r="21" spans="2:18" ht="14.65" customHeight="1" x14ac:dyDescent="0.25">
      <c r="B21" s="18"/>
      <c r="C21" s="65" t="s">
        <v>1</v>
      </c>
      <c r="D21" s="3" t="s">
        <v>2</v>
      </c>
      <c r="E21" s="4" t="s">
        <v>3</v>
      </c>
      <c r="F21" s="5"/>
      <c r="G21" s="53" t="s">
        <v>4</v>
      </c>
      <c r="H21" s="54"/>
      <c r="I21" s="66">
        <v>46183</v>
      </c>
      <c r="J21" s="67"/>
      <c r="K21" s="19"/>
    </row>
    <row r="22" spans="2:18" x14ac:dyDescent="0.25">
      <c r="B22" s="18"/>
      <c r="C22" s="65"/>
      <c r="D22" s="3" t="s">
        <v>5</v>
      </c>
      <c r="E22" s="4">
        <v>63010058</v>
      </c>
      <c r="F22" s="5"/>
      <c r="G22" s="53" t="s">
        <v>6</v>
      </c>
      <c r="H22" s="54"/>
      <c r="I22" s="68" t="s">
        <v>7</v>
      </c>
      <c r="J22" s="69"/>
      <c r="K22" s="19"/>
    </row>
    <row r="23" spans="2:18" ht="14.65" customHeight="1" x14ac:dyDescent="0.25">
      <c r="B23" s="18"/>
      <c r="C23" s="65"/>
      <c r="D23" s="3" t="s">
        <v>2</v>
      </c>
      <c r="E23" s="4" t="s">
        <v>8</v>
      </c>
      <c r="F23" s="5"/>
      <c r="G23" s="51" t="s">
        <v>9</v>
      </c>
      <c r="H23" s="52"/>
      <c r="I23" s="68" t="s">
        <v>10</v>
      </c>
      <c r="J23" s="69"/>
      <c r="K23" s="19"/>
    </row>
    <row r="24" spans="2:18" ht="14.65" customHeight="1" x14ac:dyDescent="0.25">
      <c r="B24" s="18"/>
      <c r="C24" s="65"/>
      <c r="D24" s="3" t="s">
        <v>5</v>
      </c>
      <c r="E24" s="4" t="s">
        <v>11</v>
      </c>
      <c r="F24" s="5"/>
      <c r="G24" s="51" t="s">
        <v>12</v>
      </c>
      <c r="H24" s="52"/>
      <c r="I24" s="68" t="s">
        <v>13</v>
      </c>
      <c r="J24" s="69"/>
      <c r="K24" s="19"/>
      <c r="P24" s="13"/>
      <c r="Q24" s="49"/>
      <c r="R24" s="49"/>
    </row>
    <row r="25" spans="2:18" ht="15.4" customHeight="1" x14ac:dyDescent="0.25">
      <c r="B25" s="18"/>
      <c r="C25" s="50" t="s">
        <v>14</v>
      </c>
      <c r="D25" s="50"/>
      <c r="E25" s="4">
        <v>54</v>
      </c>
      <c r="F25" s="5"/>
      <c r="G25" s="51" t="s">
        <v>15</v>
      </c>
      <c r="H25" s="52"/>
      <c r="I25" s="6">
        <v>30000</v>
      </c>
      <c r="J25" s="3" t="s">
        <v>16</v>
      </c>
      <c r="K25" s="19"/>
      <c r="P25" s="14"/>
      <c r="Q25" s="46"/>
      <c r="R25" s="46"/>
    </row>
    <row r="26" spans="2:18" ht="14.65" customHeight="1" x14ac:dyDescent="0.25">
      <c r="B26" s="18"/>
      <c r="C26" s="50" t="s">
        <v>17</v>
      </c>
      <c r="D26" s="50"/>
      <c r="E26" s="4">
        <v>40</v>
      </c>
      <c r="F26" s="5"/>
      <c r="G26" s="53" t="s">
        <v>18</v>
      </c>
      <c r="H26" s="54"/>
      <c r="I26" s="6">
        <v>30</v>
      </c>
      <c r="J26" s="3" t="s">
        <v>19</v>
      </c>
      <c r="K26" s="19"/>
      <c r="P26" s="14"/>
      <c r="Q26" s="46"/>
      <c r="R26" s="46"/>
    </row>
    <row r="27" spans="2:18" ht="14.65" customHeight="1" x14ac:dyDescent="0.25">
      <c r="B27" s="18"/>
      <c r="C27" s="50" t="s">
        <v>20</v>
      </c>
      <c r="D27" s="50"/>
      <c r="E27" s="7">
        <v>1.2E-2</v>
      </c>
      <c r="F27" s="5"/>
      <c r="G27" s="53" t="s">
        <v>21</v>
      </c>
      <c r="H27" s="54"/>
      <c r="I27" s="6">
        <v>30</v>
      </c>
      <c r="J27" s="3" t="s">
        <v>19</v>
      </c>
      <c r="K27" s="19"/>
      <c r="P27" s="14"/>
      <c r="Q27" s="46"/>
      <c r="R27" s="46"/>
    </row>
    <row r="28" spans="2:18" ht="14.65" customHeight="1" x14ac:dyDescent="0.25">
      <c r="B28" s="18"/>
      <c r="C28" s="55" t="s">
        <v>22</v>
      </c>
      <c r="D28" s="55"/>
      <c r="E28" s="55"/>
      <c r="F28" s="55"/>
      <c r="G28" s="55"/>
      <c r="H28" s="55"/>
      <c r="I28" s="55"/>
      <c r="J28" s="55"/>
      <c r="K28" s="19"/>
      <c r="P28" s="14"/>
      <c r="Q28" s="46"/>
      <c r="R28" s="46"/>
    </row>
    <row r="29" spans="2:18" x14ac:dyDescent="0.25">
      <c r="B29" s="18"/>
      <c r="C29" s="2" t="s">
        <v>23</v>
      </c>
      <c r="D29" s="48">
        <v>0.5</v>
      </c>
      <c r="E29" s="48"/>
      <c r="F29" s="2" t="s">
        <v>24</v>
      </c>
      <c r="G29" s="2" t="s">
        <v>25</v>
      </c>
      <c r="H29" s="48">
        <v>2.7</v>
      </c>
      <c r="I29" s="48"/>
      <c r="J29" s="2" t="s">
        <v>26</v>
      </c>
      <c r="K29" s="19"/>
      <c r="P29" s="14"/>
      <c r="Q29" s="46"/>
      <c r="R29" s="46"/>
    </row>
    <row r="30" spans="2:18" x14ac:dyDescent="0.25">
      <c r="B30" s="18"/>
      <c r="C30" s="2" t="s">
        <v>27</v>
      </c>
      <c r="D30" s="48">
        <v>0.6</v>
      </c>
      <c r="E30" s="48"/>
      <c r="F30" s="2" t="s">
        <v>24</v>
      </c>
      <c r="G30" s="2" t="s">
        <v>28</v>
      </c>
      <c r="H30" s="48">
        <v>8.3000000000000007</v>
      </c>
      <c r="I30" s="48"/>
      <c r="J30" s="2" t="s">
        <v>26</v>
      </c>
      <c r="K30" s="19"/>
      <c r="P30" s="14"/>
      <c r="Q30" s="46"/>
      <c r="R30" s="46"/>
    </row>
    <row r="31" spans="2:18" x14ac:dyDescent="0.25">
      <c r="B31" s="18"/>
      <c r="C31" s="2" t="s">
        <v>29</v>
      </c>
      <c r="D31" s="48">
        <v>10.199999999999999</v>
      </c>
      <c r="E31" s="48"/>
      <c r="F31" s="2" t="s">
        <v>24</v>
      </c>
      <c r="G31" s="2" t="s">
        <v>30</v>
      </c>
      <c r="H31" s="48">
        <v>8.3000000000000007</v>
      </c>
      <c r="I31" s="48"/>
      <c r="J31" s="2" t="s">
        <v>26</v>
      </c>
      <c r="K31" s="19"/>
      <c r="P31" s="14"/>
      <c r="Q31" s="46"/>
      <c r="R31" s="46"/>
    </row>
    <row r="32" spans="2:18" ht="14.1" customHeight="1" x14ac:dyDescent="0.25">
      <c r="B32" s="18"/>
      <c r="C32" s="1"/>
      <c r="D32" s="1"/>
      <c r="E32" s="1"/>
      <c r="F32" s="1"/>
      <c r="G32" s="1"/>
      <c r="H32" s="1"/>
      <c r="I32" s="1"/>
      <c r="J32" s="1"/>
      <c r="K32" s="19"/>
      <c r="P32" s="14"/>
      <c r="Q32" s="46"/>
      <c r="R32" s="46"/>
    </row>
    <row r="33" spans="2:18" ht="14.65" customHeight="1" x14ac:dyDescent="0.25">
      <c r="B33" s="18"/>
      <c r="C33" s="47" t="s">
        <v>31</v>
      </c>
      <c r="D33" s="47"/>
      <c r="E33" s="47"/>
      <c r="F33" s="1"/>
      <c r="G33" s="47" t="s">
        <v>32</v>
      </c>
      <c r="H33" s="47"/>
      <c r="I33" s="47"/>
      <c r="J33" s="47"/>
      <c r="K33" s="19"/>
      <c r="P33" s="14"/>
      <c r="Q33" s="46"/>
      <c r="R33" s="46"/>
    </row>
    <row r="34" spans="2:18" ht="30" x14ac:dyDescent="0.25">
      <c r="B34" s="18"/>
      <c r="C34" s="8" t="s">
        <v>33</v>
      </c>
      <c r="D34" s="8" t="s">
        <v>34</v>
      </c>
      <c r="E34" s="8" t="s">
        <v>35</v>
      </c>
      <c r="F34" s="1"/>
      <c r="G34" s="8" t="s">
        <v>33</v>
      </c>
      <c r="H34" s="8" t="s">
        <v>36</v>
      </c>
      <c r="I34" s="47" t="s">
        <v>37</v>
      </c>
      <c r="J34" s="47"/>
      <c r="K34" s="19"/>
    </row>
    <row r="35" spans="2:18" x14ac:dyDescent="0.25">
      <c r="B35" s="18"/>
      <c r="C35" s="9" t="s">
        <v>38</v>
      </c>
      <c r="D35" s="9" t="s">
        <v>39</v>
      </c>
      <c r="E35" s="9" t="s">
        <v>39</v>
      </c>
      <c r="F35" s="1"/>
      <c r="G35" s="9" t="s">
        <v>38</v>
      </c>
      <c r="H35" s="9" t="s">
        <v>39</v>
      </c>
      <c r="I35" s="70" t="s">
        <v>40</v>
      </c>
      <c r="J35" s="70"/>
      <c r="K35" s="19"/>
    </row>
    <row r="36" spans="2:18" x14ac:dyDescent="0.25">
      <c r="B36" s="18"/>
      <c r="C36" s="4">
        <v>4</v>
      </c>
      <c r="D36" s="4">
        <v>10809.4</v>
      </c>
      <c r="E36" s="10">
        <f>1067280/100</f>
        <v>10672.8</v>
      </c>
      <c r="F36" s="1"/>
      <c r="G36" s="4">
        <f>C36</f>
        <v>4</v>
      </c>
      <c r="H36" s="4">
        <f>D36</f>
        <v>10809.4</v>
      </c>
      <c r="I36" s="44">
        <v>96</v>
      </c>
      <c r="J36" s="45"/>
      <c r="K36" s="19"/>
    </row>
    <row r="37" spans="2:18" x14ac:dyDescent="0.25">
      <c r="B37" s="18"/>
      <c r="C37" s="4">
        <v>6</v>
      </c>
      <c r="D37" s="4">
        <v>4647.7</v>
      </c>
      <c r="E37" s="10">
        <f>452414/100</f>
        <v>4524.1400000000003</v>
      </c>
      <c r="F37" s="1"/>
      <c r="G37" s="4">
        <f t="shared" ref="G37:H45" si="0">C37</f>
        <v>6</v>
      </c>
      <c r="H37" s="4">
        <f t="shared" si="0"/>
        <v>4647.7</v>
      </c>
      <c r="I37" s="44">
        <v>234</v>
      </c>
      <c r="J37" s="45"/>
      <c r="K37" s="19"/>
    </row>
    <row r="38" spans="2:18" x14ac:dyDescent="0.25">
      <c r="B38" s="18"/>
      <c r="C38" s="4">
        <v>10</v>
      </c>
      <c r="D38" s="4">
        <v>1074.3</v>
      </c>
      <c r="E38" s="10">
        <f>107290/100</f>
        <v>1072.9000000000001</v>
      </c>
      <c r="F38" s="1"/>
      <c r="G38" s="4">
        <f t="shared" si="0"/>
        <v>10</v>
      </c>
      <c r="H38" s="4">
        <f t="shared" si="0"/>
        <v>1074.3</v>
      </c>
      <c r="I38" s="44">
        <v>644</v>
      </c>
      <c r="J38" s="45"/>
      <c r="K38" s="19"/>
    </row>
    <row r="39" spans="2:18" x14ac:dyDescent="0.25">
      <c r="B39" s="18"/>
      <c r="C39" s="4">
        <v>14</v>
      </c>
      <c r="D39" s="4">
        <v>365.5</v>
      </c>
      <c r="E39" s="10">
        <f>34817/100</f>
        <v>348.17</v>
      </c>
      <c r="F39" s="1"/>
      <c r="G39" s="4">
        <f t="shared" si="0"/>
        <v>14</v>
      </c>
      <c r="H39" s="4">
        <f t="shared" si="0"/>
        <v>365.5</v>
      </c>
      <c r="I39" s="44">
        <v>1252</v>
      </c>
      <c r="J39" s="45"/>
      <c r="K39" s="19"/>
    </row>
    <row r="40" spans="2:18" x14ac:dyDescent="0.25">
      <c r="B40" s="18"/>
      <c r="C40" s="4">
        <v>21</v>
      </c>
      <c r="D40" s="4">
        <v>109.8</v>
      </c>
      <c r="E40" s="10">
        <f>10344/100</f>
        <v>103.44</v>
      </c>
      <c r="F40" s="1"/>
      <c r="G40" s="4">
        <f t="shared" si="0"/>
        <v>21</v>
      </c>
      <c r="H40" s="4">
        <f t="shared" si="0"/>
        <v>109.8</v>
      </c>
      <c r="I40" s="44">
        <v>2520</v>
      </c>
      <c r="J40" s="45"/>
      <c r="K40" s="19"/>
    </row>
    <row r="41" spans="2:18" x14ac:dyDescent="0.25">
      <c r="B41" s="18"/>
      <c r="C41" s="4">
        <v>25</v>
      </c>
      <c r="D41" s="4">
        <v>52.1</v>
      </c>
      <c r="E41" s="10">
        <f>4626/100</f>
        <v>46.26</v>
      </c>
      <c r="F41" s="1"/>
      <c r="G41" s="4">
        <f t="shared" si="0"/>
        <v>25</v>
      </c>
      <c r="H41" s="4">
        <f t="shared" si="0"/>
        <v>52.1</v>
      </c>
      <c r="I41" s="44">
        <v>3710</v>
      </c>
      <c r="J41" s="45"/>
      <c r="K41" s="19"/>
    </row>
    <row r="42" spans="2:18" x14ac:dyDescent="0.25">
      <c r="B42" s="18"/>
      <c r="C42" s="56"/>
      <c r="D42" s="57"/>
      <c r="E42" s="58"/>
      <c r="F42" s="1"/>
      <c r="G42" s="56"/>
      <c r="H42" s="57"/>
      <c r="I42" s="57"/>
      <c r="J42" s="58"/>
      <c r="K42" s="19"/>
    </row>
    <row r="43" spans="2:18" x14ac:dyDescent="0.25">
      <c r="B43" s="18"/>
      <c r="C43" s="4">
        <v>38</v>
      </c>
      <c r="D43" s="4">
        <v>374</v>
      </c>
      <c r="E43" s="10">
        <v>340</v>
      </c>
      <c r="F43" s="1"/>
      <c r="G43" s="4">
        <f t="shared" si="0"/>
        <v>38</v>
      </c>
      <c r="H43" s="4">
        <f t="shared" si="0"/>
        <v>374</v>
      </c>
      <c r="I43" s="44">
        <v>10198</v>
      </c>
      <c r="J43" s="45"/>
      <c r="K43" s="19"/>
    </row>
    <row r="44" spans="2:18" x14ac:dyDescent="0.25">
      <c r="B44" s="18"/>
      <c r="C44" s="4">
        <v>50</v>
      </c>
      <c r="D44" s="4">
        <v>102</v>
      </c>
      <c r="E44" s="10">
        <v>121</v>
      </c>
      <c r="F44" s="1"/>
      <c r="G44" s="4">
        <f t="shared" si="0"/>
        <v>50</v>
      </c>
      <c r="H44" s="4">
        <f t="shared" si="0"/>
        <v>102</v>
      </c>
      <c r="I44" s="44">
        <v>15876</v>
      </c>
      <c r="J44" s="45"/>
      <c r="K44" s="19"/>
    </row>
    <row r="45" spans="2:18" x14ac:dyDescent="0.25">
      <c r="B45" s="18"/>
      <c r="C45" s="4">
        <v>70</v>
      </c>
      <c r="D45" s="4">
        <v>34</v>
      </c>
      <c r="E45" s="10">
        <v>42</v>
      </c>
      <c r="F45" s="1"/>
      <c r="G45" s="4">
        <f t="shared" si="0"/>
        <v>70</v>
      </c>
      <c r="H45" s="4">
        <f t="shared" si="0"/>
        <v>34</v>
      </c>
      <c r="I45" s="44">
        <v>25071</v>
      </c>
      <c r="J45" s="45"/>
      <c r="K45" s="19"/>
    </row>
    <row r="46" spans="2:18" x14ac:dyDescent="0.25">
      <c r="B46" s="18"/>
      <c r="C46" s="4"/>
      <c r="D46" s="4"/>
      <c r="E46" s="4"/>
      <c r="F46" s="1"/>
      <c r="G46" s="4"/>
      <c r="H46" s="4"/>
      <c r="I46" s="41"/>
      <c r="J46" s="41"/>
      <c r="K46" s="19"/>
    </row>
    <row r="47" spans="2:18" x14ac:dyDescent="0.25">
      <c r="B47" s="18"/>
      <c r="C47" s="4"/>
      <c r="D47" s="4"/>
      <c r="E47" s="4"/>
      <c r="F47" s="1"/>
      <c r="G47" s="4"/>
      <c r="H47" s="4"/>
      <c r="I47" s="41"/>
      <c r="J47" s="41"/>
      <c r="K47" s="19"/>
    </row>
    <row r="48" spans="2:18" x14ac:dyDescent="0.25">
      <c r="B48" s="18"/>
      <c r="C48" s="4"/>
      <c r="D48" s="4"/>
      <c r="E48" s="4"/>
      <c r="F48" s="1"/>
      <c r="G48" s="4"/>
      <c r="H48" s="4"/>
      <c r="I48" s="41"/>
      <c r="J48" s="41"/>
      <c r="K48" s="19"/>
    </row>
    <row r="49" spans="2:11" x14ac:dyDescent="0.25">
      <c r="B49" s="18"/>
      <c r="C49" s="4"/>
      <c r="D49" s="4"/>
      <c r="E49" s="4"/>
      <c r="F49" s="1"/>
      <c r="G49" s="4"/>
      <c r="H49" s="4"/>
      <c r="I49" s="41"/>
      <c r="J49" s="41"/>
      <c r="K49" s="19"/>
    </row>
    <row r="50" spans="2:11" x14ac:dyDescent="0.25">
      <c r="B50" s="18"/>
      <c r="C50" s="4"/>
      <c r="D50" s="4"/>
      <c r="E50" s="4"/>
      <c r="F50" s="1"/>
      <c r="G50" s="4"/>
      <c r="H50" s="4"/>
      <c r="I50" s="41"/>
      <c r="J50" s="41"/>
      <c r="K50" s="19"/>
    </row>
    <row r="51" spans="2:11" x14ac:dyDescent="0.25">
      <c r="B51" s="18"/>
      <c r="C51" s="4"/>
      <c r="D51" s="4"/>
      <c r="E51" s="4"/>
      <c r="F51" s="1"/>
      <c r="G51" s="4"/>
      <c r="H51" s="4"/>
      <c r="I51" s="41"/>
      <c r="J51" s="41"/>
      <c r="K51" s="19"/>
    </row>
    <row r="52" spans="2:11" x14ac:dyDescent="0.25">
      <c r="B52" s="18"/>
      <c r="C52" s="4"/>
      <c r="D52" s="4"/>
      <c r="E52" s="4"/>
      <c r="F52" s="1"/>
      <c r="G52" s="4"/>
      <c r="H52" s="4"/>
      <c r="I52" s="41"/>
      <c r="J52" s="41"/>
      <c r="K52" s="19"/>
    </row>
    <row r="53" spans="2:11" x14ac:dyDescent="0.25">
      <c r="B53" s="18"/>
      <c r="C53" s="4"/>
      <c r="D53" s="4"/>
      <c r="E53" s="4"/>
      <c r="F53" s="1"/>
      <c r="G53" s="4"/>
      <c r="H53" s="4"/>
      <c r="I53" s="41"/>
      <c r="J53" s="41"/>
      <c r="K53" s="19"/>
    </row>
    <row r="54" spans="2:11" x14ac:dyDescent="0.25">
      <c r="B54" s="18"/>
      <c r="C54" s="4"/>
      <c r="D54" s="4"/>
      <c r="E54" s="4"/>
      <c r="F54" s="1"/>
      <c r="G54" s="4"/>
      <c r="H54" s="4"/>
      <c r="I54" s="41"/>
      <c r="J54" s="41"/>
      <c r="K54" s="19"/>
    </row>
    <row r="55" spans="2:11" x14ac:dyDescent="0.25">
      <c r="B55" s="18"/>
      <c r="C55" s="4"/>
      <c r="D55" s="4"/>
      <c r="E55" s="4"/>
      <c r="F55" s="1"/>
      <c r="G55" s="4"/>
      <c r="H55" s="4"/>
      <c r="I55" s="41"/>
      <c r="J55" s="41"/>
      <c r="K55" s="19"/>
    </row>
    <row r="56" spans="2:11" x14ac:dyDescent="0.25">
      <c r="B56" s="18"/>
      <c r="C56" s="4"/>
      <c r="D56" s="4"/>
      <c r="E56" s="4"/>
      <c r="F56" s="1"/>
      <c r="G56" s="4"/>
      <c r="H56" s="4"/>
      <c r="I56" s="41"/>
      <c r="J56" s="41"/>
      <c r="K56" s="19"/>
    </row>
    <row r="57" spans="2:11" x14ac:dyDescent="0.25">
      <c r="B57" s="18"/>
      <c r="K57" s="19"/>
    </row>
    <row r="58" spans="2:11" ht="14.65" customHeight="1" x14ac:dyDescent="0.25">
      <c r="B58" s="18"/>
      <c r="C58" s="42" t="s">
        <v>48</v>
      </c>
      <c r="D58" s="43"/>
      <c r="E58" s="43"/>
      <c r="F58" s="43"/>
      <c r="G58" s="43"/>
      <c r="H58" s="43"/>
      <c r="I58" s="43"/>
      <c r="J58" s="43"/>
      <c r="K58" s="19"/>
    </row>
    <row r="59" spans="2:11" x14ac:dyDescent="0.25">
      <c r="B59" s="18"/>
      <c r="C59" s="43"/>
      <c r="D59" s="43"/>
      <c r="E59" s="43"/>
      <c r="F59" s="43"/>
      <c r="G59" s="43"/>
      <c r="H59" s="43"/>
      <c r="I59" s="43"/>
      <c r="J59" s="43"/>
      <c r="K59" s="19"/>
    </row>
    <row r="60" spans="2:11" x14ac:dyDescent="0.25">
      <c r="B60" s="18"/>
      <c r="C60" s="43"/>
      <c r="D60" s="43"/>
      <c r="E60" s="43"/>
      <c r="F60" s="43"/>
      <c r="G60" s="43"/>
      <c r="H60" s="43"/>
      <c r="I60" s="43"/>
      <c r="J60" s="43"/>
      <c r="K60" s="19"/>
    </row>
    <row r="61" spans="2:11" x14ac:dyDescent="0.25">
      <c r="B61" s="18"/>
      <c r="C61" s="43"/>
      <c r="D61" s="43"/>
      <c r="E61" s="43"/>
      <c r="F61" s="43"/>
      <c r="G61" s="43"/>
      <c r="H61" s="43"/>
      <c r="I61" s="43"/>
      <c r="J61" s="43"/>
      <c r="K61" s="19"/>
    </row>
    <row r="62" spans="2:11" x14ac:dyDescent="0.25">
      <c r="B62" s="18"/>
      <c r="C62" s="43"/>
      <c r="D62" s="43"/>
      <c r="E62" s="43"/>
      <c r="F62" s="43"/>
      <c r="G62" s="43"/>
      <c r="H62" s="43"/>
      <c r="I62" s="43"/>
      <c r="J62" s="43"/>
      <c r="K62" s="19"/>
    </row>
    <row r="63" spans="2:11" x14ac:dyDescent="0.25">
      <c r="B63" s="22"/>
      <c r="C63" s="23"/>
      <c r="D63" s="23"/>
      <c r="E63" s="23"/>
      <c r="F63" s="23"/>
      <c r="G63" s="23"/>
      <c r="H63" s="23"/>
      <c r="I63" s="23"/>
      <c r="J63" s="23"/>
      <c r="K63" s="24"/>
    </row>
  </sheetData>
  <mergeCells count="65">
    <mergeCell ref="C10:J11"/>
    <mergeCell ref="C12:F14"/>
    <mergeCell ref="G12:J14"/>
    <mergeCell ref="C15:F17"/>
    <mergeCell ref="G15:J17"/>
    <mergeCell ref="C42:E42"/>
    <mergeCell ref="G42:J42"/>
    <mergeCell ref="C19:J20"/>
    <mergeCell ref="C21:C24"/>
    <mergeCell ref="G21:H21"/>
    <mergeCell ref="I21:J21"/>
    <mergeCell ref="G22:H22"/>
    <mergeCell ref="I22:J22"/>
    <mergeCell ref="G23:H23"/>
    <mergeCell ref="I23:J23"/>
    <mergeCell ref="G24:H24"/>
    <mergeCell ref="I24:J24"/>
    <mergeCell ref="D29:E29"/>
    <mergeCell ref="H29:I29"/>
    <mergeCell ref="I35:J35"/>
    <mergeCell ref="D30:E30"/>
    <mergeCell ref="Q29:R29"/>
    <mergeCell ref="Q24:R24"/>
    <mergeCell ref="C25:D25"/>
    <mergeCell ref="G25:H25"/>
    <mergeCell ref="Q25:R25"/>
    <mergeCell ref="C26:D26"/>
    <mergeCell ref="G26:H26"/>
    <mergeCell ref="Q26:R26"/>
    <mergeCell ref="C27:D27"/>
    <mergeCell ref="G27:H27"/>
    <mergeCell ref="Q27:R27"/>
    <mergeCell ref="C28:J28"/>
    <mergeCell ref="Q28:R28"/>
    <mergeCell ref="H30:I30"/>
    <mergeCell ref="Q30:R30"/>
    <mergeCell ref="D31:E31"/>
    <mergeCell ref="H31:I31"/>
    <mergeCell ref="Q31:R31"/>
    <mergeCell ref="Q32:R32"/>
    <mergeCell ref="C33:E33"/>
    <mergeCell ref="G33:J33"/>
    <mergeCell ref="Q33:R33"/>
    <mergeCell ref="I34:J34"/>
    <mergeCell ref="I48:J48"/>
    <mergeCell ref="I36:J36"/>
    <mergeCell ref="I37:J37"/>
    <mergeCell ref="I38:J38"/>
    <mergeCell ref="I39:J39"/>
    <mergeCell ref="I40:J40"/>
    <mergeCell ref="I41:J41"/>
    <mergeCell ref="I43:J43"/>
    <mergeCell ref="I44:J44"/>
    <mergeCell ref="I45:J45"/>
    <mergeCell ref="I46:J46"/>
    <mergeCell ref="I47:J47"/>
    <mergeCell ref="I55:J55"/>
    <mergeCell ref="I56:J56"/>
    <mergeCell ref="C58:J62"/>
    <mergeCell ref="I49:J49"/>
    <mergeCell ref="I50:J50"/>
    <mergeCell ref="I51:J51"/>
    <mergeCell ref="I52:J52"/>
    <mergeCell ref="I53:J53"/>
    <mergeCell ref="I54:J54"/>
  </mergeCells>
  <hyperlinks>
    <hyperlink ref="C8" r:id="rId1" xr:uid="{9FCA1975-0742-4029-8F11-615AF967EE9C}"/>
  </hyperlinks>
  <pageMargins left="0.7" right="0.7" top="0.75" bottom="0.75" header="0.3" footer="0.3"/>
  <pageSetup scale="48" orientation="portrait" r:id="rId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C2231-BFB6-4614-8B95-4750A7DCA60B}">
  <sheetPr>
    <pageSetUpPr fitToPage="1"/>
  </sheetPr>
  <dimension ref="B2:R63"/>
  <sheetViews>
    <sheetView showGridLines="0" zoomScale="90" zoomScaleNormal="90" workbookViewId="0">
      <selection activeCell="C10" sqref="C10:J17"/>
    </sheetView>
  </sheetViews>
  <sheetFormatPr defaultRowHeight="15" x14ac:dyDescent="0.25"/>
  <cols>
    <col min="1" max="1" width="3.7109375" customWidth="1"/>
    <col min="2" max="2" width="3.140625" customWidth="1"/>
    <col min="3" max="3" width="10" customWidth="1"/>
    <col min="4" max="4" width="16.7109375" customWidth="1"/>
    <col min="5" max="5" width="25.7109375" customWidth="1"/>
    <col min="6" max="6" width="4" customWidth="1"/>
    <col min="7" max="7" width="10" customWidth="1"/>
    <col min="8" max="8" width="25.7109375" customWidth="1"/>
    <col min="9" max="9" width="10.140625" customWidth="1"/>
    <col min="10" max="10" width="10.85546875" customWidth="1"/>
    <col min="11" max="11" width="3.140625" customWidth="1"/>
  </cols>
  <sheetData>
    <row r="2" spans="2:11" x14ac:dyDescent="0.2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1" x14ac:dyDescent="0.25">
      <c r="B3" s="18"/>
      <c r="C3" t="s">
        <v>42</v>
      </c>
      <c r="K3" s="19"/>
    </row>
    <row r="4" spans="2:11" x14ac:dyDescent="0.25">
      <c r="B4" s="18"/>
      <c r="C4" t="s">
        <v>43</v>
      </c>
      <c r="K4" s="19"/>
    </row>
    <row r="5" spans="2:11" x14ac:dyDescent="0.25">
      <c r="B5" s="18"/>
      <c r="C5" t="s">
        <v>44</v>
      </c>
      <c r="K5" s="19"/>
    </row>
    <row r="6" spans="2:11" x14ac:dyDescent="0.25">
      <c r="B6" s="18"/>
      <c r="C6" t="s">
        <v>45</v>
      </c>
      <c r="K6" s="19"/>
    </row>
    <row r="7" spans="2:11" x14ac:dyDescent="0.25">
      <c r="B7" s="18"/>
      <c r="C7" t="s">
        <v>46</v>
      </c>
      <c r="K7" s="19"/>
    </row>
    <row r="8" spans="2:11" x14ac:dyDescent="0.25">
      <c r="B8" s="18"/>
      <c r="C8" s="20" t="s">
        <v>47</v>
      </c>
      <c r="K8" s="19"/>
    </row>
    <row r="9" spans="2:11" x14ac:dyDescent="0.25">
      <c r="B9" s="18"/>
      <c r="C9" s="20"/>
      <c r="K9" s="19"/>
    </row>
    <row r="10" spans="2:11" x14ac:dyDescent="0.25">
      <c r="B10" s="18"/>
      <c r="C10" s="86" t="s">
        <v>77</v>
      </c>
      <c r="D10" s="76"/>
      <c r="E10" s="76"/>
      <c r="F10" s="76"/>
      <c r="G10" s="76"/>
      <c r="H10" s="76"/>
      <c r="I10" s="76"/>
      <c r="J10" s="76"/>
      <c r="K10" s="19"/>
    </row>
    <row r="11" spans="2:11" x14ac:dyDescent="0.25">
      <c r="B11" s="18"/>
      <c r="C11" s="76"/>
      <c r="D11" s="76"/>
      <c r="E11" s="76"/>
      <c r="F11" s="76"/>
      <c r="G11" s="76"/>
      <c r="H11" s="76"/>
      <c r="I11" s="76"/>
      <c r="J11" s="76"/>
      <c r="K11" s="19"/>
    </row>
    <row r="12" spans="2:11" x14ac:dyDescent="0.25">
      <c r="B12" s="18"/>
      <c r="C12" s="90" t="s">
        <v>78</v>
      </c>
      <c r="D12" s="90"/>
      <c r="E12" s="90"/>
      <c r="F12" s="90"/>
      <c r="G12" s="90" t="s">
        <v>79</v>
      </c>
      <c r="H12" s="90"/>
      <c r="I12" s="90"/>
      <c r="J12" s="90"/>
      <c r="K12" s="19"/>
    </row>
    <row r="13" spans="2:11" x14ac:dyDescent="0.25">
      <c r="B13" s="18"/>
      <c r="C13" s="90"/>
      <c r="D13" s="90"/>
      <c r="E13" s="90"/>
      <c r="F13" s="90"/>
      <c r="G13" s="90"/>
      <c r="H13" s="90"/>
      <c r="I13" s="90"/>
      <c r="J13" s="90"/>
      <c r="K13" s="19"/>
    </row>
    <row r="14" spans="2:11" x14ac:dyDescent="0.25">
      <c r="B14" s="18"/>
      <c r="C14" s="90"/>
      <c r="D14" s="90"/>
      <c r="E14" s="90"/>
      <c r="F14" s="90"/>
      <c r="G14" s="90"/>
      <c r="H14" s="90"/>
      <c r="I14" s="90"/>
      <c r="J14" s="90"/>
      <c r="K14" s="19"/>
    </row>
    <row r="15" spans="2:11" x14ac:dyDescent="0.25">
      <c r="B15" s="18"/>
      <c r="C15" s="90" t="s">
        <v>108</v>
      </c>
      <c r="D15" s="90"/>
      <c r="E15" s="90"/>
      <c r="F15" s="90"/>
      <c r="G15" s="77" t="s">
        <v>109</v>
      </c>
      <c r="H15" s="78"/>
      <c r="I15" s="78"/>
      <c r="J15" s="79"/>
      <c r="K15" s="19"/>
    </row>
    <row r="16" spans="2:11" x14ac:dyDescent="0.25">
      <c r="B16" s="18"/>
      <c r="C16" s="90"/>
      <c r="D16" s="90"/>
      <c r="E16" s="90"/>
      <c r="F16" s="90"/>
      <c r="G16" s="80"/>
      <c r="H16" s="81"/>
      <c r="I16" s="81"/>
      <c r="J16" s="82"/>
      <c r="K16" s="19"/>
    </row>
    <row r="17" spans="2:18" x14ac:dyDescent="0.25">
      <c r="B17" s="18"/>
      <c r="C17" s="90"/>
      <c r="D17" s="90"/>
      <c r="E17" s="90"/>
      <c r="F17" s="90"/>
      <c r="G17" s="83"/>
      <c r="H17" s="84"/>
      <c r="I17" s="84"/>
      <c r="J17" s="85"/>
      <c r="K17" s="19"/>
    </row>
    <row r="18" spans="2:18" x14ac:dyDescent="0.25">
      <c r="B18" s="18"/>
      <c r="K18" s="19"/>
    </row>
    <row r="19" spans="2:18" ht="18.399999999999999" customHeight="1" x14ac:dyDescent="0.25">
      <c r="B19" s="18"/>
      <c r="C19" s="59" t="s">
        <v>0</v>
      </c>
      <c r="D19" s="60"/>
      <c r="E19" s="60"/>
      <c r="F19" s="60"/>
      <c r="G19" s="60"/>
      <c r="H19" s="60"/>
      <c r="I19" s="60"/>
      <c r="J19" s="61"/>
      <c r="K19" s="19"/>
    </row>
    <row r="20" spans="2:18" ht="14.65" customHeight="1" x14ac:dyDescent="0.25">
      <c r="B20" s="18"/>
      <c r="C20" s="62"/>
      <c r="D20" s="63"/>
      <c r="E20" s="63"/>
      <c r="F20" s="63"/>
      <c r="G20" s="63"/>
      <c r="H20" s="63"/>
      <c r="I20" s="63"/>
      <c r="J20" s="64"/>
      <c r="K20" s="19"/>
    </row>
    <row r="21" spans="2:18" ht="14.65" customHeight="1" x14ac:dyDescent="0.25">
      <c r="B21" s="18"/>
      <c r="C21" s="65" t="s">
        <v>1</v>
      </c>
      <c r="D21" s="3" t="s">
        <v>2</v>
      </c>
      <c r="E21" s="4" t="s">
        <v>3</v>
      </c>
      <c r="F21" s="11"/>
      <c r="G21" s="53" t="s">
        <v>4</v>
      </c>
      <c r="H21" s="54"/>
      <c r="I21" s="66">
        <v>46183</v>
      </c>
      <c r="J21" s="67"/>
      <c r="K21" s="19"/>
    </row>
    <row r="22" spans="2:18" x14ac:dyDescent="0.25">
      <c r="B22" s="18"/>
      <c r="C22" s="65"/>
      <c r="D22" s="3" t="s">
        <v>5</v>
      </c>
      <c r="E22" s="4">
        <v>63010059</v>
      </c>
      <c r="F22" s="11"/>
      <c r="G22" s="53" t="s">
        <v>6</v>
      </c>
      <c r="H22" s="54"/>
      <c r="I22" s="68" t="s">
        <v>7</v>
      </c>
      <c r="J22" s="69"/>
      <c r="K22" s="19"/>
    </row>
    <row r="23" spans="2:18" ht="14.65" customHeight="1" x14ac:dyDescent="0.25">
      <c r="B23" s="18"/>
      <c r="C23" s="65"/>
      <c r="D23" s="3" t="s">
        <v>2</v>
      </c>
      <c r="E23" s="4" t="s">
        <v>8</v>
      </c>
      <c r="F23" s="11"/>
      <c r="G23" s="51" t="s">
        <v>9</v>
      </c>
      <c r="H23" s="52"/>
      <c r="I23" s="68" t="s">
        <v>10</v>
      </c>
      <c r="J23" s="69"/>
      <c r="K23" s="19"/>
    </row>
    <row r="24" spans="2:18" ht="14.65" customHeight="1" x14ac:dyDescent="0.25">
      <c r="B24" s="18"/>
      <c r="C24" s="65"/>
      <c r="D24" s="3" t="s">
        <v>5</v>
      </c>
      <c r="E24" s="4" t="s">
        <v>11</v>
      </c>
      <c r="F24" s="11"/>
      <c r="G24" s="51" t="s">
        <v>12</v>
      </c>
      <c r="H24" s="52"/>
      <c r="I24" s="68" t="s">
        <v>13</v>
      </c>
      <c r="J24" s="69"/>
      <c r="K24" s="19"/>
      <c r="P24" s="13"/>
      <c r="Q24" s="49"/>
      <c r="R24" s="49"/>
    </row>
    <row r="25" spans="2:18" ht="15.4" customHeight="1" x14ac:dyDescent="0.25">
      <c r="B25" s="18"/>
      <c r="C25" s="50" t="s">
        <v>14</v>
      </c>
      <c r="D25" s="50"/>
      <c r="E25" s="4">
        <v>54</v>
      </c>
      <c r="F25" s="11"/>
      <c r="G25" s="51" t="s">
        <v>15</v>
      </c>
      <c r="H25" s="52"/>
      <c r="I25" s="6">
        <v>30000</v>
      </c>
      <c r="J25" s="3" t="s">
        <v>16</v>
      </c>
      <c r="K25" s="19"/>
      <c r="P25" s="14"/>
      <c r="Q25" s="46"/>
      <c r="R25" s="46"/>
    </row>
    <row r="26" spans="2:18" ht="14.65" customHeight="1" x14ac:dyDescent="0.25">
      <c r="B26" s="18"/>
      <c r="C26" s="50" t="s">
        <v>17</v>
      </c>
      <c r="D26" s="50"/>
      <c r="E26" s="4">
        <v>40</v>
      </c>
      <c r="F26" s="11"/>
      <c r="G26" s="53" t="s">
        <v>18</v>
      </c>
      <c r="H26" s="54"/>
      <c r="I26" s="6">
        <v>30</v>
      </c>
      <c r="J26" s="3" t="s">
        <v>19</v>
      </c>
      <c r="K26" s="19"/>
      <c r="P26" s="14"/>
      <c r="Q26" s="46"/>
      <c r="R26" s="46"/>
    </row>
    <row r="27" spans="2:18" ht="14.65" customHeight="1" x14ac:dyDescent="0.25">
      <c r="B27" s="18"/>
      <c r="C27" s="50" t="s">
        <v>20</v>
      </c>
      <c r="D27" s="50"/>
      <c r="E27" s="7">
        <v>1.2E-2</v>
      </c>
      <c r="F27" s="11"/>
      <c r="G27" s="53" t="s">
        <v>21</v>
      </c>
      <c r="H27" s="54"/>
      <c r="I27" s="6">
        <v>30</v>
      </c>
      <c r="J27" s="3" t="s">
        <v>19</v>
      </c>
      <c r="K27" s="19"/>
      <c r="P27" s="14"/>
      <c r="Q27" s="46"/>
      <c r="R27" s="46"/>
    </row>
    <row r="28" spans="2:18" ht="14.65" customHeight="1" x14ac:dyDescent="0.25">
      <c r="B28" s="18"/>
      <c r="C28" s="55" t="s">
        <v>22</v>
      </c>
      <c r="D28" s="55"/>
      <c r="E28" s="55"/>
      <c r="F28" s="55"/>
      <c r="G28" s="55"/>
      <c r="H28" s="55"/>
      <c r="I28" s="55"/>
      <c r="J28" s="55"/>
      <c r="K28" s="19"/>
      <c r="P28" s="14"/>
      <c r="Q28" s="46"/>
      <c r="R28" s="46"/>
    </row>
    <row r="29" spans="2:18" x14ac:dyDescent="0.25">
      <c r="B29" s="18"/>
      <c r="C29" s="2" t="s">
        <v>23</v>
      </c>
      <c r="D29" s="48">
        <v>0.5</v>
      </c>
      <c r="E29" s="48"/>
      <c r="F29" s="2" t="s">
        <v>24</v>
      </c>
      <c r="G29" s="2" t="s">
        <v>25</v>
      </c>
      <c r="H29" s="48">
        <v>2.7</v>
      </c>
      <c r="I29" s="48"/>
      <c r="J29" s="2" t="s">
        <v>26</v>
      </c>
      <c r="K29" s="19"/>
      <c r="P29" s="14"/>
      <c r="Q29" s="46"/>
      <c r="R29" s="46"/>
    </row>
    <row r="30" spans="2:18" x14ac:dyDescent="0.25">
      <c r="B30" s="18"/>
      <c r="C30" s="2" t="s">
        <v>27</v>
      </c>
      <c r="D30" s="48">
        <v>0.6</v>
      </c>
      <c r="E30" s="48"/>
      <c r="F30" s="2" t="s">
        <v>24</v>
      </c>
      <c r="G30" s="2" t="s">
        <v>28</v>
      </c>
      <c r="H30" s="48">
        <v>8.3000000000000007</v>
      </c>
      <c r="I30" s="48"/>
      <c r="J30" s="2" t="s">
        <v>26</v>
      </c>
      <c r="K30" s="19"/>
      <c r="P30" s="14"/>
      <c r="Q30" s="46"/>
      <c r="R30" s="46"/>
    </row>
    <row r="31" spans="2:18" x14ac:dyDescent="0.25">
      <c r="B31" s="18"/>
      <c r="C31" s="2" t="s">
        <v>29</v>
      </c>
      <c r="D31" s="48">
        <v>10.199999999999999</v>
      </c>
      <c r="E31" s="48"/>
      <c r="F31" s="2" t="s">
        <v>24</v>
      </c>
      <c r="G31" s="2" t="s">
        <v>30</v>
      </c>
      <c r="H31" s="48">
        <v>8.3000000000000007</v>
      </c>
      <c r="I31" s="48"/>
      <c r="J31" s="2" t="s">
        <v>26</v>
      </c>
      <c r="K31" s="19"/>
      <c r="P31" s="14"/>
      <c r="Q31" s="46"/>
      <c r="R31" s="46"/>
    </row>
    <row r="32" spans="2:18" ht="14.1" customHeight="1" x14ac:dyDescent="0.25">
      <c r="B32" s="18"/>
      <c r="C32" s="12"/>
      <c r="D32" s="12"/>
      <c r="E32" s="12"/>
      <c r="F32" s="12"/>
      <c r="G32" s="12"/>
      <c r="H32" s="12"/>
      <c r="I32" s="12"/>
      <c r="J32" s="12"/>
      <c r="K32" s="19"/>
      <c r="P32" s="14"/>
      <c r="Q32" s="46"/>
      <c r="R32" s="46"/>
    </row>
    <row r="33" spans="2:18" ht="14.65" customHeight="1" x14ac:dyDescent="0.25">
      <c r="B33" s="18"/>
      <c r="C33" s="47" t="s">
        <v>31</v>
      </c>
      <c r="D33" s="47"/>
      <c r="E33" s="47"/>
      <c r="F33" s="12"/>
      <c r="G33" s="47" t="s">
        <v>32</v>
      </c>
      <c r="H33" s="47"/>
      <c r="I33" s="47"/>
      <c r="J33" s="47"/>
      <c r="K33" s="19"/>
      <c r="P33" s="14"/>
      <c r="Q33" s="46"/>
      <c r="R33" s="46"/>
    </row>
    <row r="34" spans="2:18" ht="30" x14ac:dyDescent="0.25">
      <c r="B34" s="18"/>
      <c r="C34" s="8" t="s">
        <v>33</v>
      </c>
      <c r="D34" s="8" t="s">
        <v>34</v>
      </c>
      <c r="E34" s="8" t="s">
        <v>35</v>
      </c>
      <c r="F34" s="12"/>
      <c r="G34" s="8" t="s">
        <v>33</v>
      </c>
      <c r="H34" s="8" t="s">
        <v>36</v>
      </c>
      <c r="I34" s="47" t="s">
        <v>37</v>
      </c>
      <c r="J34" s="47"/>
      <c r="K34" s="19"/>
    </row>
    <row r="35" spans="2:18" x14ac:dyDescent="0.25">
      <c r="B35" s="18"/>
      <c r="C35" s="9" t="s">
        <v>38</v>
      </c>
      <c r="D35" s="9" t="s">
        <v>39</v>
      </c>
      <c r="E35" s="9" t="s">
        <v>39</v>
      </c>
      <c r="F35" s="12"/>
      <c r="G35" s="9" t="s">
        <v>38</v>
      </c>
      <c r="H35" s="9" t="s">
        <v>39</v>
      </c>
      <c r="I35" s="70" t="s">
        <v>40</v>
      </c>
      <c r="J35" s="70"/>
      <c r="K35" s="19"/>
    </row>
    <row r="36" spans="2:18" x14ac:dyDescent="0.25">
      <c r="B36" s="18"/>
      <c r="C36" s="4">
        <v>4</v>
      </c>
      <c r="D36" s="4">
        <v>10809.4</v>
      </c>
      <c r="E36" s="10">
        <f>1067797/100</f>
        <v>10677.97</v>
      </c>
      <c r="F36" s="12"/>
      <c r="G36" s="4">
        <f t="shared" ref="G36:H45" si="0">C36</f>
        <v>4</v>
      </c>
      <c r="H36" s="4">
        <f t="shared" si="0"/>
        <v>10809.4</v>
      </c>
      <c r="I36" s="44">
        <v>90</v>
      </c>
      <c r="J36" s="45"/>
      <c r="K36" s="19"/>
    </row>
    <row r="37" spans="2:18" x14ac:dyDescent="0.25">
      <c r="B37" s="18"/>
      <c r="C37" s="4">
        <v>6</v>
      </c>
      <c r="D37" s="4">
        <v>4647.7</v>
      </c>
      <c r="E37" s="10">
        <f>465672/100</f>
        <v>4656.72</v>
      </c>
      <c r="F37" s="12"/>
      <c r="G37" s="4">
        <f t="shared" si="0"/>
        <v>6</v>
      </c>
      <c r="H37" s="4">
        <f t="shared" si="0"/>
        <v>4647.7</v>
      </c>
      <c r="I37" s="44">
        <v>204</v>
      </c>
      <c r="J37" s="45"/>
      <c r="K37" s="19"/>
    </row>
    <row r="38" spans="2:18" x14ac:dyDescent="0.25">
      <c r="B38" s="18"/>
      <c r="C38" s="4">
        <v>10</v>
      </c>
      <c r="D38" s="4">
        <v>1074.3</v>
      </c>
      <c r="E38" s="10">
        <f>109250/100</f>
        <v>1092.5</v>
      </c>
      <c r="F38" s="12"/>
      <c r="G38" s="4">
        <f t="shared" si="0"/>
        <v>10</v>
      </c>
      <c r="H38" s="4">
        <f t="shared" si="0"/>
        <v>1074.3</v>
      </c>
      <c r="I38" s="44">
        <v>552</v>
      </c>
      <c r="J38" s="45"/>
      <c r="K38" s="19"/>
    </row>
    <row r="39" spans="2:18" x14ac:dyDescent="0.25">
      <c r="B39" s="18"/>
      <c r="C39" s="4">
        <v>14</v>
      </c>
      <c r="D39" s="4">
        <v>365.5</v>
      </c>
      <c r="E39" s="10">
        <f>37641/100</f>
        <v>376.41</v>
      </c>
      <c r="F39" s="12"/>
      <c r="G39" s="4">
        <f t="shared" si="0"/>
        <v>14</v>
      </c>
      <c r="H39" s="4">
        <f t="shared" si="0"/>
        <v>365.5</v>
      </c>
      <c r="I39" s="44">
        <v>1064</v>
      </c>
      <c r="J39" s="45"/>
      <c r="K39" s="19"/>
    </row>
    <row r="40" spans="2:18" x14ac:dyDescent="0.25">
      <c r="B40" s="18"/>
      <c r="C40" s="4">
        <v>21</v>
      </c>
      <c r="D40" s="4">
        <v>109.8</v>
      </c>
      <c r="E40" s="10">
        <f>12062/100</f>
        <v>120.62</v>
      </c>
      <c r="F40" s="12"/>
      <c r="G40" s="4">
        <f t="shared" si="0"/>
        <v>21</v>
      </c>
      <c r="H40" s="4">
        <f t="shared" si="0"/>
        <v>109.8</v>
      </c>
      <c r="I40" s="44">
        <v>2092</v>
      </c>
      <c r="J40" s="45"/>
      <c r="K40" s="19"/>
    </row>
    <row r="41" spans="2:18" x14ac:dyDescent="0.25">
      <c r="B41" s="18"/>
      <c r="C41" s="4">
        <v>25</v>
      </c>
      <c r="D41" s="4">
        <v>52.1</v>
      </c>
      <c r="E41" s="10">
        <f>5929/100</f>
        <v>59.29</v>
      </c>
      <c r="F41" s="12"/>
      <c r="G41" s="4">
        <f t="shared" si="0"/>
        <v>25</v>
      </c>
      <c r="H41" s="4">
        <f t="shared" si="0"/>
        <v>52.1</v>
      </c>
      <c r="I41" s="44">
        <v>3036</v>
      </c>
      <c r="J41" s="45"/>
      <c r="K41" s="19"/>
    </row>
    <row r="42" spans="2:18" x14ac:dyDescent="0.25">
      <c r="B42" s="18"/>
      <c r="C42" s="56"/>
      <c r="D42" s="57"/>
      <c r="E42" s="58"/>
      <c r="F42" s="12"/>
      <c r="G42" s="56"/>
      <c r="H42" s="57"/>
      <c r="I42" s="57"/>
      <c r="J42" s="58"/>
      <c r="K42" s="19"/>
    </row>
    <row r="43" spans="2:18" x14ac:dyDescent="0.25">
      <c r="B43" s="18"/>
      <c r="C43" s="4">
        <v>38</v>
      </c>
      <c r="D43" s="4">
        <v>394</v>
      </c>
      <c r="E43" s="10">
        <v>397</v>
      </c>
      <c r="F43" s="12"/>
      <c r="G43" s="4">
        <f t="shared" si="0"/>
        <v>38</v>
      </c>
      <c r="H43" s="4">
        <f t="shared" si="0"/>
        <v>394</v>
      </c>
      <c r="I43" s="44">
        <v>9879</v>
      </c>
      <c r="J43" s="45"/>
      <c r="K43" s="19"/>
    </row>
    <row r="44" spans="2:18" x14ac:dyDescent="0.25">
      <c r="B44" s="18"/>
      <c r="C44" s="4">
        <v>50</v>
      </c>
      <c r="D44" s="4">
        <v>79</v>
      </c>
      <c r="E44" s="10">
        <v>89</v>
      </c>
      <c r="F44" s="12"/>
      <c r="G44" s="4">
        <f t="shared" si="0"/>
        <v>50</v>
      </c>
      <c r="H44" s="4">
        <f t="shared" si="0"/>
        <v>79</v>
      </c>
      <c r="I44" s="44">
        <v>16188</v>
      </c>
      <c r="J44" s="45"/>
      <c r="K44" s="19"/>
    </row>
    <row r="45" spans="2:18" x14ac:dyDescent="0.25">
      <c r="B45" s="18"/>
      <c r="C45" s="4">
        <v>70</v>
      </c>
      <c r="D45" s="4">
        <v>11</v>
      </c>
      <c r="E45" s="10">
        <v>25</v>
      </c>
      <c r="F45" s="12"/>
      <c r="G45" s="4">
        <f t="shared" si="0"/>
        <v>70</v>
      </c>
      <c r="H45" s="4">
        <f t="shared" si="0"/>
        <v>11</v>
      </c>
      <c r="I45" s="44">
        <v>24977</v>
      </c>
      <c r="J45" s="45"/>
      <c r="K45" s="19"/>
    </row>
    <row r="46" spans="2:18" x14ac:dyDescent="0.25">
      <c r="B46" s="18"/>
      <c r="C46" s="4"/>
      <c r="D46" s="4"/>
      <c r="E46" s="4"/>
      <c r="F46" s="1"/>
      <c r="G46" s="4"/>
      <c r="H46" s="4"/>
      <c r="I46" s="41"/>
      <c r="J46" s="41"/>
      <c r="K46" s="19"/>
    </row>
    <row r="47" spans="2:18" x14ac:dyDescent="0.25">
      <c r="B47" s="18"/>
      <c r="C47" s="4"/>
      <c r="D47" s="4"/>
      <c r="E47" s="4"/>
      <c r="F47" s="1"/>
      <c r="G47" s="4"/>
      <c r="H47" s="4"/>
      <c r="I47" s="41"/>
      <c r="J47" s="41"/>
      <c r="K47" s="19"/>
    </row>
    <row r="48" spans="2:18" x14ac:dyDescent="0.25">
      <c r="B48" s="18"/>
      <c r="C48" s="4"/>
      <c r="D48" s="4"/>
      <c r="E48" s="4"/>
      <c r="F48" s="1"/>
      <c r="G48" s="4"/>
      <c r="H48" s="4"/>
      <c r="I48" s="41"/>
      <c r="J48" s="41"/>
      <c r="K48" s="19"/>
    </row>
    <row r="49" spans="2:11" x14ac:dyDescent="0.25">
      <c r="B49" s="18"/>
      <c r="C49" s="4"/>
      <c r="D49" s="4"/>
      <c r="E49" s="4"/>
      <c r="F49" s="1"/>
      <c r="G49" s="4"/>
      <c r="H49" s="4"/>
      <c r="I49" s="41"/>
      <c r="J49" s="41"/>
      <c r="K49" s="19"/>
    </row>
    <row r="50" spans="2:11" x14ac:dyDescent="0.25">
      <c r="B50" s="18"/>
      <c r="C50" s="4"/>
      <c r="D50" s="4"/>
      <c r="E50" s="4"/>
      <c r="F50" s="1"/>
      <c r="G50" s="4"/>
      <c r="H50" s="4"/>
      <c r="I50" s="41"/>
      <c r="J50" s="41"/>
      <c r="K50" s="19"/>
    </row>
    <row r="51" spans="2:11" x14ac:dyDescent="0.25">
      <c r="B51" s="18"/>
      <c r="C51" s="4"/>
      <c r="D51" s="4"/>
      <c r="E51" s="4"/>
      <c r="F51" s="1"/>
      <c r="G51" s="4"/>
      <c r="H51" s="4"/>
      <c r="I51" s="41"/>
      <c r="J51" s="41"/>
      <c r="K51" s="19"/>
    </row>
    <row r="52" spans="2:11" x14ac:dyDescent="0.25">
      <c r="B52" s="18"/>
      <c r="C52" s="4"/>
      <c r="D52" s="4"/>
      <c r="E52" s="4"/>
      <c r="F52" s="1"/>
      <c r="G52" s="4"/>
      <c r="H52" s="4"/>
      <c r="I52" s="41"/>
      <c r="J52" s="41"/>
      <c r="K52" s="19"/>
    </row>
    <row r="53" spans="2:11" x14ac:dyDescent="0.25">
      <c r="B53" s="18"/>
      <c r="C53" s="4"/>
      <c r="D53" s="4"/>
      <c r="E53" s="4"/>
      <c r="F53" s="1"/>
      <c r="G53" s="4"/>
      <c r="H53" s="4"/>
      <c r="I53" s="41"/>
      <c r="J53" s="41"/>
      <c r="K53" s="19"/>
    </row>
    <row r="54" spans="2:11" x14ac:dyDescent="0.25">
      <c r="B54" s="18"/>
      <c r="C54" s="4"/>
      <c r="D54" s="4"/>
      <c r="E54" s="4"/>
      <c r="F54" s="1"/>
      <c r="G54" s="4"/>
      <c r="H54" s="4"/>
      <c r="I54" s="41"/>
      <c r="J54" s="41"/>
      <c r="K54" s="19"/>
    </row>
    <row r="55" spans="2:11" x14ac:dyDescent="0.25">
      <c r="B55" s="18"/>
      <c r="C55" s="4"/>
      <c r="D55" s="4"/>
      <c r="E55" s="4"/>
      <c r="F55" s="1"/>
      <c r="G55" s="4"/>
      <c r="H55" s="4"/>
      <c r="I55" s="41"/>
      <c r="J55" s="41"/>
      <c r="K55" s="19"/>
    </row>
    <row r="56" spans="2:11" x14ac:dyDescent="0.25">
      <c r="B56" s="18"/>
      <c r="C56" s="4"/>
      <c r="D56" s="4"/>
      <c r="E56" s="4"/>
      <c r="F56" s="1"/>
      <c r="G56" s="4"/>
      <c r="H56" s="4"/>
      <c r="I56" s="41"/>
      <c r="J56" s="41"/>
      <c r="K56" s="19"/>
    </row>
    <row r="57" spans="2:11" x14ac:dyDescent="0.25">
      <c r="B57" s="18"/>
      <c r="K57" s="19"/>
    </row>
    <row r="58" spans="2:11" ht="14.65" customHeight="1" x14ac:dyDescent="0.25">
      <c r="B58" s="18"/>
      <c r="C58" s="42" t="s">
        <v>48</v>
      </c>
      <c r="D58" s="43"/>
      <c r="E58" s="43"/>
      <c r="F58" s="43"/>
      <c r="G58" s="43"/>
      <c r="H58" s="43"/>
      <c r="I58" s="43"/>
      <c r="J58" s="43"/>
      <c r="K58" s="19"/>
    </row>
    <row r="59" spans="2:11" x14ac:dyDescent="0.25">
      <c r="B59" s="18"/>
      <c r="C59" s="43"/>
      <c r="D59" s="43"/>
      <c r="E59" s="43"/>
      <c r="F59" s="43"/>
      <c r="G59" s="43"/>
      <c r="H59" s="43"/>
      <c r="I59" s="43"/>
      <c r="J59" s="43"/>
      <c r="K59" s="19"/>
    </row>
    <row r="60" spans="2:11" x14ac:dyDescent="0.25">
      <c r="B60" s="18"/>
      <c r="C60" s="43"/>
      <c r="D60" s="43"/>
      <c r="E60" s="43"/>
      <c r="F60" s="43"/>
      <c r="G60" s="43"/>
      <c r="H60" s="43"/>
      <c r="I60" s="43"/>
      <c r="J60" s="43"/>
      <c r="K60" s="19"/>
    </row>
    <row r="61" spans="2:11" x14ac:dyDescent="0.25">
      <c r="B61" s="18"/>
      <c r="C61" s="43"/>
      <c r="D61" s="43"/>
      <c r="E61" s="43"/>
      <c r="F61" s="43"/>
      <c r="G61" s="43"/>
      <c r="H61" s="43"/>
      <c r="I61" s="43"/>
      <c r="J61" s="43"/>
      <c r="K61" s="19"/>
    </row>
    <row r="62" spans="2:11" x14ac:dyDescent="0.25">
      <c r="B62" s="18"/>
      <c r="C62" s="43"/>
      <c r="D62" s="43"/>
      <c r="E62" s="43"/>
      <c r="F62" s="43"/>
      <c r="G62" s="43"/>
      <c r="H62" s="43"/>
      <c r="I62" s="43"/>
      <c r="J62" s="43"/>
      <c r="K62" s="19"/>
    </row>
    <row r="63" spans="2:11" x14ac:dyDescent="0.25">
      <c r="B63" s="22"/>
      <c r="C63" s="23"/>
      <c r="D63" s="23"/>
      <c r="E63" s="23"/>
      <c r="F63" s="23"/>
      <c r="G63" s="23"/>
      <c r="H63" s="23"/>
      <c r="I63" s="23"/>
      <c r="J63" s="23"/>
      <c r="K63" s="24"/>
    </row>
  </sheetData>
  <mergeCells count="65">
    <mergeCell ref="C10:J11"/>
    <mergeCell ref="C12:F14"/>
    <mergeCell ref="G12:J14"/>
    <mergeCell ref="C15:F17"/>
    <mergeCell ref="G15:J17"/>
    <mergeCell ref="C42:E42"/>
    <mergeCell ref="G42:J42"/>
    <mergeCell ref="C19:J20"/>
    <mergeCell ref="C21:C24"/>
    <mergeCell ref="G21:H21"/>
    <mergeCell ref="I21:J21"/>
    <mergeCell ref="G22:H22"/>
    <mergeCell ref="I22:J22"/>
    <mergeCell ref="G23:H23"/>
    <mergeCell ref="I23:J23"/>
    <mergeCell ref="G24:H24"/>
    <mergeCell ref="I24:J24"/>
    <mergeCell ref="D29:E29"/>
    <mergeCell ref="H29:I29"/>
    <mergeCell ref="I35:J35"/>
    <mergeCell ref="D30:E30"/>
    <mergeCell ref="Q29:R29"/>
    <mergeCell ref="Q24:R24"/>
    <mergeCell ref="C25:D25"/>
    <mergeCell ref="G25:H25"/>
    <mergeCell ref="Q25:R25"/>
    <mergeCell ref="C26:D26"/>
    <mergeCell ref="G26:H26"/>
    <mergeCell ref="Q26:R26"/>
    <mergeCell ref="C27:D27"/>
    <mergeCell ref="G27:H27"/>
    <mergeCell ref="Q27:R27"/>
    <mergeCell ref="C28:J28"/>
    <mergeCell ref="Q28:R28"/>
    <mergeCell ref="H30:I30"/>
    <mergeCell ref="Q30:R30"/>
    <mergeCell ref="D31:E31"/>
    <mergeCell ref="H31:I31"/>
    <mergeCell ref="Q31:R31"/>
    <mergeCell ref="Q32:R32"/>
    <mergeCell ref="C33:E33"/>
    <mergeCell ref="G33:J33"/>
    <mergeCell ref="Q33:R33"/>
    <mergeCell ref="I34:J34"/>
    <mergeCell ref="I48:J48"/>
    <mergeCell ref="I36:J36"/>
    <mergeCell ref="I37:J37"/>
    <mergeCell ref="I38:J38"/>
    <mergeCell ref="I39:J39"/>
    <mergeCell ref="I40:J40"/>
    <mergeCell ref="I41:J41"/>
    <mergeCell ref="I43:J43"/>
    <mergeCell ref="I44:J44"/>
    <mergeCell ref="I45:J45"/>
    <mergeCell ref="I46:J46"/>
    <mergeCell ref="I47:J47"/>
    <mergeCell ref="I55:J55"/>
    <mergeCell ref="I56:J56"/>
    <mergeCell ref="C58:J62"/>
    <mergeCell ref="I49:J49"/>
    <mergeCell ref="I50:J50"/>
    <mergeCell ref="I51:J51"/>
    <mergeCell ref="I52:J52"/>
    <mergeCell ref="I53:J53"/>
    <mergeCell ref="I54:J54"/>
  </mergeCells>
  <hyperlinks>
    <hyperlink ref="C8" r:id="rId1" xr:uid="{50BAC35E-4E54-4CE5-9ED4-177D7C245821}"/>
  </hyperlinks>
  <pageMargins left="0.7" right="0.7" top="0.75" bottom="0.75" header="0.3" footer="0.3"/>
  <pageSetup scale="48" orientation="portrait" r:id="rId2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A6073-9146-46BB-A530-675584E8EE9E}">
  <sheetPr>
    <pageSetUpPr fitToPage="1"/>
  </sheetPr>
  <dimension ref="B2:R63"/>
  <sheetViews>
    <sheetView showGridLines="0" zoomScale="90" zoomScaleNormal="90" workbookViewId="0">
      <selection activeCell="C10" sqref="C10:J17"/>
    </sheetView>
  </sheetViews>
  <sheetFormatPr defaultRowHeight="15" x14ac:dyDescent="0.25"/>
  <cols>
    <col min="1" max="1" width="3.7109375" customWidth="1"/>
    <col min="2" max="2" width="3.140625" customWidth="1"/>
    <col min="3" max="3" width="10" customWidth="1"/>
    <col min="4" max="4" width="16.7109375" customWidth="1"/>
    <col min="5" max="5" width="25.7109375" customWidth="1"/>
    <col min="6" max="6" width="4" customWidth="1"/>
    <col min="7" max="7" width="10" customWidth="1"/>
    <col min="8" max="8" width="25.7109375" customWidth="1"/>
    <col min="9" max="9" width="10.140625" customWidth="1"/>
    <col min="10" max="10" width="10.85546875" customWidth="1"/>
    <col min="11" max="11" width="3.140625" customWidth="1"/>
  </cols>
  <sheetData>
    <row r="2" spans="2:11" x14ac:dyDescent="0.2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1" x14ac:dyDescent="0.25">
      <c r="B3" s="18"/>
      <c r="C3" t="s">
        <v>42</v>
      </c>
      <c r="K3" s="19"/>
    </row>
    <row r="4" spans="2:11" x14ac:dyDescent="0.25">
      <c r="B4" s="18"/>
      <c r="C4" t="s">
        <v>43</v>
      </c>
      <c r="K4" s="19"/>
    </row>
    <row r="5" spans="2:11" x14ac:dyDescent="0.25">
      <c r="B5" s="18"/>
      <c r="C5" t="s">
        <v>44</v>
      </c>
      <c r="K5" s="19"/>
    </row>
    <row r="6" spans="2:11" x14ac:dyDescent="0.25">
      <c r="B6" s="18"/>
      <c r="C6" t="s">
        <v>45</v>
      </c>
      <c r="K6" s="19"/>
    </row>
    <row r="7" spans="2:11" x14ac:dyDescent="0.25">
      <c r="B7" s="18"/>
      <c r="C7" t="s">
        <v>46</v>
      </c>
      <c r="K7" s="19"/>
    </row>
    <row r="8" spans="2:11" x14ac:dyDescent="0.25">
      <c r="B8" s="18"/>
      <c r="C8" s="20" t="s">
        <v>47</v>
      </c>
      <c r="K8" s="19"/>
    </row>
    <row r="9" spans="2:11" x14ac:dyDescent="0.25">
      <c r="B9" s="18"/>
      <c r="C9" s="20"/>
      <c r="K9" s="19"/>
    </row>
    <row r="10" spans="2:11" x14ac:dyDescent="0.25">
      <c r="B10" s="18"/>
      <c r="C10" s="86" t="s">
        <v>77</v>
      </c>
      <c r="D10" s="76"/>
      <c r="E10" s="76"/>
      <c r="F10" s="76"/>
      <c r="G10" s="76"/>
      <c r="H10" s="76"/>
      <c r="I10" s="76"/>
      <c r="J10" s="76"/>
      <c r="K10" s="19"/>
    </row>
    <row r="11" spans="2:11" x14ac:dyDescent="0.25">
      <c r="B11" s="18"/>
      <c r="C11" s="76"/>
      <c r="D11" s="76"/>
      <c r="E11" s="76"/>
      <c r="F11" s="76"/>
      <c r="G11" s="76"/>
      <c r="H11" s="76"/>
      <c r="I11" s="76"/>
      <c r="J11" s="76"/>
      <c r="K11" s="19"/>
    </row>
    <row r="12" spans="2:11" x14ac:dyDescent="0.25">
      <c r="B12" s="18"/>
      <c r="C12" s="90" t="s">
        <v>78</v>
      </c>
      <c r="D12" s="90"/>
      <c r="E12" s="90"/>
      <c r="F12" s="90"/>
      <c r="G12" s="90" t="s">
        <v>79</v>
      </c>
      <c r="H12" s="90"/>
      <c r="I12" s="90"/>
      <c r="J12" s="90"/>
      <c r="K12" s="19"/>
    </row>
    <row r="13" spans="2:11" x14ac:dyDescent="0.25">
      <c r="B13" s="18"/>
      <c r="C13" s="90"/>
      <c r="D13" s="90"/>
      <c r="E13" s="90"/>
      <c r="F13" s="90"/>
      <c r="G13" s="90"/>
      <c r="H13" s="90"/>
      <c r="I13" s="90"/>
      <c r="J13" s="90"/>
      <c r="K13" s="19"/>
    </row>
    <row r="14" spans="2:11" x14ac:dyDescent="0.25">
      <c r="B14" s="18"/>
      <c r="C14" s="90"/>
      <c r="D14" s="90"/>
      <c r="E14" s="90"/>
      <c r="F14" s="90"/>
      <c r="G14" s="90"/>
      <c r="H14" s="90"/>
      <c r="I14" s="90"/>
      <c r="J14" s="90"/>
      <c r="K14" s="19"/>
    </row>
    <row r="15" spans="2:11" x14ac:dyDescent="0.25">
      <c r="B15" s="18"/>
      <c r="C15" s="90" t="s">
        <v>110</v>
      </c>
      <c r="D15" s="90"/>
      <c r="E15" s="90"/>
      <c r="F15" s="90"/>
      <c r="G15" s="77" t="s">
        <v>111</v>
      </c>
      <c r="H15" s="78"/>
      <c r="I15" s="78"/>
      <c r="J15" s="79"/>
      <c r="K15" s="19"/>
    </row>
    <row r="16" spans="2:11" x14ac:dyDescent="0.25">
      <c r="B16" s="18"/>
      <c r="C16" s="90"/>
      <c r="D16" s="90"/>
      <c r="E16" s="90"/>
      <c r="F16" s="90"/>
      <c r="G16" s="80"/>
      <c r="H16" s="81"/>
      <c r="I16" s="81"/>
      <c r="J16" s="82"/>
      <c r="K16" s="19"/>
    </row>
    <row r="17" spans="2:18" x14ac:dyDescent="0.25">
      <c r="B17" s="18"/>
      <c r="C17" s="90"/>
      <c r="D17" s="90"/>
      <c r="E17" s="90"/>
      <c r="F17" s="90"/>
      <c r="G17" s="83"/>
      <c r="H17" s="84"/>
      <c r="I17" s="84"/>
      <c r="J17" s="85"/>
      <c r="K17" s="19"/>
    </row>
    <row r="18" spans="2:18" x14ac:dyDescent="0.25">
      <c r="B18" s="18"/>
      <c r="K18" s="19"/>
    </row>
    <row r="19" spans="2:18" ht="18.399999999999999" customHeight="1" x14ac:dyDescent="0.25">
      <c r="B19" s="18"/>
      <c r="C19" s="59" t="s">
        <v>0</v>
      </c>
      <c r="D19" s="60"/>
      <c r="E19" s="60"/>
      <c r="F19" s="60"/>
      <c r="G19" s="60"/>
      <c r="H19" s="60"/>
      <c r="I19" s="60"/>
      <c r="J19" s="61"/>
      <c r="K19" s="19"/>
    </row>
    <row r="20" spans="2:18" ht="14.65" customHeight="1" x14ac:dyDescent="0.25">
      <c r="B20" s="18"/>
      <c r="C20" s="62"/>
      <c r="D20" s="63"/>
      <c r="E20" s="63"/>
      <c r="F20" s="63"/>
      <c r="G20" s="63"/>
      <c r="H20" s="63"/>
      <c r="I20" s="63"/>
      <c r="J20" s="64"/>
      <c r="K20" s="19"/>
    </row>
    <row r="21" spans="2:18" ht="14.65" customHeight="1" x14ac:dyDescent="0.25">
      <c r="B21" s="18"/>
      <c r="C21" s="65" t="s">
        <v>1</v>
      </c>
      <c r="D21" s="3" t="s">
        <v>2</v>
      </c>
      <c r="E21" s="4" t="s">
        <v>3</v>
      </c>
      <c r="F21" s="11"/>
      <c r="G21" s="53" t="s">
        <v>4</v>
      </c>
      <c r="H21" s="54"/>
      <c r="I21" s="66">
        <v>46183</v>
      </c>
      <c r="J21" s="67"/>
      <c r="K21" s="19"/>
    </row>
    <row r="22" spans="2:18" x14ac:dyDescent="0.25">
      <c r="B22" s="18"/>
      <c r="C22" s="65"/>
      <c r="D22" s="3" t="s">
        <v>5</v>
      </c>
      <c r="E22" s="4">
        <v>63010060</v>
      </c>
      <c r="F22" s="11"/>
      <c r="G22" s="53" t="s">
        <v>6</v>
      </c>
      <c r="H22" s="54"/>
      <c r="I22" s="68" t="s">
        <v>7</v>
      </c>
      <c r="J22" s="69"/>
      <c r="K22" s="19"/>
    </row>
    <row r="23" spans="2:18" ht="14.65" customHeight="1" x14ac:dyDescent="0.25">
      <c r="B23" s="18"/>
      <c r="C23" s="65"/>
      <c r="D23" s="3" t="s">
        <v>2</v>
      </c>
      <c r="E23" s="4" t="s">
        <v>8</v>
      </c>
      <c r="F23" s="11"/>
      <c r="G23" s="51" t="s">
        <v>9</v>
      </c>
      <c r="H23" s="52"/>
      <c r="I23" s="68" t="s">
        <v>10</v>
      </c>
      <c r="J23" s="69"/>
      <c r="K23" s="19"/>
    </row>
    <row r="24" spans="2:18" ht="14.65" customHeight="1" x14ac:dyDescent="0.25">
      <c r="B24" s="18"/>
      <c r="C24" s="65"/>
      <c r="D24" s="3" t="s">
        <v>5</v>
      </c>
      <c r="E24" s="4" t="s">
        <v>11</v>
      </c>
      <c r="F24" s="11"/>
      <c r="G24" s="51" t="s">
        <v>12</v>
      </c>
      <c r="H24" s="52"/>
      <c r="I24" s="68" t="s">
        <v>13</v>
      </c>
      <c r="J24" s="69"/>
      <c r="K24" s="19"/>
      <c r="P24" s="13"/>
      <c r="Q24" s="49"/>
      <c r="R24" s="49"/>
    </row>
    <row r="25" spans="2:18" ht="15.4" customHeight="1" x14ac:dyDescent="0.25">
      <c r="B25" s="18"/>
      <c r="C25" s="50" t="s">
        <v>14</v>
      </c>
      <c r="D25" s="50"/>
      <c r="E25" s="4">
        <v>54</v>
      </c>
      <c r="F25" s="11"/>
      <c r="G25" s="51" t="s">
        <v>15</v>
      </c>
      <c r="H25" s="52"/>
      <c r="I25" s="6">
        <v>30000</v>
      </c>
      <c r="J25" s="3" t="s">
        <v>16</v>
      </c>
      <c r="K25" s="19"/>
      <c r="P25" s="14"/>
      <c r="Q25" s="46"/>
      <c r="R25" s="46"/>
    </row>
    <row r="26" spans="2:18" ht="14.65" customHeight="1" x14ac:dyDescent="0.25">
      <c r="B26" s="18"/>
      <c r="C26" s="50" t="s">
        <v>17</v>
      </c>
      <c r="D26" s="50"/>
      <c r="E26" s="4">
        <v>40</v>
      </c>
      <c r="F26" s="11"/>
      <c r="G26" s="53" t="s">
        <v>18</v>
      </c>
      <c r="H26" s="54"/>
      <c r="I26" s="6">
        <v>30</v>
      </c>
      <c r="J26" s="3" t="s">
        <v>19</v>
      </c>
      <c r="K26" s="19"/>
      <c r="P26" s="14"/>
      <c r="Q26" s="46"/>
      <c r="R26" s="46"/>
    </row>
    <row r="27" spans="2:18" ht="14.65" customHeight="1" x14ac:dyDescent="0.25">
      <c r="B27" s="18"/>
      <c r="C27" s="50" t="s">
        <v>20</v>
      </c>
      <c r="D27" s="50"/>
      <c r="E27" s="7">
        <v>1.2E-2</v>
      </c>
      <c r="F27" s="11"/>
      <c r="G27" s="53" t="s">
        <v>21</v>
      </c>
      <c r="H27" s="54"/>
      <c r="I27" s="6">
        <v>30</v>
      </c>
      <c r="J27" s="3" t="s">
        <v>19</v>
      </c>
      <c r="K27" s="19"/>
      <c r="P27" s="14"/>
      <c r="Q27" s="46"/>
      <c r="R27" s="46"/>
    </row>
    <row r="28" spans="2:18" ht="14.65" customHeight="1" x14ac:dyDescent="0.25">
      <c r="B28" s="18"/>
      <c r="C28" s="55" t="s">
        <v>22</v>
      </c>
      <c r="D28" s="55"/>
      <c r="E28" s="55"/>
      <c r="F28" s="55"/>
      <c r="G28" s="55"/>
      <c r="H28" s="55"/>
      <c r="I28" s="55"/>
      <c r="J28" s="55"/>
      <c r="K28" s="19"/>
      <c r="P28" s="14"/>
      <c r="Q28" s="46"/>
      <c r="R28" s="46"/>
    </row>
    <row r="29" spans="2:18" x14ac:dyDescent="0.25">
      <c r="B29" s="18"/>
      <c r="C29" s="2" t="s">
        <v>23</v>
      </c>
      <c r="D29" s="48">
        <v>0.5</v>
      </c>
      <c r="E29" s="48"/>
      <c r="F29" s="2" t="s">
        <v>24</v>
      </c>
      <c r="G29" s="2" t="s">
        <v>25</v>
      </c>
      <c r="H29" s="48">
        <v>2.7</v>
      </c>
      <c r="I29" s="48"/>
      <c r="J29" s="2" t="s">
        <v>26</v>
      </c>
      <c r="K29" s="19"/>
      <c r="P29" s="14"/>
      <c r="Q29" s="46"/>
      <c r="R29" s="46"/>
    </row>
    <row r="30" spans="2:18" x14ac:dyDescent="0.25">
      <c r="B30" s="18"/>
      <c r="C30" s="2" t="s">
        <v>27</v>
      </c>
      <c r="D30" s="48">
        <v>0.6</v>
      </c>
      <c r="E30" s="48"/>
      <c r="F30" s="2" t="s">
        <v>24</v>
      </c>
      <c r="G30" s="2" t="s">
        <v>28</v>
      </c>
      <c r="H30" s="48">
        <v>8.3000000000000007</v>
      </c>
      <c r="I30" s="48"/>
      <c r="J30" s="2" t="s">
        <v>26</v>
      </c>
      <c r="K30" s="19"/>
      <c r="P30" s="14"/>
      <c r="Q30" s="46"/>
      <c r="R30" s="46"/>
    </row>
    <row r="31" spans="2:18" x14ac:dyDescent="0.25">
      <c r="B31" s="18"/>
      <c r="C31" s="2" t="s">
        <v>29</v>
      </c>
      <c r="D31" s="48">
        <v>10.199999999999999</v>
      </c>
      <c r="E31" s="48"/>
      <c r="F31" s="2" t="s">
        <v>24</v>
      </c>
      <c r="G31" s="2" t="s">
        <v>30</v>
      </c>
      <c r="H31" s="48">
        <v>8.3000000000000007</v>
      </c>
      <c r="I31" s="48"/>
      <c r="J31" s="2" t="s">
        <v>26</v>
      </c>
      <c r="K31" s="19"/>
      <c r="P31" s="14"/>
      <c r="Q31" s="46"/>
      <c r="R31" s="46"/>
    </row>
    <row r="32" spans="2:18" ht="14.1" customHeight="1" x14ac:dyDescent="0.25">
      <c r="B32" s="18"/>
      <c r="C32" s="12"/>
      <c r="D32" s="12"/>
      <c r="E32" s="12"/>
      <c r="F32" s="12"/>
      <c r="G32" s="12"/>
      <c r="H32" s="12"/>
      <c r="I32" s="12"/>
      <c r="J32" s="12"/>
      <c r="K32" s="19"/>
      <c r="P32" s="14"/>
      <c r="Q32" s="46"/>
      <c r="R32" s="46"/>
    </row>
    <row r="33" spans="2:18" ht="14.65" customHeight="1" x14ac:dyDescent="0.25">
      <c r="B33" s="18"/>
      <c r="C33" s="47" t="s">
        <v>31</v>
      </c>
      <c r="D33" s="47"/>
      <c r="E33" s="47"/>
      <c r="F33" s="12"/>
      <c r="G33" s="47" t="s">
        <v>32</v>
      </c>
      <c r="H33" s="47"/>
      <c r="I33" s="47"/>
      <c r="J33" s="47"/>
      <c r="K33" s="19"/>
      <c r="P33" s="14"/>
      <c r="Q33" s="46"/>
      <c r="R33" s="46"/>
    </row>
    <row r="34" spans="2:18" ht="30" x14ac:dyDescent="0.25">
      <c r="B34" s="18"/>
      <c r="C34" s="8" t="s">
        <v>33</v>
      </c>
      <c r="D34" s="8" t="s">
        <v>34</v>
      </c>
      <c r="E34" s="8" t="s">
        <v>35</v>
      </c>
      <c r="F34" s="12"/>
      <c r="G34" s="8" t="s">
        <v>33</v>
      </c>
      <c r="H34" s="8" t="s">
        <v>36</v>
      </c>
      <c r="I34" s="47" t="s">
        <v>37</v>
      </c>
      <c r="J34" s="47"/>
      <c r="K34" s="19"/>
    </row>
    <row r="35" spans="2:18" x14ac:dyDescent="0.25">
      <c r="B35" s="18"/>
      <c r="C35" s="9" t="s">
        <v>38</v>
      </c>
      <c r="D35" s="9" t="s">
        <v>39</v>
      </c>
      <c r="E35" s="9" t="s">
        <v>39</v>
      </c>
      <c r="F35" s="12"/>
      <c r="G35" s="9" t="s">
        <v>38</v>
      </c>
      <c r="H35" s="9" t="s">
        <v>39</v>
      </c>
      <c r="I35" s="70" t="s">
        <v>40</v>
      </c>
      <c r="J35" s="70"/>
      <c r="K35" s="19"/>
    </row>
    <row r="36" spans="2:18" x14ac:dyDescent="0.25">
      <c r="B36" s="18"/>
      <c r="C36" s="4">
        <v>4</v>
      </c>
      <c r="D36" s="4">
        <v>10809.4</v>
      </c>
      <c r="E36" s="10">
        <f>1073037/100</f>
        <v>10730.37</v>
      </c>
      <c r="F36" s="12"/>
      <c r="G36" s="4">
        <f t="shared" ref="G36:H45" si="0">C36</f>
        <v>4</v>
      </c>
      <c r="H36" s="4">
        <f t="shared" si="0"/>
        <v>10809.4</v>
      </c>
      <c r="I36" s="44">
        <v>68</v>
      </c>
      <c r="J36" s="45"/>
      <c r="K36" s="19"/>
    </row>
    <row r="37" spans="2:18" x14ac:dyDescent="0.25">
      <c r="B37" s="18"/>
      <c r="C37" s="4">
        <v>6</v>
      </c>
      <c r="D37" s="4">
        <v>4647.7</v>
      </c>
      <c r="E37" s="10">
        <f>463405/100</f>
        <v>4634.05</v>
      </c>
      <c r="F37" s="12"/>
      <c r="G37" s="4">
        <f t="shared" si="0"/>
        <v>6</v>
      </c>
      <c r="H37" s="4">
        <f t="shared" si="0"/>
        <v>4647.7</v>
      </c>
      <c r="I37" s="44">
        <v>152</v>
      </c>
      <c r="J37" s="45"/>
      <c r="K37" s="19"/>
    </row>
    <row r="38" spans="2:18" x14ac:dyDescent="0.25">
      <c r="B38" s="18"/>
      <c r="C38" s="4">
        <v>10</v>
      </c>
      <c r="D38" s="4">
        <v>1074.3</v>
      </c>
      <c r="E38" s="10">
        <f>107139/100</f>
        <v>1071.3900000000001</v>
      </c>
      <c r="F38" s="12"/>
      <c r="G38" s="4">
        <f t="shared" si="0"/>
        <v>10</v>
      </c>
      <c r="H38" s="4">
        <f t="shared" si="0"/>
        <v>1074.3</v>
      </c>
      <c r="I38" s="44">
        <v>428</v>
      </c>
      <c r="J38" s="45"/>
      <c r="K38" s="19"/>
    </row>
    <row r="39" spans="2:18" x14ac:dyDescent="0.25">
      <c r="B39" s="18"/>
      <c r="C39" s="4">
        <v>14</v>
      </c>
      <c r="D39" s="4">
        <v>365.5</v>
      </c>
      <c r="E39" s="10">
        <f>36590/100</f>
        <v>365.9</v>
      </c>
      <c r="F39" s="12"/>
      <c r="G39" s="4">
        <f t="shared" si="0"/>
        <v>14</v>
      </c>
      <c r="H39" s="4">
        <f t="shared" si="0"/>
        <v>365.5</v>
      </c>
      <c r="I39" s="44">
        <v>876</v>
      </c>
      <c r="J39" s="45"/>
      <c r="K39" s="19"/>
    </row>
    <row r="40" spans="2:18" x14ac:dyDescent="0.25">
      <c r="B40" s="18"/>
      <c r="C40" s="4">
        <v>21</v>
      </c>
      <c r="D40" s="4">
        <v>109.8</v>
      </c>
      <c r="E40" s="10">
        <f>10984/100</f>
        <v>109.84</v>
      </c>
      <c r="F40" s="12"/>
      <c r="G40" s="4">
        <f t="shared" si="0"/>
        <v>21</v>
      </c>
      <c r="H40" s="4">
        <f t="shared" si="0"/>
        <v>109.8</v>
      </c>
      <c r="I40" s="44">
        <v>1886</v>
      </c>
      <c r="J40" s="45"/>
      <c r="K40" s="19"/>
    </row>
    <row r="41" spans="2:18" x14ac:dyDescent="0.25">
      <c r="B41" s="18"/>
      <c r="C41" s="4">
        <v>25</v>
      </c>
      <c r="D41" s="4">
        <v>52.1</v>
      </c>
      <c r="E41" s="10">
        <f>5215/100</f>
        <v>52.15</v>
      </c>
      <c r="F41" s="12"/>
      <c r="G41" s="4">
        <f t="shared" si="0"/>
        <v>25</v>
      </c>
      <c r="H41" s="4">
        <f t="shared" si="0"/>
        <v>52.1</v>
      </c>
      <c r="I41" s="44">
        <v>2856</v>
      </c>
      <c r="J41" s="45"/>
      <c r="K41" s="19"/>
    </row>
    <row r="42" spans="2:18" x14ac:dyDescent="0.25">
      <c r="B42" s="18"/>
      <c r="C42" s="56"/>
      <c r="D42" s="57"/>
      <c r="E42" s="58"/>
      <c r="F42" s="12"/>
      <c r="G42" s="56"/>
      <c r="H42" s="57"/>
      <c r="I42" s="57"/>
      <c r="J42" s="58"/>
      <c r="K42" s="19"/>
    </row>
    <row r="43" spans="2:18" x14ac:dyDescent="0.25">
      <c r="B43" s="18"/>
      <c r="C43" s="4">
        <v>38</v>
      </c>
      <c r="D43" s="4">
        <v>480</v>
      </c>
      <c r="E43" s="10">
        <v>405</v>
      </c>
      <c r="F43" s="12"/>
      <c r="G43" s="4">
        <f t="shared" si="0"/>
        <v>38</v>
      </c>
      <c r="H43" s="4">
        <f t="shared" si="0"/>
        <v>480</v>
      </c>
      <c r="I43" s="44">
        <v>10256</v>
      </c>
      <c r="J43" s="45"/>
      <c r="K43" s="19"/>
    </row>
    <row r="44" spans="2:18" x14ac:dyDescent="0.25">
      <c r="B44" s="18"/>
      <c r="C44" s="4">
        <v>50</v>
      </c>
      <c r="D44" s="4">
        <v>88</v>
      </c>
      <c r="E44" s="10">
        <v>68</v>
      </c>
      <c r="F44" s="12"/>
      <c r="G44" s="4">
        <f t="shared" si="0"/>
        <v>50</v>
      </c>
      <c r="H44" s="4">
        <f t="shared" si="0"/>
        <v>88</v>
      </c>
      <c r="I44" s="44">
        <v>15907</v>
      </c>
      <c r="J44" s="45"/>
      <c r="K44" s="19"/>
    </row>
    <row r="45" spans="2:18" x14ac:dyDescent="0.25">
      <c r="B45" s="18"/>
      <c r="C45" s="4">
        <v>70</v>
      </c>
      <c r="D45" s="4">
        <v>18</v>
      </c>
      <c r="E45" s="10">
        <v>12</v>
      </c>
      <c r="F45" s="12"/>
      <c r="G45" s="4">
        <f t="shared" si="0"/>
        <v>70</v>
      </c>
      <c r="H45" s="4">
        <f t="shared" si="0"/>
        <v>18</v>
      </c>
      <c r="I45" s="44">
        <v>24810</v>
      </c>
      <c r="J45" s="45"/>
      <c r="K45" s="19"/>
    </row>
    <row r="46" spans="2:18" x14ac:dyDescent="0.25">
      <c r="B46" s="18"/>
      <c r="C46" s="4"/>
      <c r="D46" s="4"/>
      <c r="E46" s="4"/>
      <c r="F46" s="1"/>
      <c r="G46" s="4"/>
      <c r="H46" s="4"/>
      <c r="I46" s="41"/>
      <c r="J46" s="41"/>
      <c r="K46" s="19"/>
    </row>
    <row r="47" spans="2:18" x14ac:dyDescent="0.25">
      <c r="B47" s="18"/>
      <c r="C47" s="4"/>
      <c r="D47" s="4"/>
      <c r="E47" s="4"/>
      <c r="F47" s="1"/>
      <c r="G47" s="4"/>
      <c r="H47" s="4"/>
      <c r="I47" s="41"/>
      <c r="J47" s="41"/>
      <c r="K47" s="19"/>
    </row>
    <row r="48" spans="2:18" x14ac:dyDescent="0.25">
      <c r="B48" s="18"/>
      <c r="C48" s="4"/>
      <c r="D48" s="4"/>
      <c r="E48" s="4"/>
      <c r="F48" s="1"/>
      <c r="G48" s="4"/>
      <c r="H48" s="4"/>
      <c r="I48" s="41"/>
      <c r="J48" s="41"/>
      <c r="K48" s="19"/>
    </row>
    <row r="49" spans="2:11" x14ac:dyDescent="0.25">
      <c r="B49" s="18"/>
      <c r="C49" s="4"/>
      <c r="D49" s="4"/>
      <c r="E49" s="4"/>
      <c r="F49" s="1"/>
      <c r="G49" s="4"/>
      <c r="H49" s="4"/>
      <c r="I49" s="41"/>
      <c r="J49" s="41"/>
      <c r="K49" s="19"/>
    </row>
    <row r="50" spans="2:11" x14ac:dyDescent="0.25">
      <c r="B50" s="18"/>
      <c r="C50" s="4"/>
      <c r="D50" s="4"/>
      <c r="E50" s="4"/>
      <c r="F50" s="1"/>
      <c r="G50" s="4"/>
      <c r="H50" s="4"/>
      <c r="I50" s="41"/>
      <c r="J50" s="41"/>
      <c r="K50" s="19"/>
    </row>
    <row r="51" spans="2:11" x14ac:dyDescent="0.25">
      <c r="B51" s="18"/>
      <c r="C51" s="4"/>
      <c r="D51" s="4"/>
      <c r="E51" s="4"/>
      <c r="F51" s="1"/>
      <c r="G51" s="4"/>
      <c r="H51" s="4"/>
      <c r="I51" s="41"/>
      <c r="J51" s="41"/>
      <c r="K51" s="19"/>
    </row>
    <row r="52" spans="2:11" x14ac:dyDescent="0.25">
      <c r="B52" s="18"/>
      <c r="C52" s="4"/>
      <c r="D52" s="4"/>
      <c r="E52" s="4"/>
      <c r="F52" s="1"/>
      <c r="G52" s="4"/>
      <c r="H52" s="4"/>
      <c r="I52" s="41"/>
      <c r="J52" s="41"/>
      <c r="K52" s="19"/>
    </row>
    <row r="53" spans="2:11" x14ac:dyDescent="0.25">
      <c r="B53" s="18"/>
      <c r="C53" s="4"/>
      <c r="D53" s="4"/>
      <c r="E53" s="4"/>
      <c r="F53" s="1"/>
      <c r="G53" s="4"/>
      <c r="H53" s="4"/>
      <c r="I53" s="41"/>
      <c r="J53" s="41"/>
      <c r="K53" s="19"/>
    </row>
    <row r="54" spans="2:11" x14ac:dyDescent="0.25">
      <c r="B54" s="18"/>
      <c r="C54" s="4"/>
      <c r="D54" s="4"/>
      <c r="E54" s="4"/>
      <c r="F54" s="1"/>
      <c r="G54" s="4"/>
      <c r="H54" s="4"/>
      <c r="I54" s="41"/>
      <c r="J54" s="41"/>
      <c r="K54" s="19"/>
    </row>
    <row r="55" spans="2:11" x14ac:dyDescent="0.25">
      <c r="B55" s="18"/>
      <c r="C55" s="4"/>
      <c r="D55" s="4"/>
      <c r="E55" s="4"/>
      <c r="F55" s="1"/>
      <c r="G55" s="4"/>
      <c r="H55" s="4"/>
      <c r="I55" s="41"/>
      <c r="J55" s="41"/>
      <c r="K55" s="19"/>
    </row>
    <row r="56" spans="2:11" x14ac:dyDescent="0.25">
      <c r="B56" s="18"/>
      <c r="C56" s="4"/>
      <c r="D56" s="4"/>
      <c r="E56" s="4"/>
      <c r="F56" s="1"/>
      <c r="G56" s="4"/>
      <c r="H56" s="4"/>
      <c r="I56" s="41"/>
      <c r="J56" s="41"/>
      <c r="K56" s="19"/>
    </row>
    <row r="57" spans="2:11" x14ac:dyDescent="0.25">
      <c r="B57" s="18"/>
      <c r="K57" s="19"/>
    </row>
    <row r="58" spans="2:11" ht="14.65" customHeight="1" x14ac:dyDescent="0.25">
      <c r="B58" s="18"/>
      <c r="C58" s="42" t="s">
        <v>48</v>
      </c>
      <c r="D58" s="43"/>
      <c r="E58" s="43"/>
      <c r="F58" s="43"/>
      <c r="G58" s="43"/>
      <c r="H58" s="43"/>
      <c r="I58" s="43"/>
      <c r="J58" s="43"/>
      <c r="K58" s="19"/>
    </row>
    <row r="59" spans="2:11" x14ac:dyDescent="0.25">
      <c r="B59" s="18"/>
      <c r="C59" s="43"/>
      <c r="D59" s="43"/>
      <c r="E59" s="43"/>
      <c r="F59" s="43"/>
      <c r="G59" s="43"/>
      <c r="H59" s="43"/>
      <c r="I59" s="43"/>
      <c r="J59" s="43"/>
      <c r="K59" s="19"/>
    </row>
    <row r="60" spans="2:11" x14ac:dyDescent="0.25">
      <c r="B60" s="18"/>
      <c r="C60" s="43"/>
      <c r="D60" s="43"/>
      <c r="E60" s="43"/>
      <c r="F60" s="43"/>
      <c r="G60" s="43"/>
      <c r="H60" s="43"/>
      <c r="I60" s="43"/>
      <c r="J60" s="43"/>
      <c r="K60" s="19"/>
    </row>
    <row r="61" spans="2:11" x14ac:dyDescent="0.25">
      <c r="B61" s="18"/>
      <c r="C61" s="43"/>
      <c r="D61" s="43"/>
      <c r="E61" s="43"/>
      <c r="F61" s="43"/>
      <c r="G61" s="43"/>
      <c r="H61" s="43"/>
      <c r="I61" s="43"/>
      <c r="J61" s="43"/>
      <c r="K61" s="19"/>
    </row>
    <row r="62" spans="2:11" x14ac:dyDescent="0.25">
      <c r="B62" s="18"/>
      <c r="C62" s="43"/>
      <c r="D62" s="43"/>
      <c r="E62" s="43"/>
      <c r="F62" s="43"/>
      <c r="G62" s="43"/>
      <c r="H62" s="43"/>
      <c r="I62" s="43"/>
      <c r="J62" s="43"/>
      <c r="K62" s="19"/>
    </row>
    <row r="63" spans="2:11" x14ac:dyDescent="0.25">
      <c r="B63" s="22"/>
      <c r="C63" s="23"/>
      <c r="D63" s="23"/>
      <c r="E63" s="23"/>
      <c r="F63" s="23"/>
      <c r="G63" s="23"/>
      <c r="H63" s="23"/>
      <c r="I63" s="23"/>
      <c r="J63" s="23"/>
      <c r="K63" s="24"/>
    </row>
  </sheetData>
  <mergeCells count="65">
    <mergeCell ref="C10:J11"/>
    <mergeCell ref="C12:F14"/>
    <mergeCell ref="G12:J14"/>
    <mergeCell ref="C15:F17"/>
    <mergeCell ref="G15:J17"/>
    <mergeCell ref="C42:E42"/>
    <mergeCell ref="G42:J42"/>
    <mergeCell ref="C19:J20"/>
    <mergeCell ref="C21:C24"/>
    <mergeCell ref="G21:H21"/>
    <mergeCell ref="I21:J21"/>
    <mergeCell ref="G22:H22"/>
    <mergeCell ref="I22:J22"/>
    <mergeCell ref="G23:H23"/>
    <mergeCell ref="I23:J23"/>
    <mergeCell ref="G24:H24"/>
    <mergeCell ref="I24:J24"/>
    <mergeCell ref="D29:E29"/>
    <mergeCell ref="H29:I29"/>
    <mergeCell ref="I35:J35"/>
    <mergeCell ref="D30:E30"/>
    <mergeCell ref="Q29:R29"/>
    <mergeCell ref="Q24:R24"/>
    <mergeCell ref="C25:D25"/>
    <mergeCell ref="G25:H25"/>
    <mergeCell ref="Q25:R25"/>
    <mergeCell ref="C26:D26"/>
    <mergeCell ref="G26:H26"/>
    <mergeCell ref="Q26:R26"/>
    <mergeCell ref="C27:D27"/>
    <mergeCell ref="G27:H27"/>
    <mergeCell ref="Q27:R27"/>
    <mergeCell ref="C28:J28"/>
    <mergeCell ref="Q28:R28"/>
    <mergeCell ref="H30:I30"/>
    <mergeCell ref="Q30:R30"/>
    <mergeCell ref="D31:E31"/>
    <mergeCell ref="H31:I31"/>
    <mergeCell ref="Q31:R31"/>
    <mergeCell ref="Q32:R32"/>
    <mergeCell ref="C33:E33"/>
    <mergeCell ref="G33:J33"/>
    <mergeCell ref="Q33:R33"/>
    <mergeCell ref="I34:J34"/>
    <mergeCell ref="I48:J48"/>
    <mergeCell ref="I36:J36"/>
    <mergeCell ref="I37:J37"/>
    <mergeCell ref="I38:J38"/>
    <mergeCell ref="I39:J39"/>
    <mergeCell ref="I40:J40"/>
    <mergeCell ref="I41:J41"/>
    <mergeCell ref="I43:J43"/>
    <mergeCell ref="I44:J44"/>
    <mergeCell ref="I45:J45"/>
    <mergeCell ref="I46:J46"/>
    <mergeCell ref="I47:J47"/>
    <mergeCell ref="I55:J55"/>
    <mergeCell ref="I56:J56"/>
    <mergeCell ref="C58:J62"/>
    <mergeCell ref="I49:J49"/>
    <mergeCell ref="I50:J50"/>
    <mergeCell ref="I51:J51"/>
    <mergeCell ref="I52:J52"/>
    <mergeCell ref="I53:J53"/>
    <mergeCell ref="I54:J54"/>
  </mergeCells>
  <hyperlinks>
    <hyperlink ref="C8" r:id="rId1" xr:uid="{FFB54970-F1F7-44BF-9D92-15AF60530EAB}"/>
  </hyperlinks>
  <pageMargins left="0.7" right="0.7" top="0.75" bottom="0.75" header="0.3" footer="0.3"/>
  <pageSetup scale="48" orientation="portrait" r:id="rId2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CCC66-5C87-42D6-A793-D1C65A7AB72E}">
  <sheetPr>
    <pageSetUpPr fitToPage="1"/>
  </sheetPr>
  <dimension ref="B2:R63"/>
  <sheetViews>
    <sheetView showGridLines="0" zoomScale="90" zoomScaleNormal="90" workbookViewId="0">
      <selection activeCell="C10" sqref="C10:J17"/>
    </sheetView>
  </sheetViews>
  <sheetFormatPr defaultRowHeight="15" x14ac:dyDescent="0.25"/>
  <cols>
    <col min="1" max="1" width="3.7109375" customWidth="1"/>
    <col min="2" max="2" width="3.140625" customWidth="1"/>
    <col min="3" max="3" width="10" customWidth="1"/>
    <col min="4" max="4" width="16.7109375" customWidth="1"/>
    <col min="5" max="5" width="25.7109375" customWidth="1"/>
    <col min="6" max="6" width="4" customWidth="1"/>
    <col min="7" max="7" width="10" customWidth="1"/>
    <col min="8" max="8" width="25.7109375" customWidth="1"/>
    <col min="9" max="9" width="10.140625" customWidth="1"/>
    <col min="10" max="10" width="10.85546875" customWidth="1"/>
    <col min="11" max="11" width="3.140625" customWidth="1"/>
  </cols>
  <sheetData>
    <row r="2" spans="2:11" x14ac:dyDescent="0.2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1" x14ac:dyDescent="0.25">
      <c r="B3" s="18"/>
      <c r="C3" t="s">
        <v>42</v>
      </c>
      <c r="K3" s="19"/>
    </row>
    <row r="4" spans="2:11" x14ac:dyDescent="0.25">
      <c r="B4" s="18"/>
      <c r="C4" t="s">
        <v>43</v>
      </c>
      <c r="K4" s="19"/>
    </row>
    <row r="5" spans="2:11" x14ac:dyDescent="0.25">
      <c r="B5" s="18"/>
      <c r="C5" t="s">
        <v>44</v>
      </c>
      <c r="K5" s="19"/>
    </row>
    <row r="6" spans="2:11" x14ac:dyDescent="0.25">
      <c r="B6" s="18"/>
      <c r="C6" t="s">
        <v>45</v>
      </c>
      <c r="K6" s="19"/>
    </row>
    <row r="7" spans="2:11" x14ac:dyDescent="0.25">
      <c r="B7" s="18"/>
      <c r="C7" t="s">
        <v>46</v>
      </c>
      <c r="K7" s="19"/>
    </row>
    <row r="8" spans="2:11" x14ac:dyDescent="0.25">
      <c r="B8" s="18"/>
      <c r="C8" s="20" t="s">
        <v>47</v>
      </c>
      <c r="K8" s="19"/>
    </row>
    <row r="9" spans="2:11" x14ac:dyDescent="0.25">
      <c r="B9" s="18"/>
      <c r="C9" s="20"/>
      <c r="K9" s="19"/>
    </row>
    <row r="10" spans="2:11" x14ac:dyDescent="0.25">
      <c r="B10" s="18"/>
      <c r="C10" s="86" t="s">
        <v>77</v>
      </c>
      <c r="D10" s="76"/>
      <c r="E10" s="76"/>
      <c r="F10" s="76"/>
      <c r="G10" s="76"/>
      <c r="H10" s="76"/>
      <c r="I10" s="76"/>
      <c r="J10" s="76"/>
      <c r="K10" s="19"/>
    </row>
    <row r="11" spans="2:11" x14ac:dyDescent="0.25">
      <c r="B11" s="18"/>
      <c r="C11" s="76"/>
      <c r="D11" s="76"/>
      <c r="E11" s="76"/>
      <c r="F11" s="76"/>
      <c r="G11" s="76"/>
      <c r="H11" s="76"/>
      <c r="I11" s="76"/>
      <c r="J11" s="76"/>
      <c r="K11" s="19"/>
    </row>
    <row r="12" spans="2:11" x14ac:dyDescent="0.25">
      <c r="B12" s="18"/>
      <c r="C12" s="90" t="s">
        <v>78</v>
      </c>
      <c r="D12" s="90"/>
      <c r="E12" s="90"/>
      <c r="F12" s="90"/>
      <c r="G12" s="90" t="s">
        <v>79</v>
      </c>
      <c r="H12" s="90"/>
      <c r="I12" s="90"/>
      <c r="J12" s="90"/>
      <c r="K12" s="19"/>
    </row>
    <row r="13" spans="2:11" x14ac:dyDescent="0.25">
      <c r="B13" s="18"/>
      <c r="C13" s="90"/>
      <c r="D13" s="90"/>
      <c r="E13" s="90"/>
      <c r="F13" s="90"/>
      <c r="G13" s="90"/>
      <c r="H13" s="90"/>
      <c r="I13" s="90"/>
      <c r="J13" s="90"/>
      <c r="K13" s="19"/>
    </row>
    <row r="14" spans="2:11" x14ac:dyDescent="0.25">
      <c r="B14" s="18"/>
      <c r="C14" s="90"/>
      <c r="D14" s="90"/>
      <c r="E14" s="90"/>
      <c r="F14" s="90"/>
      <c r="G14" s="90"/>
      <c r="H14" s="90"/>
      <c r="I14" s="90"/>
      <c r="J14" s="90"/>
      <c r="K14" s="19"/>
    </row>
    <row r="15" spans="2:11" x14ac:dyDescent="0.25">
      <c r="B15" s="18"/>
      <c r="C15" s="90" t="s">
        <v>112</v>
      </c>
      <c r="D15" s="90"/>
      <c r="E15" s="90"/>
      <c r="F15" s="90"/>
      <c r="G15" s="77" t="s">
        <v>113</v>
      </c>
      <c r="H15" s="78"/>
      <c r="I15" s="78"/>
      <c r="J15" s="79"/>
      <c r="K15" s="19"/>
    </row>
    <row r="16" spans="2:11" x14ac:dyDescent="0.25">
      <c r="B16" s="18"/>
      <c r="C16" s="90"/>
      <c r="D16" s="90"/>
      <c r="E16" s="90"/>
      <c r="F16" s="90"/>
      <c r="G16" s="80"/>
      <c r="H16" s="81"/>
      <c r="I16" s="81"/>
      <c r="J16" s="82"/>
      <c r="K16" s="19"/>
    </row>
    <row r="17" spans="2:18" x14ac:dyDescent="0.25">
      <c r="B17" s="18"/>
      <c r="C17" s="90"/>
      <c r="D17" s="90"/>
      <c r="E17" s="90"/>
      <c r="F17" s="90"/>
      <c r="G17" s="83"/>
      <c r="H17" s="84"/>
      <c r="I17" s="84"/>
      <c r="J17" s="85"/>
      <c r="K17" s="19"/>
    </row>
    <row r="18" spans="2:18" x14ac:dyDescent="0.25">
      <c r="B18" s="18"/>
      <c r="K18" s="19"/>
    </row>
    <row r="19" spans="2:18" ht="18.399999999999999" customHeight="1" x14ac:dyDescent="0.25">
      <c r="B19" s="18"/>
      <c r="C19" s="59" t="s">
        <v>0</v>
      </c>
      <c r="D19" s="60"/>
      <c r="E19" s="60"/>
      <c r="F19" s="60"/>
      <c r="G19" s="60"/>
      <c r="H19" s="60"/>
      <c r="I19" s="60"/>
      <c r="J19" s="61"/>
      <c r="K19" s="19"/>
    </row>
    <row r="20" spans="2:18" ht="14.65" customHeight="1" x14ac:dyDescent="0.25">
      <c r="B20" s="18"/>
      <c r="C20" s="62"/>
      <c r="D20" s="63"/>
      <c r="E20" s="63"/>
      <c r="F20" s="63"/>
      <c r="G20" s="63"/>
      <c r="H20" s="63"/>
      <c r="I20" s="63"/>
      <c r="J20" s="64"/>
      <c r="K20" s="19"/>
    </row>
    <row r="21" spans="2:18" ht="14.65" customHeight="1" x14ac:dyDescent="0.25">
      <c r="B21" s="18"/>
      <c r="C21" s="65" t="s">
        <v>1</v>
      </c>
      <c r="D21" s="3" t="s">
        <v>2</v>
      </c>
      <c r="E21" s="4" t="s">
        <v>3</v>
      </c>
      <c r="F21" s="5"/>
      <c r="G21" s="53" t="s">
        <v>4</v>
      </c>
      <c r="H21" s="54"/>
      <c r="I21" s="66">
        <v>46184</v>
      </c>
      <c r="J21" s="67"/>
      <c r="K21" s="19"/>
    </row>
    <row r="22" spans="2:18" x14ac:dyDescent="0.25">
      <c r="B22" s="18"/>
      <c r="C22" s="65"/>
      <c r="D22" s="3" t="s">
        <v>5</v>
      </c>
      <c r="E22" s="4">
        <v>63010061</v>
      </c>
      <c r="F22" s="5"/>
      <c r="G22" s="53" t="s">
        <v>6</v>
      </c>
      <c r="H22" s="54"/>
      <c r="I22" s="68" t="s">
        <v>7</v>
      </c>
      <c r="J22" s="69"/>
      <c r="K22" s="19"/>
    </row>
    <row r="23" spans="2:18" ht="14.65" customHeight="1" x14ac:dyDescent="0.25">
      <c r="B23" s="18"/>
      <c r="C23" s="65"/>
      <c r="D23" s="3" t="s">
        <v>2</v>
      </c>
      <c r="E23" s="4" t="s">
        <v>8</v>
      </c>
      <c r="F23" s="5"/>
      <c r="G23" s="51" t="s">
        <v>9</v>
      </c>
      <c r="H23" s="52"/>
      <c r="I23" s="68" t="s">
        <v>10</v>
      </c>
      <c r="J23" s="69"/>
      <c r="K23" s="19"/>
    </row>
    <row r="24" spans="2:18" ht="14.65" customHeight="1" x14ac:dyDescent="0.25">
      <c r="B24" s="18"/>
      <c r="C24" s="65"/>
      <c r="D24" s="3" t="s">
        <v>5</v>
      </c>
      <c r="E24" s="4" t="s">
        <v>11</v>
      </c>
      <c r="F24" s="5"/>
      <c r="G24" s="51" t="s">
        <v>12</v>
      </c>
      <c r="H24" s="52"/>
      <c r="I24" s="68" t="s">
        <v>49</v>
      </c>
      <c r="J24" s="69"/>
      <c r="K24" s="19"/>
      <c r="P24" s="13"/>
      <c r="Q24" s="49"/>
      <c r="R24" s="49"/>
    </row>
    <row r="25" spans="2:18" ht="15.4" customHeight="1" x14ac:dyDescent="0.25">
      <c r="B25" s="18"/>
      <c r="C25" s="50" t="s">
        <v>14</v>
      </c>
      <c r="D25" s="50"/>
      <c r="E25" s="4">
        <v>54</v>
      </c>
      <c r="F25" s="5"/>
      <c r="G25" s="51" t="s">
        <v>15</v>
      </c>
      <c r="H25" s="52"/>
      <c r="I25" s="6">
        <v>30000</v>
      </c>
      <c r="J25" s="3" t="s">
        <v>16</v>
      </c>
      <c r="K25" s="19"/>
      <c r="P25" s="14"/>
      <c r="Q25" s="46"/>
      <c r="R25" s="46"/>
    </row>
    <row r="26" spans="2:18" ht="14.65" customHeight="1" x14ac:dyDescent="0.25">
      <c r="B26" s="18"/>
      <c r="C26" s="50" t="s">
        <v>17</v>
      </c>
      <c r="D26" s="50"/>
      <c r="E26" s="4">
        <v>40</v>
      </c>
      <c r="F26" s="5"/>
      <c r="G26" s="53" t="s">
        <v>18</v>
      </c>
      <c r="H26" s="54"/>
      <c r="I26" s="6">
        <v>30</v>
      </c>
      <c r="J26" s="3" t="s">
        <v>19</v>
      </c>
      <c r="K26" s="19"/>
      <c r="P26" s="14"/>
      <c r="Q26" s="46"/>
      <c r="R26" s="46"/>
    </row>
    <row r="27" spans="2:18" ht="14.65" customHeight="1" x14ac:dyDescent="0.25">
      <c r="B27" s="18"/>
      <c r="C27" s="50" t="s">
        <v>20</v>
      </c>
      <c r="D27" s="50"/>
      <c r="E27" s="7">
        <v>1.2E-2</v>
      </c>
      <c r="F27" s="5"/>
      <c r="G27" s="53" t="s">
        <v>21</v>
      </c>
      <c r="H27" s="54"/>
      <c r="I27" s="6">
        <v>30</v>
      </c>
      <c r="J27" s="3" t="s">
        <v>19</v>
      </c>
      <c r="K27" s="19"/>
      <c r="P27" s="14"/>
      <c r="Q27" s="46"/>
      <c r="R27" s="46"/>
    </row>
    <row r="28" spans="2:18" ht="14.65" customHeight="1" x14ac:dyDescent="0.25">
      <c r="B28" s="18"/>
      <c r="C28" s="55" t="s">
        <v>22</v>
      </c>
      <c r="D28" s="55"/>
      <c r="E28" s="55"/>
      <c r="F28" s="55"/>
      <c r="G28" s="55"/>
      <c r="H28" s="55"/>
      <c r="I28" s="55"/>
      <c r="J28" s="55"/>
      <c r="K28" s="19"/>
      <c r="P28" s="14"/>
      <c r="Q28" s="46"/>
      <c r="R28" s="46"/>
    </row>
    <row r="29" spans="2:18" x14ac:dyDescent="0.25">
      <c r="B29" s="18"/>
      <c r="C29" s="2" t="s">
        <v>23</v>
      </c>
      <c r="D29" s="48">
        <v>0.5</v>
      </c>
      <c r="E29" s="48"/>
      <c r="F29" s="2" t="s">
        <v>24</v>
      </c>
      <c r="G29" s="2" t="s">
        <v>25</v>
      </c>
      <c r="H29" s="48">
        <v>2.7</v>
      </c>
      <c r="I29" s="48"/>
      <c r="J29" s="2" t="s">
        <v>26</v>
      </c>
      <c r="K29" s="19"/>
      <c r="P29" s="14"/>
      <c r="Q29" s="46"/>
      <c r="R29" s="46"/>
    </row>
    <row r="30" spans="2:18" x14ac:dyDescent="0.25">
      <c r="B30" s="18"/>
      <c r="C30" s="2" t="s">
        <v>27</v>
      </c>
      <c r="D30" s="48">
        <v>0.6</v>
      </c>
      <c r="E30" s="48"/>
      <c r="F30" s="2" t="s">
        <v>24</v>
      </c>
      <c r="G30" s="2" t="s">
        <v>28</v>
      </c>
      <c r="H30" s="48">
        <v>8.3000000000000007</v>
      </c>
      <c r="I30" s="48"/>
      <c r="J30" s="2" t="s">
        <v>26</v>
      </c>
      <c r="K30" s="19"/>
      <c r="P30" s="14"/>
      <c r="Q30" s="46"/>
      <c r="R30" s="46"/>
    </row>
    <row r="31" spans="2:18" x14ac:dyDescent="0.25">
      <c r="B31" s="18"/>
      <c r="C31" s="2" t="s">
        <v>29</v>
      </c>
      <c r="D31" s="48">
        <v>10.199999999999999</v>
      </c>
      <c r="E31" s="48"/>
      <c r="F31" s="2" t="s">
        <v>24</v>
      </c>
      <c r="G31" s="2" t="s">
        <v>30</v>
      </c>
      <c r="H31" s="48">
        <v>8.3000000000000007</v>
      </c>
      <c r="I31" s="48"/>
      <c r="J31" s="2" t="s">
        <v>26</v>
      </c>
      <c r="K31" s="19"/>
      <c r="P31" s="14"/>
      <c r="Q31" s="46"/>
      <c r="R31" s="46"/>
    </row>
    <row r="32" spans="2:18" ht="14.1" customHeight="1" x14ac:dyDescent="0.25">
      <c r="B32" s="18"/>
      <c r="C32" s="1"/>
      <c r="D32" s="1"/>
      <c r="E32" s="1"/>
      <c r="F32" s="1"/>
      <c r="G32" s="1"/>
      <c r="H32" s="1"/>
      <c r="I32" s="1"/>
      <c r="J32" s="1"/>
      <c r="K32" s="19"/>
      <c r="P32" s="14"/>
      <c r="Q32" s="46"/>
      <c r="R32" s="46"/>
    </row>
    <row r="33" spans="2:18" ht="14.65" customHeight="1" x14ac:dyDescent="0.25">
      <c r="B33" s="18"/>
      <c r="C33" s="47" t="s">
        <v>31</v>
      </c>
      <c r="D33" s="47"/>
      <c r="E33" s="47"/>
      <c r="F33" s="1"/>
      <c r="G33" s="47" t="s">
        <v>32</v>
      </c>
      <c r="H33" s="47"/>
      <c r="I33" s="47"/>
      <c r="J33" s="47"/>
      <c r="K33" s="19"/>
      <c r="P33" s="14"/>
      <c r="Q33" s="46"/>
      <c r="R33" s="46"/>
    </row>
    <row r="34" spans="2:18" ht="30" x14ac:dyDescent="0.25">
      <c r="B34" s="18"/>
      <c r="C34" s="8" t="s">
        <v>33</v>
      </c>
      <c r="D34" s="8" t="s">
        <v>34</v>
      </c>
      <c r="E34" s="8" t="s">
        <v>35</v>
      </c>
      <c r="F34" s="1"/>
      <c r="G34" s="8" t="s">
        <v>33</v>
      </c>
      <c r="H34" s="8" t="s">
        <v>36</v>
      </c>
      <c r="I34" s="47" t="s">
        <v>37</v>
      </c>
      <c r="J34" s="47"/>
      <c r="K34" s="19"/>
    </row>
    <row r="35" spans="2:18" x14ac:dyDescent="0.25">
      <c r="B35" s="18"/>
      <c r="C35" s="9" t="s">
        <v>38</v>
      </c>
      <c r="D35" s="9" t="s">
        <v>39</v>
      </c>
      <c r="E35" s="9" t="s">
        <v>39</v>
      </c>
      <c r="F35" s="1"/>
      <c r="G35" s="9" t="s">
        <v>38</v>
      </c>
      <c r="H35" s="9" t="s">
        <v>39</v>
      </c>
      <c r="I35" s="70" t="s">
        <v>40</v>
      </c>
      <c r="J35" s="70"/>
      <c r="K35" s="19"/>
    </row>
    <row r="36" spans="2:18" x14ac:dyDescent="0.25">
      <c r="B36" s="18"/>
      <c r="C36" s="4">
        <v>4</v>
      </c>
      <c r="D36" s="4">
        <v>5822.6</v>
      </c>
      <c r="E36" s="10">
        <f>568042/100</f>
        <v>5680.42</v>
      </c>
      <c r="F36" s="1"/>
      <c r="G36" s="4">
        <f>C36</f>
        <v>4</v>
      </c>
      <c r="H36" s="4">
        <f>D36</f>
        <v>5822.6</v>
      </c>
      <c r="I36" s="44">
        <v>90</v>
      </c>
      <c r="J36" s="45"/>
      <c r="K36" s="19"/>
    </row>
    <row r="37" spans="2:18" x14ac:dyDescent="0.25">
      <c r="B37" s="18"/>
      <c r="C37" s="4">
        <v>6</v>
      </c>
      <c r="D37" s="4">
        <v>2422.5</v>
      </c>
      <c r="E37" s="10">
        <f>233547/100</f>
        <v>2335.4699999999998</v>
      </c>
      <c r="F37" s="1"/>
      <c r="G37" s="4">
        <f t="shared" ref="G37:H45" si="0">C37</f>
        <v>6</v>
      </c>
      <c r="H37" s="4">
        <f t="shared" si="0"/>
        <v>2422.5</v>
      </c>
      <c r="I37" s="44">
        <v>206</v>
      </c>
      <c r="J37" s="45"/>
      <c r="K37" s="19"/>
      <c r="M37" s="27"/>
      <c r="N37" s="27"/>
      <c r="O37" s="27"/>
    </row>
    <row r="38" spans="2:18" x14ac:dyDescent="0.25">
      <c r="B38" s="18"/>
      <c r="C38" s="4">
        <v>10</v>
      </c>
      <c r="D38" s="4">
        <v>543.79999999999995</v>
      </c>
      <c r="E38" s="10">
        <f>54256/100</f>
        <v>542.55999999999995</v>
      </c>
      <c r="F38" s="1"/>
      <c r="G38" s="4">
        <f t="shared" si="0"/>
        <v>10</v>
      </c>
      <c r="H38" s="4">
        <f t="shared" si="0"/>
        <v>543.79999999999995</v>
      </c>
      <c r="I38" s="44">
        <v>566</v>
      </c>
      <c r="J38" s="45"/>
      <c r="K38" s="19"/>
    </row>
    <row r="39" spans="2:18" x14ac:dyDescent="0.25">
      <c r="B39" s="18"/>
      <c r="C39" s="4">
        <v>14</v>
      </c>
      <c r="D39" s="4">
        <v>182.5</v>
      </c>
      <c r="E39" s="10">
        <f>19116/100</f>
        <v>191.16</v>
      </c>
      <c r="F39" s="1"/>
      <c r="G39" s="4">
        <f t="shared" si="0"/>
        <v>14</v>
      </c>
      <c r="H39" s="4">
        <f t="shared" si="0"/>
        <v>182.5</v>
      </c>
      <c r="I39" s="44">
        <v>1106</v>
      </c>
      <c r="J39" s="45"/>
      <c r="K39" s="19"/>
    </row>
    <row r="40" spans="2:18" x14ac:dyDescent="0.25">
      <c r="B40" s="18"/>
      <c r="C40" s="4">
        <v>21</v>
      </c>
      <c r="D40" s="4">
        <v>51.7</v>
      </c>
      <c r="E40" s="10">
        <f>5478/100</f>
        <v>54.78</v>
      </c>
      <c r="F40" s="1"/>
      <c r="G40" s="4">
        <f t="shared" si="0"/>
        <v>21</v>
      </c>
      <c r="H40" s="4">
        <f t="shared" si="0"/>
        <v>51.7</v>
      </c>
      <c r="I40" s="44">
        <v>2376</v>
      </c>
      <c r="J40" s="45"/>
      <c r="K40" s="19"/>
    </row>
    <row r="41" spans="2:18" x14ac:dyDescent="0.25">
      <c r="B41" s="18"/>
      <c r="C41" s="4">
        <v>25</v>
      </c>
      <c r="D41" s="4">
        <v>22.8</v>
      </c>
      <c r="E41" s="10">
        <f>2206/100</f>
        <v>22.06</v>
      </c>
      <c r="F41" s="1"/>
      <c r="G41" s="4">
        <f t="shared" si="0"/>
        <v>25</v>
      </c>
      <c r="H41" s="4">
        <f t="shared" si="0"/>
        <v>22.8</v>
      </c>
      <c r="I41" s="44">
        <v>3696</v>
      </c>
      <c r="J41" s="45"/>
      <c r="K41" s="19"/>
    </row>
    <row r="42" spans="2:18" x14ac:dyDescent="0.25">
      <c r="B42" s="18"/>
      <c r="C42" s="56"/>
      <c r="D42" s="57"/>
      <c r="E42" s="58"/>
      <c r="F42" s="1"/>
      <c r="G42" s="56"/>
      <c r="H42" s="57"/>
      <c r="I42" s="57"/>
      <c r="J42" s="58"/>
      <c r="K42" s="19"/>
    </row>
    <row r="43" spans="2:18" x14ac:dyDescent="0.25">
      <c r="B43" s="18"/>
      <c r="C43" s="4">
        <v>38</v>
      </c>
      <c r="D43" s="4">
        <v>460</v>
      </c>
      <c r="E43" s="10">
        <v>492</v>
      </c>
      <c r="F43" s="1"/>
      <c r="G43" s="4">
        <f t="shared" si="0"/>
        <v>38</v>
      </c>
      <c r="H43" s="4">
        <f t="shared" si="0"/>
        <v>460</v>
      </c>
      <c r="I43" s="44">
        <v>10177</v>
      </c>
      <c r="J43" s="45"/>
      <c r="K43" s="19"/>
    </row>
    <row r="44" spans="2:18" x14ac:dyDescent="0.25">
      <c r="B44" s="18"/>
      <c r="C44" s="4">
        <v>50</v>
      </c>
      <c r="D44" s="4">
        <v>88</v>
      </c>
      <c r="E44" s="10">
        <v>64</v>
      </c>
      <c r="F44" s="1"/>
      <c r="G44" s="4">
        <f t="shared" si="0"/>
        <v>50</v>
      </c>
      <c r="H44" s="4">
        <f t="shared" si="0"/>
        <v>88</v>
      </c>
      <c r="I44" s="44">
        <v>15895</v>
      </c>
      <c r="J44" s="45"/>
      <c r="K44" s="19"/>
    </row>
    <row r="45" spans="2:18" x14ac:dyDescent="0.25">
      <c r="B45" s="18"/>
      <c r="C45" s="4">
        <v>70</v>
      </c>
      <c r="D45" s="4">
        <v>18</v>
      </c>
      <c r="E45" s="10">
        <v>5</v>
      </c>
      <c r="F45" s="1"/>
      <c r="G45" s="4">
        <f t="shared" si="0"/>
        <v>70</v>
      </c>
      <c r="H45" s="4">
        <f t="shared" si="0"/>
        <v>18</v>
      </c>
      <c r="I45" s="44">
        <v>25088</v>
      </c>
      <c r="J45" s="45"/>
      <c r="K45" s="19"/>
    </row>
    <row r="46" spans="2:18" x14ac:dyDescent="0.25">
      <c r="B46" s="18"/>
      <c r="C46" s="4"/>
      <c r="D46" s="4"/>
      <c r="E46" s="4"/>
      <c r="F46" s="1"/>
      <c r="G46" s="4"/>
      <c r="H46" s="4"/>
      <c r="I46" s="41"/>
      <c r="J46" s="41"/>
      <c r="K46" s="19"/>
    </row>
    <row r="47" spans="2:18" x14ac:dyDescent="0.25">
      <c r="B47" s="18"/>
      <c r="C47" s="4"/>
      <c r="D47" s="4"/>
      <c r="E47" s="4"/>
      <c r="F47" s="1"/>
      <c r="G47" s="4"/>
      <c r="H47" s="4"/>
      <c r="I47" s="41"/>
      <c r="J47" s="41"/>
      <c r="K47" s="19"/>
    </row>
    <row r="48" spans="2:18" x14ac:dyDescent="0.25">
      <c r="B48" s="18"/>
      <c r="C48" s="4"/>
      <c r="D48" s="4"/>
      <c r="E48" s="4"/>
      <c r="F48" s="1"/>
      <c r="G48" s="4"/>
      <c r="H48" s="4"/>
      <c r="I48" s="41"/>
      <c r="J48" s="41"/>
      <c r="K48" s="19"/>
    </row>
    <row r="49" spans="2:11" x14ac:dyDescent="0.25">
      <c r="B49" s="18"/>
      <c r="C49" s="4"/>
      <c r="D49" s="4"/>
      <c r="E49" s="4"/>
      <c r="F49" s="1"/>
      <c r="G49" s="4"/>
      <c r="H49" s="4"/>
      <c r="I49" s="41"/>
      <c r="J49" s="41"/>
      <c r="K49" s="19"/>
    </row>
    <row r="50" spans="2:11" x14ac:dyDescent="0.25">
      <c r="B50" s="18"/>
      <c r="C50" s="4"/>
      <c r="D50" s="4"/>
      <c r="E50" s="4"/>
      <c r="F50" s="1"/>
      <c r="G50" s="4"/>
      <c r="H50" s="4"/>
      <c r="I50" s="41"/>
      <c r="J50" s="41"/>
      <c r="K50" s="19"/>
    </row>
    <row r="51" spans="2:11" x14ac:dyDescent="0.25">
      <c r="B51" s="18"/>
      <c r="C51" s="4"/>
      <c r="D51" s="4"/>
      <c r="E51" s="4"/>
      <c r="F51" s="1"/>
      <c r="G51" s="4"/>
      <c r="H51" s="4"/>
      <c r="I51" s="41"/>
      <c r="J51" s="41"/>
      <c r="K51" s="19"/>
    </row>
    <row r="52" spans="2:11" x14ac:dyDescent="0.25">
      <c r="B52" s="18"/>
      <c r="C52" s="4"/>
      <c r="D52" s="4"/>
      <c r="E52" s="4"/>
      <c r="F52" s="1"/>
      <c r="G52" s="4"/>
      <c r="H52" s="4"/>
      <c r="I52" s="41"/>
      <c r="J52" s="41"/>
      <c r="K52" s="19"/>
    </row>
    <row r="53" spans="2:11" x14ac:dyDescent="0.25">
      <c r="B53" s="18"/>
      <c r="C53" s="4"/>
      <c r="D53" s="4"/>
      <c r="E53" s="4"/>
      <c r="F53" s="1"/>
      <c r="G53" s="4"/>
      <c r="H53" s="4"/>
      <c r="I53" s="41"/>
      <c r="J53" s="41"/>
      <c r="K53" s="19"/>
    </row>
    <row r="54" spans="2:11" x14ac:dyDescent="0.25">
      <c r="B54" s="18"/>
      <c r="C54" s="4"/>
      <c r="D54" s="4"/>
      <c r="E54" s="4"/>
      <c r="F54" s="1"/>
      <c r="G54" s="4"/>
      <c r="H54" s="4"/>
      <c r="I54" s="41"/>
      <c r="J54" s="41"/>
      <c r="K54" s="19"/>
    </row>
    <row r="55" spans="2:11" x14ac:dyDescent="0.25">
      <c r="B55" s="18"/>
      <c r="C55" s="4"/>
      <c r="D55" s="4"/>
      <c r="E55" s="4"/>
      <c r="F55" s="1"/>
      <c r="G55" s="4"/>
      <c r="H55" s="4"/>
      <c r="I55" s="41"/>
      <c r="J55" s="41"/>
      <c r="K55" s="19"/>
    </row>
    <row r="56" spans="2:11" x14ac:dyDescent="0.25">
      <c r="B56" s="18"/>
      <c r="C56" s="4"/>
      <c r="D56" s="4"/>
      <c r="E56" s="4"/>
      <c r="F56" s="1"/>
      <c r="G56" s="4"/>
      <c r="H56" s="4"/>
      <c r="I56" s="41"/>
      <c r="J56" s="41"/>
      <c r="K56" s="19"/>
    </row>
    <row r="57" spans="2:11" x14ac:dyDescent="0.25">
      <c r="B57" s="18"/>
      <c r="K57" s="19"/>
    </row>
    <row r="58" spans="2:11" ht="14.65" customHeight="1" x14ac:dyDescent="0.25">
      <c r="B58" s="18"/>
      <c r="C58" s="42" t="s">
        <v>48</v>
      </c>
      <c r="D58" s="43"/>
      <c r="E58" s="43"/>
      <c r="F58" s="43"/>
      <c r="G58" s="43"/>
      <c r="H58" s="43"/>
      <c r="I58" s="43"/>
      <c r="J58" s="43"/>
      <c r="K58" s="19"/>
    </row>
    <row r="59" spans="2:11" x14ac:dyDescent="0.25">
      <c r="B59" s="18"/>
      <c r="C59" s="43"/>
      <c r="D59" s="43"/>
      <c r="E59" s="43"/>
      <c r="F59" s="43"/>
      <c r="G59" s="43"/>
      <c r="H59" s="43"/>
      <c r="I59" s="43"/>
      <c r="J59" s="43"/>
      <c r="K59" s="19"/>
    </row>
    <row r="60" spans="2:11" x14ac:dyDescent="0.25">
      <c r="B60" s="18"/>
      <c r="C60" s="43"/>
      <c r="D60" s="43"/>
      <c r="E60" s="43"/>
      <c r="F60" s="43"/>
      <c r="G60" s="43"/>
      <c r="H60" s="43"/>
      <c r="I60" s="43"/>
      <c r="J60" s="43"/>
      <c r="K60" s="19"/>
    </row>
    <row r="61" spans="2:11" x14ac:dyDescent="0.25">
      <c r="B61" s="18"/>
      <c r="C61" s="43"/>
      <c r="D61" s="43"/>
      <c r="E61" s="43"/>
      <c r="F61" s="43"/>
      <c r="G61" s="43"/>
      <c r="H61" s="43"/>
      <c r="I61" s="43"/>
      <c r="J61" s="43"/>
      <c r="K61" s="19"/>
    </row>
    <row r="62" spans="2:11" x14ac:dyDescent="0.25">
      <c r="B62" s="18"/>
      <c r="C62" s="43"/>
      <c r="D62" s="43"/>
      <c r="E62" s="43"/>
      <c r="F62" s="43"/>
      <c r="G62" s="43"/>
      <c r="H62" s="43"/>
      <c r="I62" s="43"/>
      <c r="J62" s="43"/>
      <c r="K62" s="19"/>
    </row>
    <row r="63" spans="2:11" x14ac:dyDescent="0.25">
      <c r="B63" s="22"/>
      <c r="C63" s="23"/>
      <c r="D63" s="23"/>
      <c r="E63" s="23"/>
      <c r="F63" s="23"/>
      <c r="G63" s="23"/>
      <c r="H63" s="23"/>
      <c r="I63" s="23"/>
      <c r="J63" s="23"/>
      <c r="K63" s="24"/>
    </row>
  </sheetData>
  <mergeCells count="65">
    <mergeCell ref="C10:J11"/>
    <mergeCell ref="C12:F14"/>
    <mergeCell ref="G12:J14"/>
    <mergeCell ref="C15:F17"/>
    <mergeCell ref="G15:J17"/>
    <mergeCell ref="C42:E42"/>
    <mergeCell ref="G42:J42"/>
    <mergeCell ref="C19:J20"/>
    <mergeCell ref="C21:C24"/>
    <mergeCell ref="G21:H21"/>
    <mergeCell ref="I21:J21"/>
    <mergeCell ref="G22:H22"/>
    <mergeCell ref="I22:J22"/>
    <mergeCell ref="G23:H23"/>
    <mergeCell ref="I23:J23"/>
    <mergeCell ref="G24:H24"/>
    <mergeCell ref="I24:J24"/>
    <mergeCell ref="D29:E29"/>
    <mergeCell ref="H29:I29"/>
    <mergeCell ref="I35:J35"/>
    <mergeCell ref="D30:E30"/>
    <mergeCell ref="Q29:R29"/>
    <mergeCell ref="Q24:R24"/>
    <mergeCell ref="C25:D25"/>
    <mergeCell ref="G25:H25"/>
    <mergeCell ref="Q25:R25"/>
    <mergeCell ref="C26:D26"/>
    <mergeCell ref="G26:H26"/>
    <mergeCell ref="Q26:R26"/>
    <mergeCell ref="C27:D27"/>
    <mergeCell ref="G27:H27"/>
    <mergeCell ref="Q27:R27"/>
    <mergeCell ref="C28:J28"/>
    <mergeCell ref="Q28:R28"/>
    <mergeCell ref="H30:I30"/>
    <mergeCell ref="Q30:R30"/>
    <mergeCell ref="D31:E31"/>
    <mergeCell ref="H31:I31"/>
    <mergeCell ref="Q31:R31"/>
    <mergeCell ref="Q32:R32"/>
    <mergeCell ref="C33:E33"/>
    <mergeCell ref="G33:J33"/>
    <mergeCell ref="Q33:R33"/>
    <mergeCell ref="I34:J34"/>
    <mergeCell ref="I48:J48"/>
    <mergeCell ref="I36:J36"/>
    <mergeCell ref="I37:J37"/>
    <mergeCell ref="I38:J38"/>
    <mergeCell ref="I39:J39"/>
    <mergeCell ref="I40:J40"/>
    <mergeCell ref="I41:J41"/>
    <mergeCell ref="I43:J43"/>
    <mergeCell ref="I44:J44"/>
    <mergeCell ref="I45:J45"/>
    <mergeCell ref="I46:J46"/>
    <mergeCell ref="I47:J47"/>
    <mergeCell ref="I55:J55"/>
    <mergeCell ref="I56:J56"/>
    <mergeCell ref="C58:J62"/>
    <mergeCell ref="I49:J49"/>
    <mergeCell ref="I50:J50"/>
    <mergeCell ref="I51:J51"/>
    <mergeCell ref="I52:J52"/>
    <mergeCell ref="I53:J53"/>
    <mergeCell ref="I54:J54"/>
  </mergeCells>
  <hyperlinks>
    <hyperlink ref="C8" r:id="rId1" xr:uid="{06AB4F8B-8888-4B73-BEDE-54D17322A1C4}"/>
  </hyperlinks>
  <pageMargins left="0.7" right="0.7" top="0.75" bottom="0.75" header="0.3" footer="0.3"/>
  <pageSetup scale="48" orientation="portrait" r:id="rId2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E156E-DEE7-4B6B-9DE5-BB30BB7E31C2}">
  <sheetPr>
    <pageSetUpPr fitToPage="1"/>
  </sheetPr>
  <dimension ref="B2:R63"/>
  <sheetViews>
    <sheetView showGridLines="0" zoomScale="90" zoomScaleNormal="90" workbookViewId="0">
      <selection activeCell="C10" sqref="C10:J17"/>
    </sheetView>
  </sheetViews>
  <sheetFormatPr defaultRowHeight="15" x14ac:dyDescent="0.25"/>
  <cols>
    <col min="1" max="1" width="3.7109375" customWidth="1"/>
    <col min="2" max="2" width="3.140625" customWidth="1"/>
    <col min="3" max="3" width="10" customWidth="1"/>
    <col min="4" max="4" width="16.7109375" customWidth="1"/>
    <col min="5" max="5" width="25.7109375" customWidth="1"/>
    <col min="6" max="6" width="4" customWidth="1"/>
    <col min="7" max="7" width="10" customWidth="1"/>
    <col min="8" max="8" width="25.7109375" customWidth="1"/>
    <col min="9" max="9" width="10.140625" customWidth="1"/>
    <col min="10" max="10" width="10.85546875" customWidth="1"/>
    <col min="11" max="11" width="3.140625" customWidth="1"/>
  </cols>
  <sheetData>
    <row r="2" spans="2:11" x14ac:dyDescent="0.2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1" x14ac:dyDescent="0.25">
      <c r="B3" s="18"/>
      <c r="C3" t="s">
        <v>42</v>
      </c>
      <c r="K3" s="19"/>
    </row>
    <row r="4" spans="2:11" x14ac:dyDescent="0.25">
      <c r="B4" s="18"/>
      <c r="C4" t="s">
        <v>43</v>
      </c>
      <c r="K4" s="19"/>
    </row>
    <row r="5" spans="2:11" x14ac:dyDescent="0.25">
      <c r="B5" s="18"/>
      <c r="C5" t="s">
        <v>44</v>
      </c>
      <c r="K5" s="19"/>
    </row>
    <row r="6" spans="2:11" x14ac:dyDescent="0.25">
      <c r="B6" s="18"/>
      <c r="C6" t="s">
        <v>45</v>
      </c>
      <c r="K6" s="19"/>
    </row>
    <row r="7" spans="2:11" x14ac:dyDescent="0.25">
      <c r="B7" s="18"/>
      <c r="C7" t="s">
        <v>46</v>
      </c>
      <c r="K7" s="19"/>
    </row>
    <row r="8" spans="2:11" x14ac:dyDescent="0.25">
      <c r="B8" s="18"/>
      <c r="C8" s="20" t="s">
        <v>47</v>
      </c>
      <c r="K8" s="19"/>
    </row>
    <row r="9" spans="2:11" x14ac:dyDescent="0.25">
      <c r="B9" s="18"/>
      <c r="C9" s="20"/>
      <c r="K9" s="19"/>
    </row>
    <row r="10" spans="2:11" x14ac:dyDescent="0.25">
      <c r="B10" s="18"/>
      <c r="C10" s="86" t="s">
        <v>77</v>
      </c>
      <c r="D10" s="76"/>
      <c r="E10" s="76"/>
      <c r="F10" s="76"/>
      <c r="G10" s="76"/>
      <c r="H10" s="76"/>
      <c r="I10" s="76"/>
      <c r="J10" s="76"/>
      <c r="K10" s="19"/>
    </row>
    <row r="11" spans="2:11" x14ac:dyDescent="0.25">
      <c r="B11" s="18"/>
      <c r="C11" s="76"/>
      <c r="D11" s="76"/>
      <c r="E11" s="76"/>
      <c r="F11" s="76"/>
      <c r="G11" s="76"/>
      <c r="H11" s="76"/>
      <c r="I11" s="76"/>
      <c r="J11" s="76"/>
      <c r="K11" s="19"/>
    </row>
    <row r="12" spans="2:11" x14ac:dyDescent="0.25">
      <c r="B12" s="18"/>
      <c r="C12" s="90" t="s">
        <v>78</v>
      </c>
      <c r="D12" s="90"/>
      <c r="E12" s="90"/>
      <c r="F12" s="90"/>
      <c r="G12" s="90" t="s">
        <v>79</v>
      </c>
      <c r="H12" s="90"/>
      <c r="I12" s="90"/>
      <c r="J12" s="90"/>
      <c r="K12" s="19"/>
    </row>
    <row r="13" spans="2:11" x14ac:dyDescent="0.25">
      <c r="B13" s="18"/>
      <c r="C13" s="90"/>
      <c r="D13" s="90"/>
      <c r="E13" s="90"/>
      <c r="F13" s="90"/>
      <c r="G13" s="90"/>
      <c r="H13" s="90"/>
      <c r="I13" s="90"/>
      <c r="J13" s="90"/>
      <c r="K13" s="19"/>
    </row>
    <row r="14" spans="2:11" x14ac:dyDescent="0.25">
      <c r="B14" s="18"/>
      <c r="C14" s="90"/>
      <c r="D14" s="90"/>
      <c r="E14" s="90"/>
      <c r="F14" s="90"/>
      <c r="G14" s="90"/>
      <c r="H14" s="90"/>
      <c r="I14" s="90"/>
      <c r="J14" s="90"/>
      <c r="K14" s="19"/>
    </row>
    <row r="15" spans="2:11" x14ac:dyDescent="0.25">
      <c r="B15" s="18"/>
      <c r="C15" s="90" t="s">
        <v>114</v>
      </c>
      <c r="D15" s="90"/>
      <c r="E15" s="90"/>
      <c r="F15" s="90"/>
      <c r="G15" s="77" t="s">
        <v>115</v>
      </c>
      <c r="H15" s="78"/>
      <c r="I15" s="78"/>
      <c r="J15" s="79"/>
      <c r="K15" s="19"/>
    </row>
    <row r="16" spans="2:11" x14ac:dyDescent="0.25">
      <c r="B16" s="18"/>
      <c r="C16" s="90"/>
      <c r="D16" s="90"/>
      <c r="E16" s="90"/>
      <c r="F16" s="90"/>
      <c r="G16" s="80"/>
      <c r="H16" s="81"/>
      <c r="I16" s="81"/>
      <c r="J16" s="82"/>
      <c r="K16" s="19"/>
    </row>
    <row r="17" spans="2:18" x14ac:dyDescent="0.25">
      <c r="B17" s="18"/>
      <c r="C17" s="90"/>
      <c r="D17" s="90"/>
      <c r="E17" s="90"/>
      <c r="F17" s="90"/>
      <c r="G17" s="83"/>
      <c r="H17" s="84"/>
      <c r="I17" s="84"/>
      <c r="J17" s="85"/>
      <c r="K17" s="19"/>
    </row>
    <row r="18" spans="2:18" x14ac:dyDescent="0.25">
      <c r="B18" s="18"/>
      <c r="K18" s="19"/>
    </row>
    <row r="19" spans="2:18" ht="18.399999999999999" customHeight="1" x14ac:dyDescent="0.25">
      <c r="B19" s="18"/>
      <c r="C19" s="59" t="s">
        <v>0</v>
      </c>
      <c r="D19" s="60"/>
      <c r="E19" s="60"/>
      <c r="F19" s="60"/>
      <c r="G19" s="60"/>
      <c r="H19" s="60"/>
      <c r="I19" s="60"/>
      <c r="J19" s="61"/>
      <c r="K19" s="19"/>
    </row>
    <row r="20" spans="2:18" ht="14.65" customHeight="1" x14ac:dyDescent="0.25">
      <c r="B20" s="18"/>
      <c r="C20" s="62"/>
      <c r="D20" s="63"/>
      <c r="E20" s="63"/>
      <c r="F20" s="63"/>
      <c r="G20" s="63"/>
      <c r="H20" s="63"/>
      <c r="I20" s="63"/>
      <c r="J20" s="64"/>
      <c r="K20" s="19"/>
    </row>
    <row r="21" spans="2:18" ht="14.65" customHeight="1" x14ac:dyDescent="0.25">
      <c r="B21" s="18"/>
      <c r="C21" s="65" t="s">
        <v>1</v>
      </c>
      <c r="D21" s="3" t="s">
        <v>2</v>
      </c>
      <c r="E21" s="4" t="s">
        <v>3</v>
      </c>
      <c r="F21" s="11"/>
      <c r="G21" s="53" t="s">
        <v>4</v>
      </c>
      <c r="H21" s="54"/>
      <c r="I21" s="66">
        <v>46183</v>
      </c>
      <c r="J21" s="67"/>
      <c r="K21" s="19"/>
    </row>
    <row r="22" spans="2:18" x14ac:dyDescent="0.25">
      <c r="B22" s="18"/>
      <c r="C22" s="65"/>
      <c r="D22" s="3" t="s">
        <v>5</v>
      </c>
      <c r="E22" s="4">
        <v>63010062</v>
      </c>
      <c r="F22" s="11"/>
      <c r="G22" s="53" t="s">
        <v>6</v>
      </c>
      <c r="H22" s="54"/>
      <c r="I22" s="68" t="s">
        <v>7</v>
      </c>
      <c r="J22" s="69"/>
      <c r="K22" s="19"/>
    </row>
    <row r="23" spans="2:18" ht="14.65" customHeight="1" x14ac:dyDescent="0.25">
      <c r="B23" s="18"/>
      <c r="C23" s="65"/>
      <c r="D23" s="3" t="s">
        <v>2</v>
      </c>
      <c r="E23" s="4" t="s">
        <v>8</v>
      </c>
      <c r="F23" s="11"/>
      <c r="G23" s="51" t="s">
        <v>9</v>
      </c>
      <c r="H23" s="52"/>
      <c r="I23" s="68" t="s">
        <v>10</v>
      </c>
      <c r="J23" s="69"/>
      <c r="K23" s="19"/>
    </row>
    <row r="24" spans="2:18" ht="14.65" customHeight="1" x14ac:dyDescent="0.25">
      <c r="B24" s="18"/>
      <c r="C24" s="65"/>
      <c r="D24" s="3" t="s">
        <v>5</v>
      </c>
      <c r="E24" s="4" t="s">
        <v>11</v>
      </c>
      <c r="F24" s="11"/>
      <c r="G24" s="51" t="s">
        <v>12</v>
      </c>
      <c r="H24" s="52"/>
      <c r="I24" s="68" t="s">
        <v>13</v>
      </c>
      <c r="J24" s="69"/>
      <c r="K24" s="19"/>
      <c r="P24" s="13"/>
      <c r="Q24" s="49"/>
      <c r="R24" s="49"/>
    </row>
    <row r="25" spans="2:18" ht="15.4" customHeight="1" x14ac:dyDescent="0.25">
      <c r="B25" s="18"/>
      <c r="C25" s="50" t="s">
        <v>14</v>
      </c>
      <c r="D25" s="50"/>
      <c r="E25" s="4">
        <v>54</v>
      </c>
      <c r="F25" s="11"/>
      <c r="G25" s="51" t="s">
        <v>15</v>
      </c>
      <c r="H25" s="52"/>
      <c r="I25" s="6">
        <v>30000</v>
      </c>
      <c r="J25" s="3" t="s">
        <v>16</v>
      </c>
      <c r="K25" s="19"/>
      <c r="P25" s="14"/>
      <c r="Q25" s="46"/>
      <c r="R25" s="46"/>
    </row>
    <row r="26" spans="2:18" ht="14.65" customHeight="1" x14ac:dyDescent="0.25">
      <c r="B26" s="18"/>
      <c r="C26" s="50" t="s">
        <v>17</v>
      </c>
      <c r="D26" s="50"/>
      <c r="E26" s="4">
        <v>40</v>
      </c>
      <c r="F26" s="11"/>
      <c r="G26" s="53" t="s">
        <v>18</v>
      </c>
      <c r="H26" s="54"/>
      <c r="I26" s="6">
        <v>30</v>
      </c>
      <c r="J26" s="3" t="s">
        <v>19</v>
      </c>
      <c r="K26" s="19"/>
      <c r="P26" s="14"/>
      <c r="Q26" s="46"/>
      <c r="R26" s="46"/>
    </row>
    <row r="27" spans="2:18" ht="14.65" customHeight="1" x14ac:dyDescent="0.25">
      <c r="B27" s="18"/>
      <c r="C27" s="50" t="s">
        <v>20</v>
      </c>
      <c r="D27" s="50"/>
      <c r="E27" s="7">
        <v>1.2E-2</v>
      </c>
      <c r="F27" s="11"/>
      <c r="G27" s="53" t="s">
        <v>21</v>
      </c>
      <c r="H27" s="54"/>
      <c r="I27" s="6">
        <v>30</v>
      </c>
      <c r="J27" s="3" t="s">
        <v>19</v>
      </c>
      <c r="K27" s="19"/>
      <c r="P27" s="14"/>
      <c r="Q27" s="46"/>
      <c r="R27" s="46"/>
    </row>
    <row r="28" spans="2:18" ht="14.65" customHeight="1" x14ac:dyDescent="0.25">
      <c r="B28" s="18"/>
      <c r="C28" s="55" t="s">
        <v>22</v>
      </c>
      <c r="D28" s="55"/>
      <c r="E28" s="55"/>
      <c r="F28" s="55"/>
      <c r="G28" s="55"/>
      <c r="H28" s="55"/>
      <c r="I28" s="55"/>
      <c r="J28" s="55"/>
      <c r="K28" s="19"/>
      <c r="P28" s="14"/>
      <c r="Q28" s="46"/>
      <c r="R28" s="46"/>
    </row>
    <row r="29" spans="2:18" x14ac:dyDescent="0.25">
      <c r="B29" s="18"/>
      <c r="C29" s="2" t="s">
        <v>23</v>
      </c>
      <c r="D29" s="48">
        <v>0.5</v>
      </c>
      <c r="E29" s="48"/>
      <c r="F29" s="2" t="s">
        <v>24</v>
      </c>
      <c r="G29" s="2" t="s">
        <v>25</v>
      </c>
      <c r="H29" s="48">
        <v>2.7</v>
      </c>
      <c r="I29" s="48"/>
      <c r="J29" s="2" t="s">
        <v>26</v>
      </c>
      <c r="K29" s="19"/>
      <c r="P29" s="14"/>
      <c r="Q29" s="46"/>
      <c r="R29" s="46"/>
    </row>
    <row r="30" spans="2:18" x14ac:dyDescent="0.25">
      <c r="B30" s="18"/>
      <c r="C30" s="2" t="s">
        <v>27</v>
      </c>
      <c r="D30" s="48">
        <v>0.6</v>
      </c>
      <c r="E30" s="48"/>
      <c r="F30" s="2" t="s">
        <v>24</v>
      </c>
      <c r="G30" s="2" t="s">
        <v>28</v>
      </c>
      <c r="H30" s="48">
        <v>8.3000000000000007</v>
      </c>
      <c r="I30" s="48"/>
      <c r="J30" s="2" t="s">
        <v>26</v>
      </c>
      <c r="K30" s="19"/>
      <c r="P30" s="14"/>
      <c r="Q30" s="46"/>
      <c r="R30" s="46"/>
    </row>
    <row r="31" spans="2:18" x14ac:dyDescent="0.25">
      <c r="B31" s="18"/>
      <c r="C31" s="2" t="s">
        <v>29</v>
      </c>
      <c r="D31" s="48">
        <v>10.199999999999999</v>
      </c>
      <c r="E31" s="48"/>
      <c r="F31" s="2" t="s">
        <v>24</v>
      </c>
      <c r="G31" s="2" t="s">
        <v>30</v>
      </c>
      <c r="H31" s="48">
        <v>8.3000000000000007</v>
      </c>
      <c r="I31" s="48"/>
      <c r="J31" s="2" t="s">
        <v>26</v>
      </c>
      <c r="K31" s="19"/>
      <c r="P31" s="14"/>
      <c r="Q31" s="46"/>
      <c r="R31" s="46"/>
    </row>
    <row r="32" spans="2:18" ht="14.1" customHeight="1" x14ac:dyDescent="0.25">
      <c r="B32" s="18"/>
      <c r="C32" s="12"/>
      <c r="D32" s="12"/>
      <c r="E32" s="12"/>
      <c r="F32" s="12"/>
      <c r="G32" s="12"/>
      <c r="H32" s="12"/>
      <c r="I32" s="12"/>
      <c r="J32" s="12"/>
      <c r="K32" s="19"/>
      <c r="P32" s="14"/>
      <c r="Q32" s="46"/>
      <c r="R32" s="46"/>
    </row>
    <row r="33" spans="2:18" ht="14.65" customHeight="1" x14ac:dyDescent="0.25">
      <c r="B33" s="18"/>
      <c r="C33" s="47" t="s">
        <v>31</v>
      </c>
      <c r="D33" s="47"/>
      <c r="E33" s="47"/>
      <c r="F33" s="12"/>
      <c r="G33" s="47" t="s">
        <v>32</v>
      </c>
      <c r="H33" s="47"/>
      <c r="I33" s="47"/>
      <c r="J33" s="47"/>
      <c r="K33" s="19"/>
      <c r="P33" s="14"/>
      <c r="Q33" s="46"/>
      <c r="R33" s="46"/>
    </row>
    <row r="34" spans="2:18" ht="30" x14ac:dyDescent="0.25">
      <c r="B34" s="18"/>
      <c r="C34" s="8" t="s">
        <v>33</v>
      </c>
      <c r="D34" s="8" t="s">
        <v>34</v>
      </c>
      <c r="E34" s="8" t="s">
        <v>35</v>
      </c>
      <c r="F34" s="12"/>
      <c r="G34" s="8" t="s">
        <v>33</v>
      </c>
      <c r="H34" s="8" t="s">
        <v>36</v>
      </c>
      <c r="I34" s="47" t="s">
        <v>37</v>
      </c>
      <c r="J34" s="47"/>
      <c r="K34" s="19"/>
    </row>
    <row r="35" spans="2:18" x14ac:dyDescent="0.25">
      <c r="B35" s="18"/>
      <c r="C35" s="9" t="s">
        <v>38</v>
      </c>
      <c r="D35" s="9" t="s">
        <v>39</v>
      </c>
      <c r="E35" s="9" t="s">
        <v>39</v>
      </c>
      <c r="F35" s="12"/>
      <c r="G35" s="9" t="s">
        <v>38</v>
      </c>
      <c r="H35" s="9" t="s">
        <v>39</v>
      </c>
      <c r="I35" s="70" t="s">
        <v>40</v>
      </c>
      <c r="J35" s="70"/>
      <c r="K35" s="19"/>
    </row>
    <row r="36" spans="2:18" x14ac:dyDescent="0.25">
      <c r="B36" s="18"/>
      <c r="C36" s="4">
        <v>4</v>
      </c>
      <c r="D36" s="4">
        <v>10809.4</v>
      </c>
      <c r="E36" s="10">
        <f>1026589/100</f>
        <v>10265.89</v>
      </c>
      <c r="F36" s="12"/>
      <c r="G36" s="4">
        <f t="shared" ref="G36:H45" si="0">C36</f>
        <v>4</v>
      </c>
      <c r="H36" s="4">
        <f t="shared" si="0"/>
        <v>10809.4</v>
      </c>
      <c r="I36" s="44">
        <v>92</v>
      </c>
      <c r="J36" s="45"/>
      <c r="K36" s="19"/>
    </row>
    <row r="37" spans="2:18" x14ac:dyDescent="0.25">
      <c r="B37" s="18"/>
      <c r="C37" s="4">
        <v>6</v>
      </c>
      <c r="D37" s="4">
        <v>4647.7</v>
      </c>
      <c r="E37" s="10">
        <f>439066/100</f>
        <v>4390.66</v>
      </c>
      <c r="F37" s="12"/>
      <c r="G37" s="4">
        <f t="shared" si="0"/>
        <v>6</v>
      </c>
      <c r="H37" s="4">
        <f t="shared" si="0"/>
        <v>4647.7</v>
      </c>
      <c r="I37" s="44">
        <v>206</v>
      </c>
      <c r="J37" s="45"/>
      <c r="K37" s="19"/>
    </row>
    <row r="38" spans="2:18" x14ac:dyDescent="0.25">
      <c r="B38" s="18"/>
      <c r="C38" s="4">
        <v>10</v>
      </c>
      <c r="D38" s="4">
        <v>1074.3</v>
      </c>
      <c r="E38" s="10">
        <f>100360/100</f>
        <v>1003.6</v>
      </c>
      <c r="F38" s="12"/>
      <c r="G38" s="4">
        <f t="shared" si="0"/>
        <v>10</v>
      </c>
      <c r="H38" s="4">
        <f t="shared" si="0"/>
        <v>1074.3</v>
      </c>
      <c r="I38" s="44">
        <v>562</v>
      </c>
      <c r="J38" s="45"/>
      <c r="K38" s="19"/>
    </row>
    <row r="39" spans="2:18" x14ac:dyDescent="0.25">
      <c r="B39" s="18"/>
      <c r="C39" s="4">
        <v>14</v>
      </c>
      <c r="D39" s="4">
        <v>365.5</v>
      </c>
      <c r="E39" s="10">
        <f>34463/100</f>
        <v>344.63</v>
      </c>
      <c r="F39" s="12"/>
      <c r="G39" s="4">
        <f t="shared" si="0"/>
        <v>14</v>
      </c>
      <c r="H39" s="4">
        <f t="shared" si="0"/>
        <v>365.5</v>
      </c>
      <c r="I39" s="44">
        <v>1092</v>
      </c>
      <c r="J39" s="45"/>
      <c r="K39" s="19"/>
    </row>
    <row r="40" spans="2:18" x14ac:dyDescent="0.25">
      <c r="B40" s="18"/>
      <c r="C40" s="4">
        <v>21</v>
      </c>
      <c r="D40" s="4">
        <v>109.8</v>
      </c>
      <c r="E40" s="10">
        <f>10400/100</f>
        <v>104</v>
      </c>
      <c r="F40" s="12"/>
      <c r="G40" s="4">
        <f t="shared" si="0"/>
        <v>21</v>
      </c>
      <c r="H40" s="4">
        <f t="shared" si="0"/>
        <v>109.8</v>
      </c>
      <c r="I40" s="44">
        <v>2204</v>
      </c>
      <c r="J40" s="45"/>
      <c r="K40" s="19"/>
    </row>
    <row r="41" spans="2:18" x14ac:dyDescent="0.25">
      <c r="B41" s="18"/>
      <c r="C41" s="4">
        <v>25</v>
      </c>
      <c r="D41" s="4">
        <v>52.1</v>
      </c>
      <c r="E41" s="10">
        <f>5071/100</f>
        <v>50.71</v>
      </c>
      <c r="F41" s="12"/>
      <c r="G41" s="4">
        <f t="shared" si="0"/>
        <v>25</v>
      </c>
      <c r="H41" s="4">
        <f t="shared" si="0"/>
        <v>52.1</v>
      </c>
      <c r="I41" s="44">
        <v>3178</v>
      </c>
      <c r="J41" s="45"/>
      <c r="K41" s="19"/>
    </row>
    <row r="42" spans="2:18" x14ac:dyDescent="0.25">
      <c r="B42" s="18"/>
      <c r="C42" s="56"/>
      <c r="D42" s="57"/>
      <c r="E42" s="58"/>
      <c r="F42" s="12"/>
      <c r="G42" s="56"/>
      <c r="H42" s="57"/>
      <c r="I42" s="57"/>
      <c r="J42" s="58"/>
      <c r="K42" s="19"/>
    </row>
    <row r="43" spans="2:18" x14ac:dyDescent="0.25">
      <c r="B43" s="18"/>
      <c r="C43" s="4">
        <v>38</v>
      </c>
      <c r="D43" s="4">
        <v>184</v>
      </c>
      <c r="E43" s="10">
        <v>143</v>
      </c>
      <c r="F43" s="12"/>
      <c r="G43" s="4">
        <f t="shared" si="0"/>
        <v>38</v>
      </c>
      <c r="H43" s="4">
        <f t="shared" si="0"/>
        <v>184</v>
      </c>
      <c r="I43" s="44">
        <v>10118</v>
      </c>
      <c r="J43" s="45"/>
      <c r="K43" s="19"/>
    </row>
    <row r="44" spans="2:18" x14ac:dyDescent="0.25">
      <c r="B44" s="18"/>
      <c r="C44" s="4">
        <v>50</v>
      </c>
      <c r="D44" s="4">
        <v>35</v>
      </c>
      <c r="E44" s="10">
        <v>23</v>
      </c>
      <c r="F44" s="12"/>
      <c r="G44" s="4">
        <f t="shared" si="0"/>
        <v>50</v>
      </c>
      <c r="H44" s="4">
        <f t="shared" si="0"/>
        <v>35</v>
      </c>
      <c r="I44" s="44">
        <v>15862</v>
      </c>
      <c r="J44" s="45"/>
      <c r="K44" s="19"/>
    </row>
    <row r="45" spans="2:18" x14ac:dyDescent="0.25">
      <c r="B45" s="18"/>
      <c r="C45" s="4">
        <v>70</v>
      </c>
      <c r="D45" s="4">
        <v>4</v>
      </c>
      <c r="E45" s="10">
        <v>9</v>
      </c>
      <c r="F45" s="12"/>
      <c r="G45" s="4">
        <f t="shared" si="0"/>
        <v>70</v>
      </c>
      <c r="H45" s="4">
        <f t="shared" si="0"/>
        <v>4</v>
      </c>
      <c r="I45" s="44">
        <v>24791</v>
      </c>
      <c r="J45" s="45"/>
      <c r="K45" s="19"/>
    </row>
    <row r="46" spans="2:18" x14ac:dyDescent="0.25">
      <c r="B46" s="18"/>
      <c r="C46" s="4"/>
      <c r="D46" s="4"/>
      <c r="E46" s="4"/>
      <c r="F46" s="12"/>
      <c r="G46" s="4"/>
      <c r="H46" s="4"/>
      <c r="I46" s="41"/>
      <c r="J46" s="41"/>
      <c r="K46" s="19"/>
    </row>
    <row r="47" spans="2:18" x14ac:dyDescent="0.25">
      <c r="B47" s="18"/>
      <c r="C47" s="4"/>
      <c r="D47" s="4"/>
      <c r="E47" s="4"/>
      <c r="F47" s="1"/>
      <c r="G47" s="4"/>
      <c r="H47" s="4"/>
      <c r="I47" s="41"/>
      <c r="J47" s="41"/>
      <c r="K47" s="19"/>
    </row>
    <row r="48" spans="2:18" x14ac:dyDescent="0.25">
      <c r="B48" s="18"/>
      <c r="C48" s="4"/>
      <c r="D48" s="4"/>
      <c r="E48" s="4"/>
      <c r="F48" s="1"/>
      <c r="G48" s="4"/>
      <c r="H48" s="4"/>
      <c r="I48" s="41"/>
      <c r="J48" s="41"/>
      <c r="K48" s="19"/>
    </row>
    <row r="49" spans="2:11" x14ac:dyDescent="0.25">
      <c r="B49" s="18"/>
      <c r="C49" s="4"/>
      <c r="D49" s="4"/>
      <c r="E49" s="4"/>
      <c r="F49" s="1"/>
      <c r="G49" s="4"/>
      <c r="H49" s="4"/>
      <c r="I49" s="41"/>
      <c r="J49" s="41"/>
      <c r="K49" s="19"/>
    </row>
    <row r="50" spans="2:11" x14ac:dyDescent="0.25">
      <c r="B50" s="18"/>
      <c r="C50" s="4"/>
      <c r="D50" s="4"/>
      <c r="E50" s="4"/>
      <c r="F50" s="1"/>
      <c r="G50" s="4"/>
      <c r="H50" s="4"/>
      <c r="I50" s="41"/>
      <c r="J50" s="41"/>
      <c r="K50" s="19"/>
    </row>
    <row r="51" spans="2:11" x14ac:dyDescent="0.25">
      <c r="B51" s="18"/>
      <c r="C51" s="4"/>
      <c r="D51" s="4"/>
      <c r="E51" s="4"/>
      <c r="F51" s="1"/>
      <c r="G51" s="4"/>
      <c r="H51" s="4"/>
      <c r="I51" s="41"/>
      <c r="J51" s="41"/>
      <c r="K51" s="19"/>
    </row>
    <row r="52" spans="2:11" x14ac:dyDescent="0.25">
      <c r="B52" s="18"/>
      <c r="C52" s="4"/>
      <c r="D52" s="4"/>
      <c r="E52" s="4"/>
      <c r="F52" s="1"/>
      <c r="G52" s="4"/>
      <c r="H52" s="4"/>
      <c r="I52" s="41"/>
      <c r="J52" s="41"/>
      <c r="K52" s="19"/>
    </row>
    <row r="53" spans="2:11" x14ac:dyDescent="0.25">
      <c r="B53" s="18"/>
      <c r="C53" s="4"/>
      <c r="D53" s="4"/>
      <c r="E53" s="4"/>
      <c r="F53" s="1"/>
      <c r="G53" s="4"/>
      <c r="H53" s="4"/>
      <c r="I53" s="41"/>
      <c r="J53" s="41"/>
      <c r="K53" s="19"/>
    </row>
    <row r="54" spans="2:11" x14ac:dyDescent="0.25">
      <c r="B54" s="18"/>
      <c r="C54" s="4"/>
      <c r="D54" s="4"/>
      <c r="E54" s="4"/>
      <c r="F54" s="1"/>
      <c r="G54" s="4"/>
      <c r="H54" s="4"/>
      <c r="I54" s="41"/>
      <c r="J54" s="41"/>
      <c r="K54" s="19"/>
    </row>
    <row r="55" spans="2:11" x14ac:dyDescent="0.25">
      <c r="B55" s="18"/>
      <c r="C55" s="4"/>
      <c r="D55" s="4"/>
      <c r="E55" s="4"/>
      <c r="F55" s="1"/>
      <c r="G55" s="4"/>
      <c r="H55" s="4"/>
      <c r="I55" s="41"/>
      <c r="J55" s="41"/>
      <c r="K55" s="19"/>
    </row>
    <row r="56" spans="2:11" x14ac:dyDescent="0.25">
      <c r="B56" s="18"/>
      <c r="C56" s="4"/>
      <c r="D56" s="4"/>
      <c r="E56" s="4"/>
      <c r="F56" s="1"/>
      <c r="G56" s="4"/>
      <c r="H56" s="4"/>
      <c r="I56" s="41"/>
      <c r="J56" s="41"/>
      <c r="K56" s="19"/>
    </row>
    <row r="57" spans="2:11" x14ac:dyDescent="0.25">
      <c r="B57" s="18"/>
      <c r="K57" s="19"/>
    </row>
    <row r="58" spans="2:11" ht="14.65" customHeight="1" x14ac:dyDescent="0.25">
      <c r="B58" s="18"/>
      <c r="C58" s="42" t="s">
        <v>48</v>
      </c>
      <c r="D58" s="43"/>
      <c r="E58" s="43"/>
      <c r="F58" s="43"/>
      <c r="G58" s="43"/>
      <c r="H58" s="43"/>
      <c r="I58" s="43"/>
      <c r="J58" s="43"/>
      <c r="K58" s="19"/>
    </row>
    <row r="59" spans="2:11" x14ac:dyDescent="0.25">
      <c r="B59" s="18"/>
      <c r="C59" s="43"/>
      <c r="D59" s="43"/>
      <c r="E59" s="43"/>
      <c r="F59" s="43"/>
      <c r="G59" s="43"/>
      <c r="H59" s="43"/>
      <c r="I59" s="43"/>
      <c r="J59" s="43"/>
      <c r="K59" s="19"/>
    </row>
    <row r="60" spans="2:11" x14ac:dyDescent="0.25">
      <c r="B60" s="18"/>
      <c r="C60" s="43"/>
      <c r="D60" s="43"/>
      <c r="E60" s="43"/>
      <c r="F60" s="43"/>
      <c r="G60" s="43"/>
      <c r="H60" s="43"/>
      <c r="I60" s="43"/>
      <c r="J60" s="43"/>
      <c r="K60" s="19"/>
    </row>
    <row r="61" spans="2:11" x14ac:dyDescent="0.25">
      <c r="B61" s="18"/>
      <c r="C61" s="43"/>
      <c r="D61" s="43"/>
      <c r="E61" s="43"/>
      <c r="F61" s="43"/>
      <c r="G61" s="43"/>
      <c r="H61" s="43"/>
      <c r="I61" s="43"/>
      <c r="J61" s="43"/>
      <c r="K61" s="19"/>
    </row>
    <row r="62" spans="2:11" x14ac:dyDescent="0.25">
      <c r="B62" s="18"/>
      <c r="C62" s="43"/>
      <c r="D62" s="43"/>
      <c r="E62" s="43"/>
      <c r="F62" s="43"/>
      <c r="G62" s="43"/>
      <c r="H62" s="43"/>
      <c r="I62" s="43"/>
      <c r="J62" s="43"/>
      <c r="K62" s="19"/>
    </row>
    <row r="63" spans="2:11" x14ac:dyDescent="0.25">
      <c r="B63" s="22"/>
      <c r="C63" s="23"/>
      <c r="D63" s="23"/>
      <c r="E63" s="23"/>
      <c r="F63" s="23"/>
      <c r="G63" s="23"/>
      <c r="H63" s="23"/>
      <c r="I63" s="23"/>
      <c r="J63" s="23"/>
      <c r="K63" s="24"/>
    </row>
  </sheetData>
  <mergeCells count="65">
    <mergeCell ref="C10:J11"/>
    <mergeCell ref="C12:F14"/>
    <mergeCell ref="G12:J14"/>
    <mergeCell ref="C15:F17"/>
    <mergeCell ref="G15:J17"/>
    <mergeCell ref="C42:E42"/>
    <mergeCell ref="G42:J42"/>
    <mergeCell ref="C19:J20"/>
    <mergeCell ref="C21:C24"/>
    <mergeCell ref="G21:H21"/>
    <mergeCell ref="I21:J21"/>
    <mergeCell ref="G22:H22"/>
    <mergeCell ref="I22:J22"/>
    <mergeCell ref="G23:H23"/>
    <mergeCell ref="I23:J23"/>
    <mergeCell ref="G24:H24"/>
    <mergeCell ref="I24:J24"/>
    <mergeCell ref="D29:E29"/>
    <mergeCell ref="H29:I29"/>
    <mergeCell ref="I35:J35"/>
    <mergeCell ref="D30:E30"/>
    <mergeCell ref="Q29:R29"/>
    <mergeCell ref="Q24:R24"/>
    <mergeCell ref="C25:D25"/>
    <mergeCell ref="G25:H25"/>
    <mergeCell ref="Q25:R25"/>
    <mergeCell ref="C26:D26"/>
    <mergeCell ref="G26:H26"/>
    <mergeCell ref="Q26:R26"/>
    <mergeCell ref="C27:D27"/>
    <mergeCell ref="G27:H27"/>
    <mergeCell ref="Q27:R27"/>
    <mergeCell ref="C28:J28"/>
    <mergeCell ref="Q28:R28"/>
    <mergeCell ref="H30:I30"/>
    <mergeCell ref="Q30:R30"/>
    <mergeCell ref="D31:E31"/>
    <mergeCell ref="H31:I31"/>
    <mergeCell ref="Q31:R31"/>
    <mergeCell ref="Q32:R32"/>
    <mergeCell ref="C33:E33"/>
    <mergeCell ref="G33:J33"/>
    <mergeCell ref="Q33:R33"/>
    <mergeCell ref="I34:J34"/>
    <mergeCell ref="I48:J48"/>
    <mergeCell ref="I36:J36"/>
    <mergeCell ref="I37:J37"/>
    <mergeCell ref="I38:J38"/>
    <mergeCell ref="I39:J39"/>
    <mergeCell ref="I40:J40"/>
    <mergeCell ref="I41:J41"/>
    <mergeCell ref="I43:J43"/>
    <mergeCell ref="I44:J44"/>
    <mergeCell ref="I45:J45"/>
    <mergeCell ref="I46:J46"/>
    <mergeCell ref="I47:J47"/>
    <mergeCell ref="I55:J55"/>
    <mergeCell ref="I56:J56"/>
    <mergeCell ref="C58:J62"/>
    <mergeCell ref="I49:J49"/>
    <mergeCell ref="I50:J50"/>
    <mergeCell ref="I51:J51"/>
    <mergeCell ref="I52:J52"/>
    <mergeCell ref="I53:J53"/>
    <mergeCell ref="I54:J54"/>
  </mergeCells>
  <hyperlinks>
    <hyperlink ref="C8" r:id="rId1" xr:uid="{E671B790-A1B2-4B22-B58C-31952B29C112}"/>
  </hyperlinks>
  <pageMargins left="0.7" right="0.7" top="0.75" bottom="0.75" header="0.3" footer="0.3"/>
  <pageSetup scale="48" orientation="portrait" r:id="rId2"/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62336-29C2-4857-8421-8615DF4C1B4E}">
  <sheetPr>
    <pageSetUpPr fitToPage="1"/>
  </sheetPr>
  <dimension ref="B2:R63"/>
  <sheetViews>
    <sheetView showGridLines="0" zoomScale="90" zoomScaleNormal="90" workbookViewId="0">
      <selection activeCell="C10" sqref="C10:J17"/>
    </sheetView>
  </sheetViews>
  <sheetFormatPr defaultRowHeight="15" x14ac:dyDescent="0.25"/>
  <cols>
    <col min="1" max="1" width="3.7109375" customWidth="1"/>
    <col min="2" max="2" width="3.140625" customWidth="1"/>
    <col min="3" max="3" width="10" customWidth="1"/>
    <col min="4" max="4" width="16.7109375" customWidth="1"/>
    <col min="5" max="5" width="25.7109375" customWidth="1"/>
    <col min="6" max="6" width="4" customWidth="1"/>
    <col min="7" max="7" width="10" customWidth="1"/>
    <col min="8" max="8" width="25.7109375" customWidth="1"/>
    <col min="9" max="9" width="10.140625" customWidth="1"/>
    <col min="10" max="10" width="10.85546875" customWidth="1"/>
    <col min="11" max="11" width="3.140625" customWidth="1"/>
  </cols>
  <sheetData>
    <row r="2" spans="2:11" x14ac:dyDescent="0.2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1" x14ac:dyDescent="0.25">
      <c r="B3" s="18"/>
      <c r="C3" t="s">
        <v>42</v>
      </c>
      <c r="K3" s="19"/>
    </row>
    <row r="4" spans="2:11" x14ac:dyDescent="0.25">
      <c r="B4" s="18"/>
      <c r="C4" t="s">
        <v>43</v>
      </c>
      <c r="K4" s="19"/>
    </row>
    <row r="5" spans="2:11" x14ac:dyDescent="0.25">
      <c r="B5" s="18"/>
      <c r="C5" t="s">
        <v>44</v>
      </c>
      <c r="K5" s="19"/>
    </row>
    <row r="6" spans="2:11" x14ac:dyDescent="0.25">
      <c r="B6" s="18"/>
      <c r="C6" t="s">
        <v>45</v>
      </c>
      <c r="K6" s="19"/>
    </row>
    <row r="7" spans="2:11" x14ac:dyDescent="0.25">
      <c r="B7" s="18"/>
      <c r="C7" t="s">
        <v>46</v>
      </c>
      <c r="K7" s="19"/>
    </row>
    <row r="8" spans="2:11" x14ac:dyDescent="0.25">
      <c r="B8" s="18"/>
      <c r="C8" s="20" t="s">
        <v>47</v>
      </c>
      <c r="K8" s="19"/>
    </row>
    <row r="9" spans="2:11" x14ac:dyDescent="0.25">
      <c r="B9" s="18"/>
      <c r="C9" s="20"/>
      <c r="K9" s="19"/>
    </row>
    <row r="10" spans="2:11" x14ac:dyDescent="0.25">
      <c r="B10" s="18"/>
      <c r="C10" s="86" t="s">
        <v>77</v>
      </c>
      <c r="D10" s="76"/>
      <c r="E10" s="76"/>
      <c r="F10" s="76"/>
      <c r="G10" s="76"/>
      <c r="H10" s="76"/>
      <c r="I10" s="76"/>
      <c r="J10" s="76"/>
      <c r="K10" s="19"/>
    </row>
    <row r="11" spans="2:11" x14ac:dyDescent="0.25">
      <c r="B11" s="18"/>
      <c r="C11" s="76"/>
      <c r="D11" s="76"/>
      <c r="E11" s="76"/>
      <c r="F11" s="76"/>
      <c r="G11" s="76"/>
      <c r="H11" s="76"/>
      <c r="I11" s="76"/>
      <c r="J11" s="76"/>
      <c r="K11" s="19"/>
    </row>
    <row r="12" spans="2:11" x14ac:dyDescent="0.25">
      <c r="B12" s="18"/>
      <c r="C12" s="90" t="s">
        <v>78</v>
      </c>
      <c r="D12" s="90"/>
      <c r="E12" s="90"/>
      <c r="F12" s="90"/>
      <c r="G12" s="90" t="s">
        <v>79</v>
      </c>
      <c r="H12" s="90"/>
      <c r="I12" s="90"/>
      <c r="J12" s="90"/>
      <c r="K12" s="19"/>
    </row>
    <row r="13" spans="2:11" x14ac:dyDescent="0.25">
      <c r="B13" s="18"/>
      <c r="C13" s="90"/>
      <c r="D13" s="90"/>
      <c r="E13" s="90"/>
      <c r="F13" s="90"/>
      <c r="G13" s="90"/>
      <c r="H13" s="90"/>
      <c r="I13" s="90"/>
      <c r="J13" s="90"/>
      <c r="K13" s="19"/>
    </row>
    <row r="14" spans="2:11" x14ac:dyDescent="0.25">
      <c r="B14" s="18"/>
      <c r="C14" s="90"/>
      <c r="D14" s="90"/>
      <c r="E14" s="90"/>
      <c r="F14" s="90"/>
      <c r="G14" s="90"/>
      <c r="H14" s="90"/>
      <c r="I14" s="90"/>
      <c r="J14" s="90"/>
      <c r="K14" s="19"/>
    </row>
    <row r="15" spans="2:11" x14ac:dyDescent="0.25">
      <c r="B15" s="18"/>
      <c r="C15" s="90" t="s">
        <v>116</v>
      </c>
      <c r="D15" s="90"/>
      <c r="E15" s="90"/>
      <c r="F15" s="90"/>
      <c r="G15" s="77" t="s">
        <v>117</v>
      </c>
      <c r="H15" s="78"/>
      <c r="I15" s="78"/>
      <c r="J15" s="79"/>
      <c r="K15" s="19"/>
    </row>
    <row r="16" spans="2:11" x14ac:dyDescent="0.25">
      <c r="B16" s="18"/>
      <c r="C16" s="90"/>
      <c r="D16" s="90"/>
      <c r="E16" s="90"/>
      <c r="F16" s="90"/>
      <c r="G16" s="80"/>
      <c r="H16" s="81"/>
      <c r="I16" s="81"/>
      <c r="J16" s="82"/>
      <c r="K16" s="19"/>
    </row>
    <row r="17" spans="2:18" x14ac:dyDescent="0.25">
      <c r="B17" s="18"/>
      <c r="C17" s="90"/>
      <c r="D17" s="90"/>
      <c r="E17" s="90"/>
      <c r="F17" s="90"/>
      <c r="G17" s="83"/>
      <c r="H17" s="84"/>
      <c r="I17" s="84"/>
      <c r="J17" s="85"/>
      <c r="K17" s="19"/>
    </row>
    <row r="18" spans="2:18" x14ac:dyDescent="0.25">
      <c r="B18" s="18"/>
      <c r="K18" s="19"/>
    </row>
    <row r="19" spans="2:18" ht="18.399999999999999" customHeight="1" x14ac:dyDescent="0.25">
      <c r="B19" s="18"/>
      <c r="C19" s="59" t="s">
        <v>0</v>
      </c>
      <c r="D19" s="60"/>
      <c r="E19" s="60"/>
      <c r="F19" s="60"/>
      <c r="G19" s="60"/>
      <c r="H19" s="60"/>
      <c r="I19" s="60"/>
      <c r="J19" s="61"/>
      <c r="K19" s="19"/>
    </row>
    <row r="20" spans="2:18" ht="14.65" customHeight="1" x14ac:dyDescent="0.25">
      <c r="B20" s="18"/>
      <c r="C20" s="62"/>
      <c r="D20" s="63"/>
      <c r="E20" s="63"/>
      <c r="F20" s="63"/>
      <c r="G20" s="63"/>
      <c r="H20" s="63"/>
      <c r="I20" s="63"/>
      <c r="J20" s="64"/>
      <c r="K20" s="19"/>
    </row>
    <row r="21" spans="2:18" ht="14.65" customHeight="1" x14ac:dyDescent="0.25">
      <c r="B21" s="18"/>
      <c r="C21" s="65" t="s">
        <v>1</v>
      </c>
      <c r="D21" s="3" t="s">
        <v>2</v>
      </c>
      <c r="E21" s="4" t="s">
        <v>3</v>
      </c>
      <c r="F21" s="5"/>
      <c r="G21" s="53" t="s">
        <v>4</v>
      </c>
      <c r="H21" s="54"/>
      <c r="I21" s="66">
        <v>46183</v>
      </c>
      <c r="J21" s="67"/>
      <c r="K21" s="19"/>
    </row>
    <row r="22" spans="2:18" x14ac:dyDescent="0.25">
      <c r="B22" s="18"/>
      <c r="C22" s="65"/>
      <c r="D22" s="3" t="s">
        <v>5</v>
      </c>
      <c r="E22" s="4">
        <v>63010063</v>
      </c>
      <c r="F22" s="5"/>
      <c r="G22" s="53" t="s">
        <v>6</v>
      </c>
      <c r="H22" s="54"/>
      <c r="I22" s="68" t="s">
        <v>7</v>
      </c>
      <c r="J22" s="69"/>
      <c r="K22" s="19"/>
    </row>
    <row r="23" spans="2:18" ht="14.65" customHeight="1" x14ac:dyDescent="0.25">
      <c r="B23" s="18"/>
      <c r="C23" s="65"/>
      <c r="D23" s="3" t="s">
        <v>2</v>
      </c>
      <c r="E23" s="4" t="s">
        <v>8</v>
      </c>
      <c r="F23" s="5"/>
      <c r="G23" s="51" t="s">
        <v>9</v>
      </c>
      <c r="H23" s="52"/>
      <c r="I23" s="68" t="s">
        <v>10</v>
      </c>
      <c r="J23" s="69"/>
      <c r="K23" s="19"/>
    </row>
    <row r="24" spans="2:18" ht="14.65" customHeight="1" x14ac:dyDescent="0.25">
      <c r="B24" s="18"/>
      <c r="C24" s="65"/>
      <c r="D24" s="3" t="s">
        <v>5</v>
      </c>
      <c r="E24" s="4" t="s">
        <v>11</v>
      </c>
      <c r="F24" s="5"/>
      <c r="G24" s="51" t="s">
        <v>12</v>
      </c>
      <c r="H24" s="52"/>
      <c r="I24" s="68" t="s">
        <v>13</v>
      </c>
      <c r="J24" s="69"/>
      <c r="K24" s="19"/>
      <c r="P24" s="13"/>
      <c r="Q24" s="49"/>
      <c r="R24" s="49"/>
    </row>
    <row r="25" spans="2:18" ht="15.4" customHeight="1" x14ac:dyDescent="0.25">
      <c r="B25" s="18"/>
      <c r="C25" s="50" t="s">
        <v>14</v>
      </c>
      <c r="D25" s="50"/>
      <c r="E25" s="4">
        <v>54</v>
      </c>
      <c r="F25" s="5"/>
      <c r="G25" s="51" t="s">
        <v>15</v>
      </c>
      <c r="H25" s="52"/>
      <c r="I25" s="6">
        <v>30000</v>
      </c>
      <c r="J25" s="3" t="s">
        <v>16</v>
      </c>
      <c r="K25" s="19"/>
      <c r="P25" s="14"/>
      <c r="Q25" s="46"/>
      <c r="R25" s="46"/>
    </row>
    <row r="26" spans="2:18" ht="14.65" customHeight="1" x14ac:dyDescent="0.25">
      <c r="B26" s="18"/>
      <c r="C26" s="50" t="s">
        <v>17</v>
      </c>
      <c r="D26" s="50"/>
      <c r="E26" s="4">
        <v>40</v>
      </c>
      <c r="F26" s="5"/>
      <c r="G26" s="53" t="s">
        <v>18</v>
      </c>
      <c r="H26" s="54"/>
      <c r="I26" s="6">
        <v>30</v>
      </c>
      <c r="J26" s="3" t="s">
        <v>19</v>
      </c>
      <c r="K26" s="19"/>
      <c r="P26" s="14"/>
      <c r="Q26" s="46"/>
      <c r="R26" s="46"/>
    </row>
    <row r="27" spans="2:18" ht="14.65" customHeight="1" x14ac:dyDescent="0.25">
      <c r="B27" s="18"/>
      <c r="C27" s="50" t="s">
        <v>20</v>
      </c>
      <c r="D27" s="50"/>
      <c r="E27" s="7">
        <v>1.2E-2</v>
      </c>
      <c r="F27" s="5"/>
      <c r="G27" s="53" t="s">
        <v>21</v>
      </c>
      <c r="H27" s="54"/>
      <c r="I27" s="6">
        <v>30</v>
      </c>
      <c r="J27" s="3" t="s">
        <v>19</v>
      </c>
      <c r="K27" s="19"/>
      <c r="P27" s="14"/>
      <c r="Q27" s="46"/>
      <c r="R27" s="46"/>
    </row>
    <row r="28" spans="2:18" ht="14.65" customHeight="1" x14ac:dyDescent="0.25">
      <c r="B28" s="18"/>
      <c r="C28" s="55" t="s">
        <v>22</v>
      </c>
      <c r="D28" s="55"/>
      <c r="E28" s="55"/>
      <c r="F28" s="55"/>
      <c r="G28" s="55"/>
      <c r="H28" s="55"/>
      <c r="I28" s="55"/>
      <c r="J28" s="55"/>
      <c r="K28" s="19"/>
      <c r="P28" s="14"/>
      <c r="Q28" s="46"/>
      <c r="R28" s="46"/>
    </row>
    <row r="29" spans="2:18" x14ac:dyDescent="0.25">
      <c r="B29" s="18"/>
      <c r="C29" s="2" t="s">
        <v>23</v>
      </c>
      <c r="D29" s="48">
        <v>0.5</v>
      </c>
      <c r="E29" s="48"/>
      <c r="F29" s="2" t="s">
        <v>24</v>
      </c>
      <c r="G29" s="2" t="s">
        <v>25</v>
      </c>
      <c r="H29" s="48">
        <v>2.7</v>
      </c>
      <c r="I29" s="48"/>
      <c r="J29" s="2" t="s">
        <v>26</v>
      </c>
      <c r="K29" s="19"/>
      <c r="P29" s="14"/>
      <c r="Q29" s="46"/>
      <c r="R29" s="46"/>
    </row>
    <row r="30" spans="2:18" x14ac:dyDescent="0.25">
      <c r="B30" s="18"/>
      <c r="C30" s="2" t="s">
        <v>27</v>
      </c>
      <c r="D30" s="48">
        <v>0.6</v>
      </c>
      <c r="E30" s="48"/>
      <c r="F30" s="2" t="s">
        <v>24</v>
      </c>
      <c r="G30" s="2" t="s">
        <v>28</v>
      </c>
      <c r="H30" s="48">
        <v>8.3000000000000007</v>
      </c>
      <c r="I30" s="48"/>
      <c r="J30" s="2" t="s">
        <v>26</v>
      </c>
      <c r="K30" s="19"/>
      <c r="P30" s="14"/>
      <c r="Q30" s="46"/>
      <c r="R30" s="46"/>
    </row>
    <row r="31" spans="2:18" x14ac:dyDescent="0.25">
      <c r="B31" s="18"/>
      <c r="C31" s="2" t="s">
        <v>29</v>
      </c>
      <c r="D31" s="48">
        <v>10.199999999999999</v>
      </c>
      <c r="E31" s="48"/>
      <c r="F31" s="2" t="s">
        <v>24</v>
      </c>
      <c r="G31" s="2" t="s">
        <v>30</v>
      </c>
      <c r="H31" s="48">
        <v>8.3000000000000007</v>
      </c>
      <c r="I31" s="48"/>
      <c r="J31" s="2" t="s">
        <v>26</v>
      </c>
      <c r="K31" s="19"/>
      <c r="P31" s="14"/>
      <c r="Q31" s="46"/>
      <c r="R31" s="46"/>
    </row>
    <row r="32" spans="2:18" ht="14.1" customHeight="1" x14ac:dyDescent="0.25">
      <c r="B32" s="18"/>
      <c r="C32" s="1"/>
      <c r="D32" s="1"/>
      <c r="E32" s="1"/>
      <c r="F32" s="1"/>
      <c r="G32" s="1"/>
      <c r="H32" s="1"/>
      <c r="I32" s="1"/>
      <c r="J32" s="1"/>
      <c r="K32" s="19"/>
      <c r="P32" s="14"/>
      <c r="Q32" s="46"/>
      <c r="R32" s="46"/>
    </row>
    <row r="33" spans="2:18" ht="14.65" customHeight="1" x14ac:dyDescent="0.25">
      <c r="B33" s="18"/>
      <c r="C33" s="47" t="s">
        <v>31</v>
      </c>
      <c r="D33" s="47"/>
      <c r="E33" s="47"/>
      <c r="F33" s="1"/>
      <c r="G33" s="47" t="s">
        <v>32</v>
      </c>
      <c r="H33" s="47"/>
      <c r="I33" s="47"/>
      <c r="J33" s="47"/>
      <c r="K33" s="19"/>
      <c r="P33" s="14"/>
      <c r="Q33" s="46"/>
      <c r="R33" s="46"/>
    </row>
    <row r="34" spans="2:18" ht="30" x14ac:dyDescent="0.25">
      <c r="B34" s="18"/>
      <c r="C34" s="8" t="s">
        <v>33</v>
      </c>
      <c r="D34" s="8" t="s">
        <v>34</v>
      </c>
      <c r="E34" s="8" t="s">
        <v>35</v>
      </c>
      <c r="F34" s="1"/>
      <c r="G34" s="8" t="s">
        <v>33</v>
      </c>
      <c r="H34" s="8" t="s">
        <v>36</v>
      </c>
      <c r="I34" s="47" t="s">
        <v>37</v>
      </c>
      <c r="J34" s="47"/>
      <c r="K34" s="19"/>
    </row>
    <row r="35" spans="2:18" x14ac:dyDescent="0.25">
      <c r="B35" s="18"/>
      <c r="C35" s="9" t="s">
        <v>38</v>
      </c>
      <c r="D35" s="9" t="s">
        <v>39</v>
      </c>
      <c r="E35" s="9" t="s">
        <v>39</v>
      </c>
      <c r="F35" s="1"/>
      <c r="G35" s="9" t="s">
        <v>38</v>
      </c>
      <c r="H35" s="9" t="s">
        <v>39</v>
      </c>
      <c r="I35" s="70" t="s">
        <v>40</v>
      </c>
      <c r="J35" s="70"/>
      <c r="K35" s="19"/>
    </row>
    <row r="36" spans="2:18" x14ac:dyDescent="0.25">
      <c r="B36" s="18"/>
      <c r="C36" s="4">
        <v>4</v>
      </c>
      <c r="D36" s="4">
        <v>10809.4</v>
      </c>
      <c r="E36" s="10">
        <f>1081379/100</f>
        <v>10813.79</v>
      </c>
      <c r="F36" s="1"/>
      <c r="G36" s="4">
        <f>C36</f>
        <v>4</v>
      </c>
      <c r="H36" s="4">
        <f>D36</f>
        <v>10809.4</v>
      </c>
      <c r="I36" s="44">
        <v>86</v>
      </c>
      <c r="J36" s="45"/>
      <c r="K36" s="19"/>
    </row>
    <row r="37" spans="2:18" x14ac:dyDescent="0.25">
      <c r="B37" s="18"/>
      <c r="C37" s="4">
        <v>6</v>
      </c>
      <c r="D37" s="4">
        <v>4647.7</v>
      </c>
      <c r="E37" s="10">
        <f>467448/100</f>
        <v>4674.4799999999996</v>
      </c>
      <c r="F37" s="1"/>
      <c r="G37" s="4">
        <f t="shared" ref="G37:H45" si="0">C37</f>
        <v>6</v>
      </c>
      <c r="H37" s="4">
        <f t="shared" si="0"/>
        <v>4647.7</v>
      </c>
      <c r="I37" s="44">
        <v>196</v>
      </c>
      <c r="J37" s="45"/>
      <c r="K37" s="19"/>
    </row>
    <row r="38" spans="2:18" x14ac:dyDescent="0.25">
      <c r="B38" s="18"/>
      <c r="C38" s="4">
        <v>10</v>
      </c>
      <c r="D38" s="4">
        <v>1074.3</v>
      </c>
      <c r="E38" s="10">
        <f>107530/100</f>
        <v>1075.3</v>
      </c>
      <c r="F38" s="1"/>
      <c r="G38" s="4">
        <f t="shared" si="0"/>
        <v>10</v>
      </c>
      <c r="H38" s="4">
        <f t="shared" si="0"/>
        <v>1074.3</v>
      </c>
      <c r="I38" s="44">
        <v>546</v>
      </c>
      <c r="J38" s="45"/>
      <c r="K38" s="19"/>
    </row>
    <row r="39" spans="2:18" x14ac:dyDescent="0.25">
      <c r="B39" s="18"/>
      <c r="C39" s="4">
        <v>14</v>
      </c>
      <c r="D39" s="4">
        <v>365.5</v>
      </c>
      <c r="E39" s="10">
        <f>36531/100</f>
        <v>365.31</v>
      </c>
      <c r="F39" s="1"/>
      <c r="G39" s="4">
        <f t="shared" si="0"/>
        <v>14</v>
      </c>
      <c r="H39" s="4">
        <f t="shared" si="0"/>
        <v>365.5</v>
      </c>
      <c r="I39" s="44">
        <v>1076</v>
      </c>
      <c r="J39" s="45"/>
      <c r="K39" s="19"/>
    </row>
    <row r="40" spans="2:18" x14ac:dyDescent="0.25">
      <c r="B40" s="18"/>
      <c r="C40" s="4">
        <v>21</v>
      </c>
      <c r="D40" s="4">
        <v>109.8</v>
      </c>
      <c r="E40" s="10">
        <f>10988/100</f>
        <v>109.88</v>
      </c>
      <c r="F40" s="1"/>
      <c r="G40" s="4">
        <f t="shared" si="0"/>
        <v>21</v>
      </c>
      <c r="H40" s="4">
        <f t="shared" si="0"/>
        <v>109.8</v>
      </c>
      <c r="I40" s="44">
        <v>2230</v>
      </c>
      <c r="J40" s="45"/>
      <c r="K40" s="19"/>
    </row>
    <row r="41" spans="2:18" x14ac:dyDescent="0.25">
      <c r="B41" s="18"/>
      <c r="C41" s="4">
        <v>25</v>
      </c>
      <c r="D41" s="4">
        <v>52.1</v>
      </c>
      <c r="E41" s="10">
        <f>5210/100</f>
        <v>52.1</v>
      </c>
      <c r="F41" s="1"/>
      <c r="G41" s="4">
        <f t="shared" si="0"/>
        <v>25</v>
      </c>
      <c r="H41" s="4">
        <f t="shared" si="0"/>
        <v>52.1</v>
      </c>
      <c r="I41" s="44">
        <v>3408</v>
      </c>
      <c r="J41" s="45"/>
      <c r="K41" s="19"/>
    </row>
    <row r="42" spans="2:18" x14ac:dyDescent="0.25">
      <c r="B42" s="18"/>
      <c r="C42" s="56"/>
      <c r="D42" s="57"/>
      <c r="E42" s="58"/>
      <c r="F42" s="1"/>
      <c r="G42" s="56"/>
      <c r="H42" s="57"/>
      <c r="I42" s="57"/>
      <c r="J42" s="58"/>
      <c r="K42" s="19"/>
    </row>
    <row r="43" spans="2:18" x14ac:dyDescent="0.25">
      <c r="B43" s="18"/>
      <c r="C43" s="4">
        <v>38</v>
      </c>
      <c r="D43" s="4">
        <v>433</v>
      </c>
      <c r="E43" s="10">
        <v>401</v>
      </c>
      <c r="F43" s="1"/>
      <c r="G43" s="4">
        <f t="shared" si="0"/>
        <v>38</v>
      </c>
      <c r="H43" s="4">
        <f t="shared" si="0"/>
        <v>433</v>
      </c>
      <c r="I43" s="44">
        <v>10233</v>
      </c>
      <c r="J43" s="45"/>
      <c r="K43" s="19"/>
    </row>
    <row r="44" spans="2:18" x14ac:dyDescent="0.25">
      <c r="B44" s="18"/>
      <c r="C44" s="4">
        <v>50</v>
      </c>
      <c r="D44" s="4">
        <v>83</v>
      </c>
      <c r="E44" s="10">
        <v>68</v>
      </c>
      <c r="F44" s="1"/>
      <c r="G44" s="4">
        <f t="shared" si="0"/>
        <v>50</v>
      </c>
      <c r="H44" s="4">
        <f t="shared" si="0"/>
        <v>83</v>
      </c>
      <c r="I44" s="44">
        <v>16112</v>
      </c>
      <c r="J44" s="45"/>
      <c r="K44" s="19"/>
    </row>
    <row r="45" spans="2:18" x14ac:dyDescent="0.25">
      <c r="B45" s="18"/>
      <c r="C45" s="4">
        <v>70</v>
      </c>
      <c r="D45" s="4">
        <v>14</v>
      </c>
      <c r="E45" s="10">
        <v>17</v>
      </c>
      <c r="F45" s="1"/>
      <c r="G45" s="4">
        <f t="shared" si="0"/>
        <v>70</v>
      </c>
      <c r="H45" s="4">
        <f t="shared" si="0"/>
        <v>14</v>
      </c>
      <c r="I45" s="44">
        <v>25018</v>
      </c>
      <c r="J45" s="45"/>
      <c r="K45" s="19"/>
    </row>
    <row r="46" spans="2:18" x14ac:dyDescent="0.25">
      <c r="B46" s="18"/>
      <c r="C46" s="4"/>
      <c r="D46" s="4"/>
      <c r="E46" s="4"/>
      <c r="F46" s="1"/>
      <c r="G46" s="4"/>
      <c r="H46" s="4"/>
      <c r="I46" s="41"/>
      <c r="J46" s="41"/>
      <c r="K46" s="19"/>
    </row>
    <row r="47" spans="2:18" x14ac:dyDescent="0.25">
      <c r="B47" s="18"/>
      <c r="C47" s="4"/>
      <c r="D47" s="4"/>
      <c r="E47" s="4"/>
      <c r="F47" s="1"/>
      <c r="G47" s="4"/>
      <c r="H47" s="4"/>
      <c r="I47" s="41"/>
      <c r="J47" s="41"/>
      <c r="K47" s="19"/>
    </row>
    <row r="48" spans="2:18" x14ac:dyDescent="0.25">
      <c r="B48" s="18"/>
      <c r="C48" s="4"/>
      <c r="D48" s="4"/>
      <c r="E48" s="4"/>
      <c r="F48" s="1"/>
      <c r="G48" s="4"/>
      <c r="H48" s="4"/>
      <c r="I48" s="41"/>
      <c r="J48" s="41"/>
      <c r="K48" s="19"/>
    </row>
    <row r="49" spans="2:11" x14ac:dyDescent="0.25">
      <c r="B49" s="18"/>
      <c r="C49" s="4"/>
      <c r="D49" s="4"/>
      <c r="E49" s="4"/>
      <c r="F49" s="1"/>
      <c r="G49" s="4"/>
      <c r="H49" s="4"/>
      <c r="I49" s="41"/>
      <c r="J49" s="41"/>
      <c r="K49" s="19"/>
    </row>
    <row r="50" spans="2:11" x14ac:dyDescent="0.25">
      <c r="B50" s="18"/>
      <c r="C50" s="4"/>
      <c r="D50" s="4"/>
      <c r="E50" s="4"/>
      <c r="F50" s="1"/>
      <c r="G50" s="4"/>
      <c r="H50" s="4"/>
      <c r="I50" s="41"/>
      <c r="J50" s="41"/>
      <c r="K50" s="19"/>
    </row>
    <row r="51" spans="2:11" x14ac:dyDescent="0.25">
      <c r="B51" s="18"/>
      <c r="C51" s="4"/>
      <c r="D51" s="4"/>
      <c r="E51" s="4"/>
      <c r="F51" s="1"/>
      <c r="G51" s="4"/>
      <c r="H51" s="4"/>
      <c r="I51" s="41"/>
      <c r="J51" s="41"/>
      <c r="K51" s="19"/>
    </row>
    <row r="52" spans="2:11" x14ac:dyDescent="0.25">
      <c r="B52" s="18"/>
      <c r="C52" s="4"/>
      <c r="D52" s="4"/>
      <c r="E52" s="4"/>
      <c r="F52" s="1"/>
      <c r="G52" s="4"/>
      <c r="H52" s="4"/>
      <c r="I52" s="41"/>
      <c r="J52" s="41"/>
      <c r="K52" s="19"/>
    </row>
    <row r="53" spans="2:11" x14ac:dyDescent="0.25">
      <c r="B53" s="18"/>
      <c r="C53" s="4"/>
      <c r="D53" s="4"/>
      <c r="E53" s="4"/>
      <c r="F53" s="1"/>
      <c r="G53" s="4"/>
      <c r="H53" s="4"/>
      <c r="I53" s="41"/>
      <c r="J53" s="41"/>
      <c r="K53" s="19"/>
    </row>
    <row r="54" spans="2:11" x14ac:dyDescent="0.25">
      <c r="B54" s="18"/>
      <c r="C54" s="4"/>
      <c r="D54" s="4"/>
      <c r="E54" s="4"/>
      <c r="F54" s="1"/>
      <c r="G54" s="4"/>
      <c r="H54" s="4"/>
      <c r="I54" s="41"/>
      <c r="J54" s="41"/>
      <c r="K54" s="19"/>
    </row>
    <row r="55" spans="2:11" x14ac:dyDescent="0.25">
      <c r="B55" s="18"/>
      <c r="C55" s="4"/>
      <c r="D55" s="4"/>
      <c r="E55" s="4"/>
      <c r="F55" s="1"/>
      <c r="G55" s="4"/>
      <c r="H55" s="4"/>
      <c r="I55" s="41"/>
      <c r="J55" s="41"/>
      <c r="K55" s="19"/>
    </row>
    <row r="56" spans="2:11" x14ac:dyDescent="0.25">
      <c r="B56" s="18"/>
      <c r="C56" s="4"/>
      <c r="D56" s="4"/>
      <c r="E56" s="4"/>
      <c r="F56" s="1"/>
      <c r="G56" s="4"/>
      <c r="H56" s="4"/>
      <c r="I56" s="41"/>
      <c r="J56" s="41"/>
      <c r="K56" s="19"/>
    </row>
    <row r="57" spans="2:11" x14ac:dyDescent="0.25">
      <c r="B57" s="18"/>
      <c r="K57" s="19"/>
    </row>
    <row r="58" spans="2:11" ht="14.65" customHeight="1" x14ac:dyDescent="0.25">
      <c r="B58" s="18"/>
      <c r="C58" s="42" t="s">
        <v>48</v>
      </c>
      <c r="D58" s="43"/>
      <c r="E58" s="43"/>
      <c r="F58" s="43"/>
      <c r="G58" s="43"/>
      <c r="H58" s="43"/>
      <c r="I58" s="43"/>
      <c r="J58" s="43"/>
      <c r="K58" s="19"/>
    </row>
    <row r="59" spans="2:11" x14ac:dyDescent="0.25">
      <c r="B59" s="18"/>
      <c r="C59" s="43"/>
      <c r="D59" s="43"/>
      <c r="E59" s="43"/>
      <c r="F59" s="43"/>
      <c r="G59" s="43"/>
      <c r="H59" s="43"/>
      <c r="I59" s="43"/>
      <c r="J59" s="43"/>
      <c r="K59" s="19"/>
    </row>
    <row r="60" spans="2:11" x14ac:dyDescent="0.25">
      <c r="B60" s="18"/>
      <c r="C60" s="43"/>
      <c r="D60" s="43"/>
      <c r="E60" s="43"/>
      <c r="F60" s="43"/>
      <c r="G60" s="43"/>
      <c r="H60" s="43"/>
      <c r="I60" s="43"/>
      <c r="J60" s="43"/>
      <c r="K60" s="19"/>
    </row>
    <row r="61" spans="2:11" x14ac:dyDescent="0.25">
      <c r="B61" s="18"/>
      <c r="C61" s="43"/>
      <c r="D61" s="43"/>
      <c r="E61" s="43"/>
      <c r="F61" s="43"/>
      <c r="G61" s="43"/>
      <c r="H61" s="43"/>
      <c r="I61" s="43"/>
      <c r="J61" s="43"/>
      <c r="K61" s="19"/>
    </row>
    <row r="62" spans="2:11" x14ac:dyDescent="0.25">
      <c r="B62" s="18"/>
      <c r="C62" s="43"/>
      <c r="D62" s="43"/>
      <c r="E62" s="43"/>
      <c r="F62" s="43"/>
      <c r="G62" s="43"/>
      <c r="H62" s="43"/>
      <c r="I62" s="43"/>
      <c r="J62" s="43"/>
      <c r="K62" s="19"/>
    </row>
    <row r="63" spans="2:11" x14ac:dyDescent="0.25">
      <c r="B63" s="22"/>
      <c r="C63" s="23"/>
      <c r="D63" s="23"/>
      <c r="E63" s="23"/>
      <c r="F63" s="23"/>
      <c r="G63" s="23"/>
      <c r="H63" s="23"/>
      <c r="I63" s="23"/>
      <c r="J63" s="23"/>
      <c r="K63" s="24"/>
    </row>
  </sheetData>
  <mergeCells count="65">
    <mergeCell ref="C10:J11"/>
    <mergeCell ref="C12:F14"/>
    <mergeCell ref="G12:J14"/>
    <mergeCell ref="C15:F17"/>
    <mergeCell ref="G15:J17"/>
    <mergeCell ref="C42:E42"/>
    <mergeCell ref="G42:J42"/>
    <mergeCell ref="C19:J20"/>
    <mergeCell ref="C21:C24"/>
    <mergeCell ref="G21:H21"/>
    <mergeCell ref="I21:J21"/>
    <mergeCell ref="G22:H22"/>
    <mergeCell ref="I22:J22"/>
    <mergeCell ref="G23:H23"/>
    <mergeCell ref="I23:J23"/>
    <mergeCell ref="G24:H24"/>
    <mergeCell ref="I24:J24"/>
    <mergeCell ref="D29:E29"/>
    <mergeCell ref="H29:I29"/>
    <mergeCell ref="I35:J35"/>
    <mergeCell ref="D30:E30"/>
    <mergeCell ref="Q29:R29"/>
    <mergeCell ref="Q24:R24"/>
    <mergeCell ref="C25:D25"/>
    <mergeCell ref="G25:H25"/>
    <mergeCell ref="Q25:R25"/>
    <mergeCell ref="C26:D26"/>
    <mergeCell ref="G26:H26"/>
    <mergeCell ref="Q26:R26"/>
    <mergeCell ref="C27:D27"/>
    <mergeCell ref="G27:H27"/>
    <mergeCell ref="Q27:R27"/>
    <mergeCell ref="C28:J28"/>
    <mergeCell ref="Q28:R28"/>
    <mergeCell ref="H30:I30"/>
    <mergeCell ref="Q30:R30"/>
    <mergeCell ref="D31:E31"/>
    <mergeCell ref="H31:I31"/>
    <mergeCell ref="Q31:R31"/>
    <mergeCell ref="Q32:R32"/>
    <mergeCell ref="C33:E33"/>
    <mergeCell ref="G33:J33"/>
    <mergeCell ref="Q33:R33"/>
    <mergeCell ref="I34:J34"/>
    <mergeCell ref="I48:J48"/>
    <mergeCell ref="I36:J36"/>
    <mergeCell ref="I37:J37"/>
    <mergeCell ref="I38:J38"/>
    <mergeCell ref="I39:J39"/>
    <mergeCell ref="I40:J40"/>
    <mergeCell ref="I41:J41"/>
    <mergeCell ref="I43:J43"/>
    <mergeCell ref="I44:J44"/>
    <mergeCell ref="I45:J45"/>
    <mergeCell ref="I46:J46"/>
    <mergeCell ref="I47:J47"/>
    <mergeCell ref="I55:J55"/>
    <mergeCell ref="I56:J56"/>
    <mergeCell ref="C58:J62"/>
    <mergeCell ref="I49:J49"/>
    <mergeCell ref="I50:J50"/>
    <mergeCell ref="I51:J51"/>
    <mergeCell ref="I52:J52"/>
    <mergeCell ref="I53:J53"/>
    <mergeCell ref="I54:J54"/>
  </mergeCells>
  <hyperlinks>
    <hyperlink ref="C8" r:id="rId1" xr:uid="{E369759E-DCB2-4927-ADEA-2C541AD11132}"/>
  </hyperlinks>
  <pageMargins left="0.7" right="0.7" top="0.75" bottom="0.75" header="0.3" footer="0.3"/>
  <pageSetup scale="48" orientation="portrait" r:id="rId2"/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A7150-87E7-4E2C-A7CF-E640C6748375}">
  <sheetPr>
    <pageSetUpPr fitToPage="1"/>
  </sheetPr>
  <dimension ref="B2:R63"/>
  <sheetViews>
    <sheetView showGridLines="0" tabSelected="1" zoomScale="90" zoomScaleNormal="90" workbookViewId="0">
      <selection activeCell="O37" sqref="O37"/>
    </sheetView>
  </sheetViews>
  <sheetFormatPr defaultRowHeight="15" x14ac:dyDescent="0.25"/>
  <cols>
    <col min="1" max="1" width="3.7109375" customWidth="1"/>
    <col min="2" max="2" width="3.140625" customWidth="1"/>
    <col min="3" max="3" width="10" customWidth="1"/>
    <col min="4" max="4" width="16.7109375" customWidth="1"/>
    <col min="5" max="5" width="25.7109375" customWidth="1"/>
    <col min="6" max="6" width="4" customWidth="1"/>
    <col min="7" max="7" width="10" customWidth="1"/>
    <col min="8" max="8" width="25.7109375" customWidth="1"/>
    <col min="9" max="9" width="10.140625" customWidth="1"/>
    <col min="10" max="10" width="10.85546875" customWidth="1"/>
    <col min="11" max="11" width="3.140625" customWidth="1"/>
  </cols>
  <sheetData>
    <row r="2" spans="2:11" x14ac:dyDescent="0.25">
      <c r="B2" s="15"/>
      <c r="C2" s="16"/>
      <c r="D2" s="16"/>
      <c r="E2" s="16"/>
      <c r="F2" s="16"/>
      <c r="G2" s="16"/>
      <c r="H2" s="16"/>
      <c r="I2" s="16"/>
      <c r="J2" s="16"/>
      <c r="K2" s="17"/>
    </row>
    <row r="3" spans="2:11" x14ac:dyDescent="0.25">
      <c r="B3" s="18"/>
      <c r="C3" t="s">
        <v>42</v>
      </c>
      <c r="K3" s="19"/>
    </row>
    <row r="4" spans="2:11" x14ac:dyDescent="0.25">
      <c r="B4" s="18"/>
      <c r="C4" t="s">
        <v>43</v>
      </c>
      <c r="K4" s="19"/>
    </row>
    <row r="5" spans="2:11" x14ac:dyDescent="0.25">
      <c r="B5" s="18"/>
      <c r="C5" t="s">
        <v>44</v>
      </c>
      <c r="K5" s="19"/>
    </row>
    <row r="6" spans="2:11" x14ac:dyDescent="0.25">
      <c r="B6" s="18"/>
      <c r="C6" t="s">
        <v>45</v>
      </c>
      <c r="K6" s="19"/>
    </row>
    <row r="7" spans="2:11" x14ac:dyDescent="0.25">
      <c r="B7" s="18"/>
      <c r="C7" t="s">
        <v>46</v>
      </c>
      <c r="K7" s="19"/>
    </row>
    <row r="8" spans="2:11" x14ac:dyDescent="0.25">
      <c r="B8" s="18"/>
      <c r="C8" s="20" t="s">
        <v>47</v>
      </c>
      <c r="K8" s="19"/>
    </row>
    <row r="9" spans="2:11" x14ac:dyDescent="0.25">
      <c r="B9" s="18"/>
      <c r="C9" s="20"/>
      <c r="K9" s="19"/>
    </row>
    <row r="10" spans="2:11" x14ac:dyDescent="0.25">
      <c r="B10" s="18"/>
      <c r="C10" s="86" t="s">
        <v>77</v>
      </c>
      <c r="D10" s="76"/>
      <c r="E10" s="76"/>
      <c r="F10" s="76"/>
      <c r="G10" s="76"/>
      <c r="H10" s="76"/>
      <c r="I10" s="76"/>
      <c r="J10" s="76"/>
      <c r="K10" s="19"/>
    </row>
    <row r="11" spans="2:11" x14ac:dyDescent="0.25">
      <c r="B11" s="18"/>
      <c r="C11" s="76"/>
      <c r="D11" s="76"/>
      <c r="E11" s="76"/>
      <c r="F11" s="76"/>
      <c r="G11" s="76"/>
      <c r="H11" s="76"/>
      <c r="I11" s="76"/>
      <c r="J11" s="76"/>
      <c r="K11" s="19"/>
    </row>
    <row r="12" spans="2:11" x14ac:dyDescent="0.25">
      <c r="B12" s="18"/>
      <c r="C12" s="90" t="s">
        <v>78</v>
      </c>
      <c r="D12" s="90"/>
      <c r="E12" s="90"/>
      <c r="F12" s="90"/>
      <c r="G12" s="90" t="s">
        <v>79</v>
      </c>
      <c r="H12" s="90"/>
      <c r="I12" s="90"/>
      <c r="J12" s="90"/>
      <c r="K12" s="19"/>
    </row>
    <row r="13" spans="2:11" x14ac:dyDescent="0.25">
      <c r="B13" s="18"/>
      <c r="C13" s="90"/>
      <c r="D13" s="90"/>
      <c r="E13" s="90"/>
      <c r="F13" s="90"/>
      <c r="G13" s="90"/>
      <c r="H13" s="90"/>
      <c r="I13" s="90"/>
      <c r="J13" s="90"/>
      <c r="K13" s="19"/>
    </row>
    <row r="14" spans="2:11" x14ac:dyDescent="0.25">
      <c r="B14" s="18"/>
      <c r="C14" s="90"/>
      <c r="D14" s="90"/>
      <c r="E14" s="90"/>
      <c r="F14" s="90"/>
      <c r="G14" s="90"/>
      <c r="H14" s="90"/>
      <c r="I14" s="90"/>
      <c r="J14" s="90"/>
      <c r="K14" s="19"/>
    </row>
    <row r="15" spans="2:11" x14ac:dyDescent="0.25">
      <c r="B15" s="18"/>
      <c r="C15" s="90" t="s">
        <v>118</v>
      </c>
      <c r="D15" s="90"/>
      <c r="E15" s="90"/>
      <c r="F15" s="90"/>
      <c r="G15" s="77" t="s">
        <v>119</v>
      </c>
      <c r="H15" s="78"/>
      <c r="I15" s="78"/>
      <c r="J15" s="79"/>
      <c r="K15" s="19"/>
    </row>
    <row r="16" spans="2:11" x14ac:dyDescent="0.25">
      <c r="B16" s="18"/>
      <c r="C16" s="90"/>
      <c r="D16" s="90"/>
      <c r="E16" s="90"/>
      <c r="F16" s="90"/>
      <c r="G16" s="80"/>
      <c r="H16" s="81"/>
      <c r="I16" s="81"/>
      <c r="J16" s="82"/>
      <c r="K16" s="19"/>
    </row>
    <row r="17" spans="2:18" x14ac:dyDescent="0.25">
      <c r="B17" s="18"/>
      <c r="C17" s="90"/>
      <c r="D17" s="90"/>
      <c r="E17" s="90"/>
      <c r="F17" s="90"/>
      <c r="G17" s="83"/>
      <c r="H17" s="84"/>
      <c r="I17" s="84"/>
      <c r="J17" s="85"/>
      <c r="K17" s="19"/>
    </row>
    <row r="18" spans="2:18" x14ac:dyDescent="0.25">
      <c r="B18" s="18"/>
      <c r="K18" s="19"/>
    </row>
    <row r="19" spans="2:18" ht="18.399999999999999" customHeight="1" x14ac:dyDescent="0.25">
      <c r="B19" s="18"/>
      <c r="C19" s="59" t="s">
        <v>0</v>
      </c>
      <c r="D19" s="60"/>
      <c r="E19" s="60"/>
      <c r="F19" s="60"/>
      <c r="G19" s="60"/>
      <c r="H19" s="60"/>
      <c r="I19" s="60"/>
      <c r="J19" s="61"/>
      <c r="K19" s="19"/>
    </row>
    <row r="20" spans="2:18" ht="14.65" customHeight="1" x14ac:dyDescent="0.25">
      <c r="B20" s="18"/>
      <c r="C20" s="62"/>
      <c r="D20" s="63"/>
      <c r="E20" s="63"/>
      <c r="F20" s="63"/>
      <c r="G20" s="63"/>
      <c r="H20" s="63"/>
      <c r="I20" s="63"/>
      <c r="J20" s="64"/>
      <c r="K20" s="19"/>
    </row>
    <row r="21" spans="2:18" ht="14.65" customHeight="1" x14ac:dyDescent="0.25">
      <c r="B21" s="18"/>
      <c r="C21" s="65" t="s">
        <v>1</v>
      </c>
      <c r="D21" s="3" t="s">
        <v>2</v>
      </c>
      <c r="E21" s="4" t="s">
        <v>3</v>
      </c>
      <c r="F21" s="11"/>
      <c r="G21" s="53" t="s">
        <v>4</v>
      </c>
      <c r="H21" s="54"/>
      <c r="I21" s="66">
        <v>46183</v>
      </c>
      <c r="J21" s="67"/>
      <c r="K21" s="19"/>
    </row>
    <row r="22" spans="2:18" x14ac:dyDescent="0.25">
      <c r="B22" s="18"/>
      <c r="C22" s="65"/>
      <c r="D22" s="3" t="s">
        <v>5</v>
      </c>
      <c r="E22" s="4">
        <v>63010064</v>
      </c>
      <c r="F22" s="11"/>
      <c r="G22" s="53" t="s">
        <v>6</v>
      </c>
      <c r="H22" s="54"/>
      <c r="I22" s="68" t="s">
        <v>7</v>
      </c>
      <c r="J22" s="69"/>
      <c r="K22" s="19"/>
    </row>
    <row r="23" spans="2:18" ht="14.65" customHeight="1" x14ac:dyDescent="0.25">
      <c r="B23" s="18"/>
      <c r="C23" s="65"/>
      <c r="D23" s="3" t="s">
        <v>2</v>
      </c>
      <c r="E23" s="4" t="s">
        <v>8</v>
      </c>
      <c r="F23" s="11"/>
      <c r="G23" s="51" t="s">
        <v>9</v>
      </c>
      <c r="H23" s="52"/>
      <c r="I23" s="68" t="s">
        <v>10</v>
      </c>
      <c r="J23" s="69"/>
      <c r="K23" s="19"/>
    </row>
    <row r="24" spans="2:18" ht="14.65" customHeight="1" x14ac:dyDescent="0.25">
      <c r="B24" s="18"/>
      <c r="C24" s="65"/>
      <c r="D24" s="3" t="s">
        <v>5</v>
      </c>
      <c r="E24" s="4" t="s">
        <v>11</v>
      </c>
      <c r="F24" s="11"/>
      <c r="G24" s="51" t="s">
        <v>12</v>
      </c>
      <c r="H24" s="52"/>
      <c r="I24" s="68" t="s">
        <v>41</v>
      </c>
      <c r="J24" s="69"/>
      <c r="K24" s="19"/>
      <c r="P24" s="13"/>
      <c r="Q24" s="49"/>
      <c r="R24" s="49"/>
    </row>
    <row r="25" spans="2:18" ht="15.4" customHeight="1" x14ac:dyDescent="0.25">
      <c r="B25" s="18"/>
      <c r="C25" s="50" t="s">
        <v>14</v>
      </c>
      <c r="D25" s="50"/>
      <c r="E25" s="4">
        <v>54</v>
      </c>
      <c r="F25" s="11"/>
      <c r="G25" s="51" t="s">
        <v>15</v>
      </c>
      <c r="H25" s="52"/>
      <c r="I25" s="6">
        <v>30000</v>
      </c>
      <c r="J25" s="3" t="s">
        <v>16</v>
      </c>
      <c r="K25" s="19"/>
      <c r="P25" s="14"/>
      <c r="Q25" s="46"/>
      <c r="R25" s="46"/>
    </row>
    <row r="26" spans="2:18" ht="14.65" customHeight="1" x14ac:dyDescent="0.25">
      <c r="B26" s="18"/>
      <c r="C26" s="50" t="s">
        <v>17</v>
      </c>
      <c r="D26" s="50"/>
      <c r="E26" s="4">
        <v>40</v>
      </c>
      <c r="F26" s="11"/>
      <c r="G26" s="53" t="s">
        <v>18</v>
      </c>
      <c r="H26" s="54"/>
      <c r="I26" s="6">
        <v>30</v>
      </c>
      <c r="J26" s="3" t="s">
        <v>19</v>
      </c>
      <c r="K26" s="19"/>
      <c r="P26" s="14"/>
      <c r="Q26" s="46"/>
      <c r="R26" s="46"/>
    </row>
    <row r="27" spans="2:18" ht="14.65" customHeight="1" x14ac:dyDescent="0.25">
      <c r="B27" s="18"/>
      <c r="C27" s="50" t="s">
        <v>20</v>
      </c>
      <c r="D27" s="50"/>
      <c r="E27" s="7">
        <v>1.2E-2</v>
      </c>
      <c r="F27" s="11"/>
      <c r="G27" s="53" t="s">
        <v>21</v>
      </c>
      <c r="H27" s="54"/>
      <c r="I27" s="6">
        <v>30</v>
      </c>
      <c r="J27" s="3" t="s">
        <v>19</v>
      </c>
      <c r="K27" s="19"/>
      <c r="P27" s="14"/>
      <c r="Q27" s="46"/>
      <c r="R27" s="46"/>
    </row>
    <row r="28" spans="2:18" ht="14.65" customHeight="1" x14ac:dyDescent="0.25">
      <c r="B28" s="18"/>
      <c r="C28" s="55" t="s">
        <v>22</v>
      </c>
      <c r="D28" s="55"/>
      <c r="E28" s="55"/>
      <c r="F28" s="55"/>
      <c r="G28" s="55"/>
      <c r="H28" s="55"/>
      <c r="I28" s="55"/>
      <c r="J28" s="55"/>
      <c r="K28" s="19"/>
      <c r="P28" s="14"/>
      <c r="Q28" s="46"/>
      <c r="R28" s="46"/>
    </row>
    <row r="29" spans="2:18" x14ac:dyDescent="0.25">
      <c r="B29" s="18"/>
      <c r="C29" s="2" t="s">
        <v>23</v>
      </c>
      <c r="D29" s="48">
        <v>0.5</v>
      </c>
      <c r="E29" s="48"/>
      <c r="F29" s="2" t="s">
        <v>24</v>
      </c>
      <c r="G29" s="2" t="s">
        <v>25</v>
      </c>
      <c r="H29" s="48">
        <v>2.7</v>
      </c>
      <c r="I29" s="48"/>
      <c r="J29" s="2" t="s">
        <v>26</v>
      </c>
      <c r="K29" s="19"/>
      <c r="P29" s="14"/>
      <c r="Q29" s="46"/>
      <c r="R29" s="46"/>
    </row>
    <row r="30" spans="2:18" x14ac:dyDescent="0.25">
      <c r="B30" s="18"/>
      <c r="C30" s="2" t="s">
        <v>27</v>
      </c>
      <c r="D30" s="48">
        <v>0.6</v>
      </c>
      <c r="E30" s="48"/>
      <c r="F30" s="2" t="s">
        <v>24</v>
      </c>
      <c r="G30" s="2" t="s">
        <v>28</v>
      </c>
      <c r="H30" s="48">
        <v>8.3000000000000007</v>
      </c>
      <c r="I30" s="48"/>
      <c r="J30" s="2" t="s">
        <v>26</v>
      </c>
      <c r="K30" s="19"/>
      <c r="P30" s="14"/>
      <c r="Q30" s="46"/>
      <c r="R30" s="46"/>
    </row>
    <row r="31" spans="2:18" x14ac:dyDescent="0.25">
      <c r="B31" s="18"/>
      <c r="C31" s="2" t="s">
        <v>29</v>
      </c>
      <c r="D31" s="48">
        <v>10.199999999999999</v>
      </c>
      <c r="E31" s="48"/>
      <c r="F31" s="2" t="s">
        <v>24</v>
      </c>
      <c r="G31" s="2" t="s">
        <v>30</v>
      </c>
      <c r="H31" s="48">
        <v>8.3000000000000007</v>
      </c>
      <c r="I31" s="48"/>
      <c r="J31" s="2" t="s">
        <v>26</v>
      </c>
      <c r="K31" s="19"/>
      <c r="P31" s="14"/>
      <c r="Q31" s="46"/>
      <c r="R31" s="46"/>
    </row>
    <row r="32" spans="2:18" ht="14.1" customHeight="1" x14ac:dyDescent="0.25">
      <c r="B32" s="18"/>
      <c r="C32" s="12"/>
      <c r="D32" s="12"/>
      <c r="E32" s="12"/>
      <c r="F32" s="12"/>
      <c r="G32" s="12"/>
      <c r="H32" s="12"/>
      <c r="I32" s="12"/>
      <c r="J32" s="12"/>
      <c r="K32" s="19"/>
      <c r="P32" s="14"/>
      <c r="Q32" s="46"/>
      <c r="R32" s="46"/>
    </row>
    <row r="33" spans="2:18" ht="14.65" customHeight="1" x14ac:dyDescent="0.25">
      <c r="B33" s="18"/>
      <c r="C33" s="47" t="s">
        <v>31</v>
      </c>
      <c r="D33" s="47"/>
      <c r="E33" s="47"/>
      <c r="F33" s="12"/>
      <c r="G33" s="47" t="s">
        <v>32</v>
      </c>
      <c r="H33" s="47"/>
      <c r="I33" s="47"/>
      <c r="J33" s="47"/>
      <c r="K33" s="19"/>
      <c r="P33" s="14"/>
      <c r="Q33" s="46"/>
      <c r="R33" s="46"/>
    </row>
    <row r="34" spans="2:18" ht="30" x14ac:dyDescent="0.25">
      <c r="B34" s="18"/>
      <c r="C34" s="8" t="s">
        <v>33</v>
      </c>
      <c r="D34" s="8" t="s">
        <v>34</v>
      </c>
      <c r="E34" s="8" t="s">
        <v>35</v>
      </c>
      <c r="F34" s="12"/>
      <c r="G34" s="8" t="s">
        <v>33</v>
      </c>
      <c r="H34" s="8" t="s">
        <v>36</v>
      </c>
      <c r="I34" s="47" t="s">
        <v>37</v>
      </c>
      <c r="J34" s="47"/>
      <c r="K34" s="19"/>
    </row>
    <row r="35" spans="2:18" x14ac:dyDescent="0.25">
      <c r="B35" s="18"/>
      <c r="C35" s="9" t="s">
        <v>38</v>
      </c>
      <c r="D35" s="9" t="s">
        <v>39</v>
      </c>
      <c r="E35" s="9" t="s">
        <v>39</v>
      </c>
      <c r="F35" s="12"/>
      <c r="G35" s="9" t="s">
        <v>38</v>
      </c>
      <c r="H35" s="9" t="s">
        <v>39</v>
      </c>
      <c r="I35" s="70" t="s">
        <v>40</v>
      </c>
      <c r="J35" s="70"/>
      <c r="K35" s="19"/>
    </row>
    <row r="36" spans="2:18" x14ac:dyDescent="0.25">
      <c r="B36" s="18"/>
      <c r="C36" s="4">
        <v>4</v>
      </c>
      <c r="D36" s="4">
        <v>5822.6</v>
      </c>
      <c r="E36" s="10">
        <f>587439/100</f>
        <v>5874.39</v>
      </c>
      <c r="F36" s="12"/>
      <c r="G36" s="4">
        <f t="shared" ref="G36:H45" si="0">C36</f>
        <v>4</v>
      </c>
      <c r="H36" s="4">
        <f t="shared" si="0"/>
        <v>5822.6</v>
      </c>
      <c r="I36" s="44">
        <v>84</v>
      </c>
      <c r="J36" s="45"/>
      <c r="K36" s="19"/>
    </row>
    <row r="37" spans="2:18" x14ac:dyDescent="0.25">
      <c r="B37" s="18"/>
      <c r="C37" s="4">
        <v>6</v>
      </c>
      <c r="D37" s="4">
        <v>2422.5</v>
      </c>
      <c r="E37" s="10">
        <f>248984/100</f>
        <v>2489.84</v>
      </c>
      <c r="F37" s="12"/>
      <c r="G37" s="4">
        <f t="shared" si="0"/>
        <v>6</v>
      </c>
      <c r="H37" s="4">
        <f t="shared" si="0"/>
        <v>2422.5</v>
      </c>
      <c r="I37" s="44">
        <v>198</v>
      </c>
      <c r="J37" s="45"/>
      <c r="K37" s="19"/>
    </row>
    <row r="38" spans="2:18" x14ac:dyDescent="0.25">
      <c r="B38" s="18"/>
      <c r="C38" s="4">
        <v>10</v>
      </c>
      <c r="D38" s="4">
        <v>543.79999999999995</v>
      </c>
      <c r="E38" s="10">
        <f>55040/100</f>
        <v>550.4</v>
      </c>
      <c r="F38" s="12"/>
      <c r="G38" s="4">
        <f t="shared" si="0"/>
        <v>10</v>
      </c>
      <c r="H38" s="4">
        <f t="shared" si="0"/>
        <v>543.79999999999995</v>
      </c>
      <c r="I38" s="44">
        <v>562</v>
      </c>
      <c r="J38" s="45"/>
      <c r="K38" s="19"/>
    </row>
    <row r="39" spans="2:18" x14ac:dyDescent="0.25">
      <c r="B39" s="18"/>
      <c r="C39" s="4">
        <v>14</v>
      </c>
      <c r="D39" s="4">
        <v>182.5</v>
      </c>
      <c r="E39" s="10">
        <f>18220/100</f>
        <v>182.2</v>
      </c>
      <c r="F39" s="12"/>
      <c r="G39" s="4">
        <f t="shared" si="0"/>
        <v>14</v>
      </c>
      <c r="H39" s="4">
        <f t="shared" si="0"/>
        <v>182.5</v>
      </c>
      <c r="I39" s="44">
        <v>1126</v>
      </c>
      <c r="J39" s="45"/>
      <c r="K39" s="19"/>
    </row>
    <row r="40" spans="2:18" x14ac:dyDescent="0.25">
      <c r="B40" s="18"/>
      <c r="C40" s="4">
        <v>21</v>
      </c>
      <c r="D40" s="4">
        <v>51.7</v>
      </c>
      <c r="E40" s="10">
        <f>5552/100</f>
        <v>55.52</v>
      </c>
      <c r="F40" s="12"/>
      <c r="G40" s="4">
        <f t="shared" si="0"/>
        <v>21</v>
      </c>
      <c r="H40" s="4">
        <f t="shared" si="0"/>
        <v>51.7</v>
      </c>
      <c r="I40" s="44">
        <v>2374</v>
      </c>
      <c r="J40" s="45"/>
      <c r="K40" s="19"/>
    </row>
    <row r="41" spans="2:18" x14ac:dyDescent="0.25">
      <c r="B41" s="18"/>
      <c r="C41" s="4">
        <v>25</v>
      </c>
      <c r="D41" s="4">
        <v>22.8</v>
      </c>
      <c r="E41" s="10">
        <f>2417/100</f>
        <v>24.17</v>
      </c>
      <c r="F41" s="12"/>
      <c r="G41" s="4">
        <f t="shared" si="0"/>
        <v>25</v>
      </c>
      <c r="H41" s="4">
        <f t="shared" si="0"/>
        <v>22.8</v>
      </c>
      <c r="I41" s="44">
        <v>3670</v>
      </c>
      <c r="J41" s="45"/>
      <c r="K41" s="19"/>
    </row>
    <row r="42" spans="2:18" x14ac:dyDescent="0.25">
      <c r="B42" s="18"/>
      <c r="C42" s="56"/>
      <c r="D42" s="57"/>
      <c r="E42" s="58"/>
      <c r="F42" s="12"/>
      <c r="G42" s="56"/>
      <c r="H42" s="57"/>
      <c r="I42" s="57"/>
      <c r="J42" s="58"/>
      <c r="K42" s="19"/>
    </row>
    <row r="43" spans="2:18" x14ac:dyDescent="0.25">
      <c r="B43" s="18"/>
      <c r="C43" s="4">
        <v>38</v>
      </c>
      <c r="D43" s="4">
        <v>184</v>
      </c>
      <c r="E43" s="10">
        <v>201</v>
      </c>
      <c r="F43" s="12"/>
      <c r="G43" s="4">
        <f t="shared" si="0"/>
        <v>38</v>
      </c>
      <c r="H43" s="4">
        <f t="shared" si="0"/>
        <v>184</v>
      </c>
      <c r="I43" s="44">
        <v>9944</v>
      </c>
      <c r="J43" s="45"/>
      <c r="K43" s="19"/>
    </row>
    <row r="44" spans="2:18" x14ac:dyDescent="0.25">
      <c r="B44" s="18"/>
      <c r="C44" s="4">
        <v>50</v>
      </c>
      <c r="D44" s="4">
        <v>35</v>
      </c>
      <c r="E44" s="10">
        <v>54</v>
      </c>
      <c r="F44" s="12"/>
      <c r="G44" s="4">
        <f t="shared" si="0"/>
        <v>50</v>
      </c>
      <c r="H44" s="4">
        <f t="shared" si="0"/>
        <v>35</v>
      </c>
      <c r="I44" s="44">
        <v>15971</v>
      </c>
      <c r="J44" s="45"/>
      <c r="K44" s="19"/>
    </row>
    <row r="45" spans="2:18" x14ac:dyDescent="0.25">
      <c r="B45" s="18"/>
      <c r="C45" s="4">
        <v>70</v>
      </c>
      <c r="D45" s="4">
        <v>4</v>
      </c>
      <c r="E45" s="10">
        <v>3</v>
      </c>
      <c r="F45" s="12"/>
      <c r="G45" s="4">
        <f t="shared" si="0"/>
        <v>70</v>
      </c>
      <c r="H45" s="4">
        <f t="shared" si="0"/>
        <v>4</v>
      </c>
      <c r="I45" s="44">
        <v>24856</v>
      </c>
      <c r="J45" s="45"/>
      <c r="K45" s="19"/>
    </row>
    <row r="46" spans="2:18" x14ac:dyDescent="0.25">
      <c r="B46" s="18"/>
      <c r="C46" s="4"/>
      <c r="D46" s="4"/>
      <c r="E46" s="4"/>
      <c r="F46" s="1"/>
      <c r="G46" s="4"/>
      <c r="H46" s="4"/>
      <c r="I46" s="41"/>
      <c r="J46" s="41"/>
      <c r="K46" s="19"/>
    </row>
    <row r="47" spans="2:18" x14ac:dyDescent="0.25">
      <c r="B47" s="18"/>
      <c r="C47" s="4"/>
      <c r="D47" s="4"/>
      <c r="E47" s="4"/>
      <c r="F47" s="1"/>
      <c r="G47" s="4"/>
      <c r="H47" s="4"/>
      <c r="I47" s="41"/>
      <c r="J47" s="41"/>
      <c r="K47" s="19"/>
    </row>
    <row r="48" spans="2:18" x14ac:dyDescent="0.25">
      <c r="B48" s="18"/>
      <c r="C48" s="4"/>
      <c r="D48" s="4"/>
      <c r="E48" s="4"/>
      <c r="F48" s="1"/>
      <c r="G48" s="4"/>
      <c r="H48" s="4"/>
      <c r="I48" s="41"/>
      <c r="J48" s="41"/>
      <c r="K48" s="19"/>
    </row>
    <row r="49" spans="2:11" x14ac:dyDescent="0.25">
      <c r="B49" s="18"/>
      <c r="C49" s="4"/>
      <c r="D49" s="4"/>
      <c r="E49" s="4"/>
      <c r="F49" s="1"/>
      <c r="G49" s="4"/>
      <c r="H49" s="4"/>
      <c r="I49" s="41"/>
      <c r="J49" s="41"/>
      <c r="K49" s="19"/>
    </row>
    <row r="50" spans="2:11" x14ac:dyDescent="0.25">
      <c r="B50" s="18"/>
      <c r="C50" s="4"/>
      <c r="D50" s="4"/>
      <c r="E50" s="4"/>
      <c r="F50" s="1"/>
      <c r="G50" s="4"/>
      <c r="H50" s="4"/>
      <c r="I50" s="41"/>
      <c r="J50" s="41"/>
      <c r="K50" s="19"/>
    </row>
    <row r="51" spans="2:11" x14ac:dyDescent="0.25">
      <c r="B51" s="18"/>
      <c r="C51" s="4"/>
      <c r="D51" s="4"/>
      <c r="E51" s="4"/>
      <c r="F51" s="1"/>
      <c r="G51" s="4"/>
      <c r="H51" s="4"/>
      <c r="I51" s="41"/>
      <c r="J51" s="41"/>
      <c r="K51" s="19"/>
    </row>
    <row r="52" spans="2:11" x14ac:dyDescent="0.25">
      <c r="B52" s="18"/>
      <c r="C52" s="4"/>
      <c r="D52" s="4"/>
      <c r="E52" s="4"/>
      <c r="F52" s="1"/>
      <c r="G52" s="4"/>
      <c r="H52" s="4"/>
      <c r="I52" s="41"/>
      <c r="J52" s="41"/>
      <c r="K52" s="19"/>
    </row>
    <row r="53" spans="2:11" x14ac:dyDescent="0.25">
      <c r="B53" s="18"/>
      <c r="C53" s="4"/>
      <c r="D53" s="4"/>
      <c r="E53" s="4"/>
      <c r="F53" s="1"/>
      <c r="G53" s="4"/>
      <c r="H53" s="4"/>
      <c r="I53" s="41"/>
      <c r="J53" s="41"/>
      <c r="K53" s="19"/>
    </row>
    <row r="54" spans="2:11" x14ac:dyDescent="0.25">
      <c r="B54" s="18"/>
      <c r="C54" s="4"/>
      <c r="D54" s="4"/>
      <c r="E54" s="4"/>
      <c r="F54" s="1"/>
      <c r="G54" s="4"/>
      <c r="H54" s="4"/>
      <c r="I54" s="41"/>
      <c r="J54" s="41"/>
      <c r="K54" s="19"/>
    </row>
    <row r="55" spans="2:11" x14ac:dyDescent="0.25">
      <c r="B55" s="18"/>
      <c r="C55" s="4"/>
      <c r="D55" s="4"/>
      <c r="E55" s="4"/>
      <c r="F55" s="1"/>
      <c r="G55" s="4"/>
      <c r="H55" s="4"/>
      <c r="I55" s="41"/>
      <c r="J55" s="41"/>
      <c r="K55" s="19"/>
    </row>
    <row r="56" spans="2:11" x14ac:dyDescent="0.25">
      <c r="B56" s="18"/>
      <c r="C56" s="4"/>
      <c r="D56" s="4"/>
      <c r="E56" s="4"/>
      <c r="F56" s="1"/>
      <c r="G56" s="4"/>
      <c r="H56" s="4"/>
      <c r="I56" s="41"/>
      <c r="J56" s="41"/>
      <c r="K56" s="19"/>
    </row>
    <row r="57" spans="2:11" x14ac:dyDescent="0.25">
      <c r="B57" s="18"/>
      <c r="K57" s="19"/>
    </row>
    <row r="58" spans="2:11" ht="14.65" customHeight="1" x14ac:dyDescent="0.25">
      <c r="B58" s="18"/>
      <c r="C58" s="42" t="s">
        <v>48</v>
      </c>
      <c r="D58" s="43"/>
      <c r="E58" s="43"/>
      <c r="F58" s="43"/>
      <c r="G58" s="43"/>
      <c r="H58" s="43"/>
      <c r="I58" s="43"/>
      <c r="J58" s="43"/>
      <c r="K58" s="19"/>
    </row>
    <row r="59" spans="2:11" x14ac:dyDescent="0.25">
      <c r="B59" s="18"/>
      <c r="C59" s="43"/>
      <c r="D59" s="43"/>
      <c r="E59" s="43"/>
      <c r="F59" s="43"/>
      <c r="G59" s="43"/>
      <c r="H59" s="43"/>
      <c r="I59" s="43"/>
      <c r="J59" s="43"/>
      <c r="K59" s="19"/>
    </row>
    <row r="60" spans="2:11" x14ac:dyDescent="0.25">
      <c r="B60" s="18"/>
      <c r="C60" s="43"/>
      <c r="D60" s="43"/>
      <c r="E60" s="43"/>
      <c r="F60" s="43"/>
      <c r="G60" s="43"/>
      <c r="H60" s="43"/>
      <c r="I60" s="43"/>
      <c r="J60" s="43"/>
      <c r="K60" s="19"/>
    </row>
    <row r="61" spans="2:11" x14ac:dyDescent="0.25">
      <c r="B61" s="18"/>
      <c r="C61" s="43"/>
      <c r="D61" s="43"/>
      <c r="E61" s="43"/>
      <c r="F61" s="43"/>
      <c r="G61" s="43"/>
      <c r="H61" s="43"/>
      <c r="I61" s="43"/>
      <c r="J61" s="43"/>
      <c r="K61" s="19"/>
    </row>
    <row r="62" spans="2:11" x14ac:dyDescent="0.25">
      <c r="B62" s="18"/>
      <c r="C62" s="43"/>
      <c r="D62" s="43"/>
      <c r="E62" s="43"/>
      <c r="F62" s="43"/>
      <c r="G62" s="43"/>
      <c r="H62" s="43"/>
      <c r="I62" s="43"/>
      <c r="J62" s="43"/>
      <c r="K62" s="19"/>
    </row>
    <row r="63" spans="2:11" x14ac:dyDescent="0.25">
      <c r="B63" s="22"/>
      <c r="C63" s="23"/>
      <c r="D63" s="23"/>
      <c r="E63" s="23"/>
      <c r="F63" s="23"/>
      <c r="G63" s="23"/>
      <c r="H63" s="23"/>
      <c r="I63" s="23"/>
      <c r="J63" s="23"/>
      <c r="K63" s="24"/>
    </row>
  </sheetData>
  <mergeCells count="65">
    <mergeCell ref="C10:J11"/>
    <mergeCell ref="C12:F14"/>
    <mergeCell ref="G12:J14"/>
    <mergeCell ref="C15:F17"/>
    <mergeCell ref="G15:J17"/>
    <mergeCell ref="C42:E42"/>
    <mergeCell ref="G42:J42"/>
    <mergeCell ref="C19:J20"/>
    <mergeCell ref="C21:C24"/>
    <mergeCell ref="G21:H21"/>
    <mergeCell ref="I21:J21"/>
    <mergeCell ref="G22:H22"/>
    <mergeCell ref="I22:J22"/>
    <mergeCell ref="G23:H23"/>
    <mergeCell ref="I23:J23"/>
    <mergeCell ref="G24:H24"/>
    <mergeCell ref="I24:J24"/>
    <mergeCell ref="D29:E29"/>
    <mergeCell ref="H29:I29"/>
    <mergeCell ref="I35:J35"/>
    <mergeCell ref="D30:E30"/>
    <mergeCell ref="Q29:R29"/>
    <mergeCell ref="Q24:R24"/>
    <mergeCell ref="C25:D25"/>
    <mergeCell ref="G25:H25"/>
    <mergeCell ref="Q25:R25"/>
    <mergeCell ref="C26:D26"/>
    <mergeCell ref="G26:H26"/>
    <mergeCell ref="Q26:R26"/>
    <mergeCell ref="C27:D27"/>
    <mergeCell ref="G27:H27"/>
    <mergeCell ref="Q27:R27"/>
    <mergeCell ref="C28:J28"/>
    <mergeCell ref="Q28:R28"/>
    <mergeCell ref="H30:I30"/>
    <mergeCell ref="Q30:R30"/>
    <mergeCell ref="D31:E31"/>
    <mergeCell ref="H31:I31"/>
    <mergeCell ref="Q31:R31"/>
    <mergeCell ref="Q32:R32"/>
    <mergeCell ref="C33:E33"/>
    <mergeCell ref="G33:J33"/>
    <mergeCell ref="Q33:R33"/>
    <mergeCell ref="I34:J34"/>
    <mergeCell ref="I48:J48"/>
    <mergeCell ref="I36:J36"/>
    <mergeCell ref="I37:J37"/>
    <mergeCell ref="I38:J38"/>
    <mergeCell ref="I39:J39"/>
    <mergeCell ref="I40:J40"/>
    <mergeCell ref="I41:J41"/>
    <mergeCell ref="I43:J43"/>
    <mergeCell ref="I44:J44"/>
    <mergeCell ref="I45:J45"/>
    <mergeCell ref="I46:J46"/>
    <mergeCell ref="I47:J47"/>
    <mergeCell ref="I55:J55"/>
    <mergeCell ref="I56:J56"/>
    <mergeCell ref="C58:J62"/>
    <mergeCell ref="I49:J49"/>
    <mergeCell ref="I50:J50"/>
    <mergeCell ref="I51:J51"/>
    <mergeCell ref="I52:J52"/>
    <mergeCell ref="I53:J53"/>
    <mergeCell ref="I54:J54"/>
  </mergeCells>
  <hyperlinks>
    <hyperlink ref="C8" r:id="rId1" xr:uid="{B7F910D3-2C74-4CE4-8F48-C74D2312CD9F}"/>
  </hyperlinks>
  <pageMargins left="0.7" right="0.7" top="0.75" bottom="0.75" header="0.3" footer="0.3"/>
  <pageSetup scale="48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BS110 Cal'd Thresholds</vt:lpstr>
      <vt:lpstr>Serial Number 63010045</vt:lpstr>
      <vt:lpstr>Serial Number 63010046</vt:lpstr>
      <vt:lpstr>Serial Number 63010047</vt:lpstr>
      <vt:lpstr>Serial Number 63010048</vt:lpstr>
      <vt:lpstr>Serial Number 63010049</vt:lpstr>
      <vt:lpstr>Serial Number 63010050</vt:lpstr>
      <vt:lpstr>Serial Number 63010051</vt:lpstr>
      <vt:lpstr>Serial Number 63010052</vt:lpstr>
      <vt:lpstr>Serial Number 63010053</vt:lpstr>
      <vt:lpstr>Serial Number 63010054</vt:lpstr>
      <vt:lpstr>Serial Number 63010055</vt:lpstr>
      <vt:lpstr>Serial Number 63010056</vt:lpstr>
      <vt:lpstr>Serial Number 63010057</vt:lpstr>
      <vt:lpstr>Serial Number 63010058</vt:lpstr>
      <vt:lpstr>Serial Number 63010059</vt:lpstr>
      <vt:lpstr>Serial Number 63010060</vt:lpstr>
      <vt:lpstr>Serial Number 63010061</vt:lpstr>
      <vt:lpstr>Serial Number 63010062</vt:lpstr>
      <vt:lpstr>Serial Number 63010063</vt:lpstr>
      <vt:lpstr>Serial Number 63010064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 Perks</dc:creator>
  <cp:lastModifiedBy>Jacob Popillo</cp:lastModifiedBy>
  <cp:lastPrinted>2026-06-19T20:33:20Z</cp:lastPrinted>
  <dcterms:created xsi:type="dcterms:W3CDTF">2026-06-10T17:31:51Z</dcterms:created>
  <dcterms:modified xsi:type="dcterms:W3CDTF">2026-06-19T20:35:00Z</dcterms:modified>
</cp:coreProperties>
</file>