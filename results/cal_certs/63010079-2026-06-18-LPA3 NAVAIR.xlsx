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drawings/drawing17.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navair\cal_certs\"/>
    </mc:Choice>
  </mc:AlternateContent>
  <xr:revisionPtr revIDLastSave="0" documentId="13_ncr:1_{32150EED-22D7-40A8-888E-7BA2DAB9324F}" xr6:coauthVersionLast="47" xr6:coauthVersionMax="47" xr10:uidLastSave="{00000000-0000-0000-0000-000000000000}"/>
  <bookViews>
    <workbookView xWindow="-120" yWindow="-120" windowWidth="29040" windowHeight="15840" firstSheet="20" activeTab="20"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 name="11171" sheetId="111" r:id="rId20"/>
    <sheet name="D2" sheetId="112" r:id="rId21"/>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5" i="112" l="1"/>
  <c r="I35" i="112"/>
  <c r="J34" i="112"/>
  <c r="I34" i="112"/>
  <c r="J33" i="112"/>
  <c r="I33" i="112"/>
  <c r="J32" i="112"/>
  <c r="I32" i="112"/>
  <c r="J31" i="112"/>
  <c r="I31" i="112"/>
  <c r="J30" i="112"/>
  <c r="I30" i="112"/>
  <c r="J29" i="112"/>
  <c r="I29" i="112"/>
  <c r="J28" i="112"/>
  <c r="I28" i="112"/>
  <c r="J27" i="112"/>
  <c r="I27" i="112"/>
  <c r="D31" i="112"/>
  <c r="H31" i="112" s="1"/>
  <c r="D32" i="112"/>
  <c r="H32" i="112" s="1"/>
  <c r="D30" i="112"/>
  <c r="H30" i="112" s="1"/>
  <c r="D28" i="112"/>
  <c r="H28" i="112" s="1"/>
  <c r="D27" i="112"/>
  <c r="H27" i="112" s="1"/>
  <c r="D29" i="112"/>
  <c r="H29" i="112" s="1"/>
  <c r="C35" i="112"/>
  <c r="G35" i="112" s="1"/>
  <c r="C34" i="112"/>
  <c r="G34" i="112" s="1"/>
  <c r="C33" i="112"/>
  <c r="G33" i="112" s="1"/>
  <c r="C32" i="112"/>
  <c r="G32" i="112" s="1"/>
  <c r="C31" i="112"/>
  <c r="G31" i="112" s="1"/>
  <c r="C30" i="112"/>
  <c r="G30" i="112" s="1"/>
  <c r="C29" i="112"/>
  <c r="G29" i="112" s="1"/>
  <c r="C28" i="112"/>
  <c r="G28" i="112" s="1"/>
  <c r="C27" i="112"/>
  <c r="G27" i="112" s="1"/>
  <c r="E18" i="112"/>
  <c r="E17" i="112"/>
  <c r="E16" i="112"/>
  <c r="E15" i="112"/>
  <c r="E14" i="112"/>
  <c r="E13" i="112"/>
  <c r="E12" i="112"/>
  <c r="H35" i="112"/>
  <c r="E35" i="112"/>
  <c r="H34" i="112"/>
  <c r="E34" i="112"/>
  <c r="H33" i="112"/>
  <c r="E33" i="112"/>
  <c r="E32" i="112"/>
  <c r="E31" i="112"/>
  <c r="E30" i="112"/>
  <c r="E29" i="112"/>
  <c r="E28" i="112"/>
  <c r="E27" i="112"/>
  <c r="C68" i="86"/>
  <c r="I68" i="86" s="1"/>
  <c r="F27" i="111"/>
  <c r="F26" i="111"/>
  <c r="F25" i="111"/>
  <c r="F24" i="111"/>
  <c r="F23" i="111"/>
  <c r="F22" i="111"/>
  <c r="F21" i="111"/>
  <c r="F20" i="111"/>
  <c r="F19" i="111"/>
  <c r="B21" i="111"/>
  <c r="B27" i="111" l="1"/>
  <c r="B26" i="111"/>
  <c r="B25" i="111"/>
  <c r="B24" i="111"/>
  <c r="B23" i="111"/>
  <c r="B22" i="111"/>
  <c r="B20" i="111"/>
  <c r="B19" i="111"/>
  <c r="A27" i="111"/>
  <c r="A26" i="111"/>
  <c r="A25" i="111"/>
  <c r="A24" i="111"/>
  <c r="A23" i="111"/>
  <c r="A22" i="111"/>
  <c r="A21" i="111"/>
  <c r="A20" i="111"/>
  <c r="A19" i="111"/>
  <c r="G27" i="111"/>
  <c r="G26" i="111"/>
  <c r="G25" i="111"/>
  <c r="G24" i="111"/>
  <c r="G23" i="111"/>
  <c r="G22" i="111"/>
  <c r="G21" i="111"/>
  <c r="G20" i="111"/>
  <c r="G19" i="111"/>
  <c r="H27" i="111"/>
  <c r="H26" i="111"/>
  <c r="H25" i="111"/>
  <c r="H24" i="111"/>
  <c r="H23" i="111"/>
  <c r="H22" i="111"/>
  <c r="H21" i="111"/>
  <c r="H20" i="111"/>
  <c r="H19" i="111"/>
  <c r="E21" i="111"/>
  <c r="E27" i="111"/>
  <c r="E26" i="111"/>
  <c r="E25" i="111"/>
  <c r="E24" i="111"/>
  <c r="E22" i="111"/>
  <c r="E23" i="111"/>
  <c r="E20" i="111"/>
  <c r="E19" i="111"/>
  <c r="H3" i="111" l="1"/>
  <c r="C9" i="111"/>
  <c r="C8" i="111"/>
  <c r="C7" i="111"/>
  <c r="C6" i="111"/>
  <c r="C4" i="111"/>
  <c r="C5" i="111"/>
  <c r="C3" i="111"/>
  <c r="D152" i="108"/>
  <c r="D151" i="108"/>
  <c r="B137" i="108"/>
  <c r="B136" i="108"/>
  <c r="B135" i="108"/>
  <c r="B132" i="108"/>
  <c r="B131" i="108"/>
  <c r="B130" i="108"/>
  <c r="B127" i="108"/>
  <c r="B126" i="108"/>
  <c r="B122" i="108"/>
  <c r="B121" i="108"/>
  <c r="B120" i="108"/>
  <c r="B107" i="108"/>
  <c r="B103" i="108"/>
  <c r="B99" i="108"/>
  <c r="D76" i="108"/>
  <c r="O17" i="108"/>
  <c r="D17" i="108"/>
  <c r="C70" i="86"/>
  <c r="I70" i="86" s="1"/>
  <c r="B70" i="86"/>
  <c r="B76" i="86"/>
  <c r="H35" i="108" s="1"/>
  <c r="B75" i="86"/>
  <c r="H34" i="108" s="1"/>
  <c r="B74" i="86"/>
  <c r="H33" i="108" s="1"/>
  <c r="B73" i="86"/>
  <c r="H32" i="108" s="1"/>
  <c r="B72" i="86"/>
  <c r="H31" i="108" s="1"/>
  <c r="B71" i="86"/>
  <c r="H30" i="108" s="1"/>
  <c r="B69" i="86"/>
  <c r="H29" i="108" s="1"/>
  <c r="B68" i="86"/>
  <c r="H28" i="108" s="1"/>
  <c r="D17" i="103"/>
  <c r="D13" i="103"/>
  <c r="I65" i="86"/>
  <c r="F35" i="108" s="1"/>
  <c r="H65" i="86"/>
  <c r="F34" i="108" s="1"/>
  <c r="G65" i="86"/>
  <c r="F33" i="108" s="1"/>
  <c r="F65" i="86"/>
  <c r="F32" i="108" s="1"/>
  <c r="E65" i="86"/>
  <c r="F31" i="108" s="1"/>
  <c r="D65" i="86"/>
  <c r="F30" i="108" s="1"/>
  <c r="C65" i="86"/>
  <c r="F29" i="108" s="1"/>
  <c r="B65" i="86"/>
  <c r="F28" i="108" s="1"/>
  <c r="H21" i="86"/>
  <c r="C76" i="86"/>
  <c r="I76" i="86" s="1"/>
  <c r="C75" i="86"/>
  <c r="I75" i="86" s="1"/>
  <c r="C74" i="86"/>
  <c r="I74" i="86" s="1"/>
  <c r="C73" i="86"/>
  <c r="I73" i="86" s="1"/>
  <c r="C72" i="86"/>
  <c r="I72" i="86" s="1"/>
  <c r="C71" i="86"/>
  <c r="I71" i="86" s="1"/>
  <c r="C69" i="86"/>
  <c r="I69" i="86" s="1"/>
  <c r="H15" i="86"/>
  <c r="D5" i="103" s="1"/>
  <c r="H19" i="86"/>
  <c r="O19" i="108" s="1"/>
  <c r="H16" i="86"/>
  <c r="O18" i="108" s="1"/>
  <c r="B11" i="86"/>
  <c r="D40" i="85" s="1"/>
  <c r="B5" i="86"/>
  <c r="B12" i="86"/>
  <c r="D70" i="86" l="1"/>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Q154" i="103"/>
  <c r="Q148" i="103"/>
  <c r="Q130" i="103"/>
  <c r="Q116" i="103"/>
  <c r="Q100" i="103"/>
  <c r="B120" i="85"/>
  <c r="B138" i="85" l="1"/>
  <c r="B138" i="108"/>
  <c r="B142" i="85"/>
  <c r="B142" i="108"/>
  <c r="B143" i="85"/>
  <c r="B143" i="108"/>
  <c r="B144" i="85"/>
  <c r="B144" i="108"/>
  <c r="B146" i="85"/>
  <c r="B146" i="108"/>
  <c r="J70" i="86"/>
  <c r="C21" i="111"/>
  <c r="E40" i="108"/>
  <c r="B31" i="103"/>
  <c r="B32" i="103" s="1"/>
  <c r="B33" i="103" s="1"/>
  <c r="B34" i="103" s="1"/>
  <c r="B35" i="103" s="1"/>
  <c r="B36" i="103" s="1"/>
  <c r="B37" i="103" s="1"/>
  <c r="B38" i="103" s="1"/>
  <c r="Q7" i="103"/>
  <c r="Q157" i="103"/>
  <c r="Q108" i="103"/>
  <c r="B137" i="85"/>
  <c r="B135" i="85"/>
  <c r="Q97" i="103"/>
  <c r="Q95" i="103"/>
  <c r="C94" i="103"/>
  <c r="C93" i="103"/>
  <c r="B127" i="85"/>
  <c r="B136" i="85"/>
  <c r="B126" i="85"/>
  <c r="B133" i="85" l="1"/>
  <c r="B133" i="108"/>
  <c r="B134" i="85"/>
  <c r="B134" i="108"/>
  <c r="B141" i="85"/>
  <c r="B141" i="108"/>
  <c r="B145" i="85"/>
  <c r="B145" i="108"/>
  <c r="B112" i="85"/>
  <c r="B112" i="108"/>
  <c r="B122" i="85"/>
  <c r="Q77" i="103"/>
  <c r="B121" i="85"/>
  <c r="Q42" i="103"/>
  <c r="Q39" i="103"/>
  <c r="Q33" i="103"/>
  <c r="Q35" i="103"/>
  <c r="Q34" i="103"/>
  <c r="D135" i="103"/>
  <c r="D117" i="103"/>
  <c r="D118" i="103"/>
  <c r="D152" i="103"/>
  <c r="D144" i="103"/>
  <c r="D143" i="103"/>
  <c r="D145" i="103"/>
  <c r="D142" i="103"/>
  <c r="B115" i="85" l="1"/>
  <c r="B115" i="108"/>
  <c r="B116" i="85"/>
  <c r="B116" i="108"/>
  <c r="B114" i="85"/>
  <c r="B114" i="108"/>
  <c r="B117" i="85"/>
  <c r="B117" i="108"/>
  <c r="B118" i="85"/>
  <c r="B118" i="108"/>
  <c r="B123" i="85"/>
  <c r="B123" i="108"/>
  <c r="D140" i="103"/>
  <c r="D153" i="103"/>
  <c r="D138" i="103"/>
  <c r="D137" i="103"/>
  <c r="D154" i="103"/>
  <c r="D151" i="103" l="1"/>
  <c r="D123" i="103" l="1"/>
  <c r="D124" i="103" l="1"/>
  <c r="D157" i="103"/>
  <c r="D121" i="103"/>
  <c r="D120" i="103"/>
  <c r="S99" i="103" l="1"/>
  <c r="B132" i="85"/>
  <c r="B131" i="85"/>
  <c r="Q81" i="103"/>
  <c r="Q80" i="103"/>
  <c r="B124" i="85" l="1"/>
  <c r="B124" i="108"/>
  <c r="B125" i="85"/>
  <c r="B125" i="108"/>
  <c r="A99" i="103"/>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l="1"/>
  <c r="B119" i="108"/>
  <c r="D180" i="103"/>
  <c r="C194" i="103" s="1"/>
  <c r="B110" i="108"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C190" i="103"/>
  <c r="C182" i="103"/>
  <c r="B110" i="85"/>
  <c r="A30" i="102"/>
  <c r="H121" i="103"/>
  <c r="H120" i="103"/>
  <c r="H119" i="103"/>
  <c r="B98" i="85" l="1"/>
  <c r="B98" i="108"/>
  <c r="B106" i="85"/>
  <c r="B106" i="108"/>
  <c r="B102" i="85"/>
  <c r="B102" i="108"/>
  <c r="A32" i="102"/>
  <c r="A33" i="102" s="1"/>
  <c r="A34" i="102" s="1"/>
  <c r="A35" i="102" s="1"/>
  <c r="A37" i="102" s="1"/>
  <c r="C1" i="107"/>
  <c r="P30" i="102"/>
  <c r="O30" i="102"/>
  <c r="N30" i="102"/>
  <c r="M30" i="102"/>
  <c r="L30" i="102"/>
  <c r="K30" i="102"/>
  <c r="J30" i="102"/>
  <c r="I30" i="102"/>
  <c r="I71" i="102"/>
  <c r="I45" i="102"/>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E5" i="103"/>
  <c r="E5" i="106" s="1"/>
  <c r="D76" i="85"/>
  <c r="F40" i="90"/>
  <c r="G165" i="106"/>
  <c r="G164" i="106"/>
  <c r="F30" i="85"/>
  <c r="F35" i="90"/>
  <c r="G166" i="106"/>
  <c r="G161" i="106"/>
  <c r="C26" i="111"/>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B113" i="85" l="1"/>
  <c r="B113" i="108"/>
  <c r="J31" i="108"/>
  <c r="K31" i="108" s="1"/>
  <c r="L31" i="108" s="1"/>
  <c r="C23" i="111"/>
  <c r="J33" i="108"/>
  <c r="K33" i="108" s="1"/>
  <c r="L33" i="108" s="1"/>
  <c r="C25" i="111"/>
  <c r="J34" i="97"/>
  <c r="J34" i="108"/>
  <c r="K34" i="108" s="1"/>
  <c r="L34" i="108" s="1"/>
  <c r="G40" i="94"/>
  <c r="F34" i="91"/>
  <c r="C59" i="89"/>
  <c r="F29" i="85"/>
  <c r="F30" i="97"/>
  <c r="G162" i="106"/>
  <c r="L46" i="90"/>
  <c r="K46" i="90"/>
  <c r="G163" i="106"/>
  <c r="H118" i="103"/>
  <c r="F30" i="96"/>
  <c r="C19" i="111"/>
  <c r="F29" i="94"/>
  <c r="L40" i="94" s="1"/>
  <c r="H117" i="103"/>
  <c r="C58" i="89"/>
  <c r="F36" i="90"/>
  <c r="F29" i="97"/>
  <c r="L40" i="97" s="1"/>
  <c r="H31" i="96"/>
  <c r="C20" i="111"/>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C24" i="111"/>
  <c r="D18" i="90"/>
  <c r="D18" i="93"/>
  <c r="C27" i="111"/>
  <c r="C22" i="111"/>
  <c r="F31" i="91"/>
  <c r="F35" i="85"/>
  <c r="F41" i="90"/>
  <c r="F31" i="94"/>
  <c r="F31" i="96"/>
  <c r="F28" i="85"/>
  <c r="G40" i="85" s="1"/>
  <c r="F29" i="96"/>
  <c r="J34" i="93"/>
  <c r="D18" i="97"/>
  <c r="D18" i="91"/>
  <c r="D64" i="89"/>
  <c r="H41" i="90"/>
  <c r="D76" i="86"/>
  <c r="H35" i="93"/>
  <c r="H35" i="94"/>
  <c r="H35" i="91"/>
  <c r="H35" i="96"/>
  <c r="H35" i="97"/>
  <c r="H35" i="85"/>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D59" i="89"/>
  <c r="H38" i="90"/>
  <c r="H32" i="97"/>
  <c r="H31" i="94"/>
  <c r="K31" i="94" s="1"/>
  <c r="L31" i="94" s="1"/>
  <c r="D72" i="86"/>
  <c r="D73" i="86"/>
  <c r="H30" i="94"/>
  <c r="D61" i="89"/>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J29" i="93"/>
  <c r="K29" i="93" s="1"/>
  <c r="L29" i="93" s="1"/>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K40" i="94"/>
  <c r="H31" i="93"/>
  <c r="K31" i="93" s="1"/>
  <c r="L31" i="93" s="1"/>
  <c r="J75" i="86"/>
  <c r="H31" i="91"/>
  <c r="K31" i="91" s="1"/>
  <c r="L31" i="91" s="1"/>
  <c r="H36" i="90"/>
  <c r="H30" i="85"/>
  <c r="K33" i="93"/>
  <c r="L33" i="93" s="1"/>
  <c r="J73" i="86"/>
  <c r="J32" i="94"/>
  <c r="H33" i="97"/>
  <c r="K33" i="97" s="1"/>
  <c r="L33" i="97" s="1"/>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text>
    </comment>
    <comment ref="C11" authorId="3" shapeId="0" xr:uid="{1A14CD2B-A904-4FEC-A324-52C1F1ADC759}">
      <text>
        <t>[Threaded comment]
Your version of Excel allows you to read this threaded comment; however, any edits to it will get removed if the file is opened in a newer version of Excel. Learn more: https://go.microsoft.com/fwlink/?linkid=870924
Comment:
    Service "sheet"number?</t>
      </text>
    </comment>
    <comment ref="D14" authorId="4" shapeId="0" xr:uid="{FA1466CB-070C-4260-9B97-BD3ADF909999}">
      <text>
        <t>[Threaded comment]
Your version of Excel allows you to read this threaded comment; however, any edits to it will get removed if the file is opened in a newer version of Excel. Learn more: https://go.microsoft.com/fwlink/?linkid=870924
Comment:
    MP NCR #</t>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t>[Threaded comment]
Your version of Excel allows you to read this threaded comment; however, any edits to it will get removed if the file is opened in a newer version of Excel. Learn more: https://go.microsoft.com/fwlink/?linkid=870924
Comment:
    No calibrated label
Reply:
    Needs checkbox</t>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t>[Threaded comment]
Your version of Excel allows you to read this threaded comment; however, any edits to it will get removed if the file is opened in a newer version of Excel. Learn more: https://go.microsoft.com/fwlink/?linkid=870924
Comment:
    Add photos of settings page</t>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t>[Threaded comment]
Your version of Excel allows you to read this threaded comment; however, any edits to it will get removed if the file is opened in a newer version of Excel. Learn more: https://go.microsoft.com/fwlink/?linkid=870924
Comment:
    DROP DOWNS?</t>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t>[Threaded comment]
Your version of Excel allows you to read this threaded comment; however, any edits to it will get removed if the file is opened in a newer version of Excel. Learn more: https://go.microsoft.com/fwlink/?linkid=870924
Comment:
    customers NCR #</t>
      </text>
    </comment>
    <comment ref="E10" authorId="1" shapeId="0" xr:uid="{8F373F8B-2779-45E9-9B9B-D01FDB54C751}">
      <text>
        <t>[Threaded comment]
Your version of Excel allows you to read this threaded comment; however, any edits to it will get removed if the file is opened in a newer version of Excel. Learn more: https://go.microsoft.com/fwlink/?linkid=870924
Comment:
    MP's NCR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<sst xmlns="http://schemas.openxmlformats.org/spreadsheetml/2006/main" count="12122" uniqueCount="1049">
  <si>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</si>
  <si>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</si>
  <si>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</si>
  <si>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</si>
  <si>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</si>
  <si>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</si>
  <si>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</si>
  <si>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</si>
  <si>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</si>
  <si>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</si>
  <si>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</si>
  <si>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</si>
  <si>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</si>
  <si>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</si>
  <si>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</si>
  <si>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</si>
  <si>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</si>
  <si>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</si>
  <si>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</si>
  <si>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</si>
  <si>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</si>
  <si>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</si>
  <si>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</si>
  <si>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</si>
  <si>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</si>
  <si>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</si>
  <si>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</si>
  <si>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</si>
  <si>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</si>
  <si>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</si>
  <si>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</si>
  <si>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</si>
  <si>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</si>
  <si>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</si>
  <si>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</si>
  <si>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</si>
  <si>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</si>
  <si>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</si>
  <si>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</si>
  <si>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</si>
  <si>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</si>
  <si>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</si>
  <si>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</si>
  <si>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</si>
  <si>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</si>
  <si>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</si>
  <si>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</si>
  <si>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</si>
  <si>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</si>
  <si>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</si>
  <si>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</si>
  <si>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</si>
  <si>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</si>
  <si>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</si>
  <si>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</si>
  <si>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</si>
  <si>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</si>
  <si>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</si>
  <si>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</si>
  <si>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</si>
  <si>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</si>
  <si>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</si>
  <si>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</si>
  <si>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</si>
  <si>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</si>
  <si>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</si>
  <si>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</si>
  <si>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</si>
  <si>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</si>
  <si>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</si>
  <si>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</si>
  <si>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</si>
  <si>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</si>
  <si>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</si>
  <si>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</si>
  <si>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</si>
  <si>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</si>
  <si>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</si>
  <si>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</si>
  <si>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</si>
  <si>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</si>
  <si>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</si>
  <si>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</si>
  <si>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</si>
  <si>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</si>
  <si>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</si>
  <si>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</si>
  <si>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</si>
  <si>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</si>
  <si>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</si>
  <si>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</si>
  <si>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</si>
  <si>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</si>
  <si>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</si>
  <si>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</si>
  <si>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</si>
  <si>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</si>
  <si>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</si>
  <si>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</si>
  <si>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</si>
  <si>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</si>
  <si>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</si>
  <si>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</si>
  <si>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</si>
  <si>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</si>
  <si>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</si>
  <si>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</si>
  <si>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</si>
  <si>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</si>
  <si>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</si>
  <si>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</si>
  <si>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</si>
  <si>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</si>
  <si>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</si>
  <si>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</si>
  <si>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</si>
  <si>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</si>
  <si>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</si>
  <si>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</si>
  <si>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</si>
  <si>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</si>
  <si>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</si>
  <si>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</si>
  <si>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</si>
  <si>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</si>
  <si>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</si>
  <si>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</si>
  <si>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</si>
  <si>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</si>
  <si>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</si>
  <si>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</si>
  <si>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</si>
  <si>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</si>
  <si>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</si>
  <si>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</si>
  <si>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</si>
  <si>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</si>
  <si>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</si>
  <si>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</si>
  <si>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</si>
  <si>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</si>
  <si>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</si>
  <si>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</si>
  <si>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</si>
  <si>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</si>
  <si>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</si>
  <si>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</si>
  <si>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</si>
  <si>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</si>
  <si>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</si>
  <si>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</si>
  <si>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</si>
  <si>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</si>
  <si>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</si>
  <si>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</si>
  <si>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</si>
  <si>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</si>
  <si>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</si>
  <si>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</si>
  <si>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</si>
  <si>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</si>
  <si>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</si>
  <si>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</si>
  <si>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</si>
  <si>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</si>
  <si>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</si>
  <si>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</si>
  <si>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</si>
  <si>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</si>
  <si>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</si>
  <si>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</si>
  <si>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</si>
  <si>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</si>
  <si>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</si>
  <si>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</si>
  <si>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</si>
  <si>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</si>
  <si>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</si>
  <si>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</si>
  <si>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</si>
  <si>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</si>
  <si>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</si>
  <si>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</si>
  <si>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</si>
  <si>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</si>
  <si>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</si>
  <si>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</si>
  <si>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</si>
  <si>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</si>
  <si>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</si>
  <si>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</si>
  <si>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</si>
  <si>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</si>
  <si>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</si>
  <si>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</si>
  <si>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</si>
  <si>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</si>
  <si>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</si>
  <si>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</si>
  <si>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</si>
  <si>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</si>
  <si>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</si>
  <si>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</si>
  <si>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</si>
  <si>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</si>
  <si>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</si>
  <si>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</si>
  <si>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</si>
  <si>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</si>
  <si>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</si>
  <si>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</si>
  <si>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</si>
  <si>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</si>
  <si>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</si>
  <si>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</si>
  <si>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</si>
  <si>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</si>
  <si>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</si>
  <si>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</si>
  <si>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</si>
  <si>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</si>
  <si>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</si>
  <si>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</si>
  <si>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</si>
  <si>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</si>
  <si>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</si>
  <si>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</si>
  <si>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</si>
  <si>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</si>
  <si>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</si>
  <si>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</si>
  <si>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</si>
  <si>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</si>
  <si>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</si>
  <si>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</si>
  <si>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</si>
  <si>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</si>
  <si>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</si>
  <si>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</si>
  <si>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</si>
  <si>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</si>
  <si>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</si>
  <si>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</si>
  <si>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</si>
  <si>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</si>
  <si>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</si>
  <si>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</si>
  <si>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</si>
  <si>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</si>
  <si>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</si>
  <si>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</si>
  <si>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</si>
  <si>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</si>
  <si>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</si>
  <si>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</si>
  <si>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</si>
  <si>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</si>
  <si>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</si>
  <si>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</si>
  <si>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</si>
  <si>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</si>
  <si>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</si>
  <si>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</si>
  <si>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</si>
  <si>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</si>
  <si>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</si>
  <si>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</si>
  <si>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</si>
  <si>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</si>
  <si>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</si>
  <si>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</si>
  <si>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</si>
  <si>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</si>
  <si>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</si>
  <si>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</si>
  <si>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</si>
  <si>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</si>
  <si>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</si>
  <si>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</si>
  <si>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</si>
  <si>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</si>
  <si>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</si>
  <si>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</si>
  <si>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</si>
  <si>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</si>
  <si>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</si>
  <si>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</si>
  <si>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</si>
  <si>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</si>
  <si>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</si>
  <si>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</si>
  <si>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</si>
  <si>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</si>
  <si>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</si>
  <si>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</si>
  <si>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</si>
  <si>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</si>
  <si>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</si>
  <si>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</si>
  <si>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</si>
  <si>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</si>
  <si>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</si>
  <si>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</si>
  <si>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</si>
  <si>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</si>
  <si>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</si>
  <si>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</si>
  <si>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</si>
  <si>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</si>
  <si>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</si>
  <si>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</si>
  <si>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</si>
  <si>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</si>
  <si>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</si>
  <si>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</si>
  <si>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</si>
  <si>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</si>
  <si>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</si>
  <si>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</si>
  <si>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</si>
  <si>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Doc No. 202.041_04 CML4 Service and Calibration Sheet DCR 0678</t>
  </si>
  <si>
    <t>-</t>
  </si>
  <si>
    <t>A. Brown</t>
  </si>
  <si>
    <t>Op No.</t>
  </si>
  <si>
    <t>CML4 Cover Sheet</t>
  </si>
  <si>
    <t>R. Eden</t>
  </si>
  <si>
    <t>Product:</t>
  </si>
  <si>
    <t>W</t>
  </si>
  <si>
    <t>M</t>
  </si>
  <si>
    <t>SERVICE NOTES:</t>
  </si>
  <si>
    <t>A. Hayward</t>
  </si>
  <si>
    <t>Serial No.:</t>
  </si>
  <si>
    <t>J. Scarrott</t>
  </si>
  <si>
    <t>P</t>
  </si>
  <si>
    <t>Customer:</t>
  </si>
  <si>
    <t>Comments</t>
  </si>
  <si>
    <t>A. Mustoe</t>
  </si>
  <si>
    <t>N</t>
  </si>
  <si>
    <t>Online booking by customer</t>
  </si>
  <si>
    <t>Alex Buckley</t>
  </si>
  <si>
    <t>T</t>
  </si>
  <si>
    <t>S</t>
  </si>
  <si>
    <t>Accessories present?</t>
  </si>
  <si>
    <t>NOTE: Please complete table below</t>
  </si>
  <si>
    <t>Luke Harding</t>
  </si>
  <si>
    <t>COSHH SUPPLIED?</t>
  </si>
  <si>
    <t>Scott Mosson</t>
  </si>
  <si>
    <t>Booking Date:</t>
  </si>
  <si>
    <t>Jamie Soule</t>
  </si>
  <si>
    <t>Service sheet number:</t>
  </si>
  <si>
    <t>Trevor Whittle</t>
  </si>
  <si>
    <t>Warranty claim</t>
  </si>
  <si>
    <t>John Devereux</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</si>
  <si>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</si>
  <si>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</si>
  <si>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</si>
  <si>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</si>
  <si>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</si>
  <si>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</si>
  <si>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</si>
  <si>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</si>
  <si>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</si>
  <si>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</si>
  <si>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</si>
  <si>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</si>
  <si>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</si>
  <si>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</si>
  <si>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</si>
  <si>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</si>
  <si>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</si>
  <si>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</si>
  <si>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</si>
  <si>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</si>
  <si>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</si>
  <si>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</si>
  <si>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</si>
  <si>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</si>
  <si>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</si>
  <si>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</si>
  <si>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</si>
  <si>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</si>
  <si>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</si>
  <si>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</si>
  <si>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</si>
  <si>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</si>
  <si>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</si>
  <si>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</si>
  <si>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</si>
  <si>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</si>
  <si>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</si>
  <si>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</si>
  <si>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</si>
  <si>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</si>
  <si>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</si>
  <si>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</si>
  <si>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</si>
  <si>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</si>
  <si>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</si>
  <si>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</si>
  <si>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</si>
  <si>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</si>
  <si>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</si>
  <si>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</si>
  <si>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</si>
  <si>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</si>
  <si>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</si>
  <si>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</si>
  <si>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</si>
  <si>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</si>
  <si>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</si>
  <si>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</si>
  <si>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</si>
  <si>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</si>
  <si>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</si>
  <si>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</si>
  <si>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</si>
  <si>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</si>
  <si>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</si>
  <si>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</si>
  <si>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</si>
  <si>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</si>
  <si>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</si>
  <si>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</si>
  <si>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</si>
  <si>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</si>
  <si>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</si>
  <si>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</si>
  <si>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</si>
  <si>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</si>
  <si>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</si>
  <si>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Offline</t>
  </si>
  <si>
    <t>Check RJ45 cable is current design</t>
  </si>
  <si>
    <t xml:space="preserve">Set test type to Online </t>
  </si>
  <si>
    <t>BOTTLE SAMPLER CHECKS/TESTS</t>
  </si>
  <si>
    <t>Unit flushed with Petroleum Ether (50ml)</t>
  </si>
  <si>
    <t>Does sensor block show signs of leakage?</t>
  </si>
  <si>
    <t>If Y to a leak, replace with refurb module</t>
  </si>
  <si>
    <t>Unit flushed with MIL5606 (25ml)</t>
  </si>
  <si>
    <t>If LEAKING, abandon further checks and repair unit</t>
  </si>
  <si>
    <t>LED power:</t>
  </si>
  <si>
    <t>Electrical noise level:</t>
  </si>
  <si>
    <t>Date initial inspection ended:</t>
  </si>
  <si>
    <t>Simplybook.me stage updated to "Ready for Service":</t>
  </si>
  <si>
    <t>SERVICE</t>
  </si>
  <si>
    <t>Date restarted:</t>
  </si>
  <si>
    <t>Sales Order been raised? (D15)</t>
  </si>
  <si>
    <t>Works Order been raised? (D16)</t>
  </si>
  <si>
    <t>Replaced battery cables (to thick)?</t>
  </si>
  <si>
    <t xml:space="preserve">Unit cleaned and hoovered? </t>
  </si>
  <si>
    <t>Battery secured in brackets?</t>
  </si>
  <si>
    <t>IF NO…..REPLACE</t>
  </si>
  <si>
    <t>TEST RIG CHECKS/TESTS</t>
  </si>
  <si>
    <t>HP Test (5mins Static &amp; Pulse) without leaks?</t>
  </si>
  <si>
    <t>Complete service sticker and attach to unit</t>
  </si>
  <si>
    <t>Test mode set to "Online"</t>
  </si>
  <si>
    <t>Signed:</t>
  </si>
  <si>
    <t>Simplybook.me stage updated to "Service complete":</t>
  </si>
  <si>
    <t>Date completed:</t>
  </si>
  <si>
    <t>CALIBRATION doc # 214.020</t>
  </si>
  <si>
    <t>Date started:</t>
  </si>
  <si>
    <t>Calibration COMPLETE</t>
  </si>
  <si>
    <t>Signed : Fill from dropdown box</t>
  </si>
  <si>
    <t>PRE DESPATCH FINAL CHECKS</t>
  </si>
  <si>
    <t>Serial Number plate matches record</t>
  </si>
  <si>
    <t>Re-Cal Log 202.038 updated</t>
  </si>
  <si>
    <t>locate file on sharepoint 202.038 and complete</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</si>
  <si>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</si>
  <si>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</si>
  <si>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</si>
  <si>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</si>
  <si>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</si>
  <si>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</si>
  <si>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</si>
  <si>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</si>
  <si>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</si>
  <si>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</si>
  <si>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</si>
  <si>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</si>
  <si>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</si>
  <si>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</si>
  <si>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</si>
  <si>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</si>
  <si>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</si>
  <si>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 xml:space="preserve">Pressure switch ticked </t>
  </si>
  <si>
    <t>Reset battery parameters (only on NEW unit/if battery replaced)</t>
  </si>
  <si>
    <t>Ensure shipping tick box is engaged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</si>
  <si>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</si>
  <si>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</si>
  <si>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</si>
  <si>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</si>
  <si>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</si>
  <si>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</si>
  <si>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</si>
  <si>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</si>
  <si>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</si>
  <si>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</si>
  <si>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Flush/Sample  - set to received:</t>
  </si>
  <si>
    <t>Wait time (00:00:00) - set to received:</t>
  </si>
  <si>
    <t>Repeat (x) Tests - set to received:</t>
  </si>
  <si>
    <t>Stop Testing when clean -set to received:</t>
  </si>
  <si>
    <t>Identification should be: CML4 - S/N - Firmware</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</si>
  <si>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</si>
  <si>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</si>
  <si>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</si>
  <si>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</si>
  <si>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</si>
  <si>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</si>
  <si>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</si>
  <si>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</si>
  <si>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</si>
  <si>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</si>
  <si>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</si>
  <si>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</si>
  <si>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</si>
  <si>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</si>
  <si>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</si>
  <si>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</si>
  <si>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</si>
  <si>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</si>
  <si>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</si>
  <si>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</si>
  <si>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</si>
  <si>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</si>
  <si>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</si>
  <si>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</si>
  <si>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</si>
  <si>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</si>
  <si>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</si>
  <si>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</si>
  <si>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</si>
  <si>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</si>
  <si>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</si>
  <si>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</si>
  <si>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</si>
  <si>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</si>
  <si>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</si>
  <si>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</si>
  <si>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</si>
  <si>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</si>
  <si>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</si>
  <si>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</si>
  <si>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</si>
  <si>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</si>
  <si>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</si>
  <si>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</si>
  <si>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</si>
  <si>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</si>
  <si>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</si>
  <si>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</si>
  <si>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</si>
  <si>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</si>
  <si>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</si>
  <si>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</si>
  <si>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</si>
  <si>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</si>
  <si>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</si>
  <si>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</si>
  <si>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</si>
  <si>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</si>
  <si>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</si>
  <si>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</si>
  <si>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</si>
  <si>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</si>
  <si>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</si>
  <si>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</si>
  <si>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</si>
  <si>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</si>
  <si>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</si>
  <si>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</si>
  <si>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</si>
  <si>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</si>
  <si>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</si>
  <si>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</si>
  <si>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</si>
  <si>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</si>
  <si>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</si>
  <si>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</si>
  <si>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</si>
  <si>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</si>
  <si>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</si>
  <si>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</si>
  <si>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</si>
  <si>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</si>
  <si>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</si>
  <si>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</si>
  <si>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</si>
  <si>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</si>
  <si>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</si>
  <si>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</si>
  <si>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</si>
  <si>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</si>
  <si>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</si>
  <si>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</si>
  <si>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</si>
  <si>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</si>
  <si>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</si>
  <si>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</si>
  <si>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</si>
  <si>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</si>
  <si>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</si>
  <si>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Unit flushed with IPA (50ml)</t>
  </si>
  <si>
    <t>Does pump unit show signs of leakage</t>
  </si>
  <si>
    <t>If Y to pump leak, Warranty claim?</t>
  </si>
  <si>
    <t>If Y to warranty, replace with refurb module</t>
  </si>
  <si>
    <t>Pump Refurb required</t>
  </si>
  <si>
    <t>If LEAKING, abandon further checks</t>
  </si>
  <si>
    <t>Perform Initial NV test on test rig - OK</t>
  </si>
  <si>
    <t>bar</t>
  </si>
  <si>
    <t>Test run for piston rod rotation - OK</t>
  </si>
  <si>
    <t>Is Service Quote Required for any items?</t>
  </si>
  <si>
    <t>ADVISE SALES OFFICE IF NECESSARY</t>
  </si>
  <si>
    <t>SQ sent to Sales Office</t>
  </si>
  <si>
    <t>Date SQ request sent:</t>
  </si>
  <si>
    <t>Is Sales Order Required?</t>
  </si>
  <si>
    <t>SO request made to Sales Office</t>
  </si>
  <si>
    <t>Date SO request sent:</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</si>
  <si>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</si>
  <si>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</si>
  <si>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</si>
  <si>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</si>
  <si>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</si>
  <si>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</si>
  <si>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</si>
  <si>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</si>
  <si>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</si>
  <si>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</si>
  <si>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</si>
  <si>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</si>
  <si>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</si>
  <si>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</si>
  <si>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</si>
  <si>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</si>
  <si>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</si>
  <si>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</si>
  <si>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</si>
  <si>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</si>
  <si>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</si>
  <si>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</si>
  <si>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</si>
  <si>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t>Pipework replaced</t>
  </si>
  <si>
    <r>
      <t xml:space="preserve">Serviced fittings, </t>
    </r>
    <r>
      <rPr>
        <b/>
        <sz val="11"/>
        <color rgb="FFFF0000"/>
        <rFont val="Calibri"/>
        <family val="2"/>
        <scheme val="minor"/>
      </rPr>
      <t>note # of services:</t>
    </r>
  </si>
  <si>
    <t>If # of services = 3, replace all fittings</t>
  </si>
  <si>
    <t>Ribbon Cables secured to the PCB</t>
  </si>
  <si>
    <t xml:space="preserve">ESP test complete? </t>
  </si>
  <si>
    <t>FV pressure =</t>
  </si>
  <si>
    <t xml:space="preserve">NV pressure = </t>
  </si>
  <si>
    <t>HP Test (5mins Static &amp; Pulse)</t>
  </si>
  <si>
    <t>Test mode set to Normal</t>
  </si>
  <si>
    <t>Set ISO clean alarm to 0 (zero)</t>
  </si>
  <si>
    <t>Set pump volumes back to 8ml and 7ml</t>
  </si>
  <si>
    <t>Time completed:</t>
  </si>
  <si>
    <t>CALIBRATION</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</si>
  <si>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</si>
  <si>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</si>
  <si>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</si>
  <si>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</si>
  <si>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</si>
  <si>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</si>
  <si>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</si>
  <si>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</si>
  <si>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</si>
  <si>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</si>
  <si>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</si>
  <si>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</si>
  <si>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</si>
  <si>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</si>
  <si>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</si>
  <si>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</si>
  <si>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</si>
  <si>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</si>
  <si>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</si>
  <si>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</si>
  <si>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</si>
  <si>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</si>
  <si>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</si>
  <si>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</si>
  <si>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</si>
  <si>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</si>
  <si>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</si>
  <si>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</si>
  <si>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</si>
  <si>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</si>
  <si>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</si>
  <si>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</si>
  <si>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</si>
  <si>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</si>
  <si>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</si>
  <si>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</si>
  <si>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</si>
  <si>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</si>
  <si>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</si>
  <si>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</si>
  <si>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</si>
  <si>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</si>
  <si>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</si>
  <si>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</si>
  <si>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</si>
  <si>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</si>
  <si>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</si>
  <si>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</si>
  <si>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</si>
  <si>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</si>
  <si>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</si>
  <si>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</si>
  <si>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</si>
  <si>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</si>
  <si>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</si>
  <si>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</si>
  <si>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</si>
  <si>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</si>
  <si>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</si>
  <si>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</si>
  <si>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</si>
  <si>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</si>
  <si>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</si>
  <si>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</si>
  <si>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</si>
  <si>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</si>
  <si>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</si>
  <si>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</si>
  <si>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</si>
  <si>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</si>
  <si>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</si>
  <si>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</si>
  <si>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</si>
  <si>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</si>
  <si>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</si>
  <si>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</si>
  <si>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</si>
  <si>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</si>
  <si>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</si>
  <si>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</si>
  <si>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</si>
  <si>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</si>
  <si>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</si>
  <si>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</si>
  <si>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</si>
  <si>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</si>
  <si>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</si>
  <si>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</si>
  <si>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</si>
  <si>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</si>
  <si>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</si>
  <si>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</si>
  <si>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</si>
  <si>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</si>
  <si>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</si>
  <si>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</si>
  <si>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</si>
  <si>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</si>
  <si>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</si>
  <si>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</si>
  <si>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</si>
  <si>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</si>
  <si>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</si>
  <si>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</si>
  <si>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</si>
  <si>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</si>
  <si>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</si>
  <si>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</si>
  <si>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</si>
  <si>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</si>
  <si>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</si>
  <si>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</si>
  <si>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</si>
  <si>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</si>
  <si>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</si>
  <si>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</si>
  <si>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</si>
  <si>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</si>
  <si>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</si>
  <si>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</si>
  <si>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</si>
  <si>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</si>
  <si>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</si>
  <si>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</si>
  <si>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</si>
  <si>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</si>
  <si>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</si>
  <si>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</si>
  <si>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</si>
  <si>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</si>
  <si>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</si>
  <si>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</si>
  <si>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</si>
  <si>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</si>
  <si>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</si>
  <si>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</si>
  <si>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</si>
  <si>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</si>
  <si>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</si>
  <si>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</si>
  <si>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</si>
  <si>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</si>
  <si>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</si>
  <si>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</si>
  <si>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</si>
  <si>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</si>
  <si>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</si>
  <si>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</si>
  <si>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</si>
  <si>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</si>
  <si>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</si>
  <si>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</si>
  <si>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</si>
  <si>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</si>
  <si>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</si>
  <si>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</si>
  <si>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</si>
  <si>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</si>
  <si>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</si>
  <si>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</si>
  <si>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</si>
  <si>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</si>
  <si>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</si>
  <si>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</si>
  <si>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</si>
  <si>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</si>
  <si>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</si>
  <si>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</si>
  <si>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</si>
  <si>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</si>
  <si>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</si>
  <si>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</si>
  <si>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</si>
  <si>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</si>
  <si>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</si>
  <si>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</si>
  <si>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</si>
  <si>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</si>
  <si>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</si>
  <si>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</si>
  <si>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Contamination Monitoring Product Calibration Record - CML4/CML3</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</si>
  <si>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</si>
  <si>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</si>
  <si>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</si>
  <si>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</si>
  <si>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</si>
  <si>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</si>
  <si>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</si>
  <si>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</si>
  <si>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</si>
  <si>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</si>
  <si>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</si>
  <si>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</si>
  <si>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</si>
  <si>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</si>
  <si>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</si>
  <si>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</si>
  <si>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</si>
  <si>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</si>
  <si>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5.6mg/l RM8631b</t>
  </si>
  <si>
    <t>Cert No.</t>
  </si>
  <si>
    <t>RM Batch</t>
  </si>
  <si>
    <t>RM8631b</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</si>
  <si>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</si>
  <si>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</si>
  <si>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</si>
  <si>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</si>
  <si>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</si>
  <si>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</si>
  <si>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</si>
  <si>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</si>
  <si>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</si>
  <si>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</si>
  <si>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</si>
  <si>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</si>
  <si>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</si>
  <si>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</si>
  <si>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</si>
  <si>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</si>
  <si>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</si>
  <si>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</si>
  <si>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</si>
  <si>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</si>
  <si>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</si>
  <si>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</si>
  <si>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</si>
  <si>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</si>
  <si>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</si>
  <si>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</si>
  <si>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</si>
  <si>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</si>
  <si>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</si>
  <si>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</si>
  <si>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</si>
  <si>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</si>
  <si>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</si>
  <si>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</si>
  <si>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</si>
  <si>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REFERENCE MATERIAL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</si>
  <si>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</si>
  <si>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</si>
  <si>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</si>
  <si>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</si>
  <si>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</si>
  <si>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</si>
  <si>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</si>
  <si>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</si>
  <si>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</si>
  <si>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</si>
  <si>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</si>
  <si>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</si>
  <si>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</si>
  <si>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</si>
  <si>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</si>
  <si>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</si>
  <si>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</si>
  <si>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</si>
  <si>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</si>
  <si>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</si>
  <si>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</si>
  <si>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</si>
  <si>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</si>
  <si>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</si>
  <si>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</si>
  <si>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</si>
  <si>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</si>
  <si>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</si>
  <si>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</si>
  <si>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</si>
  <si>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</si>
  <si>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</si>
  <si>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</si>
  <si>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</si>
  <si>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</si>
  <si>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</si>
  <si>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</si>
  <si>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</si>
  <si>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</si>
  <si>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</si>
  <si>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</si>
  <si>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</si>
  <si>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</si>
  <si>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</si>
  <si>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</si>
  <si>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</si>
  <si>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</si>
  <si>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</si>
  <si>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</si>
  <si>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</si>
  <si>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</si>
  <si>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</si>
  <si>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</si>
  <si>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</si>
  <si>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</si>
  <si>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</si>
  <si>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</si>
  <si>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</si>
  <si>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</si>
  <si>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</si>
  <si>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</si>
  <si>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</si>
  <si>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</si>
  <si>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</si>
  <si>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</si>
  <si>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</si>
  <si>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</si>
  <si>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</si>
  <si>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</si>
  <si>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</si>
  <si>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</si>
  <si>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</si>
  <si>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</si>
  <si>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</si>
  <si>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</si>
  <si>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</si>
  <si>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</si>
  <si>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</si>
  <si>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</si>
  <si>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</si>
  <si>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</si>
  <si>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</si>
  <si>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</si>
  <si>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</si>
  <si>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</si>
  <si>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</si>
  <si>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</si>
  <si>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</si>
  <si>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</si>
  <si>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</si>
  <si>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</si>
  <si>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</si>
  <si>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</si>
  <si>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</si>
  <si>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MEDIUM TEST DUST BATCH NUMBER</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</si>
  <si>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</si>
  <si>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</si>
  <si>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</si>
  <si>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</si>
  <si>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</si>
  <si>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</si>
  <si>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</si>
  <si>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</si>
  <si>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</si>
  <si>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</si>
  <si>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</si>
  <si>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</si>
  <si>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</si>
  <si>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</si>
  <si>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</si>
  <si>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</si>
  <si>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</si>
  <si>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</si>
  <si>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</si>
  <si>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</si>
  <si>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&gt;50</t>
  </si>
  <si>
    <t>&gt;70</t>
  </si>
  <si>
    <t>Table 4 — APC Calibration summary</t>
  </si>
  <si>
    <t>APC
Sensor</t>
  </si>
  <si>
    <t>Model</t>
  </si>
  <si>
    <t>Operator</t>
  </si>
  <si>
    <t>JMD</t>
  </si>
  <si>
    <t>Calibration type (primary or secondary)</t>
  </si>
  <si>
    <t>SECONDARY</t>
  </si>
  <si>
    <t>Calibration sample identification numbers</t>
  </si>
  <si>
    <t>RM8632b</t>
  </si>
  <si>
    <t>Noise level (Annex A)  [mV]</t>
  </si>
  <si>
    <t>Coincidence error limit (Annex B)</t>
  </si>
  <si>
    <t>particles/mL</t>
  </si>
  <si>
    <t>Sample volume (Annex A)  [mL]</t>
  </si>
  <si>
    <t>Working flow rate (Annex C)</t>
  </si>
  <si>
    <t>mL/min</t>
  </si>
  <si>
    <t>Cv, vol (Annex A)  [%]</t>
  </si>
  <si>
    <t>Flow rate range (Annex C)</t>
  </si>
  <si>
    <t>Resolution (Annex D)</t>
  </si>
  <si>
    <t>S_R</t>
  </si>
  <si>
    <t>µm</t>
  </si>
  <si>
    <t>R_R</t>
  </si>
  <si>
    <t>%</t>
  </si>
  <si>
    <t>S_L</t>
  </si>
  <si>
    <t>R_L</t>
  </si>
  <si>
    <t>d</t>
  </si>
  <si>
    <t>R</t>
  </si>
  <si>
    <t>Verification of Particle Counting Accuracy (Annex E)</t>
  </si>
  <si>
    <t>Particle Size Calibration Summary (Clause 6)</t>
  </si>
  <si>
    <t>Expected particle concentration</t>
  </si>
  <si>
    <t>Observed particle concentration</t>
  </si>
  <si>
    <t>Particle Concentration</t>
  </si>
  <si>
    <t>Threshold Setting</t>
  </si>
  <si>
    <t>µm(c)</t>
  </si>
  <si>
    <t>Particles/mL</t>
  </si>
  <si>
    <t>mV</t>
  </si>
  <si>
    <t>Keep House, Conference Way, Vale Park</t>
  </si>
  <si>
    <t>www.mpfiltri.com</t>
  </si>
  <si>
    <t>KAP</t>
  </si>
  <si>
    <t>S250602008 (35D)</t>
  </si>
  <si>
    <t xml:space="preserve">Method of calibration and traceability: 
This device was calibrated using PartiStan 2806 Secondary reference fluid, Sizes and particle concentrations determined on a primary calibrated instrument using NIST SRM 2806d. 
Particle sizes 38, 50, 70 microns calibrated using NIST traceable glass spheres in accordance with clause 6. </t>
  </si>
  <si>
    <t>NOT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</si>
</sst>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00##"/>
    <numFmt numFmtId="170" formatCode="0.0%"/>
    <numFmt numFmtId="171" formatCode="dd\ mm\ yyyy"/>
    <numFmt numFmtId="172" formatCode="[$-F800]dddd\,\ mmmm\ dd\,\ yyyy"/>
    <numFmt numFmtId="173" formatCode="[$-F400]h:mm:ss\ AM/PM"/>
    <numFmt numFmtId="174" formatCode="0.000000"/>
    <numFmt numFmtId="175" formatCode="\ ddmmyy"/>
    <numFmt numFmtId="176" formatCode=";;;"/>
    <numFmt numFmtId="177" formatCode="00###"/>
    <numFmt numFmtId="178" formatCode="00####"/>
  </numFmts>
  <fonts count="68" x14ac:knownFonts="1">
    <font>
      <sz val="10"/>
      <name val="Arial"/>
    </font>
    <font>
      <sz val="11"/>
      <color theme="1"/>
      <name val="Calibri"/>
      <family val="2"/>
      <scheme val="minor"/>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
      <sz val="10"/>
      <name val="Arial"/>
    </font>
    <font>
      <sz val="11"/>
      <color theme="1"/>
      <name val="Calibri"/>
      <family val="2"/>
      <charset val="1"/>
    </font>
    <font>
      <b/>
      <sz val="14"/>
      <name val="Calibri"/>
      <family val="2"/>
    </font>
    <font>
      <sz val="11"/>
      <name val="Calibri"/>
      <family val="2"/>
    </font>
    <font>
      <i/>
      <sz val="10"/>
      <name val="Calibri"/>
      <family val="2"/>
    </font>
    <font>
      <u/>
      <sz val="11"/>
      <color theme="10"/>
      <name val="Calibri"/>
      <family val="2"/>
      <scheme val="minor"/>
    </font>
  </fonts>
  <fills count="17">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
      <patternFill patternType="solid">
        <fgColor rgb="FFFFFDE7"/>
        <bgColor rgb="FFFFFFCC"/>
      </patternFill>
    </fill>
    <fill>
      <patternFill patternType="solid">
        <fgColor rgb="FFE8EAF6"/>
        <bgColor rgb="FFFFFDE7"/>
      </patternFill>
    </fill>
  </fills>
  <borders count="4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22"/>
      </left>
      <right style="thin">
        <color indexed="8"/>
      </right>
      <top style="thin">
        <color indexed="8"/>
      </top>
      <bottom style="thin">
        <color indexed="22"/>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22"/>
      </left>
      <right style="thin">
        <color indexed="22"/>
      </right>
      <top style="thin">
        <color indexed="22"/>
      </top>
      <bottom style="thin">
        <color indexed="22"/>
      </bottom>
      <diagonal/>
    </border>
    <border>
      <left/>
      <right/>
      <top style="thin">
        <color indexed="64"/>
      </top>
      <bottom style="thin">
        <color indexed="22"/>
      </bottom>
      <diagonal/>
    </border>
    <border>
      <left/>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1">
    <xf numFmtId="0" fontId="0" fillId="0" borderId="0"/>
    <xf numFmtId="0" fontId="6" fillId="0" borderId="0" applyNumberFormat="0" applyFill="0" applyBorder="0" applyAlignment="0" applyProtection="0">
      <alignment vertical="top"/>
      <protection locked="0"/>
    </xf>
    <xf numFmtId="0" fontId="2" fillId="0" borderId="0"/>
    <xf numFmtId="0" fontId="48" fillId="0" borderId="0" applyNumberFormat="0" applyFill="0" applyBorder="0" applyAlignment="0" applyProtection="0"/>
    <xf numFmtId="44" fontId="58" fillId="0" borderId="0" applyFont="0" applyFill="0" applyBorder="0" applyAlignment="0" applyProtection="0"/>
    <xf numFmtId="9" fontId="62" fillId="0" borderId="0" applyFont="0" applyFill="0" applyBorder="0" applyAlignment="0" applyProtection="0"/>
    <xf numFmtId="0" fontId="63" fillId="0" borderId="0"/>
    <xf numFmtId="44" fontId="2" fillId="0" borderId="0" applyFont="0" applyFill="0" applyBorder="0" applyAlignment="0" applyProtection="0"/>
    <xf numFmtId="0" fontId="1" fillId="0" borderId="0"/>
    <xf numFmtId="0" fontId="67" fillId="0" borderId="0" applyNumberFormat="0" applyFill="0" applyBorder="0" applyAlignment="0" applyProtection="0"/>
    <xf numFmtId="9" fontId="1" fillId="0" borderId="0" applyFont="0" applyFill="0" applyBorder="0" applyAlignment="0" applyProtection="0"/>
  </cellStyleXfs>
  <cellXfs count="644">
    <xf numFmtId="0" fontId="0" fillId="0" borderId="0" xfId="0"/>
    <xf numFmtId="0" fontId="0" fillId="2" borderId="0" xfId="0" applyFill="1"/>
    <xf numFmtId="0" fontId="0" fillId="2" borderId="0" xfId="0" applyFill="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0" xfId="0" quotePrefix="1" applyFill="1"/>
    <xf numFmtId="0" fontId="4" fillId="2" borderId="3" xfId="0" applyFont="1" applyFill="1" applyBorder="1" applyAlignment="1">
      <alignment horizontal="center"/>
    </xf>
    <xf numFmtId="0" fontId="4" fillId="2" borderId="4" xfId="0" applyFont="1" applyFill="1" applyBorder="1" applyAlignment="1">
      <alignment horizontal="center"/>
    </xf>
    <xf numFmtId="0" fontId="14" fillId="2" borderId="0" xfId="0" applyFont="1" applyFill="1" applyAlignment="1">
      <alignment horizontal="left"/>
    </xf>
    <xf numFmtId="2" fontId="0" fillId="3" borderId="3" xfId="0" applyNumberFormat="1" applyFill="1" applyBorder="1" applyAlignment="1">
      <alignment horizontal="center"/>
    </xf>
    <xf numFmtId="2" fontId="0" fillId="3" borderId="4" xfId="0" applyNumberFormat="1" applyFill="1" applyBorder="1" applyAlignment="1">
      <alignment horizontal="center"/>
    </xf>
    <xf numFmtId="0" fontId="0" fillId="4" borderId="5" xfId="0" applyFill="1" applyBorder="1" applyAlignment="1">
      <alignment horizontal="center"/>
    </xf>
    <xf numFmtId="0" fontId="0" fillId="4" borderId="6" xfId="0" applyFill="1" applyBorder="1" applyAlignment="1">
      <alignment horizontal="center"/>
    </xf>
    <xf numFmtId="2" fontId="0" fillId="3" borderId="7" xfId="0" applyNumberFormat="1" applyFill="1" applyBorder="1" applyAlignment="1">
      <alignment horizontal="center"/>
    </xf>
    <xf numFmtId="2" fontId="0" fillId="3" borderId="8" xfId="0" applyNumberFormat="1" applyFill="1" applyBorder="1" applyAlignment="1">
      <alignment horizontal="center"/>
    </xf>
    <xf numFmtId="0" fontId="17" fillId="2" borderId="3" xfId="0" applyFont="1" applyFill="1" applyBorder="1" applyAlignment="1">
      <alignment horizontal="center"/>
    </xf>
    <xf numFmtId="0" fontId="17" fillId="2" borderId="4" xfId="0" applyFont="1" applyFill="1" applyBorder="1" applyAlignment="1">
      <alignment horizontal="center"/>
    </xf>
    <xf numFmtId="164" fontId="17" fillId="3" borderId="0" xfId="0" applyNumberFormat="1" applyFont="1" applyFill="1" applyAlignment="1">
      <alignment horizontal="center"/>
    </xf>
    <xf numFmtId="164" fontId="17" fillId="3" borderId="2" xfId="0" applyNumberFormat="1" applyFont="1" applyFill="1" applyBorder="1" applyAlignment="1">
      <alignment horizontal="center"/>
    </xf>
    <xf numFmtId="0" fontId="16" fillId="4" borderId="5" xfId="0" applyFont="1" applyFill="1" applyBorder="1" applyAlignment="1">
      <alignment horizontal="center"/>
    </xf>
    <xf numFmtId="0" fontId="18" fillId="4" borderId="5" xfId="0" applyFont="1" applyFill="1" applyBorder="1" applyAlignment="1">
      <alignment horizontal="center"/>
    </xf>
    <xf numFmtId="0" fontId="18" fillId="4" borderId="6" xfId="0" applyFont="1" applyFill="1" applyBorder="1" applyAlignment="1">
      <alignment horizontal="center"/>
    </xf>
    <xf numFmtId="2" fontId="16" fillId="4" borderId="0" xfId="0" applyNumberFormat="1" applyFont="1" applyFill="1" applyAlignment="1">
      <alignment horizontal="center"/>
    </xf>
    <xf numFmtId="2" fontId="18" fillId="4" borderId="0" xfId="0" applyNumberFormat="1" applyFont="1" applyFill="1" applyAlignment="1">
      <alignment horizontal="center"/>
    </xf>
    <xf numFmtId="2" fontId="18" fillId="4" borderId="2" xfId="0" applyNumberFormat="1" applyFont="1" applyFill="1" applyBorder="1" applyAlignment="1">
      <alignment horizontal="center"/>
    </xf>
    <xf numFmtId="2" fontId="3" fillId="3" borderId="0" xfId="0" applyNumberFormat="1" applyFont="1" applyFill="1" applyAlignment="1">
      <alignment horizontal="center"/>
    </xf>
    <xf numFmtId="2" fontId="3" fillId="3" borderId="2" xfId="0" applyNumberFormat="1" applyFont="1" applyFill="1" applyBorder="1" applyAlignment="1">
      <alignment horizontal="center"/>
    </xf>
    <xf numFmtId="0" fontId="3" fillId="4" borderId="5" xfId="0" applyFont="1" applyFill="1" applyBorder="1" applyAlignment="1">
      <alignment horizontal="center"/>
    </xf>
    <xf numFmtId="0" fontId="0" fillId="4" borderId="0" xfId="0" applyFill="1" applyAlignment="1">
      <alignment horizontal="center"/>
    </xf>
    <xf numFmtId="0" fontId="3" fillId="4" borderId="6" xfId="0" applyFont="1" applyFill="1" applyBorder="1" applyAlignment="1">
      <alignment horizontal="center"/>
    </xf>
    <xf numFmtId="0" fontId="0" fillId="4" borderId="2" xfId="0" applyFill="1" applyBorder="1" applyAlignment="1">
      <alignment horizontal="center"/>
    </xf>
    <xf numFmtId="0" fontId="4" fillId="4" borderId="3" xfId="0" applyFont="1" applyFill="1" applyBorder="1" applyAlignment="1">
      <alignment horizontal="center"/>
    </xf>
    <xf numFmtId="0" fontId="3" fillId="2" borderId="0" xfId="0" applyFont="1" applyFill="1" applyAlignment="1">
      <alignment horizontal="left" vertical="center"/>
    </xf>
    <xf numFmtId="0" fontId="21" fillId="2" borderId="0" xfId="1" applyFont="1" applyFill="1" applyAlignment="1" applyProtection="1"/>
    <xf numFmtId="0" fontId="37" fillId="2" borderId="0" xfId="0" applyFont="1" applyFill="1" applyAlignment="1">
      <alignment horizontal="left" vertical="center"/>
    </xf>
    <xf numFmtId="2" fontId="36"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9" fillId="2" borderId="0" xfId="0" applyFont="1" applyFill="1" applyAlignment="1">
      <alignment horizontal="left"/>
    </xf>
    <xf numFmtId="0" fontId="9" fillId="2" borderId="0" xfId="0" applyFont="1" applyFill="1"/>
    <xf numFmtId="0" fontId="10" fillId="2" borderId="0" xfId="0" applyFont="1" applyFill="1"/>
    <xf numFmtId="0" fontId="0" fillId="2" borderId="2" xfId="0" applyFill="1" applyBorder="1"/>
    <xf numFmtId="0" fontId="29" fillId="2" borderId="9" xfId="0" applyFont="1" applyFill="1" applyBorder="1" applyAlignment="1">
      <alignment horizontal="left"/>
    </xf>
    <xf numFmtId="0" fontId="31" fillId="2" borderId="9" xfId="0" applyFont="1" applyFill="1" applyBorder="1" applyAlignment="1">
      <alignment horizontal="left"/>
    </xf>
    <xf numFmtId="0" fontId="0" fillId="0" borderId="0" xfId="0" applyAlignment="1">
      <alignment horizontal="left"/>
    </xf>
    <xf numFmtId="0" fontId="8" fillId="0" borderId="0" xfId="0" applyFont="1" applyAlignment="1">
      <alignment horizontal="left" vertical="center"/>
    </xf>
    <xf numFmtId="0" fontId="7" fillId="0" borderId="0" xfId="0" applyFont="1" applyAlignment="1">
      <alignment horizontal="left" vertical="center"/>
    </xf>
    <xf numFmtId="0" fontId="12" fillId="2" borderId="9" xfId="0" applyFont="1" applyFill="1" applyBorder="1" applyAlignment="1">
      <alignment horizontal="center"/>
    </xf>
    <xf numFmtId="0" fontId="12" fillId="2" borderId="9" xfId="0" applyFont="1" applyFill="1" applyBorder="1" applyAlignment="1">
      <alignment horizontal="left" vertical="center"/>
    </xf>
    <xf numFmtId="0" fontId="0" fillId="2" borderId="20" xfId="0" applyFill="1" applyBorder="1" applyAlignment="1">
      <alignment vertical="center"/>
    </xf>
    <xf numFmtId="0" fontId="5" fillId="2" borderId="0" xfId="0" applyFont="1" applyFill="1" applyAlignment="1">
      <alignment vertical="center"/>
    </xf>
    <xf numFmtId="0" fontId="7" fillId="2" borderId="20" xfId="0" applyFont="1" applyFill="1" applyBorder="1" applyAlignment="1">
      <alignment vertical="center"/>
    </xf>
    <xf numFmtId="0" fontId="11" fillId="2" borderId="0" xfId="0" applyFont="1" applyFill="1" applyAlignment="1">
      <alignment horizontal="left" vertical="center"/>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14" xfId="0" applyFill="1" applyBorder="1" applyAlignment="1">
      <alignment horizontal="center" vertical="center" wrapText="1"/>
    </xf>
    <xf numFmtId="0" fontId="30" fillId="2" borderId="0" xfId="0" applyFont="1" applyFill="1" applyAlignment="1">
      <alignment horizontal="center"/>
    </xf>
    <xf numFmtId="168" fontId="0" fillId="2" borderId="0" xfId="0" applyNumberFormat="1" applyFill="1" applyAlignment="1">
      <alignment horizontal="center" vertical="center"/>
    </xf>
    <xf numFmtId="0" fontId="7" fillId="2" borderId="0" xfId="0" applyFont="1" applyFill="1"/>
    <xf numFmtId="0" fontId="0" fillId="2" borderId="21" xfId="0" applyFill="1" applyBorder="1" applyAlignment="1">
      <alignment horizontal="left" vertical="center"/>
    </xf>
    <xf numFmtId="0" fontId="7" fillId="2" borderId="21" xfId="0" applyFont="1" applyFill="1" applyBorder="1" applyAlignment="1">
      <alignment horizontal="left" vertical="center"/>
    </xf>
    <xf numFmtId="0" fontId="20" fillId="2" borderId="0" xfId="0" applyFont="1" applyFill="1"/>
    <xf numFmtId="0" fontId="8" fillId="2" borderId="0" xfId="0" applyFont="1" applyFill="1"/>
    <xf numFmtId="0" fontId="9" fillId="2" borderId="0" xfId="0" applyFont="1" applyFill="1" applyAlignment="1">
      <alignment horizontal="center"/>
    </xf>
    <xf numFmtId="0" fontId="10" fillId="5" borderId="0" xfId="0" applyFont="1" applyFill="1" applyAlignment="1">
      <alignment horizontal="center" vertical="center" wrapText="1"/>
    </xf>
    <xf numFmtId="0" fontId="10" fillId="5" borderId="0" xfId="0" applyFont="1" applyFill="1" applyAlignment="1">
      <alignment vertical="center" wrapText="1"/>
    </xf>
    <xf numFmtId="0" fontId="3" fillId="2" borderId="0" xfId="0" applyFont="1" applyFill="1" applyAlignment="1">
      <alignment horizontal="center" vertical="center"/>
    </xf>
    <xf numFmtId="0" fontId="3" fillId="2" borderId="0" xfId="0" applyFont="1" applyFill="1" applyAlignment="1">
      <alignment vertical="center" wrapText="1"/>
    </xf>
    <xf numFmtId="0" fontId="10" fillId="2" borderId="0" xfId="0" applyFont="1" applyFill="1" applyAlignment="1">
      <alignment vertical="center" wrapText="1"/>
    </xf>
    <xf numFmtId="0" fontId="10" fillId="2" borderId="0" xfId="0" applyFont="1" applyFill="1" applyAlignment="1">
      <alignment vertical="center"/>
    </xf>
    <xf numFmtId="0" fontId="12" fillId="2" borderId="0" xfId="0" applyFont="1" applyFill="1"/>
    <xf numFmtId="0" fontId="14" fillId="2" borderId="0" xfId="0" applyFont="1" applyFill="1"/>
    <xf numFmtId="0" fontId="7" fillId="0" borderId="0" xfId="0" applyFont="1" applyAlignment="1">
      <alignment horizontal="center"/>
    </xf>
    <xf numFmtId="0" fontId="3" fillId="2" borderId="0" xfId="0" applyFont="1" applyFill="1"/>
    <xf numFmtId="0" fontId="8" fillId="2" borderId="0" xfId="0" applyFont="1" applyFill="1" applyAlignment="1">
      <alignment horizontal="center" vertical="center" wrapText="1"/>
    </xf>
    <xf numFmtId="0" fontId="12" fillId="2" borderId="0" xfId="0" applyFont="1" applyFill="1" applyAlignment="1">
      <alignment horizontal="center" vertical="center" wrapText="1"/>
    </xf>
    <xf numFmtId="0" fontId="27" fillId="2" borderId="0" xfId="0" applyFont="1" applyFill="1"/>
    <xf numFmtId="0" fontId="26" fillId="2" borderId="0" xfId="0" applyFont="1" applyFill="1"/>
    <xf numFmtId="0" fontId="4" fillId="2" borderId="0" xfId="0" applyFont="1" applyFill="1"/>
    <xf numFmtId="0" fontId="26" fillId="2" borderId="0" xfId="0" applyFont="1" applyFill="1" applyAlignment="1">
      <alignment horizontal="center" vertical="center" wrapText="1"/>
    </xf>
    <xf numFmtId="0" fontId="4" fillId="2" borderId="9" xfId="0" applyFont="1" applyFill="1" applyBorder="1"/>
    <xf numFmtId="0" fontId="0" fillId="2" borderId="9" xfId="0" applyFill="1" applyBorder="1"/>
    <xf numFmtId="0" fontId="8" fillId="2" borderId="0" xfId="0" applyFont="1" applyFill="1" applyAlignment="1">
      <alignment horizontal="center" vertical="center"/>
    </xf>
    <xf numFmtId="0" fontId="11" fillId="2" borderId="0" xfId="0" applyFont="1" applyFill="1" applyAlignment="1">
      <alignment horizontal="right"/>
    </xf>
    <xf numFmtId="0" fontId="11" fillId="2" borderId="0" xfId="0" applyFont="1" applyFill="1" applyAlignment="1">
      <alignment horizontal="center"/>
    </xf>
    <xf numFmtId="1" fontId="36" fillId="2" borderId="0" xfId="0" applyNumberFormat="1" applyFont="1" applyFill="1" applyAlignment="1">
      <alignment horizontal="right" vertical="center"/>
    </xf>
    <xf numFmtId="166" fontId="36" fillId="2" borderId="0" xfId="0" applyNumberFormat="1" applyFont="1" applyFill="1" applyAlignment="1">
      <alignment horizontal="left" vertical="center"/>
    </xf>
    <xf numFmtId="2" fontId="36" fillId="2" borderId="0" xfId="0" applyNumberFormat="1" applyFont="1" applyFill="1" applyAlignment="1">
      <alignment horizontal="center" vertical="center"/>
    </xf>
    <xf numFmtId="1" fontId="12" fillId="2" borderId="0" xfId="0" applyNumberFormat="1" applyFont="1" applyFill="1" applyAlignment="1">
      <alignment horizontal="center" vertical="center"/>
    </xf>
    <xf numFmtId="0" fontId="33" fillId="0" borderId="0" xfId="0" applyFont="1" applyAlignment="1">
      <alignment vertical="center"/>
    </xf>
    <xf numFmtId="0" fontId="0" fillId="2" borderId="15" xfId="0" applyFill="1" applyBorder="1" applyAlignment="1">
      <alignment horizontal="center" vertical="center"/>
    </xf>
    <xf numFmtId="10" fontId="0" fillId="2" borderId="16" xfId="0" applyNumberFormat="1" applyFill="1" applyBorder="1" applyAlignment="1">
      <alignment horizontal="center" vertical="center"/>
    </xf>
    <xf numFmtId="0" fontId="0" fillId="2" borderId="17" xfId="0" applyFill="1" applyBorder="1" applyAlignment="1">
      <alignment horizontal="center" vertical="center"/>
    </xf>
    <xf numFmtId="1" fontId="0" fillId="2" borderId="18" xfId="0" applyNumberFormat="1" applyFill="1" applyBorder="1" applyAlignment="1">
      <alignment horizontal="center" vertical="center"/>
    </xf>
    <xf numFmtId="169" fontId="0" fillId="2" borderId="22" xfId="0" applyNumberFormat="1" applyFill="1" applyBorder="1" applyAlignment="1">
      <alignment horizontal="left" vertical="center"/>
    </xf>
    <xf numFmtId="2" fontId="0" fillId="2" borderId="0" xfId="0" applyNumberFormat="1" applyFill="1"/>
    <xf numFmtId="0" fontId="12"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1" fontId="0" fillId="0" borderId="0" xfId="0" applyNumberFormat="1"/>
    <xf numFmtId="1" fontId="2" fillId="6" borderId="18" xfId="0" applyNumberFormat="1" applyFont="1" applyFill="1" applyBorder="1" applyAlignment="1" applyProtection="1">
      <alignment horizontal="center" vertical="center"/>
      <protection locked="0"/>
    </xf>
    <xf numFmtId="49" fontId="2" fillId="0" borderId="0" xfId="0" applyNumberFormat="1" applyFont="1" applyAlignment="1">
      <alignment horizontal="right" vertical="center"/>
    </xf>
    <xf numFmtId="49" fontId="2" fillId="2" borderId="21" xfId="0" applyNumberFormat="1" applyFont="1" applyFill="1" applyBorder="1" applyAlignment="1">
      <alignment horizontal="right" vertical="center"/>
    </xf>
    <xf numFmtId="0" fontId="2" fillId="0" borderId="0" xfId="0" applyFont="1"/>
    <xf numFmtId="0" fontId="10" fillId="6" borderId="0" xfId="0" applyFont="1" applyFill="1" applyAlignment="1">
      <alignment horizontal="center" vertical="center" wrapText="1"/>
    </xf>
    <xf numFmtId="0" fontId="25" fillId="6" borderId="0" xfId="0" applyFont="1" applyFill="1" applyAlignment="1">
      <alignment horizontal="center" vertical="center" wrapText="1"/>
    </xf>
    <xf numFmtId="0" fontId="24" fillId="6" borderId="0" xfId="0" applyFont="1" applyFill="1" applyAlignment="1">
      <alignment horizontal="center" vertical="center" wrapText="1"/>
    </xf>
    <xf numFmtId="1" fontId="24" fillId="6" borderId="0" xfId="0" applyNumberFormat="1" applyFont="1" applyFill="1" applyAlignment="1">
      <alignment horizontal="center" vertical="center" wrapText="1"/>
    </xf>
    <xf numFmtId="2" fontId="24" fillId="6" borderId="0" xfId="0" applyNumberFormat="1" applyFont="1" applyFill="1" applyAlignment="1">
      <alignment horizontal="center" vertical="center" wrapText="1"/>
    </xf>
    <xf numFmtId="0" fontId="3" fillId="2" borderId="0" xfId="0" applyFont="1" applyFill="1" applyAlignment="1" applyProtection="1">
      <alignment vertical="center"/>
      <protection locked="0"/>
    </xf>
    <xf numFmtId="165" fontId="3" fillId="2" borderId="0" xfId="0" applyNumberFormat="1" applyFont="1" applyFill="1" applyAlignment="1" applyProtection="1">
      <alignment vertical="center"/>
      <protection locked="0"/>
    </xf>
    <xf numFmtId="0" fontId="3" fillId="2" borderId="2" xfId="0" applyFont="1" applyFill="1" applyBorder="1" applyAlignment="1">
      <alignment horizontal="center" vertical="center"/>
    </xf>
    <xf numFmtId="0" fontId="3" fillId="2" borderId="0" xfId="0" applyFont="1" applyFill="1" applyAlignment="1">
      <alignment vertical="center"/>
    </xf>
    <xf numFmtId="0" fontId="2" fillId="2" borderId="0" xfId="0" applyFont="1" applyFill="1" applyAlignment="1">
      <alignment horizontal="right" vertical="center"/>
    </xf>
    <xf numFmtId="0" fontId="3" fillId="6" borderId="2" xfId="0" applyFont="1" applyFill="1" applyBorder="1" applyAlignment="1">
      <alignment horizontal="center" vertical="center"/>
    </xf>
    <xf numFmtId="0" fontId="3" fillId="6" borderId="2" xfId="0" applyFont="1" applyFill="1" applyBorder="1" applyAlignment="1" applyProtection="1">
      <alignment horizontal="center" vertical="center"/>
      <protection locked="0"/>
    </xf>
    <xf numFmtId="0" fontId="2" fillId="2" borderId="0" xfId="0" applyFont="1" applyFill="1" applyAlignment="1">
      <alignment vertical="center"/>
    </xf>
    <xf numFmtId="0" fontId="3" fillId="0" borderId="0" xfId="0" applyFont="1" applyAlignment="1">
      <alignment vertical="center"/>
    </xf>
    <xf numFmtId="0" fontId="5" fillId="0" borderId="0" xfId="0" applyFont="1" applyAlignment="1">
      <alignment vertical="center"/>
    </xf>
    <xf numFmtId="0" fontId="3" fillId="0" borderId="0" xfId="0" applyFont="1" applyAlignment="1" applyProtection="1">
      <alignment horizontal="center" vertical="center"/>
      <protection locked="0"/>
    </xf>
    <xf numFmtId="2" fontId="3" fillId="0" borderId="0" xfId="0" applyNumberFormat="1" applyFont="1" applyAlignment="1">
      <alignment vertical="center"/>
    </xf>
    <xf numFmtId="1" fontId="3" fillId="0" borderId="0" xfId="0" applyNumberFormat="1" applyFont="1" applyAlignment="1">
      <alignment vertical="center"/>
    </xf>
    <xf numFmtId="1" fontId="5" fillId="0" borderId="0" xfId="0" applyNumberFormat="1" applyFont="1" applyAlignment="1">
      <alignment vertical="center"/>
    </xf>
    <xf numFmtId="1" fontId="39" fillId="0" borderId="0" xfId="0" applyNumberFormat="1" applyFont="1" applyAlignment="1">
      <alignment horizontal="center" vertical="center"/>
    </xf>
    <xf numFmtId="0" fontId="3" fillId="6" borderId="0" xfId="0" applyFont="1" applyFill="1" applyAlignment="1">
      <alignment vertical="center"/>
    </xf>
    <xf numFmtId="0" fontId="5" fillId="6" borderId="0" xfId="0" applyFont="1" applyFill="1" applyAlignment="1">
      <alignment vertical="center"/>
    </xf>
    <xf numFmtId="2" fontId="19" fillId="6" borderId="0" xfId="0" applyNumberFormat="1" applyFont="1" applyFill="1" applyAlignment="1">
      <alignment vertical="center"/>
    </xf>
    <xf numFmtId="0" fontId="37" fillId="2" borderId="0" xfId="0" applyFont="1" applyFill="1" applyAlignment="1">
      <alignment vertical="center"/>
    </xf>
    <xf numFmtId="0" fontId="3" fillId="0" borderId="0" xfId="2" applyFont="1" applyAlignment="1">
      <alignment vertical="center"/>
    </xf>
    <xf numFmtId="0" fontId="3" fillId="0" borderId="0" xfId="2" applyFont="1" applyAlignment="1">
      <alignment horizontal="left" vertical="center"/>
    </xf>
    <xf numFmtId="0" fontId="3" fillId="0" borderId="0" xfId="2" applyFont="1" applyAlignment="1">
      <alignment horizontal="center" vertical="center"/>
    </xf>
    <xf numFmtId="0" fontId="3" fillId="0" borderId="0" xfId="0" applyFont="1" applyAlignment="1">
      <alignment horizontal="left" vertical="center"/>
    </xf>
    <xf numFmtId="0" fontId="43" fillId="6" borderId="0" xfId="0" applyFont="1" applyFill="1" applyAlignment="1">
      <alignment horizontal="center" vertical="center"/>
    </xf>
    <xf numFmtId="0" fontId="44" fillId="0" borderId="0" xfId="0" applyFont="1" applyAlignment="1">
      <alignment horizontal="center" vertical="center"/>
    </xf>
    <xf numFmtId="0" fontId="43" fillId="6" borderId="0" xfId="0" applyFont="1" applyFill="1" applyAlignment="1">
      <alignment horizontal="left" vertical="center"/>
    </xf>
    <xf numFmtId="0" fontId="44" fillId="6" borderId="0" xfId="0" applyFont="1" applyFill="1" applyAlignment="1">
      <alignment horizontal="left" vertical="center"/>
    </xf>
    <xf numFmtId="0" fontId="44" fillId="0" borderId="0" xfId="0" applyFont="1" applyAlignment="1">
      <alignment horizontal="left" vertical="center"/>
    </xf>
    <xf numFmtId="0" fontId="44" fillId="0" borderId="0" xfId="0" applyFont="1" applyAlignment="1">
      <alignment vertical="center"/>
    </xf>
    <xf numFmtId="0" fontId="42" fillId="0" borderId="0" xfId="0" applyFont="1" applyAlignment="1">
      <alignment vertical="center"/>
    </xf>
    <xf numFmtId="0" fontId="0" fillId="10" borderId="0" xfId="0" applyFill="1" applyAlignment="1" applyProtection="1">
      <alignment vertical="center"/>
      <protection locked="0"/>
    </xf>
    <xf numFmtId="0" fontId="46" fillId="0" borderId="0" xfId="0" applyFont="1" applyAlignment="1">
      <alignment horizontal="center" vertical="center"/>
    </xf>
    <xf numFmtId="0" fontId="2" fillId="0" borderId="0" xfId="0" applyFont="1" applyAlignment="1">
      <alignment horizontal="center" vertical="center"/>
    </xf>
    <xf numFmtId="0" fontId="44" fillId="0" borderId="0" xfId="0" applyFont="1" applyAlignment="1" applyProtection="1">
      <alignment horizontal="center" vertical="center"/>
      <protection locked="0"/>
    </xf>
    <xf numFmtId="0" fontId="44" fillId="6" borderId="0" xfId="0" applyFont="1" applyFill="1" applyAlignment="1">
      <alignment vertical="center"/>
    </xf>
    <xf numFmtId="0" fontId="44" fillId="0" borderId="0" xfId="0" quotePrefix="1" applyFont="1" applyAlignment="1">
      <alignment horizontal="center" vertical="center"/>
    </xf>
    <xf numFmtId="0" fontId="45" fillId="6" borderId="0" xfId="0" applyFont="1" applyFill="1" applyAlignment="1">
      <alignment horizontal="center" vertical="center"/>
    </xf>
    <xf numFmtId="0" fontId="47" fillId="6" borderId="0" xfId="0" applyFont="1" applyFill="1" applyAlignment="1">
      <alignment horizontal="center" vertical="center"/>
    </xf>
    <xf numFmtId="0" fontId="44" fillId="6" borderId="0" xfId="0" applyFont="1" applyFill="1" applyAlignment="1" applyProtection="1">
      <alignment horizontal="center" vertical="center"/>
      <protection locked="0"/>
    </xf>
    <xf numFmtId="0" fontId="43" fillId="0" borderId="0" xfId="0" applyFont="1" applyAlignment="1">
      <alignment vertical="center"/>
    </xf>
    <xf numFmtId="173" fontId="44" fillId="6" borderId="0" xfId="0" applyNumberFormat="1" applyFont="1" applyFill="1" applyAlignment="1">
      <alignment vertical="center"/>
    </xf>
    <xf numFmtId="0" fontId="43" fillId="6" borderId="0" xfId="0" applyFont="1" applyFill="1" applyAlignment="1">
      <alignment vertical="center"/>
    </xf>
    <xf numFmtId="0" fontId="43" fillId="10" borderId="0" xfId="0" applyFont="1" applyFill="1" applyAlignment="1" applyProtection="1">
      <alignment horizontal="left" vertical="center"/>
      <protection locked="0"/>
    </xf>
    <xf numFmtId="0" fontId="43" fillId="6" borderId="8" xfId="0" applyFont="1" applyFill="1" applyBorder="1" applyAlignment="1">
      <alignment vertical="center"/>
    </xf>
    <xf numFmtId="0" fontId="43" fillId="6" borderId="8" xfId="0" applyFont="1" applyFill="1" applyBorder="1" applyAlignment="1">
      <alignment horizontal="left" vertical="center"/>
    </xf>
    <xf numFmtId="164" fontId="44" fillId="0" borderId="0" xfId="0" applyNumberFormat="1" applyFont="1" applyAlignment="1" applyProtection="1">
      <alignment horizontal="center" vertical="center"/>
      <protection locked="0"/>
    </xf>
    <xf numFmtId="0" fontId="44" fillId="6" borderId="0" xfId="0" applyFont="1" applyFill="1" applyAlignment="1">
      <alignment horizontal="center" vertical="center"/>
    </xf>
    <xf numFmtId="0" fontId="44" fillId="10" borderId="8" xfId="0" applyFont="1" applyFill="1" applyBorder="1" applyAlignment="1" applyProtection="1">
      <alignment horizontal="center" vertical="center"/>
      <protection locked="0"/>
    </xf>
    <xf numFmtId="0" fontId="43" fillId="10" borderId="0" xfId="0" applyFont="1" applyFill="1" applyAlignment="1" applyProtection="1">
      <alignment horizontal="right" vertical="center"/>
      <protection locked="0"/>
    </xf>
    <xf numFmtId="0" fontId="43" fillId="10" borderId="0" xfId="0" applyFont="1" applyFill="1" applyAlignment="1" applyProtection="1">
      <alignment vertical="center"/>
      <protection locked="0"/>
    </xf>
    <xf numFmtId="0" fontId="43" fillId="10" borderId="0" xfId="0" applyFont="1" applyFill="1" applyAlignment="1">
      <alignment horizontal="right" vertical="center"/>
    </xf>
    <xf numFmtId="0" fontId="43" fillId="10" borderId="0" xfId="0" applyFont="1" applyFill="1" applyAlignment="1">
      <alignment horizontal="left" vertical="center"/>
    </xf>
    <xf numFmtId="0" fontId="43" fillId="0" borderId="0" xfId="0" applyFont="1" applyAlignment="1">
      <alignment horizontal="left" vertical="center"/>
    </xf>
    <xf numFmtId="0" fontId="44" fillId="0" borderId="0" xfId="0" applyFont="1" applyAlignment="1" applyProtection="1">
      <alignment vertical="center"/>
      <protection locked="0"/>
    </xf>
    <xf numFmtId="0" fontId="43" fillId="0" borderId="0" xfId="2" applyFont="1" applyAlignment="1">
      <alignment vertical="center"/>
    </xf>
    <xf numFmtId="0" fontId="50" fillId="0" borderId="0" xfId="2" applyFont="1" applyAlignment="1">
      <alignment vertical="center"/>
    </xf>
    <xf numFmtId="0" fontId="41" fillId="0" borderId="0" xfId="2" applyFont="1" applyAlignment="1">
      <alignment horizontal="center" vertical="center"/>
    </xf>
    <xf numFmtId="0" fontId="43" fillId="6" borderId="0" xfId="0" applyFont="1" applyFill="1" applyAlignment="1" applyProtection="1">
      <alignment horizontal="left" vertical="center"/>
      <protection locked="0"/>
    </xf>
    <xf numFmtId="172" fontId="44" fillId="6" borderId="0" xfId="0" applyNumberFormat="1" applyFont="1" applyFill="1" applyAlignment="1">
      <alignment vertical="center"/>
    </xf>
    <xf numFmtId="0" fontId="53" fillId="10" borderId="0" xfId="0" applyFont="1" applyFill="1" applyAlignment="1" applyProtection="1">
      <alignment vertical="center"/>
      <protection locked="0"/>
    </xf>
    <xf numFmtId="0" fontId="41" fillId="10" borderId="7" xfId="2" applyFont="1" applyFill="1" applyBorder="1" applyAlignment="1" applyProtection="1">
      <alignment horizontal="center" vertical="center"/>
      <protection locked="0"/>
    </xf>
    <xf numFmtId="0" fontId="51" fillId="10" borderId="8" xfId="2"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7" fillId="10" borderId="0" xfId="0" applyFont="1" applyFill="1" applyAlignment="1" applyProtection="1">
      <alignment horizontal="left" vertical="center"/>
      <protection locked="0"/>
    </xf>
    <xf numFmtId="0" fontId="47" fillId="6" borderId="0" xfId="0" applyFont="1" applyFill="1" applyAlignment="1">
      <alignment vertical="center"/>
    </xf>
    <xf numFmtId="0" fontId="45" fillId="6" borderId="0" xfId="0" applyFont="1" applyFill="1" applyAlignment="1">
      <alignment vertical="center"/>
    </xf>
    <xf numFmtId="0" fontId="46" fillId="0" borderId="0" xfId="0" applyFont="1" applyAlignment="1">
      <alignment vertical="center"/>
    </xf>
    <xf numFmtId="0" fontId="44" fillId="0" borderId="0" xfId="2" applyFont="1" applyAlignment="1">
      <alignment vertical="center"/>
    </xf>
    <xf numFmtId="0" fontId="47" fillId="12" borderId="0" xfId="0" applyFont="1" applyFill="1" applyAlignment="1">
      <alignment horizontal="center" vertical="center"/>
    </xf>
    <xf numFmtId="0" fontId="51" fillId="0" borderId="0" xfId="2" applyFont="1" applyAlignment="1">
      <alignment vertical="center"/>
    </xf>
    <xf numFmtId="0" fontId="51" fillId="0" borderId="0" xfId="2" applyFont="1" applyAlignment="1">
      <alignment horizontal="center" vertical="center"/>
    </xf>
    <xf numFmtId="0" fontId="43" fillId="0" borderId="0" xfId="2" applyFont="1" applyAlignment="1">
      <alignment horizontal="center" vertical="center"/>
    </xf>
    <xf numFmtId="0" fontId="44" fillId="0" borderId="0" xfId="2" applyFont="1" applyAlignment="1">
      <alignment horizontal="center" vertical="center"/>
    </xf>
    <xf numFmtId="0" fontId="43" fillId="0" borderId="0" xfId="0" applyFont="1" applyAlignment="1">
      <alignment horizontal="center" vertical="center"/>
    </xf>
    <xf numFmtId="1" fontId="44" fillId="0" borderId="0" xfId="0" applyNumberFormat="1" applyFont="1" applyAlignment="1">
      <alignment horizontal="center" vertical="center"/>
    </xf>
    <xf numFmtId="1" fontId="43" fillId="0" borderId="0" xfId="0" applyNumberFormat="1" applyFont="1" applyAlignment="1">
      <alignment horizontal="center" vertical="center"/>
    </xf>
    <xf numFmtId="0" fontId="43" fillId="0" borderId="0" xfId="0" applyFont="1" applyAlignment="1" applyProtection="1">
      <alignment horizontal="left" vertical="center"/>
      <protection locked="0"/>
    </xf>
    <xf numFmtId="0" fontId="3" fillId="0" borderId="0" xfId="0" applyFont="1"/>
    <xf numFmtId="0" fontId="3" fillId="0" borderId="2" xfId="0" applyFont="1" applyBorder="1" applyAlignment="1">
      <alignment horizontal="center" vertical="center"/>
    </xf>
    <xf numFmtId="0" fontId="20" fillId="0" borderId="0" xfId="0" applyFont="1"/>
    <xf numFmtId="0" fontId="20" fillId="0" borderId="0" xfId="2" applyFont="1" applyAlignment="1">
      <alignment vertical="center"/>
    </xf>
    <xf numFmtId="0" fontId="2" fillId="0" borderId="2" xfId="0" applyFont="1" applyBorder="1"/>
    <xf numFmtId="0" fontId="2" fillId="0" borderId="0" xfId="0" applyFont="1" applyAlignment="1">
      <alignment horizontal="left" vertical="center"/>
    </xf>
    <xf numFmtId="0" fontId="51" fillId="0" borderId="0" xfId="2" applyFont="1" applyAlignment="1">
      <alignment horizontal="left" vertical="center"/>
    </xf>
    <xf numFmtId="0" fontId="2" fillId="0" borderId="0" xfId="2" applyAlignment="1">
      <alignment horizontal="center" vertical="center"/>
    </xf>
    <xf numFmtId="0" fontId="2" fillId="0" borderId="0" xfId="2" applyAlignment="1">
      <alignment vertical="center"/>
    </xf>
    <xf numFmtId="0" fontId="2" fillId="0" borderId="6" xfId="0" quotePrefix="1" applyFont="1" applyBorder="1"/>
    <xf numFmtId="0" fontId="2" fillId="0" borderId="5" xfId="0" applyFont="1" applyBorder="1"/>
    <xf numFmtId="2" fontId="2" fillId="0" borderId="0" xfId="2" applyNumberFormat="1" applyAlignment="1">
      <alignment horizontal="center" vertical="center"/>
    </xf>
    <xf numFmtId="0" fontId="2" fillId="0" borderId="0" xfId="2" applyAlignment="1">
      <alignment horizontal="left" vertical="center"/>
    </xf>
    <xf numFmtId="167" fontId="2" fillId="0" borderId="0" xfId="2" applyNumberFormat="1" applyAlignment="1">
      <alignment horizontal="center" vertical="center"/>
    </xf>
    <xf numFmtId="0" fontId="0" fillId="0" borderId="0" xfId="0" applyProtection="1">
      <protection locked="0"/>
    </xf>
    <xf numFmtId="49" fontId="0" fillId="0" borderId="0" xfId="0" applyNumberFormat="1" applyAlignment="1">
      <alignment vertical="center"/>
    </xf>
    <xf numFmtId="0" fontId="3" fillId="10" borderId="0" xfId="0" applyFont="1" applyFill="1" applyAlignment="1" applyProtection="1">
      <alignment vertical="center"/>
      <protection locked="0"/>
    </xf>
    <xf numFmtId="0" fontId="14" fillId="0" borderId="0" xfId="0" applyFont="1"/>
    <xf numFmtId="0" fontId="0" fillId="0" borderId="0" xfId="0" applyAlignment="1">
      <alignment vertical="center"/>
    </xf>
    <xf numFmtId="0" fontId="0" fillId="6" borderId="0" xfId="0" applyFill="1" applyAlignment="1">
      <alignment vertical="center"/>
    </xf>
    <xf numFmtId="0" fontId="45" fillId="6" borderId="0" xfId="0" applyFont="1" applyFill="1" applyAlignment="1">
      <alignment horizontal="left" vertical="center"/>
    </xf>
    <xf numFmtId="49" fontId="44" fillId="0" borderId="0" xfId="0" applyNumberFormat="1" applyFont="1" applyAlignment="1">
      <alignment vertical="center"/>
    </xf>
    <xf numFmtId="0" fontId="46" fillId="6" borderId="0" xfId="0" applyFont="1" applyFill="1" applyAlignment="1">
      <alignment horizontal="center" vertical="center"/>
    </xf>
    <xf numFmtId="0" fontId="41" fillId="0" borderId="0" xfId="2" applyFont="1" applyAlignment="1">
      <alignment vertical="center"/>
    </xf>
    <xf numFmtId="0" fontId="44" fillId="0" borderId="5" xfId="0" applyFont="1" applyBorder="1" applyAlignment="1">
      <alignment horizontal="left" vertical="center"/>
    </xf>
    <xf numFmtId="0" fontId="2" fillId="0" borderId="0" xfId="0" applyFont="1" applyAlignment="1">
      <alignment vertical="center"/>
    </xf>
    <xf numFmtId="172" fontId="49" fillId="6" borderId="0" xfId="0" applyNumberFormat="1" applyFont="1" applyFill="1" applyAlignment="1">
      <alignment horizontal="center" vertical="center"/>
    </xf>
    <xf numFmtId="1" fontId="47" fillId="6" borderId="0" xfId="0" applyNumberFormat="1" applyFont="1" applyFill="1" applyAlignment="1">
      <alignment horizontal="center" vertical="center"/>
    </xf>
    <xf numFmtId="0" fontId="42" fillId="0" borderId="0" xfId="0" applyFont="1" applyAlignment="1">
      <alignment horizontal="center" vertical="center"/>
    </xf>
    <xf numFmtId="0" fontId="44" fillId="0" borderId="1" xfId="0" applyFont="1" applyBorder="1" applyAlignment="1">
      <alignment vertical="center"/>
    </xf>
    <xf numFmtId="0" fontId="0" fillId="0" borderId="0" xfId="0" applyAlignment="1">
      <alignment horizontal="center" vertical="center"/>
    </xf>
    <xf numFmtId="0" fontId="54" fillId="0" borderId="0" xfId="0" applyFont="1"/>
    <xf numFmtId="14" fontId="0" fillId="0" borderId="0" xfId="0" applyNumberFormat="1"/>
    <xf numFmtId="0" fontId="41" fillId="0" borderId="0" xfId="2" applyFont="1" applyAlignment="1" applyProtection="1">
      <alignment vertical="center"/>
      <protection locked="0"/>
    </xf>
    <xf numFmtId="0" fontId="3" fillId="10" borderId="0" xfId="0" applyFont="1" applyFill="1" applyProtection="1">
      <protection locked="0"/>
    </xf>
    <xf numFmtId="0" fontId="8" fillId="0" borderId="0" xfId="0" applyFont="1"/>
    <xf numFmtId="0" fontId="31" fillId="0" borderId="0" xfId="0" applyFont="1"/>
    <xf numFmtId="0" fontId="60" fillId="0" borderId="0" xfId="0" applyFont="1"/>
    <xf numFmtId="14" fontId="8" fillId="0" borderId="0" xfId="0" applyNumberFormat="1" applyFont="1"/>
    <xf numFmtId="0" fontId="61" fillId="2" borderId="0" xfId="0" applyFont="1" applyFill="1"/>
    <xf numFmtId="0" fontId="3" fillId="14" borderId="0" xfId="0" applyFont="1" applyFill="1" applyAlignment="1">
      <alignment vertical="center"/>
    </xf>
    <xf numFmtId="0" fontId="2" fillId="0" borderId="0" xfId="0" applyFont="1" applyAlignment="1">
      <alignment horizontal="left"/>
    </xf>
    <xf numFmtId="0" fontId="2" fillId="2" borderId="2" xfId="0" applyFont="1" applyFill="1" applyBorder="1" applyAlignment="1">
      <alignment vertical="center"/>
    </xf>
    <xf numFmtId="0" fontId="2" fillId="6" borderId="0" xfId="0" quotePrefix="1" applyFont="1" applyFill="1" applyAlignment="1">
      <alignment vertical="center"/>
    </xf>
    <xf numFmtId="0" fontId="2" fillId="0" borderId="0" xfId="0" applyFont="1" applyAlignment="1" applyProtection="1">
      <alignment horizontal="center" vertical="center"/>
      <protection locked="0"/>
    </xf>
    <xf numFmtId="0" fontId="2" fillId="2" borderId="0" xfId="0" applyFont="1" applyFill="1" applyAlignment="1">
      <alignment horizontal="center" vertical="center"/>
    </xf>
    <xf numFmtId="0" fontId="2" fillId="2" borderId="0" xfId="0" applyFont="1" applyFill="1" applyAlignment="1">
      <alignment horizontal="left" vertical="center"/>
    </xf>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2" fillId="2" borderId="0" xfId="0" quotePrefix="1" applyFont="1" applyFill="1" applyAlignment="1">
      <alignment vertical="center"/>
    </xf>
    <xf numFmtId="1" fontId="2" fillId="2" borderId="0" xfId="0" applyNumberFormat="1" applyFont="1" applyFill="1" applyAlignment="1">
      <alignment horizontal="center" vertical="center"/>
    </xf>
    <xf numFmtId="0" fontId="2" fillId="6" borderId="0" xfId="0" applyFont="1" applyFill="1" applyAlignment="1" applyProtection="1">
      <alignment horizontal="center" vertical="center"/>
      <protection locked="0"/>
    </xf>
    <xf numFmtId="2" fontId="2" fillId="0" borderId="0" xfId="0" applyNumberFormat="1" applyFont="1" applyAlignment="1">
      <alignment horizontal="center" vertical="center"/>
    </xf>
    <xf numFmtId="2" fontId="2" fillId="0" borderId="0" xfId="0" applyNumberFormat="1" applyFont="1" applyAlignment="1">
      <alignment vertical="center"/>
    </xf>
    <xf numFmtId="1" fontId="2" fillId="0" borderId="0" xfId="0" applyNumberFormat="1" applyFont="1" applyAlignment="1">
      <alignment horizontal="center" vertical="center"/>
    </xf>
    <xf numFmtId="0" fontId="2" fillId="6" borderId="0" xfId="0" applyFont="1" applyFill="1" applyAlignment="1">
      <alignment vertical="center"/>
    </xf>
    <xf numFmtId="0" fontId="2" fillId="2" borderId="0" xfId="0" applyFont="1" applyFill="1" applyAlignment="1" applyProtection="1">
      <alignment vertical="center"/>
      <protection locked="0"/>
    </xf>
    <xf numFmtId="1" fontId="2" fillId="2" borderId="0" xfId="0" applyNumberFormat="1" applyFont="1" applyFill="1" applyAlignment="1" applyProtection="1">
      <alignment vertical="center"/>
      <protection locked="0"/>
    </xf>
    <xf numFmtId="0" fontId="2" fillId="2" borderId="0" xfId="0" applyFont="1" applyFill="1"/>
    <xf numFmtId="0" fontId="2" fillId="2" borderId="0" xfId="0" applyFont="1" applyFill="1" applyAlignment="1">
      <alignment horizontal="left"/>
    </xf>
    <xf numFmtId="166" fontId="2" fillId="2" borderId="0" xfId="0" applyNumberFormat="1" applyFont="1" applyFill="1" applyAlignment="1">
      <alignment horizontal="center" vertical="center"/>
    </xf>
    <xf numFmtId="169" fontId="2" fillId="2" borderId="0" xfId="0" applyNumberFormat="1" applyFont="1" applyFill="1" applyAlignment="1">
      <alignment horizontal="left" vertical="center"/>
    </xf>
    <xf numFmtId="0" fontId="2" fillId="0" borderId="0" xfId="0" applyFont="1" applyAlignment="1">
      <alignment vertical="center" wrapText="1"/>
    </xf>
    <xf numFmtId="0" fontId="2" fillId="0" borderId="0" xfId="0" applyFont="1" applyAlignment="1">
      <alignment wrapText="1"/>
    </xf>
    <xf numFmtId="0" fontId="2" fillId="2" borderId="21" xfId="0" applyFont="1" applyFill="1" applyBorder="1" applyAlignment="1">
      <alignment horizontal="left" vertical="center"/>
    </xf>
    <xf numFmtId="0" fontId="2" fillId="2" borderId="20" xfId="0" applyFont="1" applyFill="1" applyBorder="1" applyAlignment="1">
      <alignment vertical="center"/>
    </xf>
    <xf numFmtId="10" fontId="2" fillId="2" borderId="16" xfId="0" applyNumberFormat="1" applyFont="1" applyFill="1" applyBorder="1" applyAlignment="1">
      <alignment horizontal="center" vertical="center"/>
    </xf>
    <xf numFmtId="1" fontId="2" fillId="2" borderId="18" xfId="0" applyNumberFormat="1" applyFont="1" applyFill="1" applyBorder="1" applyAlignment="1">
      <alignment horizontal="center" vertical="center"/>
    </xf>
    <xf numFmtId="10" fontId="2" fillId="2" borderId="19" xfId="0" applyNumberFormat="1" applyFont="1" applyFill="1" applyBorder="1" applyAlignment="1">
      <alignment horizontal="center" vertical="center"/>
    </xf>
    <xf numFmtId="0" fontId="63" fillId="0" borderId="0" xfId="6"/>
    <xf numFmtId="170" fontId="2" fillId="0" borderId="0" xfId="5" applyNumberFormat="1" applyFont="1"/>
    <xf numFmtId="0" fontId="1" fillId="0" borderId="24" xfId="8" applyBorder="1"/>
    <xf numFmtId="0" fontId="1" fillId="0" borderId="25" xfId="8" applyBorder="1"/>
    <xf numFmtId="0" fontId="1" fillId="0" borderId="26" xfId="8" applyBorder="1"/>
    <xf numFmtId="0" fontId="1" fillId="0" borderId="0" xfId="8"/>
    <xf numFmtId="0" fontId="1" fillId="0" borderId="5" xfId="8" applyBorder="1"/>
    <xf numFmtId="0" fontId="1" fillId="0" borderId="3" xfId="8" applyBorder="1"/>
    <xf numFmtId="0" fontId="67" fillId="0" borderId="0" xfId="9" applyBorder="1"/>
    <xf numFmtId="0" fontId="66" fillId="0" borderId="0" xfId="6" applyFont="1" applyAlignment="1">
      <alignment horizontal="center" vertical="center" wrapText="1"/>
    </xf>
    <xf numFmtId="2" fontId="65" fillId="0" borderId="0" xfId="6" applyNumberFormat="1" applyFont="1" applyAlignment="1">
      <alignment horizontal="left" vertical="center" wrapText="1"/>
    </xf>
    <xf numFmtId="0" fontId="1" fillId="0" borderId="6" xfId="8" applyBorder="1"/>
    <xf numFmtId="0" fontId="1" fillId="0" borderId="2" xfId="8" applyBorder="1"/>
    <xf numFmtId="0" fontId="1" fillId="0" borderId="4" xfId="8" applyBorder="1"/>
    <xf numFmtId="0" fontId="0" fillId="2" borderId="27" xfId="0" applyFill="1" applyBorder="1" applyAlignment="1">
      <alignment horizontal="center"/>
    </xf>
    <xf numFmtId="2" fontId="0" fillId="2" borderId="28" xfId="0" applyNumberFormat="1" applyFill="1" applyBorder="1" applyAlignment="1">
      <alignment horizontal="center"/>
    </xf>
    <xf numFmtId="0" fontId="3" fillId="2" borderId="23" xfId="0" applyFont="1" applyFill="1" applyBorder="1" applyAlignment="1">
      <alignment horizontal="center" vertical="center" wrapText="1"/>
    </xf>
    <xf numFmtId="0" fontId="4" fillId="2" borderId="23" xfId="0" applyFont="1" applyFill="1" applyBorder="1" applyAlignment="1">
      <alignment horizontal="center" vertical="center" wrapText="1"/>
    </xf>
    <xf numFmtId="2" fontId="0" fillId="2" borderId="23" xfId="0" applyNumberFormat="1" applyFill="1" applyBorder="1" applyAlignment="1">
      <alignment horizontal="center" vertical="center" wrapText="1"/>
    </xf>
    <xf numFmtId="0" fontId="0" fillId="2" borderId="23" xfId="0" applyFill="1" applyBorder="1" applyAlignment="1">
      <alignment horizontal="center" vertical="center" wrapText="1"/>
    </xf>
    <xf numFmtId="0" fontId="0" fillId="4" borderId="23" xfId="0" applyFill="1" applyBorder="1" applyAlignment="1">
      <alignment horizontal="center"/>
    </xf>
    <xf numFmtId="0" fontId="0" fillId="3" borderId="23" xfId="0" applyFill="1" applyBorder="1" applyAlignment="1">
      <alignment horizontal="center"/>
    </xf>
    <xf numFmtId="0" fontId="0" fillId="4" borderId="24" xfId="0" applyFill="1" applyBorder="1" applyAlignment="1">
      <alignment horizontal="center"/>
    </xf>
    <xf numFmtId="2" fontId="0" fillId="3" borderId="26" xfId="0" applyNumberFormat="1" applyFill="1" applyBorder="1" applyAlignment="1">
      <alignment horizontal="center"/>
    </xf>
    <xf numFmtId="0" fontId="0" fillId="2" borderId="23" xfId="0" applyFill="1" applyBorder="1" applyAlignment="1">
      <alignment horizontal="center"/>
    </xf>
    <xf numFmtId="11" fontId="0" fillId="4" borderId="23" xfId="0" applyNumberFormat="1" applyFill="1" applyBorder="1" applyAlignment="1">
      <alignment horizontal="center"/>
    </xf>
    <xf numFmtId="0" fontId="0" fillId="3" borderId="23" xfId="0" applyFill="1" applyBorder="1"/>
    <xf numFmtId="0" fontId="0" fillId="4" borderId="23" xfId="0" applyFill="1" applyBorder="1"/>
    <xf numFmtId="0" fontId="0" fillId="2" borderId="23" xfId="0" applyFill="1" applyBorder="1"/>
    <xf numFmtId="0" fontId="16" fillId="4" borderId="24" xfId="0" applyFont="1" applyFill="1" applyBorder="1" applyAlignment="1">
      <alignment horizontal="center"/>
    </xf>
    <xf numFmtId="164" fontId="17" fillId="3" borderId="25" xfId="0" applyNumberFormat="1" applyFont="1" applyFill="1" applyBorder="1" applyAlignment="1">
      <alignment horizontal="center"/>
    </xf>
    <xf numFmtId="2" fontId="16" fillId="4" borderId="25" xfId="0" applyNumberFormat="1" applyFont="1" applyFill="1" applyBorder="1" applyAlignment="1">
      <alignment horizontal="center"/>
    </xf>
    <xf numFmtId="0" fontId="17" fillId="2" borderId="26" xfId="0" applyFont="1" applyFill="1" applyBorder="1" applyAlignment="1">
      <alignment horizontal="center"/>
    </xf>
    <xf numFmtId="0" fontId="44" fillId="0" borderId="23" xfId="0" applyFont="1" applyBorder="1" applyAlignment="1">
      <alignment horizontal="right" vertical="center"/>
    </xf>
    <xf numFmtId="0" fontId="44" fillId="6" borderId="23" xfId="0" applyFont="1" applyFill="1" applyBorder="1" applyAlignment="1">
      <alignment horizontal="center" vertical="center"/>
    </xf>
    <xf numFmtId="0" fontId="44" fillId="10" borderId="23" xfId="0" applyFont="1" applyFill="1" applyBorder="1" applyAlignment="1" applyProtection="1">
      <alignment horizontal="center" vertical="center"/>
      <protection locked="0"/>
    </xf>
    <xf numFmtId="0" fontId="44" fillId="10" borderId="23" xfId="0" quotePrefix="1" applyFont="1" applyFill="1" applyBorder="1" applyAlignment="1" applyProtection="1">
      <alignment horizontal="center" vertical="center"/>
      <protection locked="0"/>
    </xf>
    <xf numFmtId="0" fontId="44" fillId="6" borderId="23" xfId="0" quotePrefix="1" applyFont="1" applyFill="1" applyBorder="1" applyAlignment="1">
      <alignment horizontal="center" vertical="center"/>
    </xf>
    <xf numFmtId="0" fontId="44" fillId="0" borderId="23" xfId="0" quotePrefix="1" applyFont="1" applyBorder="1" applyAlignment="1">
      <alignment horizontal="center" vertical="center"/>
    </xf>
    <xf numFmtId="0" fontId="44" fillId="10" borderId="23" xfId="0" applyFont="1" applyFill="1" applyBorder="1" applyAlignment="1">
      <alignment horizontal="center" vertical="center"/>
    </xf>
    <xf numFmtId="1" fontId="44" fillId="0" borderId="23" xfId="0" applyNumberFormat="1" applyFont="1" applyBorder="1" applyAlignment="1">
      <alignment horizontal="right" vertical="center"/>
    </xf>
    <xf numFmtId="0" fontId="44" fillId="10" borderId="23" xfId="0" applyFont="1" applyFill="1" applyBorder="1" applyAlignment="1" applyProtection="1">
      <alignment vertical="center"/>
      <protection locked="0"/>
    </xf>
    <xf numFmtId="14" fontId="44" fillId="10" borderId="23" xfId="0" applyNumberFormat="1" applyFont="1" applyFill="1" applyBorder="1" applyAlignment="1" applyProtection="1">
      <alignment horizontal="center" vertical="center"/>
      <protection locked="0"/>
    </xf>
    <xf numFmtId="175" fontId="44" fillId="0" borderId="23" xfId="0" applyNumberFormat="1" applyFont="1" applyBorder="1" applyAlignment="1">
      <alignment vertical="center"/>
    </xf>
    <xf numFmtId="14" fontId="44" fillId="6" borderId="23" xfId="0" applyNumberFormat="1" applyFont="1" applyFill="1" applyBorder="1" applyAlignment="1">
      <alignment vertical="center"/>
    </xf>
    <xf numFmtId="172" fontId="44" fillId="10" borderId="23" xfId="0" applyNumberFormat="1" applyFont="1" applyFill="1" applyBorder="1" applyAlignment="1" applyProtection="1">
      <alignment horizontal="center" vertical="center"/>
      <protection locked="0"/>
    </xf>
    <xf numFmtId="14" fontId="44" fillId="6" borderId="23" xfId="0" applyNumberFormat="1" applyFont="1" applyFill="1" applyBorder="1" applyAlignment="1">
      <alignment horizontal="center" vertical="center"/>
    </xf>
    <xf numFmtId="14" fontId="2" fillId="10" borderId="23" xfId="0" applyNumberFormat="1" applyFont="1" applyFill="1" applyBorder="1" applyAlignment="1" applyProtection="1">
      <alignment horizontal="center"/>
      <protection locked="0"/>
    </xf>
    <xf numFmtId="0" fontId="0" fillId="10" borderId="23" xfId="0" applyFill="1" applyBorder="1" applyProtection="1">
      <protection locked="0"/>
    </xf>
    <xf numFmtId="0" fontId="0" fillId="10" borderId="23" xfId="0" applyFill="1" applyBorder="1" applyAlignment="1" applyProtection="1">
      <alignment horizontal="center" vertical="center"/>
      <protection locked="0"/>
    </xf>
    <xf numFmtId="0" fontId="43" fillId="6" borderId="23" xfId="0" applyFont="1" applyFill="1" applyBorder="1" applyAlignment="1">
      <alignment horizontal="center" vertical="center"/>
    </xf>
    <xf numFmtId="49" fontId="0" fillId="10" borderId="23" xfId="0" applyNumberFormat="1" applyFill="1" applyBorder="1" applyAlignment="1" applyProtection="1">
      <alignment horizontal="center" vertical="center"/>
      <protection locked="0"/>
    </xf>
    <xf numFmtId="0" fontId="2" fillId="10" borderId="23" xfId="0" applyFont="1" applyFill="1" applyBorder="1" applyAlignment="1" applyProtection="1">
      <alignment horizontal="center" vertical="center"/>
      <protection locked="0"/>
    </xf>
    <xf numFmtId="0" fontId="2" fillId="10" borderId="29" xfId="0" applyFont="1" applyFill="1" applyBorder="1" applyAlignment="1" applyProtection="1">
      <alignment horizontal="center" vertical="center"/>
      <protection locked="0"/>
    </xf>
    <xf numFmtId="0" fontId="0" fillId="10" borderId="29" xfId="0" applyFill="1" applyBorder="1" applyAlignment="1" applyProtection="1">
      <alignment horizontal="center" vertical="center"/>
      <protection locked="0"/>
    </xf>
    <xf numFmtId="0" fontId="43" fillId="6" borderId="23" xfId="0" applyFont="1" applyFill="1" applyBorder="1" applyAlignment="1">
      <alignment horizontal="left" vertical="center"/>
    </xf>
    <xf numFmtId="0" fontId="43" fillId="6" borderId="23" xfId="0" applyFont="1" applyFill="1" applyBorder="1" applyAlignment="1">
      <alignment vertical="center"/>
    </xf>
    <xf numFmtId="0" fontId="43" fillId="10" borderId="23" xfId="0" applyFont="1" applyFill="1" applyBorder="1" applyAlignment="1" applyProtection="1">
      <alignment vertical="center"/>
      <protection locked="0"/>
    </xf>
    <xf numFmtId="176" fontId="43" fillId="10" borderId="23" xfId="0" applyNumberFormat="1" applyFont="1" applyFill="1" applyBorder="1" applyAlignment="1" applyProtection="1">
      <alignment vertical="center"/>
      <protection locked="0"/>
    </xf>
    <xf numFmtId="0" fontId="43" fillId="10" borderId="23" xfId="0" applyFont="1" applyFill="1" applyBorder="1" applyAlignment="1" applyProtection="1">
      <alignment horizontal="center" vertical="center"/>
      <protection locked="0"/>
    </xf>
    <xf numFmtId="0" fontId="43" fillId="10" borderId="23" xfId="0" applyFont="1" applyFill="1" applyBorder="1" applyAlignment="1" applyProtection="1">
      <alignment horizontal="left" vertical="center"/>
      <protection locked="0"/>
    </xf>
    <xf numFmtId="0" fontId="46" fillId="0" borderId="23" xfId="0" applyFont="1" applyBorder="1" applyAlignment="1">
      <alignment horizontal="left" vertical="center"/>
    </xf>
    <xf numFmtId="0" fontId="44" fillId="0" borderId="23" xfId="0" applyFont="1" applyBorder="1" applyAlignment="1">
      <alignment horizontal="center" vertical="center"/>
    </xf>
    <xf numFmtId="0" fontId="59" fillId="6" borderId="23" xfId="0" applyFont="1" applyFill="1" applyBorder="1" applyAlignment="1">
      <alignment horizontal="center" vertical="center"/>
    </xf>
    <xf numFmtId="1" fontId="43" fillId="10" borderId="23" xfId="0" applyNumberFormat="1" applyFont="1" applyFill="1" applyBorder="1" applyAlignment="1">
      <alignment horizontal="center" vertical="center"/>
    </xf>
    <xf numFmtId="176" fontId="43" fillId="10" borderId="23" xfId="0" applyNumberFormat="1" applyFont="1" applyFill="1" applyBorder="1" applyAlignment="1" applyProtection="1">
      <alignment horizontal="left" vertical="center"/>
      <protection locked="0"/>
    </xf>
    <xf numFmtId="176" fontId="43" fillId="10" borderId="23" xfId="4" applyNumberFormat="1" applyFont="1" applyFill="1" applyBorder="1" applyAlignment="1" applyProtection="1">
      <alignment horizontal="left" vertical="center"/>
      <protection locked="0"/>
    </xf>
    <xf numFmtId="1" fontId="43" fillId="10" borderId="23" xfId="0" applyNumberFormat="1" applyFont="1" applyFill="1" applyBorder="1" applyAlignment="1" applyProtection="1">
      <alignment horizontal="left" vertical="center"/>
      <protection locked="0"/>
    </xf>
    <xf numFmtId="49" fontId="43" fillId="10" borderId="23" xfId="0" applyNumberFormat="1" applyFont="1" applyFill="1" applyBorder="1" applyAlignment="1" applyProtection="1">
      <alignment horizontal="left" vertical="center"/>
      <protection locked="0"/>
    </xf>
    <xf numFmtId="14" fontId="43" fillId="10" borderId="23" xfId="0" applyNumberFormat="1" applyFont="1" applyFill="1" applyBorder="1" applyAlignment="1" applyProtection="1">
      <alignment horizontal="left" vertical="center"/>
      <protection locked="0"/>
    </xf>
    <xf numFmtId="49" fontId="43" fillId="10" borderId="23" xfId="4" applyNumberFormat="1" applyFont="1" applyFill="1" applyBorder="1" applyAlignment="1" applyProtection="1">
      <alignment horizontal="left" vertical="center"/>
      <protection locked="0"/>
    </xf>
    <xf numFmtId="0" fontId="43" fillId="10" borderId="29" xfId="0" applyFont="1" applyFill="1" applyBorder="1" applyAlignment="1" applyProtection="1">
      <alignment horizontal="left" vertical="center"/>
      <protection locked="0"/>
    </xf>
    <xf numFmtId="173" fontId="44" fillId="10" borderId="23" xfId="0" applyNumberFormat="1" applyFont="1" applyFill="1" applyBorder="1" applyAlignment="1" applyProtection="1">
      <alignment horizontal="center" vertical="center"/>
      <protection locked="0"/>
    </xf>
    <xf numFmtId="0" fontId="43" fillId="0" borderId="30" xfId="0" applyFont="1" applyBorder="1" applyAlignment="1">
      <alignment vertical="center"/>
    </xf>
    <xf numFmtId="0" fontId="43" fillId="6" borderId="25" xfId="0" applyFont="1" applyFill="1" applyBorder="1" applyAlignment="1">
      <alignment horizontal="left" vertical="center"/>
    </xf>
    <xf numFmtId="0" fontId="44" fillId="10" borderId="23" xfId="0" applyFont="1" applyFill="1" applyBorder="1" applyAlignment="1" applyProtection="1">
      <alignment horizontal="left" vertical="center"/>
      <protection locked="0"/>
    </xf>
    <xf numFmtId="0" fontId="2" fillId="0" borderId="23" xfId="0" applyFont="1" applyBorder="1" applyAlignment="1">
      <alignment horizontal="center" vertical="center"/>
    </xf>
    <xf numFmtId="0" fontId="0" fillId="0" borderId="23" xfId="0" applyBorder="1"/>
    <xf numFmtId="14" fontId="0" fillId="0" borderId="23" xfId="0" applyNumberFormat="1" applyBorder="1"/>
    <xf numFmtId="0" fontId="44" fillId="6" borderId="23" xfId="0" applyFont="1" applyFill="1" applyBorder="1" applyAlignment="1">
      <alignment horizontal="right" vertical="center"/>
    </xf>
    <xf numFmtId="172" fontId="44" fillId="6" borderId="23" xfId="0" applyNumberFormat="1" applyFont="1" applyFill="1" applyBorder="1" applyAlignment="1">
      <alignment horizontal="center" vertical="center"/>
    </xf>
    <xf numFmtId="1" fontId="44" fillId="6" borderId="23" xfId="0" applyNumberFormat="1" applyFont="1" applyFill="1" applyBorder="1" applyAlignment="1">
      <alignment horizontal="center" vertical="center"/>
    </xf>
    <xf numFmtId="164" fontId="44" fillId="10" borderId="23" xfId="0" applyNumberFormat="1" applyFont="1" applyFill="1" applyBorder="1" applyAlignment="1" applyProtection="1">
      <alignment horizontal="center" vertical="center"/>
      <protection locked="0"/>
    </xf>
    <xf numFmtId="0" fontId="43" fillId="0" borderId="23" xfId="0" applyFont="1" applyBorder="1" applyAlignment="1">
      <alignment horizontal="left" vertical="center"/>
    </xf>
    <xf numFmtId="0" fontId="43" fillId="0" borderId="23" xfId="0" applyFont="1" applyBorder="1" applyAlignment="1">
      <alignment vertical="center"/>
    </xf>
    <xf numFmtId="0" fontId="41" fillId="10" borderId="23" xfId="2" applyFont="1" applyFill="1" applyBorder="1" applyAlignment="1" applyProtection="1">
      <alignment horizontal="center" vertical="center"/>
      <protection locked="0"/>
    </xf>
    <xf numFmtId="0" fontId="51" fillId="10" borderId="23" xfId="2" applyFont="1" applyFill="1" applyBorder="1" applyAlignment="1" applyProtection="1">
      <alignment horizontal="center" vertical="center"/>
      <protection locked="0"/>
    </xf>
    <xf numFmtId="0" fontId="50" fillId="10" borderId="23" xfId="2" applyFont="1" applyFill="1" applyBorder="1" applyAlignment="1">
      <alignment vertical="center"/>
    </xf>
    <xf numFmtId="0" fontId="43" fillId="6" borderId="23" xfId="3" applyFont="1" applyFill="1" applyBorder="1" applyAlignment="1" applyProtection="1">
      <alignment vertical="center"/>
    </xf>
    <xf numFmtId="0" fontId="43" fillId="10" borderId="23" xfId="0" applyFont="1" applyFill="1" applyBorder="1" applyAlignment="1">
      <alignment vertical="center"/>
    </xf>
    <xf numFmtId="0" fontId="43" fillId="13" borderId="27" xfId="0" applyFont="1" applyFill="1" applyBorder="1" applyAlignment="1" applyProtection="1">
      <alignment horizontal="left" vertical="center"/>
      <protection locked="0"/>
    </xf>
    <xf numFmtId="0" fontId="43" fillId="10" borderId="27" xfId="0" applyFont="1" applyFill="1" applyBorder="1" applyAlignment="1" applyProtection="1">
      <alignment horizontal="left" vertical="center"/>
      <protection locked="0"/>
    </xf>
    <xf numFmtId="0" fontId="43" fillId="10" borderId="23" xfId="0" applyFont="1" applyFill="1" applyBorder="1" applyAlignment="1">
      <alignment horizontal="left" vertical="center"/>
    </xf>
    <xf numFmtId="0" fontId="44" fillId="10" borderId="23" xfId="0" applyFont="1" applyFill="1" applyBorder="1" applyAlignment="1">
      <alignment horizontal="left" vertical="center"/>
    </xf>
    <xf numFmtId="0" fontId="43" fillId="0" borderId="23" xfId="0" applyFont="1" applyBorder="1" applyAlignment="1" applyProtection="1">
      <alignment horizontal="left" vertical="center"/>
      <protection locked="0"/>
    </xf>
    <xf numFmtId="0" fontId="41" fillId="0" borderId="27" xfId="2" applyFont="1" applyBorder="1" applyAlignment="1">
      <alignment horizontal="center" vertical="center"/>
    </xf>
    <xf numFmtId="0" fontId="41" fillId="0" borderId="30" xfId="2" applyFont="1" applyBorder="1" applyAlignment="1">
      <alignment horizontal="left" vertical="center"/>
    </xf>
    <xf numFmtId="0" fontId="41" fillId="0" borderId="28" xfId="2" applyFont="1" applyBorder="1" applyAlignment="1">
      <alignment horizontal="center" vertical="center"/>
    </xf>
    <xf numFmtId="0" fontId="41" fillId="0" borderId="30" xfId="2" applyFont="1" applyBorder="1" applyAlignment="1">
      <alignment horizontal="center" vertical="center"/>
    </xf>
    <xf numFmtId="0" fontId="41" fillId="0" borderId="27" xfId="2" applyFont="1" applyBorder="1" applyAlignment="1">
      <alignment horizontal="left" vertical="center"/>
    </xf>
    <xf numFmtId="0" fontId="41" fillId="0" borderId="28" xfId="2" applyFont="1" applyBorder="1" applyAlignment="1">
      <alignment horizontal="left" vertical="center"/>
    </xf>
    <xf numFmtId="164" fontId="41" fillId="0" borderId="27" xfId="2" applyNumberFormat="1" applyFont="1" applyBorder="1" applyAlignment="1">
      <alignment horizontal="center" vertical="center"/>
    </xf>
    <xf numFmtId="164" fontId="41" fillId="0" borderId="30" xfId="2" applyNumberFormat="1" applyFont="1" applyBorder="1" applyAlignment="1">
      <alignment horizontal="center" vertical="center"/>
    </xf>
    <xf numFmtId="164" fontId="41" fillId="0" borderId="28" xfId="2" applyNumberFormat="1" applyFont="1" applyBorder="1" applyAlignment="1">
      <alignment horizontal="center" vertical="center"/>
    </xf>
    <xf numFmtId="174" fontId="41" fillId="0" borderId="27" xfId="2" applyNumberFormat="1" applyFont="1" applyBorder="1" applyAlignment="1">
      <alignment horizontal="center" vertical="center"/>
    </xf>
    <xf numFmtId="174" fontId="41" fillId="0" borderId="30" xfId="2" applyNumberFormat="1" applyFont="1" applyBorder="1" applyAlignment="1">
      <alignment horizontal="center" vertical="center"/>
    </xf>
    <xf numFmtId="174" fontId="41" fillId="0" borderId="28" xfId="2" applyNumberFormat="1" applyFont="1" applyBorder="1" applyAlignment="1">
      <alignment horizontal="center" vertical="center"/>
    </xf>
    <xf numFmtId="0" fontId="41" fillId="0" borderId="23" xfId="2" applyFont="1" applyBorder="1" applyAlignment="1">
      <alignment horizontal="center" vertical="center"/>
    </xf>
    <xf numFmtId="0" fontId="2" fillId="0" borderId="27" xfId="0" quotePrefix="1" applyFont="1" applyBorder="1"/>
    <xf numFmtId="0" fontId="2" fillId="0" borderId="27" xfId="0" applyFont="1" applyBorder="1"/>
    <xf numFmtId="0" fontId="2" fillId="0" borderId="24" xfId="0" quotePrefix="1" applyFont="1" applyBorder="1"/>
    <xf numFmtId="0" fontId="2" fillId="0" borderId="25" xfId="0" applyFont="1" applyBorder="1"/>
    <xf numFmtId="0" fontId="2" fillId="0" borderId="29" xfId="0" quotePrefix="1" applyFont="1" applyBorder="1"/>
    <xf numFmtId="0" fontId="2" fillId="0" borderId="23" xfId="0" quotePrefix="1" applyFont="1" applyBorder="1"/>
    <xf numFmtId="14" fontId="2" fillId="0" borderId="23" xfId="0" applyNumberFormat="1" applyFont="1" applyBorder="1" applyProtection="1">
      <protection locked="0"/>
    </xf>
    <xf numFmtId="14" fontId="2" fillId="0" borderId="23" xfId="0" applyNumberFormat="1" applyFont="1" applyBorder="1"/>
    <xf numFmtId="0" fontId="2" fillId="0" borderId="30" xfId="0" applyFont="1" applyBorder="1"/>
    <xf numFmtId="0" fontId="2" fillId="0" borderId="30" xfId="0" quotePrefix="1" applyFont="1" applyBorder="1"/>
    <xf numFmtId="0" fontId="2" fillId="0" borderId="23" xfId="0" applyFont="1" applyBorder="1"/>
    <xf numFmtId="0" fontId="2" fillId="0" borderId="23" xfId="0" applyFont="1" applyBorder="1" applyProtection="1">
      <protection locked="0"/>
    </xf>
    <xf numFmtId="49" fontId="2" fillId="0" borderId="23" xfId="0" applyNumberFormat="1" applyFont="1" applyBorder="1" applyProtection="1">
      <protection locked="0"/>
    </xf>
    <xf numFmtId="0" fontId="2" fillId="0" borderId="29" xfId="0" applyFont="1" applyBorder="1" applyProtection="1">
      <protection locked="0"/>
    </xf>
    <xf numFmtId="170" fontId="34" fillId="5" borderId="31" xfId="0" applyNumberFormat="1" applyFont="1" applyFill="1" applyBorder="1" applyAlignment="1">
      <alignment horizontal="center" vertical="center" wrapText="1"/>
    </xf>
    <xf numFmtId="0" fontId="10" fillId="2" borderId="24" xfId="0" applyFont="1" applyFill="1" applyBorder="1" applyAlignment="1">
      <alignment vertical="center"/>
    </xf>
    <xf numFmtId="0" fontId="12" fillId="2" borderId="25" xfId="0" applyFont="1" applyFill="1" applyBorder="1"/>
    <xf numFmtId="0" fontId="12" fillId="2" borderId="26" xfId="0" applyFont="1" applyFill="1" applyBorder="1"/>
    <xf numFmtId="10" fontId="35" fillId="5" borderId="31" xfId="0" applyNumberFormat="1" applyFont="1" applyFill="1" applyBorder="1" applyAlignment="1">
      <alignment horizontal="center" vertical="center" wrapText="1"/>
    </xf>
    <xf numFmtId="0" fontId="30" fillId="2" borderId="32" xfId="0" applyFont="1" applyFill="1" applyBorder="1" applyAlignment="1">
      <alignment horizontal="center"/>
    </xf>
    <xf numFmtId="0" fontId="30" fillId="2" borderId="24" xfId="0" applyFont="1" applyFill="1" applyBorder="1" applyAlignment="1">
      <alignment horizontal="center"/>
    </xf>
    <xf numFmtId="0" fontId="30" fillId="2" borderId="29" xfId="0" applyFont="1" applyFill="1" applyBorder="1" applyAlignment="1">
      <alignment horizontal="center"/>
    </xf>
    <xf numFmtId="0" fontId="30" fillId="2" borderId="26" xfId="0" applyFont="1" applyFill="1" applyBorder="1" applyAlignment="1">
      <alignment horizontal="center"/>
    </xf>
    <xf numFmtId="0" fontId="30" fillId="2" borderId="33" xfId="0" applyFont="1" applyFill="1" applyBorder="1" applyAlignment="1">
      <alignment horizontal="center"/>
    </xf>
    <xf numFmtId="0" fontId="0" fillId="2" borderId="34" xfId="0" applyFill="1" applyBorder="1" applyAlignment="1">
      <alignment horizontal="left" vertical="center"/>
    </xf>
    <xf numFmtId="15" fontId="0" fillId="2" borderId="34" xfId="0" applyNumberFormat="1" applyFill="1" applyBorder="1" applyAlignment="1">
      <alignment horizontal="center" vertical="center"/>
    </xf>
    <xf numFmtId="0" fontId="2" fillId="0" borderId="35" xfId="0" applyFont="1" applyBorder="1" applyAlignment="1">
      <alignment horizontal="center" vertical="center"/>
    </xf>
    <xf numFmtId="0" fontId="2" fillId="2" borderId="36" xfId="0" applyFont="1" applyFill="1" applyBorder="1" applyAlignment="1">
      <alignment horizontal="center" vertical="center"/>
    </xf>
    <xf numFmtId="0" fontId="2" fillId="2" borderId="36" xfId="0" applyFont="1" applyFill="1" applyBorder="1" applyAlignment="1">
      <alignment horizontal="left" vertical="center"/>
    </xf>
    <xf numFmtId="0" fontId="2" fillId="6" borderId="36" xfId="0" applyFont="1" applyFill="1" applyBorder="1" applyAlignment="1">
      <alignment horizontal="center" vertical="center"/>
    </xf>
    <xf numFmtId="0" fontId="2" fillId="6" borderId="36" xfId="0" applyFont="1" applyFill="1" applyBorder="1" applyAlignment="1">
      <alignment horizontal="left" vertical="center"/>
    </xf>
    <xf numFmtId="0" fontId="2" fillId="8" borderId="37" xfId="0" applyFont="1" applyFill="1" applyBorder="1" applyAlignment="1">
      <alignment vertical="center"/>
    </xf>
    <xf numFmtId="0" fontId="2" fillId="6" borderId="37" xfId="0" applyFont="1" applyFill="1" applyBorder="1" applyAlignment="1">
      <alignment vertical="center"/>
    </xf>
    <xf numFmtId="0" fontId="2" fillId="2" borderId="35" xfId="0" quotePrefix="1" applyFont="1" applyFill="1" applyBorder="1" applyAlignment="1">
      <alignment horizontal="center" vertical="center"/>
    </xf>
    <xf numFmtId="0" fontId="2" fillId="2" borderId="35" xfId="0" applyFont="1" applyFill="1" applyBorder="1" applyAlignment="1">
      <alignment horizontal="left" vertical="center"/>
    </xf>
    <xf numFmtId="0" fontId="2" fillId="2" borderId="35" xfId="0" applyFont="1" applyFill="1" applyBorder="1" applyAlignment="1">
      <alignment horizontal="center" vertical="center"/>
    </xf>
    <xf numFmtId="0" fontId="2" fillId="7" borderId="37" xfId="0" applyFont="1" applyFill="1" applyBorder="1" applyAlignment="1">
      <alignment vertical="center"/>
    </xf>
    <xf numFmtId="0" fontId="2" fillId="2" borderId="36" xfId="0" quotePrefix="1" applyFont="1" applyFill="1" applyBorder="1" applyAlignment="1">
      <alignment horizontal="center" vertical="center"/>
    </xf>
    <xf numFmtId="0" fontId="3" fillId="2" borderId="37" xfId="0" applyFont="1" applyFill="1" applyBorder="1" applyAlignment="1">
      <alignment horizontal="left" vertical="center"/>
    </xf>
    <xf numFmtId="0" fontId="2" fillId="2" borderId="37" xfId="0" applyFont="1" applyFill="1" applyBorder="1" applyAlignment="1">
      <alignment vertical="center"/>
    </xf>
    <xf numFmtId="2" fontId="2" fillId="0" borderId="35" xfId="0" applyNumberFormat="1" applyFont="1" applyBorder="1" applyAlignment="1">
      <alignment horizontal="center" vertical="center"/>
    </xf>
    <xf numFmtId="0" fontId="2" fillId="6" borderId="37" xfId="0" applyFont="1" applyFill="1" applyBorder="1" applyAlignment="1">
      <alignment horizontal="center" vertical="center"/>
    </xf>
    <xf numFmtId="1" fontId="37" fillId="8" borderId="37" xfId="0" applyNumberFormat="1" applyFont="1" applyFill="1" applyBorder="1" applyAlignment="1">
      <alignment horizontal="center" vertical="center"/>
    </xf>
    <xf numFmtId="0" fontId="3" fillId="2" borderId="37" xfId="0" applyFont="1" applyFill="1" applyBorder="1" applyAlignment="1">
      <alignment vertical="center"/>
    </xf>
    <xf numFmtId="0" fontId="3" fillId="2" borderId="37" xfId="0" applyFont="1" applyFill="1" applyBorder="1" applyAlignment="1">
      <alignment horizontal="center" vertical="center"/>
    </xf>
    <xf numFmtId="0" fontId="3" fillId="8" borderId="37" xfId="0" applyFont="1" applyFill="1" applyBorder="1" applyAlignment="1">
      <alignment horizontal="center" vertical="center"/>
    </xf>
    <xf numFmtId="1" fontId="34" fillId="0" borderId="37" xfId="0" applyNumberFormat="1" applyFont="1" applyBorder="1" applyAlignment="1">
      <alignment horizontal="center" vertical="center" wrapText="1"/>
    </xf>
    <xf numFmtId="1" fontId="3" fillId="0" borderId="37" xfId="0" applyNumberFormat="1" applyFont="1" applyBorder="1" applyAlignment="1">
      <alignment horizontal="center" vertical="center"/>
    </xf>
    <xf numFmtId="1" fontId="2" fillId="0" borderId="35" xfId="0" applyNumberFormat="1" applyFont="1" applyBorder="1" applyAlignment="1">
      <alignment horizontal="center" vertical="center"/>
    </xf>
    <xf numFmtId="0" fontId="10" fillId="2" borderId="37" xfId="0" applyFont="1" applyFill="1" applyBorder="1" applyAlignment="1">
      <alignment vertical="center"/>
    </xf>
    <xf numFmtId="0" fontId="0" fillId="2" borderId="37" xfId="0" applyFill="1" applyBorder="1"/>
    <xf numFmtId="0" fontId="10" fillId="2" borderId="38" xfId="0" applyFont="1" applyFill="1" applyBorder="1" applyAlignment="1">
      <alignment vertical="center"/>
    </xf>
    <xf numFmtId="0" fontId="12" fillId="2" borderId="39" xfId="0" applyFont="1" applyFill="1" applyBorder="1"/>
    <xf numFmtId="0" fontId="12" fillId="2" borderId="40" xfId="0" applyFont="1" applyFill="1" applyBorder="1"/>
    <xf numFmtId="0" fontId="36" fillId="2" borderId="37" xfId="0" applyFont="1" applyFill="1" applyBorder="1" applyAlignment="1">
      <alignment horizontal="center" vertical="center"/>
    </xf>
    <xf numFmtId="0" fontId="0" fillId="2" borderId="38" xfId="0" applyFill="1" applyBorder="1"/>
    <xf numFmtId="167" fontId="36" fillId="2" borderId="37" xfId="0" applyNumberFormat="1" applyFont="1" applyFill="1" applyBorder="1" applyAlignment="1">
      <alignment horizontal="center" vertical="center"/>
    </xf>
    <xf numFmtId="178" fontId="36" fillId="2" borderId="37" xfId="0" applyNumberFormat="1" applyFont="1" applyFill="1" applyBorder="1" applyAlignment="1">
      <alignment horizontal="center" vertical="center"/>
    </xf>
    <xf numFmtId="0" fontId="10" fillId="2" borderId="37" xfId="0" applyFont="1" applyFill="1" applyBorder="1" applyAlignment="1">
      <alignment horizontal="center" vertical="center" wrapText="1"/>
    </xf>
    <xf numFmtId="0" fontId="25" fillId="2" borderId="37" xfId="0" applyFont="1" applyFill="1" applyBorder="1" applyAlignment="1">
      <alignment horizontal="center" vertical="center" wrapText="1"/>
    </xf>
    <xf numFmtId="1" fontId="24" fillId="0" borderId="37" xfId="0" applyNumberFormat="1" applyFont="1" applyBorder="1" applyAlignment="1">
      <alignment horizontal="center" vertical="center" wrapText="1"/>
    </xf>
    <xf numFmtId="10" fontId="24" fillId="0" borderId="37" xfId="0" applyNumberFormat="1" applyFont="1" applyBorder="1" applyAlignment="1">
      <alignment horizontal="center" vertical="center" wrapText="1"/>
    </xf>
    <xf numFmtId="1" fontId="24" fillId="0" borderId="37" xfId="0" applyNumberFormat="1" applyFont="1" applyBorder="1" applyAlignment="1">
      <alignment horizontal="center" vertical="center"/>
    </xf>
    <xf numFmtId="0" fontId="24" fillId="2" borderId="37" xfId="0" applyFont="1" applyFill="1" applyBorder="1" applyAlignment="1">
      <alignment horizontal="center" vertical="center" wrapText="1"/>
    </xf>
    <xf numFmtId="2" fontId="24" fillId="2" borderId="37" xfId="0" applyNumberFormat="1" applyFont="1" applyFill="1" applyBorder="1" applyAlignment="1">
      <alignment horizontal="center" vertical="center" wrapText="1"/>
    </xf>
    <xf numFmtId="0" fontId="14" fillId="2" borderId="38" xfId="0" applyFont="1" applyFill="1" applyBorder="1" applyAlignment="1">
      <alignment vertical="center"/>
    </xf>
    <xf numFmtId="0" fontId="8" fillId="2" borderId="40" xfId="0" applyFont="1" applyFill="1" applyBorder="1"/>
    <xf numFmtId="0" fontId="14" fillId="2" borderId="37" xfId="0" applyFont="1" applyFill="1" applyBorder="1" applyAlignment="1">
      <alignment horizontal="center" vertical="center"/>
    </xf>
    <xf numFmtId="0" fontId="14" fillId="2" borderId="37" xfId="0" applyFont="1" applyFill="1" applyBorder="1" applyAlignment="1">
      <alignment vertical="center"/>
    </xf>
    <xf numFmtId="1" fontId="0" fillId="2" borderId="37" xfId="0" applyNumberFormat="1" applyFill="1" applyBorder="1" applyAlignment="1">
      <alignment horizontal="center" vertical="center"/>
    </xf>
    <xf numFmtId="1" fontId="2" fillId="6" borderId="37" xfId="0" applyNumberFormat="1" applyFont="1" applyFill="1" applyBorder="1" applyAlignment="1" applyProtection="1">
      <alignment horizontal="center" vertical="center"/>
      <protection locked="0"/>
    </xf>
    <xf numFmtId="1" fontId="2" fillId="2" borderId="37" xfId="0" applyNumberFormat="1" applyFont="1" applyFill="1" applyBorder="1" applyAlignment="1">
      <alignment horizontal="center" vertical="center"/>
    </xf>
    <xf numFmtId="0" fontId="36" fillId="2" borderId="37" xfId="0" applyFont="1" applyFill="1" applyBorder="1" applyAlignment="1" applyProtection="1">
      <alignment horizontal="center" vertical="center"/>
      <protection locked="0"/>
    </xf>
    <xf numFmtId="1" fontId="36" fillId="2" borderId="37" xfId="0" applyNumberFormat="1" applyFont="1" applyFill="1" applyBorder="1" applyAlignment="1" applyProtection="1">
      <alignment horizontal="center" vertical="center"/>
      <protection locked="0"/>
    </xf>
    <xf numFmtId="0" fontId="38" fillId="0" borderId="37" xfId="0" applyFont="1" applyBorder="1" applyAlignment="1" applyProtection="1">
      <alignment vertical="center" wrapText="1"/>
      <protection locked="0"/>
    </xf>
    <xf numFmtId="0" fontId="38" fillId="0" borderId="37" xfId="0" applyFont="1" applyBorder="1" applyAlignment="1">
      <alignment vertical="center" wrapText="1"/>
    </xf>
    <xf numFmtId="0" fontId="24" fillId="0" borderId="37" xfId="0" applyFont="1" applyBorder="1" applyAlignment="1">
      <alignment horizontal="center" vertical="center" wrapText="1"/>
    </xf>
    <xf numFmtId="1" fontId="24" fillId="0" borderId="37" xfId="0" applyNumberFormat="1" applyFont="1" applyBorder="1" applyAlignment="1" applyProtection="1">
      <alignment horizontal="center" vertical="center" wrapText="1"/>
      <protection locked="0"/>
    </xf>
    <xf numFmtId="10" fontId="24" fillId="2" borderId="37" xfId="0" applyNumberFormat="1" applyFont="1" applyFill="1" applyBorder="1" applyAlignment="1">
      <alignment horizontal="center" vertical="center" wrapText="1"/>
    </xf>
    <xf numFmtId="2" fontId="36" fillId="2" borderId="37" xfId="0" applyNumberFormat="1" applyFont="1" applyFill="1" applyBorder="1" applyAlignment="1" applyProtection="1">
      <alignment horizontal="center" vertical="center"/>
      <protection locked="0"/>
    </xf>
    <xf numFmtId="164" fontId="24" fillId="2" borderId="37" xfId="0" applyNumberFormat="1" applyFont="1" applyFill="1" applyBorder="1" applyAlignment="1">
      <alignment horizontal="center" vertical="center" wrapText="1"/>
    </xf>
    <xf numFmtId="0" fontId="65" fillId="0" borderId="37" xfId="6" applyFont="1" applyBorder="1" applyAlignment="1">
      <alignment horizontal="center" vertical="center" wrapText="1"/>
    </xf>
    <xf numFmtId="0" fontId="65" fillId="0" borderId="37" xfId="6" applyFont="1" applyBorder="1" applyAlignment="1">
      <alignment horizontal="left" vertical="center" wrapText="1"/>
    </xf>
    <xf numFmtId="0" fontId="65" fillId="15" borderId="37" xfId="6" applyFont="1" applyFill="1" applyBorder="1" applyAlignment="1">
      <alignment horizontal="left" vertical="center" wrapText="1"/>
    </xf>
    <xf numFmtId="0" fontId="63" fillId="0" borderId="37" xfId="6" applyBorder="1"/>
    <xf numFmtId="0" fontId="65" fillId="15" borderId="37" xfId="6" applyFont="1" applyFill="1" applyBorder="1" applyAlignment="1">
      <alignment vertical="center" wrapText="1"/>
    </xf>
    <xf numFmtId="14" fontId="65" fillId="15" borderId="37" xfId="6" applyNumberFormat="1" applyFont="1" applyFill="1" applyBorder="1" applyAlignment="1">
      <alignment horizontal="left" vertical="center" wrapText="1"/>
    </xf>
    <xf numFmtId="0" fontId="65" fillId="0" borderId="37" xfId="6" applyFont="1" applyBorder="1" applyAlignment="1">
      <alignment horizontal="left" vertical="center"/>
    </xf>
    <xf numFmtId="0" fontId="59" fillId="16" borderId="37" xfId="6" applyFont="1" applyFill="1" applyBorder="1" applyAlignment="1">
      <alignment horizontal="center" vertical="center" wrapText="1"/>
    </xf>
    <xf numFmtId="0" fontId="66" fillId="0" borderId="37" xfId="6" applyFont="1" applyBorder="1" applyAlignment="1">
      <alignment horizontal="center" vertical="center" wrapText="1"/>
    </xf>
    <xf numFmtId="1" fontId="65" fillId="15" borderId="37" xfId="6" applyNumberFormat="1" applyFont="1" applyFill="1" applyBorder="1" applyAlignment="1">
      <alignment horizontal="left" vertical="center" wrapText="1"/>
    </xf>
    <xf numFmtId="2" fontId="65" fillId="15" borderId="37" xfId="6" applyNumberFormat="1" applyFont="1" applyFill="1" applyBorder="1" applyAlignment="1">
      <alignment horizontal="left" vertical="center" wrapText="1"/>
    </xf>
    <xf numFmtId="0" fontId="65" fillId="15" borderId="37" xfId="6" applyFont="1" applyFill="1" applyBorder="1" applyAlignment="1">
      <alignment horizontal="left" vertical="center" wrapText="1"/>
    </xf>
    <xf numFmtId="0" fontId="1" fillId="0" borderId="37" xfId="8" applyBorder="1" applyAlignment="1">
      <alignment horizontal="center" vertical="center" wrapText="1"/>
    </xf>
    <xf numFmtId="0" fontId="1" fillId="0" borderId="37" xfId="8" applyBorder="1" applyAlignment="1">
      <alignment horizontal="center" vertical="center"/>
    </xf>
    <xf numFmtId="0" fontId="65" fillId="15" borderId="38" xfId="6" applyFont="1" applyFill="1" applyBorder="1" applyAlignment="1">
      <alignment horizontal="left" vertical="center" wrapText="1"/>
    </xf>
    <xf numFmtId="0" fontId="65" fillId="15" borderId="40" xfId="6" applyFont="1" applyFill="1" applyBorder="1" applyAlignment="1">
      <alignment horizontal="left" vertical="center" wrapText="1"/>
    </xf>
    <xf numFmtId="0" fontId="66" fillId="0" borderId="37" xfId="6" applyFont="1" applyBorder="1" applyAlignment="1">
      <alignment horizontal="center" vertical="center" wrapText="1"/>
    </xf>
    <xf numFmtId="0" fontId="65" fillId="15" borderId="37" xfId="8" applyFont="1" applyFill="1" applyBorder="1" applyAlignment="1">
      <alignment horizontal="left" vertical="center" wrapText="1"/>
    </xf>
    <xf numFmtId="0" fontId="65" fillId="0" borderId="0" xfId="6" applyFont="1" applyAlignment="1">
      <alignment horizontal="left" vertical="center" wrapText="1"/>
    </xf>
    <xf numFmtId="0" fontId="59" fillId="16" borderId="37" xfId="6" applyFont="1" applyFill="1" applyBorder="1" applyAlignment="1">
      <alignment horizontal="center" vertical="center" wrapText="1"/>
    </xf>
    <xf numFmtId="0" fontId="66" fillId="0" borderId="0" xfId="6" applyFont="1" applyAlignment="1">
      <alignment horizontal="center" vertical="center" wrapText="1"/>
    </xf>
    <xf numFmtId="0" fontId="65" fillId="0" borderId="37" xfId="6" applyFont="1" applyBorder="1" applyAlignment="1">
      <alignment horizontal="left" vertical="center" wrapText="1"/>
    </xf>
    <xf numFmtId="0" fontId="65" fillId="0" borderId="38" xfId="6" applyFont="1" applyBorder="1" applyAlignment="1">
      <alignment horizontal="left" vertical="center"/>
    </xf>
    <xf numFmtId="0" fontId="65" fillId="0" borderId="40" xfId="6" applyFont="1" applyBorder="1" applyAlignment="1">
      <alignment horizontal="left" vertical="center"/>
    </xf>
    <xf numFmtId="0" fontId="65" fillId="0" borderId="38" xfId="6" applyFont="1" applyBorder="1" applyAlignment="1">
      <alignment horizontal="left" vertical="center" wrapText="1"/>
    </xf>
    <xf numFmtId="0" fontId="65" fillId="0" borderId="40" xfId="6" applyFont="1" applyBorder="1" applyAlignment="1">
      <alignment horizontal="left" vertical="center" wrapText="1"/>
    </xf>
    <xf numFmtId="0" fontId="59" fillId="16" borderId="37" xfId="6" applyFont="1" applyFill="1" applyBorder="1" applyAlignment="1">
      <alignment horizontal="left" vertical="center" wrapText="1"/>
    </xf>
    <xf numFmtId="0" fontId="64" fillId="0" borderId="24" xfId="6" applyFont="1" applyBorder="1" applyAlignment="1">
      <alignment horizontal="center" vertical="center" wrapText="1"/>
    </xf>
    <xf numFmtId="0" fontId="64" fillId="0" borderId="25" xfId="6" applyFont="1" applyBorder="1" applyAlignment="1">
      <alignment horizontal="center" vertical="center" wrapText="1"/>
    </xf>
    <xf numFmtId="0" fontId="64" fillId="0" borderId="26" xfId="6" applyFont="1" applyBorder="1" applyAlignment="1">
      <alignment horizontal="center" vertical="center" wrapText="1"/>
    </xf>
    <xf numFmtId="0" fontId="64" fillId="0" borderId="6" xfId="6" applyFont="1" applyBorder="1" applyAlignment="1">
      <alignment horizontal="center" vertical="center" wrapText="1"/>
    </xf>
    <xf numFmtId="0" fontId="64" fillId="0" borderId="2" xfId="6" applyFont="1" applyBorder="1" applyAlignment="1">
      <alignment horizontal="center" vertical="center" wrapText="1"/>
    </xf>
    <xf numFmtId="0" fontId="64" fillId="0" borderId="4" xfId="6" applyFont="1" applyBorder="1" applyAlignment="1">
      <alignment horizontal="center" vertical="center" wrapText="1"/>
    </xf>
    <xf numFmtId="0" fontId="65" fillId="0" borderId="37" xfId="6" applyFont="1" applyBorder="1" applyAlignment="1">
      <alignment horizontal="center" vertical="center" wrapText="1"/>
    </xf>
    <xf numFmtId="14" fontId="65" fillId="15" borderId="38" xfId="6" applyNumberFormat="1" applyFont="1" applyFill="1" applyBorder="1" applyAlignment="1">
      <alignment horizontal="center" vertical="center" wrapText="1"/>
    </xf>
    <xf numFmtId="14" fontId="65" fillId="15" borderId="40" xfId="6" applyNumberFormat="1" applyFont="1" applyFill="1" applyBorder="1" applyAlignment="1">
      <alignment horizontal="center" vertical="center" wrapText="1"/>
    </xf>
    <xf numFmtId="0" fontId="65" fillId="15" borderId="38" xfId="6" applyFont="1" applyFill="1" applyBorder="1" applyAlignment="1">
      <alignment horizontal="center" vertical="center" wrapText="1"/>
    </xf>
    <xf numFmtId="0" fontId="65" fillId="15" borderId="40" xfId="6" applyFont="1" applyFill="1" applyBorder="1" applyAlignment="1">
      <alignment horizontal="center" vertical="center" wrapText="1"/>
    </xf>
    <xf numFmtId="0" fontId="55" fillId="12" borderId="0" xfId="0" applyFont="1" applyFill="1" applyAlignment="1">
      <alignment horizontal="center" vertical="center"/>
    </xf>
    <xf numFmtId="0" fontId="47" fillId="12" borderId="0" xfId="0" applyFont="1" applyFill="1" applyAlignment="1">
      <alignment horizontal="center" vertical="center"/>
    </xf>
    <xf numFmtId="0" fontId="44" fillId="6" borderId="0" xfId="0" applyFont="1" applyFill="1" applyAlignment="1">
      <alignment horizontal="center" vertical="center"/>
    </xf>
    <xf numFmtId="0" fontId="43" fillId="0" borderId="0" xfId="0" applyFont="1" applyAlignment="1">
      <alignment horizontal="left" vertical="center"/>
    </xf>
    <xf numFmtId="172" fontId="49" fillId="6" borderId="0" xfId="0" applyNumberFormat="1" applyFont="1" applyFill="1" applyAlignment="1">
      <alignment horizontal="center" vertical="center"/>
    </xf>
    <xf numFmtId="0" fontId="47" fillId="6" borderId="0" xfId="0" applyFont="1" applyFill="1" applyAlignment="1">
      <alignment horizontal="center" vertical="center"/>
    </xf>
    <xf numFmtId="0" fontId="44" fillId="11" borderId="0" xfId="0" applyFont="1" applyFill="1" applyAlignment="1">
      <alignment horizontal="center" vertical="center"/>
    </xf>
    <xf numFmtId="172" fontId="44" fillId="10" borderId="0" xfId="0" applyNumberFormat="1" applyFont="1" applyFill="1" applyAlignment="1">
      <alignment horizontal="center" vertical="center"/>
    </xf>
    <xf numFmtId="0" fontId="44" fillId="6" borderId="0" xfId="0" applyFont="1" applyFill="1" applyAlignment="1">
      <alignment horizontal="left" vertical="center"/>
    </xf>
    <xf numFmtId="0" fontId="3" fillId="0" borderId="0" xfId="0" applyFont="1"/>
    <xf numFmtId="0" fontId="2" fillId="10" borderId="23" xfId="0" applyFont="1" applyFill="1" applyBorder="1" applyAlignment="1" applyProtection="1">
      <alignment horizontal="center" wrapText="1"/>
      <protection locked="0"/>
    </xf>
    <xf numFmtId="0" fontId="2" fillId="10" borderId="23" xfId="0" applyFont="1" applyFill="1" applyBorder="1" applyAlignment="1" applyProtection="1">
      <alignment horizontal="center"/>
      <protection locked="0"/>
    </xf>
    <xf numFmtId="0" fontId="0" fillId="0" borderId="0" xfId="0"/>
    <xf numFmtId="0" fontId="2" fillId="10" borderId="27" xfId="0" applyFont="1" applyFill="1" applyBorder="1" applyAlignment="1" applyProtection="1">
      <alignment horizontal="center"/>
      <protection locked="0"/>
    </xf>
    <xf numFmtId="0" fontId="2" fillId="10" borderId="30" xfId="0" applyFont="1" applyFill="1" applyBorder="1" applyAlignment="1" applyProtection="1">
      <alignment horizontal="center"/>
      <protection locked="0"/>
    </xf>
    <xf numFmtId="0" fontId="2" fillId="10" borderId="28" xfId="0" applyFont="1" applyFill="1" applyBorder="1" applyAlignment="1" applyProtection="1">
      <alignment horizontal="center"/>
      <protection locked="0"/>
    </xf>
    <xf numFmtId="0" fontId="44" fillId="0" borderId="5" xfId="0" applyFont="1" applyBorder="1" applyAlignment="1">
      <alignment horizontal="left" vertical="center"/>
    </xf>
    <xf numFmtId="0" fontId="44" fillId="0" borderId="0" xfId="0" applyFont="1" applyAlignment="1">
      <alignment horizontal="left" vertical="center"/>
    </xf>
    <xf numFmtId="0" fontId="43" fillId="6" borderId="5" xfId="0" applyFont="1" applyFill="1" applyBorder="1" applyAlignment="1">
      <alignment horizontal="center" vertical="center"/>
    </xf>
    <xf numFmtId="0" fontId="43" fillId="6" borderId="0" xfId="0" applyFont="1" applyFill="1" applyAlignment="1">
      <alignment horizontal="center" vertical="center"/>
    </xf>
    <xf numFmtId="0" fontId="44" fillId="6" borderId="5" xfId="0" applyFont="1" applyFill="1" applyBorder="1" applyAlignment="1">
      <alignment horizontal="left" vertical="center"/>
    </xf>
    <xf numFmtId="0" fontId="44" fillId="11" borderId="5" xfId="0" applyFont="1" applyFill="1" applyBorder="1" applyAlignment="1">
      <alignment horizontal="left" vertical="center"/>
    </xf>
    <xf numFmtId="0" fontId="44" fillId="11" borderId="0" xfId="0" applyFont="1" applyFill="1" applyAlignment="1">
      <alignment horizontal="left" vertical="center"/>
    </xf>
    <xf numFmtId="0" fontId="44" fillId="0" borderId="6" xfId="0" applyFont="1" applyBorder="1" applyAlignment="1">
      <alignment horizontal="left" vertical="center"/>
    </xf>
    <xf numFmtId="0" fontId="44" fillId="0" borderId="2" xfId="0" applyFont="1" applyBorder="1" applyAlignment="1">
      <alignment horizontal="left" vertical="center"/>
    </xf>
    <xf numFmtId="0" fontId="44" fillId="10" borderId="5" xfId="0" applyFont="1" applyFill="1" applyBorder="1" applyAlignment="1" applyProtection="1">
      <alignment horizontal="center" vertical="center"/>
      <protection locked="0"/>
    </xf>
    <xf numFmtId="0" fontId="44" fillId="10" borderId="0" xfId="0" applyFont="1" applyFill="1" applyAlignment="1" applyProtection="1">
      <alignment horizontal="center" vertical="center"/>
      <protection locked="0"/>
    </xf>
    <xf numFmtId="0" fontId="45" fillId="6" borderId="0" xfId="0" applyFont="1" applyFill="1" applyAlignment="1">
      <alignment horizontal="center" vertical="center"/>
    </xf>
    <xf numFmtId="0" fontId="43" fillId="6" borderId="5" xfId="0" applyFont="1" applyFill="1" applyBorder="1" applyAlignment="1">
      <alignment vertical="center"/>
    </xf>
    <xf numFmtId="0" fontId="0" fillId="0" borderId="0" xfId="0" applyAlignment="1">
      <alignment vertical="center"/>
    </xf>
    <xf numFmtId="173" fontId="44" fillId="6" borderId="0" xfId="0" applyNumberFormat="1" applyFont="1" applyFill="1" applyAlignment="1">
      <alignment horizontal="center" vertical="center"/>
    </xf>
    <xf numFmtId="172" fontId="52" fillId="6" borderId="0" xfId="0" applyNumberFormat="1" applyFont="1" applyFill="1" applyAlignment="1">
      <alignment horizontal="center" vertical="center"/>
    </xf>
    <xf numFmtId="0" fontId="44" fillId="0" borderId="0" xfId="0" applyFont="1" applyAlignment="1">
      <alignment horizontal="center" vertical="center"/>
    </xf>
    <xf numFmtId="0" fontId="49" fillId="12" borderId="0" xfId="0" applyFont="1" applyFill="1" applyAlignment="1">
      <alignment horizontal="center" vertical="center"/>
    </xf>
    <xf numFmtId="0" fontId="44" fillId="0" borderId="5" xfId="0" applyFont="1" applyBorder="1" applyAlignment="1">
      <alignment vertical="center"/>
    </xf>
    <xf numFmtId="0" fontId="47" fillId="12" borderId="3" xfId="0" applyFont="1" applyFill="1" applyBorder="1" applyAlignment="1">
      <alignment horizontal="center" vertical="center"/>
    </xf>
    <xf numFmtId="0" fontId="2" fillId="0" borderId="0" xfId="0" applyFont="1"/>
    <xf numFmtId="0" fontId="44" fillId="6" borderId="23" xfId="0" applyFont="1" applyFill="1" applyBorder="1" applyAlignment="1">
      <alignment horizontal="left" vertical="center"/>
    </xf>
    <xf numFmtId="0" fontId="44" fillId="6" borderId="23" xfId="0" applyFont="1" applyFill="1" applyBorder="1" applyAlignment="1">
      <alignment horizontal="center" vertical="center"/>
    </xf>
    <xf numFmtId="164" fontId="44" fillId="6" borderId="0" xfId="0" applyNumberFormat="1" applyFont="1" applyFill="1" applyAlignment="1">
      <alignment horizontal="center" vertical="center"/>
    </xf>
    <xf numFmtId="0" fontId="8" fillId="0" borderId="0" xfId="2" applyFont="1" applyAlignment="1">
      <alignment vertical="center" wrapText="1"/>
    </xf>
    <xf numFmtId="0" fontId="8" fillId="0" borderId="3" xfId="2" applyFont="1" applyBorder="1" applyAlignment="1">
      <alignment vertical="center" wrapText="1"/>
    </xf>
    <xf numFmtId="172" fontId="44" fillId="10" borderId="0" xfId="0" applyNumberFormat="1" applyFont="1" applyFill="1" applyAlignment="1" applyProtection="1">
      <alignment horizontal="center" vertical="center"/>
      <protection locked="0"/>
    </xf>
    <xf numFmtId="0" fontId="44" fillId="10" borderId="28" xfId="0" applyFont="1" applyFill="1" applyBorder="1" applyAlignment="1" applyProtection="1">
      <alignment horizontal="center" vertical="center"/>
      <protection locked="0"/>
    </xf>
    <xf numFmtId="0" fontId="44" fillId="10" borderId="23" xfId="0" applyFont="1" applyFill="1" applyBorder="1" applyAlignment="1" applyProtection="1">
      <alignment horizontal="center" vertical="center"/>
      <protection locked="0"/>
    </xf>
    <xf numFmtId="0" fontId="44" fillId="6" borderId="5" xfId="0" applyFont="1" applyFill="1" applyBorder="1" applyAlignment="1">
      <alignment horizontal="center" vertical="center"/>
    </xf>
    <xf numFmtId="0" fontId="43" fillId="10" borderId="23" xfId="0" applyFont="1" applyFill="1" applyBorder="1" applyAlignment="1" applyProtection="1">
      <alignment horizontal="left" vertical="center"/>
      <protection locked="0"/>
    </xf>
    <xf numFmtId="1" fontId="43" fillId="10" borderId="23" xfId="0" applyNumberFormat="1" applyFont="1" applyFill="1" applyBorder="1" applyAlignment="1">
      <alignment horizontal="center" vertical="center"/>
    </xf>
    <xf numFmtId="0" fontId="43" fillId="10" borderId="23" xfId="0" applyFont="1" applyFill="1" applyBorder="1" applyAlignment="1">
      <alignment horizontal="center" vertical="center"/>
    </xf>
    <xf numFmtId="0" fontId="41" fillId="0" borderId="27" xfId="2" applyFont="1" applyBorder="1" applyAlignment="1">
      <alignment horizontal="center" vertical="center"/>
    </xf>
    <xf numFmtId="0" fontId="41" fillId="0" borderId="30" xfId="2" applyFont="1" applyBorder="1" applyAlignment="1">
      <alignment horizontal="center" vertical="center"/>
    </xf>
    <xf numFmtId="0" fontId="41" fillId="0" borderId="28" xfId="2" applyFont="1" applyBorder="1" applyAlignment="1">
      <alignment horizontal="center" vertical="center"/>
    </xf>
    <xf numFmtId="0" fontId="41" fillId="0" borderId="27" xfId="2" applyFont="1" applyBorder="1" applyAlignment="1">
      <alignment horizontal="left" vertical="center"/>
    </xf>
    <xf numFmtId="0" fontId="0" fillId="0" borderId="30" xfId="0" applyBorder="1" applyAlignment="1">
      <alignment horizontal="left" vertical="center"/>
    </xf>
    <xf numFmtId="0" fontId="41" fillId="0" borderId="0" xfId="2" applyFont="1" applyAlignment="1">
      <alignment horizontal="center" vertical="center"/>
    </xf>
    <xf numFmtId="174" fontId="41" fillId="0" borderId="27" xfId="2" applyNumberFormat="1" applyFont="1" applyBorder="1" applyAlignment="1">
      <alignment horizontal="center" vertical="center"/>
    </xf>
    <xf numFmtId="174" fontId="41" fillId="0" borderId="30" xfId="2" applyNumberFormat="1" applyFont="1" applyBorder="1" applyAlignment="1">
      <alignment horizontal="center" vertical="center"/>
    </xf>
    <xf numFmtId="174" fontId="41" fillId="0" borderId="28" xfId="2" applyNumberFormat="1" applyFont="1" applyBorder="1" applyAlignment="1">
      <alignment horizontal="center" vertical="center"/>
    </xf>
    <xf numFmtId="0" fontId="2" fillId="0" borderId="8" xfId="0" applyFont="1" applyBorder="1" applyAlignment="1">
      <alignment horizontal="left" vertical="center"/>
    </xf>
    <xf numFmtId="1" fontId="2" fillId="0" borderId="23" xfId="0" applyNumberFormat="1" applyFont="1" applyBorder="1" applyAlignment="1">
      <alignment horizontal="left" vertical="center"/>
    </xf>
    <xf numFmtId="0" fontId="2" fillId="0" borderId="23" xfId="0" applyFont="1" applyBorder="1" applyAlignment="1">
      <alignment horizontal="left" vertical="center"/>
    </xf>
    <xf numFmtId="0" fontId="2" fillId="0" borderId="23" xfId="0" quotePrefix="1" applyFont="1" applyBorder="1"/>
    <xf numFmtId="0" fontId="2" fillId="0" borderId="23" xfId="0" applyFont="1" applyBorder="1"/>
    <xf numFmtId="14" fontId="2" fillId="0" borderId="23" xfId="0" applyNumberFormat="1" applyFont="1" applyBorder="1" applyProtection="1">
      <protection locked="0"/>
    </xf>
    <xf numFmtId="0" fontId="2" fillId="0" borderId="23" xfId="0" applyFont="1" applyBorder="1" applyProtection="1">
      <protection locked="0"/>
    </xf>
    <xf numFmtId="0" fontId="3" fillId="0" borderId="0" xfId="0" applyFont="1" applyAlignment="1">
      <alignment horizontal="center"/>
    </xf>
    <xf numFmtId="0" fontId="2" fillId="0" borderId="0" xfId="0" applyFont="1" applyAlignment="1">
      <alignment horizontal="center"/>
    </xf>
    <xf numFmtId="0" fontId="3" fillId="0" borderId="0" xfId="0" applyFont="1" applyAlignment="1">
      <alignment horizontal="left"/>
    </xf>
    <xf numFmtId="0" fontId="2" fillId="0" borderId="0" xfId="0" applyFont="1" applyAlignment="1">
      <alignment horizontal="left"/>
    </xf>
    <xf numFmtId="0" fontId="2" fillId="0" borderId="3" xfId="0" applyFont="1" applyBorder="1"/>
    <xf numFmtId="0" fontId="2" fillId="11" borderId="5" xfId="0" applyFont="1" applyFill="1" applyBorder="1"/>
    <xf numFmtId="0" fontId="2" fillId="11" borderId="0" xfId="0" applyFont="1" applyFill="1"/>
    <xf numFmtId="0" fontId="2" fillId="0" borderId="37" xfId="0" quotePrefix="1" applyFont="1" applyBorder="1"/>
    <xf numFmtId="0" fontId="2" fillId="0" borderId="37" xfId="0" applyFont="1" applyBorder="1"/>
    <xf numFmtId="0" fontId="2" fillId="7" borderId="37" xfId="0" quotePrefix="1" applyFont="1" applyFill="1" applyBorder="1" applyProtection="1">
      <protection locked="0"/>
    </xf>
    <xf numFmtId="0" fontId="2" fillId="7" borderId="37" xfId="0" applyFont="1" applyFill="1" applyBorder="1" applyProtection="1">
      <protection locked="0"/>
    </xf>
    <xf numFmtId="14" fontId="2" fillId="2" borderId="37" xfId="0" applyNumberFormat="1" applyFont="1" applyFill="1" applyBorder="1" applyAlignment="1">
      <alignment horizontal="left" vertical="center" wrapText="1"/>
    </xf>
    <xf numFmtId="0" fontId="2" fillId="8" borderId="29" xfId="0" applyFont="1" applyFill="1" applyBorder="1" applyAlignment="1">
      <alignment horizontal="center" vertical="center"/>
    </xf>
    <xf numFmtId="0" fontId="2" fillId="8" borderId="7" xfId="0" applyFont="1" applyFill="1" applyBorder="1" applyAlignment="1">
      <alignment horizontal="center" vertical="center"/>
    </xf>
    <xf numFmtId="0" fontId="2" fillId="8" borderId="8" xfId="0" applyFont="1" applyFill="1" applyBorder="1" applyAlignment="1">
      <alignment horizontal="center" vertical="center"/>
    </xf>
    <xf numFmtId="0" fontId="15" fillId="2" borderId="0" xfId="0" applyFont="1" applyFill="1" applyAlignment="1">
      <alignment horizontal="center" vertical="center" wrapText="1"/>
    </xf>
    <xf numFmtId="171" fontId="2" fillId="0" borderId="38" xfId="0" applyNumberFormat="1" applyFont="1" applyBorder="1" applyAlignment="1">
      <alignment horizontal="center" vertical="center"/>
    </xf>
    <xf numFmtId="171" fontId="2" fillId="0" borderId="39" xfId="0" applyNumberFormat="1" applyFont="1" applyBorder="1" applyAlignment="1">
      <alignment horizontal="center" vertical="center"/>
    </xf>
    <xf numFmtId="171" fontId="2" fillId="0" borderId="40" xfId="0" applyNumberFormat="1" applyFont="1" applyBorder="1" applyAlignment="1">
      <alignment horizontal="center" vertical="center"/>
    </xf>
    <xf numFmtId="169" fontId="2" fillId="0" borderId="38" xfId="0" applyNumberFormat="1" applyFont="1" applyBorder="1" applyAlignment="1">
      <alignment horizontal="center" vertical="center"/>
    </xf>
    <xf numFmtId="169" fontId="2" fillId="0" borderId="39" xfId="0" applyNumberFormat="1" applyFont="1" applyBorder="1" applyAlignment="1">
      <alignment horizontal="center" vertical="center"/>
    </xf>
    <xf numFmtId="169" fontId="2" fillId="0" borderId="40" xfId="0" applyNumberFormat="1" applyFont="1" applyBorder="1" applyAlignment="1">
      <alignment horizontal="center" vertical="center"/>
    </xf>
    <xf numFmtId="177" fontId="2" fillId="0" borderId="38" xfId="0" applyNumberFormat="1" applyFont="1" applyBorder="1" applyAlignment="1">
      <alignment horizontal="center" vertical="center"/>
    </xf>
    <xf numFmtId="177" fontId="2" fillId="0" borderId="39" xfId="0" applyNumberFormat="1" applyFont="1" applyBorder="1" applyAlignment="1">
      <alignment horizontal="center" vertical="center"/>
    </xf>
    <xf numFmtId="177" fontId="2" fillId="0" borderId="40" xfId="0" applyNumberFormat="1" applyFont="1" applyBorder="1" applyAlignment="1">
      <alignment horizontal="center" vertical="center"/>
    </xf>
    <xf numFmtId="0" fontId="2" fillId="6" borderId="38" xfId="0" applyFont="1" applyFill="1" applyBorder="1" applyAlignment="1">
      <alignment horizontal="center" vertical="center"/>
    </xf>
    <xf numFmtId="0" fontId="2" fillId="6" borderId="39" xfId="0" applyFont="1" applyFill="1" applyBorder="1" applyAlignment="1">
      <alignment horizontal="center" vertical="center"/>
    </xf>
    <xf numFmtId="0" fontId="2" fillId="6" borderId="40" xfId="0" applyFont="1" applyFill="1" applyBorder="1" applyAlignment="1">
      <alignment horizontal="center" vertical="center"/>
    </xf>
    <xf numFmtId="0" fontId="2" fillId="0" borderId="38" xfId="0" applyFont="1" applyBorder="1" applyAlignment="1">
      <alignment horizontal="center" vertical="center"/>
    </xf>
    <xf numFmtId="0" fontId="2" fillId="0" borderId="39" xfId="0" applyFont="1" applyBorder="1" applyAlignment="1">
      <alignment horizontal="center" vertical="center"/>
    </xf>
    <xf numFmtId="0" fontId="28" fillId="2" borderId="0" xfId="0" applyFont="1" applyFill="1" applyAlignment="1">
      <alignment horizontal="center"/>
    </xf>
    <xf numFmtId="49" fontId="8" fillId="0" borderId="38" xfId="0" applyNumberFormat="1" applyFont="1" applyBorder="1" applyAlignment="1">
      <alignment horizontal="center" vertical="center" wrapText="1"/>
    </xf>
    <xf numFmtId="49" fontId="8" fillId="0" borderId="39" xfId="0" applyNumberFormat="1" applyFont="1" applyBorder="1" applyAlignment="1">
      <alignment horizontal="center" vertical="center" wrapText="1"/>
    </xf>
    <xf numFmtId="49" fontId="8" fillId="0" borderId="40" xfId="0" applyNumberFormat="1" applyFont="1" applyBorder="1" applyAlignment="1">
      <alignment horizontal="center" vertical="center" wrapText="1"/>
    </xf>
    <xf numFmtId="0" fontId="10" fillId="2" borderId="37" xfId="0" applyFont="1" applyFill="1" applyBorder="1" applyAlignment="1">
      <alignment horizontal="center" vertical="center" wrapText="1"/>
    </xf>
    <xf numFmtId="0" fontId="25" fillId="2" borderId="37" xfId="0" applyFont="1" applyFill="1" applyBorder="1" applyAlignment="1">
      <alignment horizontal="center" vertical="center" wrapText="1"/>
    </xf>
    <xf numFmtId="0" fontId="23" fillId="0" borderId="37" xfId="0" applyFont="1" applyBorder="1" applyAlignment="1">
      <alignment horizontal="center" vertical="center" wrapText="1"/>
    </xf>
    <xf numFmtId="0" fontId="22" fillId="2" borderId="24" xfId="0" applyFont="1" applyFill="1" applyBorder="1" applyAlignment="1">
      <alignment horizontal="center" vertical="center"/>
    </xf>
    <xf numFmtId="0" fontId="22" fillId="2" borderId="25" xfId="0" applyFont="1" applyFill="1" applyBorder="1" applyAlignment="1">
      <alignment horizontal="center" vertical="center"/>
    </xf>
    <xf numFmtId="0" fontId="22" fillId="2" borderId="26" xfId="0" applyFont="1" applyFill="1" applyBorder="1" applyAlignment="1">
      <alignment horizontal="center" vertical="center"/>
    </xf>
    <xf numFmtId="0" fontId="22" fillId="2" borderId="5" xfId="0" applyFont="1" applyFill="1" applyBorder="1" applyAlignment="1">
      <alignment horizontal="center" vertical="center"/>
    </xf>
    <xf numFmtId="0" fontId="22" fillId="2" borderId="0" xfId="0" applyFont="1" applyFill="1" applyAlignment="1">
      <alignment horizontal="center" vertical="center"/>
    </xf>
    <xf numFmtId="0" fontId="22" fillId="2" borderId="3" xfId="0" applyFont="1" applyFill="1" applyBorder="1" applyAlignment="1">
      <alignment horizontal="center" vertical="center"/>
    </xf>
    <xf numFmtId="0" fontId="22" fillId="2" borderId="6" xfId="0" applyFont="1" applyFill="1" applyBorder="1" applyAlignment="1">
      <alignment horizontal="center" vertical="center"/>
    </xf>
    <xf numFmtId="0" fontId="22" fillId="2" borderId="2" xfId="0" applyFont="1" applyFill="1" applyBorder="1" applyAlignment="1">
      <alignment horizontal="center" vertical="center"/>
    </xf>
    <xf numFmtId="0" fontId="22" fillId="2" borderId="4" xfId="0" applyFont="1" applyFill="1" applyBorder="1" applyAlignment="1">
      <alignment horizontal="center" vertical="center"/>
    </xf>
    <xf numFmtId="0" fontId="10" fillId="5" borderId="0" xfId="0" applyFont="1" applyFill="1" applyAlignment="1">
      <alignment horizontal="center" vertical="center" wrapText="1"/>
    </xf>
    <xf numFmtId="1" fontId="24" fillId="0" borderId="37" xfId="0" applyNumberFormat="1" applyFont="1" applyBorder="1" applyAlignment="1">
      <alignment horizontal="center" vertical="center" wrapText="1"/>
    </xf>
    <xf numFmtId="0" fontId="12" fillId="2" borderId="38" xfId="0" applyFont="1" applyFill="1" applyBorder="1" applyAlignment="1">
      <alignment horizontal="center" vertical="center"/>
    </xf>
    <xf numFmtId="0" fontId="12" fillId="2" borderId="39" xfId="0" applyFont="1" applyFill="1" applyBorder="1" applyAlignment="1">
      <alignment horizontal="center" vertical="center"/>
    </xf>
    <xf numFmtId="0" fontId="12" fillId="2" borderId="40" xfId="0" applyFont="1" applyFill="1" applyBorder="1" applyAlignment="1">
      <alignment horizontal="center" vertical="center"/>
    </xf>
    <xf numFmtId="1" fontId="24" fillId="2" borderId="37" xfId="0" applyNumberFormat="1" applyFont="1" applyFill="1" applyBorder="1" applyAlignment="1">
      <alignment horizontal="center" vertical="center" wrapText="1"/>
    </xf>
    <xf numFmtId="1" fontId="24" fillId="2" borderId="37" xfId="0" applyNumberFormat="1" applyFont="1" applyFill="1" applyBorder="1" applyAlignment="1">
      <alignment horizontal="center" vertical="center"/>
    </xf>
    <xf numFmtId="0" fontId="8" fillId="2" borderId="38" xfId="0" applyFont="1" applyFill="1" applyBorder="1" applyAlignment="1">
      <alignment horizontal="center" vertical="center"/>
    </xf>
    <xf numFmtId="0" fontId="8" fillId="2" borderId="39" xfId="0" applyFont="1" applyFill="1" applyBorder="1" applyAlignment="1">
      <alignment horizontal="center" vertical="center"/>
    </xf>
    <xf numFmtId="0" fontId="8" fillId="2" borderId="40" xfId="0" applyFont="1" applyFill="1" applyBorder="1" applyAlignment="1">
      <alignment horizontal="center" vertical="center"/>
    </xf>
    <xf numFmtId="0" fontId="60" fillId="0" borderId="0" xfId="0" applyFont="1" applyAlignment="1">
      <alignment horizontal="left" vertical="center"/>
    </xf>
    <xf numFmtId="0" fontId="36" fillId="2" borderId="29" xfId="0" applyFont="1" applyFill="1" applyBorder="1" applyAlignment="1">
      <alignment horizontal="center" vertical="center"/>
    </xf>
    <xf numFmtId="1" fontId="36" fillId="2" borderId="38" xfId="0" applyNumberFormat="1" applyFont="1" applyFill="1" applyBorder="1" applyAlignment="1">
      <alignment horizontal="center" vertical="center"/>
    </xf>
    <xf numFmtId="1" fontId="36" fillId="2" borderId="39" xfId="0" applyNumberFormat="1" applyFont="1" applyFill="1" applyBorder="1" applyAlignment="1">
      <alignment horizontal="center" vertical="center"/>
    </xf>
    <xf numFmtId="1" fontId="36" fillId="2" borderId="40" xfId="0" applyNumberFormat="1" applyFont="1" applyFill="1" applyBorder="1" applyAlignment="1">
      <alignment horizontal="center" vertical="center"/>
    </xf>
    <xf numFmtId="2" fontId="24" fillId="2" borderId="37" xfId="0" applyNumberFormat="1" applyFont="1" applyFill="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left" vertical="center" wrapText="1"/>
    </xf>
    <xf numFmtId="0" fontId="0" fillId="2" borderId="0" xfId="0" applyFill="1" applyAlignment="1">
      <alignment horizontal="center" vertical="center" wrapText="1"/>
    </xf>
    <xf numFmtId="1" fontId="0" fillId="2" borderId="37" xfId="0" applyNumberFormat="1" applyFill="1" applyBorder="1" applyAlignment="1">
      <alignment horizontal="center" vertical="center"/>
    </xf>
    <xf numFmtId="0" fontId="0" fillId="2" borderId="37" xfId="0" applyFill="1" applyBorder="1" applyAlignment="1">
      <alignment horizontal="center" vertical="center"/>
    </xf>
    <xf numFmtId="0" fontId="0" fillId="2" borderId="12" xfId="0" applyFill="1" applyBorder="1" applyAlignment="1">
      <alignment horizontal="center" vertical="center" wrapText="1"/>
    </xf>
    <xf numFmtId="0" fontId="30" fillId="2" borderId="29" xfId="0" applyFont="1" applyFill="1" applyBorder="1" applyAlignment="1">
      <alignment horizontal="center"/>
    </xf>
    <xf numFmtId="0" fontId="0" fillId="2" borderId="21" xfId="0" applyFill="1" applyBorder="1" applyAlignment="1">
      <alignment horizontal="center" vertical="center"/>
    </xf>
    <xf numFmtId="0" fontId="0" fillId="2" borderId="22" xfId="0" applyFill="1" applyBorder="1" applyAlignment="1">
      <alignment horizontal="center" vertical="center"/>
    </xf>
    <xf numFmtId="0" fontId="2" fillId="0" borderId="0" xfId="0" applyFont="1" applyAlignment="1">
      <alignment horizontal="center" vertical="center" wrapText="1"/>
    </xf>
    <xf numFmtId="0" fontId="2" fillId="2" borderId="21" xfId="0" applyFont="1" applyFill="1" applyBorder="1" applyAlignment="1">
      <alignment horizontal="center" vertical="center"/>
    </xf>
    <xf numFmtId="0" fontId="2" fillId="2" borderId="22" xfId="0" applyFont="1" applyFill="1" applyBorder="1" applyAlignment="1">
      <alignment horizontal="center" vertical="center"/>
    </xf>
    <xf numFmtId="14" fontId="0" fillId="2" borderId="0" xfId="0" applyNumberFormat="1" applyFill="1" applyAlignment="1">
      <alignment horizontal="center" vertical="center"/>
    </xf>
    <xf numFmtId="0" fontId="38" fillId="9" borderId="37" xfId="0" applyFont="1" applyFill="1" applyBorder="1" applyAlignment="1" applyProtection="1">
      <alignment horizontal="center" vertical="center" wrapText="1"/>
      <protection locked="0"/>
    </xf>
    <xf numFmtId="0" fontId="38" fillId="9" borderId="37" xfId="0" applyFont="1" applyFill="1" applyBorder="1" applyAlignment="1">
      <alignment horizontal="center" vertical="center" wrapText="1"/>
    </xf>
    <xf numFmtId="0" fontId="24" fillId="0" borderId="37" xfId="0" applyFont="1" applyBorder="1" applyAlignment="1">
      <alignment horizontal="center" vertical="center" wrapText="1"/>
    </xf>
    <xf numFmtId="49" fontId="8" fillId="0" borderId="38" xfId="0" applyNumberFormat="1" applyFont="1" applyBorder="1" applyAlignment="1" applyProtection="1">
      <alignment horizontal="center" vertical="center" wrapText="1"/>
      <protection locked="0"/>
    </xf>
    <xf numFmtId="49" fontId="8" fillId="0" borderId="39" xfId="0" applyNumberFormat="1" applyFont="1" applyBorder="1" applyAlignment="1" applyProtection="1">
      <alignment horizontal="center" vertical="center" wrapText="1"/>
      <protection locked="0"/>
    </xf>
    <xf numFmtId="49" fontId="8" fillId="0" borderId="40" xfId="0" applyNumberFormat="1" applyFont="1" applyBorder="1" applyAlignment="1" applyProtection="1">
      <alignment horizontal="center" vertical="center" wrapText="1"/>
      <protection locked="0"/>
    </xf>
    <xf numFmtId="0" fontId="40" fillId="0" borderId="24" xfId="0" applyFont="1" applyBorder="1" applyAlignment="1">
      <alignment horizontal="left" vertical="center" readingOrder="1"/>
    </xf>
    <xf numFmtId="0" fontId="40" fillId="0" borderId="25" xfId="0" applyFont="1" applyBorder="1" applyAlignment="1">
      <alignment horizontal="left" vertical="center" readingOrder="1"/>
    </xf>
    <xf numFmtId="0" fontId="40" fillId="0" borderId="26" xfId="0" applyFont="1" applyBorder="1" applyAlignment="1">
      <alignment horizontal="left" vertical="center" readingOrder="1"/>
    </xf>
    <xf numFmtId="0" fontId="40" fillId="0" borderId="5" xfId="0" applyFont="1" applyBorder="1" applyAlignment="1">
      <alignment horizontal="left" vertical="center" readingOrder="1"/>
    </xf>
    <xf numFmtId="0" fontId="40" fillId="0" borderId="0" xfId="0" applyFont="1" applyAlignment="1">
      <alignment horizontal="left" vertical="center" readingOrder="1"/>
    </xf>
    <xf numFmtId="0" fontId="40" fillId="0" borderId="3" xfId="0" applyFont="1" applyBorder="1" applyAlignment="1">
      <alignment horizontal="left" vertical="center" readingOrder="1"/>
    </xf>
    <xf numFmtId="0" fontId="40" fillId="0" borderId="6" xfId="0" applyFont="1" applyBorder="1" applyAlignment="1">
      <alignment horizontal="left" vertical="center" readingOrder="1"/>
    </xf>
    <xf numFmtId="0" fontId="40" fillId="0" borderId="2" xfId="0" applyFont="1" applyBorder="1" applyAlignment="1">
      <alignment horizontal="left" vertical="center" readingOrder="1"/>
    </xf>
    <xf numFmtId="0" fontId="40" fillId="0" borderId="4" xfId="0" applyFont="1" applyBorder="1" applyAlignment="1">
      <alignment horizontal="left" vertical="center" readingOrder="1"/>
    </xf>
    <xf numFmtId="164" fontId="24" fillId="2" borderId="37" xfId="0" applyNumberFormat="1" applyFont="1" applyFill="1" applyBorder="1" applyAlignment="1">
      <alignment horizontal="center" vertical="center" wrapText="1"/>
    </xf>
    <xf numFmtId="0" fontId="64" fillId="0" borderId="0" xfId="6" applyFont="1" applyAlignment="1">
      <alignment horizontal="center" vertical="center" wrapText="1"/>
    </xf>
    <xf numFmtId="0" fontId="65" fillId="15" borderId="37" xfId="0" applyFont="1" applyFill="1" applyBorder="1" applyAlignment="1">
      <alignment horizontal="left" vertical="center" wrapText="1"/>
    </xf>
    <xf numFmtId="0" fontId="0" fillId="0" borderId="0" xfId="0" applyNumberFormat="1"/>
    <xf numFmtId="0" fontId="2" fillId="0" borderId="0" xfId="0" applyNumberFormat="1" applyFont="1"/>
  </cellXfs>
  <cellStyles count="11">
    <cellStyle name="Currency" xfId="4" builtinId="4"/>
    <cellStyle name="Currency 2" xfId="7" xr:uid="{425ACE1C-CFEE-44DC-AE46-5E5C6B54EB1C}"/>
    <cellStyle name="Explanatory Text" xfId="3" builtinId="53"/>
    <cellStyle name="Hyperlink" xfId="1" builtinId="8"/>
    <cellStyle name="Hyperlink 2" xfId="9" xr:uid="{CB215843-ABA9-4C89-B975-BC7D81D3966A}"/>
    <cellStyle name="Normal" xfId="0" builtinId="0"/>
    <cellStyle name="Normal 2" xfId="2" xr:uid="{00000000-0005-0000-0000-000002000000}"/>
    <cellStyle name="Normal 3" xfId="6" xr:uid="{8F7B4F6F-6EC6-4412-91F6-E338FE3E56FE}"/>
    <cellStyle name="Normal 4" xfId="8" xr:uid="{F5433EC4-BEC4-4CA2-9166-33598D4D28A2}"/>
    <cellStyle name="Percent" xfId="5" builtinId="5"/>
    <cellStyle name="Percent 2" xfId="10" xr:uid="{2F8CC081-3050-459A-B796-32BB6C6548EF}"/>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microsoft.com/office/2017/10/relationships/person" Target="persons/person.xml"/><Relationship Id="rId3" Type="http://schemas.openxmlformats.org/officeDocument/2006/relationships/worksheet" Target="worksheets/sheet1.xml"/><Relationship Id="rId21" Type="http://schemas.openxmlformats.org/officeDocument/2006/relationships/worksheet" Target="worksheets/sheet19.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sharedStrings" Target="sharedStrings.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worksheet" Target="worksheets/sheet18.xml"/><Relationship Id="rId29" Type="http://schemas.openxmlformats.org/officeDocument/2006/relationships/customXml" Target="../customXml/item2.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styles" Target="styles.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78</c:v>
                </c:pt>
                <c:pt idx="1">
                  <c:v>188</c:v>
                </c:pt>
                <c:pt idx="2">
                  <c:v>1018</c:v>
                </c:pt>
                <c:pt idx="3">
                  <c:v>2074</c:v>
                </c:pt>
                <c:pt idx="4">
                  <c:v>2990</c:v>
                </c:pt>
                <c:pt idx="5">
                  <c:v>10008</c:v>
                </c:pt>
                <c:pt idx="6">
                  <c:v>16418</c:v>
                </c:pt>
                <c:pt idx="7">
                  <c:v>24602</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1066968</c:v>
                </c:pt>
                <c:pt idx="1">
                  <c:v>465752</c:v>
                </c:pt>
                <c:pt idx="2">
                  <c:v>109065.00000000001</c:v>
                </c:pt>
                <c:pt idx="3">
                  <c:v>37095</c:v>
                </c:pt>
                <c:pt idx="4">
                  <c:v>11283</c:v>
                </c:pt>
                <c:pt idx="5">
                  <c:v>5545</c:v>
                </c:pt>
                <c:pt idx="6">
                  <c:v>731</c:v>
                </c:pt>
                <c:pt idx="7">
                  <c:v>150</c:v>
                </c:pt>
                <c:pt idx="8">
                  <c:v>14</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1066968</c:v>
                </c:pt>
                <c:pt idx="1">
                  <c:v>465752</c:v>
                </c:pt>
                <c:pt idx="2">
                  <c:v>109065.00000000001</c:v>
                </c:pt>
                <c:pt idx="3">
                  <c:v>37095</c:v>
                </c:pt>
                <c:pt idx="4">
                  <c:v>11283</c:v>
                </c:pt>
                <c:pt idx="5">
                  <c:v>5545</c:v>
                </c:pt>
                <c:pt idx="6">
                  <c:v>731</c:v>
                </c:pt>
                <c:pt idx="7">
                  <c:v>150</c:v>
                </c:pt>
                <c:pt idx="8">
                  <c:v>14</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1066968</c:v>
                </c:pt>
                <c:pt idx="1">
                  <c:v>465752</c:v>
                </c:pt>
                <c:pt idx="2">
                  <c:v>109065.00000000001</c:v>
                </c:pt>
                <c:pt idx="3">
                  <c:v>37095</c:v>
                </c:pt>
                <c:pt idx="4">
                  <c:v>11283</c:v>
                </c:pt>
                <c:pt idx="5">
                  <c:v>5545</c:v>
                </c:pt>
                <c:pt idx="6">
                  <c:v>731</c:v>
                </c:pt>
                <c:pt idx="7">
                  <c:v>150</c:v>
                </c:pt>
                <c:pt idx="8">
                  <c:v>14</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1066968</c:v>
                </c:pt>
                <c:pt idx="1">
                  <c:v>465752</c:v>
                </c:pt>
                <c:pt idx="2">
                  <c:v>109065.00000000001</c:v>
                </c:pt>
                <c:pt idx="3">
                  <c:v>37095</c:v>
                </c:pt>
                <c:pt idx="4">
                  <c:v>11283</c:v>
                </c:pt>
                <c:pt idx="5">
                  <c:v>5545</c:v>
                </c:pt>
                <c:pt idx="6">
                  <c:v>731</c:v>
                </c:pt>
                <c:pt idx="7">
                  <c:v>150</c:v>
                </c:pt>
                <c:pt idx="8">
                  <c:v>14</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1066968</c:v>
                </c:pt>
                <c:pt idx="1">
                  <c:v>465752</c:v>
                </c:pt>
                <c:pt idx="2">
                  <c:v>109065.00000000001</c:v>
                </c:pt>
                <c:pt idx="3">
                  <c:v>37095</c:v>
                </c:pt>
                <c:pt idx="4">
                  <c:v>11283</c:v>
                </c:pt>
                <c:pt idx="5">
                  <c:v>5545</c:v>
                </c:pt>
                <c:pt idx="6">
                  <c:v>731</c:v>
                </c:pt>
                <c:pt idx="7">
                  <c:v>150</c:v>
                </c:pt>
                <c:pt idx="8">
                  <c:v>14</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1066968</c:v>
                </c:pt>
                <c:pt idx="1">
                  <c:v>465752</c:v>
                </c:pt>
                <c:pt idx="2">
                  <c:v>109065.00000000001</c:v>
                </c:pt>
                <c:pt idx="3">
                  <c:v>37095</c:v>
                </c:pt>
                <c:pt idx="4">
                  <c:v>11283</c:v>
                </c:pt>
                <c:pt idx="5">
                  <c:v>5545</c:v>
                </c:pt>
                <c:pt idx="6">
                  <c:v>731</c:v>
                </c:pt>
                <c:pt idx="7">
                  <c:v>150</c:v>
                </c:pt>
                <c:pt idx="8">
                  <c:v>14</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1066968</c:v>
                </c:pt>
                <c:pt idx="1">
                  <c:v>465752</c:v>
                </c:pt>
                <c:pt idx="2">
                  <c:v>109065.00000000001</c:v>
                </c:pt>
                <c:pt idx="3">
                  <c:v>37095</c:v>
                </c:pt>
                <c:pt idx="4">
                  <c:v>11283</c:v>
                </c:pt>
                <c:pt idx="5">
                  <c:v>5545</c:v>
                </c:pt>
                <c:pt idx="6">
                  <c:v>731</c:v>
                </c:pt>
                <c:pt idx="7">
                  <c:v>150</c:v>
                </c:pt>
                <c:pt idx="8">
                  <c:v>14</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1066968</c:v>
                </c:pt>
                <c:pt idx="1">
                  <c:v>465752</c:v>
                </c:pt>
                <c:pt idx="2">
                  <c:v>109065.00000000001</c:v>
                </c:pt>
                <c:pt idx="3">
                  <c:v>37095</c:v>
                </c:pt>
                <c:pt idx="4">
                  <c:v>11283</c:v>
                </c:pt>
                <c:pt idx="5">
                  <c:v>5545</c:v>
                </c:pt>
                <c:pt idx="6">
                  <c:v>731</c:v>
                </c:pt>
                <c:pt idx="7">
                  <c:v>150</c:v>
                </c:pt>
                <c:pt idx="8">
                  <c:v>14</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7.xml.rels><?xml version="1.0" encoding="UTF-8" standalone="yes"?>
<Relationships xmlns="http://schemas.openxmlformats.org/package/2006/relationships"><Relationship Id="rId1" Type="http://schemas.openxmlformats.org/officeDocument/2006/relationships/image" Target="../media/image9.jp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99</xdr:row>
          <xdr:rowOff>0</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156</xdr:row>
          <xdr:rowOff>0</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171450</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171450</xdr:colOff>
          <xdr:row>95</xdr:row>
          <xdr:rowOff>66675</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xdr:twoCellAnchor editAs="oneCell">
    <xdr:from>
      <xdr:col>5</xdr:col>
      <xdr:colOff>169334</xdr:colOff>
      <xdr:row>2</xdr:row>
      <xdr:rowOff>42333</xdr:rowOff>
    </xdr:from>
    <xdr:to>
      <xdr:col>10</xdr:col>
      <xdr:colOff>4387</xdr:colOff>
      <xdr:row>8</xdr:row>
      <xdr:rowOff>7744</xdr:rowOff>
    </xdr:to>
    <xdr:pic>
      <xdr:nvPicPr>
        <xdr:cNvPr id="2" name="Picture 1">
          <a:extLst>
            <a:ext uri="{FF2B5EF4-FFF2-40B4-BE49-F238E27FC236}">
              <a16:creationId xmlns:a16="http://schemas.microsoft.com/office/drawing/2014/main" id="{233C5F11-DD59-4829-BA18-9669B804A83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51" t="1465" r="63036" b="82599"/>
        <a:stretch>
          <a:fillRect/>
        </a:stretch>
      </xdr:blipFill>
      <xdr:spPr>
        <a:xfrm>
          <a:off x="4407959" y="404283"/>
          <a:ext cx="4173691" cy="105126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4.bin"/><Relationship Id="rId1" Type="http://schemas.openxmlformats.org/officeDocument/2006/relationships/hyperlink" Target="http://www.mpfiltr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40625" defaultRowHeight="12.75" x14ac:dyDescent="0.2"/>
  <cols>
    <col min="1" max="1" width="8.28515625" style="3" customWidth="1"/>
    <col min="2" max="2" width="9.5703125" style="3" bestFit="1" customWidth="1"/>
    <col min="3" max="3" width="10.140625" style="3" bestFit="1" customWidth="1"/>
    <col min="4" max="4" width="10.28515625" style="3" customWidth="1"/>
    <col min="5" max="5" width="6.42578125" style="3" customWidth="1"/>
    <col min="6" max="6" width="13.140625" style="4" customWidth="1"/>
    <col min="7" max="7" width="6.42578125" style="3" customWidth="1"/>
    <col min="8" max="9" width="12.42578125" style="3" bestFit="1" customWidth="1"/>
    <col min="10" max="10" width="6.42578125" style="3" customWidth="1"/>
    <col min="11" max="11" width="12.85546875" style="3" customWidth="1"/>
    <col min="12" max="12" width="12.85546875" style="4" customWidth="1"/>
    <col min="13" max="13" width="12.85546875" style="3" customWidth="1"/>
    <col min="14" max="14" width="12.85546875" style="4" customWidth="1"/>
    <col min="15" max="16384" width="9.140625" style="1"/>
  </cols>
  <sheetData>
    <row r="1" spans="1:14" ht="15.75" x14ac:dyDescent="0.25">
      <c r="A1" s="9" t="s">
        <v>0</v>
      </c>
      <c r="H1" s="9" t="s">
        <v>1</v>
      </c>
    </row>
    <row r="2" spans="1:14" x14ac:dyDescent="0.2">
      <c r="H2" s="3">
        <v>4</v>
      </c>
      <c r="K2" s="271" t="s">
        <v>2</v>
      </c>
      <c r="L2" s="272"/>
      <c r="M2" s="271" t="s">
        <v>3</v>
      </c>
      <c r="N2" s="272"/>
    </row>
    <row r="3" spans="1:14" s="2" customFormat="1" ht="27" customHeight="1" x14ac:dyDescent="0.2">
      <c r="A3" s="273" t="s">
        <v>4</v>
      </c>
      <c r="B3" s="273" t="s">
        <v>5</v>
      </c>
      <c r="C3" s="273" t="s">
        <v>6</v>
      </c>
      <c r="D3" s="274" t="s">
        <v>7</v>
      </c>
      <c r="F3" s="275" t="s">
        <v>8</v>
      </c>
      <c r="H3" s="276" t="s">
        <v>4</v>
      </c>
      <c r="I3" s="276" t="s">
        <v>6</v>
      </c>
      <c r="K3" s="276" t="s">
        <v>9</v>
      </c>
      <c r="L3" s="275" t="s">
        <v>10</v>
      </c>
      <c r="M3" s="276" t="s">
        <v>9</v>
      </c>
      <c r="N3" s="275" t="s">
        <v>10</v>
      </c>
    </row>
    <row r="4" spans="1:14" x14ac:dyDescent="0.2">
      <c r="A4" s="28">
        <v>1</v>
      </c>
      <c r="B4" s="29">
        <v>108400</v>
      </c>
      <c r="C4" s="26">
        <f>B4/2.8</f>
        <v>38714.285714285717</v>
      </c>
      <c r="D4" s="32">
        <v>0.27400000000000002</v>
      </c>
      <c r="F4" s="14">
        <f>LN(C4)</f>
        <v>10.563963950806524</v>
      </c>
      <c r="H4" s="277">
        <v>50</v>
      </c>
      <c r="I4" s="278" t="e">
        <f ca="1">EXP(interpolate($A$4:$A$93, $F$4:$F$93, $H4,$H$2,FALSE))</f>
        <v>#NAME?</v>
      </c>
      <c r="K4" s="279">
        <v>1</v>
      </c>
      <c r="L4" s="280" t="e">
        <f ca="1">EXP(interpolate($A$4:$A$92, $F$4:$F$92, $K4,$H$2,TRUE))</f>
        <v>#NAME?</v>
      </c>
      <c r="M4" s="279">
        <v>1</v>
      </c>
      <c r="N4" s="280" t="e">
        <f ca="1">EXP(interpolate($A$4:$A$93, $F$4:$F$93, M4,$H$2,TRUE))</f>
        <v>#NAME?</v>
      </c>
    </row>
    <row r="5" spans="1:14" x14ac:dyDescent="0.2">
      <c r="A5" s="28">
        <v>2</v>
      </c>
      <c r="B5" s="29">
        <v>27035</v>
      </c>
      <c r="C5" s="26">
        <f t="shared" ref="C5:C53" si="0">B5/2.8</f>
        <v>9655.3571428571431</v>
      </c>
      <c r="D5" s="32">
        <v>0.26500000000000001</v>
      </c>
      <c r="F5" s="14">
        <f t="shared" ref="F5:F53" si="1">LN(C5)</f>
        <v>9.1752681846349464</v>
      </c>
      <c r="K5" s="12">
        <v>1.1000000000000001</v>
      </c>
      <c r="L5" s="10" t="e">
        <f t="shared" ref="L5:L68" ca="1" si="2">EXP(interpolate($A$4:$A$92, $F$4:$F$92, $K5,$H$2,TRUE))</f>
        <v>#NAME?</v>
      </c>
      <c r="M5" s="12">
        <v>2</v>
      </c>
      <c r="N5" s="10" t="e">
        <f t="shared" ref="N5:N68" ca="1" si="3">EXP(interpolate($A$4:$A$93, $F$4:$F$93, M5,$H$2,TRUE))</f>
        <v>#NAME?</v>
      </c>
    </row>
    <row r="6" spans="1:14" x14ac:dyDescent="0.2">
      <c r="A6" s="28">
        <v>3</v>
      </c>
      <c r="B6" s="29">
        <v>11209</v>
      </c>
      <c r="C6" s="26">
        <f t="shared" si="0"/>
        <v>4003.2142857142858</v>
      </c>
      <c r="D6" s="32">
        <v>0.27200000000000002</v>
      </c>
      <c r="F6" s="14">
        <f t="shared" si="1"/>
        <v>8.2948528888399373</v>
      </c>
      <c r="K6" s="12">
        <v>1.2</v>
      </c>
      <c r="L6" s="10" t="e">
        <f t="shared" ca="1" si="2"/>
        <v>#NAME?</v>
      </c>
      <c r="M6" s="12">
        <v>3</v>
      </c>
      <c r="N6" s="10" t="e">
        <f t="shared" ca="1" si="3"/>
        <v>#NAME?</v>
      </c>
    </row>
    <row r="7" spans="1:14" x14ac:dyDescent="0.2">
      <c r="A7" s="28">
        <v>4</v>
      </c>
      <c r="B7" s="29">
        <v>6095</v>
      </c>
      <c r="C7" s="26">
        <f t="shared" si="0"/>
        <v>2176.7857142857142</v>
      </c>
      <c r="D7" s="32">
        <v>0.308</v>
      </c>
      <c r="F7" s="14">
        <f t="shared" si="1"/>
        <v>7.6856046247342134</v>
      </c>
      <c r="K7" s="12">
        <v>1.3</v>
      </c>
      <c r="L7" s="10" t="e">
        <f t="shared" ca="1" si="2"/>
        <v>#NAME?</v>
      </c>
      <c r="M7" s="12">
        <v>4</v>
      </c>
      <c r="N7" s="10" t="e">
        <f t="shared" ca="1" si="3"/>
        <v>#NAME?</v>
      </c>
    </row>
    <row r="8" spans="1:14" x14ac:dyDescent="0.2">
      <c r="A8" s="28">
        <v>5</v>
      </c>
      <c r="B8" s="29">
        <v>3737</v>
      </c>
      <c r="C8" s="26">
        <f t="shared" si="0"/>
        <v>1334.6428571428573</v>
      </c>
      <c r="D8" s="32">
        <v>0.41399999999999998</v>
      </c>
      <c r="F8" s="14">
        <f t="shared" si="1"/>
        <v>7.1964190123043261</v>
      </c>
      <c r="H8" s="281" t="s">
        <v>11</v>
      </c>
      <c r="I8" s="282">
        <v>10000</v>
      </c>
      <c r="K8" s="12">
        <v>1.4</v>
      </c>
      <c r="L8" s="10" t="e">
        <f t="shared" ca="1" si="2"/>
        <v>#NAME?</v>
      </c>
      <c r="M8" s="12">
        <v>5</v>
      </c>
      <c r="N8" s="10" t="e">
        <f t="shared" ca="1" si="3"/>
        <v>#NAME?</v>
      </c>
    </row>
    <row r="9" spans="1:14" x14ac:dyDescent="0.2">
      <c r="A9" s="28">
        <v>6</v>
      </c>
      <c r="B9" s="29">
        <v>2395</v>
      </c>
      <c r="C9" s="26">
        <f t="shared" si="0"/>
        <v>855.35714285714289</v>
      </c>
      <c r="D9" s="32">
        <v>0.56000000000000005</v>
      </c>
      <c r="F9" s="14">
        <f t="shared" si="1"/>
        <v>6.7515190926638571</v>
      </c>
      <c r="H9" s="281" t="s">
        <v>12</v>
      </c>
      <c r="I9" s="278">
        <f>LN(I8)</f>
        <v>9.2103403719761836</v>
      </c>
      <c r="K9" s="12">
        <v>1.5</v>
      </c>
      <c r="L9" s="10" t="e">
        <f t="shared" ca="1" si="2"/>
        <v>#NAME?</v>
      </c>
      <c r="M9" s="12">
        <v>6</v>
      </c>
      <c r="N9" s="10" t="e">
        <f t="shared" ca="1" si="3"/>
        <v>#NAME?</v>
      </c>
    </row>
    <row r="10" spans="1:14" x14ac:dyDescent="0.2">
      <c r="A10" s="28">
        <v>7</v>
      </c>
      <c r="B10" s="29">
        <v>1573</v>
      </c>
      <c r="C10" s="26">
        <f t="shared" si="0"/>
        <v>561.78571428571433</v>
      </c>
      <c r="D10" s="32">
        <v>0.54200000000000004</v>
      </c>
      <c r="F10" s="14">
        <f t="shared" si="1"/>
        <v>6.3311204858771193</v>
      </c>
      <c r="H10" s="281" t="s">
        <v>4</v>
      </c>
      <c r="I10" s="278" t="e">
        <f ca="1">interpolate($F$4:$F$93, $A$4:$A$93, $I9,$H$2,FALSE)</f>
        <v>#NAME?</v>
      </c>
      <c r="K10" s="12">
        <v>1.6</v>
      </c>
      <c r="L10" s="10" t="e">
        <f t="shared" ca="1" si="2"/>
        <v>#NAME?</v>
      </c>
      <c r="M10" s="12">
        <v>7</v>
      </c>
      <c r="N10" s="10" t="e">
        <f t="shared" ca="1" si="3"/>
        <v>#NAME?</v>
      </c>
    </row>
    <row r="11" spans="1:14" x14ac:dyDescent="0.2">
      <c r="A11" s="28">
        <v>8</v>
      </c>
      <c r="B11" s="29">
        <v>1055</v>
      </c>
      <c r="C11" s="26">
        <f t="shared" si="0"/>
        <v>376.78571428571433</v>
      </c>
      <c r="D11" s="32">
        <v>0.499</v>
      </c>
      <c r="F11" s="14">
        <f t="shared" si="1"/>
        <v>5.9316766287290088</v>
      </c>
      <c r="K11" s="12">
        <v>1.7</v>
      </c>
      <c r="L11" s="10" t="e">
        <f t="shared" ca="1" si="2"/>
        <v>#NAME?</v>
      </c>
      <c r="M11" s="12">
        <v>8</v>
      </c>
      <c r="N11" s="10" t="e">
        <f t="shared" ca="1" si="3"/>
        <v>#NAME?</v>
      </c>
    </row>
    <row r="12" spans="1:14" x14ac:dyDescent="0.2">
      <c r="A12" s="28">
        <v>9</v>
      </c>
      <c r="B12" s="29">
        <v>725.8</v>
      </c>
      <c r="C12" s="26">
        <f t="shared" si="0"/>
        <v>259.21428571428572</v>
      </c>
      <c r="D12" s="32">
        <v>0.54400000000000004</v>
      </c>
      <c r="F12" s="14">
        <f t="shared" si="1"/>
        <v>5.5576550775978122</v>
      </c>
      <c r="K12" s="12">
        <v>1.8</v>
      </c>
      <c r="L12" s="10" t="e">
        <f t="shared" ca="1" si="2"/>
        <v>#NAME?</v>
      </c>
      <c r="M12" s="12">
        <v>9</v>
      </c>
      <c r="N12" s="10" t="e">
        <f t="shared" ca="1" si="3"/>
        <v>#NAME?</v>
      </c>
    </row>
    <row r="13" spans="1:14" x14ac:dyDescent="0.2">
      <c r="A13" s="28">
        <v>10</v>
      </c>
      <c r="B13" s="29">
        <v>513.70000000000005</v>
      </c>
      <c r="C13" s="26">
        <f t="shared" si="0"/>
        <v>183.46428571428575</v>
      </c>
      <c r="D13" s="32">
        <v>0.64300000000000002</v>
      </c>
      <c r="F13" s="14">
        <f t="shared" si="1"/>
        <v>5.2120200202920639</v>
      </c>
      <c r="K13" s="12">
        <v>1.9</v>
      </c>
      <c r="L13" s="10" t="e">
        <f t="shared" ca="1" si="2"/>
        <v>#NAME?</v>
      </c>
      <c r="M13" s="12">
        <v>10</v>
      </c>
      <c r="N13" s="10" t="e">
        <f t="shared" ca="1" si="3"/>
        <v>#NAME?</v>
      </c>
    </row>
    <row r="14" spans="1:14" x14ac:dyDescent="0.2">
      <c r="A14" s="28">
        <v>11</v>
      </c>
      <c r="B14" s="29">
        <v>374.6</v>
      </c>
      <c r="C14" s="26">
        <f t="shared" si="0"/>
        <v>133.78571428571431</v>
      </c>
      <c r="D14" s="32">
        <v>0.75900000000000001</v>
      </c>
      <c r="F14" s="14">
        <f t="shared" si="1"/>
        <v>4.8962393728288305</v>
      </c>
      <c r="H14" s="281">
        <v>2</v>
      </c>
      <c r="I14" s="278" t="e">
        <f ca="1">mtd($H$14)</f>
        <v>#NAME?</v>
      </c>
      <c r="K14" s="12">
        <v>2</v>
      </c>
      <c r="L14" s="10" t="e">
        <f t="shared" ca="1" si="2"/>
        <v>#NAME?</v>
      </c>
      <c r="M14" s="12">
        <v>11</v>
      </c>
      <c r="N14" s="10" t="e">
        <f t="shared" ca="1" si="3"/>
        <v>#NAME?</v>
      </c>
    </row>
    <row r="15" spans="1:14" x14ac:dyDescent="0.2">
      <c r="A15" s="28">
        <v>12</v>
      </c>
      <c r="B15" s="29">
        <v>281</v>
      </c>
      <c r="C15" s="26">
        <f t="shared" si="0"/>
        <v>100.35714285714286</v>
      </c>
      <c r="D15" s="32">
        <v>0.98099999999999998</v>
      </c>
      <c r="F15" s="14">
        <f t="shared" si="1"/>
        <v>4.6087352521525879</v>
      </c>
      <c r="K15" s="12">
        <v>2.1</v>
      </c>
      <c r="L15" s="10" t="e">
        <f t="shared" ca="1" si="2"/>
        <v>#NAME?</v>
      </c>
      <c r="M15" s="12">
        <v>12</v>
      </c>
      <c r="N15" s="10" t="e">
        <f t="shared" ca="1" si="3"/>
        <v>#NAME?</v>
      </c>
    </row>
    <row r="16" spans="1:14" x14ac:dyDescent="0.2">
      <c r="A16" s="28">
        <v>13</v>
      </c>
      <c r="B16" s="29">
        <v>216.4</v>
      </c>
      <c r="C16" s="26">
        <f t="shared" si="0"/>
        <v>77.285714285714292</v>
      </c>
      <c r="D16" s="32">
        <v>1.2729999999999999</v>
      </c>
      <c r="F16" s="14">
        <f t="shared" si="1"/>
        <v>4.3475091297911685</v>
      </c>
      <c r="K16" s="12">
        <v>2.2000000000000002</v>
      </c>
      <c r="L16" s="10" t="e">
        <f t="shared" ca="1" si="2"/>
        <v>#NAME?</v>
      </c>
      <c r="M16" s="12">
        <v>13</v>
      </c>
      <c r="N16" s="10" t="e">
        <f t="shared" ca="1" si="3"/>
        <v>#NAME?</v>
      </c>
    </row>
    <row r="17" spans="1:14" x14ac:dyDescent="0.2">
      <c r="A17" s="28">
        <v>14</v>
      </c>
      <c r="B17" s="29">
        <v>170.4</v>
      </c>
      <c r="C17" s="26">
        <f t="shared" si="0"/>
        <v>60.857142857142861</v>
      </c>
      <c r="D17" s="32">
        <v>1.655</v>
      </c>
      <c r="F17" s="14">
        <f t="shared" si="1"/>
        <v>4.1085291972140574</v>
      </c>
      <c r="H17" s="278" t="e">
        <f ca="1">mtd(1.7575)</f>
        <v>#NAME?</v>
      </c>
      <c r="K17" s="12">
        <v>2.2999999999999998</v>
      </c>
      <c r="L17" s="10" t="e">
        <f t="shared" ca="1" si="2"/>
        <v>#NAME?</v>
      </c>
      <c r="M17" s="12">
        <v>14</v>
      </c>
      <c r="N17" s="10" t="e">
        <f t="shared" ca="1" si="3"/>
        <v>#NAME?</v>
      </c>
    </row>
    <row r="18" spans="1:14" x14ac:dyDescent="0.2">
      <c r="A18" s="28">
        <v>15</v>
      </c>
      <c r="B18" s="29">
        <v>136.80000000000001</v>
      </c>
      <c r="C18" s="26">
        <f t="shared" si="0"/>
        <v>48.857142857142861</v>
      </c>
      <c r="D18" s="32">
        <v>2.2109999999999999</v>
      </c>
      <c r="F18" s="14">
        <f t="shared" si="1"/>
        <v>3.8889005880072918</v>
      </c>
      <c r="K18" s="12">
        <v>2.4</v>
      </c>
      <c r="L18" s="10" t="e">
        <f t="shared" ca="1" si="2"/>
        <v>#NAME?</v>
      </c>
      <c r="M18" s="12">
        <v>15</v>
      </c>
      <c r="N18" s="10" t="e">
        <f t="shared" ca="1" si="3"/>
        <v>#NAME?</v>
      </c>
    </row>
    <row r="19" spans="1:14" x14ac:dyDescent="0.2">
      <c r="A19" s="28">
        <v>16</v>
      </c>
      <c r="B19" s="29">
        <v>111.3</v>
      </c>
      <c r="C19" s="26">
        <f t="shared" si="0"/>
        <v>39.75</v>
      </c>
      <c r="D19" s="32">
        <v>2.4140000000000001</v>
      </c>
      <c r="F19" s="14">
        <f t="shared" si="1"/>
        <v>3.6826098411003407</v>
      </c>
      <c r="H19" s="3" t="s">
        <v>13</v>
      </c>
      <c r="K19" s="12">
        <v>2.5</v>
      </c>
      <c r="L19" s="10" t="e">
        <f t="shared" ca="1" si="2"/>
        <v>#NAME?</v>
      </c>
      <c r="M19" s="12">
        <v>16</v>
      </c>
      <c r="N19" s="10" t="e">
        <f t="shared" ca="1" si="3"/>
        <v>#NAME?</v>
      </c>
    </row>
    <row r="20" spans="1:14" x14ac:dyDescent="0.2">
      <c r="A20" s="28">
        <v>17</v>
      </c>
      <c r="B20" s="29">
        <v>91.33</v>
      </c>
      <c r="C20" s="26">
        <f t="shared" si="0"/>
        <v>32.617857142857147</v>
      </c>
      <c r="D20" s="32">
        <v>2.91</v>
      </c>
      <c r="F20" s="14">
        <f t="shared" si="1"/>
        <v>3.4848599035224295</v>
      </c>
      <c r="K20" s="12">
        <v>2.6</v>
      </c>
      <c r="L20" s="10" t="e">
        <f t="shared" ca="1" si="2"/>
        <v>#NAME?</v>
      </c>
      <c r="M20" s="12">
        <v>17</v>
      </c>
      <c r="N20" s="10" t="e">
        <f t="shared" ca="1" si="3"/>
        <v>#NAME?</v>
      </c>
    </row>
    <row r="21" spans="1:14" x14ac:dyDescent="0.2">
      <c r="A21" s="28">
        <v>18</v>
      </c>
      <c r="B21" s="29">
        <v>75.290000000000006</v>
      </c>
      <c r="C21" s="26">
        <f t="shared" si="0"/>
        <v>26.88928571428572</v>
      </c>
      <c r="D21" s="32">
        <v>3.444</v>
      </c>
      <c r="F21" s="14">
        <f t="shared" si="1"/>
        <v>3.2917279066808729</v>
      </c>
      <c r="K21" s="12">
        <v>2.7</v>
      </c>
      <c r="L21" s="10" t="e">
        <f t="shared" ca="1" si="2"/>
        <v>#NAME?</v>
      </c>
      <c r="M21" s="12">
        <v>18</v>
      </c>
      <c r="N21" s="10" t="e">
        <f t="shared" ca="1" si="3"/>
        <v>#NAME?</v>
      </c>
    </row>
    <row r="22" spans="1:14" x14ac:dyDescent="0.2">
      <c r="A22" s="28">
        <v>19</v>
      </c>
      <c r="B22" s="29">
        <v>62.17</v>
      </c>
      <c r="C22" s="26">
        <f t="shared" si="0"/>
        <v>22.203571428571429</v>
      </c>
      <c r="D22" s="32">
        <v>4.101</v>
      </c>
      <c r="F22" s="14">
        <f t="shared" si="1"/>
        <v>3.1002531511000879</v>
      </c>
      <c r="H22" s="283"/>
      <c r="I22" s="6" t="s">
        <v>14</v>
      </c>
      <c r="K22" s="12">
        <v>2.8</v>
      </c>
      <c r="L22" s="10" t="e">
        <f t="shared" ca="1" si="2"/>
        <v>#NAME?</v>
      </c>
      <c r="M22" s="12">
        <v>19</v>
      </c>
      <c r="N22" s="10" t="e">
        <f t="shared" ca="1" si="3"/>
        <v>#NAME?</v>
      </c>
    </row>
    <row r="23" spans="1:14" x14ac:dyDescent="0.2">
      <c r="A23" s="28">
        <v>20</v>
      </c>
      <c r="B23" s="29">
        <v>51.35</v>
      </c>
      <c r="C23" s="26">
        <f t="shared" si="0"/>
        <v>18.339285714285715</v>
      </c>
      <c r="D23" s="32">
        <v>5.0449999999999999</v>
      </c>
      <c r="F23" s="14">
        <f t="shared" si="1"/>
        <v>2.909045519193409</v>
      </c>
      <c r="H23" s="1"/>
      <c r="I23" s="1"/>
      <c r="K23" s="12">
        <v>2.9</v>
      </c>
      <c r="L23" s="10" t="e">
        <f t="shared" ca="1" si="2"/>
        <v>#NAME?</v>
      </c>
      <c r="M23" s="12">
        <v>20</v>
      </c>
      <c r="N23" s="10" t="e">
        <f t="shared" ca="1" si="3"/>
        <v>#NAME?</v>
      </c>
    </row>
    <row r="24" spans="1:14" x14ac:dyDescent="0.2">
      <c r="A24" s="28">
        <v>21</v>
      </c>
      <c r="B24" s="29">
        <v>42.4</v>
      </c>
      <c r="C24" s="26">
        <f t="shared" si="0"/>
        <v>15.142857142857144</v>
      </c>
      <c r="D24" s="32">
        <v>4.976</v>
      </c>
      <c r="F24" s="14">
        <f t="shared" si="1"/>
        <v>2.7175289450567539</v>
      </c>
      <c r="H24" s="284"/>
      <c r="I24" s="6" t="s">
        <v>15</v>
      </c>
      <c r="K24" s="12">
        <v>3</v>
      </c>
      <c r="L24" s="10" t="e">
        <f t="shared" ca="1" si="2"/>
        <v>#NAME?</v>
      </c>
      <c r="M24" s="12">
        <v>21</v>
      </c>
      <c r="N24" s="10" t="e">
        <f t="shared" ca="1" si="3"/>
        <v>#NAME?</v>
      </c>
    </row>
    <row r="25" spans="1:14" x14ac:dyDescent="0.2">
      <c r="A25" s="28">
        <v>22</v>
      </c>
      <c r="B25" s="29">
        <v>35.01</v>
      </c>
      <c r="C25" s="26">
        <f t="shared" si="0"/>
        <v>12.503571428571428</v>
      </c>
      <c r="D25" s="32">
        <v>5.508</v>
      </c>
      <c r="F25" s="14">
        <f t="shared" si="1"/>
        <v>2.5260143177854162</v>
      </c>
      <c r="H25" s="1"/>
      <c r="I25" s="1"/>
      <c r="K25" s="12">
        <v>3.1</v>
      </c>
      <c r="L25" s="10" t="e">
        <f t="shared" ca="1" si="2"/>
        <v>#NAME?</v>
      </c>
      <c r="M25" s="12">
        <v>22</v>
      </c>
      <c r="N25" s="10" t="e">
        <f t="shared" ca="1" si="3"/>
        <v>#NAME?</v>
      </c>
    </row>
    <row r="26" spans="1:14" x14ac:dyDescent="0.2">
      <c r="A26" s="28">
        <v>23</v>
      </c>
      <c r="B26" s="29">
        <v>28.95</v>
      </c>
      <c r="C26" s="26">
        <f t="shared" si="0"/>
        <v>10.339285714285715</v>
      </c>
      <c r="D26" s="32">
        <v>5.9409999999999998</v>
      </c>
      <c r="F26" s="14">
        <f t="shared" si="1"/>
        <v>2.335950786837846</v>
      </c>
      <c r="H26" s="285"/>
      <c r="I26" s="6" t="s">
        <v>16</v>
      </c>
      <c r="K26" s="12">
        <v>3.2</v>
      </c>
      <c r="L26" s="10" t="e">
        <f t="shared" ca="1" si="2"/>
        <v>#NAME?</v>
      </c>
      <c r="M26" s="12">
        <v>23</v>
      </c>
      <c r="N26" s="10" t="e">
        <f t="shared" ca="1" si="3"/>
        <v>#NAME?</v>
      </c>
    </row>
    <row r="27" spans="1:14" x14ac:dyDescent="0.2">
      <c r="A27" s="28">
        <v>24</v>
      </c>
      <c r="B27" s="29">
        <v>23.99</v>
      </c>
      <c r="C27" s="26">
        <f t="shared" si="0"/>
        <v>8.5678571428571431</v>
      </c>
      <c r="D27" s="32">
        <v>6.5730000000000004</v>
      </c>
      <c r="F27" s="14">
        <f t="shared" si="1"/>
        <v>2.1480176596704448</v>
      </c>
      <c r="K27" s="12">
        <v>3.3</v>
      </c>
      <c r="L27" s="10" t="e">
        <f t="shared" ca="1" si="2"/>
        <v>#NAME?</v>
      </c>
      <c r="M27" s="12">
        <v>24</v>
      </c>
      <c r="N27" s="10" t="e">
        <f t="shared" ca="1" si="3"/>
        <v>#NAME?</v>
      </c>
    </row>
    <row r="28" spans="1:14" x14ac:dyDescent="0.2">
      <c r="A28" s="28">
        <v>25</v>
      </c>
      <c r="B28" s="29">
        <v>19.95</v>
      </c>
      <c r="C28" s="26">
        <f t="shared" si="0"/>
        <v>7.125</v>
      </c>
      <c r="D28" s="32">
        <v>6.9450000000000003</v>
      </c>
      <c r="F28" s="14">
        <f t="shared" si="1"/>
        <v>1.9636097261547143</v>
      </c>
      <c r="H28" s="5" t="s">
        <v>17</v>
      </c>
      <c r="K28" s="12">
        <v>3.4</v>
      </c>
      <c r="L28" s="10" t="e">
        <f t="shared" ca="1" si="2"/>
        <v>#NAME?</v>
      </c>
      <c r="M28" s="12">
        <v>25</v>
      </c>
      <c r="N28" s="10" t="e">
        <f t="shared" ca="1" si="3"/>
        <v>#NAME?</v>
      </c>
    </row>
    <row r="29" spans="1:14" x14ac:dyDescent="0.2">
      <c r="A29" s="28">
        <v>26</v>
      </c>
      <c r="B29" s="29">
        <v>16.66</v>
      </c>
      <c r="C29" s="26">
        <f t="shared" si="0"/>
        <v>5.95</v>
      </c>
      <c r="D29" s="32">
        <v>7.2610000000000001</v>
      </c>
      <c r="F29" s="14">
        <f t="shared" si="1"/>
        <v>1.7833912195575383</v>
      </c>
      <c r="H29" s="5" t="s">
        <v>18</v>
      </c>
      <c r="K29" s="12">
        <v>3.5</v>
      </c>
      <c r="L29" s="10" t="e">
        <f t="shared" ca="1" si="2"/>
        <v>#NAME?</v>
      </c>
      <c r="M29" s="12">
        <v>26</v>
      </c>
      <c r="N29" s="10" t="e">
        <f t="shared" ca="1" si="3"/>
        <v>#NAME?</v>
      </c>
    </row>
    <row r="30" spans="1:14" x14ac:dyDescent="0.2">
      <c r="A30" s="28">
        <v>27</v>
      </c>
      <c r="B30" s="29">
        <v>13.98</v>
      </c>
      <c r="C30" s="26">
        <f t="shared" si="0"/>
        <v>4.9928571428571429</v>
      </c>
      <c r="D30" s="32">
        <v>8.0299999999999994</v>
      </c>
      <c r="F30" s="14">
        <f t="shared" si="1"/>
        <v>1.6080083196245059</v>
      </c>
      <c r="H30" s="5" t="s">
        <v>19</v>
      </c>
      <c r="K30" s="12">
        <v>3.6</v>
      </c>
      <c r="L30" s="10" t="e">
        <f t="shared" ca="1" si="2"/>
        <v>#NAME?</v>
      </c>
      <c r="M30" s="12">
        <v>27</v>
      </c>
      <c r="N30" s="10" t="e">
        <f t="shared" ca="1" si="3"/>
        <v>#NAME?</v>
      </c>
    </row>
    <row r="31" spans="1:14" x14ac:dyDescent="0.2">
      <c r="A31" s="28">
        <v>28</v>
      </c>
      <c r="B31" s="29">
        <v>11.8</v>
      </c>
      <c r="C31" s="26">
        <f t="shared" si="0"/>
        <v>4.2142857142857144</v>
      </c>
      <c r="D31" s="32">
        <v>8.3689999999999998</v>
      </c>
      <c r="F31" s="14">
        <f t="shared" si="1"/>
        <v>1.4384801142904609</v>
      </c>
      <c r="H31" s="5" t="s">
        <v>20</v>
      </c>
      <c r="K31" s="12">
        <v>3.7</v>
      </c>
      <c r="L31" s="10" t="e">
        <f t="shared" ca="1" si="2"/>
        <v>#NAME?</v>
      </c>
      <c r="M31" s="12">
        <v>28</v>
      </c>
      <c r="N31" s="10" t="e">
        <f t="shared" ca="1" si="3"/>
        <v>#NAME?</v>
      </c>
    </row>
    <row r="32" spans="1:14" x14ac:dyDescent="0.2">
      <c r="A32" s="28">
        <v>29</v>
      </c>
      <c r="B32" s="29">
        <v>10.02</v>
      </c>
      <c r="C32" s="26">
        <f t="shared" si="0"/>
        <v>3.5785714285714287</v>
      </c>
      <c r="D32" s="32">
        <v>8.5950000000000006</v>
      </c>
      <c r="F32" s="14">
        <f t="shared" si="1"/>
        <v>1.2749636784755605</v>
      </c>
      <c r="K32" s="12">
        <v>3.8</v>
      </c>
      <c r="L32" s="10" t="e">
        <f t="shared" ca="1" si="2"/>
        <v>#NAME?</v>
      </c>
      <c r="M32" s="12">
        <v>29</v>
      </c>
      <c r="N32" s="10" t="e">
        <f t="shared" ca="1" si="3"/>
        <v>#NAME?</v>
      </c>
    </row>
    <row r="33" spans="1:14" x14ac:dyDescent="0.2">
      <c r="A33" s="28">
        <v>30</v>
      </c>
      <c r="B33" s="29">
        <v>8.5679999999999996</v>
      </c>
      <c r="C33" s="26">
        <f t="shared" si="0"/>
        <v>3.06</v>
      </c>
      <c r="D33" s="32">
        <v>9.9429999999999996</v>
      </c>
      <c r="F33" s="14">
        <f t="shared" si="1"/>
        <v>1.1184149159642893</v>
      </c>
      <c r="K33" s="12">
        <v>3.9</v>
      </c>
      <c r="L33" s="10" t="e">
        <f t="shared" ca="1" si="2"/>
        <v>#NAME?</v>
      </c>
      <c r="M33" s="12">
        <v>30</v>
      </c>
      <c r="N33" s="10" t="e">
        <f t="shared" ca="1" si="3"/>
        <v>#NAME?</v>
      </c>
    </row>
    <row r="34" spans="1:14" x14ac:dyDescent="0.2">
      <c r="A34" s="28">
        <v>31</v>
      </c>
      <c r="B34" s="29">
        <v>7.38</v>
      </c>
      <c r="C34" s="26">
        <f t="shared" si="0"/>
        <v>2.6357142857142857</v>
      </c>
      <c r="D34" s="7"/>
      <c r="F34" s="14">
        <f t="shared" si="1"/>
        <v>0.96915422143122287</v>
      </c>
      <c r="K34" s="12">
        <v>4</v>
      </c>
      <c r="L34" s="10" t="e">
        <f t="shared" ca="1" si="2"/>
        <v>#NAME?</v>
      </c>
      <c r="M34" s="12">
        <v>31</v>
      </c>
      <c r="N34" s="10" t="e">
        <f t="shared" ca="1" si="3"/>
        <v>#NAME?</v>
      </c>
    </row>
    <row r="35" spans="1:14" x14ac:dyDescent="0.2">
      <c r="A35" s="28">
        <v>32</v>
      </c>
      <c r="B35" s="29">
        <v>6.4029999999999996</v>
      </c>
      <c r="C35" s="26">
        <f t="shared" si="0"/>
        <v>2.2867857142857142</v>
      </c>
      <c r="D35" s="7"/>
      <c r="F35" s="14">
        <f t="shared" si="1"/>
        <v>0.82714721335550689</v>
      </c>
      <c r="K35" s="12">
        <v>4.0999999999999996</v>
      </c>
      <c r="L35" s="10" t="e">
        <f t="shared" ca="1" si="2"/>
        <v>#NAME?</v>
      </c>
      <c r="M35" s="12">
        <v>32</v>
      </c>
      <c r="N35" s="10" t="e">
        <f t="shared" ca="1" si="3"/>
        <v>#NAME?</v>
      </c>
    </row>
    <row r="36" spans="1:14" x14ac:dyDescent="0.2">
      <c r="A36" s="28">
        <v>33</v>
      </c>
      <c r="B36" s="29">
        <v>5.5940000000000003</v>
      </c>
      <c r="C36" s="26">
        <f t="shared" si="0"/>
        <v>1.997857142857143</v>
      </c>
      <c r="D36" s="7"/>
      <c r="F36" s="14">
        <f t="shared" si="1"/>
        <v>0.69207517759860981</v>
      </c>
      <c r="K36" s="12">
        <v>4.2</v>
      </c>
      <c r="L36" s="10" t="e">
        <f t="shared" ca="1" si="2"/>
        <v>#NAME?</v>
      </c>
      <c r="M36" s="12">
        <v>33</v>
      </c>
      <c r="N36" s="10" t="e">
        <f t="shared" ca="1" si="3"/>
        <v>#NAME?</v>
      </c>
    </row>
    <row r="37" spans="1:14" x14ac:dyDescent="0.2">
      <c r="A37" s="28">
        <v>34</v>
      </c>
      <c r="B37" s="29">
        <v>4.9210000000000003</v>
      </c>
      <c r="C37" s="26">
        <f t="shared" si="0"/>
        <v>1.7575000000000003</v>
      </c>
      <c r="D37" s="7"/>
      <c r="F37" s="14">
        <f t="shared" si="1"/>
        <v>0.56389234470268312</v>
      </c>
      <c r="K37" s="12">
        <v>4.3</v>
      </c>
      <c r="L37" s="10" t="e">
        <f t="shared" ca="1" si="2"/>
        <v>#NAME?</v>
      </c>
      <c r="M37" s="12">
        <v>34</v>
      </c>
      <c r="N37" s="10" t="e">
        <f t="shared" ca="1" si="3"/>
        <v>#NAME?</v>
      </c>
    </row>
    <row r="38" spans="1:14" x14ac:dyDescent="0.2">
      <c r="A38" s="28">
        <v>35</v>
      </c>
      <c r="B38" s="29">
        <v>4.3559999999999999</v>
      </c>
      <c r="C38" s="26">
        <f t="shared" si="0"/>
        <v>1.5557142857142858</v>
      </c>
      <c r="D38" s="7"/>
      <c r="F38" s="14">
        <f t="shared" si="1"/>
        <v>0.44193478788955587</v>
      </c>
      <c r="K38" s="12">
        <v>4.4000000000000004</v>
      </c>
      <c r="L38" s="10" t="e">
        <f t="shared" ca="1" si="2"/>
        <v>#NAME?</v>
      </c>
      <c r="M38" s="12">
        <v>35</v>
      </c>
      <c r="N38" s="10" t="e">
        <f t="shared" ca="1" si="3"/>
        <v>#NAME?</v>
      </c>
    </row>
    <row r="39" spans="1:14" x14ac:dyDescent="0.2">
      <c r="A39" s="28">
        <v>36</v>
      </c>
      <c r="B39" s="29">
        <v>3.88</v>
      </c>
      <c r="C39" s="26">
        <f t="shared" si="0"/>
        <v>1.3857142857142857</v>
      </c>
      <c r="D39" s="7"/>
      <c r="F39" s="14">
        <f t="shared" si="1"/>
        <v>0.3262157364540238</v>
      </c>
      <c r="K39" s="12">
        <v>4.5</v>
      </c>
      <c r="L39" s="10" t="e">
        <f t="shared" ca="1" si="2"/>
        <v>#NAME?</v>
      </c>
      <c r="M39" s="12">
        <v>36</v>
      </c>
      <c r="N39" s="10" t="e">
        <f t="shared" ca="1" si="3"/>
        <v>#NAME?</v>
      </c>
    </row>
    <row r="40" spans="1:14" x14ac:dyDescent="0.2">
      <c r="A40" s="28">
        <v>37</v>
      </c>
      <c r="B40" s="29">
        <v>3.476</v>
      </c>
      <c r="C40" s="26">
        <f t="shared" si="0"/>
        <v>1.2414285714285715</v>
      </c>
      <c r="D40" s="7"/>
      <c r="F40" s="14">
        <f t="shared" si="1"/>
        <v>0.21626279022198747</v>
      </c>
      <c r="K40" s="12">
        <v>4.5999999999999996</v>
      </c>
      <c r="L40" s="10" t="e">
        <f t="shared" ca="1" si="2"/>
        <v>#NAME?</v>
      </c>
      <c r="M40" s="12">
        <v>37</v>
      </c>
      <c r="N40" s="10" t="e">
        <f t="shared" ca="1" si="3"/>
        <v>#NAME?</v>
      </c>
    </row>
    <row r="41" spans="1:14" x14ac:dyDescent="0.2">
      <c r="A41" s="28">
        <v>38</v>
      </c>
      <c r="B41" s="29">
        <v>3.1309999999999998</v>
      </c>
      <c r="C41" s="26">
        <f t="shared" si="0"/>
        <v>1.1182142857142856</v>
      </c>
      <c r="D41" s="7"/>
      <c r="F41" s="14">
        <f t="shared" si="1"/>
        <v>0.1117330251631103</v>
      </c>
      <c r="K41" s="12">
        <v>4.7</v>
      </c>
      <c r="L41" s="10" t="e">
        <f t="shared" ca="1" si="2"/>
        <v>#NAME?</v>
      </c>
      <c r="M41" s="12">
        <v>38</v>
      </c>
      <c r="N41" s="10" t="e">
        <f t="shared" ca="1" si="3"/>
        <v>#NAME?</v>
      </c>
    </row>
    <row r="42" spans="1:14" x14ac:dyDescent="0.2">
      <c r="A42" s="28">
        <v>39</v>
      </c>
      <c r="B42" s="29">
        <v>2.8340000000000001</v>
      </c>
      <c r="C42" s="26">
        <f t="shared" si="0"/>
        <v>1.0121428571428572</v>
      </c>
      <c r="D42" s="7"/>
      <c r="F42" s="14">
        <f t="shared" si="1"/>
        <v>1.2069724087330543E-2</v>
      </c>
      <c r="K42" s="12">
        <v>4.8</v>
      </c>
      <c r="L42" s="10" t="e">
        <f t="shared" ca="1" si="2"/>
        <v>#NAME?</v>
      </c>
      <c r="M42" s="12">
        <v>39</v>
      </c>
      <c r="N42" s="10" t="e">
        <f t="shared" ca="1" si="3"/>
        <v>#NAME?</v>
      </c>
    </row>
    <row r="43" spans="1:14" x14ac:dyDescent="0.2">
      <c r="A43" s="28">
        <v>40</v>
      </c>
      <c r="B43" s="29">
        <v>2.577</v>
      </c>
      <c r="C43" s="26">
        <f t="shared" si="0"/>
        <v>0.92035714285714287</v>
      </c>
      <c r="D43" s="7"/>
      <c r="F43" s="14">
        <f t="shared" si="1"/>
        <v>-8.2993485510930207E-2</v>
      </c>
      <c r="K43" s="12">
        <v>4.9000000000000004</v>
      </c>
      <c r="L43" s="10" t="e">
        <f t="shared" ca="1" si="2"/>
        <v>#NAME?</v>
      </c>
      <c r="M43" s="12">
        <v>40</v>
      </c>
      <c r="N43" s="10" t="e">
        <f t="shared" ca="1" si="3"/>
        <v>#NAME?</v>
      </c>
    </row>
    <row r="44" spans="1:14" x14ac:dyDescent="0.2">
      <c r="A44" s="28">
        <v>41</v>
      </c>
      <c r="B44" s="29">
        <v>2.3540000000000001</v>
      </c>
      <c r="C44" s="26">
        <f t="shared" si="0"/>
        <v>0.84071428571428575</v>
      </c>
      <c r="D44" s="7"/>
      <c r="F44" s="14">
        <f t="shared" si="1"/>
        <v>-0.17350340834307323</v>
      </c>
      <c r="K44" s="12">
        <v>5</v>
      </c>
      <c r="L44" s="10" t="e">
        <f t="shared" ca="1" si="2"/>
        <v>#NAME?</v>
      </c>
      <c r="M44" s="12">
        <v>41</v>
      </c>
      <c r="N44" s="10" t="e">
        <f t="shared" ca="1" si="3"/>
        <v>#NAME?</v>
      </c>
    </row>
    <row r="45" spans="1:14" x14ac:dyDescent="0.2">
      <c r="A45" s="28">
        <v>42</v>
      </c>
      <c r="B45" s="29">
        <v>2.1589999999999998</v>
      </c>
      <c r="C45" s="26">
        <f t="shared" si="0"/>
        <v>0.77107142857142852</v>
      </c>
      <c r="D45" s="7"/>
      <c r="F45" s="14">
        <f t="shared" si="1"/>
        <v>-0.25997426564848802</v>
      </c>
      <c r="K45" s="12">
        <v>5.0999999999999996</v>
      </c>
      <c r="L45" s="10" t="e">
        <f t="shared" ca="1" si="2"/>
        <v>#NAME?</v>
      </c>
      <c r="M45" s="12">
        <v>42</v>
      </c>
      <c r="N45" s="10" t="e">
        <f t="shared" ca="1" si="3"/>
        <v>#NAME?</v>
      </c>
    </row>
    <row r="46" spans="1:14" x14ac:dyDescent="0.2">
      <c r="A46" s="28">
        <v>43</v>
      </c>
      <c r="B46" s="29">
        <v>1.988</v>
      </c>
      <c r="C46" s="26">
        <f t="shared" si="0"/>
        <v>0.71000000000000008</v>
      </c>
      <c r="D46" s="7"/>
      <c r="F46" s="14">
        <f t="shared" si="1"/>
        <v>-0.34249030894677585</v>
      </c>
      <c r="K46" s="12">
        <v>5.2</v>
      </c>
      <c r="L46" s="10" t="e">
        <f t="shared" ca="1" si="2"/>
        <v>#NAME?</v>
      </c>
      <c r="M46" s="12">
        <v>43</v>
      </c>
      <c r="N46" s="10" t="e">
        <f t="shared" ca="1" si="3"/>
        <v>#NAME?</v>
      </c>
    </row>
    <row r="47" spans="1:14" x14ac:dyDescent="0.2">
      <c r="A47" s="28">
        <v>44</v>
      </c>
      <c r="B47" s="29">
        <v>1.8360000000000001</v>
      </c>
      <c r="C47" s="26">
        <f t="shared" si="0"/>
        <v>0.65571428571428581</v>
      </c>
      <c r="D47" s="7"/>
      <c r="F47" s="14">
        <f t="shared" si="1"/>
        <v>-0.42203012498285936</v>
      </c>
      <c r="K47" s="12">
        <v>5.3</v>
      </c>
      <c r="L47" s="10" t="e">
        <f t="shared" ca="1" si="2"/>
        <v>#NAME?</v>
      </c>
      <c r="M47" s="12">
        <v>44</v>
      </c>
      <c r="N47" s="10" t="e">
        <f t="shared" ca="1" si="3"/>
        <v>#NAME?</v>
      </c>
    </row>
    <row r="48" spans="1:14" x14ac:dyDescent="0.2">
      <c r="A48" s="28">
        <v>45</v>
      </c>
      <c r="B48" s="29">
        <v>1.702</v>
      </c>
      <c r="C48" s="26">
        <f t="shared" si="0"/>
        <v>0.60785714285714287</v>
      </c>
      <c r="D48" s="7"/>
      <c r="F48" s="14">
        <f t="shared" si="1"/>
        <v>-0.4978153870299758</v>
      </c>
      <c r="K48" s="12">
        <v>5.4</v>
      </c>
      <c r="L48" s="10" t="e">
        <f t="shared" ca="1" si="2"/>
        <v>#NAME?</v>
      </c>
      <c r="M48" s="12">
        <v>45</v>
      </c>
      <c r="N48" s="10" t="e">
        <f t="shared" ca="1" si="3"/>
        <v>#NAME?</v>
      </c>
    </row>
    <row r="49" spans="1:14" x14ac:dyDescent="0.2">
      <c r="A49" s="28">
        <v>46</v>
      </c>
      <c r="B49" s="29">
        <v>1.581</v>
      </c>
      <c r="C49" s="26">
        <f t="shared" si="0"/>
        <v>0.56464285714285711</v>
      </c>
      <c r="D49" s="7"/>
      <c r="F49" s="14">
        <f t="shared" si="1"/>
        <v>-0.57156185895382328</v>
      </c>
      <c r="K49" s="12">
        <v>5.5</v>
      </c>
      <c r="L49" s="10" t="e">
        <f t="shared" ca="1" si="2"/>
        <v>#NAME?</v>
      </c>
      <c r="M49" s="12">
        <v>46</v>
      </c>
      <c r="N49" s="10" t="e">
        <f t="shared" ca="1" si="3"/>
        <v>#NAME?</v>
      </c>
    </row>
    <row r="50" spans="1:14" x14ac:dyDescent="0.2">
      <c r="A50" s="28">
        <v>47</v>
      </c>
      <c r="B50" s="29">
        <v>1.474</v>
      </c>
      <c r="C50" s="26">
        <f t="shared" si="0"/>
        <v>0.52642857142857147</v>
      </c>
      <c r="D50" s="7"/>
      <c r="F50" s="14">
        <f t="shared" si="1"/>
        <v>-0.64163962341401326</v>
      </c>
      <c r="K50" s="12">
        <v>5.6</v>
      </c>
      <c r="L50" s="10" t="e">
        <f t="shared" ca="1" si="2"/>
        <v>#NAME?</v>
      </c>
      <c r="M50" s="12">
        <v>47</v>
      </c>
      <c r="N50" s="10" t="e">
        <f t="shared" ca="1" si="3"/>
        <v>#NAME?</v>
      </c>
    </row>
    <row r="51" spans="1:14" x14ac:dyDescent="0.2">
      <c r="A51" s="28">
        <v>48</v>
      </c>
      <c r="B51" s="29">
        <v>1.377</v>
      </c>
      <c r="C51" s="26">
        <f t="shared" si="0"/>
        <v>0.49178571428571433</v>
      </c>
      <c r="D51" s="7"/>
      <c r="F51" s="14">
        <f t="shared" si="1"/>
        <v>-0.70971219743464031</v>
      </c>
      <c r="K51" s="12">
        <v>5.7</v>
      </c>
      <c r="L51" s="10" t="e">
        <f t="shared" ca="1" si="2"/>
        <v>#NAME?</v>
      </c>
      <c r="M51" s="12">
        <v>48</v>
      </c>
      <c r="N51" s="10" t="e">
        <f t="shared" ca="1" si="3"/>
        <v>#NAME?</v>
      </c>
    </row>
    <row r="52" spans="1:14" x14ac:dyDescent="0.2">
      <c r="A52" s="28">
        <v>49</v>
      </c>
      <c r="B52" s="29">
        <v>1.2889999999999999</v>
      </c>
      <c r="C52" s="26">
        <f t="shared" si="0"/>
        <v>0.46035714285714285</v>
      </c>
      <c r="D52" s="7"/>
      <c r="F52" s="14">
        <f t="shared" si="1"/>
        <v>-0.77575269322410789</v>
      </c>
      <c r="K52" s="12">
        <v>5.8</v>
      </c>
      <c r="L52" s="10" t="e">
        <f t="shared" ca="1" si="2"/>
        <v>#NAME?</v>
      </c>
      <c r="M52" s="12">
        <v>49</v>
      </c>
      <c r="N52" s="10" t="e">
        <f t="shared" ca="1" si="3"/>
        <v>#NAME?</v>
      </c>
    </row>
    <row r="53" spans="1:14" x14ac:dyDescent="0.2">
      <c r="A53" s="30">
        <v>50</v>
      </c>
      <c r="B53" s="31">
        <v>1.2090000000000001</v>
      </c>
      <c r="C53" s="27">
        <f t="shared" si="0"/>
        <v>0.43178571428571433</v>
      </c>
      <c r="D53" s="8"/>
      <c r="F53" s="14">
        <f t="shared" si="1"/>
        <v>-0.83982584554850248</v>
      </c>
      <c r="K53" s="12">
        <v>5.9</v>
      </c>
      <c r="L53" s="10" t="e">
        <f t="shared" ca="1" si="2"/>
        <v>#NAME?</v>
      </c>
      <c r="M53" s="12">
        <v>50</v>
      </c>
      <c r="N53" s="10" t="e">
        <f t="shared" ca="1" si="3"/>
        <v>#NAME?</v>
      </c>
    </row>
    <row r="54" spans="1:14" x14ac:dyDescent="0.2">
      <c r="A54" s="286">
        <v>51</v>
      </c>
      <c r="B54" s="287">
        <f>C54*2.8</f>
        <v>1.1199999999999999</v>
      </c>
      <c r="C54" s="288">
        <v>0.4</v>
      </c>
      <c r="D54" s="289" t="s">
        <v>21</v>
      </c>
      <c r="F54" s="14">
        <f>LN(C54)</f>
        <v>-0.916290731874155</v>
      </c>
      <c r="K54" s="12">
        <v>6</v>
      </c>
      <c r="L54" s="10" t="e">
        <f t="shared" ca="1" si="2"/>
        <v>#NAME?</v>
      </c>
      <c r="M54" s="12">
        <v>51</v>
      </c>
      <c r="N54" s="10" t="e">
        <f t="shared" ca="1" si="3"/>
        <v>#NAME?</v>
      </c>
    </row>
    <row r="55" spans="1:14" x14ac:dyDescent="0.2">
      <c r="A55" s="20">
        <v>52</v>
      </c>
      <c r="B55" s="18">
        <f t="shared" ref="B55:B93" si="4">C55*2.8</f>
        <v>1.0639999999999998</v>
      </c>
      <c r="C55" s="23">
        <v>0.38</v>
      </c>
      <c r="D55" s="16" t="s">
        <v>21</v>
      </c>
      <c r="F55" s="14">
        <f>LN(C55)</f>
        <v>-0.96758402626170559</v>
      </c>
      <c r="K55" s="12">
        <v>6.1</v>
      </c>
      <c r="L55" s="10" t="e">
        <f t="shared" ca="1" si="2"/>
        <v>#NAME?</v>
      </c>
      <c r="M55" s="12">
        <v>52</v>
      </c>
      <c r="N55" s="10" t="e">
        <f t="shared" ca="1" si="3"/>
        <v>#NAME?</v>
      </c>
    </row>
    <row r="56" spans="1:14" x14ac:dyDescent="0.2">
      <c r="A56" s="20">
        <v>53</v>
      </c>
      <c r="B56" s="18">
        <f t="shared" si="4"/>
        <v>1.008</v>
      </c>
      <c r="C56" s="23">
        <v>0.36</v>
      </c>
      <c r="D56" s="16" t="s">
        <v>21</v>
      </c>
      <c r="F56" s="14">
        <f>LN(C56)</f>
        <v>-1.0216512475319814</v>
      </c>
      <c r="K56" s="12">
        <v>6.2</v>
      </c>
      <c r="L56" s="10" t="e">
        <f t="shared" ca="1" si="2"/>
        <v>#NAME?</v>
      </c>
      <c r="M56" s="12">
        <v>53</v>
      </c>
      <c r="N56" s="10" t="e">
        <f t="shared" ca="1" si="3"/>
        <v>#NAME?</v>
      </c>
    </row>
    <row r="57" spans="1:14" x14ac:dyDescent="0.2">
      <c r="A57" s="20">
        <v>54</v>
      </c>
      <c r="B57" s="18">
        <f t="shared" si="4"/>
        <v>0.95199999999999996</v>
      </c>
      <c r="C57" s="23">
        <v>0.34</v>
      </c>
      <c r="D57" s="16" t="s">
        <v>21</v>
      </c>
      <c r="F57" s="14">
        <f>LN(C57)</f>
        <v>-1.0788096613719298</v>
      </c>
      <c r="K57" s="12">
        <v>6.3</v>
      </c>
      <c r="L57" s="10" t="e">
        <f t="shared" ca="1" si="2"/>
        <v>#NAME?</v>
      </c>
      <c r="M57" s="12">
        <v>54</v>
      </c>
      <c r="N57" s="10" t="e">
        <f t="shared" ca="1" si="3"/>
        <v>#NAME?</v>
      </c>
    </row>
    <row r="58" spans="1:14" x14ac:dyDescent="0.2">
      <c r="A58" s="20">
        <v>55</v>
      </c>
      <c r="B58" s="18">
        <f t="shared" si="4"/>
        <v>0.89599999999999991</v>
      </c>
      <c r="C58" s="23">
        <v>0.32</v>
      </c>
      <c r="D58" s="16" t="s">
        <v>21</v>
      </c>
      <c r="F58" s="14">
        <f>LN(C58)</f>
        <v>-1.1394342831883648</v>
      </c>
      <c r="K58" s="12">
        <v>6.4</v>
      </c>
      <c r="L58" s="10" t="e">
        <f t="shared" ca="1" si="2"/>
        <v>#NAME?</v>
      </c>
      <c r="M58" s="12">
        <v>55</v>
      </c>
      <c r="N58" s="10" t="e">
        <f t="shared" ca="1" si="3"/>
        <v>#NAME?</v>
      </c>
    </row>
    <row r="59" spans="1:14" x14ac:dyDescent="0.2">
      <c r="A59" s="21">
        <v>56</v>
      </c>
      <c r="B59" s="18">
        <f t="shared" si="4"/>
        <v>0.84</v>
      </c>
      <c r="C59" s="24">
        <v>0.3</v>
      </c>
      <c r="D59" s="16" t="s">
        <v>21</v>
      </c>
      <c r="F59" s="14">
        <f t="shared" ref="F59:F93" si="5">LN(C59)</f>
        <v>-1.2039728043259361</v>
      </c>
      <c r="K59" s="12">
        <v>6.5000000000000098</v>
      </c>
      <c r="L59" s="10" t="e">
        <f t="shared" ca="1" si="2"/>
        <v>#NAME?</v>
      </c>
      <c r="M59" s="12">
        <v>56</v>
      </c>
      <c r="N59" s="10" t="e">
        <f t="shared" ca="1" si="3"/>
        <v>#NAME?</v>
      </c>
    </row>
    <row r="60" spans="1:14" x14ac:dyDescent="0.2">
      <c r="A60" s="21">
        <v>57</v>
      </c>
      <c r="B60" s="18">
        <f t="shared" si="4"/>
        <v>0.81199999999999994</v>
      </c>
      <c r="C60" s="24">
        <v>0.28999999999999998</v>
      </c>
      <c r="D60" s="16" t="s">
        <v>21</v>
      </c>
      <c r="F60" s="14">
        <f t="shared" si="5"/>
        <v>-1.2378743560016174</v>
      </c>
      <c r="K60" s="12">
        <v>6.6</v>
      </c>
      <c r="L60" s="10" t="e">
        <f t="shared" ca="1" si="2"/>
        <v>#NAME?</v>
      </c>
      <c r="M60" s="12">
        <v>57</v>
      </c>
      <c r="N60" s="10" t="e">
        <f t="shared" ca="1" si="3"/>
        <v>#NAME?</v>
      </c>
    </row>
    <row r="61" spans="1:14" x14ac:dyDescent="0.2">
      <c r="A61" s="21">
        <v>58</v>
      </c>
      <c r="B61" s="18">
        <f t="shared" si="4"/>
        <v>0.75600000000000001</v>
      </c>
      <c r="C61" s="24">
        <v>0.27</v>
      </c>
      <c r="D61" s="16" t="s">
        <v>21</v>
      </c>
      <c r="F61" s="14">
        <f t="shared" si="5"/>
        <v>-1.3093333199837622</v>
      </c>
      <c r="K61" s="12">
        <v>6.7</v>
      </c>
      <c r="L61" s="10" t="e">
        <f t="shared" ca="1" si="2"/>
        <v>#NAME?</v>
      </c>
      <c r="M61" s="12">
        <v>58</v>
      </c>
      <c r="N61" s="10" t="e">
        <f t="shared" ca="1" si="3"/>
        <v>#NAME?</v>
      </c>
    </row>
    <row r="62" spans="1:14" x14ac:dyDescent="0.2">
      <c r="A62" s="21">
        <v>59</v>
      </c>
      <c r="B62" s="18">
        <f t="shared" si="4"/>
        <v>0.7</v>
      </c>
      <c r="C62" s="24">
        <v>0.25</v>
      </c>
      <c r="D62" s="16" t="s">
        <v>21</v>
      </c>
      <c r="F62" s="14">
        <f t="shared" si="5"/>
        <v>-1.3862943611198906</v>
      </c>
      <c r="K62" s="12">
        <v>6.8000000000000096</v>
      </c>
      <c r="L62" s="10" t="e">
        <f t="shared" ca="1" si="2"/>
        <v>#NAME?</v>
      </c>
      <c r="M62" s="12">
        <v>59</v>
      </c>
      <c r="N62" s="10" t="e">
        <f t="shared" ca="1" si="3"/>
        <v>#NAME?</v>
      </c>
    </row>
    <row r="63" spans="1:14" x14ac:dyDescent="0.2">
      <c r="A63" s="21">
        <v>60</v>
      </c>
      <c r="B63" s="18">
        <f t="shared" si="4"/>
        <v>0.64400000000000002</v>
      </c>
      <c r="C63" s="24">
        <v>0.23</v>
      </c>
      <c r="D63" s="16" t="s">
        <v>21</v>
      </c>
      <c r="F63" s="14">
        <f t="shared" si="5"/>
        <v>-1.4696759700589417</v>
      </c>
      <c r="K63" s="12">
        <v>6.9000000000000101</v>
      </c>
      <c r="L63" s="10" t="e">
        <f t="shared" ca="1" si="2"/>
        <v>#NAME?</v>
      </c>
      <c r="M63" s="12">
        <v>60</v>
      </c>
      <c r="N63" s="10" t="e">
        <f t="shared" ca="1" si="3"/>
        <v>#NAME?</v>
      </c>
    </row>
    <row r="64" spans="1:14" x14ac:dyDescent="0.2">
      <c r="A64" s="21">
        <v>61</v>
      </c>
      <c r="B64" s="18">
        <f t="shared" si="4"/>
        <v>0.58799999999999997</v>
      </c>
      <c r="C64" s="24">
        <v>0.21</v>
      </c>
      <c r="D64" s="16" t="s">
        <v>21</v>
      </c>
      <c r="F64" s="14">
        <f t="shared" si="5"/>
        <v>-1.5606477482646683</v>
      </c>
      <c r="K64" s="12">
        <v>7.0000000000000098</v>
      </c>
      <c r="L64" s="10" t="e">
        <f t="shared" ca="1" si="2"/>
        <v>#NAME?</v>
      </c>
      <c r="M64" s="12">
        <v>61</v>
      </c>
      <c r="N64" s="10" t="e">
        <f t="shared" ca="1" si="3"/>
        <v>#NAME?</v>
      </c>
    </row>
    <row r="65" spans="1:14" x14ac:dyDescent="0.2">
      <c r="A65" s="21">
        <v>62</v>
      </c>
      <c r="B65" s="18">
        <f t="shared" si="4"/>
        <v>0.55999999999999994</v>
      </c>
      <c r="C65" s="24">
        <v>0.2</v>
      </c>
      <c r="D65" s="16" t="s">
        <v>21</v>
      </c>
      <c r="F65" s="14">
        <f t="shared" si="5"/>
        <v>-1.6094379124341003</v>
      </c>
      <c r="K65" s="12">
        <v>7.1</v>
      </c>
      <c r="L65" s="10" t="e">
        <f t="shared" ca="1" si="2"/>
        <v>#NAME?</v>
      </c>
      <c r="M65" s="12">
        <v>62</v>
      </c>
      <c r="N65" s="10" t="e">
        <f t="shared" ca="1" si="3"/>
        <v>#NAME?</v>
      </c>
    </row>
    <row r="66" spans="1:14" x14ac:dyDescent="0.2">
      <c r="A66" s="21">
        <v>63</v>
      </c>
      <c r="B66" s="18">
        <f t="shared" si="4"/>
        <v>0.53199999999999992</v>
      </c>
      <c r="C66" s="24">
        <v>0.19</v>
      </c>
      <c r="D66" s="16" t="s">
        <v>21</v>
      </c>
      <c r="F66" s="14">
        <f t="shared" si="5"/>
        <v>-1.6607312068216509</v>
      </c>
      <c r="K66" s="12">
        <v>7.2000000000000099</v>
      </c>
      <c r="L66" s="10" t="e">
        <f t="shared" ca="1" si="2"/>
        <v>#NAME?</v>
      </c>
      <c r="M66" s="12">
        <v>63</v>
      </c>
      <c r="N66" s="10" t="e">
        <f t="shared" ca="1" si="3"/>
        <v>#NAME?</v>
      </c>
    </row>
    <row r="67" spans="1:14" x14ac:dyDescent="0.2">
      <c r="A67" s="21">
        <v>64</v>
      </c>
      <c r="B67" s="18">
        <f t="shared" si="4"/>
        <v>0.504</v>
      </c>
      <c r="C67" s="24">
        <v>0.18</v>
      </c>
      <c r="D67" s="16" t="s">
        <v>21</v>
      </c>
      <c r="F67" s="14">
        <f t="shared" si="5"/>
        <v>-1.7147984280919266</v>
      </c>
      <c r="K67" s="12">
        <v>7.3000000000000096</v>
      </c>
      <c r="L67" s="10" t="e">
        <f t="shared" ca="1" si="2"/>
        <v>#NAME?</v>
      </c>
      <c r="M67" s="12">
        <v>64</v>
      </c>
      <c r="N67" s="10" t="e">
        <f t="shared" ca="1" si="3"/>
        <v>#NAME?</v>
      </c>
    </row>
    <row r="68" spans="1:14" x14ac:dyDescent="0.2">
      <c r="A68" s="21">
        <v>65</v>
      </c>
      <c r="B68" s="18">
        <f t="shared" si="4"/>
        <v>0.44799999999999995</v>
      </c>
      <c r="C68" s="24">
        <v>0.16</v>
      </c>
      <c r="D68" s="16" t="s">
        <v>21</v>
      </c>
      <c r="F68" s="14">
        <f t="shared" si="5"/>
        <v>-1.8325814637483102</v>
      </c>
      <c r="K68" s="12">
        <v>7.4000000000000101</v>
      </c>
      <c r="L68" s="10" t="e">
        <f t="shared" ca="1" si="2"/>
        <v>#NAME?</v>
      </c>
      <c r="M68" s="12">
        <v>65</v>
      </c>
      <c r="N68" s="10" t="e">
        <f t="shared" ca="1" si="3"/>
        <v>#NAME?</v>
      </c>
    </row>
    <row r="69" spans="1:14" x14ac:dyDescent="0.2">
      <c r="A69" s="21">
        <v>66</v>
      </c>
      <c r="B69" s="18">
        <f t="shared" si="4"/>
        <v>0.39200000000000002</v>
      </c>
      <c r="C69" s="24">
        <v>0.14000000000000001</v>
      </c>
      <c r="D69" s="16" t="s">
        <v>21</v>
      </c>
      <c r="F69" s="14">
        <f t="shared" si="5"/>
        <v>-1.9661128563728327</v>
      </c>
      <c r="K69" s="12">
        <v>7.5000000000000098</v>
      </c>
      <c r="L69" s="10" t="e">
        <f t="shared" ref="L69:L93" ca="1" si="6">EXP(interpolate($A$4:$A$92, $F$4:$F$92, $K69,$H$2,TRUE))</f>
        <v>#NAME?</v>
      </c>
      <c r="M69" s="12">
        <v>66</v>
      </c>
      <c r="N69" s="10" t="e">
        <f t="shared" ref="N69:N93" ca="1" si="7">EXP(interpolate($A$4:$A$93, $F$4:$F$93, M69,$H$2,TRUE))</f>
        <v>#NAME?</v>
      </c>
    </row>
    <row r="70" spans="1:14" x14ac:dyDescent="0.2">
      <c r="A70" s="21">
        <v>67</v>
      </c>
      <c r="B70" s="18">
        <f t="shared" si="4"/>
        <v>0.36399999999999999</v>
      </c>
      <c r="C70" s="24">
        <v>0.13</v>
      </c>
      <c r="D70" s="16" t="s">
        <v>21</v>
      </c>
      <c r="F70" s="14">
        <f t="shared" si="5"/>
        <v>-2.0402208285265546</v>
      </c>
      <c r="K70" s="12">
        <v>7.6000000000000103</v>
      </c>
      <c r="L70" s="10" t="e">
        <f t="shared" ca="1" si="6"/>
        <v>#NAME?</v>
      </c>
      <c r="M70" s="12">
        <v>67</v>
      </c>
      <c r="N70" s="10" t="e">
        <f t="shared" ca="1" si="7"/>
        <v>#NAME?</v>
      </c>
    </row>
    <row r="71" spans="1:14" x14ac:dyDescent="0.2">
      <c r="A71" s="21">
        <v>68</v>
      </c>
      <c r="B71" s="18">
        <f t="shared" si="4"/>
        <v>0.33599999999999997</v>
      </c>
      <c r="C71" s="24">
        <v>0.12</v>
      </c>
      <c r="D71" s="16" t="s">
        <v>21</v>
      </c>
      <c r="F71" s="14">
        <f t="shared" si="5"/>
        <v>-2.120263536200091</v>
      </c>
      <c r="K71" s="12">
        <v>7.7000000000000099</v>
      </c>
      <c r="L71" s="10" t="e">
        <f t="shared" ca="1" si="6"/>
        <v>#NAME?</v>
      </c>
      <c r="M71" s="12">
        <v>68</v>
      </c>
      <c r="N71" s="10" t="e">
        <f t="shared" ca="1" si="7"/>
        <v>#NAME?</v>
      </c>
    </row>
    <row r="72" spans="1:14" x14ac:dyDescent="0.2">
      <c r="A72" s="21">
        <v>69</v>
      </c>
      <c r="B72" s="18">
        <f t="shared" si="4"/>
        <v>0.308</v>
      </c>
      <c r="C72" s="24">
        <v>0.11</v>
      </c>
      <c r="D72" s="16" t="s">
        <v>21</v>
      </c>
      <c r="F72" s="14">
        <f t="shared" si="5"/>
        <v>-2.2072749131897207</v>
      </c>
      <c r="K72" s="12">
        <v>7.8000000000000096</v>
      </c>
      <c r="L72" s="10" t="e">
        <f t="shared" ca="1" si="6"/>
        <v>#NAME?</v>
      </c>
      <c r="M72" s="12">
        <v>69</v>
      </c>
      <c r="N72" s="10" t="e">
        <f t="shared" ca="1" si="7"/>
        <v>#NAME?</v>
      </c>
    </row>
    <row r="73" spans="1:14" x14ac:dyDescent="0.2">
      <c r="A73" s="21">
        <v>70</v>
      </c>
      <c r="B73" s="18">
        <f t="shared" si="4"/>
        <v>0.27999999999999997</v>
      </c>
      <c r="C73" s="24">
        <v>0.1</v>
      </c>
      <c r="D73" s="16" t="s">
        <v>21</v>
      </c>
      <c r="F73" s="14">
        <f t="shared" si="5"/>
        <v>-2.3025850929940455</v>
      </c>
      <c r="K73" s="12">
        <v>7.9000000000000101</v>
      </c>
      <c r="L73" s="10" t="e">
        <f t="shared" ca="1" si="6"/>
        <v>#NAME?</v>
      </c>
      <c r="M73" s="12">
        <v>70</v>
      </c>
      <c r="N73" s="10" t="e">
        <f t="shared" ca="1" si="7"/>
        <v>#NAME?</v>
      </c>
    </row>
    <row r="74" spans="1:14" x14ac:dyDescent="0.2">
      <c r="A74" s="21">
        <v>71</v>
      </c>
      <c r="B74" s="18">
        <f t="shared" si="4"/>
        <v>0.252</v>
      </c>
      <c r="C74" s="24">
        <v>0.09</v>
      </c>
      <c r="D74" s="16" t="s">
        <v>21</v>
      </c>
      <c r="F74" s="14">
        <f t="shared" si="5"/>
        <v>-2.4079456086518722</v>
      </c>
      <c r="K74" s="12">
        <v>8.0000000000000107</v>
      </c>
      <c r="L74" s="10" t="e">
        <f t="shared" ca="1" si="6"/>
        <v>#NAME?</v>
      </c>
      <c r="M74" s="12">
        <v>71</v>
      </c>
      <c r="N74" s="10" t="e">
        <f t="shared" ca="1" si="7"/>
        <v>#NAME?</v>
      </c>
    </row>
    <row r="75" spans="1:14" x14ac:dyDescent="0.2">
      <c r="A75" s="21">
        <v>72</v>
      </c>
      <c r="B75" s="18">
        <f t="shared" si="4"/>
        <v>0.22399999999999998</v>
      </c>
      <c r="C75" s="24">
        <v>0.08</v>
      </c>
      <c r="D75" s="16" t="s">
        <v>21</v>
      </c>
      <c r="F75" s="14">
        <f t="shared" si="5"/>
        <v>-2.5257286443082556</v>
      </c>
      <c r="K75" s="12">
        <v>8.1000000000000103</v>
      </c>
      <c r="L75" s="10" t="e">
        <f t="shared" ca="1" si="6"/>
        <v>#NAME?</v>
      </c>
      <c r="M75" s="12">
        <v>72</v>
      </c>
      <c r="N75" s="10" t="e">
        <f t="shared" ca="1" si="7"/>
        <v>#NAME?</v>
      </c>
    </row>
    <row r="76" spans="1:14" x14ac:dyDescent="0.2">
      <c r="A76" s="21">
        <v>73</v>
      </c>
      <c r="B76" s="18">
        <f t="shared" si="4"/>
        <v>0.19600000000000001</v>
      </c>
      <c r="C76" s="24">
        <v>7.0000000000000007E-2</v>
      </c>
      <c r="D76" s="16" t="s">
        <v>21</v>
      </c>
      <c r="F76" s="14">
        <f t="shared" si="5"/>
        <v>-2.6592600369327779</v>
      </c>
      <c r="K76" s="12">
        <v>8.2000000000000099</v>
      </c>
      <c r="L76" s="10" t="e">
        <f t="shared" ca="1" si="6"/>
        <v>#NAME?</v>
      </c>
      <c r="M76" s="12">
        <v>73</v>
      </c>
      <c r="N76" s="10" t="e">
        <f t="shared" ca="1" si="7"/>
        <v>#NAME?</v>
      </c>
    </row>
    <row r="77" spans="1:14" x14ac:dyDescent="0.2">
      <c r="A77" s="21">
        <v>74</v>
      </c>
      <c r="B77" s="18">
        <f t="shared" si="4"/>
        <v>0.18759999999999999</v>
      </c>
      <c r="C77" s="24">
        <v>6.7000000000000004E-2</v>
      </c>
      <c r="D77" s="16" t="s">
        <v>21</v>
      </c>
      <c r="F77" s="14">
        <f t="shared" si="5"/>
        <v>-2.7030626595911711</v>
      </c>
      <c r="K77" s="12">
        <v>8.3000000000000096</v>
      </c>
      <c r="L77" s="10" t="e">
        <f t="shared" ca="1" si="6"/>
        <v>#NAME?</v>
      </c>
      <c r="M77" s="12">
        <v>74</v>
      </c>
      <c r="N77" s="10" t="e">
        <f t="shared" ca="1" si="7"/>
        <v>#NAME?</v>
      </c>
    </row>
    <row r="78" spans="1:14" x14ac:dyDescent="0.2">
      <c r="A78" s="21">
        <v>75</v>
      </c>
      <c r="B78" s="18">
        <f t="shared" si="4"/>
        <v>0.1792</v>
      </c>
      <c r="C78" s="24">
        <v>6.4000000000000001E-2</v>
      </c>
      <c r="D78" s="16" t="s">
        <v>21</v>
      </c>
      <c r="F78" s="14">
        <f t="shared" si="5"/>
        <v>-2.7488721956224653</v>
      </c>
      <c r="K78" s="12">
        <v>8.4000000000000092</v>
      </c>
      <c r="L78" s="10" t="e">
        <f t="shared" ca="1" si="6"/>
        <v>#NAME?</v>
      </c>
      <c r="M78" s="12">
        <v>75</v>
      </c>
      <c r="N78" s="10" t="e">
        <f t="shared" ca="1" si="7"/>
        <v>#NAME?</v>
      </c>
    </row>
    <row r="79" spans="1:14" x14ac:dyDescent="0.2">
      <c r="A79" s="21">
        <v>76</v>
      </c>
      <c r="B79" s="18">
        <f t="shared" si="4"/>
        <v>0.17079999999999998</v>
      </c>
      <c r="C79" s="24">
        <v>6.0999999999999999E-2</v>
      </c>
      <c r="D79" s="16" t="s">
        <v>21</v>
      </c>
      <c r="F79" s="14">
        <f t="shared" si="5"/>
        <v>-2.7968814148088259</v>
      </c>
      <c r="K79" s="12">
        <v>8.5000000000000107</v>
      </c>
      <c r="L79" s="10" t="e">
        <f t="shared" ca="1" si="6"/>
        <v>#NAME?</v>
      </c>
      <c r="M79" s="12">
        <v>76</v>
      </c>
      <c r="N79" s="10" t="e">
        <f t="shared" ca="1" si="7"/>
        <v>#NAME?</v>
      </c>
    </row>
    <row r="80" spans="1:14" x14ac:dyDescent="0.2">
      <c r="A80" s="21">
        <v>77</v>
      </c>
      <c r="B80" s="18">
        <f t="shared" si="4"/>
        <v>0.16239999999999999</v>
      </c>
      <c r="C80" s="24">
        <v>5.8000000000000003E-2</v>
      </c>
      <c r="D80" s="16" t="s">
        <v>21</v>
      </c>
      <c r="F80" s="14">
        <f t="shared" si="5"/>
        <v>-2.8473122684357177</v>
      </c>
      <c r="K80" s="12">
        <v>8.6000000000000103</v>
      </c>
      <c r="L80" s="10" t="e">
        <f t="shared" ca="1" si="6"/>
        <v>#NAME?</v>
      </c>
      <c r="M80" s="12">
        <v>77</v>
      </c>
      <c r="N80" s="10" t="e">
        <f t="shared" ca="1" si="7"/>
        <v>#NAME?</v>
      </c>
    </row>
    <row r="81" spans="1:14" x14ac:dyDescent="0.2">
      <c r="A81" s="21">
        <v>78</v>
      </c>
      <c r="B81" s="18">
        <f t="shared" si="4"/>
        <v>0.154</v>
      </c>
      <c r="C81" s="24">
        <v>5.5E-2</v>
      </c>
      <c r="D81" s="16" t="s">
        <v>21</v>
      </c>
      <c r="F81" s="14">
        <f t="shared" si="5"/>
        <v>-2.9004220937496661</v>
      </c>
      <c r="K81" s="12">
        <v>8.7000000000000099</v>
      </c>
      <c r="L81" s="10" t="e">
        <f t="shared" ca="1" si="6"/>
        <v>#NAME?</v>
      </c>
      <c r="M81" s="12">
        <v>78</v>
      </c>
      <c r="N81" s="10" t="e">
        <f t="shared" ca="1" si="7"/>
        <v>#NAME?</v>
      </c>
    </row>
    <row r="82" spans="1:14" x14ac:dyDescent="0.2">
      <c r="A82" s="21">
        <v>79</v>
      </c>
      <c r="B82" s="18">
        <f t="shared" si="4"/>
        <v>0.14559999999999998</v>
      </c>
      <c r="C82" s="24">
        <v>5.1999999999999998E-2</v>
      </c>
      <c r="D82" s="16" t="s">
        <v>21</v>
      </c>
      <c r="F82" s="14">
        <f t="shared" si="5"/>
        <v>-2.9565115604007097</v>
      </c>
      <c r="K82" s="12">
        <v>8.8000000000000096</v>
      </c>
      <c r="L82" s="10" t="e">
        <f t="shared" ca="1" si="6"/>
        <v>#NAME?</v>
      </c>
      <c r="M82" s="12">
        <v>79</v>
      </c>
      <c r="N82" s="10" t="e">
        <f t="shared" ca="1" si="7"/>
        <v>#NAME?</v>
      </c>
    </row>
    <row r="83" spans="1:14" x14ac:dyDescent="0.2">
      <c r="A83" s="21">
        <v>80</v>
      </c>
      <c r="B83" s="18">
        <f t="shared" si="4"/>
        <v>0.13719999999999999</v>
      </c>
      <c r="C83" s="24">
        <v>4.9000000000000002E-2</v>
      </c>
      <c r="D83" s="16" t="s">
        <v>21</v>
      </c>
      <c r="F83" s="14">
        <f t="shared" si="5"/>
        <v>-3.0159349808715104</v>
      </c>
      <c r="K83" s="12">
        <v>8.9000000000000092</v>
      </c>
      <c r="L83" s="10" t="e">
        <f t="shared" ca="1" si="6"/>
        <v>#NAME?</v>
      </c>
      <c r="M83" s="12">
        <v>80</v>
      </c>
      <c r="N83" s="10" t="e">
        <f t="shared" ca="1" si="7"/>
        <v>#NAME?</v>
      </c>
    </row>
    <row r="84" spans="1:14" x14ac:dyDescent="0.2">
      <c r="A84" s="21">
        <v>81</v>
      </c>
      <c r="B84" s="18">
        <f t="shared" si="4"/>
        <v>0.1288</v>
      </c>
      <c r="C84" s="24">
        <v>4.5999999999999999E-2</v>
      </c>
      <c r="D84" s="16" t="s">
        <v>21</v>
      </c>
      <c r="F84" s="14">
        <f t="shared" si="5"/>
        <v>-3.0791138824930422</v>
      </c>
      <c r="K84" s="12">
        <v>9.0000000000000107</v>
      </c>
      <c r="L84" s="10" t="e">
        <f t="shared" ca="1" si="6"/>
        <v>#NAME?</v>
      </c>
      <c r="M84" s="12">
        <v>81</v>
      </c>
      <c r="N84" s="10" t="e">
        <f t="shared" ca="1" si="7"/>
        <v>#NAME?</v>
      </c>
    </row>
    <row r="85" spans="1:14" x14ac:dyDescent="0.2">
      <c r="A85" s="21">
        <v>82</v>
      </c>
      <c r="B85" s="18">
        <f t="shared" si="4"/>
        <v>0.12039999999999998</v>
      </c>
      <c r="C85" s="24">
        <v>4.2999999999999997E-2</v>
      </c>
      <c r="D85" s="16" t="s">
        <v>21</v>
      </c>
      <c r="F85" s="14">
        <f t="shared" si="5"/>
        <v>-3.1465551632885749</v>
      </c>
      <c r="K85" s="12">
        <v>9.1000000000000103</v>
      </c>
      <c r="L85" s="10" t="e">
        <f t="shared" ca="1" si="6"/>
        <v>#NAME?</v>
      </c>
      <c r="M85" s="12">
        <v>82</v>
      </c>
      <c r="N85" s="10" t="e">
        <f t="shared" ca="1" si="7"/>
        <v>#NAME?</v>
      </c>
    </row>
    <row r="86" spans="1:14" x14ac:dyDescent="0.2">
      <c r="A86" s="21">
        <v>83</v>
      </c>
      <c r="B86" s="18">
        <f t="shared" si="4"/>
        <v>0.11199999999999999</v>
      </c>
      <c r="C86" s="24">
        <v>0.04</v>
      </c>
      <c r="D86" s="16" t="s">
        <v>21</v>
      </c>
      <c r="F86" s="14">
        <f t="shared" si="5"/>
        <v>-3.2188758248682006</v>
      </c>
      <c r="K86" s="12">
        <v>9.2000000000000099</v>
      </c>
      <c r="L86" s="10" t="e">
        <f t="shared" ca="1" si="6"/>
        <v>#NAME?</v>
      </c>
      <c r="M86" s="12">
        <v>83</v>
      </c>
      <c r="N86" s="10" t="e">
        <f t="shared" ca="1" si="7"/>
        <v>#NAME?</v>
      </c>
    </row>
    <row r="87" spans="1:14" x14ac:dyDescent="0.2">
      <c r="A87" s="21">
        <v>84</v>
      </c>
      <c r="B87" s="18">
        <f t="shared" si="4"/>
        <v>0.10359999999999998</v>
      </c>
      <c r="C87" s="24">
        <v>3.6999999999999998E-2</v>
      </c>
      <c r="D87" s="16" t="s">
        <v>21</v>
      </c>
      <c r="F87" s="14">
        <f t="shared" si="5"/>
        <v>-3.2968373663379125</v>
      </c>
      <c r="K87" s="12">
        <v>9.3000000000000096</v>
      </c>
      <c r="L87" s="10" t="e">
        <f t="shared" ca="1" si="6"/>
        <v>#NAME?</v>
      </c>
      <c r="M87" s="12">
        <v>84</v>
      </c>
      <c r="N87" s="10" t="e">
        <f t="shared" ca="1" si="7"/>
        <v>#NAME?</v>
      </c>
    </row>
    <row r="88" spans="1:14" x14ac:dyDescent="0.2">
      <c r="A88" s="21">
        <v>85</v>
      </c>
      <c r="B88" s="18">
        <f t="shared" si="4"/>
        <v>9.5200000000000007E-2</v>
      </c>
      <c r="C88" s="24">
        <v>3.4000000000000002E-2</v>
      </c>
      <c r="D88" s="16" t="s">
        <v>21</v>
      </c>
      <c r="F88" s="14">
        <f t="shared" si="5"/>
        <v>-3.3813947543659757</v>
      </c>
      <c r="K88" s="12">
        <v>9.4000000000000092</v>
      </c>
      <c r="L88" s="10" t="e">
        <f t="shared" ca="1" si="6"/>
        <v>#NAME?</v>
      </c>
      <c r="M88" s="12">
        <v>85</v>
      </c>
      <c r="N88" s="10" t="e">
        <f t="shared" ca="1" si="7"/>
        <v>#NAME?</v>
      </c>
    </row>
    <row r="89" spans="1:14" x14ac:dyDescent="0.2">
      <c r="A89" s="21">
        <v>86</v>
      </c>
      <c r="B89" s="18">
        <f t="shared" si="4"/>
        <v>8.6799999999999988E-2</v>
      </c>
      <c r="C89" s="24">
        <v>3.1E-2</v>
      </c>
      <c r="D89" s="16" t="s">
        <v>21</v>
      </c>
      <c r="F89" s="14">
        <f t="shared" si="5"/>
        <v>-3.473768074496991</v>
      </c>
      <c r="K89" s="12">
        <v>9.5000000000000107</v>
      </c>
      <c r="L89" s="10" t="e">
        <f t="shared" ca="1" si="6"/>
        <v>#NAME?</v>
      </c>
      <c r="M89" s="12">
        <v>86</v>
      </c>
      <c r="N89" s="10" t="e">
        <f t="shared" ca="1" si="7"/>
        <v>#NAME?</v>
      </c>
    </row>
    <row r="90" spans="1:14" x14ac:dyDescent="0.2">
      <c r="A90" s="21">
        <v>87</v>
      </c>
      <c r="B90" s="18">
        <f t="shared" si="4"/>
        <v>7.8399999999999997E-2</v>
      </c>
      <c r="C90" s="24">
        <v>2.8000000000000001E-2</v>
      </c>
      <c r="D90" s="16" t="s">
        <v>21</v>
      </c>
      <c r="F90" s="14">
        <f t="shared" si="5"/>
        <v>-3.575550768806933</v>
      </c>
      <c r="K90" s="12">
        <v>9.6000000000000103</v>
      </c>
      <c r="L90" s="10" t="e">
        <f t="shared" ca="1" si="6"/>
        <v>#NAME?</v>
      </c>
      <c r="M90" s="12">
        <v>87</v>
      </c>
      <c r="N90" s="10" t="e">
        <f t="shared" ca="1" si="7"/>
        <v>#NAME?</v>
      </c>
    </row>
    <row r="91" spans="1:14" x14ac:dyDescent="0.2">
      <c r="A91" s="21">
        <v>88</v>
      </c>
      <c r="B91" s="18">
        <f t="shared" si="4"/>
        <v>6.9999999999999993E-2</v>
      </c>
      <c r="C91" s="24">
        <v>2.5000000000000001E-2</v>
      </c>
      <c r="D91" s="16" t="s">
        <v>21</v>
      </c>
      <c r="F91" s="14">
        <f t="shared" si="5"/>
        <v>-3.6888794541139363</v>
      </c>
      <c r="K91" s="12">
        <v>9.7000000000000099</v>
      </c>
      <c r="L91" s="10" t="e">
        <f t="shared" ca="1" si="6"/>
        <v>#NAME?</v>
      </c>
      <c r="M91" s="12">
        <v>88</v>
      </c>
      <c r="N91" s="10" t="e">
        <f t="shared" ca="1" si="7"/>
        <v>#NAME?</v>
      </c>
    </row>
    <row r="92" spans="1:14" x14ac:dyDescent="0.2">
      <c r="A92" s="21">
        <v>89</v>
      </c>
      <c r="B92" s="18">
        <f t="shared" si="4"/>
        <v>6.1599999999999995E-2</v>
      </c>
      <c r="C92" s="24">
        <v>2.1999999999999999E-2</v>
      </c>
      <c r="D92" s="16" t="s">
        <v>21</v>
      </c>
      <c r="F92" s="14">
        <f t="shared" si="5"/>
        <v>-3.8167128256238212</v>
      </c>
      <c r="K92" s="12">
        <v>9.8000000000000096</v>
      </c>
      <c r="L92" s="10" t="e">
        <f t="shared" ca="1" si="6"/>
        <v>#NAME?</v>
      </c>
      <c r="M92" s="12">
        <v>89</v>
      </c>
      <c r="N92" s="10" t="e">
        <f t="shared" ca="1" si="7"/>
        <v>#NAME?</v>
      </c>
    </row>
    <row r="93" spans="1:14" x14ac:dyDescent="0.2">
      <c r="A93" s="22">
        <v>90</v>
      </c>
      <c r="B93" s="19">
        <f t="shared" si="4"/>
        <v>5.5999999999999994E-2</v>
      </c>
      <c r="C93" s="25">
        <v>0.02</v>
      </c>
      <c r="D93" s="17" t="s">
        <v>21</v>
      </c>
      <c r="F93" s="15">
        <f t="shared" si="5"/>
        <v>-3.912023005428146</v>
      </c>
      <c r="K93" s="13">
        <v>9.9000000000000092</v>
      </c>
      <c r="L93" s="11" t="e">
        <f t="shared" ca="1" si="6"/>
        <v>#NAME?</v>
      </c>
      <c r="M93" s="13">
        <v>90</v>
      </c>
      <c r="N93" s="11"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127" workbookViewId="0">
      <selection activeCell="B144" sqref="B144"/>
    </sheetView>
  </sheetViews>
  <sheetFormatPr defaultRowHeight="12.75" x14ac:dyDescent="0.2"/>
  <cols>
    <col min="1" max="1" width="32.7109375" bestFit="1" customWidth="1"/>
    <col min="2" max="2" width="12.42578125" bestFit="1" customWidth="1"/>
    <col min="5" max="5" width="32.7109375" bestFit="1" customWidth="1"/>
    <col min="6" max="6" width="15.140625" bestFit="1" customWidth="1"/>
    <col min="8" max="8" width="32.7109375" bestFit="1" customWidth="1"/>
    <col min="9" max="9" width="9.5703125" bestFit="1" customWidth="1"/>
  </cols>
  <sheetData>
    <row r="1" spans="1:9" x14ac:dyDescent="0.2">
      <c r="A1" s="642" t="s">
        <v>22</v>
      </c>
      <c r="B1" s="642" t="s">
        <v>23</v>
      </c>
      <c r="H1" s="99"/>
    </row>
    <row r="2" spans="1:9" x14ac:dyDescent="0.2">
      <c r="A2" s="642" t="s">
        <v>24</v>
      </c>
      <c r="B2" s="642"/>
      <c r="H2" s="99"/>
      <c r="I2" s="99"/>
    </row>
    <row r="3" spans="1:9" x14ac:dyDescent="0.2">
      <c r="A3" s="642" t="s">
        <v>25</v>
      </c>
      <c r="B3" s="642" t="s">
        <v>23</v>
      </c>
      <c r="H3" s="99"/>
      <c r="I3" s="99"/>
    </row>
    <row r="4" spans="1:9" x14ac:dyDescent="0.2">
      <c r="A4" s="643" t="s">
        <v>26</v>
      </c>
      <c r="B4" s="642">
        <v>63010079</v>
      </c>
      <c r="H4" s="99"/>
    </row>
    <row r="5" spans="1:9" x14ac:dyDescent="0.2">
      <c r="A5" s="642" t="s">
        <v>27</v>
      </c>
      <c r="B5" s="642">
        <v>1024</v>
      </c>
      <c r="H5" s="99"/>
      <c r="I5" s="99"/>
    </row>
    <row r="6" spans="1:9" x14ac:dyDescent="0.2">
      <c r="A6" s="642" t="s">
        <v>28</v>
      </c>
      <c r="B6" s="642">
        <v>0</v>
      </c>
      <c r="H6" s="99"/>
      <c r="I6" s="99"/>
    </row>
    <row r="7" spans="1:9" x14ac:dyDescent="0.2">
      <c r="A7" s="642" t="s">
        <v>29</v>
      </c>
      <c r="B7" s="642" t="s">
        <v>23</v>
      </c>
      <c r="H7" s="99"/>
      <c r="I7" s="99"/>
    </row>
    <row r="8" spans="1:9" x14ac:dyDescent="0.2">
      <c r="A8" s="642" t="s">
        <v>30</v>
      </c>
      <c r="B8" s="642">
        <v>78</v>
      </c>
      <c r="H8" s="99"/>
      <c r="I8" s="99"/>
    </row>
    <row r="9" spans="1:9" x14ac:dyDescent="0.2">
      <c r="A9" s="642" t="s">
        <v>31</v>
      </c>
      <c r="B9" s="642">
        <v>188</v>
      </c>
      <c r="H9" s="99"/>
      <c r="I9" s="99"/>
    </row>
    <row r="10" spans="1:9" x14ac:dyDescent="0.2">
      <c r="A10" s="642" t="s">
        <v>32</v>
      </c>
      <c r="B10" s="642">
        <v>1018</v>
      </c>
      <c r="H10" s="99"/>
      <c r="I10" s="99"/>
    </row>
    <row r="11" spans="1:9" x14ac:dyDescent="0.2">
      <c r="A11" s="642" t="s">
        <v>33</v>
      </c>
      <c r="B11" s="642">
        <v>2074</v>
      </c>
      <c r="H11" s="99"/>
      <c r="I11" s="99"/>
    </row>
    <row r="12" spans="1:9" x14ac:dyDescent="0.2">
      <c r="A12" s="642" t="s">
        <v>34</v>
      </c>
      <c r="B12" s="642">
        <v>2990</v>
      </c>
      <c r="H12" s="99"/>
      <c r="I12" s="99"/>
    </row>
    <row r="13" spans="1:9" x14ac:dyDescent="0.2">
      <c r="A13" s="642" t="s">
        <v>35</v>
      </c>
      <c r="B13" s="642">
        <v>10008</v>
      </c>
      <c r="H13" s="99"/>
      <c r="I13" s="99"/>
    </row>
    <row r="14" spans="1:9" x14ac:dyDescent="0.2">
      <c r="A14" s="642" t="s">
        <v>36</v>
      </c>
      <c r="B14" s="642">
        <v>16418</v>
      </c>
      <c r="H14" s="99"/>
      <c r="I14" s="99"/>
    </row>
    <row r="15" spans="1:9" x14ac:dyDescent="0.2">
      <c r="A15" s="642" t="s">
        <v>37</v>
      </c>
      <c r="B15" s="642">
        <v>24602</v>
      </c>
      <c r="H15" s="99"/>
      <c r="I15" s="99"/>
    </row>
    <row r="16" spans="1:9" x14ac:dyDescent="0.2">
      <c r="A16" s="642" t="s">
        <v>38</v>
      </c>
      <c r="B16" s="642">
        <v>60</v>
      </c>
      <c r="H16" s="99"/>
      <c r="I16" s="99"/>
    </row>
    <row r="17" spans="1:9" x14ac:dyDescent="0.2">
      <c r="A17" s="642" t="s">
        <v>39</v>
      </c>
      <c r="B17" s="642">
        <v>300</v>
      </c>
      <c r="H17" s="99"/>
      <c r="I17" s="99"/>
    </row>
    <row r="18" spans="1:9" x14ac:dyDescent="0.2">
      <c r="A18" s="642" t="s">
        <v>40</v>
      </c>
      <c r="B18" s="642">
        <v>750</v>
      </c>
      <c r="H18" s="99"/>
      <c r="I18" s="99"/>
    </row>
    <row r="19" spans="1:9" x14ac:dyDescent="0.2">
      <c r="A19" s="642" t="s">
        <v>41</v>
      </c>
      <c r="B19" s="642">
        <v>200</v>
      </c>
      <c r="H19" s="99"/>
      <c r="I19" s="99"/>
    </row>
    <row r="20" spans="1:9" x14ac:dyDescent="0.2">
      <c r="A20" s="642" t="s">
        <v>42</v>
      </c>
      <c r="B20" s="642">
        <v>500</v>
      </c>
      <c r="H20" s="99"/>
      <c r="I20" s="99"/>
    </row>
    <row r="21" spans="1:9" x14ac:dyDescent="0.2">
      <c r="A21" s="642" t="s">
        <v>43</v>
      </c>
      <c r="B21" s="642">
        <v>13476</v>
      </c>
      <c r="H21" s="99"/>
      <c r="I21" s="99"/>
    </row>
    <row r="22" spans="1:9" x14ac:dyDescent="0.2">
      <c r="A22" s="642" t="s">
        <v>44</v>
      </c>
      <c r="B22" s="642">
        <v>0</v>
      </c>
      <c r="H22" s="99"/>
      <c r="I22" s="99"/>
    </row>
    <row r="23" spans="1:9" x14ac:dyDescent="0.2">
      <c r="A23" s="642" t="s">
        <v>45</v>
      </c>
      <c r="B23" s="642">
        <v>50</v>
      </c>
      <c r="H23" s="99"/>
      <c r="I23" s="99"/>
    </row>
    <row r="24" spans="1:9" x14ac:dyDescent="0.2">
      <c r="A24" s="642" t="s">
        <v>46</v>
      </c>
      <c r="B24" s="642">
        <v>2147483648</v>
      </c>
      <c r="H24" s="99"/>
      <c r="I24" s="99"/>
    </row>
    <row r="25" spans="1:9" x14ac:dyDescent="0.2">
      <c r="A25" s="642" t="s">
        <v>47</v>
      </c>
      <c r="B25" s="642">
        <v>2147483648</v>
      </c>
      <c r="H25" s="99"/>
      <c r="I25" s="99"/>
    </row>
    <row r="26" spans="1:9" x14ac:dyDescent="0.2">
      <c r="A26" s="642" t="s">
        <v>48</v>
      </c>
      <c r="B26" s="642">
        <v>0</v>
      </c>
      <c r="H26" s="99"/>
      <c r="I26" s="99"/>
    </row>
    <row r="27" spans="1:9" x14ac:dyDescent="0.2">
      <c r="A27" s="642" t="s">
        <v>49</v>
      </c>
      <c r="B27" s="642">
        <v>0</v>
      </c>
      <c r="H27" s="99"/>
      <c r="I27" s="99"/>
    </row>
    <row r="28" spans="1:9" x14ac:dyDescent="0.2">
      <c r="A28" s="642" t="s">
        <v>50</v>
      </c>
      <c r="B28" s="642">
        <v>0</v>
      </c>
      <c r="H28" s="99"/>
      <c r="I28" s="99"/>
    </row>
    <row r="29" spans="1:9" x14ac:dyDescent="0.2">
      <c r="A29" s="642" t="s">
        <v>51</v>
      </c>
      <c r="B29" s="642">
        <v>5</v>
      </c>
      <c r="H29" s="99"/>
      <c r="I29" s="99"/>
    </row>
    <row r="30" spans="1:9" x14ac:dyDescent="0.2">
      <c r="A30" s="642" t="s">
        <v>52</v>
      </c>
      <c r="B30" s="642">
        <v>0</v>
      </c>
      <c r="H30" s="99"/>
      <c r="I30" s="99"/>
    </row>
    <row r="31" spans="1:9" x14ac:dyDescent="0.2">
      <c r="A31" s="642" t="s">
        <v>53</v>
      </c>
      <c r="B31" s="642">
        <v>2147483648</v>
      </c>
      <c r="H31" s="99"/>
      <c r="I31" s="99"/>
    </row>
    <row r="32" spans="1:9" x14ac:dyDescent="0.2">
      <c r="A32" s="642" t="s">
        <v>54</v>
      </c>
      <c r="B32" s="642">
        <v>0</v>
      </c>
      <c r="H32" s="99"/>
      <c r="I32" s="99"/>
    </row>
    <row r="33" spans="1:9" x14ac:dyDescent="0.2">
      <c r="A33" s="642" t="s">
        <v>55</v>
      </c>
      <c r="B33" s="642">
        <v>4095</v>
      </c>
      <c r="H33" s="99"/>
      <c r="I33" s="99"/>
    </row>
    <row r="34" spans="1:9" x14ac:dyDescent="0.2">
      <c r="A34" s="642" t="s">
        <v>56</v>
      </c>
      <c r="B34" s="642">
        <v>0</v>
      </c>
      <c r="H34" s="99"/>
      <c r="I34" s="99"/>
    </row>
    <row r="35" spans="1:9" x14ac:dyDescent="0.2">
      <c r="A35" s="642" t="s">
        <v>57</v>
      </c>
      <c r="B35" s="642">
        <v>30</v>
      </c>
      <c r="H35" s="99"/>
      <c r="I35" s="99"/>
    </row>
    <row r="36" spans="1:9" x14ac:dyDescent="0.2">
      <c r="A36" s="642" t="s">
        <v>58</v>
      </c>
      <c r="B36" s="642">
        <v>2</v>
      </c>
      <c r="H36" s="99"/>
      <c r="I36" s="99"/>
    </row>
    <row r="37" spans="1:9" x14ac:dyDescent="0.2">
      <c r="A37" s="642" t="s">
        <v>59</v>
      </c>
      <c r="B37" s="642">
        <v>1</v>
      </c>
      <c r="H37" s="99"/>
      <c r="I37" s="99"/>
    </row>
    <row r="38" spans="1:9" x14ac:dyDescent="0.2">
      <c r="A38" s="642" t="s">
        <v>60</v>
      </c>
      <c r="B38" s="642">
        <v>30</v>
      </c>
      <c r="H38" s="99"/>
      <c r="I38" s="99"/>
    </row>
    <row r="39" spans="1:9" x14ac:dyDescent="0.2">
      <c r="A39" s="642" t="s">
        <v>61</v>
      </c>
      <c r="B39" s="642">
        <v>150</v>
      </c>
      <c r="H39" s="99"/>
      <c r="I39" s="99"/>
    </row>
    <row r="40" spans="1:9" x14ac:dyDescent="0.2">
      <c r="A40" s="642" t="s">
        <v>62</v>
      </c>
      <c r="B40" s="642">
        <v>50</v>
      </c>
      <c r="H40" s="99"/>
      <c r="I40" s="99"/>
    </row>
    <row r="41" spans="1:9" x14ac:dyDescent="0.2">
      <c r="A41" s="642" t="s">
        <v>63</v>
      </c>
      <c r="B41" s="642">
        <v>20</v>
      </c>
      <c r="H41" s="99"/>
      <c r="I41" s="99"/>
    </row>
    <row r="42" spans="1:9" x14ac:dyDescent="0.2">
      <c r="A42" s="642" t="s">
        <v>64</v>
      </c>
      <c r="B42" s="642">
        <v>100</v>
      </c>
      <c r="H42" s="99"/>
      <c r="I42" s="99"/>
    </row>
    <row r="43" spans="1:9" x14ac:dyDescent="0.2">
      <c r="A43" s="642" t="s">
        <v>65</v>
      </c>
      <c r="B43" s="642">
        <v>90</v>
      </c>
      <c r="H43" s="99"/>
      <c r="I43" s="99"/>
    </row>
    <row r="44" spans="1:9" x14ac:dyDescent="0.2">
      <c r="A44" s="642" t="s">
        <v>66</v>
      </c>
      <c r="B44" s="642">
        <v>50</v>
      </c>
      <c r="H44" s="99"/>
      <c r="I44" s="99"/>
    </row>
    <row r="45" spans="1:9" x14ac:dyDescent="0.2">
      <c r="A45" s="642" t="s">
        <v>67</v>
      </c>
      <c r="B45" s="642">
        <v>50</v>
      </c>
      <c r="H45" s="99"/>
      <c r="I45" s="99"/>
    </row>
    <row r="46" spans="1:9" x14ac:dyDescent="0.2">
      <c r="A46" s="642" t="s">
        <v>68</v>
      </c>
      <c r="B46" s="642">
        <v>50</v>
      </c>
      <c r="H46" s="99"/>
      <c r="I46" s="99"/>
    </row>
    <row r="47" spans="1:9" x14ac:dyDescent="0.2">
      <c r="A47" s="642" t="s">
        <v>69</v>
      </c>
      <c r="B47" s="642">
        <v>40</v>
      </c>
      <c r="H47" s="99"/>
      <c r="I47" s="99"/>
    </row>
    <row r="48" spans="1:9" x14ac:dyDescent="0.2">
      <c r="A48" s="642" t="s">
        <v>70</v>
      </c>
      <c r="B48" s="642">
        <v>20</v>
      </c>
      <c r="H48" s="99"/>
      <c r="I48" s="99"/>
    </row>
    <row r="49" spans="1:9" x14ac:dyDescent="0.2">
      <c r="A49" s="642" t="s">
        <v>71</v>
      </c>
      <c r="B49" s="642">
        <v>40</v>
      </c>
      <c r="H49" s="99"/>
      <c r="I49" s="99"/>
    </row>
    <row r="50" spans="1:9" x14ac:dyDescent="0.2">
      <c r="A50" s="642" t="s">
        <v>72</v>
      </c>
      <c r="B50" s="642">
        <v>20</v>
      </c>
      <c r="H50" s="99"/>
      <c r="I50" s="99"/>
    </row>
    <row r="51" spans="1:9" x14ac:dyDescent="0.2">
      <c r="A51" s="642" t="s">
        <v>73</v>
      </c>
      <c r="B51" s="642">
        <v>0</v>
      </c>
      <c r="H51" s="99"/>
      <c r="I51" s="99"/>
    </row>
    <row r="52" spans="1:9" x14ac:dyDescent="0.2">
      <c r="A52" s="643" t="s">
        <v>74</v>
      </c>
      <c r="B52" s="642">
        <v>78</v>
      </c>
      <c r="H52" s="99"/>
      <c r="I52" s="99"/>
    </row>
    <row r="53" spans="1:9" x14ac:dyDescent="0.2">
      <c r="A53" s="642" t="s">
        <v>75</v>
      </c>
      <c r="B53" s="642">
        <v>126</v>
      </c>
      <c r="H53" s="99"/>
      <c r="I53" s="99"/>
    </row>
    <row r="54" spans="1:9" x14ac:dyDescent="0.2">
      <c r="A54" s="642" t="s">
        <v>76</v>
      </c>
      <c r="B54" s="642">
        <v>188</v>
      </c>
      <c r="H54" s="99"/>
      <c r="I54" s="99"/>
    </row>
    <row r="55" spans="1:9" x14ac:dyDescent="0.2">
      <c r="A55" s="642" t="s">
        <v>77</v>
      </c>
      <c r="B55" s="642">
        <v>256</v>
      </c>
      <c r="H55" s="99"/>
      <c r="I55" s="99"/>
    </row>
    <row r="56" spans="1:9" x14ac:dyDescent="0.2">
      <c r="A56" s="642" t="s">
        <v>78</v>
      </c>
      <c r="B56" s="642">
        <v>336</v>
      </c>
      <c r="H56" s="99"/>
      <c r="I56" s="99"/>
    </row>
    <row r="57" spans="1:9" x14ac:dyDescent="0.2">
      <c r="A57" s="642" t="s">
        <v>79</v>
      </c>
      <c r="B57" s="642">
        <v>430</v>
      </c>
      <c r="H57" s="99"/>
      <c r="I57" s="99"/>
    </row>
    <row r="58" spans="1:9" x14ac:dyDescent="0.2">
      <c r="A58" s="642" t="s">
        <v>80</v>
      </c>
      <c r="B58" s="642">
        <v>530</v>
      </c>
      <c r="H58" s="99"/>
    </row>
    <row r="59" spans="1:9" x14ac:dyDescent="0.2">
      <c r="A59" s="642" t="s">
        <v>81</v>
      </c>
      <c r="B59" s="642">
        <v>644</v>
      </c>
      <c r="H59" s="99"/>
      <c r="I59" s="99"/>
    </row>
    <row r="60" spans="1:9" x14ac:dyDescent="0.2">
      <c r="A60" s="642" t="s">
        <v>82</v>
      </c>
      <c r="B60" s="642">
        <v>764</v>
      </c>
      <c r="H60" s="99"/>
      <c r="I60" s="99"/>
    </row>
    <row r="61" spans="1:9" x14ac:dyDescent="0.2">
      <c r="A61" s="642" t="s">
        <v>83</v>
      </c>
      <c r="B61" s="642">
        <v>890</v>
      </c>
      <c r="H61" s="99"/>
      <c r="I61" s="99"/>
    </row>
    <row r="62" spans="1:9" x14ac:dyDescent="0.2">
      <c r="A62" s="642" t="s">
        <v>84</v>
      </c>
      <c r="B62" s="642">
        <v>1018</v>
      </c>
      <c r="H62" s="99"/>
      <c r="I62" s="99"/>
    </row>
    <row r="63" spans="1:9" x14ac:dyDescent="0.2">
      <c r="A63" s="642" t="s">
        <v>85</v>
      </c>
      <c r="B63" s="642">
        <v>1148</v>
      </c>
      <c r="H63" s="99"/>
      <c r="I63" s="99"/>
    </row>
    <row r="64" spans="1:9" x14ac:dyDescent="0.2">
      <c r="A64" s="642" t="s">
        <v>86</v>
      </c>
      <c r="B64" s="642">
        <v>1280</v>
      </c>
      <c r="H64" s="99"/>
      <c r="I64" s="99"/>
    </row>
    <row r="65" spans="1:9" x14ac:dyDescent="0.2">
      <c r="A65" s="642" t="s">
        <v>87</v>
      </c>
      <c r="B65" s="642">
        <v>1420</v>
      </c>
      <c r="H65" s="99"/>
      <c r="I65" s="99"/>
    </row>
    <row r="66" spans="1:9" x14ac:dyDescent="0.2">
      <c r="A66" s="642" t="s">
        <v>88</v>
      </c>
      <c r="B66" s="642">
        <v>1564</v>
      </c>
      <c r="H66" s="99"/>
      <c r="I66" s="99"/>
    </row>
    <row r="67" spans="1:9" x14ac:dyDescent="0.2">
      <c r="A67" s="642" t="s">
        <v>89</v>
      </c>
      <c r="B67" s="642">
        <v>1714</v>
      </c>
      <c r="H67" s="99"/>
      <c r="I67" s="99"/>
    </row>
    <row r="68" spans="1:9" x14ac:dyDescent="0.2">
      <c r="A68" s="642" t="s">
        <v>90</v>
      </c>
      <c r="B68" s="642">
        <v>1882</v>
      </c>
      <c r="H68" s="99"/>
      <c r="I68" s="99"/>
    </row>
    <row r="69" spans="1:9" x14ac:dyDescent="0.2">
      <c r="A69" s="642" t="s">
        <v>91</v>
      </c>
      <c r="B69" s="642">
        <v>2074</v>
      </c>
      <c r="H69" s="99"/>
      <c r="I69" s="99"/>
    </row>
    <row r="70" spans="1:9" x14ac:dyDescent="0.2">
      <c r="A70" s="642" t="s">
        <v>92</v>
      </c>
      <c r="B70" s="642">
        <v>2286</v>
      </c>
      <c r="H70" s="99"/>
      <c r="I70" s="99"/>
    </row>
    <row r="71" spans="1:9" x14ac:dyDescent="0.2">
      <c r="A71" s="642" t="s">
        <v>93</v>
      </c>
      <c r="B71" s="642">
        <v>2514</v>
      </c>
      <c r="H71" s="99"/>
      <c r="I71" s="99"/>
    </row>
    <row r="72" spans="1:9" x14ac:dyDescent="0.2">
      <c r="A72" s="642" t="s">
        <v>94</v>
      </c>
      <c r="B72" s="642">
        <v>2752</v>
      </c>
      <c r="H72" s="99"/>
      <c r="I72" s="99"/>
    </row>
    <row r="73" spans="1:9" x14ac:dyDescent="0.2">
      <c r="A73" s="642" t="s">
        <v>95</v>
      </c>
      <c r="B73" s="642">
        <v>2990</v>
      </c>
      <c r="H73" s="99"/>
      <c r="I73" s="99"/>
    </row>
    <row r="74" spans="1:9" x14ac:dyDescent="0.2">
      <c r="A74" s="642" t="s">
        <v>96</v>
      </c>
      <c r="B74" s="642">
        <v>3266</v>
      </c>
      <c r="H74" s="99"/>
      <c r="I74" s="99"/>
    </row>
    <row r="75" spans="1:9" x14ac:dyDescent="0.2">
      <c r="A75" s="642" t="s">
        <v>97</v>
      </c>
      <c r="B75" s="642">
        <v>3534</v>
      </c>
      <c r="H75" s="99"/>
    </row>
    <row r="76" spans="1:9" x14ac:dyDescent="0.2">
      <c r="A76" s="642" t="s">
        <v>98</v>
      </c>
      <c r="B76" s="642">
        <v>3860</v>
      </c>
      <c r="H76" s="99"/>
      <c r="I76" s="99"/>
    </row>
    <row r="77" spans="1:9" x14ac:dyDescent="0.2">
      <c r="A77" s="642" t="s">
        <v>99</v>
      </c>
      <c r="B77" s="642">
        <v>4182</v>
      </c>
      <c r="H77" s="99"/>
    </row>
    <row r="78" spans="1:9" x14ac:dyDescent="0.2">
      <c r="A78" s="642" t="s">
        <v>100</v>
      </c>
      <c r="B78" s="642">
        <v>4524</v>
      </c>
      <c r="H78" s="99"/>
      <c r="I78" s="99"/>
    </row>
    <row r="79" spans="1:9" x14ac:dyDescent="0.2">
      <c r="A79" s="642" t="s">
        <v>101</v>
      </c>
      <c r="B79" s="642">
        <v>10008</v>
      </c>
      <c r="H79" s="99"/>
      <c r="I79" s="99"/>
    </row>
    <row r="80" spans="1:9" x14ac:dyDescent="0.2">
      <c r="A80" s="642" t="s">
        <v>102</v>
      </c>
      <c r="B80" s="642">
        <v>16418</v>
      </c>
      <c r="H80" s="99"/>
      <c r="I80" s="99"/>
    </row>
    <row r="81" spans="1:9" x14ac:dyDescent="0.2">
      <c r="A81" s="642" t="s">
        <v>103</v>
      </c>
      <c r="B81" s="642">
        <v>24602</v>
      </c>
      <c r="H81" s="99"/>
      <c r="I81" s="99"/>
    </row>
    <row r="82" spans="1:9" x14ac:dyDescent="0.2">
      <c r="A82" s="642" t="s">
        <v>104</v>
      </c>
      <c r="B82" s="642">
        <v>18822</v>
      </c>
      <c r="H82" s="99"/>
      <c r="I82" s="99"/>
    </row>
    <row r="83" spans="1:9" x14ac:dyDescent="0.2">
      <c r="A83" s="642" t="s">
        <v>105</v>
      </c>
      <c r="B83" s="642">
        <v>18822</v>
      </c>
      <c r="H83" s="99"/>
      <c r="I83" s="99"/>
    </row>
    <row r="84" spans="1:9" x14ac:dyDescent="0.2">
      <c r="A84" s="642" t="s">
        <v>106</v>
      </c>
      <c r="B84" s="642">
        <v>4</v>
      </c>
      <c r="H84" s="99"/>
    </row>
    <row r="85" spans="1:9" x14ac:dyDescent="0.2">
      <c r="A85" s="642" t="s">
        <v>107</v>
      </c>
      <c r="B85" s="642">
        <v>5</v>
      </c>
      <c r="H85" s="99"/>
      <c r="I85" s="99"/>
    </row>
    <row r="86" spans="1:9" x14ac:dyDescent="0.2">
      <c r="A86" s="642" t="s">
        <v>108</v>
      </c>
      <c r="B86" s="642">
        <v>6</v>
      </c>
      <c r="H86" s="99"/>
      <c r="I86" s="99"/>
    </row>
    <row r="87" spans="1:9" x14ac:dyDescent="0.2">
      <c r="A87" s="642" t="s">
        <v>109</v>
      </c>
      <c r="B87" s="642">
        <v>7</v>
      </c>
      <c r="H87" s="99"/>
    </row>
    <row r="88" spans="1:9" x14ac:dyDescent="0.2">
      <c r="A88" s="642" t="s">
        <v>110</v>
      </c>
      <c r="B88" s="642">
        <v>8</v>
      </c>
      <c r="H88" s="99"/>
      <c r="I88" s="99"/>
    </row>
    <row r="89" spans="1:9" x14ac:dyDescent="0.2">
      <c r="A89" s="642" t="s">
        <v>111</v>
      </c>
      <c r="B89" s="642">
        <v>9</v>
      </c>
      <c r="H89" s="99"/>
      <c r="I89" s="99"/>
    </row>
    <row r="90" spans="1:9" x14ac:dyDescent="0.2">
      <c r="A90" s="642" t="s">
        <v>112</v>
      </c>
      <c r="B90" s="642">
        <v>10</v>
      </c>
      <c r="H90" s="99"/>
      <c r="I90" s="99"/>
    </row>
    <row r="91" spans="1:9" x14ac:dyDescent="0.2">
      <c r="A91" s="642" t="s">
        <v>113</v>
      </c>
      <c r="B91" s="642">
        <v>11</v>
      </c>
      <c r="H91" s="99"/>
      <c r="I91" s="99"/>
    </row>
    <row r="92" spans="1:9" x14ac:dyDescent="0.2">
      <c r="A92" s="642" t="s">
        <v>114</v>
      </c>
      <c r="B92" s="642">
        <v>12</v>
      </c>
      <c r="H92" s="99"/>
      <c r="I92" s="99"/>
    </row>
    <row r="93" spans="1:9" x14ac:dyDescent="0.2">
      <c r="A93" s="642" t="s">
        <v>115</v>
      </c>
      <c r="B93" s="642">
        <v>13</v>
      </c>
      <c r="H93" s="99"/>
      <c r="I93" s="99"/>
    </row>
    <row r="94" spans="1:9" x14ac:dyDescent="0.2">
      <c r="A94" s="642" t="s">
        <v>116</v>
      </c>
      <c r="B94" s="642">
        <v>14</v>
      </c>
      <c r="H94" s="99"/>
      <c r="I94" s="99"/>
    </row>
    <row r="95" spans="1:9" x14ac:dyDescent="0.2">
      <c r="A95" s="642" t="s">
        <v>117</v>
      </c>
      <c r="B95" s="642">
        <v>15</v>
      </c>
      <c r="H95" s="99"/>
      <c r="I95" s="99"/>
    </row>
    <row r="96" spans="1:9" x14ac:dyDescent="0.2">
      <c r="A96" s="642" t="s">
        <v>118</v>
      </c>
      <c r="B96" s="642">
        <v>16</v>
      </c>
      <c r="H96" s="99"/>
      <c r="I96" s="99"/>
    </row>
    <row r="97" spans="1:9" x14ac:dyDescent="0.2">
      <c r="A97" s="642" t="s">
        <v>119</v>
      </c>
      <c r="B97" s="642">
        <v>17</v>
      </c>
      <c r="H97" s="99"/>
      <c r="I97" s="99"/>
    </row>
    <row r="98" spans="1:9" x14ac:dyDescent="0.2">
      <c r="A98" s="642" t="s">
        <v>120</v>
      </c>
      <c r="B98" s="642">
        <v>18</v>
      </c>
      <c r="H98" s="99"/>
      <c r="I98" s="99"/>
    </row>
    <row r="99" spans="1:9" x14ac:dyDescent="0.2">
      <c r="A99" s="642" t="s">
        <v>121</v>
      </c>
      <c r="B99" s="642">
        <v>19</v>
      </c>
      <c r="H99" s="99"/>
      <c r="I99" s="99"/>
    </row>
    <row r="100" spans="1:9" x14ac:dyDescent="0.2">
      <c r="A100" s="642" t="s">
        <v>122</v>
      </c>
      <c r="B100" s="642">
        <v>20</v>
      </c>
      <c r="H100" s="99"/>
      <c r="I100" s="99"/>
    </row>
    <row r="101" spans="1:9" x14ac:dyDescent="0.2">
      <c r="A101" s="642" t="s">
        <v>123</v>
      </c>
      <c r="B101" s="642">
        <v>21</v>
      </c>
      <c r="H101" s="99"/>
      <c r="I101" s="99"/>
    </row>
    <row r="102" spans="1:9" x14ac:dyDescent="0.2">
      <c r="A102" s="642" t="s">
        <v>124</v>
      </c>
      <c r="B102" s="642">
        <v>22</v>
      </c>
      <c r="H102" s="99"/>
      <c r="I102" s="99"/>
    </row>
    <row r="103" spans="1:9" x14ac:dyDescent="0.2">
      <c r="A103" s="642" t="s">
        <v>125</v>
      </c>
      <c r="B103" s="642">
        <v>23</v>
      </c>
      <c r="H103" s="99"/>
      <c r="I103" s="99"/>
    </row>
    <row r="104" spans="1:9" x14ac:dyDescent="0.2">
      <c r="A104" s="642" t="s">
        <v>126</v>
      </c>
      <c r="B104" s="642">
        <v>24</v>
      </c>
      <c r="H104" s="99"/>
      <c r="I104" s="99"/>
    </row>
    <row r="105" spans="1:9" x14ac:dyDescent="0.2">
      <c r="A105" s="642" t="s">
        <v>127</v>
      </c>
      <c r="B105" s="642">
        <v>25</v>
      </c>
      <c r="H105" s="99"/>
      <c r="I105" s="99"/>
    </row>
    <row r="106" spans="1:9" x14ac:dyDescent="0.2">
      <c r="A106" s="642" t="s">
        <v>128</v>
      </c>
      <c r="B106" s="642">
        <v>26</v>
      </c>
      <c r="H106" s="99"/>
      <c r="I106" s="99"/>
    </row>
    <row r="107" spans="1:9" x14ac:dyDescent="0.2">
      <c r="A107" s="642" t="s">
        <v>129</v>
      </c>
      <c r="B107" s="642">
        <v>27</v>
      </c>
      <c r="H107" s="99"/>
      <c r="I107" s="99"/>
    </row>
    <row r="108" spans="1:9" x14ac:dyDescent="0.2">
      <c r="A108" s="642" t="s">
        <v>130</v>
      </c>
      <c r="B108" s="642">
        <v>28</v>
      </c>
      <c r="H108" s="99"/>
      <c r="I108" s="99"/>
    </row>
    <row r="109" spans="1:9" x14ac:dyDescent="0.2">
      <c r="A109" s="642" t="s">
        <v>131</v>
      </c>
      <c r="B109" s="642">
        <v>29</v>
      </c>
      <c r="H109" s="99"/>
      <c r="I109" s="99"/>
    </row>
    <row r="110" spans="1:9" x14ac:dyDescent="0.2">
      <c r="A110" s="642" t="s">
        <v>132</v>
      </c>
      <c r="B110" s="642">
        <v>30</v>
      </c>
      <c r="H110" s="99"/>
      <c r="I110" s="99"/>
    </row>
    <row r="111" spans="1:9" x14ac:dyDescent="0.2">
      <c r="A111" s="642" t="s">
        <v>133</v>
      </c>
      <c r="B111" s="642">
        <v>38</v>
      </c>
      <c r="H111" s="99"/>
      <c r="I111" s="99"/>
    </row>
    <row r="112" spans="1:9" x14ac:dyDescent="0.2">
      <c r="A112" s="642" t="s">
        <v>134</v>
      </c>
      <c r="B112" s="642">
        <v>50</v>
      </c>
      <c r="H112" s="99"/>
      <c r="I112" s="99"/>
    </row>
    <row r="113" spans="1:9" x14ac:dyDescent="0.2">
      <c r="A113" s="642" t="s">
        <v>135</v>
      </c>
      <c r="B113" s="642">
        <v>70</v>
      </c>
      <c r="H113" s="99"/>
      <c r="I113" s="99"/>
    </row>
    <row r="114" spans="1:9" x14ac:dyDescent="0.2">
      <c r="A114" s="642" t="s">
        <v>136</v>
      </c>
      <c r="B114" s="642">
        <v>70</v>
      </c>
      <c r="H114" s="99"/>
      <c r="I114" s="99"/>
    </row>
    <row r="115" spans="1:9" x14ac:dyDescent="0.2">
      <c r="A115" s="642" t="s">
        <v>137</v>
      </c>
      <c r="B115" s="642">
        <v>70</v>
      </c>
      <c r="H115" s="99"/>
      <c r="I115" s="99"/>
    </row>
    <row r="116" spans="1:9" x14ac:dyDescent="0.2">
      <c r="A116" s="642" t="s">
        <v>138</v>
      </c>
      <c r="B116" s="642"/>
      <c r="H116" s="99"/>
      <c r="I116" s="99"/>
    </row>
    <row r="117" spans="1:9" x14ac:dyDescent="0.2">
      <c r="A117" s="642" t="s">
        <v>139</v>
      </c>
      <c r="B117" s="642">
        <v>1066968</v>
      </c>
      <c r="H117" s="99"/>
      <c r="I117" s="99"/>
    </row>
    <row r="118" spans="1:9" x14ac:dyDescent="0.2">
      <c r="A118" s="642" t="s">
        <v>140</v>
      </c>
      <c r="B118" s="642">
        <v>465752</v>
      </c>
      <c r="H118" s="99"/>
      <c r="I118" s="99"/>
    </row>
    <row r="119" spans="1:9" x14ac:dyDescent="0.2">
      <c r="A119" s="642" t="s">
        <v>141</v>
      </c>
      <c r="B119" s="642">
        <v>37095</v>
      </c>
      <c r="H119" s="99"/>
      <c r="I119" s="99"/>
    </row>
    <row r="120" spans="1:9" x14ac:dyDescent="0.2">
      <c r="A120" s="642" t="s">
        <v>142</v>
      </c>
      <c r="B120" s="642">
        <v>11283</v>
      </c>
      <c r="H120" s="99"/>
      <c r="I120" s="99"/>
    </row>
    <row r="121" spans="1:9" x14ac:dyDescent="0.2">
      <c r="A121" s="642" t="s">
        <v>143</v>
      </c>
      <c r="B121" s="642">
        <v>5545</v>
      </c>
      <c r="H121" s="99"/>
      <c r="I121" s="99"/>
    </row>
    <row r="122" spans="1:9" x14ac:dyDescent="0.2">
      <c r="A122" s="642" t="s">
        <v>144</v>
      </c>
      <c r="B122" s="642">
        <v>731</v>
      </c>
      <c r="H122" s="99"/>
      <c r="I122" s="99"/>
    </row>
    <row r="123" spans="1:9" x14ac:dyDescent="0.2">
      <c r="A123" s="642" t="s">
        <v>145</v>
      </c>
      <c r="B123" s="642">
        <v>150</v>
      </c>
      <c r="H123" s="99"/>
      <c r="I123" s="99"/>
    </row>
    <row r="124" spans="1:9" x14ac:dyDescent="0.2">
      <c r="A124" s="642" t="s">
        <v>146</v>
      </c>
      <c r="B124" s="642">
        <v>14</v>
      </c>
      <c r="H124" s="99"/>
      <c r="I124" s="99"/>
    </row>
    <row r="125" spans="1:9" x14ac:dyDescent="0.2">
      <c r="A125" s="642" t="s">
        <v>147</v>
      </c>
      <c r="B125" s="642">
        <v>1066968</v>
      </c>
      <c r="H125" s="99"/>
      <c r="I125" s="99"/>
    </row>
    <row r="126" spans="1:9" x14ac:dyDescent="0.2">
      <c r="A126" s="642" t="s">
        <v>148</v>
      </c>
      <c r="B126" s="642">
        <v>465752</v>
      </c>
      <c r="H126" s="99"/>
      <c r="I126" s="99"/>
    </row>
    <row r="127" spans="1:9" x14ac:dyDescent="0.2">
      <c r="A127" s="642" t="s">
        <v>149</v>
      </c>
      <c r="B127" s="642">
        <v>37095</v>
      </c>
      <c r="H127" s="99"/>
      <c r="I127" s="99"/>
    </row>
    <row r="128" spans="1:9" x14ac:dyDescent="0.2">
      <c r="A128" s="642" t="s">
        <v>150</v>
      </c>
      <c r="B128" s="642">
        <v>11283</v>
      </c>
      <c r="H128" s="99"/>
      <c r="I128" s="99"/>
    </row>
    <row r="129" spans="1:9" x14ac:dyDescent="0.2">
      <c r="A129" s="642" t="s">
        <v>151</v>
      </c>
      <c r="B129" s="642">
        <v>5545</v>
      </c>
      <c r="H129" s="99"/>
      <c r="I129" s="99"/>
    </row>
    <row r="130" spans="1:9" x14ac:dyDescent="0.2">
      <c r="A130" s="642" t="s">
        <v>152</v>
      </c>
      <c r="B130" s="642">
        <v>731</v>
      </c>
      <c r="H130" s="99"/>
      <c r="I130" s="100"/>
    </row>
    <row r="131" spans="1:9" x14ac:dyDescent="0.2">
      <c r="A131" s="642" t="s">
        <v>153</v>
      </c>
      <c r="B131" s="642">
        <v>150</v>
      </c>
      <c r="H131" s="99"/>
      <c r="I131" s="99"/>
    </row>
    <row r="132" spans="1:9" x14ac:dyDescent="0.2">
      <c r="A132" s="642" t="s">
        <v>154</v>
      </c>
      <c r="B132" s="642">
        <v>14</v>
      </c>
      <c r="H132" s="99"/>
      <c r="I132" s="99"/>
    </row>
    <row r="133" spans="1:9" x14ac:dyDescent="0.2">
      <c r="A133" s="642" t="s">
        <v>155</v>
      </c>
      <c r="B133" s="642">
        <v>1066968</v>
      </c>
      <c r="H133" s="99"/>
      <c r="I133" s="99"/>
    </row>
    <row r="134" spans="1:9" x14ac:dyDescent="0.2">
      <c r="A134" s="642" t="s">
        <v>156</v>
      </c>
      <c r="B134" s="642">
        <v>465752</v>
      </c>
      <c r="H134" s="99"/>
      <c r="I134" s="99"/>
    </row>
    <row r="135" spans="1:9" x14ac:dyDescent="0.2">
      <c r="A135" s="642" t="s">
        <v>157</v>
      </c>
      <c r="B135" s="642">
        <v>37095</v>
      </c>
      <c r="H135" s="99"/>
      <c r="I135" s="99"/>
    </row>
    <row r="136" spans="1:9" x14ac:dyDescent="0.2">
      <c r="A136" s="642" t="s">
        <v>158</v>
      </c>
      <c r="B136" s="642">
        <v>11283</v>
      </c>
      <c r="H136" s="99"/>
      <c r="I136" s="99"/>
    </row>
    <row r="137" spans="1:9" x14ac:dyDescent="0.2">
      <c r="A137" s="642" t="s">
        <v>159</v>
      </c>
      <c r="B137" s="642">
        <v>5545</v>
      </c>
      <c r="H137" s="99"/>
      <c r="I137" s="99"/>
    </row>
    <row r="138" spans="1:9" x14ac:dyDescent="0.2">
      <c r="A138" s="642" t="s">
        <v>160</v>
      </c>
      <c r="B138" s="642">
        <v>731</v>
      </c>
      <c r="H138" s="99"/>
      <c r="I138" s="99"/>
    </row>
    <row r="139" spans="1:9" x14ac:dyDescent="0.2">
      <c r="A139" s="642" t="s">
        <v>161</v>
      </c>
      <c r="B139" s="642">
        <v>150</v>
      </c>
      <c r="H139" s="99"/>
      <c r="I139" s="99"/>
    </row>
    <row r="140" spans="1:9" x14ac:dyDescent="0.2">
      <c r="A140" s="642" t="s">
        <v>162</v>
      </c>
      <c r="B140" s="642">
        <v>14</v>
      </c>
      <c r="H140" s="99"/>
      <c r="I140" s="99"/>
    </row>
    <row r="141" spans="1:9" x14ac:dyDescent="0.2">
      <c r="A141" s="642" t="s">
        <v>163</v>
      </c>
      <c r="B141" s="642">
        <v>1056340</v>
      </c>
      <c r="H141" s="99"/>
      <c r="I141" s="99"/>
    </row>
    <row r="142" spans="1:9" x14ac:dyDescent="0.2">
      <c r="A142" s="642" t="s">
        <v>164</v>
      </c>
      <c r="B142" s="642">
        <v>459350</v>
      </c>
      <c r="H142" s="99"/>
      <c r="I142" s="99"/>
    </row>
    <row r="143" spans="1:9" x14ac:dyDescent="0.2">
      <c r="A143" s="642" t="s">
        <v>165</v>
      </c>
      <c r="B143" s="642">
        <v>36410</v>
      </c>
      <c r="H143" s="99"/>
      <c r="I143" s="99"/>
    </row>
    <row r="144" spans="1:9" x14ac:dyDescent="0.2">
      <c r="A144" s="642" t="s">
        <v>166</v>
      </c>
      <c r="B144" s="642">
        <v>10940</v>
      </c>
      <c r="H144" s="99"/>
      <c r="I144" s="101"/>
    </row>
    <row r="145" spans="1:2" x14ac:dyDescent="0.2">
      <c r="A145" s="642" t="s">
        <v>167</v>
      </c>
      <c r="B145" s="642">
        <v>5210</v>
      </c>
    </row>
    <row r="146" spans="1:2" x14ac:dyDescent="0.2">
      <c r="A146" s="642" t="s">
        <v>168</v>
      </c>
      <c r="B146" s="642">
        <v>611.721</v>
      </c>
    </row>
    <row r="147" spans="1:2" x14ac:dyDescent="0.2">
      <c r="A147" s="642" t="s">
        <v>169</v>
      </c>
      <c r="B147" s="642">
        <v>145.303</v>
      </c>
    </row>
    <row r="148" spans="1:2" x14ac:dyDescent="0.2">
      <c r="A148" s="642" t="s">
        <v>170</v>
      </c>
      <c r="B148" s="642">
        <v>24.939</v>
      </c>
    </row>
    <row r="149" spans="1:2" x14ac:dyDescent="0.2">
      <c r="A149" s="643" t="s">
        <v>171</v>
      </c>
      <c r="B149" s="642">
        <v>10669.7</v>
      </c>
    </row>
    <row r="150" spans="1:2" x14ac:dyDescent="0.2">
      <c r="A150" s="642" t="s">
        <v>172</v>
      </c>
      <c r="B150" s="642">
        <v>6941.17</v>
      </c>
    </row>
    <row r="151" spans="1:2" x14ac:dyDescent="0.2">
      <c r="A151" s="642" t="s">
        <v>173</v>
      </c>
      <c r="B151" s="642">
        <v>4657.53</v>
      </c>
    </row>
    <row r="152" spans="1:2" x14ac:dyDescent="0.2">
      <c r="A152" s="642" t="s">
        <v>174</v>
      </c>
      <c r="B152" s="642">
        <v>3240.5</v>
      </c>
    </row>
    <row r="153" spans="1:2" x14ac:dyDescent="0.2">
      <c r="A153" s="642" t="s">
        <v>175</v>
      </c>
      <c r="B153" s="642">
        <v>2230.4299999999998</v>
      </c>
    </row>
    <row r="154" spans="1:2" x14ac:dyDescent="0.2">
      <c r="A154" s="642" t="s">
        <v>176</v>
      </c>
      <c r="B154" s="642">
        <v>1529.49</v>
      </c>
    </row>
    <row r="155" spans="1:2" x14ac:dyDescent="0.2">
      <c r="A155" s="642" t="s">
        <v>177</v>
      </c>
      <c r="B155" s="642">
        <v>1090.6500000000001</v>
      </c>
    </row>
    <row r="156" spans="1:2" x14ac:dyDescent="0.2">
      <c r="A156" s="642" t="s">
        <v>178</v>
      </c>
      <c r="B156" s="642">
        <v>794.37400000000002</v>
      </c>
    </row>
    <row r="157" spans="1:2" x14ac:dyDescent="0.2">
      <c r="A157" s="642" t="s">
        <v>179</v>
      </c>
      <c r="B157" s="642">
        <v>596.63599999999997</v>
      </c>
    </row>
    <row r="158" spans="1:2" x14ac:dyDescent="0.2">
      <c r="A158" s="642" t="s">
        <v>180</v>
      </c>
      <c r="B158" s="642">
        <v>464.904</v>
      </c>
    </row>
    <row r="159" spans="1:2" x14ac:dyDescent="0.2">
      <c r="A159" s="642" t="s">
        <v>181</v>
      </c>
      <c r="B159" s="642">
        <v>370.95800000000003</v>
      </c>
    </row>
    <row r="160" spans="1:2" x14ac:dyDescent="0.2">
      <c r="A160" s="642" t="s">
        <v>182</v>
      </c>
      <c r="B160" s="642">
        <v>304.154</v>
      </c>
    </row>
    <row r="161" spans="1:2" x14ac:dyDescent="0.2">
      <c r="A161" s="642" t="s">
        <v>183</v>
      </c>
      <c r="B161" s="642">
        <v>256.52499999999998</v>
      </c>
    </row>
    <row r="162" spans="1:2" x14ac:dyDescent="0.2">
      <c r="A162" s="642" t="s">
        <v>184</v>
      </c>
      <c r="B162" s="642">
        <v>217.05199999999999</v>
      </c>
    </row>
    <row r="163" spans="1:2" x14ac:dyDescent="0.2">
      <c r="A163" s="642" t="s">
        <v>185</v>
      </c>
      <c r="B163" s="642">
        <v>185.315</v>
      </c>
    </row>
    <row r="164" spans="1:2" x14ac:dyDescent="0.2">
      <c r="A164" s="642" t="s">
        <v>186</v>
      </c>
      <c r="B164" s="642">
        <v>157.93700000000001</v>
      </c>
    </row>
    <row r="165" spans="1:2" x14ac:dyDescent="0.2">
      <c r="A165" s="642" t="s">
        <v>187</v>
      </c>
      <c r="B165" s="642">
        <v>134.87200000000001</v>
      </c>
    </row>
    <row r="166" spans="1:2" x14ac:dyDescent="0.2">
      <c r="A166" s="642" t="s">
        <v>188</v>
      </c>
      <c r="B166" s="642">
        <v>112.839</v>
      </c>
    </row>
    <row r="167" spans="1:2" x14ac:dyDescent="0.2">
      <c r="A167" s="642" t="s">
        <v>189</v>
      </c>
      <c r="B167" s="642">
        <v>95.587400000000002</v>
      </c>
    </row>
    <row r="168" spans="1:2" x14ac:dyDescent="0.2">
      <c r="A168" s="642" t="s">
        <v>190</v>
      </c>
      <c r="B168" s="642">
        <v>79.8827</v>
      </c>
    </row>
    <row r="169" spans="1:2" x14ac:dyDescent="0.2">
      <c r="A169" s="642" t="s">
        <v>191</v>
      </c>
      <c r="B169" s="642">
        <v>66.428299999999993</v>
      </c>
    </row>
    <row r="170" spans="1:2" x14ac:dyDescent="0.2">
      <c r="A170" s="642" t="s">
        <v>192</v>
      </c>
      <c r="B170" s="642">
        <v>55.458500000000001</v>
      </c>
    </row>
    <row r="171" spans="1:2" x14ac:dyDescent="0.2">
      <c r="A171" s="642" t="s">
        <v>193</v>
      </c>
      <c r="B171" s="642">
        <v>46.598300000000002</v>
      </c>
    </row>
    <row r="172" spans="1:2" x14ac:dyDescent="0.2">
      <c r="A172" s="642" t="s">
        <v>194</v>
      </c>
      <c r="B172" s="642">
        <v>39.191299999999998</v>
      </c>
    </row>
    <row r="173" spans="1:2" x14ac:dyDescent="0.2">
      <c r="A173" s="642" t="s">
        <v>195</v>
      </c>
      <c r="B173" s="642">
        <v>32.721899999999998</v>
      </c>
    </row>
    <row r="174" spans="1:2" x14ac:dyDescent="0.2">
      <c r="A174" s="642" t="s">
        <v>196</v>
      </c>
      <c r="B174" s="642">
        <v>27.8933</v>
      </c>
    </row>
    <row r="175" spans="1:2" x14ac:dyDescent="0.2">
      <c r="A175" s="642" t="s">
        <v>197</v>
      </c>
      <c r="B175" s="642">
        <v>22.127099999999999</v>
      </c>
    </row>
    <row r="176" spans="1:2" x14ac:dyDescent="0.2">
      <c r="A176" s="642" t="s">
        <v>198</v>
      </c>
      <c r="B176" s="642">
        <v>7.3132099999999998</v>
      </c>
    </row>
    <row r="177" spans="1:2" x14ac:dyDescent="0.2">
      <c r="A177" s="642" t="s">
        <v>199</v>
      </c>
      <c r="B177" s="642">
        <v>1.5001500000000001</v>
      </c>
    </row>
    <row r="178" spans="1:2" x14ac:dyDescent="0.2">
      <c r="A178" s="642" t="s">
        <v>200</v>
      </c>
      <c r="B178" s="642">
        <v>0.14063899999999999</v>
      </c>
    </row>
    <row r="179" spans="1:2" x14ac:dyDescent="0.2">
      <c r="A179" s="642" t="s">
        <v>201</v>
      </c>
      <c r="B179" s="642">
        <v>0.14063899999999999</v>
      </c>
    </row>
    <row r="180" spans="1:2" x14ac:dyDescent="0.2">
      <c r="A180" s="642" t="s">
        <v>202</v>
      </c>
      <c r="B180" s="642">
        <v>0.14063899999999999</v>
      </c>
    </row>
    <row r="181" spans="1:2" x14ac:dyDescent="0.2">
      <c r="A181" s="642" t="s">
        <v>203</v>
      </c>
      <c r="B181" s="642">
        <v>10669.7</v>
      </c>
    </row>
    <row r="182" spans="1:2" x14ac:dyDescent="0.2">
      <c r="A182" s="642" t="s">
        <v>204</v>
      </c>
      <c r="B182" s="642">
        <v>6941.17</v>
      </c>
    </row>
    <row r="183" spans="1:2" x14ac:dyDescent="0.2">
      <c r="A183" s="642" t="s">
        <v>205</v>
      </c>
      <c r="B183" s="642">
        <v>4657.53</v>
      </c>
    </row>
    <row r="184" spans="1:2" x14ac:dyDescent="0.2">
      <c r="A184" s="642" t="s">
        <v>206</v>
      </c>
      <c r="B184" s="642">
        <v>3240.5</v>
      </c>
    </row>
    <row r="185" spans="1:2" x14ac:dyDescent="0.2">
      <c r="A185" s="642" t="s">
        <v>207</v>
      </c>
      <c r="B185" s="642">
        <v>2230.4299999999998</v>
      </c>
    </row>
    <row r="186" spans="1:2" x14ac:dyDescent="0.2">
      <c r="A186" s="642" t="s">
        <v>208</v>
      </c>
      <c r="B186" s="642">
        <v>1529.49</v>
      </c>
    </row>
    <row r="187" spans="1:2" x14ac:dyDescent="0.2">
      <c r="A187" s="642" t="s">
        <v>209</v>
      </c>
      <c r="B187" s="642">
        <v>1090.6500000000001</v>
      </c>
    </row>
    <row r="188" spans="1:2" x14ac:dyDescent="0.2">
      <c r="A188" s="642" t="s">
        <v>210</v>
      </c>
      <c r="B188" s="642">
        <v>794.37400000000002</v>
      </c>
    </row>
    <row r="189" spans="1:2" x14ac:dyDescent="0.2">
      <c r="A189" s="642" t="s">
        <v>211</v>
      </c>
      <c r="B189" s="642">
        <v>596.63599999999997</v>
      </c>
    </row>
    <row r="190" spans="1:2" x14ac:dyDescent="0.2">
      <c r="A190" s="642" t="s">
        <v>212</v>
      </c>
      <c r="B190" s="642">
        <v>464.904</v>
      </c>
    </row>
    <row r="191" spans="1:2" x14ac:dyDescent="0.2">
      <c r="A191" s="642" t="s">
        <v>213</v>
      </c>
      <c r="B191" s="642">
        <v>370.95800000000003</v>
      </c>
    </row>
    <row r="192" spans="1:2" x14ac:dyDescent="0.2">
      <c r="A192" s="642" t="s">
        <v>214</v>
      </c>
      <c r="B192" s="642">
        <v>304.154</v>
      </c>
    </row>
    <row r="193" spans="1:2" x14ac:dyDescent="0.2">
      <c r="A193" s="642" t="s">
        <v>215</v>
      </c>
      <c r="B193" s="642">
        <v>256.52499999999998</v>
      </c>
    </row>
    <row r="194" spans="1:2" x14ac:dyDescent="0.2">
      <c r="A194" s="642" t="s">
        <v>216</v>
      </c>
      <c r="B194" s="642">
        <v>217.05199999999999</v>
      </c>
    </row>
    <row r="195" spans="1:2" x14ac:dyDescent="0.2">
      <c r="A195" s="642" t="s">
        <v>217</v>
      </c>
      <c r="B195" s="642">
        <v>185.315</v>
      </c>
    </row>
    <row r="196" spans="1:2" x14ac:dyDescent="0.2">
      <c r="A196" s="642" t="s">
        <v>218</v>
      </c>
      <c r="B196" s="642">
        <v>157.93700000000001</v>
      </c>
    </row>
    <row r="197" spans="1:2" x14ac:dyDescent="0.2">
      <c r="A197" s="642" t="s">
        <v>219</v>
      </c>
      <c r="B197" s="642">
        <v>134.87200000000001</v>
      </c>
    </row>
    <row r="198" spans="1:2" x14ac:dyDescent="0.2">
      <c r="A198" s="642" t="s">
        <v>220</v>
      </c>
      <c r="B198" s="642">
        <v>112.839</v>
      </c>
    </row>
    <row r="199" spans="1:2" x14ac:dyDescent="0.2">
      <c r="A199" s="642" t="s">
        <v>221</v>
      </c>
      <c r="B199" s="642">
        <v>95.587400000000002</v>
      </c>
    </row>
    <row r="200" spans="1:2" x14ac:dyDescent="0.2">
      <c r="A200" s="642" t="s">
        <v>222</v>
      </c>
      <c r="B200" s="642">
        <v>79.8827</v>
      </c>
    </row>
    <row r="201" spans="1:2" x14ac:dyDescent="0.2">
      <c r="A201" s="642" t="s">
        <v>223</v>
      </c>
      <c r="B201" s="642">
        <v>66.428299999999993</v>
      </c>
    </row>
    <row r="202" spans="1:2" x14ac:dyDescent="0.2">
      <c r="A202" s="642" t="s">
        <v>224</v>
      </c>
      <c r="B202" s="642">
        <v>55.458500000000001</v>
      </c>
    </row>
    <row r="203" spans="1:2" x14ac:dyDescent="0.2">
      <c r="A203" s="642" t="s">
        <v>225</v>
      </c>
      <c r="B203" s="642">
        <v>46.598300000000002</v>
      </c>
    </row>
    <row r="204" spans="1:2" x14ac:dyDescent="0.2">
      <c r="A204" s="642" t="s">
        <v>226</v>
      </c>
      <c r="B204" s="642">
        <v>39.191299999999998</v>
      </c>
    </row>
    <row r="205" spans="1:2" x14ac:dyDescent="0.2">
      <c r="A205" s="642" t="s">
        <v>227</v>
      </c>
      <c r="B205" s="642">
        <v>32.721899999999998</v>
      </c>
    </row>
    <row r="206" spans="1:2" x14ac:dyDescent="0.2">
      <c r="A206" s="642" t="s">
        <v>228</v>
      </c>
      <c r="B206" s="642">
        <v>27.8933</v>
      </c>
    </row>
    <row r="207" spans="1:2" x14ac:dyDescent="0.2">
      <c r="A207" s="642" t="s">
        <v>229</v>
      </c>
      <c r="B207" s="642">
        <v>22.127099999999999</v>
      </c>
    </row>
    <row r="208" spans="1:2" x14ac:dyDescent="0.2">
      <c r="A208" s="642" t="s">
        <v>230</v>
      </c>
      <c r="B208" s="642">
        <v>7.3132099999999998</v>
      </c>
    </row>
    <row r="209" spans="1:2" x14ac:dyDescent="0.2">
      <c r="A209" s="642" t="s">
        <v>231</v>
      </c>
      <c r="B209" s="642">
        <v>1.5001500000000001</v>
      </c>
    </row>
    <row r="210" spans="1:2" x14ac:dyDescent="0.2">
      <c r="A210" s="642" t="s">
        <v>232</v>
      </c>
      <c r="B210" s="642">
        <v>0.14063899999999999</v>
      </c>
    </row>
    <row r="211" spans="1:2" x14ac:dyDescent="0.2">
      <c r="A211" s="642" t="s">
        <v>233</v>
      </c>
      <c r="B211" s="642">
        <v>0.14063899999999999</v>
      </c>
    </row>
    <row r="212" spans="1:2" x14ac:dyDescent="0.2">
      <c r="A212" s="642" t="s">
        <v>234</v>
      </c>
      <c r="B212" s="642">
        <v>0.14063899999999999</v>
      </c>
    </row>
    <row r="213" spans="1:2" x14ac:dyDescent="0.2">
      <c r="A213" s="642" t="s">
        <v>235</v>
      </c>
      <c r="B213" s="642">
        <v>10669.7</v>
      </c>
    </row>
    <row r="214" spans="1:2" x14ac:dyDescent="0.2">
      <c r="A214" s="642" t="s">
        <v>236</v>
      </c>
      <c r="B214" s="642">
        <v>6941.17</v>
      </c>
    </row>
    <row r="215" spans="1:2" x14ac:dyDescent="0.2">
      <c r="A215" s="642" t="s">
        <v>237</v>
      </c>
      <c r="B215" s="642">
        <v>4657.53</v>
      </c>
    </row>
    <row r="216" spans="1:2" x14ac:dyDescent="0.2">
      <c r="A216" s="642" t="s">
        <v>238</v>
      </c>
      <c r="B216" s="642">
        <v>3240.5</v>
      </c>
    </row>
    <row r="217" spans="1:2" x14ac:dyDescent="0.2">
      <c r="A217" s="642" t="s">
        <v>239</v>
      </c>
      <c r="B217" s="642">
        <v>2230.4299999999998</v>
      </c>
    </row>
    <row r="218" spans="1:2" x14ac:dyDescent="0.2">
      <c r="A218" s="642" t="s">
        <v>240</v>
      </c>
      <c r="B218" s="642">
        <v>1529.49</v>
      </c>
    </row>
    <row r="219" spans="1:2" x14ac:dyDescent="0.2">
      <c r="A219" s="642" t="s">
        <v>241</v>
      </c>
      <c r="B219" s="642">
        <v>1090.6500000000001</v>
      </c>
    </row>
    <row r="220" spans="1:2" x14ac:dyDescent="0.2">
      <c r="A220" s="642" t="s">
        <v>242</v>
      </c>
      <c r="B220" s="642">
        <v>794.37400000000002</v>
      </c>
    </row>
    <row r="221" spans="1:2" x14ac:dyDescent="0.2">
      <c r="A221" s="642" t="s">
        <v>243</v>
      </c>
      <c r="B221" s="642">
        <v>596.63599999999997</v>
      </c>
    </row>
    <row r="222" spans="1:2" x14ac:dyDescent="0.2">
      <c r="A222" s="642" t="s">
        <v>244</v>
      </c>
      <c r="B222" s="642">
        <v>464.904</v>
      </c>
    </row>
    <row r="223" spans="1:2" x14ac:dyDescent="0.2">
      <c r="A223" s="642" t="s">
        <v>245</v>
      </c>
      <c r="B223" s="642">
        <v>370.95800000000003</v>
      </c>
    </row>
    <row r="224" spans="1:2" x14ac:dyDescent="0.2">
      <c r="A224" s="642" t="s">
        <v>246</v>
      </c>
      <c r="B224" s="642">
        <v>304.154</v>
      </c>
    </row>
    <row r="225" spans="1:2" x14ac:dyDescent="0.2">
      <c r="A225" s="642" t="s">
        <v>247</v>
      </c>
      <c r="B225" s="642">
        <v>256.52499999999998</v>
      </c>
    </row>
    <row r="226" spans="1:2" x14ac:dyDescent="0.2">
      <c r="A226" s="642" t="s">
        <v>248</v>
      </c>
      <c r="B226" s="642">
        <v>217.05199999999999</v>
      </c>
    </row>
    <row r="227" spans="1:2" x14ac:dyDescent="0.2">
      <c r="A227" s="642" t="s">
        <v>249</v>
      </c>
      <c r="B227" s="642">
        <v>185.315</v>
      </c>
    </row>
    <row r="228" spans="1:2" x14ac:dyDescent="0.2">
      <c r="A228" s="642" t="s">
        <v>250</v>
      </c>
      <c r="B228" s="642">
        <v>157.93700000000001</v>
      </c>
    </row>
    <row r="229" spans="1:2" x14ac:dyDescent="0.2">
      <c r="A229" s="642" t="s">
        <v>251</v>
      </c>
      <c r="B229" s="642">
        <v>134.87200000000001</v>
      </c>
    </row>
    <row r="230" spans="1:2" x14ac:dyDescent="0.2">
      <c r="A230" s="642" t="s">
        <v>252</v>
      </c>
      <c r="B230" s="642">
        <v>112.839</v>
      </c>
    </row>
    <row r="231" spans="1:2" x14ac:dyDescent="0.2">
      <c r="A231" s="642" t="s">
        <v>253</v>
      </c>
      <c r="B231" s="642">
        <v>95.587400000000002</v>
      </c>
    </row>
    <row r="232" spans="1:2" x14ac:dyDescent="0.2">
      <c r="A232" s="642" t="s">
        <v>254</v>
      </c>
      <c r="B232" s="642">
        <v>79.8827</v>
      </c>
    </row>
    <row r="233" spans="1:2" x14ac:dyDescent="0.2">
      <c r="A233" s="642" t="s">
        <v>255</v>
      </c>
      <c r="B233" s="642">
        <v>66.428299999999993</v>
      </c>
    </row>
    <row r="234" spans="1:2" x14ac:dyDescent="0.2">
      <c r="A234" s="642" t="s">
        <v>256</v>
      </c>
      <c r="B234" s="642">
        <v>55.458500000000001</v>
      </c>
    </row>
    <row r="235" spans="1:2" x14ac:dyDescent="0.2">
      <c r="A235" s="642" t="s">
        <v>257</v>
      </c>
      <c r="B235" s="642">
        <v>46.598300000000002</v>
      </c>
    </row>
    <row r="236" spans="1:2" x14ac:dyDescent="0.2">
      <c r="A236" s="642" t="s">
        <v>258</v>
      </c>
      <c r="B236" s="642">
        <v>39.191299999999998</v>
      </c>
    </row>
    <row r="237" spans="1:2" x14ac:dyDescent="0.2">
      <c r="A237" s="642" t="s">
        <v>259</v>
      </c>
      <c r="B237" s="642">
        <v>32.721899999999998</v>
      </c>
    </row>
    <row r="238" spans="1:2" x14ac:dyDescent="0.2">
      <c r="A238" s="642" t="s">
        <v>260</v>
      </c>
      <c r="B238" s="642">
        <v>27.8933</v>
      </c>
    </row>
    <row r="239" spans="1:2" x14ac:dyDescent="0.2">
      <c r="A239" s="642" t="s">
        <v>261</v>
      </c>
      <c r="B239" s="642">
        <v>22.127099999999999</v>
      </c>
    </row>
    <row r="240" spans="1:2" x14ac:dyDescent="0.2">
      <c r="A240" s="642" t="s">
        <v>262</v>
      </c>
      <c r="B240" s="642">
        <v>7.3132099999999998</v>
      </c>
    </row>
    <row r="241" spans="1:2" x14ac:dyDescent="0.2">
      <c r="A241" s="642" t="s">
        <v>263</v>
      </c>
      <c r="B241" s="642">
        <v>1.5001500000000001</v>
      </c>
    </row>
    <row r="242" spans="1:2" x14ac:dyDescent="0.2">
      <c r="A242" s="642" t="s">
        <v>264</v>
      </c>
      <c r="B242" s="642">
        <v>0.14063899999999999</v>
      </c>
    </row>
    <row r="243" spans="1:2" x14ac:dyDescent="0.2">
      <c r="A243" s="642" t="s">
        <v>265</v>
      </c>
      <c r="B243" s="642">
        <v>0.14063899999999999</v>
      </c>
    </row>
    <row r="244" spans="1:2" x14ac:dyDescent="0.2">
      <c r="A244" s="642" t="s">
        <v>266</v>
      </c>
      <c r="B244" s="642">
        <v>0.14063899999999999</v>
      </c>
    </row>
    <row r="245" spans="1:2" x14ac:dyDescent="0.2">
      <c r="A245" s="642" t="s">
        <v>267</v>
      </c>
      <c r="B245" s="642">
        <v>10563.4</v>
      </c>
    </row>
    <row r="246" spans="1:2" x14ac:dyDescent="0.2">
      <c r="A246" s="642" t="s">
        <v>268</v>
      </c>
      <c r="B246" s="642">
        <v>6899.8</v>
      </c>
    </row>
    <row r="247" spans="1:2" x14ac:dyDescent="0.2">
      <c r="A247" s="642" t="s">
        <v>269</v>
      </c>
      <c r="B247" s="642">
        <v>4593.5</v>
      </c>
    </row>
    <row r="248" spans="1:2" x14ac:dyDescent="0.2">
      <c r="A248" s="642" t="s">
        <v>270</v>
      </c>
      <c r="B248" s="642">
        <v>3202.3</v>
      </c>
    </row>
    <row r="249" spans="1:2" x14ac:dyDescent="0.2">
      <c r="A249" s="642" t="s">
        <v>271</v>
      </c>
      <c r="B249" s="642">
        <v>2184.8000000000002</v>
      </c>
    </row>
    <row r="250" spans="1:2" x14ac:dyDescent="0.2">
      <c r="A250" s="642" t="s">
        <v>272</v>
      </c>
      <c r="B250" s="642">
        <v>1501.7</v>
      </c>
    </row>
    <row r="251" spans="1:2" x14ac:dyDescent="0.2">
      <c r="A251" s="642" t="s">
        <v>273</v>
      </c>
      <c r="B251" s="642">
        <v>1069.5</v>
      </c>
    </row>
    <row r="252" spans="1:2" x14ac:dyDescent="0.2">
      <c r="A252" s="642" t="s">
        <v>274</v>
      </c>
      <c r="B252" s="642">
        <v>779</v>
      </c>
    </row>
    <row r="253" spans="1:2" x14ac:dyDescent="0.2">
      <c r="A253" s="642" t="s">
        <v>275</v>
      </c>
      <c r="B253" s="642">
        <v>583.4</v>
      </c>
    </row>
    <row r="254" spans="1:2" x14ac:dyDescent="0.2">
      <c r="A254" s="642" t="s">
        <v>276</v>
      </c>
      <c r="B254" s="642">
        <v>453.2</v>
      </c>
    </row>
    <row r="255" spans="1:2" x14ac:dyDescent="0.2">
      <c r="A255" s="642" t="s">
        <v>277</v>
      </c>
      <c r="B255" s="642">
        <v>364.1</v>
      </c>
    </row>
    <row r="256" spans="1:2" x14ac:dyDescent="0.2">
      <c r="A256" s="642" t="s">
        <v>278</v>
      </c>
      <c r="B256" s="642">
        <v>296.89999999999998</v>
      </c>
    </row>
    <row r="257" spans="1:2" x14ac:dyDescent="0.2">
      <c r="A257" s="642" t="s">
        <v>279</v>
      </c>
      <c r="B257" s="642">
        <v>246.4</v>
      </c>
    </row>
    <row r="258" spans="1:2" x14ac:dyDescent="0.2">
      <c r="A258" s="642" t="s">
        <v>280</v>
      </c>
      <c r="B258" s="642">
        <v>208.5</v>
      </c>
    </row>
    <row r="259" spans="1:2" x14ac:dyDescent="0.2">
      <c r="A259" s="642" t="s">
        <v>281</v>
      </c>
      <c r="B259" s="642">
        <v>178.7</v>
      </c>
    </row>
    <row r="260" spans="1:2" x14ac:dyDescent="0.2">
      <c r="A260" s="642" t="s">
        <v>282</v>
      </c>
      <c r="B260" s="642">
        <v>153.30000000000001</v>
      </c>
    </row>
    <row r="261" spans="1:2" x14ac:dyDescent="0.2">
      <c r="A261" s="642" t="s">
        <v>283</v>
      </c>
      <c r="B261" s="642">
        <v>130.4</v>
      </c>
    </row>
    <row r="262" spans="1:2" x14ac:dyDescent="0.2">
      <c r="A262" s="642" t="s">
        <v>284</v>
      </c>
      <c r="B262" s="642">
        <v>109.4</v>
      </c>
    </row>
    <row r="263" spans="1:2" x14ac:dyDescent="0.2">
      <c r="A263" s="642" t="s">
        <v>285</v>
      </c>
      <c r="B263" s="642">
        <v>91.3</v>
      </c>
    </row>
    <row r="264" spans="1:2" x14ac:dyDescent="0.2">
      <c r="A264" s="642" t="s">
        <v>286</v>
      </c>
      <c r="B264" s="642">
        <v>76.099999999999994</v>
      </c>
    </row>
    <row r="265" spans="1:2" x14ac:dyDescent="0.2">
      <c r="A265" s="642" t="s">
        <v>287</v>
      </c>
      <c r="B265" s="642">
        <v>63.1</v>
      </c>
    </row>
    <row r="266" spans="1:2" x14ac:dyDescent="0.2">
      <c r="A266" s="642" t="s">
        <v>288</v>
      </c>
      <c r="B266" s="642">
        <v>52.1</v>
      </c>
    </row>
    <row r="267" spans="1:2" x14ac:dyDescent="0.2">
      <c r="A267" s="642" t="s">
        <v>289</v>
      </c>
      <c r="B267" s="642">
        <v>43</v>
      </c>
    </row>
    <row r="268" spans="1:2" x14ac:dyDescent="0.2">
      <c r="A268" s="642" t="s">
        <v>290</v>
      </c>
      <c r="B268" s="642">
        <v>35.700000000000003</v>
      </c>
    </row>
    <row r="269" spans="1:2" x14ac:dyDescent="0.2">
      <c r="A269" s="642" t="s">
        <v>291</v>
      </c>
      <c r="B269" s="642">
        <v>29.8</v>
      </c>
    </row>
    <row r="270" spans="1:2" x14ac:dyDescent="0.2">
      <c r="A270" s="642" t="s">
        <v>292</v>
      </c>
      <c r="B270" s="642">
        <v>25.2</v>
      </c>
    </row>
    <row r="271" spans="1:2" x14ac:dyDescent="0.2">
      <c r="A271" s="642" t="s">
        <v>293</v>
      </c>
      <c r="B271" s="642">
        <v>21.1</v>
      </c>
    </row>
    <row r="272" spans="1:2" x14ac:dyDescent="0.2">
      <c r="A272" s="642" t="s">
        <v>294</v>
      </c>
      <c r="B272" s="642">
        <v>6.11721</v>
      </c>
    </row>
    <row r="273" spans="1:2" x14ac:dyDescent="0.2">
      <c r="A273" s="642" t="s">
        <v>295</v>
      </c>
      <c r="B273" s="642">
        <v>1.45303</v>
      </c>
    </row>
    <row r="274" spans="1:2" x14ac:dyDescent="0.2">
      <c r="A274" s="642" t="s">
        <v>296</v>
      </c>
      <c r="B274" s="642">
        <v>0.24939</v>
      </c>
    </row>
    <row r="275" spans="1:2" x14ac:dyDescent="0.2">
      <c r="A275" s="642" t="s">
        <v>297</v>
      </c>
      <c r="B275" s="642">
        <v>0.24939</v>
      </c>
    </row>
    <row r="276" spans="1:2" x14ac:dyDescent="0.2">
      <c r="A276" s="642" t="s">
        <v>298</v>
      </c>
      <c r="B276" s="642">
        <v>0.24939</v>
      </c>
    </row>
    <row r="277" spans="1:2" x14ac:dyDescent="0.2">
      <c r="A277" s="642" t="s">
        <v>299</v>
      </c>
      <c r="B277" s="642"/>
    </row>
    <row r="278" spans="1:2" x14ac:dyDescent="0.2">
      <c r="A278" s="642" t="s">
        <v>300</v>
      </c>
      <c r="B278" s="642">
        <v>29</v>
      </c>
    </row>
    <row r="279" spans="1:2" x14ac:dyDescent="0.2">
      <c r="A279" s="642" t="s">
        <v>301</v>
      </c>
      <c r="B279" s="642">
        <v>298</v>
      </c>
    </row>
    <row r="280" spans="1:2" x14ac:dyDescent="0.2">
      <c r="A280" s="642" t="s">
        <v>302</v>
      </c>
      <c r="B280" s="642">
        <v>13504</v>
      </c>
    </row>
    <row r="281" spans="1:2" x14ac:dyDescent="0.2">
      <c r="A281" s="643" t="s">
        <v>303</v>
      </c>
      <c r="B281" s="642">
        <v>32</v>
      </c>
    </row>
    <row r="282" spans="1:2" x14ac:dyDescent="0.2">
      <c r="A282" s="642" t="s">
        <v>304</v>
      </c>
      <c r="B282" s="642"/>
    </row>
    <row r="283" spans="1:2" x14ac:dyDescent="0.2">
      <c r="A283" s="643" t="s">
        <v>305</v>
      </c>
      <c r="B283" s="642">
        <v>46191.5</v>
      </c>
    </row>
    <row r="284" spans="1:2" x14ac:dyDescent="0.2">
      <c r="A284" s="642" t="s">
        <v>306</v>
      </c>
      <c r="B284" s="642">
        <v>-1</v>
      </c>
    </row>
    <row r="285" spans="1:2" x14ac:dyDescent="0.2">
      <c r="A285" s="642" t="s">
        <v>307</v>
      </c>
      <c r="B285" s="642"/>
    </row>
    <row r="286" spans="1:2" x14ac:dyDescent="0.2">
      <c r="A286" s="642" t="s">
        <v>308</v>
      </c>
      <c r="B286" s="642">
        <v>0</v>
      </c>
    </row>
    <row r="287" spans="1:2" x14ac:dyDescent="0.2">
      <c r="A287" s="642" t="s">
        <v>309</v>
      </c>
      <c r="B287" s="642">
        <v>0</v>
      </c>
    </row>
    <row r="288" spans="1:2" x14ac:dyDescent="0.2">
      <c r="A288" s="642" t="s">
        <v>310</v>
      </c>
      <c r="B288" s="642">
        <v>16</v>
      </c>
    </row>
    <row r="289" spans="1:2" x14ac:dyDescent="0.2">
      <c r="A289" s="642" t="s">
        <v>311</v>
      </c>
      <c r="B289" s="642">
        <v>0</v>
      </c>
    </row>
    <row r="290" spans="1:2" x14ac:dyDescent="0.2">
      <c r="A290" s="642" t="s">
        <v>312</v>
      </c>
      <c r="B290" s="642">
        <v>0</v>
      </c>
    </row>
    <row r="291" spans="1:2" x14ac:dyDescent="0.2">
      <c r="A291" s="642" t="s">
        <v>313</v>
      </c>
      <c r="B291" s="642">
        <v>0</v>
      </c>
    </row>
    <row r="292" spans="1:2" x14ac:dyDescent="0.2">
      <c r="A292" s="642" t="s">
        <v>314</v>
      </c>
      <c r="B292" s="642">
        <v>0</v>
      </c>
    </row>
    <row r="293" spans="1:2" x14ac:dyDescent="0.2">
      <c r="A293" s="642" t="s">
        <v>315</v>
      </c>
      <c r="B293" s="642">
        <v>16</v>
      </c>
    </row>
    <row r="294" spans="1:2" x14ac:dyDescent="0.2">
      <c r="A294" s="642" t="s">
        <v>316</v>
      </c>
      <c r="B294" s="642">
        <v>0</v>
      </c>
    </row>
    <row r="295" spans="1:2" x14ac:dyDescent="0.2">
      <c r="A295" s="642" t="s">
        <v>317</v>
      </c>
      <c r="B295" s="642">
        <v>0</v>
      </c>
    </row>
    <row r="296" spans="1:2" x14ac:dyDescent="0.2">
      <c r="A296" s="642" t="s">
        <v>318</v>
      </c>
      <c r="B296" s="642" t="s">
        <v>1048</v>
      </c>
    </row>
    <row r="297" spans="1:2" x14ac:dyDescent="0.2">
      <c r="A297" s="642" t="s">
        <v>319</v>
      </c>
      <c r="B297" s="64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2" sqref="R12"/>
    </sheetView>
  </sheetViews>
  <sheetFormatPr defaultColWidth="10.85546875" defaultRowHeight="15" customHeight="1" x14ac:dyDescent="0.2"/>
  <cols>
    <col min="1" max="1" width="8.7109375" style="202" customWidth="1"/>
    <col min="2" max="2" width="13" style="188" customWidth="1"/>
    <col min="3" max="3" width="64.140625" style="188" customWidth="1"/>
    <col min="4" max="4" width="38.5703125" customWidth="1"/>
    <col min="5" max="5" width="4" bestFit="1" customWidth="1"/>
    <col min="6" max="6" width="5.7109375" bestFit="1" customWidth="1"/>
    <col min="7" max="7" width="4.140625" customWidth="1"/>
    <col min="8" max="8" width="7.28515625" customWidth="1"/>
    <col min="9" max="9" width="3.140625" customWidth="1"/>
    <col min="10" max="10" width="6.140625" bestFit="1" customWidth="1"/>
    <col min="11" max="11" width="3.85546875" customWidth="1"/>
    <col min="12" max="12" width="5" bestFit="1" customWidth="1"/>
    <col min="13" max="13" width="4.42578125" customWidth="1"/>
    <col min="14" max="14" width="3.5703125" customWidth="1"/>
    <col min="15" max="15" width="4.42578125" customWidth="1"/>
    <col min="16" max="16" width="2" bestFit="1" customWidth="1"/>
    <col min="17" max="17" width="98.42578125" bestFit="1" customWidth="1"/>
    <col min="18" max="18" width="19.85546875" customWidth="1"/>
    <col min="19" max="19" width="6" bestFit="1" customWidth="1"/>
    <col min="20" max="20" width="2.140625" bestFit="1" customWidth="1"/>
    <col min="21" max="21" width="2.7109375" bestFit="1" customWidth="1"/>
    <col min="22" max="23" width="2.140625" bestFit="1" customWidth="1"/>
    <col min="24" max="24" width="31.140625" customWidth="1"/>
    <col min="25" max="25" width="23.28515625" customWidth="1"/>
    <col min="26" max="26" width="24.85546875" customWidth="1"/>
  </cols>
  <sheetData>
    <row r="1" spans="1:24" ht="15" customHeight="1" x14ac:dyDescent="0.2">
      <c r="C1" s="119" t="s">
        <v>320</v>
      </c>
      <c r="D1" s="188"/>
      <c r="E1" s="188"/>
      <c r="F1" s="188"/>
      <c r="G1" s="188"/>
      <c r="H1" s="188"/>
      <c r="I1" s="188"/>
      <c r="J1" s="188"/>
      <c r="K1" s="188"/>
      <c r="L1" s="188"/>
      <c r="M1" s="188"/>
      <c r="N1" s="188"/>
      <c r="O1" s="188"/>
      <c r="P1" s="188"/>
      <c r="Q1" s="188"/>
      <c r="R1" s="105" t="s">
        <v>321</v>
      </c>
    </row>
    <row r="2" spans="1:24" ht="15" customHeight="1" x14ac:dyDescent="0.2">
      <c r="B2" s="119"/>
      <c r="D2" s="188"/>
      <c r="E2" s="188"/>
      <c r="F2" s="188"/>
      <c r="G2" s="188"/>
      <c r="H2" s="188"/>
      <c r="I2" s="188"/>
      <c r="J2" s="188"/>
      <c r="K2" s="188"/>
      <c r="L2" s="188"/>
      <c r="M2" s="188"/>
      <c r="N2" s="188"/>
      <c r="O2" s="188"/>
      <c r="P2" s="188"/>
      <c r="Q2" s="188"/>
      <c r="R2" s="105" t="s">
        <v>322</v>
      </c>
    </row>
    <row r="3" spans="1:24" ht="15" customHeight="1" x14ac:dyDescent="0.25">
      <c r="B3" s="134" t="s">
        <v>323</v>
      </c>
      <c r="C3" s="205" t="s">
        <v>324</v>
      </c>
      <c r="D3" s="206"/>
      <c r="E3" s="206"/>
      <c r="F3" s="206"/>
      <c r="G3" s="206"/>
      <c r="H3" s="206"/>
      <c r="I3" s="206"/>
      <c r="J3" s="206"/>
      <c r="K3" s="206"/>
      <c r="L3" s="206"/>
      <c r="M3" s="206"/>
      <c r="N3" s="206"/>
      <c r="O3" s="206"/>
      <c r="P3" s="206"/>
      <c r="Q3" s="207"/>
      <c r="R3" s="105" t="s">
        <v>325</v>
      </c>
    </row>
    <row r="4" spans="1:24" ht="15" customHeight="1" x14ac:dyDescent="0.2">
      <c r="B4" s="184">
        <v>1</v>
      </c>
      <c r="C4" s="152" t="s">
        <v>326</v>
      </c>
      <c r="D4" s="290" t="s">
        <v>0</v>
      </c>
      <c r="E4" s="291"/>
      <c r="F4" s="292" t="s">
        <v>327</v>
      </c>
      <c r="G4" s="291"/>
      <c r="H4" s="292">
        <v>0</v>
      </c>
      <c r="I4" s="291"/>
      <c r="J4" s="292" t="s">
        <v>328</v>
      </c>
      <c r="K4" s="291"/>
      <c r="L4" s="293">
        <v>0</v>
      </c>
      <c r="M4" s="294"/>
      <c r="N4" s="295">
        <v>0</v>
      </c>
      <c r="O4" s="291"/>
      <c r="P4" s="296">
        <v>3</v>
      </c>
      <c r="Q4" s="208" t="s">
        <v>329</v>
      </c>
      <c r="R4" s="105" t="s">
        <v>330</v>
      </c>
    </row>
    <row r="5" spans="1:24" ht="15" customHeight="1" x14ac:dyDescent="0.2">
      <c r="B5" s="184">
        <f>B4+1</f>
        <v>2</v>
      </c>
      <c r="C5" s="152" t="s">
        <v>331</v>
      </c>
      <c r="D5" s="297">
        <f>'Auto-Calibration record'!H15</f>
        <v>-1</v>
      </c>
      <c r="E5" s="135" t="str">
        <f>IF(D5="20","0",IF(D5="PC","00",""))</f>
        <v/>
      </c>
      <c r="F5" s="139"/>
      <c r="G5" s="203"/>
      <c r="H5" s="139"/>
      <c r="I5" s="203"/>
      <c r="J5" s="139"/>
      <c r="K5" s="138"/>
      <c r="L5" s="209"/>
      <c r="M5" s="138"/>
      <c r="N5" s="138"/>
      <c r="O5" s="138"/>
      <c r="P5" s="138"/>
      <c r="Q5" s="138"/>
      <c r="R5" s="105" t="s">
        <v>332</v>
      </c>
      <c r="S5" s="210" t="s">
        <v>327</v>
      </c>
      <c r="T5" s="210" t="s">
        <v>333</v>
      </c>
      <c r="U5" s="210" t="s">
        <v>328</v>
      </c>
      <c r="V5" s="142">
        <v>1</v>
      </c>
      <c r="W5" s="142">
        <v>0</v>
      </c>
      <c r="X5" s="142">
        <v>1</v>
      </c>
    </row>
    <row r="6" spans="1:24" ht="15" customHeight="1" x14ac:dyDescent="0.2">
      <c r="A6" s="144" t="b">
        <v>0</v>
      </c>
      <c r="B6" s="184">
        <f t="shared" ref="B6:B17" si="0">B5+1</f>
        <v>3</v>
      </c>
      <c r="C6" s="152" t="s">
        <v>334</v>
      </c>
      <c r="D6" s="292"/>
      <c r="E6" s="502" t="s">
        <v>335</v>
      </c>
      <c r="F6" s="503"/>
      <c r="G6" s="503"/>
      <c r="H6" s="503"/>
      <c r="I6" s="503"/>
      <c r="J6" s="503"/>
      <c r="K6" s="503"/>
      <c r="L6" s="503"/>
      <c r="M6" s="503"/>
      <c r="N6" s="503"/>
      <c r="O6" s="503"/>
      <c r="P6" s="503"/>
      <c r="Q6" s="138"/>
      <c r="R6" s="105" t="s">
        <v>336</v>
      </c>
      <c r="S6" s="142">
        <v>0</v>
      </c>
      <c r="T6" s="142">
        <v>0</v>
      </c>
      <c r="U6" s="142" t="s">
        <v>337</v>
      </c>
      <c r="V6" s="142">
        <v>0</v>
      </c>
      <c r="W6" s="142"/>
      <c r="X6" s="142">
        <v>2</v>
      </c>
    </row>
    <row r="7" spans="1:24" ht="15" customHeight="1" x14ac:dyDescent="0.2">
      <c r="A7" s="144" t="b">
        <v>0</v>
      </c>
      <c r="B7" s="184">
        <f t="shared" si="0"/>
        <v>4</v>
      </c>
      <c r="C7" s="211" t="s">
        <v>338</v>
      </c>
      <c r="D7" s="298"/>
      <c r="E7" s="504"/>
      <c r="F7" s="492"/>
      <c r="G7" s="492"/>
      <c r="H7" s="492"/>
      <c r="I7" s="492"/>
      <c r="J7" s="492"/>
      <c r="K7" s="492"/>
      <c r="L7" s="492"/>
      <c r="M7" s="492"/>
      <c r="N7" s="492"/>
      <c r="O7" s="492"/>
      <c r="P7" s="492"/>
      <c r="Q7" s="138" t="str">
        <f>IF(A7=TRUE,"Customer completed online booking process","Please note: Where possible, all recalibrations should be booked online at the supplied booking site")</f>
        <v>Please note: Where possible, all recalibrations should be booked online at the supplied booking site</v>
      </c>
      <c r="R7" s="105" t="s">
        <v>339</v>
      </c>
      <c r="S7" s="142"/>
      <c r="T7" s="142" t="s">
        <v>340</v>
      </c>
      <c r="U7" s="142" t="s">
        <v>341</v>
      </c>
      <c r="V7" s="143"/>
      <c r="W7" s="143"/>
      <c r="X7" s="143">
        <v>3</v>
      </c>
    </row>
    <row r="8" spans="1:24" ht="15" customHeight="1" x14ac:dyDescent="0.2">
      <c r="A8" s="144" t="b">
        <v>0</v>
      </c>
      <c r="B8" s="184">
        <f t="shared" si="0"/>
        <v>5</v>
      </c>
      <c r="C8" s="221" t="s">
        <v>342</v>
      </c>
      <c r="D8" s="298"/>
      <c r="E8" s="505" t="s">
        <v>343</v>
      </c>
      <c r="F8" s="506"/>
      <c r="G8" s="506"/>
      <c r="H8" s="506"/>
      <c r="I8" s="506"/>
      <c r="J8" s="506"/>
      <c r="K8" s="506"/>
      <c r="L8" s="506"/>
      <c r="M8" s="506"/>
      <c r="N8" s="506"/>
      <c r="O8" s="506"/>
      <c r="P8" s="506"/>
      <c r="Q8" s="138" t="str">
        <f>IF(A8=TRUE,"Please note: Accessories supplied with product, ensure return of all (see right)","No accessories present to return to end user")</f>
        <v>No accessories present to return to end user</v>
      </c>
      <c r="R8" s="105" t="s">
        <v>344</v>
      </c>
      <c r="X8" s="218">
        <v>4</v>
      </c>
    </row>
    <row r="9" spans="1:24" ht="15" customHeight="1" x14ac:dyDescent="0.2">
      <c r="A9" s="144" t="b">
        <v>0</v>
      </c>
      <c r="B9" s="184">
        <f t="shared" si="0"/>
        <v>6</v>
      </c>
      <c r="C9" s="211" t="s">
        <v>345</v>
      </c>
      <c r="D9" s="298"/>
      <c r="E9" s="500"/>
      <c r="F9" s="501"/>
      <c r="G9" s="501"/>
      <c r="H9" s="501"/>
      <c r="I9" s="501"/>
      <c r="J9" s="501"/>
      <c r="K9" s="501"/>
      <c r="L9" s="501"/>
      <c r="M9" s="501"/>
      <c r="N9" s="501"/>
      <c r="O9" s="501"/>
      <c r="P9" s="501"/>
      <c r="Q9" s="138" t="str">
        <f>IF(A9&lt;&gt;TRUE,"Relevant COSHH information provided by end user","No COSHH information supplied by end user")</f>
        <v>Relevant COSHH information provided by end user</v>
      </c>
      <c r="R9" s="105" t="s">
        <v>346</v>
      </c>
    </row>
    <row r="10" spans="1:24" ht="15" customHeight="1" x14ac:dyDescent="0.2">
      <c r="A10" s="144" t="b">
        <v>0</v>
      </c>
      <c r="B10" s="184">
        <f t="shared" si="0"/>
        <v>7</v>
      </c>
      <c r="C10" s="152" t="s">
        <v>347</v>
      </c>
      <c r="D10" s="299"/>
      <c r="E10" s="500"/>
      <c r="F10" s="501"/>
      <c r="G10" s="501"/>
      <c r="H10" s="501"/>
      <c r="I10" s="501"/>
      <c r="J10" s="501"/>
      <c r="K10" s="501"/>
      <c r="L10" s="501"/>
      <c r="M10" s="501"/>
      <c r="N10" s="501"/>
      <c r="O10" s="501"/>
      <c r="P10" s="501"/>
      <c r="Q10" s="138"/>
      <c r="R10" s="105" t="s">
        <v>348</v>
      </c>
    </row>
    <row r="11" spans="1:24" ht="15" hidden="1" customHeight="1" x14ac:dyDescent="0.2">
      <c r="A11" s="144" t="b">
        <v>0</v>
      </c>
      <c r="B11" s="184">
        <f t="shared" si="0"/>
        <v>8</v>
      </c>
      <c r="C11" s="152" t="s">
        <v>349</v>
      </c>
      <c r="D11" s="300"/>
      <c r="E11" s="500"/>
      <c r="F11" s="501"/>
      <c r="G11" s="501"/>
      <c r="H11" s="501"/>
      <c r="I11" s="501"/>
      <c r="J11" s="501"/>
      <c r="K11" s="501"/>
      <c r="L11" s="501"/>
      <c r="M11" s="501"/>
      <c r="N11" s="501"/>
      <c r="O11" s="501"/>
      <c r="P11" s="501"/>
      <c r="Q11" s="138"/>
      <c r="R11" s="105" t="s">
        <v>350</v>
      </c>
    </row>
    <row r="12" spans="1:24" ht="15" customHeight="1" x14ac:dyDescent="0.2">
      <c r="A12" s="144" t="b">
        <v>0</v>
      </c>
      <c r="B12" s="184">
        <f>B11+1</f>
        <v>9</v>
      </c>
      <c r="C12" s="152" t="s">
        <v>351</v>
      </c>
      <c r="D12" s="298"/>
      <c r="E12" s="507"/>
      <c r="F12" s="508"/>
      <c r="G12" s="508"/>
      <c r="H12" s="508"/>
      <c r="I12" s="508"/>
      <c r="J12" s="508"/>
      <c r="K12" s="508"/>
      <c r="L12" s="508"/>
      <c r="M12" s="508"/>
      <c r="N12" s="508"/>
      <c r="O12" s="508"/>
      <c r="P12" s="508"/>
      <c r="Q12" s="138" t="str">
        <f>IF(A12=TRUE,"Item is considered warranty, requires QC control on NCR","")</f>
        <v/>
      </c>
      <c r="R12" s="105" t="s">
        <v>352</v>
      </c>
    </row>
    <row r="13" spans="1:24" ht="15" customHeight="1" x14ac:dyDescent="0.2">
      <c r="A13" s="144" t="b">
        <v>0</v>
      </c>
      <c r="B13" s="184">
        <f t="shared" si="0"/>
        <v>10</v>
      </c>
      <c r="C13" s="152" t="s">
        <v>353</v>
      </c>
      <c r="D13" s="301">
        <f>D45-365</f>
        <v>-365</v>
      </c>
      <c r="E13" s="212"/>
      <c r="F13" s="138"/>
      <c r="G13" s="138"/>
      <c r="H13" s="138"/>
      <c r="I13" s="138"/>
      <c r="J13" s="138"/>
      <c r="K13" s="138"/>
      <c r="L13" s="138"/>
      <c r="M13" s="138"/>
      <c r="N13" s="138"/>
      <c r="O13" s="138"/>
      <c r="P13" s="138"/>
      <c r="Q13" s="138"/>
      <c r="R13" s="105"/>
    </row>
    <row r="14" spans="1:24" ht="15" customHeight="1" x14ac:dyDescent="0.2">
      <c r="A14" s="144" t="b">
        <v>0</v>
      </c>
      <c r="B14" s="184">
        <f t="shared" si="0"/>
        <v>11</v>
      </c>
      <c r="C14" s="152" t="s">
        <v>354</v>
      </c>
      <c r="D14" s="302"/>
      <c r="E14" s="486"/>
      <c r="F14" s="486"/>
      <c r="G14" s="486"/>
      <c r="H14" s="486"/>
      <c r="I14" s="486"/>
      <c r="J14" s="486"/>
      <c r="K14" s="486"/>
      <c r="L14" s="486"/>
      <c r="M14" s="486"/>
      <c r="N14" s="486"/>
      <c r="O14" s="486"/>
      <c r="P14" s="486"/>
      <c r="Q14" s="138"/>
    </row>
    <row r="15" spans="1:24" ht="15" customHeight="1" x14ac:dyDescent="0.2">
      <c r="A15" s="144" t="b">
        <v>0</v>
      </c>
      <c r="B15" s="184">
        <f t="shared" si="0"/>
        <v>12</v>
      </c>
      <c r="C15" s="152" t="s">
        <v>355</v>
      </c>
      <c r="D15" s="292"/>
      <c r="E15" s="139"/>
      <c r="F15" s="139"/>
      <c r="G15" s="139"/>
      <c r="H15" s="139"/>
      <c r="I15" s="139"/>
      <c r="J15" s="139"/>
      <c r="K15" s="139"/>
      <c r="L15" s="139"/>
      <c r="M15" s="139"/>
      <c r="N15" s="139"/>
      <c r="O15" s="140"/>
      <c r="P15" s="139"/>
      <c r="Q15" s="138"/>
    </row>
    <row r="16" spans="1:24" ht="15" customHeight="1" x14ac:dyDescent="0.2">
      <c r="A16" s="144" t="b">
        <v>0</v>
      </c>
      <c r="B16" s="184">
        <f t="shared" si="0"/>
        <v>13</v>
      </c>
      <c r="C16" s="152" t="s">
        <v>356</v>
      </c>
      <c r="D16" s="292"/>
      <c r="E16" s="139"/>
      <c r="F16" s="139"/>
      <c r="G16" s="139"/>
      <c r="H16" s="139"/>
      <c r="I16" s="139"/>
      <c r="J16" s="139"/>
      <c r="K16" s="139"/>
      <c r="L16" s="139"/>
      <c r="M16" s="139"/>
      <c r="N16" s="139"/>
      <c r="O16" s="139"/>
      <c r="P16" s="139"/>
      <c r="Q16" s="138"/>
    </row>
    <row r="17" spans="1:23" ht="15" customHeight="1" x14ac:dyDescent="0.2">
      <c r="A17" s="144" t="b">
        <v>0</v>
      </c>
      <c r="B17" s="184">
        <f t="shared" si="0"/>
        <v>14</v>
      </c>
      <c r="C17" s="152" t="s">
        <v>357</v>
      </c>
      <c r="D17" s="303">
        <f>D10+5</f>
        <v>5</v>
      </c>
      <c r="E17" s="139"/>
      <c r="F17" s="139"/>
      <c r="G17" s="139"/>
      <c r="H17" s="139"/>
      <c r="I17" s="139"/>
      <c r="J17" s="139"/>
      <c r="K17" s="139"/>
      <c r="L17" s="139"/>
      <c r="M17" s="139"/>
      <c r="N17" s="139"/>
      <c r="O17" s="139"/>
      <c r="P17" s="139"/>
      <c r="Q17" s="138"/>
      <c r="W17" s="206"/>
    </row>
    <row r="18" spans="1:23" ht="15" customHeight="1" x14ac:dyDescent="0.2">
      <c r="A18" s="144" t="b">
        <v>0</v>
      </c>
      <c r="B18" s="184"/>
      <c r="C18" s="119"/>
      <c r="D18" s="206"/>
      <c r="E18" s="206"/>
      <c r="F18" s="206"/>
      <c r="G18" s="206"/>
      <c r="H18" s="206"/>
      <c r="I18" s="206"/>
      <c r="J18" s="206"/>
      <c r="K18" s="206"/>
      <c r="L18" s="206"/>
      <c r="M18" s="206"/>
      <c r="N18" s="206"/>
      <c r="O18" s="206"/>
      <c r="P18" s="206"/>
      <c r="Q18" s="207"/>
    </row>
    <row r="19" spans="1:23" ht="15" hidden="1" customHeight="1" x14ac:dyDescent="0.2">
      <c r="A19" s="144" t="b">
        <v>0</v>
      </c>
      <c r="B19" s="184"/>
      <c r="C19" s="484" t="s">
        <v>358</v>
      </c>
      <c r="D19" s="484"/>
      <c r="E19" s="484"/>
      <c r="F19" s="484"/>
      <c r="G19" s="484"/>
      <c r="H19" s="484"/>
      <c r="I19" s="484"/>
      <c r="J19" s="484"/>
      <c r="K19" s="484"/>
      <c r="L19" s="484"/>
      <c r="M19" s="484"/>
      <c r="N19" s="484"/>
      <c r="O19" s="206"/>
      <c r="P19" s="206"/>
      <c r="Q19" s="207"/>
    </row>
    <row r="20" spans="1:23" ht="15" hidden="1" customHeight="1" x14ac:dyDescent="0.2">
      <c r="A20" s="144" t="b">
        <v>0</v>
      </c>
      <c r="B20" s="184">
        <f>B17+1</f>
        <v>15</v>
      </c>
      <c r="C20" s="119" t="s">
        <v>359</v>
      </c>
      <c r="D20" s="302"/>
      <c r="E20" s="206"/>
      <c r="F20" s="206"/>
      <c r="G20" s="206"/>
      <c r="H20" s="206"/>
      <c r="I20" s="206"/>
      <c r="J20" s="206"/>
      <c r="K20" s="206"/>
      <c r="L20" s="206"/>
      <c r="M20" s="206"/>
      <c r="N20" s="206"/>
      <c r="O20" s="206"/>
      <c r="P20" s="206"/>
      <c r="Q20" s="138" t="str">
        <f>IF(A20=TRUE,"Carry bag, ","")</f>
        <v/>
      </c>
    </row>
    <row r="21" spans="1:23" ht="15" hidden="1" customHeight="1" x14ac:dyDescent="0.2">
      <c r="A21" s="144" t="b">
        <v>0</v>
      </c>
      <c r="B21" s="184">
        <f t="shared" ref="B21:B198" si="1">B20+1</f>
        <v>16</v>
      </c>
      <c r="C21" s="119" t="s">
        <v>360</v>
      </c>
      <c r="D21" s="302"/>
      <c r="E21" s="206"/>
      <c r="F21" s="206"/>
      <c r="G21" s="206"/>
      <c r="H21" s="206"/>
      <c r="I21" s="206"/>
      <c r="J21" s="206"/>
      <c r="K21" s="206"/>
      <c r="L21" s="206"/>
      <c r="M21" s="206"/>
      <c r="N21" s="206"/>
      <c r="O21" s="206"/>
      <c r="P21" s="206"/>
      <c r="Q21" s="138" t="str">
        <f>IF(A21=TRUE,"Waste bottle, ","")</f>
        <v/>
      </c>
    </row>
    <row r="22" spans="1:23" ht="15" hidden="1" customHeight="1" x14ac:dyDescent="0.2">
      <c r="A22" s="144" t="b">
        <v>0</v>
      </c>
      <c r="B22" s="184">
        <f t="shared" si="1"/>
        <v>17</v>
      </c>
      <c r="C22" s="119" t="s">
        <v>361</v>
      </c>
      <c r="D22" s="302"/>
      <c r="E22" s="206"/>
      <c r="F22" s="206"/>
      <c r="G22" s="206"/>
      <c r="H22" s="206"/>
      <c r="I22" s="206"/>
      <c r="J22" s="206"/>
      <c r="K22" s="206"/>
      <c r="L22" s="206"/>
      <c r="M22" s="206"/>
      <c r="N22" s="206"/>
      <c r="O22" s="206"/>
      <c r="P22" s="206"/>
      <c r="Q22" s="138" t="str">
        <f>IF(A22=TRUE,"1500mm pressure hose, ","")</f>
        <v/>
      </c>
    </row>
    <row r="23" spans="1:23" ht="15" hidden="1" customHeight="1" x14ac:dyDescent="0.2">
      <c r="A23" s="144" t="b">
        <v>0</v>
      </c>
      <c r="B23" s="184">
        <f t="shared" si="1"/>
        <v>18</v>
      </c>
      <c r="C23" s="119" t="s">
        <v>362</v>
      </c>
      <c r="D23" s="302"/>
      <c r="E23" s="206"/>
      <c r="F23" s="206"/>
      <c r="G23" s="206"/>
      <c r="H23" s="206"/>
      <c r="I23" s="206"/>
      <c r="J23" s="206"/>
      <c r="K23" s="206"/>
      <c r="L23" s="206"/>
      <c r="M23" s="206"/>
      <c r="N23" s="206"/>
      <c r="O23" s="206"/>
      <c r="P23" s="206"/>
      <c r="Q23" s="138" t="str">
        <f>IF(A23=TRUE,"600mm pressure hose, ","")</f>
        <v/>
      </c>
    </row>
    <row r="24" spans="1:23" ht="15" hidden="1" customHeight="1" x14ac:dyDescent="0.2">
      <c r="A24" s="144" t="b">
        <v>0</v>
      </c>
      <c r="B24" s="184">
        <f t="shared" si="1"/>
        <v>19</v>
      </c>
      <c r="C24" s="119" t="s">
        <v>363</v>
      </c>
      <c r="D24" s="302"/>
      <c r="E24" s="206"/>
      <c r="F24" s="206"/>
      <c r="G24" s="206"/>
      <c r="H24" s="206"/>
      <c r="I24" s="206"/>
      <c r="J24" s="206"/>
      <c r="K24" s="206"/>
      <c r="L24" s="206"/>
      <c r="M24" s="206"/>
      <c r="N24" s="206"/>
      <c r="O24" s="206"/>
      <c r="P24" s="206"/>
      <c r="Q24" s="138" t="str">
        <f>IF(A24=TRUE,"Waste hose, ","")</f>
        <v/>
      </c>
    </row>
    <row r="25" spans="1:23" ht="15" hidden="1" customHeight="1" x14ac:dyDescent="0.2">
      <c r="A25" s="144" t="b">
        <v>0</v>
      </c>
      <c r="B25" s="184">
        <f t="shared" si="1"/>
        <v>20</v>
      </c>
      <c r="C25" s="119" t="s">
        <v>364</v>
      </c>
      <c r="D25" s="302"/>
      <c r="E25" s="213" t="s">
        <v>365</v>
      </c>
      <c r="F25" s="141"/>
      <c r="G25" s="206"/>
      <c r="H25" s="206"/>
      <c r="I25" s="206"/>
      <c r="J25" s="206"/>
      <c r="K25" s="206"/>
      <c r="L25" s="206"/>
      <c r="M25" s="206"/>
      <c r="N25" s="206"/>
      <c r="O25" s="206"/>
      <c r="P25" s="206"/>
      <c r="Q25" s="138" t="str">
        <f>IF(A25=TRUE,F25&amp;"Pouches, ","")</f>
        <v/>
      </c>
    </row>
    <row r="26" spans="1:23" ht="15" hidden="1" customHeight="1" x14ac:dyDescent="0.2">
      <c r="A26" s="144"/>
      <c r="B26" s="184">
        <f t="shared" si="1"/>
        <v>21</v>
      </c>
      <c r="C26" s="228" t="s">
        <v>366</v>
      </c>
      <c r="D26" s="302"/>
      <c r="E26" s="213"/>
      <c r="F26" s="141"/>
      <c r="G26" s="206"/>
      <c r="H26" s="206"/>
      <c r="I26" s="206"/>
      <c r="J26" s="206"/>
      <c r="K26" s="206"/>
      <c r="L26" s="206"/>
      <c r="M26" s="206"/>
      <c r="N26" s="206"/>
      <c r="O26" s="206"/>
      <c r="P26" s="206"/>
      <c r="Q26" s="138"/>
    </row>
    <row r="27" spans="1:23" ht="15" hidden="1" customHeight="1" x14ac:dyDescent="0.2">
      <c r="A27" s="144" t="b">
        <v>0</v>
      </c>
      <c r="B27" s="184">
        <f t="shared" si="1"/>
        <v>22</v>
      </c>
      <c r="C27" s="119" t="s">
        <v>367</v>
      </c>
      <c r="D27" s="302"/>
      <c r="E27" s="206"/>
      <c r="F27" s="206"/>
      <c r="G27" s="206"/>
      <c r="H27" s="206"/>
      <c r="I27" s="206"/>
      <c r="J27" s="206"/>
      <c r="K27" s="206"/>
      <c r="L27" s="206"/>
      <c r="M27" s="206"/>
      <c r="N27" s="206"/>
      <c r="O27" s="206"/>
      <c r="P27" s="206"/>
      <c r="Q27" s="138" t="str">
        <f>IF(A27=TRUE,"USB converter, ","")</f>
        <v/>
      </c>
    </row>
    <row r="28" spans="1:23" ht="15" hidden="1" customHeight="1" x14ac:dyDescent="0.2">
      <c r="A28" s="144" t="b">
        <v>0</v>
      </c>
      <c r="B28" s="184">
        <f t="shared" si="1"/>
        <v>23</v>
      </c>
      <c r="C28" s="119" t="s">
        <v>368</v>
      </c>
      <c r="D28" s="302"/>
      <c r="E28" s="206"/>
      <c r="F28" s="206"/>
      <c r="G28" s="206"/>
      <c r="H28" s="206"/>
      <c r="I28" s="206"/>
      <c r="J28" s="206"/>
      <c r="K28" s="206"/>
      <c r="L28" s="206"/>
      <c r="M28" s="206"/>
      <c r="N28" s="206"/>
      <c r="O28" s="206"/>
      <c r="P28" s="206"/>
      <c r="Q28" s="138" t="str">
        <f>IF(A28=TRUE,"serial cable, ","")</f>
        <v/>
      </c>
    </row>
    <row r="29" spans="1:23" ht="15" hidden="1" customHeight="1" x14ac:dyDescent="0.2">
      <c r="A29" s="144" t="b">
        <v>0</v>
      </c>
      <c r="B29" s="184">
        <f t="shared" si="1"/>
        <v>24</v>
      </c>
      <c r="C29" s="119" t="s">
        <v>369</v>
      </c>
      <c r="D29" s="302"/>
      <c r="E29" s="206"/>
      <c r="F29" s="206"/>
      <c r="G29" s="206"/>
      <c r="H29" s="206"/>
      <c r="I29" s="206"/>
      <c r="J29" s="206"/>
      <c r="K29" s="206"/>
      <c r="L29" s="206"/>
      <c r="M29" s="206"/>
      <c r="N29" s="206"/>
      <c r="O29" s="206"/>
      <c r="P29" s="206"/>
      <c r="Q29" s="138" t="str">
        <f>IF(A29=TRUE,"power adapter, ","")</f>
        <v/>
      </c>
    </row>
    <row r="30" spans="1:23" ht="15" customHeight="1" x14ac:dyDescent="0.2">
      <c r="A30" s="144" t="b">
        <v>0</v>
      </c>
      <c r="B30" s="184"/>
      <c r="C30" s="484" t="s">
        <v>370</v>
      </c>
      <c r="D30" s="484"/>
      <c r="E30" s="484"/>
      <c r="F30" s="484"/>
      <c r="G30" s="484"/>
      <c r="H30" s="484"/>
      <c r="I30" s="484"/>
      <c r="J30" s="484"/>
      <c r="K30" s="484"/>
      <c r="L30" s="484"/>
      <c r="M30" s="484"/>
      <c r="N30" s="484"/>
    </row>
    <row r="31" spans="1:23" ht="15" customHeight="1" x14ac:dyDescent="0.2">
      <c r="A31" s="144" t="b">
        <v>1</v>
      </c>
      <c r="B31" s="184">
        <f>B29+1</f>
        <v>25</v>
      </c>
      <c r="C31" s="119" t="s">
        <v>371</v>
      </c>
      <c r="D31" s="304"/>
      <c r="E31" s="487" t="s">
        <v>372</v>
      </c>
      <c r="F31" s="487"/>
      <c r="G31" s="488" t="str">
        <f>IF($D$31=$D$10,"ON TIME",IF($D$31&gt;$D$10,"LATE",IF($D$31&lt;$D$10,"EARLY")))</f>
        <v>ON TIME</v>
      </c>
      <c r="H31" s="488"/>
      <c r="I31" s="488"/>
      <c r="J31" s="488"/>
      <c r="K31" s="488"/>
      <c r="L31" s="488"/>
      <c r="M31" s="488"/>
      <c r="N31" s="488"/>
    </row>
    <row r="32" spans="1:23" ht="15" customHeight="1" x14ac:dyDescent="0.2">
      <c r="A32" s="144" t="b">
        <v>1</v>
      </c>
      <c r="B32" s="184">
        <f>B31+1</f>
        <v>26</v>
      </c>
      <c r="C32" s="119" t="s">
        <v>373</v>
      </c>
      <c r="D32" s="304" t="s">
        <v>321</v>
      </c>
      <c r="E32" s="163"/>
      <c r="F32" s="163"/>
      <c r="G32" s="214"/>
      <c r="H32" s="214"/>
      <c r="I32" s="214"/>
      <c r="J32" s="214"/>
      <c r="K32" s="214"/>
      <c r="L32" s="214"/>
      <c r="M32" s="214"/>
      <c r="N32" s="214"/>
    </row>
    <row r="33" spans="1:18" ht="15" customHeight="1" x14ac:dyDescent="0.2">
      <c r="A33" s="144" t="b">
        <v>0</v>
      </c>
      <c r="B33" s="184">
        <f>B32+1</f>
        <v>27</v>
      </c>
      <c r="C33" s="188" t="s">
        <v>374</v>
      </c>
      <c r="D33" s="305"/>
      <c r="Q33" t="str">
        <f>IF(A33=TRUE,"Case was returned in acceptable condition","Exterior damage to case upon receipt")</f>
        <v>Exterior damage to case upon receipt</v>
      </c>
    </row>
    <row r="34" spans="1:18" x14ac:dyDescent="0.2">
      <c r="A34" s="144" t="b">
        <v>0</v>
      </c>
      <c r="B34" s="184">
        <f t="shared" ref="B34:B73" si="2">B33+1</f>
        <v>28</v>
      </c>
      <c r="C34" s="188" t="s">
        <v>375</v>
      </c>
      <c r="D34" s="306"/>
      <c r="Q34" s="138" t="str">
        <f>IF(A34=TRUE,"Cap on input test point","No cap on input test point")</f>
        <v>No cap on input test point</v>
      </c>
    </row>
    <row r="35" spans="1:18" x14ac:dyDescent="0.2">
      <c r="A35" s="144" t="b">
        <v>0</v>
      </c>
      <c r="B35" s="184">
        <f t="shared" si="2"/>
        <v>29</v>
      </c>
      <c r="C35" s="188" t="s">
        <v>376</v>
      </c>
      <c r="D35" s="306"/>
      <c r="Q35" s="138" t="str">
        <f>IF(A35=TRUE,"Cap on waste test point","No cap on waste test point")</f>
        <v>No cap on waste test point</v>
      </c>
    </row>
    <row r="36" spans="1:18" x14ac:dyDescent="0.2">
      <c r="A36" s="144" t="b">
        <v>0</v>
      </c>
      <c r="B36" s="184">
        <f t="shared" si="2"/>
        <v>30</v>
      </c>
      <c r="C36" s="188" t="s">
        <v>377</v>
      </c>
      <c r="D36" s="306"/>
    </row>
    <row r="37" spans="1:18" ht="15" customHeight="1" x14ac:dyDescent="0.2">
      <c r="A37" s="144" t="b">
        <v>0</v>
      </c>
      <c r="B37" s="184">
        <f t="shared" si="2"/>
        <v>31</v>
      </c>
      <c r="C37" s="188" t="s">
        <v>378</v>
      </c>
      <c r="D37" s="306"/>
    </row>
    <row r="38" spans="1:18" ht="15" customHeight="1" x14ac:dyDescent="0.2">
      <c r="A38" s="144" t="b">
        <v>0</v>
      </c>
      <c r="B38" s="184">
        <f t="shared" si="2"/>
        <v>32</v>
      </c>
      <c r="C38" s="188" t="s">
        <v>379</v>
      </c>
      <c r="D38" s="306"/>
    </row>
    <row r="39" spans="1:18" ht="15" customHeight="1" x14ac:dyDescent="0.2">
      <c r="A39" s="144" t="b">
        <v>0</v>
      </c>
      <c r="B39" s="184">
        <f t="shared" si="2"/>
        <v>33</v>
      </c>
      <c r="C39" s="188" t="s">
        <v>380</v>
      </c>
      <c r="D39" s="306"/>
      <c r="Q39" t="str">
        <f>IF(A39=TRUE,"Screen is functional upon receipt","The screen has been damaged and is not functioning correctly")</f>
        <v>The screen has been damaged and is not functioning correctly</v>
      </c>
    </row>
    <row r="40" spans="1:18" ht="15" customHeight="1" x14ac:dyDescent="0.2">
      <c r="A40" s="144" t="b">
        <v>0</v>
      </c>
      <c r="B40" s="184">
        <f t="shared" si="2"/>
        <v>34</v>
      </c>
      <c r="C40" s="188" t="s">
        <v>381</v>
      </c>
      <c r="D40" s="306"/>
    </row>
    <row r="41" spans="1:18" ht="15" customHeight="1" x14ac:dyDescent="0.2">
      <c r="A41" s="144" t="b">
        <v>0</v>
      </c>
      <c r="B41" s="184">
        <f t="shared" si="2"/>
        <v>35</v>
      </c>
      <c r="C41" s="188" t="s">
        <v>382</v>
      </c>
      <c r="D41" s="306"/>
    </row>
    <row r="42" spans="1:18" ht="15" customHeight="1" x14ac:dyDescent="0.2">
      <c r="A42" s="144" t="b">
        <v>0</v>
      </c>
      <c r="B42" s="184">
        <f t="shared" si="2"/>
        <v>36</v>
      </c>
      <c r="C42" s="188" t="s">
        <v>383</v>
      </c>
      <c r="D42" s="306"/>
      <c r="Q42" t="str">
        <f>IF(D42=3.88,"Firmware up-to-date","Firmware was an older version and needed updating")</f>
        <v>Firmware was an older version and needed updating</v>
      </c>
      <c r="R42" s="105" t="s">
        <v>321</v>
      </c>
    </row>
    <row r="43" spans="1:18" ht="15" customHeight="1" x14ac:dyDescent="0.2">
      <c r="A43" s="144"/>
      <c r="B43" s="184">
        <f t="shared" si="2"/>
        <v>37</v>
      </c>
      <c r="C43" s="188" t="s">
        <v>384</v>
      </c>
      <c r="D43" s="306"/>
      <c r="R43" t="s">
        <v>385</v>
      </c>
    </row>
    <row r="44" spans="1:18" ht="15" customHeight="1" x14ac:dyDescent="0.2">
      <c r="A44" s="144" t="b">
        <v>1</v>
      </c>
      <c r="B44" s="184">
        <f t="shared" si="2"/>
        <v>38</v>
      </c>
      <c r="C44" s="188" t="s">
        <v>386</v>
      </c>
      <c r="D44" s="306"/>
      <c r="R44" t="s">
        <v>387</v>
      </c>
    </row>
    <row r="45" spans="1:18" ht="15" customHeight="1" x14ac:dyDescent="0.2">
      <c r="A45" s="144" t="b">
        <v>0</v>
      </c>
      <c r="B45" s="184">
        <f t="shared" si="2"/>
        <v>39</v>
      </c>
      <c r="C45" s="188" t="s">
        <v>388</v>
      </c>
      <c r="D45" s="306"/>
      <c r="R45" t="s">
        <v>389</v>
      </c>
    </row>
    <row r="46" spans="1:18" ht="15" customHeight="1" x14ac:dyDescent="0.2">
      <c r="A46" s="144" t="b">
        <v>0</v>
      </c>
      <c r="B46" s="184">
        <f t="shared" si="2"/>
        <v>40</v>
      </c>
      <c r="C46" s="188" t="s">
        <v>390</v>
      </c>
      <c r="D46" s="306"/>
      <c r="R46" t="s">
        <v>391</v>
      </c>
    </row>
    <row r="47" spans="1:18" ht="15" customHeight="1" x14ac:dyDescent="0.2">
      <c r="A47" s="144" t="b">
        <v>0</v>
      </c>
      <c r="B47" s="184">
        <f t="shared" si="2"/>
        <v>41</v>
      </c>
      <c r="C47" s="222"/>
      <c r="D47" s="307" t="s">
        <v>392</v>
      </c>
      <c r="R47" t="s">
        <v>393</v>
      </c>
    </row>
    <row r="48" spans="1:18" ht="15" customHeight="1" x14ac:dyDescent="0.2">
      <c r="A48" s="144" t="b">
        <v>1</v>
      </c>
      <c r="B48" s="184">
        <f t="shared" si="2"/>
        <v>42</v>
      </c>
      <c r="C48" s="188" t="s">
        <v>394</v>
      </c>
      <c r="D48" s="308"/>
    </row>
    <row r="49" spans="1:18" ht="15" customHeight="1" x14ac:dyDescent="0.2">
      <c r="A49" s="144" t="b">
        <v>0</v>
      </c>
      <c r="B49" s="184">
        <f t="shared" si="2"/>
        <v>43</v>
      </c>
      <c r="C49" s="188" t="s">
        <v>395</v>
      </c>
      <c r="D49" s="306" t="s">
        <v>321</v>
      </c>
    </row>
    <row r="50" spans="1:18" ht="15" customHeight="1" x14ac:dyDescent="0.2">
      <c r="A50" s="144" t="b">
        <v>0</v>
      </c>
      <c r="B50" s="184">
        <f t="shared" si="2"/>
        <v>44</v>
      </c>
      <c r="C50" s="188" t="s">
        <v>396</v>
      </c>
      <c r="D50" s="309"/>
    </row>
    <row r="51" spans="1:18" ht="15" customHeight="1" x14ac:dyDescent="0.2">
      <c r="A51" s="144" t="b">
        <v>0</v>
      </c>
      <c r="B51" s="184">
        <f t="shared" si="2"/>
        <v>45</v>
      </c>
      <c r="C51" s="188" t="s">
        <v>397</v>
      </c>
      <c r="D51" s="310"/>
    </row>
    <row r="52" spans="1:18" ht="15" customHeight="1" x14ac:dyDescent="0.2">
      <c r="A52" s="144" t="b">
        <v>0</v>
      </c>
      <c r="B52" s="184">
        <f t="shared" si="2"/>
        <v>46</v>
      </c>
      <c r="C52" s="188" t="s">
        <v>398</v>
      </c>
      <c r="D52" s="311"/>
    </row>
    <row r="53" spans="1:18" ht="15" customHeight="1" x14ac:dyDescent="0.2">
      <c r="A53" s="144" t="b">
        <v>0</v>
      </c>
      <c r="B53" s="184">
        <f t="shared" si="2"/>
        <v>47</v>
      </c>
      <c r="C53" s="188" t="s">
        <v>399</v>
      </c>
      <c r="D53" s="306"/>
    </row>
    <row r="54" spans="1:18" s="139" customFormat="1" ht="15.75" customHeight="1" x14ac:dyDescent="0.2">
      <c r="A54" s="144" t="b">
        <v>0</v>
      </c>
      <c r="B54" s="184">
        <f t="shared" si="2"/>
        <v>48</v>
      </c>
      <c r="C54" s="188" t="s">
        <v>400</v>
      </c>
      <c r="D54" s="158" t="s">
        <v>321</v>
      </c>
      <c r="E54" s="157"/>
      <c r="F54" s="157"/>
      <c r="G54" s="157"/>
      <c r="H54" s="157"/>
      <c r="I54" s="157"/>
      <c r="J54" s="157"/>
      <c r="K54" s="157"/>
      <c r="L54" s="157"/>
      <c r="M54" s="157"/>
      <c r="N54" s="157"/>
      <c r="P54" s="137"/>
      <c r="R54" s="139" t="s">
        <v>321</v>
      </c>
    </row>
    <row r="55" spans="1:18" s="139" customFormat="1" ht="15.75" customHeight="1" x14ac:dyDescent="0.2">
      <c r="A55" s="144" t="b">
        <v>0</v>
      </c>
      <c r="B55" s="184">
        <f t="shared" si="2"/>
        <v>49</v>
      </c>
      <c r="C55" s="204"/>
      <c r="D55" s="312" t="s">
        <v>401</v>
      </c>
      <c r="E55" s="489"/>
      <c r="F55" s="489"/>
      <c r="G55" s="489"/>
      <c r="H55" s="489"/>
      <c r="I55" s="489"/>
      <c r="J55" s="489"/>
      <c r="K55" s="489"/>
      <c r="L55" s="489"/>
      <c r="M55" s="489"/>
      <c r="N55" s="489"/>
      <c r="O55" s="138"/>
      <c r="P55" s="137"/>
      <c r="R55" s="139" t="s">
        <v>402</v>
      </c>
    </row>
    <row r="56" spans="1:18" s="139" customFormat="1" ht="15.75" customHeight="1" x14ac:dyDescent="0.2">
      <c r="A56" s="144" t="b">
        <v>0</v>
      </c>
      <c r="B56" s="184">
        <f t="shared" si="2"/>
        <v>50</v>
      </c>
      <c r="C56" s="188" t="s">
        <v>403</v>
      </c>
      <c r="D56" s="158"/>
      <c r="E56" s="157"/>
      <c r="F56" s="157"/>
      <c r="G56" s="157"/>
      <c r="H56" s="157"/>
      <c r="I56" s="157"/>
      <c r="J56" s="157"/>
      <c r="K56" s="157"/>
      <c r="L56" s="157"/>
      <c r="M56" s="157"/>
      <c r="N56" s="157"/>
      <c r="P56" s="137"/>
      <c r="R56" s="139" t="s">
        <v>404</v>
      </c>
    </row>
    <row r="57" spans="1:18" s="139" customFormat="1" ht="15.75" customHeight="1" x14ac:dyDescent="0.2">
      <c r="A57" s="144" t="b">
        <v>0</v>
      </c>
      <c r="B57" s="184">
        <f t="shared" si="2"/>
        <v>51</v>
      </c>
      <c r="C57" s="188" t="s">
        <v>405</v>
      </c>
      <c r="D57" s="158"/>
      <c r="E57" s="157"/>
      <c r="F57" s="157"/>
      <c r="G57" s="157"/>
      <c r="H57" s="157"/>
      <c r="I57" s="157"/>
      <c r="J57" s="157"/>
      <c r="K57" s="157"/>
      <c r="L57" s="157"/>
      <c r="M57" s="157"/>
      <c r="N57" s="157"/>
      <c r="P57" s="137"/>
      <c r="R57" s="139" t="s">
        <v>406</v>
      </c>
    </row>
    <row r="58" spans="1:18" s="139" customFormat="1" ht="15.75" customHeight="1" x14ac:dyDescent="0.2">
      <c r="A58" s="144" t="b">
        <v>0</v>
      </c>
      <c r="B58" s="184">
        <f t="shared" si="2"/>
        <v>52</v>
      </c>
      <c r="C58" s="188" t="s">
        <v>407</v>
      </c>
      <c r="D58" s="158"/>
      <c r="E58" s="157"/>
      <c r="F58" s="157"/>
      <c r="G58" s="157"/>
      <c r="H58" s="157"/>
      <c r="I58" s="157"/>
      <c r="J58" s="157"/>
      <c r="K58" s="157"/>
      <c r="L58" s="157"/>
      <c r="M58" s="157"/>
      <c r="N58" s="157"/>
      <c r="P58" s="137"/>
      <c r="R58" s="139" t="s">
        <v>408</v>
      </c>
    </row>
    <row r="59" spans="1:18" s="139" customFormat="1" ht="15.75" customHeight="1" x14ac:dyDescent="0.2">
      <c r="A59" s="144" t="b">
        <v>0</v>
      </c>
      <c r="B59" s="184">
        <f t="shared" si="2"/>
        <v>53</v>
      </c>
      <c r="C59" s="204"/>
      <c r="D59" s="155" t="s">
        <v>409</v>
      </c>
      <c r="E59" s="157"/>
      <c r="F59" s="157"/>
      <c r="G59" s="157"/>
      <c r="H59" s="157"/>
      <c r="I59" s="157"/>
      <c r="J59" s="157"/>
      <c r="K59" s="157"/>
      <c r="L59" s="157"/>
      <c r="M59" s="157"/>
      <c r="N59" s="157"/>
      <c r="P59" s="137"/>
      <c r="R59" s="139" t="s">
        <v>410</v>
      </c>
    </row>
    <row r="60" spans="1:18" s="139" customFormat="1" ht="15.75" customHeight="1" x14ac:dyDescent="0.2">
      <c r="A60" s="144" t="b">
        <v>0</v>
      </c>
      <c r="B60" s="184">
        <f t="shared" si="2"/>
        <v>54</v>
      </c>
      <c r="C60" s="188" t="s">
        <v>411</v>
      </c>
      <c r="D60" s="158"/>
      <c r="E60" s="157"/>
      <c r="F60" s="157"/>
      <c r="G60" s="157"/>
      <c r="H60" s="157"/>
      <c r="I60" s="157"/>
      <c r="J60" s="157"/>
      <c r="K60" s="157"/>
      <c r="L60" s="157"/>
      <c r="M60" s="157"/>
      <c r="N60" s="157"/>
      <c r="P60" s="137"/>
      <c r="R60" s="139" t="s">
        <v>412</v>
      </c>
    </row>
    <row r="61" spans="1:18" s="139" customFormat="1" ht="15.75" customHeight="1" x14ac:dyDescent="0.2">
      <c r="A61" s="144" t="b">
        <v>0</v>
      </c>
      <c r="B61" s="184">
        <f t="shared" si="2"/>
        <v>55</v>
      </c>
      <c r="C61" s="188" t="s">
        <v>413</v>
      </c>
      <c r="D61" s="158" t="s">
        <v>321</v>
      </c>
      <c r="E61" s="157"/>
      <c r="F61" s="157"/>
      <c r="G61" s="157"/>
      <c r="H61" s="157"/>
      <c r="I61" s="157"/>
      <c r="J61" s="157"/>
      <c r="K61" s="157"/>
      <c r="L61" s="157"/>
      <c r="M61" s="157"/>
      <c r="N61" s="157"/>
      <c r="P61" s="137"/>
      <c r="R61" s="139" t="s">
        <v>414</v>
      </c>
    </row>
    <row r="62" spans="1:18" s="139" customFormat="1" ht="15.75" customHeight="1" x14ac:dyDescent="0.2">
      <c r="A62" s="144" t="b">
        <v>0</v>
      </c>
      <c r="B62" s="184">
        <f t="shared" si="2"/>
        <v>56</v>
      </c>
      <c r="C62" s="204"/>
      <c r="D62" s="313" t="s">
        <v>415</v>
      </c>
      <c r="E62" s="135"/>
      <c r="F62" s="135"/>
      <c r="G62" s="135"/>
      <c r="H62" s="135"/>
      <c r="I62" s="135"/>
      <c r="J62" s="135"/>
      <c r="K62" s="135"/>
      <c r="L62" s="135"/>
      <c r="M62" s="135"/>
      <c r="N62" s="135"/>
      <c r="O62" s="138"/>
      <c r="P62" s="137"/>
      <c r="R62" s="139" t="s">
        <v>416</v>
      </c>
    </row>
    <row r="63" spans="1:18" s="139" customFormat="1" ht="15.75" customHeight="1" x14ac:dyDescent="0.2">
      <c r="A63" s="144" t="b">
        <v>0</v>
      </c>
      <c r="B63" s="184">
        <f t="shared" si="2"/>
        <v>57</v>
      </c>
      <c r="C63" s="188" t="s">
        <v>417</v>
      </c>
      <c r="D63" s="158"/>
      <c r="E63" s="157"/>
      <c r="F63" s="157"/>
      <c r="G63" s="157"/>
      <c r="H63" s="157"/>
      <c r="I63" s="157"/>
      <c r="J63" s="157"/>
      <c r="K63" s="157"/>
      <c r="L63" s="157"/>
      <c r="M63" s="157"/>
      <c r="N63" s="157"/>
      <c r="P63" s="137"/>
      <c r="R63" s="139" t="s">
        <v>418</v>
      </c>
    </row>
    <row r="64" spans="1:18" s="139" customFormat="1" ht="15.75" customHeight="1" x14ac:dyDescent="0.2">
      <c r="A64" s="144"/>
      <c r="B64" s="184">
        <f t="shared" si="2"/>
        <v>58</v>
      </c>
      <c r="C64" s="188" t="s">
        <v>419</v>
      </c>
      <c r="D64" s="158"/>
      <c r="E64" s="157"/>
      <c r="F64" s="157"/>
      <c r="G64" s="157"/>
      <c r="H64" s="157"/>
      <c r="I64" s="157"/>
      <c r="J64" s="157"/>
      <c r="K64" s="157"/>
      <c r="L64" s="157"/>
      <c r="M64" s="157"/>
      <c r="N64" s="157"/>
      <c r="P64" s="137"/>
    </row>
    <row r="65" spans="1:18" s="139" customFormat="1" ht="15.75" customHeight="1" x14ac:dyDescent="0.2">
      <c r="A65" s="144"/>
      <c r="B65" s="184">
        <f t="shared" si="2"/>
        <v>59</v>
      </c>
      <c r="C65" s="188" t="s">
        <v>420</v>
      </c>
      <c r="D65" s="158"/>
      <c r="E65" s="157"/>
      <c r="F65" s="157"/>
      <c r="G65" s="157"/>
      <c r="H65" s="157"/>
      <c r="I65" s="157"/>
      <c r="J65" s="157"/>
      <c r="K65" s="157"/>
      <c r="L65" s="157"/>
      <c r="M65" s="157"/>
      <c r="N65" s="157"/>
      <c r="P65" s="137"/>
    </row>
    <row r="66" spans="1:18" s="139" customFormat="1" ht="15.75" customHeight="1" x14ac:dyDescent="0.2">
      <c r="A66" s="144"/>
      <c r="B66" s="184">
        <f t="shared" si="2"/>
        <v>60</v>
      </c>
      <c r="C66" s="188" t="s">
        <v>421</v>
      </c>
      <c r="D66" s="158"/>
      <c r="E66" s="157"/>
      <c r="F66" s="157"/>
      <c r="G66" s="157"/>
      <c r="H66" s="157"/>
      <c r="I66" s="157"/>
      <c r="J66" s="157"/>
      <c r="K66" s="157"/>
      <c r="L66" s="157"/>
      <c r="M66" s="157"/>
      <c r="N66" s="157"/>
      <c r="P66" s="137"/>
    </row>
    <row r="67" spans="1:18" s="139" customFormat="1" ht="15.75" customHeight="1" x14ac:dyDescent="0.2">
      <c r="A67" s="144" t="b">
        <v>0</v>
      </c>
      <c r="B67" s="184">
        <f t="shared" si="2"/>
        <v>61</v>
      </c>
      <c r="C67" s="188" t="s">
        <v>422</v>
      </c>
      <c r="D67" s="306"/>
      <c r="E67" s="157"/>
      <c r="F67" s="157"/>
      <c r="G67" s="157"/>
      <c r="H67" s="157"/>
      <c r="I67" s="157"/>
      <c r="J67" s="157"/>
      <c r="K67" s="157"/>
      <c r="L67" s="157"/>
      <c r="M67" s="157"/>
      <c r="N67" s="157"/>
      <c r="P67" s="137"/>
    </row>
    <row r="68" spans="1:18" s="139" customFormat="1" ht="15.75" customHeight="1" x14ac:dyDescent="0.2">
      <c r="A68" s="144" t="b">
        <v>0</v>
      </c>
      <c r="B68" s="184">
        <f t="shared" si="2"/>
        <v>62</v>
      </c>
      <c r="C68" s="188" t="s">
        <v>423</v>
      </c>
      <c r="D68" s="158"/>
      <c r="E68" s="157"/>
      <c r="F68" s="157"/>
      <c r="G68" s="157"/>
      <c r="H68" s="157"/>
      <c r="I68" s="157"/>
      <c r="J68" s="157"/>
      <c r="K68" s="157"/>
      <c r="L68" s="157"/>
      <c r="M68" s="157"/>
      <c r="N68" s="157"/>
      <c r="P68" s="137"/>
    </row>
    <row r="69" spans="1:18" s="139" customFormat="1" ht="15.75" customHeight="1" x14ac:dyDescent="0.2">
      <c r="A69" s="144" t="b">
        <v>0</v>
      </c>
      <c r="B69" s="184">
        <f t="shared" si="2"/>
        <v>63</v>
      </c>
      <c r="C69" s="188" t="s">
        <v>424</v>
      </c>
      <c r="D69" s="158"/>
      <c r="E69" s="157"/>
      <c r="F69" s="157"/>
      <c r="G69" s="157"/>
      <c r="H69" s="157"/>
      <c r="I69" s="157"/>
      <c r="J69" s="157"/>
      <c r="K69" s="157"/>
      <c r="L69" s="157"/>
      <c r="M69" s="157"/>
      <c r="N69" s="157"/>
      <c r="P69" s="137"/>
      <c r="R69" s="139" t="s">
        <v>321</v>
      </c>
    </row>
    <row r="70" spans="1:18" ht="15" customHeight="1" x14ac:dyDescent="0.2">
      <c r="A70" s="144" t="b">
        <v>0</v>
      </c>
      <c r="B70" s="184">
        <f t="shared" si="2"/>
        <v>64</v>
      </c>
      <c r="C70" s="188" t="s">
        <v>425</v>
      </c>
      <c r="D70" s="306"/>
      <c r="R70" s="139" t="s">
        <v>426</v>
      </c>
    </row>
    <row r="71" spans="1:18" ht="15" customHeight="1" x14ac:dyDescent="0.2">
      <c r="A71" s="144" t="b">
        <v>0</v>
      </c>
      <c r="B71" s="184">
        <f t="shared" si="2"/>
        <v>65</v>
      </c>
      <c r="C71" s="188" t="s">
        <v>427</v>
      </c>
      <c r="D71" s="306"/>
      <c r="Q71" s="138" t="e">
        <f>IF(#REF!=FALSE,"Unit was dirty or damaged inside and required extra cleaning","Internal condition good")</f>
        <v>#REF!</v>
      </c>
      <c r="R71" s="139" t="s">
        <v>428</v>
      </c>
    </row>
    <row r="72" spans="1:18" s="139" customFormat="1" x14ac:dyDescent="0.2">
      <c r="A72" s="144" t="b">
        <v>0</v>
      </c>
      <c r="B72" s="184" t="e">
        <f>#REF!+1</f>
        <v>#REF!</v>
      </c>
      <c r="C72" s="188" t="s">
        <v>429</v>
      </c>
      <c r="D72" s="314"/>
      <c r="O72" s="138"/>
      <c r="P72" s="137"/>
      <c r="R72" s="139" t="s">
        <v>430</v>
      </c>
    </row>
    <row r="73" spans="1:18" s="139" customFormat="1" x14ac:dyDescent="0.2">
      <c r="A73" s="144" t="b">
        <v>0</v>
      </c>
      <c r="B73" s="184" t="e">
        <f t="shared" si="2"/>
        <v>#REF!</v>
      </c>
      <c r="C73" s="188" t="s">
        <v>431</v>
      </c>
      <c r="D73" s="314"/>
      <c r="O73" s="138"/>
      <c r="P73" s="137"/>
    </row>
    <row r="74" spans="1:18" s="139" customFormat="1" ht="15.75" customHeight="1" x14ac:dyDescent="0.2">
      <c r="A74" s="144" t="b">
        <v>0</v>
      </c>
      <c r="B74" s="184" t="e">
        <f>#REF!+1</f>
        <v>#REF!</v>
      </c>
      <c r="C74" s="204"/>
      <c r="D74" s="313" t="s">
        <v>432</v>
      </c>
      <c r="E74" s="135"/>
      <c r="F74" s="135"/>
      <c r="G74" s="135"/>
      <c r="H74" s="135"/>
      <c r="I74" s="135"/>
      <c r="J74" s="135"/>
      <c r="K74" s="135"/>
      <c r="L74" s="135"/>
      <c r="M74" s="135"/>
      <c r="N74" s="135"/>
      <c r="O74" s="138"/>
      <c r="P74" s="137"/>
      <c r="R74" s="139" t="s">
        <v>416</v>
      </c>
    </row>
    <row r="75" spans="1:18" s="139" customFormat="1" x14ac:dyDescent="0.2">
      <c r="A75" s="144" t="b">
        <v>0</v>
      </c>
      <c r="B75" s="184"/>
      <c r="C75" s="485" t="s">
        <v>433</v>
      </c>
      <c r="D75" s="485"/>
      <c r="E75" s="485"/>
      <c r="F75" s="485"/>
      <c r="G75" s="485"/>
      <c r="H75" s="485"/>
      <c r="I75" s="485"/>
      <c r="J75" s="485"/>
      <c r="K75" s="485"/>
      <c r="L75" s="485"/>
      <c r="M75" s="485"/>
      <c r="N75" s="485"/>
      <c r="O75" s="485"/>
      <c r="P75" s="148"/>
    </row>
    <row r="76" spans="1:18" s="139" customFormat="1" x14ac:dyDescent="0.2">
      <c r="A76" s="144" t="b">
        <v>0</v>
      </c>
      <c r="B76" s="184" t="e">
        <f>B74+1</f>
        <v>#REF!</v>
      </c>
      <c r="C76" s="153"/>
      <c r="D76" s="313" t="s">
        <v>434</v>
      </c>
      <c r="E76" s="486"/>
      <c r="F76" s="486"/>
      <c r="G76" s="486"/>
      <c r="H76" s="486"/>
      <c r="I76" s="486"/>
      <c r="J76" s="486"/>
      <c r="K76" s="486"/>
      <c r="L76" s="486"/>
      <c r="M76" s="486"/>
      <c r="N76" s="486"/>
      <c r="P76" s="137"/>
      <c r="Q76" s="138"/>
    </row>
    <row r="77" spans="1:18" s="139" customFormat="1" x14ac:dyDescent="0.2">
      <c r="A77" s="144" t="b">
        <v>0</v>
      </c>
      <c r="B77" s="184" t="e">
        <f>#REF!+1</f>
        <v>#REF!</v>
      </c>
      <c r="C77" s="159"/>
      <c r="D77" s="313" t="s">
        <v>435</v>
      </c>
      <c r="E77" s="135"/>
      <c r="F77" s="135"/>
      <c r="G77" s="135"/>
      <c r="H77" s="135"/>
      <c r="I77" s="135"/>
      <c r="J77" s="135"/>
      <c r="K77" s="135"/>
      <c r="L77" s="135"/>
      <c r="M77" s="135"/>
      <c r="N77" s="135"/>
      <c r="P77" s="137"/>
      <c r="Q77" s="138" t="str">
        <f>IF(A77=TRUE,"Damage to sensor array assembly found, repair was required","Sensor array assembly passed initial inspection")</f>
        <v>Sensor array assembly passed initial inspection</v>
      </c>
    </row>
    <row r="78" spans="1:18" s="139" customFormat="1" x14ac:dyDescent="0.2">
      <c r="A78" s="144" t="b">
        <v>0</v>
      </c>
      <c r="B78" s="184" t="e">
        <f>B77+1</f>
        <v>#REF!</v>
      </c>
      <c r="C78" s="159"/>
      <c r="D78" s="313" t="s">
        <v>436</v>
      </c>
      <c r="E78" s="157"/>
      <c r="F78" s="157"/>
      <c r="G78" s="157"/>
      <c r="H78" s="157"/>
      <c r="I78" s="157"/>
      <c r="J78" s="157"/>
      <c r="K78" s="157"/>
      <c r="L78" s="157"/>
      <c r="M78" s="157"/>
      <c r="N78" s="157"/>
      <c r="O78" s="138"/>
      <c r="P78" s="137"/>
    </row>
    <row r="79" spans="1:18" s="145" customFormat="1" x14ac:dyDescent="0.2">
      <c r="A79" s="144" t="b">
        <v>0</v>
      </c>
      <c r="B79" s="184" t="e">
        <f>B78+1</f>
        <v>#REF!</v>
      </c>
      <c r="C79" s="159"/>
      <c r="D79" s="313" t="s">
        <v>437</v>
      </c>
      <c r="E79" s="490" t="s">
        <v>438</v>
      </c>
      <c r="F79" s="490"/>
      <c r="G79" s="490"/>
      <c r="H79" s="490"/>
      <c r="I79" s="490"/>
      <c r="J79" s="490"/>
      <c r="K79" s="490"/>
      <c r="L79" s="490"/>
      <c r="M79" s="490"/>
      <c r="N79" s="490"/>
      <c r="O79" s="138"/>
      <c r="P79" s="137"/>
    </row>
    <row r="80" spans="1:18" s="139" customFormat="1" x14ac:dyDescent="0.2">
      <c r="A80" s="144" t="b">
        <v>1</v>
      </c>
      <c r="B80" s="184" t="e">
        <f t="shared" ref="B80:B105" si="3">B79+1</f>
        <v>#REF!</v>
      </c>
      <c r="C80" s="188" t="s">
        <v>439</v>
      </c>
      <c r="D80" s="292"/>
      <c r="E80" s="486"/>
      <c r="F80" s="486"/>
      <c r="G80" s="486"/>
      <c r="H80" s="486"/>
      <c r="I80" s="486"/>
      <c r="J80" s="486"/>
      <c r="K80" s="486"/>
      <c r="L80" s="486"/>
      <c r="M80" s="486"/>
      <c r="N80" s="486"/>
      <c r="P80" s="137"/>
      <c r="Q80" s="138" t="str">
        <f>IF(D80&gt;13000,"Initial Light source check, output outside of specification FAILED/not checked","Initial light source check, output within specification PASS")</f>
        <v>Initial light source check, output within specification PASS</v>
      </c>
    </row>
    <row r="81" spans="1:17" s="139" customFormat="1" x14ac:dyDescent="0.2">
      <c r="A81" s="144" t="b">
        <v>0</v>
      </c>
      <c r="B81" s="184" t="e">
        <f>B80+1</f>
        <v>#REF!</v>
      </c>
      <c r="C81" s="188" t="s">
        <v>440</v>
      </c>
      <c r="D81" s="292"/>
      <c r="E81" s="486"/>
      <c r="F81" s="486"/>
      <c r="G81" s="486"/>
      <c r="H81" s="486"/>
      <c r="I81" s="486"/>
      <c r="J81" s="486"/>
      <c r="K81" s="486"/>
      <c r="L81" s="486"/>
      <c r="M81" s="486"/>
      <c r="N81" s="486"/>
      <c r="P81" s="137"/>
      <c r="Q81" s="138" t="str">
        <f>IF(D81&lt;100,"Initial Light source electrical noise output within specification PASS","Initial Laser 1 noise output outside specification FAILED - RETEST at recalibration")</f>
        <v>Initial Light source electrical noise output within specification PASS</v>
      </c>
    </row>
    <row r="82" spans="1:17" s="139" customFormat="1" hidden="1" x14ac:dyDescent="0.2">
      <c r="A82" s="144"/>
      <c r="B82" s="184"/>
      <c r="C82" s="485"/>
      <c r="D82" s="485"/>
      <c r="E82" s="485"/>
      <c r="F82" s="485"/>
      <c r="G82" s="485"/>
      <c r="H82" s="485"/>
      <c r="I82" s="485"/>
      <c r="J82" s="485"/>
      <c r="K82" s="485"/>
      <c r="L82" s="485"/>
      <c r="M82" s="485"/>
      <c r="N82" s="485"/>
      <c r="O82" s="485"/>
      <c r="P82" s="148"/>
    </row>
    <row r="83" spans="1:17" s="139" customFormat="1" hidden="1" x14ac:dyDescent="0.2">
      <c r="A83" s="144" t="b">
        <v>1</v>
      </c>
      <c r="B83" s="184"/>
      <c r="C83" s="159"/>
      <c r="D83" s="313"/>
      <c r="E83" s="509"/>
      <c r="F83" s="510"/>
      <c r="G83" s="510"/>
      <c r="H83" s="510"/>
      <c r="I83" s="510"/>
      <c r="J83" s="510"/>
      <c r="K83" s="492"/>
      <c r="L83" s="492"/>
      <c r="M83" s="492"/>
      <c r="N83" s="492"/>
      <c r="P83" s="137"/>
      <c r="Q83" s="138"/>
    </row>
    <row r="84" spans="1:17" s="139" customFormat="1" hidden="1" x14ac:dyDescent="0.2">
      <c r="A84" s="144"/>
      <c r="B84" s="184"/>
      <c r="C84" s="159"/>
      <c r="D84" s="313"/>
      <c r="E84" s="157"/>
      <c r="F84" s="157"/>
      <c r="G84" s="157"/>
      <c r="H84" s="157"/>
      <c r="I84" s="157"/>
      <c r="J84" s="157"/>
      <c r="K84" s="137"/>
      <c r="L84" s="137"/>
      <c r="M84" s="137"/>
      <c r="N84" s="137"/>
      <c r="P84" s="137"/>
      <c r="Q84" s="138"/>
    </row>
    <row r="85" spans="1:17" s="139" customFormat="1" hidden="1" x14ac:dyDescent="0.2">
      <c r="A85" s="144"/>
      <c r="B85" s="184"/>
      <c r="C85" s="159"/>
      <c r="D85" s="312"/>
      <c r="E85" s="490"/>
      <c r="F85" s="490"/>
      <c r="G85" s="490"/>
      <c r="H85" s="490"/>
      <c r="I85" s="490"/>
      <c r="J85" s="490"/>
      <c r="K85" s="490"/>
      <c r="L85" s="490"/>
      <c r="M85" s="490"/>
      <c r="N85" s="490"/>
      <c r="P85" s="137"/>
      <c r="Q85" s="138"/>
    </row>
    <row r="86" spans="1:17" s="139" customFormat="1" hidden="1" x14ac:dyDescent="0.2">
      <c r="A86" s="144"/>
      <c r="B86" s="184"/>
      <c r="C86" s="159"/>
      <c r="D86" s="312"/>
      <c r="E86" s="487"/>
      <c r="F86" s="487"/>
      <c r="G86" s="487"/>
      <c r="H86" s="487"/>
      <c r="I86" s="487"/>
      <c r="J86" s="487"/>
      <c r="K86" s="491"/>
      <c r="L86" s="491"/>
      <c r="M86" s="491"/>
      <c r="N86" s="491"/>
      <c r="O86" s="138"/>
      <c r="P86" s="137"/>
    </row>
    <row r="87" spans="1:17" s="139" customFormat="1" hidden="1" x14ac:dyDescent="0.2">
      <c r="A87" s="144"/>
      <c r="B87" s="184"/>
      <c r="C87" s="159"/>
      <c r="D87" s="312"/>
      <c r="E87" s="490"/>
      <c r="F87" s="490"/>
      <c r="G87" s="490"/>
      <c r="H87" s="490"/>
      <c r="I87" s="490"/>
      <c r="J87" s="490"/>
      <c r="K87" s="490"/>
      <c r="L87" s="490"/>
      <c r="M87" s="490"/>
      <c r="N87" s="490"/>
      <c r="P87" s="137"/>
      <c r="Q87" s="138"/>
    </row>
    <row r="88" spans="1:17" s="139" customFormat="1" hidden="1" x14ac:dyDescent="0.2">
      <c r="A88" s="144"/>
      <c r="B88" s="184"/>
      <c r="C88" s="159"/>
      <c r="D88" s="312"/>
      <c r="E88" s="487"/>
      <c r="F88" s="487"/>
      <c r="G88" s="487"/>
      <c r="H88" s="487"/>
      <c r="I88" s="487"/>
      <c r="J88" s="487"/>
      <c r="K88" s="491"/>
      <c r="L88" s="491"/>
      <c r="M88" s="491"/>
      <c r="N88" s="491"/>
      <c r="P88" s="137"/>
      <c r="Q88" s="138"/>
    </row>
    <row r="89" spans="1:17" s="139" customFormat="1" x14ac:dyDescent="0.2">
      <c r="A89" s="144" t="b">
        <v>1</v>
      </c>
      <c r="B89" s="184">
        <f t="shared" si="3"/>
        <v>1</v>
      </c>
      <c r="C89" s="188" t="s">
        <v>441</v>
      </c>
      <c r="D89" s="302" t="s">
        <v>321</v>
      </c>
      <c r="E89" s="512"/>
      <c r="F89" s="513"/>
      <c r="G89" s="513"/>
      <c r="H89" s="513"/>
      <c r="I89" s="513"/>
      <c r="J89" s="513"/>
      <c r="K89" s="513"/>
      <c r="L89" s="169"/>
      <c r="M89" s="169"/>
      <c r="N89" s="169"/>
      <c r="O89" s="137"/>
      <c r="P89" s="137"/>
    </row>
    <row r="90" spans="1:17" s="139" customFormat="1" x14ac:dyDescent="0.2">
      <c r="A90" s="144" t="b">
        <v>0</v>
      </c>
      <c r="B90" s="184">
        <f t="shared" si="3"/>
        <v>2</v>
      </c>
      <c r="C90" s="188" t="s">
        <v>442</v>
      </c>
      <c r="D90" s="315" t="b">
        <v>1</v>
      </c>
      <c r="E90" s="152"/>
      <c r="G90" s="150"/>
      <c r="H90" s="150"/>
      <c r="I90" s="514"/>
      <c r="J90" s="514"/>
      <c r="K90" s="514"/>
      <c r="L90" s="514"/>
      <c r="M90" s="514"/>
      <c r="N90" s="514"/>
      <c r="P90" s="137"/>
    </row>
    <row r="91" spans="1:17" s="139" customFormat="1" x14ac:dyDescent="0.2">
      <c r="A91" s="144" t="b">
        <v>0</v>
      </c>
      <c r="B91" s="184"/>
      <c r="C91" s="485" t="s">
        <v>443</v>
      </c>
      <c r="D91" s="485"/>
      <c r="E91" s="485"/>
      <c r="F91" s="485"/>
      <c r="G91" s="485"/>
      <c r="H91" s="485"/>
      <c r="I91" s="485"/>
      <c r="J91" s="485"/>
      <c r="K91" s="485"/>
      <c r="L91" s="485"/>
      <c r="M91" s="485"/>
      <c r="N91" s="485"/>
      <c r="O91" s="485"/>
      <c r="P91" s="148"/>
    </row>
    <row r="92" spans="1:17" s="145" customFormat="1" ht="15.75" customHeight="1" x14ac:dyDescent="0.2">
      <c r="A92" s="144" t="b">
        <v>0</v>
      </c>
      <c r="B92" s="184">
        <f>B90+1</f>
        <v>3</v>
      </c>
      <c r="C92" s="150" t="s">
        <v>444</v>
      </c>
      <c r="D92" s="299"/>
      <c r="E92" s="487" t="s">
        <v>372</v>
      </c>
      <c r="F92" s="487"/>
      <c r="G92" s="515" t="str">
        <f>IF(D92=$D$7,"ON TIME",IF(D92&gt;$D$7,"LATE",IF(D92&lt;$D$7,"EARLY")))</f>
        <v>ON TIME</v>
      </c>
      <c r="H92" s="515"/>
      <c r="I92" s="515"/>
      <c r="J92" s="515"/>
      <c r="K92" s="515"/>
      <c r="L92" s="515"/>
      <c r="M92" s="515"/>
      <c r="N92" s="515"/>
      <c r="O92" s="157"/>
      <c r="P92" s="157"/>
    </row>
    <row r="93" spans="1:17" s="139" customFormat="1" x14ac:dyDescent="0.2">
      <c r="A93" s="144" t="b">
        <v>0</v>
      </c>
      <c r="B93" s="184">
        <f t="shared" si="3"/>
        <v>4</v>
      </c>
      <c r="C93" s="170">
        <f>D15</f>
        <v>0</v>
      </c>
      <c r="D93" s="313" t="s">
        <v>445</v>
      </c>
      <c r="E93" s="511">
        <v>0</v>
      </c>
      <c r="F93" s="511"/>
      <c r="G93" s="511"/>
      <c r="H93" s="511"/>
      <c r="I93" s="511"/>
      <c r="J93" s="511"/>
      <c r="K93" s="511"/>
      <c r="L93" s="511"/>
      <c r="M93" s="511"/>
      <c r="N93" s="511"/>
      <c r="P93" s="145"/>
      <c r="Q93" s="138" t="str">
        <f>IF(A93=TRUE,"SO received and on system","Awaiting customers purchase order")</f>
        <v>Awaiting customers purchase order</v>
      </c>
    </row>
    <row r="94" spans="1:17" s="139" customFormat="1" x14ac:dyDescent="0.2">
      <c r="A94" s="144" t="b">
        <v>0</v>
      </c>
      <c r="B94" s="184">
        <f t="shared" si="3"/>
        <v>5</v>
      </c>
      <c r="C94" s="170">
        <f>D16</f>
        <v>0</v>
      </c>
      <c r="D94" s="313" t="s">
        <v>446</v>
      </c>
      <c r="E94" s="511">
        <v>0</v>
      </c>
      <c r="F94" s="511"/>
      <c r="G94" s="511"/>
      <c r="H94" s="511"/>
      <c r="I94" s="511"/>
      <c r="J94" s="511"/>
      <c r="K94" s="511"/>
      <c r="L94" s="511"/>
      <c r="M94" s="511"/>
      <c r="N94" s="511"/>
      <c r="P94" s="145"/>
      <c r="Q94" s="138" t="str">
        <f>IF(A94=TRUE,"WO processed, service can be started","Awaiting customers purchase order")</f>
        <v>Awaiting customers purchase order</v>
      </c>
    </row>
    <row r="95" spans="1:17" s="139" customFormat="1" x14ac:dyDescent="0.2">
      <c r="A95" s="144" t="b">
        <v>0</v>
      </c>
      <c r="B95" s="184" t="e">
        <f>#REF!+1</f>
        <v>#REF!</v>
      </c>
      <c r="C95" s="170"/>
      <c r="D95" s="313" t="s">
        <v>447</v>
      </c>
      <c r="E95" s="516"/>
      <c r="F95" s="516"/>
      <c r="G95" s="516"/>
      <c r="H95" s="516"/>
      <c r="I95" s="516"/>
      <c r="J95" s="516"/>
      <c r="K95" s="516"/>
      <c r="L95" s="516"/>
      <c r="M95" s="516"/>
      <c r="N95" s="516"/>
      <c r="O95" s="138"/>
      <c r="P95" s="137"/>
      <c r="Q95" s="138" t="str">
        <f>IF(A95=TRUE,"Old-design battery terminal cables present, replaced with new","Battery terminal cables of current design")</f>
        <v>Battery terminal cables of current design</v>
      </c>
    </row>
    <row r="96" spans="1:17" s="139" customFormat="1" x14ac:dyDescent="0.2">
      <c r="A96" s="144" t="b">
        <v>0</v>
      </c>
      <c r="B96" s="184" t="e">
        <f>B95+1</f>
        <v>#REF!</v>
      </c>
      <c r="C96" s="160"/>
      <c r="D96" s="313" t="s">
        <v>448</v>
      </c>
      <c r="E96" s="157"/>
      <c r="F96" s="157"/>
      <c r="G96" s="157"/>
      <c r="H96" s="157"/>
      <c r="I96" s="157"/>
      <c r="J96" s="157"/>
      <c r="K96" s="157"/>
      <c r="L96" s="157"/>
      <c r="M96" s="157"/>
      <c r="N96" s="157"/>
      <c r="O96" s="138" t="str">
        <f>IF(A96=TRUE,"Unit cleaned inside and out","")</f>
        <v/>
      </c>
      <c r="P96" s="137"/>
    </row>
    <row r="97" spans="1:28" s="139" customFormat="1" x14ac:dyDescent="0.2">
      <c r="A97" s="144" t="b">
        <v>0</v>
      </c>
      <c r="B97" s="184" t="e">
        <f>#REF!+1</f>
        <v>#REF!</v>
      </c>
      <c r="C97" s="170"/>
      <c r="D97" s="313" t="s">
        <v>449</v>
      </c>
      <c r="E97" s="490" t="s">
        <v>450</v>
      </c>
      <c r="F97" s="490"/>
      <c r="G97" s="490"/>
      <c r="H97" s="490"/>
      <c r="I97" s="490"/>
      <c r="J97" s="490"/>
      <c r="K97" s="490"/>
      <c r="L97" s="490"/>
      <c r="M97" s="490"/>
      <c r="N97" s="490"/>
      <c r="O97" s="138"/>
      <c r="P97" s="137"/>
      <c r="Q97" s="138" t="str">
        <f>IF(A97=TRUE,"Battery brackets secure and complete","Battery not secure in brackets, needed to be refurbished")</f>
        <v>Battery not secure in brackets, needed to be refurbished</v>
      </c>
    </row>
    <row r="98" spans="1:28" s="139" customFormat="1" x14ac:dyDescent="0.2">
      <c r="A98" s="144" t="b">
        <v>1</v>
      </c>
      <c r="B98" s="184"/>
      <c r="C98" s="485" t="s">
        <v>451</v>
      </c>
      <c r="D98" s="485"/>
      <c r="E98" s="485"/>
      <c r="F98" s="485"/>
      <c r="G98" s="485"/>
      <c r="H98" s="485"/>
      <c r="I98" s="485"/>
      <c r="J98" s="485"/>
      <c r="K98" s="485"/>
      <c r="L98" s="485"/>
      <c r="M98" s="485"/>
      <c r="N98" s="485"/>
      <c r="O98" s="485"/>
      <c r="P98" s="148"/>
    </row>
    <row r="99" spans="1:28" s="139" customFormat="1" x14ac:dyDescent="0.2">
      <c r="A99" s="144" t="e">
        <f>IF(S99&gt;=1, TRUE, FALSE)</f>
        <v>#REF!</v>
      </c>
      <c r="B99" s="184" t="e">
        <f>#REF!+1</f>
        <v>#REF!</v>
      </c>
      <c r="C99" s="188"/>
      <c r="D99" s="292"/>
      <c r="E99" s="157"/>
      <c r="F99" s="157"/>
      <c r="G99" s="157"/>
      <c r="H99" s="157"/>
      <c r="I99" s="157"/>
      <c r="J99" s="157"/>
      <c r="K99" s="157"/>
      <c r="L99" s="157"/>
      <c r="M99" s="157"/>
      <c r="N99" s="157"/>
      <c r="O99" s="138"/>
      <c r="P99" s="137"/>
      <c r="R99" s="139" t="e">
        <f>IF(A99=FALSE, TRUE, FALSE)</f>
        <v>#REF!</v>
      </c>
      <c r="S99" s="139" t="e">
        <f>D99-#REF!</f>
        <v>#REF!</v>
      </c>
    </row>
    <row r="100" spans="1:28" s="139" customFormat="1" x14ac:dyDescent="0.2">
      <c r="A100" s="144" t="b">
        <v>0</v>
      </c>
      <c r="B100" s="184" t="e">
        <f>#REF!+1</f>
        <v>#REF!</v>
      </c>
      <c r="C100" s="174"/>
      <c r="D100" s="312" t="s">
        <v>452</v>
      </c>
      <c r="E100" s="157"/>
      <c r="F100" s="157"/>
      <c r="G100" s="157"/>
      <c r="H100" s="157"/>
      <c r="I100" s="157"/>
      <c r="J100" s="157"/>
      <c r="K100" s="157"/>
      <c r="L100" s="157"/>
      <c r="M100" s="157"/>
      <c r="N100" s="157"/>
      <c r="P100" s="137"/>
      <c r="Q100" s="138" t="str">
        <f>IF(A100=TRUE,"High pressure seal integrity test PASS","High pressure seal integrity test failure, unit requires rework")</f>
        <v>High pressure seal integrity test failure, unit requires rework</v>
      </c>
    </row>
    <row r="101" spans="1:28" s="139" customFormat="1" x14ac:dyDescent="0.2">
      <c r="A101" s="144" t="b">
        <v>0</v>
      </c>
      <c r="B101" s="184" t="e">
        <f t="shared" si="3"/>
        <v>#REF!</v>
      </c>
      <c r="C101" s="174"/>
      <c r="D101" s="312" t="s">
        <v>453</v>
      </c>
      <c r="E101" s="157"/>
      <c r="F101" s="157"/>
      <c r="G101" s="157"/>
      <c r="H101" s="157"/>
      <c r="I101" s="157"/>
      <c r="J101" s="157"/>
      <c r="K101" s="157"/>
      <c r="L101" s="157"/>
      <c r="M101" s="157"/>
      <c r="N101" s="157"/>
      <c r="O101" s="138"/>
      <c r="P101" s="137"/>
    </row>
    <row r="102" spans="1:28" s="139" customFormat="1" x14ac:dyDescent="0.2">
      <c r="A102" s="144" t="b">
        <v>0</v>
      </c>
      <c r="B102" s="184" t="e">
        <f t="shared" si="3"/>
        <v>#REF!</v>
      </c>
      <c r="C102" s="174"/>
      <c r="D102" s="313" t="s">
        <v>454</v>
      </c>
      <c r="E102" s="175"/>
      <c r="F102" s="175"/>
      <c r="G102" s="175"/>
      <c r="H102" s="175"/>
      <c r="I102" s="175"/>
      <c r="J102" s="175"/>
      <c r="K102" s="175"/>
      <c r="L102" s="175"/>
      <c r="M102" s="175"/>
      <c r="N102" s="157"/>
      <c r="O102" s="138"/>
      <c r="P102" s="137"/>
    </row>
    <row r="103" spans="1:28" s="139" customFormat="1" x14ac:dyDescent="0.2">
      <c r="A103" s="144" t="b">
        <v>0</v>
      </c>
      <c r="B103" s="184" t="e">
        <f>#REF!+1</f>
        <v>#REF!</v>
      </c>
      <c r="C103" s="188" t="s">
        <v>455</v>
      </c>
      <c r="D103" s="316" t="s">
        <v>321</v>
      </c>
      <c r="E103" s="163"/>
      <c r="F103" s="163"/>
      <c r="G103" s="163"/>
      <c r="H103" s="163"/>
      <c r="I103" s="163"/>
      <c r="J103" s="163"/>
      <c r="K103" s="163"/>
      <c r="L103" s="163"/>
      <c r="M103" s="163"/>
      <c r="O103" s="138"/>
      <c r="P103" s="137"/>
    </row>
    <row r="104" spans="1:28" s="139" customFormat="1" x14ac:dyDescent="0.2">
      <c r="A104" s="144" t="b">
        <v>0</v>
      </c>
      <c r="B104" s="184" t="e">
        <f t="shared" si="3"/>
        <v>#REF!</v>
      </c>
      <c r="C104" s="188" t="s">
        <v>456</v>
      </c>
      <c r="D104" s="317"/>
      <c r="E104" s="163"/>
      <c r="F104" s="163"/>
      <c r="G104" s="163"/>
      <c r="H104" s="163"/>
      <c r="I104" s="163"/>
      <c r="J104" s="163"/>
      <c r="K104" s="163"/>
      <c r="L104" s="163"/>
      <c r="M104" s="163"/>
      <c r="O104" s="138"/>
      <c r="P104" s="137"/>
    </row>
    <row r="105" spans="1:28" s="139" customFormat="1" ht="15.75" x14ac:dyDescent="0.2">
      <c r="A105" s="144" t="b">
        <v>0</v>
      </c>
      <c r="B105" s="184" t="e">
        <f t="shared" si="3"/>
        <v>#REF!</v>
      </c>
      <c r="C105" s="188" t="s">
        <v>457</v>
      </c>
      <c r="D105" s="302"/>
      <c r="E105" s="487" t="s">
        <v>372</v>
      </c>
      <c r="F105" s="487"/>
      <c r="G105" s="488" t="str">
        <f>IF(D105=D18,"ON TIME",IF(D105&gt;D18,"LATE",IF(D105&lt;D18,"EARLY")))</f>
        <v>ON TIME</v>
      </c>
      <c r="H105" s="488"/>
      <c r="I105" s="488"/>
      <c r="J105" s="488"/>
      <c r="K105" s="488"/>
      <c r="L105" s="488"/>
      <c r="M105" s="488"/>
      <c r="N105" s="488"/>
      <c r="O105" s="145"/>
      <c r="P105" s="136"/>
    </row>
    <row r="106" spans="1:28" s="139" customFormat="1" x14ac:dyDescent="0.2">
      <c r="A106" s="144" t="b">
        <v>0</v>
      </c>
      <c r="B106" s="184"/>
      <c r="C106" s="485" t="s">
        <v>458</v>
      </c>
      <c r="D106" s="485"/>
      <c r="E106" s="485"/>
      <c r="F106" s="485"/>
      <c r="G106" s="485"/>
      <c r="H106" s="485"/>
      <c r="I106" s="485"/>
      <c r="J106" s="485"/>
      <c r="K106" s="485"/>
      <c r="L106" s="485"/>
      <c r="M106" s="485"/>
      <c r="N106" s="485"/>
      <c r="O106" s="485"/>
      <c r="P106" s="137"/>
    </row>
    <row r="107" spans="1:28" s="139" customFormat="1" ht="15.75" x14ac:dyDescent="0.2">
      <c r="A107" s="144" t="b">
        <v>0</v>
      </c>
      <c r="B107" s="184" t="e">
        <f>B105+1</f>
        <v>#REF!</v>
      </c>
      <c r="C107" s="188" t="s">
        <v>459</v>
      </c>
      <c r="D107" s="299"/>
      <c r="E107" s="487" t="s">
        <v>372</v>
      </c>
      <c r="F107" s="487"/>
      <c r="G107" s="515" t="str">
        <f>IF(D107=D18,"ON TIME",IF(D107&gt;D18,"LATE",IF(D107&lt;D18,"EARLY")))</f>
        <v>ON TIME</v>
      </c>
      <c r="H107" s="515"/>
      <c r="I107" s="515"/>
      <c r="J107" s="515"/>
      <c r="K107" s="515"/>
      <c r="L107" s="515"/>
      <c r="M107" s="515"/>
      <c r="N107" s="515"/>
      <c r="O107" s="176"/>
      <c r="P107" s="137"/>
    </row>
    <row r="108" spans="1:28" s="139" customFormat="1" x14ac:dyDescent="0.2">
      <c r="A108" s="144" t="b">
        <v>0</v>
      </c>
      <c r="B108" s="184" t="e">
        <f>B107+1</f>
        <v>#REF!</v>
      </c>
      <c r="C108" s="188" t="s">
        <v>460</v>
      </c>
      <c r="D108" s="314"/>
      <c r="E108" s="157"/>
      <c r="G108" s="152"/>
      <c r="H108" s="152"/>
      <c r="I108" s="152"/>
      <c r="J108" s="152"/>
      <c r="L108" s="145"/>
      <c r="M108" s="145"/>
      <c r="N108" s="145"/>
      <c r="O108" s="138"/>
      <c r="P108" s="137"/>
      <c r="Q108" s="138" t="str">
        <f>IF(A108=TRUE,"Unit calibrated successfully"," ")</f>
        <v xml:space="preserve"> </v>
      </c>
    </row>
    <row r="109" spans="1:28" s="139" customFormat="1" x14ac:dyDescent="0.2">
      <c r="A109" s="144" t="b">
        <v>1</v>
      </c>
      <c r="B109" s="184" t="e">
        <f>B108+1</f>
        <v>#REF!</v>
      </c>
      <c r="C109" s="188" t="s">
        <v>461</v>
      </c>
      <c r="D109" s="316" t="s">
        <v>321</v>
      </c>
      <c r="E109" s="163"/>
      <c r="F109" s="163"/>
      <c r="G109" s="163"/>
      <c r="H109" s="163"/>
      <c r="I109" s="163"/>
      <c r="J109" s="163"/>
      <c r="K109" s="163"/>
      <c r="L109" s="163"/>
      <c r="M109" s="163"/>
      <c r="O109" s="138"/>
      <c r="P109" s="137"/>
    </row>
    <row r="110" spans="1:28" s="139" customFormat="1" ht="15.75" x14ac:dyDescent="0.2">
      <c r="A110" s="144" t="b">
        <v>1</v>
      </c>
      <c r="B110" s="184"/>
      <c r="C110" s="517" t="s">
        <v>462</v>
      </c>
      <c r="D110" s="517"/>
      <c r="E110" s="517"/>
      <c r="F110" s="517"/>
      <c r="G110" s="517"/>
      <c r="H110" s="517"/>
      <c r="I110" s="517"/>
      <c r="J110" s="517"/>
      <c r="K110" s="517"/>
      <c r="L110" s="517"/>
      <c r="M110" s="517"/>
      <c r="N110" s="517"/>
      <c r="O110" s="517"/>
      <c r="P110" s="137"/>
    </row>
    <row r="111" spans="1:28" s="139" customFormat="1" x14ac:dyDescent="0.2">
      <c r="A111" s="144" t="b">
        <v>1</v>
      </c>
      <c r="B111" s="184" t="e">
        <f>B109+1</f>
        <v>#REF!</v>
      </c>
      <c r="C111" s="150" t="s">
        <v>459</v>
      </c>
      <c r="D111" s="302"/>
      <c r="E111" s="177"/>
      <c r="F111" s="177"/>
      <c r="G111" s="177"/>
      <c r="H111" s="142"/>
      <c r="I111" s="177"/>
      <c r="J111" s="135"/>
      <c r="K111" s="157"/>
      <c r="L111" s="157"/>
      <c r="M111" s="157"/>
      <c r="N111" s="157"/>
      <c r="O111" s="138"/>
      <c r="P111" s="137"/>
      <c r="Z111" s="177"/>
      <c r="AA111" s="177"/>
      <c r="AB111" s="177"/>
    </row>
    <row r="112" spans="1:28" s="139" customFormat="1" x14ac:dyDescent="0.2">
      <c r="A112" s="144" t="b">
        <v>0</v>
      </c>
      <c r="B112" s="184" t="e">
        <f>B111+1</f>
        <v>#REF!</v>
      </c>
      <c r="C112" s="150" t="s">
        <v>463</v>
      </c>
      <c r="D112" s="317">
        <f>D5</f>
        <v>-1</v>
      </c>
      <c r="F112" s="178"/>
      <c r="J112" s="135"/>
      <c r="K112" s="157"/>
      <c r="L112" s="157"/>
      <c r="M112" s="157"/>
      <c r="N112" s="157"/>
      <c r="O112" s="138"/>
      <c r="P112" s="137"/>
      <c r="Z112" s="177"/>
      <c r="AA112" s="177"/>
      <c r="AB112" s="177"/>
    </row>
    <row r="113" spans="1:28" s="139" customFormat="1" x14ac:dyDescent="0.2">
      <c r="A113" s="144" t="b">
        <v>0</v>
      </c>
      <c r="B113" s="184" t="e">
        <f>B112+1</f>
        <v>#REF!</v>
      </c>
      <c r="C113" t="s">
        <v>464</v>
      </c>
      <c r="D113" s="314"/>
      <c r="E113" s="518" t="s">
        <v>465</v>
      </c>
      <c r="F113" s="513"/>
      <c r="G113" s="513"/>
      <c r="H113" s="513"/>
      <c r="I113" s="513"/>
      <c r="J113" s="513"/>
      <c r="K113" s="513"/>
      <c r="L113" s="513"/>
      <c r="M113" s="513"/>
      <c r="N113" s="513"/>
      <c r="O113" s="138"/>
      <c r="P113" s="137"/>
      <c r="Z113" s="177"/>
      <c r="AA113" s="177"/>
      <c r="AB113" s="177"/>
    </row>
    <row r="114" spans="1:28" s="139" customFormat="1" x14ac:dyDescent="0.2">
      <c r="A114" s="144" t="b">
        <v>1</v>
      </c>
      <c r="B114" s="184"/>
      <c r="C114" s="485" t="s">
        <v>466</v>
      </c>
      <c r="D114" s="485"/>
      <c r="E114" s="485"/>
      <c r="F114" s="485"/>
      <c r="G114" s="485"/>
      <c r="H114" s="485"/>
      <c r="I114" s="485"/>
      <c r="J114" s="485"/>
      <c r="K114" s="485"/>
      <c r="L114" s="485"/>
      <c r="M114" s="485"/>
      <c r="N114" s="135"/>
      <c r="O114" s="138"/>
      <c r="P114" s="137"/>
      <c r="Z114" s="177"/>
      <c r="AA114" s="177"/>
      <c r="AB114" s="177"/>
    </row>
    <row r="115" spans="1:28" s="139" customFormat="1" x14ac:dyDescent="0.2">
      <c r="A115" s="144" t="b">
        <v>0</v>
      </c>
      <c r="B115" s="184" t="e">
        <f>B113+1</f>
        <v>#REF!</v>
      </c>
      <c r="C115" s="150" t="s">
        <v>467</v>
      </c>
      <c r="D115" s="317"/>
      <c r="F115" s="318" t="s">
        <v>468</v>
      </c>
      <c r="G115" s="319" t="s">
        <v>4</v>
      </c>
      <c r="H115" s="319" t="s">
        <v>469</v>
      </c>
      <c r="I115" s="135"/>
      <c r="J115" s="138"/>
      <c r="K115" s="135"/>
      <c r="L115" s="135"/>
      <c r="M115" s="135"/>
      <c r="N115" s="135"/>
      <c r="P115" s="137"/>
      <c r="Z115" s="177"/>
      <c r="AA115" s="177"/>
      <c r="AB115" s="177"/>
    </row>
    <row r="116" spans="1:28" s="139" customFormat="1" x14ac:dyDescent="0.2">
      <c r="A116" s="144" t="b">
        <v>0</v>
      </c>
      <c r="B116" s="184" t="e">
        <f>B115+1</f>
        <v>#REF!</v>
      </c>
      <c r="C116" s="150" t="s">
        <v>470</v>
      </c>
      <c r="D116" s="317"/>
      <c r="F116" s="319">
        <v>1</v>
      </c>
      <c r="G116" s="320">
        <v>4</v>
      </c>
      <c r="H116" s="321">
        <f>'Auto-Calibration record'!$B$65</f>
        <v>78</v>
      </c>
      <c r="I116" s="135"/>
      <c r="J116" s="138"/>
      <c r="K116" s="135"/>
      <c r="L116" s="135"/>
      <c r="M116" s="135"/>
      <c r="N116" s="135"/>
      <c r="P116" s="137"/>
      <c r="Q116" s="138" t="str">
        <f>IF(A116=TRUE,"Calibrated thresholds verified against thresholds programmed in unit","Thresholds on certificate do not match those programmed in unit ")</f>
        <v xml:space="preserve">Thresholds on certificate do not match those programmed in unit </v>
      </c>
      <c r="Z116" s="177"/>
      <c r="AA116" s="177"/>
      <c r="AB116" s="177"/>
    </row>
    <row r="117" spans="1:28" s="139" customFormat="1" x14ac:dyDescent="0.2">
      <c r="A117" s="144" t="b">
        <v>0</v>
      </c>
      <c r="B117" s="184" t="e">
        <f t="shared" ref="B117:B129" si="4">B116+1</f>
        <v>#REF!</v>
      </c>
      <c r="C117" s="150" t="s">
        <v>471</v>
      </c>
      <c r="D117" s="322">
        <f>IF(A34=TRUE,1,2)</f>
        <v>2</v>
      </c>
      <c r="F117" s="319">
        <f t="shared" ref="F117:F120" si="5">F116+1</f>
        <v>2</v>
      </c>
      <c r="G117" s="320">
        <v>6</v>
      </c>
      <c r="H117" s="321">
        <f>'Auto-Calibration record'!$C$65</f>
        <v>188</v>
      </c>
      <c r="I117" s="135"/>
      <c r="J117" s="138"/>
      <c r="K117" s="135"/>
      <c r="L117" s="135"/>
      <c r="M117" s="135"/>
      <c r="N117" s="135"/>
      <c r="P117" s="137"/>
      <c r="Z117" s="177"/>
      <c r="AA117" s="177"/>
      <c r="AB117" s="177"/>
    </row>
    <row r="118" spans="1:28" s="139" customFormat="1" x14ac:dyDescent="0.2">
      <c r="A118" s="144" t="b">
        <v>0</v>
      </c>
      <c r="B118" s="184" t="e">
        <f t="shared" si="4"/>
        <v>#REF!</v>
      </c>
      <c r="C118" s="150" t="s">
        <v>472</v>
      </c>
      <c r="D118" s="323">
        <f>IF(A35=TRUE,1,2)</f>
        <v>2</v>
      </c>
      <c r="F118" s="319">
        <f t="shared" si="5"/>
        <v>3</v>
      </c>
      <c r="G118" s="320">
        <v>14</v>
      </c>
      <c r="H118" s="321">
        <f>'Auto-Calibration record'!$D$65</f>
        <v>1018</v>
      </c>
      <c r="I118" s="215"/>
      <c r="J118" s="216"/>
      <c r="K118" s="135"/>
      <c r="L118" s="135"/>
      <c r="M118" s="135"/>
      <c r="N118" s="135"/>
      <c r="P118" s="137"/>
      <c r="Z118" s="177"/>
      <c r="AA118" s="177"/>
      <c r="AB118" s="177"/>
    </row>
    <row r="119" spans="1:28" s="139" customFormat="1" x14ac:dyDescent="0.2">
      <c r="A119" s="144" t="b">
        <v>0</v>
      </c>
      <c r="B119" s="184" t="e">
        <f t="shared" si="4"/>
        <v>#REF!</v>
      </c>
      <c r="C119" s="150" t="s">
        <v>473</v>
      </c>
      <c r="D119" s="324">
        <f>D5</f>
        <v>-1</v>
      </c>
      <c r="F119" s="319">
        <f t="shared" si="5"/>
        <v>4</v>
      </c>
      <c r="G119" s="320">
        <v>21</v>
      </c>
      <c r="H119" s="321">
        <f>'Auto-Calibration record'!$E$65</f>
        <v>2074</v>
      </c>
      <c r="I119" s="215"/>
      <c r="J119" s="216"/>
      <c r="K119" s="135"/>
      <c r="L119" s="135"/>
      <c r="M119" s="135"/>
      <c r="N119" s="135"/>
      <c r="P119" s="137"/>
      <c r="Z119" s="177"/>
      <c r="AA119" s="177"/>
      <c r="AB119" s="177"/>
    </row>
    <row r="120" spans="1:28" s="139" customFormat="1" x14ac:dyDescent="0.2">
      <c r="A120" s="144" t="b">
        <v>0</v>
      </c>
      <c r="B120" s="184" t="e">
        <f t="shared" si="4"/>
        <v>#REF!</v>
      </c>
      <c r="C120" s="150" t="s">
        <v>474</v>
      </c>
      <c r="D120" s="325">
        <f>D48</f>
        <v>0</v>
      </c>
      <c r="F120" s="319">
        <f t="shared" si="5"/>
        <v>5</v>
      </c>
      <c r="G120" s="320">
        <v>25</v>
      </c>
      <c r="H120" s="321">
        <f>'Auto-Calibration record'!$F$65</f>
        <v>2990</v>
      </c>
      <c r="I120" s="215"/>
      <c r="J120" s="216"/>
      <c r="K120" s="135"/>
      <c r="L120" s="135"/>
      <c r="M120" s="135"/>
      <c r="N120" s="135"/>
      <c r="P120" s="137"/>
      <c r="Z120" s="177"/>
      <c r="AA120" s="177"/>
      <c r="AB120" s="177"/>
    </row>
    <row r="121" spans="1:28" s="139" customFormat="1" x14ac:dyDescent="0.2">
      <c r="A121" s="144" t="b">
        <v>0</v>
      </c>
      <c r="B121" s="184" t="e">
        <f t="shared" si="4"/>
        <v>#REF!</v>
      </c>
      <c r="C121" s="150" t="s">
        <v>475</v>
      </c>
      <c r="D121" s="326">
        <f>D107+365</f>
        <v>365</v>
      </c>
      <c r="F121" s="319">
        <f>F120+1</f>
        <v>6</v>
      </c>
      <c r="G121" s="320">
        <v>38</v>
      </c>
      <c r="H121" s="321">
        <f>'Auto-Calibration record'!$G$65</f>
        <v>10008</v>
      </c>
      <c r="I121" s="215"/>
      <c r="J121" s="216"/>
      <c r="K121" s="135"/>
      <c r="L121" s="135"/>
      <c r="M121" s="135"/>
      <c r="N121" s="135"/>
      <c r="P121" s="137"/>
      <c r="Z121" s="177"/>
      <c r="AA121" s="177"/>
      <c r="AB121" s="177"/>
    </row>
    <row r="122" spans="1:28" s="139" customFormat="1" x14ac:dyDescent="0.2">
      <c r="A122" s="144" t="b">
        <v>0</v>
      </c>
      <c r="B122" s="184" t="e">
        <f t="shared" si="4"/>
        <v>#REF!</v>
      </c>
      <c r="C122" s="150" t="s">
        <v>476</v>
      </c>
      <c r="D122" s="317"/>
      <c r="F122" s="319">
        <f>F121+1</f>
        <v>7</v>
      </c>
      <c r="G122" s="320">
        <v>50</v>
      </c>
      <c r="H122" s="321">
        <f>'Auto-Calibration record'!$H$65</f>
        <v>16418</v>
      </c>
      <c r="I122" s="215"/>
      <c r="J122" s="216"/>
      <c r="K122" s="135"/>
      <c r="L122" s="135"/>
      <c r="M122" s="135"/>
      <c r="P122" s="137"/>
      <c r="Z122" s="177"/>
      <c r="AA122" s="177"/>
      <c r="AB122" s="177"/>
    </row>
    <row r="123" spans="1:28" s="139" customFormat="1" x14ac:dyDescent="0.2">
      <c r="A123" s="144" t="b">
        <v>0</v>
      </c>
      <c r="B123" s="184" t="e">
        <f t="shared" si="4"/>
        <v>#REF!</v>
      </c>
      <c r="C123" s="150" t="s">
        <v>477</v>
      </c>
      <c r="D123" s="317">
        <f>D43</f>
        <v>0</v>
      </c>
      <c r="E123" s="135"/>
      <c r="F123" s="319">
        <f>F122+1</f>
        <v>8</v>
      </c>
      <c r="G123" s="320">
        <v>70</v>
      </c>
      <c r="H123" s="321">
        <f>'Auto-Calibration record'!$I$65</f>
        <v>24602</v>
      </c>
      <c r="I123" s="157"/>
      <c r="J123" s="157"/>
      <c r="K123" s="157"/>
      <c r="L123" s="157"/>
      <c r="M123" s="157"/>
      <c r="N123" s="157"/>
      <c r="O123" s="157"/>
      <c r="P123" s="157"/>
      <c r="Q123" s="157"/>
      <c r="R123" s="138"/>
    </row>
    <row r="124" spans="1:28" s="139" customFormat="1" x14ac:dyDescent="0.2">
      <c r="A124" s="144" t="b">
        <v>0</v>
      </c>
      <c r="B124" s="184" t="e">
        <f>B157+1</f>
        <v>#REF!</v>
      </c>
      <c r="C124" s="150" t="s">
        <v>478</v>
      </c>
      <c r="D124" s="317">
        <f>D52</f>
        <v>0</v>
      </c>
      <c r="E124" s="135"/>
      <c r="I124" s="135"/>
      <c r="J124" s="135"/>
      <c r="K124" s="135"/>
      <c r="L124" s="135"/>
      <c r="M124" s="135"/>
      <c r="N124" s="135"/>
      <c r="P124" s="137"/>
      <c r="Q124" s="138" t="str">
        <f>IF(A124= TRUE,"Cycle counter tested PASS","Cycle counter found to be faulty and repaired")</f>
        <v>Cycle counter found to be faulty and repaired</v>
      </c>
    </row>
    <row r="125" spans="1:28" s="139" customFormat="1" x14ac:dyDescent="0.2">
      <c r="A125" s="144"/>
      <c r="B125" s="184" t="e">
        <f t="shared" si="4"/>
        <v>#REF!</v>
      </c>
      <c r="C125" s="150" t="s">
        <v>479</v>
      </c>
      <c r="D125" s="317"/>
      <c r="E125" s="135"/>
      <c r="I125" s="135"/>
      <c r="J125" s="135"/>
      <c r="K125" s="135"/>
      <c r="L125" s="135"/>
      <c r="M125" s="135"/>
      <c r="N125" s="135"/>
      <c r="O125" s="138"/>
      <c r="P125" s="137"/>
    </row>
    <row r="126" spans="1:28" s="139" customFormat="1" x14ac:dyDescent="0.2">
      <c r="A126" s="144"/>
      <c r="B126" s="184" t="e">
        <f t="shared" si="4"/>
        <v>#REF!</v>
      </c>
      <c r="C126" s="150" t="s">
        <v>480</v>
      </c>
      <c r="D126" s="317"/>
      <c r="E126" s="135"/>
      <c r="I126" s="135"/>
      <c r="J126" s="135"/>
      <c r="K126" s="135"/>
      <c r="L126" s="135"/>
      <c r="M126" s="135"/>
      <c r="N126" s="135"/>
      <c r="O126" s="138"/>
      <c r="P126" s="137"/>
    </row>
    <row r="127" spans="1:28" s="139" customFormat="1" x14ac:dyDescent="0.2">
      <c r="A127" s="144"/>
      <c r="B127" s="184" t="e">
        <f t="shared" si="4"/>
        <v>#REF!</v>
      </c>
      <c r="C127" s="150" t="s">
        <v>481</v>
      </c>
      <c r="D127" s="316"/>
      <c r="E127" s="135"/>
      <c r="I127" s="135"/>
      <c r="J127" s="135"/>
      <c r="K127" s="135"/>
      <c r="L127" s="135"/>
      <c r="M127" s="135"/>
      <c r="N127" s="135"/>
      <c r="O127" s="138"/>
      <c r="P127" s="137"/>
    </row>
    <row r="128" spans="1:28" s="139" customFormat="1" ht="13.9" customHeight="1" x14ac:dyDescent="0.2">
      <c r="A128" s="144" t="b">
        <v>0</v>
      </c>
      <c r="B128" s="184" t="e">
        <f t="shared" si="4"/>
        <v>#REF!</v>
      </c>
      <c r="C128" s="150" t="s">
        <v>482</v>
      </c>
      <c r="D128" s="317"/>
      <c r="E128" s="135"/>
      <c r="I128" s="135"/>
      <c r="J128" s="135"/>
      <c r="K128" s="135"/>
      <c r="L128" s="135"/>
      <c r="M128" s="135"/>
      <c r="N128" s="135"/>
      <c r="O128" s="138"/>
      <c r="P128" s="137"/>
    </row>
    <row r="129" spans="1:17" s="139" customFormat="1" x14ac:dyDescent="0.2">
      <c r="A129" s="144" t="b">
        <v>0</v>
      </c>
      <c r="B129" s="184" t="e">
        <f t="shared" si="4"/>
        <v>#REF!</v>
      </c>
      <c r="C129" s="150" t="s">
        <v>483</v>
      </c>
      <c r="D129" s="317"/>
      <c r="E129" s="135"/>
      <c r="I129" s="135"/>
      <c r="J129" s="135"/>
      <c r="K129" s="135"/>
      <c r="L129" s="135"/>
      <c r="M129" s="135"/>
      <c r="N129" s="135"/>
      <c r="O129" s="138"/>
      <c r="P129" s="137"/>
    </row>
    <row r="130" spans="1:17" s="139" customFormat="1" x14ac:dyDescent="0.2">
      <c r="A130" s="144" t="b">
        <v>0</v>
      </c>
      <c r="B130" s="184" t="e">
        <f>#REF!+1</f>
        <v>#REF!</v>
      </c>
      <c r="C130" s="150" t="s">
        <v>484</v>
      </c>
      <c r="D130" s="317"/>
      <c r="E130" s="135"/>
      <c r="I130" s="135"/>
      <c r="J130" s="135"/>
      <c r="K130" s="135"/>
      <c r="L130" s="135"/>
      <c r="M130" s="135"/>
      <c r="N130" s="135"/>
      <c r="O130" s="138"/>
      <c r="P130" s="137"/>
      <c r="Q130" s="138" t="str">
        <f>IF(A130= TRUE,"Battery parameters reset for full discharge and charge","")</f>
        <v/>
      </c>
    </row>
    <row r="131" spans="1:17" s="139" customFormat="1" x14ac:dyDescent="0.2">
      <c r="A131" s="144"/>
      <c r="B131" s="184"/>
      <c r="C131" s="150" t="s">
        <v>485</v>
      </c>
      <c r="D131" s="317"/>
      <c r="E131" s="135"/>
      <c r="I131" s="135"/>
      <c r="J131" s="135"/>
      <c r="K131" s="135"/>
      <c r="L131" s="135"/>
      <c r="M131" s="135"/>
      <c r="N131" s="135"/>
      <c r="O131" s="138"/>
      <c r="P131" s="137"/>
      <c r="Q131" s="138"/>
    </row>
    <row r="132" spans="1:17" s="139" customFormat="1" x14ac:dyDescent="0.2">
      <c r="A132" s="144" t="b">
        <v>0</v>
      </c>
      <c r="B132" s="184" t="e">
        <f>B130+1</f>
        <v>#REF!</v>
      </c>
      <c r="C132" s="150" t="s">
        <v>486</v>
      </c>
      <c r="D132" s="317"/>
      <c r="E132" s="135"/>
      <c r="I132" s="135"/>
      <c r="J132" s="135"/>
      <c r="K132" s="135"/>
      <c r="L132" s="135"/>
      <c r="M132" s="135"/>
      <c r="N132" s="135"/>
      <c r="O132" s="138"/>
      <c r="P132" s="137"/>
    </row>
    <row r="133" spans="1:17" s="139" customFormat="1" x14ac:dyDescent="0.2">
      <c r="A133" s="144" t="b">
        <v>0</v>
      </c>
      <c r="B133" s="184"/>
      <c r="C133" s="485" t="s">
        <v>487</v>
      </c>
      <c r="D133" s="485"/>
      <c r="F133" s="135"/>
      <c r="H133" s="135"/>
      <c r="J133" s="135"/>
      <c r="K133" s="135"/>
      <c r="L133" s="135"/>
      <c r="M133" s="135"/>
      <c r="N133" s="135"/>
      <c r="O133" s="138"/>
      <c r="P133" s="137"/>
    </row>
    <row r="134" spans="1:17" s="139" customFormat="1" x14ac:dyDescent="0.2">
      <c r="A134" s="144" t="b">
        <v>0</v>
      </c>
      <c r="B134" s="184" t="e">
        <f>B132+1</f>
        <v>#REF!</v>
      </c>
      <c r="C134" s="150" t="s">
        <v>488</v>
      </c>
      <c r="D134" s="317"/>
      <c r="F134" s="135"/>
      <c r="H134" s="135"/>
      <c r="J134" s="135"/>
      <c r="K134" s="135"/>
      <c r="L134" s="135"/>
      <c r="M134" s="135"/>
      <c r="N134" s="135"/>
      <c r="O134" s="138"/>
      <c r="P134" s="137"/>
    </row>
    <row r="135" spans="1:17" s="139" customFormat="1" x14ac:dyDescent="0.2">
      <c r="A135" s="144" t="b">
        <v>0</v>
      </c>
      <c r="B135" s="184" t="e">
        <f t="shared" ref="B135:B154" si="6">B134+1</f>
        <v>#REF!</v>
      </c>
      <c r="C135" s="150" t="s">
        <v>489</v>
      </c>
      <c r="D135" s="317" t="str">
        <f>D54</f>
        <v>-</v>
      </c>
      <c r="F135" s="135"/>
      <c r="H135" s="135"/>
      <c r="J135" s="135"/>
      <c r="K135" s="135"/>
      <c r="L135" s="135"/>
      <c r="M135" s="135"/>
      <c r="N135" s="135"/>
      <c r="O135" s="138"/>
      <c r="P135" s="137"/>
    </row>
    <row r="136" spans="1:17" s="139" customFormat="1" x14ac:dyDescent="0.2">
      <c r="A136" s="144" t="b">
        <v>0</v>
      </c>
      <c r="B136" s="184" t="e">
        <f t="shared" si="6"/>
        <v>#REF!</v>
      </c>
      <c r="C136" s="150" t="s">
        <v>490</v>
      </c>
      <c r="D136" s="325"/>
      <c r="F136" s="135"/>
      <c r="H136" s="135"/>
      <c r="J136" s="135"/>
      <c r="K136" s="135"/>
      <c r="L136" s="135"/>
      <c r="M136" s="135"/>
      <c r="N136" s="135"/>
      <c r="O136" s="138"/>
      <c r="P136" s="137"/>
    </row>
    <row r="137" spans="1:17" s="139" customFormat="1" x14ac:dyDescent="0.2">
      <c r="A137" s="144" t="b">
        <v>0</v>
      </c>
      <c r="B137" s="184" t="e">
        <f t="shared" si="6"/>
        <v>#REF!</v>
      </c>
      <c r="C137" s="150" t="s">
        <v>491</v>
      </c>
      <c r="D137" s="323">
        <f>IF(A56=TRUE,1,2)</f>
        <v>2</v>
      </c>
      <c r="F137" s="135"/>
      <c r="H137" s="135"/>
      <c r="J137" s="135"/>
      <c r="K137" s="135"/>
      <c r="L137" s="135"/>
      <c r="M137" s="135"/>
      <c r="N137" s="135"/>
      <c r="O137" s="138"/>
      <c r="P137" s="137"/>
    </row>
    <row r="138" spans="1:17" s="139" customFormat="1" x14ac:dyDescent="0.2">
      <c r="A138" s="144" t="b">
        <v>0</v>
      </c>
      <c r="B138" s="184" t="e">
        <f t="shared" si="6"/>
        <v>#REF!</v>
      </c>
      <c r="C138" s="150" t="s">
        <v>492</v>
      </c>
      <c r="D138" s="323">
        <f>IF(A57=TRUE,1,2)</f>
        <v>2</v>
      </c>
      <c r="F138" s="135"/>
      <c r="H138" s="135"/>
      <c r="J138" s="135"/>
      <c r="K138" s="135"/>
      <c r="L138" s="135"/>
      <c r="M138" s="135"/>
      <c r="N138" s="135"/>
      <c r="O138" s="138"/>
      <c r="P138" s="137"/>
    </row>
    <row r="139" spans="1:17" s="139" customFormat="1" x14ac:dyDescent="0.2">
      <c r="A139" s="144" t="b">
        <v>0</v>
      </c>
      <c r="B139" s="184" t="e">
        <f t="shared" si="6"/>
        <v>#REF!</v>
      </c>
      <c r="C139" s="150" t="s">
        <v>493</v>
      </c>
      <c r="D139" s="317"/>
      <c r="F139" s="135"/>
      <c r="H139" s="135"/>
      <c r="J139" s="135"/>
      <c r="K139" s="135"/>
      <c r="L139" s="135"/>
      <c r="M139" s="135"/>
      <c r="N139" s="135"/>
      <c r="O139" s="138"/>
      <c r="P139" s="137"/>
    </row>
    <row r="140" spans="1:17" s="139" customFormat="1" x14ac:dyDescent="0.2">
      <c r="A140" s="144" t="b">
        <v>0</v>
      </c>
      <c r="B140" s="184" t="e">
        <f t="shared" si="6"/>
        <v>#REF!</v>
      </c>
      <c r="C140" s="163" t="s">
        <v>494</v>
      </c>
      <c r="D140" s="323">
        <f>IF(A60=TRUE,1,2)</f>
        <v>2</v>
      </c>
      <c r="F140" s="135"/>
      <c r="H140" s="135"/>
      <c r="J140" s="135"/>
      <c r="K140" s="135"/>
      <c r="L140" s="135"/>
      <c r="M140" s="135"/>
      <c r="N140" s="135"/>
      <c r="O140" s="138"/>
      <c r="P140" s="137"/>
    </row>
    <row r="141" spans="1:17" s="139" customFormat="1" x14ac:dyDescent="0.2">
      <c r="A141" s="144" t="b">
        <v>0</v>
      </c>
      <c r="B141" s="184" t="e">
        <f t="shared" si="6"/>
        <v>#REF!</v>
      </c>
      <c r="C141" s="150" t="s">
        <v>495</v>
      </c>
      <c r="D141" s="317"/>
      <c r="F141" s="135"/>
      <c r="H141" s="135"/>
      <c r="J141" s="135"/>
      <c r="K141" s="135"/>
      <c r="L141" s="135"/>
      <c r="M141" s="135"/>
      <c r="N141" s="135"/>
      <c r="O141" s="138"/>
      <c r="P141" s="137"/>
    </row>
    <row r="142" spans="1:17" s="139" customFormat="1" x14ac:dyDescent="0.2">
      <c r="A142" s="144" t="b">
        <v>0</v>
      </c>
      <c r="B142" s="184" t="e">
        <f t="shared" si="6"/>
        <v>#REF!</v>
      </c>
      <c r="C142" s="150" t="s">
        <v>496</v>
      </c>
      <c r="D142" s="317">
        <f>D63</f>
        <v>0</v>
      </c>
      <c r="F142" s="135"/>
      <c r="H142" s="135"/>
      <c r="J142" s="135"/>
      <c r="K142" s="135"/>
      <c r="L142" s="135"/>
      <c r="M142" s="135"/>
      <c r="N142" s="135"/>
      <c r="O142" s="138"/>
      <c r="P142" s="137"/>
    </row>
    <row r="143" spans="1:17" s="139" customFormat="1" x14ac:dyDescent="0.2">
      <c r="A143" s="144" t="b">
        <v>0</v>
      </c>
      <c r="B143" s="184" t="e">
        <f>#REF!+1</f>
        <v>#REF!</v>
      </c>
      <c r="C143" s="150" t="s">
        <v>497</v>
      </c>
      <c r="D143" s="317">
        <f>D65</f>
        <v>0</v>
      </c>
      <c r="F143" s="135"/>
      <c r="H143" s="135"/>
      <c r="J143" s="135"/>
      <c r="K143" s="135"/>
      <c r="L143" s="135"/>
      <c r="M143" s="135"/>
      <c r="N143" s="135"/>
      <c r="O143" s="138"/>
      <c r="P143" s="137"/>
    </row>
    <row r="144" spans="1:17" s="139" customFormat="1" x14ac:dyDescent="0.2">
      <c r="A144" s="144" t="b">
        <v>0</v>
      </c>
      <c r="B144" s="184" t="e">
        <f t="shared" si="6"/>
        <v>#REF!</v>
      </c>
      <c r="C144" s="150" t="s">
        <v>498</v>
      </c>
      <c r="D144" s="317">
        <f>D66</f>
        <v>0</v>
      </c>
      <c r="F144" s="135"/>
      <c r="H144" s="135"/>
      <c r="J144" s="135"/>
      <c r="K144" s="135"/>
      <c r="L144" s="135"/>
      <c r="M144" s="135"/>
      <c r="N144" s="135"/>
      <c r="O144" s="138"/>
      <c r="P144" s="137"/>
    </row>
    <row r="145" spans="1:17" s="139" customFormat="1" x14ac:dyDescent="0.2">
      <c r="A145" s="144" t="b">
        <v>0</v>
      </c>
      <c r="B145" s="184" t="e">
        <f t="shared" si="6"/>
        <v>#REF!</v>
      </c>
      <c r="C145" s="150" t="s">
        <v>499</v>
      </c>
      <c r="D145" s="323">
        <f>IF(A68=TRUE,1,2)</f>
        <v>2</v>
      </c>
      <c r="F145" s="135"/>
      <c r="H145" s="135"/>
      <c r="J145" s="135"/>
      <c r="K145" s="135"/>
      <c r="L145" s="135"/>
      <c r="M145" s="135"/>
      <c r="N145" s="135"/>
      <c r="O145" s="138"/>
      <c r="P145" s="137"/>
    </row>
    <row r="146" spans="1:17" s="139" customFormat="1" x14ac:dyDescent="0.2">
      <c r="A146" s="144" t="b">
        <v>0</v>
      </c>
      <c r="B146" s="184" t="e">
        <f t="shared" si="6"/>
        <v>#REF!</v>
      </c>
      <c r="C146" s="150" t="s">
        <v>500</v>
      </c>
      <c r="D146" s="317"/>
      <c r="F146" s="135"/>
      <c r="H146" s="135"/>
      <c r="J146" s="135"/>
      <c r="K146" s="135"/>
      <c r="L146" s="135"/>
      <c r="M146" s="135"/>
      <c r="N146" s="135"/>
      <c r="O146" s="138"/>
      <c r="P146" s="137"/>
    </row>
    <row r="147" spans="1:17" s="139" customFormat="1" x14ac:dyDescent="0.2">
      <c r="A147" s="144" t="b">
        <v>0</v>
      </c>
      <c r="B147" s="184" t="e">
        <f t="shared" si="6"/>
        <v>#REF!</v>
      </c>
      <c r="C147" s="150" t="s">
        <v>501</v>
      </c>
      <c r="D147" s="317"/>
      <c r="F147" s="135"/>
      <c r="H147" s="135"/>
      <c r="J147" s="135"/>
      <c r="K147" s="135"/>
      <c r="L147" s="135"/>
      <c r="M147" s="135"/>
      <c r="N147" s="135"/>
      <c r="O147" s="138"/>
      <c r="P147" s="137"/>
    </row>
    <row r="148" spans="1:17" s="139" customFormat="1" x14ac:dyDescent="0.2">
      <c r="A148" s="144" t="b">
        <v>0</v>
      </c>
      <c r="B148" s="184" t="e">
        <f t="shared" si="6"/>
        <v>#REF!</v>
      </c>
      <c r="C148" s="150" t="s">
        <v>502</v>
      </c>
      <c r="D148" s="317"/>
      <c r="F148" s="135"/>
      <c r="H148" s="135"/>
      <c r="J148" s="135"/>
      <c r="K148" s="135"/>
      <c r="L148" s="135"/>
      <c r="M148" s="135"/>
      <c r="N148" s="135"/>
      <c r="O148" s="138"/>
      <c r="P148" s="137"/>
      <c r="Q148" s="138" t="str">
        <f>IF(A148=TRUE,"Final check test pass, no issues with testing cycle or RH sensor (if fitted)","")</f>
        <v/>
      </c>
    </row>
    <row r="149" spans="1:17" s="139" customFormat="1" x14ac:dyDescent="0.2">
      <c r="A149" s="144" t="b">
        <v>1</v>
      </c>
      <c r="B149" s="184" t="e">
        <f t="shared" si="6"/>
        <v>#REF!</v>
      </c>
      <c r="C149" s="150" t="s">
        <v>503</v>
      </c>
      <c r="D149" s="316"/>
      <c r="F149" s="135"/>
      <c r="H149" s="135"/>
      <c r="J149" s="135"/>
      <c r="K149" s="135"/>
      <c r="L149" s="135"/>
      <c r="M149" s="135"/>
      <c r="N149" s="135"/>
      <c r="P149" s="137"/>
    </row>
    <row r="150" spans="1:17" s="139" customFormat="1" x14ac:dyDescent="0.2">
      <c r="A150" s="144" t="b">
        <v>0</v>
      </c>
      <c r="B150" s="184" t="e">
        <f t="shared" si="6"/>
        <v>#REF!</v>
      </c>
      <c r="C150" s="150" t="s">
        <v>504</v>
      </c>
      <c r="D150" s="316"/>
      <c r="F150" s="135"/>
      <c r="H150" s="135"/>
      <c r="J150" s="135"/>
      <c r="K150" s="135"/>
      <c r="L150" s="135"/>
      <c r="M150" s="135"/>
      <c r="N150" s="135"/>
      <c r="O150" s="138" t="str">
        <f>IF(A150=TRUE,"Temperature sensor final test PASS","")</f>
        <v/>
      </c>
      <c r="P150" s="137"/>
    </row>
    <row r="151" spans="1:17" s="139" customFormat="1" x14ac:dyDescent="0.2">
      <c r="A151" s="144" t="b">
        <v>0</v>
      </c>
      <c r="B151" s="184" t="e">
        <f t="shared" si="6"/>
        <v>#REF!</v>
      </c>
      <c r="C151" s="150" t="s">
        <v>505</v>
      </c>
      <c r="D151" s="323">
        <f>IF(A69=TRUE,1,2)</f>
        <v>2</v>
      </c>
      <c r="E151" s="135"/>
      <c r="I151" s="135"/>
      <c r="J151" s="135"/>
      <c r="K151" s="135"/>
      <c r="L151" s="135"/>
      <c r="M151" s="135"/>
      <c r="N151" s="135"/>
      <c r="O151" s="138"/>
      <c r="P151" s="137"/>
    </row>
    <row r="152" spans="1:17" s="139" customFormat="1" x14ac:dyDescent="0.2">
      <c r="A152" s="144" t="b">
        <v>0</v>
      </c>
      <c r="B152" s="184" t="e">
        <f t="shared" si="6"/>
        <v>#REF!</v>
      </c>
      <c r="C152" s="150" t="s">
        <v>506</v>
      </c>
      <c r="D152" s="327" t="str">
        <f>D61</f>
        <v>-</v>
      </c>
      <c r="E152" s="135"/>
      <c r="I152" s="135"/>
      <c r="J152" s="135"/>
      <c r="K152" s="135"/>
      <c r="L152" s="135"/>
      <c r="M152" s="135"/>
      <c r="N152" s="135"/>
      <c r="O152" s="138"/>
      <c r="P152" s="137"/>
    </row>
    <row r="153" spans="1:17" s="139" customFormat="1" x14ac:dyDescent="0.2">
      <c r="A153" s="144" t="b">
        <v>0</v>
      </c>
      <c r="B153" s="184" t="e">
        <f t="shared" si="6"/>
        <v>#REF!</v>
      </c>
      <c r="C153" s="150" t="s">
        <v>507</v>
      </c>
      <c r="D153" s="323">
        <f>IF(A58=TRUE,1,2)</f>
        <v>2</v>
      </c>
      <c r="F153" s="135"/>
      <c r="H153" s="135"/>
      <c r="J153" s="135"/>
      <c r="K153" s="135"/>
      <c r="L153" s="135"/>
      <c r="M153" s="135"/>
      <c r="N153" s="135"/>
      <c r="O153" s="138"/>
      <c r="P153" s="137"/>
    </row>
    <row r="154" spans="1:17" s="139" customFormat="1" x14ac:dyDescent="0.2">
      <c r="A154" s="144" t="b">
        <v>0</v>
      </c>
      <c r="B154" s="184" t="e">
        <f t="shared" si="6"/>
        <v>#REF!</v>
      </c>
      <c r="C154" s="150" t="s">
        <v>508</v>
      </c>
      <c r="D154" s="323">
        <f>IF(A46=TRUE,1,2)</f>
        <v>2</v>
      </c>
      <c r="F154" s="135"/>
      <c r="H154" s="135"/>
      <c r="J154" s="135"/>
      <c r="K154" s="135"/>
      <c r="L154" s="135"/>
      <c r="M154" s="135"/>
      <c r="N154" s="135"/>
      <c r="O154" s="137"/>
      <c r="P154" s="137"/>
      <c r="Q154" s="138" t="str">
        <f>IF(A154= TRUE,"Simulated test option set to received","")</f>
        <v/>
      </c>
    </row>
    <row r="155" spans="1:17" s="139" customFormat="1" x14ac:dyDescent="0.2">
      <c r="A155" s="144" t="b">
        <v>0</v>
      </c>
      <c r="B155" s="184"/>
      <c r="C155" s="485" t="s">
        <v>509</v>
      </c>
      <c r="D155" s="485"/>
      <c r="F155" s="135"/>
      <c r="H155" s="135"/>
      <c r="J155" s="135"/>
      <c r="K155" s="135"/>
      <c r="L155" s="135"/>
      <c r="M155" s="135"/>
      <c r="N155" s="135"/>
      <c r="O155" s="138"/>
      <c r="P155" s="137"/>
    </row>
    <row r="156" spans="1:17" s="139" customFormat="1" x14ac:dyDescent="0.2">
      <c r="A156" s="144" t="b">
        <v>0</v>
      </c>
      <c r="B156" s="184" t="e">
        <f>#REF!+1</f>
        <v>#REF!</v>
      </c>
      <c r="C156" s="150" t="s">
        <v>510</v>
      </c>
      <c r="D156" s="317"/>
      <c r="F156" s="135"/>
      <c r="H156" s="135"/>
      <c r="J156" s="135"/>
      <c r="K156" s="135"/>
      <c r="L156" s="135"/>
      <c r="M156" s="135"/>
      <c r="N156" s="135"/>
      <c r="O156" s="138"/>
      <c r="P156" s="137"/>
    </row>
    <row r="157" spans="1:17" s="139" customFormat="1" x14ac:dyDescent="0.2">
      <c r="A157" s="144" t="b">
        <v>0</v>
      </c>
      <c r="B157" s="184" t="e">
        <f>#REF!+1</f>
        <v>#REF!</v>
      </c>
      <c r="C157" s="150" t="s">
        <v>511</v>
      </c>
      <c r="D157" s="317" t="str">
        <f>D49</f>
        <v>-</v>
      </c>
      <c r="E157" s="135"/>
      <c r="I157" s="135"/>
      <c r="J157" s="135"/>
      <c r="K157" s="135"/>
      <c r="L157" s="135"/>
      <c r="M157" s="135"/>
      <c r="N157" s="135"/>
      <c r="P157" s="137"/>
      <c r="Q157" s="138" t="str">
        <f>IF(A157=TRUE,"Language set to when received","LANGUAGE NOT CORRECT")</f>
        <v>LANGUAGE NOT CORRECT</v>
      </c>
    </row>
    <row r="158" spans="1:17" s="139" customFormat="1" x14ac:dyDescent="0.2">
      <c r="A158" s="144" t="b">
        <v>0</v>
      </c>
      <c r="B158" s="184" t="e">
        <f>B156+1</f>
        <v>#REF!</v>
      </c>
      <c r="C158" s="150" t="s">
        <v>512</v>
      </c>
      <c r="D158" s="317"/>
      <c r="F158" s="135"/>
      <c r="H158" s="135"/>
      <c r="J158" s="135"/>
      <c r="K158" s="135"/>
      <c r="L158" s="135"/>
      <c r="M158" s="135"/>
      <c r="N158" s="135"/>
      <c r="O158" s="138"/>
      <c r="P158" s="137"/>
    </row>
    <row r="159" spans="1:17" s="139" customFormat="1" x14ac:dyDescent="0.2">
      <c r="A159" s="144" t="b">
        <v>0</v>
      </c>
      <c r="B159" s="184" t="e">
        <f t="shared" ref="B159:B177" si="7">B158+1</f>
        <v>#REF!</v>
      </c>
      <c r="C159" s="150" t="s">
        <v>513</v>
      </c>
      <c r="D159" s="317"/>
      <c r="F159" s="135"/>
      <c r="H159" s="135"/>
      <c r="J159" s="135"/>
      <c r="K159" s="135"/>
      <c r="L159" s="135"/>
      <c r="M159" s="135"/>
      <c r="N159" s="135"/>
      <c r="O159" s="138"/>
      <c r="P159" s="137"/>
    </row>
    <row r="160" spans="1:17" s="139" customFormat="1" x14ac:dyDescent="0.2">
      <c r="A160" s="144" t="b">
        <v>0</v>
      </c>
      <c r="B160" s="184" t="e">
        <f t="shared" si="7"/>
        <v>#REF!</v>
      </c>
      <c r="C160" s="150" t="s">
        <v>514</v>
      </c>
      <c r="D160" s="328"/>
      <c r="F160" s="135"/>
      <c r="H160" s="135"/>
      <c r="J160" s="135"/>
      <c r="K160" s="135"/>
      <c r="L160" s="135"/>
      <c r="M160" s="135"/>
      <c r="N160" s="135"/>
      <c r="O160" s="137"/>
      <c r="P160" s="137"/>
    </row>
    <row r="161" spans="1:73" s="139" customFormat="1" x14ac:dyDescent="0.2">
      <c r="A161" s="144" t="b">
        <v>0</v>
      </c>
      <c r="B161" s="184"/>
      <c r="C161" s="485" t="s">
        <v>515</v>
      </c>
      <c r="D161" s="485"/>
      <c r="F161" s="135"/>
      <c r="H161" s="135"/>
      <c r="J161" s="135"/>
      <c r="K161" s="135"/>
      <c r="L161" s="135"/>
      <c r="M161" s="135"/>
      <c r="N161" s="135"/>
      <c r="O161" s="138"/>
      <c r="P161" s="137"/>
    </row>
    <row r="162" spans="1:73" s="139" customFormat="1" x14ac:dyDescent="0.2">
      <c r="A162" s="144" t="b">
        <v>0</v>
      </c>
      <c r="B162" s="184" t="e">
        <f>B160+1</f>
        <v>#REF!</v>
      </c>
      <c r="C162" s="150" t="s">
        <v>516</v>
      </c>
      <c r="D162" s="317"/>
      <c r="F162" s="135"/>
      <c r="H162" s="135"/>
      <c r="J162" s="135"/>
      <c r="K162" s="135"/>
      <c r="L162" s="135"/>
      <c r="M162" s="135"/>
      <c r="N162" s="135"/>
      <c r="O162" s="138"/>
      <c r="P162" s="137"/>
      <c r="Q162" s="138" t="str">
        <f>IF(A162=TRUE,"Faceplate screws fitted and bracket checked","")</f>
        <v/>
      </c>
    </row>
    <row r="163" spans="1:73" s="139" customFormat="1" x14ac:dyDescent="0.2">
      <c r="A163" s="144" t="b">
        <v>0</v>
      </c>
      <c r="B163" s="184" t="e">
        <f>B162+1</f>
        <v>#REF!</v>
      </c>
      <c r="C163" s="150" t="s">
        <v>517</v>
      </c>
      <c r="D163" s="329"/>
      <c r="E163" s="157"/>
      <c r="G163" s="152"/>
      <c r="H163" s="152"/>
      <c r="I163" s="152"/>
      <c r="J163" s="152"/>
      <c r="L163" s="145"/>
      <c r="M163" s="145"/>
      <c r="N163" s="145"/>
      <c r="O163" s="138"/>
      <c r="P163" s="137"/>
    </row>
    <row r="164" spans="1:73" s="139" customFormat="1" x14ac:dyDescent="0.2">
      <c r="A164" s="144" t="b">
        <v>0</v>
      </c>
      <c r="B164" s="184" t="e">
        <f t="shared" si="7"/>
        <v>#REF!</v>
      </c>
      <c r="C164" s="150" t="s">
        <v>518</v>
      </c>
      <c r="D164" s="314"/>
      <c r="E164" s="157"/>
      <c r="G164" s="152"/>
      <c r="H164" s="152"/>
      <c r="I164" s="152"/>
      <c r="J164" s="152"/>
      <c r="L164" s="145"/>
      <c r="M164" s="145"/>
      <c r="N164" s="145"/>
      <c r="O164" s="138"/>
      <c r="P164" s="137"/>
    </row>
    <row r="165" spans="1:73" s="217" customFormat="1" x14ac:dyDescent="0.2">
      <c r="A165" s="144" t="b">
        <v>0</v>
      </c>
      <c r="B165" s="184" t="e">
        <f t="shared" si="7"/>
        <v>#REF!</v>
      </c>
      <c r="C165" s="330" t="s">
        <v>519</v>
      </c>
      <c r="D165" s="314"/>
      <c r="E165" s="157"/>
      <c r="F165" s="139"/>
      <c r="G165" s="152"/>
      <c r="H165" s="152"/>
      <c r="I165" s="152"/>
      <c r="J165" s="152"/>
      <c r="K165" s="139"/>
      <c r="L165" s="145"/>
      <c r="M165" s="145"/>
      <c r="N165" s="145"/>
      <c r="O165" s="138"/>
      <c r="P165" s="137"/>
      <c r="Q165" s="139"/>
      <c r="R165" s="139"/>
      <c r="S165" s="139"/>
      <c r="T165" s="139"/>
      <c r="U165" s="139"/>
      <c r="V165" s="139"/>
      <c r="W165" s="139"/>
      <c r="X165" s="139"/>
      <c r="Y165" s="139"/>
      <c r="Z165" s="139"/>
      <c r="AA165" s="139"/>
      <c r="AB165" s="139"/>
      <c r="AC165" s="139"/>
      <c r="AD165" s="139"/>
      <c r="AE165" s="139"/>
      <c r="AF165" s="139"/>
      <c r="AG165" s="139"/>
      <c r="AH165" s="139"/>
      <c r="AI165" s="139"/>
      <c r="AJ165" s="139"/>
      <c r="AK165" s="139"/>
      <c r="AL165" s="139"/>
      <c r="AM165" s="139"/>
      <c r="AN165" s="139"/>
      <c r="AO165" s="139"/>
      <c r="AP165" s="139"/>
      <c r="AQ165" s="139"/>
      <c r="AR165" s="139"/>
      <c r="AS165" s="139"/>
      <c r="AT165" s="139"/>
      <c r="AU165" s="139"/>
      <c r="AV165" s="139"/>
      <c r="AW165" s="139"/>
      <c r="AX165" s="139"/>
      <c r="AY165" s="139"/>
      <c r="AZ165" s="139"/>
      <c r="BA165" s="139"/>
      <c r="BB165" s="139"/>
      <c r="BC165" s="139"/>
      <c r="BD165" s="139"/>
      <c r="BE165" s="139"/>
      <c r="BF165" s="139"/>
      <c r="BG165" s="139"/>
      <c r="BH165" s="139"/>
      <c r="BI165" s="139"/>
      <c r="BJ165" s="139"/>
      <c r="BK165" s="139"/>
      <c r="BL165" s="139"/>
      <c r="BM165" s="139"/>
      <c r="BN165" s="139"/>
      <c r="BO165" s="139"/>
      <c r="BP165" s="139"/>
      <c r="BQ165" s="139"/>
      <c r="BR165" s="139"/>
      <c r="BS165" s="139"/>
      <c r="BT165" s="139"/>
      <c r="BU165" s="139"/>
    </row>
    <row r="166" spans="1:73" s="217" customFormat="1" x14ac:dyDescent="0.2">
      <c r="A166" s="144" t="b">
        <v>0</v>
      </c>
      <c r="B166" s="184" t="e">
        <f t="shared" si="7"/>
        <v>#REF!</v>
      </c>
      <c r="C166" s="331" t="s">
        <v>520</v>
      </c>
      <c r="D166" s="316" t="s">
        <v>321</v>
      </c>
      <c r="E166" s="163"/>
      <c r="F166" s="163"/>
      <c r="G166" s="163"/>
      <c r="H166" s="163"/>
      <c r="I166" s="163"/>
      <c r="J166" s="163"/>
      <c r="K166" s="163"/>
      <c r="L166" s="163"/>
      <c r="M166" s="163"/>
      <c r="N166" s="139"/>
      <c r="O166" s="138"/>
      <c r="P166" s="138"/>
      <c r="Q166" s="139"/>
      <c r="R166" s="139"/>
      <c r="S166" s="139"/>
      <c r="T166" s="139"/>
      <c r="U166" s="139"/>
      <c r="V166" s="139"/>
      <c r="W166" s="139"/>
      <c r="X166" s="139"/>
      <c r="Y166" s="139"/>
      <c r="Z166" s="139"/>
      <c r="AA166" s="139"/>
      <c r="AB166" s="139"/>
      <c r="AC166" s="139"/>
      <c r="AD166" s="139"/>
      <c r="AE166" s="139"/>
      <c r="AF166" s="139"/>
      <c r="AG166" s="139"/>
      <c r="AH166" s="139"/>
      <c r="AI166" s="139"/>
      <c r="AJ166" s="139"/>
      <c r="AK166" s="139"/>
      <c r="AL166" s="139"/>
      <c r="AM166" s="139"/>
      <c r="AN166" s="139"/>
      <c r="AO166" s="139"/>
      <c r="AP166" s="139"/>
      <c r="AQ166" s="139"/>
      <c r="AR166" s="139"/>
      <c r="AS166" s="139"/>
      <c r="AT166" s="139"/>
      <c r="AU166" s="139"/>
      <c r="AV166" s="139"/>
      <c r="AW166" s="139"/>
      <c r="AX166" s="139"/>
      <c r="AY166" s="139"/>
      <c r="AZ166" s="139"/>
      <c r="BA166" s="139"/>
      <c r="BB166" s="139"/>
      <c r="BC166" s="139"/>
      <c r="BD166" s="139"/>
      <c r="BE166" s="139"/>
      <c r="BF166" s="139"/>
      <c r="BG166" s="139"/>
      <c r="BH166" s="139"/>
      <c r="BI166" s="139"/>
      <c r="BJ166" s="139"/>
      <c r="BK166" s="139"/>
      <c r="BL166" s="139"/>
      <c r="BM166" s="139"/>
      <c r="BN166" s="139"/>
      <c r="BO166" s="139"/>
      <c r="BP166" s="139"/>
      <c r="BQ166" s="139"/>
      <c r="BR166" s="139"/>
      <c r="BS166" s="139"/>
      <c r="BT166" s="139"/>
      <c r="BU166" s="139"/>
    </row>
    <row r="167" spans="1:73" s="139" customFormat="1" x14ac:dyDescent="0.2">
      <c r="A167" s="144" t="b">
        <v>0</v>
      </c>
      <c r="B167" s="184"/>
      <c r="C167" s="485" t="s">
        <v>521</v>
      </c>
      <c r="D167" s="519"/>
      <c r="F167" s="135"/>
      <c r="H167" s="135"/>
      <c r="J167" s="135"/>
      <c r="K167" s="135"/>
      <c r="L167" s="135"/>
      <c r="M167" s="135"/>
      <c r="N167" s="135"/>
      <c r="O167" s="138"/>
      <c r="P167" s="137"/>
    </row>
    <row r="168" spans="1:73" s="139" customFormat="1" x14ac:dyDescent="0.2">
      <c r="A168" s="144" t="b">
        <v>1</v>
      </c>
      <c r="B168" s="184" t="e">
        <f>B166+1</f>
        <v>#REF!</v>
      </c>
      <c r="C168" s="150" t="s">
        <v>522</v>
      </c>
      <c r="D168" s="317"/>
      <c r="H168" s="135"/>
      <c r="J168" s="135"/>
      <c r="K168" s="135"/>
      <c r="L168" s="135"/>
      <c r="M168" s="135"/>
      <c r="N168" s="135"/>
      <c r="O168" s="138" t="str">
        <f>IF(A168=TRUE,"2 copies of calibration certificate included, one in unit one on outside of box","")</f>
        <v>2 copies of calibration certificate included, one in unit one on outside of box</v>
      </c>
      <c r="P168" s="137"/>
    </row>
    <row r="169" spans="1:73" s="139" customFormat="1" x14ac:dyDescent="0.2">
      <c r="A169" s="144" t="b">
        <v>1</v>
      </c>
      <c r="B169" s="184" t="e">
        <f t="shared" si="7"/>
        <v>#REF!</v>
      </c>
      <c r="C169" s="150" t="s">
        <v>523</v>
      </c>
      <c r="D169" s="317"/>
      <c r="H169" s="135"/>
      <c r="J169" s="135"/>
      <c r="K169" s="135"/>
      <c r="L169" s="135"/>
      <c r="M169" s="135"/>
      <c r="N169" s="135"/>
      <c r="O169" s="138" t="str">
        <f>IF(A169=TRUE,"2 copies of service report included, one in unit one on outside of box","")</f>
        <v>2 copies of service report included, one in unit one on outside of box</v>
      </c>
      <c r="P169" s="137"/>
    </row>
    <row r="170" spans="1:73" s="139" customFormat="1" x14ac:dyDescent="0.2">
      <c r="A170" s="144" t="b">
        <v>1</v>
      </c>
      <c r="B170" s="184" t="e">
        <f t="shared" si="7"/>
        <v>#REF!</v>
      </c>
      <c r="C170" s="150" t="s">
        <v>524</v>
      </c>
      <c r="D170" s="317"/>
      <c r="F170" s="135"/>
      <c r="H170" s="135"/>
      <c r="J170" s="135"/>
      <c r="K170" s="135"/>
      <c r="L170" s="135"/>
      <c r="M170" s="135"/>
      <c r="N170" s="135"/>
      <c r="O170" s="138"/>
      <c r="P170" s="137"/>
    </row>
    <row r="171" spans="1:73" s="139" customFormat="1" x14ac:dyDescent="0.2">
      <c r="A171" s="144" t="b">
        <v>1</v>
      </c>
      <c r="B171" s="184" t="e">
        <f t="shared" si="7"/>
        <v>#REF!</v>
      </c>
      <c r="C171" s="150" t="s">
        <v>525</v>
      </c>
      <c r="D171" s="317"/>
      <c r="F171" s="135"/>
      <c r="H171" s="135"/>
      <c r="J171" s="135"/>
      <c r="K171" s="135"/>
      <c r="L171" s="135"/>
      <c r="M171" s="135"/>
      <c r="N171" s="135"/>
      <c r="O171" s="138"/>
      <c r="P171" s="137"/>
    </row>
    <row r="172" spans="1:73" s="139" customFormat="1" x14ac:dyDescent="0.2">
      <c r="A172" s="144" t="b">
        <v>1</v>
      </c>
      <c r="B172" s="184" t="e">
        <f t="shared" si="7"/>
        <v>#REF!</v>
      </c>
      <c r="C172" s="150" t="s">
        <v>526</v>
      </c>
      <c r="D172" s="317"/>
      <c r="H172" s="135"/>
      <c r="J172" s="135"/>
      <c r="K172" s="135"/>
      <c r="L172" s="135"/>
      <c r="M172" s="135"/>
      <c r="N172" s="135"/>
      <c r="O172" s="138"/>
      <c r="P172" s="137"/>
    </row>
    <row r="173" spans="1:73" s="139" customFormat="1" x14ac:dyDescent="0.2">
      <c r="A173" s="144" t="b">
        <v>1</v>
      </c>
      <c r="B173" s="184" t="e">
        <f t="shared" si="7"/>
        <v>#REF!</v>
      </c>
      <c r="C173" s="150" t="s">
        <v>527</v>
      </c>
      <c r="D173" s="317"/>
      <c r="H173" s="135"/>
      <c r="J173" s="135"/>
      <c r="K173" s="135"/>
      <c r="L173" s="135"/>
      <c r="M173" s="135"/>
      <c r="N173" s="135"/>
      <c r="O173" s="138"/>
      <c r="P173" s="137"/>
    </row>
    <row r="174" spans="1:73" s="139" customFormat="1" x14ac:dyDescent="0.2">
      <c r="A174" s="144" t="b">
        <v>1</v>
      </c>
      <c r="B174" s="184" t="e">
        <f t="shared" si="7"/>
        <v>#REF!</v>
      </c>
      <c r="C174" s="136" t="s">
        <v>528</v>
      </c>
      <c r="D174" s="332"/>
      <c r="E174" s="157"/>
      <c r="F174" s="157"/>
      <c r="G174" s="157"/>
      <c r="H174" s="157"/>
      <c r="I174" s="157"/>
      <c r="J174" s="157"/>
      <c r="K174" s="157"/>
      <c r="L174" s="157"/>
      <c r="M174" s="157"/>
      <c r="N174" s="157"/>
      <c r="O174" s="138" t="str">
        <f>IF(A174=TRUE,"AX WO processed","WO still to be completed")</f>
        <v>AX WO processed</v>
      </c>
      <c r="P174" s="137"/>
    </row>
    <row r="175" spans="1:73" s="139" customFormat="1" x14ac:dyDescent="0.2">
      <c r="A175" s="144" t="b">
        <v>1</v>
      </c>
      <c r="B175" s="184" t="e">
        <f t="shared" si="7"/>
        <v>#REF!</v>
      </c>
      <c r="C175" s="136" t="s">
        <v>529</v>
      </c>
      <c r="D175" s="332"/>
      <c r="E175" s="157"/>
      <c r="F175" s="157"/>
      <c r="G175" s="157"/>
      <c r="H175" s="157"/>
      <c r="I175" s="157"/>
      <c r="J175" s="157"/>
      <c r="K175" s="157"/>
      <c r="L175" s="157"/>
      <c r="M175" s="157"/>
      <c r="N175" s="157"/>
      <c r="O175" s="138" t="str">
        <f>IF(A175=TRUE,"Online booking status updated","Online update still required")</f>
        <v>Online booking status updated</v>
      </c>
      <c r="P175" s="137"/>
    </row>
    <row r="176" spans="1:73" s="139" customFormat="1" ht="15.75" x14ac:dyDescent="0.2">
      <c r="A176" s="144" t="b">
        <v>0</v>
      </c>
      <c r="B176" s="184" t="e">
        <f t="shared" si="7"/>
        <v>#REF!</v>
      </c>
      <c r="C176" s="150" t="s">
        <v>457</v>
      </c>
      <c r="D176" s="299">
        <f>D111</f>
        <v>0</v>
      </c>
      <c r="E176" s="487" t="s">
        <v>372</v>
      </c>
      <c r="F176" s="487"/>
      <c r="G176" s="515" t="str">
        <f>IF(D176=D18,"ON TIME",IF(D176&gt;D18,"LATE",IF(D176&lt;D18,"EARLY")))</f>
        <v>ON TIME</v>
      </c>
      <c r="H176" s="515"/>
      <c r="I176" s="515"/>
      <c r="J176" s="515"/>
      <c r="K176" s="515"/>
      <c r="L176" s="515"/>
      <c r="M176" s="515"/>
      <c r="N176" s="515"/>
      <c r="O176" s="138"/>
      <c r="P176" s="137"/>
    </row>
    <row r="177" spans="1:16" s="139" customFormat="1" x14ac:dyDescent="0.2">
      <c r="A177" s="144" t="b">
        <v>0</v>
      </c>
      <c r="B177" s="184" t="e">
        <f t="shared" si="7"/>
        <v>#REF!</v>
      </c>
      <c r="C177" s="136" t="s">
        <v>520</v>
      </c>
      <c r="D177" s="316" t="s">
        <v>321</v>
      </c>
      <c r="E177" s="163"/>
      <c r="F177" s="163"/>
      <c r="G177" s="163"/>
      <c r="H177" s="163"/>
      <c r="I177" s="163"/>
      <c r="J177" s="163"/>
      <c r="K177" s="163"/>
      <c r="L177" s="163"/>
      <c r="M177" s="163"/>
      <c r="O177" s="138"/>
      <c r="P177" s="137"/>
    </row>
    <row r="178" spans="1:16" ht="15" customHeight="1" x14ac:dyDescent="0.2">
      <c r="B178" s="184"/>
      <c r="D178" s="218"/>
    </row>
    <row r="179" spans="1:16" ht="15" customHeight="1" x14ac:dyDescent="0.25">
      <c r="B179" s="184"/>
      <c r="C179" s="219" t="s">
        <v>530</v>
      </c>
      <c r="D179" s="218"/>
    </row>
    <row r="180" spans="1:16" ht="15" customHeight="1" x14ac:dyDescent="0.25">
      <c r="B180" s="184"/>
      <c r="C180" s="205" t="s">
        <v>531</v>
      </c>
      <c r="D180" s="333" t="b">
        <f>IF(D10="NEW BUILD", "Y")</f>
        <v>0</v>
      </c>
    </row>
    <row r="181" spans="1:16" ht="15" customHeight="1" x14ac:dyDescent="0.2">
      <c r="B181" s="184"/>
      <c r="C181" s="493" t="s">
        <v>532</v>
      </c>
      <c r="D181" s="493"/>
      <c r="E181" s="493"/>
      <c r="F181" s="496"/>
      <c r="G181" s="496"/>
      <c r="H181" s="496"/>
    </row>
    <row r="182" spans="1:16" ht="15" customHeight="1" x14ac:dyDescent="0.2">
      <c r="B182" s="184"/>
      <c r="C182" s="188" t="str">
        <f>IF(D180="Y", "NEW BUILD UNIT, SERVICE REPORT NOT APPLICABLE"," ")</f>
        <v xml:space="preserve"> </v>
      </c>
    </row>
    <row r="183" spans="1:16" ht="91.15" customHeight="1" x14ac:dyDescent="0.2">
      <c r="B183" s="184" t="e">
        <f>B177+1</f>
        <v>#REF!</v>
      </c>
      <c r="C183" s="494" t="s">
        <v>533</v>
      </c>
      <c r="D183" s="495"/>
      <c r="E183" s="495"/>
      <c r="F183" s="495"/>
      <c r="G183" s="495"/>
      <c r="H183" s="495"/>
      <c r="I183" s="495"/>
      <c r="J183" s="495"/>
      <c r="K183" s="495"/>
      <c r="L183" s="495"/>
      <c r="M183" s="495"/>
      <c r="N183" s="495"/>
      <c r="O183" s="495"/>
    </row>
    <row r="184" spans="1:16" ht="15" customHeight="1" x14ac:dyDescent="0.2">
      <c r="B184" s="184"/>
    </row>
    <row r="185" spans="1:16" ht="15" customHeight="1" x14ac:dyDescent="0.2">
      <c r="B185" s="184"/>
      <c r="C185" s="493" t="s">
        <v>534</v>
      </c>
      <c r="D185" s="496"/>
      <c r="E185" s="496"/>
    </row>
    <row r="186" spans="1:16" ht="15" customHeight="1" x14ac:dyDescent="0.2">
      <c r="B186" s="184"/>
      <c r="C186" s="188" t="str">
        <f>IF(D180="Y", "NEW BUILD UNIT, SERVICE REPORT NOT APPLICABLE","")</f>
        <v/>
      </c>
    </row>
    <row r="187" spans="1:16" ht="60" customHeight="1" x14ac:dyDescent="0.2">
      <c r="B187" s="184" t="e">
        <f>B183+1</f>
        <v>#REF!</v>
      </c>
      <c r="C187" s="495"/>
      <c r="D187" s="495"/>
      <c r="E187" s="495"/>
      <c r="F187" s="495"/>
      <c r="G187" s="495"/>
      <c r="H187" s="495"/>
      <c r="I187" s="495"/>
      <c r="J187" s="495"/>
      <c r="K187" s="495"/>
      <c r="L187" s="495"/>
      <c r="M187" s="495"/>
      <c r="N187" s="495"/>
      <c r="O187" s="495"/>
    </row>
    <row r="188" spans="1:16" ht="15" customHeight="1" x14ac:dyDescent="0.2">
      <c r="B188" s="184"/>
    </row>
    <row r="189" spans="1:16" ht="15" customHeight="1" x14ac:dyDescent="0.2">
      <c r="B189" s="184"/>
      <c r="C189" s="493" t="s">
        <v>535</v>
      </c>
      <c r="D189" s="493"/>
      <c r="E189" s="493"/>
    </row>
    <row r="190" spans="1:16" ht="15" customHeight="1" x14ac:dyDescent="0.2">
      <c r="B190" s="184"/>
      <c r="C190" s="188" t="str">
        <f>IF(D180="Y", "NEW BUILD UNIT, SERVICE REPORT NOT APPLICABLE","")</f>
        <v/>
      </c>
    </row>
    <row r="191" spans="1:16" ht="52.15" customHeight="1" x14ac:dyDescent="0.2">
      <c r="B191" s="184" t="e">
        <f>B187+1</f>
        <v>#REF!</v>
      </c>
      <c r="C191" s="495"/>
      <c r="D191" s="495"/>
      <c r="E191" s="495"/>
      <c r="F191" s="495"/>
      <c r="G191" s="495"/>
      <c r="H191" s="495"/>
      <c r="I191" s="495"/>
      <c r="J191" s="495"/>
      <c r="K191" s="495"/>
      <c r="L191" s="495"/>
      <c r="M191" s="495"/>
      <c r="N191" s="495"/>
      <c r="O191" s="495"/>
    </row>
    <row r="192" spans="1:16" ht="15" customHeight="1" x14ac:dyDescent="0.2">
      <c r="B192" s="184"/>
    </row>
    <row r="193" spans="2:15" ht="15" customHeight="1" x14ac:dyDescent="0.2">
      <c r="B193" s="184"/>
      <c r="C193" s="493" t="s">
        <v>536</v>
      </c>
      <c r="D193" s="493"/>
    </row>
    <row r="194" spans="2:15" ht="15" customHeight="1" x14ac:dyDescent="0.2">
      <c r="B194" s="184"/>
      <c r="C194" s="188" t="str">
        <f>IF(D180="Y", "NEW BUILD UNIT, SERVICE REPORT NOT APPLICABLE","")</f>
        <v/>
      </c>
    </row>
    <row r="195" spans="2:15" ht="55.15" customHeight="1" x14ac:dyDescent="0.2">
      <c r="B195" s="184" t="e">
        <f>B191+1</f>
        <v>#REF!</v>
      </c>
      <c r="C195" s="497"/>
      <c r="D195" s="498"/>
      <c r="E195" s="498"/>
      <c r="F195" s="498"/>
      <c r="G195" s="498"/>
      <c r="H195" s="498"/>
      <c r="I195" s="498"/>
      <c r="J195" s="498"/>
      <c r="K195" s="498"/>
      <c r="L195" s="498"/>
      <c r="M195" s="498"/>
      <c r="N195" s="498"/>
      <c r="O195" s="499"/>
    </row>
    <row r="196" spans="2:15" ht="15" customHeight="1" x14ac:dyDescent="0.2">
      <c r="B196" s="184"/>
    </row>
    <row r="197" spans="2:15" ht="14.25" customHeight="1" x14ac:dyDescent="0.2">
      <c r="B197" s="184" t="e">
        <f>B195+1</f>
        <v>#REF!</v>
      </c>
      <c r="C197" s="188" t="s">
        <v>537</v>
      </c>
      <c r="D197" s="305" t="s">
        <v>321</v>
      </c>
      <c r="E197" s="105"/>
    </row>
    <row r="198" spans="2:15" ht="15" customHeight="1" x14ac:dyDescent="0.2">
      <c r="B198" s="184" t="e">
        <f t="shared" si="1"/>
        <v>#REF!</v>
      </c>
      <c r="C198" s="188" t="s">
        <v>538</v>
      </c>
      <c r="D198" s="305"/>
      <c r="E198" s="220"/>
    </row>
    <row r="199" spans="2:15" ht="15" customHeight="1" x14ac:dyDescent="0.2">
      <c r="E199" s="220"/>
    </row>
  </sheetData>
  <sheetProtection selectLockedCells="1"/>
  <mergeCells count="59">
    <mergeCell ref="C110:O110"/>
    <mergeCell ref="E113:N113"/>
    <mergeCell ref="E176:F176"/>
    <mergeCell ref="G176:N176"/>
    <mergeCell ref="C161:D161"/>
    <mergeCell ref="C167:D167"/>
    <mergeCell ref="E95:N95"/>
    <mergeCell ref="E97:N97"/>
    <mergeCell ref="C106:O106"/>
    <mergeCell ref="E107:F107"/>
    <mergeCell ref="G107:N107"/>
    <mergeCell ref="E105:F105"/>
    <mergeCell ref="G105:N105"/>
    <mergeCell ref="C98:O98"/>
    <mergeCell ref="E93:N93"/>
    <mergeCell ref="E94:N94"/>
    <mergeCell ref="E89:K89"/>
    <mergeCell ref="I90:N90"/>
    <mergeCell ref="C91:O91"/>
    <mergeCell ref="E92:F92"/>
    <mergeCell ref="G92:N92"/>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C193:D193"/>
    <mergeCell ref="C183:O183"/>
    <mergeCell ref="C187:O187"/>
    <mergeCell ref="C191:O191"/>
    <mergeCell ref="C181:H181"/>
    <mergeCell ref="C189:E18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99</xdr:row>
                    <xdr:rowOff>0</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156</xdr:row>
                    <xdr:rowOff>0</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5546875" defaultRowHeight="12.75" x14ac:dyDescent="0.2"/>
  <cols>
    <col min="2" max="2" width="10.28515625" customWidth="1"/>
    <col min="7" max="7" width="11.42578125" customWidth="1"/>
  </cols>
  <sheetData>
    <row r="1" spans="1:7" x14ac:dyDescent="0.2">
      <c r="A1" s="520" t="s">
        <v>539</v>
      </c>
      <c r="B1" s="496"/>
      <c r="C1">
        <f>'Cover Service Sheet'!E10</f>
        <v>0</v>
      </c>
    </row>
    <row r="3" spans="1:7" x14ac:dyDescent="0.2">
      <c r="A3" s="520" t="s">
        <v>540</v>
      </c>
      <c r="B3" s="496"/>
      <c r="G3" s="334"/>
    </row>
    <row r="4" spans="1:7" x14ac:dyDescent="0.2">
      <c r="A4" s="520" t="s">
        <v>541</v>
      </c>
      <c r="B4" s="496"/>
      <c r="G4" s="334"/>
    </row>
    <row r="5" spans="1:7" x14ac:dyDescent="0.2">
      <c r="A5" s="105" t="s">
        <v>542</v>
      </c>
      <c r="G5" s="334"/>
    </row>
    <row r="6" spans="1:7" x14ac:dyDescent="0.2">
      <c r="A6" s="105" t="s">
        <v>543</v>
      </c>
      <c r="G6" s="334"/>
    </row>
    <row r="7" spans="1:7" x14ac:dyDescent="0.2">
      <c r="A7" s="105" t="s">
        <v>544</v>
      </c>
      <c r="G7" s="335"/>
    </row>
    <row r="8" spans="1:7" x14ac:dyDescent="0.2">
      <c r="A8" s="520" t="s">
        <v>545</v>
      </c>
      <c r="B8" s="496"/>
      <c r="G8" s="334"/>
    </row>
    <row r="9" spans="1:7" x14ac:dyDescent="0.2">
      <c r="A9" s="105" t="s">
        <v>546</v>
      </c>
      <c r="G9" s="334"/>
    </row>
    <row r="10" spans="1:7" x14ac:dyDescent="0.2">
      <c r="A10" s="520" t="s">
        <v>547</v>
      </c>
      <c r="B10" s="496"/>
      <c r="C10" s="496"/>
      <c r="G10" s="334"/>
    </row>
    <row r="11" spans="1:7" x14ac:dyDescent="0.2">
      <c r="A11" s="105" t="s">
        <v>548</v>
      </c>
      <c r="G11" s="334"/>
    </row>
    <row r="12" spans="1:7" x14ac:dyDescent="0.2">
      <c r="A12" s="105" t="s">
        <v>549</v>
      </c>
      <c r="G12" s="334"/>
    </row>
    <row r="13" spans="1:7" x14ac:dyDescent="0.2">
      <c r="A13" s="105" t="s">
        <v>550</v>
      </c>
      <c r="G13" s="334"/>
    </row>
    <row r="15" spans="1:7" x14ac:dyDescent="0.2">
      <c r="A15" s="520" t="s">
        <v>425</v>
      </c>
      <c r="B15" s="496"/>
      <c r="C15" s="496"/>
      <c r="G15" s="334"/>
    </row>
    <row r="16" spans="1:7" x14ac:dyDescent="0.2">
      <c r="A16" s="520" t="s">
        <v>551</v>
      </c>
      <c r="B16" s="496"/>
      <c r="C16" s="496"/>
      <c r="D16" s="496"/>
      <c r="E16" s="496"/>
      <c r="F16" s="496"/>
      <c r="G16" s="334"/>
    </row>
    <row r="17" spans="1:7" x14ac:dyDescent="0.2">
      <c r="A17" s="520" t="s">
        <v>552</v>
      </c>
      <c r="B17" s="496"/>
      <c r="G17" s="334"/>
    </row>
    <row r="18" spans="1:7" x14ac:dyDescent="0.2">
      <c r="A18" s="520" t="s">
        <v>553</v>
      </c>
      <c r="B18" s="496"/>
      <c r="G18" s="334"/>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40625" defaultRowHeight="15" x14ac:dyDescent="0.2"/>
  <cols>
    <col min="1" max="1" width="12.7109375" style="144" hidden="1" customWidth="1"/>
    <col min="2" max="2" width="11.7109375" style="134" bestFit="1" customWidth="1"/>
    <col min="3" max="3" width="72.28515625" style="163" bestFit="1" customWidth="1"/>
    <col min="4" max="4" width="42.85546875" style="139" bestFit="1" customWidth="1"/>
    <col min="5" max="6" width="4.42578125" style="135" customWidth="1"/>
    <col min="7" max="7" width="3.28515625" style="135" customWidth="1"/>
    <col min="8" max="8" width="4.28515625" style="135" customWidth="1"/>
    <col min="9" max="9" width="3.85546875" style="135" bestFit="1" customWidth="1"/>
    <col min="10" max="13" width="3.28515625" style="135" customWidth="1"/>
    <col min="14" max="14" width="3.5703125" style="135" customWidth="1"/>
    <col min="15" max="15" width="110.42578125" style="138" bestFit="1" customWidth="1"/>
    <col min="16" max="16" width="14.42578125" style="137" hidden="1" customWidth="1"/>
    <col min="17" max="17" width="11.28515625" style="139" hidden="1" customWidth="1"/>
    <col min="18" max="18" width="20.85546875" style="139" bestFit="1" customWidth="1"/>
    <col min="19" max="16384" width="9.140625" style="139"/>
  </cols>
  <sheetData>
    <row r="1" spans="1:17" x14ac:dyDescent="0.2">
      <c r="C1" s="136"/>
      <c r="D1" s="145"/>
      <c r="E1" s="145"/>
      <c r="F1" s="145"/>
      <c r="G1" s="145"/>
      <c r="H1" s="145"/>
      <c r="I1" s="145"/>
      <c r="J1" s="145"/>
      <c r="K1" s="145"/>
      <c r="L1" s="145"/>
      <c r="M1" s="145"/>
      <c r="N1" s="145"/>
    </row>
    <row r="2" spans="1:17" x14ac:dyDescent="0.2">
      <c r="B2" s="134" t="s">
        <v>323</v>
      </c>
      <c r="C2" s="503" t="s">
        <v>554</v>
      </c>
      <c r="D2" s="503"/>
      <c r="E2" s="503"/>
      <c r="F2" s="503"/>
      <c r="G2" s="503"/>
      <c r="H2" s="503"/>
      <c r="I2" s="503"/>
      <c r="J2" s="503"/>
      <c r="K2" s="503"/>
      <c r="L2" s="503"/>
      <c r="M2" s="503"/>
      <c r="N2" s="503"/>
      <c r="O2" s="503"/>
      <c r="P2" s="134" t="s">
        <v>328</v>
      </c>
      <c r="Q2" s="139" t="s">
        <v>555</v>
      </c>
    </row>
    <row r="3" spans="1:17" x14ac:dyDescent="0.2">
      <c r="C3" s="136"/>
      <c r="E3" s="145"/>
      <c r="F3" s="145"/>
      <c r="G3" s="145"/>
      <c r="H3" s="145"/>
      <c r="I3" s="145"/>
      <c r="J3" s="145"/>
      <c r="K3" s="145"/>
      <c r="L3" s="145"/>
      <c r="M3" s="145"/>
      <c r="N3" s="145"/>
      <c r="P3" s="134" t="s">
        <v>337</v>
      </c>
      <c r="Q3" s="139" t="s">
        <v>556</v>
      </c>
    </row>
    <row r="4" spans="1:17" x14ac:dyDescent="0.2">
      <c r="B4" s="134">
        <v>16</v>
      </c>
      <c r="C4" s="136" t="s">
        <v>326</v>
      </c>
      <c r="D4" s="336" t="str">
        <f>'Cover Service Sheet'!D4&amp;'Cover Service Sheet'!F4&amp;'Cover Service Sheet'!H4&amp;'Cover Service Sheet'!J4&amp;'Cover Service Sheet'!L4&amp;'Cover Service Sheet'!N4&amp;'Cover Service Sheet'!P4</f>
        <v>SRM2806 2.8mg MTD / mlW0M003</v>
      </c>
      <c r="L4" s="146"/>
      <c r="O4" s="147" t="s">
        <v>329</v>
      </c>
      <c r="P4" s="134" t="s">
        <v>341</v>
      </c>
      <c r="Q4" s="139" t="s">
        <v>557</v>
      </c>
    </row>
    <row r="5" spans="1:17" x14ac:dyDescent="0.2">
      <c r="B5" s="134">
        <f>B4+1</f>
        <v>17</v>
      </c>
      <c r="C5" s="136" t="s">
        <v>331</v>
      </c>
      <c r="D5" s="336">
        <f>'Cover Service Sheet'!D5</f>
        <v>-1</v>
      </c>
      <c r="E5" s="521" t="str">
        <f>'Cover Service Sheet'!E5&amp;'Cover Service Sheet'!F5</f>
        <v/>
      </c>
      <c r="F5" s="521"/>
      <c r="G5" s="521"/>
      <c r="H5" s="521"/>
      <c r="I5" s="521"/>
      <c r="J5" s="145"/>
      <c r="K5" s="145"/>
      <c r="L5" s="145"/>
      <c r="M5" s="145"/>
      <c r="N5" s="145"/>
      <c r="Q5" s="139" t="s">
        <v>558</v>
      </c>
    </row>
    <row r="6" spans="1:17" x14ac:dyDescent="0.2">
      <c r="B6" s="134">
        <f t="shared" ref="B6:B69" si="0">B5+1</f>
        <v>18</v>
      </c>
      <c r="C6" s="136" t="s">
        <v>334</v>
      </c>
      <c r="D6" s="291">
        <v>0</v>
      </c>
      <c r="E6" s="145"/>
      <c r="F6" s="145"/>
      <c r="G6" s="145"/>
      <c r="H6" s="145"/>
      <c r="I6" s="145"/>
      <c r="J6" s="145"/>
      <c r="K6" s="145"/>
      <c r="L6" s="145"/>
      <c r="M6" s="145"/>
      <c r="N6" s="145"/>
      <c r="Q6" s="139" t="s">
        <v>559</v>
      </c>
    </row>
    <row r="7" spans="1:17" x14ac:dyDescent="0.2">
      <c r="B7" s="134">
        <f t="shared" si="0"/>
        <v>19</v>
      </c>
      <c r="C7" s="136" t="s">
        <v>347</v>
      </c>
      <c r="D7" s="337">
        <v>0</v>
      </c>
      <c r="E7" s="139"/>
      <c r="Q7" s="139" t="s">
        <v>560</v>
      </c>
    </row>
    <row r="8" spans="1:17" x14ac:dyDescent="0.2">
      <c r="B8" s="134">
        <f t="shared" si="0"/>
        <v>20</v>
      </c>
      <c r="C8" s="136" t="s">
        <v>561</v>
      </c>
      <c r="D8" s="338">
        <v>0</v>
      </c>
      <c r="E8" s="139"/>
      <c r="F8" s="139"/>
      <c r="G8" s="139"/>
      <c r="H8" s="139"/>
      <c r="I8" s="139"/>
      <c r="J8" s="139"/>
      <c r="K8" s="139"/>
      <c r="L8" s="139"/>
      <c r="M8" s="139"/>
      <c r="N8" s="139"/>
      <c r="Q8" s="139" t="s">
        <v>562</v>
      </c>
    </row>
    <row r="9" spans="1:17" x14ac:dyDescent="0.2">
      <c r="A9" s="144" t="b">
        <v>0</v>
      </c>
      <c r="B9" s="134">
        <f t="shared" si="0"/>
        <v>21</v>
      </c>
      <c r="C9" s="136" t="s">
        <v>351</v>
      </c>
      <c r="D9" s="291" t="str">
        <f>IF(A9=TRUE,"WARRANTY CLAIM","NON WARRANTY")</f>
        <v>NON WARRANTY</v>
      </c>
      <c r="E9" s="139"/>
      <c r="F9" s="139"/>
      <c r="G9" s="139"/>
      <c r="H9" s="139"/>
      <c r="I9" s="139"/>
      <c r="J9" s="139"/>
      <c r="K9" s="139"/>
      <c r="L9" s="139"/>
      <c r="M9" s="139"/>
      <c r="N9" s="139"/>
      <c r="O9" s="138" t="str">
        <f>IF(A9=TRUE,"Item is considered warranty, requires QC control on NCR","")</f>
        <v/>
      </c>
      <c r="Q9" s="139" t="s">
        <v>563</v>
      </c>
    </row>
    <row r="10" spans="1:17" x14ac:dyDescent="0.2">
      <c r="A10" s="144" t="b">
        <v>1</v>
      </c>
      <c r="B10" s="134">
        <f t="shared" si="0"/>
        <v>22</v>
      </c>
      <c r="C10" s="136" t="s">
        <v>564</v>
      </c>
      <c r="D10" s="291">
        <v>0</v>
      </c>
      <c r="E10" s="522">
        <v>0</v>
      </c>
      <c r="F10" s="522"/>
      <c r="G10" s="522"/>
      <c r="H10" s="522"/>
      <c r="I10" s="522"/>
      <c r="J10" s="522"/>
      <c r="K10" s="522"/>
      <c r="L10" s="522"/>
      <c r="M10" s="522"/>
      <c r="N10" s="522"/>
      <c r="Q10" s="139" t="s">
        <v>565</v>
      </c>
    </row>
    <row r="11" spans="1:17" x14ac:dyDescent="0.2">
      <c r="B11" s="134">
        <f t="shared" si="0"/>
        <v>23</v>
      </c>
      <c r="C11" s="136" t="s">
        <v>355</v>
      </c>
      <c r="D11" s="291">
        <v>0</v>
      </c>
      <c r="E11" s="139"/>
      <c r="F11" s="139"/>
      <c r="G11" s="139"/>
      <c r="H11" s="139"/>
      <c r="I11" s="139"/>
      <c r="J11" s="139"/>
      <c r="K11" s="139"/>
      <c r="L11" s="139"/>
      <c r="M11" s="140"/>
      <c r="N11" s="139"/>
    </row>
    <row r="12" spans="1:17" x14ac:dyDescent="0.2">
      <c r="B12" s="134">
        <f t="shared" si="0"/>
        <v>24</v>
      </c>
      <c r="C12" s="136" t="s">
        <v>356</v>
      </c>
      <c r="D12" s="291">
        <v>0</v>
      </c>
      <c r="E12" s="139"/>
      <c r="F12" s="139"/>
      <c r="G12" s="139"/>
      <c r="H12" s="139"/>
      <c r="I12" s="139"/>
      <c r="J12" s="139"/>
      <c r="K12" s="139"/>
      <c r="L12" s="139"/>
      <c r="M12" s="139"/>
      <c r="N12" s="139"/>
    </row>
    <row r="13" spans="1:17" x14ac:dyDescent="0.2">
      <c r="B13" s="134">
        <f t="shared" si="0"/>
        <v>25</v>
      </c>
      <c r="C13" s="136" t="s">
        <v>566</v>
      </c>
      <c r="D13" s="303">
        <f>D7+14</f>
        <v>14</v>
      </c>
      <c r="E13" s="139"/>
      <c r="F13" s="139"/>
      <c r="G13" s="139"/>
      <c r="H13" s="139"/>
      <c r="I13" s="139"/>
      <c r="J13" s="139"/>
      <c r="K13" s="139"/>
      <c r="L13" s="139"/>
      <c r="M13" s="139"/>
      <c r="N13" s="139"/>
    </row>
    <row r="14" spans="1:17" x14ac:dyDescent="0.2">
      <c r="C14" s="485" t="s">
        <v>567</v>
      </c>
      <c r="D14" s="485"/>
      <c r="E14" s="485"/>
      <c r="F14" s="485"/>
      <c r="G14" s="485"/>
      <c r="H14" s="485"/>
      <c r="I14" s="485"/>
      <c r="J14" s="485"/>
      <c r="K14" s="485"/>
      <c r="L14" s="485"/>
      <c r="M14" s="485"/>
      <c r="N14" s="485"/>
      <c r="O14" s="485"/>
      <c r="P14" s="148"/>
    </row>
    <row r="15" spans="1:17" s="145" customFormat="1" ht="15.75" x14ac:dyDescent="0.2">
      <c r="A15" s="149"/>
      <c r="B15" s="134">
        <f>B13+1</f>
        <v>26</v>
      </c>
      <c r="C15" s="150" t="s">
        <v>459</v>
      </c>
      <c r="D15" s="302"/>
      <c r="E15" s="487" t="s">
        <v>372</v>
      </c>
      <c r="F15" s="487"/>
      <c r="G15" s="488" t="str">
        <f>IF(D15=D7,"ON TIME",IF(D15&gt;D7,"LATE",IF(D15&lt;D7,"EARLY")))</f>
        <v>ON TIME</v>
      </c>
      <c r="H15" s="488"/>
      <c r="I15" s="488"/>
      <c r="J15" s="488"/>
      <c r="K15" s="488"/>
      <c r="L15" s="488"/>
      <c r="M15" s="488"/>
      <c r="N15" s="488"/>
      <c r="O15" s="148"/>
      <c r="P15" s="148"/>
    </row>
    <row r="16" spans="1:17" s="145" customFormat="1" x14ac:dyDescent="0.2">
      <c r="A16" s="149"/>
      <c r="B16" s="134">
        <f t="shared" si="0"/>
        <v>27</v>
      </c>
      <c r="C16" s="150" t="s">
        <v>568</v>
      </c>
      <c r="D16" s="329"/>
      <c r="E16" s="150"/>
      <c r="G16" s="151"/>
      <c r="H16" s="151"/>
      <c r="I16" s="151"/>
      <c r="J16" s="148"/>
      <c r="K16" s="148"/>
      <c r="L16" s="148"/>
      <c r="M16" s="148"/>
      <c r="N16" s="148"/>
      <c r="O16" s="148"/>
      <c r="P16" s="148"/>
    </row>
    <row r="17" spans="1:16" x14ac:dyDescent="0.2">
      <c r="C17" s="134"/>
      <c r="D17" s="134" t="s">
        <v>569</v>
      </c>
      <c r="E17" s="503" t="s">
        <v>570</v>
      </c>
      <c r="F17" s="503"/>
      <c r="G17" s="503"/>
      <c r="H17" s="503"/>
      <c r="I17" s="503"/>
      <c r="J17" s="503"/>
      <c r="K17" s="503"/>
      <c r="L17" s="503"/>
      <c r="M17" s="503"/>
      <c r="N17" s="503"/>
      <c r="O17" s="152"/>
      <c r="P17" s="152"/>
    </row>
    <row r="18" spans="1:16" x14ac:dyDescent="0.2">
      <c r="A18" s="144" t="b">
        <v>0</v>
      </c>
      <c r="B18" s="134">
        <f>B16+1</f>
        <v>28</v>
      </c>
      <c r="C18" s="153"/>
      <c r="D18" s="313" t="s">
        <v>571</v>
      </c>
      <c r="E18" s="139"/>
      <c r="F18" s="139"/>
      <c r="G18" s="139"/>
      <c r="H18" s="139"/>
      <c r="I18" s="139"/>
      <c r="J18" s="139"/>
      <c r="K18" s="139"/>
      <c r="L18" s="139"/>
      <c r="M18" s="139"/>
      <c r="N18" s="139"/>
      <c r="O18" s="138" t="str">
        <f>IF(A18=FALSE,"One or more hydraulic caps were missing","Test point cap and waste plug present")</f>
        <v>One or more hydraulic caps were missing</v>
      </c>
    </row>
    <row r="19" spans="1:16" x14ac:dyDescent="0.2">
      <c r="A19" s="144" t="b">
        <v>0</v>
      </c>
      <c r="B19" s="134">
        <f t="shared" si="0"/>
        <v>29</v>
      </c>
      <c r="C19" s="153"/>
      <c r="D19" s="313" t="s">
        <v>572</v>
      </c>
      <c r="E19" s="139"/>
      <c r="F19" s="139"/>
      <c r="G19" s="139"/>
      <c r="H19" s="139"/>
      <c r="I19" s="139"/>
      <c r="J19" s="139"/>
      <c r="K19" s="139"/>
      <c r="L19" s="139"/>
      <c r="M19" s="139"/>
      <c r="N19" s="139"/>
      <c r="O19" s="138" t="str">
        <f>IF(A19=FALSE,"Unit was dirty or damaged outside and required extra cleanup","Outer condition good")</f>
        <v>Unit was dirty or damaged outside and required extra cleanup</v>
      </c>
    </row>
    <row r="20" spans="1:16" x14ac:dyDescent="0.2">
      <c r="A20" s="144" t="b">
        <v>1</v>
      </c>
      <c r="B20" s="134">
        <f t="shared" si="0"/>
        <v>30</v>
      </c>
      <c r="C20" s="187"/>
      <c r="D20" s="154"/>
      <c r="E20" s="139"/>
      <c r="F20" s="139"/>
      <c r="G20" s="139"/>
      <c r="H20" s="139"/>
      <c r="I20" s="139"/>
      <c r="J20" s="139"/>
      <c r="K20" s="139"/>
      <c r="L20" s="139"/>
      <c r="M20" s="139"/>
      <c r="N20" s="139"/>
    </row>
    <row r="21" spans="1:16" x14ac:dyDescent="0.2">
      <c r="A21" s="144" t="b">
        <v>0</v>
      </c>
      <c r="B21" s="134">
        <f t="shared" si="0"/>
        <v>31</v>
      </c>
      <c r="C21" s="187"/>
      <c r="D21" s="154"/>
      <c r="E21" s="139"/>
      <c r="F21" s="139"/>
      <c r="G21" s="139"/>
      <c r="H21" s="139"/>
      <c r="I21" s="139"/>
      <c r="J21" s="139"/>
      <c r="K21" s="139"/>
      <c r="L21" s="139"/>
      <c r="M21" s="139"/>
      <c r="N21" s="139"/>
      <c r="O21" s="138" t="str">
        <f>IF(A21=TRUE,"Case feet present and operational","quote for case feet repair required")</f>
        <v>quote for case feet repair required</v>
      </c>
    </row>
    <row r="22" spans="1:16" x14ac:dyDescent="0.2">
      <c r="A22" s="144" t="b">
        <v>0</v>
      </c>
      <c r="B22" s="134">
        <f t="shared" si="0"/>
        <v>32</v>
      </c>
      <c r="C22" s="153"/>
      <c r="D22" s="154" t="s">
        <v>573</v>
      </c>
      <c r="E22" s="139"/>
      <c r="F22" s="139"/>
      <c r="G22" s="139"/>
      <c r="H22" s="139"/>
      <c r="I22" s="139"/>
      <c r="J22" s="139"/>
      <c r="K22" s="139"/>
      <c r="L22" s="139"/>
      <c r="M22" s="139"/>
      <c r="N22" s="139"/>
      <c r="O22" s="138" t="str">
        <f>IF(A22=TRUE,"Case latches present and operational","quote for case latch repair required")</f>
        <v>quote for case latch repair required</v>
      </c>
    </row>
    <row r="23" spans="1:16" x14ac:dyDescent="0.2">
      <c r="A23" s="144" t="b">
        <v>1</v>
      </c>
      <c r="B23" s="134">
        <f t="shared" si="0"/>
        <v>33</v>
      </c>
      <c r="C23" s="153"/>
      <c r="D23" s="154" t="s">
        <v>574</v>
      </c>
      <c r="E23" s="139"/>
      <c r="F23" s="139"/>
      <c r="G23" s="139"/>
      <c r="H23" s="139"/>
      <c r="I23" s="139"/>
      <c r="J23" s="139"/>
      <c r="K23" s="139"/>
      <c r="L23" s="139"/>
      <c r="M23" s="139"/>
      <c r="N23" s="139"/>
    </row>
    <row r="24" spans="1:16" x14ac:dyDescent="0.2">
      <c r="A24" s="144" t="b">
        <v>0</v>
      </c>
      <c r="B24" s="134">
        <f t="shared" si="0"/>
        <v>34</v>
      </c>
      <c r="C24" s="153"/>
      <c r="D24" s="154" t="s">
        <v>575</v>
      </c>
      <c r="E24" s="139"/>
      <c r="F24" s="139"/>
      <c r="G24" s="139"/>
      <c r="H24" s="139"/>
      <c r="I24" s="139"/>
      <c r="J24" s="139"/>
      <c r="K24" s="139"/>
      <c r="L24" s="139"/>
      <c r="M24" s="139"/>
      <c r="N24" s="139"/>
    </row>
    <row r="25" spans="1:16" ht="15.75" customHeight="1" x14ac:dyDescent="0.2">
      <c r="A25" s="144" t="b">
        <v>0</v>
      </c>
      <c r="B25" s="134">
        <f t="shared" si="0"/>
        <v>35</v>
      </c>
      <c r="C25" s="153"/>
      <c r="D25" s="155" t="s">
        <v>576</v>
      </c>
      <c r="E25" s="486"/>
      <c r="F25" s="486"/>
      <c r="G25" s="486"/>
      <c r="H25" s="486"/>
      <c r="I25" s="486"/>
      <c r="J25" s="486"/>
      <c r="K25" s="486"/>
      <c r="L25" s="486"/>
      <c r="M25" s="486"/>
      <c r="N25" s="486"/>
      <c r="O25" s="138" t="str">
        <f>IF(A25=TRUE,"Charge circuit checked and verified PASS","")</f>
        <v/>
      </c>
    </row>
    <row r="26" spans="1:16" x14ac:dyDescent="0.2">
      <c r="A26" s="156">
        <v>4.0999999999999996</v>
      </c>
      <c r="B26" s="134">
        <f t="shared" si="0"/>
        <v>36</v>
      </c>
      <c r="C26" s="136" t="s">
        <v>577</v>
      </c>
      <c r="D26" s="339"/>
      <c r="E26" s="523"/>
      <c r="F26" s="523"/>
      <c r="G26" s="523"/>
      <c r="H26" s="523"/>
      <c r="I26" s="523"/>
      <c r="J26" s="523"/>
      <c r="K26" s="523"/>
      <c r="L26" s="523"/>
      <c r="M26" s="523"/>
      <c r="N26" s="523"/>
      <c r="O26" s="138" t="str">
        <f>IF(D26=A26,"Unit firmware at current release","Free of charge upgrade of unit firmware ")</f>
        <v xml:space="preserve">Free of charge upgrade of unit firmware </v>
      </c>
    </row>
    <row r="27" spans="1:16" x14ac:dyDescent="0.2">
      <c r="A27" s="144" t="b">
        <v>0</v>
      </c>
      <c r="B27" s="134">
        <f t="shared" si="0"/>
        <v>37</v>
      </c>
      <c r="C27" s="153"/>
      <c r="D27" s="313" t="s">
        <v>578</v>
      </c>
      <c r="E27" s="139"/>
      <c r="F27" s="139"/>
      <c r="G27" s="139"/>
      <c r="H27" s="139"/>
      <c r="I27" s="139"/>
      <c r="J27" s="139"/>
      <c r="K27" s="139"/>
      <c r="L27" s="139"/>
      <c r="M27" s="139"/>
      <c r="N27" s="139"/>
      <c r="O27" s="138" t="str">
        <f>IF(A27=FALSE,"Log was not present/corrupted so could not be downloaded","Log download test completed succesfully")</f>
        <v>Log was not present/corrupted so could not be downloaded</v>
      </c>
    </row>
    <row r="28" spans="1:16" ht="15.75" customHeight="1" x14ac:dyDescent="0.2">
      <c r="B28" s="134">
        <f t="shared" si="0"/>
        <v>38</v>
      </c>
      <c r="C28" s="136" t="s">
        <v>579</v>
      </c>
      <c r="D28" s="292"/>
      <c r="E28" s="157"/>
      <c r="F28" s="157"/>
      <c r="G28" s="157"/>
      <c r="H28" s="157"/>
      <c r="I28" s="157"/>
      <c r="J28" s="157"/>
      <c r="K28" s="157"/>
      <c r="L28" s="157"/>
      <c r="M28" s="157"/>
      <c r="N28" s="157"/>
      <c r="O28" s="139"/>
    </row>
    <row r="29" spans="1:16" ht="15.75" customHeight="1" x14ac:dyDescent="0.2">
      <c r="B29" s="134">
        <f t="shared" si="0"/>
        <v>39</v>
      </c>
      <c r="C29" s="136" t="s">
        <v>580</v>
      </c>
      <c r="D29" s="292"/>
      <c r="E29" s="157"/>
      <c r="F29" s="157"/>
      <c r="G29" s="157"/>
      <c r="H29" s="157"/>
      <c r="I29" s="157"/>
      <c r="J29" s="157"/>
      <c r="K29" s="157"/>
      <c r="L29" s="157"/>
      <c r="M29" s="157"/>
      <c r="N29" s="157"/>
      <c r="O29" s="139"/>
    </row>
    <row r="30" spans="1:16" ht="15.75" customHeight="1" x14ac:dyDescent="0.2">
      <c r="B30" s="134">
        <f t="shared" si="0"/>
        <v>40</v>
      </c>
      <c r="C30" s="136" t="s">
        <v>581</v>
      </c>
      <c r="D30" s="158"/>
      <c r="E30" s="157"/>
      <c r="F30" s="157"/>
      <c r="G30" s="157"/>
      <c r="H30" s="157"/>
      <c r="I30" s="157"/>
      <c r="J30" s="157"/>
      <c r="K30" s="157"/>
      <c r="L30" s="157"/>
      <c r="M30" s="157"/>
      <c r="N30" s="157"/>
      <c r="O30" s="139"/>
    </row>
    <row r="31" spans="1:16" ht="15.75" customHeight="1" x14ac:dyDescent="0.2">
      <c r="B31" s="134">
        <f t="shared" si="0"/>
        <v>41</v>
      </c>
      <c r="C31" s="136" t="s">
        <v>582</v>
      </c>
      <c r="D31" s="158"/>
      <c r="E31" s="157"/>
      <c r="F31" s="157"/>
      <c r="G31" s="157"/>
      <c r="H31" s="157"/>
      <c r="I31" s="157"/>
      <c r="J31" s="157"/>
      <c r="K31" s="157"/>
      <c r="L31" s="157"/>
      <c r="M31" s="157"/>
      <c r="N31" s="157"/>
      <c r="O31" s="139"/>
    </row>
    <row r="32" spans="1:16" ht="15.75" customHeight="1" x14ac:dyDescent="0.2">
      <c r="A32" s="144" t="b">
        <v>0</v>
      </c>
      <c r="B32" s="134">
        <f t="shared" si="0"/>
        <v>42</v>
      </c>
      <c r="C32" s="153"/>
      <c r="D32" s="312" t="s">
        <v>401</v>
      </c>
      <c r="E32" s="489"/>
      <c r="F32" s="489"/>
      <c r="G32" s="489"/>
      <c r="H32" s="489"/>
      <c r="I32" s="489"/>
      <c r="J32" s="489"/>
      <c r="K32" s="489"/>
      <c r="L32" s="489"/>
      <c r="M32" s="489"/>
      <c r="N32" s="489"/>
    </row>
    <row r="33" spans="1:15" ht="15.75" customHeight="1" x14ac:dyDescent="0.2">
      <c r="B33" s="134">
        <f t="shared" si="0"/>
        <v>43</v>
      </c>
      <c r="C33" s="136" t="s">
        <v>583</v>
      </c>
      <c r="D33" s="158"/>
      <c r="E33" s="157"/>
      <c r="F33" s="157"/>
      <c r="G33" s="157"/>
      <c r="H33" s="157"/>
      <c r="I33" s="157"/>
      <c r="J33" s="157"/>
      <c r="K33" s="157"/>
      <c r="L33" s="157"/>
      <c r="M33" s="157"/>
      <c r="N33" s="157"/>
      <c r="O33" s="139"/>
    </row>
    <row r="34" spans="1:15" ht="15.75" customHeight="1" x14ac:dyDescent="0.2">
      <c r="B34" s="134">
        <f t="shared" si="0"/>
        <v>44</v>
      </c>
      <c r="C34" s="136" t="s">
        <v>584</v>
      </c>
      <c r="D34" s="158"/>
      <c r="E34" s="157"/>
      <c r="F34" s="157"/>
      <c r="G34" s="157"/>
      <c r="H34" s="157"/>
      <c r="I34" s="157"/>
      <c r="J34" s="157"/>
      <c r="K34" s="157"/>
      <c r="L34" s="157"/>
      <c r="M34" s="157"/>
      <c r="N34" s="157"/>
      <c r="O34" s="139"/>
    </row>
    <row r="35" spans="1:15" ht="15.75" customHeight="1" x14ac:dyDescent="0.2">
      <c r="B35" s="134">
        <f t="shared" si="0"/>
        <v>45</v>
      </c>
      <c r="C35" s="136" t="s">
        <v>585</v>
      </c>
      <c r="D35" s="158"/>
      <c r="E35" s="157"/>
      <c r="F35" s="157"/>
      <c r="G35" s="157"/>
      <c r="H35" s="157"/>
      <c r="I35" s="157"/>
      <c r="J35" s="157"/>
      <c r="K35" s="157"/>
      <c r="L35" s="157"/>
      <c r="M35" s="157"/>
      <c r="N35" s="157"/>
      <c r="O35" s="139"/>
    </row>
    <row r="36" spans="1:15" ht="15.75" customHeight="1" x14ac:dyDescent="0.2">
      <c r="A36" s="144" t="b">
        <v>0</v>
      </c>
      <c r="B36" s="134">
        <f t="shared" si="0"/>
        <v>46</v>
      </c>
      <c r="C36" s="153"/>
      <c r="D36" s="155" t="s">
        <v>409</v>
      </c>
      <c r="E36" s="157"/>
      <c r="F36" s="157"/>
      <c r="G36" s="157"/>
      <c r="H36" s="157"/>
      <c r="I36" s="157"/>
      <c r="J36" s="157"/>
      <c r="K36" s="157"/>
      <c r="L36" s="157"/>
      <c r="M36" s="157"/>
      <c r="N36" s="157"/>
      <c r="O36" s="139"/>
    </row>
    <row r="37" spans="1:15" ht="15.75" customHeight="1" x14ac:dyDescent="0.2">
      <c r="B37" s="134">
        <f t="shared" si="0"/>
        <v>47</v>
      </c>
      <c r="C37" s="136" t="s">
        <v>586</v>
      </c>
      <c r="D37" s="158"/>
      <c r="E37" s="157"/>
      <c r="F37" s="157"/>
      <c r="G37" s="157"/>
      <c r="H37" s="157"/>
      <c r="I37" s="157"/>
      <c r="J37" s="157"/>
      <c r="K37" s="157"/>
      <c r="L37" s="157"/>
      <c r="M37" s="157"/>
      <c r="N37" s="157"/>
      <c r="O37" s="139"/>
    </row>
    <row r="38" spans="1:15" ht="15.75" customHeight="1" x14ac:dyDescent="0.2">
      <c r="B38" s="134">
        <f t="shared" si="0"/>
        <v>48</v>
      </c>
      <c r="C38" s="136" t="s">
        <v>546</v>
      </c>
      <c r="D38" s="158"/>
      <c r="E38" s="157"/>
      <c r="F38" s="157"/>
      <c r="G38" s="157"/>
      <c r="H38" s="157"/>
      <c r="I38" s="157"/>
      <c r="J38" s="157"/>
      <c r="K38" s="157"/>
      <c r="L38" s="157"/>
      <c r="M38" s="157"/>
      <c r="N38" s="157"/>
      <c r="O38" s="139"/>
    </row>
    <row r="39" spans="1:15" ht="15.75" customHeight="1" x14ac:dyDescent="0.2">
      <c r="B39" s="134">
        <f t="shared" si="0"/>
        <v>49</v>
      </c>
      <c r="C39" s="136" t="s">
        <v>587</v>
      </c>
      <c r="D39" s="158"/>
      <c r="E39" s="157"/>
      <c r="F39" s="157"/>
      <c r="G39" s="157"/>
      <c r="H39" s="157"/>
      <c r="I39" s="157"/>
      <c r="J39" s="157"/>
      <c r="K39" s="157"/>
      <c r="L39" s="157"/>
      <c r="M39" s="157"/>
      <c r="N39" s="157"/>
      <c r="O39" s="139"/>
    </row>
    <row r="40" spans="1:15" ht="15.75" customHeight="1" x14ac:dyDescent="0.2">
      <c r="A40" s="144" t="b">
        <v>0</v>
      </c>
      <c r="B40" s="134">
        <f t="shared" si="0"/>
        <v>50</v>
      </c>
      <c r="C40" s="153"/>
      <c r="D40" s="313" t="s">
        <v>588</v>
      </c>
    </row>
    <row r="41" spans="1:15" ht="15.75" customHeight="1" x14ac:dyDescent="0.2">
      <c r="B41" s="134">
        <f t="shared" si="0"/>
        <v>51</v>
      </c>
      <c r="C41" s="136" t="s">
        <v>589</v>
      </c>
      <c r="D41" s="158"/>
      <c r="E41" s="157"/>
      <c r="F41" s="157"/>
      <c r="G41" s="157"/>
      <c r="H41" s="157"/>
      <c r="I41" s="157"/>
      <c r="J41" s="157"/>
      <c r="K41" s="157"/>
      <c r="L41" s="157"/>
      <c r="M41" s="157"/>
      <c r="N41" s="157"/>
      <c r="O41" s="139"/>
    </row>
    <row r="42" spans="1:15" ht="15.75" customHeight="1" x14ac:dyDescent="0.2">
      <c r="B42" s="134">
        <f t="shared" si="0"/>
        <v>52</v>
      </c>
      <c r="C42" s="136" t="s">
        <v>590</v>
      </c>
      <c r="D42" s="158"/>
      <c r="E42" s="157"/>
      <c r="F42" s="157"/>
      <c r="G42" s="157"/>
      <c r="H42" s="157"/>
      <c r="I42" s="157"/>
      <c r="J42" s="157"/>
      <c r="K42" s="157"/>
      <c r="L42" s="157"/>
      <c r="M42" s="157"/>
      <c r="N42" s="157"/>
      <c r="O42" s="139"/>
    </row>
    <row r="43" spans="1:15" ht="15.75" customHeight="1" x14ac:dyDescent="0.2">
      <c r="B43" s="134">
        <f t="shared" si="0"/>
        <v>53</v>
      </c>
      <c r="C43" s="136" t="s">
        <v>591</v>
      </c>
      <c r="D43" s="158"/>
      <c r="E43" s="157"/>
      <c r="F43" s="157"/>
      <c r="G43" s="157"/>
      <c r="H43" s="157"/>
      <c r="I43" s="157"/>
      <c r="J43" s="157"/>
      <c r="K43" s="157"/>
      <c r="L43" s="157"/>
      <c r="M43" s="157"/>
      <c r="N43" s="157"/>
      <c r="O43" s="139"/>
    </row>
    <row r="44" spans="1:15" ht="15.75" customHeight="1" x14ac:dyDescent="0.2">
      <c r="A44" s="144" t="b">
        <v>0</v>
      </c>
      <c r="B44" s="134">
        <f t="shared" si="0"/>
        <v>54</v>
      </c>
      <c r="C44" s="153"/>
      <c r="D44" s="313" t="s">
        <v>592</v>
      </c>
      <c r="E44" s="157"/>
      <c r="F44" s="157"/>
      <c r="G44" s="157"/>
      <c r="H44" s="157"/>
      <c r="I44" s="157"/>
      <c r="J44" s="157"/>
      <c r="K44" s="157"/>
      <c r="L44" s="157"/>
      <c r="M44" s="157"/>
      <c r="N44" s="157"/>
      <c r="O44" s="139"/>
    </row>
    <row r="45" spans="1:15" ht="15.75" customHeight="1" x14ac:dyDescent="0.2">
      <c r="B45" s="134">
        <f t="shared" si="0"/>
        <v>55</v>
      </c>
      <c r="C45" s="136"/>
      <c r="D45" s="158"/>
      <c r="E45" s="157"/>
      <c r="F45" s="157"/>
      <c r="G45" s="157"/>
      <c r="H45" s="157"/>
      <c r="I45" s="157"/>
      <c r="J45" s="157"/>
      <c r="K45" s="157"/>
      <c r="L45" s="157"/>
      <c r="M45" s="157"/>
      <c r="N45" s="157"/>
      <c r="O45" s="139"/>
    </row>
    <row r="46" spans="1:15" ht="15.75" customHeight="1" x14ac:dyDescent="0.2">
      <c r="A46" s="144" t="b">
        <v>0</v>
      </c>
      <c r="B46" s="134">
        <f t="shared" si="0"/>
        <v>56</v>
      </c>
      <c r="C46" s="153"/>
      <c r="D46" s="313"/>
    </row>
    <row r="47" spans="1:15" ht="15.75" customHeight="1" x14ac:dyDescent="0.2">
      <c r="B47" s="134">
        <f t="shared" si="0"/>
        <v>57</v>
      </c>
      <c r="C47" s="136"/>
      <c r="D47" s="158"/>
      <c r="E47" s="157"/>
      <c r="F47" s="157"/>
      <c r="G47" s="157"/>
      <c r="H47" s="157"/>
      <c r="I47" s="157"/>
      <c r="J47" s="157"/>
      <c r="K47" s="157"/>
      <c r="L47" s="157"/>
      <c r="M47" s="157"/>
      <c r="N47" s="157"/>
      <c r="O47" s="139"/>
    </row>
    <row r="48" spans="1:15" ht="15.75" customHeight="1" x14ac:dyDescent="0.2">
      <c r="B48" s="134">
        <f t="shared" si="0"/>
        <v>58</v>
      </c>
      <c r="C48" s="136"/>
      <c r="D48" s="158"/>
      <c r="E48" s="157"/>
      <c r="F48" s="157"/>
      <c r="G48" s="157"/>
      <c r="H48" s="157"/>
      <c r="I48" s="157"/>
      <c r="J48" s="157"/>
      <c r="K48" s="157"/>
      <c r="L48" s="157"/>
      <c r="M48" s="157"/>
      <c r="N48" s="157"/>
      <c r="O48" s="139"/>
    </row>
    <row r="49" spans="1:25" ht="15.75" customHeight="1" x14ac:dyDescent="0.2">
      <c r="B49" s="134">
        <f t="shared" si="0"/>
        <v>59</v>
      </c>
      <c r="C49" s="136" t="s">
        <v>593</v>
      </c>
      <c r="D49" s="158"/>
      <c r="E49" s="157"/>
      <c r="F49" s="157"/>
      <c r="G49" s="157"/>
      <c r="H49" s="157"/>
      <c r="I49" s="157"/>
      <c r="J49" s="157"/>
      <c r="K49" s="157"/>
      <c r="L49" s="157"/>
      <c r="M49" s="157"/>
      <c r="N49" s="157"/>
      <c r="O49" s="139"/>
    </row>
    <row r="50" spans="1:25" ht="15.75" customHeight="1" x14ac:dyDescent="0.2">
      <c r="B50" s="134">
        <f t="shared" si="0"/>
        <v>60</v>
      </c>
      <c r="C50" s="136"/>
      <c r="D50" s="158"/>
      <c r="E50" s="157"/>
      <c r="F50" s="157"/>
      <c r="G50" s="157"/>
      <c r="H50" s="157"/>
      <c r="I50" s="157"/>
      <c r="J50" s="157"/>
      <c r="K50" s="157"/>
      <c r="L50" s="157"/>
      <c r="M50" s="157"/>
      <c r="N50" s="157"/>
      <c r="O50" s="139"/>
    </row>
    <row r="51" spans="1:25" ht="15.75" customHeight="1" x14ac:dyDescent="0.2">
      <c r="B51" s="134">
        <f t="shared" si="0"/>
        <v>61</v>
      </c>
      <c r="C51" s="136"/>
      <c r="D51" s="158"/>
      <c r="E51" s="157"/>
      <c r="F51" s="157"/>
      <c r="G51" s="157"/>
      <c r="H51" s="157"/>
      <c r="I51" s="157"/>
      <c r="J51" s="157"/>
      <c r="K51" s="157"/>
      <c r="L51" s="157"/>
      <c r="M51" s="157"/>
      <c r="N51" s="157"/>
      <c r="O51" s="139"/>
    </row>
    <row r="52" spans="1:25" ht="15.75" customHeight="1" x14ac:dyDescent="0.2">
      <c r="B52" s="134">
        <f t="shared" si="0"/>
        <v>62</v>
      </c>
      <c r="C52" s="136"/>
      <c r="D52" s="158"/>
      <c r="E52" s="157"/>
      <c r="F52" s="157"/>
      <c r="G52" s="157"/>
      <c r="H52" s="157"/>
      <c r="I52" s="157"/>
      <c r="J52" s="157"/>
      <c r="K52" s="157"/>
      <c r="L52" s="157"/>
      <c r="M52" s="157"/>
      <c r="N52" s="157"/>
      <c r="O52" s="139"/>
    </row>
    <row r="53" spans="1:25" ht="15.75" customHeight="1" x14ac:dyDescent="0.2">
      <c r="B53" s="134">
        <f t="shared" si="0"/>
        <v>63</v>
      </c>
      <c r="C53" s="136"/>
      <c r="D53" s="158"/>
      <c r="E53" s="157"/>
      <c r="F53" s="157"/>
      <c r="G53" s="157"/>
      <c r="H53" s="157"/>
      <c r="I53" s="157"/>
      <c r="J53" s="157"/>
      <c r="K53" s="157"/>
      <c r="L53" s="157"/>
      <c r="M53" s="157"/>
      <c r="N53" s="157"/>
      <c r="O53" s="139"/>
    </row>
    <row r="54" spans="1:25" ht="15.75" customHeight="1" x14ac:dyDescent="0.2">
      <c r="A54" s="149" t="b">
        <v>0</v>
      </c>
      <c r="B54" s="134">
        <f t="shared" si="0"/>
        <v>64</v>
      </c>
      <c r="C54" s="159">
        <f>D28</f>
        <v>0</v>
      </c>
      <c r="D54" s="313"/>
      <c r="E54" s="152"/>
      <c r="F54" s="152"/>
      <c r="G54" s="152"/>
      <c r="H54" s="152"/>
      <c r="I54" s="152"/>
      <c r="J54" s="152"/>
      <c r="K54" s="152"/>
      <c r="L54" s="152"/>
      <c r="M54" s="152"/>
      <c r="N54" s="152"/>
      <c r="O54" s="138" t="str">
        <f>IF(A54=TRUE,"Keypad function tested PASS","Keypad function faulty,FAILED")</f>
        <v>Keypad function faulty,FAILED</v>
      </c>
    </row>
    <row r="55" spans="1:25" ht="15.75" customHeight="1" x14ac:dyDescent="0.2">
      <c r="A55" s="144" t="b">
        <v>0</v>
      </c>
      <c r="B55" s="134">
        <f t="shared" si="0"/>
        <v>65</v>
      </c>
      <c r="C55" s="160"/>
      <c r="D55" s="312"/>
      <c r="E55" s="157"/>
      <c r="F55" s="157"/>
      <c r="G55" s="157"/>
      <c r="H55" s="157"/>
      <c r="I55" s="157"/>
      <c r="J55" s="157"/>
      <c r="K55" s="157"/>
      <c r="L55" s="157"/>
      <c r="M55" s="157"/>
      <c r="N55" s="157"/>
      <c r="O55" s="139"/>
    </row>
    <row r="56" spans="1:25" ht="15.75" customHeight="1" x14ac:dyDescent="0.2">
      <c r="A56" s="144" t="b">
        <v>0</v>
      </c>
      <c r="B56" s="134">
        <f t="shared" si="0"/>
        <v>66</v>
      </c>
      <c r="C56" s="160"/>
      <c r="D56" s="312" t="s">
        <v>594</v>
      </c>
      <c r="E56" s="157"/>
      <c r="F56" s="157"/>
      <c r="G56" s="157"/>
      <c r="H56" s="157"/>
      <c r="I56" s="157"/>
      <c r="J56" s="157"/>
      <c r="K56" s="157"/>
      <c r="L56" s="157"/>
      <c r="M56" s="157"/>
      <c r="N56" s="157"/>
      <c r="O56" s="138" t="str">
        <f>IF(A56=FALSE,"Printer Faulty, required quote and replace","Printer operation PASS")</f>
        <v>Printer Faulty, required quote and replace</v>
      </c>
    </row>
    <row r="57" spans="1:25" x14ac:dyDescent="0.2">
      <c r="A57" s="144" t="b">
        <v>0</v>
      </c>
      <c r="B57" s="134">
        <f t="shared" si="0"/>
        <v>67</v>
      </c>
      <c r="C57" s="153"/>
      <c r="D57" s="313"/>
    </row>
    <row r="58" spans="1:25" x14ac:dyDescent="0.2">
      <c r="A58" s="144" t="b">
        <v>0</v>
      </c>
      <c r="B58" s="134">
        <f t="shared" si="0"/>
        <v>68</v>
      </c>
      <c r="C58" s="153"/>
      <c r="D58" s="340"/>
    </row>
    <row r="59" spans="1:25" x14ac:dyDescent="0.2">
      <c r="A59" s="144" t="b">
        <v>0</v>
      </c>
      <c r="B59" s="134">
        <f t="shared" si="0"/>
        <v>69</v>
      </c>
      <c r="C59" s="153"/>
      <c r="D59" s="340"/>
    </row>
    <row r="60" spans="1:25" x14ac:dyDescent="0.2">
      <c r="A60" s="144" t="b">
        <v>0</v>
      </c>
      <c r="B60" s="134">
        <f t="shared" si="0"/>
        <v>70</v>
      </c>
      <c r="C60" s="161" t="str">
        <f>D5&amp;E5</f>
        <v>-1</v>
      </c>
      <c r="D60" s="340" t="s">
        <v>595</v>
      </c>
    </row>
    <row r="61" spans="1:25" x14ac:dyDescent="0.2">
      <c r="A61" s="144" t="b">
        <v>0</v>
      </c>
      <c r="B61" s="134">
        <f t="shared" si="0"/>
        <v>71</v>
      </c>
      <c r="C61" s="162"/>
      <c r="D61" s="340"/>
    </row>
    <row r="62" spans="1:25" x14ac:dyDescent="0.2">
      <c r="B62" s="134">
        <f t="shared" si="0"/>
        <v>72</v>
      </c>
      <c r="C62" s="136"/>
      <c r="D62" s="292"/>
      <c r="O62" s="524"/>
      <c r="P62" s="524"/>
      <c r="Q62" s="524"/>
      <c r="R62" s="524"/>
      <c r="S62" s="524"/>
      <c r="T62" s="524"/>
      <c r="U62" s="524"/>
      <c r="V62" s="524"/>
      <c r="W62" s="524"/>
      <c r="X62" s="524"/>
      <c r="Y62" s="525"/>
    </row>
    <row r="63" spans="1:25" x14ac:dyDescent="0.2">
      <c r="B63" s="134">
        <f t="shared" si="0"/>
        <v>73</v>
      </c>
      <c r="C63" s="150"/>
      <c r="D63" s="292"/>
    </row>
    <row r="64" spans="1:25" x14ac:dyDescent="0.2">
      <c r="A64" s="144" t="b">
        <v>0</v>
      </c>
      <c r="B64" s="134">
        <f t="shared" si="0"/>
        <v>74</v>
      </c>
      <c r="C64" s="153"/>
      <c r="D64" s="313"/>
      <c r="E64" s="139"/>
      <c r="F64" s="139"/>
      <c r="G64" s="139"/>
      <c r="H64" s="139"/>
      <c r="I64" s="139"/>
      <c r="J64" s="139"/>
      <c r="K64" s="139"/>
      <c r="L64" s="139"/>
      <c r="M64" s="139"/>
      <c r="N64" s="139"/>
      <c r="O64" s="138" t="str">
        <f>IF(A64=TRUE,"Processor performance checked and verified PASS","")</f>
        <v/>
      </c>
    </row>
    <row r="65" spans="1:16" x14ac:dyDescent="0.2">
      <c r="A65" s="144" t="b">
        <v>0</v>
      </c>
      <c r="B65" s="134">
        <f t="shared" si="0"/>
        <v>75</v>
      </c>
      <c r="C65" s="159"/>
      <c r="D65" s="313"/>
      <c r="E65" s="486"/>
      <c r="F65" s="486"/>
      <c r="G65" s="486"/>
      <c r="H65" s="486"/>
      <c r="I65" s="486"/>
      <c r="J65" s="486"/>
      <c r="K65" s="486"/>
      <c r="L65" s="486"/>
      <c r="M65" s="486"/>
      <c r="N65" s="486"/>
    </row>
    <row r="66" spans="1:16" x14ac:dyDescent="0.2">
      <c r="B66" s="134">
        <f t="shared" si="0"/>
        <v>76</v>
      </c>
      <c r="C66" s="163" t="s">
        <v>596</v>
      </c>
      <c r="D66" s="292"/>
    </row>
    <row r="67" spans="1:16" x14ac:dyDescent="0.2">
      <c r="A67" s="164" t="b">
        <v>0</v>
      </c>
      <c r="B67" s="134">
        <f t="shared" si="0"/>
        <v>77</v>
      </c>
      <c r="C67" s="159"/>
      <c r="D67" s="341" t="s">
        <v>597</v>
      </c>
      <c r="E67" s="139"/>
      <c r="F67" s="139"/>
      <c r="G67" s="139"/>
      <c r="H67" s="139"/>
      <c r="I67" s="139"/>
      <c r="J67" s="139"/>
      <c r="K67" s="139"/>
      <c r="L67" s="139"/>
      <c r="M67" s="139"/>
      <c r="N67" s="139"/>
      <c r="O67" s="139"/>
    </row>
    <row r="68" spans="1:16" x14ac:dyDescent="0.2">
      <c r="A68" s="164" t="b">
        <v>0</v>
      </c>
      <c r="B68" s="134">
        <f t="shared" si="0"/>
        <v>78</v>
      </c>
      <c r="C68" s="159"/>
      <c r="D68" s="341" t="s">
        <v>598</v>
      </c>
      <c r="E68" s="139"/>
      <c r="F68" s="139"/>
      <c r="G68" s="139"/>
      <c r="H68" s="139"/>
      <c r="I68" s="139"/>
      <c r="J68" s="139"/>
      <c r="K68" s="139"/>
      <c r="L68" s="139"/>
      <c r="M68" s="139"/>
      <c r="N68" s="139"/>
      <c r="O68" s="139"/>
    </row>
    <row r="69" spans="1:16" x14ac:dyDescent="0.2">
      <c r="A69" s="144" t="b">
        <v>0</v>
      </c>
      <c r="B69" s="134">
        <f t="shared" si="0"/>
        <v>79</v>
      </c>
      <c r="C69" s="159"/>
      <c r="D69" s="313" t="s">
        <v>599</v>
      </c>
      <c r="E69" s="139"/>
      <c r="F69" s="139"/>
      <c r="G69" s="139"/>
      <c r="H69" s="139"/>
      <c r="I69" s="139"/>
      <c r="J69" s="139"/>
      <c r="K69" s="139"/>
      <c r="L69" s="139"/>
      <c r="M69" s="139"/>
      <c r="N69" s="139"/>
      <c r="O69" s="138" t="str">
        <f>IF(A69=FALSE,"Unit was dirty or damaged inside and required extra cleaning","Internal condition good")</f>
        <v>Unit was dirty or damaged inside and required extra cleaning</v>
      </c>
    </row>
    <row r="70" spans="1:16" x14ac:dyDescent="0.2">
      <c r="C70" s="485" t="s">
        <v>433</v>
      </c>
      <c r="D70" s="485"/>
      <c r="E70" s="485"/>
      <c r="F70" s="485"/>
      <c r="G70" s="485"/>
      <c r="H70" s="485"/>
      <c r="I70" s="485"/>
      <c r="J70" s="485"/>
      <c r="K70" s="485"/>
      <c r="L70" s="485"/>
      <c r="M70" s="485"/>
      <c r="N70" s="485"/>
      <c r="O70" s="485"/>
      <c r="P70" s="148"/>
    </row>
    <row r="71" spans="1:16" x14ac:dyDescent="0.2">
      <c r="A71" s="144" t="b">
        <v>0</v>
      </c>
      <c r="B71" s="134">
        <f>B69+1</f>
        <v>80</v>
      </c>
      <c r="C71" s="153"/>
      <c r="D71" s="313" t="s">
        <v>600</v>
      </c>
      <c r="E71" s="486"/>
      <c r="F71" s="486"/>
      <c r="G71" s="486"/>
      <c r="H71" s="486"/>
      <c r="I71" s="486"/>
      <c r="J71" s="486"/>
      <c r="K71" s="486"/>
      <c r="L71" s="486"/>
      <c r="M71" s="486"/>
      <c r="N71" s="486"/>
      <c r="O71" s="138" t="str">
        <f>IF(A71=FALSE,"Initial purge test FAIL","Initial purge test PASS")</f>
        <v>Initial purge test FAIL</v>
      </c>
    </row>
    <row r="72" spans="1:16" x14ac:dyDescent="0.2">
      <c r="A72" s="144" t="b">
        <v>0</v>
      </c>
      <c r="B72" s="134">
        <f t="shared" ref="B72:B135" si="1">B71+1</f>
        <v>81</v>
      </c>
      <c r="C72" s="159"/>
      <c r="D72" s="313" t="s">
        <v>601</v>
      </c>
      <c r="O72" s="138" t="str">
        <f>IF(A72=TRUE,"Damage to pump assembly found, Service Quote Required","Pump unit passed initial inspection")</f>
        <v>Pump unit passed initial inspection</v>
      </c>
    </row>
    <row r="73" spans="1:16" x14ac:dyDescent="0.2">
      <c r="A73" s="144" t="b">
        <v>0</v>
      </c>
      <c r="B73" s="134">
        <f t="shared" si="1"/>
        <v>82</v>
      </c>
      <c r="C73" s="159"/>
      <c r="D73" s="313" t="s">
        <v>602</v>
      </c>
      <c r="E73" s="157"/>
      <c r="F73" s="157"/>
      <c r="G73" s="157"/>
      <c r="H73" s="157"/>
      <c r="I73" s="157"/>
      <c r="J73" s="157"/>
      <c r="K73" s="157"/>
      <c r="L73" s="157"/>
      <c r="M73" s="157"/>
      <c r="N73" s="157"/>
      <c r="O73" s="138" t="str">
        <f>IF(A73=TRUE,"Pump module repaired under warranty","")</f>
        <v/>
      </c>
    </row>
    <row r="74" spans="1:16" x14ac:dyDescent="0.2">
      <c r="A74" s="144" t="b">
        <v>0</v>
      </c>
      <c r="B74" s="134">
        <f t="shared" si="1"/>
        <v>83</v>
      </c>
      <c r="C74" s="159"/>
      <c r="D74" s="313" t="s">
        <v>603</v>
      </c>
      <c r="E74" s="157"/>
      <c r="F74" s="157"/>
      <c r="G74" s="157"/>
      <c r="H74" s="157"/>
      <c r="I74" s="157"/>
      <c r="J74" s="157"/>
      <c r="K74" s="157"/>
      <c r="L74" s="157"/>
      <c r="M74" s="157"/>
      <c r="N74" s="157"/>
    </row>
    <row r="75" spans="1:16" x14ac:dyDescent="0.2">
      <c r="B75" s="134">
        <f t="shared" si="1"/>
        <v>84</v>
      </c>
      <c r="C75" s="165" t="s">
        <v>604</v>
      </c>
      <c r="D75" s="166"/>
      <c r="E75" s="167" t="s">
        <v>328</v>
      </c>
      <c r="F75" s="342" t="s">
        <v>337</v>
      </c>
      <c r="G75" s="139"/>
      <c r="H75" s="167" t="s">
        <v>337</v>
      </c>
      <c r="I75" s="342" t="s">
        <v>337</v>
      </c>
      <c r="J75" s="145"/>
      <c r="K75" s="167" t="s">
        <v>341</v>
      </c>
      <c r="L75" s="343" t="s">
        <v>337</v>
      </c>
      <c r="M75" s="157"/>
      <c r="N75" s="157"/>
    </row>
    <row r="76" spans="1:16" s="145" customFormat="1" x14ac:dyDescent="0.2">
      <c r="A76" s="144" t="b">
        <v>0</v>
      </c>
      <c r="B76" s="134">
        <f t="shared" si="1"/>
        <v>85</v>
      </c>
      <c r="C76" s="159"/>
      <c r="D76" s="313" t="s">
        <v>437</v>
      </c>
      <c r="E76" s="490" t="s">
        <v>605</v>
      </c>
      <c r="F76" s="490"/>
      <c r="G76" s="490"/>
      <c r="H76" s="490"/>
      <c r="I76" s="490"/>
      <c r="J76" s="490"/>
      <c r="K76" s="490"/>
      <c r="L76" s="490"/>
      <c r="M76" s="490"/>
      <c r="N76" s="490"/>
      <c r="O76" s="138" t="str">
        <f>IF(A76=FALSE,"Secondary purge test FAIL/not completed","Secondary purge test PASS")</f>
        <v>Secondary purge test FAIL/not completed</v>
      </c>
      <c r="P76" s="137"/>
    </row>
    <row r="77" spans="1:16" x14ac:dyDescent="0.2">
      <c r="A77" s="144">
        <v>2000</v>
      </c>
      <c r="B77" s="134">
        <f t="shared" si="1"/>
        <v>86</v>
      </c>
      <c r="C77" s="168"/>
      <c r="D77" s="292"/>
      <c r="E77" s="486"/>
      <c r="F77" s="486"/>
      <c r="G77" s="486"/>
      <c r="H77" s="486"/>
      <c r="I77" s="486"/>
      <c r="J77" s="486"/>
      <c r="K77" s="486"/>
      <c r="L77" s="486"/>
      <c r="M77" s="486"/>
      <c r="N77" s="486"/>
      <c r="O77" s="138" t="str">
        <f>IF(D77&lt;550,"Initial Laser 1  check, output outside of specification FAILED/not checked","Initial Laser 1 check, output within specification PASS")</f>
        <v>Initial Laser 1  check, output outside of specification FAILED/not checked</v>
      </c>
    </row>
    <row r="78" spans="1:16" x14ac:dyDescent="0.2">
      <c r="A78" s="144">
        <v>2400</v>
      </c>
      <c r="B78" s="134">
        <f>B77+1</f>
        <v>87</v>
      </c>
      <c r="C78" s="168"/>
      <c r="D78" s="292"/>
      <c r="E78" s="486"/>
      <c r="F78" s="486"/>
      <c r="G78" s="486"/>
      <c r="H78" s="486"/>
      <c r="I78" s="486"/>
      <c r="J78" s="486"/>
      <c r="K78" s="486"/>
      <c r="L78" s="486"/>
      <c r="M78" s="486"/>
      <c r="N78" s="486"/>
      <c r="O78" s="138" t="str">
        <f>IF(D78&lt;800,"Initial Laser 2 check, output outside of specification FAILED/not checked","Initial Laser 2 output within specification PASS")</f>
        <v>Initial Laser 2 check, output outside of specification FAILED/not checked</v>
      </c>
    </row>
    <row r="79" spans="1:16" x14ac:dyDescent="0.2">
      <c r="B79" s="134">
        <f>B78+1</f>
        <v>88</v>
      </c>
      <c r="C79" s="168"/>
      <c r="D79" s="292"/>
      <c r="E79" s="486"/>
      <c r="F79" s="486"/>
      <c r="G79" s="486"/>
      <c r="H79" s="486"/>
      <c r="I79" s="486"/>
      <c r="J79" s="486"/>
      <c r="K79" s="486"/>
      <c r="L79" s="486"/>
      <c r="M79" s="486"/>
      <c r="N79" s="486"/>
      <c r="O79" s="138"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2">
      <c r="B80" s="134">
        <f>B79+1</f>
        <v>89</v>
      </c>
      <c r="C80" s="168"/>
      <c r="D80" s="292"/>
      <c r="E80" s="486"/>
      <c r="F80" s="486"/>
      <c r="G80" s="486"/>
      <c r="H80" s="486"/>
      <c r="I80" s="486"/>
      <c r="J80" s="486"/>
      <c r="K80" s="486"/>
      <c r="L80" s="486"/>
      <c r="M80" s="486"/>
      <c r="N80" s="486"/>
      <c r="O80" s="138" t="str">
        <f>IF(D80&lt;1500,"Initial Laser 2 electrical noise output within specification PASS","Initial Laser 2 noise output outside specification FAILED - RETEST at recalibration")</f>
        <v>Initial Laser 2 electrical noise output within specification PASS</v>
      </c>
    </row>
    <row r="81" spans="1:16" x14ac:dyDescent="0.2">
      <c r="A81" s="149"/>
      <c r="C81" s="485" t="s">
        <v>451</v>
      </c>
      <c r="D81" s="485"/>
      <c r="E81" s="485"/>
      <c r="F81" s="485"/>
      <c r="G81" s="485"/>
      <c r="H81" s="485"/>
      <c r="I81" s="485"/>
      <c r="J81" s="485"/>
      <c r="K81" s="485"/>
      <c r="L81" s="485"/>
      <c r="M81" s="485"/>
      <c r="N81" s="485"/>
      <c r="O81" s="485"/>
      <c r="P81" s="148"/>
    </row>
    <row r="82" spans="1:16" x14ac:dyDescent="0.2">
      <c r="A82" s="144" t="b">
        <v>0</v>
      </c>
      <c r="B82" s="134">
        <f>B80+1</f>
        <v>90</v>
      </c>
      <c r="C82" s="159"/>
      <c r="D82" s="313" t="s">
        <v>606</v>
      </c>
      <c r="E82" s="509"/>
      <c r="F82" s="510"/>
      <c r="G82" s="510"/>
      <c r="H82" s="510"/>
      <c r="I82" s="510"/>
      <c r="J82" s="510"/>
      <c r="K82" s="492" t="s">
        <v>607</v>
      </c>
      <c r="L82" s="492"/>
      <c r="M82" s="492"/>
      <c r="N82" s="492"/>
      <c r="O82" s="138" t="str">
        <f>IF(A82=FALSE,"Pressure reducing valve initial check FAIL/not checked","Pressure reducing valve initial check PASS")</f>
        <v>Pressure reducing valve initial check FAIL/not checked</v>
      </c>
    </row>
    <row r="83" spans="1:16" x14ac:dyDescent="0.2">
      <c r="A83" s="144" t="b">
        <v>0</v>
      </c>
      <c r="B83" s="134">
        <f>B82+1</f>
        <v>91</v>
      </c>
      <c r="C83" s="159"/>
      <c r="D83" s="313" t="s">
        <v>608</v>
      </c>
      <c r="E83" s="157"/>
      <c r="F83" s="157"/>
      <c r="G83" s="157"/>
      <c r="H83" s="157"/>
      <c r="I83" s="157"/>
      <c r="J83" s="157"/>
      <c r="K83" s="137"/>
      <c r="L83" s="137"/>
      <c r="M83" s="137"/>
      <c r="N83" s="137"/>
      <c r="O83" s="138" t="str">
        <f>IF(A83=TRUE,"Piston pump function test PASS","Piston pump function test FAIL/not checked, Service Quote Required")</f>
        <v>Piston pump function test FAIL/not checked, Service Quote Required</v>
      </c>
    </row>
    <row r="84" spans="1:16" x14ac:dyDescent="0.2">
      <c r="A84" s="144" t="b">
        <v>0</v>
      </c>
      <c r="B84" s="134">
        <f t="shared" ref="B84:B89" si="2">B83+1</f>
        <v>92</v>
      </c>
      <c r="C84" s="159"/>
      <c r="D84" s="312" t="s">
        <v>609</v>
      </c>
      <c r="E84" s="490" t="s">
        <v>610</v>
      </c>
      <c r="F84" s="490"/>
      <c r="G84" s="490"/>
      <c r="H84" s="490"/>
      <c r="I84" s="490"/>
      <c r="J84" s="490"/>
      <c r="K84" s="490"/>
      <c r="L84" s="490"/>
      <c r="M84" s="490"/>
      <c r="N84" s="490"/>
      <c r="O84" s="138" t="str">
        <f>IF(A84=TRUE,"SERVICE QUOTE SIGN OFF REQUIRED FROM END USER TO PROGRESS SERVICE","Initial inspection PASS, moved to Service")</f>
        <v>Initial inspection PASS, moved to Service</v>
      </c>
    </row>
    <row r="85" spans="1:16" x14ac:dyDescent="0.2">
      <c r="A85" s="144" t="b">
        <v>0</v>
      </c>
      <c r="B85" s="134">
        <f t="shared" si="2"/>
        <v>93</v>
      </c>
      <c r="C85" s="159"/>
      <c r="D85" s="312" t="s">
        <v>611</v>
      </c>
      <c r="E85" s="487" t="s">
        <v>612</v>
      </c>
      <c r="F85" s="487"/>
      <c r="G85" s="487"/>
      <c r="H85" s="487"/>
      <c r="I85" s="487"/>
      <c r="J85" s="487"/>
      <c r="K85" s="526"/>
      <c r="L85" s="526"/>
      <c r="M85" s="526"/>
      <c r="N85" s="526"/>
      <c r="O85" s="138" t="str">
        <f>IF(A85=TRUE,"Customer advised of additional work required for approval","")</f>
        <v/>
      </c>
    </row>
    <row r="86" spans="1:16" x14ac:dyDescent="0.2">
      <c r="A86" s="144" t="b">
        <v>0</v>
      </c>
      <c r="B86" s="134">
        <f t="shared" si="2"/>
        <v>94</v>
      </c>
      <c r="C86" s="159"/>
      <c r="D86" s="312" t="s">
        <v>613</v>
      </c>
      <c r="E86" s="490" t="s">
        <v>610</v>
      </c>
      <c r="F86" s="490"/>
      <c r="G86" s="490"/>
      <c r="H86" s="490"/>
      <c r="I86" s="490"/>
      <c r="J86" s="490"/>
      <c r="K86" s="490"/>
      <c r="L86" s="490"/>
      <c r="M86" s="490"/>
      <c r="N86" s="490"/>
      <c r="O86" s="138" t="str">
        <f>IF(A86=TRUE,"SALES ORDER WAS REQUIRED TO PROGRESS SERVICE","Initial inspection PASS, moved to Service")</f>
        <v>Initial inspection PASS, moved to Service</v>
      </c>
    </row>
    <row r="87" spans="1:16" x14ac:dyDescent="0.2">
      <c r="A87" s="144" t="b">
        <v>0</v>
      </c>
      <c r="B87" s="134">
        <f t="shared" si="2"/>
        <v>95</v>
      </c>
      <c r="C87" s="159"/>
      <c r="D87" s="312" t="s">
        <v>614</v>
      </c>
      <c r="E87" s="487" t="s">
        <v>615</v>
      </c>
      <c r="F87" s="487"/>
      <c r="G87" s="487"/>
      <c r="H87" s="487"/>
      <c r="I87" s="487"/>
      <c r="J87" s="487"/>
      <c r="K87" s="526"/>
      <c r="L87" s="526"/>
      <c r="M87" s="526"/>
      <c r="N87" s="526"/>
      <c r="O87" s="138" t="str">
        <f>IF(A87=TRUE,"Customer advised of order requirement","Sales Order raised, passed to Service")</f>
        <v>Sales Order raised, passed to Service</v>
      </c>
    </row>
    <row r="88" spans="1:16" x14ac:dyDescent="0.2">
      <c r="B88" s="134">
        <f t="shared" si="2"/>
        <v>96</v>
      </c>
      <c r="C88" s="150" t="s">
        <v>616</v>
      </c>
      <c r="D88" s="302"/>
      <c r="E88" s="152"/>
      <c r="F88" s="139"/>
      <c r="G88" s="150"/>
      <c r="H88" s="150"/>
      <c r="I88" s="150"/>
      <c r="J88" s="150"/>
      <c r="K88" s="139"/>
      <c r="L88" s="169"/>
      <c r="M88" s="169"/>
      <c r="N88" s="169"/>
      <c r="O88" s="137"/>
    </row>
    <row r="89" spans="1:16" x14ac:dyDescent="0.2">
      <c r="B89" s="134">
        <f t="shared" si="2"/>
        <v>97</v>
      </c>
      <c r="C89" s="150" t="s">
        <v>617</v>
      </c>
      <c r="D89" s="329"/>
      <c r="E89" s="152" t="s">
        <v>618</v>
      </c>
      <c r="F89" s="139"/>
      <c r="G89" s="150"/>
      <c r="H89" s="150"/>
      <c r="I89" s="514">
        <f>D89-D16</f>
        <v>0</v>
      </c>
      <c r="J89" s="514"/>
      <c r="K89" s="514"/>
      <c r="L89" s="514"/>
      <c r="M89" s="514"/>
      <c r="N89" s="514"/>
      <c r="O89" s="139"/>
    </row>
    <row r="90" spans="1:16" x14ac:dyDescent="0.2">
      <c r="C90" s="485" t="s">
        <v>443</v>
      </c>
      <c r="D90" s="485"/>
      <c r="E90" s="485"/>
      <c r="F90" s="485"/>
      <c r="G90" s="485"/>
      <c r="H90" s="485"/>
      <c r="I90" s="485"/>
      <c r="J90" s="485"/>
      <c r="K90" s="485"/>
      <c r="L90" s="485"/>
      <c r="M90" s="485"/>
      <c r="N90" s="485"/>
      <c r="O90" s="485"/>
      <c r="P90" s="148"/>
    </row>
    <row r="91" spans="1:16" s="145" customFormat="1" ht="15.75" customHeight="1" x14ac:dyDescent="0.2">
      <c r="A91" s="149"/>
      <c r="B91" s="134">
        <f>B89+1</f>
        <v>98</v>
      </c>
      <c r="C91" s="150" t="s">
        <v>444</v>
      </c>
      <c r="D91" s="302"/>
      <c r="E91" s="487" t="s">
        <v>372</v>
      </c>
      <c r="F91" s="487"/>
      <c r="G91" s="515" t="str">
        <f>IF(D91=$D$7,"ON TIME",IF(D91&gt;$D$7,"LATE",IF(D91&lt;$D$7,"EARLY")))</f>
        <v>ON TIME</v>
      </c>
      <c r="H91" s="515"/>
      <c r="I91" s="515"/>
      <c r="J91" s="515"/>
      <c r="K91" s="515"/>
      <c r="L91" s="515"/>
      <c r="M91" s="515"/>
      <c r="N91" s="515"/>
      <c r="O91" s="157"/>
      <c r="P91" s="157"/>
    </row>
    <row r="92" spans="1:16" s="145" customFormat="1" ht="15.75" customHeight="1" x14ac:dyDescent="0.2">
      <c r="A92" s="149"/>
      <c r="B92" s="134">
        <f t="shared" si="1"/>
        <v>99</v>
      </c>
      <c r="C92" s="150" t="s">
        <v>619</v>
      </c>
      <c r="D92" s="329"/>
      <c r="E92" s="148"/>
      <c r="G92" s="150"/>
      <c r="H92" s="150"/>
      <c r="I92" s="150"/>
      <c r="J92" s="150"/>
      <c r="L92" s="151"/>
      <c r="M92" s="151"/>
      <c r="N92" s="151"/>
      <c r="O92" s="148"/>
      <c r="P92" s="148"/>
    </row>
    <row r="93" spans="1:16" x14ac:dyDescent="0.2">
      <c r="A93" s="144" t="b">
        <v>0</v>
      </c>
      <c r="B93" s="134">
        <f t="shared" si="1"/>
        <v>100</v>
      </c>
      <c r="C93" s="170"/>
      <c r="D93" s="313" t="s">
        <v>620</v>
      </c>
      <c r="E93" s="511">
        <v>0</v>
      </c>
      <c r="F93" s="511"/>
      <c r="G93" s="511"/>
      <c r="H93" s="511"/>
      <c r="I93" s="511"/>
      <c r="J93" s="511"/>
      <c r="K93" s="511"/>
      <c r="L93" s="511"/>
      <c r="M93" s="511"/>
      <c r="N93" s="511"/>
      <c r="O93" s="138" t="str">
        <f>IF(A93=TRUE,"SO received and on system","Awaiting customers purchase order")</f>
        <v>Awaiting customers purchase order</v>
      </c>
      <c r="P93" s="145"/>
    </row>
    <row r="94" spans="1:16" x14ac:dyDescent="0.2">
      <c r="A94" s="144" t="b">
        <v>0</v>
      </c>
      <c r="B94" s="134">
        <f t="shared" si="1"/>
        <v>101</v>
      </c>
      <c r="C94" s="170"/>
      <c r="D94" s="313" t="s">
        <v>621</v>
      </c>
      <c r="E94" s="511">
        <v>0</v>
      </c>
      <c r="F94" s="511"/>
      <c r="G94" s="511"/>
      <c r="H94" s="511"/>
      <c r="I94" s="511"/>
      <c r="J94" s="511"/>
      <c r="K94" s="511"/>
      <c r="L94" s="511"/>
      <c r="M94" s="511"/>
      <c r="N94" s="511"/>
      <c r="O94" s="138" t="str">
        <f>IF(A94=TRUE,"WO processed, service can be started","Awaiting customers purchase order")</f>
        <v>Awaiting customers purchase order</v>
      </c>
      <c r="P94" s="145"/>
    </row>
    <row r="95" spans="1:16" x14ac:dyDescent="0.2">
      <c r="A95" s="144" t="b">
        <v>0</v>
      </c>
      <c r="B95" s="134">
        <f t="shared" si="1"/>
        <v>102</v>
      </c>
      <c r="C95" s="159"/>
      <c r="D95" s="313" t="s">
        <v>622</v>
      </c>
      <c r="E95" s="157"/>
      <c r="F95" s="157"/>
      <c r="G95" s="157"/>
      <c r="H95" s="157"/>
      <c r="I95" s="157"/>
      <c r="J95" s="157"/>
      <c r="K95" s="157"/>
      <c r="L95" s="157"/>
      <c r="M95" s="157"/>
      <c r="N95" s="157"/>
      <c r="O95" s="138" t="s">
        <v>623</v>
      </c>
      <c r="P95" s="145"/>
    </row>
    <row r="96" spans="1:16" x14ac:dyDescent="0.2">
      <c r="B96" s="134">
        <f t="shared" si="1"/>
        <v>103</v>
      </c>
      <c r="C96" s="165" t="s">
        <v>624</v>
      </c>
      <c r="D96" s="344"/>
      <c r="E96" s="167" t="str">
        <f>E75</f>
        <v>M</v>
      </c>
      <c r="F96" s="171" t="str">
        <f>F75</f>
        <v>N</v>
      </c>
      <c r="G96" s="139"/>
      <c r="H96" s="167" t="s">
        <v>337</v>
      </c>
      <c r="I96" s="171" t="str">
        <f>I75</f>
        <v>N</v>
      </c>
      <c r="J96" s="139"/>
      <c r="K96" s="167" t="s">
        <v>341</v>
      </c>
      <c r="L96" s="172" t="str">
        <f>L75</f>
        <v>N</v>
      </c>
      <c r="M96" s="157"/>
      <c r="N96" s="157"/>
      <c r="P96" s="145"/>
    </row>
    <row r="97" spans="1:15" x14ac:dyDescent="0.2">
      <c r="A97" s="144" t="b">
        <v>0</v>
      </c>
      <c r="B97" s="134">
        <f t="shared" si="1"/>
        <v>104</v>
      </c>
      <c r="C97" s="159"/>
      <c r="D97" s="313"/>
      <c r="E97" s="527"/>
      <c r="F97" s="528"/>
      <c r="G97" s="528"/>
      <c r="H97" s="528"/>
      <c r="I97" s="528"/>
      <c r="J97" s="528"/>
      <c r="K97" s="492" t="s">
        <v>607</v>
      </c>
      <c r="L97" s="492"/>
      <c r="M97" s="492"/>
      <c r="N97" s="492"/>
      <c r="O97" s="138" t="str">
        <f>IF(A97=TRUE,"Pressure reducing valve value logged PASS","")</f>
        <v/>
      </c>
    </row>
    <row r="98" spans="1:15" x14ac:dyDescent="0.2">
      <c r="A98" s="144" t="b">
        <v>0</v>
      </c>
      <c r="B98" s="134">
        <f t="shared" si="1"/>
        <v>105</v>
      </c>
      <c r="C98" s="159"/>
      <c r="D98" s="313"/>
      <c r="E98" s="157"/>
      <c r="F98" s="157"/>
      <c r="G98" s="157"/>
      <c r="H98" s="157"/>
      <c r="I98" s="157"/>
      <c r="J98" s="157"/>
      <c r="K98" s="137"/>
      <c r="L98" s="137"/>
      <c r="M98" s="137"/>
      <c r="N98" s="137"/>
      <c r="O98" s="138" t="str">
        <f>IF(A98=TRUE,"Piston pump function test PASS","")</f>
        <v/>
      </c>
    </row>
    <row r="99" spans="1:15" x14ac:dyDescent="0.2">
      <c r="B99" s="134">
        <f t="shared" si="1"/>
        <v>106</v>
      </c>
      <c r="C99" s="168" t="s">
        <v>625</v>
      </c>
      <c r="D99" s="292"/>
      <c r="E99" s="529"/>
      <c r="F99" s="486"/>
      <c r="G99" s="486"/>
      <c r="H99" s="486"/>
      <c r="I99" s="486"/>
      <c r="J99" s="486"/>
      <c r="K99" s="486"/>
      <c r="L99" s="486"/>
      <c r="M99" s="486"/>
      <c r="N99" s="486"/>
      <c r="O99" s="138" t="str">
        <f>IF(D99&lt;550,"Laser 1 output outside of specification FAILED","Laser 1 output within specification PASS")</f>
        <v>Laser 1 output outside of specification FAILED</v>
      </c>
    </row>
    <row r="100" spans="1:15" x14ac:dyDescent="0.2">
      <c r="B100" s="134">
        <f t="shared" si="1"/>
        <v>107</v>
      </c>
      <c r="C100" s="168" t="s">
        <v>626</v>
      </c>
      <c r="D100" s="292"/>
      <c r="E100" s="529"/>
      <c r="F100" s="486"/>
      <c r="G100" s="486"/>
      <c r="H100" s="486"/>
      <c r="I100" s="486"/>
      <c r="J100" s="486"/>
      <c r="K100" s="486"/>
      <c r="L100" s="486"/>
      <c r="M100" s="486"/>
      <c r="N100" s="486"/>
      <c r="O100" s="138" t="str">
        <f>IF(D100&lt;800,"Laser 2 output outside of specification FAILED","Laser 2 output within specification PASS")</f>
        <v>Laser 2 output outside of specification FAILED</v>
      </c>
    </row>
    <row r="101" spans="1:15" x14ac:dyDescent="0.2">
      <c r="B101" s="134">
        <f t="shared" si="1"/>
        <v>108</v>
      </c>
      <c r="C101" s="168" t="s">
        <v>627</v>
      </c>
      <c r="D101" s="292"/>
      <c r="E101" s="529"/>
      <c r="F101" s="486"/>
      <c r="G101" s="486"/>
      <c r="H101" s="486"/>
      <c r="I101" s="486"/>
      <c r="J101" s="486"/>
      <c r="K101" s="486"/>
      <c r="L101" s="486"/>
      <c r="M101" s="486"/>
      <c r="N101" s="486"/>
      <c r="O101" s="138" t="str">
        <f>IF(D101&lt;1500,"Laser 1 NOISE output within specification PASS","Laser 1 NOISE output outside specification FAILED")</f>
        <v>Laser 1 NOISE output within specification PASS</v>
      </c>
    </row>
    <row r="102" spans="1:15" x14ac:dyDescent="0.2">
      <c r="B102" s="134">
        <f t="shared" si="1"/>
        <v>109</v>
      </c>
      <c r="C102" s="168" t="s">
        <v>628</v>
      </c>
      <c r="D102" s="292"/>
      <c r="E102" s="529"/>
      <c r="F102" s="486"/>
      <c r="G102" s="486"/>
      <c r="H102" s="486"/>
      <c r="I102" s="486"/>
      <c r="J102" s="486"/>
      <c r="K102" s="486"/>
      <c r="L102" s="486"/>
      <c r="M102" s="486"/>
      <c r="N102" s="486"/>
      <c r="O102" s="138" t="str">
        <f>IF(D102&lt;1500,"Laser 2 NOISE output within specification PASS","Laser 2 NOISE output outside specification FAILED")</f>
        <v>Laser 2 NOISE output within specification PASS</v>
      </c>
    </row>
    <row r="103" spans="1:15" x14ac:dyDescent="0.2">
      <c r="A103" s="144" t="b">
        <v>0</v>
      </c>
      <c r="B103" s="134">
        <f t="shared" si="1"/>
        <v>110</v>
      </c>
      <c r="C103" s="170"/>
      <c r="D103" s="313" t="s">
        <v>629</v>
      </c>
      <c r="E103" s="490" t="s">
        <v>450</v>
      </c>
      <c r="F103" s="490"/>
      <c r="G103" s="490"/>
      <c r="H103" s="490"/>
      <c r="I103" s="490"/>
      <c r="J103" s="490"/>
      <c r="K103" s="490"/>
      <c r="L103" s="490"/>
      <c r="M103" s="490"/>
      <c r="N103" s="490"/>
      <c r="O103" s="138" t="str">
        <f>IF(A103=TRUE,"DC connector inspected and tests OK","")</f>
        <v/>
      </c>
    </row>
    <row r="104" spans="1:15" x14ac:dyDescent="0.2">
      <c r="A104" s="144" t="b">
        <v>0</v>
      </c>
      <c r="B104" s="134">
        <f t="shared" si="1"/>
        <v>111</v>
      </c>
      <c r="C104" s="170"/>
      <c r="D104" s="313" t="s">
        <v>630</v>
      </c>
      <c r="E104" s="157"/>
      <c r="F104" s="157"/>
      <c r="G104" s="157"/>
      <c r="H104" s="157"/>
      <c r="I104" s="157"/>
      <c r="J104" s="157"/>
      <c r="K104" s="157"/>
      <c r="L104" s="157"/>
      <c r="M104" s="157"/>
      <c r="N104" s="157"/>
      <c r="O104" s="138" t="str">
        <f>IF(A104=TRUE,"Clock battery replaced as part of service. Please note: as a result of this time &amp; date has been set to local GMT","")</f>
        <v/>
      </c>
    </row>
    <row r="105" spans="1:15" x14ac:dyDescent="0.2">
      <c r="A105" s="144" t="b">
        <v>0</v>
      </c>
      <c r="B105" s="134">
        <f t="shared" si="1"/>
        <v>112</v>
      </c>
      <c r="C105" s="170"/>
      <c r="D105" s="313" t="s">
        <v>631</v>
      </c>
      <c r="E105" s="157"/>
      <c r="F105" s="157"/>
      <c r="G105" s="157"/>
      <c r="H105" s="157"/>
      <c r="I105" s="157"/>
      <c r="J105" s="157"/>
      <c r="K105" s="157"/>
      <c r="L105" s="157"/>
      <c r="M105" s="157"/>
      <c r="N105" s="157"/>
    </row>
    <row r="106" spans="1:15" x14ac:dyDescent="0.2">
      <c r="A106" s="144" t="b">
        <v>0</v>
      </c>
      <c r="B106" s="134">
        <f t="shared" si="1"/>
        <v>113</v>
      </c>
      <c r="C106" s="170"/>
      <c r="D106" s="313" t="s">
        <v>632</v>
      </c>
      <c r="E106" s="157"/>
      <c r="F106" s="157"/>
      <c r="G106" s="157"/>
      <c r="H106" s="157"/>
      <c r="I106" s="157"/>
      <c r="J106" s="157"/>
      <c r="K106" s="157"/>
      <c r="L106" s="157"/>
      <c r="M106" s="157"/>
      <c r="N106" s="157"/>
    </row>
    <row r="107" spans="1:15" x14ac:dyDescent="0.2">
      <c r="A107" s="144" t="b">
        <v>0</v>
      </c>
      <c r="B107" s="134">
        <f t="shared" si="1"/>
        <v>114</v>
      </c>
      <c r="C107" s="160"/>
      <c r="D107" s="313" t="s">
        <v>448</v>
      </c>
      <c r="E107" s="157"/>
      <c r="F107" s="157"/>
      <c r="G107" s="157"/>
      <c r="H107" s="157"/>
      <c r="I107" s="157"/>
      <c r="J107" s="157"/>
      <c r="K107" s="157"/>
      <c r="L107" s="157"/>
      <c r="M107" s="157"/>
      <c r="N107" s="157"/>
      <c r="O107" s="138" t="str">
        <f>IF(A107=TRUE,"Unit cleaned inside and out","")</f>
        <v/>
      </c>
    </row>
    <row r="108" spans="1:15" x14ac:dyDescent="0.2">
      <c r="A108" s="144" t="b">
        <v>0</v>
      </c>
      <c r="B108" s="134">
        <f t="shared" si="1"/>
        <v>115</v>
      </c>
      <c r="C108" s="159"/>
      <c r="D108" s="313" t="s">
        <v>633</v>
      </c>
      <c r="E108" s="157"/>
      <c r="F108" s="157"/>
      <c r="G108" s="157"/>
      <c r="H108" s="157"/>
      <c r="I108" s="157"/>
      <c r="J108" s="157"/>
      <c r="K108" s="157"/>
      <c r="L108" s="157"/>
      <c r="M108" s="157"/>
      <c r="N108" s="157"/>
      <c r="O108" s="138" t="str">
        <f>IF(A108=TRUE,"Flush valve module serviced","")</f>
        <v/>
      </c>
    </row>
    <row r="109" spans="1:15" x14ac:dyDescent="0.2">
      <c r="A109" s="144" t="b">
        <v>0</v>
      </c>
      <c r="B109" s="134">
        <f t="shared" si="1"/>
        <v>116</v>
      </c>
      <c r="C109" s="170"/>
      <c r="D109" s="313" t="s">
        <v>634</v>
      </c>
      <c r="E109" s="490" t="s">
        <v>450</v>
      </c>
      <c r="F109" s="490"/>
      <c r="G109" s="490"/>
      <c r="H109" s="490"/>
      <c r="I109" s="490"/>
      <c r="J109" s="490"/>
      <c r="K109" s="490"/>
      <c r="L109" s="490"/>
      <c r="M109" s="490"/>
      <c r="N109" s="490"/>
      <c r="O109" s="138" t="str">
        <f>IF(A109=TRUE,"Battery clamps inspected PASS","")</f>
        <v/>
      </c>
    </row>
    <row r="110" spans="1:15" x14ac:dyDescent="0.2">
      <c r="A110" s="144" t="b">
        <v>0</v>
      </c>
      <c r="B110" s="134">
        <f t="shared" si="1"/>
        <v>117</v>
      </c>
      <c r="C110" s="160"/>
      <c r="D110" s="313"/>
      <c r="E110" s="157"/>
      <c r="F110" s="157"/>
      <c r="G110" s="157"/>
      <c r="H110" s="157"/>
      <c r="I110" s="157"/>
      <c r="J110" s="157"/>
      <c r="K110" s="157"/>
      <c r="L110" s="157"/>
      <c r="M110" s="157"/>
      <c r="N110" s="157"/>
      <c r="O110" s="138" t="str">
        <f>IF(A110=TRUE,"Battery replaced as part of service","")</f>
        <v/>
      </c>
    </row>
    <row r="111" spans="1:15" x14ac:dyDescent="0.2">
      <c r="A111" s="144" t="b">
        <v>0</v>
      </c>
      <c r="B111" s="134">
        <f t="shared" si="1"/>
        <v>118</v>
      </c>
      <c r="C111" s="160"/>
      <c r="D111" s="313"/>
      <c r="E111" s="157"/>
      <c r="F111" s="157"/>
      <c r="G111" s="157"/>
      <c r="H111" s="157"/>
      <c r="I111" s="157"/>
      <c r="J111" s="157"/>
      <c r="K111" s="157"/>
      <c r="L111" s="157"/>
      <c r="M111" s="157"/>
      <c r="N111" s="157"/>
    </row>
    <row r="112" spans="1:15" x14ac:dyDescent="0.2">
      <c r="A112" s="144" t="b">
        <v>0</v>
      </c>
      <c r="B112" s="134">
        <f>B110+1</f>
        <v>118</v>
      </c>
      <c r="C112" s="159"/>
      <c r="D112" s="313"/>
      <c r="E112" s="139"/>
      <c r="F112" s="157"/>
      <c r="G112" s="137" t="s">
        <v>635</v>
      </c>
      <c r="H112" s="157"/>
      <c r="I112" s="157"/>
      <c r="J112" s="157"/>
      <c r="K112" s="528"/>
      <c r="L112" s="528"/>
      <c r="M112" s="528"/>
      <c r="N112" s="528"/>
      <c r="O112" s="138" t="str">
        <f>IF(A112=TRUE,"Moisture sensor replaced as part of service","")</f>
        <v/>
      </c>
    </row>
    <row r="113" spans="1:16" x14ac:dyDescent="0.2">
      <c r="A113" s="144" t="b">
        <v>0</v>
      </c>
      <c r="B113" s="134">
        <f t="shared" si="1"/>
        <v>119</v>
      </c>
      <c r="C113" s="159"/>
      <c r="D113" s="313" t="s">
        <v>636</v>
      </c>
      <c r="E113" s="527"/>
      <c r="F113" s="528"/>
      <c r="G113" s="145" t="s">
        <v>637</v>
      </c>
      <c r="I113" s="528"/>
      <c r="J113" s="528"/>
      <c r="K113" s="145" t="s">
        <v>638</v>
      </c>
      <c r="O113" s="138" t="str">
        <f>IF(A113=TRUE,"Moisture sensor initial test PASS","")</f>
        <v/>
      </c>
    </row>
    <row r="114" spans="1:16" x14ac:dyDescent="0.2">
      <c r="A114" s="144" t="b">
        <v>0</v>
      </c>
      <c r="B114" s="134">
        <f t="shared" si="1"/>
        <v>120</v>
      </c>
      <c r="C114" s="160"/>
      <c r="D114" s="313" t="s">
        <v>639</v>
      </c>
      <c r="E114" s="157"/>
      <c r="F114" s="157"/>
      <c r="G114" s="157"/>
      <c r="H114" s="157"/>
      <c r="I114" s="157"/>
      <c r="J114" s="157"/>
      <c r="K114" s="157"/>
      <c r="L114" s="157"/>
      <c r="M114" s="157"/>
      <c r="N114" s="157"/>
      <c r="O114" s="138" t="str">
        <f>IF(A114=TRUE,"Internal plumbing tested/replaced where necessary","")</f>
        <v/>
      </c>
    </row>
    <row r="115" spans="1:16" x14ac:dyDescent="0.2">
      <c r="A115" s="144" t="b">
        <v>0</v>
      </c>
      <c r="B115" s="134">
        <f t="shared" si="1"/>
        <v>121</v>
      </c>
      <c r="C115" s="160"/>
      <c r="D115" s="313" t="s">
        <v>640</v>
      </c>
      <c r="E115" s="528"/>
      <c r="F115" s="528"/>
      <c r="G115" s="528"/>
      <c r="H115" s="528"/>
      <c r="I115" s="157"/>
      <c r="J115" s="157"/>
      <c r="K115" s="157"/>
      <c r="L115" s="157"/>
      <c r="M115" s="157"/>
      <c r="N115" s="157"/>
    </row>
    <row r="116" spans="1:16" x14ac:dyDescent="0.2">
      <c r="A116" s="144" t="b">
        <v>0</v>
      </c>
      <c r="B116" s="134">
        <f t="shared" si="1"/>
        <v>122</v>
      </c>
      <c r="C116" s="173"/>
      <c r="D116" s="313" t="s">
        <v>641</v>
      </c>
      <c r="E116" s="157"/>
      <c r="F116" s="157"/>
      <c r="G116" s="157"/>
      <c r="H116" s="157"/>
      <c r="I116" s="157"/>
      <c r="J116" s="157"/>
      <c r="K116" s="157"/>
      <c r="L116" s="157"/>
      <c r="M116" s="157"/>
      <c r="N116" s="157"/>
      <c r="O116" s="138" t="str">
        <f>IF(A116=TRUE,"Internal fittings tested/replaced where necessary","")</f>
        <v/>
      </c>
    </row>
    <row r="117" spans="1:16" x14ac:dyDescent="0.2">
      <c r="A117" s="144" t="b">
        <v>0</v>
      </c>
      <c r="B117" s="134">
        <f t="shared" si="1"/>
        <v>123</v>
      </c>
      <c r="C117" s="160"/>
      <c r="D117" s="313" t="s">
        <v>642</v>
      </c>
      <c r="E117" s="157"/>
      <c r="F117" s="157"/>
      <c r="G117" s="157"/>
      <c r="H117" s="157"/>
      <c r="I117" s="157"/>
      <c r="J117" s="157"/>
      <c r="K117" s="157"/>
      <c r="L117" s="157"/>
      <c r="M117" s="157"/>
      <c r="N117" s="157"/>
      <c r="O117" s="138" t="str">
        <f>IF(A117=TRUE,"PCB ribbon cables secured where necessary","Ribbon cables all secure")</f>
        <v>Ribbon cables all secure</v>
      </c>
    </row>
    <row r="118" spans="1:16" x14ac:dyDescent="0.2">
      <c r="A118" s="144" t="b">
        <v>0</v>
      </c>
      <c r="B118" s="134">
        <f t="shared" si="1"/>
        <v>124</v>
      </c>
      <c r="C118" s="160"/>
      <c r="D118" s="313"/>
      <c r="E118" s="157"/>
      <c r="F118" s="157"/>
      <c r="G118" s="157"/>
      <c r="H118" s="157"/>
      <c r="I118" s="157"/>
      <c r="J118" s="157"/>
      <c r="K118" s="157"/>
      <c r="L118" s="157"/>
      <c r="M118" s="157"/>
      <c r="N118" s="157"/>
      <c r="O118" s="138" t="str">
        <f>IF(A118=TRUE,"Faceplate Brackets checked PASS","")</f>
        <v/>
      </c>
    </row>
    <row r="119" spans="1:16" x14ac:dyDescent="0.2">
      <c r="A119" s="144" t="b">
        <v>0</v>
      </c>
      <c r="B119" s="134">
        <f t="shared" si="1"/>
        <v>125</v>
      </c>
      <c r="C119" s="159"/>
      <c r="D119" s="345"/>
      <c r="E119" s="157"/>
      <c r="F119" s="157"/>
      <c r="G119" s="157"/>
      <c r="H119" s="157"/>
      <c r="I119" s="157"/>
      <c r="J119" s="157"/>
      <c r="K119" s="157"/>
      <c r="L119" s="157"/>
      <c r="M119" s="157"/>
      <c r="N119" s="157"/>
      <c r="O119" s="138" t="str">
        <f>IF(A119=TRUE,"New lid organiser fitted","No requirement to replace lid organiser")</f>
        <v>No requirement to replace lid organiser</v>
      </c>
    </row>
    <row r="120" spans="1:16" x14ac:dyDescent="0.2">
      <c r="A120" s="149"/>
      <c r="C120" s="485" t="s">
        <v>451</v>
      </c>
      <c r="D120" s="485"/>
      <c r="E120" s="485"/>
      <c r="F120" s="485"/>
      <c r="G120" s="485"/>
      <c r="H120" s="485"/>
      <c r="I120" s="485"/>
      <c r="J120" s="485"/>
      <c r="K120" s="485"/>
      <c r="L120" s="485"/>
      <c r="M120" s="485"/>
      <c r="N120" s="485"/>
      <c r="O120" s="485"/>
      <c r="P120" s="148"/>
    </row>
    <row r="121" spans="1:16" x14ac:dyDescent="0.2">
      <c r="A121" s="144" t="b">
        <v>0</v>
      </c>
      <c r="B121" s="134">
        <f>B119+1</f>
        <v>126</v>
      </c>
      <c r="C121" s="160"/>
      <c r="D121" s="313" t="s">
        <v>643</v>
      </c>
      <c r="E121" s="157"/>
      <c r="F121" s="157"/>
      <c r="G121" s="157"/>
      <c r="H121" s="157"/>
      <c r="I121" s="157"/>
      <c r="J121" s="157"/>
      <c r="K121" s="157"/>
      <c r="L121" s="157"/>
      <c r="M121" s="157"/>
      <c r="N121" s="157"/>
      <c r="O121" s="138" t="str">
        <f>IF(A121=TRUE,"External signal plug and associated alarm circuit tested PASS","")</f>
        <v/>
      </c>
    </row>
    <row r="122" spans="1:16" x14ac:dyDescent="0.2">
      <c r="B122" s="134">
        <f t="shared" si="1"/>
        <v>127</v>
      </c>
      <c r="C122" s="136" t="s">
        <v>644</v>
      </c>
      <c r="D122" s="292"/>
      <c r="E122" s="157"/>
      <c r="F122" s="157"/>
      <c r="G122" s="157"/>
      <c r="H122" s="157"/>
      <c r="I122" s="157"/>
      <c r="J122" s="157"/>
      <c r="K122" s="157"/>
      <c r="L122" s="157"/>
      <c r="M122" s="157"/>
      <c r="N122" s="157"/>
      <c r="O122" s="138" t="str">
        <f>IF(D122&gt;=(D123+1),"Flush valve pressure test PASSED","Flush valve pressure test FAILED")</f>
        <v>Flush valve pressure test FAILED</v>
      </c>
    </row>
    <row r="123" spans="1:16" x14ac:dyDescent="0.2">
      <c r="B123" s="134">
        <f t="shared" si="1"/>
        <v>128</v>
      </c>
      <c r="C123" s="136" t="s">
        <v>645</v>
      </c>
      <c r="D123" s="292"/>
      <c r="E123" s="157"/>
      <c r="F123" s="157"/>
      <c r="G123" s="157"/>
      <c r="H123" s="157"/>
      <c r="I123" s="157"/>
      <c r="J123" s="157"/>
      <c r="K123" s="157"/>
      <c r="L123" s="157"/>
      <c r="M123" s="157"/>
      <c r="N123" s="157"/>
      <c r="O123" s="138" t="str">
        <f>IF(D123&lt;2.51,"Internal pressure reducing valve pressure test PASS","Internal pressure reducing valve pressure test FAILED")</f>
        <v>Internal pressure reducing valve pressure test PASS</v>
      </c>
    </row>
    <row r="124" spans="1:16" x14ac:dyDescent="0.2">
      <c r="A124" s="144">
        <v>2000</v>
      </c>
      <c r="B124" s="134">
        <f t="shared" si="1"/>
        <v>129</v>
      </c>
      <c r="C124" s="136" t="s">
        <v>625</v>
      </c>
      <c r="D124" s="292"/>
      <c r="E124" s="486"/>
      <c r="F124" s="486"/>
      <c r="G124" s="486"/>
      <c r="H124" s="486"/>
      <c r="I124" s="486"/>
      <c r="J124" s="486"/>
      <c r="K124" s="486"/>
      <c r="L124" s="486"/>
      <c r="M124" s="486"/>
      <c r="N124" s="486"/>
      <c r="O124" s="138" t="str">
        <f>IF(D124&lt;550,"Laser 1 output outside of specification FAILED","Laser 1 output within specification PASS")</f>
        <v>Laser 1 output outside of specification FAILED</v>
      </c>
    </row>
    <row r="125" spans="1:16" x14ac:dyDescent="0.2">
      <c r="A125" s="144">
        <v>2400</v>
      </c>
      <c r="B125" s="134">
        <f t="shared" si="1"/>
        <v>130</v>
      </c>
      <c r="C125" s="136" t="s">
        <v>626</v>
      </c>
      <c r="D125" s="292"/>
      <c r="E125" s="486"/>
      <c r="F125" s="486"/>
      <c r="G125" s="486"/>
      <c r="H125" s="486"/>
      <c r="I125" s="486"/>
      <c r="J125" s="486"/>
      <c r="K125" s="486"/>
      <c r="L125" s="486"/>
      <c r="M125" s="486"/>
      <c r="N125" s="486"/>
      <c r="O125" s="138" t="str">
        <f>IF(D125&lt;800,"Laser 2 output outside of specification FAILED","Laser 2 output within specification PASS")</f>
        <v>Laser 2 output outside of specification FAILED</v>
      </c>
    </row>
    <row r="126" spans="1:16" x14ac:dyDescent="0.2">
      <c r="A126" s="144" t="b">
        <v>0</v>
      </c>
      <c r="B126" s="134">
        <f t="shared" si="1"/>
        <v>131</v>
      </c>
      <c r="C126" s="174"/>
      <c r="D126" s="312" t="s">
        <v>646</v>
      </c>
      <c r="E126" s="157"/>
      <c r="F126" s="157"/>
      <c r="G126" s="157"/>
      <c r="H126" s="157"/>
      <c r="I126" s="157"/>
      <c r="J126" s="157"/>
      <c r="K126" s="157"/>
      <c r="L126" s="157"/>
      <c r="M126" s="157"/>
      <c r="N126" s="157"/>
      <c r="O126" s="138" t="str">
        <f>IF(A126=TRUE,"High pressure seal integrity test PASS","High pressure seal integrity test failure, unit requires rework")</f>
        <v>High pressure seal integrity test failure, unit requires rework</v>
      </c>
    </row>
    <row r="127" spans="1:16" x14ac:dyDescent="0.2">
      <c r="B127" s="134">
        <f t="shared" si="1"/>
        <v>132</v>
      </c>
      <c r="C127" s="136" t="s">
        <v>520</v>
      </c>
      <c r="E127" s="530"/>
      <c r="F127" s="530"/>
      <c r="G127" s="530"/>
      <c r="H127" s="530"/>
      <c r="I127" s="530"/>
      <c r="J127" s="530"/>
      <c r="K127" s="530"/>
      <c r="L127" s="530"/>
      <c r="M127" s="530"/>
      <c r="N127" s="530"/>
    </row>
    <row r="128" spans="1:16" x14ac:dyDescent="0.2">
      <c r="A128" s="144" t="b">
        <v>0</v>
      </c>
      <c r="B128" s="134">
        <f t="shared" si="1"/>
        <v>133</v>
      </c>
      <c r="C128" s="174"/>
      <c r="D128" s="313" t="s">
        <v>647</v>
      </c>
      <c r="E128" s="175"/>
      <c r="F128" s="175"/>
      <c r="G128" s="175"/>
      <c r="H128" s="175"/>
      <c r="I128" s="175"/>
      <c r="J128" s="175"/>
      <c r="K128" s="175"/>
      <c r="L128" s="175"/>
      <c r="M128" s="175"/>
      <c r="N128" s="157"/>
    </row>
    <row r="129" spans="1:28" x14ac:dyDescent="0.2">
      <c r="A129" s="144" t="b">
        <v>0</v>
      </c>
      <c r="B129" s="134">
        <f t="shared" si="1"/>
        <v>134</v>
      </c>
      <c r="C129" s="174"/>
      <c r="D129" s="313" t="s">
        <v>648</v>
      </c>
      <c r="E129" s="175"/>
      <c r="F129" s="175"/>
      <c r="G129" s="175"/>
      <c r="H129" s="175"/>
      <c r="I129" s="175"/>
      <c r="J129" s="175"/>
      <c r="K129" s="175"/>
      <c r="L129" s="175"/>
      <c r="M129" s="175"/>
      <c r="N129" s="157"/>
    </row>
    <row r="130" spans="1:28" x14ac:dyDescent="0.2">
      <c r="A130" s="144" t="b">
        <v>0</v>
      </c>
      <c r="B130" s="134">
        <f t="shared" si="1"/>
        <v>135</v>
      </c>
      <c r="C130" s="174"/>
      <c r="D130" s="313" t="s">
        <v>649</v>
      </c>
      <c r="E130" s="175"/>
      <c r="F130" s="175"/>
      <c r="G130" s="175"/>
      <c r="H130" s="175"/>
      <c r="I130" s="175"/>
      <c r="J130" s="175"/>
      <c r="K130" s="175"/>
      <c r="L130" s="175"/>
      <c r="M130" s="175"/>
      <c r="N130" s="157"/>
    </row>
    <row r="131" spans="1:28" ht="15.75" x14ac:dyDescent="0.2">
      <c r="B131" s="134">
        <f t="shared" si="1"/>
        <v>136</v>
      </c>
      <c r="C131" s="150" t="s">
        <v>457</v>
      </c>
      <c r="D131" s="302"/>
      <c r="E131" s="487" t="s">
        <v>372</v>
      </c>
      <c r="F131" s="487"/>
      <c r="G131" s="488" t="str">
        <f>IF(D131=D13,"ON TIME",IF(D131&gt;D13,"LATE",IF(D131&lt;D13,"EARLY")))</f>
        <v>EARLY</v>
      </c>
      <c r="H131" s="488"/>
      <c r="I131" s="488"/>
      <c r="J131" s="488"/>
      <c r="K131" s="488"/>
      <c r="L131" s="488"/>
      <c r="M131" s="488"/>
      <c r="N131" s="488"/>
      <c r="O131" s="145"/>
      <c r="P131" s="136"/>
    </row>
    <row r="132" spans="1:28" x14ac:dyDescent="0.2">
      <c r="B132" s="134">
        <f t="shared" si="1"/>
        <v>137</v>
      </c>
      <c r="C132" s="150" t="s">
        <v>650</v>
      </c>
      <c r="D132" s="329"/>
      <c r="E132" s="152" t="s">
        <v>618</v>
      </c>
      <c r="F132" s="139"/>
      <c r="G132" s="150"/>
      <c r="H132" s="150"/>
      <c r="I132" s="514">
        <f>D132-D92</f>
        <v>0</v>
      </c>
      <c r="J132" s="514"/>
      <c r="K132" s="514"/>
      <c r="L132" s="514"/>
      <c r="M132" s="514"/>
      <c r="N132" s="514"/>
      <c r="O132" s="139"/>
    </row>
    <row r="133" spans="1:28" x14ac:dyDescent="0.2">
      <c r="C133" s="485" t="s">
        <v>651</v>
      </c>
      <c r="D133" s="485"/>
      <c r="E133" s="485"/>
      <c r="F133" s="485"/>
      <c r="G133" s="485"/>
      <c r="H133" s="485"/>
      <c r="I133" s="485"/>
      <c r="J133" s="485"/>
      <c r="K133" s="485"/>
      <c r="L133" s="485"/>
      <c r="M133" s="485"/>
      <c r="N133" s="485"/>
      <c r="O133" s="485"/>
    </row>
    <row r="134" spans="1:28" ht="15.75" x14ac:dyDescent="0.2">
      <c r="B134" s="134">
        <f>B132+1</f>
        <v>138</v>
      </c>
      <c r="C134" s="150" t="s">
        <v>459</v>
      </c>
      <c r="D134" s="302"/>
      <c r="E134" s="487" t="s">
        <v>372</v>
      </c>
      <c r="F134" s="487"/>
      <c r="G134" s="515" t="str">
        <f>IF(D134=D13,"ON TIME",IF(D134&gt;D13,"LATE",IF(D134&lt;D13,"EARLY")))</f>
        <v>EARLY</v>
      </c>
      <c r="H134" s="515"/>
      <c r="I134" s="515"/>
      <c r="J134" s="515"/>
      <c r="K134" s="515"/>
      <c r="L134" s="515"/>
      <c r="M134" s="515"/>
      <c r="N134" s="515"/>
      <c r="O134" s="176"/>
    </row>
    <row r="135" spans="1:28" x14ac:dyDescent="0.2">
      <c r="B135" s="134">
        <f t="shared" si="1"/>
        <v>139</v>
      </c>
      <c r="C135" s="150" t="s">
        <v>568</v>
      </c>
      <c r="D135" s="329"/>
      <c r="E135" s="157"/>
      <c r="F135" s="139"/>
      <c r="G135" s="152"/>
      <c r="H135" s="152"/>
      <c r="I135" s="152"/>
      <c r="J135" s="152"/>
      <c r="K135" s="139"/>
      <c r="L135" s="145"/>
      <c r="M135" s="145"/>
      <c r="N135" s="145"/>
    </row>
    <row r="136" spans="1:28" x14ac:dyDescent="0.2">
      <c r="B136" s="134">
        <f t="shared" ref="B136:B199" si="3">B135+1</f>
        <v>140</v>
      </c>
      <c r="C136" s="150" t="s">
        <v>650</v>
      </c>
      <c r="D136" s="329"/>
      <c r="E136" s="152" t="s">
        <v>618</v>
      </c>
      <c r="F136" s="139"/>
      <c r="G136" s="150"/>
      <c r="H136" s="150"/>
      <c r="I136" s="514">
        <f>D136-D135</f>
        <v>0</v>
      </c>
      <c r="J136" s="514"/>
      <c r="K136" s="514"/>
      <c r="L136" s="514"/>
      <c r="M136" s="514"/>
      <c r="N136" s="514"/>
    </row>
    <row r="137" spans="1:28" x14ac:dyDescent="0.2">
      <c r="B137" s="134">
        <f t="shared" si="3"/>
        <v>141</v>
      </c>
      <c r="C137" s="150" t="s">
        <v>652</v>
      </c>
      <c r="D137" s="329"/>
      <c r="E137" s="157"/>
      <c r="F137" s="139"/>
      <c r="G137" s="152"/>
      <c r="H137" s="152"/>
      <c r="I137" s="152"/>
      <c r="J137" s="152"/>
      <c r="K137" s="139"/>
      <c r="L137" s="145"/>
      <c r="M137" s="145"/>
      <c r="N137" s="145"/>
    </row>
    <row r="138" spans="1:28" x14ac:dyDescent="0.2">
      <c r="A138" s="144" t="b">
        <v>0</v>
      </c>
      <c r="B138" s="134">
        <f t="shared" si="3"/>
        <v>142</v>
      </c>
      <c r="C138" s="150" t="s">
        <v>653</v>
      </c>
      <c r="D138" s="314"/>
      <c r="E138" s="157"/>
      <c r="F138" s="139"/>
      <c r="G138" s="152"/>
      <c r="H138" s="152"/>
      <c r="I138" s="152"/>
      <c r="J138" s="152"/>
      <c r="K138" s="139"/>
      <c r="L138" s="145"/>
      <c r="M138" s="145"/>
      <c r="N138" s="145"/>
    </row>
    <row r="139" spans="1:28" x14ac:dyDescent="0.2">
      <c r="A139" s="144" t="b">
        <v>0</v>
      </c>
      <c r="B139" s="134">
        <f t="shared" si="3"/>
        <v>143</v>
      </c>
      <c r="C139" s="150" t="s">
        <v>654</v>
      </c>
      <c r="D139" s="314"/>
      <c r="E139" s="157"/>
      <c r="F139" s="139"/>
      <c r="G139" s="152"/>
      <c r="H139" s="152"/>
      <c r="I139" s="152"/>
      <c r="J139" s="152"/>
      <c r="K139" s="139"/>
      <c r="L139" s="145"/>
      <c r="M139" s="145"/>
      <c r="N139" s="145"/>
    </row>
    <row r="140" spans="1:28" x14ac:dyDescent="0.2">
      <c r="A140" s="144" t="b">
        <v>0</v>
      </c>
      <c r="B140" s="134">
        <f t="shared" si="3"/>
        <v>144</v>
      </c>
      <c r="C140" s="163" t="s">
        <v>460</v>
      </c>
      <c r="D140" s="314"/>
      <c r="E140" s="530"/>
      <c r="F140" s="530"/>
      <c r="G140" s="530"/>
      <c r="H140" s="530"/>
      <c r="I140" s="530"/>
      <c r="J140" s="530"/>
      <c r="K140" s="530"/>
      <c r="L140" s="530"/>
      <c r="M140" s="530"/>
      <c r="N140" s="530"/>
      <c r="O140" s="138" t="str">
        <f>IF(A140=TRUE,"Calibration complete PASSED","")</f>
        <v/>
      </c>
    </row>
    <row r="141" spans="1:28" ht="15.75" x14ac:dyDescent="0.2">
      <c r="C141" s="517" t="s">
        <v>462</v>
      </c>
      <c r="D141" s="517"/>
      <c r="E141" s="517"/>
      <c r="F141" s="517"/>
      <c r="G141" s="517"/>
      <c r="H141" s="517"/>
      <c r="I141" s="517"/>
      <c r="J141" s="517"/>
      <c r="K141" s="517"/>
      <c r="L141" s="517"/>
      <c r="M141" s="517"/>
      <c r="N141" s="517"/>
      <c r="O141" s="517"/>
    </row>
    <row r="142" spans="1:28" x14ac:dyDescent="0.2">
      <c r="B142" s="134">
        <f>B140+1</f>
        <v>145</v>
      </c>
      <c r="C142" s="150" t="s">
        <v>459</v>
      </c>
      <c r="D142" s="302"/>
      <c r="E142" s="177"/>
      <c r="F142" s="177"/>
      <c r="G142" s="177"/>
      <c r="H142" s="142"/>
      <c r="I142" s="177"/>
      <c r="K142" s="157"/>
      <c r="L142" s="157"/>
      <c r="M142" s="157"/>
      <c r="N142" s="157"/>
      <c r="Z142" s="177"/>
      <c r="AA142" s="177"/>
      <c r="AB142" s="177"/>
    </row>
    <row r="143" spans="1:28" x14ac:dyDescent="0.2">
      <c r="B143" s="134">
        <f>B142+1</f>
        <v>146</v>
      </c>
      <c r="C143" s="150" t="s">
        <v>568</v>
      </c>
      <c r="D143" s="329"/>
      <c r="E143" s="177"/>
      <c r="F143" s="177"/>
      <c r="G143" s="177"/>
      <c r="H143" s="142"/>
      <c r="I143" s="177"/>
      <c r="K143" s="157"/>
      <c r="L143" s="157"/>
      <c r="M143" s="157"/>
      <c r="N143" s="157"/>
      <c r="Z143" s="177"/>
      <c r="AA143" s="177"/>
      <c r="AB143" s="177"/>
    </row>
    <row r="144" spans="1:28" x14ac:dyDescent="0.2">
      <c r="A144" s="144" t="b">
        <v>0</v>
      </c>
      <c r="B144" s="134">
        <f>B143+1</f>
        <v>147</v>
      </c>
      <c r="C144" s="150" t="s">
        <v>463</v>
      </c>
      <c r="D144" s="346" t="str">
        <f>D5&amp;E5</f>
        <v>-1</v>
      </c>
      <c r="E144" s="139"/>
      <c r="F144" s="178"/>
      <c r="G144" s="139"/>
      <c r="H144" s="139"/>
      <c r="I144" s="139"/>
      <c r="K144" s="157"/>
      <c r="L144" s="157"/>
      <c r="M144" s="157"/>
      <c r="N144" s="157"/>
      <c r="Z144" s="177"/>
      <c r="AA144" s="177"/>
      <c r="AB144" s="177"/>
    </row>
    <row r="145" spans="1:28" x14ac:dyDescent="0.2">
      <c r="A145" s="144" t="b">
        <v>0</v>
      </c>
      <c r="B145" s="134">
        <f t="shared" si="3"/>
        <v>148</v>
      </c>
      <c r="C145" s="150" t="s">
        <v>655</v>
      </c>
      <c r="D145" s="314"/>
      <c r="E145" s="139"/>
      <c r="G145" s="139"/>
      <c r="I145" s="139"/>
      <c r="Z145" s="177"/>
      <c r="AA145" s="177"/>
      <c r="AB145" s="177"/>
    </row>
    <row r="146" spans="1:28" x14ac:dyDescent="0.2">
      <c r="C146" s="179" t="s">
        <v>656</v>
      </c>
      <c r="E146" s="139"/>
      <c r="G146" s="139"/>
      <c r="I146" s="139"/>
      <c r="Z146" s="177"/>
      <c r="AA146" s="177"/>
      <c r="AB146" s="177"/>
    </row>
    <row r="147" spans="1:28" x14ac:dyDescent="0.2">
      <c r="A147" s="144" t="b">
        <v>0</v>
      </c>
      <c r="B147" s="134">
        <f>B145+1</f>
        <v>149</v>
      </c>
      <c r="C147" s="150"/>
      <c r="D147" s="347"/>
      <c r="E147" s="138"/>
      <c r="J147" s="138"/>
      <c r="O147" s="139"/>
      <c r="Z147" s="177"/>
      <c r="AA147" s="177"/>
      <c r="AB147" s="177"/>
    </row>
    <row r="148" spans="1:28" x14ac:dyDescent="0.2">
      <c r="A148" s="144" t="b">
        <v>0</v>
      </c>
      <c r="B148" s="134">
        <f t="shared" si="3"/>
        <v>150</v>
      </c>
      <c r="C148" s="163" t="s">
        <v>657</v>
      </c>
      <c r="D148" s="348"/>
      <c r="G148" s="185"/>
      <c r="O148" s="139"/>
      <c r="Z148" s="177"/>
      <c r="AA148" s="177"/>
      <c r="AB148" s="177"/>
    </row>
    <row r="149" spans="1:28" x14ac:dyDescent="0.2">
      <c r="A149" s="144" t="b">
        <v>0</v>
      </c>
      <c r="B149" s="134">
        <f t="shared" si="3"/>
        <v>151</v>
      </c>
      <c r="C149" s="150" t="s">
        <v>658</v>
      </c>
      <c r="D149" s="348"/>
      <c r="G149" s="185"/>
      <c r="K149" s="184"/>
      <c r="L149" s="184"/>
      <c r="M149" s="184"/>
      <c r="O149" s="139"/>
      <c r="Z149" s="177"/>
      <c r="AA149" s="177"/>
      <c r="AB149" s="177"/>
    </row>
    <row r="150" spans="1:28" x14ac:dyDescent="0.2">
      <c r="A150" s="144" t="b">
        <v>0</v>
      </c>
      <c r="B150" s="134">
        <f t="shared" si="3"/>
        <v>152</v>
      </c>
      <c r="C150" s="150" t="s">
        <v>659</v>
      </c>
      <c r="D150" s="348"/>
      <c r="F150" s="184"/>
      <c r="G150" s="186"/>
      <c r="H150" s="184"/>
      <c r="K150" s="184"/>
      <c r="L150" s="184"/>
      <c r="M150" s="184"/>
      <c r="O150" s="139"/>
      <c r="Z150" s="177"/>
      <c r="AA150" s="177"/>
      <c r="AB150" s="177"/>
    </row>
    <row r="151" spans="1:28" x14ac:dyDescent="0.2">
      <c r="A151" s="144" t="b">
        <v>0</v>
      </c>
      <c r="B151" s="134">
        <f t="shared" si="3"/>
        <v>153</v>
      </c>
      <c r="C151" s="150" t="s">
        <v>660</v>
      </c>
      <c r="D151" s="348"/>
      <c r="F151" s="184"/>
      <c r="G151" s="186"/>
      <c r="H151" s="184"/>
      <c r="O151" s="139"/>
      <c r="Z151" s="177"/>
      <c r="AA151" s="177"/>
      <c r="AB151" s="177"/>
    </row>
    <row r="152" spans="1:28" x14ac:dyDescent="0.2">
      <c r="A152" s="144" t="b">
        <v>0</v>
      </c>
      <c r="B152" s="134">
        <f t="shared" si="3"/>
        <v>154</v>
      </c>
      <c r="C152" s="150" t="s">
        <v>661</v>
      </c>
      <c r="D152" s="348"/>
      <c r="F152" s="184"/>
      <c r="G152" s="186"/>
      <c r="H152" s="184"/>
      <c r="O152" s="139"/>
      <c r="Z152" s="177"/>
      <c r="AA152" s="177"/>
      <c r="AB152" s="177"/>
    </row>
    <row r="153" spans="1:28" x14ac:dyDescent="0.2">
      <c r="A153" s="144" t="b">
        <v>0</v>
      </c>
      <c r="B153" s="134">
        <f t="shared" si="3"/>
        <v>155</v>
      </c>
      <c r="C153" s="150" t="s">
        <v>662</v>
      </c>
      <c r="D153" s="348"/>
      <c r="F153" s="184"/>
      <c r="G153" s="186"/>
      <c r="H153" s="184"/>
      <c r="O153" s="139"/>
      <c r="Z153" s="177"/>
      <c r="AA153" s="177"/>
      <c r="AB153" s="177"/>
    </row>
    <row r="154" spans="1:28" x14ac:dyDescent="0.2">
      <c r="A154" s="144" t="b">
        <v>0</v>
      </c>
      <c r="B154" s="134">
        <f t="shared" si="3"/>
        <v>156</v>
      </c>
      <c r="C154" s="150" t="s">
        <v>663</v>
      </c>
      <c r="D154" s="348"/>
      <c r="F154" s="184"/>
      <c r="G154" s="186"/>
      <c r="H154" s="184"/>
      <c r="O154" s="139"/>
      <c r="Z154" s="177"/>
      <c r="AA154" s="177"/>
      <c r="AB154" s="177"/>
    </row>
    <row r="155" spans="1:28" x14ac:dyDescent="0.2">
      <c r="A155" s="144" t="b">
        <v>0</v>
      </c>
      <c r="B155" s="134">
        <f t="shared" si="3"/>
        <v>157</v>
      </c>
      <c r="C155" s="150" t="s">
        <v>664</v>
      </c>
      <c r="D155" s="348"/>
      <c r="F155" s="184"/>
      <c r="G155" s="186"/>
      <c r="H155" s="184"/>
      <c r="N155" s="139"/>
      <c r="O155" s="139"/>
      <c r="Z155" s="177"/>
      <c r="AA155" s="177"/>
      <c r="AB155" s="177"/>
    </row>
    <row r="156" spans="1:28" x14ac:dyDescent="0.2">
      <c r="A156" s="144" t="b">
        <v>0</v>
      </c>
      <c r="B156" s="134">
        <f t="shared" si="3"/>
        <v>158</v>
      </c>
      <c r="C156" s="150" t="s">
        <v>665</v>
      </c>
      <c r="D156" s="317"/>
      <c r="Z156" s="180"/>
      <c r="AA156" s="180"/>
      <c r="AB156" s="180"/>
    </row>
    <row r="157" spans="1:28" x14ac:dyDescent="0.2">
      <c r="A157" s="144" t="b">
        <v>0</v>
      </c>
      <c r="B157" s="134">
        <f t="shared" si="3"/>
        <v>159</v>
      </c>
      <c r="C157" s="150" t="s">
        <v>666</v>
      </c>
      <c r="D157" s="317"/>
      <c r="Z157" s="181"/>
      <c r="AA157" s="181"/>
      <c r="AB157" s="181"/>
    </row>
    <row r="158" spans="1:28" x14ac:dyDescent="0.2">
      <c r="A158" s="144" t="b">
        <v>0</v>
      </c>
      <c r="B158" s="134">
        <f t="shared" si="3"/>
        <v>160</v>
      </c>
      <c r="C158" s="150" t="s">
        <v>667</v>
      </c>
      <c r="D158" s="317"/>
      <c r="H158" s="157"/>
      <c r="I158" s="157"/>
      <c r="J158" s="157"/>
      <c r="K158" s="157"/>
      <c r="L158" s="157"/>
      <c r="M158" s="157"/>
      <c r="N158" s="157"/>
      <c r="O158" s="157"/>
      <c r="P158" s="157"/>
      <c r="Q158" s="157"/>
      <c r="R158" s="138"/>
      <c r="S158" s="177"/>
      <c r="T158" s="177"/>
      <c r="U158" s="177"/>
      <c r="V158" s="177"/>
      <c r="W158" s="177"/>
      <c r="X158" s="177"/>
      <c r="Y158" s="177"/>
      <c r="Z158" s="177"/>
      <c r="AA158" s="177"/>
      <c r="AB158" s="177"/>
    </row>
    <row r="159" spans="1:28" x14ac:dyDescent="0.2">
      <c r="A159" s="144" t="b">
        <v>0</v>
      </c>
      <c r="B159" s="134">
        <f t="shared" si="3"/>
        <v>161</v>
      </c>
      <c r="C159" s="179" t="s">
        <v>668</v>
      </c>
      <c r="D159" s="317"/>
      <c r="H159" s="157"/>
      <c r="I159" s="157"/>
      <c r="J159" s="157"/>
      <c r="K159" s="157"/>
      <c r="L159" s="157"/>
      <c r="M159" s="157"/>
      <c r="N159" s="157"/>
      <c r="O159" s="157"/>
      <c r="P159" s="157"/>
      <c r="Q159" s="157"/>
      <c r="R159" s="138"/>
    </row>
    <row r="160" spans="1:28" x14ac:dyDescent="0.2">
      <c r="A160" s="144" t="b">
        <v>0</v>
      </c>
      <c r="B160" s="134">
        <f t="shared" si="3"/>
        <v>162</v>
      </c>
      <c r="C160" s="150" t="s">
        <v>669</v>
      </c>
      <c r="D160" s="317"/>
      <c r="E160" s="135" t="s">
        <v>468</v>
      </c>
      <c r="F160" s="135" t="s">
        <v>4</v>
      </c>
      <c r="G160" s="516" t="s">
        <v>469</v>
      </c>
      <c r="H160" s="516"/>
      <c r="I160" s="157"/>
      <c r="J160" s="157"/>
      <c r="K160" s="157"/>
      <c r="L160" s="157"/>
      <c r="M160" s="157"/>
      <c r="N160" s="157"/>
      <c r="O160" s="157"/>
      <c r="P160" s="157"/>
      <c r="Q160" s="157"/>
      <c r="R160" s="138"/>
    </row>
    <row r="161" spans="1:18" x14ac:dyDescent="0.2">
      <c r="A161" s="144" t="b">
        <v>0</v>
      </c>
      <c r="B161" s="134">
        <f t="shared" si="3"/>
        <v>163</v>
      </c>
      <c r="C161" s="150" t="s">
        <v>670</v>
      </c>
      <c r="D161" s="317"/>
      <c r="E161" s="135">
        <v>1</v>
      </c>
      <c r="F161" s="135">
        <v>4</v>
      </c>
      <c r="G161" s="531">
        <f>'Auto-Calibration record'!B65</f>
        <v>78</v>
      </c>
      <c r="H161" s="532"/>
      <c r="I161" s="157"/>
      <c r="J161" s="157"/>
      <c r="K161" s="157"/>
      <c r="L161" s="157"/>
      <c r="M161" s="157"/>
      <c r="N161" s="157"/>
      <c r="O161" s="157"/>
      <c r="P161" s="157"/>
      <c r="Q161" s="157"/>
      <c r="R161" s="138"/>
    </row>
    <row r="162" spans="1:18" x14ac:dyDescent="0.2">
      <c r="A162" s="144" t="b">
        <v>0</v>
      </c>
      <c r="B162" s="134">
        <f t="shared" si="3"/>
        <v>164</v>
      </c>
      <c r="C162" s="184" t="s">
        <v>671</v>
      </c>
      <c r="D162" s="317"/>
      <c r="E162" s="135">
        <v>2</v>
      </c>
      <c r="F162" s="135">
        <v>6</v>
      </c>
      <c r="G162" s="531">
        <f>'Auto-Calibration record'!C65</f>
        <v>188</v>
      </c>
      <c r="H162" s="532"/>
      <c r="I162" s="157"/>
      <c r="J162" s="157"/>
      <c r="K162" s="157"/>
      <c r="L162" s="157"/>
      <c r="M162" s="157"/>
      <c r="N162" s="157"/>
      <c r="O162" s="157"/>
      <c r="P162" s="157"/>
      <c r="Q162" s="157"/>
      <c r="R162" s="138"/>
    </row>
    <row r="163" spans="1:18" x14ac:dyDescent="0.2">
      <c r="A163" s="144" t="b">
        <v>0</v>
      </c>
      <c r="B163" s="134">
        <f t="shared" si="3"/>
        <v>165</v>
      </c>
      <c r="C163" s="150" t="s">
        <v>672</v>
      </c>
      <c r="D163" s="349"/>
      <c r="E163" s="135">
        <v>3</v>
      </c>
      <c r="F163" s="135">
        <v>14</v>
      </c>
      <c r="G163" s="531">
        <f>'Auto-Calibration record'!D65</f>
        <v>1018</v>
      </c>
      <c r="H163" s="532"/>
      <c r="I163" s="157"/>
      <c r="J163" s="157"/>
      <c r="K163" s="157"/>
      <c r="L163" s="157"/>
      <c r="M163" s="157"/>
      <c r="N163" s="157"/>
      <c r="O163" s="157"/>
      <c r="P163" s="157"/>
      <c r="Q163" s="157"/>
      <c r="R163" s="138"/>
    </row>
    <row r="164" spans="1:18" x14ac:dyDescent="0.2">
      <c r="A164" s="144" t="b">
        <v>0</v>
      </c>
      <c r="B164" s="134">
        <f t="shared" si="3"/>
        <v>166</v>
      </c>
      <c r="C164" s="150" t="s">
        <v>673</v>
      </c>
      <c r="D164" s="349"/>
      <c r="E164" s="135">
        <v>4</v>
      </c>
      <c r="F164" s="135">
        <v>21</v>
      </c>
      <c r="G164" s="531">
        <f>'Auto-Calibration record'!E65</f>
        <v>2074</v>
      </c>
      <c r="H164" s="532"/>
    </row>
    <row r="165" spans="1:18" x14ac:dyDescent="0.2">
      <c r="A165" s="144" t="b">
        <v>0</v>
      </c>
      <c r="B165" s="134">
        <f t="shared" si="3"/>
        <v>167</v>
      </c>
      <c r="C165" s="150" t="s">
        <v>674</v>
      </c>
      <c r="D165" s="317"/>
      <c r="E165" s="135">
        <v>5</v>
      </c>
      <c r="F165" s="135">
        <v>25</v>
      </c>
      <c r="G165" s="531">
        <f>'Auto-Calibration record'!F65</f>
        <v>2990</v>
      </c>
      <c r="H165" s="532"/>
    </row>
    <row r="166" spans="1:18" x14ac:dyDescent="0.2">
      <c r="A166" s="144" t="b">
        <v>0</v>
      </c>
      <c r="B166" s="134">
        <f t="shared" si="3"/>
        <v>168</v>
      </c>
      <c r="C166" s="150" t="s">
        <v>675</v>
      </c>
      <c r="D166" s="349"/>
      <c r="E166" s="135">
        <v>6</v>
      </c>
      <c r="F166" s="135">
        <v>38</v>
      </c>
      <c r="G166" s="531">
        <f>'Auto-Calibration record'!G65</f>
        <v>10008</v>
      </c>
      <c r="H166" s="532"/>
    </row>
    <row r="167" spans="1:18" x14ac:dyDescent="0.2">
      <c r="A167" s="144" t="b">
        <v>0</v>
      </c>
      <c r="B167" s="134">
        <f t="shared" si="3"/>
        <v>169</v>
      </c>
      <c r="C167" s="184" t="s">
        <v>676</v>
      </c>
      <c r="D167" s="349"/>
      <c r="E167" s="135">
        <v>7</v>
      </c>
      <c r="F167" s="135">
        <v>50</v>
      </c>
      <c r="G167" s="531">
        <f>'Auto-Calibration record'!H65</f>
        <v>16418</v>
      </c>
      <c r="H167" s="532"/>
    </row>
    <row r="168" spans="1:18" x14ac:dyDescent="0.2">
      <c r="A168" s="144" t="b">
        <v>0</v>
      </c>
      <c r="B168" s="134">
        <f t="shared" si="3"/>
        <v>170</v>
      </c>
      <c r="C168" s="150" t="s">
        <v>677</v>
      </c>
      <c r="D168" s="349"/>
      <c r="E168" s="135">
        <v>8</v>
      </c>
      <c r="F168" s="135">
        <v>70</v>
      </c>
      <c r="G168" s="531">
        <f>'Auto-Calibration record'!I65</f>
        <v>24602</v>
      </c>
      <c r="H168" s="532"/>
    </row>
    <row r="169" spans="1:18" x14ac:dyDescent="0.2">
      <c r="A169" s="144" t="b">
        <v>0</v>
      </c>
      <c r="B169" s="134">
        <f t="shared" si="3"/>
        <v>171</v>
      </c>
      <c r="C169" s="150" t="s">
        <v>678</v>
      </c>
      <c r="D169" s="317"/>
    </row>
    <row r="170" spans="1:18" x14ac:dyDescent="0.2">
      <c r="A170" s="144" t="b">
        <v>0</v>
      </c>
      <c r="B170" s="134">
        <f t="shared" si="3"/>
        <v>172</v>
      </c>
      <c r="C170" s="150" t="s">
        <v>679</v>
      </c>
      <c r="D170" s="349"/>
      <c r="E170" s="139"/>
      <c r="G170" s="139"/>
      <c r="I170" s="139"/>
    </row>
    <row r="171" spans="1:18" x14ac:dyDescent="0.2">
      <c r="A171" s="144" t="b">
        <v>0</v>
      </c>
      <c r="B171" s="134">
        <f t="shared" si="3"/>
        <v>173</v>
      </c>
      <c r="C171" s="150" t="s">
        <v>680</v>
      </c>
      <c r="D171" s="317"/>
      <c r="E171" s="139"/>
      <c r="G171" s="139"/>
      <c r="I171" s="139"/>
    </row>
    <row r="172" spans="1:18" x14ac:dyDescent="0.2">
      <c r="A172" s="144" t="b">
        <v>0</v>
      </c>
      <c r="B172" s="134">
        <f t="shared" si="3"/>
        <v>174</v>
      </c>
      <c r="C172" s="150" t="s">
        <v>543</v>
      </c>
      <c r="D172" s="317"/>
      <c r="E172" s="139"/>
      <c r="G172" s="139"/>
      <c r="I172" s="139"/>
    </row>
    <row r="173" spans="1:18" x14ac:dyDescent="0.2">
      <c r="C173" s="150" t="s">
        <v>681</v>
      </c>
      <c r="D173" s="350"/>
      <c r="E173" s="139"/>
      <c r="G173" s="139"/>
      <c r="I173" s="139"/>
    </row>
    <row r="174" spans="1:18" x14ac:dyDescent="0.2">
      <c r="A174" s="144" t="b">
        <v>0</v>
      </c>
      <c r="B174" s="134">
        <f>B172+1</f>
        <v>175</v>
      </c>
      <c r="C174" s="150" t="s">
        <v>682</v>
      </c>
      <c r="D174" s="349"/>
      <c r="E174" s="139"/>
      <c r="G174" s="139"/>
      <c r="I174" s="139"/>
      <c r="O174" s="137"/>
    </row>
    <row r="175" spans="1:18" x14ac:dyDescent="0.2">
      <c r="A175" s="144" t="b">
        <v>0</v>
      </c>
      <c r="B175" s="134">
        <f>B174+1</f>
        <v>176</v>
      </c>
      <c r="C175" s="150" t="s">
        <v>683</v>
      </c>
      <c r="D175" s="317"/>
      <c r="E175" s="139"/>
      <c r="G175" s="139"/>
      <c r="I175" s="139"/>
    </row>
    <row r="176" spans="1:18" x14ac:dyDescent="0.2">
      <c r="A176" s="144" t="b">
        <v>0</v>
      </c>
      <c r="B176" s="134">
        <f t="shared" si="3"/>
        <v>177</v>
      </c>
      <c r="C176" s="150" t="s">
        <v>666</v>
      </c>
      <c r="D176" s="349"/>
      <c r="E176" s="139"/>
      <c r="G176" s="139"/>
      <c r="I176" s="139"/>
    </row>
    <row r="177" spans="1:9" x14ac:dyDescent="0.2">
      <c r="A177" s="144" t="b">
        <v>0</v>
      </c>
      <c r="B177" s="134">
        <f t="shared" si="3"/>
        <v>178</v>
      </c>
      <c r="C177" s="150" t="s">
        <v>684</v>
      </c>
      <c r="D177" s="349"/>
      <c r="E177" s="139"/>
      <c r="G177" s="139"/>
      <c r="I177" s="139"/>
    </row>
    <row r="178" spans="1:9" x14ac:dyDescent="0.2">
      <c r="A178" s="144" t="b">
        <v>0</v>
      </c>
      <c r="B178" s="134">
        <f t="shared" si="3"/>
        <v>179</v>
      </c>
      <c r="C178" s="150" t="s">
        <v>685</v>
      </c>
      <c r="D178" s="349"/>
      <c r="E178" s="139"/>
      <c r="G178" s="139"/>
      <c r="I178" s="139"/>
    </row>
    <row r="179" spans="1:9" x14ac:dyDescent="0.2">
      <c r="A179" s="144" t="b">
        <v>0</v>
      </c>
      <c r="B179" s="134">
        <f t="shared" si="3"/>
        <v>180</v>
      </c>
      <c r="C179" s="150" t="s">
        <v>686</v>
      </c>
      <c r="D179" s="349"/>
      <c r="E179" s="139"/>
      <c r="G179" s="139"/>
      <c r="I179" s="139"/>
    </row>
    <row r="180" spans="1:9" x14ac:dyDescent="0.2">
      <c r="A180" s="144" t="b">
        <v>0</v>
      </c>
      <c r="B180" s="134">
        <f t="shared" si="3"/>
        <v>181</v>
      </c>
      <c r="C180" s="163" t="s">
        <v>687</v>
      </c>
      <c r="D180" s="349"/>
      <c r="E180" s="139"/>
      <c r="G180" s="139"/>
      <c r="I180" s="139"/>
    </row>
    <row r="181" spans="1:9" x14ac:dyDescent="0.2">
      <c r="A181" s="144" t="b">
        <v>0</v>
      </c>
      <c r="B181" s="134">
        <f t="shared" si="3"/>
        <v>182</v>
      </c>
      <c r="C181" s="184" t="s">
        <v>688</v>
      </c>
      <c r="D181" s="349"/>
      <c r="E181" s="139"/>
      <c r="G181" s="139"/>
      <c r="I181" s="139"/>
    </row>
    <row r="182" spans="1:9" x14ac:dyDescent="0.2">
      <c r="A182" s="144" t="b">
        <v>0</v>
      </c>
      <c r="B182" s="134">
        <f t="shared" si="3"/>
        <v>183</v>
      </c>
      <c r="C182" s="150" t="s">
        <v>689</v>
      </c>
      <c r="D182" s="349"/>
      <c r="E182" s="139"/>
      <c r="G182" s="139"/>
      <c r="I182" s="139"/>
    </row>
    <row r="183" spans="1:9" x14ac:dyDescent="0.2">
      <c r="A183" s="144" t="b">
        <v>0</v>
      </c>
      <c r="B183" s="134">
        <f t="shared" si="3"/>
        <v>184</v>
      </c>
      <c r="C183" s="150" t="s">
        <v>690</v>
      </c>
      <c r="D183" s="349"/>
      <c r="E183" s="139"/>
      <c r="G183" s="139"/>
      <c r="I183" s="139"/>
    </row>
    <row r="184" spans="1:9" x14ac:dyDescent="0.2">
      <c r="A184" s="144" t="b">
        <v>0</v>
      </c>
      <c r="B184" s="134">
        <f t="shared" si="3"/>
        <v>185</v>
      </c>
      <c r="C184" s="150" t="s">
        <v>691</v>
      </c>
      <c r="D184" s="349"/>
      <c r="E184" s="139"/>
      <c r="G184" s="139"/>
      <c r="I184" s="139"/>
    </row>
    <row r="185" spans="1:9" x14ac:dyDescent="0.2">
      <c r="A185" s="144" t="b">
        <v>0</v>
      </c>
      <c r="B185" s="134">
        <f t="shared" si="3"/>
        <v>186</v>
      </c>
      <c r="C185" s="184" t="s">
        <v>692</v>
      </c>
      <c r="D185" s="349"/>
      <c r="E185" s="139"/>
      <c r="G185" s="139"/>
      <c r="I185" s="139"/>
    </row>
    <row r="186" spans="1:9" x14ac:dyDescent="0.2">
      <c r="A186" s="144" t="b">
        <v>0</v>
      </c>
      <c r="B186" s="134">
        <f t="shared" si="3"/>
        <v>187</v>
      </c>
      <c r="C186" s="150" t="s">
        <v>693</v>
      </c>
      <c r="D186" s="349"/>
      <c r="E186" s="139"/>
      <c r="G186" s="139"/>
      <c r="I186" s="139"/>
    </row>
    <row r="187" spans="1:9" x14ac:dyDescent="0.2">
      <c r="A187" s="144" t="b">
        <v>0</v>
      </c>
      <c r="B187" s="134">
        <f t="shared" si="3"/>
        <v>188</v>
      </c>
      <c r="C187" s="150" t="s">
        <v>694</v>
      </c>
      <c r="D187" s="349"/>
      <c r="E187" s="139"/>
      <c r="G187" s="139"/>
      <c r="I187" s="139"/>
    </row>
    <row r="188" spans="1:9" x14ac:dyDescent="0.2">
      <c r="A188" s="144" t="b">
        <v>0</v>
      </c>
      <c r="B188" s="134">
        <f t="shared" si="3"/>
        <v>189</v>
      </c>
      <c r="C188" s="150" t="s">
        <v>695</v>
      </c>
      <c r="D188" s="349"/>
      <c r="E188" s="139"/>
      <c r="G188" s="139"/>
      <c r="I188" s="139"/>
    </row>
    <row r="189" spans="1:9" x14ac:dyDescent="0.2">
      <c r="A189" s="144" t="b">
        <v>0</v>
      </c>
      <c r="B189" s="134">
        <f t="shared" si="3"/>
        <v>190</v>
      </c>
      <c r="C189" s="150" t="s">
        <v>696</v>
      </c>
      <c r="D189" s="317"/>
      <c r="E189" s="139"/>
      <c r="G189" s="139"/>
      <c r="I189" s="139"/>
    </row>
    <row r="190" spans="1:9" x14ac:dyDescent="0.2">
      <c r="A190" s="144" t="b">
        <v>0</v>
      </c>
      <c r="B190" s="134">
        <f t="shared" si="3"/>
        <v>191</v>
      </c>
      <c r="C190" s="150" t="s">
        <v>697</v>
      </c>
      <c r="D190" s="349"/>
      <c r="E190" s="139"/>
      <c r="G190" s="139"/>
      <c r="I190" s="139"/>
    </row>
    <row r="191" spans="1:9" x14ac:dyDescent="0.2">
      <c r="A191" s="144" t="b">
        <v>0</v>
      </c>
      <c r="B191" s="134">
        <f t="shared" si="3"/>
        <v>192</v>
      </c>
      <c r="C191" s="150" t="s">
        <v>698</v>
      </c>
      <c r="D191" s="349"/>
      <c r="E191" s="139"/>
      <c r="G191" s="139"/>
      <c r="I191" s="139"/>
    </row>
    <row r="192" spans="1:9" x14ac:dyDescent="0.2">
      <c r="A192" s="144" t="b">
        <v>0</v>
      </c>
      <c r="B192" s="134">
        <f t="shared" si="3"/>
        <v>193</v>
      </c>
      <c r="C192" s="150" t="s">
        <v>699</v>
      </c>
      <c r="D192" s="349"/>
      <c r="E192" s="139"/>
      <c r="G192" s="139"/>
      <c r="I192" s="139"/>
    </row>
    <row r="193" spans="1:15" x14ac:dyDescent="0.2">
      <c r="A193" s="144" t="b">
        <v>0</v>
      </c>
      <c r="B193" s="134">
        <f t="shared" si="3"/>
        <v>194</v>
      </c>
      <c r="C193" s="150" t="s">
        <v>700</v>
      </c>
      <c r="D193" s="317"/>
      <c r="E193" s="139"/>
      <c r="G193" s="139"/>
      <c r="I193" s="139"/>
    </row>
    <row r="194" spans="1:15" x14ac:dyDescent="0.2">
      <c r="A194" s="144" t="b">
        <v>0</v>
      </c>
      <c r="B194" s="134">
        <f t="shared" si="3"/>
        <v>195</v>
      </c>
      <c r="C194" s="150" t="s">
        <v>701</v>
      </c>
      <c r="D194" s="317"/>
      <c r="E194" s="139"/>
      <c r="G194" s="139"/>
      <c r="I194" s="139"/>
    </row>
    <row r="195" spans="1:15" x14ac:dyDescent="0.2">
      <c r="A195" s="144" t="b">
        <v>0</v>
      </c>
      <c r="B195" s="134">
        <f t="shared" si="3"/>
        <v>196</v>
      </c>
      <c r="C195" s="184" t="s">
        <v>702</v>
      </c>
      <c r="D195" s="317"/>
      <c r="E195" s="139"/>
      <c r="G195" s="139"/>
      <c r="I195" s="139"/>
    </row>
    <row r="196" spans="1:15" x14ac:dyDescent="0.2">
      <c r="A196" s="144" t="b">
        <f>IF(AND(D196&lt;=55,D196&gt;=19),TRUE,IF(AND(D196&gt;55,D196&lt;19),FALSE))</f>
        <v>0</v>
      </c>
      <c r="B196" s="134">
        <f t="shared" si="3"/>
        <v>197</v>
      </c>
      <c r="C196" s="150" t="s">
        <v>703</v>
      </c>
      <c r="D196" s="316"/>
      <c r="E196" s="139"/>
      <c r="G196" s="139"/>
      <c r="I196" s="139"/>
      <c r="O196" s="138" t="str">
        <f>IF(A196=TRUE,"Moisture sensor final test PASS","")</f>
        <v/>
      </c>
    </row>
    <row r="197" spans="1:15" x14ac:dyDescent="0.2">
      <c r="A197" s="144" t="b">
        <f>IF(AND(D197&lt;=44,D197&gt;=36),TRUE,IF(AND(D197&gt;45,D197&lt;36),FALSE))</f>
        <v>0</v>
      </c>
      <c r="B197" s="134">
        <f t="shared" si="3"/>
        <v>198</v>
      </c>
      <c r="C197" s="150" t="s">
        <v>704</v>
      </c>
      <c r="D197" s="316"/>
      <c r="E197" s="139"/>
      <c r="G197" s="139"/>
      <c r="I197" s="139"/>
      <c r="O197" s="138" t="str">
        <f>IF(A197=TRUE,"Temperature sensor final test PASS","")</f>
        <v/>
      </c>
    </row>
    <row r="198" spans="1:15" x14ac:dyDescent="0.2">
      <c r="A198" s="144" t="b">
        <v>0</v>
      </c>
      <c r="B198" s="134">
        <f t="shared" si="3"/>
        <v>199</v>
      </c>
      <c r="C198" s="150" t="s">
        <v>705</v>
      </c>
      <c r="D198" s="317"/>
      <c r="E198" s="139"/>
      <c r="G198" s="139"/>
      <c r="I198" s="139"/>
    </row>
    <row r="199" spans="1:15" x14ac:dyDescent="0.2">
      <c r="A199" s="144" t="b">
        <v>0</v>
      </c>
      <c r="B199" s="134">
        <f t="shared" si="3"/>
        <v>200</v>
      </c>
      <c r="C199" s="150" t="s">
        <v>706</v>
      </c>
      <c r="D199" s="153"/>
      <c r="E199" s="139"/>
      <c r="G199" s="139"/>
      <c r="I199" s="139"/>
    </row>
    <row r="200" spans="1:15" x14ac:dyDescent="0.2">
      <c r="C200" s="150" t="s">
        <v>707</v>
      </c>
      <c r="D200" s="163"/>
      <c r="E200" s="139"/>
      <c r="G200" s="139"/>
      <c r="I200" s="139"/>
    </row>
    <row r="201" spans="1:15" x14ac:dyDescent="0.2">
      <c r="A201" s="144" t="b">
        <v>0</v>
      </c>
      <c r="B201" s="134">
        <f>B199+1</f>
        <v>201</v>
      </c>
      <c r="C201" s="150" t="s">
        <v>708</v>
      </c>
      <c r="D201" s="317"/>
      <c r="E201" s="139"/>
      <c r="G201" s="139"/>
      <c r="I201" s="139"/>
    </row>
    <row r="202" spans="1:15" x14ac:dyDescent="0.2">
      <c r="A202" s="144" t="b">
        <v>0</v>
      </c>
      <c r="B202" s="134">
        <f t="shared" ref="B202:B227" si="4">B201+1</f>
        <v>202</v>
      </c>
      <c r="C202" s="150" t="s">
        <v>706</v>
      </c>
      <c r="D202" s="317"/>
      <c r="E202" s="139"/>
      <c r="G202" s="139"/>
      <c r="I202" s="139"/>
    </row>
    <row r="203" spans="1:15" x14ac:dyDescent="0.2">
      <c r="A203" s="144" t="b">
        <v>0</v>
      </c>
      <c r="B203" s="134">
        <f t="shared" si="4"/>
        <v>203</v>
      </c>
      <c r="C203" s="150" t="s">
        <v>707</v>
      </c>
      <c r="D203" s="317"/>
      <c r="E203" s="139"/>
      <c r="G203" s="139"/>
      <c r="I203" s="139"/>
    </row>
    <row r="204" spans="1:15" x14ac:dyDescent="0.2">
      <c r="A204" s="144" t="b">
        <v>0</v>
      </c>
      <c r="B204" s="134">
        <f t="shared" si="4"/>
        <v>204</v>
      </c>
      <c r="C204" s="150" t="s">
        <v>709</v>
      </c>
      <c r="D204" s="317"/>
      <c r="E204" s="139"/>
      <c r="G204" s="139"/>
      <c r="I204" s="139"/>
    </row>
    <row r="205" spans="1:15" x14ac:dyDescent="0.2">
      <c r="A205" s="144" t="b">
        <v>0</v>
      </c>
      <c r="B205" s="134">
        <f t="shared" si="4"/>
        <v>205</v>
      </c>
      <c r="C205" s="150" t="s">
        <v>710</v>
      </c>
      <c r="D205" s="349"/>
      <c r="E205" s="139"/>
      <c r="G205" s="139"/>
      <c r="I205" s="139"/>
      <c r="O205" s="137" t="str">
        <f>IF(A205=TRUE,"Test number set to that as recieved","Test number NOT CORRECT")</f>
        <v>Test number NOT CORRECT</v>
      </c>
    </row>
    <row r="206" spans="1:15" x14ac:dyDescent="0.2">
      <c r="C206" s="150" t="s">
        <v>711</v>
      </c>
      <c r="D206" s="162"/>
      <c r="E206" s="139"/>
      <c r="G206" s="139"/>
      <c r="I206" s="139"/>
    </row>
    <row r="207" spans="1:15" x14ac:dyDescent="0.2">
      <c r="A207" s="144" t="b">
        <v>0</v>
      </c>
      <c r="B207" s="134">
        <f>B205+1</f>
        <v>206</v>
      </c>
      <c r="C207" s="150" t="s">
        <v>712</v>
      </c>
      <c r="D207" s="317"/>
      <c r="E207" s="139"/>
      <c r="G207" s="139"/>
      <c r="I207" s="139"/>
    </row>
    <row r="208" spans="1:15" x14ac:dyDescent="0.2">
      <c r="A208" s="144" t="b">
        <v>0</v>
      </c>
      <c r="B208" s="134">
        <f>B207+1</f>
        <v>207</v>
      </c>
      <c r="C208" s="150" t="s">
        <v>713</v>
      </c>
      <c r="D208" s="317"/>
      <c r="E208" s="139"/>
      <c r="G208" s="139"/>
      <c r="I208" s="139"/>
    </row>
    <row r="209" spans="1:15" x14ac:dyDescent="0.2">
      <c r="C209" s="150" t="s">
        <v>714</v>
      </c>
      <c r="D209" s="163"/>
      <c r="E209" s="139"/>
      <c r="G209" s="139"/>
      <c r="I209" s="139"/>
    </row>
    <row r="210" spans="1:15" x14ac:dyDescent="0.2">
      <c r="A210" s="144" t="b">
        <v>0</v>
      </c>
      <c r="B210" s="134">
        <f>B208+1</f>
        <v>208</v>
      </c>
      <c r="C210" s="150" t="s">
        <v>715</v>
      </c>
      <c r="D210" s="317"/>
      <c r="E210" s="139"/>
      <c r="G210" s="139"/>
      <c r="I210" s="139"/>
    </row>
    <row r="211" spans="1:15" x14ac:dyDescent="0.2">
      <c r="A211" s="144" t="b">
        <v>0</v>
      </c>
      <c r="B211" s="134">
        <f t="shared" si="4"/>
        <v>209</v>
      </c>
      <c r="C211" s="150" t="s">
        <v>716</v>
      </c>
      <c r="D211" s="317"/>
      <c r="E211" s="139"/>
      <c r="G211" s="139"/>
      <c r="I211" s="139"/>
    </row>
    <row r="212" spans="1:15" x14ac:dyDescent="0.2">
      <c r="A212" s="144" t="b">
        <v>0</v>
      </c>
      <c r="B212" s="134">
        <f t="shared" si="4"/>
        <v>210</v>
      </c>
      <c r="C212" s="184" t="s">
        <v>717</v>
      </c>
      <c r="D212" s="351"/>
      <c r="E212" s="139"/>
      <c r="G212" s="139"/>
      <c r="I212" s="139"/>
    </row>
    <row r="213" spans="1:15" x14ac:dyDescent="0.2">
      <c r="A213" s="144" t="b">
        <v>0</v>
      </c>
      <c r="B213" s="134">
        <f t="shared" si="4"/>
        <v>211</v>
      </c>
      <c r="C213" s="150" t="s">
        <v>718</v>
      </c>
      <c r="D213" s="317"/>
      <c r="E213" s="139"/>
      <c r="G213" s="139"/>
      <c r="I213" s="139"/>
    </row>
    <row r="214" spans="1:15" x14ac:dyDescent="0.2">
      <c r="A214" s="144" t="b">
        <v>0</v>
      </c>
      <c r="B214" s="134">
        <f t="shared" si="4"/>
        <v>212</v>
      </c>
      <c r="C214" s="150" t="s">
        <v>719</v>
      </c>
      <c r="D214" s="317"/>
      <c r="E214" s="139"/>
      <c r="G214" s="139"/>
      <c r="I214" s="139"/>
    </row>
    <row r="215" spans="1:15" x14ac:dyDescent="0.2">
      <c r="C215" s="150" t="s">
        <v>720</v>
      </c>
      <c r="D215" s="163"/>
      <c r="E215" s="139"/>
      <c r="G215" s="139"/>
      <c r="I215" s="139"/>
    </row>
    <row r="216" spans="1:15" x14ac:dyDescent="0.2">
      <c r="A216" s="144" t="b">
        <v>0</v>
      </c>
      <c r="B216" s="134">
        <f>B214+1</f>
        <v>213</v>
      </c>
      <c r="C216" s="150" t="s">
        <v>721</v>
      </c>
      <c r="D216" s="317"/>
      <c r="E216" s="139"/>
      <c r="F216" s="139"/>
      <c r="G216" s="139"/>
      <c r="I216" s="139"/>
      <c r="O216" s="138" t="str">
        <f>IF(A216=TRUE,"2 copies of calibration certificate included, one in unit one on outside of box","")</f>
        <v/>
      </c>
    </row>
    <row r="217" spans="1:15" x14ac:dyDescent="0.2">
      <c r="A217" s="144" t="b">
        <v>0</v>
      </c>
      <c r="B217" s="134">
        <f t="shared" si="4"/>
        <v>214</v>
      </c>
      <c r="C217" s="184" t="s">
        <v>722</v>
      </c>
      <c r="D217" s="351"/>
      <c r="E217" s="139"/>
      <c r="F217" s="139"/>
      <c r="G217" s="139"/>
      <c r="I217" s="139"/>
      <c r="O217" s="138" t="str">
        <f>IF(A217=TRUE,"2 copies of service report included, one in unit one on outside of box","")</f>
        <v/>
      </c>
    </row>
    <row r="218" spans="1:15" x14ac:dyDescent="0.2">
      <c r="A218" s="144" t="b">
        <v>0</v>
      </c>
      <c r="B218" s="134">
        <f t="shared" si="4"/>
        <v>215</v>
      </c>
      <c r="C218" s="150" t="s">
        <v>723</v>
      </c>
      <c r="D218" s="351"/>
      <c r="E218" s="139"/>
      <c r="G218" s="139"/>
      <c r="I218" s="139"/>
    </row>
    <row r="219" spans="1:15" x14ac:dyDescent="0.2">
      <c r="A219" s="144" t="b">
        <v>0</v>
      </c>
      <c r="B219" s="134">
        <f t="shared" si="4"/>
        <v>216</v>
      </c>
      <c r="C219" s="150" t="s">
        <v>724</v>
      </c>
      <c r="D219" s="317"/>
      <c r="E219" s="505" t="s">
        <v>725</v>
      </c>
      <c r="F219" s="506"/>
      <c r="G219" s="506"/>
      <c r="H219" s="506"/>
      <c r="I219" s="506"/>
      <c r="J219" s="506"/>
      <c r="K219" s="506"/>
      <c r="L219" s="506"/>
      <c r="M219" s="506"/>
      <c r="N219" s="506"/>
      <c r="O219" s="506"/>
    </row>
    <row r="220" spans="1:15" x14ac:dyDescent="0.2">
      <c r="A220" s="144" t="b">
        <v>0</v>
      </c>
      <c r="B220" s="134">
        <f t="shared" si="4"/>
        <v>217</v>
      </c>
      <c r="C220" s="150" t="s">
        <v>726</v>
      </c>
      <c r="D220" s="317"/>
      <c r="E220" s="139"/>
      <c r="G220" s="139"/>
      <c r="I220" s="139"/>
    </row>
    <row r="221" spans="1:15" x14ac:dyDescent="0.2">
      <c r="A221" s="144" t="b">
        <v>0</v>
      </c>
      <c r="B221" s="134">
        <f t="shared" si="4"/>
        <v>218</v>
      </c>
      <c r="C221" s="150" t="s">
        <v>727</v>
      </c>
      <c r="D221" s="317"/>
      <c r="E221" s="139"/>
      <c r="F221" s="139"/>
      <c r="G221" s="139"/>
      <c r="I221" s="139"/>
    </row>
    <row r="222" spans="1:15" x14ac:dyDescent="0.2">
      <c r="A222" s="144" t="b">
        <v>0</v>
      </c>
      <c r="B222" s="134">
        <f t="shared" si="4"/>
        <v>219</v>
      </c>
      <c r="C222" s="150" t="s">
        <v>728</v>
      </c>
      <c r="D222" s="317"/>
      <c r="E222" s="139"/>
      <c r="F222" s="139"/>
      <c r="G222" s="139"/>
      <c r="I222" s="139"/>
    </row>
    <row r="223" spans="1:15" x14ac:dyDescent="0.2">
      <c r="A223" s="144" t="b">
        <v>0</v>
      </c>
      <c r="B223" s="134">
        <f t="shared" si="4"/>
        <v>220</v>
      </c>
      <c r="C223" s="136" t="s">
        <v>729</v>
      </c>
      <c r="D223" s="332"/>
      <c r="E223" s="157"/>
      <c r="F223" s="157"/>
      <c r="G223" s="157"/>
      <c r="H223" s="157"/>
      <c r="I223" s="157"/>
      <c r="J223" s="157"/>
      <c r="K223" s="157"/>
      <c r="L223" s="157"/>
      <c r="M223" s="157"/>
      <c r="N223" s="157"/>
      <c r="O223" s="138" t="str">
        <f>IF(A223=TRUE,"AX WO processed","WO still to be completed")</f>
        <v>WO still to be completed</v>
      </c>
    </row>
    <row r="224" spans="1:15" x14ac:dyDescent="0.2">
      <c r="A224" s="144" t="b">
        <v>0</v>
      </c>
      <c r="B224" s="134">
        <f t="shared" si="4"/>
        <v>221</v>
      </c>
      <c r="C224" s="134" t="s">
        <v>702</v>
      </c>
      <c r="D224" s="332"/>
      <c r="E224" s="157"/>
      <c r="F224" s="157"/>
      <c r="G224" s="157"/>
      <c r="H224" s="157"/>
      <c r="I224" s="157"/>
      <c r="J224" s="157"/>
      <c r="K224" s="157"/>
      <c r="L224" s="157"/>
      <c r="M224" s="157"/>
      <c r="N224" s="157"/>
      <c r="O224" s="138" t="str">
        <f>IF(A224=TRUE,"Online booking status updated","Online update still required")</f>
        <v>Online update still required</v>
      </c>
    </row>
    <row r="225" spans="2:14" ht="15.75" x14ac:dyDescent="0.2">
      <c r="B225" s="134">
        <f t="shared" si="4"/>
        <v>222</v>
      </c>
      <c r="C225" s="150" t="s">
        <v>730</v>
      </c>
      <c r="D225" s="302"/>
      <c r="E225" s="487"/>
      <c r="F225" s="487"/>
      <c r="G225" s="515"/>
      <c r="H225" s="515"/>
      <c r="I225" s="515"/>
      <c r="J225" s="515"/>
      <c r="K225" s="515"/>
      <c r="L225" s="515"/>
      <c r="M225" s="515"/>
      <c r="N225" s="515"/>
    </row>
    <row r="226" spans="2:14" x14ac:dyDescent="0.2">
      <c r="B226" s="134">
        <f t="shared" si="4"/>
        <v>223</v>
      </c>
      <c r="C226" s="150" t="s">
        <v>731</v>
      </c>
      <c r="D226" s="329"/>
      <c r="E226" s="152" t="s">
        <v>618</v>
      </c>
      <c r="F226" s="139"/>
      <c r="G226" s="150"/>
      <c r="H226" s="150"/>
      <c r="I226" s="514"/>
      <c r="J226" s="514"/>
      <c r="K226" s="514"/>
      <c r="L226" s="514"/>
      <c r="M226" s="514"/>
      <c r="N226" s="514"/>
    </row>
    <row r="227" spans="2:14" x14ac:dyDescent="0.2">
      <c r="B227" s="134">
        <f t="shared" si="4"/>
        <v>224</v>
      </c>
      <c r="C227" s="136" t="s">
        <v>732</v>
      </c>
      <c r="E227" s="530"/>
      <c r="F227" s="530"/>
      <c r="G227" s="530"/>
      <c r="H227" s="530"/>
      <c r="I227" s="530"/>
      <c r="J227" s="530"/>
      <c r="K227" s="530"/>
      <c r="L227" s="530"/>
      <c r="M227" s="530"/>
      <c r="N227" s="530"/>
    </row>
    <row r="228" spans="2:14" x14ac:dyDescent="0.2">
      <c r="C228" s="152" t="s">
        <v>733</v>
      </c>
      <c r="D228" s="145"/>
    </row>
    <row r="229" spans="2:14" x14ac:dyDescent="0.2">
      <c r="C229" s="152" t="s">
        <v>734</v>
      </c>
      <c r="D229" s="151"/>
    </row>
    <row r="230" spans="2:14" x14ac:dyDescent="0.2">
      <c r="C230" s="163" t="s">
        <v>735</v>
      </c>
    </row>
    <row r="231" spans="2:14" x14ac:dyDescent="0.2">
      <c r="B231" s="135"/>
      <c r="C231" s="150" t="s">
        <v>736</v>
      </c>
      <c r="E231" s="139"/>
      <c r="F231" s="139"/>
      <c r="G231" s="139"/>
      <c r="H231" s="139"/>
      <c r="I231" s="139"/>
      <c r="J231" s="139"/>
      <c r="K231" s="139"/>
      <c r="L231" s="139"/>
    </row>
    <row r="232" spans="2:14" x14ac:dyDescent="0.2">
      <c r="B232" s="135"/>
      <c r="C232" s="150" t="s">
        <v>737</v>
      </c>
      <c r="E232" s="139"/>
      <c r="F232" s="139"/>
      <c r="G232" s="139"/>
      <c r="H232" s="139"/>
      <c r="I232" s="139"/>
      <c r="J232" s="139"/>
      <c r="L232" s="139"/>
    </row>
    <row r="233" spans="2:14" x14ac:dyDescent="0.2">
      <c r="B233" s="352"/>
      <c r="C233" s="353" t="s">
        <v>738</v>
      </c>
      <c r="D233" s="354"/>
      <c r="E233" s="533"/>
      <c r="F233" s="534"/>
      <c r="G233" s="534"/>
      <c r="H233" s="534"/>
      <c r="I233" s="534"/>
      <c r="J233" s="534"/>
      <c r="K233" s="535"/>
      <c r="L233" s="139"/>
    </row>
    <row r="234" spans="2:14" x14ac:dyDescent="0.2">
      <c r="B234" s="352"/>
      <c r="C234" s="355" t="s">
        <v>739</v>
      </c>
      <c r="D234" s="354"/>
      <c r="E234" s="533"/>
      <c r="F234" s="534"/>
      <c r="G234" s="534"/>
      <c r="H234" s="534"/>
      <c r="I234" s="534"/>
      <c r="J234" s="534"/>
      <c r="K234" s="535"/>
      <c r="L234" s="139"/>
    </row>
    <row r="235" spans="2:14" x14ac:dyDescent="0.2">
      <c r="B235" s="356"/>
      <c r="C235" s="353" t="s">
        <v>740</v>
      </c>
      <c r="D235" s="357"/>
      <c r="E235" s="533"/>
      <c r="F235" s="534"/>
      <c r="G235" s="534"/>
      <c r="H235" s="534"/>
      <c r="I235" s="534"/>
      <c r="J235" s="534"/>
      <c r="K235" s="535"/>
      <c r="L235" s="139"/>
    </row>
    <row r="236" spans="2:14" x14ac:dyDescent="0.2">
      <c r="B236" s="352"/>
      <c r="C236" s="353"/>
      <c r="D236" s="354"/>
      <c r="E236" s="536" t="s">
        <v>372</v>
      </c>
      <c r="F236" s="537"/>
      <c r="G236" s="538" t="str">
        <f>IF(D225=D13,"ON TIME",IF(D225&gt;D13,"LATE",IF(D225&lt;D13,"EARLY")))</f>
        <v>EARLY</v>
      </c>
      <c r="H236" s="513"/>
      <c r="I236" s="513"/>
      <c r="J236" s="513"/>
      <c r="K236" s="513"/>
      <c r="L236" s="513"/>
      <c r="M236" s="513"/>
      <c r="N236" s="513"/>
    </row>
    <row r="237" spans="2:14" x14ac:dyDescent="0.2">
      <c r="B237" s="352"/>
      <c r="C237" s="353"/>
      <c r="D237" s="354"/>
      <c r="E237" s="533"/>
      <c r="F237" s="534"/>
      <c r="G237" s="534"/>
      <c r="H237" s="534"/>
      <c r="I237" s="534"/>
      <c r="J237" s="534"/>
      <c r="K237" s="535"/>
      <c r="L237" s="139"/>
    </row>
    <row r="238" spans="2:14" x14ac:dyDescent="0.2">
      <c r="B238" s="352"/>
      <c r="C238" s="353"/>
      <c r="D238" s="354"/>
      <c r="E238" s="533"/>
      <c r="F238" s="534"/>
      <c r="G238" s="534"/>
      <c r="H238" s="534"/>
      <c r="I238" s="534"/>
      <c r="J238" s="534"/>
      <c r="K238" s="535"/>
      <c r="L238" s="139"/>
    </row>
    <row r="239" spans="2:14" x14ac:dyDescent="0.2">
      <c r="B239" s="352"/>
      <c r="C239" s="355"/>
      <c r="D239" s="354"/>
      <c r="E239" s="533"/>
      <c r="F239" s="534"/>
      <c r="G239" s="534"/>
      <c r="H239" s="534"/>
      <c r="I239" s="534"/>
      <c r="J239" s="534"/>
      <c r="K239" s="535"/>
      <c r="L239" s="139"/>
    </row>
    <row r="240" spans="2:14" x14ac:dyDescent="0.2">
      <c r="B240" s="352"/>
      <c r="C240" s="355"/>
      <c r="D240" s="354"/>
      <c r="E240" s="533"/>
      <c r="F240" s="534"/>
      <c r="G240" s="534"/>
      <c r="H240" s="534"/>
      <c r="I240" s="534"/>
      <c r="J240" s="534"/>
      <c r="K240" s="535"/>
      <c r="L240" s="139"/>
    </row>
    <row r="241" spans="2:12" x14ac:dyDescent="0.2">
      <c r="B241" s="352"/>
      <c r="C241" s="355"/>
      <c r="D241" s="354"/>
      <c r="E241" s="533"/>
      <c r="F241" s="534"/>
      <c r="G241" s="534"/>
      <c r="H241" s="534"/>
      <c r="I241" s="534"/>
      <c r="J241" s="534"/>
      <c r="K241" s="535"/>
      <c r="L241" s="139"/>
    </row>
    <row r="242" spans="2:12" x14ac:dyDescent="0.2">
      <c r="B242" s="352"/>
      <c r="C242" s="353" t="s">
        <v>741</v>
      </c>
      <c r="D242" s="354"/>
      <c r="E242" s="533"/>
      <c r="F242" s="534"/>
      <c r="G242" s="534"/>
      <c r="H242" s="534"/>
      <c r="I242" s="534"/>
      <c r="J242" s="534"/>
      <c r="K242" s="535"/>
      <c r="L242" s="139"/>
    </row>
    <row r="243" spans="2:12" x14ac:dyDescent="0.2">
      <c r="B243" s="352"/>
      <c r="C243" s="353" t="s">
        <v>538</v>
      </c>
      <c r="D243" s="354"/>
      <c r="E243" s="533"/>
      <c r="F243" s="534"/>
      <c r="G243" s="534"/>
      <c r="H243" s="534"/>
      <c r="I243" s="534"/>
      <c r="J243" s="534"/>
      <c r="K243" s="535"/>
      <c r="L243" s="139"/>
    </row>
    <row r="244" spans="2:12" x14ac:dyDescent="0.2">
      <c r="B244" s="358"/>
      <c r="C244" s="359"/>
      <c r="D244" s="360"/>
      <c r="E244" s="533"/>
      <c r="F244" s="534"/>
      <c r="G244" s="534"/>
      <c r="H244" s="534"/>
      <c r="I244" s="534"/>
      <c r="J244" s="534"/>
      <c r="K244" s="535"/>
      <c r="L244" s="139"/>
    </row>
    <row r="245" spans="2:12" x14ac:dyDescent="0.2">
      <c r="B245" s="352"/>
      <c r="C245" s="355"/>
      <c r="D245" s="354"/>
      <c r="E245" s="533"/>
      <c r="F245" s="534"/>
      <c r="G245" s="534"/>
      <c r="H245" s="534"/>
      <c r="I245" s="534"/>
      <c r="J245" s="534"/>
      <c r="K245" s="535"/>
      <c r="L245" s="139"/>
    </row>
    <row r="246" spans="2:12" x14ac:dyDescent="0.2">
      <c r="B246" s="361"/>
      <c r="C246" s="362"/>
      <c r="D246" s="363"/>
      <c r="E246" s="539"/>
      <c r="F246" s="540"/>
      <c r="G246" s="540"/>
      <c r="H246" s="540"/>
      <c r="I246" s="540"/>
      <c r="J246" s="540"/>
      <c r="K246" s="541"/>
      <c r="L246" s="139"/>
    </row>
    <row r="247" spans="2:12" x14ac:dyDescent="0.2">
      <c r="B247" s="361"/>
      <c r="C247" s="362"/>
      <c r="D247" s="363"/>
      <c r="E247" s="539"/>
      <c r="F247" s="540"/>
      <c r="G247" s="540"/>
      <c r="H247" s="540"/>
      <c r="I247" s="540"/>
      <c r="J247" s="540"/>
      <c r="K247" s="541"/>
      <c r="L247" s="139"/>
    </row>
    <row r="248" spans="2:12" x14ac:dyDescent="0.2">
      <c r="B248" s="361"/>
      <c r="C248" s="362"/>
      <c r="D248" s="363"/>
      <c r="E248" s="539"/>
      <c r="F248" s="540"/>
      <c r="G248" s="540"/>
      <c r="H248" s="540"/>
      <c r="I248" s="540"/>
      <c r="J248" s="540"/>
      <c r="K248" s="541"/>
      <c r="L248" s="139"/>
    </row>
    <row r="249" spans="2:12" x14ac:dyDescent="0.2">
      <c r="B249" s="135"/>
      <c r="C249" s="139"/>
      <c r="E249" s="139"/>
      <c r="F249" s="139"/>
      <c r="G249" s="139"/>
      <c r="H249" s="139"/>
      <c r="I249" s="139"/>
      <c r="J249" s="139"/>
      <c r="K249" s="139"/>
      <c r="L249" s="139"/>
    </row>
    <row r="250" spans="2:12" x14ac:dyDescent="0.2">
      <c r="B250" s="135"/>
      <c r="C250" s="182" t="s">
        <v>742</v>
      </c>
      <c r="D250" s="135"/>
      <c r="E250" s="182"/>
      <c r="F250" s="182"/>
      <c r="G250" s="167" t="s">
        <v>328</v>
      </c>
      <c r="H250" s="364" t="s">
        <v>743</v>
      </c>
      <c r="I250" s="167" t="s">
        <v>337</v>
      </c>
      <c r="J250" s="364" t="s">
        <v>743</v>
      </c>
      <c r="K250" s="167" t="s">
        <v>341</v>
      </c>
      <c r="L250" s="364" t="s">
        <v>743</v>
      </c>
    </row>
    <row r="251" spans="2:12" x14ac:dyDescent="0.2">
      <c r="B251" s="135"/>
      <c r="C251" s="182" t="s">
        <v>744</v>
      </c>
      <c r="D251" s="135"/>
      <c r="E251" s="182"/>
      <c r="F251" s="364" t="s">
        <v>743</v>
      </c>
      <c r="G251" s="139"/>
      <c r="H251" s="167"/>
      <c r="I251" s="183"/>
      <c r="J251" s="167"/>
      <c r="K251" s="167"/>
      <c r="L251" s="167"/>
    </row>
    <row r="1476" spans="1:16" s="145" customFormat="1" x14ac:dyDescent="0.2">
      <c r="A1476" s="144"/>
      <c r="B1476" s="134"/>
      <c r="C1476" s="163"/>
      <c r="D1476" s="139"/>
      <c r="E1476" s="135"/>
      <c r="F1476" s="135"/>
      <c r="G1476" s="135"/>
      <c r="H1476" s="135"/>
      <c r="I1476" s="135"/>
      <c r="J1476" s="135"/>
      <c r="K1476" s="135"/>
      <c r="L1476" s="135"/>
      <c r="M1476" s="135"/>
      <c r="N1476" s="135"/>
      <c r="O1476" s="138"/>
      <c r="P1476" s="137"/>
    </row>
    <row r="1477" spans="1:16" x14ac:dyDescent="0.2">
      <c r="A1477" s="149"/>
      <c r="C1477" s="136"/>
      <c r="D1477" s="145"/>
      <c r="E1477" s="157"/>
      <c r="F1477" s="157"/>
      <c r="G1477" s="157"/>
      <c r="H1477" s="157"/>
      <c r="I1477" s="157"/>
      <c r="J1477" s="157"/>
      <c r="K1477" s="157"/>
      <c r="L1477" s="157"/>
      <c r="M1477" s="157"/>
      <c r="N1477" s="157"/>
      <c r="O1477" s="137"/>
    </row>
    <row r="9225" spans="1:1" x14ac:dyDescent="0.2">
      <c r="A9225" s="144" t="b">
        <v>1</v>
      </c>
    </row>
  </sheetData>
  <mergeCells count="90">
    <mergeCell ref="E241:K241"/>
    <mergeCell ref="E242:K242"/>
    <mergeCell ref="E243:K243"/>
    <mergeCell ref="E238:K238"/>
    <mergeCell ref="E239:K239"/>
    <mergeCell ref="E240:K240"/>
    <mergeCell ref="E247:K247"/>
    <mergeCell ref="E248:K248"/>
    <mergeCell ref="E244:K244"/>
    <mergeCell ref="E245:K245"/>
    <mergeCell ref="E246:K246"/>
    <mergeCell ref="E235:K235"/>
    <mergeCell ref="E237:K237"/>
    <mergeCell ref="I226:N226"/>
    <mergeCell ref="E227:N227"/>
    <mergeCell ref="E233:K233"/>
    <mergeCell ref="E234:K234"/>
    <mergeCell ref="E236:F236"/>
    <mergeCell ref="G236:N236"/>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115:H115"/>
    <mergeCell ref="C120:O120"/>
    <mergeCell ref="E124:N124"/>
    <mergeCell ref="E125:N125"/>
    <mergeCell ref="E127:N127"/>
    <mergeCell ref="C133:O133"/>
    <mergeCell ref="E134:F134"/>
    <mergeCell ref="G134:N134"/>
    <mergeCell ref="I136:N136"/>
    <mergeCell ref="E140:N140"/>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79:N79"/>
    <mergeCell ref="E71:N71"/>
    <mergeCell ref="E76:N76"/>
    <mergeCell ref="E77:N77"/>
    <mergeCell ref="E78:N78"/>
    <mergeCell ref="E17:N17"/>
    <mergeCell ref="E25:N25"/>
    <mergeCell ref="E26:N26"/>
    <mergeCell ref="E32:N32"/>
    <mergeCell ref="C70:O70"/>
    <mergeCell ref="O62:Y62"/>
    <mergeCell ref="E65:N65"/>
    <mergeCell ref="C2:O2"/>
    <mergeCell ref="E5:I5"/>
    <mergeCell ref="E10:N10"/>
    <mergeCell ref="C14:O14"/>
    <mergeCell ref="E15:F15"/>
    <mergeCell ref="G15:N15"/>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40625" defaultRowHeight="12.75" x14ac:dyDescent="0.2"/>
  <cols>
    <col min="1" max="1" width="9.42578125" style="105" bestFit="1" customWidth="1"/>
    <col min="2" max="3" width="9.140625" style="105"/>
    <col min="4" max="4" width="11.5703125" style="105" bestFit="1" customWidth="1"/>
    <col min="5" max="7" width="9.140625" style="105"/>
    <col min="8" max="8" width="13.7109375" style="105" customWidth="1"/>
    <col min="9" max="12" width="9.42578125" style="105" bestFit="1" customWidth="1"/>
    <col min="13" max="13" width="8.85546875" style="105" customWidth="1"/>
    <col min="14" max="16" width="9.42578125" style="105" bestFit="1" customWidth="1"/>
    <col min="17" max="16384" width="9.140625" style="105"/>
  </cols>
  <sheetData>
    <row r="1" spans="1:16" x14ac:dyDescent="0.2">
      <c r="A1" s="188" t="s">
        <v>745</v>
      </c>
    </row>
    <row r="2" spans="1:16" x14ac:dyDescent="0.2">
      <c r="H2" s="192"/>
      <c r="I2" s="192"/>
    </row>
    <row r="3" spans="1:16" x14ac:dyDescent="0.2">
      <c r="A3" s="105" t="s">
        <v>746</v>
      </c>
      <c r="H3" s="542" t="str">
        <f>'MP Calibration Certificate'!D17</f>
        <v>5.6mg/l RM8631b</v>
      </c>
      <c r="I3" s="542"/>
    </row>
    <row r="4" spans="1:16" x14ac:dyDescent="0.2">
      <c r="A4" s="105" t="s">
        <v>543</v>
      </c>
      <c r="H4" s="543">
        <f>'MP Calibration Certificate'!D18</f>
        <v>-1</v>
      </c>
      <c r="I4" s="544"/>
    </row>
    <row r="5" spans="1:16" x14ac:dyDescent="0.2">
      <c r="A5" s="105" t="s">
        <v>747</v>
      </c>
      <c r="H5" s="544">
        <f>'Cover Service Sheet'!D6</f>
        <v>0</v>
      </c>
      <c r="I5" s="544"/>
    </row>
    <row r="6" spans="1:16" x14ac:dyDescent="0.2">
      <c r="A6" s="105" t="s">
        <v>748</v>
      </c>
      <c r="H6" s="544">
        <f>'Cover Service Sheet'!D15</f>
        <v>0</v>
      </c>
      <c r="I6" s="544"/>
      <c r="M6" s="130"/>
      <c r="N6" s="131"/>
      <c r="O6" s="131"/>
      <c r="P6" s="193"/>
    </row>
    <row r="7" spans="1:16" x14ac:dyDescent="0.2">
      <c r="A7" s="105" t="s">
        <v>749</v>
      </c>
      <c r="H7" s="544">
        <f>'Cover Service Sheet'!D16</f>
        <v>0</v>
      </c>
      <c r="I7" s="544"/>
      <c r="M7" s="194"/>
      <c r="N7" s="195"/>
      <c r="O7" s="195"/>
      <c r="P7" s="195"/>
    </row>
    <row r="8" spans="1:16" x14ac:dyDescent="0.2">
      <c r="M8" s="196"/>
      <c r="N8" s="195"/>
      <c r="O8" s="195"/>
      <c r="P8" s="195"/>
    </row>
    <row r="9" spans="1:16" x14ac:dyDescent="0.2">
      <c r="A9" s="105" t="s">
        <v>750</v>
      </c>
      <c r="H9" s="192"/>
      <c r="M9" s="196"/>
      <c r="N9" s="195"/>
      <c r="O9" s="195"/>
      <c r="P9" s="195"/>
    </row>
    <row r="10" spans="1:16" x14ac:dyDescent="0.2">
      <c r="A10" s="143">
        <v>1</v>
      </c>
      <c r="B10" s="105" t="s">
        <v>751</v>
      </c>
      <c r="H10" s="197"/>
      <c r="I10" s="198"/>
      <c r="M10" s="196"/>
      <c r="N10" s="195"/>
      <c r="O10" s="143"/>
      <c r="P10" s="143"/>
    </row>
    <row r="11" spans="1:16" x14ac:dyDescent="0.2">
      <c r="A11" s="143">
        <f>A10+1</f>
        <v>2</v>
      </c>
      <c r="B11" s="520" t="s">
        <v>752</v>
      </c>
      <c r="C11" s="520"/>
      <c r="D11" s="520"/>
      <c r="E11" s="520"/>
      <c r="H11" s="365"/>
      <c r="I11" s="198"/>
      <c r="M11" s="196"/>
      <c r="N11" s="195"/>
      <c r="O11" s="195"/>
      <c r="P11" s="195"/>
    </row>
    <row r="12" spans="1:16" x14ac:dyDescent="0.2">
      <c r="A12" s="143">
        <f t="shared" ref="A12:A71" si="0">A11+1</f>
        <v>3</v>
      </c>
      <c r="B12" s="105" t="s">
        <v>753</v>
      </c>
      <c r="H12" s="366"/>
      <c r="I12" s="198"/>
      <c r="M12" s="196"/>
      <c r="N12" s="195"/>
      <c r="O12" s="195"/>
      <c r="P12" s="195"/>
    </row>
    <row r="13" spans="1:16" x14ac:dyDescent="0.2">
      <c r="A13" s="143">
        <f t="shared" si="0"/>
        <v>4</v>
      </c>
      <c r="B13" s="520" t="s">
        <v>754</v>
      </c>
      <c r="C13" s="520"/>
      <c r="D13" s="520"/>
      <c r="E13" s="520"/>
      <c r="F13" s="520"/>
      <c r="H13" s="367" t="s">
        <v>725</v>
      </c>
      <c r="I13" s="198"/>
      <c r="M13" s="196"/>
      <c r="N13" s="195"/>
      <c r="O13" s="195"/>
      <c r="P13" s="195"/>
    </row>
    <row r="14" spans="1:16" x14ac:dyDescent="0.2">
      <c r="A14" s="143"/>
      <c r="B14" s="549" t="s">
        <v>755</v>
      </c>
      <c r="C14" s="550"/>
      <c r="D14" s="550"/>
      <c r="E14" s="550"/>
      <c r="F14" s="550"/>
      <c r="G14" s="550"/>
      <c r="H14" s="368"/>
      <c r="M14" s="196"/>
      <c r="N14" s="195"/>
      <c r="O14" s="195"/>
      <c r="P14" s="195"/>
    </row>
    <row r="15" spans="1:16" x14ac:dyDescent="0.2">
      <c r="A15" s="143"/>
      <c r="B15" s="133" t="s">
        <v>756</v>
      </c>
      <c r="H15" s="192"/>
      <c r="M15" s="196"/>
      <c r="N15" s="195"/>
      <c r="O15" s="195"/>
      <c r="P15" s="195"/>
    </row>
    <row r="16" spans="1:16" x14ac:dyDescent="0.2">
      <c r="A16" s="143">
        <f>A13+1</f>
        <v>5</v>
      </c>
      <c r="B16" s="105" t="s">
        <v>757</v>
      </c>
      <c r="H16" s="367" t="s">
        <v>725</v>
      </c>
      <c r="I16" s="198"/>
      <c r="M16" s="196"/>
      <c r="N16" s="199"/>
      <c r="O16" s="199"/>
      <c r="P16" s="199"/>
    </row>
    <row r="17" spans="1:16" x14ac:dyDescent="0.2">
      <c r="A17" s="143">
        <f t="shared" si="0"/>
        <v>6</v>
      </c>
      <c r="B17" s="105" t="s">
        <v>758</v>
      </c>
      <c r="H17" s="367" t="s">
        <v>725</v>
      </c>
      <c r="I17" s="198"/>
      <c r="M17" s="200"/>
      <c r="N17" s="195"/>
      <c r="O17" s="195"/>
      <c r="P17" s="195"/>
    </row>
    <row r="18" spans="1:16" x14ac:dyDescent="0.2">
      <c r="A18" s="143">
        <f t="shared" si="0"/>
        <v>7</v>
      </c>
      <c r="B18" s="105" t="s">
        <v>759</v>
      </c>
      <c r="H18" s="367" t="s">
        <v>725</v>
      </c>
      <c r="I18" s="198"/>
      <c r="M18" s="132"/>
      <c r="N18" s="132"/>
      <c r="O18" s="132"/>
      <c r="P18" s="132"/>
    </row>
    <row r="19" spans="1:16" x14ac:dyDescent="0.2">
      <c r="A19" s="143">
        <f t="shared" si="0"/>
        <v>8</v>
      </c>
      <c r="B19" s="105" t="s">
        <v>760</v>
      </c>
      <c r="H19" s="369" t="s">
        <v>725</v>
      </c>
      <c r="M19" s="131"/>
      <c r="N19" s="131"/>
      <c r="O19" s="131"/>
      <c r="P19" s="131"/>
    </row>
    <row r="20" spans="1:16" x14ac:dyDescent="0.2">
      <c r="A20" s="143">
        <f t="shared" si="0"/>
        <v>9</v>
      </c>
      <c r="B20" s="105" t="s">
        <v>660</v>
      </c>
      <c r="H20" s="369" t="s">
        <v>725</v>
      </c>
      <c r="M20" s="196"/>
      <c r="N20" s="195"/>
      <c r="O20" s="195"/>
      <c r="P20" s="195"/>
    </row>
    <row r="21" spans="1:16" x14ac:dyDescent="0.2">
      <c r="A21" s="143">
        <f t="shared" si="0"/>
        <v>10</v>
      </c>
      <c r="B21" s="105" t="s">
        <v>761</v>
      </c>
      <c r="H21" s="369" t="s">
        <v>725</v>
      </c>
      <c r="M21" s="196"/>
      <c r="N21" s="195"/>
      <c r="O21" s="195"/>
      <c r="P21" s="195"/>
    </row>
    <row r="22" spans="1:16" x14ac:dyDescent="0.2">
      <c r="A22" s="143">
        <f t="shared" si="0"/>
        <v>11</v>
      </c>
      <c r="B22" s="105" t="s">
        <v>762</v>
      </c>
      <c r="H22" s="369" t="s">
        <v>725</v>
      </c>
      <c r="M22" s="196"/>
      <c r="N22" s="195"/>
      <c r="O22" s="195"/>
      <c r="P22" s="195"/>
    </row>
    <row r="23" spans="1:16" x14ac:dyDescent="0.2">
      <c r="A23" s="143">
        <f t="shared" si="0"/>
        <v>12</v>
      </c>
      <c r="B23" s="105" t="s">
        <v>763</v>
      </c>
      <c r="H23" s="369" t="s">
        <v>725</v>
      </c>
      <c r="M23" s="196"/>
      <c r="N23" s="195"/>
      <c r="O23" s="195"/>
      <c r="P23" s="195"/>
    </row>
    <row r="24" spans="1:16" x14ac:dyDescent="0.2">
      <c r="A24" s="143">
        <f t="shared" si="0"/>
        <v>13</v>
      </c>
      <c r="B24" s="105" t="s">
        <v>764</v>
      </c>
      <c r="H24" s="369" t="s">
        <v>725</v>
      </c>
      <c r="M24" s="196"/>
      <c r="N24" s="195"/>
      <c r="O24" s="195"/>
      <c r="P24" s="195"/>
    </row>
    <row r="25" spans="1:16" x14ac:dyDescent="0.2">
      <c r="A25" s="143">
        <f t="shared" si="0"/>
        <v>14</v>
      </c>
      <c r="B25" s="105" t="s">
        <v>665</v>
      </c>
      <c r="H25" s="370" t="s">
        <v>725</v>
      </c>
      <c r="M25" s="196"/>
      <c r="N25" s="195"/>
      <c r="O25" s="195"/>
      <c r="P25" s="195"/>
    </row>
    <row r="26" spans="1:16" x14ac:dyDescent="0.2">
      <c r="A26" s="143">
        <f t="shared" si="0"/>
        <v>15</v>
      </c>
      <c r="B26" s="105" t="s">
        <v>765</v>
      </c>
      <c r="H26" s="371"/>
      <c r="M26" s="196"/>
      <c r="N26" s="195"/>
      <c r="O26" s="195"/>
      <c r="P26" s="195"/>
    </row>
    <row r="27" spans="1:16" x14ac:dyDescent="0.2">
      <c r="A27" s="143">
        <f t="shared" si="0"/>
        <v>16</v>
      </c>
      <c r="B27" s="105" t="s">
        <v>766</v>
      </c>
      <c r="H27" s="372">
        <f>H26+365</f>
        <v>365</v>
      </c>
      <c r="M27" s="196"/>
      <c r="N27" s="195"/>
      <c r="O27" s="195"/>
      <c r="P27" s="195"/>
    </row>
    <row r="28" spans="1:16" x14ac:dyDescent="0.2">
      <c r="A28" s="143"/>
      <c r="B28" s="188" t="s">
        <v>767</v>
      </c>
      <c r="M28" s="196"/>
      <c r="N28" s="195"/>
      <c r="O28" s="195"/>
      <c r="P28" s="195"/>
    </row>
    <row r="29" spans="1:16" x14ac:dyDescent="0.2">
      <c r="A29" s="143">
        <f>A27+1</f>
        <v>17</v>
      </c>
      <c r="B29" s="105" t="s">
        <v>768</v>
      </c>
      <c r="H29" s="369" t="s">
        <v>725</v>
      </c>
      <c r="I29" s="105">
        <v>4</v>
      </c>
      <c r="J29" s="105">
        <v>6</v>
      </c>
      <c r="K29" s="105">
        <v>14</v>
      </c>
      <c r="L29" s="105">
        <v>21</v>
      </c>
      <c r="M29" s="196">
        <v>25</v>
      </c>
      <c r="N29" s="195">
        <v>38</v>
      </c>
      <c r="O29" s="143">
        <v>50</v>
      </c>
      <c r="P29" s="143">
        <v>70</v>
      </c>
    </row>
    <row r="30" spans="1:16" x14ac:dyDescent="0.2">
      <c r="A30" s="143">
        <f t="shared" si="0"/>
        <v>18</v>
      </c>
      <c r="B30" s="105" t="s">
        <v>769</v>
      </c>
      <c r="H30" s="370" t="s">
        <v>725</v>
      </c>
      <c r="I30" s="105" t="str">
        <f>AUTO!B3</f>
        <v>LPA3 NAVAIR</v>
      </c>
      <c r="J30" s="105">
        <f>AUTO!B4</f>
        <v>63010079</v>
      </c>
      <c r="K30" s="105">
        <f>AUTO!B5</f>
        <v>1024</v>
      </c>
      <c r="L30" s="105">
        <f>AUTO!B6</f>
        <v>0</v>
      </c>
      <c r="M30" s="196" t="str">
        <f>AUTO!B7</f>
        <v>LPA3 NAVAIR</v>
      </c>
      <c r="N30" s="195">
        <f>AUTO!B8</f>
        <v>78</v>
      </c>
      <c r="O30" s="195">
        <f>AUTO!B9</f>
        <v>188</v>
      </c>
      <c r="P30" s="195">
        <f>AUTO!B10</f>
        <v>1018</v>
      </c>
    </row>
    <row r="31" spans="1:16" x14ac:dyDescent="0.2">
      <c r="A31" s="143"/>
      <c r="B31" s="188" t="s">
        <v>671</v>
      </c>
      <c r="H31" s="373"/>
      <c r="M31" s="196"/>
      <c r="N31" s="195"/>
      <c r="O31" s="195"/>
      <c r="P31" s="195"/>
    </row>
    <row r="32" spans="1:16" x14ac:dyDescent="0.2">
      <c r="A32" s="143">
        <f>A30+1</f>
        <v>19</v>
      </c>
      <c r="B32" s="105" t="s">
        <v>672</v>
      </c>
      <c r="H32" s="369" t="s">
        <v>725</v>
      </c>
      <c r="M32" s="131"/>
      <c r="N32" s="131"/>
      <c r="O32" s="131"/>
      <c r="P32" s="131"/>
    </row>
    <row r="33" spans="1:16" ht="14.45" customHeight="1" x14ac:dyDescent="0.2">
      <c r="A33" s="143">
        <f t="shared" si="0"/>
        <v>20</v>
      </c>
      <c r="B33" s="105" t="s">
        <v>673</v>
      </c>
      <c r="H33" s="369" t="s">
        <v>725</v>
      </c>
      <c r="M33" s="196"/>
      <c r="N33" s="195"/>
      <c r="O33" s="195"/>
      <c r="P33" s="195"/>
    </row>
    <row r="34" spans="1:16" x14ac:dyDescent="0.2">
      <c r="A34" s="143">
        <f t="shared" si="0"/>
        <v>21</v>
      </c>
      <c r="B34" s="105" t="s">
        <v>770</v>
      </c>
      <c r="H34" s="369" t="s">
        <v>725</v>
      </c>
      <c r="M34" s="131"/>
      <c r="N34" s="131"/>
      <c r="O34" s="131"/>
      <c r="P34" s="131"/>
    </row>
    <row r="35" spans="1:16" x14ac:dyDescent="0.2">
      <c r="A35" s="143">
        <f t="shared" si="0"/>
        <v>22</v>
      </c>
      <c r="B35" s="105" t="s">
        <v>771</v>
      </c>
      <c r="H35" s="370" t="s">
        <v>725</v>
      </c>
      <c r="M35" s="196"/>
      <c r="N35" s="195"/>
      <c r="O35" s="195"/>
      <c r="P35" s="195"/>
    </row>
    <row r="36" spans="1:16" x14ac:dyDescent="0.2">
      <c r="A36" s="143"/>
      <c r="B36" s="188" t="s">
        <v>676</v>
      </c>
      <c r="H36" s="373"/>
      <c r="M36" s="196"/>
      <c r="N36" s="195"/>
      <c r="O36" s="195"/>
      <c r="P36" s="195"/>
    </row>
    <row r="37" spans="1:16" x14ac:dyDescent="0.2">
      <c r="A37" s="143">
        <f>A35+1</f>
        <v>23</v>
      </c>
      <c r="B37" s="520" t="s">
        <v>772</v>
      </c>
      <c r="C37" s="520"/>
      <c r="D37" s="520"/>
      <c r="E37" s="520"/>
      <c r="H37" s="369" t="s">
        <v>725</v>
      </c>
      <c r="M37" s="196"/>
      <c r="N37" s="195"/>
      <c r="O37" s="195"/>
      <c r="P37" s="195"/>
    </row>
    <row r="38" spans="1:16" x14ac:dyDescent="0.2">
      <c r="A38" s="143">
        <f t="shared" si="0"/>
        <v>24</v>
      </c>
      <c r="B38" s="105" t="s">
        <v>678</v>
      </c>
      <c r="H38" s="369" t="s">
        <v>725</v>
      </c>
      <c r="M38" s="196"/>
      <c r="N38" s="195"/>
      <c r="O38" s="195"/>
      <c r="P38" s="195"/>
    </row>
    <row r="39" spans="1:16" x14ac:dyDescent="0.2">
      <c r="A39" s="143">
        <f t="shared" si="0"/>
        <v>25</v>
      </c>
      <c r="B39" s="105" t="s">
        <v>773</v>
      </c>
      <c r="H39" s="369" t="s">
        <v>725</v>
      </c>
      <c r="M39" s="131"/>
      <c r="N39" s="131"/>
      <c r="O39" s="131"/>
      <c r="P39" s="131"/>
    </row>
    <row r="40" spans="1:16" x14ac:dyDescent="0.2">
      <c r="A40" s="143">
        <f t="shared" si="0"/>
        <v>26</v>
      </c>
      <c r="B40" s="105" t="s">
        <v>774</v>
      </c>
      <c r="H40" s="370" t="s">
        <v>725</v>
      </c>
      <c r="M40" s="196"/>
      <c r="N40" s="195"/>
      <c r="O40" s="195"/>
      <c r="P40" s="195"/>
    </row>
    <row r="41" spans="1:16" x14ac:dyDescent="0.2">
      <c r="A41" s="143"/>
      <c r="B41" s="493" t="s">
        <v>775</v>
      </c>
      <c r="C41" s="493"/>
      <c r="H41" s="374"/>
      <c r="M41" s="196"/>
      <c r="N41" s="195"/>
      <c r="O41" s="195"/>
      <c r="P41" s="195"/>
    </row>
    <row r="42" spans="1:16" x14ac:dyDescent="0.2">
      <c r="A42" s="143">
        <f>A40+1</f>
        <v>27</v>
      </c>
      <c r="B42" s="520" t="s">
        <v>776</v>
      </c>
      <c r="C42" s="520"/>
      <c r="D42" s="520"/>
      <c r="E42" s="520"/>
      <c r="H42" s="370"/>
      <c r="M42" s="196"/>
      <c r="N42" s="195"/>
      <c r="O42" s="195"/>
      <c r="P42" s="195"/>
    </row>
    <row r="43" spans="1:16" x14ac:dyDescent="0.2">
      <c r="A43" s="143">
        <f>A42+1</f>
        <v>28</v>
      </c>
      <c r="B43" s="105" t="s">
        <v>777</v>
      </c>
      <c r="H43" s="375"/>
      <c r="M43" s="131"/>
      <c r="N43" s="131"/>
      <c r="O43" s="131"/>
      <c r="P43" s="131"/>
    </row>
    <row r="44" spans="1:16" x14ac:dyDescent="0.2">
      <c r="A44" s="143">
        <f t="shared" si="0"/>
        <v>29</v>
      </c>
      <c r="B44" s="105" t="s">
        <v>778</v>
      </c>
      <c r="H44" s="369" t="s">
        <v>725</v>
      </c>
      <c r="M44" s="196"/>
      <c r="N44" s="195"/>
      <c r="O44" s="195"/>
      <c r="P44" s="195"/>
    </row>
    <row r="45" spans="1:16" x14ac:dyDescent="0.2">
      <c r="A45" s="143">
        <f t="shared" si="0"/>
        <v>30</v>
      </c>
      <c r="B45" s="520" t="s">
        <v>779</v>
      </c>
      <c r="C45" s="520"/>
      <c r="D45" s="520"/>
      <c r="E45" s="520"/>
      <c r="F45" s="520"/>
      <c r="G45" s="553"/>
      <c r="H45" s="369" t="s">
        <v>725</v>
      </c>
      <c r="I45" s="554" t="str">
        <f>'Cover Service Sheet'!D49</f>
        <v>-</v>
      </c>
      <c r="J45" s="555"/>
      <c r="K45" s="555"/>
      <c r="M45" s="196"/>
      <c r="N45" s="195"/>
      <c r="O45" s="195"/>
      <c r="P45" s="195"/>
    </row>
    <row r="46" spans="1:16" x14ac:dyDescent="0.2">
      <c r="A46" s="143">
        <f t="shared" si="0"/>
        <v>31</v>
      </c>
      <c r="B46" s="520" t="s">
        <v>780</v>
      </c>
      <c r="C46" s="520"/>
      <c r="D46" s="520"/>
      <c r="H46" s="370" t="s">
        <v>725</v>
      </c>
      <c r="M46" s="196"/>
      <c r="N46" s="195"/>
      <c r="O46" s="195"/>
      <c r="P46" s="195"/>
    </row>
    <row r="47" spans="1:16" x14ac:dyDescent="0.2">
      <c r="A47" s="143">
        <f t="shared" si="0"/>
        <v>32</v>
      </c>
      <c r="B47" s="105" t="s">
        <v>781</v>
      </c>
      <c r="H47" s="376"/>
      <c r="M47" s="196"/>
      <c r="N47" s="195"/>
      <c r="O47" s="195"/>
      <c r="P47" s="195"/>
    </row>
    <row r="48" spans="1:16" x14ac:dyDescent="0.2">
      <c r="A48" s="143">
        <f t="shared" si="0"/>
        <v>33</v>
      </c>
      <c r="B48" s="105" t="s">
        <v>782</v>
      </c>
      <c r="H48" s="376"/>
      <c r="M48" s="196"/>
      <c r="N48" s="195"/>
      <c r="O48" s="195"/>
      <c r="P48" s="195"/>
    </row>
    <row r="49" spans="1:16" x14ac:dyDescent="0.2">
      <c r="A49" s="143">
        <f t="shared" si="0"/>
        <v>34</v>
      </c>
      <c r="B49" s="105" t="s">
        <v>783</v>
      </c>
      <c r="H49" s="376"/>
      <c r="M49" s="196"/>
      <c r="N49" s="195"/>
      <c r="O49" s="195"/>
      <c r="P49" s="195"/>
    </row>
    <row r="50" spans="1:16" x14ac:dyDescent="0.2">
      <c r="A50" s="143"/>
      <c r="B50" s="188" t="s">
        <v>688</v>
      </c>
      <c r="H50" s="373"/>
      <c r="M50" s="196"/>
      <c r="N50" s="195"/>
      <c r="O50" s="143"/>
      <c r="P50" s="143"/>
    </row>
    <row r="51" spans="1:16" x14ac:dyDescent="0.2">
      <c r="A51" s="143">
        <f>A49+1</f>
        <v>35</v>
      </c>
      <c r="B51" s="105" t="s">
        <v>784</v>
      </c>
      <c r="H51" s="375"/>
      <c r="M51" s="196"/>
      <c r="N51" s="195"/>
      <c r="O51" s="143"/>
      <c r="P51" s="143"/>
    </row>
    <row r="52" spans="1:16" x14ac:dyDescent="0.2">
      <c r="A52" s="143">
        <f t="shared" si="0"/>
        <v>36</v>
      </c>
      <c r="B52" s="105" t="s">
        <v>785</v>
      </c>
      <c r="H52" s="369" t="s">
        <v>725</v>
      </c>
      <c r="M52" s="196"/>
      <c r="N52" s="195"/>
      <c r="O52" s="195"/>
      <c r="P52" s="195"/>
    </row>
    <row r="53" spans="1:16" x14ac:dyDescent="0.2">
      <c r="A53" s="143">
        <f t="shared" si="0"/>
        <v>37</v>
      </c>
      <c r="B53" s="105" t="s">
        <v>786</v>
      </c>
      <c r="H53" s="370" t="s">
        <v>725</v>
      </c>
      <c r="M53" s="196"/>
      <c r="N53" s="195"/>
      <c r="O53" s="195"/>
      <c r="P53" s="195"/>
    </row>
    <row r="54" spans="1:16" x14ac:dyDescent="0.2">
      <c r="A54" s="143">
        <f t="shared" si="0"/>
        <v>38</v>
      </c>
      <c r="B54" s="105" t="s">
        <v>787</v>
      </c>
      <c r="H54" s="370"/>
      <c r="M54" s="196"/>
      <c r="N54" s="195"/>
      <c r="O54" s="195"/>
      <c r="P54" s="195"/>
    </row>
    <row r="55" spans="1:16" x14ac:dyDescent="0.2">
      <c r="A55" s="143"/>
      <c r="B55" s="551" t="s">
        <v>788</v>
      </c>
      <c r="C55" s="552"/>
      <c r="D55" s="552"/>
      <c r="E55" s="552"/>
      <c r="F55" s="552"/>
      <c r="G55" s="552"/>
      <c r="M55" s="196"/>
      <c r="N55" s="195"/>
      <c r="O55" s="195"/>
      <c r="P55" s="195"/>
    </row>
    <row r="56" spans="1:16" x14ac:dyDescent="0.2">
      <c r="A56" s="143"/>
      <c r="B56" s="188" t="s">
        <v>697</v>
      </c>
      <c r="M56" s="196"/>
      <c r="N56" s="195"/>
      <c r="O56" s="195"/>
      <c r="P56" s="195"/>
    </row>
    <row r="57" spans="1:16" x14ac:dyDescent="0.2">
      <c r="A57" s="143">
        <f>A54+1</f>
        <v>39</v>
      </c>
      <c r="B57" s="105" t="s">
        <v>789</v>
      </c>
      <c r="H57" s="370" t="s">
        <v>725</v>
      </c>
      <c r="M57" s="196"/>
      <c r="N57" s="195"/>
      <c r="O57" s="195"/>
      <c r="P57" s="195"/>
    </row>
    <row r="58" spans="1:16" x14ac:dyDescent="0.2">
      <c r="A58" s="143">
        <f t="shared" si="0"/>
        <v>40</v>
      </c>
      <c r="B58" s="105" t="s">
        <v>790</v>
      </c>
      <c r="H58" s="369" t="s">
        <v>725</v>
      </c>
      <c r="M58" s="196"/>
      <c r="N58" s="195"/>
      <c r="O58" s="195"/>
      <c r="P58" s="195"/>
    </row>
    <row r="59" spans="1:16" x14ac:dyDescent="0.2">
      <c r="A59" s="143">
        <f t="shared" si="0"/>
        <v>41</v>
      </c>
      <c r="B59" s="105" t="s">
        <v>791</v>
      </c>
      <c r="H59" s="369" t="s">
        <v>725</v>
      </c>
      <c r="M59" s="131"/>
      <c r="N59" s="131"/>
      <c r="O59" s="131"/>
      <c r="P59" s="131"/>
    </row>
    <row r="60" spans="1:16" x14ac:dyDescent="0.2">
      <c r="A60" s="143">
        <f t="shared" si="0"/>
        <v>42</v>
      </c>
      <c r="B60" s="105" t="s">
        <v>701</v>
      </c>
      <c r="H60" s="369" t="s">
        <v>725</v>
      </c>
      <c r="M60" s="196"/>
      <c r="N60" s="195"/>
      <c r="O60" s="195"/>
      <c r="P60" s="195"/>
    </row>
    <row r="61" spans="1:16" x14ac:dyDescent="0.2">
      <c r="A61" s="143">
        <f t="shared" si="0"/>
        <v>43</v>
      </c>
      <c r="B61" s="520" t="s">
        <v>792</v>
      </c>
      <c r="C61" s="520"/>
      <c r="D61" s="520"/>
      <c r="E61" s="520"/>
      <c r="F61" s="520"/>
      <c r="H61" s="370" t="s">
        <v>725</v>
      </c>
      <c r="M61" s="196"/>
      <c r="N61" s="195"/>
      <c r="O61" s="195"/>
      <c r="P61" s="195"/>
    </row>
    <row r="62" spans="1:16" x14ac:dyDescent="0.2">
      <c r="A62" s="143"/>
      <c r="B62" s="188" t="s">
        <v>793</v>
      </c>
      <c r="H62" s="368"/>
      <c r="M62" s="196"/>
      <c r="N62" s="195"/>
      <c r="O62" s="195"/>
      <c r="P62" s="195"/>
    </row>
    <row r="63" spans="1:16" x14ac:dyDescent="0.2">
      <c r="A63" s="143">
        <f>A61</f>
        <v>43</v>
      </c>
      <c r="B63" s="105" t="s">
        <v>794</v>
      </c>
      <c r="H63" s="369" t="s">
        <v>725</v>
      </c>
      <c r="M63" s="196"/>
      <c r="N63" s="195"/>
      <c r="O63" s="143"/>
      <c r="P63" s="143"/>
    </row>
    <row r="64" spans="1:16" x14ac:dyDescent="0.2">
      <c r="A64" s="143">
        <f t="shared" si="0"/>
        <v>44</v>
      </c>
      <c r="B64" s="105" t="s">
        <v>712</v>
      </c>
      <c r="H64" s="369" t="s">
        <v>725</v>
      </c>
      <c r="M64" s="196"/>
      <c r="N64" s="195"/>
      <c r="O64" s="195"/>
      <c r="P64" s="195"/>
    </row>
    <row r="65" spans="1:16" x14ac:dyDescent="0.2">
      <c r="A65" s="143">
        <f t="shared" si="0"/>
        <v>45</v>
      </c>
      <c r="B65" s="105" t="s">
        <v>706</v>
      </c>
      <c r="H65" s="369" t="s">
        <v>725</v>
      </c>
      <c r="M65" s="196"/>
      <c r="N65" s="195"/>
      <c r="O65" s="195"/>
      <c r="P65" s="195"/>
    </row>
    <row r="66" spans="1:16" x14ac:dyDescent="0.2">
      <c r="A66" s="143">
        <f t="shared" si="0"/>
        <v>46</v>
      </c>
      <c r="B66" s="105" t="s">
        <v>707</v>
      </c>
      <c r="H66" s="369" t="s">
        <v>725</v>
      </c>
      <c r="M66" s="196"/>
      <c r="N66" s="195"/>
      <c r="O66" s="195"/>
      <c r="P66" s="195"/>
    </row>
    <row r="67" spans="1:16" x14ac:dyDescent="0.2">
      <c r="A67" s="143">
        <f t="shared" si="0"/>
        <v>47</v>
      </c>
      <c r="B67" s="105" t="s">
        <v>706</v>
      </c>
      <c r="H67" s="369" t="s">
        <v>725</v>
      </c>
      <c r="M67" s="196"/>
      <c r="N67" s="195"/>
      <c r="O67" s="195"/>
      <c r="P67" s="195"/>
    </row>
    <row r="68" spans="1:16" x14ac:dyDescent="0.2">
      <c r="A68" s="143">
        <f t="shared" si="0"/>
        <v>48</v>
      </c>
      <c r="B68" s="105" t="s">
        <v>795</v>
      </c>
      <c r="H68" s="369" t="s">
        <v>725</v>
      </c>
      <c r="M68" s="196"/>
      <c r="N68" s="195"/>
      <c r="O68" s="143"/>
      <c r="P68" s="143"/>
    </row>
    <row r="69" spans="1:16" x14ac:dyDescent="0.2">
      <c r="A69" s="143">
        <f t="shared" si="0"/>
        <v>49</v>
      </c>
      <c r="B69" s="105" t="s">
        <v>714</v>
      </c>
      <c r="H69" s="369" t="s">
        <v>725</v>
      </c>
      <c r="M69" s="196"/>
      <c r="N69" s="195"/>
      <c r="O69" s="195"/>
      <c r="P69" s="195"/>
    </row>
    <row r="70" spans="1:16" x14ac:dyDescent="0.2">
      <c r="A70" s="143">
        <f t="shared" si="0"/>
        <v>50</v>
      </c>
      <c r="B70" s="105" t="s">
        <v>796</v>
      </c>
      <c r="H70" s="370" t="s">
        <v>725</v>
      </c>
      <c r="M70" s="131"/>
      <c r="N70" s="131"/>
      <c r="O70" s="131"/>
      <c r="P70" s="131"/>
    </row>
    <row r="71" spans="1:16" x14ac:dyDescent="0.2">
      <c r="A71" s="143">
        <f t="shared" si="0"/>
        <v>51</v>
      </c>
      <c r="B71" s="520" t="s">
        <v>797</v>
      </c>
      <c r="C71" s="520"/>
      <c r="D71" s="520"/>
      <c r="E71" s="520"/>
      <c r="F71" s="520"/>
      <c r="G71" s="553"/>
      <c r="H71" s="370" t="s">
        <v>725</v>
      </c>
      <c r="I71" s="554">
        <f>'Cover Service Sheet'!D50</f>
        <v>0</v>
      </c>
      <c r="J71" s="555"/>
      <c r="K71" s="555"/>
      <c r="M71" s="196"/>
      <c r="N71" s="195"/>
      <c r="O71" s="195"/>
      <c r="P71" s="195"/>
    </row>
    <row r="72" spans="1:16" x14ac:dyDescent="0.2">
      <c r="A72" s="143"/>
      <c r="B72" s="188" t="s">
        <v>717</v>
      </c>
      <c r="H72" s="373"/>
      <c r="M72" s="196"/>
      <c r="N72" s="195"/>
      <c r="O72" s="195"/>
      <c r="P72" s="195"/>
    </row>
    <row r="73" spans="1:16" x14ac:dyDescent="0.2">
      <c r="A73" s="143">
        <f>A71+1</f>
        <v>52</v>
      </c>
      <c r="B73" s="105" t="s">
        <v>798</v>
      </c>
      <c r="H73" s="369" t="s">
        <v>725</v>
      </c>
      <c r="M73" s="196"/>
      <c r="N73" s="195"/>
      <c r="O73" s="195"/>
      <c r="P73" s="195"/>
    </row>
    <row r="74" spans="1:16" x14ac:dyDescent="0.2">
      <c r="A74" s="143">
        <f t="shared" ref="A74:A98" si="1">A73+1</f>
        <v>53</v>
      </c>
      <c r="B74" s="105" t="s">
        <v>799</v>
      </c>
      <c r="H74" s="369" t="s">
        <v>725</v>
      </c>
      <c r="M74" s="196"/>
      <c r="N74" s="195"/>
      <c r="O74" s="195"/>
      <c r="P74" s="195"/>
    </row>
    <row r="75" spans="1:16" x14ac:dyDescent="0.2">
      <c r="A75" s="143">
        <f t="shared" si="1"/>
        <v>54</v>
      </c>
      <c r="B75" s="105" t="s">
        <v>800</v>
      </c>
      <c r="H75" s="369" t="s">
        <v>725</v>
      </c>
      <c r="M75" s="131"/>
      <c r="N75" s="131"/>
      <c r="O75" s="131"/>
      <c r="P75" s="131"/>
    </row>
    <row r="76" spans="1:16" x14ac:dyDescent="0.2">
      <c r="A76" s="143">
        <f t="shared" si="1"/>
        <v>55</v>
      </c>
      <c r="B76" s="105" t="s">
        <v>721</v>
      </c>
      <c r="H76" s="370" t="s">
        <v>725</v>
      </c>
      <c r="M76" s="196"/>
      <c r="N76" s="195"/>
      <c r="O76" s="195"/>
      <c r="P76" s="195"/>
    </row>
    <row r="77" spans="1:16" x14ac:dyDescent="0.2">
      <c r="A77" s="143"/>
      <c r="B77" s="188" t="s">
        <v>801</v>
      </c>
      <c r="H77" s="368"/>
      <c r="M77" s="196"/>
      <c r="N77" s="201"/>
      <c r="O77" s="201"/>
      <c r="P77" s="201"/>
    </row>
    <row r="78" spans="1:16" x14ac:dyDescent="0.2">
      <c r="A78" s="143">
        <f>A76+1</f>
        <v>56</v>
      </c>
      <c r="B78" s="105" t="s">
        <v>802</v>
      </c>
      <c r="H78" s="192"/>
      <c r="M78" s="196"/>
      <c r="N78" s="195"/>
      <c r="O78" s="195"/>
      <c r="P78" s="195"/>
    </row>
    <row r="79" spans="1:16" x14ac:dyDescent="0.2">
      <c r="A79" s="143">
        <f t="shared" si="1"/>
        <v>57</v>
      </c>
      <c r="B79" s="105" t="s">
        <v>724</v>
      </c>
      <c r="H79" s="377"/>
      <c r="M79" s="196"/>
      <c r="N79" s="195"/>
      <c r="O79" s="195"/>
      <c r="P79" s="195"/>
    </row>
    <row r="80" spans="1:16" x14ac:dyDescent="0.2">
      <c r="A80" s="143">
        <f t="shared" si="1"/>
        <v>58</v>
      </c>
      <c r="B80" s="105" t="s">
        <v>803</v>
      </c>
      <c r="H80" s="376"/>
      <c r="M80" s="196"/>
      <c r="N80" s="195"/>
      <c r="O80" s="195"/>
      <c r="P80" s="195"/>
    </row>
    <row r="81" spans="1:16" x14ac:dyDescent="0.2">
      <c r="A81" s="143">
        <f t="shared" si="1"/>
        <v>59</v>
      </c>
      <c r="B81" s="105" t="s">
        <v>804</v>
      </c>
      <c r="H81" s="378"/>
      <c r="M81" s="196"/>
      <c r="N81" s="195"/>
      <c r="O81" s="195"/>
      <c r="P81" s="195"/>
    </row>
    <row r="82" spans="1:16" x14ac:dyDescent="0.2">
      <c r="A82" s="143">
        <f t="shared" si="1"/>
        <v>60</v>
      </c>
      <c r="B82" s="105" t="s">
        <v>805</v>
      </c>
      <c r="H82" s="369" t="s">
        <v>725</v>
      </c>
      <c r="M82" s="130"/>
      <c r="N82" s="195"/>
      <c r="O82" s="195"/>
      <c r="P82" s="195"/>
    </row>
    <row r="83" spans="1:16" x14ac:dyDescent="0.2">
      <c r="A83" s="143">
        <f t="shared" si="1"/>
        <v>61</v>
      </c>
      <c r="B83" s="105" t="s">
        <v>729</v>
      </c>
      <c r="H83" s="370" t="s">
        <v>725</v>
      </c>
      <c r="M83" s="196"/>
      <c r="N83" s="195"/>
      <c r="O83" s="143"/>
      <c r="P83" s="143"/>
    </row>
    <row r="84" spans="1:16" x14ac:dyDescent="0.2">
      <c r="A84" s="143"/>
      <c r="B84" s="188" t="s">
        <v>702</v>
      </c>
      <c r="H84" s="373"/>
      <c r="M84" s="196"/>
      <c r="N84" s="195"/>
      <c r="O84" s="195"/>
      <c r="P84" s="195"/>
    </row>
    <row r="85" spans="1:16" x14ac:dyDescent="0.2">
      <c r="A85" s="143">
        <f>A83+1</f>
        <v>62</v>
      </c>
      <c r="B85" s="105" t="s">
        <v>806</v>
      </c>
      <c r="H85" s="369" t="s">
        <v>725</v>
      </c>
      <c r="M85" s="196"/>
      <c r="N85" s="195"/>
      <c r="O85" s="195"/>
      <c r="P85" s="195"/>
    </row>
    <row r="86" spans="1:16" x14ac:dyDescent="0.2">
      <c r="A86" s="143">
        <f t="shared" si="1"/>
        <v>63</v>
      </c>
      <c r="B86" s="105" t="s">
        <v>731</v>
      </c>
      <c r="H86" s="369" t="s">
        <v>725</v>
      </c>
      <c r="M86" s="196"/>
      <c r="N86" s="195"/>
      <c r="O86" s="195"/>
      <c r="P86" s="195"/>
    </row>
    <row r="87" spans="1:16" x14ac:dyDescent="0.2">
      <c r="A87" s="143">
        <f t="shared" si="1"/>
        <v>64</v>
      </c>
      <c r="B87" s="105" t="s">
        <v>807</v>
      </c>
      <c r="H87" s="369" t="s">
        <v>725</v>
      </c>
      <c r="M87" s="196"/>
      <c r="N87" s="195"/>
      <c r="O87" s="195"/>
      <c r="P87" s="195"/>
    </row>
    <row r="88" spans="1:16" x14ac:dyDescent="0.2">
      <c r="A88" s="143">
        <f t="shared" si="1"/>
        <v>65</v>
      </c>
      <c r="B88" s="105" t="s">
        <v>733</v>
      </c>
      <c r="H88" s="369" t="s">
        <v>725</v>
      </c>
      <c r="M88" s="196"/>
      <c r="N88" s="195"/>
      <c r="O88" s="143"/>
      <c r="P88" s="143"/>
    </row>
    <row r="89" spans="1:16" x14ac:dyDescent="0.2">
      <c r="A89" s="143">
        <f t="shared" si="1"/>
        <v>66</v>
      </c>
      <c r="B89" s="105" t="s">
        <v>808</v>
      </c>
      <c r="H89" s="369" t="s">
        <v>725</v>
      </c>
      <c r="M89" s="131"/>
      <c r="N89" s="131"/>
      <c r="O89" s="131"/>
      <c r="P89" s="131"/>
    </row>
    <row r="90" spans="1:16" x14ac:dyDescent="0.2">
      <c r="A90" s="143">
        <f t="shared" si="1"/>
        <v>67</v>
      </c>
      <c r="B90" s="105" t="s">
        <v>809</v>
      </c>
      <c r="H90" s="369" t="s">
        <v>725</v>
      </c>
      <c r="M90" s="196"/>
      <c r="N90" s="195"/>
      <c r="O90" s="195"/>
      <c r="P90" s="195"/>
    </row>
    <row r="91" spans="1:16" x14ac:dyDescent="0.2">
      <c r="A91" s="143">
        <f t="shared" si="1"/>
        <v>68</v>
      </c>
      <c r="B91" s="105" t="s">
        <v>736</v>
      </c>
      <c r="H91" s="369" t="s">
        <v>725</v>
      </c>
      <c r="M91" s="196"/>
      <c r="N91" s="195"/>
      <c r="O91" s="195"/>
      <c r="P91" s="195"/>
    </row>
    <row r="92" spans="1:16" x14ac:dyDescent="0.2">
      <c r="A92" s="143">
        <f t="shared" si="1"/>
        <v>69</v>
      </c>
      <c r="B92" s="105" t="s">
        <v>810</v>
      </c>
      <c r="H92" s="369" t="s">
        <v>725</v>
      </c>
    </row>
    <row r="93" spans="1:16" x14ac:dyDescent="0.2">
      <c r="A93" s="143">
        <f t="shared" si="1"/>
        <v>70</v>
      </c>
      <c r="B93" s="105" t="s">
        <v>811</v>
      </c>
      <c r="H93" s="370" t="s">
        <v>725</v>
      </c>
    </row>
    <row r="94" spans="1:16" x14ac:dyDescent="0.2">
      <c r="A94" s="143"/>
      <c r="B94" s="188" t="s">
        <v>739</v>
      </c>
      <c r="H94" s="373"/>
    </row>
    <row r="95" spans="1:16" x14ac:dyDescent="0.2">
      <c r="A95" s="143">
        <f>A93+1</f>
        <v>71</v>
      </c>
      <c r="B95" s="105" t="s">
        <v>812</v>
      </c>
      <c r="H95" s="369" t="s">
        <v>725</v>
      </c>
    </row>
    <row r="96" spans="1:16" x14ac:dyDescent="0.2">
      <c r="A96" s="143"/>
      <c r="B96" s="188"/>
      <c r="C96" s="188"/>
      <c r="H96" s="368"/>
    </row>
    <row r="97" spans="1:9" x14ac:dyDescent="0.2">
      <c r="A97" s="143">
        <f>A95+1</f>
        <v>72</v>
      </c>
      <c r="B97" s="105" t="s">
        <v>813</v>
      </c>
      <c r="H97" s="545"/>
      <c r="I97" s="546"/>
    </row>
    <row r="98" spans="1:9" x14ac:dyDescent="0.2">
      <c r="A98" s="143">
        <f t="shared" si="1"/>
        <v>73</v>
      </c>
      <c r="B98" s="105" t="s">
        <v>538</v>
      </c>
      <c r="H98" s="547"/>
      <c r="I98" s="548"/>
    </row>
    <row r="100" spans="1:9" x14ac:dyDescent="0.2">
      <c r="B100" s="188" t="s">
        <v>814</v>
      </c>
    </row>
    <row r="101" spans="1:9" ht="14.25" x14ac:dyDescent="0.2">
      <c r="B101" s="191" t="s">
        <v>815</v>
      </c>
      <c r="C101" s="190"/>
      <c r="D101" s="190"/>
      <c r="E101" s="190"/>
    </row>
    <row r="102" spans="1:9" ht="14.25" x14ac:dyDescent="0.2">
      <c r="B102" s="191" t="s">
        <v>816</v>
      </c>
      <c r="C102" s="190"/>
      <c r="D102" s="190"/>
      <c r="E102" s="190"/>
    </row>
    <row r="103" spans="1:9" ht="14.25" x14ac:dyDescent="0.2">
      <c r="B103" s="191" t="s">
        <v>817</v>
      </c>
      <c r="C103" s="190"/>
      <c r="D103" s="190"/>
      <c r="E103" s="190"/>
    </row>
    <row r="104" spans="1:9" ht="14.25" x14ac:dyDescent="0.2">
      <c r="B104" s="191" t="s">
        <v>818</v>
      </c>
      <c r="C104" s="190"/>
      <c r="D104" s="190"/>
      <c r="E104" s="190"/>
    </row>
    <row r="105" spans="1:9" ht="14.25" x14ac:dyDescent="0.2">
      <c r="B105" s="191" t="s">
        <v>819</v>
      </c>
      <c r="C105" s="190"/>
      <c r="D105" s="190"/>
      <c r="E105" s="190"/>
    </row>
    <row r="106" spans="1:9" ht="14.25" x14ac:dyDescent="0.2">
      <c r="B106" s="191" t="s">
        <v>820</v>
      </c>
      <c r="C106" s="190"/>
      <c r="D106" s="190"/>
      <c r="E106" s="190"/>
    </row>
    <row r="107" spans="1:9" ht="14.25" x14ac:dyDescent="0.2">
      <c r="B107" s="191" t="s">
        <v>821</v>
      </c>
      <c r="C107" s="190"/>
      <c r="D107" s="190"/>
      <c r="E107" s="190"/>
    </row>
    <row r="108" spans="1:9" ht="14.25" x14ac:dyDescent="0.2">
      <c r="B108" s="191" t="s">
        <v>359</v>
      </c>
      <c r="C108" s="190"/>
      <c r="D108" s="190"/>
      <c r="E108" s="190"/>
    </row>
    <row r="109" spans="1:9" ht="14.25" x14ac:dyDescent="0.2">
      <c r="B109" s="191" t="s">
        <v>822</v>
      </c>
      <c r="C109" s="190"/>
      <c r="D109" s="190"/>
      <c r="E109" s="190"/>
    </row>
    <row r="110" spans="1:9" ht="14.25" x14ac:dyDescent="0.2">
      <c r="B110" s="191" t="s">
        <v>823</v>
      </c>
      <c r="C110" s="190"/>
      <c r="D110" s="190"/>
      <c r="E110" s="190"/>
    </row>
    <row r="111" spans="1:9" ht="14.25" x14ac:dyDescent="0.2">
      <c r="B111" s="191" t="s">
        <v>824</v>
      </c>
      <c r="C111" s="190"/>
      <c r="D111" s="190"/>
      <c r="E111" s="190"/>
    </row>
    <row r="112" spans="1:9" ht="14.25" x14ac:dyDescent="0.2">
      <c r="B112" s="191" t="s">
        <v>825</v>
      </c>
      <c r="C112" s="190"/>
      <c r="D112" s="190"/>
      <c r="E112" s="190"/>
    </row>
    <row r="113" spans="2:5" ht="14.25" x14ac:dyDescent="0.2">
      <c r="B113" s="191" t="s">
        <v>826</v>
      </c>
      <c r="C113" s="190"/>
      <c r="D113" s="190"/>
      <c r="E113" s="190"/>
    </row>
    <row r="114" spans="2:5" ht="14.25" x14ac:dyDescent="0.2">
      <c r="B114" s="191" t="s">
        <v>827</v>
      </c>
      <c r="C114" s="190"/>
      <c r="D114" s="190"/>
      <c r="E114" s="190"/>
    </row>
    <row r="115" spans="2:5" ht="14.25" x14ac:dyDescent="0.2">
      <c r="B115" s="191" t="s">
        <v>828</v>
      </c>
      <c r="C115" s="190"/>
      <c r="D115" s="190"/>
      <c r="E115" s="190"/>
    </row>
    <row r="116" spans="2:5" ht="14.25" x14ac:dyDescent="0.2">
      <c r="B116" s="191" t="s">
        <v>829</v>
      </c>
      <c r="C116" s="190"/>
      <c r="D116" s="190"/>
      <c r="E116" s="190"/>
    </row>
    <row r="117" spans="2:5" x14ac:dyDescent="0.2">
      <c r="B117" s="196"/>
    </row>
    <row r="118" spans="2:5" x14ac:dyDescent="0.2">
      <c r="B118" s="196"/>
    </row>
  </sheetData>
  <sheetProtection sheet="1" objects="1" scenarios="1"/>
  <mergeCells count="20">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 ref="H3:I3"/>
    <mergeCell ref="H4:I4"/>
    <mergeCell ref="H5:I5"/>
    <mergeCell ref="H6:I6"/>
    <mergeCell ref="H7:I7"/>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zoomScale="70" zoomScaleNormal="70" zoomScaleSheetLayoutView="100" workbookViewId="0">
      <selection activeCell="I71" sqref="I71"/>
    </sheetView>
  </sheetViews>
  <sheetFormatPr defaultColWidth="0" defaultRowHeight="12.75" x14ac:dyDescent="0.2"/>
  <cols>
    <col min="1" max="1" width="11.42578125" style="50" bestFit="1" customWidth="1"/>
    <col min="2" max="6" width="15.5703125" style="50" customWidth="1"/>
    <col min="7" max="7" width="15.5703125" style="50" bestFit="1" customWidth="1"/>
    <col min="8" max="9" width="15.5703125" style="50" customWidth="1"/>
    <col min="10" max="10" width="16.140625" style="50" customWidth="1"/>
    <col min="11" max="13" width="10.7109375" style="50" customWidth="1"/>
    <col min="14" max="16383" width="7.85546875" style="50" hidden="1"/>
    <col min="16384" max="16384" width="1.85546875" style="50" customWidth="1"/>
  </cols>
  <sheetData>
    <row r="1" spans="2:13" x14ac:dyDescent="0.2">
      <c r="B1" s="111"/>
      <c r="C1" s="118"/>
      <c r="D1" s="118"/>
      <c r="E1" s="118"/>
      <c r="F1" s="118"/>
      <c r="G1" s="118"/>
      <c r="H1" s="118"/>
      <c r="I1" s="118"/>
      <c r="J1" s="118"/>
      <c r="K1" s="118"/>
      <c r="L1" s="118"/>
      <c r="M1" s="118"/>
    </row>
    <row r="2" spans="2:13" x14ac:dyDescent="0.2">
      <c r="B2" s="112"/>
      <c r="C2" s="112"/>
      <c r="D2" s="118"/>
      <c r="E2" s="118"/>
      <c r="F2" s="118"/>
      <c r="G2" s="118"/>
      <c r="H2" s="118"/>
      <c r="I2" s="118"/>
      <c r="J2" s="118"/>
      <c r="K2" s="118"/>
      <c r="L2" s="118"/>
      <c r="M2" s="118"/>
    </row>
    <row r="3" spans="2:13" x14ac:dyDescent="0.2">
      <c r="B3" s="113" t="s">
        <v>830</v>
      </c>
      <c r="C3" s="113" t="s">
        <v>831</v>
      </c>
      <c r="D3" s="230"/>
      <c r="E3" s="230"/>
      <c r="F3" s="118"/>
      <c r="G3" s="118"/>
      <c r="H3" s="118"/>
      <c r="I3" s="118"/>
      <c r="J3" s="118"/>
      <c r="K3" s="118"/>
      <c r="L3" s="118"/>
      <c r="M3" s="118"/>
    </row>
    <row r="4" spans="2:13" x14ac:dyDescent="0.2">
      <c r="B4" s="114"/>
      <c r="C4" s="114"/>
      <c r="D4" s="114"/>
      <c r="E4" s="114"/>
      <c r="F4" s="118"/>
      <c r="G4" s="564" t="s">
        <v>832</v>
      </c>
      <c r="H4" s="564"/>
      <c r="I4" s="564"/>
      <c r="J4" s="564"/>
      <c r="K4" s="564"/>
      <c r="L4" s="564"/>
      <c r="M4" s="118"/>
    </row>
    <row r="5" spans="2:13" x14ac:dyDescent="0.2">
      <c r="B5" s="391">
        <f>VLOOKUP("pump_flow_emptying_ml_min",AUTO!$A$1:$B$1051,2,FALSE)</f>
        <v>150</v>
      </c>
      <c r="C5" s="392" t="s">
        <v>833</v>
      </c>
      <c r="D5" s="393" t="s">
        <v>834</v>
      </c>
      <c r="E5" s="392"/>
      <c r="F5" s="118"/>
      <c r="G5" s="564"/>
      <c r="H5" s="564"/>
      <c r="I5" s="564"/>
      <c r="J5" s="564"/>
      <c r="K5" s="564"/>
      <c r="L5" s="564"/>
      <c r="M5" s="118"/>
    </row>
    <row r="6" spans="2:13" x14ac:dyDescent="0.2">
      <c r="B6" s="391">
        <f>VLOOKUP("pump_target_flow_ml_min",AUTO!$A$1:$B$1051,2,FALSE)</f>
        <v>30</v>
      </c>
      <c r="C6" s="392" t="s">
        <v>833</v>
      </c>
      <c r="D6" s="393" t="s">
        <v>835</v>
      </c>
      <c r="E6" s="392"/>
      <c r="F6" s="118"/>
      <c r="G6" s="564"/>
      <c r="H6" s="564"/>
      <c r="I6" s="564"/>
      <c r="J6" s="564"/>
      <c r="K6" s="564"/>
      <c r="L6" s="564"/>
      <c r="M6" s="118"/>
    </row>
    <row r="7" spans="2:13" x14ac:dyDescent="0.2">
      <c r="B7" s="391">
        <f>VLOOKUP("pump_current_sampling",AUTO!$A$1:$B$1051,2,FALSE)</f>
        <v>29</v>
      </c>
      <c r="C7" s="394" t="s">
        <v>836</v>
      </c>
      <c r="D7" s="395" t="s">
        <v>837</v>
      </c>
      <c r="E7" s="394"/>
      <c r="F7" s="118"/>
      <c r="G7" s="118"/>
      <c r="H7" s="118"/>
      <c r="I7" s="118"/>
      <c r="J7" s="118"/>
      <c r="K7" s="118"/>
      <c r="L7" s="118"/>
      <c r="M7" s="118"/>
    </row>
    <row r="8" spans="2:13" x14ac:dyDescent="0.2">
      <c r="B8" s="391">
        <f>VLOOKUP("pump_current_emptying",AUTO!$A$1:$B$1051,2,FALSE)</f>
        <v>298</v>
      </c>
      <c r="C8" s="394" t="s">
        <v>836</v>
      </c>
      <c r="D8" s="395" t="s">
        <v>838</v>
      </c>
      <c r="E8" s="394"/>
      <c r="F8" s="118"/>
      <c r="G8" s="396"/>
      <c r="H8" s="231" t="s">
        <v>839</v>
      </c>
      <c r="I8" s="118"/>
      <c r="J8" s="118"/>
      <c r="K8" s="118"/>
      <c r="L8" s="115" t="s">
        <v>840</v>
      </c>
      <c r="M8" s="118"/>
    </row>
    <row r="9" spans="2:13" x14ac:dyDescent="0.2">
      <c r="B9" s="232"/>
      <c r="C9" s="233"/>
      <c r="D9" s="234"/>
      <c r="E9" s="233"/>
      <c r="F9" s="118"/>
      <c r="G9" s="118"/>
      <c r="H9" s="118"/>
      <c r="I9" s="118"/>
      <c r="J9" s="118"/>
      <c r="K9" s="118"/>
      <c r="L9" s="115" t="s">
        <v>841</v>
      </c>
      <c r="M9" s="118"/>
    </row>
    <row r="10" spans="2:13" x14ac:dyDescent="0.2">
      <c r="B10" s="189" t="s">
        <v>842</v>
      </c>
      <c r="C10" s="113" t="s">
        <v>831</v>
      </c>
      <c r="D10" s="235"/>
      <c r="E10" s="236"/>
      <c r="F10" s="118"/>
      <c r="G10" s="397"/>
      <c r="H10" s="237" t="s">
        <v>843</v>
      </c>
      <c r="I10" s="118"/>
      <c r="J10" s="118"/>
      <c r="K10" s="118"/>
      <c r="L10" s="115" t="s">
        <v>19</v>
      </c>
      <c r="M10" s="118"/>
    </row>
    <row r="11" spans="2:13" x14ac:dyDescent="0.2">
      <c r="B11" s="391">
        <f>VLOOKUP("no_noise_threshold",AUTO!$A$1:$B$1051,2,FALSE)</f>
        <v>32</v>
      </c>
      <c r="C11" s="398" t="s">
        <v>321</v>
      </c>
      <c r="D11" s="399" t="s">
        <v>844</v>
      </c>
      <c r="E11" s="400"/>
      <c r="F11" s="118"/>
      <c r="G11" s="118"/>
      <c r="H11" s="118"/>
      <c r="I11" s="118"/>
      <c r="J11" s="118"/>
      <c r="K11" s="118"/>
      <c r="L11" s="115" t="s">
        <v>845</v>
      </c>
      <c r="M11" s="118"/>
    </row>
    <row r="12" spans="2:13" x14ac:dyDescent="0.2">
      <c r="B12" s="391">
        <f>VLOOKUP("sample_volume_ml",AUTO!$A$1:$B$1051,2,FALSE)</f>
        <v>50</v>
      </c>
      <c r="C12" s="392" t="s">
        <v>846</v>
      </c>
      <c r="D12" s="393" t="s">
        <v>847</v>
      </c>
      <c r="E12" s="392"/>
      <c r="F12" s="118"/>
      <c r="G12" s="401"/>
      <c r="H12" s="237" t="s">
        <v>16</v>
      </c>
      <c r="I12" s="118"/>
      <c r="J12" s="118"/>
      <c r="K12" s="118"/>
      <c r="L12" s="118"/>
      <c r="M12" s="118"/>
    </row>
    <row r="13" spans="2:13" x14ac:dyDescent="0.2">
      <c r="B13" s="391"/>
      <c r="C13" s="402"/>
      <c r="D13" s="393"/>
      <c r="E13" s="392"/>
      <c r="F13" s="118"/>
      <c r="G13" s="118"/>
      <c r="H13" s="118"/>
      <c r="I13" s="118"/>
      <c r="J13" s="118"/>
      <c r="K13" s="118"/>
      <c r="L13" s="118"/>
      <c r="M13" s="118"/>
    </row>
    <row r="14" spans="2:13" x14ac:dyDescent="0.2">
      <c r="B14" s="391">
        <f>VLOOKUP("led_level",AUTO!$A$1:$B$1051,2,FALSE)</f>
        <v>13504</v>
      </c>
      <c r="C14" s="392" t="s">
        <v>848</v>
      </c>
      <c r="D14" s="393" t="s">
        <v>849</v>
      </c>
      <c r="E14" s="392"/>
      <c r="F14" s="118"/>
      <c r="G14" s="403" t="s">
        <v>850</v>
      </c>
      <c r="H14" s="577" t="s">
        <v>851</v>
      </c>
      <c r="I14" s="578"/>
      <c r="J14" s="578"/>
      <c r="K14" s="233"/>
      <c r="L14" s="233"/>
      <c r="M14" s="238"/>
    </row>
    <row r="15" spans="2:13" ht="12.75" customHeight="1" x14ac:dyDescent="0.2">
      <c r="B15" s="239"/>
      <c r="C15" s="233"/>
      <c r="D15" s="234"/>
      <c r="E15" s="233"/>
      <c r="F15" s="118"/>
      <c r="G15" s="403" t="s">
        <v>543</v>
      </c>
      <c r="H15" s="568">
        <f>VLOOKUP("serial_number_",AUTO!$A$1:$B$1051,2,FALSE)</f>
        <v>-1</v>
      </c>
      <c r="I15" s="569"/>
      <c r="J15" s="570"/>
      <c r="K15" s="118"/>
      <c r="L15" s="118"/>
      <c r="M15" s="118"/>
    </row>
    <row r="16" spans="2:13" x14ac:dyDescent="0.2">
      <c r="B16" s="117"/>
      <c r="C16" s="113"/>
      <c r="D16" s="235"/>
      <c r="E16" s="236"/>
      <c r="F16" s="118"/>
      <c r="G16" s="403" t="s">
        <v>538</v>
      </c>
      <c r="H16" s="565">
        <f>VLOOKUP("date_",AUTO!$A$1:$B$1051,2,FALSE)</f>
        <v>46191.5</v>
      </c>
      <c r="I16" s="566"/>
      <c r="J16" s="567"/>
      <c r="K16" s="118"/>
      <c r="L16" s="118"/>
      <c r="M16" s="118"/>
    </row>
    <row r="17" spans="2:10" x14ac:dyDescent="0.2">
      <c r="B17" s="391"/>
      <c r="C17" s="398"/>
      <c r="D17" s="399"/>
      <c r="E17" s="400"/>
      <c r="F17" s="118"/>
      <c r="G17" s="403" t="s">
        <v>852</v>
      </c>
      <c r="H17" s="568" t="str">
        <f>H15&amp;" "&amp;TEXT(H16,"ddmmyy")</f>
        <v>-1 180626</v>
      </c>
      <c r="I17" s="569"/>
      <c r="J17" s="570"/>
    </row>
    <row r="18" spans="2:10" x14ac:dyDescent="0.2">
      <c r="B18" s="391"/>
      <c r="C18" s="392"/>
      <c r="D18" s="393"/>
      <c r="E18" s="392"/>
      <c r="F18" s="118"/>
      <c r="G18" s="403" t="s">
        <v>853</v>
      </c>
      <c r="H18" s="574" t="s">
        <v>854</v>
      </c>
      <c r="I18" s="575"/>
      <c r="J18" s="576"/>
    </row>
    <row r="19" spans="2:10" x14ac:dyDescent="0.2">
      <c r="B19" s="391"/>
      <c r="C19" s="402"/>
      <c r="D19" s="393"/>
      <c r="E19" s="392"/>
      <c r="F19" s="118"/>
      <c r="G19" s="403" t="s">
        <v>855</v>
      </c>
      <c r="H19" s="571" t="str">
        <f>VLOOKUP("rig_param_identifier",AUTO!$A$1:$B$1051,2,FALSE)</f>
        <v>NOT SET</v>
      </c>
      <c r="I19" s="572"/>
      <c r="J19" s="573"/>
    </row>
    <row r="20" spans="2:10" x14ac:dyDescent="0.2">
      <c r="B20" s="391"/>
      <c r="C20" s="392"/>
      <c r="D20" s="393"/>
      <c r="E20" s="392"/>
      <c r="F20" s="118"/>
      <c r="G20" s="118"/>
      <c r="H20" s="118"/>
      <c r="I20" s="118"/>
      <c r="J20" s="118"/>
    </row>
    <row r="21" spans="2:10" ht="12.75" customHeight="1" x14ac:dyDescent="0.2">
      <c r="B21" s="239"/>
      <c r="C21" s="233"/>
      <c r="D21" s="234"/>
      <c r="E21" s="233"/>
      <c r="F21" s="118"/>
      <c r="G21" s="560" t="s">
        <v>856</v>
      </c>
      <c r="H21" s="561">
        <f>VLOOKUP("rig_cleanliness_count",AUTO!$A$1:$B$1051,2,FALSE)</f>
        <v>0</v>
      </c>
      <c r="I21" s="118"/>
      <c r="J21" s="118"/>
    </row>
    <row r="22" spans="2:10" x14ac:dyDescent="0.2">
      <c r="B22" s="116" t="s">
        <v>857</v>
      </c>
      <c r="C22" s="113" t="s">
        <v>831</v>
      </c>
      <c r="D22" s="235"/>
      <c r="E22" s="236"/>
      <c r="F22" s="118"/>
      <c r="G22" s="560"/>
      <c r="H22" s="562"/>
      <c r="I22" s="118"/>
      <c r="J22" s="118"/>
    </row>
    <row r="23" spans="2:10" x14ac:dyDescent="0.2">
      <c r="B23" s="391">
        <f>VLOOKUP("meas_init_level",AUTO!A13:B1063,2,FALSE)</f>
        <v>0</v>
      </c>
      <c r="C23" s="400" t="s">
        <v>858</v>
      </c>
      <c r="D23" s="399" t="s">
        <v>859</v>
      </c>
      <c r="E23" s="400"/>
      <c r="F23" s="118"/>
      <c r="G23" s="560"/>
      <c r="H23" s="562"/>
      <c r="I23" s="118"/>
      <c r="J23" s="118"/>
    </row>
    <row r="24" spans="2:10" x14ac:dyDescent="0.2">
      <c r="B24" s="391">
        <f>VLOOKUP("calc_init_volume",AUTO!$A$1:$B$1051,2,FALSE)</f>
        <v>0</v>
      </c>
      <c r="C24" s="392" t="s">
        <v>860</v>
      </c>
      <c r="D24" s="393" t="s">
        <v>861</v>
      </c>
      <c r="E24" s="392"/>
      <c r="F24" s="118"/>
      <c r="G24" s="560"/>
      <c r="H24" s="563"/>
      <c r="I24" s="118"/>
      <c r="J24" s="118"/>
    </row>
    <row r="25" spans="2:10" x14ac:dyDescent="0.2">
      <c r="B25" s="391">
        <f>VLOOKUP("desired_concentration",AUTO!$A$1:$B$1051,2,FALSE)</f>
        <v>16</v>
      </c>
      <c r="C25" s="392" t="s">
        <v>862</v>
      </c>
      <c r="D25" s="393" t="s">
        <v>863</v>
      </c>
      <c r="E25" s="392"/>
      <c r="F25" s="118"/>
      <c r="G25" s="118"/>
      <c r="H25" s="118"/>
      <c r="I25" s="118"/>
      <c r="J25" s="118"/>
    </row>
    <row r="26" spans="2:10" x14ac:dyDescent="0.2">
      <c r="B26" s="391">
        <f>VLOOKUP("calc_qty_add",AUTO!$A$1:$B$1051,2,FALSE)</f>
        <v>0</v>
      </c>
      <c r="C26" s="392" t="s">
        <v>864</v>
      </c>
      <c r="D26" s="393" t="s">
        <v>865</v>
      </c>
      <c r="E26" s="392"/>
      <c r="F26" s="118"/>
      <c r="G26" s="404" t="s">
        <v>866</v>
      </c>
      <c r="H26" s="558" t="s">
        <v>352</v>
      </c>
      <c r="I26" s="559"/>
      <c r="J26" s="118"/>
    </row>
    <row r="27" spans="2:10" x14ac:dyDescent="0.2">
      <c r="B27" s="391">
        <f>VLOOKUP("meas_qty_add",AUTO!$A$1:$B$1051,2,FALSE)</f>
        <v>0</v>
      </c>
      <c r="C27" s="392" t="s">
        <v>864</v>
      </c>
      <c r="D27" s="393" t="s">
        <v>867</v>
      </c>
      <c r="E27" s="392"/>
      <c r="F27" s="118"/>
      <c r="G27" s="404" t="s">
        <v>868</v>
      </c>
      <c r="H27" s="556"/>
      <c r="I27" s="557"/>
      <c r="J27" s="118"/>
    </row>
    <row r="28" spans="2:10" x14ac:dyDescent="0.2">
      <c r="B28" s="391">
        <f>VLOOKUP("meas_final_level",AUTO!$A$1:$B$1051,2,FALSE)</f>
        <v>0</v>
      </c>
      <c r="C28" s="392" t="s">
        <v>858</v>
      </c>
      <c r="D28" s="393" t="s">
        <v>869</v>
      </c>
      <c r="E28" s="392"/>
      <c r="F28" s="118"/>
      <c r="G28" s="118"/>
      <c r="H28" s="118"/>
      <c r="I28" s="118"/>
      <c r="J28" s="118"/>
    </row>
    <row r="29" spans="2:10" x14ac:dyDescent="0.2">
      <c r="B29" s="391">
        <f>VLOOKUP("calc_volume",AUTO!$A$1:$B$1051,2,FALSE)</f>
        <v>0</v>
      </c>
      <c r="C29" s="392" t="s">
        <v>860</v>
      </c>
      <c r="D29" s="393" t="s">
        <v>870</v>
      </c>
      <c r="E29" s="392"/>
      <c r="F29" s="118"/>
      <c r="G29" s="118"/>
      <c r="H29" s="118"/>
      <c r="I29" s="118"/>
      <c r="J29" s="118"/>
    </row>
    <row r="30" spans="2:10" x14ac:dyDescent="0.2">
      <c r="B30" s="405">
        <f>VLOOKUP("calc_concentration",AUTO!$A$1:$B$1051,2,FALSE)</f>
        <v>16</v>
      </c>
      <c r="C30" s="392" t="s">
        <v>862</v>
      </c>
      <c r="D30" s="393" t="s">
        <v>871</v>
      </c>
      <c r="E30" s="392"/>
      <c r="F30" s="118"/>
      <c r="G30" s="118"/>
      <c r="H30" s="118"/>
      <c r="I30" s="118"/>
      <c r="J30" s="118"/>
    </row>
    <row r="31" spans="2:10" hidden="1" x14ac:dyDescent="0.2">
      <c r="B31" s="118"/>
      <c r="C31" s="118"/>
      <c r="D31" s="118"/>
      <c r="E31" s="118"/>
      <c r="F31" s="118"/>
      <c r="G31" s="118"/>
      <c r="H31" s="118"/>
      <c r="I31" s="118"/>
      <c r="J31" s="118"/>
    </row>
    <row r="32" spans="2:10" hidden="1" x14ac:dyDescent="0.2">
      <c r="B32" s="114"/>
      <c r="C32" s="118"/>
      <c r="D32" s="118"/>
      <c r="E32" s="118"/>
      <c r="F32" s="118"/>
      <c r="G32" s="118"/>
      <c r="H32" s="118"/>
      <c r="I32" s="118"/>
      <c r="J32" s="118"/>
    </row>
    <row r="33" spans="2:10" s="120" customFormat="1" hidden="1" x14ac:dyDescent="0.2">
      <c r="B33" s="143"/>
      <c r="C33" s="143"/>
      <c r="D33" s="143"/>
      <c r="E33" s="143"/>
      <c r="F33" s="143"/>
      <c r="G33" s="143"/>
      <c r="H33" s="143"/>
      <c r="I33" s="143"/>
      <c r="J33" s="119"/>
    </row>
    <row r="34" spans="2:10" s="120" customFormat="1" hidden="1" x14ac:dyDescent="0.2">
      <c r="B34" s="143"/>
      <c r="C34" s="143"/>
      <c r="D34" s="143"/>
      <c r="E34" s="143"/>
      <c r="F34" s="143"/>
      <c r="G34" s="143"/>
      <c r="H34" s="143"/>
      <c r="I34" s="143"/>
      <c r="J34" s="119"/>
    </row>
    <row r="35" spans="2:10" s="120" customFormat="1" hidden="1" x14ac:dyDescent="0.2">
      <c r="B35" s="121"/>
      <c r="C35" s="121"/>
      <c r="D35" s="121"/>
      <c r="E35" s="121"/>
      <c r="F35" s="121"/>
      <c r="G35" s="121"/>
      <c r="H35" s="121"/>
      <c r="I35" s="121"/>
      <c r="J35" s="119"/>
    </row>
    <row r="36" spans="2:10" s="120" customFormat="1" hidden="1" x14ac:dyDescent="0.2">
      <c r="B36" s="240"/>
      <c r="C36" s="240"/>
      <c r="D36" s="240"/>
      <c r="E36" s="240"/>
      <c r="F36" s="240"/>
      <c r="G36" s="240"/>
      <c r="H36" s="240"/>
      <c r="I36" s="240"/>
      <c r="J36" s="119"/>
    </row>
    <row r="37" spans="2:10" s="120" customFormat="1" hidden="1" x14ac:dyDescent="0.2">
      <c r="B37" s="240"/>
      <c r="C37" s="240"/>
      <c r="D37" s="240"/>
      <c r="E37" s="240"/>
      <c r="F37" s="240"/>
      <c r="G37" s="240"/>
      <c r="H37" s="240"/>
      <c r="I37" s="240"/>
      <c r="J37" s="119"/>
    </row>
    <row r="38" spans="2:10" s="120" customFormat="1" hidden="1" x14ac:dyDescent="0.2">
      <c r="B38" s="241"/>
      <c r="C38" s="241"/>
      <c r="D38" s="241"/>
      <c r="E38" s="241"/>
      <c r="F38" s="241"/>
      <c r="G38" s="241"/>
      <c r="H38" s="241"/>
      <c r="I38" s="241"/>
      <c r="J38" s="119"/>
    </row>
    <row r="39" spans="2:10" s="120" customFormat="1" hidden="1" x14ac:dyDescent="0.2">
      <c r="B39" s="122"/>
      <c r="C39" s="241"/>
      <c r="D39" s="241"/>
      <c r="E39" s="241"/>
      <c r="F39" s="241"/>
      <c r="G39" s="241"/>
      <c r="H39" s="241"/>
      <c r="I39" s="241"/>
      <c r="J39" s="119"/>
    </row>
    <row r="40" spans="2:10" s="124" customFormat="1" hidden="1" x14ac:dyDescent="0.2">
      <c r="B40" s="242"/>
      <c r="C40" s="242"/>
      <c r="D40" s="242"/>
      <c r="E40" s="242"/>
      <c r="F40" s="242"/>
      <c r="G40" s="242"/>
      <c r="H40" s="242"/>
      <c r="I40" s="242"/>
      <c r="J40" s="123"/>
    </row>
    <row r="41" spans="2:10" s="120" customFormat="1" hidden="1" x14ac:dyDescent="0.2">
      <c r="B41" s="242"/>
      <c r="C41" s="242"/>
      <c r="D41" s="242"/>
      <c r="E41" s="242"/>
      <c r="F41" s="242"/>
      <c r="G41" s="242"/>
      <c r="H41" s="242"/>
      <c r="I41" s="242"/>
      <c r="J41" s="119"/>
    </row>
    <row r="42" spans="2:10" s="120" customFormat="1" hidden="1" x14ac:dyDescent="0.2">
      <c r="B42" s="121"/>
      <c r="C42" s="121"/>
      <c r="D42" s="121"/>
      <c r="E42" s="121"/>
      <c r="F42" s="121"/>
      <c r="G42" s="121"/>
      <c r="H42" s="121"/>
      <c r="I42" s="121"/>
      <c r="J42" s="119"/>
    </row>
    <row r="43" spans="2:10" s="120" customFormat="1" hidden="1" x14ac:dyDescent="0.2">
      <c r="B43" s="240"/>
      <c r="C43" s="240"/>
      <c r="D43" s="240"/>
      <c r="E43" s="240"/>
      <c r="F43" s="240"/>
      <c r="G43" s="240"/>
      <c r="H43" s="240"/>
      <c r="I43" s="240"/>
      <c r="J43" s="119"/>
    </row>
    <row r="44" spans="2:10" s="120" customFormat="1" hidden="1" x14ac:dyDescent="0.2">
      <c r="B44" s="240"/>
      <c r="C44" s="240"/>
      <c r="D44" s="240"/>
      <c r="E44" s="240"/>
      <c r="F44" s="240"/>
      <c r="G44" s="240"/>
      <c r="H44" s="240"/>
      <c r="I44" s="240"/>
      <c r="J44" s="119"/>
    </row>
    <row r="45" spans="2:10" s="120" customFormat="1" hidden="1" x14ac:dyDescent="0.2">
      <c r="B45" s="241"/>
      <c r="C45" s="241"/>
      <c r="D45" s="241"/>
      <c r="E45" s="241"/>
      <c r="F45" s="241"/>
      <c r="G45" s="241"/>
      <c r="H45" s="241"/>
      <c r="I45" s="241"/>
      <c r="J45" s="119"/>
    </row>
    <row r="46" spans="2:10" s="120" customFormat="1" hidden="1" x14ac:dyDescent="0.2">
      <c r="B46" s="122"/>
      <c r="C46" s="241"/>
      <c r="D46" s="241"/>
      <c r="E46" s="241"/>
      <c r="F46" s="241"/>
      <c r="G46" s="241"/>
      <c r="H46" s="241"/>
      <c r="I46" s="241"/>
      <c r="J46" s="119"/>
    </row>
    <row r="47" spans="2:10" s="124" customFormat="1" hidden="1" x14ac:dyDescent="0.2">
      <c r="B47" s="242"/>
      <c r="C47" s="242"/>
      <c r="D47" s="242"/>
      <c r="E47" s="242"/>
      <c r="F47" s="242"/>
      <c r="G47" s="242"/>
      <c r="H47" s="242"/>
      <c r="I47" s="242"/>
      <c r="J47" s="123"/>
    </row>
    <row r="48" spans="2:10" s="124" customFormat="1" hidden="1" x14ac:dyDescent="0.2">
      <c r="B48" s="242"/>
      <c r="C48" s="242"/>
      <c r="D48" s="242"/>
      <c r="E48" s="242"/>
      <c r="F48" s="242"/>
      <c r="G48" s="242"/>
      <c r="H48" s="242"/>
      <c r="I48" s="242"/>
      <c r="J48" s="123"/>
    </row>
    <row r="49" spans="2:10" s="120" customFormat="1" hidden="1" x14ac:dyDescent="0.2">
      <c r="B49" s="125"/>
      <c r="C49" s="125"/>
      <c r="D49" s="125"/>
      <c r="E49" s="125"/>
      <c r="F49" s="125"/>
      <c r="G49" s="125"/>
      <c r="H49" s="125"/>
      <c r="I49" s="125"/>
      <c r="J49" s="119"/>
    </row>
    <row r="50" spans="2:10" s="120" customFormat="1" hidden="1" x14ac:dyDescent="0.2">
      <c r="B50" s="121"/>
      <c r="C50" s="121"/>
      <c r="D50" s="121"/>
      <c r="E50" s="121"/>
      <c r="F50" s="121"/>
      <c r="G50" s="121"/>
      <c r="H50" s="121"/>
      <c r="I50" s="121"/>
      <c r="J50" s="119"/>
    </row>
    <row r="51" spans="2:10" s="120" customFormat="1" hidden="1" x14ac:dyDescent="0.2">
      <c r="B51" s="121"/>
      <c r="C51" s="121"/>
      <c r="D51" s="121"/>
      <c r="E51" s="121"/>
      <c r="F51" s="121"/>
      <c r="G51" s="121"/>
      <c r="H51" s="121"/>
      <c r="I51" s="121"/>
      <c r="J51" s="119"/>
    </row>
    <row r="52" spans="2:10" s="120" customFormat="1" hidden="1" x14ac:dyDescent="0.2">
      <c r="B52" s="121"/>
      <c r="C52" s="121"/>
      <c r="D52" s="121"/>
      <c r="E52" s="121"/>
      <c r="F52" s="121"/>
      <c r="G52" s="121"/>
      <c r="H52" s="121"/>
      <c r="I52" s="121"/>
      <c r="J52" s="119"/>
    </row>
    <row r="53" spans="2:10" s="120" customFormat="1" hidden="1" x14ac:dyDescent="0.2">
      <c r="B53" s="240"/>
      <c r="C53" s="240"/>
      <c r="D53" s="240"/>
      <c r="E53" s="240"/>
      <c r="F53" s="240"/>
      <c r="G53" s="240"/>
      <c r="H53" s="240"/>
      <c r="I53" s="240"/>
      <c r="J53" s="119"/>
    </row>
    <row r="54" spans="2:10" s="120" customFormat="1" hidden="1" x14ac:dyDescent="0.2">
      <c r="B54" s="240"/>
      <c r="C54" s="240"/>
      <c r="D54" s="240"/>
      <c r="E54" s="240"/>
      <c r="F54" s="240"/>
      <c r="G54" s="240"/>
      <c r="H54" s="240"/>
      <c r="I54" s="240"/>
      <c r="J54" s="119"/>
    </row>
    <row r="55" spans="2:10" x14ac:dyDescent="0.2">
      <c r="B55" s="118"/>
      <c r="C55" s="118"/>
      <c r="D55" s="118"/>
      <c r="E55" s="118"/>
      <c r="F55" s="118"/>
      <c r="G55" s="118"/>
      <c r="H55" s="118"/>
      <c r="I55" s="118"/>
      <c r="J55" s="114"/>
    </row>
    <row r="56" spans="2:10" hidden="1" x14ac:dyDescent="0.2">
      <c r="B56" s="114"/>
      <c r="C56" s="118"/>
      <c r="D56" s="118"/>
      <c r="E56" s="118"/>
      <c r="F56" s="118"/>
      <c r="G56" s="118"/>
      <c r="H56" s="118"/>
      <c r="I56" s="118"/>
      <c r="J56" s="114"/>
    </row>
    <row r="57" spans="2:10" hidden="1" x14ac:dyDescent="0.2">
      <c r="B57" s="114"/>
      <c r="C57" s="114"/>
      <c r="D57" s="114"/>
      <c r="E57" s="114"/>
      <c r="F57" s="114"/>
      <c r="G57" s="114"/>
      <c r="H57" s="114"/>
      <c r="I57" s="114"/>
      <c r="J57" s="114"/>
    </row>
    <row r="58" spans="2:10" hidden="1" x14ac:dyDescent="0.2">
      <c r="B58" s="114"/>
      <c r="C58" s="114"/>
      <c r="D58" s="114"/>
      <c r="E58" s="114"/>
      <c r="F58" s="114"/>
      <c r="G58" s="114"/>
      <c r="H58" s="114"/>
      <c r="I58" s="114"/>
      <c r="J58" s="114"/>
    </row>
    <row r="59" spans="2:10" hidden="1" x14ac:dyDescent="0.2">
      <c r="B59" s="126"/>
      <c r="C59" s="243"/>
      <c r="D59" s="114"/>
      <c r="E59" s="114"/>
      <c r="F59" s="114"/>
      <c r="G59" s="114"/>
      <c r="H59" s="114"/>
      <c r="I59" s="114"/>
      <c r="J59" s="114"/>
    </row>
    <row r="60" spans="2:10" hidden="1" x14ac:dyDescent="0.2">
      <c r="B60" s="114"/>
      <c r="C60" s="114"/>
      <c r="D60" s="114"/>
      <c r="E60" s="114"/>
      <c r="F60" s="114"/>
      <c r="G60" s="114"/>
      <c r="H60" s="114"/>
      <c r="I60" s="114"/>
      <c r="J60" s="114"/>
    </row>
    <row r="61" spans="2:10" hidden="1" x14ac:dyDescent="0.2">
      <c r="B61" s="114"/>
      <c r="C61" s="114"/>
      <c r="D61" s="114"/>
      <c r="E61" s="114"/>
      <c r="F61" s="114"/>
      <c r="G61" s="114"/>
      <c r="H61" s="114"/>
      <c r="I61" s="114"/>
      <c r="J61" s="114"/>
    </row>
    <row r="62" spans="2:10" s="127" customFormat="1" x14ac:dyDescent="0.2">
      <c r="B62" s="114"/>
      <c r="C62" s="114"/>
      <c r="D62" s="114"/>
      <c r="E62" s="114"/>
      <c r="F62" s="114"/>
      <c r="G62" s="114"/>
      <c r="H62" s="114"/>
      <c r="I62" s="114"/>
      <c r="J62" s="126"/>
    </row>
    <row r="63" spans="2:10" x14ac:dyDescent="0.2">
      <c r="B63" s="128" t="s">
        <v>872</v>
      </c>
      <c r="C63" s="243"/>
      <c r="D63" s="243"/>
      <c r="E63" s="243"/>
      <c r="F63" s="243"/>
      <c r="G63" s="243"/>
      <c r="H63" s="243"/>
      <c r="I63" s="243"/>
      <c r="J63" s="114"/>
    </row>
    <row r="64" spans="2:10" x14ac:dyDescent="0.2">
      <c r="B64" s="406">
        <v>4</v>
      </c>
      <c r="C64" s="406">
        <v>6</v>
      </c>
      <c r="D64" s="406">
        <v>14</v>
      </c>
      <c r="E64" s="406">
        <v>21</v>
      </c>
      <c r="F64" s="406">
        <v>25</v>
      </c>
      <c r="G64" s="406">
        <v>38</v>
      </c>
      <c r="H64" s="406">
        <v>50</v>
      </c>
      <c r="I64" s="406">
        <v>70</v>
      </c>
      <c r="J64" s="33" t="s">
        <v>873</v>
      </c>
    </row>
    <row r="65" spans="1:10" s="129" customFormat="1" x14ac:dyDescent="0.2">
      <c r="B65" s="407">
        <f>VLOOKUP("threshold0",AUTO!$A$1:$B$1051,2,FALSE)</f>
        <v>78</v>
      </c>
      <c r="C65" s="407">
        <f>VLOOKUP("threshold1",AUTO!$A$1:$B$1051,2,FALSE)</f>
        <v>188</v>
      </c>
      <c r="D65" s="407">
        <f>VLOOKUP("threshold2",AUTO!$A$1:$B$1051,2,FALSE)</f>
        <v>1018</v>
      </c>
      <c r="E65" s="407">
        <f>VLOOKUP("threshold3",AUTO!$A$1:$B$1051,2,FALSE)</f>
        <v>2074</v>
      </c>
      <c r="F65" s="407">
        <f>VLOOKUP("threshold4",AUTO!$A$1:$B$1051,2,FALSE)</f>
        <v>2990</v>
      </c>
      <c r="G65" s="407">
        <f>VLOOKUP("threshold5",AUTO!$A$1:$B$1051,2,FALSE)</f>
        <v>10008</v>
      </c>
      <c r="H65" s="407">
        <f>VLOOKUP("threshold6",AUTO!$A$1:$B$1051,2,FALSE)</f>
        <v>16418</v>
      </c>
      <c r="I65" s="407">
        <f>VLOOKUP("threshold7",AUTO!$A$1:$B$1051,2,FALSE)</f>
        <v>24602</v>
      </c>
      <c r="J65" s="35" t="s">
        <v>874</v>
      </c>
    </row>
    <row r="66" spans="1:10" x14ac:dyDescent="0.2">
      <c r="A66" s="118"/>
      <c r="B66" s="244"/>
      <c r="C66" s="244"/>
      <c r="D66" s="244"/>
      <c r="E66" s="244"/>
      <c r="F66" s="244"/>
      <c r="G66" s="245"/>
      <c r="H66" s="244"/>
      <c r="I66" s="244"/>
      <c r="J66" s="118"/>
    </row>
    <row r="67" spans="1:10" x14ac:dyDescent="0.2">
      <c r="A67" s="408" t="s">
        <v>875</v>
      </c>
      <c r="B67" s="409" t="s">
        <v>876</v>
      </c>
      <c r="C67" s="409">
        <v>1</v>
      </c>
      <c r="D67" s="409" t="s">
        <v>877</v>
      </c>
      <c r="E67" s="409"/>
      <c r="F67" s="409"/>
      <c r="G67" s="409"/>
      <c r="H67" s="409"/>
      <c r="I67" s="409" t="s">
        <v>878</v>
      </c>
      <c r="J67" s="118"/>
    </row>
    <row r="68" spans="1:10" ht="18" customHeight="1" x14ac:dyDescent="0.2">
      <c r="A68" s="410">
        <v>4</v>
      </c>
      <c r="B68" s="411">
        <f>VLOOKUP("reference_count_0",AUTO!$A$1:$B$1051,2,FALSE)</f>
        <v>1056340</v>
      </c>
      <c r="C68" s="391">
        <f>VLOOKUP("verification_count_1_0",AUTO!$A$1:$B$1051,2,FALSE)</f>
        <v>1066968</v>
      </c>
      <c r="D68" s="379">
        <f>(C68-B68)/B68</f>
        <v>1.0061154552511503E-2</v>
      </c>
      <c r="E68" s="391"/>
      <c r="F68" s="379"/>
      <c r="G68" s="391"/>
      <c r="H68" s="379"/>
      <c r="I68" s="412">
        <f>(C68)</f>
        <v>1066968</v>
      </c>
      <c r="J68" s="379">
        <f>(I68-$B68)/$B68</f>
        <v>1.0061154552511503E-2</v>
      </c>
    </row>
    <row r="69" spans="1:10" ht="18" customHeight="1" x14ac:dyDescent="0.2">
      <c r="A69" s="410">
        <v>6</v>
      </c>
      <c r="B69" s="411">
        <f>VLOOKUP("reference_count_1",AUTO!$A$1:$B$1051,2,FALSE)</f>
        <v>459350</v>
      </c>
      <c r="C69" s="391">
        <f>VLOOKUP("verification_count_1_1",AUTO!$A$1:$B$1051,2,FALSE)</f>
        <v>465752</v>
      </c>
      <c r="D69" s="379">
        <f t="shared" ref="D69:D76" si="0">(C69-B69)/B69</f>
        <v>1.3937085011429193E-2</v>
      </c>
      <c r="E69" s="391"/>
      <c r="F69" s="379"/>
      <c r="G69" s="391"/>
      <c r="H69" s="379"/>
      <c r="I69" s="412">
        <f t="shared" ref="I69:I76" si="1">(C69)</f>
        <v>465752</v>
      </c>
      <c r="J69" s="379">
        <f t="shared" ref="J69:J76" si="2">(I69-$B69)/$B69</f>
        <v>1.3937085011429193E-2</v>
      </c>
    </row>
    <row r="70" spans="1:10" ht="18" customHeight="1" x14ac:dyDescent="0.2">
      <c r="A70" s="410">
        <v>10</v>
      </c>
      <c r="B70" s="411">
        <f>VLOOKUP("reference_count32_6",AUTO!$A$1:$B$1051,2,FALSE)*100</f>
        <v>106950</v>
      </c>
      <c r="C70" s="413">
        <f>VLOOKUP("verification_count32_1_6",AUTO!$A$1:$B$1051,2,FALSE)*100</f>
        <v>109065.00000000001</v>
      </c>
      <c r="D70" s="379">
        <f t="shared" si="0"/>
        <v>1.9775596072931414E-2</v>
      </c>
      <c r="E70" s="413"/>
      <c r="F70" s="379"/>
      <c r="G70" s="413"/>
      <c r="H70" s="379"/>
      <c r="I70" s="412">
        <f t="shared" si="1"/>
        <v>109065.00000000001</v>
      </c>
      <c r="J70" s="379">
        <f t="shared" si="2"/>
        <v>1.9775596072931414E-2</v>
      </c>
    </row>
    <row r="71" spans="1:10" ht="18" customHeight="1" x14ac:dyDescent="0.2">
      <c r="A71" s="410">
        <v>14</v>
      </c>
      <c r="B71" s="411">
        <f>VLOOKUP("reference_count_2",AUTO!$A$1:$B$1051,2,FALSE)</f>
        <v>36410</v>
      </c>
      <c r="C71" s="391">
        <f>VLOOKUP("verification_count_1_2",AUTO!$A$1:$B$1051,2,FALSE)</f>
        <v>37095</v>
      </c>
      <c r="D71" s="379">
        <f t="shared" si="0"/>
        <v>1.8813512771216699E-2</v>
      </c>
      <c r="E71" s="391"/>
      <c r="F71" s="379"/>
      <c r="G71" s="391"/>
      <c r="H71" s="379"/>
      <c r="I71" s="412">
        <f t="shared" si="1"/>
        <v>37095</v>
      </c>
      <c r="J71" s="379">
        <f t="shared" si="2"/>
        <v>1.8813512771216699E-2</v>
      </c>
    </row>
    <row r="72" spans="1:10" ht="18" customHeight="1" x14ac:dyDescent="0.2">
      <c r="A72" s="410">
        <v>21</v>
      </c>
      <c r="B72" s="411">
        <f>VLOOKUP("reference_count_3",AUTO!$A$1:$B$1051,2,FALSE)</f>
        <v>10940</v>
      </c>
      <c r="C72" s="391">
        <f>VLOOKUP("verification_count_1_3",AUTO!$A$1:$B$1051,2,FALSE)</f>
        <v>11283</v>
      </c>
      <c r="D72" s="379">
        <f t="shared" si="0"/>
        <v>3.1352833638025594E-2</v>
      </c>
      <c r="E72" s="391"/>
      <c r="F72" s="379"/>
      <c r="G72" s="391"/>
      <c r="H72" s="379"/>
      <c r="I72" s="412">
        <f t="shared" si="1"/>
        <v>11283</v>
      </c>
      <c r="J72" s="379">
        <f t="shared" si="2"/>
        <v>3.1352833638025594E-2</v>
      </c>
    </row>
    <row r="73" spans="1:10" ht="18" customHeight="1" x14ac:dyDescent="0.2">
      <c r="A73" s="410">
        <v>25</v>
      </c>
      <c r="B73" s="411">
        <f>VLOOKUP("reference_count_4",AUTO!$A$1:$B$1051,2,FALSE)</f>
        <v>5210</v>
      </c>
      <c r="C73" s="391">
        <f>VLOOKUP("verification_count_1_4",AUTO!$A$1:$B$1051,2,FALSE)</f>
        <v>5545</v>
      </c>
      <c r="D73" s="379">
        <f t="shared" si="0"/>
        <v>6.4299424184261031E-2</v>
      </c>
      <c r="E73" s="391"/>
      <c r="F73" s="379"/>
      <c r="G73" s="391"/>
      <c r="H73" s="379"/>
      <c r="I73" s="412">
        <f t="shared" si="1"/>
        <v>5545</v>
      </c>
      <c r="J73" s="379">
        <f t="shared" si="2"/>
        <v>6.4299424184261031E-2</v>
      </c>
    </row>
    <row r="74" spans="1:10" ht="18" customHeight="1" x14ac:dyDescent="0.2">
      <c r="A74" s="410">
        <v>38</v>
      </c>
      <c r="B74" s="411">
        <f>VLOOKUP("reference_count_5",AUTO!$A$1:$B$1051,2,FALSE)</f>
        <v>611.721</v>
      </c>
      <c r="C74" s="391">
        <f>VLOOKUP("verification_count_1_5",AUTO!$A$1:$B$1051,2,FALSE)</f>
        <v>731</v>
      </c>
      <c r="D74" s="379">
        <f t="shared" si="0"/>
        <v>0.19498921894131474</v>
      </c>
      <c r="E74" s="391"/>
      <c r="F74" s="379"/>
      <c r="G74" s="391"/>
      <c r="H74" s="379"/>
      <c r="I74" s="412">
        <f t="shared" si="1"/>
        <v>731</v>
      </c>
      <c r="J74" s="379">
        <f t="shared" si="2"/>
        <v>0.19498921894131474</v>
      </c>
    </row>
    <row r="75" spans="1:10" ht="18" customHeight="1" x14ac:dyDescent="0.2">
      <c r="A75" s="410">
        <v>50</v>
      </c>
      <c r="B75" s="411">
        <f>VLOOKUP("reference_count_6",AUTO!$A$1:$B$1051,2,FALSE)</f>
        <v>145.303</v>
      </c>
      <c r="C75" s="391">
        <f>VLOOKUP("verification_count_1_6",AUTO!$A$1:$B$1051,2,FALSE)</f>
        <v>150</v>
      </c>
      <c r="D75" s="379">
        <f t="shared" si="0"/>
        <v>3.2325554186768357E-2</v>
      </c>
      <c r="E75" s="391"/>
      <c r="F75" s="379"/>
      <c r="G75" s="391"/>
      <c r="H75" s="379"/>
      <c r="I75" s="412">
        <f t="shared" si="1"/>
        <v>150</v>
      </c>
      <c r="J75" s="379">
        <f t="shared" si="2"/>
        <v>3.2325554186768357E-2</v>
      </c>
    </row>
    <row r="76" spans="1:10" ht="18" customHeight="1" x14ac:dyDescent="0.2">
      <c r="A76" s="410">
        <v>70</v>
      </c>
      <c r="B76" s="411">
        <f>VLOOKUP("reference_count_7",AUTO!$A$1:$B$1051,2,FALSE)</f>
        <v>24.939</v>
      </c>
      <c r="C76" s="391">
        <f>VLOOKUP("verification_count_1_7",AUTO!$A$1:$B$1051,2,FALSE)</f>
        <v>14</v>
      </c>
      <c r="D76" s="379">
        <f t="shared" si="0"/>
        <v>-0.43863025782910303</v>
      </c>
      <c r="E76" s="391"/>
      <c r="F76" s="379"/>
      <c r="G76" s="391"/>
      <c r="H76" s="379"/>
      <c r="I76" s="412">
        <f t="shared" si="1"/>
        <v>14</v>
      </c>
      <c r="J76" s="379">
        <f t="shared" si="2"/>
        <v>-0.43863025782910303</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disablePrompts="1"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J28" sqref="J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880</v>
      </c>
      <c r="C3" s="60"/>
    </row>
    <row r="4" spans="1:16" ht="14.25" x14ac:dyDescent="0.2">
      <c r="B4" s="63" t="s">
        <v>881</v>
      </c>
      <c r="C4" s="60"/>
    </row>
    <row r="5" spans="1:16" ht="14.25" x14ac:dyDescent="0.2">
      <c r="B5" s="63" t="s">
        <v>882</v>
      </c>
      <c r="C5" s="60"/>
    </row>
    <row r="6" spans="1:16" ht="14.25" x14ac:dyDescent="0.2">
      <c r="B6" s="63" t="s">
        <v>883</v>
      </c>
      <c r="C6" s="60"/>
    </row>
    <row r="7" spans="1:16" ht="15" x14ac:dyDescent="0.2">
      <c r="B7" s="63" t="s">
        <v>884</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887</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890</v>
      </c>
      <c r="L17" s="417"/>
      <c r="M17" s="417"/>
      <c r="N17" s="418"/>
      <c r="O17" s="419" t="str">
        <f>'Auto-Calibration record'!H18</f>
        <v>RM8631b</v>
      </c>
    </row>
    <row r="18" spans="2:15" ht="25.9" customHeight="1" x14ac:dyDescent="0.25">
      <c r="B18" s="414" t="s">
        <v>891</v>
      </c>
      <c r="C18" s="420"/>
      <c r="D18" s="607">
        <f>'Auto-Calibration record'!H15</f>
        <v>-1</v>
      </c>
      <c r="E18" s="608"/>
      <c r="F18" s="609"/>
      <c r="K18" s="380" t="s">
        <v>892</v>
      </c>
      <c r="L18" s="381"/>
      <c r="M18" s="381"/>
      <c r="N18" s="382"/>
      <c r="O18" s="421">
        <f>'Auto-Calibration record'!H16</f>
        <v>46191.5</v>
      </c>
    </row>
    <row r="19" spans="2:15" ht="25.9" customHeight="1" x14ac:dyDescent="0.25">
      <c r="B19" s="414" t="s">
        <v>893</v>
      </c>
      <c r="C19" s="420"/>
      <c r="D19" s="607" t="str">
        <f>'Auto-Calibration record'!H17</f>
        <v>-1 180626</v>
      </c>
      <c r="E19" s="608"/>
      <c r="F19" s="609"/>
      <c r="K19" s="416" t="s">
        <v>894</v>
      </c>
      <c r="L19" s="417"/>
      <c r="M19" s="417"/>
      <c r="N19" s="418"/>
      <c r="O19" s="422"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78</v>
      </c>
      <c r="G28" s="600"/>
      <c r="H28" s="596">
        <f>'Auto-Calibration record'!B68</f>
        <v>1056340</v>
      </c>
      <c r="I28" s="596"/>
      <c r="J28" s="425">
        <f>'Auto-Calibration record'!I68</f>
        <v>1066968</v>
      </c>
      <c r="K28" s="425">
        <f t="shared" ref="K28:K33" si="0">J28-H28</f>
        <v>10628</v>
      </c>
      <c r="L28" s="383">
        <f t="shared" ref="L28:L33" si="1">K28/H28</f>
        <v>1.0061154552511503E-2</v>
      </c>
    </row>
    <row r="29" spans="2:15" s="77" customFormat="1" ht="25.9" customHeight="1" x14ac:dyDescent="0.2">
      <c r="D29" s="585" t="s">
        <v>909</v>
      </c>
      <c r="E29" s="585"/>
      <c r="F29" s="600">
        <f>'Auto-Calibration record'!C65</f>
        <v>188</v>
      </c>
      <c r="G29" s="600"/>
      <c r="H29" s="596">
        <f>'Auto-Calibration record'!B69</f>
        <v>459350</v>
      </c>
      <c r="I29" s="596"/>
      <c r="J29" s="425">
        <f>'Auto-Calibration record'!I69</f>
        <v>465752</v>
      </c>
      <c r="K29" s="425">
        <f t="shared" si="0"/>
        <v>6402</v>
      </c>
      <c r="L29" s="383">
        <f t="shared" si="1"/>
        <v>1.3937085011429193E-2</v>
      </c>
    </row>
    <row r="30" spans="2:15" s="77" customFormat="1" ht="25.9" customHeight="1" x14ac:dyDescent="0.2">
      <c r="D30" s="585" t="s">
        <v>910</v>
      </c>
      <c r="E30" s="585"/>
      <c r="F30" s="600">
        <f>'Auto-Calibration record'!D65</f>
        <v>1018</v>
      </c>
      <c r="G30" s="600"/>
      <c r="H30" s="596">
        <f>'Auto-Calibration record'!B71</f>
        <v>36410</v>
      </c>
      <c r="I30" s="596"/>
      <c r="J30" s="425">
        <f>'Auto-Calibration record'!I71</f>
        <v>37095</v>
      </c>
      <c r="K30" s="425">
        <f t="shared" si="0"/>
        <v>685</v>
      </c>
      <c r="L30" s="383">
        <f t="shared" si="1"/>
        <v>1.8813512771216699E-2</v>
      </c>
    </row>
    <row r="31" spans="2:15" s="77" customFormat="1" ht="25.9" customHeight="1" x14ac:dyDescent="0.2">
      <c r="D31" s="585" t="s">
        <v>911</v>
      </c>
      <c r="E31" s="585"/>
      <c r="F31" s="600">
        <f>'Auto-Calibration record'!E65</f>
        <v>2074</v>
      </c>
      <c r="G31" s="600"/>
      <c r="H31" s="596">
        <f>'Auto-Calibration record'!B72</f>
        <v>10940</v>
      </c>
      <c r="I31" s="596"/>
      <c r="J31" s="425">
        <f>'Auto-Calibration record'!I72</f>
        <v>11283</v>
      </c>
      <c r="K31" s="425">
        <f t="shared" si="0"/>
        <v>343</v>
      </c>
      <c r="L31" s="383">
        <f t="shared" si="1"/>
        <v>3.1352833638025594E-2</v>
      </c>
    </row>
    <row r="32" spans="2:15" s="77" customFormat="1" ht="25.9" customHeight="1" x14ac:dyDescent="0.2">
      <c r="D32" s="585" t="s">
        <v>912</v>
      </c>
      <c r="E32" s="585"/>
      <c r="F32" s="600">
        <f>'Auto-Calibration record'!F65</f>
        <v>2990</v>
      </c>
      <c r="G32" s="600"/>
      <c r="H32" s="596">
        <f>'Auto-Calibration record'!B73</f>
        <v>5210</v>
      </c>
      <c r="I32" s="596"/>
      <c r="J32" s="425">
        <f>'Auto-Calibration record'!I73</f>
        <v>5545</v>
      </c>
      <c r="K32" s="425">
        <f t="shared" si="0"/>
        <v>335</v>
      </c>
      <c r="L32" s="383">
        <f t="shared" si="1"/>
        <v>6.4299424184261031E-2</v>
      </c>
    </row>
    <row r="33" spans="2:12" s="77" customFormat="1" ht="25.9" customHeight="1" x14ac:dyDescent="0.2">
      <c r="D33" s="585" t="s">
        <v>913</v>
      </c>
      <c r="E33" s="585"/>
      <c r="F33" s="600">
        <f>'Auto-Calibration record'!G65</f>
        <v>10008</v>
      </c>
      <c r="G33" s="600"/>
      <c r="H33" s="596">
        <f>'Auto-Calibration record'!B74</f>
        <v>611.721</v>
      </c>
      <c r="I33" s="596"/>
      <c r="J33" s="425">
        <f>'Auto-Calibration record'!I74</f>
        <v>731</v>
      </c>
      <c r="K33" s="425">
        <f t="shared" si="0"/>
        <v>119.279</v>
      </c>
      <c r="L33" s="383">
        <f t="shared" si="1"/>
        <v>0.19498921894131474</v>
      </c>
    </row>
    <row r="34" spans="2:12" s="77" customFormat="1" ht="25.9" customHeight="1" x14ac:dyDescent="0.2">
      <c r="D34" s="585" t="s">
        <v>914</v>
      </c>
      <c r="E34" s="585"/>
      <c r="F34" s="600">
        <f>'Auto-Calibration record'!H65</f>
        <v>16418</v>
      </c>
      <c r="G34" s="600"/>
      <c r="H34" s="596">
        <f>'Auto-Calibration record'!B75</f>
        <v>145.303</v>
      </c>
      <c r="I34" s="596"/>
      <c r="J34" s="425">
        <f>'Auto-Calibration record'!I75</f>
        <v>150</v>
      </c>
      <c r="K34" s="425" t="s">
        <v>321</v>
      </c>
      <c r="L34" s="426" t="s">
        <v>321</v>
      </c>
    </row>
    <row r="35" spans="2:12" s="72" customFormat="1" ht="25.9" customHeight="1" x14ac:dyDescent="0.25">
      <c r="D35" s="585" t="s">
        <v>915</v>
      </c>
      <c r="E35" s="585"/>
      <c r="F35" s="601">
        <f>'Auto-Calibration record'!I65</f>
        <v>24602</v>
      </c>
      <c r="G35" s="601"/>
      <c r="H35" s="596">
        <f>'Auto-Calibration record'!B76</f>
        <v>24.939</v>
      </c>
      <c r="I35" s="596"/>
      <c r="J35" s="427">
        <f>'Auto-Calibration record'!I76</f>
        <v>14</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106"/>
      <c r="K38" s="106"/>
      <c r="L38" s="106"/>
    </row>
    <row r="39" spans="2:12" ht="25.9" customHeight="1" x14ac:dyDescent="0.2">
      <c r="B39" s="80"/>
      <c r="D39" s="424" t="s">
        <v>905</v>
      </c>
      <c r="E39" s="584" t="s">
        <v>905</v>
      </c>
      <c r="F39" s="584"/>
      <c r="G39" s="584" t="s">
        <v>920</v>
      </c>
      <c r="H39" s="584"/>
      <c r="I39" s="81"/>
      <c r="J39" s="107"/>
      <c r="K39" s="107"/>
      <c r="L39" s="107"/>
    </row>
    <row r="40" spans="2:12" ht="25.9" customHeight="1" x14ac:dyDescent="0.2">
      <c r="B40" s="80"/>
      <c r="D40" s="428">
        <f>'Auto-Calibration record'!B11</f>
        <v>32</v>
      </c>
      <c r="E40" s="596">
        <f>F28-D40</f>
        <v>46</v>
      </c>
      <c r="F40" s="596"/>
      <c r="G40" s="610">
        <f>F28/D40</f>
        <v>2.4375</v>
      </c>
      <c r="H40" s="610"/>
      <c r="I40" s="81"/>
      <c r="J40" s="108"/>
      <c r="K40" s="109"/>
      <c r="L40" s="110"/>
    </row>
    <row r="41" spans="2:12" x14ac:dyDescent="0.2">
      <c r="B41" s="80"/>
      <c r="D41" s="227"/>
    </row>
    <row r="42" spans="2:12" x14ac:dyDescent="0.2">
      <c r="B42" s="80"/>
      <c r="D42" s="227"/>
    </row>
    <row r="43" spans="2:12" x14ac:dyDescent="0.2">
      <c r="B43" s="80"/>
      <c r="D43" s="227"/>
    </row>
    <row r="44" spans="2:12" x14ac:dyDescent="0.2">
      <c r="B44" s="80"/>
      <c r="D44" s="227"/>
    </row>
    <row r="45" spans="2:12" x14ac:dyDescent="0.2">
      <c r="B45" s="80"/>
      <c r="D45" s="227"/>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580" t="s">
        <v>925</v>
      </c>
      <c r="E74" s="581"/>
      <c r="F74" s="581"/>
      <c r="G74" s="582"/>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t="str">
        <f>'Auto-Calibration record'!H26</f>
        <v>John Devereux</v>
      </c>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011 1026:2035 2050:3059 3074:4083 4098:5107 5122:6131 6146:7155 7170:8179 8194:9203 9218:10227 10242:11251 11266:12275 12290:13299 13314:14323 14338:15347 15362:16371" x14ac:dyDescent="0.2">
      <c r="O83" s="85" t="s">
        <v>932</v>
      </c>
    </row>
    <row r="84" spans="2:1011 1026:2035 2050:3059 3074:4083 4098:5107 5122:6131 6146:7155 7170:8179 8194:9203 9218:10227 10242:11251 11266:12275 12290:13299 13314:14323 14338:15347 15362:16371" ht="15.6" customHeight="1" x14ac:dyDescent="0.2">
      <c r="B84" s="63" t="s">
        <v>879</v>
      </c>
      <c r="C84" s="60"/>
      <c r="O84" s="85" t="s">
        <v>841</v>
      </c>
    </row>
    <row r="85" spans="2:1011 1026:2035 2050:3059 3074:4083 4098:5107 5122:6131 6146:7155 7170:8179 8194:9203 9218:10227 10242:11251 11266:12275 12290:13299 13314:14323 14338:15347 15362:16371" ht="14.25" x14ac:dyDescent="0.2">
      <c r="B85" s="63" t="s">
        <v>933</v>
      </c>
      <c r="C85" s="60"/>
      <c r="O85" s="85" t="s">
        <v>19</v>
      </c>
    </row>
    <row r="86" spans="2:1011 1026:2035 2050:3059 3074:4083 4098:5107 5122:6131 6146:7155 7170:8179 8194:9203 9218:10227 10242:11251 11266:12275 12290:13299 13314:14323 14338:15347 15362:16371" ht="14.25" x14ac:dyDescent="0.2">
      <c r="B86" s="63" t="s">
        <v>934</v>
      </c>
      <c r="C86" s="60"/>
      <c r="L86" s="86"/>
      <c r="N86" s="86"/>
      <c r="O86" s="85" t="s">
        <v>20</v>
      </c>
    </row>
    <row r="87" spans="2:1011 1026:2035 2050:3059 3074:4083 4098:5107 5122:6131 6146:7155 7170:8179 8194:9203 9218:10227 10242:11251 11266:12275 12290:13299 13314:14323 14338:15347 15362:16371" ht="14.25" x14ac:dyDescent="0.2">
      <c r="B87" s="63" t="s">
        <v>882</v>
      </c>
      <c r="C87" s="60"/>
    </row>
    <row r="88" spans="2:1011 1026:2035 2050:3059 3074:4083 4098:5107 5122:6131 6146:7155 7170:8179 8194:9203 9218:10227 10242:11251 11266:12275 12290:13299 13314:14323 14338:15347 15362:16371" ht="14.25" x14ac:dyDescent="0.2">
      <c r="B88" s="63" t="s">
        <v>935</v>
      </c>
      <c r="C88" s="60"/>
    </row>
    <row r="89" spans="2:1011 1026:2035 2050:3059 3074:4083 4098:5107 5122:6131 6146:7155 7170:8179 8194:9203 9218:10227 10242:11251 11266:12275 12290:13299 13314:14323 14338:15347 15362:16371" ht="14.25" x14ac:dyDescent="0.2">
      <c r="B89" s="63" t="s">
        <v>936</v>
      </c>
      <c r="C89" s="60"/>
    </row>
    <row r="90" spans="2:1011 1026:2035 2050:3059 3074:4083 4098:5107 5122:6131 6146:7155 7170:8179 8194:9203 9218:10227 10242:11251 11266:12275 12290:13299 13314:14323 14338:15347 15362:16371" ht="14.25" x14ac:dyDescent="0.2">
      <c r="B90" s="34" t="s">
        <v>885</v>
      </c>
      <c r="C90" s="60"/>
      <c r="R90" s="63" t="s">
        <v>879</v>
      </c>
      <c r="S90" s="60"/>
      <c r="AH90" s="63" t="s">
        <v>879</v>
      </c>
      <c r="AI90" s="60"/>
      <c r="AX90" s="63" t="s">
        <v>879</v>
      </c>
      <c r="AY90" s="60"/>
      <c r="BN90" s="63" t="s">
        <v>879</v>
      </c>
      <c r="BO90" s="60"/>
      <c r="CD90" s="63" t="s">
        <v>879</v>
      </c>
      <c r="CE90" s="60"/>
      <c r="CT90" s="63" t="s">
        <v>879</v>
      </c>
      <c r="CU90" s="60"/>
      <c r="DJ90" s="63" t="s">
        <v>879</v>
      </c>
      <c r="DK90" s="60"/>
      <c r="DZ90" s="63" t="s">
        <v>879</v>
      </c>
      <c r="EA90" s="60"/>
      <c r="EP90" s="63" t="s">
        <v>879</v>
      </c>
      <c r="EQ90" s="60"/>
      <c r="FF90" s="63" t="s">
        <v>879</v>
      </c>
      <c r="FG90" s="60"/>
      <c r="FV90" s="63" t="s">
        <v>879</v>
      </c>
      <c r="FW90" s="60"/>
      <c r="GL90" s="63" t="s">
        <v>879</v>
      </c>
      <c r="GM90" s="60"/>
      <c r="HB90" s="63" t="s">
        <v>879</v>
      </c>
      <c r="HC90" s="60"/>
      <c r="HR90" s="63" t="s">
        <v>879</v>
      </c>
      <c r="HS90" s="60"/>
      <c r="IH90" s="63" t="s">
        <v>879</v>
      </c>
      <c r="II90" s="60"/>
      <c r="IX90" s="63" t="s">
        <v>879</v>
      </c>
      <c r="IY90" s="60"/>
      <c r="JN90" s="63" t="s">
        <v>879</v>
      </c>
      <c r="JO90" s="60"/>
      <c r="KD90" s="63" t="s">
        <v>879</v>
      </c>
      <c r="KE90" s="60"/>
      <c r="KT90" s="63" t="s">
        <v>879</v>
      </c>
      <c r="KU90" s="60"/>
      <c r="LJ90" s="63" t="s">
        <v>879</v>
      </c>
      <c r="LK90" s="60"/>
      <c r="LZ90" s="63" t="s">
        <v>879</v>
      </c>
      <c r="MA90" s="60"/>
      <c r="MP90" s="63" t="s">
        <v>879</v>
      </c>
      <c r="MQ90" s="60"/>
      <c r="NF90" s="63" t="s">
        <v>879</v>
      </c>
      <c r="NG90" s="60"/>
      <c r="NV90" s="63" t="s">
        <v>879</v>
      </c>
      <c r="NW90" s="60"/>
      <c r="OL90" s="63" t="s">
        <v>879</v>
      </c>
      <c r="OM90" s="60"/>
      <c r="PB90" s="63" t="s">
        <v>879</v>
      </c>
      <c r="PC90" s="60"/>
      <c r="PR90" s="63" t="s">
        <v>879</v>
      </c>
      <c r="PS90" s="60"/>
      <c r="QH90" s="63" t="s">
        <v>879</v>
      </c>
      <c r="QI90" s="60"/>
      <c r="QX90" s="63" t="s">
        <v>879</v>
      </c>
      <c r="QY90" s="60"/>
      <c r="RN90" s="63" t="s">
        <v>879</v>
      </c>
      <c r="RO90" s="60"/>
      <c r="SD90" s="63" t="s">
        <v>879</v>
      </c>
      <c r="SE90" s="60"/>
      <c r="ST90" s="63" t="s">
        <v>879</v>
      </c>
      <c r="SU90" s="60"/>
      <c r="TJ90" s="63" t="s">
        <v>879</v>
      </c>
      <c r="TK90" s="60"/>
      <c r="TZ90" s="63" t="s">
        <v>879</v>
      </c>
      <c r="UA90" s="60"/>
      <c r="UP90" s="63" t="s">
        <v>879</v>
      </c>
      <c r="UQ90" s="60"/>
      <c r="VF90" s="63" t="s">
        <v>879</v>
      </c>
      <c r="VG90" s="60"/>
      <c r="VV90" s="63" t="s">
        <v>879</v>
      </c>
      <c r="VW90" s="60"/>
      <c r="WL90" s="63" t="s">
        <v>879</v>
      </c>
      <c r="WM90" s="60"/>
      <c r="XB90" s="63" t="s">
        <v>879</v>
      </c>
      <c r="XC90" s="60"/>
      <c r="XR90" s="63" t="s">
        <v>879</v>
      </c>
      <c r="XS90" s="60"/>
      <c r="YH90" s="63" t="s">
        <v>879</v>
      </c>
      <c r="YI90" s="60"/>
      <c r="YX90" s="63" t="s">
        <v>879</v>
      </c>
      <c r="YY90" s="60"/>
      <c r="ZN90" s="63" t="s">
        <v>879</v>
      </c>
      <c r="ZO90" s="60"/>
      <c r="AAD90" s="63" t="s">
        <v>879</v>
      </c>
      <c r="AAE90" s="60"/>
      <c r="AAT90" s="63" t="s">
        <v>879</v>
      </c>
      <c r="AAU90" s="60"/>
      <c r="ABJ90" s="63" t="s">
        <v>879</v>
      </c>
      <c r="ABK90" s="60"/>
      <c r="ABZ90" s="63" t="s">
        <v>879</v>
      </c>
      <c r="ACA90" s="60"/>
      <c r="ACP90" s="63" t="s">
        <v>879</v>
      </c>
      <c r="ACQ90" s="60"/>
      <c r="ADF90" s="63" t="s">
        <v>879</v>
      </c>
      <c r="ADG90" s="60"/>
      <c r="ADV90" s="63" t="s">
        <v>879</v>
      </c>
      <c r="ADW90" s="60"/>
      <c r="AEL90" s="63" t="s">
        <v>879</v>
      </c>
      <c r="AEM90" s="60"/>
      <c r="AFB90" s="63" t="s">
        <v>879</v>
      </c>
      <c r="AFC90" s="60"/>
      <c r="AFR90" s="63" t="s">
        <v>879</v>
      </c>
      <c r="AFS90" s="60"/>
      <c r="AGH90" s="63" t="s">
        <v>879</v>
      </c>
      <c r="AGI90" s="60"/>
      <c r="AGX90" s="63" t="s">
        <v>879</v>
      </c>
      <c r="AGY90" s="60"/>
      <c r="AHN90" s="63" t="s">
        <v>879</v>
      </c>
      <c r="AHO90" s="60"/>
      <c r="AID90" s="63" t="s">
        <v>879</v>
      </c>
      <c r="AIE90" s="60"/>
      <c r="AIT90" s="63" t="s">
        <v>879</v>
      </c>
      <c r="AIU90" s="60"/>
      <c r="AJJ90" s="63" t="s">
        <v>879</v>
      </c>
      <c r="AJK90" s="60"/>
      <c r="AJZ90" s="63" t="s">
        <v>879</v>
      </c>
      <c r="AKA90" s="60"/>
      <c r="AKP90" s="63" t="s">
        <v>879</v>
      </c>
      <c r="AKQ90" s="60"/>
      <c r="ALF90" s="63" t="s">
        <v>879</v>
      </c>
      <c r="ALG90" s="60"/>
      <c r="ALV90" s="63" t="s">
        <v>879</v>
      </c>
      <c r="ALW90" s="60"/>
      <c r="AML90" s="63" t="s">
        <v>879</v>
      </c>
      <c r="AMM90" s="60"/>
      <c r="ANB90" s="63" t="s">
        <v>879</v>
      </c>
      <c r="ANC90" s="60"/>
      <c r="ANR90" s="63" t="s">
        <v>879</v>
      </c>
      <c r="ANS90" s="60"/>
      <c r="AOH90" s="63" t="s">
        <v>879</v>
      </c>
      <c r="AOI90" s="60"/>
      <c r="AOX90" s="63" t="s">
        <v>879</v>
      </c>
      <c r="AOY90" s="60"/>
      <c r="APN90" s="63" t="s">
        <v>879</v>
      </c>
      <c r="APO90" s="60"/>
      <c r="AQD90" s="63" t="s">
        <v>879</v>
      </c>
      <c r="AQE90" s="60"/>
      <c r="AQT90" s="63" t="s">
        <v>879</v>
      </c>
      <c r="AQU90" s="60"/>
      <c r="ARJ90" s="63" t="s">
        <v>879</v>
      </c>
      <c r="ARK90" s="60"/>
      <c r="ARZ90" s="63" t="s">
        <v>879</v>
      </c>
      <c r="ASA90" s="60"/>
      <c r="ASP90" s="63" t="s">
        <v>879</v>
      </c>
      <c r="ASQ90" s="60"/>
      <c r="ATF90" s="63" t="s">
        <v>879</v>
      </c>
      <c r="ATG90" s="60"/>
      <c r="ATV90" s="63" t="s">
        <v>879</v>
      </c>
      <c r="ATW90" s="60"/>
      <c r="AUL90" s="63" t="s">
        <v>879</v>
      </c>
      <c r="AUM90" s="60"/>
      <c r="AVB90" s="63" t="s">
        <v>879</v>
      </c>
      <c r="AVC90" s="60"/>
      <c r="AVR90" s="63" t="s">
        <v>879</v>
      </c>
      <c r="AVS90" s="60"/>
      <c r="AWH90" s="63" t="s">
        <v>879</v>
      </c>
      <c r="AWI90" s="60"/>
      <c r="AWX90" s="63" t="s">
        <v>879</v>
      </c>
      <c r="AWY90" s="60"/>
      <c r="AXN90" s="63" t="s">
        <v>879</v>
      </c>
      <c r="AXO90" s="60"/>
      <c r="AYD90" s="63" t="s">
        <v>879</v>
      </c>
      <c r="AYE90" s="60"/>
      <c r="AYT90" s="63" t="s">
        <v>879</v>
      </c>
      <c r="AYU90" s="60"/>
      <c r="AZJ90" s="63" t="s">
        <v>879</v>
      </c>
      <c r="AZK90" s="60"/>
      <c r="AZZ90" s="63" t="s">
        <v>879</v>
      </c>
      <c r="BAA90" s="60"/>
      <c r="BAP90" s="63" t="s">
        <v>879</v>
      </c>
      <c r="BAQ90" s="60"/>
      <c r="BBF90" s="63" t="s">
        <v>879</v>
      </c>
      <c r="BBG90" s="60"/>
      <c r="BBV90" s="63" t="s">
        <v>879</v>
      </c>
      <c r="BBW90" s="60"/>
      <c r="BCL90" s="63" t="s">
        <v>879</v>
      </c>
      <c r="BCM90" s="60"/>
      <c r="BDB90" s="63" t="s">
        <v>879</v>
      </c>
      <c r="BDC90" s="60"/>
      <c r="BDR90" s="63" t="s">
        <v>879</v>
      </c>
      <c r="BDS90" s="60"/>
      <c r="BEH90" s="63" t="s">
        <v>879</v>
      </c>
      <c r="BEI90" s="60"/>
      <c r="BEX90" s="63" t="s">
        <v>879</v>
      </c>
      <c r="BEY90" s="60"/>
      <c r="BFN90" s="63" t="s">
        <v>879</v>
      </c>
      <c r="BFO90" s="60"/>
      <c r="BGD90" s="63" t="s">
        <v>879</v>
      </c>
      <c r="BGE90" s="60"/>
      <c r="BGT90" s="63" t="s">
        <v>879</v>
      </c>
      <c r="BGU90" s="60"/>
      <c r="BHJ90" s="63" t="s">
        <v>879</v>
      </c>
      <c r="BHK90" s="60"/>
      <c r="BHZ90" s="63" t="s">
        <v>879</v>
      </c>
      <c r="BIA90" s="60"/>
      <c r="BIP90" s="63" t="s">
        <v>879</v>
      </c>
      <c r="BIQ90" s="60"/>
      <c r="BJF90" s="63" t="s">
        <v>879</v>
      </c>
      <c r="BJG90" s="60"/>
      <c r="BJV90" s="63" t="s">
        <v>879</v>
      </c>
      <c r="BJW90" s="60"/>
      <c r="BKL90" s="63" t="s">
        <v>879</v>
      </c>
      <c r="BKM90" s="60"/>
      <c r="BLB90" s="63" t="s">
        <v>879</v>
      </c>
      <c r="BLC90" s="60"/>
      <c r="BLR90" s="63" t="s">
        <v>879</v>
      </c>
      <c r="BLS90" s="60"/>
      <c r="BMH90" s="63" t="s">
        <v>879</v>
      </c>
      <c r="BMI90" s="60"/>
      <c r="BMX90" s="63" t="s">
        <v>879</v>
      </c>
      <c r="BMY90" s="60"/>
      <c r="BNN90" s="63" t="s">
        <v>879</v>
      </c>
      <c r="BNO90" s="60"/>
      <c r="BOD90" s="63" t="s">
        <v>879</v>
      </c>
      <c r="BOE90" s="60"/>
      <c r="BOT90" s="63" t="s">
        <v>879</v>
      </c>
      <c r="BOU90" s="60"/>
      <c r="BPJ90" s="63" t="s">
        <v>879</v>
      </c>
      <c r="BPK90" s="60"/>
      <c r="BPZ90" s="63" t="s">
        <v>879</v>
      </c>
      <c r="BQA90" s="60"/>
      <c r="BQP90" s="63" t="s">
        <v>879</v>
      </c>
      <c r="BQQ90" s="60"/>
      <c r="BRF90" s="63" t="s">
        <v>879</v>
      </c>
      <c r="BRG90" s="60"/>
      <c r="BRV90" s="63" t="s">
        <v>879</v>
      </c>
      <c r="BRW90" s="60"/>
      <c r="BSL90" s="63" t="s">
        <v>879</v>
      </c>
      <c r="BSM90" s="60"/>
      <c r="BTB90" s="63" t="s">
        <v>879</v>
      </c>
      <c r="BTC90" s="60"/>
      <c r="BTR90" s="63" t="s">
        <v>879</v>
      </c>
      <c r="BTS90" s="60"/>
      <c r="BUH90" s="63" t="s">
        <v>879</v>
      </c>
      <c r="BUI90" s="60"/>
      <c r="BUX90" s="63" t="s">
        <v>879</v>
      </c>
      <c r="BUY90" s="60"/>
      <c r="BVN90" s="63" t="s">
        <v>879</v>
      </c>
      <c r="BVO90" s="60"/>
      <c r="BWD90" s="63" t="s">
        <v>879</v>
      </c>
      <c r="BWE90" s="60"/>
      <c r="BWT90" s="63" t="s">
        <v>879</v>
      </c>
      <c r="BWU90" s="60"/>
      <c r="BXJ90" s="63" t="s">
        <v>879</v>
      </c>
      <c r="BXK90" s="60"/>
      <c r="BXZ90" s="63" t="s">
        <v>879</v>
      </c>
      <c r="BYA90" s="60"/>
      <c r="BYP90" s="63" t="s">
        <v>879</v>
      </c>
      <c r="BYQ90" s="60"/>
      <c r="BZF90" s="63" t="s">
        <v>879</v>
      </c>
      <c r="BZG90" s="60"/>
      <c r="BZV90" s="63" t="s">
        <v>879</v>
      </c>
      <c r="BZW90" s="60"/>
      <c r="CAL90" s="63" t="s">
        <v>879</v>
      </c>
      <c r="CAM90" s="60"/>
      <c r="CBB90" s="63" t="s">
        <v>879</v>
      </c>
      <c r="CBC90" s="60"/>
      <c r="CBR90" s="63" t="s">
        <v>879</v>
      </c>
      <c r="CBS90" s="60"/>
      <c r="CCH90" s="63" t="s">
        <v>879</v>
      </c>
      <c r="CCI90" s="60"/>
      <c r="CCX90" s="63" t="s">
        <v>879</v>
      </c>
      <c r="CCY90" s="60"/>
      <c r="CDN90" s="63" t="s">
        <v>879</v>
      </c>
      <c r="CDO90" s="60"/>
      <c r="CED90" s="63" t="s">
        <v>879</v>
      </c>
      <c r="CEE90" s="60"/>
      <c r="CET90" s="63" t="s">
        <v>879</v>
      </c>
      <c r="CEU90" s="60"/>
      <c r="CFJ90" s="63" t="s">
        <v>879</v>
      </c>
      <c r="CFK90" s="60"/>
      <c r="CFZ90" s="63" t="s">
        <v>879</v>
      </c>
      <c r="CGA90" s="60"/>
      <c r="CGP90" s="63" t="s">
        <v>879</v>
      </c>
      <c r="CGQ90" s="60"/>
      <c r="CHF90" s="63" t="s">
        <v>879</v>
      </c>
      <c r="CHG90" s="60"/>
      <c r="CHV90" s="63" t="s">
        <v>879</v>
      </c>
      <c r="CHW90" s="60"/>
      <c r="CIL90" s="63" t="s">
        <v>879</v>
      </c>
      <c r="CIM90" s="60"/>
      <c r="CJB90" s="63" t="s">
        <v>879</v>
      </c>
      <c r="CJC90" s="60"/>
      <c r="CJR90" s="63" t="s">
        <v>879</v>
      </c>
      <c r="CJS90" s="60"/>
      <c r="CKH90" s="63" t="s">
        <v>879</v>
      </c>
      <c r="CKI90" s="60"/>
      <c r="CKX90" s="63" t="s">
        <v>879</v>
      </c>
      <c r="CKY90" s="60"/>
      <c r="CLN90" s="63" t="s">
        <v>879</v>
      </c>
      <c r="CLO90" s="60"/>
      <c r="CMD90" s="63" t="s">
        <v>879</v>
      </c>
      <c r="CME90" s="60"/>
      <c r="CMT90" s="63" t="s">
        <v>879</v>
      </c>
      <c r="CMU90" s="60"/>
      <c r="CNJ90" s="63" t="s">
        <v>879</v>
      </c>
      <c r="CNK90" s="60"/>
      <c r="CNZ90" s="63" t="s">
        <v>879</v>
      </c>
      <c r="COA90" s="60"/>
      <c r="COP90" s="63" t="s">
        <v>879</v>
      </c>
      <c r="COQ90" s="60"/>
      <c r="CPF90" s="63" t="s">
        <v>879</v>
      </c>
      <c r="CPG90" s="60"/>
      <c r="CPV90" s="63" t="s">
        <v>879</v>
      </c>
      <c r="CPW90" s="60"/>
      <c r="CQL90" s="63" t="s">
        <v>879</v>
      </c>
      <c r="CQM90" s="60"/>
      <c r="CRB90" s="63" t="s">
        <v>879</v>
      </c>
      <c r="CRC90" s="60"/>
      <c r="CRR90" s="63" t="s">
        <v>879</v>
      </c>
      <c r="CRS90" s="60"/>
      <c r="CSH90" s="63" t="s">
        <v>879</v>
      </c>
      <c r="CSI90" s="60"/>
      <c r="CSX90" s="63" t="s">
        <v>879</v>
      </c>
      <c r="CSY90" s="60"/>
      <c r="CTN90" s="63" t="s">
        <v>879</v>
      </c>
      <c r="CTO90" s="60"/>
      <c r="CUD90" s="63" t="s">
        <v>879</v>
      </c>
      <c r="CUE90" s="60"/>
      <c r="CUT90" s="63" t="s">
        <v>879</v>
      </c>
      <c r="CUU90" s="60"/>
      <c r="CVJ90" s="63" t="s">
        <v>879</v>
      </c>
      <c r="CVK90" s="60"/>
      <c r="CVZ90" s="63" t="s">
        <v>879</v>
      </c>
      <c r="CWA90" s="60"/>
      <c r="CWP90" s="63" t="s">
        <v>879</v>
      </c>
      <c r="CWQ90" s="60"/>
      <c r="CXF90" s="63" t="s">
        <v>879</v>
      </c>
      <c r="CXG90" s="60"/>
      <c r="CXV90" s="63" t="s">
        <v>879</v>
      </c>
      <c r="CXW90" s="60"/>
      <c r="CYL90" s="63" t="s">
        <v>879</v>
      </c>
      <c r="CYM90" s="60"/>
      <c r="CZB90" s="63" t="s">
        <v>879</v>
      </c>
      <c r="CZC90" s="60"/>
      <c r="CZR90" s="63" t="s">
        <v>879</v>
      </c>
      <c r="CZS90" s="60"/>
      <c r="DAH90" s="63" t="s">
        <v>879</v>
      </c>
      <c r="DAI90" s="60"/>
      <c r="DAX90" s="63" t="s">
        <v>879</v>
      </c>
      <c r="DAY90" s="60"/>
      <c r="DBN90" s="63" t="s">
        <v>879</v>
      </c>
      <c r="DBO90" s="60"/>
      <c r="DCD90" s="63" t="s">
        <v>879</v>
      </c>
      <c r="DCE90" s="60"/>
      <c r="DCT90" s="63" t="s">
        <v>879</v>
      </c>
      <c r="DCU90" s="60"/>
      <c r="DDJ90" s="63" t="s">
        <v>879</v>
      </c>
      <c r="DDK90" s="60"/>
      <c r="DDZ90" s="63" t="s">
        <v>879</v>
      </c>
      <c r="DEA90" s="60"/>
      <c r="DEP90" s="63" t="s">
        <v>879</v>
      </c>
      <c r="DEQ90" s="60"/>
      <c r="DFF90" s="63" t="s">
        <v>879</v>
      </c>
      <c r="DFG90" s="60"/>
      <c r="DFV90" s="63" t="s">
        <v>879</v>
      </c>
      <c r="DFW90" s="60"/>
      <c r="DGL90" s="63" t="s">
        <v>879</v>
      </c>
      <c r="DGM90" s="60"/>
      <c r="DHB90" s="63" t="s">
        <v>879</v>
      </c>
      <c r="DHC90" s="60"/>
      <c r="DHR90" s="63" t="s">
        <v>879</v>
      </c>
      <c r="DHS90" s="60"/>
      <c r="DIH90" s="63" t="s">
        <v>879</v>
      </c>
      <c r="DII90" s="60"/>
      <c r="DIX90" s="63" t="s">
        <v>879</v>
      </c>
      <c r="DIY90" s="60"/>
      <c r="DJN90" s="63" t="s">
        <v>879</v>
      </c>
      <c r="DJO90" s="60"/>
      <c r="DKD90" s="63" t="s">
        <v>879</v>
      </c>
      <c r="DKE90" s="60"/>
      <c r="DKT90" s="63" t="s">
        <v>879</v>
      </c>
      <c r="DKU90" s="60"/>
      <c r="DLJ90" s="63" t="s">
        <v>879</v>
      </c>
      <c r="DLK90" s="60"/>
      <c r="DLZ90" s="63" t="s">
        <v>879</v>
      </c>
      <c r="DMA90" s="60"/>
      <c r="DMP90" s="63" t="s">
        <v>879</v>
      </c>
      <c r="DMQ90" s="60"/>
      <c r="DNF90" s="63" t="s">
        <v>879</v>
      </c>
      <c r="DNG90" s="60"/>
      <c r="DNV90" s="63" t="s">
        <v>879</v>
      </c>
      <c r="DNW90" s="60"/>
      <c r="DOL90" s="63" t="s">
        <v>879</v>
      </c>
      <c r="DOM90" s="60"/>
      <c r="DPB90" s="63" t="s">
        <v>879</v>
      </c>
      <c r="DPC90" s="60"/>
      <c r="DPR90" s="63" t="s">
        <v>879</v>
      </c>
      <c r="DPS90" s="60"/>
      <c r="DQH90" s="63" t="s">
        <v>879</v>
      </c>
      <c r="DQI90" s="60"/>
      <c r="DQX90" s="63" t="s">
        <v>879</v>
      </c>
      <c r="DQY90" s="60"/>
      <c r="DRN90" s="63" t="s">
        <v>879</v>
      </c>
      <c r="DRO90" s="60"/>
      <c r="DSD90" s="63" t="s">
        <v>879</v>
      </c>
      <c r="DSE90" s="60"/>
      <c r="DST90" s="63" t="s">
        <v>879</v>
      </c>
      <c r="DSU90" s="60"/>
      <c r="DTJ90" s="63" t="s">
        <v>879</v>
      </c>
      <c r="DTK90" s="60"/>
      <c r="DTZ90" s="63" t="s">
        <v>879</v>
      </c>
      <c r="DUA90" s="60"/>
      <c r="DUP90" s="63" t="s">
        <v>879</v>
      </c>
      <c r="DUQ90" s="60"/>
      <c r="DVF90" s="63" t="s">
        <v>879</v>
      </c>
      <c r="DVG90" s="60"/>
      <c r="DVV90" s="63" t="s">
        <v>879</v>
      </c>
      <c r="DVW90" s="60"/>
      <c r="DWL90" s="63" t="s">
        <v>879</v>
      </c>
      <c r="DWM90" s="60"/>
      <c r="DXB90" s="63" t="s">
        <v>879</v>
      </c>
      <c r="DXC90" s="60"/>
      <c r="DXR90" s="63" t="s">
        <v>879</v>
      </c>
      <c r="DXS90" s="60"/>
      <c r="DYH90" s="63" t="s">
        <v>879</v>
      </c>
      <c r="DYI90" s="60"/>
      <c r="DYX90" s="63" t="s">
        <v>879</v>
      </c>
      <c r="DYY90" s="60"/>
      <c r="DZN90" s="63" t="s">
        <v>879</v>
      </c>
      <c r="DZO90" s="60"/>
      <c r="EAD90" s="63" t="s">
        <v>879</v>
      </c>
      <c r="EAE90" s="60"/>
      <c r="EAT90" s="63" t="s">
        <v>879</v>
      </c>
      <c r="EAU90" s="60"/>
      <c r="EBJ90" s="63" t="s">
        <v>879</v>
      </c>
      <c r="EBK90" s="60"/>
      <c r="EBZ90" s="63" t="s">
        <v>879</v>
      </c>
      <c r="ECA90" s="60"/>
      <c r="ECP90" s="63" t="s">
        <v>879</v>
      </c>
      <c r="ECQ90" s="60"/>
      <c r="EDF90" s="63" t="s">
        <v>879</v>
      </c>
      <c r="EDG90" s="60"/>
      <c r="EDV90" s="63" t="s">
        <v>879</v>
      </c>
      <c r="EDW90" s="60"/>
      <c r="EEL90" s="63" t="s">
        <v>879</v>
      </c>
      <c r="EEM90" s="60"/>
      <c r="EFB90" s="63" t="s">
        <v>879</v>
      </c>
      <c r="EFC90" s="60"/>
      <c r="EFR90" s="63" t="s">
        <v>879</v>
      </c>
      <c r="EFS90" s="60"/>
      <c r="EGH90" s="63" t="s">
        <v>879</v>
      </c>
      <c r="EGI90" s="60"/>
      <c r="EGX90" s="63" t="s">
        <v>879</v>
      </c>
      <c r="EGY90" s="60"/>
      <c r="EHN90" s="63" t="s">
        <v>879</v>
      </c>
      <c r="EHO90" s="60"/>
      <c r="EID90" s="63" t="s">
        <v>879</v>
      </c>
      <c r="EIE90" s="60"/>
      <c r="EIT90" s="63" t="s">
        <v>879</v>
      </c>
      <c r="EIU90" s="60"/>
      <c r="EJJ90" s="63" t="s">
        <v>879</v>
      </c>
      <c r="EJK90" s="60"/>
      <c r="EJZ90" s="63" t="s">
        <v>879</v>
      </c>
      <c r="EKA90" s="60"/>
      <c r="EKP90" s="63" t="s">
        <v>879</v>
      </c>
      <c r="EKQ90" s="60"/>
      <c r="ELF90" s="63" t="s">
        <v>879</v>
      </c>
      <c r="ELG90" s="60"/>
      <c r="ELV90" s="63" t="s">
        <v>879</v>
      </c>
      <c r="ELW90" s="60"/>
      <c r="EML90" s="63" t="s">
        <v>879</v>
      </c>
      <c r="EMM90" s="60"/>
      <c r="ENB90" s="63" t="s">
        <v>879</v>
      </c>
      <c r="ENC90" s="60"/>
      <c r="ENR90" s="63" t="s">
        <v>879</v>
      </c>
      <c r="ENS90" s="60"/>
      <c r="EOH90" s="63" t="s">
        <v>879</v>
      </c>
      <c r="EOI90" s="60"/>
      <c r="EOX90" s="63" t="s">
        <v>879</v>
      </c>
      <c r="EOY90" s="60"/>
      <c r="EPN90" s="63" t="s">
        <v>879</v>
      </c>
      <c r="EPO90" s="60"/>
      <c r="EQD90" s="63" t="s">
        <v>879</v>
      </c>
      <c r="EQE90" s="60"/>
      <c r="EQT90" s="63" t="s">
        <v>879</v>
      </c>
      <c r="EQU90" s="60"/>
      <c r="ERJ90" s="63" t="s">
        <v>879</v>
      </c>
      <c r="ERK90" s="60"/>
      <c r="ERZ90" s="63" t="s">
        <v>879</v>
      </c>
      <c r="ESA90" s="60"/>
      <c r="ESP90" s="63" t="s">
        <v>879</v>
      </c>
      <c r="ESQ90" s="60"/>
      <c r="ETF90" s="63" t="s">
        <v>879</v>
      </c>
      <c r="ETG90" s="60"/>
      <c r="ETV90" s="63" t="s">
        <v>879</v>
      </c>
      <c r="ETW90" s="60"/>
      <c r="EUL90" s="63" t="s">
        <v>879</v>
      </c>
      <c r="EUM90" s="60"/>
      <c r="EVB90" s="63" t="s">
        <v>879</v>
      </c>
      <c r="EVC90" s="60"/>
      <c r="EVR90" s="63" t="s">
        <v>879</v>
      </c>
      <c r="EVS90" s="60"/>
      <c r="EWH90" s="63" t="s">
        <v>879</v>
      </c>
      <c r="EWI90" s="60"/>
      <c r="EWX90" s="63" t="s">
        <v>879</v>
      </c>
      <c r="EWY90" s="60"/>
      <c r="EXN90" s="63" t="s">
        <v>879</v>
      </c>
      <c r="EXO90" s="60"/>
      <c r="EYD90" s="63" t="s">
        <v>879</v>
      </c>
      <c r="EYE90" s="60"/>
      <c r="EYT90" s="63" t="s">
        <v>879</v>
      </c>
      <c r="EYU90" s="60"/>
      <c r="EZJ90" s="63" t="s">
        <v>879</v>
      </c>
      <c r="EZK90" s="60"/>
      <c r="EZZ90" s="63" t="s">
        <v>879</v>
      </c>
      <c r="FAA90" s="60"/>
      <c r="FAP90" s="63" t="s">
        <v>879</v>
      </c>
      <c r="FAQ90" s="60"/>
      <c r="FBF90" s="63" t="s">
        <v>879</v>
      </c>
      <c r="FBG90" s="60"/>
      <c r="FBV90" s="63" t="s">
        <v>879</v>
      </c>
      <c r="FBW90" s="60"/>
      <c r="FCL90" s="63" t="s">
        <v>879</v>
      </c>
      <c r="FCM90" s="60"/>
      <c r="FDB90" s="63" t="s">
        <v>879</v>
      </c>
      <c r="FDC90" s="60"/>
      <c r="FDR90" s="63" t="s">
        <v>879</v>
      </c>
      <c r="FDS90" s="60"/>
      <c r="FEH90" s="63" t="s">
        <v>879</v>
      </c>
      <c r="FEI90" s="60"/>
      <c r="FEX90" s="63" t="s">
        <v>879</v>
      </c>
      <c r="FEY90" s="60"/>
      <c r="FFN90" s="63" t="s">
        <v>879</v>
      </c>
      <c r="FFO90" s="60"/>
      <c r="FGD90" s="63" t="s">
        <v>879</v>
      </c>
      <c r="FGE90" s="60"/>
      <c r="FGT90" s="63" t="s">
        <v>879</v>
      </c>
      <c r="FGU90" s="60"/>
      <c r="FHJ90" s="63" t="s">
        <v>879</v>
      </c>
      <c r="FHK90" s="60"/>
      <c r="FHZ90" s="63" t="s">
        <v>879</v>
      </c>
      <c r="FIA90" s="60"/>
      <c r="FIP90" s="63" t="s">
        <v>879</v>
      </c>
      <c r="FIQ90" s="60"/>
      <c r="FJF90" s="63" t="s">
        <v>879</v>
      </c>
      <c r="FJG90" s="60"/>
      <c r="FJV90" s="63" t="s">
        <v>879</v>
      </c>
      <c r="FJW90" s="60"/>
      <c r="FKL90" s="63" t="s">
        <v>879</v>
      </c>
      <c r="FKM90" s="60"/>
      <c r="FLB90" s="63" t="s">
        <v>879</v>
      </c>
      <c r="FLC90" s="60"/>
      <c r="FLR90" s="63" t="s">
        <v>879</v>
      </c>
      <c r="FLS90" s="60"/>
      <c r="FMH90" s="63" t="s">
        <v>879</v>
      </c>
      <c r="FMI90" s="60"/>
      <c r="FMX90" s="63" t="s">
        <v>879</v>
      </c>
      <c r="FMY90" s="60"/>
      <c r="FNN90" s="63" t="s">
        <v>879</v>
      </c>
      <c r="FNO90" s="60"/>
      <c r="FOD90" s="63" t="s">
        <v>879</v>
      </c>
      <c r="FOE90" s="60"/>
      <c r="FOT90" s="63" t="s">
        <v>879</v>
      </c>
      <c r="FOU90" s="60"/>
      <c r="FPJ90" s="63" t="s">
        <v>879</v>
      </c>
      <c r="FPK90" s="60"/>
      <c r="FPZ90" s="63" t="s">
        <v>879</v>
      </c>
      <c r="FQA90" s="60"/>
      <c r="FQP90" s="63" t="s">
        <v>879</v>
      </c>
      <c r="FQQ90" s="60"/>
      <c r="FRF90" s="63" t="s">
        <v>879</v>
      </c>
      <c r="FRG90" s="60"/>
      <c r="FRV90" s="63" t="s">
        <v>879</v>
      </c>
      <c r="FRW90" s="60"/>
      <c r="FSL90" s="63" t="s">
        <v>879</v>
      </c>
      <c r="FSM90" s="60"/>
      <c r="FTB90" s="63" t="s">
        <v>879</v>
      </c>
      <c r="FTC90" s="60"/>
      <c r="FTR90" s="63" t="s">
        <v>879</v>
      </c>
      <c r="FTS90" s="60"/>
      <c r="FUH90" s="63" t="s">
        <v>879</v>
      </c>
      <c r="FUI90" s="60"/>
      <c r="FUX90" s="63" t="s">
        <v>879</v>
      </c>
      <c r="FUY90" s="60"/>
      <c r="FVN90" s="63" t="s">
        <v>879</v>
      </c>
      <c r="FVO90" s="60"/>
      <c r="FWD90" s="63" t="s">
        <v>879</v>
      </c>
      <c r="FWE90" s="60"/>
      <c r="FWT90" s="63" t="s">
        <v>879</v>
      </c>
      <c r="FWU90" s="60"/>
      <c r="FXJ90" s="63" t="s">
        <v>879</v>
      </c>
      <c r="FXK90" s="60"/>
      <c r="FXZ90" s="63" t="s">
        <v>879</v>
      </c>
      <c r="FYA90" s="60"/>
      <c r="FYP90" s="63" t="s">
        <v>879</v>
      </c>
      <c r="FYQ90" s="60"/>
      <c r="FZF90" s="63" t="s">
        <v>879</v>
      </c>
      <c r="FZG90" s="60"/>
      <c r="FZV90" s="63" t="s">
        <v>879</v>
      </c>
      <c r="FZW90" s="60"/>
      <c r="GAL90" s="63" t="s">
        <v>879</v>
      </c>
      <c r="GAM90" s="60"/>
      <c r="GBB90" s="63" t="s">
        <v>879</v>
      </c>
      <c r="GBC90" s="60"/>
      <c r="GBR90" s="63" t="s">
        <v>879</v>
      </c>
      <c r="GBS90" s="60"/>
      <c r="GCH90" s="63" t="s">
        <v>879</v>
      </c>
      <c r="GCI90" s="60"/>
      <c r="GCX90" s="63" t="s">
        <v>879</v>
      </c>
      <c r="GCY90" s="60"/>
      <c r="GDN90" s="63" t="s">
        <v>879</v>
      </c>
      <c r="GDO90" s="60"/>
      <c r="GED90" s="63" t="s">
        <v>879</v>
      </c>
      <c r="GEE90" s="60"/>
      <c r="GET90" s="63" t="s">
        <v>879</v>
      </c>
      <c r="GEU90" s="60"/>
      <c r="GFJ90" s="63" t="s">
        <v>879</v>
      </c>
      <c r="GFK90" s="60"/>
      <c r="GFZ90" s="63" t="s">
        <v>879</v>
      </c>
      <c r="GGA90" s="60"/>
      <c r="GGP90" s="63" t="s">
        <v>879</v>
      </c>
      <c r="GGQ90" s="60"/>
      <c r="GHF90" s="63" t="s">
        <v>879</v>
      </c>
      <c r="GHG90" s="60"/>
      <c r="GHV90" s="63" t="s">
        <v>879</v>
      </c>
      <c r="GHW90" s="60"/>
      <c r="GIL90" s="63" t="s">
        <v>879</v>
      </c>
      <c r="GIM90" s="60"/>
      <c r="GJB90" s="63" t="s">
        <v>879</v>
      </c>
      <c r="GJC90" s="60"/>
      <c r="GJR90" s="63" t="s">
        <v>879</v>
      </c>
      <c r="GJS90" s="60"/>
      <c r="GKH90" s="63" t="s">
        <v>879</v>
      </c>
      <c r="GKI90" s="60"/>
      <c r="GKX90" s="63" t="s">
        <v>879</v>
      </c>
      <c r="GKY90" s="60"/>
      <c r="GLN90" s="63" t="s">
        <v>879</v>
      </c>
      <c r="GLO90" s="60"/>
      <c r="GMD90" s="63" t="s">
        <v>879</v>
      </c>
      <c r="GME90" s="60"/>
      <c r="GMT90" s="63" t="s">
        <v>879</v>
      </c>
      <c r="GMU90" s="60"/>
      <c r="GNJ90" s="63" t="s">
        <v>879</v>
      </c>
      <c r="GNK90" s="60"/>
      <c r="GNZ90" s="63" t="s">
        <v>879</v>
      </c>
      <c r="GOA90" s="60"/>
      <c r="GOP90" s="63" t="s">
        <v>879</v>
      </c>
      <c r="GOQ90" s="60"/>
      <c r="GPF90" s="63" t="s">
        <v>879</v>
      </c>
      <c r="GPG90" s="60"/>
      <c r="GPV90" s="63" t="s">
        <v>879</v>
      </c>
      <c r="GPW90" s="60"/>
      <c r="GQL90" s="63" t="s">
        <v>879</v>
      </c>
      <c r="GQM90" s="60"/>
      <c r="GRB90" s="63" t="s">
        <v>879</v>
      </c>
      <c r="GRC90" s="60"/>
      <c r="GRR90" s="63" t="s">
        <v>879</v>
      </c>
      <c r="GRS90" s="60"/>
      <c r="GSH90" s="63" t="s">
        <v>879</v>
      </c>
      <c r="GSI90" s="60"/>
      <c r="GSX90" s="63" t="s">
        <v>879</v>
      </c>
      <c r="GSY90" s="60"/>
      <c r="GTN90" s="63" t="s">
        <v>879</v>
      </c>
      <c r="GTO90" s="60"/>
      <c r="GUD90" s="63" t="s">
        <v>879</v>
      </c>
      <c r="GUE90" s="60"/>
      <c r="GUT90" s="63" t="s">
        <v>879</v>
      </c>
      <c r="GUU90" s="60"/>
      <c r="GVJ90" s="63" t="s">
        <v>879</v>
      </c>
      <c r="GVK90" s="60"/>
      <c r="GVZ90" s="63" t="s">
        <v>879</v>
      </c>
      <c r="GWA90" s="60"/>
      <c r="GWP90" s="63" t="s">
        <v>879</v>
      </c>
      <c r="GWQ90" s="60"/>
      <c r="GXF90" s="63" t="s">
        <v>879</v>
      </c>
      <c r="GXG90" s="60"/>
      <c r="GXV90" s="63" t="s">
        <v>879</v>
      </c>
      <c r="GXW90" s="60"/>
      <c r="GYL90" s="63" t="s">
        <v>879</v>
      </c>
      <c r="GYM90" s="60"/>
      <c r="GZB90" s="63" t="s">
        <v>879</v>
      </c>
      <c r="GZC90" s="60"/>
      <c r="GZR90" s="63" t="s">
        <v>879</v>
      </c>
      <c r="GZS90" s="60"/>
      <c r="HAH90" s="63" t="s">
        <v>879</v>
      </c>
      <c r="HAI90" s="60"/>
      <c r="HAX90" s="63" t="s">
        <v>879</v>
      </c>
      <c r="HAY90" s="60"/>
      <c r="HBN90" s="63" t="s">
        <v>879</v>
      </c>
      <c r="HBO90" s="60"/>
      <c r="HCD90" s="63" t="s">
        <v>879</v>
      </c>
      <c r="HCE90" s="60"/>
      <c r="HCT90" s="63" t="s">
        <v>879</v>
      </c>
      <c r="HCU90" s="60"/>
      <c r="HDJ90" s="63" t="s">
        <v>879</v>
      </c>
      <c r="HDK90" s="60"/>
      <c r="HDZ90" s="63" t="s">
        <v>879</v>
      </c>
      <c r="HEA90" s="60"/>
      <c r="HEP90" s="63" t="s">
        <v>879</v>
      </c>
      <c r="HEQ90" s="60"/>
      <c r="HFF90" s="63" t="s">
        <v>879</v>
      </c>
      <c r="HFG90" s="60"/>
      <c r="HFV90" s="63" t="s">
        <v>879</v>
      </c>
      <c r="HFW90" s="60"/>
      <c r="HGL90" s="63" t="s">
        <v>879</v>
      </c>
      <c r="HGM90" s="60"/>
      <c r="HHB90" s="63" t="s">
        <v>879</v>
      </c>
      <c r="HHC90" s="60"/>
      <c r="HHR90" s="63" t="s">
        <v>879</v>
      </c>
      <c r="HHS90" s="60"/>
      <c r="HIH90" s="63" t="s">
        <v>879</v>
      </c>
      <c r="HII90" s="60"/>
      <c r="HIX90" s="63" t="s">
        <v>879</v>
      </c>
      <c r="HIY90" s="60"/>
      <c r="HJN90" s="63" t="s">
        <v>879</v>
      </c>
      <c r="HJO90" s="60"/>
      <c r="HKD90" s="63" t="s">
        <v>879</v>
      </c>
      <c r="HKE90" s="60"/>
      <c r="HKT90" s="63" t="s">
        <v>879</v>
      </c>
      <c r="HKU90" s="60"/>
      <c r="HLJ90" s="63" t="s">
        <v>879</v>
      </c>
      <c r="HLK90" s="60"/>
      <c r="HLZ90" s="63" t="s">
        <v>879</v>
      </c>
      <c r="HMA90" s="60"/>
      <c r="HMP90" s="63" t="s">
        <v>879</v>
      </c>
      <c r="HMQ90" s="60"/>
      <c r="HNF90" s="63" t="s">
        <v>879</v>
      </c>
      <c r="HNG90" s="60"/>
      <c r="HNV90" s="63" t="s">
        <v>879</v>
      </c>
      <c r="HNW90" s="60"/>
      <c r="HOL90" s="63" t="s">
        <v>879</v>
      </c>
      <c r="HOM90" s="60"/>
      <c r="HPB90" s="63" t="s">
        <v>879</v>
      </c>
      <c r="HPC90" s="60"/>
      <c r="HPR90" s="63" t="s">
        <v>879</v>
      </c>
      <c r="HPS90" s="60"/>
      <c r="HQH90" s="63" t="s">
        <v>879</v>
      </c>
      <c r="HQI90" s="60"/>
      <c r="HQX90" s="63" t="s">
        <v>879</v>
      </c>
      <c r="HQY90" s="60"/>
      <c r="HRN90" s="63" t="s">
        <v>879</v>
      </c>
      <c r="HRO90" s="60"/>
      <c r="HSD90" s="63" t="s">
        <v>879</v>
      </c>
      <c r="HSE90" s="60"/>
      <c r="HST90" s="63" t="s">
        <v>879</v>
      </c>
      <c r="HSU90" s="60"/>
      <c r="HTJ90" s="63" t="s">
        <v>879</v>
      </c>
      <c r="HTK90" s="60"/>
      <c r="HTZ90" s="63" t="s">
        <v>879</v>
      </c>
      <c r="HUA90" s="60"/>
      <c r="HUP90" s="63" t="s">
        <v>879</v>
      </c>
      <c r="HUQ90" s="60"/>
      <c r="HVF90" s="63" t="s">
        <v>879</v>
      </c>
      <c r="HVG90" s="60"/>
      <c r="HVV90" s="63" t="s">
        <v>879</v>
      </c>
      <c r="HVW90" s="60"/>
      <c r="HWL90" s="63" t="s">
        <v>879</v>
      </c>
      <c r="HWM90" s="60"/>
      <c r="HXB90" s="63" t="s">
        <v>879</v>
      </c>
      <c r="HXC90" s="60"/>
      <c r="HXR90" s="63" t="s">
        <v>879</v>
      </c>
      <c r="HXS90" s="60"/>
      <c r="HYH90" s="63" t="s">
        <v>879</v>
      </c>
      <c r="HYI90" s="60"/>
      <c r="HYX90" s="63" t="s">
        <v>879</v>
      </c>
      <c r="HYY90" s="60"/>
      <c r="HZN90" s="63" t="s">
        <v>879</v>
      </c>
      <c r="HZO90" s="60"/>
      <c r="IAD90" s="63" t="s">
        <v>879</v>
      </c>
      <c r="IAE90" s="60"/>
      <c r="IAT90" s="63" t="s">
        <v>879</v>
      </c>
      <c r="IAU90" s="60"/>
      <c r="IBJ90" s="63" t="s">
        <v>879</v>
      </c>
      <c r="IBK90" s="60"/>
      <c r="IBZ90" s="63" t="s">
        <v>879</v>
      </c>
      <c r="ICA90" s="60"/>
      <c r="ICP90" s="63" t="s">
        <v>879</v>
      </c>
      <c r="ICQ90" s="60"/>
      <c r="IDF90" s="63" t="s">
        <v>879</v>
      </c>
      <c r="IDG90" s="60"/>
      <c r="IDV90" s="63" t="s">
        <v>879</v>
      </c>
      <c r="IDW90" s="60"/>
      <c r="IEL90" s="63" t="s">
        <v>879</v>
      </c>
      <c r="IEM90" s="60"/>
      <c r="IFB90" s="63" t="s">
        <v>879</v>
      </c>
      <c r="IFC90" s="60"/>
      <c r="IFR90" s="63" t="s">
        <v>879</v>
      </c>
      <c r="IFS90" s="60"/>
      <c r="IGH90" s="63" t="s">
        <v>879</v>
      </c>
      <c r="IGI90" s="60"/>
      <c r="IGX90" s="63" t="s">
        <v>879</v>
      </c>
      <c r="IGY90" s="60"/>
      <c r="IHN90" s="63" t="s">
        <v>879</v>
      </c>
      <c r="IHO90" s="60"/>
      <c r="IID90" s="63" t="s">
        <v>879</v>
      </c>
      <c r="IIE90" s="60"/>
      <c r="IIT90" s="63" t="s">
        <v>879</v>
      </c>
      <c r="IIU90" s="60"/>
      <c r="IJJ90" s="63" t="s">
        <v>879</v>
      </c>
      <c r="IJK90" s="60"/>
      <c r="IJZ90" s="63" t="s">
        <v>879</v>
      </c>
      <c r="IKA90" s="60"/>
      <c r="IKP90" s="63" t="s">
        <v>879</v>
      </c>
      <c r="IKQ90" s="60"/>
      <c r="ILF90" s="63" t="s">
        <v>879</v>
      </c>
      <c r="ILG90" s="60"/>
      <c r="ILV90" s="63" t="s">
        <v>879</v>
      </c>
      <c r="ILW90" s="60"/>
      <c r="IML90" s="63" t="s">
        <v>879</v>
      </c>
      <c r="IMM90" s="60"/>
      <c r="INB90" s="63" t="s">
        <v>879</v>
      </c>
      <c r="INC90" s="60"/>
      <c r="INR90" s="63" t="s">
        <v>879</v>
      </c>
      <c r="INS90" s="60"/>
      <c r="IOH90" s="63" t="s">
        <v>879</v>
      </c>
      <c r="IOI90" s="60"/>
      <c r="IOX90" s="63" t="s">
        <v>879</v>
      </c>
      <c r="IOY90" s="60"/>
      <c r="IPN90" s="63" t="s">
        <v>879</v>
      </c>
      <c r="IPO90" s="60"/>
      <c r="IQD90" s="63" t="s">
        <v>879</v>
      </c>
      <c r="IQE90" s="60"/>
      <c r="IQT90" s="63" t="s">
        <v>879</v>
      </c>
      <c r="IQU90" s="60"/>
      <c r="IRJ90" s="63" t="s">
        <v>879</v>
      </c>
      <c r="IRK90" s="60"/>
      <c r="IRZ90" s="63" t="s">
        <v>879</v>
      </c>
      <c r="ISA90" s="60"/>
      <c r="ISP90" s="63" t="s">
        <v>879</v>
      </c>
      <c r="ISQ90" s="60"/>
      <c r="ITF90" s="63" t="s">
        <v>879</v>
      </c>
      <c r="ITG90" s="60"/>
      <c r="ITV90" s="63" t="s">
        <v>879</v>
      </c>
      <c r="ITW90" s="60"/>
      <c r="IUL90" s="63" t="s">
        <v>879</v>
      </c>
      <c r="IUM90" s="60"/>
      <c r="IVB90" s="63" t="s">
        <v>879</v>
      </c>
      <c r="IVC90" s="60"/>
      <c r="IVR90" s="63" t="s">
        <v>879</v>
      </c>
      <c r="IVS90" s="60"/>
      <c r="IWH90" s="63" t="s">
        <v>879</v>
      </c>
      <c r="IWI90" s="60"/>
      <c r="IWX90" s="63" t="s">
        <v>879</v>
      </c>
      <c r="IWY90" s="60"/>
      <c r="IXN90" s="63" t="s">
        <v>879</v>
      </c>
      <c r="IXO90" s="60"/>
      <c r="IYD90" s="63" t="s">
        <v>879</v>
      </c>
      <c r="IYE90" s="60"/>
      <c r="IYT90" s="63" t="s">
        <v>879</v>
      </c>
      <c r="IYU90" s="60"/>
      <c r="IZJ90" s="63" t="s">
        <v>879</v>
      </c>
      <c r="IZK90" s="60"/>
      <c r="IZZ90" s="63" t="s">
        <v>879</v>
      </c>
      <c r="JAA90" s="60"/>
      <c r="JAP90" s="63" t="s">
        <v>879</v>
      </c>
      <c r="JAQ90" s="60"/>
      <c r="JBF90" s="63" t="s">
        <v>879</v>
      </c>
      <c r="JBG90" s="60"/>
      <c r="JBV90" s="63" t="s">
        <v>879</v>
      </c>
      <c r="JBW90" s="60"/>
      <c r="JCL90" s="63" t="s">
        <v>879</v>
      </c>
      <c r="JCM90" s="60"/>
      <c r="JDB90" s="63" t="s">
        <v>879</v>
      </c>
      <c r="JDC90" s="60"/>
      <c r="JDR90" s="63" t="s">
        <v>879</v>
      </c>
      <c r="JDS90" s="60"/>
      <c r="JEH90" s="63" t="s">
        <v>879</v>
      </c>
      <c r="JEI90" s="60"/>
      <c r="JEX90" s="63" t="s">
        <v>879</v>
      </c>
      <c r="JEY90" s="60"/>
      <c r="JFN90" s="63" t="s">
        <v>879</v>
      </c>
      <c r="JFO90" s="60"/>
      <c r="JGD90" s="63" t="s">
        <v>879</v>
      </c>
      <c r="JGE90" s="60"/>
      <c r="JGT90" s="63" t="s">
        <v>879</v>
      </c>
      <c r="JGU90" s="60"/>
      <c r="JHJ90" s="63" t="s">
        <v>879</v>
      </c>
      <c r="JHK90" s="60"/>
      <c r="JHZ90" s="63" t="s">
        <v>879</v>
      </c>
      <c r="JIA90" s="60"/>
      <c r="JIP90" s="63" t="s">
        <v>879</v>
      </c>
      <c r="JIQ90" s="60"/>
      <c r="JJF90" s="63" t="s">
        <v>879</v>
      </c>
      <c r="JJG90" s="60"/>
      <c r="JJV90" s="63" t="s">
        <v>879</v>
      </c>
      <c r="JJW90" s="60"/>
      <c r="JKL90" s="63" t="s">
        <v>879</v>
      </c>
      <c r="JKM90" s="60"/>
      <c r="JLB90" s="63" t="s">
        <v>879</v>
      </c>
      <c r="JLC90" s="60"/>
      <c r="JLR90" s="63" t="s">
        <v>879</v>
      </c>
      <c r="JLS90" s="60"/>
      <c r="JMH90" s="63" t="s">
        <v>879</v>
      </c>
      <c r="JMI90" s="60"/>
      <c r="JMX90" s="63" t="s">
        <v>879</v>
      </c>
      <c r="JMY90" s="60"/>
      <c r="JNN90" s="63" t="s">
        <v>879</v>
      </c>
      <c r="JNO90" s="60"/>
      <c r="JOD90" s="63" t="s">
        <v>879</v>
      </c>
      <c r="JOE90" s="60"/>
      <c r="JOT90" s="63" t="s">
        <v>879</v>
      </c>
      <c r="JOU90" s="60"/>
      <c r="JPJ90" s="63" t="s">
        <v>879</v>
      </c>
      <c r="JPK90" s="60"/>
      <c r="JPZ90" s="63" t="s">
        <v>879</v>
      </c>
      <c r="JQA90" s="60"/>
      <c r="JQP90" s="63" t="s">
        <v>879</v>
      </c>
      <c r="JQQ90" s="60"/>
      <c r="JRF90" s="63" t="s">
        <v>879</v>
      </c>
      <c r="JRG90" s="60"/>
      <c r="JRV90" s="63" t="s">
        <v>879</v>
      </c>
      <c r="JRW90" s="60"/>
      <c r="JSL90" s="63" t="s">
        <v>879</v>
      </c>
      <c r="JSM90" s="60"/>
      <c r="JTB90" s="63" t="s">
        <v>879</v>
      </c>
      <c r="JTC90" s="60"/>
      <c r="JTR90" s="63" t="s">
        <v>879</v>
      </c>
      <c r="JTS90" s="60"/>
      <c r="JUH90" s="63" t="s">
        <v>879</v>
      </c>
      <c r="JUI90" s="60"/>
      <c r="JUX90" s="63" t="s">
        <v>879</v>
      </c>
      <c r="JUY90" s="60"/>
      <c r="JVN90" s="63" t="s">
        <v>879</v>
      </c>
      <c r="JVO90" s="60"/>
      <c r="JWD90" s="63" t="s">
        <v>879</v>
      </c>
      <c r="JWE90" s="60"/>
      <c r="JWT90" s="63" t="s">
        <v>879</v>
      </c>
      <c r="JWU90" s="60"/>
      <c r="JXJ90" s="63" t="s">
        <v>879</v>
      </c>
      <c r="JXK90" s="60"/>
      <c r="JXZ90" s="63" t="s">
        <v>879</v>
      </c>
      <c r="JYA90" s="60"/>
      <c r="JYP90" s="63" t="s">
        <v>879</v>
      </c>
      <c r="JYQ90" s="60"/>
      <c r="JZF90" s="63" t="s">
        <v>879</v>
      </c>
      <c r="JZG90" s="60"/>
      <c r="JZV90" s="63" t="s">
        <v>879</v>
      </c>
      <c r="JZW90" s="60"/>
      <c r="KAL90" s="63" t="s">
        <v>879</v>
      </c>
      <c r="KAM90" s="60"/>
      <c r="KBB90" s="63" t="s">
        <v>879</v>
      </c>
      <c r="KBC90" s="60"/>
      <c r="KBR90" s="63" t="s">
        <v>879</v>
      </c>
      <c r="KBS90" s="60"/>
      <c r="KCH90" s="63" t="s">
        <v>879</v>
      </c>
      <c r="KCI90" s="60"/>
      <c r="KCX90" s="63" t="s">
        <v>879</v>
      </c>
      <c r="KCY90" s="60"/>
      <c r="KDN90" s="63" t="s">
        <v>879</v>
      </c>
      <c r="KDO90" s="60"/>
      <c r="KED90" s="63" t="s">
        <v>879</v>
      </c>
      <c r="KEE90" s="60"/>
      <c r="KET90" s="63" t="s">
        <v>879</v>
      </c>
      <c r="KEU90" s="60"/>
      <c r="KFJ90" s="63" t="s">
        <v>879</v>
      </c>
      <c r="KFK90" s="60"/>
      <c r="KFZ90" s="63" t="s">
        <v>879</v>
      </c>
      <c r="KGA90" s="60"/>
      <c r="KGP90" s="63" t="s">
        <v>879</v>
      </c>
      <c r="KGQ90" s="60"/>
      <c r="KHF90" s="63" t="s">
        <v>879</v>
      </c>
      <c r="KHG90" s="60"/>
      <c r="KHV90" s="63" t="s">
        <v>879</v>
      </c>
      <c r="KHW90" s="60"/>
      <c r="KIL90" s="63" t="s">
        <v>879</v>
      </c>
      <c r="KIM90" s="60"/>
      <c r="KJB90" s="63" t="s">
        <v>879</v>
      </c>
      <c r="KJC90" s="60"/>
      <c r="KJR90" s="63" t="s">
        <v>879</v>
      </c>
      <c r="KJS90" s="60"/>
      <c r="KKH90" s="63" t="s">
        <v>879</v>
      </c>
      <c r="KKI90" s="60"/>
      <c r="KKX90" s="63" t="s">
        <v>879</v>
      </c>
      <c r="KKY90" s="60"/>
      <c r="KLN90" s="63" t="s">
        <v>879</v>
      </c>
      <c r="KLO90" s="60"/>
      <c r="KMD90" s="63" t="s">
        <v>879</v>
      </c>
      <c r="KME90" s="60"/>
      <c r="KMT90" s="63" t="s">
        <v>879</v>
      </c>
      <c r="KMU90" s="60"/>
      <c r="KNJ90" s="63" t="s">
        <v>879</v>
      </c>
      <c r="KNK90" s="60"/>
      <c r="KNZ90" s="63" t="s">
        <v>879</v>
      </c>
      <c r="KOA90" s="60"/>
      <c r="KOP90" s="63" t="s">
        <v>879</v>
      </c>
      <c r="KOQ90" s="60"/>
      <c r="KPF90" s="63" t="s">
        <v>879</v>
      </c>
      <c r="KPG90" s="60"/>
      <c r="KPV90" s="63" t="s">
        <v>879</v>
      </c>
      <c r="KPW90" s="60"/>
      <c r="KQL90" s="63" t="s">
        <v>879</v>
      </c>
      <c r="KQM90" s="60"/>
      <c r="KRB90" s="63" t="s">
        <v>879</v>
      </c>
      <c r="KRC90" s="60"/>
      <c r="KRR90" s="63" t="s">
        <v>879</v>
      </c>
      <c r="KRS90" s="60"/>
      <c r="KSH90" s="63" t="s">
        <v>879</v>
      </c>
      <c r="KSI90" s="60"/>
      <c r="KSX90" s="63" t="s">
        <v>879</v>
      </c>
      <c r="KSY90" s="60"/>
      <c r="KTN90" s="63" t="s">
        <v>879</v>
      </c>
      <c r="KTO90" s="60"/>
      <c r="KUD90" s="63" t="s">
        <v>879</v>
      </c>
      <c r="KUE90" s="60"/>
      <c r="KUT90" s="63" t="s">
        <v>879</v>
      </c>
      <c r="KUU90" s="60"/>
      <c r="KVJ90" s="63" t="s">
        <v>879</v>
      </c>
      <c r="KVK90" s="60"/>
      <c r="KVZ90" s="63" t="s">
        <v>879</v>
      </c>
      <c r="KWA90" s="60"/>
      <c r="KWP90" s="63" t="s">
        <v>879</v>
      </c>
      <c r="KWQ90" s="60"/>
      <c r="KXF90" s="63" t="s">
        <v>879</v>
      </c>
      <c r="KXG90" s="60"/>
      <c r="KXV90" s="63" t="s">
        <v>879</v>
      </c>
      <c r="KXW90" s="60"/>
      <c r="KYL90" s="63" t="s">
        <v>879</v>
      </c>
      <c r="KYM90" s="60"/>
      <c r="KZB90" s="63" t="s">
        <v>879</v>
      </c>
      <c r="KZC90" s="60"/>
      <c r="KZR90" s="63" t="s">
        <v>879</v>
      </c>
      <c r="KZS90" s="60"/>
      <c r="LAH90" s="63" t="s">
        <v>879</v>
      </c>
      <c r="LAI90" s="60"/>
      <c r="LAX90" s="63" t="s">
        <v>879</v>
      </c>
      <c r="LAY90" s="60"/>
      <c r="LBN90" s="63" t="s">
        <v>879</v>
      </c>
      <c r="LBO90" s="60"/>
      <c r="LCD90" s="63" t="s">
        <v>879</v>
      </c>
      <c r="LCE90" s="60"/>
      <c r="LCT90" s="63" t="s">
        <v>879</v>
      </c>
      <c r="LCU90" s="60"/>
      <c r="LDJ90" s="63" t="s">
        <v>879</v>
      </c>
      <c r="LDK90" s="60"/>
      <c r="LDZ90" s="63" t="s">
        <v>879</v>
      </c>
      <c r="LEA90" s="60"/>
      <c r="LEP90" s="63" t="s">
        <v>879</v>
      </c>
      <c r="LEQ90" s="60"/>
      <c r="LFF90" s="63" t="s">
        <v>879</v>
      </c>
      <c r="LFG90" s="60"/>
      <c r="LFV90" s="63" t="s">
        <v>879</v>
      </c>
      <c r="LFW90" s="60"/>
      <c r="LGL90" s="63" t="s">
        <v>879</v>
      </c>
      <c r="LGM90" s="60"/>
      <c r="LHB90" s="63" t="s">
        <v>879</v>
      </c>
      <c r="LHC90" s="60"/>
      <c r="LHR90" s="63" t="s">
        <v>879</v>
      </c>
      <c r="LHS90" s="60"/>
      <c r="LIH90" s="63" t="s">
        <v>879</v>
      </c>
      <c r="LII90" s="60"/>
      <c r="LIX90" s="63" t="s">
        <v>879</v>
      </c>
      <c r="LIY90" s="60"/>
      <c r="LJN90" s="63" t="s">
        <v>879</v>
      </c>
      <c r="LJO90" s="60"/>
      <c r="LKD90" s="63" t="s">
        <v>879</v>
      </c>
      <c r="LKE90" s="60"/>
      <c r="LKT90" s="63" t="s">
        <v>879</v>
      </c>
      <c r="LKU90" s="60"/>
      <c r="LLJ90" s="63" t="s">
        <v>879</v>
      </c>
      <c r="LLK90" s="60"/>
      <c r="LLZ90" s="63" t="s">
        <v>879</v>
      </c>
      <c r="LMA90" s="60"/>
      <c r="LMP90" s="63" t="s">
        <v>879</v>
      </c>
      <c r="LMQ90" s="60"/>
      <c r="LNF90" s="63" t="s">
        <v>879</v>
      </c>
      <c r="LNG90" s="60"/>
      <c r="LNV90" s="63" t="s">
        <v>879</v>
      </c>
      <c r="LNW90" s="60"/>
      <c r="LOL90" s="63" t="s">
        <v>879</v>
      </c>
      <c r="LOM90" s="60"/>
      <c r="LPB90" s="63" t="s">
        <v>879</v>
      </c>
      <c r="LPC90" s="60"/>
      <c r="LPR90" s="63" t="s">
        <v>879</v>
      </c>
      <c r="LPS90" s="60"/>
      <c r="LQH90" s="63" t="s">
        <v>879</v>
      </c>
      <c r="LQI90" s="60"/>
      <c r="LQX90" s="63" t="s">
        <v>879</v>
      </c>
      <c r="LQY90" s="60"/>
      <c r="LRN90" s="63" t="s">
        <v>879</v>
      </c>
      <c r="LRO90" s="60"/>
      <c r="LSD90" s="63" t="s">
        <v>879</v>
      </c>
      <c r="LSE90" s="60"/>
      <c r="LST90" s="63" t="s">
        <v>879</v>
      </c>
      <c r="LSU90" s="60"/>
      <c r="LTJ90" s="63" t="s">
        <v>879</v>
      </c>
      <c r="LTK90" s="60"/>
      <c r="LTZ90" s="63" t="s">
        <v>879</v>
      </c>
      <c r="LUA90" s="60"/>
      <c r="LUP90" s="63" t="s">
        <v>879</v>
      </c>
      <c r="LUQ90" s="60"/>
      <c r="LVF90" s="63" t="s">
        <v>879</v>
      </c>
      <c r="LVG90" s="60"/>
      <c r="LVV90" s="63" t="s">
        <v>879</v>
      </c>
      <c r="LVW90" s="60"/>
      <c r="LWL90" s="63" t="s">
        <v>879</v>
      </c>
      <c r="LWM90" s="60"/>
      <c r="LXB90" s="63" t="s">
        <v>879</v>
      </c>
      <c r="LXC90" s="60"/>
      <c r="LXR90" s="63" t="s">
        <v>879</v>
      </c>
      <c r="LXS90" s="60"/>
      <c r="LYH90" s="63" t="s">
        <v>879</v>
      </c>
      <c r="LYI90" s="60"/>
      <c r="LYX90" s="63" t="s">
        <v>879</v>
      </c>
      <c r="LYY90" s="60"/>
      <c r="LZN90" s="63" t="s">
        <v>879</v>
      </c>
      <c r="LZO90" s="60"/>
      <c r="MAD90" s="63" t="s">
        <v>879</v>
      </c>
      <c r="MAE90" s="60"/>
      <c r="MAT90" s="63" t="s">
        <v>879</v>
      </c>
      <c r="MAU90" s="60"/>
      <c r="MBJ90" s="63" t="s">
        <v>879</v>
      </c>
      <c r="MBK90" s="60"/>
      <c r="MBZ90" s="63" t="s">
        <v>879</v>
      </c>
      <c r="MCA90" s="60"/>
      <c r="MCP90" s="63" t="s">
        <v>879</v>
      </c>
      <c r="MCQ90" s="60"/>
      <c r="MDF90" s="63" t="s">
        <v>879</v>
      </c>
      <c r="MDG90" s="60"/>
      <c r="MDV90" s="63" t="s">
        <v>879</v>
      </c>
      <c r="MDW90" s="60"/>
      <c r="MEL90" s="63" t="s">
        <v>879</v>
      </c>
      <c r="MEM90" s="60"/>
      <c r="MFB90" s="63" t="s">
        <v>879</v>
      </c>
      <c r="MFC90" s="60"/>
      <c r="MFR90" s="63" t="s">
        <v>879</v>
      </c>
      <c r="MFS90" s="60"/>
      <c r="MGH90" s="63" t="s">
        <v>879</v>
      </c>
      <c r="MGI90" s="60"/>
      <c r="MGX90" s="63" t="s">
        <v>879</v>
      </c>
      <c r="MGY90" s="60"/>
      <c r="MHN90" s="63" t="s">
        <v>879</v>
      </c>
      <c r="MHO90" s="60"/>
      <c r="MID90" s="63" t="s">
        <v>879</v>
      </c>
      <c r="MIE90" s="60"/>
      <c r="MIT90" s="63" t="s">
        <v>879</v>
      </c>
      <c r="MIU90" s="60"/>
      <c r="MJJ90" s="63" t="s">
        <v>879</v>
      </c>
      <c r="MJK90" s="60"/>
      <c r="MJZ90" s="63" t="s">
        <v>879</v>
      </c>
      <c r="MKA90" s="60"/>
      <c r="MKP90" s="63" t="s">
        <v>879</v>
      </c>
      <c r="MKQ90" s="60"/>
      <c r="MLF90" s="63" t="s">
        <v>879</v>
      </c>
      <c r="MLG90" s="60"/>
      <c r="MLV90" s="63" t="s">
        <v>879</v>
      </c>
      <c r="MLW90" s="60"/>
      <c r="MML90" s="63" t="s">
        <v>879</v>
      </c>
      <c r="MMM90" s="60"/>
      <c r="MNB90" s="63" t="s">
        <v>879</v>
      </c>
      <c r="MNC90" s="60"/>
      <c r="MNR90" s="63" t="s">
        <v>879</v>
      </c>
      <c r="MNS90" s="60"/>
      <c r="MOH90" s="63" t="s">
        <v>879</v>
      </c>
      <c r="MOI90" s="60"/>
      <c r="MOX90" s="63" t="s">
        <v>879</v>
      </c>
      <c r="MOY90" s="60"/>
      <c r="MPN90" s="63" t="s">
        <v>879</v>
      </c>
      <c r="MPO90" s="60"/>
      <c r="MQD90" s="63" t="s">
        <v>879</v>
      </c>
      <c r="MQE90" s="60"/>
      <c r="MQT90" s="63" t="s">
        <v>879</v>
      </c>
      <c r="MQU90" s="60"/>
      <c r="MRJ90" s="63" t="s">
        <v>879</v>
      </c>
      <c r="MRK90" s="60"/>
      <c r="MRZ90" s="63" t="s">
        <v>879</v>
      </c>
      <c r="MSA90" s="60"/>
      <c r="MSP90" s="63" t="s">
        <v>879</v>
      </c>
      <c r="MSQ90" s="60"/>
      <c r="MTF90" s="63" t="s">
        <v>879</v>
      </c>
      <c r="MTG90" s="60"/>
      <c r="MTV90" s="63" t="s">
        <v>879</v>
      </c>
      <c r="MTW90" s="60"/>
      <c r="MUL90" s="63" t="s">
        <v>879</v>
      </c>
      <c r="MUM90" s="60"/>
      <c r="MVB90" s="63" t="s">
        <v>879</v>
      </c>
      <c r="MVC90" s="60"/>
      <c r="MVR90" s="63" t="s">
        <v>879</v>
      </c>
      <c r="MVS90" s="60"/>
      <c r="MWH90" s="63" t="s">
        <v>879</v>
      </c>
      <c r="MWI90" s="60"/>
      <c r="MWX90" s="63" t="s">
        <v>879</v>
      </c>
      <c r="MWY90" s="60"/>
      <c r="MXN90" s="63" t="s">
        <v>879</v>
      </c>
      <c r="MXO90" s="60"/>
      <c r="MYD90" s="63" t="s">
        <v>879</v>
      </c>
      <c r="MYE90" s="60"/>
      <c r="MYT90" s="63" t="s">
        <v>879</v>
      </c>
      <c r="MYU90" s="60"/>
      <c r="MZJ90" s="63" t="s">
        <v>879</v>
      </c>
      <c r="MZK90" s="60"/>
      <c r="MZZ90" s="63" t="s">
        <v>879</v>
      </c>
      <c r="NAA90" s="60"/>
      <c r="NAP90" s="63" t="s">
        <v>879</v>
      </c>
      <c r="NAQ90" s="60"/>
      <c r="NBF90" s="63" t="s">
        <v>879</v>
      </c>
      <c r="NBG90" s="60"/>
      <c r="NBV90" s="63" t="s">
        <v>879</v>
      </c>
      <c r="NBW90" s="60"/>
      <c r="NCL90" s="63" t="s">
        <v>879</v>
      </c>
      <c r="NCM90" s="60"/>
      <c r="NDB90" s="63" t="s">
        <v>879</v>
      </c>
      <c r="NDC90" s="60"/>
      <c r="NDR90" s="63" t="s">
        <v>879</v>
      </c>
      <c r="NDS90" s="60"/>
      <c r="NEH90" s="63" t="s">
        <v>879</v>
      </c>
      <c r="NEI90" s="60"/>
      <c r="NEX90" s="63" t="s">
        <v>879</v>
      </c>
      <c r="NEY90" s="60"/>
      <c r="NFN90" s="63" t="s">
        <v>879</v>
      </c>
      <c r="NFO90" s="60"/>
      <c r="NGD90" s="63" t="s">
        <v>879</v>
      </c>
      <c r="NGE90" s="60"/>
      <c r="NGT90" s="63" t="s">
        <v>879</v>
      </c>
      <c r="NGU90" s="60"/>
      <c r="NHJ90" s="63" t="s">
        <v>879</v>
      </c>
      <c r="NHK90" s="60"/>
      <c r="NHZ90" s="63" t="s">
        <v>879</v>
      </c>
      <c r="NIA90" s="60"/>
      <c r="NIP90" s="63" t="s">
        <v>879</v>
      </c>
      <c r="NIQ90" s="60"/>
      <c r="NJF90" s="63" t="s">
        <v>879</v>
      </c>
      <c r="NJG90" s="60"/>
      <c r="NJV90" s="63" t="s">
        <v>879</v>
      </c>
      <c r="NJW90" s="60"/>
      <c r="NKL90" s="63" t="s">
        <v>879</v>
      </c>
      <c r="NKM90" s="60"/>
      <c r="NLB90" s="63" t="s">
        <v>879</v>
      </c>
      <c r="NLC90" s="60"/>
      <c r="NLR90" s="63" t="s">
        <v>879</v>
      </c>
      <c r="NLS90" s="60"/>
      <c r="NMH90" s="63" t="s">
        <v>879</v>
      </c>
      <c r="NMI90" s="60"/>
      <c r="NMX90" s="63" t="s">
        <v>879</v>
      </c>
      <c r="NMY90" s="60"/>
      <c r="NNN90" s="63" t="s">
        <v>879</v>
      </c>
      <c r="NNO90" s="60"/>
      <c r="NOD90" s="63" t="s">
        <v>879</v>
      </c>
      <c r="NOE90" s="60"/>
      <c r="NOT90" s="63" t="s">
        <v>879</v>
      </c>
      <c r="NOU90" s="60"/>
      <c r="NPJ90" s="63" t="s">
        <v>879</v>
      </c>
      <c r="NPK90" s="60"/>
      <c r="NPZ90" s="63" t="s">
        <v>879</v>
      </c>
      <c r="NQA90" s="60"/>
      <c r="NQP90" s="63" t="s">
        <v>879</v>
      </c>
      <c r="NQQ90" s="60"/>
      <c r="NRF90" s="63" t="s">
        <v>879</v>
      </c>
      <c r="NRG90" s="60"/>
      <c r="NRV90" s="63" t="s">
        <v>879</v>
      </c>
      <c r="NRW90" s="60"/>
      <c r="NSL90" s="63" t="s">
        <v>879</v>
      </c>
      <c r="NSM90" s="60"/>
      <c r="NTB90" s="63" t="s">
        <v>879</v>
      </c>
      <c r="NTC90" s="60"/>
      <c r="NTR90" s="63" t="s">
        <v>879</v>
      </c>
      <c r="NTS90" s="60"/>
      <c r="NUH90" s="63" t="s">
        <v>879</v>
      </c>
      <c r="NUI90" s="60"/>
      <c r="NUX90" s="63" t="s">
        <v>879</v>
      </c>
      <c r="NUY90" s="60"/>
      <c r="NVN90" s="63" t="s">
        <v>879</v>
      </c>
      <c r="NVO90" s="60"/>
      <c r="NWD90" s="63" t="s">
        <v>879</v>
      </c>
      <c r="NWE90" s="60"/>
      <c r="NWT90" s="63" t="s">
        <v>879</v>
      </c>
      <c r="NWU90" s="60"/>
      <c r="NXJ90" s="63" t="s">
        <v>879</v>
      </c>
      <c r="NXK90" s="60"/>
      <c r="NXZ90" s="63" t="s">
        <v>879</v>
      </c>
      <c r="NYA90" s="60"/>
      <c r="NYP90" s="63" t="s">
        <v>879</v>
      </c>
      <c r="NYQ90" s="60"/>
      <c r="NZF90" s="63" t="s">
        <v>879</v>
      </c>
      <c r="NZG90" s="60"/>
      <c r="NZV90" s="63" t="s">
        <v>879</v>
      </c>
      <c r="NZW90" s="60"/>
      <c r="OAL90" s="63" t="s">
        <v>879</v>
      </c>
      <c r="OAM90" s="60"/>
      <c r="OBB90" s="63" t="s">
        <v>879</v>
      </c>
      <c r="OBC90" s="60"/>
      <c r="OBR90" s="63" t="s">
        <v>879</v>
      </c>
      <c r="OBS90" s="60"/>
      <c r="OCH90" s="63" t="s">
        <v>879</v>
      </c>
      <c r="OCI90" s="60"/>
      <c r="OCX90" s="63" t="s">
        <v>879</v>
      </c>
      <c r="OCY90" s="60"/>
      <c r="ODN90" s="63" t="s">
        <v>879</v>
      </c>
      <c r="ODO90" s="60"/>
      <c r="OED90" s="63" t="s">
        <v>879</v>
      </c>
      <c r="OEE90" s="60"/>
      <c r="OET90" s="63" t="s">
        <v>879</v>
      </c>
      <c r="OEU90" s="60"/>
      <c r="OFJ90" s="63" t="s">
        <v>879</v>
      </c>
      <c r="OFK90" s="60"/>
      <c r="OFZ90" s="63" t="s">
        <v>879</v>
      </c>
      <c r="OGA90" s="60"/>
      <c r="OGP90" s="63" t="s">
        <v>879</v>
      </c>
      <c r="OGQ90" s="60"/>
      <c r="OHF90" s="63" t="s">
        <v>879</v>
      </c>
      <c r="OHG90" s="60"/>
      <c r="OHV90" s="63" t="s">
        <v>879</v>
      </c>
      <c r="OHW90" s="60"/>
      <c r="OIL90" s="63" t="s">
        <v>879</v>
      </c>
      <c r="OIM90" s="60"/>
      <c r="OJB90" s="63" t="s">
        <v>879</v>
      </c>
      <c r="OJC90" s="60"/>
      <c r="OJR90" s="63" t="s">
        <v>879</v>
      </c>
      <c r="OJS90" s="60"/>
      <c r="OKH90" s="63" t="s">
        <v>879</v>
      </c>
      <c r="OKI90" s="60"/>
      <c r="OKX90" s="63" t="s">
        <v>879</v>
      </c>
      <c r="OKY90" s="60"/>
      <c r="OLN90" s="63" t="s">
        <v>879</v>
      </c>
      <c r="OLO90" s="60"/>
      <c r="OMD90" s="63" t="s">
        <v>879</v>
      </c>
      <c r="OME90" s="60"/>
      <c r="OMT90" s="63" t="s">
        <v>879</v>
      </c>
      <c r="OMU90" s="60"/>
      <c r="ONJ90" s="63" t="s">
        <v>879</v>
      </c>
      <c r="ONK90" s="60"/>
      <c r="ONZ90" s="63" t="s">
        <v>879</v>
      </c>
      <c r="OOA90" s="60"/>
      <c r="OOP90" s="63" t="s">
        <v>879</v>
      </c>
      <c r="OOQ90" s="60"/>
      <c r="OPF90" s="63" t="s">
        <v>879</v>
      </c>
      <c r="OPG90" s="60"/>
      <c r="OPV90" s="63" t="s">
        <v>879</v>
      </c>
      <c r="OPW90" s="60"/>
      <c r="OQL90" s="63" t="s">
        <v>879</v>
      </c>
      <c r="OQM90" s="60"/>
      <c r="ORB90" s="63" t="s">
        <v>879</v>
      </c>
      <c r="ORC90" s="60"/>
      <c r="ORR90" s="63" t="s">
        <v>879</v>
      </c>
      <c r="ORS90" s="60"/>
      <c r="OSH90" s="63" t="s">
        <v>879</v>
      </c>
      <c r="OSI90" s="60"/>
      <c r="OSX90" s="63" t="s">
        <v>879</v>
      </c>
      <c r="OSY90" s="60"/>
      <c r="OTN90" s="63" t="s">
        <v>879</v>
      </c>
      <c r="OTO90" s="60"/>
      <c r="OUD90" s="63" t="s">
        <v>879</v>
      </c>
      <c r="OUE90" s="60"/>
      <c r="OUT90" s="63" t="s">
        <v>879</v>
      </c>
      <c r="OUU90" s="60"/>
      <c r="OVJ90" s="63" t="s">
        <v>879</v>
      </c>
      <c r="OVK90" s="60"/>
      <c r="OVZ90" s="63" t="s">
        <v>879</v>
      </c>
      <c r="OWA90" s="60"/>
      <c r="OWP90" s="63" t="s">
        <v>879</v>
      </c>
      <c r="OWQ90" s="60"/>
      <c r="OXF90" s="63" t="s">
        <v>879</v>
      </c>
      <c r="OXG90" s="60"/>
      <c r="OXV90" s="63" t="s">
        <v>879</v>
      </c>
      <c r="OXW90" s="60"/>
      <c r="OYL90" s="63" t="s">
        <v>879</v>
      </c>
      <c r="OYM90" s="60"/>
      <c r="OZB90" s="63" t="s">
        <v>879</v>
      </c>
      <c r="OZC90" s="60"/>
      <c r="OZR90" s="63" t="s">
        <v>879</v>
      </c>
      <c r="OZS90" s="60"/>
      <c r="PAH90" s="63" t="s">
        <v>879</v>
      </c>
      <c r="PAI90" s="60"/>
      <c r="PAX90" s="63" t="s">
        <v>879</v>
      </c>
      <c r="PAY90" s="60"/>
      <c r="PBN90" s="63" t="s">
        <v>879</v>
      </c>
      <c r="PBO90" s="60"/>
      <c r="PCD90" s="63" t="s">
        <v>879</v>
      </c>
      <c r="PCE90" s="60"/>
      <c r="PCT90" s="63" t="s">
        <v>879</v>
      </c>
      <c r="PCU90" s="60"/>
      <c r="PDJ90" s="63" t="s">
        <v>879</v>
      </c>
      <c r="PDK90" s="60"/>
      <c r="PDZ90" s="63" t="s">
        <v>879</v>
      </c>
      <c r="PEA90" s="60"/>
      <c r="PEP90" s="63" t="s">
        <v>879</v>
      </c>
      <c r="PEQ90" s="60"/>
      <c r="PFF90" s="63" t="s">
        <v>879</v>
      </c>
      <c r="PFG90" s="60"/>
      <c r="PFV90" s="63" t="s">
        <v>879</v>
      </c>
      <c r="PFW90" s="60"/>
      <c r="PGL90" s="63" t="s">
        <v>879</v>
      </c>
      <c r="PGM90" s="60"/>
      <c r="PHB90" s="63" t="s">
        <v>879</v>
      </c>
      <c r="PHC90" s="60"/>
      <c r="PHR90" s="63" t="s">
        <v>879</v>
      </c>
      <c r="PHS90" s="60"/>
      <c r="PIH90" s="63" t="s">
        <v>879</v>
      </c>
      <c r="PII90" s="60"/>
      <c r="PIX90" s="63" t="s">
        <v>879</v>
      </c>
      <c r="PIY90" s="60"/>
      <c r="PJN90" s="63" t="s">
        <v>879</v>
      </c>
      <c r="PJO90" s="60"/>
      <c r="PKD90" s="63" t="s">
        <v>879</v>
      </c>
      <c r="PKE90" s="60"/>
      <c r="PKT90" s="63" t="s">
        <v>879</v>
      </c>
      <c r="PKU90" s="60"/>
      <c r="PLJ90" s="63" t="s">
        <v>879</v>
      </c>
      <c r="PLK90" s="60"/>
      <c r="PLZ90" s="63" t="s">
        <v>879</v>
      </c>
      <c r="PMA90" s="60"/>
      <c r="PMP90" s="63" t="s">
        <v>879</v>
      </c>
      <c r="PMQ90" s="60"/>
      <c r="PNF90" s="63" t="s">
        <v>879</v>
      </c>
      <c r="PNG90" s="60"/>
      <c r="PNV90" s="63" t="s">
        <v>879</v>
      </c>
      <c r="PNW90" s="60"/>
      <c r="POL90" s="63" t="s">
        <v>879</v>
      </c>
      <c r="POM90" s="60"/>
      <c r="PPB90" s="63" t="s">
        <v>879</v>
      </c>
      <c r="PPC90" s="60"/>
      <c r="PPR90" s="63" t="s">
        <v>879</v>
      </c>
      <c r="PPS90" s="60"/>
      <c r="PQH90" s="63" t="s">
        <v>879</v>
      </c>
      <c r="PQI90" s="60"/>
      <c r="PQX90" s="63" t="s">
        <v>879</v>
      </c>
      <c r="PQY90" s="60"/>
      <c r="PRN90" s="63" t="s">
        <v>879</v>
      </c>
      <c r="PRO90" s="60"/>
      <c r="PSD90" s="63" t="s">
        <v>879</v>
      </c>
      <c r="PSE90" s="60"/>
      <c r="PST90" s="63" t="s">
        <v>879</v>
      </c>
      <c r="PSU90" s="60"/>
      <c r="PTJ90" s="63" t="s">
        <v>879</v>
      </c>
      <c r="PTK90" s="60"/>
      <c r="PTZ90" s="63" t="s">
        <v>879</v>
      </c>
      <c r="PUA90" s="60"/>
      <c r="PUP90" s="63" t="s">
        <v>879</v>
      </c>
      <c r="PUQ90" s="60"/>
      <c r="PVF90" s="63" t="s">
        <v>879</v>
      </c>
      <c r="PVG90" s="60"/>
      <c r="PVV90" s="63" t="s">
        <v>879</v>
      </c>
      <c r="PVW90" s="60"/>
      <c r="PWL90" s="63" t="s">
        <v>879</v>
      </c>
      <c r="PWM90" s="60"/>
      <c r="PXB90" s="63" t="s">
        <v>879</v>
      </c>
      <c r="PXC90" s="60"/>
      <c r="PXR90" s="63" t="s">
        <v>879</v>
      </c>
      <c r="PXS90" s="60"/>
      <c r="PYH90" s="63" t="s">
        <v>879</v>
      </c>
      <c r="PYI90" s="60"/>
      <c r="PYX90" s="63" t="s">
        <v>879</v>
      </c>
      <c r="PYY90" s="60"/>
      <c r="PZN90" s="63" t="s">
        <v>879</v>
      </c>
      <c r="PZO90" s="60"/>
      <c r="QAD90" s="63" t="s">
        <v>879</v>
      </c>
      <c r="QAE90" s="60"/>
      <c r="QAT90" s="63" t="s">
        <v>879</v>
      </c>
      <c r="QAU90" s="60"/>
      <c r="QBJ90" s="63" t="s">
        <v>879</v>
      </c>
      <c r="QBK90" s="60"/>
      <c r="QBZ90" s="63" t="s">
        <v>879</v>
      </c>
      <c r="QCA90" s="60"/>
      <c r="QCP90" s="63" t="s">
        <v>879</v>
      </c>
      <c r="QCQ90" s="60"/>
      <c r="QDF90" s="63" t="s">
        <v>879</v>
      </c>
      <c r="QDG90" s="60"/>
      <c r="QDV90" s="63" t="s">
        <v>879</v>
      </c>
      <c r="QDW90" s="60"/>
      <c r="QEL90" s="63" t="s">
        <v>879</v>
      </c>
      <c r="QEM90" s="60"/>
      <c r="QFB90" s="63" t="s">
        <v>879</v>
      </c>
      <c r="QFC90" s="60"/>
      <c r="QFR90" s="63" t="s">
        <v>879</v>
      </c>
      <c r="QFS90" s="60"/>
      <c r="QGH90" s="63" t="s">
        <v>879</v>
      </c>
      <c r="QGI90" s="60"/>
      <c r="QGX90" s="63" t="s">
        <v>879</v>
      </c>
      <c r="QGY90" s="60"/>
      <c r="QHN90" s="63" t="s">
        <v>879</v>
      </c>
      <c r="QHO90" s="60"/>
      <c r="QID90" s="63" t="s">
        <v>879</v>
      </c>
      <c r="QIE90" s="60"/>
      <c r="QIT90" s="63" t="s">
        <v>879</v>
      </c>
      <c r="QIU90" s="60"/>
      <c r="QJJ90" s="63" t="s">
        <v>879</v>
      </c>
      <c r="QJK90" s="60"/>
      <c r="QJZ90" s="63" t="s">
        <v>879</v>
      </c>
      <c r="QKA90" s="60"/>
      <c r="QKP90" s="63" t="s">
        <v>879</v>
      </c>
      <c r="QKQ90" s="60"/>
      <c r="QLF90" s="63" t="s">
        <v>879</v>
      </c>
      <c r="QLG90" s="60"/>
      <c r="QLV90" s="63" t="s">
        <v>879</v>
      </c>
      <c r="QLW90" s="60"/>
      <c r="QML90" s="63" t="s">
        <v>879</v>
      </c>
      <c r="QMM90" s="60"/>
      <c r="QNB90" s="63" t="s">
        <v>879</v>
      </c>
      <c r="QNC90" s="60"/>
      <c r="QNR90" s="63" t="s">
        <v>879</v>
      </c>
      <c r="QNS90" s="60"/>
      <c r="QOH90" s="63" t="s">
        <v>879</v>
      </c>
      <c r="QOI90" s="60"/>
      <c r="QOX90" s="63" t="s">
        <v>879</v>
      </c>
      <c r="QOY90" s="60"/>
      <c r="QPN90" s="63" t="s">
        <v>879</v>
      </c>
      <c r="QPO90" s="60"/>
      <c r="QQD90" s="63" t="s">
        <v>879</v>
      </c>
      <c r="QQE90" s="60"/>
      <c r="QQT90" s="63" t="s">
        <v>879</v>
      </c>
      <c r="QQU90" s="60"/>
      <c r="QRJ90" s="63" t="s">
        <v>879</v>
      </c>
      <c r="QRK90" s="60"/>
      <c r="QRZ90" s="63" t="s">
        <v>879</v>
      </c>
      <c r="QSA90" s="60"/>
      <c r="QSP90" s="63" t="s">
        <v>879</v>
      </c>
      <c r="QSQ90" s="60"/>
      <c r="QTF90" s="63" t="s">
        <v>879</v>
      </c>
      <c r="QTG90" s="60"/>
      <c r="QTV90" s="63" t="s">
        <v>879</v>
      </c>
      <c r="QTW90" s="60"/>
      <c r="QUL90" s="63" t="s">
        <v>879</v>
      </c>
      <c r="QUM90" s="60"/>
      <c r="QVB90" s="63" t="s">
        <v>879</v>
      </c>
      <c r="QVC90" s="60"/>
      <c r="QVR90" s="63" t="s">
        <v>879</v>
      </c>
      <c r="QVS90" s="60"/>
      <c r="QWH90" s="63" t="s">
        <v>879</v>
      </c>
      <c r="QWI90" s="60"/>
      <c r="QWX90" s="63" t="s">
        <v>879</v>
      </c>
      <c r="QWY90" s="60"/>
      <c r="QXN90" s="63" t="s">
        <v>879</v>
      </c>
      <c r="QXO90" s="60"/>
      <c r="QYD90" s="63" t="s">
        <v>879</v>
      </c>
      <c r="QYE90" s="60"/>
      <c r="QYT90" s="63" t="s">
        <v>879</v>
      </c>
      <c r="QYU90" s="60"/>
      <c r="QZJ90" s="63" t="s">
        <v>879</v>
      </c>
      <c r="QZK90" s="60"/>
      <c r="QZZ90" s="63" t="s">
        <v>879</v>
      </c>
      <c r="RAA90" s="60"/>
      <c r="RAP90" s="63" t="s">
        <v>879</v>
      </c>
      <c r="RAQ90" s="60"/>
      <c r="RBF90" s="63" t="s">
        <v>879</v>
      </c>
      <c r="RBG90" s="60"/>
      <c r="RBV90" s="63" t="s">
        <v>879</v>
      </c>
      <c r="RBW90" s="60"/>
      <c r="RCL90" s="63" t="s">
        <v>879</v>
      </c>
      <c r="RCM90" s="60"/>
      <c r="RDB90" s="63" t="s">
        <v>879</v>
      </c>
      <c r="RDC90" s="60"/>
      <c r="RDR90" s="63" t="s">
        <v>879</v>
      </c>
      <c r="RDS90" s="60"/>
      <c r="REH90" s="63" t="s">
        <v>879</v>
      </c>
      <c r="REI90" s="60"/>
      <c r="REX90" s="63" t="s">
        <v>879</v>
      </c>
      <c r="REY90" s="60"/>
      <c r="RFN90" s="63" t="s">
        <v>879</v>
      </c>
      <c r="RFO90" s="60"/>
      <c r="RGD90" s="63" t="s">
        <v>879</v>
      </c>
      <c r="RGE90" s="60"/>
      <c r="RGT90" s="63" t="s">
        <v>879</v>
      </c>
      <c r="RGU90" s="60"/>
      <c r="RHJ90" s="63" t="s">
        <v>879</v>
      </c>
      <c r="RHK90" s="60"/>
      <c r="RHZ90" s="63" t="s">
        <v>879</v>
      </c>
      <c r="RIA90" s="60"/>
      <c r="RIP90" s="63" t="s">
        <v>879</v>
      </c>
      <c r="RIQ90" s="60"/>
      <c r="RJF90" s="63" t="s">
        <v>879</v>
      </c>
      <c r="RJG90" s="60"/>
      <c r="RJV90" s="63" t="s">
        <v>879</v>
      </c>
      <c r="RJW90" s="60"/>
      <c r="RKL90" s="63" t="s">
        <v>879</v>
      </c>
      <c r="RKM90" s="60"/>
      <c r="RLB90" s="63" t="s">
        <v>879</v>
      </c>
      <c r="RLC90" s="60"/>
      <c r="RLR90" s="63" t="s">
        <v>879</v>
      </c>
      <c r="RLS90" s="60"/>
      <c r="RMH90" s="63" t="s">
        <v>879</v>
      </c>
      <c r="RMI90" s="60"/>
      <c r="RMX90" s="63" t="s">
        <v>879</v>
      </c>
      <c r="RMY90" s="60"/>
      <c r="RNN90" s="63" t="s">
        <v>879</v>
      </c>
      <c r="RNO90" s="60"/>
      <c r="ROD90" s="63" t="s">
        <v>879</v>
      </c>
      <c r="ROE90" s="60"/>
      <c r="ROT90" s="63" t="s">
        <v>879</v>
      </c>
      <c r="ROU90" s="60"/>
      <c r="RPJ90" s="63" t="s">
        <v>879</v>
      </c>
      <c r="RPK90" s="60"/>
      <c r="RPZ90" s="63" t="s">
        <v>879</v>
      </c>
      <c r="RQA90" s="60"/>
      <c r="RQP90" s="63" t="s">
        <v>879</v>
      </c>
      <c r="RQQ90" s="60"/>
      <c r="RRF90" s="63" t="s">
        <v>879</v>
      </c>
      <c r="RRG90" s="60"/>
      <c r="RRV90" s="63" t="s">
        <v>879</v>
      </c>
      <c r="RRW90" s="60"/>
      <c r="RSL90" s="63" t="s">
        <v>879</v>
      </c>
      <c r="RSM90" s="60"/>
      <c r="RTB90" s="63" t="s">
        <v>879</v>
      </c>
      <c r="RTC90" s="60"/>
      <c r="RTR90" s="63" t="s">
        <v>879</v>
      </c>
      <c r="RTS90" s="60"/>
      <c r="RUH90" s="63" t="s">
        <v>879</v>
      </c>
      <c r="RUI90" s="60"/>
      <c r="RUX90" s="63" t="s">
        <v>879</v>
      </c>
      <c r="RUY90" s="60"/>
      <c r="RVN90" s="63" t="s">
        <v>879</v>
      </c>
      <c r="RVO90" s="60"/>
      <c r="RWD90" s="63" t="s">
        <v>879</v>
      </c>
      <c r="RWE90" s="60"/>
      <c r="RWT90" s="63" t="s">
        <v>879</v>
      </c>
      <c r="RWU90" s="60"/>
      <c r="RXJ90" s="63" t="s">
        <v>879</v>
      </c>
      <c r="RXK90" s="60"/>
      <c r="RXZ90" s="63" t="s">
        <v>879</v>
      </c>
      <c r="RYA90" s="60"/>
      <c r="RYP90" s="63" t="s">
        <v>879</v>
      </c>
      <c r="RYQ90" s="60"/>
      <c r="RZF90" s="63" t="s">
        <v>879</v>
      </c>
      <c r="RZG90" s="60"/>
      <c r="RZV90" s="63" t="s">
        <v>879</v>
      </c>
      <c r="RZW90" s="60"/>
      <c r="SAL90" s="63" t="s">
        <v>879</v>
      </c>
      <c r="SAM90" s="60"/>
      <c r="SBB90" s="63" t="s">
        <v>879</v>
      </c>
      <c r="SBC90" s="60"/>
      <c r="SBR90" s="63" t="s">
        <v>879</v>
      </c>
      <c r="SBS90" s="60"/>
      <c r="SCH90" s="63" t="s">
        <v>879</v>
      </c>
      <c r="SCI90" s="60"/>
      <c r="SCX90" s="63" t="s">
        <v>879</v>
      </c>
      <c r="SCY90" s="60"/>
      <c r="SDN90" s="63" t="s">
        <v>879</v>
      </c>
      <c r="SDO90" s="60"/>
      <c r="SED90" s="63" t="s">
        <v>879</v>
      </c>
      <c r="SEE90" s="60"/>
      <c r="SET90" s="63" t="s">
        <v>879</v>
      </c>
      <c r="SEU90" s="60"/>
      <c r="SFJ90" s="63" t="s">
        <v>879</v>
      </c>
      <c r="SFK90" s="60"/>
      <c r="SFZ90" s="63" t="s">
        <v>879</v>
      </c>
      <c r="SGA90" s="60"/>
      <c r="SGP90" s="63" t="s">
        <v>879</v>
      </c>
      <c r="SGQ90" s="60"/>
      <c r="SHF90" s="63" t="s">
        <v>879</v>
      </c>
      <c r="SHG90" s="60"/>
      <c r="SHV90" s="63" t="s">
        <v>879</v>
      </c>
      <c r="SHW90" s="60"/>
      <c r="SIL90" s="63" t="s">
        <v>879</v>
      </c>
      <c r="SIM90" s="60"/>
      <c r="SJB90" s="63" t="s">
        <v>879</v>
      </c>
      <c r="SJC90" s="60"/>
      <c r="SJR90" s="63" t="s">
        <v>879</v>
      </c>
      <c r="SJS90" s="60"/>
      <c r="SKH90" s="63" t="s">
        <v>879</v>
      </c>
      <c r="SKI90" s="60"/>
      <c r="SKX90" s="63" t="s">
        <v>879</v>
      </c>
      <c r="SKY90" s="60"/>
      <c r="SLN90" s="63" t="s">
        <v>879</v>
      </c>
      <c r="SLO90" s="60"/>
      <c r="SMD90" s="63" t="s">
        <v>879</v>
      </c>
      <c r="SME90" s="60"/>
      <c r="SMT90" s="63" t="s">
        <v>879</v>
      </c>
      <c r="SMU90" s="60"/>
      <c r="SNJ90" s="63" t="s">
        <v>879</v>
      </c>
      <c r="SNK90" s="60"/>
      <c r="SNZ90" s="63" t="s">
        <v>879</v>
      </c>
      <c r="SOA90" s="60"/>
      <c r="SOP90" s="63" t="s">
        <v>879</v>
      </c>
      <c r="SOQ90" s="60"/>
      <c r="SPF90" s="63" t="s">
        <v>879</v>
      </c>
      <c r="SPG90" s="60"/>
      <c r="SPV90" s="63" t="s">
        <v>879</v>
      </c>
      <c r="SPW90" s="60"/>
      <c r="SQL90" s="63" t="s">
        <v>879</v>
      </c>
      <c r="SQM90" s="60"/>
      <c r="SRB90" s="63" t="s">
        <v>879</v>
      </c>
      <c r="SRC90" s="60"/>
      <c r="SRR90" s="63" t="s">
        <v>879</v>
      </c>
      <c r="SRS90" s="60"/>
      <c r="SSH90" s="63" t="s">
        <v>879</v>
      </c>
      <c r="SSI90" s="60"/>
      <c r="SSX90" s="63" t="s">
        <v>879</v>
      </c>
      <c r="SSY90" s="60"/>
      <c r="STN90" s="63" t="s">
        <v>879</v>
      </c>
      <c r="STO90" s="60"/>
      <c r="SUD90" s="63" t="s">
        <v>879</v>
      </c>
      <c r="SUE90" s="60"/>
      <c r="SUT90" s="63" t="s">
        <v>879</v>
      </c>
      <c r="SUU90" s="60"/>
      <c r="SVJ90" s="63" t="s">
        <v>879</v>
      </c>
      <c r="SVK90" s="60"/>
      <c r="SVZ90" s="63" t="s">
        <v>879</v>
      </c>
      <c r="SWA90" s="60"/>
      <c r="SWP90" s="63" t="s">
        <v>879</v>
      </c>
      <c r="SWQ90" s="60"/>
      <c r="SXF90" s="63" t="s">
        <v>879</v>
      </c>
      <c r="SXG90" s="60"/>
      <c r="SXV90" s="63" t="s">
        <v>879</v>
      </c>
      <c r="SXW90" s="60"/>
      <c r="SYL90" s="63" t="s">
        <v>879</v>
      </c>
      <c r="SYM90" s="60"/>
      <c r="SZB90" s="63" t="s">
        <v>879</v>
      </c>
      <c r="SZC90" s="60"/>
      <c r="SZR90" s="63" t="s">
        <v>879</v>
      </c>
      <c r="SZS90" s="60"/>
      <c r="TAH90" s="63" t="s">
        <v>879</v>
      </c>
      <c r="TAI90" s="60"/>
      <c r="TAX90" s="63" t="s">
        <v>879</v>
      </c>
      <c r="TAY90" s="60"/>
      <c r="TBN90" s="63" t="s">
        <v>879</v>
      </c>
      <c r="TBO90" s="60"/>
      <c r="TCD90" s="63" t="s">
        <v>879</v>
      </c>
      <c r="TCE90" s="60"/>
      <c r="TCT90" s="63" t="s">
        <v>879</v>
      </c>
      <c r="TCU90" s="60"/>
      <c r="TDJ90" s="63" t="s">
        <v>879</v>
      </c>
      <c r="TDK90" s="60"/>
      <c r="TDZ90" s="63" t="s">
        <v>879</v>
      </c>
      <c r="TEA90" s="60"/>
      <c r="TEP90" s="63" t="s">
        <v>879</v>
      </c>
      <c r="TEQ90" s="60"/>
      <c r="TFF90" s="63" t="s">
        <v>879</v>
      </c>
      <c r="TFG90" s="60"/>
      <c r="TFV90" s="63" t="s">
        <v>879</v>
      </c>
      <c r="TFW90" s="60"/>
      <c r="TGL90" s="63" t="s">
        <v>879</v>
      </c>
      <c r="TGM90" s="60"/>
      <c r="THB90" s="63" t="s">
        <v>879</v>
      </c>
      <c r="THC90" s="60"/>
      <c r="THR90" s="63" t="s">
        <v>879</v>
      </c>
      <c r="THS90" s="60"/>
      <c r="TIH90" s="63" t="s">
        <v>879</v>
      </c>
      <c r="TII90" s="60"/>
      <c r="TIX90" s="63" t="s">
        <v>879</v>
      </c>
      <c r="TIY90" s="60"/>
      <c r="TJN90" s="63" t="s">
        <v>879</v>
      </c>
      <c r="TJO90" s="60"/>
      <c r="TKD90" s="63" t="s">
        <v>879</v>
      </c>
      <c r="TKE90" s="60"/>
      <c r="TKT90" s="63" t="s">
        <v>879</v>
      </c>
      <c r="TKU90" s="60"/>
      <c r="TLJ90" s="63" t="s">
        <v>879</v>
      </c>
      <c r="TLK90" s="60"/>
      <c r="TLZ90" s="63" t="s">
        <v>879</v>
      </c>
      <c r="TMA90" s="60"/>
      <c r="TMP90" s="63" t="s">
        <v>879</v>
      </c>
      <c r="TMQ90" s="60"/>
      <c r="TNF90" s="63" t="s">
        <v>879</v>
      </c>
      <c r="TNG90" s="60"/>
      <c r="TNV90" s="63" t="s">
        <v>879</v>
      </c>
      <c r="TNW90" s="60"/>
      <c r="TOL90" s="63" t="s">
        <v>879</v>
      </c>
      <c r="TOM90" s="60"/>
      <c r="TPB90" s="63" t="s">
        <v>879</v>
      </c>
      <c r="TPC90" s="60"/>
      <c r="TPR90" s="63" t="s">
        <v>879</v>
      </c>
      <c r="TPS90" s="60"/>
      <c r="TQH90" s="63" t="s">
        <v>879</v>
      </c>
      <c r="TQI90" s="60"/>
      <c r="TQX90" s="63" t="s">
        <v>879</v>
      </c>
      <c r="TQY90" s="60"/>
      <c r="TRN90" s="63" t="s">
        <v>879</v>
      </c>
      <c r="TRO90" s="60"/>
      <c r="TSD90" s="63" t="s">
        <v>879</v>
      </c>
      <c r="TSE90" s="60"/>
      <c r="TST90" s="63" t="s">
        <v>879</v>
      </c>
      <c r="TSU90" s="60"/>
      <c r="TTJ90" s="63" t="s">
        <v>879</v>
      </c>
      <c r="TTK90" s="60"/>
      <c r="TTZ90" s="63" t="s">
        <v>879</v>
      </c>
      <c r="TUA90" s="60"/>
      <c r="TUP90" s="63" t="s">
        <v>879</v>
      </c>
      <c r="TUQ90" s="60"/>
      <c r="TVF90" s="63" t="s">
        <v>879</v>
      </c>
      <c r="TVG90" s="60"/>
      <c r="TVV90" s="63" t="s">
        <v>879</v>
      </c>
      <c r="TVW90" s="60"/>
      <c r="TWL90" s="63" t="s">
        <v>879</v>
      </c>
      <c r="TWM90" s="60"/>
      <c r="TXB90" s="63" t="s">
        <v>879</v>
      </c>
      <c r="TXC90" s="60"/>
      <c r="TXR90" s="63" t="s">
        <v>879</v>
      </c>
      <c r="TXS90" s="60"/>
      <c r="TYH90" s="63" t="s">
        <v>879</v>
      </c>
      <c r="TYI90" s="60"/>
      <c r="TYX90" s="63" t="s">
        <v>879</v>
      </c>
      <c r="TYY90" s="60"/>
      <c r="TZN90" s="63" t="s">
        <v>879</v>
      </c>
      <c r="TZO90" s="60"/>
      <c r="UAD90" s="63" t="s">
        <v>879</v>
      </c>
      <c r="UAE90" s="60"/>
      <c r="UAT90" s="63" t="s">
        <v>879</v>
      </c>
      <c r="UAU90" s="60"/>
      <c r="UBJ90" s="63" t="s">
        <v>879</v>
      </c>
      <c r="UBK90" s="60"/>
      <c r="UBZ90" s="63" t="s">
        <v>879</v>
      </c>
      <c r="UCA90" s="60"/>
      <c r="UCP90" s="63" t="s">
        <v>879</v>
      </c>
      <c r="UCQ90" s="60"/>
      <c r="UDF90" s="63" t="s">
        <v>879</v>
      </c>
      <c r="UDG90" s="60"/>
      <c r="UDV90" s="63" t="s">
        <v>879</v>
      </c>
      <c r="UDW90" s="60"/>
      <c r="UEL90" s="63" t="s">
        <v>879</v>
      </c>
      <c r="UEM90" s="60"/>
      <c r="UFB90" s="63" t="s">
        <v>879</v>
      </c>
      <c r="UFC90" s="60"/>
      <c r="UFR90" s="63" t="s">
        <v>879</v>
      </c>
      <c r="UFS90" s="60"/>
      <c r="UGH90" s="63" t="s">
        <v>879</v>
      </c>
      <c r="UGI90" s="60"/>
      <c r="UGX90" s="63" t="s">
        <v>879</v>
      </c>
      <c r="UGY90" s="60"/>
      <c r="UHN90" s="63" t="s">
        <v>879</v>
      </c>
      <c r="UHO90" s="60"/>
      <c r="UID90" s="63" t="s">
        <v>879</v>
      </c>
      <c r="UIE90" s="60"/>
      <c r="UIT90" s="63" t="s">
        <v>879</v>
      </c>
      <c r="UIU90" s="60"/>
      <c r="UJJ90" s="63" t="s">
        <v>879</v>
      </c>
      <c r="UJK90" s="60"/>
      <c r="UJZ90" s="63" t="s">
        <v>879</v>
      </c>
      <c r="UKA90" s="60"/>
      <c r="UKP90" s="63" t="s">
        <v>879</v>
      </c>
      <c r="UKQ90" s="60"/>
      <c r="ULF90" s="63" t="s">
        <v>879</v>
      </c>
      <c r="ULG90" s="60"/>
      <c r="ULV90" s="63" t="s">
        <v>879</v>
      </c>
      <c r="ULW90" s="60"/>
      <c r="UML90" s="63" t="s">
        <v>879</v>
      </c>
      <c r="UMM90" s="60"/>
      <c r="UNB90" s="63" t="s">
        <v>879</v>
      </c>
      <c r="UNC90" s="60"/>
      <c r="UNR90" s="63" t="s">
        <v>879</v>
      </c>
      <c r="UNS90" s="60"/>
      <c r="UOH90" s="63" t="s">
        <v>879</v>
      </c>
      <c r="UOI90" s="60"/>
      <c r="UOX90" s="63" t="s">
        <v>879</v>
      </c>
      <c r="UOY90" s="60"/>
      <c r="UPN90" s="63" t="s">
        <v>879</v>
      </c>
      <c r="UPO90" s="60"/>
      <c r="UQD90" s="63" t="s">
        <v>879</v>
      </c>
      <c r="UQE90" s="60"/>
      <c r="UQT90" s="63" t="s">
        <v>879</v>
      </c>
      <c r="UQU90" s="60"/>
      <c r="URJ90" s="63" t="s">
        <v>879</v>
      </c>
      <c r="URK90" s="60"/>
      <c r="URZ90" s="63" t="s">
        <v>879</v>
      </c>
      <c r="USA90" s="60"/>
      <c r="USP90" s="63" t="s">
        <v>879</v>
      </c>
      <c r="USQ90" s="60"/>
      <c r="UTF90" s="63" t="s">
        <v>879</v>
      </c>
      <c r="UTG90" s="60"/>
      <c r="UTV90" s="63" t="s">
        <v>879</v>
      </c>
      <c r="UTW90" s="60"/>
      <c r="UUL90" s="63" t="s">
        <v>879</v>
      </c>
      <c r="UUM90" s="60"/>
      <c r="UVB90" s="63" t="s">
        <v>879</v>
      </c>
      <c r="UVC90" s="60"/>
      <c r="UVR90" s="63" t="s">
        <v>879</v>
      </c>
      <c r="UVS90" s="60"/>
      <c r="UWH90" s="63" t="s">
        <v>879</v>
      </c>
      <c r="UWI90" s="60"/>
      <c r="UWX90" s="63" t="s">
        <v>879</v>
      </c>
      <c r="UWY90" s="60"/>
      <c r="UXN90" s="63" t="s">
        <v>879</v>
      </c>
      <c r="UXO90" s="60"/>
      <c r="UYD90" s="63" t="s">
        <v>879</v>
      </c>
      <c r="UYE90" s="60"/>
      <c r="UYT90" s="63" t="s">
        <v>879</v>
      </c>
      <c r="UYU90" s="60"/>
      <c r="UZJ90" s="63" t="s">
        <v>879</v>
      </c>
      <c r="UZK90" s="60"/>
      <c r="UZZ90" s="63" t="s">
        <v>879</v>
      </c>
      <c r="VAA90" s="60"/>
      <c r="VAP90" s="63" t="s">
        <v>879</v>
      </c>
      <c r="VAQ90" s="60"/>
      <c r="VBF90" s="63" t="s">
        <v>879</v>
      </c>
      <c r="VBG90" s="60"/>
      <c r="VBV90" s="63" t="s">
        <v>879</v>
      </c>
      <c r="VBW90" s="60"/>
      <c r="VCL90" s="63" t="s">
        <v>879</v>
      </c>
      <c r="VCM90" s="60"/>
      <c r="VDB90" s="63" t="s">
        <v>879</v>
      </c>
      <c r="VDC90" s="60"/>
      <c r="VDR90" s="63" t="s">
        <v>879</v>
      </c>
      <c r="VDS90" s="60"/>
      <c r="VEH90" s="63" t="s">
        <v>879</v>
      </c>
      <c r="VEI90" s="60"/>
      <c r="VEX90" s="63" t="s">
        <v>879</v>
      </c>
      <c r="VEY90" s="60"/>
      <c r="VFN90" s="63" t="s">
        <v>879</v>
      </c>
      <c r="VFO90" s="60"/>
      <c r="VGD90" s="63" t="s">
        <v>879</v>
      </c>
      <c r="VGE90" s="60"/>
      <c r="VGT90" s="63" t="s">
        <v>879</v>
      </c>
      <c r="VGU90" s="60"/>
      <c r="VHJ90" s="63" t="s">
        <v>879</v>
      </c>
      <c r="VHK90" s="60"/>
      <c r="VHZ90" s="63" t="s">
        <v>879</v>
      </c>
      <c r="VIA90" s="60"/>
      <c r="VIP90" s="63" t="s">
        <v>879</v>
      </c>
      <c r="VIQ90" s="60"/>
      <c r="VJF90" s="63" t="s">
        <v>879</v>
      </c>
      <c r="VJG90" s="60"/>
      <c r="VJV90" s="63" t="s">
        <v>879</v>
      </c>
      <c r="VJW90" s="60"/>
      <c r="VKL90" s="63" t="s">
        <v>879</v>
      </c>
      <c r="VKM90" s="60"/>
      <c r="VLB90" s="63" t="s">
        <v>879</v>
      </c>
      <c r="VLC90" s="60"/>
      <c r="VLR90" s="63" t="s">
        <v>879</v>
      </c>
      <c r="VLS90" s="60"/>
      <c r="VMH90" s="63" t="s">
        <v>879</v>
      </c>
      <c r="VMI90" s="60"/>
      <c r="VMX90" s="63" t="s">
        <v>879</v>
      </c>
      <c r="VMY90" s="60"/>
      <c r="VNN90" s="63" t="s">
        <v>879</v>
      </c>
      <c r="VNO90" s="60"/>
      <c r="VOD90" s="63" t="s">
        <v>879</v>
      </c>
      <c r="VOE90" s="60"/>
      <c r="VOT90" s="63" t="s">
        <v>879</v>
      </c>
      <c r="VOU90" s="60"/>
      <c r="VPJ90" s="63" t="s">
        <v>879</v>
      </c>
      <c r="VPK90" s="60"/>
      <c r="VPZ90" s="63" t="s">
        <v>879</v>
      </c>
      <c r="VQA90" s="60"/>
      <c r="VQP90" s="63" t="s">
        <v>879</v>
      </c>
      <c r="VQQ90" s="60"/>
      <c r="VRF90" s="63" t="s">
        <v>879</v>
      </c>
      <c r="VRG90" s="60"/>
      <c r="VRV90" s="63" t="s">
        <v>879</v>
      </c>
      <c r="VRW90" s="60"/>
      <c r="VSL90" s="63" t="s">
        <v>879</v>
      </c>
      <c r="VSM90" s="60"/>
      <c r="VTB90" s="63" t="s">
        <v>879</v>
      </c>
      <c r="VTC90" s="60"/>
      <c r="VTR90" s="63" t="s">
        <v>879</v>
      </c>
      <c r="VTS90" s="60"/>
      <c r="VUH90" s="63" t="s">
        <v>879</v>
      </c>
      <c r="VUI90" s="60"/>
      <c r="VUX90" s="63" t="s">
        <v>879</v>
      </c>
      <c r="VUY90" s="60"/>
      <c r="VVN90" s="63" t="s">
        <v>879</v>
      </c>
      <c r="VVO90" s="60"/>
      <c r="VWD90" s="63" t="s">
        <v>879</v>
      </c>
      <c r="VWE90" s="60"/>
      <c r="VWT90" s="63" t="s">
        <v>879</v>
      </c>
      <c r="VWU90" s="60"/>
      <c r="VXJ90" s="63" t="s">
        <v>879</v>
      </c>
      <c r="VXK90" s="60"/>
      <c r="VXZ90" s="63" t="s">
        <v>879</v>
      </c>
      <c r="VYA90" s="60"/>
      <c r="VYP90" s="63" t="s">
        <v>879</v>
      </c>
      <c r="VYQ90" s="60"/>
      <c r="VZF90" s="63" t="s">
        <v>879</v>
      </c>
      <c r="VZG90" s="60"/>
      <c r="VZV90" s="63" t="s">
        <v>879</v>
      </c>
      <c r="VZW90" s="60"/>
      <c r="WAL90" s="63" t="s">
        <v>879</v>
      </c>
      <c r="WAM90" s="60"/>
      <c r="WBB90" s="63" t="s">
        <v>879</v>
      </c>
      <c r="WBC90" s="60"/>
      <c r="WBR90" s="63" t="s">
        <v>879</v>
      </c>
      <c r="WBS90" s="60"/>
      <c r="WCH90" s="63" t="s">
        <v>879</v>
      </c>
      <c r="WCI90" s="60"/>
      <c r="WCX90" s="63" t="s">
        <v>879</v>
      </c>
      <c r="WCY90" s="60"/>
      <c r="WDN90" s="63" t="s">
        <v>879</v>
      </c>
      <c r="WDO90" s="60"/>
      <c r="WED90" s="63" t="s">
        <v>879</v>
      </c>
      <c r="WEE90" s="60"/>
      <c r="WET90" s="63" t="s">
        <v>879</v>
      </c>
      <c r="WEU90" s="60"/>
      <c r="WFJ90" s="63" t="s">
        <v>879</v>
      </c>
      <c r="WFK90" s="60"/>
      <c r="WFZ90" s="63" t="s">
        <v>879</v>
      </c>
      <c r="WGA90" s="60"/>
      <c r="WGP90" s="63" t="s">
        <v>879</v>
      </c>
      <c r="WGQ90" s="60"/>
      <c r="WHF90" s="63" t="s">
        <v>879</v>
      </c>
      <c r="WHG90" s="60"/>
      <c r="WHV90" s="63" t="s">
        <v>879</v>
      </c>
      <c r="WHW90" s="60"/>
      <c r="WIL90" s="63" t="s">
        <v>879</v>
      </c>
      <c r="WIM90" s="60"/>
      <c r="WJB90" s="63" t="s">
        <v>879</v>
      </c>
      <c r="WJC90" s="60"/>
      <c r="WJR90" s="63" t="s">
        <v>879</v>
      </c>
      <c r="WJS90" s="60"/>
      <c r="WKH90" s="63" t="s">
        <v>879</v>
      </c>
      <c r="WKI90" s="60"/>
      <c r="WKX90" s="63" t="s">
        <v>879</v>
      </c>
      <c r="WKY90" s="60"/>
      <c r="WLN90" s="63" t="s">
        <v>879</v>
      </c>
      <c r="WLO90" s="60"/>
      <c r="WMD90" s="63" t="s">
        <v>879</v>
      </c>
      <c r="WME90" s="60"/>
      <c r="WMT90" s="63" t="s">
        <v>879</v>
      </c>
      <c r="WMU90" s="60"/>
      <c r="WNJ90" s="63" t="s">
        <v>879</v>
      </c>
      <c r="WNK90" s="60"/>
      <c r="WNZ90" s="63" t="s">
        <v>879</v>
      </c>
      <c r="WOA90" s="60"/>
      <c r="WOP90" s="63" t="s">
        <v>879</v>
      </c>
      <c r="WOQ90" s="60"/>
      <c r="WPF90" s="63" t="s">
        <v>879</v>
      </c>
      <c r="WPG90" s="60"/>
      <c r="WPV90" s="63" t="s">
        <v>879</v>
      </c>
      <c r="WPW90" s="60"/>
      <c r="WQL90" s="63" t="s">
        <v>879</v>
      </c>
      <c r="WQM90" s="60"/>
      <c r="WRB90" s="63" t="s">
        <v>879</v>
      </c>
      <c r="WRC90" s="60"/>
      <c r="WRR90" s="63" t="s">
        <v>879</v>
      </c>
      <c r="WRS90" s="60"/>
      <c r="WSH90" s="63" t="s">
        <v>879</v>
      </c>
      <c r="WSI90" s="60"/>
      <c r="WSX90" s="63" t="s">
        <v>879</v>
      </c>
      <c r="WSY90" s="60"/>
      <c r="WTN90" s="63" t="s">
        <v>879</v>
      </c>
      <c r="WTO90" s="60"/>
      <c r="WUD90" s="63" t="s">
        <v>879</v>
      </c>
      <c r="WUE90" s="60"/>
      <c r="WUT90" s="63" t="s">
        <v>879</v>
      </c>
      <c r="WUU90" s="60"/>
      <c r="WVJ90" s="63" t="s">
        <v>879</v>
      </c>
      <c r="WVK90" s="60"/>
      <c r="WVZ90" s="63" t="s">
        <v>879</v>
      </c>
      <c r="WWA90" s="60"/>
      <c r="WWP90" s="63" t="s">
        <v>879</v>
      </c>
      <c r="WWQ90" s="60"/>
      <c r="WXF90" s="63" t="s">
        <v>879</v>
      </c>
      <c r="WXG90" s="60"/>
      <c r="WXV90" s="63" t="s">
        <v>879</v>
      </c>
      <c r="WXW90" s="60"/>
      <c r="WYL90" s="63" t="s">
        <v>879</v>
      </c>
      <c r="WYM90" s="60"/>
      <c r="WZB90" s="63" t="s">
        <v>879</v>
      </c>
      <c r="WZC90" s="60"/>
      <c r="WZR90" s="63" t="s">
        <v>879</v>
      </c>
      <c r="WZS90" s="60"/>
      <c r="XAH90" s="63" t="s">
        <v>879</v>
      </c>
      <c r="XAI90" s="60"/>
      <c r="XAX90" s="63" t="s">
        <v>879</v>
      </c>
      <c r="XAY90" s="60"/>
      <c r="XBN90" s="63" t="s">
        <v>879</v>
      </c>
      <c r="XBO90" s="60"/>
      <c r="XCD90" s="63" t="s">
        <v>879</v>
      </c>
      <c r="XCE90" s="60"/>
      <c r="XCT90" s="63" t="s">
        <v>879</v>
      </c>
      <c r="XCU90" s="60"/>
      <c r="XDJ90" s="63" t="s">
        <v>879</v>
      </c>
      <c r="XDK90" s="60"/>
      <c r="XDZ90" s="63" t="s">
        <v>879</v>
      </c>
      <c r="XEA90" s="60"/>
      <c r="XEP90" s="63" t="s">
        <v>879</v>
      </c>
      <c r="XEQ90" s="60"/>
    </row>
    <row r="91" spans="2:1011 1026:2035 2050:3059 3074:4083 4098:5107 5122:6131 6146:7155 7170:8179 8194:9203 9218:10227 10242:11251 11266:12275 12290:13299 13314:14323 14338:15347 15362:16371" ht="14.25" x14ac:dyDescent="0.2">
      <c r="B91" s="34"/>
      <c r="C91" s="60"/>
      <c r="R91" s="63" t="s">
        <v>933</v>
      </c>
      <c r="S91" s="60"/>
      <c r="AH91" s="63" t="s">
        <v>933</v>
      </c>
      <c r="AI91" s="60"/>
      <c r="AX91" s="63" t="s">
        <v>933</v>
      </c>
      <c r="AY91" s="60"/>
      <c r="BN91" s="63" t="s">
        <v>933</v>
      </c>
      <c r="BO91" s="60"/>
      <c r="CD91" s="63" t="s">
        <v>933</v>
      </c>
      <c r="CE91" s="60"/>
      <c r="CT91" s="63" t="s">
        <v>933</v>
      </c>
      <c r="CU91" s="60"/>
      <c r="DJ91" s="63" t="s">
        <v>933</v>
      </c>
      <c r="DK91" s="60"/>
      <c r="DZ91" s="63" t="s">
        <v>933</v>
      </c>
      <c r="EA91" s="60"/>
      <c r="EP91" s="63" t="s">
        <v>933</v>
      </c>
      <c r="EQ91" s="60"/>
      <c r="FF91" s="63" t="s">
        <v>933</v>
      </c>
      <c r="FG91" s="60"/>
      <c r="FV91" s="63" t="s">
        <v>933</v>
      </c>
      <c r="FW91" s="60"/>
      <c r="GL91" s="63" t="s">
        <v>933</v>
      </c>
      <c r="GM91" s="60"/>
      <c r="HB91" s="63" t="s">
        <v>933</v>
      </c>
      <c r="HC91" s="60"/>
      <c r="HR91" s="63" t="s">
        <v>933</v>
      </c>
      <c r="HS91" s="60"/>
      <c r="IH91" s="63" t="s">
        <v>933</v>
      </c>
      <c r="II91" s="60"/>
      <c r="IX91" s="63" t="s">
        <v>933</v>
      </c>
      <c r="IY91" s="60"/>
      <c r="JN91" s="63" t="s">
        <v>933</v>
      </c>
      <c r="JO91" s="60"/>
      <c r="KD91" s="63" t="s">
        <v>933</v>
      </c>
      <c r="KE91" s="60"/>
      <c r="KT91" s="63" t="s">
        <v>933</v>
      </c>
      <c r="KU91" s="60"/>
      <c r="LJ91" s="63" t="s">
        <v>933</v>
      </c>
      <c r="LK91" s="60"/>
      <c r="LZ91" s="63" t="s">
        <v>933</v>
      </c>
      <c r="MA91" s="60"/>
      <c r="MP91" s="63" t="s">
        <v>933</v>
      </c>
      <c r="MQ91" s="60"/>
      <c r="NF91" s="63" t="s">
        <v>933</v>
      </c>
      <c r="NG91" s="60"/>
      <c r="NV91" s="63" t="s">
        <v>933</v>
      </c>
      <c r="NW91" s="60"/>
      <c r="OL91" s="63" t="s">
        <v>933</v>
      </c>
      <c r="OM91" s="60"/>
      <c r="PB91" s="63" t="s">
        <v>933</v>
      </c>
      <c r="PC91" s="60"/>
      <c r="PR91" s="63" t="s">
        <v>933</v>
      </c>
      <c r="PS91" s="60"/>
      <c r="QH91" s="63" t="s">
        <v>933</v>
      </c>
      <c r="QI91" s="60"/>
      <c r="QX91" s="63" t="s">
        <v>933</v>
      </c>
      <c r="QY91" s="60"/>
      <c r="RN91" s="63" t="s">
        <v>933</v>
      </c>
      <c r="RO91" s="60"/>
      <c r="SD91" s="63" t="s">
        <v>933</v>
      </c>
      <c r="SE91" s="60"/>
      <c r="ST91" s="63" t="s">
        <v>933</v>
      </c>
      <c r="SU91" s="60"/>
      <c r="TJ91" s="63" t="s">
        <v>933</v>
      </c>
      <c r="TK91" s="60"/>
      <c r="TZ91" s="63" t="s">
        <v>933</v>
      </c>
      <c r="UA91" s="60"/>
      <c r="UP91" s="63" t="s">
        <v>933</v>
      </c>
      <c r="UQ91" s="60"/>
      <c r="VF91" s="63" t="s">
        <v>933</v>
      </c>
      <c r="VG91" s="60"/>
      <c r="VV91" s="63" t="s">
        <v>933</v>
      </c>
      <c r="VW91" s="60"/>
      <c r="WL91" s="63" t="s">
        <v>933</v>
      </c>
      <c r="WM91" s="60"/>
      <c r="XB91" s="63" t="s">
        <v>933</v>
      </c>
      <c r="XC91" s="60"/>
      <c r="XR91" s="63" t="s">
        <v>933</v>
      </c>
      <c r="XS91" s="60"/>
      <c r="YH91" s="63" t="s">
        <v>933</v>
      </c>
      <c r="YI91" s="60"/>
      <c r="YX91" s="63" t="s">
        <v>933</v>
      </c>
      <c r="YY91" s="60"/>
      <c r="ZN91" s="63" t="s">
        <v>933</v>
      </c>
      <c r="ZO91" s="60"/>
      <c r="AAD91" s="63" t="s">
        <v>933</v>
      </c>
      <c r="AAE91" s="60"/>
      <c r="AAT91" s="63" t="s">
        <v>933</v>
      </c>
      <c r="AAU91" s="60"/>
      <c r="ABJ91" s="63" t="s">
        <v>933</v>
      </c>
      <c r="ABK91" s="60"/>
      <c r="ABZ91" s="63" t="s">
        <v>933</v>
      </c>
      <c r="ACA91" s="60"/>
      <c r="ACP91" s="63" t="s">
        <v>933</v>
      </c>
      <c r="ACQ91" s="60"/>
      <c r="ADF91" s="63" t="s">
        <v>933</v>
      </c>
      <c r="ADG91" s="60"/>
      <c r="ADV91" s="63" t="s">
        <v>933</v>
      </c>
      <c r="ADW91" s="60"/>
      <c r="AEL91" s="63" t="s">
        <v>933</v>
      </c>
      <c r="AEM91" s="60"/>
      <c r="AFB91" s="63" t="s">
        <v>933</v>
      </c>
      <c r="AFC91" s="60"/>
      <c r="AFR91" s="63" t="s">
        <v>933</v>
      </c>
      <c r="AFS91" s="60"/>
      <c r="AGH91" s="63" t="s">
        <v>933</v>
      </c>
      <c r="AGI91" s="60"/>
      <c r="AGX91" s="63" t="s">
        <v>933</v>
      </c>
      <c r="AGY91" s="60"/>
      <c r="AHN91" s="63" t="s">
        <v>933</v>
      </c>
      <c r="AHO91" s="60"/>
      <c r="AID91" s="63" t="s">
        <v>933</v>
      </c>
      <c r="AIE91" s="60"/>
      <c r="AIT91" s="63" t="s">
        <v>933</v>
      </c>
      <c r="AIU91" s="60"/>
      <c r="AJJ91" s="63" t="s">
        <v>933</v>
      </c>
      <c r="AJK91" s="60"/>
      <c r="AJZ91" s="63" t="s">
        <v>933</v>
      </c>
      <c r="AKA91" s="60"/>
      <c r="AKP91" s="63" t="s">
        <v>933</v>
      </c>
      <c r="AKQ91" s="60"/>
      <c r="ALF91" s="63" t="s">
        <v>933</v>
      </c>
      <c r="ALG91" s="60"/>
      <c r="ALV91" s="63" t="s">
        <v>933</v>
      </c>
      <c r="ALW91" s="60"/>
      <c r="AML91" s="63" t="s">
        <v>933</v>
      </c>
      <c r="AMM91" s="60"/>
      <c r="ANB91" s="63" t="s">
        <v>933</v>
      </c>
      <c r="ANC91" s="60"/>
      <c r="ANR91" s="63" t="s">
        <v>933</v>
      </c>
      <c r="ANS91" s="60"/>
      <c r="AOH91" s="63" t="s">
        <v>933</v>
      </c>
      <c r="AOI91" s="60"/>
      <c r="AOX91" s="63" t="s">
        <v>933</v>
      </c>
      <c r="AOY91" s="60"/>
      <c r="APN91" s="63" t="s">
        <v>933</v>
      </c>
      <c r="APO91" s="60"/>
      <c r="AQD91" s="63" t="s">
        <v>933</v>
      </c>
      <c r="AQE91" s="60"/>
      <c r="AQT91" s="63" t="s">
        <v>933</v>
      </c>
      <c r="AQU91" s="60"/>
      <c r="ARJ91" s="63" t="s">
        <v>933</v>
      </c>
      <c r="ARK91" s="60"/>
      <c r="ARZ91" s="63" t="s">
        <v>933</v>
      </c>
      <c r="ASA91" s="60"/>
      <c r="ASP91" s="63" t="s">
        <v>933</v>
      </c>
      <c r="ASQ91" s="60"/>
      <c r="ATF91" s="63" t="s">
        <v>933</v>
      </c>
      <c r="ATG91" s="60"/>
      <c r="ATV91" s="63" t="s">
        <v>933</v>
      </c>
      <c r="ATW91" s="60"/>
      <c r="AUL91" s="63" t="s">
        <v>933</v>
      </c>
      <c r="AUM91" s="60"/>
      <c r="AVB91" s="63" t="s">
        <v>933</v>
      </c>
      <c r="AVC91" s="60"/>
      <c r="AVR91" s="63" t="s">
        <v>933</v>
      </c>
      <c r="AVS91" s="60"/>
      <c r="AWH91" s="63" t="s">
        <v>933</v>
      </c>
      <c r="AWI91" s="60"/>
      <c r="AWX91" s="63" t="s">
        <v>933</v>
      </c>
      <c r="AWY91" s="60"/>
      <c r="AXN91" s="63" t="s">
        <v>933</v>
      </c>
      <c r="AXO91" s="60"/>
      <c r="AYD91" s="63" t="s">
        <v>933</v>
      </c>
      <c r="AYE91" s="60"/>
      <c r="AYT91" s="63" t="s">
        <v>933</v>
      </c>
      <c r="AYU91" s="60"/>
      <c r="AZJ91" s="63" t="s">
        <v>933</v>
      </c>
      <c r="AZK91" s="60"/>
      <c r="AZZ91" s="63" t="s">
        <v>933</v>
      </c>
      <c r="BAA91" s="60"/>
      <c r="BAP91" s="63" t="s">
        <v>933</v>
      </c>
      <c r="BAQ91" s="60"/>
      <c r="BBF91" s="63" t="s">
        <v>933</v>
      </c>
      <c r="BBG91" s="60"/>
      <c r="BBV91" s="63" t="s">
        <v>933</v>
      </c>
      <c r="BBW91" s="60"/>
      <c r="BCL91" s="63" t="s">
        <v>933</v>
      </c>
      <c r="BCM91" s="60"/>
      <c r="BDB91" s="63" t="s">
        <v>933</v>
      </c>
      <c r="BDC91" s="60"/>
      <c r="BDR91" s="63" t="s">
        <v>933</v>
      </c>
      <c r="BDS91" s="60"/>
      <c r="BEH91" s="63" t="s">
        <v>933</v>
      </c>
      <c r="BEI91" s="60"/>
      <c r="BEX91" s="63" t="s">
        <v>933</v>
      </c>
      <c r="BEY91" s="60"/>
      <c r="BFN91" s="63" t="s">
        <v>933</v>
      </c>
      <c r="BFO91" s="60"/>
      <c r="BGD91" s="63" t="s">
        <v>933</v>
      </c>
      <c r="BGE91" s="60"/>
      <c r="BGT91" s="63" t="s">
        <v>933</v>
      </c>
      <c r="BGU91" s="60"/>
      <c r="BHJ91" s="63" t="s">
        <v>933</v>
      </c>
      <c r="BHK91" s="60"/>
      <c r="BHZ91" s="63" t="s">
        <v>933</v>
      </c>
      <c r="BIA91" s="60"/>
      <c r="BIP91" s="63" t="s">
        <v>933</v>
      </c>
      <c r="BIQ91" s="60"/>
      <c r="BJF91" s="63" t="s">
        <v>933</v>
      </c>
      <c r="BJG91" s="60"/>
      <c r="BJV91" s="63" t="s">
        <v>933</v>
      </c>
      <c r="BJW91" s="60"/>
      <c r="BKL91" s="63" t="s">
        <v>933</v>
      </c>
      <c r="BKM91" s="60"/>
      <c r="BLB91" s="63" t="s">
        <v>933</v>
      </c>
      <c r="BLC91" s="60"/>
      <c r="BLR91" s="63" t="s">
        <v>933</v>
      </c>
      <c r="BLS91" s="60"/>
      <c r="BMH91" s="63" t="s">
        <v>933</v>
      </c>
      <c r="BMI91" s="60"/>
      <c r="BMX91" s="63" t="s">
        <v>933</v>
      </c>
      <c r="BMY91" s="60"/>
      <c r="BNN91" s="63" t="s">
        <v>933</v>
      </c>
      <c r="BNO91" s="60"/>
      <c r="BOD91" s="63" t="s">
        <v>933</v>
      </c>
      <c r="BOE91" s="60"/>
      <c r="BOT91" s="63" t="s">
        <v>933</v>
      </c>
      <c r="BOU91" s="60"/>
      <c r="BPJ91" s="63" t="s">
        <v>933</v>
      </c>
      <c r="BPK91" s="60"/>
      <c r="BPZ91" s="63" t="s">
        <v>933</v>
      </c>
      <c r="BQA91" s="60"/>
      <c r="BQP91" s="63" t="s">
        <v>933</v>
      </c>
      <c r="BQQ91" s="60"/>
      <c r="BRF91" s="63" t="s">
        <v>933</v>
      </c>
      <c r="BRG91" s="60"/>
      <c r="BRV91" s="63" t="s">
        <v>933</v>
      </c>
      <c r="BRW91" s="60"/>
      <c r="BSL91" s="63" t="s">
        <v>933</v>
      </c>
      <c r="BSM91" s="60"/>
      <c r="BTB91" s="63" t="s">
        <v>933</v>
      </c>
      <c r="BTC91" s="60"/>
      <c r="BTR91" s="63" t="s">
        <v>933</v>
      </c>
      <c r="BTS91" s="60"/>
      <c r="BUH91" s="63" t="s">
        <v>933</v>
      </c>
      <c r="BUI91" s="60"/>
      <c r="BUX91" s="63" t="s">
        <v>933</v>
      </c>
      <c r="BUY91" s="60"/>
      <c r="BVN91" s="63" t="s">
        <v>933</v>
      </c>
      <c r="BVO91" s="60"/>
      <c r="BWD91" s="63" t="s">
        <v>933</v>
      </c>
      <c r="BWE91" s="60"/>
      <c r="BWT91" s="63" t="s">
        <v>933</v>
      </c>
      <c r="BWU91" s="60"/>
      <c r="BXJ91" s="63" t="s">
        <v>933</v>
      </c>
      <c r="BXK91" s="60"/>
      <c r="BXZ91" s="63" t="s">
        <v>933</v>
      </c>
      <c r="BYA91" s="60"/>
      <c r="BYP91" s="63" t="s">
        <v>933</v>
      </c>
      <c r="BYQ91" s="60"/>
      <c r="BZF91" s="63" t="s">
        <v>933</v>
      </c>
      <c r="BZG91" s="60"/>
      <c r="BZV91" s="63" t="s">
        <v>933</v>
      </c>
      <c r="BZW91" s="60"/>
      <c r="CAL91" s="63" t="s">
        <v>933</v>
      </c>
      <c r="CAM91" s="60"/>
      <c r="CBB91" s="63" t="s">
        <v>933</v>
      </c>
      <c r="CBC91" s="60"/>
      <c r="CBR91" s="63" t="s">
        <v>933</v>
      </c>
      <c r="CBS91" s="60"/>
      <c r="CCH91" s="63" t="s">
        <v>933</v>
      </c>
      <c r="CCI91" s="60"/>
      <c r="CCX91" s="63" t="s">
        <v>933</v>
      </c>
      <c r="CCY91" s="60"/>
      <c r="CDN91" s="63" t="s">
        <v>933</v>
      </c>
      <c r="CDO91" s="60"/>
      <c r="CED91" s="63" t="s">
        <v>933</v>
      </c>
      <c r="CEE91" s="60"/>
      <c r="CET91" s="63" t="s">
        <v>933</v>
      </c>
      <c r="CEU91" s="60"/>
      <c r="CFJ91" s="63" t="s">
        <v>933</v>
      </c>
      <c r="CFK91" s="60"/>
      <c r="CFZ91" s="63" t="s">
        <v>933</v>
      </c>
      <c r="CGA91" s="60"/>
      <c r="CGP91" s="63" t="s">
        <v>933</v>
      </c>
      <c r="CGQ91" s="60"/>
      <c r="CHF91" s="63" t="s">
        <v>933</v>
      </c>
      <c r="CHG91" s="60"/>
      <c r="CHV91" s="63" t="s">
        <v>933</v>
      </c>
      <c r="CHW91" s="60"/>
      <c r="CIL91" s="63" t="s">
        <v>933</v>
      </c>
      <c r="CIM91" s="60"/>
      <c r="CJB91" s="63" t="s">
        <v>933</v>
      </c>
      <c r="CJC91" s="60"/>
      <c r="CJR91" s="63" t="s">
        <v>933</v>
      </c>
      <c r="CJS91" s="60"/>
      <c r="CKH91" s="63" t="s">
        <v>933</v>
      </c>
      <c r="CKI91" s="60"/>
      <c r="CKX91" s="63" t="s">
        <v>933</v>
      </c>
      <c r="CKY91" s="60"/>
      <c r="CLN91" s="63" t="s">
        <v>933</v>
      </c>
      <c r="CLO91" s="60"/>
      <c r="CMD91" s="63" t="s">
        <v>933</v>
      </c>
      <c r="CME91" s="60"/>
      <c r="CMT91" s="63" t="s">
        <v>933</v>
      </c>
      <c r="CMU91" s="60"/>
      <c r="CNJ91" s="63" t="s">
        <v>933</v>
      </c>
      <c r="CNK91" s="60"/>
      <c r="CNZ91" s="63" t="s">
        <v>933</v>
      </c>
      <c r="COA91" s="60"/>
      <c r="COP91" s="63" t="s">
        <v>933</v>
      </c>
      <c r="COQ91" s="60"/>
      <c r="CPF91" s="63" t="s">
        <v>933</v>
      </c>
      <c r="CPG91" s="60"/>
      <c r="CPV91" s="63" t="s">
        <v>933</v>
      </c>
      <c r="CPW91" s="60"/>
      <c r="CQL91" s="63" t="s">
        <v>933</v>
      </c>
      <c r="CQM91" s="60"/>
      <c r="CRB91" s="63" t="s">
        <v>933</v>
      </c>
      <c r="CRC91" s="60"/>
      <c r="CRR91" s="63" t="s">
        <v>933</v>
      </c>
      <c r="CRS91" s="60"/>
      <c r="CSH91" s="63" t="s">
        <v>933</v>
      </c>
      <c r="CSI91" s="60"/>
      <c r="CSX91" s="63" t="s">
        <v>933</v>
      </c>
      <c r="CSY91" s="60"/>
      <c r="CTN91" s="63" t="s">
        <v>933</v>
      </c>
      <c r="CTO91" s="60"/>
      <c r="CUD91" s="63" t="s">
        <v>933</v>
      </c>
      <c r="CUE91" s="60"/>
      <c r="CUT91" s="63" t="s">
        <v>933</v>
      </c>
      <c r="CUU91" s="60"/>
      <c r="CVJ91" s="63" t="s">
        <v>933</v>
      </c>
      <c r="CVK91" s="60"/>
      <c r="CVZ91" s="63" t="s">
        <v>933</v>
      </c>
      <c r="CWA91" s="60"/>
      <c r="CWP91" s="63" t="s">
        <v>933</v>
      </c>
      <c r="CWQ91" s="60"/>
      <c r="CXF91" s="63" t="s">
        <v>933</v>
      </c>
      <c r="CXG91" s="60"/>
      <c r="CXV91" s="63" t="s">
        <v>933</v>
      </c>
      <c r="CXW91" s="60"/>
      <c r="CYL91" s="63" t="s">
        <v>933</v>
      </c>
      <c r="CYM91" s="60"/>
      <c r="CZB91" s="63" t="s">
        <v>933</v>
      </c>
      <c r="CZC91" s="60"/>
      <c r="CZR91" s="63" t="s">
        <v>933</v>
      </c>
      <c r="CZS91" s="60"/>
      <c r="DAH91" s="63" t="s">
        <v>933</v>
      </c>
      <c r="DAI91" s="60"/>
      <c r="DAX91" s="63" t="s">
        <v>933</v>
      </c>
      <c r="DAY91" s="60"/>
      <c r="DBN91" s="63" t="s">
        <v>933</v>
      </c>
      <c r="DBO91" s="60"/>
      <c r="DCD91" s="63" t="s">
        <v>933</v>
      </c>
      <c r="DCE91" s="60"/>
      <c r="DCT91" s="63" t="s">
        <v>933</v>
      </c>
      <c r="DCU91" s="60"/>
      <c r="DDJ91" s="63" t="s">
        <v>933</v>
      </c>
      <c r="DDK91" s="60"/>
      <c r="DDZ91" s="63" t="s">
        <v>933</v>
      </c>
      <c r="DEA91" s="60"/>
      <c r="DEP91" s="63" t="s">
        <v>933</v>
      </c>
      <c r="DEQ91" s="60"/>
      <c r="DFF91" s="63" t="s">
        <v>933</v>
      </c>
      <c r="DFG91" s="60"/>
      <c r="DFV91" s="63" t="s">
        <v>933</v>
      </c>
      <c r="DFW91" s="60"/>
      <c r="DGL91" s="63" t="s">
        <v>933</v>
      </c>
      <c r="DGM91" s="60"/>
      <c r="DHB91" s="63" t="s">
        <v>933</v>
      </c>
      <c r="DHC91" s="60"/>
      <c r="DHR91" s="63" t="s">
        <v>933</v>
      </c>
      <c r="DHS91" s="60"/>
      <c r="DIH91" s="63" t="s">
        <v>933</v>
      </c>
      <c r="DII91" s="60"/>
      <c r="DIX91" s="63" t="s">
        <v>933</v>
      </c>
      <c r="DIY91" s="60"/>
      <c r="DJN91" s="63" t="s">
        <v>933</v>
      </c>
      <c r="DJO91" s="60"/>
      <c r="DKD91" s="63" t="s">
        <v>933</v>
      </c>
      <c r="DKE91" s="60"/>
      <c r="DKT91" s="63" t="s">
        <v>933</v>
      </c>
      <c r="DKU91" s="60"/>
      <c r="DLJ91" s="63" t="s">
        <v>933</v>
      </c>
      <c r="DLK91" s="60"/>
      <c r="DLZ91" s="63" t="s">
        <v>933</v>
      </c>
      <c r="DMA91" s="60"/>
      <c r="DMP91" s="63" t="s">
        <v>933</v>
      </c>
      <c r="DMQ91" s="60"/>
      <c r="DNF91" s="63" t="s">
        <v>933</v>
      </c>
      <c r="DNG91" s="60"/>
      <c r="DNV91" s="63" t="s">
        <v>933</v>
      </c>
      <c r="DNW91" s="60"/>
      <c r="DOL91" s="63" t="s">
        <v>933</v>
      </c>
      <c r="DOM91" s="60"/>
      <c r="DPB91" s="63" t="s">
        <v>933</v>
      </c>
      <c r="DPC91" s="60"/>
      <c r="DPR91" s="63" t="s">
        <v>933</v>
      </c>
      <c r="DPS91" s="60"/>
      <c r="DQH91" s="63" t="s">
        <v>933</v>
      </c>
      <c r="DQI91" s="60"/>
      <c r="DQX91" s="63" t="s">
        <v>933</v>
      </c>
      <c r="DQY91" s="60"/>
      <c r="DRN91" s="63" t="s">
        <v>933</v>
      </c>
      <c r="DRO91" s="60"/>
      <c r="DSD91" s="63" t="s">
        <v>933</v>
      </c>
      <c r="DSE91" s="60"/>
      <c r="DST91" s="63" t="s">
        <v>933</v>
      </c>
      <c r="DSU91" s="60"/>
      <c r="DTJ91" s="63" t="s">
        <v>933</v>
      </c>
      <c r="DTK91" s="60"/>
      <c r="DTZ91" s="63" t="s">
        <v>933</v>
      </c>
      <c r="DUA91" s="60"/>
      <c r="DUP91" s="63" t="s">
        <v>933</v>
      </c>
      <c r="DUQ91" s="60"/>
      <c r="DVF91" s="63" t="s">
        <v>933</v>
      </c>
      <c r="DVG91" s="60"/>
      <c r="DVV91" s="63" t="s">
        <v>933</v>
      </c>
      <c r="DVW91" s="60"/>
      <c r="DWL91" s="63" t="s">
        <v>933</v>
      </c>
      <c r="DWM91" s="60"/>
      <c r="DXB91" s="63" t="s">
        <v>933</v>
      </c>
      <c r="DXC91" s="60"/>
      <c r="DXR91" s="63" t="s">
        <v>933</v>
      </c>
      <c r="DXS91" s="60"/>
      <c r="DYH91" s="63" t="s">
        <v>933</v>
      </c>
      <c r="DYI91" s="60"/>
      <c r="DYX91" s="63" t="s">
        <v>933</v>
      </c>
      <c r="DYY91" s="60"/>
      <c r="DZN91" s="63" t="s">
        <v>933</v>
      </c>
      <c r="DZO91" s="60"/>
      <c r="EAD91" s="63" t="s">
        <v>933</v>
      </c>
      <c r="EAE91" s="60"/>
      <c r="EAT91" s="63" t="s">
        <v>933</v>
      </c>
      <c r="EAU91" s="60"/>
      <c r="EBJ91" s="63" t="s">
        <v>933</v>
      </c>
      <c r="EBK91" s="60"/>
      <c r="EBZ91" s="63" t="s">
        <v>933</v>
      </c>
      <c r="ECA91" s="60"/>
      <c r="ECP91" s="63" t="s">
        <v>933</v>
      </c>
      <c r="ECQ91" s="60"/>
      <c r="EDF91" s="63" t="s">
        <v>933</v>
      </c>
      <c r="EDG91" s="60"/>
      <c r="EDV91" s="63" t="s">
        <v>933</v>
      </c>
      <c r="EDW91" s="60"/>
      <c r="EEL91" s="63" t="s">
        <v>933</v>
      </c>
      <c r="EEM91" s="60"/>
      <c r="EFB91" s="63" t="s">
        <v>933</v>
      </c>
      <c r="EFC91" s="60"/>
      <c r="EFR91" s="63" t="s">
        <v>933</v>
      </c>
      <c r="EFS91" s="60"/>
      <c r="EGH91" s="63" t="s">
        <v>933</v>
      </c>
      <c r="EGI91" s="60"/>
      <c r="EGX91" s="63" t="s">
        <v>933</v>
      </c>
      <c r="EGY91" s="60"/>
      <c r="EHN91" s="63" t="s">
        <v>933</v>
      </c>
      <c r="EHO91" s="60"/>
      <c r="EID91" s="63" t="s">
        <v>933</v>
      </c>
      <c r="EIE91" s="60"/>
      <c r="EIT91" s="63" t="s">
        <v>933</v>
      </c>
      <c r="EIU91" s="60"/>
      <c r="EJJ91" s="63" t="s">
        <v>933</v>
      </c>
      <c r="EJK91" s="60"/>
      <c r="EJZ91" s="63" t="s">
        <v>933</v>
      </c>
      <c r="EKA91" s="60"/>
      <c r="EKP91" s="63" t="s">
        <v>933</v>
      </c>
      <c r="EKQ91" s="60"/>
      <c r="ELF91" s="63" t="s">
        <v>933</v>
      </c>
      <c r="ELG91" s="60"/>
      <c r="ELV91" s="63" t="s">
        <v>933</v>
      </c>
      <c r="ELW91" s="60"/>
      <c r="EML91" s="63" t="s">
        <v>933</v>
      </c>
      <c r="EMM91" s="60"/>
      <c r="ENB91" s="63" t="s">
        <v>933</v>
      </c>
      <c r="ENC91" s="60"/>
      <c r="ENR91" s="63" t="s">
        <v>933</v>
      </c>
      <c r="ENS91" s="60"/>
      <c r="EOH91" s="63" t="s">
        <v>933</v>
      </c>
      <c r="EOI91" s="60"/>
      <c r="EOX91" s="63" t="s">
        <v>933</v>
      </c>
      <c r="EOY91" s="60"/>
      <c r="EPN91" s="63" t="s">
        <v>933</v>
      </c>
      <c r="EPO91" s="60"/>
      <c r="EQD91" s="63" t="s">
        <v>933</v>
      </c>
      <c r="EQE91" s="60"/>
      <c r="EQT91" s="63" t="s">
        <v>933</v>
      </c>
      <c r="EQU91" s="60"/>
      <c r="ERJ91" s="63" t="s">
        <v>933</v>
      </c>
      <c r="ERK91" s="60"/>
      <c r="ERZ91" s="63" t="s">
        <v>933</v>
      </c>
      <c r="ESA91" s="60"/>
      <c r="ESP91" s="63" t="s">
        <v>933</v>
      </c>
      <c r="ESQ91" s="60"/>
      <c r="ETF91" s="63" t="s">
        <v>933</v>
      </c>
      <c r="ETG91" s="60"/>
      <c r="ETV91" s="63" t="s">
        <v>933</v>
      </c>
      <c r="ETW91" s="60"/>
      <c r="EUL91" s="63" t="s">
        <v>933</v>
      </c>
      <c r="EUM91" s="60"/>
      <c r="EVB91" s="63" t="s">
        <v>933</v>
      </c>
      <c r="EVC91" s="60"/>
      <c r="EVR91" s="63" t="s">
        <v>933</v>
      </c>
      <c r="EVS91" s="60"/>
      <c r="EWH91" s="63" t="s">
        <v>933</v>
      </c>
      <c r="EWI91" s="60"/>
      <c r="EWX91" s="63" t="s">
        <v>933</v>
      </c>
      <c r="EWY91" s="60"/>
      <c r="EXN91" s="63" t="s">
        <v>933</v>
      </c>
      <c r="EXO91" s="60"/>
      <c r="EYD91" s="63" t="s">
        <v>933</v>
      </c>
      <c r="EYE91" s="60"/>
      <c r="EYT91" s="63" t="s">
        <v>933</v>
      </c>
      <c r="EYU91" s="60"/>
      <c r="EZJ91" s="63" t="s">
        <v>933</v>
      </c>
      <c r="EZK91" s="60"/>
      <c r="EZZ91" s="63" t="s">
        <v>933</v>
      </c>
      <c r="FAA91" s="60"/>
      <c r="FAP91" s="63" t="s">
        <v>933</v>
      </c>
      <c r="FAQ91" s="60"/>
      <c r="FBF91" s="63" t="s">
        <v>933</v>
      </c>
      <c r="FBG91" s="60"/>
      <c r="FBV91" s="63" t="s">
        <v>933</v>
      </c>
      <c r="FBW91" s="60"/>
      <c r="FCL91" s="63" t="s">
        <v>933</v>
      </c>
      <c r="FCM91" s="60"/>
      <c r="FDB91" s="63" t="s">
        <v>933</v>
      </c>
      <c r="FDC91" s="60"/>
      <c r="FDR91" s="63" t="s">
        <v>933</v>
      </c>
      <c r="FDS91" s="60"/>
      <c r="FEH91" s="63" t="s">
        <v>933</v>
      </c>
      <c r="FEI91" s="60"/>
      <c r="FEX91" s="63" t="s">
        <v>933</v>
      </c>
      <c r="FEY91" s="60"/>
      <c r="FFN91" s="63" t="s">
        <v>933</v>
      </c>
      <c r="FFO91" s="60"/>
      <c r="FGD91" s="63" t="s">
        <v>933</v>
      </c>
      <c r="FGE91" s="60"/>
      <c r="FGT91" s="63" t="s">
        <v>933</v>
      </c>
      <c r="FGU91" s="60"/>
      <c r="FHJ91" s="63" t="s">
        <v>933</v>
      </c>
      <c r="FHK91" s="60"/>
      <c r="FHZ91" s="63" t="s">
        <v>933</v>
      </c>
      <c r="FIA91" s="60"/>
      <c r="FIP91" s="63" t="s">
        <v>933</v>
      </c>
      <c r="FIQ91" s="60"/>
      <c r="FJF91" s="63" t="s">
        <v>933</v>
      </c>
      <c r="FJG91" s="60"/>
      <c r="FJV91" s="63" t="s">
        <v>933</v>
      </c>
      <c r="FJW91" s="60"/>
      <c r="FKL91" s="63" t="s">
        <v>933</v>
      </c>
      <c r="FKM91" s="60"/>
      <c r="FLB91" s="63" t="s">
        <v>933</v>
      </c>
      <c r="FLC91" s="60"/>
      <c r="FLR91" s="63" t="s">
        <v>933</v>
      </c>
      <c r="FLS91" s="60"/>
      <c r="FMH91" s="63" t="s">
        <v>933</v>
      </c>
      <c r="FMI91" s="60"/>
      <c r="FMX91" s="63" t="s">
        <v>933</v>
      </c>
      <c r="FMY91" s="60"/>
      <c r="FNN91" s="63" t="s">
        <v>933</v>
      </c>
      <c r="FNO91" s="60"/>
      <c r="FOD91" s="63" t="s">
        <v>933</v>
      </c>
      <c r="FOE91" s="60"/>
      <c r="FOT91" s="63" t="s">
        <v>933</v>
      </c>
      <c r="FOU91" s="60"/>
      <c r="FPJ91" s="63" t="s">
        <v>933</v>
      </c>
      <c r="FPK91" s="60"/>
      <c r="FPZ91" s="63" t="s">
        <v>933</v>
      </c>
      <c r="FQA91" s="60"/>
      <c r="FQP91" s="63" t="s">
        <v>933</v>
      </c>
      <c r="FQQ91" s="60"/>
      <c r="FRF91" s="63" t="s">
        <v>933</v>
      </c>
      <c r="FRG91" s="60"/>
      <c r="FRV91" s="63" t="s">
        <v>933</v>
      </c>
      <c r="FRW91" s="60"/>
      <c r="FSL91" s="63" t="s">
        <v>933</v>
      </c>
      <c r="FSM91" s="60"/>
      <c r="FTB91" s="63" t="s">
        <v>933</v>
      </c>
      <c r="FTC91" s="60"/>
      <c r="FTR91" s="63" t="s">
        <v>933</v>
      </c>
      <c r="FTS91" s="60"/>
      <c r="FUH91" s="63" t="s">
        <v>933</v>
      </c>
      <c r="FUI91" s="60"/>
      <c r="FUX91" s="63" t="s">
        <v>933</v>
      </c>
      <c r="FUY91" s="60"/>
      <c r="FVN91" s="63" t="s">
        <v>933</v>
      </c>
      <c r="FVO91" s="60"/>
      <c r="FWD91" s="63" t="s">
        <v>933</v>
      </c>
      <c r="FWE91" s="60"/>
      <c r="FWT91" s="63" t="s">
        <v>933</v>
      </c>
      <c r="FWU91" s="60"/>
      <c r="FXJ91" s="63" t="s">
        <v>933</v>
      </c>
      <c r="FXK91" s="60"/>
      <c r="FXZ91" s="63" t="s">
        <v>933</v>
      </c>
      <c r="FYA91" s="60"/>
      <c r="FYP91" s="63" t="s">
        <v>933</v>
      </c>
      <c r="FYQ91" s="60"/>
      <c r="FZF91" s="63" t="s">
        <v>933</v>
      </c>
      <c r="FZG91" s="60"/>
      <c r="FZV91" s="63" t="s">
        <v>933</v>
      </c>
      <c r="FZW91" s="60"/>
      <c r="GAL91" s="63" t="s">
        <v>933</v>
      </c>
      <c r="GAM91" s="60"/>
      <c r="GBB91" s="63" t="s">
        <v>933</v>
      </c>
      <c r="GBC91" s="60"/>
      <c r="GBR91" s="63" t="s">
        <v>933</v>
      </c>
      <c r="GBS91" s="60"/>
      <c r="GCH91" s="63" t="s">
        <v>933</v>
      </c>
      <c r="GCI91" s="60"/>
      <c r="GCX91" s="63" t="s">
        <v>933</v>
      </c>
      <c r="GCY91" s="60"/>
      <c r="GDN91" s="63" t="s">
        <v>933</v>
      </c>
      <c r="GDO91" s="60"/>
      <c r="GED91" s="63" t="s">
        <v>933</v>
      </c>
      <c r="GEE91" s="60"/>
      <c r="GET91" s="63" t="s">
        <v>933</v>
      </c>
      <c r="GEU91" s="60"/>
      <c r="GFJ91" s="63" t="s">
        <v>933</v>
      </c>
      <c r="GFK91" s="60"/>
      <c r="GFZ91" s="63" t="s">
        <v>933</v>
      </c>
      <c r="GGA91" s="60"/>
      <c r="GGP91" s="63" t="s">
        <v>933</v>
      </c>
      <c r="GGQ91" s="60"/>
      <c r="GHF91" s="63" t="s">
        <v>933</v>
      </c>
      <c r="GHG91" s="60"/>
      <c r="GHV91" s="63" t="s">
        <v>933</v>
      </c>
      <c r="GHW91" s="60"/>
      <c r="GIL91" s="63" t="s">
        <v>933</v>
      </c>
      <c r="GIM91" s="60"/>
      <c r="GJB91" s="63" t="s">
        <v>933</v>
      </c>
      <c r="GJC91" s="60"/>
      <c r="GJR91" s="63" t="s">
        <v>933</v>
      </c>
      <c r="GJS91" s="60"/>
      <c r="GKH91" s="63" t="s">
        <v>933</v>
      </c>
      <c r="GKI91" s="60"/>
      <c r="GKX91" s="63" t="s">
        <v>933</v>
      </c>
      <c r="GKY91" s="60"/>
      <c r="GLN91" s="63" t="s">
        <v>933</v>
      </c>
      <c r="GLO91" s="60"/>
      <c r="GMD91" s="63" t="s">
        <v>933</v>
      </c>
      <c r="GME91" s="60"/>
      <c r="GMT91" s="63" t="s">
        <v>933</v>
      </c>
      <c r="GMU91" s="60"/>
      <c r="GNJ91" s="63" t="s">
        <v>933</v>
      </c>
      <c r="GNK91" s="60"/>
      <c r="GNZ91" s="63" t="s">
        <v>933</v>
      </c>
      <c r="GOA91" s="60"/>
      <c r="GOP91" s="63" t="s">
        <v>933</v>
      </c>
      <c r="GOQ91" s="60"/>
      <c r="GPF91" s="63" t="s">
        <v>933</v>
      </c>
      <c r="GPG91" s="60"/>
      <c r="GPV91" s="63" t="s">
        <v>933</v>
      </c>
      <c r="GPW91" s="60"/>
      <c r="GQL91" s="63" t="s">
        <v>933</v>
      </c>
      <c r="GQM91" s="60"/>
      <c r="GRB91" s="63" t="s">
        <v>933</v>
      </c>
      <c r="GRC91" s="60"/>
      <c r="GRR91" s="63" t="s">
        <v>933</v>
      </c>
      <c r="GRS91" s="60"/>
      <c r="GSH91" s="63" t="s">
        <v>933</v>
      </c>
      <c r="GSI91" s="60"/>
      <c r="GSX91" s="63" t="s">
        <v>933</v>
      </c>
      <c r="GSY91" s="60"/>
      <c r="GTN91" s="63" t="s">
        <v>933</v>
      </c>
      <c r="GTO91" s="60"/>
      <c r="GUD91" s="63" t="s">
        <v>933</v>
      </c>
      <c r="GUE91" s="60"/>
      <c r="GUT91" s="63" t="s">
        <v>933</v>
      </c>
      <c r="GUU91" s="60"/>
      <c r="GVJ91" s="63" t="s">
        <v>933</v>
      </c>
      <c r="GVK91" s="60"/>
      <c r="GVZ91" s="63" t="s">
        <v>933</v>
      </c>
      <c r="GWA91" s="60"/>
      <c r="GWP91" s="63" t="s">
        <v>933</v>
      </c>
      <c r="GWQ91" s="60"/>
      <c r="GXF91" s="63" t="s">
        <v>933</v>
      </c>
      <c r="GXG91" s="60"/>
      <c r="GXV91" s="63" t="s">
        <v>933</v>
      </c>
      <c r="GXW91" s="60"/>
      <c r="GYL91" s="63" t="s">
        <v>933</v>
      </c>
      <c r="GYM91" s="60"/>
      <c r="GZB91" s="63" t="s">
        <v>933</v>
      </c>
      <c r="GZC91" s="60"/>
      <c r="GZR91" s="63" t="s">
        <v>933</v>
      </c>
      <c r="GZS91" s="60"/>
      <c r="HAH91" s="63" t="s">
        <v>933</v>
      </c>
      <c r="HAI91" s="60"/>
      <c r="HAX91" s="63" t="s">
        <v>933</v>
      </c>
      <c r="HAY91" s="60"/>
      <c r="HBN91" s="63" t="s">
        <v>933</v>
      </c>
      <c r="HBO91" s="60"/>
      <c r="HCD91" s="63" t="s">
        <v>933</v>
      </c>
      <c r="HCE91" s="60"/>
      <c r="HCT91" s="63" t="s">
        <v>933</v>
      </c>
      <c r="HCU91" s="60"/>
      <c r="HDJ91" s="63" t="s">
        <v>933</v>
      </c>
      <c r="HDK91" s="60"/>
      <c r="HDZ91" s="63" t="s">
        <v>933</v>
      </c>
      <c r="HEA91" s="60"/>
      <c r="HEP91" s="63" t="s">
        <v>933</v>
      </c>
      <c r="HEQ91" s="60"/>
      <c r="HFF91" s="63" t="s">
        <v>933</v>
      </c>
      <c r="HFG91" s="60"/>
      <c r="HFV91" s="63" t="s">
        <v>933</v>
      </c>
      <c r="HFW91" s="60"/>
      <c r="HGL91" s="63" t="s">
        <v>933</v>
      </c>
      <c r="HGM91" s="60"/>
      <c r="HHB91" s="63" t="s">
        <v>933</v>
      </c>
      <c r="HHC91" s="60"/>
      <c r="HHR91" s="63" t="s">
        <v>933</v>
      </c>
      <c r="HHS91" s="60"/>
      <c r="HIH91" s="63" t="s">
        <v>933</v>
      </c>
      <c r="HII91" s="60"/>
      <c r="HIX91" s="63" t="s">
        <v>933</v>
      </c>
      <c r="HIY91" s="60"/>
      <c r="HJN91" s="63" t="s">
        <v>933</v>
      </c>
      <c r="HJO91" s="60"/>
      <c r="HKD91" s="63" t="s">
        <v>933</v>
      </c>
      <c r="HKE91" s="60"/>
      <c r="HKT91" s="63" t="s">
        <v>933</v>
      </c>
      <c r="HKU91" s="60"/>
      <c r="HLJ91" s="63" t="s">
        <v>933</v>
      </c>
      <c r="HLK91" s="60"/>
      <c r="HLZ91" s="63" t="s">
        <v>933</v>
      </c>
      <c r="HMA91" s="60"/>
      <c r="HMP91" s="63" t="s">
        <v>933</v>
      </c>
      <c r="HMQ91" s="60"/>
      <c r="HNF91" s="63" t="s">
        <v>933</v>
      </c>
      <c r="HNG91" s="60"/>
      <c r="HNV91" s="63" t="s">
        <v>933</v>
      </c>
      <c r="HNW91" s="60"/>
      <c r="HOL91" s="63" t="s">
        <v>933</v>
      </c>
      <c r="HOM91" s="60"/>
      <c r="HPB91" s="63" t="s">
        <v>933</v>
      </c>
      <c r="HPC91" s="60"/>
      <c r="HPR91" s="63" t="s">
        <v>933</v>
      </c>
      <c r="HPS91" s="60"/>
      <c r="HQH91" s="63" t="s">
        <v>933</v>
      </c>
      <c r="HQI91" s="60"/>
      <c r="HQX91" s="63" t="s">
        <v>933</v>
      </c>
      <c r="HQY91" s="60"/>
      <c r="HRN91" s="63" t="s">
        <v>933</v>
      </c>
      <c r="HRO91" s="60"/>
      <c r="HSD91" s="63" t="s">
        <v>933</v>
      </c>
      <c r="HSE91" s="60"/>
      <c r="HST91" s="63" t="s">
        <v>933</v>
      </c>
      <c r="HSU91" s="60"/>
      <c r="HTJ91" s="63" t="s">
        <v>933</v>
      </c>
      <c r="HTK91" s="60"/>
      <c r="HTZ91" s="63" t="s">
        <v>933</v>
      </c>
      <c r="HUA91" s="60"/>
      <c r="HUP91" s="63" t="s">
        <v>933</v>
      </c>
      <c r="HUQ91" s="60"/>
      <c r="HVF91" s="63" t="s">
        <v>933</v>
      </c>
      <c r="HVG91" s="60"/>
      <c r="HVV91" s="63" t="s">
        <v>933</v>
      </c>
      <c r="HVW91" s="60"/>
      <c r="HWL91" s="63" t="s">
        <v>933</v>
      </c>
      <c r="HWM91" s="60"/>
      <c r="HXB91" s="63" t="s">
        <v>933</v>
      </c>
      <c r="HXC91" s="60"/>
      <c r="HXR91" s="63" t="s">
        <v>933</v>
      </c>
      <c r="HXS91" s="60"/>
      <c r="HYH91" s="63" t="s">
        <v>933</v>
      </c>
      <c r="HYI91" s="60"/>
      <c r="HYX91" s="63" t="s">
        <v>933</v>
      </c>
      <c r="HYY91" s="60"/>
      <c r="HZN91" s="63" t="s">
        <v>933</v>
      </c>
      <c r="HZO91" s="60"/>
      <c r="IAD91" s="63" t="s">
        <v>933</v>
      </c>
      <c r="IAE91" s="60"/>
      <c r="IAT91" s="63" t="s">
        <v>933</v>
      </c>
      <c r="IAU91" s="60"/>
      <c r="IBJ91" s="63" t="s">
        <v>933</v>
      </c>
      <c r="IBK91" s="60"/>
      <c r="IBZ91" s="63" t="s">
        <v>933</v>
      </c>
      <c r="ICA91" s="60"/>
      <c r="ICP91" s="63" t="s">
        <v>933</v>
      </c>
      <c r="ICQ91" s="60"/>
      <c r="IDF91" s="63" t="s">
        <v>933</v>
      </c>
      <c r="IDG91" s="60"/>
      <c r="IDV91" s="63" t="s">
        <v>933</v>
      </c>
      <c r="IDW91" s="60"/>
      <c r="IEL91" s="63" t="s">
        <v>933</v>
      </c>
      <c r="IEM91" s="60"/>
      <c r="IFB91" s="63" t="s">
        <v>933</v>
      </c>
      <c r="IFC91" s="60"/>
      <c r="IFR91" s="63" t="s">
        <v>933</v>
      </c>
      <c r="IFS91" s="60"/>
      <c r="IGH91" s="63" t="s">
        <v>933</v>
      </c>
      <c r="IGI91" s="60"/>
      <c r="IGX91" s="63" t="s">
        <v>933</v>
      </c>
      <c r="IGY91" s="60"/>
      <c r="IHN91" s="63" t="s">
        <v>933</v>
      </c>
      <c r="IHO91" s="60"/>
      <c r="IID91" s="63" t="s">
        <v>933</v>
      </c>
      <c r="IIE91" s="60"/>
      <c r="IIT91" s="63" t="s">
        <v>933</v>
      </c>
      <c r="IIU91" s="60"/>
      <c r="IJJ91" s="63" t="s">
        <v>933</v>
      </c>
      <c r="IJK91" s="60"/>
      <c r="IJZ91" s="63" t="s">
        <v>933</v>
      </c>
      <c r="IKA91" s="60"/>
      <c r="IKP91" s="63" t="s">
        <v>933</v>
      </c>
      <c r="IKQ91" s="60"/>
      <c r="ILF91" s="63" t="s">
        <v>933</v>
      </c>
      <c r="ILG91" s="60"/>
      <c r="ILV91" s="63" t="s">
        <v>933</v>
      </c>
      <c r="ILW91" s="60"/>
      <c r="IML91" s="63" t="s">
        <v>933</v>
      </c>
      <c r="IMM91" s="60"/>
      <c r="INB91" s="63" t="s">
        <v>933</v>
      </c>
      <c r="INC91" s="60"/>
      <c r="INR91" s="63" t="s">
        <v>933</v>
      </c>
      <c r="INS91" s="60"/>
      <c r="IOH91" s="63" t="s">
        <v>933</v>
      </c>
      <c r="IOI91" s="60"/>
      <c r="IOX91" s="63" t="s">
        <v>933</v>
      </c>
      <c r="IOY91" s="60"/>
      <c r="IPN91" s="63" t="s">
        <v>933</v>
      </c>
      <c r="IPO91" s="60"/>
      <c r="IQD91" s="63" t="s">
        <v>933</v>
      </c>
      <c r="IQE91" s="60"/>
      <c r="IQT91" s="63" t="s">
        <v>933</v>
      </c>
      <c r="IQU91" s="60"/>
      <c r="IRJ91" s="63" t="s">
        <v>933</v>
      </c>
      <c r="IRK91" s="60"/>
      <c r="IRZ91" s="63" t="s">
        <v>933</v>
      </c>
      <c r="ISA91" s="60"/>
      <c r="ISP91" s="63" t="s">
        <v>933</v>
      </c>
      <c r="ISQ91" s="60"/>
      <c r="ITF91" s="63" t="s">
        <v>933</v>
      </c>
      <c r="ITG91" s="60"/>
      <c r="ITV91" s="63" t="s">
        <v>933</v>
      </c>
      <c r="ITW91" s="60"/>
      <c r="IUL91" s="63" t="s">
        <v>933</v>
      </c>
      <c r="IUM91" s="60"/>
      <c r="IVB91" s="63" t="s">
        <v>933</v>
      </c>
      <c r="IVC91" s="60"/>
      <c r="IVR91" s="63" t="s">
        <v>933</v>
      </c>
      <c r="IVS91" s="60"/>
      <c r="IWH91" s="63" t="s">
        <v>933</v>
      </c>
      <c r="IWI91" s="60"/>
      <c r="IWX91" s="63" t="s">
        <v>933</v>
      </c>
      <c r="IWY91" s="60"/>
      <c r="IXN91" s="63" t="s">
        <v>933</v>
      </c>
      <c r="IXO91" s="60"/>
      <c r="IYD91" s="63" t="s">
        <v>933</v>
      </c>
      <c r="IYE91" s="60"/>
      <c r="IYT91" s="63" t="s">
        <v>933</v>
      </c>
      <c r="IYU91" s="60"/>
      <c r="IZJ91" s="63" t="s">
        <v>933</v>
      </c>
      <c r="IZK91" s="60"/>
      <c r="IZZ91" s="63" t="s">
        <v>933</v>
      </c>
      <c r="JAA91" s="60"/>
      <c r="JAP91" s="63" t="s">
        <v>933</v>
      </c>
      <c r="JAQ91" s="60"/>
      <c r="JBF91" s="63" t="s">
        <v>933</v>
      </c>
      <c r="JBG91" s="60"/>
      <c r="JBV91" s="63" t="s">
        <v>933</v>
      </c>
      <c r="JBW91" s="60"/>
      <c r="JCL91" s="63" t="s">
        <v>933</v>
      </c>
      <c r="JCM91" s="60"/>
      <c r="JDB91" s="63" t="s">
        <v>933</v>
      </c>
      <c r="JDC91" s="60"/>
      <c r="JDR91" s="63" t="s">
        <v>933</v>
      </c>
      <c r="JDS91" s="60"/>
      <c r="JEH91" s="63" t="s">
        <v>933</v>
      </c>
      <c r="JEI91" s="60"/>
      <c r="JEX91" s="63" t="s">
        <v>933</v>
      </c>
      <c r="JEY91" s="60"/>
      <c r="JFN91" s="63" t="s">
        <v>933</v>
      </c>
      <c r="JFO91" s="60"/>
      <c r="JGD91" s="63" t="s">
        <v>933</v>
      </c>
      <c r="JGE91" s="60"/>
      <c r="JGT91" s="63" t="s">
        <v>933</v>
      </c>
      <c r="JGU91" s="60"/>
      <c r="JHJ91" s="63" t="s">
        <v>933</v>
      </c>
      <c r="JHK91" s="60"/>
      <c r="JHZ91" s="63" t="s">
        <v>933</v>
      </c>
      <c r="JIA91" s="60"/>
      <c r="JIP91" s="63" t="s">
        <v>933</v>
      </c>
      <c r="JIQ91" s="60"/>
      <c r="JJF91" s="63" t="s">
        <v>933</v>
      </c>
      <c r="JJG91" s="60"/>
      <c r="JJV91" s="63" t="s">
        <v>933</v>
      </c>
      <c r="JJW91" s="60"/>
      <c r="JKL91" s="63" t="s">
        <v>933</v>
      </c>
      <c r="JKM91" s="60"/>
      <c r="JLB91" s="63" t="s">
        <v>933</v>
      </c>
      <c r="JLC91" s="60"/>
      <c r="JLR91" s="63" t="s">
        <v>933</v>
      </c>
      <c r="JLS91" s="60"/>
      <c r="JMH91" s="63" t="s">
        <v>933</v>
      </c>
      <c r="JMI91" s="60"/>
      <c r="JMX91" s="63" t="s">
        <v>933</v>
      </c>
      <c r="JMY91" s="60"/>
      <c r="JNN91" s="63" t="s">
        <v>933</v>
      </c>
      <c r="JNO91" s="60"/>
      <c r="JOD91" s="63" t="s">
        <v>933</v>
      </c>
      <c r="JOE91" s="60"/>
      <c r="JOT91" s="63" t="s">
        <v>933</v>
      </c>
      <c r="JOU91" s="60"/>
      <c r="JPJ91" s="63" t="s">
        <v>933</v>
      </c>
      <c r="JPK91" s="60"/>
      <c r="JPZ91" s="63" t="s">
        <v>933</v>
      </c>
      <c r="JQA91" s="60"/>
      <c r="JQP91" s="63" t="s">
        <v>933</v>
      </c>
      <c r="JQQ91" s="60"/>
      <c r="JRF91" s="63" t="s">
        <v>933</v>
      </c>
      <c r="JRG91" s="60"/>
      <c r="JRV91" s="63" t="s">
        <v>933</v>
      </c>
      <c r="JRW91" s="60"/>
      <c r="JSL91" s="63" t="s">
        <v>933</v>
      </c>
      <c r="JSM91" s="60"/>
      <c r="JTB91" s="63" t="s">
        <v>933</v>
      </c>
      <c r="JTC91" s="60"/>
      <c r="JTR91" s="63" t="s">
        <v>933</v>
      </c>
      <c r="JTS91" s="60"/>
      <c r="JUH91" s="63" t="s">
        <v>933</v>
      </c>
      <c r="JUI91" s="60"/>
      <c r="JUX91" s="63" t="s">
        <v>933</v>
      </c>
      <c r="JUY91" s="60"/>
      <c r="JVN91" s="63" t="s">
        <v>933</v>
      </c>
      <c r="JVO91" s="60"/>
      <c r="JWD91" s="63" t="s">
        <v>933</v>
      </c>
      <c r="JWE91" s="60"/>
      <c r="JWT91" s="63" t="s">
        <v>933</v>
      </c>
      <c r="JWU91" s="60"/>
      <c r="JXJ91" s="63" t="s">
        <v>933</v>
      </c>
      <c r="JXK91" s="60"/>
      <c r="JXZ91" s="63" t="s">
        <v>933</v>
      </c>
      <c r="JYA91" s="60"/>
      <c r="JYP91" s="63" t="s">
        <v>933</v>
      </c>
      <c r="JYQ91" s="60"/>
      <c r="JZF91" s="63" t="s">
        <v>933</v>
      </c>
      <c r="JZG91" s="60"/>
      <c r="JZV91" s="63" t="s">
        <v>933</v>
      </c>
      <c r="JZW91" s="60"/>
      <c r="KAL91" s="63" t="s">
        <v>933</v>
      </c>
      <c r="KAM91" s="60"/>
      <c r="KBB91" s="63" t="s">
        <v>933</v>
      </c>
      <c r="KBC91" s="60"/>
      <c r="KBR91" s="63" t="s">
        <v>933</v>
      </c>
      <c r="KBS91" s="60"/>
      <c r="KCH91" s="63" t="s">
        <v>933</v>
      </c>
      <c r="KCI91" s="60"/>
      <c r="KCX91" s="63" t="s">
        <v>933</v>
      </c>
      <c r="KCY91" s="60"/>
      <c r="KDN91" s="63" t="s">
        <v>933</v>
      </c>
      <c r="KDO91" s="60"/>
      <c r="KED91" s="63" t="s">
        <v>933</v>
      </c>
      <c r="KEE91" s="60"/>
      <c r="KET91" s="63" t="s">
        <v>933</v>
      </c>
      <c r="KEU91" s="60"/>
      <c r="KFJ91" s="63" t="s">
        <v>933</v>
      </c>
      <c r="KFK91" s="60"/>
      <c r="KFZ91" s="63" t="s">
        <v>933</v>
      </c>
      <c r="KGA91" s="60"/>
      <c r="KGP91" s="63" t="s">
        <v>933</v>
      </c>
      <c r="KGQ91" s="60"/>
      <c r="KHF91" s="63" t="s">
        <v>933</v>
      </c>
      <c r="KHG91" s="60"/>
      <c r="KHV91" s="63" t="s">
        <v>933</v>
      </c>
      <c r="KHW91" s="60"/>
      <c r="KIL91" s="63" t="s">
        <v>933</v>
      </c>
      <c r="KIM91" s="60"/>
      <c r="KJB91" s="63" t="s">
        <v>933</v>
      </c>
      <c r="KJC91" s="60"/>
      <c r="KJR91" s="63" t="s">
        <v>933</v>
      </c>
      <c r="KJS91" s="60"/>
      <c r="KKH91" s="63" t="s">
        <v>933</v>
      </c>
      <c r="KKI91" s="60"/>
      <c r="KKX91" s="63" t="s">
        <v>933</v>
      </c>
      <c r="KKY91" s="60"/>
      <c r="KLN91" s="63" t="s">
        <v>933</v>
      </c>
      <c r="KLO91" s="60"/>
      <c r="KMD91" s="63" t="s">
        <v>933</v>
      </c>
      <c r="KME91" s="60"/>
      <c r="KMT91" s="63" t="s">
        <v>933</v>
      </c>
      <c r="KMU91" s="60"/>
      <c r="KNJ91" s="63" t="s">
        <v>933</v>
      </c>
      <c r="KNK91" s="60"/>
      <c r="KNZ91" s="63" t="s">
        <v>933</v>
      </c>
      <c r="KOA91" s="60"/>
      <c r="KOP91" s="63" t="s">
        <v>933</v>
      </c>
      <c r="KOQ91" s="60"/>
      <c r="KPF91" s="63" t="s">
        <v>933</v>
      </c>
      <c r="KPG91" s="60"/>
      <c r="KPV91" s="63" t="s">
        <v>933</v>
      </c>
      <c r="KPW91" s="60"/>
      <c r="KQL91" s="63" t="s">
        <v>933</v>
      </c>
      <c r="KQM91" s="60"/>
      <c r="KRB91" s="63" t="s">
        <v>933</v>
      </c>
      <c r="KRC91" s="60"/>
      <c r="KRR91" s="63" t="s">
        <v>933</v>
      </c>
      <c r="KRS91" s="60"/>
      <c r="KSH91" s="63" t="s">
        <v>933</v>
      </c>
      <c r="KSI91" s="60"/>
      <c r="KSX91" s="63" t="s">
        <v>933</v>
      </c>
      <c r="KSY91" s="60"/>
      <c r="KTN91" s="63" t="s">
        <v>933</v>
      </c>
      <c r="KTO91" s="60"/>
      <c r="KUD91" s="63" t="s">
        <v>933</v>
      </c>
      <c r="KUE91" s="60"/>
      <c r="KUT91" s="63" t="s">
        <v>933</v>
      </c>
      <c r="KUU91" s="60"/>
      <c r="KVJ91" s="63" t="s">
        <v>933</v>
      </c>
      <c r="KVK91" s="60"/>
      <c r="KVZ91" s="63" t="s">
        <v>933</v>
      </c>
      <c r="KWA91" s="60"/>
      <c r="KWP91" s="63" t="s">
        <v>933</v>
      </c>
      <c r="KWQ91" s="60"/>
      <c r="KXF91" s="63" t="s">
        <v>933</v>
      </c>
      <c r="KXG91" s="60"/>
      <c r="KXV91" s="63" t="s">
        <v>933</v>
      </c>
      <c r="KXW91" s="60"/>
      <c r="KYL91" s="63" t="s">
        <v>933</v>
      </c>
      <c r="KYM91" s="60"/>
      <c r="KZB91" s="63" t="s">
        <v>933</v>
      </c>
      <c r="KZC91" s="60"/>
      <c r="KZR91" s="63" t="s">
        <v>933</v>
      </c>
      <c r="KZS91" s="60"/>
      <c r="LAH91" s="63" t="s">
        <v>933</v>
      </c>
      <c r="LAI91" s="60"/>
      <c r="LAX91" s="63" t="s">
        <v>933</v>
      </c>
      <c r="LAY91" s="60"/>
      <c r="LBN91" s="63" t="s">
        <v>933</v>
      </c>
      <c r="LBO91" s="60"/>
      <c r="LCD91" s="63" t="s">
        <v>933</v>
      </c>
      <c r="LCE91" s="60"/>
      <c r="LCT91" s="63" t="s">
        <v>933</v>
      </c>
      <c r="LCU91" s="60"/>
      <c r="LDJ91" s="63" t="s">
        <v>933</v>
      </c>
      <c r="LDK91" s="60"/>
      <c r="LDZ91" s="63" t="s">
        <v>933</v>
      </c>
      <c r="LEA91" s="60"/>
      <c r="LEP91" s="63" t="s">
        <v>933</v>
      </c>
      <c r="LEQ91" s="60"/>
      <c r="LFF91" s="63" t="s">
        <v>933</v>
      </c>
      <c r="LFG91" s="60"/>
      <c r="LFV91" s="63" t="s">
        <v>933</v>
      </c>
      <c r="LFW91" s="60"/>
      <c r="LGL91" s="63" t="s">
        <v>933</v>
      </c>
      <c r="LGM91" s="60"/>
      <c r="LHB91" s="63" t="s">
        <v>933</v>
      </c>
      <c r="LHC91" s="60"/>
      <c r="LHR91" s="63" t="s">
        <v>933</v>
      </c>
      <c r="LHS91" s="60"/>
      <c r="LIH91" s="63" t="s">
        <v>933</v>
      </c>
      <c r="LII91" s="60"/>
      <c r="LIX91" s="63" t="s">
        <v>933</v>
      </c>
      <c r="LIY91" s="60"/>
      <c r="LJN91" s="63" t="s">
        <v>933</v>
      </c>
      <c r="LJO91" s="60"/>
      <c r="LKD91" s="63" t="s">
        <v>933</v>
      </c>
      <c r="LKE91" s="60"/>
      <c r="LKT91" s="63" t="s">
        <v>933</v>
      </c>
      <c r="LKU91" s="60"/>
      <c r="LLJ91" s="63" t="s">
        <v>933</v>
      </c>
      <c r="LLK91" s="60"/>
      <c r="LLZ91" s="63" t="s">
        <v>933</v>
      </c>
      <c r="LMA91" s="60"/>
      <c r="LMP91" s="63" t="s">
        <v>933</v>
      </c>
      <c r="LMQ91" s="60"/>
      <c r="LNF91" s="63" t="s">
        <v>933</v>
      </c>
      <c r="LNG91" s="60"/>
      <c r="LNV91" s="63" t="s">
        <v>933</v>
      </c>
      <c r="LNW91" s="60"/>
      <c r="LOL91" s="63" t="s">
        <v>933</v>
      </c>
      <c r="LOM91" s="60"/>
      <c r="LPB91" s="63" t="s">
        <v>933</v>
      </c>
      <c r="LPC91" s="60"/>
      <c r="LPR91" s="63" t="s">
        <v>933</v>
      </c>
      <c r="LPS91" s="60"/>
      <c r="LQH91" s="63" t="s">
        <v>933</v>
      </c>
      <c r="LQI91" s="60"/>
      <c r="LQX91" s="63" t="s">
        <v>933</v>
      </c>
      <c r="LQY91" s="60"/>
      <c r="LRN91" s="63" t="s">
        <v>933</v>
      </c>
      <c r="LRO91" s="60"/>
      <c r="LSD91" s="63" t="s">
        <v>933</v>
      </c>
      <c r="LSE91" s="60"/>
      <c r="LST91" s="63" t="s">
        <v>933</v>
      </c>
      <c r="LSU91" s="60"/>
      <c r="LTJ91" s="63" t="s">
        <v>933</v>
      </c>
      <c r="LTK91" s="60"/>
      <c r="LTZ91" s="63" t="s">
        <v>933</v>
      </c>
      <c r="LUA91" s="60"/>
      <c r="LUP91" s="63" t="s">
        <v>933</v>
      </c>
      <c r="LUQ91" s="60"/>
      <c r="LVF91" s="63" t="s">
        <v>933</v>
      </c>
      <c r="LVG91" s="60"/>
      <c r="LVV91" s="63" t="s">
        <v>933</v>
      </c>
      <c r="LVW91" s="60"/>
      <c r="LWL91" s="63" t="s">
        <v>933</v>
      </c>
      <c r="LWM91" s="60"/>
      <c r="LXB91" s="63" t="s">
        <v>933</v>
      </c>
      <c r="LXC91" s="60"/>
      <c r="LXR91" s="63" t="s">
        <v>933</v>
      </c>
      <c r="LXS91" s="60"/>
      <c r="LYH91" s="63" t="s">
        <v>933</v>
      </c>
      <c r="LYI91" s="60"/>
      <c r="LYX91" s="63" t="s">
        <v>933</v>
      </c>
      <c r="LYY91" s="60"/>
      <c r="LZN91" s="63" t="s">
        <v>933</v>
      </c>
      <c r="LZO91" s="60"/>
      <c r="MAD91" s="63" t="s">
        <v>933</v>
      </c>
      <c r="MAE91" s="60"/>
      <c r="MAT91" s="63" t="s">
        <v>933</v>
      </c>
      <c r="MAU91" s="60"/>
      <c r="MBJ91" s="63" t="s">
        <v>933</v>
      </c>
      <c r="MBK91" s="60"/>
      <c r="MBZ91" s="63" t="s">
        <v>933</v>
      </c>
      <c r="MCA91" s="60"/>
      <c r="MCP91" s="63" t="s">
        <v>933</v>
      </c>
      <c r="MCQ91" s="60"/>
      <c r="MDF91" s="63" t="s">
        <v>933</v>
      </c>
      <c r="MDG91" s="60"/>
      <c r="MDV91" s="63" t="s">
        <v>933</v>
      </c>
      <c r="MDW91" s="60"/>
      <c r="MEL91" s="63" t="s">
        <v>933</v>
      </c>
      <c r="MEM91" s="60"/>
      <c r="MFB91" s="63" t="s">
        <v>933</v>
      </c>
      <c r="MFC91" s="60"/>
      <c r="MFR91" s="63" t="s">
        <v>933</v>
      </c>
      <c r="MFS91" s="60"/>
      <c r="MGH91" s="63" t="s">
        <v>933</v>
      </c>
      <c r="MGI91" s="60"/>
      <c r="MGX91" s="63" t="s">
        <v>933</v>
      </c>
      <c r="MGY91" s="60"/>
      <c r="MHN91" s="63" t="s">
        <v>933</v>
      </c>
      <c r="MHO91" s="60"/>
      <c r="MID91" s="63" t="s">
        <v>933</v>
      </c>
      <c r="MIE91" s="60"/>
      <c r="MIT91" s="63" t="s">
        <v>933</v>
      </c>
      <c r="MIU91" s="60"/>
      <c r="MJJ91" s="63" t="s">
        <v>933</v>
      </c>
      <c r="MJK91" s="60"/>
      <c r="MJZ91" s="63" t="s">
        <v>933</v>
      </c>
      <c r="MKA91" s="60"/>
      <c r="MKP91" s="63" t="s">
        <v>933</v>
      </c>
      <c r="MKQ91" s="60"/>
      <c r="MLF91" s="63" t="s">
        <v>933</v>
      </c>
      <c r="MLG91" s="60"/>
      <c r="MLV91" s="63" t="s">
        <v>933</v>
      </c>
      <c r="MLW91" s="60"/>
      <c r="MML91" s="63" t="s">
        <v>933</v>
      </c>
      <c r="MMM91" s="60"/>
      <c r="MNB91" s="63" t="s">
        <v>933</v>
      </c>
      <c r="MNC91" s="60"/>
      <c r="MNR91" s="63" t="s">
        <v>933</v>
      </c>
      <c r="MNS91" s="60"/>
      <c r="MOH91" s="63" t="s">
        <v>933</v>
      </c>
      <c r="MOI91" s="60"/>
      <c r="MOX91" s="63" t="s">
        <v>933</v>
      </c>
      <c r="MOY91" s="60"/>
      <c r="MPN91" s="63" t="s">
        <v>933</v>
      </c>
      <c r="MPO91" s="60"/>
      <c r="MQD91" s="63" t="s">
        <v>933</v>
      </c>
      <c r="MQE91" s="60"/>
      <c r="MQT91" s="63" t="s">
        <v>933</v>
      </c>
      <c r="MQU91" s="60"/>
      <c r="MRJ91" s="63" t="s">
        <v>933</v>
      </c>
      <c r="MRK91" s="60"/>
      <c r="MRZ91" s="63" t="s">
        <v>933</v>
      </c>
      <c r="MSA91" s="60"/>
      <c r="MSP91" s="63" t="s">
        <v>933</v>
      </c>
      <c r="MSQ91" s="60"/>
      <c r="MTF91" s="63" t="s">
        <v>933</v>
      </c>
      <c r="MTG91" s="60"/>
      <c r="MTV91" s="63" t="s">
        <v>933</v>
      </c>
      <c r="MTW91" s="60"/>
      <c r="MUL91" s="63" t="s">
        <v>933</v>
      </c>
      <c r="MUM91" s="60"/>
      <c r="MVB91" s="63" t="s">
        <v>933</v>
      </c>
      <c r="MVC91" s="60"/>
      <c r="MVR91" s="63" t="s">
        <v>933</v>
      </c>
      <c r="MVS91" s="60"/>
      <c r="MWH91" s="63" t="s">
        <v>933</v>
      </c>
      <c r="MWI91" s="60"/>
      <c r="MWX91" s="63" t="s">
        <v>933</v>
      </c>
      <c r="MWY91" s="60"/>
      <c r="MXN91" s="63" t="s">
        <v>933</v>
      </c>
      <c r="MXO91" s="60"/>
      <c r="MYD91" s="63" t="s">
        <v>933</v>
      </c>
      <c r="MYE91" s="60"/>
      <c r="MYT91" s="63" t="s">
        <v>933</v>
      </c>
      <c r="MYU91" s="60"/>
      <c r="MZJ91" s="63" t="s">
        <v>933</v>
      </c>
      <c r="MZK91" s="60"/>
      <c r="MZZ91" s="63" t="s">
        <v>933</v>
      </c>
      <c r="NAA91" s="60"/>
      <c r="NAP91" s="63" t="s">
        <v>933</v>
      </c>
      <c r="NAQ91" s="60"/>
      <c r="NBF91" s="63" t="s">
        <v>933</v>
      </c>
      <c r="NBG91" s="60"/>
      <c r="NBV91" s="63" t="s">
        <v>933</v>
      </c>
      <c r="NBW91" s="60"/>
      <c r="NCL91" s="63" t="s">
        <v>933</v>
      </c>
      <c r="NCM91" s="60"/>
      <c r="NDB91" s="63" t="s">
        <v>933</v>
      </c>
      <c r="NDC91" s="60"/>
      <c r="NDR91" s="63" t="s">
        <v>933</v>
      </c>
      <c r="NDS91" s="60"/>
      <c r="NEH91" s="63" t="s">
        <v>933</v>
      </c>
      <c r="NEI91" s="60"/>
      <c r="NEX91" s="63" t="s">
        <v>933</v>
      </c>
      <c r="NEY91" s="60"/>
      <c r="NFN91" s="63" t="s">
        <v>933</v>
      </c>
      <c r="NFO91" s="60"/>
      <c r="NGD91" s="63" t="s">
        <v>933</v>
      </c>
      <c r="NGE91" s="60"/>
      <c r="NGT91" s="63" t="s">
        <v>933</v>
      </c>
      <c r="NGU91" s="60"/>
      <c r="NHJ91" s="63" t="s">
        <v>933</v>
      </c>
      <c r="NHK91" s="60"/>
      <c r="NHZ91" s="63" t="s">
        <v>933</v>
      </c>
      <c r="NIA91" s="60"/>
      <c r="NIP91" s="63" t="s">
        <v>933</v>
      </c>
      <c r="NIQ91" s="60"/>
      <c r="NJF91" s="63" t="s">
        <v>933</v>
      </c>
      <c r="NJG91" s="60"/>
      <c r="NJV91" s="63" t="s">
        <v>933</v>
      </c>
      <c r="NJW91" s="60"/>
      <c r="NKL91" s="63" t="s">
        <v>933</v>
      </c>
      <c r="NKM91" s="60"/>
      <c r="NLB91" s="63" t="s">
        <v>933</v>
      </c>
      <c r="NLC91" s="60"/>
      <c r="NLR91" s="63" t="s">
        <v>933</v>
      </c>
      <c r="NLS91" s="60"/>
      <c r="NMH91" s="63" t="s">
        <v>933</v>
      </c>
      <c r="NMI91" s="60"/>
      <c r="NMX91" s="63" t="s">
        <v>933</v>
      </c>
      <c r="NMY91" s="60"/>
      <c r="NNN91" s="63" t="s">
        <v>933</v>
      </c>
      <c r="NNO91" s="60"/>
      <c r="NOD91" s="63" t="s">
        <v>933</v>
      </c>
      <c r="NOE91" s="60"/>
      <c r="NOT91" s="63" t="s">
        <v>933</v>
      </c>
      <c r="NOU91" s="60"/>
      <c r="NPJ91" s="63" t="s">
        <v>933</v>
      </c>
      <c r="NPK91" s="60"/>
      <c r="NPZ91" s="63" t="s">
        <v>933</v>
      </c>
      <c r="NQA91" s="60"/>
      <c r="NQP91" s="63" t="s">
        <v>933</v>
      </c>
      <c r="NQQ91" s="60"/>
      <c r="NRF91" s="63" t="s">
        <v>933</v>
      </c>
      <c r="NRG91" s="60"/>
      <c r="NRV91" s="63" t="s">
        <v>933</v>
      </c>
      <c r="NRW91" s="60"/>
      <c r="NSL91" s="63" t="s">
        <v>933</v>
      </c>
      <c r="NSM91" s="60"/>
      <c r="NTB91" s="63" t="s">
        <v>933</v>
      </c>
      <c r="NTC91" s="60"/>
      <c r="NTR91" s="63" t="s">
        <v>933</v>
      </c>
      <c r="NTS91" s="60"/>
      <c r="NUH91" s="63" t="s">
        <v>933</v>
      </c>
      <c r="NUI91" s="60"/>
      <c r="NUX91" s="63" t="s">
        <v>933</v>
      </c>
      <c r="NUY91" s="60"/>
      <c r="NVN91" s="63" t="s">
        <v>933</v>
      </c>
      <c r="NVO91" s="60"/>
      <c r="NWD91" s="63" t="s">
        <v>933</v>
      </c>
      <c r="NWE91" s="60"/>
      <c r="NWT91" s="63" t="s">
        <v>933</v>
      </c>
      <c r="NWU91" s="60"/>
      <c r="NXJ91" s="63" t="s">
        <v>933</v>
      </c>
      <c r="NXK91" s="60"/>
      <c r="NXZ91" s="63" t="s">
        <v>933</v>
      </c>
      <c r="NYA91" s="60"/>
      <c r="NYP91" s="63" t="s">
        <v>933</v>
      </c>
      <c r="NYQ91" s="60"/>
      <c r="NZF91" s="63" t="s">
        <v>933</v>
      </c>
      <c r="NZG91" s="60"/>
      <c r="NZV91" s="63" t="s">
        <v>933</v>
      </c>
      <c r="NZW91" s="60"/>
      <c r="OAL91" s="63" t="s">
        <v>933</v>
      </c>
      <c r="OAM91" s="60"/>
      <c r="OBB91" s="63" t="s">
        <v>933</v>
      </c>
      <c r="OBC91" s="60"/>
      <c r="OBR91" s="63" t="s">
        <v>933</v>
      </c>
      <c r="OBS91" s="60"/>
      <c r="OCH91" s="63" t="s">
        <v>933</v>
      </c>
      <c r="OCI91" s="60"/>
      <c r="OCX91" s="63" t="s">
        <v>933</v>
      </c>
      <c r="OCY91" s="60"/>
      <c r="ODN91" s="63" t="s">
        <v>933</v>
      </c>
      <c r="ODO91" s="60"/>
      <c r="OED91" s="63" t="s">
        <v>933</v>
      </c>
      <c r="OEE91" s="60"/>
      <c r="OET91" s="63" t="s">
        <v>933</v>
      </c>
      <c r="OEU91" s="60"/>
      <c r="OFJ91" s="63" t="s">
        <v>933</v>
      </c>
      <c r="OFK91" s="60"/>
      <c r="OFZ91" s="63" t="s">
        <v>933</v>
      </c>
      <c r="OGA91" s="60"/>
      <c r="OGP91" s="63" t="s">
        <v>933</v>
      </c>
      <c r="OGQ91" s="60"/>
      <c r="OHF91" s="63" t="s">
        <v>933</v>
      </c>
      <c r="OHG91" s="60"/>
      <c r="OHV91" s="63" t="s">
        <v>933</v>
      </c>
      <c r="OHW91" s="60"/>
      <c r="OIL91" s="63" t="s">
        <v>933</v>
      </c>
      <c r="OIM91" s="60"/>
      <c r="OJB91" s="63" t="s">
        <v>933</v>
      </c>
      <c r="OJC91" s="60"/>
      <c r="OJR91" s="63" t="s">
        <v>933</v>
      </c>
      <c r="OJS91" s="60"/>
      <c r="OKH91" s="63" t="s">
        <v>933</v>
      </c>
      <c r="OKI91" s="60"/>
      <c r="OKX91" s="63" t="s">
        <v>933</v>
      </c>
      <c r="OKY91" s="60"/>
      <c r="OLN91" s="63" t="s">
        <v>933</v>
      </c>
      <c r="OLO91" s="60"/>
      <c r="OMD91" s="63" t="s">
        <v>933</v>
      </c>
      <c r="OME91" s="60"/>
      <c r="OMT91" s="63" t="s">
        <v>933</v>
      </c>
      <c r="OMU91" s="60"/>
      <c r="ONJ91" s="63" t="s">
        <v>933</v>
      </c>
      <c r="ONK91" s="60"/>
      <c r="ONZ91" s="63" t="s">
        <v>933</v>
      </c>
      <c r="OOA91" s="60"/>
      <c r="OOP91" s="63" t="s">
        <v>933</v>
      </c>
      <c r="OOQ91" s="60"/>
      <c r="OPF91" s="63" t="s">
        <v>933</v>
      </c>
      <c r="OPG91" s="60"/>
      <c r="OPV91" s="63" t="s">
        <v>933</v>
      </c>
      <c r="OPW91" s="60"/>
      <c r="OQL91" s="63" t="s">
        <v>933</v>
      </c>
      <c r="OQM91" s="60"/>
      <c r="ORB91" s="63" t="s">
        <v>933</v>
      </c>
      <c r="ORC91" s="60"/>
      <c r="ORR91" s="63" t="s">
        <v>933</v>
      </c>
      <c r="ORS91" s="60"/>
      <c r="OSH91" s="63" t="s">
        <v>933</v>
      </c>
      <c r="OSI91" s="60"/>
      <c r="OSX91" s="63" t="s">
        <v>933</v>
      </c>
      <c r="OSY91" s="60"/>
      <c r="OTN91" s="63" t="s">
        <v>933</v>
      </c>
      <c r="OTO91" s="60"/>
      <c r="OUD91" s="63" t="s">
        <v>933</v>
      </c>
      <c r="OUE91" s="60"/>
      <c r="OUT91" s="63" t="s">
        <v>933</v>
      </c>
      <c r="OUU91" s="60"/>
      <c r="OVJ91" s="63" t="s">
        <v>933</v>
      </c>
      <c r="OVK91" s="60"/>
      <c r="OVZ91" s="63" t="s">
        <v>933</v>
      </c>
      <c r="OWA91" s="60"/>
      <c r="OWP91" s="63" t="s">
        <v>933</v>
      </c>
      <c r="OWQ91" s="60"/>
      <c r="OXF91" s="63" t="s">
        <v>933</v>
      </c>
      <c r="OXG91" s="60"/>
      <c r="OXV91" s="63" t="s">
        <v>933</v>
      </c>
      <c r="OXW91" s="60"/>
      <c r="OYL91" s="63" t="s">
        <v>933</v>
      </c>
      <c r="OYM91" s="60"/>
      <c r="OZB91" s="63" t="s">
        <v>933</v>
      </c>
      <c r="OZC91" s="60"/>
      <c r="OZR91" s="63" t="s">
        <v>933</v>
      </c>
      <c r="OZS91" s="60"/>
      <c r="PAH91" s="63" t="s">
        <v>933</v>
      </c>
      <c r="PAI91" s="60"/>
      <c r="PAX91" s="63" t="s">
        <v>933</v>
      </c>
      <c r="PAY91" s="60"/>
      <c r="PBN91" s="63" t="s">
        <v>933</v>
      </c>
      <c r="PBO91" s="60"/>
      <c r="PCD91" s="63" t="s">
        <v>933</v>
      </c>
      <c r="PCE91" s="60"/>
      <c r="PCT91" s="63" t="s">
        <v>933</v>
      </c>
      <c r="PCU91" s="60"/>
      <c r="PDJ91" s="63" t="s">
        <v>933</v>
      </c>
      <c r="PDK91" s="60"/>
      <c r="PDZ91" s="63" t="s">
        <v>933</v>
      </c>
      <c r="PEA91" s="60"/>
      <c r="PEP91" s="63" t="s">
        <v>933</v>
      </c>
      <c r="PEQ91" s="60"/>
      <c r="PFF91" s="63" t="s">
        <v>933</v>
      </c>
      <c r="PFG91" s="60"/>
      <c r="PFV91" s="63" t="s">
        <v>933</v>
      </c>
      <c r="PFW91" s="60"/>
      <c r="PGL91" s="63" t="s">
        <v>933</v>
      </c>
      <c r="PGM91" s="60"/>
      <c r="PHB91" s="63" t="s">
        <v>933</v>
      </c>
      <c r="PHC91" s="60"/>
      <c r="PHR91" s="63" t="s">
        <v>933</v>
      </c>
      <c r="PHS91" s="60"/>
      <c r="PIH91" s="63" t="s">
        <v>933</v>
      </c>
      <c r="PII91" s="60"/>
      <c r="PIX91" s="63" t="s">
        <v>933</v>
      </c>
      <c r="PIY91" s="60"/>
      <c r="PJN91" s="63" t="s">
        <v>933</v>
      </c>
      <c r="PJO91" s="60"/>
      <c r="PKD91" s="63" t="s">
        <v>933</v>
      </c>
      <c r="PKE91" s="60"/>
      <c r="PKT91" s="63" t="s">
        <v>933</v>
      </c>
      <c r="PKU91" s="60"/>
      <c r="PLJ91" s="63" t="s">
        <v>933</v>
      </c>
      <c r="PLK91" s="60"/>
      <c r="PLZ91" s="63" t="s">
        <v>933</v>
      </c>
      <c r="PMA91" s="60"/>
      <c r="PMP91" s="63" t="s">
        <v>933</v>
      </c>
      <c r="PMQ91" s="60"/>
      <c r="PNF91" s="63" t="s">
        <v>933</v>
      </c>
      <c r="PNG91" s="60"/>
      <c r="PNV91" s="63" t="s">
        <v>933</v>
      </c>
      <c r="PNW91" s="60"/>
      <c r="POL91" s="63" t="s">
        <v>933</v>
      </c>
      <c r="POM91" s="60"/>
      <c r="PPB91" s="63" t="s">
        <v>933</v>
      </c>
      <c r="PPC91" s="60"/>
      <c r="PPR91" s="63" t="s">
        <v>933</v>
      </c>
      <c r="PPS91" s="60"/>
      <c r="PQH91" s="63" t="s">
        <v>933</v>
      </c>
      <c r="PQI91" s="60"/>
      <c r="PQX91" s="63" t="s">
        <v>933</v>
      </c>
      <c r="PQY91" s="60"/>
      <c r="PRN91" s="63" t="s">
        <v>933</v>
      </c>
      <c r="PRO91" s="60"/>
      <c r="PSD91" s="63" t="s">
        <v>933</v>
      </c>
      <c r="PSE91" s="60"/>
      <c r="PST91" s="63" t="s">
        <v>933</v>
      </c>
      <c r="PSU91" s="60"/>
      <c r="PTJ91" s="63" t="s">
        <v>933</v>
      </c>
      <c r="PTK91" s="60"/>
      <c r="PTZ91" s="63" t="s">
        <v>933</v>
      </c>
      <c r="PUA91" s="60"/>
      <c r="PUP91" s="63" t="s">
        <v>933</v>
      </c>
      <c r="PUQ91" s="60"/>
      <c r="PVF91" s="63" t="s">
        <v>933</v>
      </c>
      <c r="PVG91" s="60"/>
      <c r="PVV91" s="63" t="s">
        <v>933</v>
      </c>
      <c r="PVW91" s="60"/>
      <c r="PWL91" s="63" t="s">
        <v>933</v>
      </c>
      <c r="PWM91" s="60"/>
      <c r="PXB91" s="63" t="s">
        <v>933</v>
      </c>
      <c r="PXC91" s="60"/>
      <c r="PXR91" s="63" t="s">
        <v>933</v>
      </c>
      <c r="PXS91" s="60"/>
      <c r="PYH91" s="63" t="s">
        <v>933</v>
      </c>
      <c r="PYI91" s="60"/>
      <c r="PYX91" s="63" t="s">
        <v>933</v>
      </c>
      <c r="PYY91" s="60"/>
      <c r="PZN91" s="63" t="s">
        <v>933</v>
      </c>
      <c r="PZO91" s="60"/>
      <c r="QAD91" s="63" t="s">
        <v>933</v>
      </c>
      <c r="QAE91" s="60"/>
      <c r="QAT91" s="63" t="s">
        <v>933</v>
      </c>
      <c r="QAU91" s="60"/>
      <c r="QBJ91" s="63" t="s">
        <v>933</v>
      </c>
      <c r="QBK91" s="60"/>
      <c r="QBZ91" s="63" t="s">
        <v>933</v>
      </c>
      <c r="QCA91" s="60"/>
      <c r="QCP91" s="63" t="s">
        <v>933</v>
      </c>
      <c r="QCQ91" s="60"/>
      <c r="QDF91" s="63" t="s">
        <v>933</v>
      </c>
      <c r="QDG91" s="60"/>
      <c r="QDV91" s="63" t="s">
        <v>933</v>
      </c>
      <c r="QDW91" s="60"/>
      <c r="QEL91" s="63" t="s">
        <v>933</v>
      </c>
      <c r="QEM91" s="60"/>
      <c r="QFB91" s="63" t="s">
        <v>933</v>
      </c>
      <c r="QFC91" s="60"/>
      <c r="QFR91" s="63" t="s">
        <v>933</v>
      </c>
      <c r="QFS91" s="60"/>
      <c r="QGH91" s="63" t="s">
        <v>933</v>
      </c>
      <c r="QGI91" s="60"/>
      <c r="QGX91" s="63" t="s">
        <v>933</v>
      </c>
      <c r="QGY91" s="60"/>
      <c r="QHN91" s="63" t="s">
        <v>933</v>
      </c>
      <c r="QHO91" s="60"/>
      <c r="QID91" s="63" t="s">
        <v>933</v>
      </c>
      <c r="QIE91" s="60"/>
      <c r="QIT91" s="63" t="s">
        <v>933</v>
      </c>
      <c r="QIU91" s="60"/>
      <c r="QJJ91" s="63" t="s">
        <v>933</v>
      </c>
      <c r="QJK91" s="60"/>
      <c r="QJZ91" s="63" t="s">
        <v>933</v>
      </c>
      <c r="QKA91" s="60"/>
      <c r="QKP91" s="63" t="s">
        <v>933</v>
      </c>
      <c r="QKQ91" s="60"/>
      <c r="QLF91" s="63" t="s">
        <v>933</v>
      </c>
      <c r="QLG91" s="60"/>
      <c r="QLV91" s="63" t="s">
        <v>933</v>
      </c>
      <c r="QLW91" s="60"/>
      <c r="QML91" s="63" t="s">
        <v>933</v>
      </c>
      <c r="QMM91" s="60"/>
      <c r="QNB91" s="63" t="s">
        <v>933</v>
      </c>
      <c r="QNC91" s="60"/>
      <c r="QNR91" s="63" t="s">
        <v>933</v>
      </c>
      <c r="QNS91" s="60"/>
      <c r="QOH91" s="63" t="s">
        <v>933</v>
      </c>
      <c r="QOI91" s="60"/>
      <c r="QOX91" s="63" t="s">
        <v>933</v>
      </c>
      <c r="QOY91" s="60"/>
      <c r="QPN91" s="63" t="s">
        <v>933</v>
      </c>
      <c r="QPO91" s="60"/>
      <c r="QQD91" s="63" t="s">
        <v>933</v>
      </c>
      <c r="QQE91" s="60"/>
      <c r="QQT91" s="63" t="s">
        <v>933</v>
      </c>
      <c r="QQU91" s="60"/>
      <c r="QRJ91" s="63" t="s">
        <v>933</v>
      </c>
      <c r="QRK91" s="60"/>
      <c r="QRZ91" s="63" t="s">
        <v>933</v>
      </c>
      <c r="QSA91" s="60"/>
      <c r="QSP91" s="63" t="s">
        <v>933</v>
      </c>
      <c r="QSQ91" s="60"/>
      <c r="QTF91" s="63" t="s">
        <v>933</v>
      </c>
      <c r="QTG91" s="60"/>
      <c r="QTV91" s="63" t="s">
        <v>933</v>
      </c>
      <c r="QTW91" s="60"/>
      <c r="QUL91" s="63" t="s">
        <v>933</v>
      </c>
      <c r="QUM91" s="60"/>
      <c r="QVB91" s="63" t="s">
        <v>933</v>
      </c>
      <c r="QVC91" s="60"/>
      <c r="QVR91" s="63" t="s">
        <v>933</v>
      </c>
      <c r="QVS91" s="60"/>
      <c r="QWH91" s="63" t="s">
        <v>933</v>
      </c>
      <c r="QWI91" s="60"/>
      <c r="QWX91" s="63" t="s">
        <v>933</v>
      </c>
      <c r="QWY91" s="60"/>
      <c r="QXN91" s="63" t="s">
        <v>933</v>
      </c>
      <c r="QXO91" s="60"/>
      <c r="QYD91" s="63" t="s">
        <v>933</v>
      </c>
      <c r="QYE91" s="60"/>
      <c r="QYT91" s="63" t="s">
        <v>933</v>
      </c>
      <c r="QYU91" s="60"/>
      <c r="QZJ91" s="63" t="s">
        <v>933</v>
      </c>
      <c r="QZK91" s="60"/>
      <c r="QZZ91" s="63" t="s">
        <v>933</v>
      </c>
      <c r="RAA91" s="60"/>
      <c r="RAP91" s="63" t="s">
        <v>933</v>
      </c>
      <c r="RAQ91" s="60"/>
      <c r="RBF91" s="63" t="s">
        <v>933</v>
      </c>
      <c r="RBG91" s="60"/>
      <c r="RBV91" s="63" t="s">
        <v>933</v>
      </c>
      <c r="RBW91" s="60"/>
      <c r="RCL91" s="63" t="s">
        <v>933</v>
      </c>
      <c r="RCM91" s="60"/>
      <c r="RDB91" s="63" t="s">
        <v>933</v>
      </c>
      <c r="RDC91" s="60"/>
      <c r="RDR91" s="63" t="s">
        <v>933</v>
      </c>
      <c r="RDS91" s="60"/>
      <c r="REH91" s="63" t="s">
        <v>933</v>
      </c>
      <c r="REI91" s="60"/>
      <c r="REX91" s="63" t="s">
        <v>933</v>
      </c>
      <c r="REY91" s="60"/>
      <c r="RFN91" s="63" t="s">
        <v>933</v>
      </c>
      <c r="RFO91" s="60"/>
      <c r="RGD91" s="63" t="s">
        <v>933</v>
      </c>
      <c r="RGE91" s="60"/>
      <c r="RGT91" s="63" t="s">
        <v>933</v>
      </c>
      <c r="RGU91" s="60"/>
      <c r="RHJ91" s="63" t="s">
        <v>933</v>
      </c>
      <c r="RHK91" s="60"/>
      <c r="RHZ91" s="63" t="s">
        <v>933</v>
      </c>
      <c r="RIA91" s="60"/>
      <c r="RIP91" s="63" t="s">
        <v>933</v>
      </c>
      <c r="RIQ91" s="60"/>
      <c r="RJF91" s="63" t="s">
        <v>933</v>
      </c>
      <c r="RJG91" s="60"/>
      <c r="RJV91" s="63" t="s">
        <v>933</v>
      </c>
      <c r="RJW91" s="60"/>
      <c r="RKL91" s="63" t="s">
        <v>933</v>
      </c>
      <c r="RKM91" s="60"/>
      <c r="RLB91" s="63" t="s">
        <v>933</v>
      </c>
      <c r="RLC91" s="60"/>
      <c r="RLR91" s="63" t="s">
        <v>933</v>
      </c>
      <c r="RLS91" s="60"/>
      <c r="RMH91" s="63" t="s">
        <v>933</v>
      </c>
      <c r="RMI91" s="60"/>
      <c r="RMX91" s="63" t="s">
        <v>933</v>
      </c>
      <c r="RMY91" s="60"/>
      <c r="RNN91" s="63" t="s">
        <v>933</v>
      </c>
      <c r="RNO91" s="60"/>
      <c r="ROD91" s="63" t="s">
        <v>933</v>
      </c>
      <c r="ROE91" s="60"/>
      <c r="ROT91" s="63" t="s">
        <v>933</v>
      </c>
      <c r="ROU91" s="60"/>
      <c r="RPJ91" s="63" t="s">
        <v>933</v>
      </c>
      <c r="RPK91" s="60"/>
      <c r="RPZ91" s="63" t="s">
        <v>933</v>
      </c>
      <c r="RQA91" s="60"/>
      <c r="RQP91" s="63" t="s">
        <v>933</v>
      </c>
      <c r="RQQ91" s="60"/>
      <c r="RRF91" s="63" t="s">
        <v>933</v>
      </c>
      <c r="RRG91" s="60"/>
      <c r="RRV91" s="63" t="s">
        <v>933</v>
      </c>
      <c r="RRW91" s="60"/>
      <c r="RSL91" s="63" t="s">
        <v>933</v>
      </c>
      <c r="RSM91" s="60"/>
      <c r="RTB91" s="63" t="s">
        <v>933</v>
      </c>
      <c r="RTC91" s="60"/>
      <c r="RTR91" s="63" t="s">
        <v>933</v>
      </c>
      <c r="RTS91" s="60"/>
      <c r="RUH91" s="63" t="s">
        <v>933</v>
      </c>
      <c r="RUI91" s="60"/>
      <c r="RUX91" s="63" t="s">
        <v>933</v>
      </c>
      <c r="RUY91" s="60"/>
      <c r="RVN91" s="63" t="s">
        <v>933</v>
      </c>
      <c r="RVO91" s="60"/>
      <c r="RWD91" s="63" t="s">
        <v>933</v>
      </c>
      <c r="RWE91" s="60"/>
      <c r="RWT91" s="63" t="s">
        <v>933</v>
      </c>
      <c r="RWU91" s="60"/>
      <c r="RXJ91" s="63" t="s">
        <v>933</v>
      </c>
      <c r="RXK91" s="60"/>
      <c r="RXZ91" s="63" t="s">
        <v>933</v>
      </c>
      <c r="RYA91" s="60"/>
      <c r="RYP91" s="63" t="s">
        <v>933</v>
      </c>
      <c r="RYQ91" s="60"/>
      <c r="RZF91" s="63" t="s">
        <v>933</v>
      </c>
      <c r="RZG91" s="60"/>
      <c r="RZV91" s="63" t="s">
        <v>933</v>
      </c>
      <c r="RZW91" s="60"/>
      <c r="SAL91" s="63" t="s">
        <v>933</v>
      </c>
      <c r="SAM91" s="60"/>
      <c r="SBB91" s="63" t="s">
        <v>933</v>
      </c>
      <c r="SBC91" s="60"/>
      <c r="SBR91" s="63" t="s">
        <v>933</v>
      </c>
      <c r="SBS91" s="60"/>
      <c r="SCH91" s="63" t="s">
        <v>933</v>
      </c>
      <c r="SCI91" s="60"/>
      <c r="SCX91" s="63" t="s">
        <v>933</v>
      </c>
      <c r="SCY91" s="60"/>
      <c r="SDN91" s="63" t="s">
        <v>933</v>
      </c>
      <c r="SDO91" s="60"/>
      <c r="SED91" s="63" t="s">
        <v>933</v>
      </c>
      <c r="SEE91" s="60"/>
      <c r="SET91" s="63" t="s">
        <v>933</v>
      </c>
      <c r="SEU91" s="60"/>
      <c r="SFJ91" s="63" t="s">
        <v>933</v>
      </c>
      <c r="SFK91" s="60"/>
      <c r="SFZ91" s="63" t="s">
        <v>933</v>
      </c>
      <c r="SGA91" s="60"/>
      <c r="SGP91" s="63" t="s">
        <v>933</v>
      </c>
      <c r="SGQ91" s="60"/>
      <c r="SHF91" s="63" t="s">
        <v>933</v>
      </c>
      <c r="SHG91" s="60"/>
      <c r="SHV91" s="63" t="s">
        <v>933</v>
      </c>
      <c r="SHW91" s="60"/>
      <c r="SIL91" s="63" t="s">
        <v>933</v>
      </c>
      <c r="SIM91" s="60"/>
      <c r="SJB91" s="63" t="s">
        <v>933</v>
      </c>
      <c r="SJC91" s="60"/>
      <c r="SJR91" s="63" t="s">
        <v>933</v>
      </c>
      <c r="SJS91" s="60"/>
      <c r="SKH91" s="63" t="s">
        <v>933</v>
      </c>
      <c r="SKI91" s="60"/>
      <c r="SKX91" s="63" t="s">
        <v>933</v>
      </c>
      <c r="SKY91" s="60"/>
      <c r="SLN91" s="63" t="s">
        <v>933</v>
      </c>
      <c r="SLO91" s="60"/>
      <c r="SMD91" s="63" t="s">
        <v>933</v>
      </c>
      <c r="SME91" s="60"/>
      <c r="SMT91" s="63" t="s">
        <v>933</v>
      </c>
      <c r="SMU91" s="60"/>
      <c r="SNJ91" s="63" t="s">
        <v>933</v>
      </c>
      <c r="SNK91" s="60"/>
      <c r="SNZ91" s="63" t="s">
        <v>933</v>
      </c>
      <c r="SOA91" s="60"/>
      <c r="SOP91" s="63" t="s">
        <v>933</v>
      </c>
      <c r="SOQ91" s="60"/>
      <c r="SPF91" s="63" t="s">
        <v>933</v>
      </c>
      <c r="SPG91" s="60"/>
      <c r="SPV91" s="63" t="s">
        <v>933</v>
      </c>
      <c r="SPW91" s="60"/>
      <c r="SQL91" s="63" t="s">
        <v>933</v>
      </c>
      <c r="SQM91" s="60"/>
      <c r="SRB91" s="63" t="s">
        <v>933</v>
      </c>
      <c r="SRC91" s="60"/>
      <c r="SRR91" s="63" t="s">
        <v>933</v>
      </c>
      <c r="SRS91" s="60"/>
      <c r="SSH91" s="63" t="s">
        <v>933</v>
      </c>
      <c r="SSI91" s="60"/>
      <c r="SSX91" s="63" t="s">
        <v>933</v>
      </c>
      <c r="SSY91" s="60"/>
      <c r="STN91" s="63" t="s">
        <v>933</v>
      </c>
      <c r="STO91" s="60"/>
      <c r="SUD91" s="63" t="s">
        <v>933</v>
      </c>
      <c r="SUE91" s="60"/>
      <c r="SUT91" s="63" t="s">
        <v>933</v>
      </c>
      <c r="SUU91" s="60"/>
      <c r="SVJ91" s="63" t="s">
        <v>933</v>
      </c>
      <c r="SVK91" s="60"/>
      <c r="SVZ91" s="63" t="s">
        <v>933</v>
      </c>
      <c r="SWA91" s="60"/>
      <c r="SWP91" s="63" t="s">
        <v>933</v>
      </c>
      <c r="SWQ91" s="60"/>
      <c r="SXF91" s="63" t="s">
        <v>933</v>
      </c>
      <c r="SXG91" s="60"/>
      <c r="SXV91" s="63" t="s">
        <v>933</v>
      </c>
      <c r="SXW91" s="60"/>
      <c r="SYL91" s="63" t="s">
        <v>933</v>
      </c>
      <c r="SYM91" s="60"/>
      <c r="SZB91" s="63" t="s">
        <v>933</v>
      </c>
      <c r="SZC91" s="60"/>
      <c r="SZR91" s="63" t="s">
        <v>933</v>
      </c>
      <c r="SZS91" s="60"/>
      <c r="TAH91" s="63" t="s">
        <v>933</v>
      </c>
      <c r="TAI91" s="60"/>
      <c r="TAX91" s="63" t="s">
        <v>933</v>
      </c>
      <c r="TAY91" s="60"/>
      <c r="TBN91" s="63" t="s">
        <v>933</v>
      </c>
      <c r="TBO91" s="60"/>
      <c r="TCD91" s="63" t="s">
        <v>933</v>
      </c>
      <c r="TCE91" s="60"/>
      <c r="TCT91" s="63" t="s">
        <v>933</v>
      </c>
      <c r="TCU91" s="60"/>
      <c r="TDJ91" s="63" t="s">
        <v>933</v>
      </c>
      <c r="TDK91" s="60"/>
      <c r="TDZ91" s="63" t="s">
        <v>933</v>
      </c>
      <c r="TEA91" s="60"/>
      <c r="TEP91" s="63" t="s">
        <v>933</v>
      </c>
      <c r="TEQ91" s="60"/>
      <c r="TFF91" s="63" t="s">
        <v>933</v>
      </c>
      <c r="TFG91" s="60"/>
      <c r="TFV91" s="63" t="s">
        <v>933</v>
      </c>
      <c r="TFW91" s="60"/>
      <c r="TGL91" s="63" t="s">
        <v>933</v>
      </c>
      <c r="TGM91" s="60"/>
      <c r="THB91" s="63" t="s">
        <v>933</v>
      </c>
      <c r="THC91" s="60"/>
      <c r="THR91" s="63" t="s">
        <v>933</v>
      </c>
      <c r="THS91" s="60"/>
      <c r="TIH91" s="63" t="s">
        <v>933</v>
      </c>
      <c r="TII91" s="60"/>
      <c r="TIX91" s="63" t="s">
        <v>933</v>
      </c>
      <c r="TIY91" s="60"/>
      <c r="TJN91" s="63" t="s">
        <v>933</v>
      </c>
      <c r="TJO91" s="60"/>
      <c r="TKD91" s="63" t="s">
        <v>933</v>
      </c>
      <c r="TKE91" s="60"/>
      <c r="TKT91" s="63" t="s">
        <v>933</v>
      </c>
      <c r="TKU91" s="60"/>
      <c r="TLJ91" s="63" t="s">
        <v>933</v>
      </c>
      <c r="TLK91" s="60"/>
      <c r="TLZ91" s="63" t="s">
        <v>933</v>
      </c>
      <c r="TMA91" s="60"/>
      <c r="TMP91" s="63" t="s">
        <v>933</v>
      </c>
      <c r="TMQ91" s="60"/>
      <c r="TNF91" s="63" t="s">
        <v>933</v>
      </c>
      <c r="TNG91" s="60"/>
      <c r="TNV91" s="63" t="s">
        <v>933</v>
      </c>
      <c r="TNW91" s="60"/>
      <c r="TOL91" s="63" t="s">
        <v>933</v>
      </c>
      <c r="TOM91" s="60"/>
      <c r="TPB91" s="63" t="s">
        <v>933</v>
      </c>
      <c r="TPC91" s="60"/>
      <c r="TPR91" s="63" t="s">
        <v>933</v>
      </c>
      <c r="TPS91" s="60"/>
      <c r="TQH91" s="63" t="s">
        <v>933</v>
      </c>
      <c r="TQI91" s="60"/>
      <c r="TQX91" s="63" t="s">
        <v>933</v>
      </c>
      <c r="TQY91" s="60"/>
      <c r="TRN91" s="63" t="s">
        <v>933</v>
      </c>
      <c r="TRO91" s="60"/>
      <c r="TSD91" s="63" t="s">
        <v>933</v>
      </c>
      <c r="TSE91" s="60"/>
      <c r="TST91" s="63" t="s">
        <v>933</v>
      </c>
      <c r="TSU91" s="60"/>
      <c r="TTJ91" s="63" t="s">
        <v>933</v>
      </c>
      <c r="TTK91" s="60"/>
      <c r="TTZ91" s="63" t="s">
        <v>933</v>
      </c>
      <c r="TUA91" s="60"/>
      <c r="TUP91" s="63" t="s">
        <v>933</v>
      </c>
      <c r="TUQ91" s="60"/>
      <c r="TVF91" s="63" t="s">
        <v>933</v>
      </c>
      <c r="TVG91" s="60"/>
      <c r="TVV91" s="63" t="s">
        <v>933</v>
      </c>
      <c r="TVW91" s="60"/>
      <c r="TWL91" s="63" t="s">
        <v>933</v>
      </c>
      <c r="TWM91" s="60"/>
      <c r="TXB91" s="63" t="s">
        <v>933</v>
      </c>
      <c r="TXC91" s="60"/>
      <c r="TXR91" s="63" t="s">
        <v>933</v>
      </c>
      <c r="TXS91" s="60"/>
      <c r="TYH91" s="63" t="s">
        <v>933</v>
      </c>
      <c r="TYI91" s="60"/>
      <c r="TYX91" s="63" t="s">
        <v>933</v>
      </c>
      <c r="TYY91" s="60"/>
      <c r="TZN91" s="63" t="s">
        <v>933</v>
      </c>
      <c r="TZO91" s="60"/>
      <c r="UAD91" s="63" t="s">
        <v>933</v>
      </c>
      <c r="UAE91" s="60"/>
      <c r="UAT91" s="63" t="s">
        <v>933</v>
      </c>
      <c r="UAU91" s="60"/>
      <c r="UBJ91" s="63" t="s">
        <v>933</v>
      </c>
      <c r="UBK91" s="60"/>
      <c r="UBZ91" s="63" t="s">
        <v>933</v>
      </c>
      <c r="UCA91" s="60"/>
      <c r="UCP91" s="63" t="s">
        <v>933</v>
      </c>
      <c r="UCQ91" s="60"/>
      <c r="UDF91" s="63" t="s">
        <v>933</v>
      </c>
      <c r="UDG91" s="60"/>
      <c r="UDV91" s="63" t="s">
        <v>933</v>
      </c>
      <c r="UDW91" s="60"/>
      <c r="UEL91" s="63" t="s">
        <v>933</v>
      </c>
      <c r="UEM91" s="60"/>
      <c r="UFB91" s="63" t="s">
        <v>933</v>
      </c>
      <c r="UFC91" s="60"/>
      <c r="UFR91" s="63" t="s">
        <v>933</v>
      </c>
      <c r="UFS91" s="60"/>
      <c r="UGH91" s="63" t="s">
        <v>933</v>
      </c>
      <c r="UGI91" s="60"/>
      <c r="UGX91" s="63" t="s">
        <v>933</v>
      </c>
      <c r="UGY91" s="60"/>
      <c r="UHN91" s="63" t="s">
        <v>933</v>
      </c>
      <c r="UHO91" s="60"/>
      <c r="UID91" s="63" t="s">
        <v>933</v>
      </c>
      <c r="UIE91" s="60"/>
      <c r="UIT91" s="63" t="s">
        <v>933</v>
      </c>
      <c r="UIU91" s="60"/>
      <c r="UJJ91" s="63" t="s">
        <v>933</v>
      </c>
      <c r="UJK91" s="60"/>
      <c r="UJZ91" s="63" t="s">
        <v>933</v>
      </c>
      <c r="UKA91" s="60"/>
      <c r="UKP91" s="63" t="s">
        <v>933</v>
      </c>
      <c r="UKQ91" s="60"/>
      <c r="ULF91" s="63" t="s">
        <v>933</v>
      </c>
      <c r="ULG91" s="60"/>
      <c r="ULV91" s="63" t="s">
        <v>933</v>
      </c>
      <c r="ULW91" s="60"/>
      <c r="UML91" s="63" t="s">
        <v>933</v>
      </c>
      <c r="UMM91" s="60"/>
      <c r="UNB91" s="63" t="s">
        <v>933</v>
      </c>
      <c r="UNC91" s="60"/>
      <c r="UNR91" s="63" t="s">
        <v>933</v>
      </c>
      <c r="UNS91" s="60"/>
      <c r="UOH91" s="63" t="s">
        <v>933</v>
      </c>
      <c r="UOI91" s="60"/>
      <c r="UOX91" s="63" t="s">
        <v>933</v>
      </c>
      <c r="UOY91" s="60"/>
      <c r="UPN91" s="63" t="s">
        <v>933</v>
      </c>
      <c r="UPO91" s="60"/>
      <c r="UQD91" s="63" t="s">
        <v>933</v>
      </c>
      <c r="UQE91" s="60"/>
      <c r="UQT91" s="63" t="s">
        <v>933</v>
      </c>
      <c r="UQU91" s="60"/>
      <c r="URJ91" s="63" t="s">
        <v>933</v>
      </c>
      <c r="URK91" s="60"/>
      <c r="URZ91" s="63" t="s">
        <v>933</v>
      </c>
      <c r="USA91" s="60"/>
      <c r="USP91" s="63" t="s">
        <v>933</v>
      </c>
      <c r="USQ91" s="60"/>
      <c r="UTF91" s="63" t="s">
        <v>933</v>
      </c>
      <c r="UTG91" s="60"/>
      <c r="UTV91" s="63" t="s">
        <v>933</v>
      </c>
      <c r="UTW91" s="60"/>
      <c r="UUL91" s="63" t="s">
        <v>933</v>
      </c>
      <c r="UUM91" s="60"/>
      <c r="UVB91" s="63" t="s">
        <v>933</v>
      </c>
      <c r="UVC91" s="60"/>
      <c r="UVR91" s="63" t="s">
        <v>933</v>
      </c>
      <c r="UVS91" s="60"/>
      <c r="UWH91" s="63" t="s">
        <v>933</v>
      </c>
      <c r="UWI91" s="60"/>
      <c r="UWX91" s="63" t="s">
        <v>933</v>
      </c>
      <c r="UWY91" s="60"/>
      <c r="UXN91" s="63" t="s">
        <v>933</v>
      </c>
      <c r="UXO91" s="60"/>
      <c r="UYD91" s="63" t="s">
        <v>933</v>
      </c>
      <c r="UYE91" s="60"/>
      <c r="UYT91" s="63" t="s">
        <v>933</v>
      </c>
      <c r="UYU91" s="60"/>
      <c r="UZJ91" s="63" t="s">
        <v>933</v>
      </c>
      <c r="UZK91" s="60"/>
      <c r="UZZ91" s="63" t="s">
        <v>933</v>
      </c>
      <c r="VAA91" s="60"/>
      <c r="VAP91" s="63" t="s">
        <v>933</v>
      </c>
      <c r="VAQ91" s="60"/>
      <c r="VBF91" s="63" t="s">
        <v>933</v>
      </c>
      <c r="VBG91" s="60"/>
      <c r="VBV91" s="63" t="s">
        <v>933</v>
      </c>
      <c r="VBW91" s="60"/>
      <c r="VCL91" s="63" t="s">
        <v>933</v>
      </c>
      <c r="VCM91" s="60"/>
      <c r="VDB91" s="63" t="s">
        <v>933</v>
      </c>
      <c r="VDC91" s="60"/>
      <c r="VDR91" s="63" t="s">
        <v>933</v>
      </c>
      <c r="VDS91" s="60"/>
      <c r="VEH91" s="63" t="s">
        <v>933</v>
      </c>
      <c r="VEI91" s="60"/>
      <c r="VEX91" s="63" t="s">
        <v>933</v>
      </c>
      <c r="VEY91" s="60"/>
      <c r="VFN91" s="63" t="s">
        <v>933</v>
      </c>
      <c r="VFO91" s="60"/>
      <c r="VGD91" s="63" t="s">
        <v>933</v>
      </c>
      <c r="VGE91" s="60"/>
      <c r="VGT91" s="63" t="s">
        <v>933</v>
      </c>
      <c r="VGU91" s="60"/>
      <c r="VHJ91" s="63" t="s">
        <v>933</v>
      </c>
      <c r="VHK91" s="60"/>
      <c r="VHZ91" s="63" t="s">
        <v>933</v>
      </c>
      <c r="VIA91" s="60"/>
      <c r="VIP91" s="63" t="s">
        <v>933</v>
      </c>
      <c r="VIQ91" s="60"/>
      <c r="VJF91" s="63" t="s">
        <v>933</v>
      </c>
      <c r="VJG91" s="60"/>
      <c r="VJV91" s="63" t="s">
        <v>933</v>
      </c>
      <c r="VJW91" s="60"/>
      <c r="VKL91" s="63" t="s">
        <v>933</v>
      </c>
      <c r="VKM91" s="60"/>
      <c r="VLB91" s="63" t="s">
        <v>933</v>
      </c>
      <c r="VLC91" s="60"/>
      <c r="VLR91" s="63" t="s">
        <v>933</v>
      </c>
      <c r="VLS91" s="60"/>
      <c r="VMH91" s="63" t="s">
        <v>933</v>
      </c>
      <c r="VMI91" s="60"/>
      <c r="VMX91" s="63" t="s">
        <v>933</v>
      </c>
      <c r="VMY91" s="60"/>
      <c r="VNN91" s="63" t="s">
        <v>933</v>
      </c>
      <c r="VNO91" s="60"/>
      <c r="VOD91" s="63" t="s">
        <v>933</v>
      </c>
      <c r="VOE91" s="60"/>
      <c r="VOT91" s="63" t="s">
        <v>933</v>
      </c>
      <c r="VOU91" s="60"/>
      <c r="VPJ91" s="63" t="s">
        <v>933</v>
      </c>
      <c r="VPK91" s="60"/>
      <c r="VPZ91" s="63" t="s">
        <v>933</v>
      </c>
      <c r="VQA91" s="60"/>
      <c r="VQP91" s="63" t="s">
        <v>933</v>
      </c>
      <c r="VQQ91" s="60"/>
      <c r="VRF91" s="63" t="s">
        <v>933</v>
      </c>
      <c r="VRG91" s="60"/>
      <c r="VRV91" s="63" t="s">
        <v>933</v>
      </c>
      <c r="VRW91" s="60"/>
      <c r="VSL91" s="63" t="s">
        <v>933</v>
      </c>
      <c r="VSM91" s="60"/>
      <c r="VTB91" s="63" t="s">
        <v>933</v>
      </c>
      <c r="VTC91" s="60"/>
      <c r="VTR91" s="63" t="s">
        <v>933</v>
      </c>
      <c r="VTS91" s="60"/>
      <c r="VUH91" s="63" t="s">
        <v>933</v>
      </c>
      <c r="VUI91" s="60"/>
      <c r="VUX91" s="63" t="s">
        <v>933</v>
      </c>
      <c r="VUY91" s="60"/>
      <c r="VVN91" s="63" t="s">
        <v>933</v>
      </c>
      <c r="VVO91" s="60"/>
      <c r="VWD91" s="63" t="s">
        <v>933</v>
      </c>
      <c r="VWE91" s="60"/>
      <c r="VWT91" s="63" t="s">
        <v>933</v>
      </c>
      <c r="VWU91" s="60"/>
      <c r="VXJ91" s="63" t="s">
        <v>933</v>
      </c>
      <c r="VXK91" s="60"/>
      <c r="VXZ91" s="63" t="s">
        <v>933</v>
      </c>
      <c r="VYA91" s="60"/>
      <c r="VYP91" s="63" t="s">
        <v>933</v>
      </c>
      <c r="VYQ91" s="60"/>
      <c r="VZF91" s="63" t="s">
        <v>933</v>
      </c>
      <c r="VZG91" s="60"/>
      <c r="VZV91" s="63" t="s">
        <v>933</v>
      </c>
      <c r="VZW91" s="60"/>
      <c r="WAL91" s="63" t="s">
        <v>933</v>
      </c>
      <c r="WAM91" s="60"/>
      <c r="WBB91" s="63" t="s">
        <v>933</v>
      </c>
      <c r="WBC91" s="60"/>
      <c r="WBR91" s="63" t="s">
        <v>933</v>
      </c>
      <c r="WBS91" s="60"/>
      <c r="WCH91" s="63" t="s">
        <v>933</v>
      </c>
      <c r="WCI91" s="60"/>
      <c r="WCX91" s="63" t="s">
        <v>933</v>
      </c>
      <c r="WCY91" s="60"/>
      <c r="WDN91" s="63" t="s">
        <v>933</v>
      </c>
      <c r="WDO91" s="60"/>
      <c r="WED91" s="63" t="s">
        <v>933</v>
      </c>
      <c r="WEE91" s="60"/>
      <c r="WET91" s="63" t="s">
        <v>933</v>
      </c>
      <c r="WEU91" s="60"/>
      <c r="WFJ91" s="63" t="s">
        <v>933</v>
      </c>
      <c r="WFK91" s="60"/>
      <c r="WFZ91" s="63" t="s">
        <v>933</v>
      </c>
      <c r="WGA91" s="60"/>
      <c r="WGP91" s="63" t="s">
        <v>933</v>
      </c>
      <c r="WGQ91" s="60"/>
      <c r="WHF91" s="63" t="s">
        <v>933</v>
      </c>
      <c r="WHG91" s="60"/>
      <c r="WHV91" s="63" t="s">
        <v>933</v>
      </c>
      <c r="WHW91" s="60"/>
      <c r="WIL91" s="63" t="s">
        <v>933</v>
      </c>
      <c r="WIM91" s="60"/>
      <c r="WJB91" s="63" t="s">
        <v>933</v>
      </c>
      <c r="WJC91" s="60"/>
      <c r="WJR91" s="63" t="s">
        <v>933</v>
      </c>
      <c r="WJS91" s="60"/>
      <c r="WKH91" s="63" t="s">
        <v>933</v>
      </c>
      <c r="WKI91" s="60"/>
      <c r="WKX91" s="63" t="s">
        <v>933</v>
      </c>
      <c r="WKY91" s="60"/>
      <c r="WLN91" s="63" t="s">
        <v>933</v>
      </c>
      <c r="WLO91" s="60"/>
      <c r="WMD91" s="63" t="s">
        <v>933</v>
      </c>
      <c r="WME91" s="60"/>
      <c r="WMT91" s="63" t="s">
        <v>933</v>
      </c>
      <c r="WMU91" s="60"/>
      <c r="WNJ91" s="63" t="s">
        <v>933</v>
      </c>
      <c r="WNK91" s="60"/>
      <c r="WNZ91" s="63" t="s">
        <v>933</v>
      </c>
      <c r="WOA91" s="60"/>
      <c r="WOP91" s="63" t="s">
        <v>933</v>
      </c>
      <c r="WOQ91" s="60"/>
      <c r="WPF91" s="63" t="s">
        <v>933</v>
      </c>
      <c r="WPG91" s="60"/>
      <c r="WPV91" s="63" t="s">
        <v>933</v>
      </c>
      <c r="WPW91" s="60"/>
      <c r="WQL91" s="63" t="s">
        <v>933</v>
      </c>
      <c r="WQM91" s="60"/>
      <c r="WRB91" s="63" t="s">
        <v>933</v>
      </c>
      <c r="WRC91" s="60"/>
      <c r="WRR91" s="63" t="s">
        <v>933</v>
      </c>
      <c r="WRS91" s="60"/>
      <c r="WSH91" s="63" t="s">
        <v>933</v>
      </c>
      <c r="WSI91" s="60"/>
      <c r="WSX91" s="63" t="s">
        <v>933</v>
      </c>
      <c r="WSY91" s="60"/>
      <c r="WTN91" s="63" t="s">
        <v>933</v>
      </c>
      <c r="WTO91" s="60"/>
      <c r="WUD91" s="63" t="s">
        <v>933</v>
      </c>
      <c r="WUE91" s="60"/>
      <c r="WUT91" s="63" t="s">
        <v>933</v>
      </c>
      <c r="WUU91" s="60"/>
      <c r="WVJ91" s="63" t="s">
        <v>933</v>
      </c>
      <c r="WVK91" s="60"/>
      <c r="WVZ91" s="63" t="s">
        <v>933</v>
      </c>
      <c r="WWA91" s="60"/>
      <c r="WWP91" s="63" t="s">
        <v>933</v>
      </c>
      <c r="WWQ91" s="60"/>
      <c r="WXF91" s="63" t="s">
        <v>933</v>
      </c>
      <c r="WXG91" s="60"/>
      <c r="WXV91" s="63" t="s">
        <v>933</v>
      </c>
      <c r="WXW91" s="60"/>
      <c r="WYL91" s="63" t="s">
        <v>933</v>
      </c>
      <c r="WYM91" s="60"/>
      <c r="WZB91" s="63" t="s">
        <v>933</v>
      </c>
      <c r="WZC91" s="60"/>
      <c r="WZR91" s="63" t="s">
        <v>933</v>
      </c>
      <c r="WZS91" s="60"/>
      <c r="XAH91" s="63" t="s">
        <v>933</v>
      </c>
      <c r="XAI91" s="60"/>
      <c r="XAX91" s="63" t="s">
        <v>933</v>
      </c>
      <c r="XAY91" s="60"/>
      <c r="XBN91" s="63" t="s">
        <v>933</v>
      </c>
      <c r="XBO91" s="60"/>
      <c r="XCD91" s="63" t="s">
        <v>933</v>
      </c>
      <c r="XCE91" s="60"/>
      <c r="XCT91" s="63" t="s">
        <v>933</v>
      </c>
      <c r="XCU91" s="60"/>
      <c r="XDJ91" s="63" t="s">
        <v>933</v>
      </c>
      <c r="XDK91" s="60"/>
      <c r="XDZ91" s="63" t="s">
        <v>933</v>
      </c>
      <c r="XEA91" s="60"/>
      <c r="XEP91" s="63" t="s">
        <v>933</v>
      </c>
      <c r="XEQ91" s="60"/>
    </row>
    <row r="92" spans="2:1011 1026:2035 2050:3059 3074:4083 4098:5107 5122:6131 6146:7155 7170:8179 8194:9203 9218:10227 10242:11251 11266:12275 12290:13299 13314:14323 14338:15347 15362:16371" ht="14.25" x14ac:dyDescent="0.2">
      <c r="R92" s="63" t="s">
        <v>934</v>
      </c>
      <c r="S92" s="60"/>
      <c r="AH92" s="63" t="s">
        <v>934</v>
      </c>
      <c r="AI92" s="60"/>
      <c r="AX92" s="63" t="s">
        <v>934</v>
      </c>
      <c r="AY92" s="60"/>
      <c r="BN92" s="63" t="s">
        <v>934</v>
      </c>
      <c r="BO92" s="60"/>
      <c r="CD92" s="63" t="s">
        <v>934</v>
      </c>
      <c r="CE92" s="60"/>
      <c r="CT92" s="63" t="s">
        <v>934</v>
      </c>
      <c r="CU92" s="60"/>
      <c r="DJ92" s="63" t="s">
        <v>934</v>
      </c>
      <c r="DK92" s="60"/>
      <c r="DZ92" s="63" t="s">
        <v>934</v>
      </c>
      <c r="EA92" s="60"/>
      <c r="EP92" s="63" t="s">
        <v>934</v>
      </c>
      <c r="EQ92" s="60"/>
      <c r="FF92" s="63" t="s">
        <v>934</v>
      </c>
      <c r="FG92" s="60"/>
      <c r="FV92" s="63" t="s">
        <v>934</v>
      </c>
      <c r="FW92" s="60"/>
      <c r="GL92" s="63" t="s">
        <v>934</v>
      </c>
      <c r="GM92" s="60"/>
      <c r="HB92" s="63" t="s">
        <v>934</v>
      </c>
      <c r="HC92" s="60"/>
      <c r="HR92" s="63" t="s">
        <v>934</v>
      </c>
      <c r="HS92" s="60"/>
      <c r="IH92" s="63" t="s">
        <v>934</v>
      </c>
      <c r="II92" s="60"/>
      <c r="IX92" s="63" t="s">
        <v>934</v>
      </c>
      <c r="IY92" s="60"/>
      <c r="JN92" s="63" t="s">
        <v>934</v>
      </c>
      <c r="JO92" s="60"/>
      <c r="KD92" s="63" t="s">
        <v>934</v>
      </c>
      <c r="KE92" s="60"/>
      <c r="KT92" s="63" t="s">
        <v>934</v>
      </c>
      <c r="KU92" s="60"/>
      <c r="LJ92" s="63" t="s">
        <v>934</v>
      </c>
      <c r="LK92" s="60"/>
      <c r="LZ92" s="63" t="s">
        <v>934</v>
      </c>
      <c r="MA92" s="60"/>
      <c r="MP92" s="63" t="s">
        <v>934</v>
      </c>
      <c r="MQ92" s="60"/>
      <c r="NF92" s="63" t="s">
        <v>934</v>
      </c>
      <c r="NG92" s="60"/>
      <c r="NV92" s="63" t="s">
        <v>934</v>
      </c>
      <c r="NW92" s="60"/>
      <c r="OL92" s="63" t="s">
        <v>934</v>
      </c>
      <c r="OM92" s="60"/>
      <c r="PB92" s="63" t="s">
        <v>934</v>
      </c>
      <c r="PC92" s="60"/>
      <c r="PR92" s="63" t="s">
        <v>934</v>
      </c>
      <c r="PS92" s="60"/>
      <c r="QH92" s="63" t="s">
        <v>934</v>
      </c>
      <c r="QI92" s="60"/>
      <c r="QX92" s="63" t="s">
        <v>934</v>
      </c>
      <c r="QY92" s="60"/>
      <c r="RN92" s="63" t="s">
        <v>934</v>
      </c>
      <c r="RO92" s="60"/>
      <c r="SD92" s="63" t="s">
        <v>934</v>
      </c>
      <c r="SE92" s="60"/>
      <c r="ST92" s="63" t="s">
        <v>934</v>
      </c>
      <c r="SU92" s="60"/>
      <c r="TJ92" s="63" t="s">
        <v>934</v>
      </c>
      <c r="TK92" s="60"/>
      <c r="TZ92" s="63" t="s">
        <v>934</v>
      </c>
      <c r="UA92" s="60"/>
      <c r="UP92" s="63" t="s">
        <v>934</v>
      </c>
      <c r="UQ92" s="60"/>
      <c r="VF92" s="63" t="s">
        <v>934</v>
      </c>
      <c r="VG92" s="60"/>
      <c r="VV92" s="63" t="s">
        <v>934</v>
      </c>
      <c r="VW92" s="60"/>
      <c r="WL92" s="63" t="s">
        <v>934</v>
      </c>
      <c r="WM92" s="60"/>
      <c r="XB92" s="63" t="s">
        <v>934</v>
      </c>
      <c r="XC92" s="60"/>
      <c r="XR92" s="63" t="s">
        <v>934</v>
      </c>
      <c r="XS92" s="60"/>
      <c r="YH92" s="63" t="s">
        <v>934</v>
      </c>
      <c r="YI92" s="60"/>
      <c r="YX92" s="63" t="s">
        <v>934</v>
      </c>
      <c r="YY92" s="60"/>
      <c r="ZN92" s="63" t="s">
        <v>934</v>
      </c>
      <c r="ZO92" s="60"/>
      <c r="AAD92" s="63" t="s">
        <v>934</v>
      </c>
      <c r="AAE92" s="60"/>
      <c r="AAT92" s="63" t="s">
        <v>934</v>
      </c>
      <c r="AAU92" s="60"/>
      <c r="ABJ92" s="63" t="s">
        <v>934</v>
      </c>
      <c r="ABK92" s="60"/>
      <c r="ABZ92" s="63" t="s">
        <v>934</v>
      </c>
      <c r="ACA92" s="60"/>
      <c r="ACP92" s="63" t="s">
        <v>934</v>
      </c>
      <c r="ACQ92" s="60"/>
      <c r="ADF92" s="63" t="s">
        <v>934</v>
      </c>
      <c r="ADG92" s="60"/>
      <c r="ADV92" s="63" t="s">
        <v>934</v>
      </c>
      <c r="ADW92" s="60"/>
      <c r="AEL92" s="63" t="s">
        <v>934</v>
      </c>
      <c r="AEM92" s="60"/>
      <c r="AFB92" s="63" t="s">
        <v>934</v>
      </c>
      <c r="AFC92" s="60"/>
      <c r="AFR92" s="63" t="s">
        <v>934</v>
      </c>
      <c r="AFS92" s="60"/>
      <c r="AGH92" s="63" t="s">
        <v>934</v>
      </c>
      <c r="AGI92" s="60"/>
      <c r="AGX92" s="63" t="s">
        <v>934</v>
      </c>
      <c r="AGY92" s="60"/>
      <c r="AHN92" s="63" t="s">
        <v>934</v>
      </c>
      <c r="AHO92" s="60"/>
      <c r="AID92" s="63" t="s">
        <v>934</v>
      </c>
      <c r="AIE92" s="60"/>
      <c r="AIT92" s="63" t="s">
        <v>934</v>
      </c>
      <c r="AIU92" s="60"/>
      <c r="AJJ92" s="63" t="s">
        <v>934</v>
      </c>
      <c r="AJK92" s="60"/>
      <c r="AJZ92" s="63" t="s">
        <v>934</v>
      </c>
      <c r="AKA92" s="60"/>
      <c r="AKP92" s="63" t="s">
        <v>934</v>
      </c>
      <c r="AKQ92" s="60"/>
      <c r="ALF92" s="63" t="s">
        <v>934</v>
      </c>
      <c r="ALG92" s="60"/>
      <c r="ALV92" s="63" t="s">
        <v>934</v>
      </c>
      <c r="ALW92" s="60"/>
      <c r="AML92" s="63" t="s">
        <v>934</v>
      </c>
      <c r="AMM92" s="60"/>
      <c r="ANB92" s="63" t="s">
        <v>934</v>
      </c>
      <c r="ANC92" s="60"/>
      <c r="ANR92" s="63" t="s">
        <v>934</v>
      </c>
      <c r="ANS92" s="60"/>
      <c r="AOH92" s="63" t="s">
        <v>934</v>
      </c>
      <c r="AOI92" s="60"/>
      <c r="AOX92" s="63" t="s">
        <v>934</v>
      </c>
      <c r="AOY92" s="60"/>
      <c r="APN92" s="63" t="s">
        <v>934</v>
      </c>
      <c r="APO92" s="60"/>
      <c r="AQD92" s="63" t="s">
        <v>934</v>
      </c>
      <c r="AQE92" s="60"/>
      <c r="AQT92" s="63" t="s">
        <v>934</v>
      </c>
      <c r="AQU92" s="60"/>
      <c r="ARJ92" s="63" t="s">
        <v>934</v>
      </c>
      <c r="ARK92" s="60"/>
      <c r="ARZ92" s="63" t="s">
        <v>934</v>
      </c>
      <c r="ASA92" s="60"/>
      <c r="ASP92" s="63" t="s">
        <v>934</v>
      </c>
      <c r="ASQ92" s="60"/>
      <c r="ATF92" s="63" t="s">
        <v>934</v>
      </c>
      <c r="ATG92" s="60"/>
      <c r="ATV92" s="63" t="s">
        <v>934</v>
      </c>
      <c r="ATW92" s="60"/>
      <c r="AUL92" s="63" t="s">
        <v>934</v>
      </c>
      <c r="AUM92" s="60"/>
      <c r="AVB92" s="63" t="s">
        <v>934</v>
      </c>
      <c r="AVC92" s="60"/>
      <c r="AVR92" s="63" t="s">
        <v>934</v>
      </c>
      <c r="AVS92" s="60"/>
      <c r="AWH92" s="63" t="s">
        <v>934</v>
      </c>
      <c r="AWI92" s="60"/>
      <c r="AWX92" s="63" t="s">
        <v>934</v>
      </c>
      <c r="AWY92" s="60"/>
      <c r="AXN92" s="63" t="s">
        <v>934</v>
      </c>
      <c r="AXO92" s="60"/>
      <c r="AYD92" s="63" t="s">
        <v>934</v>
      </c>
      <c r="AYE92" s="60"/>
      <c r="AYT92" s="63" t="s">
        <v>934</v>
      </c>
      <c r="AYU92" s="60"/>
      <c r="AZJ92" s="63" t="s">
        <v>934</v>
      </c>
      <c r="AZK92" s="60"/>
      <c r="AZZ92" s="63" t="s">
        <v>934</v>
      </c>
      <c r="BAA92" s="60"/>
      <c r="BAP92" s="63" t="s">
        <v>934</v>
      </c>
      <c r="BAQ92" s="60"/>
      <c r="BBF92" s="63" t="s">
        <v>934</v>
      </c>
      <c r="BBG92" s="60"/>
      <c r="BBV92" s="63" t="s">
        <v>934</v>
      </c>
      <c r="BBW92" s="60"/>
      <c r="BCL92" s="63" t="s">
        <v>934</v>
      </c>
      <c r="BCM92" s="60"/>
      <c r="BDB92" s="63" t="s">
        <v>934</v>
      </c>
      <c r="BDC92" s="60"/>
      <c r="BDR92" s="63" t="s">
        <v>934</v>
      </c>
      <c r="BDS92" s="60"/>
      <c r="BEH92" s="63" t="s">
        <v>934</v>
      </c>
      <c r="BEI92" s="60"/>
      <c r="BEX92" s="63" t="s">
        <v>934</v>
      </c>
      <c r="BEY92" s="60"/>
      <c r="BFN92" s="63" t="s">
        <v>934</v>
      </c>
      <c r="BFO92" s="60"/>
      <c r="BGD92" s="63" t="s">
        <v>934</v>
      </c>
      <c r="BGE92" s="60"/>
      <c r="BGT92" s="63" t="s">
        <v>934</v>
      </c>
      <c r="BGU92" s="60"/>
      <c r="BHJ92" s="63" t="s">
        <v>934</v>
      </c>
      <c r="BHK92" s="60"/>
      <c r="BHZ92" s="63" t="s">
        <v>934</v>
      </c>
      <c r="BIA92" s="60"/>
      <c r="BIP92" s="63" t="s">
        <v>934</v>
      </c>
      <c r="BIQ92" s="60"/>
      <c r="BJF92" s="63" t="s">
        <v>934</v>
      </c>
      <c r="BJG92" s="60"/>
      <c r="BJV92" s="63" t="s">
        <v>934</v>
      </c>
      <c r="BJW92" s="60"/>
      <c r="BKL92" s="63" t="s">
        <v>934</v>
      </c>
      <c r="BKM92" s="60"/>
      <c r="BLB92" s="63" t="s">
        <v>934</v>
      </c>
      <c r="BLC92" s="60"/>
      <c r="BLR92" s="63" t="s">
        <v>934</v>
      </c>
      <c r="BLS92" s="60"/>
      <c r="BMH92" s="63" t="s">
        <v>934</v>
      </c>
      <c r="BMI92" s="60"/>
      <c r="BMX92" s="63" t="s">
        <v>934</v>
      </c>
      <c r="BMY92" s="60"/>
      <c r="BNN92" s="63" t="s">
        <v>934</v>
      </c>
      <c r="BNO92" s="60"/>
      <c r="BOD92" s="63" t="s">
        <v>934</v>
      </c>
      <c r="BOE92" s="60"/>
      <c r="BOT92" s="63" t="s">
        <v>934</v>
      </c>
      <c r="BOU92" s="60"/>
      <c r="BPJ92" s="63" t="s">
        <v>934</v>
      </c>
      <c r="BPK92" s="60"/>
      <c r="BPZ92" s="63" t="s">
        <v>934</v>
      </c>
      <c r="BQA92" s="60"/>
      <c r="BQP92" s="63" t="s">
        <v>934</v>
      </c>
      <c r="BQQ92" s="60"/>
      <c r="BRF92" s="63" t="s">
        <v>934</v>
      </c>
      <c r="BRG92" s="60"/>
      <c r="BRV92" s="63" t="s">
        <v>934</v>
      </c>
      <c r="BRW92" s="60"/>
      <c r="BSL92" s="63" t="s">
        <v>934</v>
      </c>
      <c r="BSM92" s="60"/>
      <c r="BTB92" s="63" t="s">
        <v>934</v>
      </c>
      <c r="BTC92" s="60"/>
      <c r="BTR92" s="63" t="s">
        <v>934</v>
      </c>
      <c r="BTS92" s="60"/>
      <c r="BUH92" s="63" t="s">
        <v>934</v>
      </c>
      <c r="BUI92" s="60"/>
      <c r="BUX92" s="63" t="s">
        <v>934</v>
      </c>
      <c r="BUY92" s="60"/>
      <c r="BVN92" s="63" t="s">
        <v>934</v>
      </c>
      <c r="BVO92" s="60"/>
      <c r="BWD92" s="63" t="s">
        <v>934</v>
      </c>
      <c r="BWE92" s="60"/>
      <c r="BWT92" s="63" t="s">
        <v>934</v>
      </c>
      <c r="BWU92" s="60"/>
      <c r="BXJ92" s="63" t="s">
        <v>934</v>
      </c>
      <c r="BXK92" s="60"/>
      <c r="BXZ92" s="63" t="s">
        <v>934</v>
      </c>
      <c r="BYA92" s="60"/>
      <c r="BYP92" s="63" t="s">
        <v>934</v>
      </c>
      <c r="BYQ92" s="60"/>
      <c r="BZF92" s="63" t="s">
        <v>934</v>
      </c>
      <c r="BZG92" s="60"/>
      <c r="BZV92" s="63" t="s">
        <v>934</v>
      </c>
      <c r="BZW92" s="60"/>
      <c r="CAL92" s="63" t="s">
        <v>934</v>
      </c>
      <c r="CAM92" s="60"/>
      <c r="CBB92" s="63" t="s">
        <v>934</v>
      </c>
      <c r="CBC92" s="60"/>
      <c r="CBR92" s="63" t="s">
        <v>934</v>
      </c>
      <c r="CBS92" s="60"/>
      <c r="CCH92" s="63" t="s">
        <v>934</v>
      </c>
      <c r="CCI92" s="60"/>
      <c r="CCX92" s="63" t="s">
        <v>934</v>
      </c>
      <c r="CCY92" s="60"/>
      <c r="CDN92" s="63" t="s">
        <v>934</v>
      </c>
      <c r="CDO92" s="60"/>
      <c r="CED92" s="63" t="s">
        <v>934</v>
      </c>
      <c r="CEE92" s="60"/>
      <c r="CET92" s="63" t="s">
        <v>934</v>
      </c>
      <c r="CEU92" s="60"/>
      <c r="CFJ92" s="63" t="s">
        <v>934</v>
      </c>
      <c r="CFK92" s="60"/>
      <c r="CFZ92" s="63" t="s">
        <v>934</v>
      </c>
      <c r="CGA92" s="60"/>
      <c r="CGP92" s="63" t="s">
        <v>934</v>
      </c>
      <c r="CGQ92" s="60"/>
      <c r="CHF92" s="63" t="s">
        <v>934</v>
      </c>
      <c r="CHG92" s="60"/>
      <c r="CHV92" s="63" t="s">
        <v>934</v>
      </c>
      <c r="CHW92" s="60"/>
      <c r="CIL92" s="63" t="s">
        <v>934</v>
      </c>
      <c r="CIM92" s="60"/>
      <c r="CJB92" s="63" t="s">
        <v>934</v>
      </c>
      <c r="CJC92" s="60"/>
      <c r="CJR92" s="63" t="s">
        <v>934</v>
      </c>
      <c r="CJS92" s="60"/>
      <c r="CKH92" s="63" t="s">
        <v>934</v>
      </c>
      <c r="CKI92" s="60"/>
      <c r="CKX92" s="63" t="s">
        <v>934</v>
      </c>
      <c r="CKY92" s="60"/>
      <c r="CLN92" s="63" t="s">
        <v>934</v>
      </c>
      <c r="CLO92" s="60"/>
      <c r="CMD92" s="63" t="s">
        <v>934</v>
      </c>
      <c r="CME92" s="60"/>
      <c r="CMT92" s="63" t="s">
        <v>934</v>
      </c>
      <c r="CMU92" s="60"/>
      <c r="CNJ92" s="63" t="s">
        <v>934</v>
      </c>
      <c r="CNK92" s="60"/>
      <c r="CNZ92" s="63" t="s">
        <v>934</v>
      </c>
      <c r="COA92" s="60"/>
      <c r="COP92" s="63" t="s">
        <v>934</v>
      </c>
      <c r="COQ92" s="60"/>
      <c r="CPF92" s="63" t="s">
        <v>934</v>
      </c>
      <c r="CPG92" s="60"/>
      <c r="CPV92" s="63" t="s">
        <v>934</v>
      </c>
      <c r="CPW92" s="60"/>
      <c r="CQL92" s="63" t="s">
        <v>934</v>
      </c>
      <c r="CQM92" s="60"/>
      <c r="CRB92" s="63" t="s">
        <v>934</v>
      </c>
      <c r="CRC92" s="60"/>
      <c r="CRR92" s="63" t="s">
        <v>934</v>
      </c>
      <c r="CRS92" s="60"/>
      <c r="CSH92" s="63" t="s">
        <v>934</v>
      </c>
      <c r="CSI92" s="60"/>
      <c r="CSX92" s="63" t="s">
        <v>934</v>
      </c>
      <c r="CSY92" s="60"/>
      <c r="CTN92" s="63" t="s">
        <v>934</v>
      </c>
      <c r="CTO92" s="60"/>
      <c r="CUD92" s="63" t="s">
        <v>934</v>
      </c>
      <c r="CUE92" s="60"/>
      <c r="CUT92" s="63" t="s">
        <v>934</v>
      </c>
      <c r="CUU92" s="60"/>
      <c r="CVJ92" s="63" t="s">
        <v>934</v>
      </c>
      <c r="CVK92" s="60"/>
      <c r="CVZ92" s="63" t="s">
        <v>934</v>
      </c>
      <c r="CWA92" s="60"/>
      <c r="CWP92" s="63" t="s">
        <v>934</v>
      </c>
      <c r="CWQ92" s="60"/>
      <c r="CXF92" s="63" t="s">
        <v>934</v>
      </c>
      <c r="CXG92" s="60"/>
      <c r="CXV92" s="63" t="s">
        <v>934</v>
      </c>
      <c r="CXW92" s="60"/>
      <c r="CYL92" s="63" t="s">
        <v>934</v>
      </c>
      <c r="CYM92" s="60"/>
      <c r="CZB92" s="63" t="s">
        <v>934</v>
      </c>
      <c r="CZC92" s="60"/>
      <c r="CZR92" s="63" t="s">
        <v>934</v>
      </c>
      <c r="CZS92" s="60"/>
      <c r="DAH92" s="63" t="s">
        <v>934</v>
      </c>
      <c r="DAI92" s="60"/>
      <c r="DAX92" s="63" t="s">
        <v>934</v>
      </c>
      <c r="DAY92" s="60"/>
      <c r="DBN92" s="63" t="s">
        <v>934</v>
      </c>
      <c r="DBO92" s="60"/>
      <c r="DCD92" s="63" t="s">
        <v>934</v>
      </c>
      <c r="DCE92" s="60"/>
      <c r="DCT92" s="63" t="s">
        <v>934</v>
      </c>
      <c r="DCU92" s="60"/>
      <c r="DDJ92" s="63" t="s">
        <v>934</v>
      </c>
      <c r="DDK92" s="60"/>
      <c r="DDZ92" s="63" t="s">
        <v>934</v>
      </c>
      <c r="DEA92" s="60"/>
      <c r="DEP92" s="63" t="s">
        <v>934</v>
      </c>
      <c r="DEQ92" s="60"/>
      <c r="DFF92" s="63" t="s">
        <v>934</v>
      </c>
      <c r="DFG92" s="60"/>
      <c r="DFV92" s="63" t="s">
        <v>934</v>
      </c>
      <c r="DFW92" s="60"/>
      <c r="DGL92" s="63" t="s">
        <v>934</v>
      </c>
      <c r="DGM92" s="60"/>
      <c r="DHB92" s="63" t="s">
        <v>934</v>
      </c>
      <c r="DHC92" s="60"/>
      <c r="DHR92" s="63" t="s">
        <v>934</v>
      </c>
      <c r="DHS92" s="60"/>
      <c r="DIH92" s="63" t="s">
        <v>934</v>
      </c>
      <c r="DII92" s="60"/>
      <c r="DIX92" s="63" t="s">
        <v>934</v>
      </c>
      <c r="DIY92" s="60"/>
      <c r="DJN92" s="63" t="s">
        <v>934</v>
      </c>
      <c r="DJO92" s="60"/>
      <c r="DKD92" s="63" t="s">
        <v>934</v>
      </c>
      <c r="DKE92" s="60"/>
      <c r="DKT92" s="63" t="s">
        <v>934</v>
      </c>
      <c r="DKU92" s="60"/>
      <c r="DLJ92" s="63" t="s">
        <v>934</v>
      </c>
      <c r="DLK92" s="60"/>
      <c r="DLZ92" s="63" t="s">
        <v>934</v>
      </c>
      <c r="DMA92" s="60"/>
      <c r="DMP92" s="63" t="s">
        <v>934</v>
      </c>
      <c r="DMQ92" s="60"/>
      <c r="DNF92" s="63" t="s">
        <v>934</v>
      </c>
      <c r="DNG92" s="60"/>
      <c r="DNV92" s="63" t="s">
        <v>934</v>
      </c>
      <c r="DNW92" s="60"/>
      <c r="DOL92" s="63" t="s">
        <v>934</v>
      </c>
      <c r="DOM92" s="60"/>
      <c r="DPB92" s="63" t="s">
        <v>934</v>
      </c>
      <c r="DPC92" s="60"/>
      <c r="DPR92" s="63" t="s">
        <v>934</v>
      </c>
      <c r="DPS92" s="60"/>
      <c r="DQH92" s="63" t="s">
        <v>934</v>
      </c>
      <c r="DQI92" s="60"/>
      <c r="DQX92" s="63" t="s">
        <v>934</v>
      </c>
      <c r="DQY92" s="60"/>
      <c r="DRN92" s="63" t="s">
        <v>934</v>
      </c>
      <c r="DRO92" s="60"/>
      <c r="DSD92" s="63" t="s">
        <v>934</v>
      </c>
      <c r="DSE92" s="60"/>
      <c r="DST92" s="63" t="s">
        <v>934</v>
      </c>
      <c r="DSU92" s="60"/>
      <c r="DTJ92" s="63" t="s">
        <v>934</v>
      </c>
      <c r="DTK92" s="60"/>
      <c r="DTZ92" s="63" t="s">
        <v>934</v>
      </c>
      <c r="DUA92" s="60"/>
      <c r="DUP92" s="63" t="s">
        <v>934</v>
      </c>
      <c r="DUQ92" s="60"/>
      <c r="DVF92" s="63" t="s">
        <v>934</v>
      </c>
      <c r="DVG92" s="60"/>
      <c r="DVV92" s="63" t="s">
        <v>934</v>
      </c>
      <c r="DVW92" s="60"/>
      <c r="DWL92" s="63" t="s">
        <v>934</v>
      </c>
      <c r="DWM92" s="60"/>
      <c r="DXB92" s="63" t="s">
        <v>934</v>
      </c>
      <c r="DXC92" s="60"/>
      <c r="DXR92" s="63" t="s">
        <v>934</v>
      </c>
      <c r="DXS92" s="60"/>
      <c r="DYH92" s="63" t="s">
        <v>934</v>
      </c>
      <c r="DYI92" s="60"/>
      <c r="DYX92" s="63" t="s">
        <v>934</v>
      </c>
      <c r="DYY92" s="60"/>
      <c r="DZN92" s="63" t="s">
        <v>934</v>
      </c>
      <c r="DZO92" s="60"/>
      <c r="EAD92" s="63" t="s">
        <v>934</v>
      </c>
      <c r="EAE92" s="60"/>
      <c r="EAT92" s="63" t="s">
        <v>934</v>
      </c>
      <c r="EAU92" s="60"/>
      <c r="EBJ92" s="63" t="s">
        <v>934</v>
      </c>
      <c r="EBK92" s="60"/>
      <c r="EBZ92" s="63" t="s">
        <v>934</v>
      </c>
      <c r="ECA92" s="60"/>
      <c r="ECP92" s="63" t="s">
        <v>934</v>
      </c>
      <c r="ECQ92" s="60"/>
      <c r="EDF92" s="63" t="s">
        <v>934</v>
      </c>
      <c r="EDG92" s="60"/>
      <c r="EDV92" s="63" t="s">
        <v>934</v>
      </c>
      <c r="EDW92" s="60"/>
      <c r="EEL92" s="63" t="s">
        <v>934</v>
      </c>
      <c r="EEM92" s="60"/>
      <c r="EFB92" s="63" t="s">
        <v>934</v>
      </c>
      <c r="EFC92" s="60"/>
      <c r="EFR92" s="63" t="s">
        <v>934</v>
      </c>
      <c r="EFS92" s="60"/>
      <c r="EGH92" s="63" t="s">
        <v>934</v>
      </c>
      <c r="EGI92" s="60"/>
      <c r="EGX92" s="63" t="s">
        <v>934</v>
      </c>
      <c r="EGY92" s="60"/>
      <c r="EHN92" s="63" t="s">
        <v>934</v>
      </c>
      <c r="EHO92" s="60"/>
      <c r="EID92" s="63" t="s">
        <v>934</v>
      </c>
      <c r="EIE92" s="60"/>
      <c r="EIT92" s="63" t="s">
        <v>934</v>
      </c>
      <c r="EIU92" s="60"/>
      <c r="EJJ92" s="63" t="s">
        <v>934</v>
      </c>
      <c r="EJK92" s="60"/>
      <c r="EJZ92" s="63" t="s">
        <v>934</v>
      </c>
      <c r="EKA92" s="60"/>
      <c r="EKP92" s="63" t="s">
        <v>934</v>
      </c>
      <c r="EKQ92" s="60"/>
      <c r="ELF92" s="63" t="s">
        <v>934</v>
      </c>
      <c r="ELG92" s="60"/>
      <c r="ELV92" s="63" t="s">
        <v>934</v>
      </c>
      <c r="ELW92" s="60"/>
      <c r="EML92" s="63" t="s">
        <v>934</v>
      </c>
      <c r="EMM92" s="60"/>
      <c r="ENB92" s="63" t="s">
        <v>934</v>
      </c>
      <c r="ENC92" s="60"/>
      <c r="ENR92" s="63" t="s">
        <v>934</v>
      </c>
      <c r="ENS92" s="60"/>
      <c r="EOH92" s="63" t="s">
        <v>934</v>
      </c>
      <c r="EOI92" s="60"/>
      <c r="EOX92" s="63" t="s">
        <v>934</v>
      </c>
      <c r="EOY92" s="60"/>
      <c r="EPN92" s="63" t="s">
        <v>934</v>
      </c>
      <c r="EPO92" s="60"/>
      <c r="EQD92" s="63" t="s">
        <v>934</v>
      </c>
      <c r="EQE92" s="60"/>
      <c r="EQT92" s="63" t="s">
        <v>934</v>
      </c>
      <c r="EQU92" s="60"/>
      <c r="ERJ92" s="63" t="s">
        <v>934</v>
      </c>
      <c r="ERK92" s="60"/>
      <c r="ERZ92" s="63" t="s">
        <v>934</v>
      </c>
      <c r="ESA92" s="60"/>
      <c r="ESP92" s="63" t="s">
        <v>934</v>
      </c>
      <c r="ESQ92" s="60"/>
      <c r="ETF92" s="63" t="s">
        <v>934</v>
      </c>
      <c r="ETG92" s="60"/>
      <c r="ETV92" s="63" t="s">
        <v>934</v>
      </c>
      <c r="ETW92" s="60"/>
      <c r="EUL92" s="63" t="s">
        <v>934</v>
      </c>
      <c r="EUM92" s="60"/>
      <c r="EVB92" s="63" t="s">
        <v>934</v>
      </c>
      <c r="EVC92" s="60"/>
      <c r="EVR92" s="63" t="s">
        <v>934</v>
      </c>
      <c r="EVS92" s="60"/>
      <c r="EWH92" s="63" t="s">
        <v>934</v>
      </c>
      <c r="EWI92" s="60"/>
      <c r="EWX92" s="63" t="s">
        <v>934</v>
      </c>
      <c r="EWY92" s="60"/>
      <c r="EXN92" s="63" t="s">
        <v>934</v>
      </c>
      <c r="EXO92" s="60"/>
      <c r="EYD92" s="63" t="s">
        <v>934</v>
      </c>
      <c r="EYE92" s="60"/>
      <c r="EYT92" s="63" t="s">
        <v>934</v>
      </c>
      <c r="EYU92" s="60"/>
      <c r="EZJ92" s="63" t="s">
        <v>934</v>
      </c>
      <c r="EZK92" s="60"/>
      <c r="EZZ92" s="63" t="s">
        <v>934</v>
      </c>
      <c r="FAA92" s="60"/>
      <c r="FAP92" s="63" t="s">
        <v>934</v>
      </c>
      <c r="FAQ92" s="60"/>
      <c r="FBF92" s="63" t="s">
        <v>934</v>
      </c>
      <c r="FBG92" s="60"/>
      <c r="FBV92" s="63" t="s">
        <v>934</v>
      </c>
      <c r="FBW92" s="60"/>
      <c r="FCL92" s="63" t="s">
        <v>934</v>
      </c>
      <c r="FCM92" s="60"/>
      <c r="FDB92" s="63" t="s">
        <v>934</v>
      </c>
      <c r="FDC92" s="60"/>
      <c r="FDR92" s="63" t="s">
        <v>934</v>
      </c>
      <c r="FDS92" s="60"/>
      <c r="FEH92" s="63" t="s">
        <v>934</v>
      </c>
      <c r="FEI92" s="60"/>
      <c r="FEX92" s="63" t="s">
        <v>934</v>
      </c>
      <c r="FEY92" s="60"/>
      <c r="FFN92" s="63" t="s">
        <v>934</v>
      </c>
      <c r="FFO92" s="60"/>
      <c r="FGD92" s="63" t="s">
        <v>934</v>
      </c>
      <c r="FGE92" s="60"/>
      <c r="FGT92" s="63" t="s">
        <v>934</v>
      </c>
      <c r="FGU92" s="60"/>
      <c r="FHJ92" s="63" t="s">
        <v>934</v>
      </c>
      <c r="FHK92" s="60"/>
      <c r="FHZ92" s="63" t="s">
        <v>934</v>
      </c>
      <c r="FIA92" s="60"/>
      <c r="FIP92" s="63" t="s">
        <v>934</v>
      </c>
      <c r="FIQ92" s="60"/>
      <c r="FJF92" s="63" t="s">
        <v>934</v>
      </c>
      <c r="FJG92" s="60"/>
      <c r="FJV92" s="63" t="s">
        <v>934</v>
      </c>
      <c r="FJW92" s="60"/>
      <c r="FKL92" s="63" t="s">
        <v>934</v>
      </c>
      <c r="FKM92" s="60"/>
      <c r="FLB92" s="63" t="s">
        <v>934</v>
      </c>
      <c r="FLC92" s="60"/>
      <c r="FLR92" s="63" t="s">
        <v>934</v>
      </c>
      <c r="FLS92" s="60"/>
      <c r="FMH92" s="63" t="s">
        <v>934</v>
      </c>
      <c r="FMI92" s="60"/>
      <c r="FMX92" s="63" t="s">
        <v>934</v>
      </c>
      <c r="FMY92" s="60"/>
      <c r="FNN92" s="63" t="s">
        <v>934</v>
      </c>
      <c r="FNO92" s="60"/>
      <c r="FOD92" s="63" t="s">
        <v>934</v>
      </c>
      <c r="FOE92" s="60"/>
      <c r="FOT92" s="63" t="s">
        <v>934</v>
      </c>
      <c r="FOU92" s="60"/>
      <c r="FPJ92" s="63" t="s">
        <v>934</v>
      </c>
      <c r="FPK92" s="60"/>
      <c r="FPZ92" s="63" t="s">
        <v>934</v>
      </c>
      <c r="FQA92" s="60"/>
      <c r="FQP92" s="63" t="s">
        <v>934</v>
      </c>
      <c r="FQQ92" s="60"/>
      <c r="FRF92" s="63" t="s">
        <v>934</v>
      </c>
      <c r="FRG92" s="60"/>
      <c r="FRV92" s="63" t="s">
        <v>934</v>
      </c>
      <c r="FRW92" s="60"/>
      <c r="FSL92" s="63" t="s">
        <v>934</v>
      </c>
      <c r="FSM92" s="60"/>
      <c r="FTB92" s="63" t="s">
        <v>934</v>
      </c>
      <c r="FTC92" s="60"/>
      <c r="FTR92" s="63" t="s">
        <v>934</v>
      </c>
      <c r="FTS92" s="60"/>
      <c r="FUH92" s="63" t="s">
        <v>934</v>
      </c>
      <c r="FUI92" s="60"/>
      <c r="FUX92" s="63" t="s">
        <v>934</v>
      </c>
      <c r="FUY92" s="60"/>
      <c r="FVN92" s="63" t="s">
        <v>934</v>
      </c>
      <c r="FVO92" s="60"/>
      <c r="FWD92" s="63" t="s">
        <v>934</v>
      </c>
      <c r="FWE92" s="60"/>
      <c r="FWT92" s="63" t="s">
        <v>934</v>
      </c>
      <c r="FWU92" s="60"/>
      <c r="FXJ92" s="63" t="s">
        <v>934</v>
      </c>
      <c r="FXK92" s="60"/>
      <c r="FXZ92" s="63" t="s">
        <v>934</v>
      </c>
      <c r="FYA92" s="60"/>
      <c r="FYP92" s="63" t="s">
        <v>934</v>
      </c>
      <c r="FYQ92" s="60"/>
      <c r="FZF92" s="63" t="s">
        <v>934</v>
      </c>
      <c r="FZG92" s="60"/>
      <c r="FZV92" s="63" t="s">
        <v>934</v>
      </c>
      <c r="FZW92" s="60"/>
      <c r="GAL92" s="63" t="s">
        <v>934</v>
      </c>
      <c r="GAM92" s="60"/>
      <c r="GBB92" s="63" t="s">
        <v>934</v>
      </c>
      <c r="GBC92" s="60"/>
      <c r="GBR92" s="63" t="s">
        <v>934</v>
      </c>
      <c r="GBS92" s="60"/>
      <c r="GCH92" s="63" t="s">
        <v>934</v>
      </c>
      <c r="GCI92" s="60"/>
      <c r="GCX92" s="63" t="s">
        <v>934</v>
      </c>
      <c r="GCY92" s="60"/>
      <c r="GDN92" s="63" t="s">
        <v>934</v>
      </c>
      <c r="GDO92" s="60"/>
      <c r="GED92" s="63" t="s">
        <v>934</v>
      </c>
      <c r="GEE92" s="60"/>
      <c r="GET92" s="63" t="s">
        <v>934</v>
      </c>
      <c r="GEU92" s="60"/>
      <c r="GFJ92" s="63" t="s">
        <v>934</v>
      </c>
      <c r="GFK92" s="60"/>
      <c r="GFZ92" s="63" t="s">
        <v>934</v>
      </c>
      <c r="GGA92" s="60"/>
      <c r="GGP92" s="63" t="s">
        <v>934</v>
      </c>
      <c r="GGQ92" s="60"/>
      <c r="GHF92" s="63" t="s">
        <v>934</v>
      </c>
      <c r="GHG92" s="60"/>
      <c r="GHV92" s="63" t="s">
        <v>934</v>
      </c>
      <c r="GHW92" s="60"/>
      <c r="GIL92" s="63" t="s">
        <v>934</v>
      </c>
      <c r="GIM92" s="60"/>
      <c r="GJB92" s="63" t="s">
        <v>934</v>
      </c>
      <c r="GJC92" s="60"/>
      <c r="GJR92" s="63" t="s">
        <v>934</v>
      </c>
      <c r="GJS92" s="60"/>
      <c r="GKH92" s="63" t="s">
        <v>934</v>
      </c>
      <c r="GKI92" s="60"/>
      <c r="GKX92" s="63" t="s">
        <v>934</v>
      </c>
      <c r="GKY92" s="60"/>
      <c r="GLN92" s="63" t="s">
        <v>934</v>
      </c>
      <c r="GLO92" s="60"/>
      <c r="GMD92" s="63" t="s">
        <v>934</v>
      </c>
      <c r="GME92" s="60"/>
      <c r="GMT92" s="63" t="s">
        <v>934</v>
      </c>
      <c r="GMU92" s="60"/>
      <c r="GNJ92" s="63" t="s">
        <v>934</v>
      </c>
      <c r="GNK92" s="60"/>
      <c r="GNZ92" s="63" t="s">
        <v>934</v>
      </c>
      <c r="GOA92" s="60"/>
      <c r="GOP92" s="63" t="s">
        <v>934</v>
      </c>
      <c r="GOQ92" s="60"/>
      <c r="GPF92" s="63" t="s">
        <v>934</v>
      </c>
      <c r="GPG92" s="60"/>
      <c r="GPV92" s="63" t="s">
        <v>934</v>
      </c>
      <c r="GPW92" s="60"/>
      <c r="GQL92" s="63" t="s">
        <v>934</v>
      </c>
      <c r="GQM92" s="60"/>
      <c r="GRB92" s="63" t="s">
        <v>934</v>
      </c>
      <c r="GRC92" s="60"/>
      <c r="GRR92" s="63" t="s">
        <v>934</v>
      </c>
      <c r="GRS92" s="60"/>
      <c r="GSH92" s="63" t="s">
        <v>934</v>
      </c>
      <c r="GSI92" s="60"/>
      <c r="GSX92" s="63" t="s">
        <v>934</v>
      </c>
      <c r="GSY92" s="60"/>
      <c r="GTN92" s="63" t="s">
        <v>934</v>
      </c>
      <c r="GTO92" s="60"/>
      <c r="GUD92" s="63" t="s">
        <v>934</v>
      </c>
      <c r="GUE92" s="60"/>
      <c r="GUT92" s="63" t="s">
        <v>934</v>
      </c>
      <c r="GUU92" s="60"/>
      <c r="GVJ92" s="63" t="s">
        <v>934</v>
      </c>
      <c r="GVK92" s="60"/>
      <c r="GVZ92" s="63" t="s">
        <v>934</v>
      </c>
      <c r="GWA92" s="60"/>
      <c r="GWP92" s="63" t="s">
        <v>934</v>
      </c>
      <c r="GWQ92" s="60"/>
      <c r="GXF92" s="63" t="s">
        <v>934</v>
      </c>
      <c r="GXG92" s="60"/>
      <c r="GXV92" s="63" t="s">
        <v>934</v>
      </c>
      <c r="GXW92" s="60"/>
      <c r="GYL92" s="63" t="s">
        <v>934</v>
      </c>
      <c r="GYM92" s="60"/>
      <c r="GZB92" s="63" t="s">
        <v>934</v>
      </c>
      <c r="GZC92" s="60"/>
      <c r="GZR92" s="63" t="s">
        <v>934</v>
      </c>
      <c r="GZS92" s="60"/>
      <c r="HAH92" s="63" t="s">
        <v>934</v>
      </c>
      <c r="HAI92" s="60"/>
      <c r="HAX92" s="63" t="s">
        <v>934</v>
      </c>
      <c r="HAY92" s="60"/>
      <c r="HBN92" s="63" t="s">
        <v>934</v>
      </c>
      <c r="HBO92" s="60"/>
      <c r="HCD92" s="63" t="s">
        <v>934</v>
      </c>
      <c r="HCE92" s="60"/>
      <c r="HCT92" s="63" t="s">
        <v>934</v>
      </c>
      <c r="HCU92" s="60"/>
      <c r="HDJ92" s="63" t="s">
        <v>934</v>
      </c>
      <c r="HDK92" s="60"/>
      <c r="HDZ92" s="63" t="s">
        <v>934</v>
      </c>
      <c r="HEA92" s="60"/>
      <c r="HEP92" s="63" t="s">
        <v>934</v>
      </c>
      <c r="HEQ92" s="60"/>
      <c r="HFF92" s="63" t="s">
        <v>934</v>
      </c>
      <c r="HFG92" s="60"/>
      <c r="HFV92" s="63" t="s">
        <v>934</v>
      </c>
      <c r="HFW92" s="60"/>
      <c r="HGL92" s="63" t="s">
        <v>934</v>
      </c>
      <c r="HGM92" s="60"/>
      <c r="HHB92" s="63" t="s">
        <v>934</v>
      </c>
      <c r="HHC92" s="60"/>
      <c r="HHR92" s="63" t="s">
        <v>934</v>
      </c>
      <c r="HHS92" s="60"/>
      <c r="HIH92" s="63" t="s">
        <v>934</v>
      </c>
      <c r="HII92" s="60"/>
      <c r="HIX92" s="63" t="s">
        <v>934</v>
      </c>
      <c r="HIY92" s="60"/>
      <c r="HJN92" s="63" t="s">
        <v>934</v>
      </c>
      <c r="HJO92" s="60"/>
      <c r="HKD92" s="63" t="s">
        <v>934</v>
      </c>
      <c r="HKE92" s="60"/>
      <c r="HKT92" s="63" t="s">
        <v>934</v>
      </c>
      <c r="HKU92" s="60"/>
      <c r="HLJ92" s="63" t="s">
        <v>934</v>
      </c>
      <c r="HLK92" s="60"/>
      <c r="HLZ92" s="63" t="s">
        <v>934</v>
      </c>
      <c r="HMA92" s="60"/>
      <c r="HMP92" s="63" t="s">
        <v>934</v>
      </c>
      <c r="HMQ92" s="60"/>
      <c r="HNF92" s="63" t="s">
        <v>934</v>
      </c>
      <c r="HNG92" s="60"/>
      <c r="HNV92" s="63" t="s">
        <v>934</v>
      </c>
      <c r="HNW92" s="60"/>
      <c r="HOL92" s="63" t="s">
        <v>934</v>
      </c>
      <c r="HOM92" s="60"/>
      <c r="HPB92" s="63" t="s">
        <v>934</v>
      </c>
      <c r="HPC92" s="60"/>
      <c r="HPR92" s="63" t="s">
        <v>934</v>
      </c>
      <c r="HPS92" s="60"/>
      <c r="HQH92" s="63" t="s">
        <v>934</v>
      </c>
      <c r="HQI92" s="60"/>
      <c r="HQX92" s="63" t="s">
        <v>934</v>
      </c>
      <c r="HQY92" s="60"/>
      <c r="HRN92" s="63" t="s">
        <v>934</v>
      </c>
      <c r="HRO92" s="60"/>
      <c r="HSD92" s="63" t="s">
        <v>934</v>
      </c>
      <c r="HSE92" s="60"/>
      <c r="HST92" s="63" t="s">
        <v>934</v>
      </c>
      <c r="HSU92" s="60"/>
      <c r="HTJ92" s="63" t="s">
        <v>934</v>
      </c>
      <c r="HTK92" s="60"/>
      <c r="HTZ92" s="63" t="s">
        <v>934</v>
      </c>
      <c r="HUA92" s="60"/>
      <c r="HUP92" s="63" t="s">
        <v>934</v>
      </c>
      <c r="HUQ92" s="60"/>
      <c r="HVF92" s="63" t="s">
        <v>934</v>
      </c>
      <c r="HVG92" s="60"/>
      <c r="HVV92" s="63" t="s">
        <v>934</v>
      </c>
      <c r="HVW92" s="60"/>
      <c r="HWL92" s="63" t="s">
        <v>934</v>
      </c>
      <c r="HWM92" s="60"/>
      <c r="HXB92" s="63" t="s">
        <v>934</v>
      </c>
      <c r="HXC92" s="60"/>
      <c r="HXR92" s="63" t="s">
        <v>934</v>
      </c>
      <c r="HXS92" s="60"/>
      <c r="HYH92" s="63" t="s">
        <v>934</v>
      </c>
      <c r="HYI92" s="60"/>
      <c r="HYX92" s="63" t="s">
        <v>934</v>
      </c>
      <c r="HYY92" s="60"/>
      <c r="HZN92" s="63" t="s">
        <v>934</v>
      </c>
      <c r="HZO92" s="60"/>
      <c r="IAD92" s="63" t="s">
        <v>934</v>
      </c>
      <c r="IAE92" s="60"/>
      <c r="IAT92" s="63" t="s">
        <v>934</v>
      </c>
      <c r="IAU92" s="60"/>
      <c r="IBJ92" s="63" t="s">
        <v>934</v>
      </c>
      <c r="IBK92" s="60"/>
      <c r="IBZ92" s="63" t="s">
        <v>934</v>
      </c>
      <c r="ICA92" s="60"/>
      <c r="ICP92" s="63" t="s">
        <v>934</v>
      </c>
      <c r="ICQ92" s="60"/>
      <c r="IDF92" s="63" t="s">
        <v>934</v>
      </c>
      <c r="IDG92" s="60"/>
      <c r="IDV92" s="63" t="s">
        <v>934</v>
      </c>
      <c r="IDW92" s="60"/>
      <c r="IEL92" s="63" t="s">
        <v>934</v>
      </c>
      <c r="IEM92" s="60"/>
      <c r="IFB92" s="63" t="s">
        <v>934</v>
      </c>
      <c r="IFC92" s="60"/>
      <c r="IFR92" s="63" t="s">
        <v>934</v>
      </c>
      <c r="IFS92" s="60"/>
      <c r="IGH92" s="63" t="s">
        <v>934</v>
      </c>
      <c r="IGI92" s="60"/>
      <c r="IGX92" s="63" t="s">
        <v>934</v>
      </c>
      <c r="IGY92" s="60"/>
      <c r="IHN92" s="63" t="s">
        <v>934</v>
      </c>
      <c r="IHO92" s="60"/>
      <c r="IID92" s="63" t="s">
        <v>934</v>
      </c>
      <c r="IIE92" s="60"/>
      <c r="IIT92" s="63" t="s">
        <v>934</v>
      </c>
      <c r="IIU92" s="60"/>
      <c r="IJJ92" s="63" t="s">
        <v>934</v>
      </c>
      <c r="IJK92" s="60"/>
      <c r="IJZ92" s="63" t="s">
        <v>934</v>
      </c>
      <c r="IKA92" s="60"/>
      <c r="IKP92" s="63" t="s">
        <v>934</v>
      </c>
      <c r="IKQ92" s="60"/>
      <c r="ILF92" s="63" t="s">
        <v>934</v>
      </c>
      <c r="ILG92" s="60"/>
      <c r="ILV92" s="63" t="s">
        <v>934</v>
      </c>
      <c r="ILW92" s="60"/>
      <c r="IML92" s="63" t="s">
        <v>934</v>
      </c>
      <c r="IMM92" s="60"/>
      <c r="INB92" s="63" t="s">
        <v>934</v>
      </c>
      <c r="INC92" s="60"/>
      <c r="INR92" s="63" t="s">
        <v>934</v>
      </c>
      <c r="INS92" s="60"/>
      <c r="IOH92" s="63" t="s">
        <v>934</v>
      </c>
      <c r="IOI92" s="60"/>
      <c r="IOX92" s="63" t="s">
        <v>934</v>
      </c>
      <c r="IOY92" s="60"/>
      <c r="IPN92" s="63" t="s">
        <v>934</v>
      </c>
      <c r="IPO92" s="60"/>
      <c r="IQD92" s="63" t="s">
        <v>934</v>
      </c>
      <c r="IQE92" s="60"/>
      <c r="IQT92" s="63" t="s">
        <v>934</v>
      </c>
      <c r="IQU92" s="60"/>
      <c r="IRJ92" s="63" t="s">
        <v>934</v>
      </c>
      <c r="IRK92" s="60"/>
      <c r="IRZ92" s="63" t="s">
        <v>934</v>
      </c>
      <c r="ISA92" s="60"/>
      <c r="ISP92" s="63" t="s">
        <v>934</v>
      </c>
      <c r="ISQ92" s="60"/>
      <c r="ITF92" s="63" t="s">
        <v>934</v>
      </c>
      <c r="ITG92" s="60"/>
      <c r="ITV92" s="63" t="s">
        <v>934</v>
      </c>
      <c r="ITW92" s="60"/>
      <c r="IUL92" s="63" t="s">
        <v>934</v>
      </c>
      <c r="IUM92" s="60"/>
      <c r="IVB92" s="63" t="s">
        <v>934</v>
      </c>
      <c r="IVC92" s="60"/>
      <c r="IVR92" s="63" t="s">
        <v>934</v>
      </c>
      <c r="IVS92" s="60"/>
      <c r="IWH92" s="63" t="s">
        <v>934</v>
      </c>
      <c r="IWI92" s="60"/>
      <c r="IWX92" s="63" t="s">
        <v>934</v>
      </c>
      <c r="IWY92" s="60"/>
      <c r="IXN92" s="63" t="s">
        <v>934</v>
      </c>
      <c r="IXO92" s="60"/>
      <c r="IYD92" s="63" t="s">
        <v>934</v>
      </c>
      <c r="IYE92" s="60"/>
      <c r="IYT92" s="63" t="s">
        <v>934</v>
      </c>
      <c r="IYU92" s="60"/>
      <c r="IZJ92" s="63" t="s">
        <v>934</v>
      </c>
      <c r="IZK92" s="60"/>
      <c r="IZZ92" s="63" t="s">
        <v>934</v>
      </c>
      <c r="JAA92" s="60"/>
      <c r="JAP92" s="63" t="s">
        <v>934</v>
      </c>
      <c r="JAQ92" s="60"/>
      <c r="JBF92" s="63" t="s">
        <v>934</v>
      </c>
      <c r="JBG92" s="60"/>
      <c r="JBV92" s="63" t="s">
        <v>934</v>
      </c>
      <c r="JBW92" s="60"/>
      <c r="JCL92" s="63" t="s">
        <v>934</v>
      </c>
      <c r="JCM92" s="60"/>
      <c r="JDB92" s="63" t="s">
        <v>934</v>
      </c>
      <c r="JDC92" s="60"/>
      <c r="JDR92" s="63" t="s">
        <v>934</v>
      </c>
      <c r="JDS92" s="60"/>
      <c r="JEH92" s="63" t="s">
        <v>934</v>
      </c>
      <c r="JEI92" s="60"/>
      <c r="JEX92" s="63" t="s">
        <v>934</v>
      </c>
      <c r="JEY92" s="60"/>
      <c r="JFN92" s="63" t="s">
        <v>934</v>
      </c>
      <c r="JFO92" s="60"/>
      <c r="JGD92" s="63" t="s">
        <v>934</v>
      </c>
      <c r="JGE92" s="60"/>
      <c r="JGT92" s="63" t="s">
        <v>934</v>
      </c>
      <c r="JGU92" s="60"/>
      <c r="JHJ92" s="63" t="s">
        <v>934</v>
      </c>
      <c r="JHK92" s="60"/>
      <c r="JHZ92" s="63" t="s">
        <v>934</v>
      </c>
      <c r="JIA92" s="60"/>
      <c r="JIP92" s="63" t="s">
        <v>934</v>
      </c>
      <c r="JIQ92" s="60"/>
      <c r="JJF92" s="63" t="s">
        <v>934</v>
      </c>
      <c r="JJG92" s="60"/>
      <c r="JJV92" s="63" t="s">
        <v>934</v>
      </c>
      <c r="JJW92" s="60"/>
      <c r="JKL92" s="63" t="s">
        <v>934</v>
      </c>
      <c r="JKM92" s="60"/>
      <c r="JLB92" s="63" t="s">
        <v>934</v>
      </c>
      <c r="JLC92" s="60"/>
      <c r="JLR92" s="63" t="s">
        <v>934</v>
      </c>
      <c r="JLS92" s="60"/>
      <c r="JMH92" s="63" t="s">
        <v>934</v>
      </c>
      <c r="JMI92" s="60"/>
      <c r="JMX92" s="63" t="s">
        <v>934</v>
      </c>
      <c r="JMY92" s="60"/>
      <c r="JNN92" s="63" t="s">
        <v>934</v>
      </c>
      <c r="JNO92" s="60"/>
      <c r="JOD92" s="63" t="s">
        <v>934</v>
      </c>
      <c r="JOE92" s="60"/>
      <c r="JOT92" s="63" t="s">
        <v>934</v>
      </c>
      <c r="JOU92" s="60"/>
      <c r="JPJ92" s="63" t="s">
        <v>934</v>
      </c>
      <c r="JPK92" s="60"/>
      <c r="JPZ92" s="63" t="s">
        <v>934</v>
      </c>
      <c r="JQA92" s="60"/>
      <c r="JQP92" s="63" t="s">
        <v>934</v>
      </c>
      <c r="JQQ92" s="60"/>
      <c r="JRF92" s="63" t="s">
        <v>934</v>
      </c>
      <c r="JRG92" s="60"/>
      <c r="JRV92" s="63" t="s">
        <v>934</v>
      </c>
      <c r="JRW92" s="60"/>
      <c r="JSL92" s="63" t="s">
        <v>934</v>
      </c>
      <c r="JSM92" s="60"/>
      <c r="JTB92" s="63" t="s">
        <v>934</v>
      </c>
      <c r="JTC92" s="60"/>
      <c r="JTR92" s="63" t="s">
        <v>934</v>
      </c>
      <c r="JTS92" s="60"/>
      <c r="JUH92" s="63" t="s">
        <v>934</v>
      </c>
      <c r="JUI92" s="60"/>
      <c r="JUX92" s="63" t="s">
        <v>934</v>
      </c>
      <c r="JUY92" s="60"/>
      <c r="JVN92" s="63" t="s">
        <v>934</v>
      </c>
      <c r="JVO92" s="60"/>
      <c r="JWD92" s="63" t="s">
        <v>934</v>
      </c>
      <c r="JWE92" s="60"/>
      <c r="JWT92" s="63" t="s">
        <v>934</v>
      </c>
      <c r="JWU92" s="60"/>
      <c r="JXJ92" s="63" t="s">
        <v>934</v>
      </c>
      <c r="JXK92" s="60"/>
      <c r="JXZ92" s="63" t="s">
        <v>934</v>
      </c>
      <c r="JYA92" s="60"/>
      <c r="JYP92" s="63" t="s">
        <v>934</v>
      </c>
      <c r="JYQ92" s="60"/>
      <c r="JZF92" s="63" t="s">
        <v>934</v>
      </c>
      <c r="JZG92" s="60"/>
      <c r="JZV92" s="63" t="s">
        <v>934</v>
      </c>
      <c r="JZW92" s="60"/>
      <c r="KAL92" s="63" t="s">
        <v>934</v>
      </c>
      <c r="KAM92" s="60"/>
      <c r="KBB92" s="63" t="s">
        <v>934</v>
      </c>
      <c r="KBC92" s="60"/>
      <c r="KBR92" s="63" t="s">
        <v>934</v>
      </c>
      <c r="KBS92" s="60"/>
      <c r="KCH92" s="63" t="s">
        <v>934</v>
      </c>
      <c r="KCI92" s="60"/>
      <c r="KCX92" s="63" t="s">
        <v>934</v>
      </c>
      <c r="KCY92" s="60"/>
      <c r="KDN92" s="63" t="s">
        <v>934</v>
      </c>
      <c r="KDO92" s="60"/>
      <c r="KED92" s="63" t="s">
        <v>934</v>
      </c>
      <c r="KEE92" s="60"/>
      <c r="KET92" s="63" t="s">
        <v>934</v>
      </c>
      <c r="KEU92" s="60"/>
      <c r="KFJ92" s="63" t="s">
        <v>934</v>
      </c>
      <c r="KFK92" s="60"/>
      <c r="KFZ92" s="63" t="s">
        <v>934</v>
      </c>
      <c r="KGA92" s="60"/>
      <c r="KGP92" s="63" t="s">
        <v>934</v>
      </c>
      <c r="KGQ92" s="60"/>
      <c r="KHF92" s="63" t="s">
        <v>934</v>
      </c>
      <c r="KHG92" s="60"/>
      <c r="KHV92" s="63" t="s">
        <v>934</v>
      </c>
      <c r="KHW92" s="60"/>
      <c r="KIL92" s="63" t="s">
        <v>934</v>
      </c>
      <c r="KIM92" s="60"/>
      <c r="KJB92" s="63" t="s">
        <v>934</v>
      </c>
      <c r="KJC92" s="60"/>
      <c r="KJR92" s="63" t="s">
        <v>934</v>
      </c>
      <c r="KJS92" s="60"/>
      <c r="KKH92" s="63" t="s">
        <v>934</v>
      </c>
      <c r="KKI92" s="60"/>
      <c r="KKX92" s="63" t="s">
        <v>934</v>
      </c>
      <c r="KKY92" s="60"/>
      <c r="KLN92" s="63" t="s">
        <v>934</v>
      </c>
      <c r="KLO92" s="60"/>
      <c r="KMD92" s="63" t="s">
        <v>934</v>
      </c>
      <c r="KME92" s="60"/>
      <c r="KMT92" s="63" t="s">
        <v>934</v>
      </c>
      <c r="KMU92" s="60"/>
      <c r="KNJ92" s="63" t="s">
        <v>934</v>
      </c>
      <c r="KNK92" s="60"/>
      <c r="KNZ92" s="63" t="s">
        <v>934</v>
      </c>
      <c r="KOA92" s="60"/>
      <c r="KOP92" s="63" t="s">
        <v>934</v>
      </c>
      <c r="KOQ92" s="60"/>
      <c r="KPF92" s="63" t="s">
        <v>934</v>
      </c>
      <c r="KPG92" s="60"/>
      <c r="KPV92" s="63" t="s">
        <v>934</v>
      </c>
      <c r="KPW92" s="60"/>
      <c r="KQL92" s="63" t="s">
        <v>934</v>
      </c>
      <c r="KQM92" s="60"/>
      <c r="KRB92" s="63" t="s">
        <v>934</v>
      </c>
      <c r="KRC92" s="60"/>
      <c r="KRR92" s="63" t="s">
        <v>934</v>
      </c>
      <c r="KRS92" s="60"/>
      <c r="KSH92" s="63" t="s">
        <v>934</v>
      </c>
      <c r="KSI92" s="60"/>
      <c r="KSX92" s="63" t="s">
        <v>934</v>
      </c>
      <c r="KSY92" s="60"/>
      <c r="KTN92" s="63" t="s">
        <v>934</v>
      </c>
      <c r="KTO92" s="60"/>
      <c r="KUD92" s="63" t="s">
        <v>934</v>
      </c>
      <c r="KUE92" s="60"/>
      <c r="KUT92" s="63" t="s">
        <v>934</v>
      </c>
      <c r="KUU92" s="60"/>
      <c r="KVJ92" s="63" t="s">
        <v>934</v>
      </c>
      <c r="KVK92" s="60"/>
      <c r="KVZ92" s="63" t="s">
        <v>934</v>
      </c>
      <c r="KWA92" s="60"/>
      <c r="KWP92" s="63" t="s">
        <v>934</v>
      </c>
      <c r="KWQ92" s="60"/>
      <c r="KXF92" s="63" t="s">
        <v>934</v>
      </c>
      <c r="KXG92" s="60"/>
      <c r="KXV92" s="63" t="s">
        <v>934</v>
      </c>
      <c r="KXW92" s="60"/>
      <c r="KYL92" s="63" t="s">
        <v>934</v>
      </c>
      <c r="KYM92" s="60"/>
      <c r="KZB92" s="63" t="s">
        <v>934</v>
      </c>
      <c r="KZC92" s="60"/>
      <c r="KZR92" s="63" t="s">
        <v>934</v>
      </c>
      <c r="KZS92" s="60"/>
      <c r="LAH92" s="63" t="s">
        <v>934</v>
      </c>
      <c r="LAI92" s="60"/>
      <c r="LAX92" s="63" t="s">
        <v>934</v>
      </c>
      <c r="LAY92" s="60"/>
      <c r="LBN92" s="63" t="s">
        <v>934</v>
      </c>
      <c r="LBO92" s="60"/>
      <c r="LCD92" s="63" t="s">
        <v>934</v>
      </c>
      <c r="LCE92" s="60"/>
      <c r="LCT92" s="63" t="s">
        <v>934</v>
      </c>
      <c r="LCU92" s="60"/>
      <c r="LDJ92" s="63" t="s">
        <v>934</v>
      </c>
      <c r="LDK92" s="60"/>
      <c r="LDZ92" s="63" t="s">
        <v>934</v>
      </c>
      <c r="LEA92" s="60"/>
      <c r="LEP92" s="63" t="s">
        <v>934</v>
      </c>
      <c r="LEQ92" s="60"/>
      <c r="LFF92" s="63" t="s">
        <v>934</v>
      </c>
      <c r="LFG92" s="60"/>
      <c r="LFV92" s="63" t="s">
        <v>934</v>
      </c>
      <c r="LFW92" s="60"/>
      <c r="LGL92" s="63" t="s">
        <v>934</v>
      </c>
      <c r="LGM92" s="60"/>
      <c r="LHB92" s="63" t="s">
        <v>934</v>
      </c>
      <c r="LHC92" s="60"/>
      <c r="LHR92" s="63" t="s">
        <v>934</v>
      </c>
      <c r="LHS92" s="60"/>
      <c r="LIH92" s="63" t="s">
        <v>934</v>
      </c>
      <c r="LII92" s="60"/>
      <c r="LIX92" s="63" t="s">
        <v>934</v>
      </c>
      <c r="LIY92" s="60"/>
      <c r="LJN92" s="63" t="s">
        <v>934</v>
      </c>
      <c r="LJO92" s="60"/>
      <c r="LKD92" s="63" t="s">
        <v>934</v>
      </c>
      <c r="LKE92" s="60"/>
      <c r="LKT92" s="63" t="s">
        <v>934</v>
      </c>
      <c r="LKU92" s="60"/>
      <c r="LLJ92" s="63" t="s">
        <v>934</v>
      </c>
      <c r="LLK92" s="60"/>
      <c r="LLZ92" s="63" t="s">
        <v>934</v>
      </c>
      <c r="LMA92" s="60"/>
      <c r="LMP92" s="63" t="s">
        <v>934</v>
      </c>
      <c r="LMQ92" s="60"/>
      <c r="LNF92" s="63" t="s">
        <v>934</v>
      </c>
      <c r="LNG92" s="60"/>
      <c r="LNV92" s="63" t="s">
        <v>934</v>
      </c>
      <c r="LNW92" s="60"/>
      <c r="LOL92" s="63" t="s">
        <v>934</v>
      </c>
      <c r="LOM92" s="60"/>
      <c r="LPB92" s="63" t="s">
        <v>934</v>
      </c>
      <c r="LPC92" s="60"/>
      <c r="LPR92" s="63" t="s">
        <v>934</v>
      </c>
      <c r="LPS92" s="60"/>
      <c r="LQH92" s="63" t="s">
        <v>934</v>
      </c>
      <c r="LQI92" s="60"/>
      <c r="LQX92" s="63" t="s">
        <v>934</v>
      </c>
      <c r="LQY92" s="60"/>
      <c r="LRN92" s="63" t="s">
        <v>934</v>
      </c>
      <c r="LRO92" s="60"/>
      <c r="LSD92" s="63" t="s">
        <v>934</v>
      </c>
      <c r="LSE92" s="60"/>
      <c r="LST92" s="63" t="s">
        <v>934</v>
      </c>
      <c r="LSU92" s="60"/>
      <c r="LTJ92" s="63" t="s">
        <v>934</v>
      </c>
      <c r="LTK92" s="60"/>
      <c r="LTZ92" s="63" t="s">
        <v>934</v>
      </c>
      <c r="LUA92" s="60"/>
      <c r="LUP92" s="63" t="s">
        <v>934</v>
      </c>
      <c r="LUQ92" s="60"/>
      <c r="LVF92" s="63" t="s">
        <v>934</v>
      </c>
      <c r="LVG92" s="60"/>
      <c r="LVV92" s="63" t="s">
        <v>934</v>
      </c>
      <c r="LVW92" s="60"/>
      <c r="LWL92" s="63" t="s">
        <v>934</v>
      </c>
      <c r="LWM92" s="60"/>
      <c r="LXB92" s="63" t="s">
        <v>934</v>
      </c>
      <c r="LXC92" s="60"/>
      <c r="LXR92" s="63" t="s">
        <v>934</v>
      </c>
      <c r="LXS92" s="60"/>
      <c r="LYH92" s="63" t="s">
        <v>934</v>
      </c>
      <c r="LYI92" s="60"/>
      <c r="LYX92" s="63" t="s">
        <v>934</v>
      </c>
      <c r="LYY92" s="60"/>
      <c r="LZN92" s="63" t="s">
        <v>934</v>
      </c>
      <c r="LZO92" s="60"/>
      <c r="MAD92" s="63" t="s">
        <v>934</v>
      </c>
      <c r="MAE92" s="60"/>
      <c r="MAT92" s="63" t="s">
        <v>934</v>
      </c>
      <c r="MAU92" s="60"/>
      <c r="MBJ92" s="63" t="s">
        <v>934</v>
      </c>
      <c r="MBK92" s="60"/>
      <c r="MBZ92" s="63" t="s">
        <v>934</v>
      </c>
      <c r="MCA92" s="60"/>
      <c r="MCP92" s="63" t="s">
        <v>934</v>
      </c>
      <c r="MCQ92" s="60"/>
      <c r="MDF92" s="63" t="s">
        <v>934</v>
      </c>
      <c r="MDG92" s="60"/>
      <c r="MDV92" s="63" t="s">
        <v>934</v>
      </c>
      <c r="MDW92" s="60"/>
      <c r="MEL92" s="63" t="s">
        <v>934</v>
      </c>
      <c r="MEM92" s="60"/>
      <c r="MFB92" s="63" t="s">
        <v>934</v>
      </c>
      <c r="MFC92" s="60"/>
      <c r="MFR92" s="63" t="s">
        <v>934</v>
      </c>
      <c r="MFS92" s="60"/>
      <c r="MGH92" s="63" t="s">
        <v>934</v>
      </c>
      <c r="MGI92" s="60"/>
      <c r="MGX92" s="63" t="s">
        <v>934</v>
      </c>
      <c r="MGY92" s="60"/>
      <c r="MHN92" s="63" t="s">
        <v>934</v>
      </c>
      <c r="MHO92" s="60"/>
      <c r="MID92" s="63" t="s">
        <v>934</v>
      </c>
      <c r="MIE92" s="60"/>
      <c r="MIT92" s="63" t="s">
        <v>934</v>
      </c>
      <c r="MIU92" s="60"/>
      <c r="MJJ92" s="63" t="s">
        <v>934</v>
      </c>
      <c r="MJK92" s="60"/>
      <c r="MJZ92" s="63" t="s">
        <v>934</v>
      </c>
      <c r="MKA92" s="60"/>
      <c r="MKP92" s="63" t="s">
        <v>934</v>
      </c>
      <c r="MKQ92" s="60"/>
      <c r="MLF92" s="63" t="s">
        <v>934</v>
      </c>
      <c r="MLG92" s="60"/>
      <c r="MLV92" s="63" t="s">
        <v>934</v>
      </c>
      <c r="MLW92" s="60"/>
      <c r="MML92" s="63" t="s">
        <v>934</v>
      </c>
      <c r="MMM92" s="60"/>
      <c r="MNB92" s="63" t="s">
        <v>934</v>
      </c>
      <c r="MNC92" s="60"/>
      <c r="MNR92" s="63" t="s">
        <v>934</v>
      </c>
      <c r="MNS92" s="60"/>
      <c r="MOH92" s="63" t="s">
        <v>934</v>
      </c>
      <c r="MOI92" s="60"/>
      <c r="MOX92" s="63" t="s">
        <v>934</v>
      </c>
      <c r="MOY92" s="60"/>
      <c r="MPN92" s="63" t="s">
        <v>934</v>
      </c>
      <c r="MPO92" s="60"/>
      <c r="MQD92" s="63" t="s">
        <v>934</v>
      </c>
      <c r="MQE92" s="60"/>
      <c r="MQT92" s="63" t="s">
        <v>934</v>
      </c>
      <c r="MQU92" s="60"/>
      <c r="MRJ92" s="63" t="s">
        <v>934</v>
      </c>
      <c r="MRK92" s="60"/>
      <c r="MRZ92" s="63" t="s">
        <v>934</v>
      </c>
      <c r="MSA92" s="60"/>
      <c r="MSP92" s="63" t="s">
        <v>934</v>
      </c>
      <c r="MSQ92" s="60"/>
      <c r="MTF92" s="63" t="s">
        <v>934</v>
      </c>
      <c r="MTG92" s="60"/>
      <c r="MTV92" s="63" t="s">
        <v>934</v>
      </c>
      <c r="MTW92" s="60"/>
      <c r="MUL92" s="63" t="s">
        <v>934</v>
      </c>
      <c r="MUM92" s="60"/>
      <c r="MVB92" s="63" t="s">
        <v>934</v>
      </c>
      <c r="MVC92" s="60"/>
      <c r="MVR92" s="63" t="s">
        <v>934</v>
      </c>
      <c r="MVS92" s="60"/>
      <c r="MWH92" s="63" t="s">
        <v>934</v>
      </c>
      <c r="MWI92" s="60"/>
      <c r="MWX92" s="63" t="s">
        <v>934</v>
      </c>
      <c r="MWY92" s="60"/>
      <c r="MXN92" s="63" t="s">
        <v>934</v>
      </c>
      <c r="MXO92" s="60"/>
      <c r="MYD92" s="63" t="s">
        <v>934</v>
      </c>
      <c r="MYE92" s="60"/>
      <c r="MYT92" s="63" t="s">
        <v>934</v>
      </c>
      <c r="MYU92" s="60"/>
      <c r="MZJ92" s="63" t="s">
        <v>934</v>
      </c>
      <c r="MZK92" s="60"/>
      <c r="MZZ92" s="63" t="s">
        <v>934</v>
      </c>
      <c r="NAA92" s="60"/>
      <c r="NAP92" s="63" t="s">
        <v>934</v>
      </c>
      <c r="NAQ92" s="60"/>
      <c r="NBF92" s="63" t="s">
        <v>934</v>
      </c>
      <c r="NBG92" s="60"/>
      <c r="NBV92" s="63" t="s">
        <v>934</v>
      </c>
      <c r="NBW92" s="60"/>
      <c r="NCL92" s="63" t="s">
        <v>934</v>
      </c>
      <c r="NCM92" s="60"/>
      <c r="NDB92" s="63" t="s">
        <v>934</v>
      </c>
      <c r="NDC92" s="60"/>
      <c r="NDR92" s="63" t="s">
        <v>934</v>
      </c>
      <c r="NDS92" s="60"/>
      <c r="NEH92" s="63" t="s">
        <v>934</v>
      </c>
      <c r="NEI92" s="60"/>
      <c r="NEX92" s="63" t="s">
        <v>934</v>
      </c>
      <c r="NEY92" s="60"/>
      <c r="NFN92" s="63" t="s">
        <v>934</v>
      </c>
      <c r="NFO92" s="60"/>
      <c r="NGD92" s="63" t="s">
        <v>934</v>
      </c>
      <c r="NGE92" s="60"/>
      <c r="NGT92" s="63" t="s">
        <v>934</v>
      </c>
      <c r="NGU92" s="60"/>
      <c r="NHJ92" s="63" t="s">
        <v>934</v>
      </c>
      <c r="NHK92" s="60"/>
      <c r="NHZ92" s="63" t="s">
        <v>934</v>
      </c>
      <c r="NIA92" s="60"/>
      <c r="NIP92" s="63" t="s">
        <v>934</v>
      </c>
      <c r="NIQ92" s="60"/>
      <c r="NJF92" s="63" t="s">
        <v>934</v>
      </c>
      <c r="NJG92" s="60"/>
      <c r="NJV92" s="63" t="s">
        <v>934</v>
      </c>
      <c r="NJW92" s="60"/>
      <c r="NKL92" s="63" t="s">
        <v>934</v>
      </c>
      <c r="NKM92" s="60"/>
      <c r="NLB92" s="63" t="s">
        <v>934</v>
      </c>
      <c r="NLC92" s="60"/>
      <c r="NLR92" s="63" t="s">
        <v>934</v>
      </c>
      <c r="NLS92" s="60"/>
      <c r="NMH92" s="63" t="s">
        <v>934</v>
      </c>
      <c r="NMI92" s="60"/>
      <c r="NMX92" s="63" t="s">
        <v>934</v>
      </c>
      <c r="NMY92" s="60"/>
      <c r="NNN92" s="63" t="s">
        <v>934</v>
      </c>
      <c r="NNO92" s="60"/>
      <c r="NOD92" s="63" t="s">
        <v>934</v>
      </c>
      <c r="NOE92" s="60"/>
      <c r="NOT92" s="63" t="s">
        <v>934</v>
      </c>
      <c r="NOU92" s="60"/>
      <c r="NPJ92" s="63" t="s">
        <v>934</v>
      </c>
      <c r="NPK92" s="60"/>
      <c r="NPZ92" s="63" t="s">
        <v>934</v>
      </c>
      <c r="NQA92" s="60"/>
      <c r="NQP92" s="63" t="s">
        <v>934</v>
      </c>
      <c r="NQQ92" s="60"/>
      <c r="NRF92" s="63" t="s">
        <v>934</v>
      </c>
      <c r="NRG92" s="60"/>
      <c r="NRV92" s="63" t="s">
        <v>934</v>
      </c>
      <c r="NRW92" s="60"/>
      <c r="NSL92" s="63" t="s">
        <v>934</v>
      </c>
      <c r="NSM92" s="60"/>
      <c r="NTB92" s="63" t="s">
        <v>934</v>
      </c>
      <c r="NTC92" s="60"/>
      <c r="NTR92" s="63" t="s">
        <v>934</v>
      </c>
      <c r="NTS92" s="60"/>
      <c r="NUH92" s="63" t="s">
        <v>934</v>
      </c>
      <c r="NUI92" s="60"/>
      <c r="NUX92" s="63" t="s">
        <v>934</v>
      </c>
      <c r="NUY92" s="60"/>
      <c r="NVN92" s="63" t="s">
        <v>934</v>
      </c>
      <c r="NVO92" s="60"/>
      <c r="NWD92" s="63" t="s">
        <v>934</v>
      </c>
      <c r="NWE92" s="60"/>
      <c r="NWT92" s="63" t="s">
        <v>934</v>
      </c>
      <c r="NWU92" s="60"/>
      <c r="NXJ92" s="63" t="s">
        <v>934</v>
      </c>
      <c r="NXK92" s="60"/>
      <c r="NXZ92" s="63" t="s">
        <v>934</v>
      </c>
      <c r="NYA92" s="60"/>
      <c r="NYP92" s="63" t="s">
        <v>934</v>
      </c>
      <c r="NYQ92" s="60"/>
      <c r="NZF92" s="63" t="s">
        <v>934</v>
      </c>
      <c r="NZG92" s="60"/>
      <c r="NZV92" s="63" t="s">
        <v>934</v>
      </c>
      <c r="NZW92" s="60"/>
      <c r="OAL92" s="63" t="s">
        <v>934</v>
      </c>
      <c r="OAM92" s="60"/>
      <c r="OBB92" s="63" t="s">
        <v>934</v>
      </c>
      <c r="OBC92" s="60"/>
      <c r="OBR92" s="63" t="s">
        <v>934</v>
      </c>
      <c r="OBS92" s="60"/>
      <c r="OCH92" s="63" t="s">
        <v>934</v>
      </c>
      <c r="OCI92" s="60"/>
      <c r="OCX92" s="63" t="s">
        <v>934</v>
      </c>
      <c r="OCY92" s="60"/>
      <c r="ODN92" s="63" t="s">
        <v>934</v>
      </c>
      <c r="ODO92" s="60"/>
      <c r="OED92" s="63" t="s">
        <v>934</v>
      </c>
      <c r="OEE92" s="60"/>
      <c r="OET92" s="63" t="s">
        <v>934</v>
      </c>
      <c r="OEU92" s="60"/>
      <c r="OFJ92" s="63" t="s">
        <v>934</v>
      </c>
      <c r="OFK92" s="60"/>
      <c r="OFZ92" s="63" t="s">
        <v>934</v>
      </c>
      <c r="OGA92" s="60"/>
      <c r="OGP92" s="63" t="s">
        <v>934</v>
      </c>
      <c r="OGQ92" s="60"/>
      <c r="OHF92" s="63" t="s">
        <v>934</v>
      </c>
      <c r="OHG92" s="60"/>
      <c r="OHV92" s="63" t="s">
        <v>934</v>
      </c>
      <c r="OHW92" s="60"/>
      <c r="OIL92" s="63" t="s">
        <v>934</v>
      </c>
      <c r="OIM92" s="60"/>
      <c r="OJB92" s="63" t="s">
        <v>934</v>
      </c>
      <c r="OJC92" s="60"/>
      <c r="OJR92" s="63" t="s">
        <v>934</v>
      </c>
      <c r="OJS92" s="60"/>
      <c r="OKH92" s="63" t="s">
        <v>934</v>
      </c>
      <c r="OKI92" s="60"/>
      <c r="OKX92" s="63" t="s">
        <v>934</v>
      </c>
      <c r="OKY92" s="60"/>
      <c r="OLN92" s="63" t="s">
        <v>934</v>
      </c>
      <c r="OLO92" s="60"/>
      <c r="OMD92" s="63" t="s">
        <v>934</v>
      </c>
      <c r="OME92" s="60"/>
      <c r="OMT92" s="63" t="s">
        <v>934</v>
      </c>
      <c r="OMU92" s="60"/>
      <c r="ONJ92" s="63" t="s">
        <v>934</v>
      </c>
      <c r="ONK92" s="60"/>
      <c r="ONZ92" s="63" t="s">
        <v>934</v>
      </c>
      <c r="OOA92" s="60"/>
      <c r="OOP92" s="63" t="s">
        <v>934</v>
      </c>
      <c r="OOQ92" s="60"/>
      <c r="OPF92" s="63" t="s">
        <v>934</v>
      </c>
      <c r="OPG92" s="60"/>
      <c r="OPV92" s="63" t="s">
        <v>934</v>
      </c>
      <c r="OPW92" s="60"/>
      <c r="OQL92" s="63" t="s">
        <v>934</v>
      </c>
      <c r="OQM92" s="60"/>
      <c r="ORB92" s="63" t="s">
        <v>934</v>
      </c>
      <c r="ORC92" s="60"/>
      <c r="ORR92" s="63" t="s">
        <v>934</v>
      </c>
      <c r="ORS92" s="60"/>
      <c r="OSH92" s="63" t="s">
        <v>934</v>
      </c>
      <c r="OSI92" s="60"/>
      <c r="OSX92" s="63" t="s">
        <v>934</v>
      </c>
      <c r="OSY92" s="60"/>
      <c r="OTN92" s="63" t="s">
        <v>934</v>
      </c>
      <c r="OTO92" s="60"/>
      <c r="OUD92" s="63" t="s">
        <v>934</v>
      </c>
      <c r="OUE92" s="60"/>
      <c r="OUT92" s="63" t="s">
        <v>934</v>
      </c>
      <c r="OUU92" s="60"/>
      <c r="OVJ92" s="63" t="s">
        <v>934</v>
      </c>
      <c r="OVK92" s="60"/>
      <c r="OVZ92" s="63" t="s">
        <v>934</v>
      </c>
      <c r="OWA92" s="60"/>
      <c r="OWP92" s="63" t="s">
        <v>934</v>
      </c>
      <c r="OWQ92" s="60"/>
      <c r="OXF92" s="63" t="s">
        <v>934</v>
      </c>
      <c r="OXG92" s="60"/>
      <c r="OXV92" s="63" t="s">
        <v>934</v>
      </c>
      <c r="OXW92" s="60"/>
      <c r="OYL92" s="63" t="s">
        <v>934</v>
      </c>
      <c r="OYM92" s="60"/>
      <c r="OZB92" s="63" t="s">
        <v>934</v>
      </c>
      <c r="OZC92" s="60"/>
      <c r="OZR92" s="63" t="s">
        <v>934</v>
      </c>
      <c r="OZS92" s="60"/>
      <c r="PAH92" s="63" t="s">
        <v>934</v>
      </c>
      <c r="PAI92" s="60"/>
      <c r="PAX92" s="63" t="s">
        <v>934</v>
      </c>
      <c r="PAY92" s="60"/>
      <c r="PBN92" s="63" t="s">
        <v>934</v>
      </c>
      <c r="PBO92" s="60"/>
      <c r="PCD92" s="63" t="s">
        <v>934</v>
      </c>
      <c r="PCE92" s="60"/>
      <c r="PCT92" s="63" t="s">
        <v>934</v>
      </c>
      <c r="PCU92" s="60"/>
      <c r="PDJ92" s="63" t="s">
        <v>934</v>
      </c>
      <c r="PDK92" s="60"/>
      <c r="PDZ92" s="63" t="s">
        <v>934</v>
      </c>
      <c r="PEA92" s="60"/>
      <c r="PEP92" s="63" t="s">
        <v>934</v>
      </c>
      <c r="PEQ92" s="60"/>
      <c r="PFF92" s="63" t="s">
        <v>934</v>
      </c>
      <c r="PFG92" s="60"/>
      <c r="PFV92" s="63" t="s">
        <v>934</v>
      </c>
      <c r="PFW92" s="60"/>
      <c r="PGL92" s="63" t="s">
        <v>934</v>
      </c>
      <c r="PGM92" s="60"/>
      <c r="PHB92" s="63" t="s">
        <v>934</v>
      </c>
      <c r="PHC92" s="60"/>
      <c r="PHR92" s="63" t="s">
        <v>934</v>
      </c>
      <c r="PHS92" s="60"/>
      <c r="PIH92" s="63" t="s">
        <v>934</v>
      </c>
      <c r="PII92" s="60"/>
      <c r="PIX92" s="63" t="s">
        <v>934</v>
      </c>
      <c r="PIY92" s="60"/>
      <c r="PJN92" s="63" t="s">
        <v>934</v>
      </c>
      <c r="PJO92" s="60"/>
      <c r="PKD92" s="63" t="s">
        <v>934</v>
      </c>
      <c r="PKE92" s="60"/>
      <c r="PKT92" s="63" t="s">
        <v>934</v>
      </c>
      <c r="PKU92" s="60"/>
      <c r="PLJ92" s="63" t="s">
        <v>934</v>
      </c>
      <c r="PLK92" s="60"/>
      <c r="PLZ92" s="63" t="s">
        <v>934</v>
      </c>
      <c r="PMA92" s="60"/>
      <c r="PMP92" s="63" t="s">
        <v>934</v>
      </c>
      <c r="PMQ92" s="60"/>
      <c r="PNF92" s="63" t="s">
        <v>934</v>
      </c>
      <c r="PNG92" s="60"/>
      <c r="PNV92" s="63" t="s">
        <v>934</v>
      </c>
      <c r="PNW92" s="60"/>
      <c r="POL92" s="63" t="s">
        <v>934</v>
      </c>
      <c r="POM92" s="60"/>
      <c r="PPB92" s="63" t="s">
        <v>934</v>
      </c>
      <c r="PPC92" s="60"/>
      <c r="PPR92" s="63" t="s">
        <v>934</v>
      </c>
      <c r="PPS92" s="60"/>
      <c r="PQH92" s="63" t="s">
        <v>934</v>
      </c>
      <c r="PQI92" s="60"/>
      <c r="PQX92" s="63" t="s">
        <v>934</v>
      </c>
      <c r="PQY92" s="60"/>
      <c r="PRN92" s="63" t="s">
        <v>934</v>
      </c>
      <c r="PRO92" s="60"/>
      <c r="PSD92" s="63" t="s">
        <v>934</v>
      </c>
      <c r="PSE92" s="60"/>
      <c r="PST92" s="63" t="s">
        <v>934</v>
      </c>
      <c r="PSU92" s="60"/>
      <c r="PTJ92" s="63" t="s">
        <v>934</v>
      </c>
      <c r="PTK92" s="60"/>
      <c r="PTZ92" s="63" t="s">
        <v>934</v>
      </c>
      <c r="PUA92" s="60"/>
      <c r="PUP92" s="63" t="s">
        <v>934</v>
      </c>
      <c r="PUQ92" s="60"/>
      <c r="PVF92" s="63" t="s">
        <v>934</v>
      </c>
      <c r="PVG92" s="60"/>
      <c r="PVV92" s="63" t="s">
        <v>934</v>
      </c>
      <c r="PVW92" s="60"/>
      <c r="PWL92" s="63" t="s">
        <v>934</v>
      </c>
      <c r="PWM92" s="60"/>
      <c r="PXB92" s="63" t="s">
        <v>934</v>
      </c>
      <c r="PXC92" s="60"/>
      <c r="PXR92" s="63" t="s">
        <v>934</v>
      </c>
      <c r="PXS92" s="60"/>
      <c r="PYH92" s="63" t="s">
        <v>934</v>
      </c>
      <c r="PYI92" s="60"/>
      <c r="PYX92" s="63" t="s">
        <v>934</v>
      </c>
      <c r="PYY92" s="60"/>
      <c r="PZN92" s="63" t="s">
        <v>934</v>
      </c>
      <c r="PZO92" s="60"/>
      <c r="QAD92" s="63" t="s">
        <v>934</v>
      </c>
      <c r="QAE92" s="60"/>
      <c r="QAT92" s="63" t="s">
        <v>934</v>
      </c>
      <c r="QAU92" s="60"/>
      <c r="QBJ92" s="63" t="s">
        <v>934</v>
      </c>
      <c r="QBK92" s="60"/>
      <c r="QBZ92" s="63" t="s">
        <v>934</v>
      </c>
      <c r="QCA92" s="60"/>
      <c r="QCP92" s="63" t="s">
        <v>934</v>
      </c>
      <c r="QCQ92" s="60"/>
      <c r="QDF92" s="63" t="s">
        <v>934</v>
      </c>
      <c r="QDG92" s="60"/>
      <c r="QDV92" s="63" t="s">
        <v>934</v>
      </c>
      <c r="QDW92" s="60"/>
      <c r="QEL92" s="63" t="s">
        <v>934</v>
      </c>
      <c r="QEM92" s="60"/>
      <c r="QFB92" s="63" t="s">
        <v>934</v>
      </c>
      <c r="QFC92" s="60"/>
      <c r="QFR92" s="63" t="s">
        <v>934</v>
      </c>
      <c r="QFS92" s="60"/>
      <c r="QGH92" s="63" t="s">
        <v>934</v>
      </c>
      <c r="QGI92" s="60"/>
      <c r="QGX92" s="63" t="s">
        <v>934</v>
      </c>
      <c r="QGY92" s="60"/>
      <c r="QHN92" s="63" t="s">
        <v>934</v>
      </c>
      <c r="QHO92" s="60"/>
      <c r="QID92" s="63" t="s">
        <v>934</v>
      </c>
      <c r="QIE92" s="60"/>
      <c r="QIT92" s="63" t="s">
        <v>934</v>
      </c>
      <c r="QIU92" s="60"/>
      <c r="QJJ92" s="63" t="s">
        <v>934</v>
      </c>
      <c r="QJK92" s="60"/>
      <c r="QJZ92" s="63" t="s">
        <v>934</v>
      </c>
      <c r="QKA92" s="60"/>
      <c r="QKP92" s="63" t="s">
        <v>934</v>
      </c>
      <c r="QKQ92" s="60"/>
      <c r="QLF92" s="63" t="s">
        <v>934</v>
      </c>
      <c r="QLG92" s="60"/>
      <c r="QLV92" s="63" t="s">
        <v>934</v>
      </c>
      <c r="QLW92" s="60"/>
      <c r="QML92" s="63" t="s">
        <v>934</v>
      </c>
      <c r="QMM92" s="60"/>
      <c r="QNB92" s="63" t="s">
        <v>934</v>
      </c>
      <c r="QNC92" s="60"/>
      <c r="QNR92" s="63" t="s">
        <v>934</v>
      </c>
      <c r="QNS92" s="60"/>
      <c r="QOH92" s="63" t="s">
        <v>934</v>
      </c>
      <c r="QOI92" s="60"/>
      <c r="QOX92" s="63" t="s">
        <v>934</v>
      </c>
      <c r="QOY92" s="60"/>
      <c r="QPN92" s="63" t="s">
        <v>934</v>
      </c>
      <c r="QPO92" s="60"/>
      <c r="QQD92" s="63" t="s">
        <v>934</v>
      </c>
      <c r="QQE92" s="60"/>
      <c r="QQT92" s="63" t="s">
        <v>934</v>
      </c>
      <c r="QQU92" s="60"/>
      <c r="QRJ92" s="63" t="s">
        <v>934</v>
      </c>
      <c r="QRK92" s="60"/>
      <c r="QRZ92" s="63" t="s">
        <v>934</v>
      </c>
      <c r="QSA92" s="60"/>
      <c r="QSP92" s="63" t="s">
        <v>934</v>
      </c>
      <c r="QSQ92" s="60"/>
      <c r="QTF92" s="63" t="s">
        <v>934</v>
      </c>
      <c r="QTG92" s="60"/>
      <c r="QTV92" s="63" t="s">
        <v>934</v>
      </c>
      <c r="QTW92" s="60"/>
      <c r="QUL92" s="63" t="s">
        <v>934</v>
      </c>
      <c r="QUM92" s="60"/>
      <c r="QVB92" s="63" t="s">
        <v>934</v>
      </c>
      <c r="QVC92" s="60"/>
      <c r="QVR92" s="63" t="s">
        <v>934</v>
      </c>
      <c r="QVS92" s="60"/>
      <c r="QWH92" s="63" t="s">
        <v>934</v>
      </c>
      <c r="QWI92" s="60"/>
      <c r="QWX92" s="63" t="s">
        <v>934</v>
      </c>
      <c r="QWY92" s="60"/>
      <c r="QXN92" s="63" t="s">
        <v>934</v>
      </c>
      <c r="QXO92" s="60"/>
      <c r="QYD92" s="63" t="s">
        <v>934</v>
      </c>
      <c r="QYE92" s="60"/>
      <c r="QYT92" s="63" t="s">
        <v>934</v>
      </c>
      <c r="QYU92" s="60"/>
      <c r="QZJ92" s="63" t="s">
        <v>934</v>
      </c>
      <c r="QZK92" s="60"/>
      <c r="QZZ92" s="63" t="s">
        <v>934</v>
      </c>
      <c r="RAA92" s="60"/>
      <c r="RAP92" s="63" t="s">
        <v>934</v>
      </c>
      <c r="RAQ92" s="60"/>
      <c r="RBF92" s="63" t="s">
        <v>934</v>
      </c>
      <c r="RBG92" s="60"/>
      <c r="RBV92" s="63" t="s">
        <v>934</v>
      </c>
      <c r="RBW92" s="60"/>
      <c r="RCL92" s="63" t="s">
        <v>934</v>
      </c>
      <c r="RCM92" s="60"/>
      <c r="RDB92" s="63" t="s">
        <v>934</v>
      </c>
      <c r="RDC92" s="60"/>
      <c r="RDR92" s="63" t="s">
        <v>934</v>
      </c>
      <c r="RDS92" s="60"/>
      <c r="REH92" s="63" t="s">
        <v>934</v>
      </c>
      <c r="REI92" s="60"/>
      <c r="REX92" s="63" t="s">
        <v>934</v>
      </c>
      <c r="REY92" s="60"/>
      <c r="RFN92" s="63" t="s">
        <v>934</v>
      </c>
      <c r="RFO92" s="60"/>
      <c r="RGD92" s="63" t="s">
        <v>934</v>
      </c>
      <c r="RGE92" s="60"/>
      <c r="RGT92" s="63" t="s">
        <v>934</v>
      </c>
      <c r="RGU92" s="60"/>
      <c r="RHJ92" s="63" t="s">
        <v>934</v>
      </c>
      <c r="RHK92" s="60"/>
      <c r="RHZ92" s="63" t="s">
        <v>934</v>
      </c>
      <c r="RIA92" s="60"/>
      <c r="RIP92" s="63" t="s">
        <v>934</v>
      </c>
      <c r="RIQ92" s="60"/>
      <c r="RJF92" s="63" t="s">
        <v>934</v>
      </c>
      <c r="RJG92" s="60"/>
      <c r="RJV92" s="63" t="s">
        <v>934</v>
      </c>
      <c r="RJW92" s="60"/>
      <c r="RKL92" s="63" t="s">
        <v>934</v>
      </c>
      <c r="RKM92" s="60"/>
      <c r="RLB92" s="63" t="s">
        <v>934</v>
      </c>
      <c r="RLC92" s="60"/>
      <c r="RLR92" s="63" t="s">
        <v>934</v>
      </c>
      <c r="RLS92" s="60"/>
      <c r="RMH92" s="63" t="s">
        <v>934</v>
      </c>
      <c r="RMI92" s="60"/>
      <c r="RMX92" s="63" t="s">
        <v>934</v>
      </c>
      <c r="RMY92" s="60"/>
      <c r="RNN92" s="63" t="s">
        <v>934</v>
      </c>
      <c r="RNO92" s="60"/>
      <c r="ROD92" s="63" t="s">
        <v>934</v>
      </c>
      <c r="ROE92" s="60"/>
      <c r="ROT92" s="63" t="s">
        <v>934</v>
      </c>
      <c r="ROU92" s="60"/>
      <c r="RPJ92" s="63" t="s">
        <v>934</v>
      </c>
      <c r="RPK92" s="60"/>
      <c r="RPZ92" s="63" t="s">
        <v>934</v>
      </c>
      <c r="RQA92" s="60"/>
      <c r="RQP92" s="63" t="s">
        <v>934</v>
      </c>
      <c r="RQQ92" s="60"/>
      <c r="RRF92" s="63" t="s">
        <v>934</v>
      </c>
      <c r="RRG92" s="60"/>
      <c r="RRV92" s="63" t="s">
        <v>934</v>
      </c>
      <c r="RRW92" s="60"/>
      <c r="RSL92" s="63" t="s">
        <v>934</v>
      </c>
      <c r="RSM92" s="60"/>
      <c r="RTB92" s="63" t="s">
        <v>934</v>
      </c>
      <c r="RTC92" s="60"/>
      <c r="RTR92" s="63" t="s">
        <v>934</v>
      </c>
      <c r="RTS92" s="60"/>
      <c r="RUH92" s="63" t="s">
        <v>934</v>
      </c>
      <c r="RUI92" s="60"/>
      <c r="RUX92" s="63" t="s">
        <v>934</v>
      </c>
      <c r="RUY92" s="60"/>
      <c r="RVN92" s="63" t="s">
        <v>934</v>
      </c>
      <c r="RVO92" s="60"/>
      <c r="RWD92" s="63" t="s">
        <v>934</v>
      </c>
      <c r="RWE92" s="60"/>
      <c r="RWT92" s="63" t="s">
        <v>934</v>
      </c>
      <c r="RWU92" s="60"/>
      <c r="RXJ92" s="63" t="s">
        <v>934</v>
      </c>
      <c r="RXK92" s="60"/>
      <c r="RXZ92" s="63" t="s">
        <v>934</v>
      </c>
      <c r="RYA92" s="60"/>
      <c r="RYP92" s="63" t="s">
        <v>934</v>
      </c>
      <c r="RYQ92" s="60"/>
      <c r="RZF92" s="63" t="s">
        <v>934</v>
      </c>
      <c r="RZG92" s="60"/>
      <c r="RZV92" s="63" t="s">
        <v>934</v>
      </c>
      <c r="RZW92" s="60"/>
      <c r="SAL92" s="63" t="s">
        <v>934</v>
      </c>
      <c r="SAM92" s="60"/>
      <c r="SBB92" s="63" t="s">
        <v>934</v>
      </c>
      <c r="SBC92" s="60"/>
      <c r="SBR92" s="63" t="s">
        <v>934</v>
      </c>
      <c r="SBS92" s="60"/>
      <c r="SCH92" s="63" t="s">
        <v>934</v>
      </c>
      <c r="SCI92" s="60"/>
      <c r="SCX92" s="63" t="s">
        <v>934</v>
      </c>
      <c r="SCY92" s="60"/>
      <c r="SDN92" s="63" t="s">
        <v>934</v>
      </c>
      <c r="SDO92" s="60"/>
      <c r="SED92" s="63" t="s">
        <v>934</v>
      </c>
      <c r="SEE92" s="60"/>
      <c r="SET92" s="63" t="s">
        <v>934</v>
      </c>
      <c r="SEU92" s="60"/>
      <c r="SFJ92" s="63" t="s">
        <v>934</v>
      </c>
      <c r="SFK92" s="60"/>
      <c r="SFZ92" s="63" t="s">
        <v>934</v>
      </c>
      <c r="SGA92" s="60"/>
      <c r="SGP92" s="63" t="s">
        <v>934</v>
      </c>
      <c r="SGQ92" s="60"/>
      <c r="SHF92" s="63" t="s">
        <v>934</v>
      </c>
      <c r="SHG92" s="60"/>
      <c r="SHV92" s="63" t="s">
        <v>934</v>
      </c>
      <c r="SHW92" s="60"/>
      <c r="SIL92" s="63" t="s">
        <v>934</v>
      </c>
      <c r="SIM92" s="60"/>
      <c r="SJB92" s="63" t="s">
        <v>934</v>
      </c>
      <c r="SJC92" s="60"/>
      <c r="SJR92" s="63" t="s">
        <v>934</v>
      </c>
      <c r="SJS92" s="60"/>
      <c r="SKH92" s="63" t="s">
        <v>934</v>
      </c>
      <c r="SKI92" s="60"/>
      <c r="SKX92" s="63" t="s">
        <v>934</v>
      </c>
      <c r="SKY92" s="60"/>
      <c r="SLN92" s="63" t="s">
        <v>934</v>
      </c>
      <c r="SLO92" s="60"/>
      <c r="SMD92" s="63" t="s">
        <v>934</v>
      </c>
      <c r="SME92" s="60"/>
      <c r="SMT92" s="63" t="s">
        <v>934</v>
      </c>
      <c r="SMU92" s="60"/>
      <c r="SNJ92" s="63" t="s">
        <v>934</v>
      </c>
      <c r="SNK92" s="60"/>
      <c r="SNZ92" s="63" t="s">
        <v>934</v>
      </c>
      <c r="SOA92" s="60"/>
      <c r="SOP92" s="63" t="s">
        <v>934</v>
      </c>
      <c r="SOQ92" s="60"/>
      <c r="SPF92" s="63" t="s">
        <v>934</v>
      </c>
      <c r="SPG92" s="60"/>
      <c r="SPV92" s="63" t="s">
        <v>934</v>
      </c>
      <c r="SPW92" s="60"/>
      <c r="SQL92" s="63" t="s">
        <v>934</v>
      </c>
      <c r="SQM92" s="60"/>
      <c r="SRB92" s="63" t="s">
        <v>934</v>
      </c>
      <c r="SRC92" s="60"/>
      <c r="SRR92" s="63" t="s">
        <v>934</v>
      </c>
      <c r="SRS92" s="60"/>
      <c r="SSH92" s="63" t="s">
        <v>934</v>
      </c>
      <c r="SSI92" s="60"/>
      <c r="SSX92" s="63" t="s">
        <v>934</v>
      </c>
      <c r="SSY92" s="60"/>
      <c r="STN92" s="63" t="s">
        <v>934</v>
      </c>
      <c r="STO92" s="60"/>
      <c r="SUD92" s="63" t="s">
        <v>934</v>
      </c>
      <c r="SUE92" s="60"/>
      <c r="SUT92" s="63" t="s">
        <v>934</v>
      </c>
      <c r="SUU92" s="60"/>
      <c r="SVJ92" s="63" t="s">
        <v>934</v>
      </c>
      <c r="SVK92" s="60"/>
      <c r="SVZ92" s="63" t="s">
        <v>934</v>
      </c>
      <c r="SWA92" s="60"/>
      <c r="SWP92" s="63" t="s">
        <v>934</v>
      </c>
      <c r="SWQ92" s="60"/>
      <c r="SXF92" s="63" t="s">
        <v>934</v>
      </c>
      <c r="SXG92" s="60"/>
      <c r="SXV92" s="63" t="s">
        <v>934</v>
      </c>
      <c r="SXW92" s="60"/>
      <c r="SYL92" s="63" t="s">
        <v>934</v>
      </c>
      <c r="SYM92" s="60"/>
      <c r="SZB92" s="63" t="s">
        <v>934</v>
      </c>
      <c r="SZC92" s="60"/>
      <c r="SZR92" s="63" t="s">
        <v>934</v>
      </c>
      <c r="SZS92" s="60"/>
      <c r="TAH92" s="63" t="s">
        <v>934</v>
      </c>
      <c r="TAI92" s="60"/>
      <c r="TAX92" s="63" t="s">
        <v>934</v>
      </c>
      <c r="TAY92" s="60"/>
      <c r="TBN92" s="63" t="s">
        <v>934</v>
      </c>
      <c r="TBO92" s="60"/>
      <c r="TCD92" s="63" t="s">
        <v>934</v>
      </c>
      <c r="TCE92" s="60"/>
      <c r="TCT92" s="63" t="s">
        <v>934</v>
      </c>
      <c r="TCU92" s="60"/>
      <c r="TDJ92" s="63" t="s">
        <v>934</v>
      </c>
      <c r="TDK92" s="60"/>
      <c r="TDZ92" s="63" t="s">
        <v>934</v>
      </c>
      <c r="TEA92" s="60"/>
      <c r="TEP92" s="63" t="s">
        <v>934</v>
      </c>
      <c r="TEQ92" s="60"/>
      <c r="TFF92" s="63" t="s">
        <v>934</v>
      </c>
      <c r="TFG92" s="60"/>
      <c r="TFV92" s="63" t="s">
        <v>934</v>
      </c>
      <c r="TFW92" s="60"/>
      <c r="TGL92" s="63" t="s">
        <v>934</v>
      </c>
      <c r="TGM92" s="60"/>
      <c r="THB92" s="63" t="s">
        <v>934</v>
      </c>
      <c r="THC92" s="60"/>
      <c r="THR92" s="63" t="s">
        <v>934</v>
      </c>
      <c r="THS92" s="60"/>
      <c r="TIH92" s="63" t="s">
        <v>934</v>
      </c>
      <c r="TII92" s="60"/>
      <c r="TIX92" s="63" t="s">
        <v>934</v>
      </c>
      <c r="TIY92" s="60"/>
      <c r="TJN92" s="63" t="s">
        <v>934</v>
      </c>
      <c r="TJO92" s="60"/>
      <c r="TKD92" s="63" t="s">
        <v>934</v>
      </c>
      <c r="TKE92" s="60"/>
      <c r="TKT92" s="63" t="s">
        <v>934</v>
      </c>
      <c r="TKU92" s="60"/>
      <c r="TLJ92" s="63" t="s">
        <v>934</v>
      </c>
      <c r="TLK92" s="60"/>
      <c r="TLZ92" s="63" t="s">
        <v>934</v>
      </c>
      <c r="TMA92" s="60"/>
      <c r="TMP92" s="63" t="s">
        <v>934</v>
      </c>
      <c r="TMQ92" s="60"/>
      <c r="TNF92" s="63" t="s">
        <v>934</v>
      </c>
      <c r="TNG92" s="60"/>
      <c r="TNV92" s="63" t="s">
        <v>934</v>
      </c>
      <c r="TNW92" s="60"/>
      <c r="TOL92" s="63" t="s">
        <v>934</v>
      </c>
      <c r="TOM92" s="60"/>
      <c r="TPB92" s="63" t="s">
        <v>934</v>
      </c>
      <c r="TPC92" s="60"/>
      <c r="TPR92" s="63" t="s">
        <v>934</v>
      </c>
      <c r="TPS92" s="60"/>
      <c r="TQH92" s="63" t="s">
        <v>934</v>
      </c>
      <c r="TQI92" s="60"/>
      <c r="TQX92" s="63" t="s">
        <v>934</v>
      </c>
      <c r="TQY92" s="60"/>
      <c r="TRN92" s="63" t="s">
        <v>934</v>
      </c>
      <c r="TRO92" s="60"/>
      <c r="TSD92" s="63" t="s">
        <v>934</v>
      </c>
      <c r="TSE92" s="60"/>
      <c r="TST92" s="63" t="s">
        <v>934</v>
      </c>
      <c r="TSU92" s="60"/>
      <c r="TTJ92" s="63" t="s">
        <v>934</v>
      </c>
      <c r="TTK92" s="60"/>
      <c r="TTZ92" s="63" t="s">
        <v>934</v>
      </c>
      <c r="TUA92" s="60"/>
      <c r="TUP92" s="63" t="s">
        <v>934</v>
      </c>
      <c r="TUQ92" s="60"/>
      <c r="TVF92" s="63" t="s">
        <v>934</v>
      </c>
      <c r="TVG92" s="60"/>
      <c r="TVV92" s="63" t="s">
        <v>934</v>
      </c>
      <c r="TVW92" s="60"/>
      <c r="TWL92" s="63" t="s">
        <v>934</v>
      </c>
      <c r="TWM92" s="60"/>
      <c r="TXB92" s="63" t="s">
        <v>934</v>
      </c>
      <c r="TXC92" s="60"/>
      <c r="TXR92" s="63" t="s">
        <v>934</v>
      </c>
      <c r="TXS92" s="60"/>
      <c r="TYH92" s="63" t="s">
        <v>934</v>
      </c>
      <c r="TYI92" s="60"/>
      <c r="TYX92" s="63" t="s">
        <v>934</v>
      </c>
      <c r="TYY92" s="60"/>
      <c r="TZN92" s="63" t="s">
        <v>934</v>
      </c>
      <c r="TZO92" s="60"/>
      <c r="UAD92" s="63" t="s">
        <v>934</v>
      </c>
      <c r="UAE92" s="60"/>
      <c r="UAT92" s="63" t="s">
        <v>934</v>
      </c>
      <c r="UAU92" s="60"/>
      <c r="UBJ92" s="63" t="s">
        <v>934</v>
      </c>
      <c r="UBK92" s="60"/>
      <c r="UBZ92" s="63" t="s">
        <v>934</v>
      </c>
      <c r="UCA92" s="60"/>
      <c r="UCP92" s="63" t="s">
        <v>934</v>
      </c>
      <c r="UCQ92" s="60"/>
      <c r="UDF92" s="63" t="s">
        <v>934</v>
      </c>
      <c r="UDG92" s="60"/>
      <c r="UDV92" s="63" t="s">
        <v>934</v>
      </c>
      <c r="UDW92" s="60"/>
      <c r="UEL92" s="63" t="s">
        <v>934</v>
      </c>
      <c r="UEM92" s="60"/>
      <c r="UFB92" s="63" t="s">
        <v>934</v>
      </c>
      <c r="UFC92" s="60"/>
      <c r="UFR92" s="63" t="s">
        <v>934</v>
      </c>
      <c r="UFS92" s="60"/>
      <c r="UGH92" s="63" t="s">
        <v>934</v>
      </c>
      <c r="UGI92" s="60"/>
      <c r="UGX92" s="63" t="s">
        <v>934</v>
      </c>
      <c r="UGY92" s="60"/>
      <c r="UHN92" s="63" t="s">
        <v>934</v>
      </c>
      <c r="UHO92" s="60"/>
      <c r="UID92" s="63" t="s">
        <v>934</v>
      </c>
      <c r="UIE92" s="60"/>
      <c r="UIT92" s="63" t="s">
        <v>934</v>
      </c>
      <c r="UIU92" s="60"/>
      <c r="UJJ92" s="63" t="s">
        <v>934</v>
      </c>
      <c r="UJK92" s="60"/>
      <c r="UJZ92" s="63" t="s">
        <v>934</v>
      </c>
      <c r="UKA92" s="60"/>
      <c r="UKP92" s="63" t="s">
        <v>934</v>
      </c>
      <c r="UKQ92" s="60"/>
      <c r="ULF92" s="63" t="s">
        <v>934</v>
      </c>
      <c r="ULG92" s="60"/>
      <c r="ULV92" s="63" t="s">
        <v>934</v>
      </c>
      <c r="ULW92" s="60"/>
      <c r="UML92" s="63" t="s">
        <v>934</v>
      </c>
      <c r="UMM92" s="60"/>
      <c r="UNB92" s="63" t="s">
        <v>934</v>
      </c>
      <c r="UNC92" s="60"/>
      <c r="UNR92" s="63" t="s">
        <v>934</v>
      </c>
      <c r="UNS92" s="60"/>
      <c r="UOH92" s="63" t="s">
        <v>934</v>
      </c>
      <c r="UOI92" s="60"/>
      <c r="UOX92" s="63" t="s">
        <v>934</v>
      </c>
      <c r="UOY92" s="60"/>
      <c r="UPN92" s="63" t="s">
        <v>934</v>
      </c>
      <c r="UPO92" s="60"/>
      <c r="UQD92" s="63" t="s">
        <v>934</v>
      </c>
      <c r="UQE92" s="60"/>
      <c r="UQT92" s="63" t="s">
        <v>934</v>
      </c>
      <c r="UQU92" s="60"/>
      <c r="URJ92" s="63" t="s">
        <v>934</v>
      </c>
      <c r="URK92" s="60"/>
      <c r="URZ92" s="63" t="s">
        <v>934</v>
      </c>
      <c r="USA92" s="60"/>
      <c r="USP92" s="63" t="s">
        <v>934</v>
      </c>
      <c r="USQ92" s="60"/>
      <c r="UTF92" s="63" t="s">
        <v>934</v>
      </c>
      <c r="UTG92" s="60"/>
      <c r="UTV92" s="63" t="s">
        <v>934</v>
      </c>
      <c r="UTW92" s="60"/>
      <c r="UUL92" s="63" t="s">
        <v>934</v>
      </c>
      <c r="UUM92" s="60"/>
      <c r="UVB92" s="63" t="s">
        <v>934</v>
      </c>
      <c r="UVC92" s="60"/>
      <c r="UVR92" s="63" t="s">
        <v>934</v>
      </c>
      <c r="UVS92" s="60"/>
      <c r="UWH92" s="63" t="s">
        <v>934</v>
      </c>
      <c r="UWI92" s="60"/>
      <c r="UWX92" s="63" t="s">
        <v>934</v>
      </c>
      <c r="UWY92" s="60"/>
      <c r="UXN92" s="63" t="s">
        <v>934</v>
      </c>
      <c r="UXO92" s="60"/>
      <c r="UYD92" s="63" t="s">
        <v>934</v>
      </c>
      <c r="UYE92" s="60"/>
      <c r="UYT92" s="63" t="s">
        <v>934</v>
      </c>
      <c r="UYU92" s="60"/>
      <c r="UZJ92" s="63" t="s">
        <v>934</v>
      </c>
      <c r="UZK92" s="60"/>
      <c r="UZZ92" s="63" t="s">
        <v>934</v>
      </c>
      <c r="VAA92" s="60"/>
      <c r="VAP92" s="63" t="s">
        <v>934</v>
      </c>
      <c r="VAQ92" s="60"/>
      <c r="VBF92" s="63" t="s">
        <v>934</v>
      </c>
      <c r="VBG92" s="60"/>
      <c r="VBV92" s="63" t="s">
        <v>934</v>
      </c>
      <c r="VBW92" s="60"/>
      <c r="VCL92" s="63" t="s">
        <v>934</v>
      </c>
      <c r="VCM92" s="60"/>
      <c r="VDB92" s="63" t="s">
        <v>934</v>
      </c>
      <c r="VDC92" s="60"/>
      <c r="VDR92" s="63" t="s">
        <v>934</v>
      </c>
      <c r="VDS92" s="60"/>
      <c r="VEH92" s="63" t="s">
        <v>934</v>
      </c>
      <c r="VEI92" s="60"/>
      <c r="VEX92" s="63" t="s">
        <v>934</v>
      </c>
      <c r="VEY92" s="60"/>
      <c r="VFN92" s="63" t="s">
        <v>934</v>
      </c>
      <c r="VFO92" s="60"/>
      <c r="VGD92" s="63" t="s">
        <v>934</v>
      </c>
      <c r="VGE92" s="60"/>
      <c r="VGT92" s="63" t="s">
        <v>934</v>
      </c>
      <c r="VGU92" s="60"/>
      <c r="VHJ92" s="63" t="s">
        <v>934</v>
      </c>
      <c r="VHK92" s="60"/>
      <c r="VHZ92" s="63" t="s">
        <v>934</v>
      </c>
      <c r="VIA92" s="60"/>
      <c r="VIP92" s="63" t="s">
        <v>934</v>
      </c>
      <c r="VIQ92" s="60"/>
      <c r="VJF92" s="63" t="s">
        <v>934</v>
      </c>
      <c r="VJG92" s="60"/>
      <c r="VJV92" s="63" t="s">
        <v>934</v>
      </c>
      <c r="VJW92" s="60"/>
      <c r="VKL92" s="63" t="s">
        <v>934</v>
      </c>
      <c r="VKM92" s="60"/>
      <c r="VLB92" s="63" t="s">
        <v>934</v>
      </c>
      <c r="VLC92" s="60"/>
      <c r="VLR92" s="63" t="s">
        <v>934</v>
      </c>
      <c r="VLS92" s="60"/>
      <c r="VMH92" s="63" t="s">
        <v>934</v>
      </c>
      <c r="VMI92" s="60"/>
      <c r="VMX92" s="63" t="s">
        <v>934</v>
      </c>
      <c r="VMY92" s="60"/>
      <c r="VNN92" s="63" t="s">
        <v>934</v>
      </c>
      <c r="VNO92" s="60"/>
      <c r="VOD92" s="63" t="s">
        <v>934</v>
      </c>
      <c r="VOE92" s="60"/>
      <c r="VOT92" s="63" t="s">
        <v>934</v>
      </c>
      <c r="VOU92" s="60"/>
      <c r="VPJ92" s="63" t="s">
        <v>934</v>
      </c>
      <c r="VPK92" s="60"/>
      <c r="VPZ92" s="63" t="s">
        <v>934</v>
      </c>
      <c r="VQA92" s="60"/>
      <c r="VQP92" s="63" t="s">
        <v>934</v>
      </c>
      <c r="VQQ92" s="60"/>
      <c r="VRF92" s="63" t="s">
        <v>934</v>
      </c>
      <c r="VRG92" s="60"/>
      <c r="VRV92" s="63" t="s">
        <v>934</v>
      </c>
      <c r="VRW92" s="60"/>
      <c r="VSL92" s="63" t="s">
        <v>934</v>
      </c>
      <c r="VSM92" s="60"/>
      <c r="VTB92" s="63" t="s">
        <v>934</v>
      </c>
      <c r="VTC92" s="60"/>
      <c r="VTR92" s="63" t="s">
        <v>934</v>
      </c>
      <c r="VTS92" s="60"/>
      <c r="VUH92" s="63" t="s">
        <v>934</v>
      </c>
      <c r="VUI92" s="60"/>
      <c r="VUX92" s="63" t="s">
        <v>934</v>
      </c>
      <c r="VUY92" s="60"/>
      <c r="VVN92" s="63" t="s">
        <v>934</v>
      </c>
      <c r="VVO92" s="60"/>
      <c r="VWD92" s="63" t="s">
        <v>934</v>
      </c>
      <c r="VWE92" s="60"/>
      <c r="VWT92" s="63" t="s">
        <v>934</v>
      </c>
      <c r="VWU92" s="60"/>
      <c r="VXJ92" s="63" t="s">
        <v>934</v>
      </c>
      <c r="VXK92" s="60"/>
      <c r="VXZ92" s="63" t="s">
        <v>934</v>
      </c>
      <c r="VYA92" s="60"/>
      <c r="VYP92" s="63" t="s">
        <v>934</v>
      </c>
      <c r="VYQ92" s="60"/>
      <c r="VZF92" s="63" t="s">
        <v>934</v>
      </c>
      <c r="VZG92" s="60"/>
      <c r="VZV92" s="63" t="s">
        <v>934</v>
      </c>
      <c r="VZW92" s="60"/>
      <c r="WAL92" s="63" t="s">
        <v>934</v>
      </c>
      <c r="WAM92" s="60"/>
      <c r="WBB92" s="63" t="s">
        <v>934</v>
      </c>
      <c r="WBC92" s="60"/>
      <c r="WBR92" s="63" t="s">
        <v>934</v>
      </c>
      <c r="WBS92" s="60"/>
      <c r="WCH92" s="63" t="s">
        <v>934</v>
      </c>
      <c r="WCI92" s="60"/>
      <c r="WCX92" s="63" t="s">
        <v>934</v>
      </c>
      <c r="WCY92" s="60"/>
      <c r="WDN92" s="63" t="s">
        <v>934</v>
      </c>
      <c r="WDO92" s="60"/>
      <c r="WED92" s="63" t="s">
        <v>934</v>
      </c>
      <c r="WEE92" s="60"/>
      <c r="WET92" s="63" t="s">
        <v>934</v>
      </c>
      <c r="WEU92" s="60"/>
      <c r="WFJ92" s="63" t="s">
        <v>934</v>
      </c>
      <c r="WFK92" s="60"/>
      <c r="WFZ92" s="63" t="s">
        <v>934</v>
      </c>
      <c r="WGA92" s="60"/>
      <c r="WGP92" s="63" t="s">
        <v>934</v>
      </c>
      <c r="WGQ92" s="60"/>
      <c r="WHF92" s="63" t="s">
        <v>934</v>
      </c>
      <c r="WHG92" s="60"/>
      <c r="WHV92" s="63" t="s">
        <v>934</v>
      </c>
      <c r="WHW92" s="60"/>
      <c r="WIL92" s="63" t="s">
        <v>934</v>
      </c>
      <c r="WIM92" s="60"/>
      <c r="WJB92" s="63" t="s">
        <v>934</v>
      </c>
      <c r="WJC92" s="60"/>
      <c r="WJR92" s="63" t="s">
        <v>934</v>
      </c>
      <c r="WJS92" s="60"/>
      <c r="WKH92" s="63" t="s">
        <v>934</v>
      </c>
      <c r="WKI92" s="60"/>
      <c r="WKX92" s="63" t="s">
        <v>934</v>
      </c>
      <c r="WKY92" s="60"/>
      <c r="WLN92" s="63" t="s">
        <v>934</v>
      </c>
      <c r="WLO92" s="60"/>
      <c r="WMD92" s="63" t="s">
        <v>934</v>
      </c>
      <c r="WME92" s="60"/>
      <c r="WMT92" s="63" t="s">
        <v>934</v>
      </c>
      <c r="WMU92" s="60"/>
      <c r="WNJ92" s="63" t="s">
        <v>934</v>
      </c>
      <c r="WNK92" s="60"/>
      <c r="WNZ92" s="63" t="s">
        <v>934</v>
      </c>
      <c r="WOA92" s="60"/>
      <c r="WOP92" s="63" t="s">
        <v>934</v>
      </c>
      <c r="WOQ92" s="60"/>
      <c r="WPF92" s="63" t="s">
        <v>934</v>
      </c>
      <c r="WPG92" s="60"/>
      <c r="WPV92" s="63" t="s">
        <v>934</v>
      </c>
      <c r="WPW92" s="60"/>
      <c r="WQL92" s="63" t="s">
        <v>934</v>
      </c>
      <c r="WQM92" s="60"/>
      <c r="WRB92" s="63" t="s">
        <v>934</v>
      </c>
      <c r="WRC92" s="60"/>
      <c r="WRR92" s="63" t="s">
        <v>934</v>
      </c>
      <c r="WRS92" s="60"/>
      <c r="WSH92" s="63" t="s">
        <v>934</v>
      </c>
      <c r="WSI92" s="60"/>
      <c r="WSX92" s="63" t="s">
        <v>934</v>
      </c>
      <c r="WSY92" s="60"/>
      <c r="WTN92" s="63" t="s">
        <v>934</v>
      </c>
      <c r="WTO92" s="60"/>
      <c r="WUD92" s="63" t="s">
        <v>934</v>
      </c>
      <c r="WUE92" s="60"/>
      <c r="WUT92" s="63" t="s">
        <v>934</v>
      </c>
      <c r="WUU92" s="60"/>
      <c r="WVJ92" s="63" t="s">
        <v>934</v>
      </c>
      <c r="WVK92" s="60"/>
      <c r="WVZ92" s="63" t="s">
        <v>934</v>
      </c>
      <c r="WWA92" s="60"/>
      <c r="WWP92" s="63" t="s">
        <v>934</v>
      </c>
      <c r="WWQ92" s="60"/>
      <c r="WXF92" s="63" t="s">
        <v>934</v>
      </c>
      <c r="WXG92" s="60"/>
      <c r="WXV92" s="63" t="s">
        <v>934</v>
      </c>
      <c r="WXW92" s="60"/>
      <c r="WYL92" s="63" t="s">
        <v>934</v>
      </c>
      <c r="WYM92" s="60"/>
      <c r="WZB92" s="63" t="s">
        <v>934</v>
      </c>
      <c r="WZC92" s="60"/>
      <c r="WZR92" s="63" t="s">
        <v>934</v>
      </c>
      <c r="WZS92" s="60"/>
      <c r="XAH92" s="63" t="s">
        <v>934</v>
      </c>
      <c r="XAI92" s="60"/>
      <c r="XAX92" s="63" t="s">
        <v>934</v>
      </c>
      <c r="XAY92" s="60"/>
      <c r="XBN92" s="63" t="s">
        <v>934</v>
      </c>
      <c r="XBO92" s="60"/>
      <c r="XCD92" s="63" t="s">
        <v>934</v>
      </c>
      <c r="XCE92" s="60"/>
      <c r="XCT92" s="63" t="s">
        <v>934</v>
      </c>
      <c r="XCU92" s="60"/>
      <c r="XDJ92" s="63" t="s">
        <v>934</v>
      </c>
      <c r="XDK92" s="60"/>
      <c r="XDZ92" s="63" t="s">
        <v>934</v>
      </c>
      <c r="XEA92" s="60"/>
      <c r="XEP92" s="63" t="s">
        <v>934</v>
      </c>
      <c r="XEQ92" s="60"/>
    </row>
    <row r="93" spans="2:1011 1026:2035 2050:3059 3074:4083 4098:5107 5122:6131 6146:7155 7170:8179 8194:9203 9218:10227 10242:11251 11266:12275 12290:13299 13314:14323 14338:15347 15362:16371" ht="14.25" x14ac:dyDescent="0.2">
      <c r="R93" s="63" t="s">
        <v>882</v>
      </c>
      <c r="S93" s="60"/>
      <c r="AH93" s="63" t="s">
        <v>882</v>
      </c>
      <c r="AI93" s="60"/>
      <c r="AX93" s="63" t="s">
        <v>882</v>
      </c>
      <c r="AY93" s="60"/>
      <c r="BN93" s="63" t="s">
        <v>882</v>
      </c>
      <c r="BO93" s="60"/>
      <c r="CD93" s="63" t="s">
        <v>882</v>
      </c>
      <c r="CE93" s="60"/>
      <c r="CT93" s="63" t="s">
        <v>882</v>
      </c>
      <c r="CU93" s="60"/>
      <c r="DJ93" s="63" t="s">
        <v>882</v>
      </c>
      <c r="DK93" s="60"/>
      <c r="DZ93" s="63" t="s">
        <v>882</v>
      </c>
      <c r="EA93" s="60"/>
      <c r="EP93" s="63" t="s">
        <v>882</v>
      </c>
      <c r="EQ93" s="60"/>
      <c r="FF93" s="63" t="s">
        <v>882</v>
      </c>
      <c r="FG93" s="60"/>
      <c r="FV93" s="63" t="s">
        <v>882</v>
      </c>
      <c r="FW93" s="60"/>
      <c r="GL93" s="63" t="s">
        <v>882</v>
      </c>
      <c r="GM93" s="60"/>
      <c r="HB93" s="63" t="s">
        <v>882</v>
      </c>
      <c r="HC93" s="60"/>
      <c r="HR93" s="63" t="s">
        <v>882</v>
      </c>
      <c r="HS93" s="60"/>
      <c r="IH93" s="63" t="s">
        <v>882</v>
      </c>
      <c r="II93" s="60"/>
      <c r="IX93" s="63" t="s">
        <v>882</v>
      </c>
      <c r="IY93" s="60"/>
      <c r="JN93" s="63" t="s">
        <v>882</v>
      </c>
      <c r="JO93" s="60"/>
      <c r="KD93" s="63" t="s">
        <v>882</v>
      </c>
      <c r="KE93" s="60"/>
      <c r="KT93" s="63" t="s">
        <v>882</v>
      </c>
      <c r="KU93" s="60"/>
      <c r="LJ93" s="63" t="s">
        <v>882</v>
      </c>
      <c r="LK93" s="60"/>
      <c r="LZ93" s="63" t="s">
        <v>882</v>
      </c>
      <c r="MA93" s="60"/>
      <c r="MP93" s="63" t="s">
        <v>882</v>
      </c>
      <c r="MQ93" s="60"/>
      <c r="NF93" s="63" t="s">
        <v>882</v>
      </c>
      <c r="NG93" s="60"/>
      <c r="NV93" s="63" t="s">
        <v>882</v>
      </c>
      <c r="NW93" s="60"/>
      <c r="OL93" s="63" t="s">
        <v>882</v>
      </c>
      <c r="OM93" s="60"/>
      <c r="PB93" s="63" t="s">
        <v>882</v>
      </c>
      <c r="PC93" s="60"/>
      <c r="PR93" s="63" t="s">
        <v>882</v>
      </c>
      <c r="PS93" s="60"/>
      <c r="QH93" s="63" t="s">
        <v>882</v>
      </c>
      <c r="QI93" s="60"/>
      <c r="QX93" s="63" t="s">
        <v>882</v>
      </c>
      <c r="QY93" s="60"/>
      <c r="RN93" s="63" t="s">
        <v>882</v>
      </c>
      <c r="RO93" s="60"/>
      <c r="SD93" s="63" t="s">
        <v>882</v>
      </c>
      <c r="SE93" s="60"/>
      <c r="ST93" s="63" t="s">
        <v>882</v>
      </c>
      <c r="SU93" s="60"/>
      <c r="TJ93" s="63" t="s">
        <v>882</v>
      </c>
      <c r="TK93" s="60"/>
      <c r="TZ93" s="63" t="s">
        <v>882</v>
      </c>
      <c r="UA93" s="60"/>
      <c r="UP93" s="63" t="s">
        <v>882</v>
      </c>
      <c r="UQ93" s="60"/>
      <c r="VF93" s="63" t="s">
        <v>882</v>
      </c>
      <c r="VG93" s="60"/>
      <c r="VV93" s="63" t="s">
        <v>882</v>
      </c>
      <c r="VW93" s="60"/>
      <c r="WL93" s="63" t="s">
        <v>882</v>
      </c>
      <c r="WM93" s="60"/>
      <c r="XB93" s="63" t="s">
        <v>882</v>
      </c>
      <c r="XC93" s="60"/>
      <c r="XR93" s="63" t="s">
        <v>882</v>
      </c>
      <c r="XS93" s="60"/>
      <c r="YH93" s="63" t="s">
        <v>882</v>
      </c>
      <c r="YI93" s="60"/>
      <c r="YX93" s="63" t="s">
        <v>882</v>
      </c>
      <c r="YY93" s="60"/>
      <c r="ZN93" s="63" t="s">
        <v>882</v>
      </c>
      <c r="ZO93" s="60"/>
      <c r="AAD93" s="63" t="s">
        <v>882</v>
      </c>
      <c r="AAE93" s="60"/>
      <c r="AAT93" s="63" t="s">
        <v>882</v>
      </c>
      <c r="AAU93" s="60"/>
      <c r="ABJ93" s="63" t="s">
        <v>882</v>
      </c>
      <c r="ABK93" s="60"/>
      <c r="ABZ93" s="63" t="s">
        <v>882</v>
      </c>
      <c r="ACA93" s="60"/>
      <c r="ACP93" s="63" t="s">
        <v>882</v>
      </c>
      <c r="ACQ93" s="60"/>
      <c r="ADF93" s="63" t="s">
        <v>882</v>
      </c>
      <c r="ADG93" s="60"/>
      <c r="ADV93" s="63" t="s">
        <v>882</v>
      </c>
      <c r="ADW93" s="60"/>
      <c r="AEL93" s="63" t="s">
        <v>882</v>
      </c>
      <c r="AEM93" s="60"/>
      <c r="AFB93" s="63" t="s">
        <v>882</v>
      </c>
      <c r="AFC93" s="60"/>
      <c r="AFR93" s="63" t="s">
        <v>882</v>
      </c>
      <c r="AFS93" s="60"/>
      <c r="AGH93" s="63" t="s">
        <v>882</v>
      </c>
      <c r="AGI93" s="60"/>
      <c r="AGX93" s="63" t="s">
        <v>882</v>
      </c>
      <c r="AGY93" s="60"/>
      <c r="AHN93" s="63" t="s">
        <v>882</v>
      </c>
      <c r="AHO93" s="60"/>
      <c r="AID93" s="63" t="s">
        <v>882</v>
      </c>
      <c r="AIE93" s="60"/>
      <c r="AIT93" s="63" t="s">
        <v>882</v>
      </c>
      <c r="AIU93" s="60"/>
      <c r="AJJ93" s="63" t="s">
        <v>882</v>
      </c>
      <c r="AJK93" s="60"/>
      <c r="AJZ93" s="63" t="s">
        <v>882</v>
      </c>
      <c r="AKA93" s="60"/>
      <c r="AKP93" s="63" t="s">
        <v>882</v>
      </c>
      <c r="AKQ93" s="60"/>
      <c r="ALF93" s="63" t="s">
        <v>882</v>
      </c>
      <c r="ALG93" s="60"/>
      <c r="ALV93" s="63" t="s">
        <v>882</v>
      </c>
      <c r="ALW93" s="60"/>
      <c r="AML93" s="63" t="s">
        <v>882</v>
      </c>
      <c r="AMM93" s="60"/>
      <c r="ANB93" s="63" t="s">
        <v>882</v>
      </c>
      <c r="ANC93" s="60"/>
      <c r="ANR93" s="63" t="s">
        <v>882</v>
      </c>
      <c r="ANS93" s="60"/>
      <c r="AOH93" s="63" t="s">
        <v>882</v>
      </c>
      <c r="AOI93" s="60"/>
      <c r="AOX93" s="63" t="s">
        <v>882</v>
      </c>
      <c r="AOY93" s="60"/>
      <c r="APN93" s="63" t="s">
        <v>882</v>
      </c>
      <c r="APO93" s="60"/>
      <c r="AQD93" s="63" t="s">
        <v>882</v>
      </c>
      <c r="AQE93" s="60"/>
      <c r="AQT93" s="63" t="s">
        <v>882</v>
      </c>
      <c r="AQU93" s="60"/>
      <c r="ARJ93" s="63" t="s">
        <v>882</v>
      </c>
      <c r="ARK93" s="60"/>
      <c r="ARZ93" s="63" t="s">
        <v>882</v>
      </c>
      <c r="ASA93" s="60"/>
      <c r="ASP93" s="63" t="s">
        <v>882</v>
      </c>
      <c r="ASQ93" s="60"/>
      <c r="ATF93" s="63" t="s">
        <v>882</v>
      </c>
      <c r="ATG93" s="60"/>
      <c r="ATV93" s="63" t="s">
        <v>882</v>
      </c>
      <c r="ATW93" s="60"/>
      <c r="AUL93" s="63" t="s">
        <v>882</v>
      </c>
      <c r="AUM93" s="60"/>
      <c r="AVB93" s="63" t="s">
        <v>882</v>
      </c>
      <c r="AVC93" s="60"/>
      <c r="AVR93" s="63" t="s">
        <v>882</v>
      </c>
      <c r="AVS93" s="60"/>
      <c r="AWH93" s="63" t="s">
        <v>882</v>
      </c>
      <c r="AWI93" s="60"/>
      <c r="AWX93" s="63" t="s">
        <v>882</v>
      </c>
      <c r="AWY93" s="60"/>
      <c r="AXN93" s="63" t="s">
        <v>882</v>
      </c>
      <c r="AXO93" s="60"/>
      <c r="AYD93" s="63" t="s">
        <v>882</v>
      </c>
      <c r="AYE93" s="60"/>
      <c r="AYT93" s="63" t="s">
        <v>882</v>
      </c>
      <c r="AYU93" s="60"/>
      <c r="AZJ93" s="63" t="s">
        <v>882</v>
      </c>
      <c r="AZK93" s="60"/>
      <c r="AZZ93" s="63" t="s">
        <v>882</v>
      </c>
      <c r="BAA93" s="60"/>
      <c r="BAP93" s="63" t="s">
        <v>882</v>
      </c>
      <c r="BAQ93" s="60"/>
      <c r="BBF93" s="63" t="s">
        <v>882</v>
      </c>
      <c r="BBG93" s="60"/>
      <c r="BBV93" s="63" t="s">
        <v>882</v>
      </c>
      <c r="BBW93" s="60"/>
      <c r="BCL93" s="63" t="s">
        <v>882</v>
      </c>
      <c r="BCM93" s="60"/>
      <c r="BDB93" s="63" t="s">
        <v>882</v>
      </c>
      <c r="BDC93" s="60"/>
      <c r="BDR93" s="63" t="s">
        <v>882</v>
      </c>
      <c r="BDS93" s="60"/>
      <c r="BEH93" s="63" t="s">
        <v>882</v>
      </c>
      <c r="BEI93" s="60"/>
      <c r="BEX93" s="63" t="s">
        <v>882</v>
      </c>
      <c r="BEY93" s="60"/>
      <c r="BFN93" s="63" t="s">
        <v>882</v>
      </c>
      <c r="BFO93" s="60"/>
      <c r="BGD93" s="63" t="s">
        <v>882</v>
      </c>
      <c r="BGE93" s="60"/>
      <c r="BGT93" s="63" t="s">
        <v>882</v>
      </c>
      <c r="BGU93" s="60"/>
      <c r="BHJ93" s="63" t="s">
        <v>882</v>
      </c>
      <c r="BHK93" s="60"/>
      <c r="BHZ93" s="63" t="s">
        <v>882</v>
      </c>
      <c r="BIA93" s="60"/>
      <c r="BIP93" s="63" t="s">
        <v>882</v>
      </c>
      <c r="BIQ93" s="60"/>
      <c r="BJF93" s="63" t="s">
        <v>882</v>
      </c>
      <c r="BJG93" s="60"/>
      <c r="BJV93" s="63" t="s">
        <v>882</v>
      </c>
      <c r="BJW93" s="60"/>
      <c r="BKL93" s="63" t="s">
        <v>882</v>
      </c>
      <c r="BKM93" s="60"/>
      <c r="BLB93" s="63" t="s">
        <v>882</v>
      </c>
      <c r="BLC93" s="60"/>
      <c r="BLR93" s="63" t="s">
        <v>882</v>
      </c>
      <c r="BLS93" s="60"/>
      <c r="BMH93" s="63" t="s">
        <v>882</v>
      </c>
      <c r="BMI93" s="60"/>
      <c r="BMX93" s="63" t="s">
        <v>882</v>
      </c>
      <c r="BMY93" s="60"/>
      <c r="BNN93" s="63" t="s">
        <v>882</v>
      </c>
      <c r="BNO93" s="60"/>
      <c r="BOD93" s="63" t="s">
        <v>882</v>
      </c>
      <c r="BOE93" s="60"/>
      <c r="BOT93" s="63" t="s">
        <v>882</v>
      </c>
      <c r="BOU93" s="60"/>
      <c r="BPJ93" s="63" t="s">
        <v>882</v>
      </c>
      <c r="BPK93" s="60"/>
      <c r="BPZ93" s="63" t="s">
        <v>882</v>
      </c>
      <c r="BQA93" s="60"/>
      <c r="BQP93" s="63" t="s">
        <v>882</v>
      </c>
      <c r="BQQ93" s="60"/>
      <c r="BRF93" s="63" t="s">
        <v>882</v>
      </c>
      <c r="BRG93" s="60"/>
      <c r="BRV93" s="63" t="s">
        <v>882</v>
      </c>
      <c r="BRW93" s="60"/>
      <c r="BSL93" s="63" t="s">
        <v>882</v>
      </c>
      <c r="BSM93" s="60"/>
      <c r="BTB93" s="63" t="s">
        <v>882</v>
      </c>
      <c r="BTC93" s="60"/>
      <c r="BTR93" s="63" t="s">
        <v>882</v>
      </c>
      <c r="BTS93" s="60"/>
      <c r="BUH93" s="63" t="s">
        <v>882</v>
      </c>
      <c r="BUI93" s="60"/>
      <c r="BUX93" s="63" t="s">
        <v>882</v>
      </c>
      <c r="BUY93" s="60"/>
      <c r="BVN93" s="63" t="s">
        <v>882</v>
      </c>
      <c r="BVO93" s="60"/>
      <c r="BWD93" s="63" t="s">
        <v>882</v>
      </c>
      <c r="BWE93" s="60"/>
      <c r="BWT93" s="63" t="s">
        <v>882</v>
      </c>
      <c r="BWU93" s="60"/>
      <c r="BXJ93" s="63" t="s">
        <v>882</v>
      </c>
      <c r="BXK93" s="60"/>
      <c r="BXZ93" s="63" t="s">
        <v>882</v>
      </c>
      <c r="BYA93" s="60"/>
      <c r="BYP93" s="63" t="s">
        <v>882</v>
      </c>
      <c r="BYQ93" s="60"/>
      <c r="BZF93" s="63" t="s">
        <v>882</v>
      </c>
      <c r="BZG93" s="60"/>
      <c r="BZV93" s="63" t="s">
        <v>882</v>
      </c>
      <c r="BZW93" s="60"/>
      <c r="CAL93" s="63" t="s">
        <v>882</v>
      </c>
      <c r="CAM93" s="60"/>
      <c r="CBB93" s="63" t="s">
        <v>882</v>
      </c>
      <c r="CBC93" s="60"/>
      <c r="CBR93" s="63" t="s">
        <v>882</v>
      </c>
      <c r="CBS93" s="60"/>
      <c r="CCH93" s="63" t="s">
        <v>882</v>
      </c>
      <c r="CCI93" s="60"/>
      <c r="CCX93" s="63" t="s">
        <v>882</v>
      </c>
      <c r="CCY93" s="60"/>
      <c r="CDN93" s="63" t="s">
        <v>882</v>
      </c>
      <c r="CDO93" s="60"/>
      <c r="CED93" s="63" t="s">
        <v>882</v>
      </c>
      <c r="CEE93" s="60"/>
      <c r="CET93" s="63" t="s">
        <v>882</v>
      </c>
      <c r="CEU93" s="60"/>
      <c r="CFJ93" s="63" t="s">
        <v>882</v>
      </c>
      <c r="CFK93" s="60"/>
      <c r="CFZ93" s="63" t="s">
        <v>882</v>
      </c>
      <c r="CGA93" s="60"/>
      <c r="CGP93" s="63" t="s">
        <v>882</v>
      </c>
      <c r="CGQ93" s="60"/>
      <c r="CHF93" s="63" t="s">
        <v>882</v>
      </c>
      <c r="CHG93" s="60"/>
      <c r="CHV93" s="63" t="s">
        <v>882</v>
      </c>
      <c r="CHW93" s="60"/>
      <c r="CIL93" s="63" t="s">
        <v>882</v>
      </c>
      <c r="CIM93" s="60"/>
      <c r="CJB93" s="63" t="s">
        <v>882</v>
      </c>
      <c r="CJC93" s="60"/>
      <c r="CJR93" s="63" t="s">
        <v>882</v>
      </c>
      <c r="CJS93" s="60"/>
      <c r="CKH93" s="63" t="s">
        <v>882</v>
      </c>
      <c r="CKI93" s="60"/>
      <c r="CKX93" s="63" t="s">
        <v>882</v>
      </c>
      <c r="CKY93" s="60"/>
      <c r="CLN93" s="63" t="s">
        <v>882</v>
      </c>
      <c r="CLO93" s="60"/>
      <c r="CMD93" s="63" t="s">
        <v>882</v>
      </c>
      <c r="CME93" s="60"/>
      <c r="CMT93" s="63" t="s">
        <v>882</v>
      </c>
      <c r="CMU93" s="60"/>
      <c r="CNJ93" s="63" t="s">
        <v>882</v>
      </c>
      <c r="CNK93" s="60"/>
      <c r="CNZ93" s="63" t="s">
        <v>882</v>
      </c>
      <c r="COA93" s="60"/>
      <c r="COP93" s="63" t="s">
        <v>882</v>
      </c>
      <c r="COQ93" s="60"/>
      <c r="CPF93" s="63" t="s">
        <v>882</v>
      </c>
      <c r="CPG93" s="60"/>
      <c r="CPV93" s="63" t="s">
        <v>882</v>
      </c>
      <c r="CPW93" s="60"/>
      <c r="CQL93" s="63" t="s">
        <v>882</v>
      </c>
      <c r="CQM93" s="60"/>
      <c r="CRB93" s="63" t="s">
        <v>882</v>
      </c>
      <c r="CRC93" s="60"/>
      <c r="CRR93" s="63" t="s">
        <v>882</v>
      </c>
      <c r="CRS93" s="60"/>
      <c r="CSH93" s="63" t="s">
        <v>882</v>
      </c>
      <c r="CSI93" s="60"/>
      <c r="CSX93" s="63" t="s">
        <v>882</v>
      </c>
      <c r="CSY93" s="60"/>
      <c r="CTN93" s="63" t="s">
        <v>882</v>
      </c>
      <c r="CTO93" s="60"/>
      <c r="CUD93" s="63" t="s">
        <v>882</v>
      </c>
      <c r="CUE93" s="60"/>
      <c r="CUT93" s="63" t="s">
        <v>882</v>
      </c>
      <c r="CUU93" s="60"/>
      <c r="CVJ93" s="63" t="s">
        <v>882</v>
      </c>
      <c r="CVK93" s="60"/>
      <c r="CVZ93" s="63" t="s">
        <v>882</v>
      </c>
      <c r="CWA93" s="60"/>
      <c r="CWP93" s="63" t="s">
        <v>882</v>
      </c>
      <c r="CWQ93" s="60"/>
      <c r="CXF93" s="63" t="s">
        <v>882</v>
      </c>
      <c r="CXG93" s="60"/>
      <c r="CXV93" s="63" t="s">
        <v>882</v>
      </c>
      <c r="CXW93" s="60"/>
      <c r="CYL93" s="63" t="s">
        <v>882</v>
      </c>
      <c r="CYM93" s="60"/>
      <c r="CZB93" s="63" t="s">
        <v>882</v>
      </c>
      <c r="CZC93" s="60"/>
      <c r="CZR93" s="63" t="s">
        <v>882</v>
      </c>
      <c r="CZS93" s="60"/>
      <c r="DAH93" s="63" t="s">
        <v>882</v>
      </c>
      <c r="DAI93" s="60"/>
      <c r="DAX93" s="63" t="s">
        <v>882</v>
      </c>
      <c r="DAY93" s="60"/>
      <c r="DBN93" s="63" t="s">
        <v>882</v>
      </c>
      <c r="DBO93" s="60"/>
      <c r="DCD93" s="63" t="s">
        <v>882</v>
      </c>
      <c r="DCE93" s="60"/>
      <c r="DCT93" s="63" t="s">
        <v>882</v>
      </c>
      <c r="DCU93" s="60"/>
      <c r="DDJ93" s="63" t="s">
        <v>882</v>
      </c>
      <c r="DDK93" s="60"/>
      <c r="DDZ93" s="63" t="s">
        <v>882</v>
      </c>
      <c r="DEA93" s="60"/>
      <c r="DEP93" s="63" t="s">
        <v>882</v>
      </c>
      <c r="DEQ93" s="60"/>
      <c r="DFF93" s="63" t="s">
        <v>882</v>
      </c>
      <c r="DFG93" s="60"/>
      <c r="DFV93" s="63" t="s">
        <v>882</v>
      </c>
      <c r="DFW93" s="60"/>
      <c r="DGL93" s="63" t="s">
        <v>882</v>
      </c>
      <c r="DGM93" s="60"/>
      <c r="DHB93" s="63" t="s">
        <v>882</v>
      </c>
      <c r="DHC93" s="60"/>
      <c r="DHR93" s="63" t="s">
        <v>882</v>
      </c>
      <c r="DHS93" s="60"/>
      <c r="DIH93" s="63" t="s">
        <v>882</v>
      </c>
      <c r="DII93" s="60"/>
      <c r="DIX93" s="63" t="s">
        <v>882</v>
      </c>
      <c r="DIY93" s="60"/>
      <c r="DJN93" s="63" t="s">
        <v>882</v>
      </c>
      <c r="DJO93" s="60"/>
      <c r="DKD93" s="63" t="s">
        <v>882</v>
      </c>
      <c r="DKE93" s="60"/>
      <c r="DKT93" s="63" t="s">
        <v>882</v>
      </c>
      <c r="DKU93" s="60"/>
      <c r="DLJ93" s="63" t="s">
        <v>882</v>
      </c>
      <c r="DLK93" s="60"/>
      <c r="DLZ93" s="63" t="s">
        <v>882</v>
      </c>
      <c r="DMA93" s="60"/>
      <c r="DMP93" s="63" t="s">
        <v>882</v>
      </c>
      <c r="DMQ93" s="60"/>
      <c r="DNF93" s="63" t="s">
        <v>882</v>
      </c>
      <c r="DNG93" s="60"/>
      <c r="DNV93" s="63" t="s">
        <v>882</v>
      </c>
      <c r="DNW93" s="60"/>
      <c r="DOL93" s="63" t="s">
        <v>882</v>
      </c>
      <c r="DOM93" s="60"/>
      <c r="DPB93" s="63" t="s">
        <v>882</v>
      </c>
      <c r="DPC93" s="60"/>
      <c r="DPR93" s="63" t="s">
        <v>882</v>
      </c>
      <c r="DPS93" s="60"/>
      <c r="DQH93" s="63" t="s">
        <v>882</v>
      </c>
      <c r="DQI93" s="60"/>
      <c r="DQX93" s="63" t="s">
        <v>882</v>
      </c>
      <c r="DQY93" s="60"/>
      <c r="DRN93" s="63" t="s">
        <v>882</v>
      </c>
      <c r="DRO93" s="60"/>
      <c r="DSD93" s="63" t="s">
        <v>882</v>
      </c>
      <c r="DSE93" s="60"/>
      <c r="DST93" s="63" t="s">
        <v>882</v>
      </c>
      <c r="DSU93" s="60"/>
      <c r="DTJ93" s="63" t="s">
        <v>882</v>
      </c>
      <c r="DTK93" s="60"/>
      <c r="DTZ93" s="63" t="s">
        <v>882</v>
      </c>
      <c r="DUA93" s="60"/>
      <c r="DUP93" s="63" t="s">
        <v>882</v>
      </c>
      <c r="DUQ93" s="60"/>
      <c r="DVF93" s="63" t="s">
        <v>882</v>
      </c>
      <c r="DVG93" s="60"/>
      <c r="DVV93" s="63" t="s">
        <v>882</v>
      </c>
      <c r="DVW93" s="60"/>
      <c r="DWL93" s="63" t="s">
        <v>882</v>
      </c>
      <c r="DWM93" s="60"/>
      <c r="DXB93" s="63" t="s">
        <v>882</v>
      </c>
      <c r="DXC93" s="60"/>
      <c r="DXR93" s="63" t="s">
        <v>882</v>
      </c>
      <c r="DXS93" s="60"/>
      <c r="DYH93" s="63" t="s">
        <v>882</v>
      </c>
      <c r="DYI93" s="60"/>
      <c r="DYX93" s="63" t="s">
        <v>882</v>
      </c>
      <c r="DYY93" s="60"/>
      <c r="DZN93" s="63" t="s">
        <v>882</v>
      </c>
      <c r="DZO93" s="60"/>
      <c r="EAD93" s="63" t="s">
        <v>882</v>
      </c>
      <c r="EAE93" s="60"/>
      <c r="EAT93" s="63" t="s">
        <v>882</v>
      </c>
      <c r="EAU93" s="60"/>
      <c r="EBJ93" s="63" t="s">
        <v>882</v>
      </c>
      <c r="EBK93" s="60"/>
      <c r="EBZ93" s="63" t="s">
        <v>882</v>
      </c>
      <c r="ECA93" s="60"/>
      <c r="ECP93" s="63" t="s">
        <v>882</v>
      </c>
      <c r="ECQ93" s="60"/>
      <c r="EDF93" s="63" t="s">
        <v>882</v>
      </c>
      <c r="EDG93" s="60"/>
      <c r="EDV93" s="63" t="s">
        <v>882</v>
      </c>
      <c r="EDW93" s="60"/>
      <c r="EEL93" s="63" t="s">
        <v>882</v>
      </c>
      <c r="EEM93" s="60"/>
      <c r="EFB93" s="63" t="s">
        <v>882</v>
      </c>
      <c r="EFC93" s="60"/>
      <c r="EFR93" s="63" t="s">
        <v>882</v>
      </c>
      <c r="EFS93" s="60"/>
      <c r="EGH93" s="63" t="s">
        <v>882</v>
      </c>
      <c r="EGI93" s="60"/>
      <c r="EGX93" s="63" t="s">
        <v>882</v>
      </c>
      <c r="EGY93" s="60"/>
      <c r="EHN93" s="63" t="s">
        <v>882</v>
      </c>
      <c r="EHO93" s="60"/>
      <c r="EID93" s="63" t="s">
        <v>882</v>
      </c>
      <c r="EIE93" s="60"/>
      <c r="EIT93" s="63" t="s">
        <v>882</v>
      </c>
      <c r="EIU93" s="60"/>
      <c r="EJJ93" s="63" t="s">
        <v>882</v>
      </c>
      <c r="EJK93" s="60"/>
      <c r="EJZ93" s="63" t="s">
        <v>882</v>
      </c>
      <c r="EKA93" s="60"/>
      <c r="EKP93" s="63" t="s">
        <v>882</v>
      </c>
      <c r="EKQ93" s="60"/>
      <c r="ELF93" s="63" t="s">
        <v>882</v>
      </c>
      <c r="ELG93" s="60"/>
      <c r="ELV93" s="63" t="s">
        <v>882</v>
      </c>
      <c r="ELW93" s="60"/>
      <c r="EML93" s="63" t="s">
        <v>882</v>
      </c>
      <c r="EMM93" s="60"/>
      <c r="ENB93" s="63" t="s">
        <v>882</v>
      </c>
      <c r="ENC93" s="60"/>
      <c r="ENR93" s="63" t="s">
        <v>882</v>
      </c>
      <c r="ENS93" s="60"/>
      <c r="EOH93" s="63" t="s">
        <v>882</v>
      </c>
      <c r="EOI93" s="60"/>
      <c r="EOX93" s="63" t="s">
        <v>882</v>
      </c>
      <c r="EOY93" s="60"/>
      <c r="EPN93" s="63" t="s">
        <v>882</v>
      </c>
      <c r="EPO93" s="60"/>
      <c r="EQD93" s="63" t="s">
        <v>882</v>
      </c>
      <c r="EQE93" s="60"/>
      <c r="EQT93" s="63" t="s">
        <v>882</v>
      </c>
      <c r="EQU93" s="60"/>
      <c r="ERJ93" s="63" t="s">
        <v>882</v>
      </c>
      <c r="ERK93" s="60"/>
      <c r="ERZ93" s="63" t="s">
        <v>882</v>
      </c>
      <c r="ESA93" s="60"/>
      <c r="ESP93" s="63" t="s">
        <v>882</v>
      </c>
      <c r="ESQ93" s="60"/>
      <c r="ETF93" s="63" t="s">
        <v>882</v>
      </c>
      <c r="ETG93" s="60"/>
      <c r="ETV93" s="63" t="s">
        <v>882</v>
      </c>
      <c r="ETW93" s="60"/>
      <c r="EUL93" s="63" t="s">
        <v>882</v>
      </c>
      <c r="EUM93" s="60"/>
      <c r="EVB93" s="63" t="s">
        <v>882</v>
      </c>
      <c r="EVC93" s="60"/>
      <c r="EVR93" s="63" t="s">
        <v>882</v>
      </c>
      <c r="EVS93" s="60"/>
      <c r="EWH93" s="63" t="s">
        <v>882</v>
      </c>
      <c r="EWI93" s="60"/>
      <c r="EWX93" s="63" t="s">
        <v>882</v>
      </c>
      <c r="EWY93" s="60"/>
      <c r="EXN93" s="63" t="s">
        <v>882</v>
      </c>
      <c r="EXO93" s="60"/>
      <c r="EYD93" s="63" t="s">
        <v>882</v>
      </c>
      <c r="EYE93" s="60"/>
      <c r="EYT93" s="63" t="s">
        <v>882</v>
      </c>
      <c r="EYU93" s="60"/>
      <c r="EZJ93" s="63" t="s">
        <v>882</v>
      </c>
      <c r="EZK93" s="60"/>
      <c r="EZZ93" s="63" t="s">
        <v>882</v>
      </c>
      <c r="FAA93" s="60"/>
      <c r="FAP93" s="63" t="s">
        <v>882</v>
      </c>
      <c r="FAQ93" s="60"/>
      <c r="FBF93" s="63" t="s">
        <v>882</v>
      </c>
      <c r="FBG93" s="60"/>
      <c r="FBV93" s="63" t="s">
        <v>882</v>
      </c>
      <c r="FBW93" s="60"/>
      <c r="FCL93" s="63" t="s">
        <v>882</v>
      </c>
      <c r="FCM93" s="60"/>
      <c r="FDB93" s="63" t="s">
        <v>882</v>
      </c>
      <c r="FDC93" s="60"/>
      <c r="FDR93" s="63" t="s">
        <v>882</v>
      </c>
      <c r="FDS93" s="60"/>
      <c r="FEH93" s="63" t="s">
        <v>882</v>
      </c>
      <c r="FEI93" s="60"/>
      <c r="FEX93" s="63" t="s">
        <v>882</v>
      </c>
      <c r="FEY93" s="60"/>
      <c r="FFN93" s="63" t="s">
        <v>882</v>
      </c>
      <c r="FFO93" s="60"/>
      <c r="FGD93" s="63" t="s">
        <v>882</v>
      </c>
      <c r="FGE93" s="60"/>
      <c r="FGT93" s="63" t="s">
        <v>882</v>
      </c>
      <c r="FGU93" s="60"/>
      <c r="FHJ93" s="63" t="s">
        <v>882</v>
      </c>
      <c r="FHK93" s="60"/>
      <c r="FHZ93" s="63" t="s">
        <v>882</v>
      </c>
      <c r="FIA93" s="60"/>
      <c r="FIP93" s="63" t="s">
        <v>882</v>
      </c>
      <c r="FIQ93" s="60"/>
      <c r="FJF93" s="63" t="s">
        <v>882</v>
      </c>
      <c r="FJG93" s="60"/>
      <c r="FJV93" s="63" t="s">
        <v>882</v>
      </c>
      <c r="FJW93" s="60"/>
      <c r="FKL93" s="63" t="s">
        <v>882</v>
      </c>
      <c r="FKM93" s="60"/>
      <c r="FLB93" s="63" t="s">
        <v>882</v>
      </c>
      <c r="FLC93" s="60"/>
      <c r="FLR93" s="63" t="s">
        <v>882</v>
      </c>
      <c r="FLS93" s="60"/>
      <c r="FMH93" s="63" t="s">
        <v>882</v>
      </c>
      <c r="FMI93" s="60"/>
      <c r="FMX93" s="63" t="s">
        <v>882</v>
      </c>
      <c r="FMY93" s="60"/>
      <c r="FNN93" s="63" t="s">
        <v>882</v>
      </c>
      <c r="FNO93" s="60"/>
      <c r="FOD93" s="63" t="s">
        <v>882</v>
      </c>
      <c r="FOE93" s="60"/>
      <c r="FOT93" s="63" t="s">
        <v>882</v>
      </c>
      <c r="FOU93" s="60"/>
      <c r="FPJ93" s="63" t="s">
        <v>882</v>
      </c>
      <c r="FPK93" s="60"/>
      <c r="FPZ93" s="63" t="s">
        <v>882</v>
      </c>
      <c r="FQA93" s="60"/>
      <c r="FQP93" s="63" t="s">
        <v>882</v>
      </c>
      <c r="FQQ93" s="60"/>
      <c r="FRF93" s="63" t="s">
        <v>882</v>
      </c>
      <c r="FRG93" s="60"/>
      <c r="FRV93" s="63" t="s">
        <v>882</v>
      </c>
      <c r="FRW93" s="60"/>
      <c r="FSL93" s="63" t="s">
        <v>882</v>
      </c>
      <c r="FSM93" s="60"/>
      <c r="FTB93" s="63" t="s">
        <v>882</v>
      </c>
      <c r="FTC93" s="60"/>
      <c r="FTR93" s="63" t="s">
        <v>882</v>
      </c>
      <c r="FTS93" s="60"/>
      <c r="FUH93" s="63" t="s">
        <v>882</v>
      </c>
      <c r="FUI93" s="60"/>
      <c r="FUX93" s="63" t="s">
        <v>882</v>
      </c>
      <c r="FUY93" s="60"/>
      <c r="FVN93" s="63" t="s">
        <v>882</v>
      </c>
      <c r="FVO93" s="60"/>
      <c r="FWD93" s="63" t="s">
        <v>882</v>
      </c>
      <c r="FWE93" s="60"/>
      <c r="FWT93" s="63" t="s">
        <v>882</v>
      </c>
      <c r="FWU93" s="60"/>
      <c r="FXJ93" s="63" t="s">
        <v>882</v>
      </c>
      <c r="FXK93" s="60"/>
      <c r="FXZ93" s="63" t="s">
        <v>882</v>
      </c>
      <c r="FYA93" s="60"/>
      <c r="FYP93" s="63" t="s">
        <v>882</v>
      </c>
      <c r="FYQ93" s="60"/>
      <c r="FZF93" s="63" t="s">
        <v>882</v>
      </c>
      <c r="FZG93" s="60"/>
      <c r="FZV93" s="63" t="s">
        <v>882</v>
      </c>
      <c r="FZW93" s="60"/>
      <c r="GAL93" s="63" t="s">
        <v>882</v>
      </c>
      <c r="GAM93" s="60"/>
      <c r="GBB93" s="63" t="s">
        <v>882</v>
      </c>
      <c r="GBC93" s="60"/>
      <c r="GBR93" s="63" t="s">
        <v>882</v>
      </c>
      <c r="GBS93" s="60"/>
      <c r="GCH93" s="63" t="s">
        <v>882</v>
      </c>
      <c r="GCI93" s="60"/>
      <c r="GCX93" s="63" t="s">
        <v>882</v>
      </c>
      <c r="GCY93" s="60"/>
      <c r="GDN93" s="63" t="s">
        <v>882</v>
      </c>
      <c r="GDO93" s="60"/>
      <c r="GED93" s="63" t="s">
        <v>882</v>
      </c>
      <c r="GEE93" s="60"/>
      <c r="GET93" s="63" t="s">
        <v>882</v>
      </c>
      <c r="GEU93" s="60"/>
      <c r="GFJ93" s="63" t="s">
        <v>882</v>
      </c>
      <c r="GFK93" s="60"/>
      <c r="GFZ93" s="63" t="s">
        <v>882</v>
      </c>
      <c r="GGA93" s="60"/>
      <c r="GGP93" s="63" t="s">
        <v>882</v>
      </c>
      <c r="GGQ93" s="60"/>
      <c r="GHF93" s="63" t="s">
        <v>882</v>
      </c>
      <c r="GHG93" s="60"/>
      <c r="GHV93" s="63" t="s">
        <v>882</v>
      </c>
      <c r="GHW93" s="60"/>
      <c r="GIL93" s="63" t="s">
        <v>882</v>
      </c>
      <c r="GIM93" s="60"/>
      <c r="GJB93" s="63" t="s">
        <v>882</v>
      </c>
      <c r="GJC93" s="60"/>
      <c r="GJR93" s="63" t="s">
        <v>882</v>
      </c>
      <c r="GJS93" s="60"/>
      <c r="GKH93" s="63" t="s">
        <v>882</v>
      </c>
      <c r="GKI93" s="60"/>
      <c r="GKX93" s="63" t="s">
        <v>882</v>
      </c>
      <c r="GKY93" s="60"/>
      <c r="GLN93" s="63" t="s">
        <v>882</v>
      </c>
      <c r="GLO93" s="60"/>
      <c r="GMD93" s="63" t="s">
        <v>882</v>
      </c>
      <c r="GME93" s="60"/>
      <c r="GMT93" s="63" t="s">
        <v>882</v>
      </c>
      <c r="GMU93" s="60"/>
      <c r="GNJ93" s="63" t="s">
        <v>882</v>
      </c>
      <c r="GNK93" s="60"/>
      <c r="GNZ93" s="63" t="s">
        <v>882</v>
      </c>
      <c r="GOA93" s="60"/>
      <c r="GOP93" s="63" t="s">
        <v>882</v>
      </c>
      <c r="GOQ93" s="60"/>
      <c r="GPF93" s="63" t="s">
        <v>882</v>
      </c>
      <c r="GPG93" s="60"/>
      <c r="GPV93" s="63" t="s">
        <v>882</v>
      </c>
      <c r="GPW93" s="60"/>
      <c r="GQL93" s="63" t="s">
        <v>882</v>
      </c>
      <c r="GQM93" s="60"/>
      <c r="GRB93" s="63" t="s">
        <v>882</v>
      </c>
      <c r="GRC93" s="60"/>
      <c r="GRR93" s="63" t="s">
        <v>882</v>
      </c>
      <c r="GRS93" s="60"/>
      <c r="GSH93" s="63" t="s">
        <v>882</v>
      </c>
      <c r="GSI93" s="60"/>
      <c r="GSX93" s="63" t="s">
        <v>882</v>
      </c>
      <c r="GSY93" s="60"/>
      <c r="GTN93" s="63" t="s">
        <v>882</v>
      </c>
      <c r="GTO93" s="60"/>
      <c r="GUD93" s="63" t="s">
        <v>882</v>
      </c>
      <c r="GUE93" s="60"/>
      <c r="GUT93" s="63" t="s">
        <v>882</v>
      </c>
      <c r="GUU93" s="60"/>
      <c r="GVJ93" s="63" t="s">
        <v>882</v>
      </c>
      <c r="GVK93" s="60"/>
      <c r="GVZ93" s="63" t="s">
        <v>882</v>
      </c>
      <c r="GWA93" s="60"/>
      <c r="GWP93" s="63" t="s">
        <v>882</v>
      </c>
      <c r="GWQ93" s="60"/>
      <c r="GXF93" s="63" t="s">
        <v>882</v>
      </c>
      <c r="GXG93" s="60"/>
      <c r="GXV93" s="63" t="s">
        <v>882</v>
      </c>
      <c r="GXW93" s="60"/>
      <c r="GYL93" s="63" t="s">
        <v>882</v>
      </c>
      <c r="GYM93" s="60"/>
      <c r="GZB93" s="63" t="s">
        <v>882</v>
      </c>
      <c r="GZC93" s="60"/>
      <c r="GZR93" s="63" t="s">
        <v>882</v>
      </c>
      <c r="GZS93" s="60"/>
      <c r="HAH93" s="63" t="s">
        <v>882</v>
      </c>
      <c r="HAI93" s="60"/>
      <c r="HAX93" s="63" t="s">
        <v>882</v>
      </c>
      <c r="HAY93" s="60"/>
      <c r="HBN93" s="63" t="s">
        <v>882</v>
      </c>
      <c r="HBO93" s="60"/>
      <c r="HCD93" s="63" t="s">
        <v>882</v>
      </c>
      <c r="HCE93" s="60"/>
      <c r="HCT93" s="63" t="s">
        <v>882</v>
      </c>
      <c r="HCU93" s="60"/>
      <c r="HDJ93" s="63" t="s">
        <v>882</v>
      </c>
      <c r="HDK93" s="60"/>
      <c r="HDZ93" s="63" t="s">
        <v>882</v>
      </c>
      <c r="HEA93" s="60"/>
      <c r="HEP93" s="63" t="s">
        <v>882</v>
      </c>
      <c r="HEQ93" s="60"/>
      <c r="HFF93" s="63" t="s">
        <v>882</v>
      </c>
      <c r="HFG93" s="60"/>
      <c r="HFV93" s="63" t="s">
        <v>882</v>
      </c>
      <c r="HFW93" s="60"/>
      <c r="HGL93" s="63" t="s">
        <v>882</v>
      </c>
      <c r="HGM93" s="60"/>
      <c r="HHB93" s="63" t="s">
        <v>882</v>
      </c>
      <c r="HHC93" s="60"/>
      <c r="HHR93" s="63" t="s">
        <v>882</v>
      </c>
      <c r="HHS93" s="60"/>
      <c r="HIH93" s="63" t="s">
        <v>882</v>
      </c>
      <c r="HII93" s="60"/>
      <c r="HIX93" s="63" t="s">
        <v>882</v>
      </c>
      <c r="HIY93" s="60"/>
      <c r="HJN93" s="63" t="s">
        <v>882</v>
      </c>
      <c r="HJO93" s="60"/>
      <c r="HKD93" s="63" t="s">
        <v>882</v>
      </c>
      <c r="HKE93" s="60"/>
      <c r="HKT93" s="63" t="s">
        <v>882</v>
      </c>
      <c r="HKU93" s="60"/>
      <c r="HLJ93" s="63" t="s">
        <v>882</v>
      </c>
      <c r="HLK93" s="60"/>
      <c r="HLZ93" s="63" t="s">
        <v>882</v>
      </c>
      <c r="HMA93" s="60"/>
      <c r="HMP93" s="63" t="s">
        <v>882</v>
      </c>
      <c r="HMQ93" s="60"/>
      <c r="HNF93" s="63" t="s">
        <v>882</v>
      </c>
      <c r="HNG93" s="60"/>
      <c r="HNV93" s="63" t="s">
        <v>882</v>
      </c>
      <c r="HNW93" s="60"/>
      <c r="HOL93" s="63" t="s">
        <v>882</v>
      </c>
      <c r="HOM93" s="60"/>
      <c r="HPB93" s="63" t="s">
        <v>882</v>
      </c>
      <c r="HPC93" s="60"/>
      <c r="HPR93" s="63" t="s">
        <v>882</v>
      </c>
      <c r="HPS93" s="60"/>
      <c r="HQH93" s="63" t="s">
        <v>882</v>
      </c>
      <c r="HQI93" s="60"/>
      <c r="HQX93" s="63" t="s">
        <v>882</v>
      </c>
      <c r="HQY93" s="60"/>
      <c r="HRN93" s="63" t="s">
        <v>882</v>
      </c>
      <c r="HRO93" s="60"/>
      <c r="HSD93" s="63" t="s">
        <v>882</v>
      </c>
      <c r="HSE93" s="60"/>
      <c r="HST93" s="63" t="s">
        <v>882</v>
      </c>
      <c r="HSU93" s="60"/>
      <c r="HTJ93" s="63" t="s">
        <v>882</v>
      </c>
      <c r="HTK93" s="60"/>
      <c r="HTZ93" s="63" t="s">
        <v>882</v>
      </c>
      <c r="HUA93" s="60"/>
      <c r="HUP93" s="63" t="s">
        <v>882</v>
      </c>
      <c r="HUQ93" s="60"/>
      <c r="HVF93" s="63" t="s">
        <v>882</v>
      </c>
      <c r="HVG93" s="60"/>
      <c r="HVV93" s="63" t="s">
        <v>882</v>
      </c>
      <c r="HVW93" s="60"/>
      <c r="HWL93" s="63" t="s">
        <v>882</v>
      </c>
      <c r="HWM93" s="60"/>
      <c r="HXB93" s="63" t="s">
        <v>882</v>
      </c>
      <c r="HXC93" s="60"/>
      <c r="HXR93" s="63" t="s">
        <v>882</v>
      </c>
      <c r="HXS93" s="60"/>
      <c r="HYH93" s="63" t="s">
        <v>882</v>
      </c>
      <c r="HYI93" s="60"/>
      <c r="HYX93" s="63" t="s">
        <v>882</v>
      </c>
      <c r="HYY93" s="60"/>
      <c r="HZN93" s="63" t="s">
        <v>882</v>
      </c>
      <c r="HZO93" s="60"/>
      <c r="IAD93" s="63" t="s">
        <v>882</v>
      </c>
      <c r="IAE93" s="60"/>
      <c r="IAT93" s="63" t="s">
        <v>882</v>
      </c>
      <c r="IAU93" s="60"/>
      <c r="IBJ93" s="63" t="s">
        <v>882</v>
      </c>
      <c r="IBK93" s="60"/>
      <c r="IBZ93" s="63" t="s">
        <v>882</v>
      </c>
      <c r="ICA93" s="60"/>
      <c r="ICP93" s="63" t="s">
        <v>882</v>
      </c>
      <c r="ICQ93" s="60"/>
      <c r="IDF93" s="63" t="s">
        <v>882</v>
      </c>
      <c r="IDG93" s="60"/>
      <c r="IDV93" s="63" t="s">
        <v>882</v>
      </c>
      <c r="IDW93" s="60"/>
      <c r="IEL93" s="63" t="s">
        <v>882</v>
      </c>
      <c r="IEM93" s="60"/>
      <c r="IFB93" s="63" t="s">
        <v>882</v>
      </c>
      <c r="IFC93" s="60"/>
      <c r="IFR93" s="63" t="s">
        <v>882</v>
      </c>
      <c r="IFS93" s="60"/>
      <c r="IGH93" s="63" t="s">
        <v>882</v>
      </c>
      <c r="IGI93" s="60"/>
      <c r="IGX93" s="63" t="s">
        <v>882</v>
      </c>
      <c r="IGY93" s="60"/>
      <c r="IHN93" s="63" t="s">
        <v>882</v>
      </c>
      <c r="IHO93" s="60"/>
      <c r="IID93" s="63" t="s">
        <v>882</v>
      </c>
      <c r="IIE93" s="60"/>
      <c r="IIT93" s="63" t="s">
        <v>882</v>
      </c>
      <c r="IIU93" s="60"/>
      <c r="IJJ93" s="63" t="s">
        <v>882</v>
      </c>
      <c r="IJK93" s="60"/>
      <c r="IJZ93" s="63" t="s">
        <v>882</v>
      </c>
      <c r="IKA93" s="60"/>
      <c r="IKP93" s="63" t="s">
        <v>882</v>
      </c>
      <c r="IKQ93" s="60"/>
      <c r="ILF93" s="63" t="s">
        <v>882</v>
      </c>
      <c r="ILG93" s="60"/>
      <c r="ILV93" s="63" t="s">
        <v>882</v>
      </c>
      <c r="ILW93" s="60"/>
      <c r="IML93" s="63" t="s">
        <v>882</v>
      </c>
      <c r="IMM93" s="60"/>
      <c r="INB93" s="63" t="s">
        <v>882</v>
      </c>
      <c r="INC93" s="60"/>
      <c r="INR93" s="63" t="s">
        <v>882</v>
      </c>
      <c r="INS93" s="60"/>
      <c r="IOH93" s="63" t="s">
        <v>882</v>
      </c>
      <c r="IOI93" s="60"/>
      <c r="IOX93" s="63" t="s">
        <v>882</v>
      </c>
      <c r="IOY93" s="60"/>
      <c r="IPN93" s="63" t="s">
        <v>882</v>
      </c>
      <c r="IPO93" s="60"/>
      <c r="IQD93" s="63" t="s">
        <v>882</v>
      </c>
      <c r="IQE93" s="60"/>
      <c r="IQT93" s="63" t="s">
        <v>882</v>
      </c>
      <c r="IQU93" s="60"/>
      <c r="IRJ93" s="63" t="s">
        <v>882</v>
      </c>
      <c r="IRK93" s="60"/>
      <c r="IRZ93" s="63" t="s">
        <v>882</v>
      </c>
      <c r="ISA93" s="60"/>
      <c r="ISP93" s="63" t="s">
        <v>882</v>
      </c>
      <c r="ISQ93" s="60"/>
      <c r="ITF93" s="63" t="s">
        <v>882</v>
      </c>
      <c r="ITG93" s="60"/>
      <c r="ITV93" s="63" t="s">
        <v>882</v>
      </c>
      <c r="ITW93" s="60"/>
      <c r="IUL93" s="63" t="s">
        <v>882</v>
      </c>
      <c r="IUM93" s="60"/>
      <c r="IVB93" s="63" t="s">
        <v>882</v>
      </c>
      <c r="IVC93" s="60"/>
      <c r="IVR93" s="63" t="s">
        <v>882</v>
      </c>
      <c r="IVS93" s="60"/>
      <c r="IWH93" s="63" t="s">
        <v>882</v>
      </c>
      <c r="IWI93" s="60"/>
      <c r="IWX93" s="63" t="s">
        <v>882</v>
      </c>
      <c r="IWY93" s="60"/>
      <c r="IXN93" s="63" t="s">
        <v>882</v>
      </c>
      <c r="IXO93" s="60"/>
      <c r="IYD93" s="63" t="s">
        <v>882</v>
      </c>
      <c r="IYE93" s="60"/>
      <c r="IYT93" s="63" t="s">
        <v>882</v>
      </c>
      <c r="IYU93" s="60"/>
      <c r="IZJ93" s="63" t="s">
        <v>882</v>
      </c>
      <c r="IZK93" s="60"/>
      <c r="IZZ93" s="63" t="s">
        <v>882</v>
      </c>
      <c r="JAA93" s="60"/>
      <c r="JAP93" s="63" t="s">
        <v>882</v>
      </c>
      <c r="JAQ93" s="60"/>
      <c r="JBF93" s="63" t="s">
        <v>882</v>
      </c>
      <c r="JBG93" s="60"/>
      <c r="JBV93" s="63" t="s">
        <v>882</v>
      </c>
      <c r="JBW93" s="60"/>
      <c r="JCL93" s="63" t="s">
        <v>882</v>
      </c>
      <c r="JCM93" s="60"/>
      <c r="JDB93" s="63" t="s">
        <v>882</v>
      </c>
      <c r="JDC93" s="60"/>
      <c r="JDR93" s="63" t="s">
        <v>882</v>
      </c>
      <c r="JDS93" s="60"/>
      <c r="JEH93" s="63" t="s">
        <v>882</v>
      </c>
      <c r="JEI93" s="60"/>
      <c r="JEX93" s="63" t="s">
        <v>882</v>
      </c>
      <c r="JEY93" s="60"/>
      <c r="JFN93" s="63" t="s">
        <v>882</v>
      </c>
      <c r="JFO93" s="60"/>
      <c r="JGD93" s="63" t="s">
        <v>882</v>
      </c>
      <c r="JGE93" s="60"/>
      <c r="JGT93" s="63" t="s">
        <v>882</v>
      </c>
      <c r="JGU93" s="60"/>
      <c r="JHJ93" s="63" t="s">
        <v>882</v>
      </c>
      <c r="JHK93" s="60"/>
      <c r="JHZ93" s="63" t="s">
        <v>882</v>
      </c>
      <c r="JIA93" s="60"/>
      <c r="JIP93" s="63" t="s">
        <v>882</v>
      </c>
      <c r="JIQ93" s="60"/>
      <c r="JJF93" s="63" t="s">
        <v>882</v>
      </c>
      <c r="JJG93" s="60"/>
      <c r="JJV93" s="63" t="s">
        <v>882</v>
      </c>
      <c r="JJW93" s="60"/>
      <c r="JKL93" s="63" t="s">
        <v>882</v>
      </c>
      <c r="JKM93" s="60"/>
      <c r="JLB93" s="63" t="s">
        <v>882</v>
      </c>
      <c r="JLC93" s="60"/>
      <c r="JLR93" s="63" t="s">
        <v>882</v>
      </c>
      <c r="JLS93" s="60"/>
      <c r="JMH93" s="63" t="s">
        <v>882</v>
      </c>
      <c r="JMI93" s="60"/>
      <c r="JMX93" s="63" t="s">
        <v>882</v>
      </c>
      <c r="JMY93" s="60"/>
      <c r="JNN93" s="63" t="s">
        <v>882</v>
      </c>
      <c r="JNO93" s="60"/>
      <c r="JOD93" s="63" t="s">
        <v>882</v>
      </c>
      <c r="JOE93" s="60"/>
      <c r="JOT93" s="63" t="s">
        <v>882</v>
      </c>
      <c r="JOU93" s="60"/>
      <c r="JPJ93" s="63" t="s">
        <v>882</v>
      </c>
      <c r="JPK93" s="60"/>
      <c r="JPZ93" s="63" t="s">
        <v>882</v>
      </c>
      <c r="JQA93" s="60"/>
      <c r="JQP93" s="63" t="s">
        <v>882</v>
      </c>
      <c r="JQQ93" s="60"/>
      <c r="JRF93" s="63" t="s">
        <v>882</v>
      </c>
      <c r="JRG93" s="60"/>
      <c r="JRV93" s="63" t="s">
        <v>882</v>
      </c>
      <c r="JRW93" s="60"/>
      <c r="JSL93" s="63" t="s">
        <v>882</v>
      </c>
      <c r="JSM93" s="60"/>
      <c r="JTB93" s="63" t="s">
        <v>882</v>
      </c>
      <c r="JTC93" s="60"/>
      <c r="JTR93" s="63" t="s">
        <v>882</v>
      </c>
      <c r="JTS93" s="60"/>
      <c r="JUH93" s="63" t="s">
        <v>882</v>
      </c>
      <c r="JUI93" s="60"/>
      <c r="JUX93" s="63" t="s">
        <v>882</v>
      </c>
      <c r="JUY93" s="60"/>
      <c r="JVN93" s="63" t="s">
        <v>882</v>
      </c>
      <c r="JVO93" s="60"/>
      <c r="JWD93" s="63" t="s">
        <v>882</v>
      </c>
      <c r="JWE93" s="60"/>
      <c r="JWT93" s="63" t="s">
        <v>882</v>
      </c>
      <c r="JWU93" s="60"/>
      <c r="JXJ93" s="63" t="s">
        <v>882</v>
      </c>
      <c r="JXK93" s="60"/>
      <c r="JXZ93" s="63" t="s">
        <v>882</v>
      </c>
      <c r="JYA93" s="60"/>
      <c r="JYP93" s="63" t="s">
        <v>882</v>
      </c>
      <c r="JYQ93" s="60"/>
      <c r="JZF93" s="63" t="s">
        <v>882</v>
      </c>
      <c r="JZG93" s="60"/>
      <c r="JZV93" s="63" t="s">
        <v>882</v>
      </c>
      <c r="JZW93" s="60"/>
      <c r="KAL93" s="63" t="s">
        <v>882</v>
      </c>
      <c r="KAM93" s="60"/>
      <c r="KBB93" s="63" t="s">
        <v>882</v>
      </c>
      <c r="KBC93" s="60"/>
      <c r="KBR93" s="63" t="s">
        <v>882</v>
      </c>
      <c r="KBS93" s="60"/>
      <c r="KCH93" s="63" t="s">
        <v>882</v>
      </c>
      <c r="KCI93" s="60"/>
      <c r="KCX93" s="63" t="s">
        <v>882</v>
      </c>
      <c r="KCY93" s="60"/>
      <c r="KDN93" s="63" t="s">
        <v>882</v>
      </c>
      <c r="KDO93" s="60"/>
      <c r="KED93" s="63" t="s">
        <v>882</v>
      </c>
      <c r="KEE93" s="60"/>
      <c r="KET93" s="63" t="s">
        <v>882</v>
      </c>
      <c r="KEU93" s="60"/>
      <c r="KFJ93" s="63" t="s">
        <v>882</v>
      </c>
      <c r="KFK93" s="60"/>
      <c r="KFZ93" s="63" t="s">
        <v>882</v>
      </c>
      <c r="KGA93" s="60"/>
      <c r="KGP93" s="63" t="s">
        <v>882</v>
      </c>
      <c r="KGQ93" s="60"/>
      <c r="KHF93" s="63" t="s">
        <v>882</v>
      </c>
      <c r="KHG93" s="60"/>
      <c r="KHV93" s="63" t="s">
        <v>882</v>
      </c>
      <c r="KHW93" s="60"/>
      <c r="KIL93" s="63" t="s">
        <v>882</v>
      </c>
      <c r="KIM93" s="60"/>
      <c r="KJB93" s="63" t="s">
        <v>882</v>
      </c>
      <c r="KJC93" s="60"/>
      <c r="KJR93" s="63" t="s">
        <v>882</v>
      </c>
      <c r="KJS93" s="60"/>
      <c r="KKH93" s="63" t="s">
        <v>882</v>
      </c>
      <c r="KKI93" s="60"/>
      <c r="KKX93" s="63" t="s">
        <v>882</v>
      </c>
      <c r="KKY93" s="60"/>
      <c r="KLN93" s="63" t="s">
        <v>882</v>
      </c>
      <c r="KLO93" s="60"/>
      <c r="KMD93" s="63" t="s">
        <v>882</v>
      </c>
      <c r="KME93" s="60"/>
      <c r="KMT93" s="63" t="s">
        <v>882</v>
      </c>
      <c r="KMU93" s="60"/>
      <c r="KNJ93" s="63" t="s">
        <v>882</v>
      </c>
      <c r="KNK93" s="60"/>
      <c r="KNZ93" s="63" t="s">
        <v>882</v>
      </c>
      <c r="KOA93" s="60"/>
      <c r="KOP93" s="63" t="s">
        <v>882</v>
      </c>
      <c r="KOQ93" s="60"/>
      <c r="KPF93" s="63" t="s">
        <v>882</v>
      </c>
      <c r="KPG93" s="60"/>
      <c r="KPV93" s="63" t="s">
        <v>882</v>
      </c>
      <c r="KPW93" s="60"/>
      <c r="KQL93" s="63" t="s">
        <v>882</v>
      </c>
      <c r="KQM93" s="60"/>
      <c r="KRB93" s="63" t="s">
        <v>882</v>
      </c>
      <c r="KRC93" s="60"/>
      <c r="KRR93" s="63" t="s">
        <v>882</v>
      </c>
      <c r="KRS93" s="60"/>
      <c r="KSH93" s="63" t="s">
        <v>882</v>
      </c>
      <c r="KSI93" s="60"/>
      <c r="KSX93" s="63" t="s">
        <v>882</v>
      </c>
      <c r="KSY93" s="60"/>
      <c r="KTN93" s="63" t="s">
        <v>882</v>
      </c>
      <c r="KTO93" s="60"/>
      <c r="KUD93" s="63" t="s">
        <v>882</v>
      </c>
      <c r="KUE93" s="60"/>
      <c r="KUT93" s="63" t="s">
        <v>882</v>
      </c>
      <c r="KUU93" s="60"/>
      <c r="KVJ93" s="63" t="s">
        <v>882</v>
      </c>
      <c r="KVK93" s="60"/>
      <c r="KVZ93" s="63" t="s">
        <v>882</v>
      </c>
      <c r="KWA93" s="60"/>
      <c r="KWP93" s="63" t="s">
        <v>882</v>
      </c>
      <c r="KWQ93" s="60"/>
      <c r="KXF93" s="63" t="s">
        <v>882</v>
      </c>
      <c r="KXG93" s="60"/>
      <c r="KXV93" s="63" t="s">
        <v>882</v>
      </c>
      <c r="KXW93" s="60"/>
      <c r="KYL93" s="63" t="s">
        <v>882</v>
      </c>
      <c r="KYM93" s="60"/>
      <c r="KZB93" s="63" t="s">
        <v>882</v>
      </c>
      <c r="KZC93" s="60"/>
      <c r="KZR93" s="63" t="s">
        <v>882</v>
      </c>
      <c r="KZS93" s="60"/>
      <c r="LAH93" s="63" t="s">
        <v>882</v>
      </c>
      <c r="LAI93" s="60"/>
      <c r="LAX93" s="63" t="s">
        <v>882</v>
      </c>
      <c r="LAY93" s="60"/>
      <c r="LBN93" s="63" t="s">
        <v>882</v>
      </c>
      <c r="LBO93" s="60"/>
      <c r="LCD93" s="63" t="s">
        <v>882</v>
      </c>
      <c r="LCE93" s="60"/>
      <c r="LCT93" s="63" t="s">
        <v>882</v>
      </c>
      <c r="LCU93" s="60"/>
      <c r="LDJ93" s="63" t="s">
        <v>882</v>
      </c>
      <c r="LDK93" s="60"/>
      <c r="LDZ93" s="63" t="s">
        <v>882</v>
      </c>
      <c r="LEA93" s="60"/>
      <c r="LEP93" s="63" t="s">
        <v>882</v>
      </c>
      <c r="LEQ93" s="60"/>
      <c r="LFF93" s="63" t="s">
        <v>882</v>
      </c>
      <c r="LFG93" s="60"/>
      <c r="LFV93" s="63" t="s">
        <v>882</v>
      </c>
      <c r="LFW93" s="60"/>
      <c r="LGL93" s="63" t="s">
        <v>882</v>
      </c>
      <c r="LGM93" s="60"/>
      <c r="LHB93" s="63" t="s">
        <v>882</v>
      </c>
      <c r="LHC93" s="60"/>
      <c r="LHR93" s="63" t="s">
        <v>882</v>
      </c>
      <c r="LHS93" s="60"/>
      <c r="LIH93" s="63" t="s">
        <v>882</v>
      </c>
      <c r="LII93" s="60"/>
      <c r="LIX93" s="63" t="s">
        <v>882</v>
      </c>
      <c r="LIY93" s="60"/>
      <c r="LJN93" s="63" t="s">
        <v>882</v>
      </c>
      <c r="LJO93" s="60"/>
      <c r="LKD93" s="63" t="s">
        <v>882</v>
      </c>
      <c r="LKE93" s="60"/>
      <c r="LKT93" s="63" t="s">
        <v>882</v>
      </c>
      <c r="LKU93" s="60"/>
      <c r="LLJ93" s="63" t="s">
        <v>882</v>
      </c>
      <c r="LLK93" s="60"/>
      <c r="LLZ93" s="63" t="s">
        <v>882</v>
      </c>
      <c r="LMA93" s="60"/>
      <c r="LMP93" s="63" t="s">
        <v>882</v>
      </c>
      <c r="LMQ93" s="60"/>
      <c r="LNF93" s="63" t="s">
        <v>882</v>
      </c>
      <c r="LNG93" s="60"/>
      <c r="LNV93" s="63" t="s">
        <v>882</v>
      </c>
      <c r="LNW93" s="60"/>
      <c r="LOL93" s="63" t="s">
        <v>882</v>
      </c>
      <c r="LOM93" s="60"/>
      <c r="LPB93" s="63" t="s">
        <v>882</v>
      </c>
      <c r="LPC93" s="60"/>
      <c r="LPR93" s="63" t="s">
        <v>882</v>
      </c>
      <c r="LPS93" s="60"/>
      <c r="LQH93" s="63" t="s">
        <v>882</v>
      </c>
      <c r="LQI93" s="60"/>
      <c r="LQX93" s="63" t="s">
        <v>882</v>
      </c>
      <c r="LQY93" s="60"/>
      <c r="LRN93" s="63" t="s">
        <v>882</v>
      </c>
      <c r="LRO93" s="60"/>
      <c r="LSD93" s="63" t="s">
        <v>882</v>
      </c>
      <c r="LSE93" s="60"/>
      <c r="LST93" s="63" t="s">
        <v>882</v>
      </c>
      <c r="LSU93" s="60"/>
      <c r="LTJ93" s="63" t="s">
        <v>882</v>
      </c>
      <c r="LTK93" s="60"/>
      <c r="LTZ93" s="63" t="s">
        <v>882</v>
      </c>
      <c r="LUA93" s="60"/>
      <c r="LUP93" s="63" t="s">
        <v>882</v>
      </c>
      <c r="LUQ93" s="60"/>
      <c r="LVF93" s="63" t="s">
        <v>882</v>
      </c>
      <c r="LVG93" s="60"/>
      <c r="LVV93" s="63" t="s">
        <v>882</v>
      </c>
      <c r="LVW93" s="60"/>
      <c r="LWL93" s="63" t="s">
        <v>882</v>
      </c>
      <c r="LWM93" s="60"/>
      <c r="LXB93" s="63" t="s">
        <v>882</v>
      </c>
      <c r="LXC93" s="60"/>
      <c r="LXR93" s="63" t="s">
        <v>882</v>
      </c>
      <c r="LXS93" s="60"/>
      <c r="LYH93" s="63" t="s">
        <v>882</v>
      </c>
      <c r="LYI93" s="60"/>
      <c r="LYX93" s="63" t="s">
        <v>882</v>
      </c>
      <c r="LYY93" s="60"/>
      <c r="LZN93" s="63" t="s">
        <v>882</v>
      </c>
      <c r="LZO93" s="60"/>
      <c r="MAD93" s="63" t="s">
        <v>882</v>
      </c>
      <c r="MAE93" s="60"/>
      <c r="MAT93" s="63" t="s">
        <v>882</v>
      </c>
      <c r="MAU93" s="60"/>
      <c r="MBJ93" s="63" t="s">
        <v>882</v>
      </c>
      <c r="MBK93" s="60"/>
      <c r="MBZ93" s="63" t="s">
        <v>882</v>
      </c>
      <c r="MCA93" s="60"/>
      <c r="MCP93" s="63" t="s">
        <v>882</v>
      </c>
      <c r="MCQ93" s="60"/>
      <c r="MDF93" s="63" t="s">
        <v>882</v>
      </c>
      <c r="MDG93" s="60"/>
      <c r="MDV93" s="63" t="s">
        <v>882</v>
      </c>
      <c r="MDW93" s="60"/>
      <c r="MEL93" s="63" t="s">
        <v>882</v>
      </c>
      <c r="MEM93" s="60"/>
      <c r="MFB93" s="63" t="s">
        <v>882</v>
      </c>
      <c r="MFC93" s="60"/>
      <c r="MFR93" s="63" t="s">
        <v>882</v>
      </c>
      <c r="MFS93" s="60"/>
      <c r="MGH93" s="63" t="s">
        <v>882</v>
      </c>
      <c r="MGI93" s="60"/>
      <c r="MGX93" s="63" t="s">
        <v>882</v>
      </c>
      <c r="MGY93" s="60"/>
      <c r="MHN93" s="63" t="s">
        <v>882</v>
      </c>
      <c r="MHO93" s="60"/>
      <c r="MID93" s="63" t="s">
        <v>882</v>
      </c>
      <c r="MIE93" s="60"/>
      <c r="MIT93" s="63" t="s">
        <v>882</v>
      </c>
      <c r="MIU93" s="60"/>
      <c r="MJJ93" s="63" t="s">
        <v>882</v>
      </c>
      <c r="MJK93" s="60"/>
      <c r="MJZ93" s="63" t="s">
        <v>882</v>
      </c>
      <c r="MKA93" s="60"/>
      <c r="MKP93" s="63" t="s">
        <v>882</v>
      </c>
      <c r="MKQ93" s="60"/>
      <c r="MLF93" s="63" t="s">
        <v>882</v>
      </c>
      <c r="MLG93" s="60"/>
      <c r="MLV93" s="63" t="s">
        <v>882</v>
      </c>
      <c r="MLW93" s="60"/>
      <c r="MML93" s="63" t="s">
        <v>882</v>
      </c>
      <c r="MMM93" s="60"/>
      <c r="MNB93" s="63" t="s">
        <v>882</v>
      </c>
      <c r="MNC93" s="60"/>
      <c r="MNR93" s="63" t="s">
        <v>882</v>
      </c>
      <c r="MNS93" s="60"/>
      <c r="MOH93" s="63" t="s">
        <v>882</v>
      </c>
      <c r="MOI93" s="60"/>
      <c r="MOX93" s="63" t="s">
        <v>882</v>
      </c>
      <c r="MOY93" s="60"/>
      <c r="MPN93" s="63" t="s">
        <v>882</v>
      </c>
      <c r="MPO93" s="60"/>
      <c r="MQD93" s="63" t="s">
        <v>882</v>
      </c>
      <c r="MQE93" s="60"/>
      <c r="MQT93" s="63" t="s">
        <v>882</v>
      </c>
      <c r="MQU93" s="60"/>
      <c r="MRJ93" s="63" t="s">
        <v>882</v>
      </c>
      <c r="MRK93" s="60"/>
      <c r="MRZ93" s="63" t="s">
        <v>882</v>
      </c>
      <c r="MSA93" s="60"/>
      <c r="MSP93" s="63" t="s">
        <v>882</v>
      </c>
      <c r="MSQ93" s="60"/>
      <c r="MTF93" s="63" t="s">
        <v>882</v>
      </c>
      <c r="MTG93" s="60"/>
      <c r="MTV93" s="63" t="s">
        <v>882</v>
      </c>
      <c r="MTW93" s="60"/>
      <c r="MUL93" s="63" t="s">
        <v>882</v>
      </c>
      <c r="MUM93" s="60"/>
      <c r="MVB93" s="63" t="s">
        <v>882</v>
      </c>
      <c r="MVC93" s="60"/>
      <c r="MVR93" s="63" t="s">
        <v>882</v>
      </c>
      <c r="MVS93" s="60"/>
      <c r="MWH93" s="63" t="s">
        <v>882</v>
      </c>
      <c r="MWI93" s="60"/>
      <c r="MWX93" s="63" t="s">
        <v>882</v>
      </c>
      <c r="MWY93" s="60"/>
      <c r="MXN93" s="63" t="s">
        <v>882</v>
      </c>
      <c r="MXO93" s="60"/>
      <c r="MYD93" s="63" t="s">
        <v>882</v>
      </c>
      <c r="MYE93" s="60"/>
      <c r="MYT93" s="63" t="s">
        <v>882</v>
      </c>
      <c r="MYU93" s="60"/>
      <c r="MZJ93" s="63" t="s">
        <v>882</v>
      </c>
      <c r="MZK93" s="60"/>
      <c r="MZZ93" s="63" t="s">
        <v>882</v>
      </c>
      <c r="NAA93" s="60"/>
      <c r="NAP93" s="63" t="s">
        <v>882</v>
      </c>
      <c r="NAQ93" s="60"/>
      <c r="NBF93" s="63" t="s">
        <v>882</v>
      </c>
      <c r="NBG93" s="60"/>
      <c r="NBV93" s="63" t="s">
        <v>882</v>
      </c>
      <c r="NBW93" s="60"/>
      <c r="NCL93" s="63" t="s">
        <v>882</v>
      </c>
      <c r="NCM93" s="60"/>
      <c r="NDB93" s="63" t="s">
        <v>882</v>
      </c>
      <c r="NDC93" s="60"/>
      <c r="NDR93" s="63" t="s">
        <v>882</v>
      </c>
      <c r="NDS93" s="60"/>
      <c r="NEH93" s="63" t="s">
        <v>882</v>
      </c>
      <c r="NEI93" s="60"/>
      <c r="NEX93" s="63" t="s">
        <v>882</v>
      </c>
      <c r="NEY93" s="60"/>
      <c r="NFN93" s="63" t="s">
        <v>882</v>
      </c>
      <c r="NFO93" s="60"/>
      <c r="NGD93" s="63" t="s">
        <v>882</v>
      </c>
      <c r="NGE93" s="60"/>
      <c r="NGT93" s="63" t="s">
        <v>882</v>
      </c>
      <c r="NGU93" s="60"/>
      <c r="NHJ93" s="63" t="s">
        <v>882</v>
      </c>
      <c r="NHK93" s="60"/>
      <c r="NHZ93" s="63" t="s">
        <v>882</v>
      </c>
      <c r="NIA93" s="60"/>
      <c r="NIP93" s="63" t="s">
        <v>882</v>
      </c>
      <c r="NIQ93" s="60"/>
      <c r="NJF93" s="63" t="s">
        <v>882</v>
      </c>
      <c r="NJG93" s="60"/>
      <c r="NJV93" s="63" t="s">
        <v>882</v>
      </c>
      <c r="NJW93" s="60"/>
      <c r="NKL93" s="63" t="s">
        <v>882</v>
      </c>
      <c r="NKM93" s="60"/>
      <c r="NLB93" s="63" t="s">
        <v>882</v>
      </c>
      <c r="NLC93" s="60"/>
      <c r="NLR93" s="63" t="s">
        <v>882</v>
      </c>
      <c r="NLS93" s="60"/>
      <c r="NMH93" s="63" t="s">
        <v>882</v>
      </c>
      <c r="NMI93" s="60"/>
      <c r="NMX93" s="63" t="s">
        <v>882</v>
      </c>
      <c r="NMY93" s="60"/>
      <c r="NNN93" s="63" t="s">
        <v>882</v>
      </c>
      <c r="NNO93" s="60"/>
      <c r="NOD93" s="63" t="s">
        <v>882</v>
      </c>
      <c r="NOE93" s="60"/>
      <c r="NOT93" s="63" t="s">
        <v>882</v>
      </c>
      <c r="NOU93" s="60"/>
      <c r="NPJ93" s="63" t="s">
        <v>882</v>
      </c>
      <c r="NPK93" s="60"/>
      <c r="NPZ93" s="63" t="s">
        <v>882</v>
      </c>
      <c r="NQA93" s="60"/>
      <c r="NQP93" s="63" t="s">
        <v>882</v>
      </c>
      <c r="NQQ93" s="60"/>
      <c r="NRF93" s="63" t="s">
        <v>882</v>
      </c>
      <c r="NRG93" s="60"/>
      <c r="NRV93" s="63" t="s">
        <v>882</v>
      </c>
      <c r="NRW93" s="60"/>
      <c r="NSL93" s="63" t="s">
        <v>882</v>
      </c>
      <c r="NSM93" s="60"/>
      <c r="NTB93" s="63" t="s">
        <v>882</v>
      </c>
      <c r="NTC93" s="60"/>
      <c r="NTR93" s="63" t="s">
        <v>882</v>
      </c>
      <c r="NTS93" s="60"/>
      <c r="NUH93" s="63" t="s">
        <v>882</v>
      </c>
      <c r="NUI93" s="60"/>
      <c r="NUX93" s="63" t="s">
        <v>882</v>
      </c>
      <c r="NUY93" s="60"/>
      <c r="NVN93" s="63" t="s">
        <v>882</v>
      </c>
      <c r="NVO93" s="60"/>
      <c r="NWD93" s="63" t="s">
        <v>882</v>
      </c>
      <c r="NWE93" s="60"/>
      <c r="NWT93" s="63" t="s">
        <v>882</v>
      </c>
      <c r="NWU93" s="60"/>
      <c r="NXJ93" s="63" t="s">
        <v>882</v>
      </c>
      <c r="NXK93" s="60"/>
      <c r="NXZ93" s="63" t="s">
        <v>882</v>
      </c>
      <c r="NYA93" s="60"/>
      <c r="NYP93" s="63" t="s">
        <v>882</v>
      </c>
      <c r="NYQ93" s="60"/>
      <c r="NZF93" s="63" t="s">
        <v>882</v>
      </c>
      <c r="NZG93" s="60"/>
      <c r="NZV93" s="63" t="s">
        <v>882</v>
      </c>
      <c r="NZW93" s="60"/>
      <c r="OAL93" s="63" t="s">
        <v>882</v>
      </c>
      <c r="OAM93" s="60"/>
      <c r="OBB93" s="63" t="s">
        <v>882</v>
      </c>
      <c r="OBC93" s="60"/>
      <c r="OBR93" s="63" t="s">
        <v>882</v>
      </c>
      <c r="OBS93" s="60"/>
      <c r="OCH93" s="63" t="s">
        <v>882</v>
      </c>
      <c r="OCI93" s="60"/>
      <c r="OCX93" s="63" t="s">
        <v>882</v>
      </c>
      <c r="OCY93" s="60"/>
      <c r="ODN93" s="63" t="s">
        <v>882</v>
      </c>
      <c r="ODO93" s="60"/>
      <c r="OED93" s="63" t="s">
        <v>882</v>
      </c>
      <c r="OEE93" s="60"/>
      <c r="OET93" s="63" t="s">
        <v>882</v>
      </c>
      <c r="OEU93" s="60"/>
      <c r="OFJ93" s="63" t="s">
        <v>882</v>
      </c>
      <c r="OFK93" s="60"/>
      <c r="OFZ93" s="63" t="s">
        <v>882</v>
      </c>
      <c r="OGA93" s="60"/>
      <c r="OGP93" s="63" t="s">
        <v>882</v>
      </c>
      <c r="OGQ93" s="60"/>
      <c r="OHF93" s="63" t="s">
        <v>882</v>
      </c>
      <c r="OHG93" s="60"/>
      <c r="OHV93" s="63" t="s">
        <v>882</v>
      </c>
      <c r="OHW93" s="60"/>
      <c r="OIL93" s="63" t="s">
        <v>882</v>
      </c>
      <c r="OIM93" s="60"/>
      <c r="OJB93" s="63" t="s">
        <v>882</v>
      </c>
      <c r="OJC93" s="60"/>
      <c r="OJR93" s="63" t="s">
        <v>882</v>
      </c>
      <c r="OJS93" s="60"/>
      <c r="OKH93" s="63" t="s">
        <v>882</v>
      </c>
      <c r="OKI93" s="60"/>
      <c r="OKX93" s="63" t="s">
        <v>882</v>
      </c>
      <c r="OKY93" s="60"/>
      <c r="OLN93" s="63" t="s">
        <v>882</v>
      </c>
      <c r="OLO93" s="60"/>
      <c r="OMD93" s="63" t="s">
        <v>882</v>
      </c>
      <c r="OME93" s="60"/>
      <c r="OMT93" s="63" t="s">
        <v>882</v>
      </c>
      <c r="OMU93" s="60"/>
      <c r="ONJ93" s="63" t="s">
        <v>882</v>
      </c>
      <c r="ONK93" s="60"/>
      <c r="ONZ93" s="63" t="s">
        <v>882</v>
      </c>
      <c r="OOA93" s="60"/>
      <c r="OOP93" s="63" t="s">
        <v>882</v>
      </c>
      <c r="OOQ93" s="60"/>
      <c r="OPF93" s="63" t="s">
        <v>882</v>
      </c>
      <c r="OPG93" s="60"/>
      <c r="OPV93" s="63" t="s">
        <v>882</v>
      </c>
      <c r="OPW93" s="60"/>
      <c r="OQL93" s="63" t="s">
        <v>882</v>
      </c>
      <c r="OQM93" s="60"/>
      <c r="ORB93" s="63" t="s">
        <v>882</v>
      </c>
      <c r="ORC93" s="60"/>
      <c r="ORR93" s="63" t="s">
        <v>882</v>
      </c>
      <c r="ORS93" s="60"/>
      <c r="OSH93" s="63" t="s">
        <v>882</v>
      </c>
      <c r="OSI93" s="60"/>
      <c r="OSX93" s="63" t="s">
        <v>882</v>
      </c>
      <c r="OSY93" s="60"/>
      <c r="OTN93" s="63" t="s">
        <v>882</v>
      </c>
      <c r="OTO93" s="60"/>
      <c r="OUD93" s="63" t="s">
        <v>882</v>
      </c>
      <c r="OUE93" s="60"/>
      <c r="OUT93" s="63" t="s">
        <v>882</v>
      </c>
      <c r="OUU93" s="60"/>
      <c r="OVJ93" s="63" t="s">
        <v>882</v>
      </c>
      <c r="OVK93" s="60"/>
      <c r="OVZ93" s="63" t="s">
        <v>882</v>
      </c>
      <c r="OWA93" s="60"/>
      <c r="OWP93" s="63" t="s">
        <v>882</v>
      </c>
      <c r="OWQ93" s="60"/>
      <c r="OXF93" s="63" t="s">
        <v>882</v>
      </c>
      <c r="OXG93" s="60"/>
      <c r="OXV93" s="63" t="s">
        <v>882</v>
      </c>
      <c r="OXW93" s="60"/>
      <c r="OYL93" s="63" t="s">
        <v>882</v>
      </c>
      <c r="OYM93" s="60"/>
      <c r="OZB93" s="63" t="s">
        <v>882</v>
      </c>
      <c r="OZC93" s="60"/>
      <c r="OZR93" s="63" t="s">
        <v>882</v>
      </c>
      <c r="OZS93" s="60"/>
      <c r="PAH93" s="63" t="s">
        <v>882</v>
      </c>
      <c r="PAI93" s="60"/>
      <c r="PAX93" s="63" t="s">
        <v>882</v>
      </c>
      <c r="PAY93" s="60"/>
      <c r="PBN93" s="63" t="s">
        <v>882</v>
      </c>
      <c r="PBO93" s="60"/>
      <c r="PCD93" s="63" t="s">
        <v>882</v>
      </c>
      <c r="PCE93" s="60"/>
      <c r="PCT93" s="63" t="s">
        <v>882</v>
      </c>
      <c r="PCU93" s="60"/>
      <c r="PDJ93" s="63" t="s">
        <v>882</v>
      </c>
      <c r="PDK93" s="60"/>
      <c r="PDZ93" s="63" t="s">
        <v>882</v>
      </c>
      <c r="PEA93" s="60"/>
      <c r="PEP93" s="63" t="s">
        <v>882</v>
      </c>
      <c r="PEQ93" s="60"/>
      <c r="PFF93" s="63" t="s">
        <v>882</v>
      </c>
      <c r="PFG93" s="60"/>
      <c r="PFV93" s="63" t="s">
        <v>882</v>
      </c>
      <c r="PFW93" s="60"/>
      <c r="PGL93" s="63" t="s">
        <v>882</v>
      </c>
      <c r="PGM93" s="60"/>
      <c r="PHB93" s="63" t="s">
        <v>882</v>
      </c>
      <c r="PHC93" s="60"/>
      <c r="PHR93" s="63" t="s">
        <v>882</v>
      </c>
      <c r="PHS93" s="60"/>
      <c r="PIH93" s="63" t="s">
        <v>882</v>
      </c>
      <c r="PII93" s="60"/>
      <c r="PIX93" s="63" t="s">
        <v>882</v>
      </c>
      <c r="PIY93" s="60"/>
      <c r="PJN93" s="63" t="s">
        <v>882</v>
      </c>
      <c r="PJO93" s="60"/>
      <c r="PKD93" s="63" t="s">
        <v>882</v>
      </c>
      <c r="PKE93" s="60"/>
      <c r="PKT93" s="63" t="s">
        <v>882</v>
      </c>
      <c r="PKU93" s="60"/>
      <c r="PLJ93" s="63" t="s">
        <v>882</v>
      </c>
      <c r="PLK93" s="60"/>
      <c r="PLZ93" s="63" t="s">
        <v>882</v>
      </c>
      <c r="PMA93" s="60"/>
      <c r="PMP93" s="63" t="s">
        <v>882</v>
      </c>
      <c r="PMQ93" s="60"/>
      <c r="PNF93" s="63" t="s">
        <v>882</v>
      </c>
      <c r="PNG93" s="60"/>
      <c r="PNV93" s="63" t="s">
        <v>882</v>
      </c>
      <c r="PNW93" s="60"/>
      <c r="POL93" s="63" t="s">
        <v>882</v>
      </c>
      <c r="POM93" s="60"/>
      <c r="PPB93" s="63" t="s">
        <v>882</v>
      </c>
      <c r="PPC93" s="60"/>
      <c r="PPR93" s="63" t="s">
        <v>882</v>
      </c>
      <c r="PPS93" s="60"/>
      <c r="PQH93" s="63" t="s">
        <v>882</v>
      </c>
      <c r="PQI93" s="60"/>
      <c r="PQX93" s="63" t="s">
        <v>882</v>
      </c>
      <c r="PQY93" s="60"/>
      <c r="PRN93" s="63" t="s">
        <v>882</v>
      </c>
      <c r="PRO93" s="60"/>
      <c r="PSD93" s="63" t="s">
        <v>882</v>
      </c>
      <c r="PSE93" s="60"/>
      <c r="PST93" s="63" t="s">
        <v>882</v>
      </c>
      <c r="PSU93" s="60"/>
      <c r="PTJ93" s="63" t="s">
        <v>882</v>
      </c>
      <c r="PTK93" s="60"/>
      <c r="PTZ93" s="63" t="s">
        <v>882</v>
      </c>
      <c r="PUA93" s="60"/>
      <c r="PUP93" s="63" t="s">
        <v>882</v>
      </c>
      <c r="PUQ93" s="60"/>
      <c r="PVF93" s="63" t="s">
        <v>882</v>
      </c>
      <c r="PVG93" s="60"/>
      <c r="PVV93" s="63" t="s">
        <v>882</v>
      </c>
      <c r="PVW93" s="60"/>
      <c r="PWL93" s="63" t="s">
        <v>882</v>
      </c>
      <c r="PWM93" s="60"/>
      <c r="PXB93" s="63" t="s">
        <v>882</v>
      </c>
      <c r="PXC93" s="60"/>
      <c r="PXR93" s="63" t="s">
        <v>882</v>
      </c>
      <c r="PXS93" s="60"/>
      <c r="PYH93" s="63" t="s">
        <v>882</v>
      </c>
      <c r="PYI93" s="60"/>
      <c r="PYX93" s="63" t="s">
        <v>882</v>
      </c>
      <c r="PYY93" s="60"/>
      <c r="PZN93" s="63" t="s">
        <v>882</v>
      </c>
      <c r="PZO93" s="60"/>
      <c r="QAD93" s="63" t="s">
        <v>882</v>
      </c>
      <c r="QAE93" s="60"/>
      <c r="QAT93" s="63" t="s">
        <v>882</v>
      </c>
      <c r="QAU93" s="60"/>
      <c r="QBJ93" s="63" t="s">
        <v>882</v>
      </c>
      <c r="QBK93" s="60"/>
      <c r="QBZ93" s="63" t="s">
        <v>882</v>
      </c>
      <c r="QCA93" s="60"/>
      <c r="QCP93" s="63" t="s">
        <v>882</v>
      </c>
      <c r="QCQ93" s="60"/>
      <c r="QDF93" s="63" t="s">
        <v>882</v>
      </c>
      <c r="QDG93" s="60"/>
      <c r="QDV93" s="63" t="s">
        <v>882</v>
      </c>
      <c r="QDW93" s="60"/>
      <c r="QEL93" s="63" t="s">
        <v>882</v>
      </c>
      <c r="QEM93" s="60"/>
      <c r="QFB93" s="63" t="s">
        <v>882</v>
      </c>
      <c r="QFC93" s="60"/>
      <c r="QFR93" s="63" t="s">
        <v>882</v>
      </c>
      <c r="QFS93" s="60"/>
      <c r="QGH93" s="63" t="s">
        <v>882</v>
      </c>
      <c r="QGI93" s="60"/>
      <c r="QGX93" s="63" t="s">
        <v>882</v>
      </c>
      <c r="QGY93" s="60"/>
      <c r="QHN93" s="63" t="s">
        <v>882</v>
      </c>
      <c r="QHO93" s="60"/>
      <c r="QID93" s="63" t="s">
        <v>882</v>
      </c>
      <c r="QIE93" s="60"/>
      <c r="QIT93" s="63" t="s">
        <v>882</v>
      </c>
      <c r="QIU93" s="60"/>
      <c r="QJJ93" s="63" t="s">
        <v>882</v>
      </c>
      <c r="QJK93" s="60"/>
      <c r="QJZ93" s="63" t="s">
        <v>882</v>
      </c>
      <c r="QKA93" s="60"/>
      <c r="QKP93" s="63" t="s">
        <v>882</v>
      </c>
      <c r="QKQ93" s="60"/>
      <c r="QLF93" s="63" t="s">
        <v>882</v>
      </c>
      <c r="QLG93" s="60"/>
      <c r="QLV93" s="63" t="s">
        <v>882</v>
      </c>
      <c r="QLW93" s="60"/>
      <c r="QML93" s="63" t="s">
        <v>882</v>
      </c>
      <c r="QMM93" s="60"/>
      <c r="QNB93" s="63" t="s">
        <v>882</v>
      </c>
      <c r="QNC93" s="60"/>
      <c r="QNR93" s="63" t="s">
        <v>882</v>
      </c>
      <c r="QNS93" s="60"/>
      <c r="QOH93" s="63" t="s">
        <v>882</v>
      </c>
      <c r="QOI93" s="60"/>
      <c r="QOX93" s="63" t="s">
        <v>882</v>
      </c>
      <c r="QOY93" s="60"/>
      <c r="QPN93" s="63" t="s">
        <v>882</v>
      </c>
      <c r="QPO93" s="60"/>
      <c r="QQD93" s="63" t="s">
        <v>882</v>
      </c>
      <c r="QQE93" s="60"/>
      <c r="QQT93" s="63" t="s">
        <v>882</v>
      </c>
      <c r="QQU93" s="60"/>
      <c r="QRJ93" s="63" t="s">
        <v>882</v>
      </c>
      <c r="QRK93" s="60"/>
      <c r="QRZ93" s="63" t="s">
        <v>882</v>
      </c>
      <c r="QSA93" s="60"/>
      <c r="QSP93" s="63" t="s">
        <v>882</v>
      </c>
      <c r="QSQ93" s="60"/>
      <c r="QTF93" s="63" t="s">
        <v>882</v>
      </c>
      <c r="QTG93" s="60"/>
      <c r="QTV93" s="63" t="s">
        <v>882</v>
      </c>
      <c r="QTW93" s="60"/>
      <c r="QUL93" s="63" t="s">
        <v>882</v>
      </c>
      <c r="QUM93" s="60"/>
      <c r="QVB93" s="63" t="s">
        <v>882</v>
      </c>
      <c r="QVC93" s="60"/>
      <c r="QVR93" s="63" t="s">
        <v>882</v>
      </c>
      <c r="QVS93" s="60"/>
      <c r="QWH93" s="63" t="s">
        <v>882</v>
      </c>
      <c r="QWI93" s="60"/>
      <c r="QWX93" s="63" t="s">
        <v>882</v>
      </c>
      <c r="QWY93" s="60"/>
      <c r="QXN93" s="63" t="s">
        <v>882</v>
      </c>
      <c r="QXO93" s="60"/>
      <c r="QYD93" s="63" t="s">
        <v>882</v>
      </c>
      <c r="QYE93" s="60"/>
      <c r="QYT93" s="63" t="s">
        <v>882</v>
      </c>
      <c r="QYU93" s="60"/>
      <c r="QZJ93" s="63" t="s">
        <v>882</v>
      </c>
      <c r="QZK93" s="60"/>
      <c r="QZZ93" s="63" t="s">
        <v>882</v>
      </c>
      <c r="RAA93" s="60"/>
      <c r="RAP93" s="63" t="s">
        <v>882</v>
      </c>
      <c r="RAQ93" s="60"/>
      <c r="RBF93" s="63" t="s">
        <v>882</v>
      </c>
      <c r="RBG93" s="60"/>
      <c r="RBV93" s="63" t="s">
        <v>882</v>
      </c>
      <c r="RBW93" s="60"/>
      <c r="RCL93" s="63" t="s">
        <v>882</v>
      </c>
      <c r="RCM93" s="60"/>
      <c r="RDB93" s="63" t="s">
        <v>882</v>
      </c>
      <c r="RDC93" s="60"/>
      <c r="RDR93" s="63" t="s">
        <v>882</v>
      </c>
      <c r="RDS93" s="60"/>
      <c r="REH93" s="63" t="s">
        <v>882</v>
      </c>
      <c r="REI93" s="60"/>
      <c r="REX93" s="63" t="s">
        <v>882</v>
      </c>
      <c r="REY93" s="60"/>
      <c r="RFN93" s="63" t="s">
        <v>882</v>
      </c>
      <c r="RFO93" s="60"/>
      <c r="RGD93" s="63" t="s">
        <v>882</v>
      </c>
      <c r="RGE93" s="60"/>
      <c r="RGT93" s="63" t="s">
        <v>882</v>
      </c>
      <c r="RGU93" s="60"/>
      <c r="RHJ93" s="63" t="s">
        <v>882</v>
      </c>
      <c r="RHK93" s="60"/>
      <c r="RHZ93" s="63" t="s">
        <v>882</v>
      </c>
      <c r="RIA93" s="60"/>
      <c r="RIP93" s="63" t="s">
        <v>882</v>
      </c>
      <c r="RIQ93" s="60"/>
      <c r="RJF93" s="63" t="s">
        <v>882</v>
      </c>
      <c r="RJG93" s="60"/>
      <c r="RJV93" s="63" t="s">
        <v>882</v>
      </c>
      <c r="RJW93" s="60"/>
      <c r="RKL93" s="63" t="s">
        <v>882</v>
      </c>
      <c r="RKM93" s="60"/>
      <c r="RLB93" s="63" t="s">
        <v>882</v>
      </c>
      <c r="RLC93" s="60"/>
      <c r="RLR93" s="63" t="s">
        <v>882</v>
      </c>
      <c r="RLS93" s="60"/>
      <c r="RMH93" s="63" t="s">
        <v>882</v>
      </c>
      <c r="RMI93" s="60"/>
      <c r="RMX93" s="63" t="s">
        <v>882</v>
      </c>
      <c r="RMY93" s="60"/>
      <c r="RNN93" s="63" t="s">
        <v>882</v>
      </c>
      <c r="RNO93" s="60"/>
      <c r="ROD93" s="63" t="s">
        <v>882</v>
      </c>
      <c r="ROE93" s="60"/>
      <c r="ROT93" s="63" t="s">
        <v>882</v>
      </c>
      <c r="ROU93" s="60"/>
      <c r="RPJ93" s="63" t="s">
        <v>882</v>
      </c>
      <c r="RPK93" s="60"/>
      <c r="RPZ93" s="63" t="s">
        <v>882</v>
      </c>
      <c r="RQA93" s="60"/>
      <c r="RQP93" s="63" t="s">
        <v>882</v>
      </c>
      <c r="RQQ93" s="60"/>
      <c r="RRF93" s="63" t="s">
        <v>882</v>
      </c>
      <c r="RRG93" s="60"/>
      <c r="RRV93" s="63" t="s">
        <v>882</v>
      </c>
      <c r="RRW93" s="60"/>
      <c r="RSL93" s="63" t="s">
        <v>882</v>
      </c>
      <c r="RSM93" s="60"/>
      <c r="RTB93" s="63" t="s">
        <v>882</v>
      </c>
      <c r="RTC93" s="60"/>
      <c r="RTR93" s="63" t="s">
        <v>882</v>
      </c>
      <c r="RTS93" s="60"/>
      <c r="RUH93" s="63" t="s">
        <v>882</v>
      </c>
      <c r="RUI93" s="60"/>
      <c r="RUX93" s="63" t="s">
        <v>882</v>
      </c>
      <c r="RUY93" s="60"/>
      <c r="RVN93" s="63" t="s">
        <v>882</v>
      </c>
      <c r="RVO93" s="60"/>
      <c r="RWD93" s="63" t="s">
        <v>882</v>
      </c>
      <c r="RWE93" s="60"/>
      <c r="RWT93" s="63" t="s">
        <v>882</v>
      </c>
      <c r="RWU93" s="60"/>
      <c r="RXJ93" s="63" t="s">
        <v>882</v>
      </c>
      <c r="RXK93" s="60"/>
      <c r="RXZ93" s="63" t="s">
        <v>882</v>
      </c>
      <c r="RYA93" s="60"/>
      <c r="RYP93" s="63" t="s">
        <v>882</v>
      </c>
      <c r="RYQ93" s="60"/>
      <c r="RZF93" s="63" t="s">
        <v>882</v>
      </c>
      <c r="RZG93" s="60"/>
      <c r="RZV93" s="63" t="s">
        <v>882</v>
      </c>
      <c r="RZW93" s="60"/>
      <c r="SAL93" s="63" t="s">
        <v>882</v>
      </c>
      <c r="SAM93" s="60"/>
      <c r="SBB93" s="63" t="s">
        <v>882</v>
      </c>
      <c r="SBC93" s="60"/>
      <c r="SBR93" s="63" t="s">
        <v>882</v>
      </c>
      <c r="SBS93" s="60"/>
      <c r="SCH93" s="63" t="s">
        <v>882</v>
      </c>
      <c r="SCI93" s="60"/>
      <c r="SCX93" s="63" t="s">
        <v>882</v>
      </c>
      <c r="SCY93" s="60"/>
      <c r="SDN93" s="63" t="s">
        <v>882</v>
      </c>
      <c r="SDO93" s="60"/>
      <c r="SED93" s="63" t="s">
        <v>882</v>
      </c>
      <c r="SEE93" s="60"/>
      <c r="SET93" s="63" t="s">
        <v>882</v>
      </c>
      <c r="SEU93" s="60"/>
      <c r="SFJ93" s="63" t="s">
        <v>882</v>
      </c>
      <c r="SFK93" s="60"/>
      <c r="SFZ93" s="63" t="s">
        <v>882</v>
      </c>
      <c r="SGA93" s="60"/>
      <c r="SGP93" s="63" t="s">
        <v>882</v>
      </c>
      <c r="SGQ93" s="60"/>
      <c r="SHF93" s="63" t="s">
        <v>882</v>
      </c>
      <c r="SHG93" s="60"/>
      <c r="SHV93" s="63" t="s">
        <v>882</v>
      </c>
      <c r="SHW93" s="60"/>
      <c r="SIL93" s="63" t="s">
        <v>882</v>
      </c>
      <c r="SIM93" s="60"/>
      <c r="SJB93" s="63" t="s">
        <v>882</v>
      </c>
      <c r="SJC93" s="60"/>
      <c r="SJR93" s="63" t="s">
        <v>882</v>
      </c>
      <c r="SJS93" s="60"/>
      <c r="SKH93" s="63" t="s">
        <v>882</v>
      </c>
      <c r="SKI93" s="60"/>
      <c r="SKX93" s="63" t="s">
        <v>882</v>
      </c>
      <c r="SKY93" s="60"/>
      <c r="SLN93" s="63" t="s">
        <v>882</v>
      </c>
      <c r="SLO93" s="60"/>
      <c r="SMD93" s="63" t="s">
        <v>882</v>
      </c>
      <c r="SME93" s="60"/>
      <c r="SMT93" s="63" t="s">
        <v>882</v>
      </c>
      <c r="SMU93" s="60"/>
      <c r="SNJ93" s="63" t="s">
        <v>882</v>
      </c>
      <c r="SNK93" s="60"/>
      <c r="SNZ93" s="63" t="s">
        <v>882</v>
      </c>
      <c r="SOA93" s="60"/>
      <c r="SOP93" s="63" t="s">
        <v>882</v>
      </c>
      <c r="SOQ93" s="60"/>
      <c r="SPF93" s="63" t="s">
        <v>882</v>
      </c>
      <c r="SPG93" s="60"/>
      <c r="SPV93" s="63" t="s">
        <v>882</v>
      </c>
      <c r="SPW93" s="60"/>
      <c r="SQL93" s="63" t="s">
        <v>882</v>
      </c>
      <c r="SQM93" s="60"/>
      <c r="SRB93" s="63" t="s">
        <v>882</v>
      </c>
      <c r="SRC93" s="60"/>
      <c r="SRR93" s="63" t="s">
        <v>882</v>
      </c>
      <c r="SRS93" s="60"/>
      <c r="SSH93" s="63" t="s">
        <v>882</v>
      </c>
      <c r="SSI93" s="60"/>
      <c r="SSX93" s="63" t="s">
        <v>882</v>
      </c>
      <c r="SSY93" s="60"/>
      <c r="STN93" s="63" t="s">
        <v>882</v>
      </c>
      <c r="STO93" s="60"/>
      <c r="SUD93" s="63" t="s">
        <v>882</v>
      </c>
      <c r="SUE93" s="60"/>
      <c r="SUT93" s="63" t="s">
        <v>882</v>
      </c>
      <c r="SUU93" s="60"/>
      <c r="SVJ93" s="63" t="s">
        <v>882</v>
      </c>
      <c r="SVK93" s="60"/>
      <c r="SVZ93" s="63" t="s">
        <v>882</v>
      </c>
      <c r="SWA93" s="60"/>
      <c r="SWP93" s="63" t="s">
        <v>882</v>
      </c>
      <c r="SWQ93" s="60"/>
      <c r="SXF93" s="63" t="s">
        <v>882</v>
      </c>
      <c r="SXG93" s="60"/>
      <c r="SXV93" s="63" t="s">
        <v>882</v>
      </c>
      <c r="SXW93" s="60"/>
      <c r="SYL93" s="63" t="s">
        <v>882</v>
      </c>
      <c r="SYM93" s="60"/>
      <c r="SZB93" s="63" t="s">
        <v>882</v>
      </c>
      <c r="SZC93" s="60"/>
      <c r="SZR93" s="63" t="s">
        <v>882</v>
      </c>
      <c r="SZS93" s="60"/>
      <c r="TAH93" s="63" t="s">
        <v>882</v>
      </c>
      <c r="TAI93" s="60"/>
      <c r="TAX93" s="63" t="s">
        <v>882</v>
      </c>
      <c r="TAY93" s="60"/>
      <c r="TBN93" s="63" t="s">
        <v>882</v>
      </c>
      <c r="TBO93" s="60"/>
      <c r="TCD93" s="63" t="s">
        <v>882</v>
      </c>
      <c r="TCE93" s="60"/>
      <c r="TCT93" s="63" t="s">
        <v>882</v>
      </c>
      <c r="TCU93" s="60"/>
      <c r="TDJ93" s="63" t="s">
        <v>882</v>
      </c>
      <c r="TDK93" s="60"/>
      <c r="TDZ93" s="63" t="s">
        <v>882</v>
      </c>
      <c r="TEA93" s="60"/>
      <c r="TEP93" s="63" t="s">
        <v>882</v>
      </c>
      <c r="TEQ93" s="60"/>
      <c r="TFF93" s="63" t="s">
        <v>882</v>
      </c>
      <c r="TFG93" s="60"/>
      <c r="TFV93" s="63" t="s">
        <v>882</v>
      </c>
      <c r="TFW93" s="60"/>
      <c r="TGL93" s="63" t="s">
        <v>882</v>
      </c>
      <c r="TGM93" s="60"/>
      <c r="THB93" s="63" t="s">
        <v>882</v>
      </c>
      <c r="THC93" s="60"/>
      <c r="THR93" s="63" t="s">
        <v>882</v>
      </c>
      <c r="THS93" s="60"/>
      <c r="TIH93" s="63" t="s">
        <v>882</v>
      </c>
      <c r="TII93" s="60"/>
      <c r="TIX93" s="63" t="s">
        <v>882</v>
      </c>
      <c r="TIY93" s="60"/>
      <c r="TJN93" s="63" t="s">
        <v>882</v>
      </c>
      <c r="TJO93" s="60"/>
      <c r="TKD93" s="63" t="s">
        <v>882</v>
      </c>
      <c r="TKE93" s="60"/>
      <c r="TKT93" s="63" t="s">
        <v>882</v>
      </c>
      <c r="TKU93" s="60"/>
      <c r="TLJ93" s="63" t="s">
        <v>882</v>
      </c>
      <c r="TLK93" s="60"/>
      <c r="TLZ93" s="63" t="s">
        <v>882</v>
      </c>
      <c r="TMA93" s="60"/>
      <c r="TMP93" s="63" t="s">
        <v>882</v>
      </c>
      <c r="TMQ93" s="60"/>
      <c r="TNF93" s="63" t="s">
        <v>882</v>
      </c>
      <c r="TNG93" s="60"/>
      <c r="TNV93" s="63" t="s">
        <v>882</v>
      </c>
      <c r="TNW93" s="60"/>
      <c r="TOL93" s="63" t="s">
        <v>882</v>
      </c>
      <c r="TOM93" s="60"/>
      <c r="TPB93" s="63" t="s">
        <v>882</v>
      </c>
      <c r="TPC93" s="60"/>
      <c r="TPR93" s="63" t="s">
        <v>882</v>
      </c>
      <c r="TPS93" s="60"/>
      <c r="TQH93" s="63" t="s">
        <v>882</v>
      </c>
      <c r="TQI93" s="60"/>
      <c r="TQX93" s="63" t="s">
        <v>882</v>
      </c>
      <c r="TQY93" s="60"/>
      <c r="TRN93" s="63" t="s">
        <v>882</v>
      </c>
      <c r="TRO93" s="60"/>
      <c r="TSD93" s="63" t="s">
        <v>882</v>
      </c>
      <c r="TSE93" s="60"/>
      <c r="TST93" s="63" t="s">
        <v>882</v>
      </c>
      <c r="TSU93" s="60"/>
      <c r="TTJ93" s="63" t="s">
        <v>882</v>
      </c>
      <c r="TTK93" s="60"/>
      <c r="TTZ93" s="63" t="s">
        <v>882</v>
      </c>
      <c r="TUA93" s="60"/>
      <c r="TUP93" s="63" t="s">
        <v>882</v>
      </c>
      <c r="TUQ93" s="60"/>
      <c r="TVF93" s="63" t="s">
        <v>882</v>
      </c>
      <c r="TVG93" s="60"/>
      <c r="TVV93" s="63" t="s">
        <v>882</v>
      </c>
      <c r="TVW93" s="60"/>
      <c r="TWL93" s="63" t="s">
        <v>882</v>
      </c>
      <c r="TWM93" s="60"/>
      <c r="TXB93" s="63" t="s">
        <v>882</v>
      </c>
      <c r="TXC93" s="60"/>
      <c r="TXR93" s="63" t="s">
        <v>882</v>
      </c>
      <c r="TXS93" s="60"/>
      <c r="TYH93" s="63" t="s">
        <v>882</v>
      </c>
      <c r="TYI93" s="60"/>
      <c r="TYX93" s="63" t="s">
        <v>882</v>
      </c>
      <c r="TYY93" s="60"/>
      <c r="TZN93" s="63" t="s">
        <v>882</v>
      </c>
      <c r="TZO93" s="60"/>
      <c r="UAD93" s="63" t="s">
        <v>882</v>
      </c>
      <c r="UAE93" s="60"/>
      <c r="UAT93" s="63" t="s">
        <v>882</v>
      </c>
      <c r="UAU93" s="60"/>
      <c r="UBJ93" s="63" t="s">
        <v>882</v>
      </c>
      <c r="UBK93" s="60"/>
      <c r="UBZ93" s="63" t="s">
        <v>882</v>
      </c>
      <c r="UCA93" s="60"/>
      <c r="UCP93" s="63" t="s">
        <v>882</v>
      </c>
      <c r="UCQ93" s="60"/>
      <c r="UDF93" s="63" t="s">
        <v>882</v>
      </c>
      <c r="UDG93" s="60"/>
      <c r="UDV93" s="63" t="s">
        <v>882</v>
      </c>
      <c r="UDW93" s="60"/>
      <c r="UEL93" s="63" t="s">
        <v>882</v>
      </c>
      <c r="UEM93" s="60"/>
      <c r="UFB93" s="63" t="s">
        <v>882</v>
      </c>
      <c r="UFC93" s="60"/>
      <c r="UFR93" s="63" t="s">
        <v>882</v>
      </c>
      <c r="UFS93" s="60"/>
      <c r="UGH93" s="63" t="s">
        <v>882</v>
      </c>
      <c r="UGI93" s="60"/>
      <c r="UGX93" s="63" t="s">
        <v>882</v>
      </c>
      <c r="UGY93" s="60"/>
      <c r="UHN93" s="63" t="s">
        <v>882</v>
      </c>
      <c r="UHO93" s="60"/>
      <c r="UID93" s="63" t="s">
        <v>882</v>
      </c>
      <c r="UIE93" s="60"/>
      <c r="UIT93" s="63" t="s">
        <v>882</v>
      </c>
      <c r="UIU93" s="60"/>
      <c r="UJJ93" s="63" t="s">
        <v>882</v>
      </c>
      <c r="UJK93" s="60"/>
      <c r="UJZ93" s="63" t="s">
        <v>882</v>
      </c>
      <c r="UKA93" s="60"/>
      <c r="UKP93" s="63" t="s">
        <v>882</v>
      </c>
      <c r="UKQ93" s="60"/>
      <c r="ULF93" s="63" t="s">
        <v>882</v>
      </c>
      <c r="ULG93" s="60"/>
      <c r="ULV93" s="63" t="s">
        <v>882</v>
      </c>
      <c r="ULW93" s="60"/>
      <c r="UML93" s="63" t="s">
        <v>882</v>
      </c>
      <c r="UMM93" s="60"/>
      <c r="UNB93" s="63" t="s">
        <v>882</v>
      </c>
      <c r="UNC93" s="60"/>
      <c r="UNR93" s="63" t="s">
        <v>882</v>
      </c>
      <c r="UNS93" s="60"/>
      <c r="UOH93" s="63" t="s">
        <v>882</v>
      </c>
      <c r="UOI93" s="60"/>
      <c r="UOX93" s="63" t="s">
        <v>882</v>
      </c>
      <c r="UOY93" s="60"/>
      <c r="UPN93" s="63" t="s">
        <v>882</v>
      </c>
      <c r="UPO93" s="60"/>
      <c r="UQD93" s="63" t="s">
        <v>882</v>
      </c>
      <c r="UQE93" s="60"/>
      <c r="UQT93" s="63" t="s">
        <v>882</v>
      </c>
      <c r="UQU93" s="60"/>
      <c r="URJ93" s="63" t="s">
        <v>882</v>
      </c>
      <c r="URK93" s="60"/>
      <c r="URZ93" s="63" t="s">
        <v>882</v>
      </c>
      <c r="USA93" s="60"/>
      <c r="USP93" s="63" t="s">
        <v>882</v>
      </c>
      <c r="USQ93" s="60"/>
      <c r="UTF93" s="63" t="s">
        <v>882</v>
      </c>
      <c r="UTG93" s="60"/>
      <c r="UTV93" s="63" t="s">
        <v>882</v>
      </c>
      <c r="UTW93" s="60"/>
      <c r="UUL93" s="63" t="s">
        <v>882</v>
      </c>
      <c r="UUM93" s="60"/>
      <c r="UVB93" s="63" t="s">
        <v>882</v>
      </c>
      <c r="UVC93" s="60"/>
      <c r="UVR93" s="63" t="s">
        <v>882</v>
      </c>
      <c r="UVS93" s="60"/>
      <c r="UWH93" s="63" t="s">
        <v>882</v>
      </c>
      <c r="UWI93" s="60"/>
      <c r="UWX93" s="63" t="s">
        <v>882</v>
      </c>
      <c r="UWY93" s="60"/>
      <c r="UXN93" s="63" t="s">
        <v>882</v>
      </c>
      <c r="UXO93" s="60"/>
      <c r="UYD93" s="63" t="s">
        <v>882</v>
      </c>
      <c r="UYE93" s="60"/>
      <c r="UYT93" s="63" t="s">
        <v>882</v>
      </c>
      <c r="UYU93" s="60"/>
      <c r="UZJ93" s="63" t="s">
        <v>882</v>
      </c>
      <c r="UZK93" s="60"/>
      <c r="UZZ93" s="63" t="s">
        <v>882</v>
      </c>
      <c r="VAA93" s="60"/>
      <c r="VAP93" s="63" t="s">
        <v>882</v>
      </c>
      <c r="VAQ93" s="60"/>
      <c r="VBF93" s="63" t="s">
        <v>882</v>
      </c>
      <c r="VBG93" s="60"/>
      <c r="VBV93" s="63" t="s">
        <v>882</v>
      </c>
      <c r="VBW93" s="60"/>
      <c r="VCL93" s="63" t="s">
        <v>882</v>
      </c>
      <c r="VCM93" s="60"/>
      <c r="VDB93" s="63" t="s">
        <v>882</v>
      </c>
      <c r="VDC93" s="60"/>
      <c r="VDR93" s="63" t="s">
        <v>882</v>
      </c>
      <c r="VDS93" s="60"/>
      <c r="VEH93" s="63" t="s">
        <v>882</v>
      </c>
      <c r="VEI93" s="60"/>
      <c r="VEX93" s="63" t="s">
        <v>882</v>
      </c>
      <c r="VEY93" s="60"/>
      <c r="VFN93" s="63" t="s">
        <v>882</v>
      </c>
      <c r="VFO93" s="60"/>
      <c r="VGD93" s="63" t="s">
        <v>882</v>
      </c>
      <c r="VGE93" s="60"/>
      <c r="VGT93" s="63" t="s">
        <v>882</v>
      </c>
      <c r="VGU93" s="60"/>
      <c r="VHJ93" s="63" t="s">
        <v>882</v>
      </c>
      <c r="VHK93" s="60"/>
      <c r="VHZ93" s="63" t="s">
        <v>882</v>
      </c>
      <c r="VIA93" s="60"/>
      <c r="VIP93" s="63" t="s">
        <v>882</v>
      </c>
      <c r="VIQ93" s="60"/>
      <c r="VJF93" s="63" t="s">
        <v>882</v>
      </c>
      <c r="VJG93" s="60"/>
      <c r="VJV93" s="63" t="s">
        <v>882</v>
      </c>
      <c r="VJW93" s="60"/>
      <c r="VKL93" s="63" t="s">
        <v>882</v>
      </c>
      <c r="VKM93" s="60"/>
      <c r="VLB93" s="63" t="s">
        <v>882</v>
      </c>
      <c r="VLC93" s="60"/>
      <c r="VLR93" s="63" t="s">
        <v>882</v>
      </c>
      <c r="VLS93" s="60"/>
      <c r="VMH93" s="63" t="s">
        <v>882</v>
      </c>
      <c r="VMI93" s="60"/>
      <c r="VMX93" s="63" t="s">
        <v>882</v>
      </c>
      <c r="VMY93" s="60"/>
      <c r="VNN93" s="63" t="s">
        <v>882</v>
      </c>
      <c r="VNO93" s="60"/>
      <c r="VOD93" s="63" t="s">
        <v>882</v>
      </c>
      <c r="VOE93" s="60"/>
      <c r="VOT93" s="63" t="s">
        <v>882</v>
      </c>
      <c r="VOU93" s="60"/>
      <c r="VPJ93" s="63" t="s">
        <v>882</v>
      </c>
      <c r="VPK93" s="60"/>
      <c r="VPZ93" s="63" t="s">
        <v>882</v>
      </c>
      <c r="VQA93" s="60"/>
      <c r="VQP93" s="63" t="s">
        <v>882</v>
      </c>
      <c r="VQQ93" s="60"/>
      <c r="VRF93" s="63" t="s">
        <v>882</v>
      </c>
      <c r="VRG93" s="60"/>
      <c r="VRV93" s="63" t="s">
        <v>882</v>
      </c>
      <c r="VRW93" s="60"/>
      <c r="VSL93" s="63" t="s">
        <v>882</v>
      </c>
      <c r="VSM93" s="60"/>
      <c r="VTB93" s="63" t="s">
        <v>882</v>
      </c>
      <c r="VTC93" s="60"/>
      <c r="VTR93" s="63" t="s">
        <v>882</v>
      </c>
      <c r="VTS93" s="60"/>
      <c r="VUH93" s="63" t="s">
        <v>882</v>
      </c>
      <c r="VUI93" s="60"/>
      <c r="VUX93" s="63" t="s">
        <v>882</v>
      </c>
      <c r="VUY93" s="60"/>
      <c r="VVN93" s="63" t="s">
        <v>882</v>
      </c>
      <c r="VVO93" s="60"/>
      <c r="VWD93" s="63" t="s">
        <v>882</v>
      </c>
      <c r="VWE93" s="60"/>
      <c r="VWT93" s="63" t="s">
        <v>882</v>
      </c>
      <c r="VWU93" s="60"/>
      <c r="VXJ93" s="63" t="s">
        <v>882</v>
      </c>
      <c r="VXK93" s="60"/>
      <c r="VXZ93" s="63" t="s">
        <v>882</v>
      </c>
      <c r="VYA93" s="60"/>
      <c r="VYP93" s="63" t="s">
        <v>882</v>
      </c>
      <c r="VYQ93" s="60"/>
      <c r="VZF93" s="63" t="s">
        <v>882</v>
      </c>
      <c r="VZG93" s="60"/>
      <c r="VZV93" s="63" t="s">
        <v>882</v>
      </c>
      <c r="VZW93" s="60"/>
      <c r="WAL93" s="63" t="s">
        <v>882</v>
      </c>
      <c r="WAM93" s="60"/>
      <c r="WBB93" s="63" t="s">
        <v>882</v>
      </c>
      <c r="WBC93" s="60"/>
      <c r="WBR93" s="63" t="s">
        <v>882</v>
      </c>
      <c r="WBS93" s="60"/>
      <c r="WCH93" s="63" t="s">
        <v>882</v>
      </c>
      <c r="WCI93" s="60"/>
      <c r="WCX93" s="63" t="s">
        <v>882</v>
      </c>
      <c r="WCY93" s="60"/>
      <c r="WDN93" s="63" t="s">
        <v>882</v>
      </c>
      <c r="WDO93" s="60"/>
      <c r="WED93" s="63" t="s">
        <v>882</v>
      </c>
      <c r="WEE93" s="60"/>
      <c r="WET93" s="63" t="s">
        <v>882</v>
      </c>
      <c r="WEU93" s="60"/>
      <c r="WFJ93" s="63" t="s">
        <v>882</v>
      </c>
      <c r="WFK93" s="60"/>
      <c r="WFZ93" s="63" t="s">
        <v>882</v>
      </c>
      <c r="WGA93" s="60"/>
      <c r="WGP93" s="63" t="s">
        <v>882</v>
      </c>
      <c r="WGQ93" s="60"/>
      <c r="WHF93" s="63" t="s">
        <v>882</v>
      </c>
      <c r="WHG93" s="60"/>
      <c r="WHV93" s="63" t="s">
        <v>882</v>
      </c>
      <c r="WHW93" s="60"/>
      <c r="WIL93" s="63" t="s">
        <v>882</v>
      </c>
      <c r="WIM93" s="60"/>
      <c r="WJB93" s="63" t="s">
        <v>882</v>
      </c>
      <c r="WJC93" s="60"/>
      <c r="WJR93" s="63" t="s">
        <v>882</v>
      </c>
      <c r="WJS93" s="60"/>
      <c r="WKH93" s="63" t="s">
        <v>882</v>
      </c>
      <c r="WKI93" s="60"/>
      <c r="WKX93" s="63" t="s">
        <v>882</v>
      </c>
      <c r="WKY93" s="60"/>
      <c r="WLN93" s="63" t="s">
        <v>882</v>
      </c>
      <c r="WLO93" s="60"/>
      <c r="WMD93" s="63" t="s">
        <v>882</v>
      </c>
      <c r="WME93" s="60"/>
      <c r="WMT93" s="63" t="s">
        <v>882</v>
      </c>
      <c r="WMU93" s="60"/>
      <c r="WNJ93" s="63" t="s">
        <v>882</v>
      </c>
      <c r="WNK93" s="60"/>
      <c r="WNZ93" s="63" t="s">
        <v>882</v>
      </c>
      <c r="WOA93" s="60"/>
      <c r="WOP93" s="63" t="s">
        <v>882</v>
      </c>
      <c r="WOQ93" s="60"/>
      <c r="WPF93" s="63" t="s">
        <v>882</v>
      </c>
      <c r="WPG93" s="60"/>
      <c r="WPV93" s="63" t="s">
        <v>882</v>
      </c>
      <c r="WPW93" s="60"/>
      <c r="WQL93" s="63" t="s">
        <v>882</v>
      </c>
      <c r="WQM93" s="60"/>
      <c r="WRB93" s="63" t="s">
        <v>882</v>
      </c>
      <c r="WRC93" s="60"/>
      <c r="WRR93" s="63" t="s">
        <v>882</v>
      </c>
      <c r="WRS93" s="60"/>
      <c r="WSH93" s="63" t="s">
        <v>882</v>
      </c>
      <c r="WSI93" s="60"/>
      <c r="WSX93" s="63" t="s">
        <v>882</v>
      </c>
      <c r="WSY93" s="60"/>
      <c r="WTN93" s="63" t="s">
        <v>882</v>
      </c>
      <c r="WTO93" s="60"/>
      <c r="WUD93" s="63" t="s">
        <v>882</v>
      </c>
      <c r="WUE93" s="60"/>
      <c r="WUT93" s="63" t="s">
        <v>882</v>
      </c>
      <c r="WUU93" s="60"/>
      <c r="WVJ93" s="63" t="s">
        <v>882</v>
      </c>
      <c r="WVK93" s="60"/>
      <c r="WVZ93" s="63" t="s">
        <v>882</v>
      </c>
      <c r="WWA93" s="60"/>
      <c r="WWP93" s="63" t="s">
        <v>882</v>
      </c>
      <c r="WWQ93" s="60"/>
      <c r="WXF93" s="63" t="s">
        <v>882</v>
      </c>
      <c r="WXG93" s="60"/>
      <c r="WXV93" s="63" t="s">
        <v>882</v>
      </c>
      <c r="WXW93" s="60"/>
      <c r="WYL93" s="63" t="s">
        <v>882</v>
      </c>
      <c r="WYM93" s="60"/>
      <c r="WZB93" s="63" t="s">
        <v>882</v>
      </c>
      <c r="WZC93" s="60"/>
      <c r="WZR93" s="63" t="s">
        <v>882</v>
      </c>
      <c r="WZS93" s="60"/>
      <c r="XAH93" s="63" t="s">
        <v>882</v>
      </c>
      <c r="XAI93" s="60"/>
      <c r="XAX93" s="63" t="s">
        <v>882</v>
      </c>
      <c r="XAY93" s="60"/>
      <c r="XBN93" s="63" t="s">
        <v>882</v>
      </c>
      <c r="XBO93" s="60"/>
      <c r="XCD93" s="63" t="s">
        <v>882</v>
      </c>
      <c r="XCE93" s="60"/>
      <c r="XCT93" s="63" t="s">
        <v>882</v>
      </c>
      <c r="XCU93" s="60"/>
      <c r="XDJ93" s="63" t="s">
        <v>882</v>
      </c>
      <c r="XDK93" s="60"/>
      <c r="XDZ93" s="63" t="s">
        <v>882</v>
      </c>
      <c r="XEA93" s="60"/>
      <c r="XEP93" s="63" t="s">
        <v>882</v>
      </c>
      <c r="XEQ93" s="60"/>
    </row>
    <row r="94" spans="2:1011 1026:2035 2050:3059 3074:4083 4098:5107 5122:6131 6146:7155 7170:8179 8194:9203 9218:10227 10242:11251 11266:12275 12290:13299 13314:14323 14338:15347 15362:16371" ht="14.25" x14ac:dyDescent="0.2">
      <c r="R94" s="34" t="s">
        <v>885</v>
      </c>
      <c r="S94" s="60"/>
      <c r="AH94" s="34" t="s">
        <v>885</v>
      </c>
      <c r="AI94" s="60"/>
      <c r="AX94" s="34" t="s">
        <v>885</v>
      </c>
      <c r="AY94" s="60"/>
      <c r="BN94" s="34" t="s">
        <v>885</v>
      </c>
      <c r="BO94" s="60"/>
      <c r="CD94" s="34" t="s">
        <v>885</v>
      </c>
      <c r="CE94" s="60"/>
      <c r="CT94" s="34" t="s">
        <v>885</v>
      </c>
      <c r="CU94" s="60"/>
      <c r="DJ94" s="34" t="s">
        <v>885</v>
      </c>
      <c r="DK94" s="60"/>
      <c r="DZ94" s="34" t="s">
        <v>885</v>
      </c>
      <c r="EA94" s="60"/>
      <c r="EP94" s="34" t="s">
        <v>885</v>
      </c>
      <c r="EQ94" s="60"/>
      <c r="FF94" s="34" t="s">
        <v>885</v>
      </c>
      <c r="FG94" s="60"/>
      <c r="FV94" s="34" t="s">
        <v>885</v>
      </c>
      <c r="FW94" s="60"/>
      <c r="GL94" s="34" t="s">
        <v>885</v>
      </c>
      <c r="GM94" s="60"/>
      <c r="HB94" s="34" t="s">
        <v>885</v>
      </c>
      <c r="HC94" s="60"/>
      <c r="HR94" s="34" t="s">
        <v>885</v>
      </c>
      <c r="HS94" s="60"/>
      <c r="IH94" s="34" t="s">
        <v>885</v>
      </c>
      <c r="II94" s="60"/>
      <c r="IX94" s="34" t="s">
        <v>885</v>
      </c>
      <c r="IY94" s="60"/>
      <c r="JN94" s="34" t="s">
        <v>885</v>
      </c>
      <c r="JO94" s="60"/>
      <c r="KD94" s="34" t="s">
        <v>885</v>
      </c>
      <c r="KE94" s="60"/>
      <c r="KT94" s="34" t="s">
        <v>885</v>
      </c>
      <c r="KU94" s="60"/>
      <c r="LJ94" s="34" t="s">
        <v>885</v>
      </c>
      <c r="LK94" s="60"/>
      <c r="LZ94" s="34" t="s">
        <v>885</v>
      </c>
      <c r="MA94" s="60"/>
      <c r="MP94" s="34" t="s">
        <v>885</v>
      </c>
      <c r="MQ94" s="60"/>
      <c r="NF94" s="34" t="s">
        <v>885</v>
      </c>
      <c r="NG94" s="60"/>
      <c r="NV94" s="34" t="s">
        <v>885</v>
      </c>
      <c r="NW94" s="60"/>
      <c r="OL94" s="34" t="s">
        <v>885</v>
      </c>
      <c r="OM94" s="60"/>
      <c r="PB94" s="34" t="s">
        <v>885</v>
      </c>
      <c r="PC94" s="60"/>
      <c r="PR94" s="34" t="s">
        <v>885</v>
      </c>
      <c r="PS94" s="60"/>
      <c r="QH94" s="34" t="s">
        <v>885</v>
      </c>
      <c r="QI94" s="60"/>
      <c r="QX94" s="34" t="s">
        <v>885</v>
      </c>
      <c r="QY94" s="60"/>
      <c r="RN94" s="34" t="s">
        <v>885</v>
      </c>
      <c r="RO94" s="60"/>
      <c r="SD94" s="34" t="s">
        <v>885</v>
      </c>
      <c r="SE94" s="60"/>
      <c r="ST94" s="34" t="s">
        <v>885</v>
      </c>
      <c r="SU94" s="60"/>
      <c r="TJ94" s="34" t="s">
        <v>885</v>
      </c>
      <c r="TK94" s="60"/>
      <c r="TZ94" s="34" t="s">
        <v>885</v>
      </c>
      <c r="UA94" s="60"/>
      <c r="UP94" s="34" t="s">
        <v>885</v>
      </c>
      <c r="UQ94" s="60"/>
      <c r="VF94" s="34" t="s">
        <v>885</v>
      </c>
      <c r="VG94" s="60"/>
      <c r="VV94" s="34" t="s">
        <v>885</v>
      </c>
      <c r="VW94" s="60"/>
      <c r="WL94" s="34" t="s">
        <v>885</v>
      </c>
      <c r="WM94" s="60"/>
      <c r="XB94" s="34" t="s">
        <v>885</v>
      </c>
      <c r="XC94" s="60"/>
      <c r="XR94" s="34" t="s">
        <v>885</v>
      </c>
      <c r="XS94" s="60"/>
      <c r="YH94" s="34" t="s">
        <v>885</v>
      </c>
      <c r="YI94" s="60"/>
      <c r="YX94" s="34" t="s">
        <v>885</v>
      </c>
      <c r="YY94" s="60"/>
      <c r="ZN94" s="34" t="s">
        <v>885</v>
      </c>
      <c r="ZO94" s="60"/>
      <c r="AAD94" s="34" t="s">
        <v>885</v>
      </c>
      <c r="AAE94" s="60"/>
      <c r="AAT94" s="34" t="s">
        <v>885</v>
      </c>
      <c r="AAU94" s="60"/>
      <c r="ABJ94" s="34" t="s">
        <v>885</v>
      </c>
      <c r="ABK94" s="60"/>
      <c r="ABZ94" s="34" t="s">
        <v>885</v>
      </c>
      <c r="ACA94" s="60"/>
      <c r="ACP94" s="34" t="s">
        <v>885</v>
      </c>
      <c r="ACQ94" s="60"/>
      <c r="ADF94" s="34" t="s">
        <v>885</v>
      </c>
      <c r="ADG94" s="60"/>
      <c r="ADV94" s="34" t="s">
        <v>885</v>
      </c>
      <c r="ADW94" s="60"/>
      <c r="AEL94" s="34" t="s">
        <v>885</v>
      </c>
      <c r="AEM94" s="60"/>
      <c r="AFB94" s="34" t="s">
        <v>885</v>
      </c>
      <c r="AFC94" s="60"/>
      <c r="AFR94" s="34" t="s">
        <v>885</v>
      </c>
      <c r="AFS94" s="60"/>
      <c r="AGH94" s="34" t="s">
        <v>885</v>
      </c>
      <c r="AGI94" s="60"/>
      <c r="AGX94" s="34" t="s">
        <v>885</v>
      </c>
      <c r="AGY94" s="60"/>
      <c r="AHN94" s="34" t="s">
        <v>885</v>
      </c>
      <c r="AHO94" s="60"/>
      <c r="AID94" s="34" t="s">
        <v>885</v>
      </c>
      <c r="AIE94" s="60"/>
      <c r="AIT94" s="34" t="s">
        <v>885</v>
      </c>
      <c r="AIU94" s="60"/>
      <c r="AJJ94" s="34" t="s">
        <v>885</v>
      </c>
      <c r="AJK94" s="60"/>
      <c r="AJZ94" s="34" t="s">
        <v>885</v>
      </c>
      <c r="AKA94" s="60"/>
      <c r="AKP94" s="34" t="s">
        <v>885</v>
      </c>
      <c r="AKQ94" s="60"/>
      <c r="ALF94" s="34" t="s">
        <v>885</v>
      </c>
      <c r="ALG94" s="60"/>
      <c r="ALV94" s="34" t="s">
        <v>885</v>
      </c>
      <c r="ALW94" s="60"/>
      <c r="AML94" s="34" t="s">
        <v>885</v>
      </c>
      <c r="AMM94" s="60"/>
      <c r="ANB94" s="34" t="s">
        <v>885</v>
      </c>
      <c r="ANC94" s="60"/>
      <c r="ANR94" s="34" t="s">
        <v>885</v>
      </c>
      <c r="ANS94" s="60"/>
      <c r="AOH94" s="34" t="s">
        <v>885</v>
      </c>
      <c r="AOI94" s="60"/>
      <c r="AOX94" s="34" t="s">
        <v>885</v>
      </c>
      <c r="AOY94" s="60"/>
      <c r="APN94" s="34" t="s">
        <v>885</v>
      </c>
      <c r="APO94" s="60"/>
      <c r="AQD94" s="34" t="s">
        <v>885</v>
      </c>
      <c r="AQE94" s="60"/>
      <c r="AQT94" s="34" t="s">
        <v>885</v>
      </c>
      <c r="AQU94" s="60"/>
      <c r="ARJ94" s="34" t="s">
        <v>885</v>
      </c>
      <c r="ARK94" s="60"/>
      <c r="ARZ94" s="34" t="s">
        <v>885</v>
      </c>
      <c r="ASA94" s="60"/>
      <c r="ASP94" s="34" t="s">
        <v>885</v>
      </c>
      <c r="ASQ94" s="60"/>
      <c r="ATF94" s="34" t="s">
        <v>885</v>
      </c>
      <c r="ATG94" s="60"/>
      <c r="ATV94" s="34" t="s">
        <v>885</v>
      </c>
      <c r="ATW94" s="60"/>
      <c r="AUL94" s="34" t="s">
        <v>885</v>
      </c>
      <c r="AUM94" s="60"/>
      <c r="AVB94" s="34" t="s">
        <v>885</v>
      </c>
      <c r="AVC94" s="60"/>
      <c r="AVR94" s="34" t="s">
        <v>885</v>
      </c>
      <c r="AVS94" s="60"/>
      <c r="AWH94" s="34" t="s">
        <v>885</v>
      </c>
      <c r="AWI94" s="60"/>
      <c r="AWX94" s="34" t="s">
        <v>885</v>
      </c>
      <c r="AWY94" s="60"/>
      <c r="AXN94" s="34" t="s">
        <v>885</v>
      </c>
      <c r="AXO94" s="60"/>
      <c r="AYD94" s="34" t="s">
        <v>885</v>
      </c>
      <c r="AYE94" s="60"/>
      <c r="AYT94" s="34" t="s">
        <v>885</v>
      </c>
      <c r="AYU94" s="60"/>
      <c r="AZJ94" s="34" t="s">
        <v>885</v>
      </c>
      <c r="AZK94" s="60"/>
      <c r="AZZ94" s="34" t="s">
        <v>885</v>
      </c>
      <c r="BAA94" s="60"/>
      <c r="BAP94" s="34" t="s">
        <v>885</v>
      </c>
      <c r="BAQ94" s="60"/>
      <c r="BBF94" s="34" t="s">
        <v>885</v>
      </c>
      <c r="BBG94" s="60"/>
      <c r="BBV94" s="34" t="s">
        <v>885</v>
      </c>
      <c r="BBW94" s="60"/>
      <c r="BCL94" s="34" t="s">
        <v>885</v>
      </c>
      <c r="BCM94" s="60"/>
      <c r="BDB94" s="34" t="s">
        <v>885</v>
      </c>
      <c r="BDC94" s="60"/>
      <c r="BDR94" s="34" t="s">
        <v>885</v>
      </c>
      <c r="BDS94" s="60"/>
      <c r="BEH94" s="34" t="s">
        <v>885</v>
      </c>
      <c r="BEI94" s="60"/>
      <c r="BEX94" s="34" t="s">
        <v>885</v>
      </c>
      <c r="BEY94" s="60"/>
      <c r="BFN94" s="34" t="s">
        <v>885</v>
      </c>
      <c r="BFO94" s="60"/>
      <c r="BGD94" s="34" t="s">
        <v>885</v>
      </c>
      <c r="BGE94" s="60"/>
      <c r="BGT94" s="34" t="s">
        <v>885</v>
      </c>
      <c r="BGU94" s="60"/>
      <c r="BHJ94" s="34" t="s">
        <v>885</v>
      </c>
      <c r="BHK94" s="60"/>
      <c r="BHZ94" s="34" t="s">
        <v>885</v>
      </c>
      <c r="BIA94" s="60"/>
      <c r="BIP94" s="34" t="s">
        <v>885</v>
      </c>
      <c r="BIQ94" s="60"/>
      <c r="BJF94" s="34" t="s">
        <v>885</v>
      </c>
      <c r="BJG94" s="60"/>
      <c r="BJV94" s="34" t="s">
        <v>885</v>
      </c>
      <c r="BJW94" s="60"/>
      <c r="BKL94" s="34" t="s">
        <v>885</v>
      </c>
      <c r="BKM94" s="60"/>
      <c r="BLB94" s="34" t="s">
        <v>885</v>
      </c>
      <c r="BLC94" s="60"/>
      <c r="BLR94" s="34" t="s">
        <v>885</v>
      </c>
      <c r="BLS94" s="60"/>
      <c r="BMH94" s="34" t="s">
        <v>885</v>
      </c>
      <c r="BMI94" s="60"/>
      <c r="BMX94" s="34" t="s">
        <v>885</v>
      </c>
      <c r="BMY94" s="60"/>
      <c r="BNN94" s="34" t="s">
        <v>885</v>
      </c>
      <c r="BNO94" s="60"/>
      <c r="BOD94" s="34" t="s">
        <v>885</v>
      </c>
      <c r="BOE94" s="60"/>
      <c r="BOT94" s="34" t="s">
        <v>885</v>
      </c>
      <c r="BOU94" s="60"/>
      <c r="BPJ94" s="34" t="s">
        <v>885</v>
      </c>
      <c r="BPK94" s="60"/>
      <c r="BPZ94" s="34" t="s">
        <v>885</v>
      </c>
      <c r="BQA94" s="60"/>
      <c r="BQP94" s="34" t="s">
        <v>885</v>
      </c>
      <c r="BQQ94" s="60"/>
      <c r="BRF94" s="34" t="s">
        <v>885</v>
      </c>
      <c r="BRG94" s="60"/>
      <c r="BRV94" s="34" t="s">
        <v>885</v>
      </c>
      <c r="BRW94" s="60"/>
      <c r="BSL94" s="34" t="s">
        <v>885</v>
      </c>
      <c r="BSM94" s="60"/>
      <c r="BTB94" s="34" t="s">
        <v>885</v>
      </c>
      <c r="BTC94" s="60"/>
      <c r="BTR94" s="34" t="s">
        <v>885</v>
      </c>
      <c r="BTS94" s="60"/>
      <c r="BUH94" s="34" t="s">
        <v>885</v>
      </c>
      <c r="BUI94" s="60"/>
      <c r="BUX94" s="34" t="s">
        <v>885</v>
      </c>
      <c r="BUY94" s="60"/>
      <c r="BVN94" s="34" t="s">
        <v>885</v>
      </c>
      <c r="BVO94" s="60"/>
      <c r="BWD94" s="34" t="s">
        <v>885</v>
      </c>
      <c r="BWE94" s="60"/>
      <c r="BWT94" s="34" t="s">
        <v>885</v>
      </c>
      <c r="BWU94" s="60"/>
      <c r="BXJ94" s="34" t="s">
        <v>885</v>
      </c>
      <c r="BXK94" s="60"/>
      <c r="BXZ94" s="34" t="s">
        <v>885</v>
      </c>
      <c r="BYA94" s="60"/>
      <c r="BYP94" s="34" t="s">
        <v>885</v>
      </c>
      <c r="BYQ94" s="60"/>
      <c r="BZF94" s="34" t="s">
        <v>885</v>
      </c>
      <c r="BZG94" s="60"/>
      <c r="BZV94" s="34" t="s">
        <v>885</v>
      </c>
      <c r="BZW94" s="60"/>
      <c r="CAL94" s="34" t="s">
        <v>885</v>
      </c>
      <c r="CAM94" s="60"/>
      <c r="CBB94" s="34" t="s">
        <v>885</v>
      </c>
      <c r="CBC94" s="60"/>
      <c r="CBR94" s="34" t="s">
        <v>885</v>
      </c>
      <c r="CBS94" s="60"/>
      <c r="CCH94" s="34" t="s">
        <v>885</v>
      </c>
      <c r="CCI94" s="60"/>
      <c r="CCX94" s="34" t="s">
        <v>885</v>
      </c>
      <c r="CCY94" s="60"/>
      <c r="CDN94" s="34" t="s">
        <v>885</v>
      </c>
      <c r="CDO94" s="60"/>
      <c r="CED94" s="34" t="s">
        <v>885</v>
      </c>
      <c r="CEE94" s="60"/>
      <c r="CET94" s="34" t="s">
        <v>885</v>
      </c>
      <c r="CEU94" s="60"/>
      <c r="CFJ94" s="34" t="s">
        <v>885</v>
      </c>
      <c r="CFK94" s="60"/>
      <c r="CFZ94" s="34" t="s">
        <v>885</v>
      </c>
      <c r="CGA94" s="60"/>
      <c r="CGP94" s="34" t="s">
        <v>885</v>
      </c>
      <c r="CGQ94" s="60"/>
      <c r="CHF94" s="34" t="s">
        <v>885</v>
      </c>
      <c r="CHG94" s="60"/>
      <c r="CHV94" s="34" t="s">
        <v>885</v>
      </c>
      <c r="CHW94" s="60"/>
      <c r="CIL94" s="34" t="s">
        <v>885</v>
      </c>
      <c r="CIM94" s="60"/>
      <c r="CJB94" s="34" t="s">
        <v>885</v>
      </c>
      <c r="CJC94" s="60"/>
      <c r="CJR94" s="34" t="s">
        <v>885</v>
      </c>
      <c r="CJS94" s="60"/>
      <c r="CKH94" s="34" t="s">
        <v>885</v>
      </c>
      <c r="CKI94" s="60"/>
      <c r="CKX94" s="34" t="s">
        <v>885</v>
      </c>
      <c r="CKY94" s="60"/>
      <c r="CLN94" s="34" t="s">
        <v>885</v>
      </c>
      <c r="CLO94" s="60"/>
      <c r="CMD94" s="34" t="s">
        <v>885</v>
      </c>
      <c r="CME94" s="60"/>
      <c r="CMT94" s="34" t="s">
        <v>885</v>
      </c>
      <c r="CMU94" s="60"/>
      <c r="CNJ94" s="34" t="s">
        <v>885</v>
      </c>
      <c r="CNK94" s="60"/>
      <c r="CNZ94" s="34" t="s">
        <v>885</v>
      </c>
      <c r="COA94" s="60"/>
      <c r="COP94" s="34" t="s">
        <v>885</v>
      </c>
      <c r="COQ94" s="60"/>
      <c r="CPF94" s="34" t="s">
        <v>885</v>
      </c>
      <c r="CPG94" s="60"/>
      <c r="CPV94" s="34" t="s">
        <v>885</v>
      </c>
      <c r="CPW94" s="60"/>
      <c r="CQL94" s="34" t="s">
        <v>885</v>
      </c>
      <c r="CQM94" s="60"/>
      <c r="CRB94" s="34" t="s">
        <v>885</v>
      </c>
      <c r="CRC94" s="60"/>
      <c r="CRR94" s="34" t="s">
        <v>885</v>
      </c>
      <c r="CRS94" s="60"/>
      <c r="CSH94" s="34" t="s">
        <v>885</v>
      </c>
      <c r="CSI94" s="60"/>
      <c r="CSX94" s="34" t="s">
        <v>885</v>
      </c>
      <c r="CSY94" s="60"/>
      <c r="CTN94" s="34" t="s">
        <v>885</v>
      </c>
      <c r="CTO94" s="60"/>
      <c r="CUD94" s="34" t="s">
        <v>885</v>
      </c>
      <c r="CUE94" s="60"/>
      <c r="CUT94" s="34" t="s">
        <v>885</v>
      </c>
      <c r="CUU94" s="60"/>
      <c r="CVJ94" s="34" t="s">
        <v>885</v>
      </c>
      <c r="CVK94" s="60"/>
      <c r="CVZ94" s="34" t="s">
        <v>885</v>
      </c>
      <c r="CWA94" s="60"/>
      <c r="CWP94" s="34" t="s">
        <v>885</v>
      </c>
      <c r="CWQ94" s="60"/>
      <c r="CXF94" s="34" t="s">
        <v>885</v>
      </c>
      <c r="CXG94" s="60"/>
      <c r="CXV94" s="34" t="s">
        <v>885</v>
      </c>
      <c r="CXW94" s="60"/>
      <c r="CYL94" s="34" t="s">
        <v>885</v>
      </c>
      <c r="CYM94" s="60"/>
      <c r="CZB94" s="34" t="s">
        <v>885</v>
      </c>
      <c r="CZC94" s="60"/>
      <c r="CZR94" s="34" t="s">
        <v>885</v>
      </c>
      <c r="CZS94" s="60"/>
      <c r="DAH94" s="34" t="s">
        <v>885</v>
      </c>
      <c r="DAI94" s="60"/>
      <c r="DAX94" s="34" t="s">
        <v>885</v>
      </c>
      <c r="DAY94" s="60"/>
      <c r="DBN94" s="34" t="s">
        <v>885</v>
      </c>
      <c r="DBO94" s="60"/>
      <c r="DCD94" s="34" t="s">
        <v>885</v>
      </c>
      <c r="DCE94" s="60"/>
      <c r="DCT94" s="34" t="s">
        <v>885</v>
      </c>
      <c r="DCU94" s="60"/>
      <c r="DDJ94" s="34" t="s">
        <v>885</v>
      </c>
      <c r="DDK94" s="60"/>
      <c r="DDZ94" s="34" t="s">
        <v>885</v>
      </c>
      <c r="DEA94" s="60"/>
      <c r="DEP94" s="34" t="s">
        <v>885</v>
      </c>
      <c r="DEQ94" s="60"/>
      <c r="DFF94" s="34" t="s">
        <v>885</v>
      </c>
      <c r="DFG94" s="60"/>
      <c r="DFV94" s="34" t="s">
        <v>885</v>
      </c>
      <c r="DFW94" s="60"/>
      <c r="DGL94" s="34" t="s">
        <v>885</v>
      </c>
      <c r="DGM94" s="60"/>
      <c r="DHB94" s="34" t="s">
        <v>885</v>
      </c>
      <c r="DHC94" s="60"/>
      <c r="DHR94" s="34" t="s">
        <v>885</v>
      </c>
      <c r="DHS94" s="60"/>
      <c r="DIH94" s="34" t="s">
        <v>885</v>
      </c>
      <c r="DII94" s="60"/>
      <c r="DIX94" s="34" t="s">
        <v>885</v>
      </c>
      <c r="DIY94" s="60"/>
      <c r="DJN94" s="34" t="s">
        <v>885</v>
      </c>
      <c r="DJO94" s="60"/>
      <c r="DKD94" s="34" t="s">
        <v>885</v>
      </c>
      <c r="DKE94" s="60"/>
      <c r="DKT94" s="34" t="s">
        <v>885</v>
      </c>
      <c r="DKU94" s="60"/>
      <c r="DLJ94" s="34" t="s">
        <v>885</v>
      </c>
      <c r="DLK94" s="60"/>
      <c r="DLZ94" s="34" t="s">
        <v>885</v>
      </c>
      <c r="DMA94" s="60"/>
      <c r="DMP94" s="34" t="s">
        <v>885</v>
      </c>
      <c r="DMQ94" s="60"/>
      <c r="DNF94" s="34" t="s">
        <v>885</v>
      </c>
      <c r="DNG94" s="60"/>
      <c r="DNV94" s="34" t="s">
        <v>885</v>
      </c>
      <c r="DNW94" s="60"/>
      <c r="DOL94" s="34" t="s">
        <v>885</v>
      </c>
      <c r="DOM94" s="60"/>
      <c r="DPB94" s="34" t="s">
        <v>885</v>
      </c>
      <c r="DPC94" s="60"/>
      <c r="DPR94" s="34" t="s">
        <v>885</v>
      </c>
      <c r="DPS94" s="60"/>
      <c r="DQH94" s="34" t="s">
        <v>885</v>
      </c>
      <c r="DQI94" s="60"/>
      <c r="DQX94" s="34" t="s">
        <v>885</v>
      </c>
      <c r="DQY94" s="60"/>
      <c r="DRN94" s="34" t="s">
        <v>885</v>
      </c>
      <c r="DRO94" s="60"/>
      <c r="DSD94" s="34" t="s">
        <v>885</v>
      </c>
      <c r="DSE94" s="60"/>
      <c r="DST94" s="34" t="s">
        <v>885</v>
      </c>
      <c r="DSU94" s="60"/>
      <c r="DTJ94" s="34" t="s">
        <v>885</v>
      </c>
      <c r="DTK94" s="60"/>
      <c r="DTZ94" s="34" t="s">
        <v>885</v>
      </c>
      <c r="DUA94" s="60"/>
      <c r="DUP94" s="34" t="s">
        <v>885</v>
      </c>
      <c r="DUQ94" s="60"/>
      <c r="DVF94" s="34" t="s">
        <v>885</v>
      </c>
      <c r="DVG94" s="60"/>
      <c r="DVV94" s="34" t="s">
        <v>885</v>
      </c>
      <c r="DVW94" s="60"/>
      <c r="DWL94" s="34" t="s">
        <v>885</v>
      </c>
      <c r="DWM94" s="60"/>
      <c r="DXB94" s="34" t="s">
        <v>885</v>
      </c>
      <c r="DXC94" s="60"/>
      <c r="DXR94" s="34" t="s">
        <v>885</v>
      </c>
      <c r="DXS94" s="60"/>
      <c r="DYH94" s="34" t="s">
        <v>885</v>
      </c>
      <c r="DYI94" s="60"/>
      <c r="DYX94" s="34" t="s">
        <v>885</v>
      </c>
      <c r="DYY94" s="60"/>
      <c r="DZN94" s="34" t="s">
        <v>885</v>
      </c>
      <c r="DZO94" s="60"/>
      <c r="EAD94" s="34" t="s">
        <v>885</v>
      </c>
      <c r="EAE94" s="60"/>
      <c r="EAT94" s="34" t="s">
        <v>885</v>
      </c>
      <c r="EAU94" s="60"/>
      <c r="EBJ94" s="34" t="s">
        <v>885</v>
      </c>
      <c r="EBK94" s="60"/>
      <c r="EBZ94" s="34" t="s">
        <v>885</v>
      </c>
      <c r="ECA94" s="60"/>
      <c r="ECP94" s="34" t="s">
        <v>885</v>
      </c>
      <c r="ECQ94" s="60"/>
      <c r="EDF94" s="34" t="s">
        <v>885</v>
      </c>
      <c r="EDG94" s="60"/>
      <c r="EDV94" s="34" t="s">
        <v>885</v>
      </c>
      <c r="EDW94" s="60"/>
      <c r="EEL94" s="34" t="s">
        <v>885</v>
      </c>
      <c r="EEM94" s="60"/>
      <c r="EFB94" s="34" t="s">
        <v>885</v>
      </c>
      <c r="EFC94" s="60"/>
      <c r="EFR94" s="34" t="s">
        <v>885</v>
      </c>
      <c r="EFS94" s="60"/>
      <c r="EGH94" s="34" t="s">
        <v>885</v>
      </c>
      <c r="EGI94" s="60"/>
      <c r="EGX94" s="34" t="s">
        <v>885</v>
      </c>
      <c r="EGY94" s="60"/>
      <c r="EHN94" s="34" t="s">
        <v>885</v>
      </c>
      <c r="EHO94" s="60"/>
      <c r="EID94" s="34" t="s">
        <v>885</v>
      </c>
      <c r="EIE94" s="60"/>
      <c r="EIT94" s="34" t="s">
        <v>885</v>
      </c>
      <c r="EIU94" s="60"/>
      <c r="EJJ94" s="34" t="s">
        <v>885</v>
      </c>
      <c r="EJK94" s="60"/>
      <c r="EJZ94" s="34" t="s">
        <v>885</v>
      </c>
      <c r="EKA94" s="60"/>
      <c r="EKP94" s="34" t="s">
        <v>885</v>
      </c>
      <c r="EKQ94" s="60"/>
      <c r="ELF94" s="34" t="s">
        <v>885</v>
      </c>
      <c r="ELG94" s="60"/>
      <c r="ELV94" s="34" t="s">
        <v>885</v>
      </c>
      <c r="ELW94" s="60"/>
      <c r="EML94" s="34" t="s">
        <v>885</v>
      </c>
      <c r="EMM94" s="60"/>
      <c r="ENB94" s="34" t="s">
        <v>885</v>
      </c>
      <c r="ENC94" s="60"/>
      <c r="ENR94" s="34" t="s">
        <v>885</v>
      </c>
      <c r="ENS94" s="60"/>
      <c r="EOH94" s="34" t="s">
        <v>885</v>
      </c>
      <c r="EOI94" s="60"/>
      <c r="EOX94" s="34" t="s">
        <v>885</v>
      </c>
      <c r="EOY94" s="60"/>
      <c r="EPN94" s="34" t="s">
        <v>885</v>
      </c>
      <c r="EPO94" s="60"/>
      <c r="EQD94" s="34" t="s">
        <v>885</v>
      </c>
      <c r="EQE94" s="60"/>
      <c r="EQT94" s="34" t="s">
        <v>885</v>
      </c>
      <c r="EQU94" s="60"/>
      <c r="ERJ94" s="34" t="s">
        <v>885</v>
      </c>
      <c r="ERK94" s="60"/>
      <c r="ERZ94" s="34" t="s">
        <v>885</v>
      </c>
      <c r="ESA94" s="60"/>
      <c r="ESP94" s="34" t="s">
        <v>885</v>
      </c>
      <c r="ESQ94" s="60"/>
      <c r="ETF94" s="34" t="s">
        <v>885</v>
      </c>
      <c r="ETG94" s="60"/>
      <c r="ETV94" s="34" t="s">
        <v>885</v>
      </c>
      <c r="ETW94" s="60"/>
      <c r="EUL94" s="34" t="s">
        <v>885</v>
      </c>
      <c r="EUM94" s="60"/>
      <c r="EVB94" s="34" t="s">
        <v>885</v>
      </c>
      <c r="EVC94" s="60"/>
      <c r="EVR94" s="34" t="s">
        <v>885</v>
      </c>
      <c r="EVS94" s="60"/>
      <c r="EWH94" s="34" t="s">
        <v>885</v>
      </c>
      <c r="EWI94" s="60"/>
      <c r="EWX94" s="34" t="s">
        <v>885</v>
      </c>
      <c r="EWY94" s="60"/>
      <c r="EXN94" s="34" t="s">
        <v>885</v>
      </c>
      <c r="EXO94" s="60"/>
      <c r="EYD94" s="34" t="s">
        <v>885</v>
      </c>
      <c r="EYE94" s="60"/>
      <c r="EYT94" s="34" t="s">
        <v>885</v>
      </c>
      <c r="EYU94" s="60"/>
      <c r="EZJ94" s="34" t="s">
        <v>885</v>
      </c>
      <c r="EZK94" s="60"/>
      <c r="EZZ94" s="34" t="s">
        <v>885</v>
      </c>
      <c r="FAA94" s="60"/>
      <c r="FAP94" s="34" t="s">
        <v>885</v>
      </c>
      <c r="FAQ94" s="60"/>
      <c r="FBF94" s="34" t="s">
        <v>885</v>
      </c>
      <c r="FBG94" s="60"/>
      <c r="FBV94" s="34" t="s">
        <v>885</v>
      </c>
      <c r="FBW94" s="60"/>
      <c r="FCL94" s="34" t="s">
        <v>885</v>
      </c>
      <c r="FCM94" s="60"/>
      <c r="FDB94" s="34" t="s">
        <v>885</v>
      </c>
      <c r="FDC94" s="60"/>
      <c r="FDR94" s="34" t="s">
        <v>885</v>
      </c>
      <c r="FDS94" s="60"/>
      <c r="FEH94" s="34" t="s">
        <v>885</v>
      </c>
      <c r="FEI94" s="60"/>
      <c r="FEX94" s="34" t="s">
        <v>885</v>
      </c>
      <c r="FEY94" s="60"/>
      <c r="FFN94" s="34" t="s">
        <v>885</v>
      </c>
      <c r="FFO94" s="60"/>
      <c r="FGD94" s="34" t="s">
        <v>885</v>
      </c>
      <c r="FGE94" s="60"/>
      <c r="FGT94" s="34" t="s">
        <v>885</v>
      </c>
      <c r="FGU94" s="60"/>
      <c r="FHJ94" s="34" t="s">
        <v>885</v>
      </c>
      <c r="FHK94" s="60"/>
      <c r="FHZ94" s="34" t="s">
        <v>885</v>
      </c>
      <c r="FIA94" s="60"/>
      <c r="FIP94" s="34" t="s">
        <v>885</v>
      </c>
      <c r="FIQ94" s="60"/>
      <c r="FJF94" s="34" t="s">
        <v>885</v>
      </c>
      <c r="FJG94" s="60"/>
      <c r="FJV94" s="34" t="s">
        <v>885</v>
      </c>
      <c r="FJW94" s="60"/>
      <c r="FKL94" s="34" t="s">
        <v>885</v>
      </c>
      <c r="FKM94" s="60"/>
      <c r="FLB94" s="34" t="s">
        <v>885</v>
      </c>
      <c r="FLC94" s="60"/>
      <c r="FLR94" s="34" t="s">
        <v>885</v>
      </c>
      <c r="FLS94" s="60"/>
      <c r="FMH94" s="34" t="s">
        <v>885</v>
      </c>
      <c r="FMI94" s="60"/>
      <c r="FMX94" s="34" t="s">
        <v>885</v>
      </c>
      <c r="FMY94" s="60"/>
      <c r="FNN94" s="34" t="s">
        <v>885</v>
      </c>
      <c r="FNO94" s="60"/>
      <c r="FOD94" s="34" t="s">
        <v>885</v>
      </c>
      <c r="FOE94" s="60"/>
      <c r="FOT94" s="34" t="s">
        <v>885</v>
      </c>
      <c r="FOU94" s="60"/>
      <c r="FPJ94" s="34" t="s">
        <v>885</v>
      </c>
      <c r="FPK94" s="60"/>
      <c r="FPZ94" s="34" t="s">
        <v>885</v>
      </c>
      <c r="FQA94" s="60"/>
      <c r="FQP94" s="34" t="s">
        <v>885</v>
      </c>
      <c r="FQQ94" s="60"/>
      <c r="FRF94" s="34" t="s">
        <v>885</v>
      </c>
      <c r="FRG94" s="60"/>
      <c r="FRV94" s="34" t="s">
        <v>885</v>
      </c>
      <c r="FRW94" s="60"/>
      <c r="FSL94" s="34" t="s">
        <v>885</v>
      </c>
      <c r="FSM94" s="60"/>
      <c r="FTB94" s="34" t="s">
        <v>885</v>
      </c>
      <c r="FTC94" s="60"/>
      <c r="FTR94" s="34" t="s">
        <v>885</v>
      </c>
      <c r="FTS94" s="60"/>
      <c r="FUH94" s="34" t="s">
        <v>885</v>
      </c>
      <c r="FUI94" s="60"/>
      <c r="FUX94" s="34" t="s">
        <v>885</v>
      </c>
      <c r="FUY94" s="60"/>
      <c r="FVN94" s="34" t="s">
        <v>885</v>
      </c>
      <c r="FVO94" s="60"/>
      <c r="FWD94" s="34" t="s">
        <v>885</v>
      </c>
      <c r="FWE94" s="60"/>
      <c r="FWT94" s="34" t="s">
        <v>885</v>
      </c>
      <c r="FWU94" s="60"/>
      <c r="FXJ94" s="34" t="s">
        <v>885</v>
      </c>
      <c r="FXK94" s="60"/>
      <c r="FXZ94" s="34" t="s">
        <v>885</v>
      </c>
      <c r="FYA94" s="60"/>
      <c r="FYP94" s="34" t="s">
        <v>885</v>
      </c>
      <c r="FYQ94" s="60"/>
      <c r="FZF94" s="34" t="s">
        <v>885</v>
      </c>
      <c r="FZG94" s="60"/>
      <c r="FZV94" s="34" t="s">
        <v>885</v>
      </c>
      <c r="FZW94" s="60"/>
      <c r="GAL94" s="34" t="s">
        <v>885</v>
      </c>
      <c r="GAM94" s="60"/>
      <c r="GBB94" s="34" t="s">
        <v>885</v>
      </c>
      <c r="GBC94" s="60"/>
      <c r="GBR94" s="34" t="s">
        <v>885</v>
      </c>
      <c r="GBS94" s="60"/>
      <c r="GCH94" s="34" t="s">
        <v>885</v>
      </c>
      <c r="GCI94" s="60"/>
      <c r="GCX94" s="34" t="s">
        <v>885</v>
      </c>
      <c r="GCY94" s="60"/>
      <c r="GDN94" s="34" t="s">
        <v>885</v>
      </c>
      <c r="GDO94" s="60"/>
      <c r="GED94" s="34" t="s">
        <v>885</v>
      </c>
      <c r="GEE94" s="60"/>
      <c r="GET94" s="34" t="s">
        <v>885</v>
      </c>
      <c r="GEU94" s="60"/>
      <c r="GFJ94" s="34" t="s">
        <v>885</v>
      </c>
      <c r="GFK94" s="60"/>
      <c r="GFZ94" s="34" t="s">
        <v>885</v>
      </c>
      <c r="GGA94" s="60"/>
      <c r="GGP94" s="34" t="s">
        <v>885</v>
      </c>
      <c r="GGQ94" s="60"/>
      <c r="GHF94" s="34" t="s">
        <v>885</v>
      </c>
      <c r="GHG94" s="60"/>
      <c r="GHV94" s="34" t="s">
        <v>885</v>
      </c>
      <c r="GHW94" s="60"/>
      <c r="GIL94" s="34" t="s">
        <v>885</v>
      </c>
      <c r="GIM94" s="60"/>
      <c r="GJB94" s="34" t="s">
        <v>885</v>
      </c>
      <c r="GJC94" s="60"/>
      <c r="GJR94" s="34" t="s">
        <v>885</v>
      </c>
      <c r="GJS94" s="60"/>
      <c r="GKH94" s="34" t="s">
        <v>885</v>
      </c>
      <c r="GKI94" s="60"/>
      <c r="GKX94" s="34" t="s">
        <v>885</v>
      </c>
      <c r="GKY94" s="60"/>
      <c r="GLN94" s="34" t="s">
        <v>885</v>
      </c>
      <c r="GLO94" s="60"/>
      <c r="GMD94" s="34" t="s">
        <v>885</v>
      </c>
      <c r="GME94" s="60"/>
      <c r="GMT94" s="34" t="s">
        <v>885</v>
      </c>
      <c r="GMU94" s="60"/>
      <c r="GNJ94" s="34" t="s">
        <v>885</v>
      </c>
      <c r="GNK94" s="60"/>
      <c r="GNZ94" s="34" t="s">
        <v>885</v>
      </c>
      <c r="GOA94" s="60"/>
      <c r="GOP94" s="34" t="s">
        <v>885</v>
      </c>
      <c r="GOQ94" s="60"/>
      <c r="GPF94" s="34" t="s">
        <v>885</v>
      </c>
      <c r="GPG94" s="60"/>
      <c r="GPV94" s="34" t="s">
        <v>885</v>
      </c>
      <c r="GPW94" s="60"/>
      <c r="GQL94" s="34" t="s">
        <v>885</v>
      </c>
      <c r="GQM94" s="60"/>
      <c r="GRB94" s="34" t="s">
        <v>885</v>
      </c>
      <c r="GRC94" s="60"/>
      <c r="GRR94" s="34" t="s">
        <v>885</v>
      </c>
      <c r="GRS94" s="60"/>
      <c r="GSH94" s="34" t="s">
        <v>885</v>
      </c>
      <c r="GSI94" s="60"/>
      <c r="GSX94" s="34" t="s">
        <v>885</v>
      </c>
      <c r="GSY94" s="60"/>
      <c r="GTN94" s="34" t="s">
        <v>885</v>
      </c>
      <c r="GTO94" s="60"/>
      <c r="GUD94" s="34" t="s">
        <v>885</v>
      </c>
      <c r="GUE94" s="60"/>
      <c r="GUT94" s="34" t="s">
        <v>885</v>
      </c>
      <c r="GUU94" s="60"/>
      <c r="GVJ94" s="34" t="s">
        <v>885</v>
      </c>
      <c r="GVK94" s="60"/>
      <c r="GVZ94" s="34" t="s">
        <v>885</v>
      </c>
      <c r="GWA94" s="60"/>
      <c r="GWP94" s="34" t="s">
        <v>885</v>
      </c>
      <c r="GWQ94" s="60"/>
      <c r="GXF94" s="34" t="s">
        <v>885</v>
      </c>
      <c r="GXG94" s="60"/>
      <c r="GXV94" s="34" t="s">
        <v>885</v>
      </c>
      <c r="GXW94" s="60"/>
      <c r="GYL94" s="34" t="s">
        <v>885</v>
      </c>
      <c r="GYM94" s="60"/>
      <c r="GZB94" s="34" t="s">
        <v>885</v>
      </c>
      <c r="GZC94" s="60"/>
      <c r="GZR94" s="34" t="s">
        <v>885</v>
      </c>
      <c r="GZS94" s="60"/>
      <c r="HAH94" s="34" t="s">
        <v>885</v>
      </c>
      <c r="HAI94" s="60"/>
      <c r="HAX94" s="34" t="s">
        <v>885</v>
      </c>
      <c r="HAY94" s="60"/>
      <c r="HBN94" s="34" t="s">
        <v>885</v>
      </c>
      <c r="HBO94" s="60"/>
      <c r="HCD94" s="34" t="s">
        <v>885</v>
      </c>
      <c r="HCE94" s="60"/>
      <c r="HCT94" s="34" t="s">
        <v>885</v>
      </c>
      <c r="HCU94" s="60"/>
      <c r="HDJ94" s="34" t="s">
        <v>885</v>
      </c>
      <c r="HDK94" s="60"/>
      <c r="HDZ94" s="34" t="s">
        <v>885</v>
      </c>
      <c r="HEA94" s="60"/>
      <c r="HEP94" s="34" t="s">
        <v>885</v>
      </c>
      <c r="HEQ94" s="60"/>
      <c r="HFF94" s="34" t="s">
        <v>885</v>
      </c>
      <c r="HFG94" s="60"/>
      <c r="HFV94" s="34" t="s">
        <v>885</v>
      </c>
      <c r="HFW94" s="60"/>
      <c r="HGL94" s="34" t="s">
        <v>885</v>
      </c>
      <c r="HGM94" s="60"/>
      <c r="HHB94" s="34" t="s">
        <v>885</v>
      </c>
      <c r="HHC94" s="60"/>
      <c r="HHR94" s="34" t="s">
        <v>885</v>
      </c>
      <c r="HHS94" s="60"/>
      <c r="HIH94" s="34" t="s">
        <v>885</v>
      </c>
      <c r="HII94" s="60"/>
      <c r="HIX94" s="34" t="s">
        <v>885</v>
      </c>
      <c r="HIY94" s="60"/>
      <c r="HJN94" s="34" t="s">
        <v>885</v>
      </c>
      <c r="HJO94" s="60"/>
      <c r="HKD94" s="34" t="s">
        <v>885</v>
      </c>
      <c r="HKE94" s="60"/>
      <c r="HKT94" s="34" t="s">
        <v>885</v>
      </c>
      <c r="HKU94" s="60"/>
      <c r="HLJ94" s="34" t="s">
        <v>885</v>
      </c>
      <c r="HLK94" s="60"/>
      <c r="HLZ94" s="34" t="s">
        <v>885</v>
      </c>
      <c r="HMA94" s="60"/>
      <c r="HMP94" s="34" t="s">
        <v>885</v>
      </c>
      <c r="HMQ94" s="60"/>
      <c r="HNF94" s="34" t="s">
        <v>885</v>
      </c>
      <c r="HNG94" s="60"/>
      <c r="HNV94" s="34" t="s">
        <v>885</v>
      </c>
      <c r="HNW94" s="60"/>
      <c r="HOL94" s="34" t="s">
        <v>885</v>
      </c>
      <c r="HOM94" s="60"/>
      <c r="HPB94" s="34" t="s">
        <v>885</v>
      </c>
      <c r="HPC94" s="60"/>
      <c r="HPR94" s="34" t="s">
        <v>885</v>
      </c>
      <c r="HPS94" s="60"/>
      <c r="HQH94" s="34" t="s">
        <v>885</v>
      </c>
      <c r="HQI94" s="60"/>
      <c r="HQX94" s="34" t="s">
        <v>885</v>
      </c>
      <c r="HQY94" s="60"/>
      <c r="HRN94" s="34" t="s">
        <v>885</v>
      </c>
      <c r="HRO94" s="60"/>
      <c r="HSD94" s="34" t="s">
        <v>885</v>
      </c>
      <c r="HSE94" s="60"/>
      <c r="HST94" s="34" t="s">
        <v>885</v>
      </c>
      <c r="HSU94" s="60"/>
      <c r="HTJ94" s="34" t="s">
        <v>885</v>
      </c>
      <c r="HTK94" s="60"/>
      <c r="HTZ94" s="34" t="s">
        <v>885</v>
      </c>
      <c r="HUA94" s="60"/>
      <c r="HUP94" s="34" t="s">
        <v>885</v>
      </c>
      <c r="HUQ94" s="60"/>
      <c r="HVF94" s="34" t="s">
        <v>885</v>
      </c>
      <c r="HVG94" s="60"/>
      <c r="HVV94" s="34" t="s">
        <v>885</v>
      </c>
      <c r="HVW94" s="60"/>
      <c r="HWL94" s="34" t="s">
        <v>885</v>
      </c>
      <c r="HWM94" s="60"/>
      <c r="HXB94" s="34" t="s">
        <v>885</v>
      </c>
      <c r="HXC94" s="60"/>
      <c r="HXR94" s="34" t="s">
        <v>885</v>
      </c>
      <c r="HXS94" s="60"/>
      <c r="HYH94" s="34" t="s">
        <v>885</v>
      </c>
      <c r="HYI94" s="60"/>
      <c r="HYX94" s="34" t="s">
        <v>885</v>
      </c>
      <c r="HYY94" s="60"/>
      <c r="HZN94" s="34" t="s">
        <v>885</v>
      </c>
      <c r="HZO94" s="60"/>
      <c r="IAD94" s="34" t="s">
        <v>885</v>
      </c>
      <c r="IAE94" s="60"/>
      <c r="IAT94" s="34" t="s">
        <v>885</v>
      </c>
      <c r="IAU94" s="60"/>
      <c r="IBJ94" s="34" t="s">
        <v>885</v>
      </c>
      <c r="IBK94" s="60"/>
      <c r="IBZ94" s="34" t="s">
        <v>885</v>
      </c>
      <c r="ICA94" s="60"/>
      <c r="ICP94" s="34" t="s">
        <v>885</v>
      </c>
      <c r="ICQ94" s="60"/>
      <c r="IDF94" s="34" t="s">
        <v>885</v>
      </c>
      <c r="IDG94" s="60"/>
      <c r="IDV94" s="34" t="s">
        <v>885</v>
      </c>
      <c r="IDW94" s="60"/>
      <c r="IEL94" s="34" t="s">
        <v>885</v>
      </c>
      <c r="IEM94" s="60"/>
      <c r="IFB94" s="34" t="s">
        <v>885</v>
      </c>
      <c r="IFC94" s="60"/>
      <c r="IFR94" s="34" t="s">
        <v>885</v>
      </c>
      <c r="IFS94" s="60"/>
      <c r="IGH94" s="34" t="s">
        <v>885</v>
      </c>
      <c r="IGI94" s="60"/>
      <c r="IGX94" s="34" t="s">
        <v>885</v>
      </c>
      <c r="IGY94" s="60"/>
      <c r="IHN94" s="34" t="s">
        <v>885</v>
      </c>
      <c r="IHO94" s="60"/>
      <c r="IID94" s="34" t="s">
        <v>885</v>
      </c>
      <c r="IIE94" s="60"/>
      <c r="IIT94" s="34" t="s">
        <v>885</v>
      </c>
      <c r="IIU94" s="60"/>
      <c r="IJJ94" s="34" t="s">
        <v>885</v>
      </c>
      <c r="IJK94" s="60"/>
      <c r="IJZ94" s="34" t="s">
        <v>885</v>
      </c>
      <c r="IKA94" s="60"/>
      <c r="IKP94" s="34" t="s">
        <v>885</v>
      </c>
      <c r="IKQ94" s="60"/>
      <c r="ILF94" s="34" t="s">
        <v>885</v>
      </c>
      <c r="ILG94" s="60"/>
      <c r="ILV94" s="34" t="s">
        <v>885</v>
      </c>
      <c r="ILW94" s="60"/>
      <c r="IML94" s="34" t="s">
        <v>885</v>
      </c>
      <c r="IMM94" s="60"/>
      <c r="INB94" s="34" t="s">
        <v>885</v>
      </c>
      <c r="INC94" s="60"/>
      <c r="INR94" s="34" t="s">
        <v>885</v>
      </c>
      <c r="INS94" s="60"/>
      <c r="IOH94" s="34" t="s">
        <v>885</v>
      </c>
      <c r="IOI94" s="60"/>
      <c r="IOX94" s="34" t="s">
        <v>885</v>
      </c>
      <c r="IOY94" s="60"/>
      <c r="IPN94" s="34" t="s">
        <v>885</v>
      </c>
      <c r="IPO94" s="60"/>
      <c r="IQD94" s="34" t="s">
        <v>885</v>
      </c>
      <c r="IQE94" s="60"/>
      <c r="IQT94" s="34" t="s">
        <v>885</v>
      </c>
      <c r="IQU94" s="60"/>
      <c r="IRJ94" s="34" t="s">
        <v>885</v>
      </c>
      <c r="IRK94" s="60"/>
      <c r="IRZ94" s="34" t="s">
        <v>885</v>
      </c>
      <c r="ISA94" s="60"/>
      <c r="ISP94" s="34" t="s">
        <v>885</v>
      </c>
      <c r="ISQ94" s="60"/>
      <c r="ITF94" s="34" t="s">
        <v>885</v>
      </c>
      <c r="ITG94" s="60"/>
      <c r="ITV94" s="34" t="s">
        <v>885</v>
      </c>
      <c r="ITW94" s="60"/>
      <c r="IUL94" s="34" t="s">
        <v>885</v>
      </c>
      <c r="IUM94" s="60"/>
      <c r="IVB94" s="34" t="s">
        <v>885</v>
      </c>
      <c r="IVC94" s="60"/>
      <c r="IVR94" s="34" t="s">
        <v>885</v>
      </c>
      <c r="IVS94" s="60"/>
      <c r="IWH94" s="34" t="s">
        <v>885</v>
      </c>
      <c r="IWI94" s="60"/>
      <c r="IWX94" s="34" t="s">
        <v>885</v>
      </c>
      <c r="IWY94" s="60"/>
      <c r="IXN94" s="34" t="s">
        <v>885</v>
      </c>
      <c r="IXO94" s="60"/>
      <c r="IYD94" s="34" t="s">
        <v>885</v>
      </c>
      <c r="IYE94" s="60"/>
      <c r="IYT94" s="34" t="s">
        <v>885</v>
      </c>
      <c r="IYU94" s="60"/>
      <c r="IZJ94" s="34" t="s">
        <v>885</v>
      </c>
      <c r="IZK94" s="60"/>
      <c r="IZZ94" s="34" t="s">
        <v>885</v>
      </c>
      <c r="JAA94" s="60"/>
      <c r="JAP94" s="34" t="s">
        <v>885</v>
      </c>
      <c r="JAQ94" s="60"/>
      <c r="JBF94" s="34" t="s">
        <v>885</v>
      </c>
      <c r="JBG94" s="60"/>
      <c r="JBV94" s="34" t="s">
        <v>885</v>
      </c>
      <c r="JBW94" s="60"/>
      <c r="JCL94" s="34" t="s">
        <v>885</v>
      </c>
      <c r="JCM94" s="60"/>
      <c r="JDB94" s="34" t="s">
        <v>885</v>
      </c>
      <c r="JDC94" s="60"/>
      <c r="JDR94" s="34" t="s">
        <v>885</v>
      </c>
      <c r="JDS94" s="60"/>
      <c r="JEH94" s="34" t="s">
        <v>885</v>
      </c>
      <c r="JEI94" s="60"/>
      <c r="JEX94" s="34" t="s">
        <v>885</v>
      </c>
      <c r="JEY94" s="60"/>
      <c r="JFN94" s="34" t="s">
        <v>885</v>
      </c>
      <c r="JFO94" s="60"/>
      <c r="JGD94" s="34" t="s">
        <v>885</v>
      </c>
      <c r="JGE94" s="60"/>
      <c r="JGT94" s="34" t="s">
        <v>885</v>
      </c>
      <c r="JGU94" s="60"/>
      <c r="JHJ94" s="34" t="s">
        <v>885</v>
      </c>
      <c r="JHK94" s="60"/>
      <c r="JHZ94" s="34" t="s">
        <v>885</v>
      </c>
      <c r="JIA94" s="60"/>
      <c r="JIP94" s="34" t="s">
        <v>885</v>
      </c>
      <c r="JIQ94" s="60"/>
      <c r="JJF94" s="34" t="s">
        <v>885</v>
      </c>
      <c r="JJG94" s="60"/>
      <c r="JJV94" s="34" t="s">
        <v>885</v>
      </c>
      <c r="JJW94" s="60"/>
      <c r="JKL94" s="34" t="s">
        <v>885</v>
      </c>
      <c r="JKM94" s="60"/>
      <c r="JLB94" s="34" t="s">
        <v>885</v>
      </c>
      <c r="JLC94" s="60"/>
      <c r="JLR94" s="34" t="s">
        <v>885</v>
      </c>
      <c r="JLS94" s="60"/>
      <c r="JMH94" s="34" t="s">
        <v>885</v>
      </c>
      <c r="JMI94" s="60"/>
      <c r="JMX94" s="34" t="s">
        <v>885</v>
      </c>
      <c r="JMY94" s="60"/>
      <c r="JNN94" s="34" t="s">
        <v>885</v>
      </c>
      <c r="JNO94" s="60"/>
      <c r="JOD94" s="34" t="s">
        <v>885</v>
      </c>
      <c r="JOE94" s="60"/>
      <c r="JOT94" s="34" t="s">
        <v>885</v>
      </c>
      <c r="JOU94" s="60"/>
      <c r="JPJ94" s="34" t="s">
        <v>885</v>
      </c>
      <c r="JPK94" s="60"/>
      <c r="JPZ94" s="34" t="s">
        <v>885</v>
      </c>
      <c r="JQA94" s="60"/>
      <c r="JQP94" s="34" t="s">
        <v>885</v>
      </c>
      <c r="JQQ94" s="60"/>
      <c r="JRF94" s="34" t="s">
        <v>885</v>
      </c>
      <c r="JRG94" s="60"/>
      <c r="JRV94" s="34" t="s">
        <v>885</v>
      </c>
      <c r="JRW94" s="60"/>
      <c r="JSL94" s="34" t="s">
        <v>885</v>
      </c>
      <c r="JSM94" s="60"/>
      <c r="JTB94" s="34" t="s">
        <v>885</v>
      </c>
      <c r="JTC94" s="60"/>
      <c r="JTR94" s="34" t="s">
        <v>885</v>
      </c>
      <c r="JTS94" s="60"/>
      <c r="JUH94" s="34" t="s">
        <v>885</v>
      </c>
      <c r="JUI94" s="60"/>
      <c r="JUX94" s="34" t="s">
        <v>885</v>
      </c>
      <c r="JUY94" s="60"/>
      <c r="JVN94" s="34" t="s">
        <v>885</v>
      </c>
      <c r="JVO94" s="60"/>
      <c r="JWD94" s="34" t="s">
        <v>885</v>
      </c>
      <c r="JWE94" s="60"/>
      <c r="JWT94" s="34" t="s">
        <v>885</v>
      </c>
      <c r="JWU94" s="60"/>
      <c r="JXJ94" s="34" t="s">
        <v>885</v>
      </c>
      <c r="JXK94" s="60"/>
      <c r="JXZ94" s="34" t="s">
        <v>885</v>
      </c>
      <c r="JYA94" s="60"/>
      <c r="JYP94" s="34" t="s">
        <v>885</v>
      </c>
      <c r="JYQ94" s="60"/>
      <c r="JZF94" s="34" t="s">
        <v>885</v>
      </c>
      <c r="JZG94" s="60"/>
      <c r="JZV94" s="34" t="s">
        <v>885</v>
      </c>
      <c r="JZW94" s="60"/>
      <c r="KAL94" s="34" t="s">
        <v>885</v>
      </c>
      <c r="KAM94" s="60"/>
      <c r="KBB94" s="34" t="s">
        <v>885</v>
      </c>
      <c r="KBC94" s="60"/>
      <c r="KBR94" s="34" t="s">
        <v>885</v>
      </c>
      <c r="KBS94" s="60"/>
      <c r="KCH94" s="34" t="s">
        <v>885</v>
      </c>
      <c r="KCI94" s="60"/>
      <c r="KCX94" s="34" t="s">
        <v>885</v>
      </c>
      <c r="KCY94" s="60"/>
      <c r="KDN94" s="34" t="s">
        <v>885</v>
      </c>
      <c r="KDO94" s="60"/>
      <c r="KED94" s="34" t="s">
        <v>885</v>
      </c>
      <c r="KEE94" s="60"/>
      <c r="KET94" s="34" t="s">
        <v>885</v>
      </c>
      <c r="KEU94" s="60"/>
      <c r="KFJ94" s="34" t="s">
        <v>885</v>
      </c>
      <c r="KFK94" s="60"/>
      <c r="KFZ94" s="34" t="s">
        <v>885</v>
      </c>
      <c r="KGA94" s="60"/>
      <c r="KGP94" s="34" t="s">
        <v>885</v>
      </c>
      <c r="KGQ94" s="60"/>
      <c r="KHF94" s="34" t="s">
        <v>885</v>
      </c>
      <c r="KHG94" s="60"/>
      <c r="KHV94" s="34" t="s">
        <v>885</v>
      </c>
      <c r="KHW94" s="60"/>
      <c r="KIL94" s="34" t="s">
        <v>885</v>
      </c>
      <c r="KIM94" s="60"/>
      <c r="KJB94" s="34" t="s">
        <v>885</v>
      </c>
      <c r="KJC94" s="60"/>
      <c r="KJR94" s="34" t="s">
        <v>885</v>
      </c>
      <c r="KJS94" s="60"/>
      <c r="KKH94" s="34" t="s">
        <v>885</v>
      </c>
      <c r="KKI94" s="60"/>
      <c r="KKX94" s="34" t="s">
        <v>885</v>
      </c>
      <c r="KKY94" s="60"/>
      <c r="KLN94" s="34" t="s">
        <v>885</v>
      </c>
      <c r="KLO94" s="60"/>
      <c r="KMD94" s="34" t="s">
        <v>885</v>
      </c>
      <c r="KME94" s="60"/>
      <c r="KMT94" s="34" t="s">
        <v>885</v>
      </c>
      <c r="KMU94" s="60"/>
      <c r="KNJ94" s="34" t="s">
        <v>885</v>
      </c>
      <c r="KNK94" s="60"/>
      <c r="KNZ94" s="34" t="s">
        <v>885</v>
      </c>
      <c r="KOA94" s="60"/>
      <c r="KOP94" s="34" t="s">
        <v>885</v>
      </c>
      <c r="KOQ94" s="60"/>
      <c r="KPF94" s="34" t="s">
        <v>885</v>
      </c>
      <c r="KPG94" s="60"/>
      <c r="KPV94" s="34" t="s">
        <v>885</v>
      </c>
      <c r="KPW94" s="60"/>
      <c r="KQL94" s="34" t="s">
        <v>885</v>
      </c>
      <c r="KQM94" s="60"/>
      <c r="KRB94" s="34" t="s">
        <v>885</v>
      </c>
      <c r="KRC94" s="60"/>
      <c r="KRR94" s="34" t="s">
        <v>885</v>
      </c>
      <c r="KRS94" s="60"/>
      <c r="KSH94" s="34" t="s">
        <v>885</v>
      </c>
      <c r="KSI94" s="60"/>
      <c r="KSX94" s="34" t="s">
        <v>885</v>
      </c>
      <c r="KSY94" s="60"/>
      <c r="KTN94" s="34" t="s">
        <v>885</v>
      </c>
      <c r="KTO94" s="60"/>
      <c r="KUD94" s="34" t="s">
        <v>885</v>
      </c>
      <c r="KUE94" s="60"/>
      <c r="KUT94" s="34" t="s">
        <v>885</v>
      </c>
      <c r="KUU94" s="60"/>
      <c r="KVJ94" s="34" t="s">
        <v>885</v>
      </c>
      <c r="KVK94" s="60"/>
      <c r="KVZ94" s="34" t="s">
        <v>885</v>
      </c>
      <c r="KWA94" s="60"/>
      <c r="KWP94" s="34" t="s">
        <v>885</v>
      </c>
      <c r="KWQ94" s="60"/>
      <c r="KXF94" s="34" t="s">
        <v>885</v>
      </c>
      <c r="KXG94" s="60"/>
      <c r="KXV94" s="34" t="s">
        <v>885</v>
      </c>
      <c r="KXW94" s="60"/>
      <c r="KYL94" s="34" t="s">
        <v>885</v>
      </c>
      <c r="KYM94" s="60"/>
      <c r="KZB94" s="34" t="s">
        <v>885</v>
      </c>
      <c r="KZC94" s="60"/>
      <c r="KZR94" s="34" t="s">
        <v>885</v>
      </c>
      <c r="KZS94" s="60"/>
      <c r="LAH94" s="34" t="s">
        <v>885</v>
      </c>
      <c r="LAI94" s="60"/>
      <c r="LAX94" s="34" t="s">
        <v>885</v>
      </c>
      <c r="LAY94" s="60"/>
      <c r="LBN94" s="34" t="s">
        <v>885</v>
      </c>
      <c r="LBO94" s="60"/>
      <c r="LCD94" s="34" t="s">
        <v>885</v>
      </c>
      <c r="LCE94" s="60"/>
      <c r="LCT94" s="34" t="s">
        <v>885</v>
      </c>
      <c r="LCU94" s="60"/>
      <c r="LDJ94" s="34" t="s">
        <v>885</v>
      </c>
      <c r="LDK94" s="60"/>
      <c r="LDZ94" s="34" t="s">
        <v>885</v>
      </c>
      <c r="LEA94" s="60"/>
      <c r="LEP94" s="34" t="s">
        <v>885</v>
      </c>
      <c r="LEQ94" s="60"/>
      <c r="LFF94" s="34" t="s">
        <v>885</v>
      </c>
      <c r="LFG94" s="60"/>
      <c r="LFV94" s="34" t="s">
        <v>885</v>
      </c>
      <c r="LFW94" s="60"/>
      <c r="LGL94" s="34" t="s">
        <v>885</v>
      </c>
      <c r="LGM94" s="60"/>
      <c r="LHB94" s="34" t="s">
        <v>885</v>
      </c>
      <c r="LHC94" s="60"/>
      <c r="LHR94" s="34" t="s">
        <v>885</v>
      </c>
      <c r="LHS94" s="60"/>
      <c r="LIH94" s="34" t="s">
        <v>885</v>
      </c>
      <c r="LII94" s="60"/>
      <c r="LIX94" s="34" t="s">
        <v>885</v>
      </c>
      <c r="LIY94" s="60"/>
      <c r="LJN94" s="34" t="s">
        <v>885</v>
      </c>
      <c r="LJO94" s="60"/>
      <c r="LKD94" s="34" t="s">
        <v>885</v>
      </c>
      <c r="LKE94" s="60"/>
      <c r="LKT94" s="34" t="s">
        <v>885</v>
      </c>
      <c r="LKU94" s="60"/>
      <c r="LLJ94" s="34" t="s">
        <v>885</v>
      </c>
      <c r="LLK94" s="60"/>
      <c r="LLZ94" s="34" t="s">
        <v>885</v>
      </c>
      <c r="LMA94" s="60"/>
      <c r="LMP94" s="34" t="s">
        <v>885</v>
      </c>
      <c r="LMQ94" s="60"/>
      <c r="LNF94" s="34" t="s">
        <v>885</v>
      </c>
      <c r="LNG94" s="60"/>
      <c r="LNV94" s="34" t="s">
        <v>885</v>
      </c>
      <c r="LNW94" s="60"/>
      <c r="LOL94" s="34" t="s">
        <v>885</v>
      </c>
      <c r="LOM94" s="60"/>
      <c r="LPB94" s="34" t="s">
        <v>885</v>
      </c>
      <c r="LPC94" s="60"/>
      <c r="LPR94" s="34" t="s">
        <v>885</v>
      </c>
      <c r="LPS94" s="60"/>
      <c r="LQH94" s="34" t="s">
        <v>885</v>
      </c>
      <c r="LQI94" s="60"/>
      <c r="LQX94" s="34" t="s">
        <v>885</v>
      </c>
      <c r="LQY94" s="60"/>
      <c r="LRN94" s="34" t="s">
        <v>885</v>
      </c>
      <c r="LRO94" s="60"/>
      <c r="LSD94" s="34" t="s">
        <v>885</v>
      </c>
      <c r="LSE94" s="60"/>
      <c r="LST94" s="34" t="s">
        <v>885</v>
      </c>
      <c r="LSU94" s="60"/>
      <c r="LTJ94" s="34" t="s">
        <v>885</v>
      </c>
      <c r="LTK94" s="60"/>
      <c r="LTZ94" s="34" t="s">
        <v>885</v>
      </c>
      <c r="LUA94" s="60"/>
      <c r="LUP94" s="34" t="s">
        <v>885</v>
      </c>
      <c r="LUQ94" s="60"/>
      <c r="LVF94" s="34" t="s">
        <v>885</v>
      </c>
      <c r="LVG94" s="60"/>
      <c r="LVV94" s="34" t="s">
        <v>885</v>
      </c>
      <c r="LVW94" s="60"/>
      <c r="LWL94" s="34" t="s">
        <v>885</v>
      </c>
      <c r="LWM94" s="60"/>
      <c r="LXB94" s="34" t="s">
        <v>885</v>
      </c>
      <c r="LXC94" s="60"/>
      <c r="LXR94" s="34" t="s">
        <v>885</v>
      </c>
      <c r="LXS94" s="60"/>
      <c r="LYH94" s="34" t="s">
        <v>885</v>
      </c>
      <c r="LYI94" s="60"/>
      <c r="LYX94" s="34" t="s">
        <v>885</v>
      </c>
      <c r="LYY94" s="60"/>
      <c r="LZN94" s="34" t="s">
        <v>885</v>
      </c>
      <c r="LZO94" s="60"/>
      <c r="MAD94" s="34" t="s">
        <v>885</v>
      </c>
      <c r="MAE94" s="60"/>
      <c r="MAT94" s="34" t="s">
        <v>885</v>
      </c>
      <c r="MAU94" s="60"/>
      <c r="MBJ94" s="34" t="s">
        <v>885</v>
      </c>
      <c r="MBK94" s="60"/>
      <c r="MBZ94" s="34" t="s">
        <v>885</v>
      </c>
      <c r="MCA94" s="60"/>
      <c r="MCP94" s="34" t="s">
        <v>885</v>
      </c>
      <c r="MCQ94" s="60"/>
      <c r="MDF94" s="34" t="s">
        <v>885</v>
      </c>
      <c r="MDG94" s="60"/>
      <c r="MDV94" s="34" t="s">
        <v>885</v>
      </c>
      <c r="MDW94" s="60"/>
      <c r="MEL94" s="34" t="s">
        <v>885</v>
      </c>
      <c r="MEM94" s="60"/>
      <c r="MFB94" s="34" t="s">
        <v>885</v>
      </c>
      <c r="MFC94" s="60"/>
      <c r="MFR94" s="34" t="s">
        <v>885</v>
      </c>
      <c r="MFS94" s="60"/>
      <c r="MGH94" s="34" t="s">
        <v>885</v>
      </c>
      <c r="MGI94" s="60"/>
      <c r="MGX94" s="34" t="s">
        <v>885</v>
      </c>
      <c r="MGY94" s="60"/>
      <c r="MHN94" s="34" t="s">
        <v>885</v>
      </c>
      <c r="MHO94" s="60"/>
      <c r="MID94" s="34" t="s">
        <v>885</v>
      </c>
      <c r="MIE94" s="60"/>
      <c r="MIT94" s="34" t="s">
        <v>885</v>
      </c>
      <c r="MIU94" s="60"/>
      <c r="MJJ94" s="34" t="s">
        <v>885</v>
      </c>
      <c r="MJK94" s="60"/>
      <c r="MJZ94" s="34" t="s">
        <v>885</v>
      </c>
      <c r="MKA94" s="60"/>
      <c r="MKP94" s="34" t="s">
        <v>885</v>
      </c>
      <c r="MKQ94" s="60"/>
      <c r="MLF94" s="34" t="s">
        <v>885</v>
      </c>
      <c r="MLG94" s="60"/>
      <c r="MLV94" s="34" t="s">
        <v>885</v>
      </c>
      <c r="MLW94" s="60"/>
      <c r="MML94" s="34" t="s">
        <v>885</v>
      </c>
      <c r="MMM94" s="60"/>
      <c r="MNB94" s="34" t="s">
        <v>885</v>
      </c>
      <c r="MNC94" s="60"/>
      <c r="MNR94" s="34" t="s">
        <v>885</v>
      </c>
      <c r="MNS94" s="60"/>
      <c r="MOH94" s="34" t="s">
        <v>885</v>
      </c>
      <c r="MOI94" s="60"/>
      <c r="MOX94" s="34" t="s">
        <v>885</v>
      </c>
      <c r="MOY94" s="60"/>
      <c r="MPN94" s="34" t="s">
        <v>885</v>
      </c>
      <c r="MPO94" s="60"/>
      <c r="MQD94" s="34" t="s">
        <v>885</v>
      </c>
      <c r="MQE94" s="60"/>
      <c r="MQT94" s="34" t="s">
        <v>885</v>
      </c>
      <c r="MQU94" s="60"/>
      <c r="MRJ94" s="34" t="s">
        <v>885</v>
      </c>
      <c r="MRK94" s="60"/>
      <c r="MRZ94" s="34" t="s">
        <v>885</v>
      </c>
      <c r="MSA94" s="60"/>
      <c r="MSP94" s="34" t="s">
        <v>885</v>
      </c>
      <c r="MSQ94" s="60"/>
      <c r="MTF94" s="34" t="s">
        <v>885</v>
      </c>
      <c r="MTG94" s="60"/>
      <c r="MTV94" s="34" t="s">
        <v>885</v>
      </c>
      <c r="MTW94" s="60"/>
      <c r="MUL94" s="34" t="s">
        <v>885</v>
      </c>
      <c r="MUM94" s="60"/>
      <c r="MVB94" s="34" t="s">
        <v>885</v>
      </c>
      <c r="MVC94" s="60"/>
      <c r="MVR94" s="34" t="s">
        <v>885</v>
      </c>
      <c r="MVS94" s="60"/>
      <c r="MWH94" s="34" t="s">
        <v>885</v>
      </c>
      <c r="MWI94" s="60"/>
      <c r="MWX94" s="34" t="s">
        <v>885</v>
      </c>
      <c r="MWY94" s="60"/>
      <c r="MXN94" s="34" t="s">
        <v>885</v>
      </c>
      <c r="MXO94" s="60"/>
      <c r="MYD94" s="34" t="s">
        <v>885</v>
      </c>
      <c r="MYE94" s="60"/>
      <c r="MYT94" s="34" t="s">
        <v>885</v>
      </c>
      <c r="MYU94" s="60"/>
      <c r="MZJ94" s="34" t="s">
        <v>885</v>
      </c>
      <c r="MZK94" s="60"/>
      <c r="MZZ94" s="34" t="s">
        <v>885</v>
      </c>
      <c r="NAA94" s="60"/>
      <c r="NAP94" s="34" t="s">
        <v>885</v>
      </c>
      <c r="NAQ94" s="60"/>
      <c r="NBF94" s="34" t="s">
        <v>885</v>
      </c>
      <c r="NBG94" s="60"/>
      <c r="NBV94" s="34" t="s">
        <v>885</v>
      </c>
      <c r="NBW94" s="60"/>
      <c r="NCL94" s="34" t="s">
        <v>885</v>
      </c>
      <c r="NCM94" s="60"/>
      <c r="NDB94" s="34" t="s">
        <v>885</v>
      </c>
      <c r="NDC94" s="60"/>
      <c r="NDR94" s="34" t="s">
        <v>885</v>
      </c>
      <c r="NDS94" s="60"/>
      <c r="NEH94" s="34" t="s">
        <v>885</v>
      </c>
      <c r="NEI94" s="60"/>
      <c r="NEX94" s="34" t="s">
        <v>885</v>
      </c>
      <c r="NEY94" s="60"/>
      <c r="NFN94" s="34" t="s">
        <v>885</v>
      </c>
      <c r="NFO94" s="60"/>
      <c r="NGD94" s="34" t="s">
        <v>885</v>
      </c>
      <c r="NGE94" s="60"/>
      <c r="NGT94" s="34" t="s">
        <v>885</v>
      </c>
      <c r="NGU94" s="60"/>
      <c r="NHJ94" s="34" t="s">
        <v>885</v>
      </c>
      <c r="NHK94" s="60"/>
      <c r="NHZ94" s="34" t="s">
        <v>885</v>
      </c>
      <c r="NIA94" s="60"/>
      <c r="NIP94" s="34" t="s">
        <v>885</v>
      </c>
      <c r="NIQ94" s="60"/>
      <c r="NJF94" s="34" t="s">
        <v>885</v>
      </c>
      <c r="NJG94" s="60"/>
      <c r="NJV94" s="34" t="s">
        <v>885</v>
      </c>
      <c r="NJW94" s="60"/>
      <c r="NKL94" s="34" t="s">
        <v>885</v>
      </c>
      <c r="NKM94" s="60"/>
      <c r="NLB94" s="34" t="s">
        <v>885</v>
      </c>
      <c r="NLC94" s="60"/>
      <c r="NLR94" s="34" t="s">
        <v>885</v>
      </c>
      <c r="NLS94" s="60"/>
      <c r="NMH94" s="34" t="s">
        <v>885</v>
      </c>
      <c r="NMI94" s="60"/>
      <c r="NMX94" s="34" t="s">
        <v>885</v>
      </c>
      <c r="NMY94" s="60"/>
      <c r="NNN94" s="34" t="s">
        <v>885</v>
      </c>
      <c r="NNO94" s="60"/>
      <c r="NOD94" s="34" t="s">
        <v>885</v>
      </c>
      <c r="NOE94" s="60"/>
      <c r="NOT94" s="34" t="s">
        <v>885</v>
      </c>
      <c r="NOU94" s="60"/>
      <c r="NPJ94" s="34" t="s">
        <v>885</v>
      </c>
      <c r="NPK94" s="60"/>
      <c r="NPZ94" s="34" t="s">
        <v>885</v>
      </c>
      <c r="NQA94" s="60"/>
      <c r="NQP94" s="34" t="s">
        <v>885</v>
      </c>
      <c r="NQQ94" s="60"/>
      <c r="NRF94" s="34" t="s">
        <v>885</v>
      </c>
      <c r="NRG94" s="60"/>
      <c r="NRV94" s="34" t="s">
        <v>885</v>
      </c>
      <c r="NRW94" s="60"/>
      <c r="NSL94" s="34" t="s">
        <v>885</v>
      </c>
      <c r="NSM94" s="60"/>
      <c r="NTB94" s="34" t="s">
        <v>885</v>
      </c>
      <c r="NTC94" s="60"/>
      <c r="NTR94" s="34" t="s">
        <v>885</v>
      </c>
      <c r="NTS94" s="60"/>
      <c r="NUH94" s="34" t="s">
        <v>885</v>
      </c>
      <c r="NUI94" s="60"/>
      <c r="NUX94" s="34" t="s">
        <v>885</v>
      </c>
      <c r="NUY94" s="60"/>
      <c r="NVN94" s="34" t="s">
        <v>885</v>
      </c>
      <c r="NVO94" s="60"/>
      <c r="NWD94" s="34" t="s">
        <v>885</v>
      </c>
      <c r="NWE94" s="60"/>
      <c r="NWT94" s="34" t="s">
        <v>885</v>
      </c>
      <c r="NWU94" s="60"/>
      <c r="NXJ94" s="34" t="s">
        <v>885</v>
      </c>
      <c r="NXK94" s="60"/>
      <c r="NXZ94" s="34" t="s">
        <v>885</v>
      </c>
      <c r="NYA94" s="60"/>
      <c r="NYP94" s="34" t="s">
        <v>885</v>
      </c>
      <c r="NYQ94" s="60"/>
      <c r="NZF94" s="34" t="s">
        <v>885</v>
      </c>
      <c r="NZG94" s="60"/>
      <c r="NZV94" s="34" t="s">
        <v>885</v>
      </c>
      <c r="NZW94" s="60"/>
      <c r="OAL94" s="34" t="s">
        <v>885</v>
      </c>
      <c r="OAM94" s="60"/>
      <c r="OBB94" s="34" t="s">
        <v>885</v>
      </c>
      <c r="OBC94" s="60"/>
      <c r="OBR94" s="34" t="s">
        <v>885</v>
      </c>
      <c r="OBS94" s="60"/>
      <c r="OCH94" s="34" t="s">
        <v>885</v>
      </c>
      <c r="OCI94" s="60"/>
      <c r="OCX94" s="34" t="s">
        <v>885</v>
      </c>
      <c r="OCY94" s="60"/>
      <c r="ODN94" s="34" t="s">
        <v>885</v>
      </c>
      <c r="ODO94" s="60"/>
      <c r="OED94" s="34" t="s">
        <v>885</v>
      </c>
      <c r="OEE94" s="60"/>
      <c r="OET94" s="34" t="s">
        <v>885</v>
      </c>
      <c r="OEU94" s="60"/>
      <c r="OFJ94" s="34" t="s">
        <v>885</v>
      </c>
      <c r="OFK94" s="60"/>
      <c r="OFZ94" s="34" t="s">
        <v>885</v>
      </c>
      <c r="OGA94" s="60"/>
      <c r="OGP94" s="34" t="s">
        <v>885</v>
      </c>
      <c r="OGQ94" s="60"/>
      <c r="OHF94" s="34" t="s">
        <v>885</v>
      </c>
      <c r="OHG94" s="60"/>
      <c r="OHV94" s="34" t="s">
        <v>885</v>
      </c>
      <c r="OHW94" s="60"/>
      <c r="OIL94" s="34" t="s">
        <v>885</v>
      </c>
      <c r="OIM94" s="60"/>
      <c r="OJB94" s="34" t="s">
        <v>885</v>
      </c>
      <c r="OJC94" s="60"/>
      <c r="OJR94" s="34" t="s">
        <v>885</v>
      </c>
      <c r="OJS94" s="60"/>
      <c r="OKH94" s="34" t="s">
        <v>885</v>
      </c>
      <c r="OKI94" s="60"/>
      <c r="OKX94" s="34" t="s">
        <v>885</v>
      </c>
      <c r="OKY94" s="60"/>
      <c r="OLN94" s="34" t="s">
        <v>885</v>
      </c>
      <c r="OLO94" s="60"/>
      <c r="OMD94" s="34" t="s">
        <v>885</v>
      </c>
      <c r="OME94" s="60"/>
      <c r="OMT94" s="34" t="s">
        <v>885</v>
      </c>
      <c r="OMU94" s="60"/>
      <c r="ONJ94" s="34" t="s">
        <v>885</v>
      </c>
      <c r="ONK94" s="60"/>
      <c r="ONZ94" s="34" t="s">
        <v>885</v>
      </c>
      <c r="OOA94" s="60"/>
      <c r="OOP94" s="34" t="s">
        <v>885</v>
      </c>
      <c r="OOQ94" s="60"/>
      <c r="OPF94" s="34" t="s">
        <v>885</v>
      </c>
      <c r="OPG94" s="60"/>
      <c r="OPV94" s="34" t="s">
        <v>885</v>
      </c>
      <c r="OPW94" s="60"/>
      <c r="OQL94" s="34" t="s">
        <v>885</v>
      </c>
      <c r="OQM94" s="60"/>
      <c r="ORB94" s="34" t="s">
        <v>885</v>
      </c>
      <c r="ORC94" s="60"/>
      <c r="ORR94" s="34" t="s">
        <v>885</v>
      </c>
      <c r="ORS94" s="60"/>
      <c r="OSH94" s="34" t="s">
        <v>885</v>
      </c>
      <c r="OSI94" s="60"/>
      <c r="OSX94" s="34" t="s">
        <v>885</v>
      </c>
      <c r="OSY94" s="60"/>
      <c r="OTN94" s="34" t="s">
        <v>885</v>
      </c>
      <c r="OTO94" s="60"/>
      <c r="OUD94" s="34" t="s">
        <v>885</v>
      </c>
      <c r="OUE94" s="60"/>
      <c r="OUT94" s="34" t="s">
        <v>885</v>
      </c>
      <c r="OUU94" s="60"/>
      <c r="OVJ94" s="34" t="s">
        <v>885</v>
      </c>
      <c r="OVK94" s="60"/>
      <c r="OVZ94" s="34" t="s">
        <v>885</v>
      </c>
      <c r="OWA94" s="60"/>
      <c r="OWP94" s="34" t="s">
        <v>885</v>
      </c>
      <c r="OWQ94" s="60"/>
      <c r="OXF94" s="34" t="s">
        <v>885</v>
      </c>
      <c r="OXG94" s="60"/>
      <c r="OXV94" s="34" t="s">
        <v>885</v>
      </c>
      <c r="OXW94" s="60"/>
      <c r="OYL94" s="34" t="s">
        <v>885</v>
      </c>
      <c r="OYM94" s="60"/>
      <c r="OZB94" s="34" t="s">
        <v>885</v>
      </c>
      <c r="OZC94" s="60"/>
      <c r="OZR94" s="34" t="s">
        <v>885</v>
      </c>
      <c r="OZS94" s="60"/>
      <c r="PAH94" s="34" t="s">
        <v>885</v>
      </c>
      <c r="PAI94" s="60"/>
      <c r="PAX94" s="34" t="s">
        <v>885</v>
      </c>
      <c r="PAY94" s="60"/>
      <c r="PBN94" s="34" t="s">
        <v>885</v>
      </c>
      <c r="PBO94" s="60"/>
      <c r="PCD94" s="34" t="s">
        <v>885</v>
      </c>
      <c r="PCE94" s="60"/>
      <c r="PCT94" s="34" t="s">
        <v>885</v>
      </c>
      <c r="PCU94" s="60"/>
      <c r="PDJ94" s="34" t="s">
        <v>885</v>
      </c>
      <c r="PDK94" s="60"/>
      <c r="PDZ94" s="34" t="s">
        <v>885</v>
      </c>
      <c r="PEA94" s="60"/>
      <c r="PEP94" s="34" t="s">
        <v>885</v>
      </c>
      <c r="PEQ94" s="60"/>
      <c r="PFF94" s="34" t="s">
        <v>885</v>
      </c>
      <c r="PFG94" s="60"/>
      <c r="PFV94" s="34" t="s">
        <v>885</v>
      </c>
      <c r="PFW94" s="60"/>
      <c r="PGL94" s="34" t="s">
        <v>885</v>
      </c>
      <c r="PGM94" s="60"/>
      <c r="PHB94" s="34" t="s">
        <v>885</v>
      </c>
      <c r="PHC94" s="60"/>
      <c r="PHR94" s="34" t="s">
        <v>885</v>
      </c>
      <c r="PHS94" s="60"/>
      <c r="PIH94" s="34" t="s">
        <v>885</v>
      </c>
      <c r="PII94" s="60"/>
      <c r="PIX94" s="34" t="s">
        <v>885</v>
      </c>
      <c r="PIY94" s="60"/>
      <c r="PJN94" s="34" t="s">
        <v>885</v>
      </c>
      <c r="PJO94" s="60"/>
      <c r="PKD94" s="34" t="s">
        <v>885</v>
      </c>
      <c r="PKE94" s="60"/>
      <c r="PKT94" s="34" t="s">
        <v>885</v>
      </c>
      <c r="PKU94" s="60"/>
      <c r="PLJ94" s="34" t="s">
        <v>885</v>
      </c>
      <c r="PLK94" s="60"/>
      <c r="PLZ94" s="34" t="s">
        <v>885</v>
      </c>
      <c r="PMA94" s="60"/>
      <c r="PMP94" s="34" t="s">
        <v>885</v>
      </c>
      <c r="PMQ94" s="60"/>
      <c r="PNF94" s="34" t="s">
        <v>885</v>
      </c>
      <c r="PNG94" s="60"/>
      <c r="PNV94" s="34" t="s">
        <v>885</v>
      </c>
      <c r="PNW94" s="60"/>
      <c r="POL94" s="34" t="s">
        <v>885</v>
      </c>
      <c r="POM94" s="60"/>
      <c r="PPB94" s="34" t="s">
        <v>885</v>
      </c>
      <c r="PPC94" s="60"/>
      <c r="PPR94" s="34" t="s">
        <v>885</v>
      </c>
      <c r="PPS94" s="60"/>
      <c r="PQH94" s="34" t="s">
        <v>885</v>
      </c>
      <c r="PQI94" s="60"/>
      <c r="PQX94" s="34" t="s">
        <v>885</v>
      </c>
      <c r="PQY94" s="60"/>
      <c r="PRN94" s="34" t="s">
        <v>885</v>
      </c>
      <c r="PRO94" s="60"/>
      <c r="PSD94" s="34" t="s">
        <v>885</v>
      </c>
      <c r="PSE94" s="60"/>
      <c r="PST94" s="34" t="s">
        <v>885</v>
      </c>
      <c r="PSU94" s="60"/>
      <c r="PTJ94" s="34" t="s">
        <v>885</v>
      </c>
      <c r="PTK94" s="60"/>
      <c r="PTZ94" s="34" t="s">
        <v>885</v>
      </c>
      <c r="PUA94" s="60"/>
      <c r="PUP94" s="34" t="s">
        <v>885</v>
      </c>
      <c r="PUQ94" s="60"/>
      <c r="PVF94" s="34" t="s">
        <v>885</v>
      </c>
      <c r="PVG94" s="60"/>
      <c r="PVV94" s="34" t="s">
        <v>885</v>
      </c>
      <c r="PVW94" s="60"/>
      <c r="PWL94" s="34" t="s">
        <v>885</v>
      </c>
      <c r="PWM94" s="60"/>
      <c r="PXB94" s="34" t="s">
        <v>885</v>
      </c>
      <c r="PXC94" s="60"/>
      <c r="PXR94" s="34" t="s">
        <v>885</v>
      </c>
      <c r="PXS94" s="60"/>
      <c r="PYH94" s="34" t="s">
        <v>885</v>
      </c>
      <c r="PYI94" s="60"/>
      <c r="PYX94" s="34" t="s">
        <v>885</v>
      </c>
      <c r="PYY94" s="60"/>
      <c r="PZN94" s="34" t="s">
        <v>885</v>
      </c>
      <c r="PZO94" s="60"/>
      <c r="QAD94" s="34" t="s">
        <v>885</v>
      </c>
      <c r="QAE94" s="60"/>
      <c r="QAT94" s="34" t="s">
        <v>885</v>
      </c>
      <c r="QAU94" s="60"/>
      <c r="QBJ94" s="34" t="s">
        <v>885</v>
      </c>
      <c r="QBK94" s="60"/>
      <c r="QBZ94" s="34" t="s">
        <v>885</v>
      </c>
      <c r="QCA94" s="60"/>
      <c r="QCP94" s="34" t="s">
        <v>885</v>
      </c>
      <c r="QCQ94" s="60"/>
      <c r="QDF94" s="34" t="s">
        <v>885</v>
      </c>
      <c r="QDG94" s="60"/>
      <c r="QDV94" s="34" t="s">
        <v>885</v>
      </c>
      <c r="QDW94" s="60"/>
      <c r="QEL94" s="34" t="s">
        <v>885</v>
      </c>
      <c r="QEM94" s="60"/>
      <c r="QFB94" s="34" t="s">
        <v>885</v>
      </c>
      <c r="QFC94" s="60"/>
      <c r="QFR94" s="34" t="s">
        <v>885</v>
      </c>
      <c r="QFS94" s="60"/>
      <c r="QGH94" s="34" t="s">
        <v>885</v>
      </c>
      <c r="QGI94" s="60"/>
      <c r="QGX94" s="34" t="s">
        <v>885</v>
      </c>
      <c r="QGY94" s="60"/>
      <c r="QHN94" s="34" t="s">
        <v>885</v>
      </c>
      <c r="QHO94" s="60"/>
      <c r="QID94" s="34" t="s">
        <v>885</v>
      </c>
      <c r="QIE94" s="60"/>
      <c r="QIT94" s="34" t="s">
        <v>885</v>
      </c>
      <c r="QIU94" s="60"/>
      <c r="QJJ94" s="34" t="s">
        <v>885</v>
      </c>
      <c r="QJK94" s="60"/>
      <c r="QJZ94" s="34" t="s">
        <v>885</v>
      </c>
      <c r="QKA94" s="60"/>
      <c r="QKP94" s="34" t="s">
        <v>885</v>
      </c>
      <c r="QKQ94" s="60"/>
      <c r="QLF94" s="34" t="s">
        <v>885</v>
      </c>
      <c r="QLG94" s="60"/>
      <c r="QLV94" s="34" t="s">
        <v>885</v>
      </c>
      <c r="QLW94" s="60"/>
      <c r="QML94" s="34" t="s">
        <v>885</v>
      </c>
      <c r="QMM94" s="60"/>
      <c r="QNB94" s="34" t="s">
        <v>885</v>
      </c>
      <c r="QNC94" s="60"/>
      <c r="QNR94" s="34" t="s">
        <v>885</v>
      </c>
      <c r="QNS94" s="60"/>
      <c r="QOH94" s="34" t="s">
        <v>885</v>
      </c>
      <c r="QOI94" s="60"/>
      <c r="QOX94" s="34" t="s">
        <v>885</v>
      </c>
      <c r="QOY94" s="60"/>
      <c r="QPN94" s="34" t="s">
        <v>885</v>
      </c>
      <c r="QPO94" s="60"/>
      <c r="QQD94" s="34" t="s">
        <v>885</v>
      </c>
      <c r="QQE94" s="60"/>
      <c r="QQT94" s="34" t="s">
        <v>885</v>
      </c>
      <c r="QQU94" s="60"/>
      <c r="QRJ94" s="34" t="s">
        <v>885</v>
      </c>
      <c r="QRK94" s="60"/>
      <c r="QRZ94" s="34" t="s">
        <v>885</v>
      </c>
      <c r="QSA94" s="60"/>
      <c r="QSP94" s="34" t="s">
        <v>885</v>
      </c>
      <c r="QSQ94" s="60"/>
      <c r="QTF94" s="34" t="s">
        <v>885</v>
      </c>
      <c r="QTG94" s="60"/>
      <c r="QTV94" s="34" t="s">
        <v>885</v>
      </c>
      <c r="QTW94" s="60"/>
      <c r="QUL94" s="34" t="s">
        <v>885</v>
      </c>
      <c r="QUM94" s="60"/>
      <c r="QVB94" s="34" t="s">
        <v>885</v>
      </c>
      <c r="QVC94" s="60"/>
      <c r="QVR94" s="34" t="s">
        <v>885</v>
      </c>
      <c r="QVS94" s="60"/>
      <c r="QWH94" s="34" t="s">
        <v>885</v>
      </c>
      <c r="QWI94" s="60"/>
      <c r="QWX94" s="34" t="s">
        <v>885</v>
      </c>
      <c r="QWY94" s="60"/>
      <c r="QXN94" s="34" t="s">
        <v>885</v>
      </c>
      <c r="QXO94" s="60"/>
      <c r="QYD94" s="34" t="s">
        <v>885</v>
      </c>
      <c r="QYE94" s="60"/>
      <c r="QYT94" s="34" t="s">
        <v>885</v>
      </c>
      <c r="QYU94" s="60"/>
      <c r="QZJ94" s="34" t="s">
        <v>885</v>
      </c>
      <c r="QZK94" s="60"/>
      <c r="QZZ94" s="34" t="s">
        <v>885</v>
      </c>
      <c r="RAA94" s="60"/>
      <c r="RAP94" s="34" t="s">
        <v>885</v>
      </c>
      <c r="RAQ94" s="60"/>
      <c r="RBF94" s="34" t="s">
        <v>885</v>
      </c>
      <c r="RBG94" s="60"/>
      <c r="RBV94" s="34" t="s">
        <v>885</v>
      </c>
      <c r="RBW94" s="60"/>
      <c r="RCL94" s="34" t="s">
        <v>885</v>
      </c>
      <c r="RCM94" s="60"/>
      <c r="RDB94" s="34" t="s">
        <v>885</v>
      </c>
      <c r="RDC94" s="60"/>
      <c r="RDR94" s="34" t="s">
        <v>885</v>
      </c>
      <c r="RDS94" s="60"/>
      <c r="REH94" s="34" t="s">
        <v>885</v>
      </c>
      <c r="REI94" s="60"/>
      <c r="REX94" s="34" t="s">
        <v>885</v>
      </c>
      <c r="REY94" s="60"/>
      <c r="RFN94" s="34" t="s">
        <v>885</v>
      </c>
      <c r="RFO94" s="60"/>
      <c r="RGD94" s="34" t="s">
        <v>885</v>
      </c>
      <c r="RGE94" s="60"/>
      <c r="RGT94" s="34" t="s">
        <v>885</v>
      </c>
      <c r="RGU94" s="60"/>
      <c r="RHJ94" s="34" t="s">
        <v>885</v>
      </c>
      <c r="RHK94" s="60"/>
      <c r="RHZ94" s="34" t="s">
        <v>885</v>
      </c>
      <c r="RIA94" s="60"/>
      <c r="RIP94" s="34" t="s">
        <v>885</v>
      </c>
      <c r="RIQ94" s="60"/>
      <c r="RJF94" s="34" t="s">
        <v>885</v>
      </c>
      <c r="RJG94" s="60"/>
      <c r="RJV94" s="34" t="s">
        <v>885</v>
      </c>
      <c r="RJW94" s="60"/>
      <c r="RKL94" s="34" t="s">
        <v>885</v>
      </c>
      <c r="RKM94" s="60"/>
      <c r="RLB94" s="34" t="s">
        <v>885</v>
      </c>
      <c r="RLC94" s="60"/>
      <c r="RLR94" s="34" t="s">
        <v>885</v>
      </c>
      <c r="RLS94" s="60"/>
      <c r="RMH94" s="34" t="s">
        <v>885</v>
      </c>
      <c r="RMI94" s="60"/>
      <c r="RMX94" s="34" t="s">
        <v>885</v>
      </c>
      <c r="RMY94" s="60"/>
      <c r="RNN94" s="34" t="s">
        <v>885</v>
      </c>
      <c r="RNO94" s="60"/>
      <c r="ROD94" s="34" t="s">
        <v>885</v>
      </c>
      <c r="ROE94" s="60"/>
      <c r="ROT94" s="34" t="s">
        <v>885</v>
      </c>
      <c r="ROU94" s="60"/>
      <c r="RPJ94" s="34" t="s">
        <v>885</v>
      </c>
      <c r="RPK94" s="60"/>
      <c r="RPZ94" s="34" t="s">
        <v>885</v>
      </c>
      <c r="RQA94" s="60"/>
      <c r="RQP94" s="34" t="s">
        <v>885</v>
      </c>
      <c r="RQQ94" s="60"/>
      <c r="RRF94" s="34" t="s">
        <v>885</v>
      </c>
      <c r="RRG94" s="60"/>
      <c r="RRV94" s="34" t="s">
        <v>885</v>
      </c>
      <c r="RRW94" s="60"/>
      <c r="RSL94" s="34" t="s">
        <v>885</v>
      </c>
      <c r="RSM94" s="60"/>
      <c r="RTB94" s="34" t="s">
        <v>885</v>
      </c>
      <c r="RTC94" s="60"/>
      <c r="RTR94" s="34" t="s">
        <v>885</v>
      </c>
      <c r="RTS94" s="60"/>
      <c r="RUH94" s="34" t="s">
        <v>885</v>
      </c>
      <c r="RUI94" s="60"/>
      <c r="RUX94" s="34" t="s">
        <v>885</v>
      </c>
      <c r="RUY94" s="60"/>
      <c r="RVN94" s="34" t="s">
        <v>885</v>
      </c>
      <c r="RVO94" s="60"/>
      <c r="RWD94" s="34" t="s">
        <v>885</v>
      </c>
      <c r="RWE94" s="60"/>
      <c r="RWT94" s="34" t="s">
        <v>885</v>
      </c>
      <c r="RWU94" s="60"/>
      <c r="RXJ94" s="34" t="s">
        <v>885</v>
      </c>
      <c r="RXK94" s="60"/>
      <c r="RXZ94" s="34" t="s">
        <v>885</v>
      </c>
      <c r="RYA94" s="60"/>
      <c r="RYP94" s="34" t="s">
        <v>885</v>
      </c>
      <c r="RYQ94" s="60"/>
      <c r="RZF94" s="34" t="s">
        <v>885</v>
      </c>
      <c r="RZG94" s="60"/>
      <c r="RZV94" s="34" t="s">
        <v>885</v>
      </c>
      <c r="RZW94" s="60"/>
      <c r="SAL94" s="34" t="s">
        <v>885</v>
      </c>
      <c r="SAM94" s="60"/>
      <c r="SBB94" s="34" t="s">
        <v>885</v>
      </c>
      <c r="SBC94" s="60"/>
      <c r="SBR94" s="34" t="s">
        <v>885</v>
      </c>
      <c r="SBS94" s="60"/>
      <c r="SCH94" s="34" t="s">
        <v>885</v>
      </c>
      <c r="SCI94" s="60"/>
      <c r="SCX94" s="34" t="s">
        <v>885</v>
      </c>
      <c r="SCY94" s="60"/>
      <c r="SDN94" s="34" t="s">
        <v>885</v>
      </c>
      <c r="SDO94" s="60"/>
      <c r="SED94" s="34" t="s">
        <v>885</v>
      </c>
      <c r="SEE94" s="60"/>
      <c r="SET94" s="34" t="s">
        <v>885</v>
      </c>
      <c r="SEU94" s="60"/>
      <c r="SFJ94" s="34" t="s">
        <v>885</v>
      </c>
      <c r="SFK94" s="60"/>
      <c r="SFZ94" s="34" t="s">
        <v>885</v>
      </c>
      <c r="SGA94" s="60"/>
      <c r="SGP94" s="34" t="s">
        <v>885</v>
      </c>
      <c r="SGQ94" s="60"/>
      <c r="SHF94" s="34" t="s">
        <v>885</v>
      </c>
      <c r="SHG94" s="60"/>
      <c r="SHV94" s="34" t="s">
        <v>885</v>
      </c>
      <c r="SHW94" s="60"/>
      <c r="SIL94" s="34" t="s">
        <v>885</v>
      </c>
      <c r="SIM94" s="60"/>
      <c r="SJB94" s="34" t="s">
        <v>885</v>
      </c>
      <c r="SJC94" s="60"/>
      <c r="SJR94" s="34" t="s">
        <v>885</v>
      </c>
      <c r="SJS94" s="60"/>
      <c r="SKH94" s="34" t="s">
        <v>885</v>
      </c>
      <c r="SKI94" s="60"/>
      <c r="SKX94" s="34" t="s">
        <v>885</v>
      </c>
      <c r="SKY94" s="60"/>
      <c r="SLN94" s="34" t="s">
        <v>885</v>
      </c>
      <c r="SLO94" s="60"/>
      <c r="SMD94" s="34" t="s">
        <v>885</v>
      </c>
      <c r="SME94" s="60"/>
      <c r="SMT94" s="34" t="s">
        <v>885</v>
      </c>
      <c r="SMU94" s="60"/>
      <c r="SNJ94" s="34" t="s">
        <v>885</v>
      </c>
      <c r="SNK94" s="60"/>
      <c r="SNZ94" s="34" t="s">
        <v>885</v>
      </c>
      <c r="SOA94" s="60"/>
      <c r="SOP94" s="34" t="s">
        <v>885</v>
      </c>
      <c r="SOQ94" s="60"/>
      <c r="SPF94" s="34" t="s">
        <v>885</v>
      </c>
      <c r="SPG94" s="60"/>
      <c r="SPV94" s="34" t="s">
        <v>885</v>
      </c>
      <c r="SPW94" s="60"/>
      <c r="SQL94" s="34" t="s">
        <v>885</v>
      </c>
      <c r="SQM94" s="60"/>
      <c r="SRB94" s="34" t="s">
        <v>885</v>
      </c>
      <c r="SRC94" s="60"/>
      <c r="SRR94" s="34" t="s">
        <v>885</v>
      </c>
      <c r="SRS94" s="60"/>
      <c r="SSH94" s="34" t="s">
        <v>885</v>
      </c>
      <c r="SSI94" s="60"/>
      <c r="SSX94" s="34" t="s">
        <v>885</v>
      </c>
      <c r="SSY94" s="60"/>
      <c r="STN94" s="34" t="s">
        <v>885</v>
      </c>
      <c r="STO94" s="60"/>
      <c r="SUD94" s="34" t="s">
        <v>885</v>
      </c>
      <c r="SUE94" s="60"/>
      <c r="SUT94" s="34" t="s">
        <v>885</v>
      </c>
      <c r="SUU94" s="60"/>
      <c r="SVJ94" s="34" t="s">
        <v>885</v>
      </c>
      <c r="SVK94" s="60"/>
      <c r="SVZ94" s="34" t="s">
        <v>885</v>
      </c>
      <c r="SWA94" s="60"/>
      <c r="SWP94" s="34" t="s">
        <v>885</v>
      </c>
      <c r="SWQ94" s="60"/>
      <c r="SXF94" s="34" t="s">
        <v>885</v>
      </c>
      <c r="SXG94" s="60"/>
      <c r="SXV94" s="34" t="s">
        <v>885</v>
      </c>
      <c r="SXW94" s="60"/>
      <c r="SYL94" s="34" t="s">
        <v>885</v>
      </c>
      <c r="SYM94" s="60"/>
      <c r="SZB94" s="34" t="s">
        <v>885</v>
      </c>
      <c r="SZC94" s="60"/>
      <c r="SZR94" s="34" t="s">
        <v>885</v>
      </c>
      <c r="SZS94" s="60"/>
      <c r="TAH94" s="34" t="s">
        <v>885</v>
      </c>
      <c r="TAI94" s="60"/>
      <c r="TAX94" s="34" t="s">
        <v>885</v>
      </c>
      <c r="TAY94" s="60"/>
      <c r="TBN94" s="34" t="s">
        <v>885</v>
      </c>
      <c r="TBO94" s="60"/>
      <c r="TCD94" s="34" t="s">
        <v>885</v>
      </c>
      <c r="TCE94" s="60"/>
      <c r="TCT94" s="34" t="s">
        <v>885</v>
      </c>
      <c r="TCU94" s="60"/>
      <c r="TDJ94" s="34" t="s">
        <v>885</v>
      </c>
      <c r="TDK94" s="60"/>
      <c r="TDZ94" s="34" t="s">
        <v>885</v>
      </c>
      <c r="TEA94" s="60"/>
      <c r="TEP94" s="34" t="s">
        <v>885</v>
      </c>
      <c r="TEQ94" s="60"/>
      <c r="TFF94" s="34" t="s">
        <v>885</v>
      </c>
      <c r="TFG94" s="60"/>
      <c r="TFV94" s="34" t="s">
        <v>885</v>
      </c>
      <c r="TFW94" s="60"/>
      <c r="TGL94" s="34" t="s">
        <v>885</v>
      </c>
      <c r="TGM94" s="60"/>
      <c r="THB94" s="34" t="s">
        <v>885</v>
      </c>
      <c r="THC94" s="60"/>
      <c r="THR94" s="34" t="s">
        <v>885</v>
      </c>
      <c r="THS94" s="60"/>
      <c r="TIH94" s="34" t="s">
        <v>885</v>
      </c>
      <c r="TII94" s="60"/>
      <c r="TIX94" s="34" t="s">
        <v>885</v>
      </c>
      <c r="TIY94" s="60"/>
      <c r="TJN94" s="34" t="s">
        <v>885</v>
      </c>
      <c r="TJO94" s="60"/>
      <c r="TKD94" s="34" t="s">
        <v>885</v>
      </c>
      <c r="TKE94" s="60"/>
      <c r="TKT94" s="34" t="s">
        <v>885</v>
      </c>
      <c r="TKU94" s="60"/>
      <c r="TLJ94" s="34" t="s">
        <v>885</v>
      </c>
      <c r="TLK94" s="60"/>
      <c r="TLZ94" s="34" t="s">
        <v>885</v>
      </c>
      <c r="TMA94" s="60"/>
      <c r="TMP94" s="34" t="s">
        <v>885</v>
      </c>
      <c r="TMQ94" s="60"/>
      <c r="TNF94" s="34" t="s">
        <v>885</v>
      </c>
      <c r="TNG94" s="60"/>
      <c r="TNV94" s="34" t="s">
        <v>885</v>
      </c>
      <c r="TNW94" s="60"/>
      <c r="TOL94" s="34" t="s">
        <v>885</v>
      </c>
      <c r="TOM94" s="60"/>
      <c r="TPB94" s="34" t="s">
        <v>885</v>
      </c>
      <c r="TPC94" s="60"/>
      <c r="TPR94" s="34" t="s">
        <v>885</v>
      </c>
      <c r="TPS94" s="60"/>
      <c r="TQH94" s="34" t="s">
        <v>885</v>
      </c>
      <c r="TQI94" s="60"/>
      <c r="TQX94" s="34" t="s">
        <v>885</v>
      </c>
      <c r="TQY94" s="60"/>
      <c r="TRN94" s="34" t="s">
        <v>885</v>
      </c>
      <c r="TRO94" s="60"/>
      <c r="TSD94" s="34" t="s">
        <v>885</v>
      </c>
      <c r="TSE94" s="60"/>
      <c r="TST94" s="34" t="s">
        <v>885</v>
      </c>
      <c r="TSU94" s="60"/>
      <c r="TTJ94" s="34" t="s">
        <v>885</v>
      </c>
      <c r="TTK94" s="60"/>
      <c r="TTZ94" s="34" t="s">
        <v>885</v>
      </c>
      <c r="TUA94" s="60"/>
      <c r="TUP94" s="34" t="s">
        <v>885</v>
      </c>
      <c r="TUQ94" s="60"/>
      <c r="TVF94" s="34" t="s">
        <v>885</v>
      </c>
      <c r="TVG94" s="60"/>
      <c r="TVV94" s="34" t="s">
        <v>885</v>
      </c>
      <c r="TVW94" s="60"/>
      <c r="TWL94" s="34" t="s">
        <v>885</v>
      </c>
      <c r="TWM94" s="60"/>
      <c r="TXB94" s="34" t="s">
        <v>885</v>
      </c>
      <c r="TXC94" s="60"/>
      <c r="TXR94" s="34" t="s">
        <v>885</v>
      </c>
      <c r="TXS94" s="60"/>
      <c r="TYH94" s="34" t="s">
        <v>885</v>
      </c>
      <c r="TYI94" s="60"/>
      <c r="TYX94" s="34" t="s">
        <v>885</v>
      </c>
      <c r="TYY94" s="60"/>
      <c r="TZN94" s="34" t="s">
        <v>885</v>
      </c>
      <c r="TZO94" s="60"/>
      <c r="UAD94" s="34" t="s">
        <v>885</v>
      </c>
      <c r="UAE94" s="60"/>
      <c r="UAT94" s="34" t="s">
        <v>885</v>
      </c>
      <c r="UAU94" s="60"/>
      <c r="UBJ94" s="34" t="s">
        <v>885</v>
      </c>
      <c r="UBK94" s="60"/>
      <c r="UBZ94" s="34" t="s">
        <v>885</v>
      </c>
      <c r="UCA94" s="60"/>
      <c r="UCP94" s="34" t="s">
        <v>885</v>
      </c>
      <c r="UCQ94" s="60"/>
      <c r="UDF94" s="34" t="s">
        <v>885</v>
      </c>
      <c r="UDG94" s="60"/>
      <c r="UDV94" s="34" t="s">
        <v>885</v>
      </c>
      <c r="UDW94" s="60"/>
      <c r="UEL94" s="34" t="s">
        <v>885</v>
      </c>
      <c r="UEM94" s="60"/>
      <c r="UFB94" s="34" t="s">
        <v>885</v>
      </c>
      <c r="UFC94" s="60"/>
      <c r="UFR94" s="34" t="s">
        <v>885</v>
      </c>
      <c r="UFS94" s="60"/>
      <c r="UGH94" s="34" t="s">
        <v>885</v>
      </c>
      <c r="UGI94" s="60"/>
      <c r="UGX94" s="34" t="s">
        <v>885</v>
      </c>
      <c r="UGY94" s="60"/>
      <c r="UHN94" s="34" t="s">
        <v>885</v>
      </c>
      <c r="UHO94" s="60"/>
      <c r="UID94" s="34" t="s">
        <v>885</v>
      </c>
      <c r="UIE94" s="60"/>
      <c r="UIT94" s="34" t="s">
        <v>885</v>
      </c>
      <c r="UIU94" s="60"/>
      <c r="UJJ94" s="34" t="s">
        <v>885</v>
      </c>
      <c r="UJK94" s="60"/>
      <c r="UJZ94" s="34" t="s">
        <v>885</v>
      </c>
      <c r="UKA94" s="60"/>
      <c r="UKP94" s="34" t="s">
        <v>885</v>
      </c>
      <c r="UKQ94" s="60"/>
      <c r="ULF94" s="34" t="s">
        <v>885</v>
      </c>
      <c r="ULG94" s="60"/>
      <c r="ULV94" s="34" t="s">
        <v>885</v>
      </c>
      <c r="ULW94" s="60"/>
      <c r="UML94" s="34" t="s">
        <v>885</v>
      </c>
      <c r="UMM94" s="60"/>
      <c r="UNB94" s="34" t="s">
        <v>885</v>
      </c>
      <c r="UNC94" s="60"/>
      <c r="UNR94" s="34" t="s">
        <v>885</v>
      </c>
      <c r="UNS94" s="60"/>
      <c r="UOH94" s="34" t="s">
        <v>885</v>
      </c>
      <c r="UOI94" s="60"/>
      <c r="UOX94" s="34" t="s">
        <v>885</v>
      </c>
      <c r="UOY94" s="60"/>
      <c r="UPN94" s="34" t="s">
        <v>885</v>
      </c>
      <c r="UPO94" s="60"/>
      <c r="UQD94" s="34" t="s">
        <v>885</v>
      </c>
      <c r="UQE94" s="60"/>
      <c r="UQT94" s="34" t="s">
        <v>885</v>
      </c>
      <c r="UQU94" s="60"/>
      <c r="URJ94" s="34" t="s">
        <v>885</v>
      </c>
      <c r="URK94" s="60"/>
      <c r="URZ94" s="34" t="s">
        <v>885</v>
      </c>
      <c r="USA94" s="60"/>
      <c r="USP94" s="34" t="s">
        <v>885</v>
      </c>
      <c r="USQ94" s="60"/>
      <c r="UTF94" s="34" t="s">
        <v>885</v>
      </c>
      <c r="UTG94" s="60"/>
      <c r="UTV94" s="34" t="s">
        <v>885</v>
      </c>
      <c r="UTW94" s="60"/>
      <c r="UUL94" s="34" t="s">
        <v>885</v>
      </c>
      <c r="UUM94" s="60"/>
      <c r="UVB94" s="34" t="s">
        <v>885</v>
      </c>
      <c r="UVC94" s="60"/>
      <c r="UVR94" s="34" t="s">
        <v>885</v>
      </c>
      <c r="UVS94" s="60"/>
      <c r="UWH94" s="34" t="s">
        <v>885</v>
      </c>
      <c r="UWI94" s="60"/>
      <c r="UWX94" s="34" t="s">
        <v>885</v>
      </c>
      <c r="UWY94" s="60"/>
      <c r="UXN94" s="34" t="s">
        <v>885</v>
      </c>
      <c r="UXO94" s="60"/>
      <c r="UYD94" s="34" t="s">
        <v>885</v>
      </c>
      <c r="UYE94" s="60"/>
      <c r="UYT94" s="34" t="s">
        <v>885</v>
      </c>
      <c r="UYU94" s="60"/>
      <c r="UZJ94" s="34" t="s">
        <v>885</v>
      </c>
      <c r="UZK94" s="60"/>
      <c r="UZZ94" s="34" t="s">
        <v>885</v>
      </c>
      <c r="VAA94" s="60"/>
      <c r="VAP94" s="34" t="s">
        <v>885</v>
      </c>
      <c r="VAQ94" s="60"/>
      <c r="VBF94" s="34" t="s">
        <v>885</v>
      </c>
      <c r="VBG94" s="60"/>
      <c r="VBV94" s="34" t="s">
        <v>885</v>
      </c>
      <c r="VBW94" s="60"/>
      <c r="VCL94" s="34" t="s">
        <v>885</v>
      </c>
      <c r="VCM94" s="60"/>
      <c r="VDB94" s="34" t="s">
        <v>885</v>
      </c>
      <c r="VDC94" s="60"/>
      <c r="VDR94" s="34" t="s">
        <v>885</v>
      </c>
      <c r="VDS94" s="60"/>
      <c r="VEH94" s="34" t="s">
        <v>885</v>
      </c>
      <c r="VEI94" s="60"/>
      <c r="VEX94" s="34" t="s">
        <v>885</v>
      </c>
      <c r="VEY94" s="60"/>
      <c r="VFN94" s="34" t="s">
        <v>885</v>
      </c>
      <c r="VFO94" s="60"/>
      <c r="VGD94" s="34" t="s">
        <v>885</v>
      </c>
      <c r="VGE94" s="60"/>
      <c r="VGT94" s="34" t="s">
        <v>885</v>
      </c>
      <c r="VGU94" s="60"/>
      <c r="VHJ94" s="34" t="s">
        <v>885</v>
      </c>
      <c r="VHK94" s="60"/>
      <c r="VHZ94" s="34" t="s">
        <v>885</v>
      </c>
      <c r="VIA94" s="60"/>
      <c r="VIP94" s="34" t="s">
        <v>885</v>
      </c>
      <c r="VIQ94" s="60"/>
      <c r="VJF94" s="34" t="s">
        <v>885</v>
      </c>
      <c r="VJG94" s="60"/>
      <c r="VJV94" s="34" t="s">
        <v>885</v>
      </c>
      <c r="VJW94" s="60"/>
      <c r="VKL94" s="34" t="s">
        <v>885</v>
      </c>
      <c r="VKM94" s="60"/>
      <c r="VLB94" s="34" t="s">
        <v>885</v>
      </c>
      <c r="VLC94" s="60"/>
      <c r="VLR94" s="34" t="s">
        <v>885</v>
      </c>
      <c r="VLS94" s="60"/>
      <c r="VMH94" s="34" t="s">
        <v>885</v>
      </c>
      <c r="VMI94" s="60"/>
      <c r="VMX94" s="34" t="s">
        <v>885</v>
      </c>
      <c r="VMY94" s="60"/>
      <c r="VNN94" s="34" t="s">
        <v>885</v>
      </c>
      <c r="VNO94" s="60"/>
      <c r="VOD94" s="34" t="s">
        <v>885</v>
      </c>
      <c r="VOE94" s="60"/>
      <c r="VOT94" s="34" t="s">
        <v>885</v>
      </c>
      <c r="VOU94" s="60"/>
      <c r="VPJ94" s="34" t="s">
        <v>885</v>
      </c>
      <c r="VPK94" s="60"/>
      <c r="VPZ94" s="34" t="s">
        <v>885</v>
      </c>
      <c r="VQA94" s="60"/>
      <c r="VQP94" s="34" t="s">
        <v>885</v>
      </c>
      <c r="VQQ94" s="60"/>
      <c r="VRF94" s="34" t="s">
        <v>885</v>
      </c>
      <c r="VRG94" s="60"/>
      <c r="VRV94" s="34" t="s">
        <v>885</v>
      </c>
      <c r="VRW94" s="60"/>
      <c r="VSL94" s="34" t="s">
        <v>885</v>
      </c>
      <c r="VSM94" s="60"/>
      <c r="VTB94" s="34" t="s">
        <v>885</v>
      </c>
      <c r="VTC94" s="60"/>
      <c r="VTR94" s="34" t="s">
        <v>885</v>
      </c>
      <c r="VTS94" s="60"/>
      <c r="VUH94" s="34" t="s">
        <v>885</v>
      </c>
      <c r="VUI94" s="60"/>
      <c r="VUX94" s="34" t="s">
        <v>885</v>
      </c>
      <c r="VUY94" s="60"/>
      <c r="VVN94" s="34" t="s">
        <v>885</v>
      </c>
      <c r="VVO94" s="60"/>
      <c r="VWD94" s="34" t="s">
        <v>885</v>
      </c>
      <c r="VWE94" s="60"/>
      <c r="VWT94" s="34" t="s">
        <v>885</v>
      </c>
      <c r="VWU94" s="60"/>
      <c r="VXJ94" s="34" t="s">
        <v>885</v>
      </c>
      <c r="VXK94" s="60"/>
      <c r="VXZ94" s="34" t="s">
        <v>885</v>
      </c>
      <c r="VYA94" s="60"/>
      <c r="VYP94" s="34" t="s">
        <v>885</v>
      </c>
      <c r="VYQ94" s="60"/>
      <c r="VZF94" s="34" t="s">
        <v>885</v>
      </c>
      <c r="VZG94" s="60"/>
      <c r="VZV94" s="34" t="s">
        <v>885</v>
      </c>
      <c r="VZW94" s="60"/>
      <c r="WAL94" s="34" t="s">
        <v>885</v>
      </c>
      <c r="WAM94" s="60"/>
      <c r="WBB94" s="34" t="s">
        <v>885</v>
      </c>
      <c r="WBC94" s="60"/>
      <c r="WBR94" s="34" t="s">
        <v>885</v>
      </c>
      <c r="WBS94" s="60"/>
      <c r="WCH94" s="34" t="s">
        <v>885</v>
      </c>
      <c r="WCI94" s="60"/>
      <c r="WCX94" s="34" t="s">
        <v>885</v>
      </c>
      <c r="WCY94" s="60"/>
      <c r="WDN94" s="34" t="s">
        <v>885</v>
      </c>
      <c r="WDO94" s="60"/>
      <c r="WED94" s="34" t="s">
        <v>885</v>
      </c>
      <c r="WEE94" s="60"/>
      <c r="WET94" s="34" t="s">
        <v>885</v>
      </c>
      <c r="WEU94" s="60"/>
      <c r="WFJ94" s="34" t="s">
        <v>885</v>
      </c>
      <c r="WFK94" s="60"/>
      <c r="WFZ94" s="34" t="s">
        <v>885</v>
      </c>
      <c r="WGA94" s="60"/>
      <c r="WGP94" s="34" t="s">
        <v>885</v>
      </c>
      <c r="WGQ94" s="60"/>
      <c r="WHF94" s="34" t="s">
        <v>885</v>
      </c>
      <c r="WHG94" s="60"/>
      <c r="WHV94" s="34" t="s">
        <v>885</v>
      </c>
      <c r="WHW94" s="60"/>
      <c r="WIL94" s="34" t="s">
        <v>885</v>
      </c>
      <c r="WIM94" s="60"/>
      <c r="WJB94" s="34" t="s">
        <v>885</v>
      </c>
      <c r="WJC94" s="60"/>
      <c r="WJR94" s="34" t="s">
        <v>885</v>
      </c>
      <c r="WJS94" s="60"/>
      <c r="WKH94" s="34" t="s">
        <v>885</v>
      </c>
      <c r="WKI94" s="60"/>
      <c r="WKX94" s="34" t="s">
        <v>885</v>
      </c>
      <c r="WKY94" s="60"/>
      <c r="WLN94" s="34" t="s">
        <v>885</v>
      </c>
      <c r="WLO94" s="60"/>
      <c r="WMD94" s="34" t="s">
        <v>885</v>
      </c>
      <c r="WME94" s="60"/>
      <c r="WMT94" s="34" t="s">
        <v>885</v>
      </c>
      <c r="WMU94" s="60"/>
      <c r="WNJ94" s="34" t="s">
        <v>885</v>
      </c>
      <c r="WNK94" s="60"/>
      <c r="WNZ94" s="34" t="s">
        <v>885</v>
      </c>
      <c r="WOA94" s="60"/>
      <c r="WOP94" s="34" t="s">
        <v>885</v>
      </c>
      <c r="WOQ94" s="60"/>
      <c r="WPF94" s="34" t="s">
        <v>885</v>
      </c>
      <c r="WPG94" s="60"/>
      <c r="WPV94" s="34" t="s">
        <v>885</v>
      </c>
      <c r="WPW94" s="60"/>
      <c r="WQL94" s="34" t="s">
        <v>885</v>
      </c>
      <c r="WQM94" s="60"/>
      <c r="WRB94" s="34" t="s">
        <v>885</v>
      </c>
      <c r="WRC94" s="60"/>
      <c r="WRR94" s="34" t="s">
        <v>885</v>
      </c>
      <c r="WRS94" s="60"/>
      <c r="WSH94" s="34" t="s">
        <v>885</v>
      </c>
      <c r="WSI94" s="60"/>
      <c r="WSX94" s="34" t="s">
        <v>885</v>
      </c>
      <c r="WSY94" s="60"/>
      <c r="WTN94" s="34" t="s">
        <v>885</v>
      </c>
      <c r="WTO94" s="60"/>
      <c r="WUD94" s="34" t="s">
        <v>885</v>
      </c>
      <c r="WUE94" s="60"/>
      <c r="WUT94" s="34" t="s">
        <v>885</v>
      </c>
      <c r="WUU94" s="60"/>
      <c r="WVJ94" s="34" t="s">
        <v>885</v>
      </c>
      <c r="WVK94" s="60"/>
      <c r="WVZ94" s="34" t="s">
        <v>885</v>
      </c>
      <c r="WWA94" s="60"/>
      <c r="WWP94" s="34" t="s">
        <v>885</v>
      </c>
      <c r="WWQ94" s="60"/>
      <c r="WXF94" s="34" t="s">
        <v>885</v>
      </c>
      <c r="WXG94" s="60"/>
      <c r="WXV94" s="34" t="s">
        <v>885</v>
      </c>
      <c r="WXW94" s="60"/>
      <c r="WYL94" s="34" t="s">
        <v>885</v>
      </c>
      <c r="WYM94" s="60"/>
      <c r="WZB94" s="34" t="s">
        <v>885</v>
      </c>
      <c r="WZC94" s="60"/>
      <c r="WZR94" s="34" t="s">
        <v>885</v>
      </c>
      <c r="WZS94" s="60"/>
      <c r="XAH94" s="34" t="s">
        <v>885</v>
      </c>
      <c r="XAI94" s="60"/>
      <c r="XAX94" s="34" t="s">
        <v>885</v>
      </c>
      <c r="XAY94" s="60"/>
      <c r="XBN94" s="34" t="s">
        <v>885</v>
      </c>
      <c r="XBO94" s="60"/>
      <c r="XCD94" s="34" t="s">
        <v>885</v>
      </c>
      <c r="XCE94" s="60"/>
      <c r="XCT94" s="34" t="s">
        <v>885</v>
      </c>
      <c r="XCU94" s="60"/>
      <c r="XDJ94" s="34" t="s">
        <v>885</v>
      </c>
      <c r="XDK94" s="60"/>
      <c r="XDZ94" s="34" t="s">
        <v>885</v>
      </c>
      <c r="XEA94" s="60"/>
      <c r="XEP94" s="34" t="s">
        <v>885</v>
      </c>
      <c r="XEQ94" s="60"/>
    </row>
    <row r="95" spans="2:1011 1026:2035 2050:3059 3074:4083 4098:5107 5122:6131 6146:7155 7170:8179 8194:9203 9218:10227 10242:11251 11266:12275 12290:13299 13314:14323 14338:15347 15362:16371" ht="14.25" x14ac:dyDescent="0.2">
      <c r="R95" s="34"/>
      <c r="S95" s="60"/>
      <c r="AH95" s="34"/>
      <c r="AI95" s="60"/>
      <c r="AX95" s="34"/>
      <c r="AY95" s="60"/>
      <c r="BN95" s="34"/>
      <c r="BO95" s="60"/>
      <c r="CD95" s="34"/>
      <c r="CE95" s="60"/>
      <c r="CT95" s="34"/>
      <c r="CU95" s="60"/>
      <c r="DJ95" s="34"/>
      <c r="DK95" s="60"/>
      <c r="DZ95" s="34"/>
      <c r="EA95" s="60"/>
      <c r="EP95" s="34"/>
      <c r="EQ95" s="60"/>
      <c r="FF95" s="34"/>
      <c r="FG95" s="60"/>
      <c r="FV95" s="34"/>
      <c r="FW95" s="60"/>
      <c r="GL95" s="34"/>
      <c r="GM95" s="60"/>
      <c r="HB95" s="34"/>
      <c r="HC95" s="60"/>
      <c r="HR95" s="34"/>
      <c r="HS95" s="60"/>
      <c r="IH95" s="34"/>
      <c r="II95" s="60"/>
      <c r="IX95" s="34"/>
      <c r="IY95" s="60"/>
      <c r="JN95" s="34"/>
      <c r="JO95" s="60"/>
      <c r="KD95" s="34"/>
      <c r="KE95" s="60"/>
      <c r="KT95" s="34"/>
      <c r="KU95" s="60"/>
      <c r="LJ95" s="34"/>
      <c r="LK95" s="60"/>
      <c r="LZ95" s="34"/>
      <c r="MA95" s="60"/>
      <c r="MP95" s="34"/>
      <c r="MQ95" s="60"/>
      <c r="NF95" s="34"/>
      <c r="NG95" s="60"/>
      <c r="NV95" s="34"/>
      <c r="NW95" s="60"/>
      <c r="OL95" s="34"/>
      <c r="OM95" s="60"/>
      <c r="PB95" s="34"/>
      <c r="PC95" s="60"/>
      <c r="PR95" s="34"/>
      <c r="PS95" s="60"/>
      <c r="QH95" s="34"/>
      <c r="QI95" s="60"/>
      <c r="QX95" s="34"/>
      <c r="QY95" s="60"/>
      <c r="RN95" s="34"/>
      <c r="RO95" s="60"/>
      <c r="SD95" s="34"/>
      <c r="SE95" s="60"/>
      <c r="ST95" s="34"/>
      <c r="SU95" s="60"/>
      <c r="TJ95" s="34"/>
      <c r="TK95" s="60"/>
      <c r="TZ95" s="34"/>
      <c r="UA95" s="60"/>
      <c r="UP95" s="34"/>
      <c r="UQ95" s="60"/>
      <c r="VF95" s="34"/>
      <c r="VG95" s="60"/>
      <c r="VV95" s="34"/>
      <c r="VW95" s="60"/>
      <c r="WL95" s="34"/>
      <c r="WM95" s="60"/>
      <c r="XB95" s="34"/>
      <c r="XC95" s="60"/>
      <c r="XR95" s="34"/>
      <c r="XS95" s="60"/>
      <c r="YH95" s="34"/>
      <c r="YI95" s="60"/>
      <c r="YX95" s="34"/>
      <c r="YY95" s="60"/>
      <c r="ZN95" s="34"/>
      <c r="ZO95" s="60"/>
      <c r="AAD95" s="34"/>
      <c r="AAE95" s="60"/>
      <c r="AAT95" s="34"/>
      <c r="AAU95" s="60"/>
      <c r="ABJ95" s="34"/>
      <c r="ABK95" s="60"/>
      <c r="ABZ95" s="34"/>
      <c r="ACA95" s="60"/>
      <c r="ACP95" s="34"/>
      <c r="ACQ95" s="60"/>
      <c r="ADF95" s="34"/>
      <c r="ADG95" s="60"/>
      <c r="ADV95" s="34"/>
      <c r="ADW95" s="60"/>
      <c r="AEL95" s="34"/>
      <c r="AEM95" s="60"/>
      <c r="AFB95" s="34"/>
      <c r="AFC95" s="60"/>
      <c r="AFR95" s="34"/>
      <c r="AFS95" s="60"/>
      <c r="AGH95" s="34"/>
      <c r="AGI95" s="60"/>
      <c r="AGX95" s="34"/>
      <c r="AGY95" s="60"/>
      <c r="AHN95" s="34"/>
      <c r="AHO95" s="60"/>
      <c r="AID95" s="34"/>
      <c r="AIE95" s="60"/>
      <c r="AIT95" s="34"/>
      <c r="AIU95" s="60"/>
      <c r="AJJ95" s="34"/>
      <c r="AJK95" s="60"/>
      <c r="AJZ95" s="34"/>
      <c r="AKA95" s="60"/>
      <c r="AKP95" s="34"/>
      <c r="AKQ95" s="60"/>
      <c r="ALF95" s="34"/>
      <c r="ALG95" s="60"/>
      <c r="ALV95" s="34"/>
      <c r="ALW95" s="60"/>
      <c r="AML95" s="34"/>
      <c r="AMM95" s="60"/>
      <c r="ANB95" s="34"/>
      <c r="ANC95" s="60"/>
      <c r="ANR95" s="34"/>
      <c r="ANS95" s="60"/>
      <c r="AOH95" s="34"/>
      <c r="AOI95" s="60"/>
      <c r="AOX95" s="34"/>
      <c r="AOY95" s="60"/>
      <c r="APN95" s="34"/>
      <c r="APO95" s="60"/>
      <c r="AQD95" s="34"/>
      <c r="AQE95" s="60"/>
      <c r="AQT95" s="34"/>
      <c r="AQU95" s="60"/>
      <c r="ARJ95" s="34"/>
      <c r="ARK95" s="60"/>
      <c r="ARZ95" s="34"/>
      <c r="ASA95" s="60"/>
      <c r="ASP95" s="34"/>
      <c r="ASQ95" s="60"/>
      <c r="ATF95" s="34"/>
      <c r="ATG95" s="60"/>
      <c r="ATV95" s="34"/>
      <c r="ATW95" s="60"/>
      <c r="AUL95" s="34"/>
      <c r="AUM95" s="60"/>
      <c r="AVB95" s="34"/>
      <c r="AVC95" s="60"/>
      <c r="AVR95" s="34"/>
      <c r="AVS95" s="60"/>
      <c r="AWH95" s="34"/>
      <c r="AWI95" s="60"/>
      <c r="AWX95" s="34"/>
      <c r="AWY95" s="60"/>
      <c r="AXN95" s="34"/>
      <c r="AXO95" s="60"/>
      <c r="AYD95" s="34"/>
      <c r="AYE95" s="60"/>
      <c r="AYT95" s="34"/>
      <c r="AYU95" s="60"/>
      <c r="AZJ95" s="34"/>
      <c r="AZK95" s="60"/>
      <c r="AZZ95" s="34"/>
      <c r="BAA95" s="60"/>
      <c r="BAP95" s="34"/>
      <c r="BAQ95" s="60"/>
      <c r="BBF95" s="34"/>
      <c r="BBG95" s="60"/>
      <c r="BBV95" s="34"/>
      <c r="BBW95" s="60"/>
      <c r="BCL95" s="34"/>
      <c r="BCM95" s="60"/>
      <c r="BDB95" s="34"/>
      <c r="BDC95" s="60"/>
      <c r="BDR95" s="34"/>
      <c r="BDS95" s="60"/>
      <c r="BEH95" s="34"/>
      <c r="BEI95" s="60"/>
      <c r="BEX95" s="34"/>
      <c r="BEY95" s="60"/>
      <c r="BFN95" s="34"/>
      <c r="BFO95" s="60"/>
      <c r="BGD95" s="34"/>
      <c r="BGE95" s="60"/>
      <c r="BGT95" s="34"/>
      <c r="BGU95" s="60"/>
      <c r="BHJ95" s="34"/>
      <c r="BHK95" s="60"/>
      <c r="BHZ95" s="34"/>
      <c r="BIA95" s="60"/>
      <c r="BIP95" s="34"/>
      <c r="BIQ95" s="60"/>
      <c r="BJF95" s="34"/>
      <c r="BJG95" s="60"/>
      <c r="BJV95" s="34"/>
      <c r="BJW95" s="60"/>
      <c r="BKL95" s="34"/>
      <c r="BKM95" s="60"/>
      <c r="BLB95" s="34"/>
      <c r="BLC95" s="60"/>
      <c r="BLR95" s="34"/>
      <c r="BLS95" s="60"/>
      <c r="BMH95" s="34"/>
      <c r="BMI95" s="60"/>
      <c r="BMX95" s="34"/>
      <c r="BMY95" s="60"/>
      <c r="BNN95" s="34"/>
      <c r="BNO95" s="60"/>
      <c r="BOD95" s="34"/>
      <c r="BOE95" s="60"/>
      <c r="BOT95" s="34"/>
      <c r="BOU95" s="60"/>
      <c r="BPJ95" s="34"/>
      <c r="BPK95" s="60"/>
      <c r="BPZ95" s="34"/>
      <c r="BQA95" s="60"/>
      <c r="BQP95" s="34"/>
      <c r="BQQ95" s="60"/>
      <c r="BRF95" s="34"/>
      <c r="BRG95" s="60"/>
      <c r="BRV95" s="34"/>
      <c r="BRW95" s="60"/>
      <c r="BSL95" s="34"/>
      <c r="BSM95" s="60"/>
      <c r="BTB95" s="34"/>
      <c r="BTC95" s="60"/>
      <c r="BTR95" s="34"/>
      <c r="BTS95" s="60"/>
      <c r="BUH95" s="34"/>
      <c r="BUI95" s="60"/>
      <c r="BUX95" s="34"/>
      <c r="BUY95" s="60"/>
      <c r="BVN95" s="34"/>
      <c r="BVO95" s="60"/>
      <c r="BWD95" s="34"/>
      <c r="BWE95" s="60"/>
      <c r="BWT95" s="34"/>
      <c r="BWU95" s="60"/>
      <c r="BXJ95" s="34"/>
      <c r="BXK95" s="60"/>
      <c r="BXZ95" s="34"/>
      <c r="BYA95" s="60"/>
      <c r="BYP95" s="34"/>
      <c r="BYQ95" s="60"/>
      <c r="BZF95" s="34"/>
      <c r="BZG95" s="60"/>
      <c r="BZV95" s="34"/>
      <c r="BZW95" s="60"/>
      <c r="CAL95" s="34"/>
      <c r="CAM95" s="60"/>
      <c r="CBB95" s="34"/>
      <c r="CBC95" s="60"/>
      <c r="CBR95" s="34"/>
      <c r="CBS95" s="60"/>
      <c r="CCH95" s="34"/>
      <c r="CCI95" s="60"/>
      <c r="CCX95" s="34"/>
      <c r="CCY95" s="60"/>
      <c r="CDN95" s="34"/>
      <c r="CDO95" s="60"/>
      <c r="CED95" s="34"/>
      <c r="CEE95" s="60"/>
      <c r="CET95" s="34"/>
      <c r="CEU95" s="60"/>
      <c r="CFJ95" s="34"/>
      <c r="CFK95" s="60"/>
      <c r="CFZ95" s="34"/>
      <c r="CGA95" s="60"/>
      <c r="CGP95" s="34"/>
      <c r="CGQ95" s="60"/>
      <c r="CHF95" s="34"/>
      <c r="CHG95" s="60"/>
      <c r="CHV95" s="34"/>
      <c r="CHW95" s="60"/>
      <c r="CIL95" s="34"/>
      <c r="CIM95" s="60"/>
      <c r="CJB95" s="34"/>
      <c r="CJC95" s="60"/>
      <c r="CJR95" s="34"/>
      <c r="CJS95" s="60"/>
      <c r="CKH95" s="34"/>
      <c r="CKI95" s="60"/>
      <c r="CKX95" s="34"/>
      <c r="CKY95" s="60"/>
      <c r="CLN95" s="34"/>
      <c r="CLO95" s="60"/>
      <c r="CMD95" s="34"/>
      <c r="CME95" s="60"/>
      <c r="CMT95" s="34"/>
      <c r="CMU95" s="60"/>
      <c r="CNJ95" s="34"/>
      <c r="CNK95" s="60"/>
      <c r="CNZ95" s="34"/>
      <c r="COA95" s="60"/>
      <c r="COP95" s="34"/>
      <c r="COQ95" s="60"/>
      <c r="CPF95" s="34"/>
      <c r="CPG95" s="60"/>
      <c r="CPV95" s="34"/>
      <c r="CPW95" s="60"/>
      <c r="CQL95" s="34"/>
      <c r="CQM95" s="60"/>
      <c r="CRB95" s="34"/>
      <c r="CRC95" s="60"/>
      <c r="CRR95" s="34"/>
      <c r="CRS95" s="60"/>
      <c r="CSH95" s="34"/>
      <c r="CSI95" s="60"/>
      <c r="CSX95" s="34"/>
      <c r="CSY95" s="60"/>
      <c r="CTN95" s="34"/>
      <c r="CTO95" s="60"/>
      <c r="CUD95" s="34"/>
      <c r="CUE95" s="60"/>
      <c r="CUT95" s="34"/>
      <c r="CUU95" s="60"/>
      <c r="CVJ95" s="34"/>
      <c r="CVK95" s="60"/>
      <c r="CVZ95" s="34"/>
      <c r="CWA95" s="60"/>
      <c r="CWP95" s="34"/>
      <c r="CWQ95" s="60"/>
      <c r="CXF95" s="34"/>
      <c r="CXG95" s="60"/>
      <c r="CXV95" s="34"/>
      <c r="CXW95" s="60"/>
      <c r="CYL95" s="34"/>
      <c r="CYM95" s="60"/>
      <c r="CZB95" s="34"/>
      <c r="CZC95" s="60"/>
      <c r="CZR95" s="34"/>
      <c r="CZS95" s="60"/>
      <c r="DAH95" s="34"/>
      <c r="DAI95" s="60"/>
      <c r="DAX95" s="34"/>
      <c r="DAY95" s="60"/>
      <c r="DBN95" s="34"/>
      <c r="DBO95" s="60"/>
      <c r="DCD95" s="34"/>
      <c r="DCE95" s="60"/>
      <c r="DCT95" s="34"/>
      <c r="DCU95" s="60"/>
      <c r="DDJ95" s="34"/>
      <c r="DDK95" s="60"/>
      <c r="DDZ95" s="34"/>
      <c r="DEA95" s="60"/>
      <c r="DEP95" s="34"/>
      <c r="DEQ95" s="60"/>
      <c r="DFF95" s="34"/>
      <c r="DFG95" s="60"/>
      <c r="DFV95" s="34"/>
      <c r="DFW95" s="60"/>
      <c r="DGL95" s="34"/>
      <c r="DGM95" s="60"/>
      <c r="DHB95" s="34"/>
      <c r="DHC95" s="60"/>
      <c r="DHR95" s="34"/>
      <c r="DHS95" s="60"/>
      <c r="DIH95" s="34"/>
      <c r="DII95" s="60"/>
      <c r="DIX95" s="34"/>
      <c r="DIY95" s="60"/>
      <c r="DJN95" s="34"/>
      <c r="DJO95" s="60"/>
      <c r="DKD95" s="34"/>
      <c r="DKE95" s="60"/>
      <c r="DKT95" s="34"/>
      <c r="DKU95" s="60"/>
      <c r="DLJ95" s="34"/>
      <c r="DLK95" s="60"/>
      <c r="DLZ95" s="34"/>
      <c r="DMA95" s="60"/>
      <c r="DMP95" s="34"/>
      <c r="DMQ95" s="60"/>
      <c r="DNF95" s="34"/>
      <c r="DNG95" s="60"/>
      <c r="DNV95" s="34"/>
      <c r="DNW95" s="60"/>
      <c r="DOL95" s="34"/>
      <c r="DOM95" s="60"/>
      <c r="DPB95" s="34"/>
      <c r="DPC95" s="60"/>
      <c r="DPR95" s="34"/>
      <c r="DPS95" s="60"/>
      <c r="DQH95" s="34"/>
      <c r="DQI95" s="60"/>
      <c r="DQX95" s="34"/>
      <c r="DQY95" s="60"/>
      <c r="DRN95" s="34"/>
      <c r="DRO95" s="60"/>
      <c r="DSD95" s="34"/>
      <c r="DSE95" s="60"/>
      <c r="DST95" s="34"/>
      <c r="DSU95" s="60"/>
      <c r="DTJ95" s="34"/>
      <c r="DTK95" s="60"/>
      <c r="DTZ95" s="34"/>
      <c r="DUA95" s="60"/>
      <c r="DUP95" s="34"/>
      <c r="DUQ95" s="60"/>
      <c r="DVF95" s="34"/>
      <c r="DVG95" s="60"/>
      <c r="DVV95" s="34"/>
      <c r="DVW95" s="60"/>
      <c r="DWL95" s="34"/>
      <c r="DWM95" s="60"/>
      <c r="DXB95" s="34"/>
      <c r="DXC95" s="60"/>
      <c r="DXR95" s="34"/>
      <c r="DXS95" s="60"/>
      <c r="DYH95" s="34"/>
      <c r="DYI95" s="60"/>
      <c r="DYX95" s="34"/>
      <c r="DYY95" s="60"/>
      <c r="DZN95" s="34"/>
      <c r="DZO95" s="60"/>
      <c r="EAD95" s="34"/>
      <c r="EAE95" s="60"/>
      <c r="EAT95" s="34"/>
      <c r="EAU95" s="60"/>
      <c r="EBJ95" s="34"/>
      <c r="EBK95" s="60"/>
      <c r="EBZ95" s="34"/>
      <c r="ECA95" s="60"/>
      <c r="ECP95" s="34"/>
      <c r="ECQ95" s="60"/>
      <c r="EDF95" s="34"/>
      <c r="EDG95" s="60"/>
      <c r="EDV95" s="34"/>
      <c r="EDW95" s="60"/>
      <c r="EEL95" s="34"/>
      <c r="EEM95" s="60"/>
      <c r="EFB95" s="34"/>
      <c r="EFC95" s="60"/>
      <c r="EFR95" s="34"/>
      <c r="EFS95" s="60"/>
      <c r="EGH95" s="34"/>
      <c r="EGI95" s="60"/>
      <c r="EGX95" s="34"/>
      <c r="EGY95" s="60"/>
      <c r="EHN95" s="34"/>
      <c r="EHO95" s="60"/>
      <c r="EID95" s="34"/>
      <c r="EIE95" s="60"/>
      <c r="EIT95" s="34"/>
      <c r="EIU95" s="60"/>
      <c r="EJJ95" s="34"/>
      <c r="EJK95" s="60"/>
      <c r="EJZ95" s="34"/>
      <c r="EKA95" s="60"/>
      <c r="EKP95" s="34"/>
      <c r="EKQ95" s="60"/>
      <c r="ELF95" s="34"/>
      <c r="ELG95" s="60"/>
      <c r="ELV95" s="34"/>
      <c r="ELW95" s="60"/>
      <c r="EML95" s="34"/>
      <c r="EMM95" s="60"/>
      <c r="ENB95" s="34"/>
      <c r="ENC95" s="60"/>
      <c r="ENR95" s="34"/>
      <c r="ENS95" s="60"/>
      <c r="EOH95" s="34"/>
      <c r="EOI95" s="60"/>
      <c r="EOX95" s="34"/>
      <c r="EOY95" s="60"/>
      <c r="EPN95" s="34"/>
      <c r="EPO95" s="60"/>
      <c r="EQD95" s="34"/>
      <c r="EQE95" s="60"/>
      <c r="EQT95" s="34"/>
      <c r="EQU95" s="60"/>
      <c r="ERJ95" s="34"/>
      <c r="ERK95" s="60"/>
      <c r="ERZ95" s="34"/>
      <c r="ESA95" s="60"/>
      <c r="ESP95" s="34"/>
      <c r="ESQ95" s="60"/>
      <c r="ETF95" s="34"/>
      <c r="ETG95" s="60"/>
      <c r="ETV95" s="34"/>
      <c r="ETW95" s="60"/>
      <c r="EUL95" s="34"/>
      <c r="EUM95" s="60"/>
      <c r="EVB95" s="34"/>
      <c r="EVC95" s="60"/>
      <c r="EVR95" s="34"/>
      <c r="EVS95" s="60"/>
      <c r="EWH95" s="34"/>
      <c r="EWI95" s="60"/>
      <c r="EWX95" s="34"/>
      <c r="EWY95" s="60"/>
      <c r="EXN95" s="34"/>
      <c r="EXO95" s="60"/>
      <c r="EYD95" s="34"/>
      <c r="EYE95" s="60"/>
      <c r="EYT95" s="34"/>
      <c r="EYU95" s="60"/>
      <c r="EZJ95" s="34"/>
      <c r="EZK95" s="60"/>
      <c r="EZZ95" s="34"/>
      <c r="FAA95" s="60"/>
      <c r="FAP95" s="34"/>
      <c r="FAQ95" s="60"/>
      <c r="FBF95" s="34"/>
      <c r="FBG95" s="60"/>
      <c r="FBV95" s="34"/>
      <c r="FBW95" s="60"/>
      <c r="FCL95" s="34"/>
      <c r="FCM95" s="60"/>
      <c r="FDB95" s="34"/>
      <c r="FDC95" s="60"/>
      <c r="FDR95" s="34"/>
      <c r="FDS95" s="60"/>
      <c r="FEH95" s="34"/>
      <c r="FEI95" s="60"/>
      <c r="FEX95" s="34"/>
      <c r="FEY95" s="60"/>
      <c r="FFN95" s="34"/>
      <c r="FFO95" s="60"/>
      <c r="FGD95" s="34"/>
      <c r="FGE95" s="60"/>
      <c r="FGT95" s="34"/>
      <c r="FGU95" s="60"/>
      <c r="FHJ95" s="34"/>
      <c r="FHK95" s="60"/>
      <c r="FHZ95" s="34"/>
      <c r="FIA95" s="60"/>
      <c r="FIP95" s="34"/>
      <c r="FIQ95" s="60"/>
      <c r="FJF95" s="34"/>
      <c r="FJG95" s="60"/>
      <c r="FJV95" s="34"/>
      <c r="FJW95" s="60"/>
      <c r="FKL95" s="34"/>
      <c r="FKM95" s="60"/>
      <c r="FLB95" s="34"/>
      <c r="FLC95" s="60"/>
      <c r="FLR95" s="34"/>
      <c r="FLS95" s="60"/>
      <c r="FMH95" s="34"/>
      <c r="FMI95" s="60"/>
      <c r="FMX95" s="34"/>
      <c r="FMY95" s="60"/>
      <c r="FNN95" s="34"/>
      <c r="FNO95" s="60"/>
      <c r="FOD95" s="34"/>
      <c r="FOE95" s="60"/>
      <c r="FOT95" s="34"/>
      <c r="FOU95" s="60"/>
      <c r="FPJ95" s="34"/>
      <c r="FPK95" s="60"/>
      <c r="FPZ95" s="34"/>
      <c r="FQA95" s="60"/>
      <c r="FQP95" s="34"/>
      <c r="FQQ95" s="60"/>
      <c r="FRF95" s="34"/>
      <c r="FRG95" s="60"/>
      <c r="FRV95" s="34"/>
      <c r="FRW95" s="60"/>
      <c r="FSL95" s="34"/>
      <c r="FSM95" s="60"/>
      <c r="FTB95" s="34"/>
      <c r="FTC95" s="60"/>
      <c r="FTR95" s="34"/>
      <c r="FTS95" s="60"/>
      <c r="FUH95" s="34"/>
      <c r="FUI95" s="60"/>
      <c r="FUX95" s="34"/>
      <c r="FUY95" s="60"/>
      <c r="FVN95" s="34"/>
      <c r="FVO95" s="60"/>
      <c r="FWD95" s="34"/>
      <c r="FWE95" s="60"/>
      <c r="FWT95" s="34"/>
      <c r="FWU95" s="60"/>
      <c r="FXJ95" s="34"/>
      <c r="FXK95" s="60"/>
      <c r="FXZ95" s="34"/>
      <c r="FYA95" s="60"/>
      <c r="FYP95" s="34"/>
      <c r="FYQ95" s="60"/>
      <c r="FZF95" s="34"/>
      <c r="FZG95" s="60"/>
      <c r="FZV95" s="34"/>
      <c r="FZW95" s="60"/>
      <c r="GAL95" s="34"/>
      <c r="GAM95" s="60"/>
      <c r="GBB95" s="34"/>
      <c r="GBC95" s="60"/>
      <c r="GBR95" s="34"/>
      <c r="GBS95" s="60"/>
      <c r="GCH95" s="34"/>
      <c r="GCI95" s="60"/>
      <c r="GCX95" s="34"/>
      <c r="GCY95" s="60"/>
      <c r="GDN95" s="34"/>
      <c r="GDO95" s="60"/>
      <c r="GED95" s="34"/>
      <c r="GEE95" s="60"/>
      <c r="GET95" s="34"/>
      <c r="GEU95" s="60"/>
      <c r="GFJ95" s="34"/>
      <c r="GFK95" s="60"/>
      <c r="GFZ95" s="34"/>
      <c r="GGA95" s="60"/>
      <c r="GGP95" s="34"/>
      <c r="GGQ95" s="60"/>
      <c r="GHF95" s="34"/>
      <c r="GHG95" s="60"/>
      <c r="GHV95" s="34"/>
      <c r="GHW95" s="60"/>
      <c r="GIL95" s="34"/>
      <c r="GIM95" s="60"/>
      <c r="GJB95" s="34"/>
      <c r="GJC95" s="60"/>
      <c r="GJR95" s="34"/>
      <c r="GJS95" s="60"/>
      <c r="GKH95" s="34"/>
      <c r="GKI95" s="60"/>
      <c r="GKX95" s="34"/>
      <c r="GKY95" s="60"/>
      <c r="GLN95" s="34"/>
      <c r="GLO95" s="60"/>
      <c r="GMD95" s="34"/>
      <c r="GME95" s="60"/>
      <c r="GMT95" s="34"/>
      <c r="GMU95" s="60"/>
      <c r="GNJ95" s="34"/>
      <c r="GNK95" s="60"/>
      <c r="GNZ95" s="34"/>
      <c r="GOA95" s="60"/>
      <c r="GOP95" s="34"/>
      <c r="GOQ95" s="60"/>
      <c r="GPF95" s="34"/>
      <c r="GPG95" s="60"/>
      <c r="GPV95" s="34"/>
      <c r="GPW95" s="60"/>
      <c r="GQL95" s="34"/>
      <c r="GQM95" s="60"/>
      <c r="GRB95" s="34"/>
      <c r="GRC95" s="60"/>
      <c r="GRR95" s="34"/>
      <c r="GRS95" s="60"/>
      <c r="GSH95" s="34"/>
      <c r="GSI95" s="60"/>
      <c r="GSX95" s="34"/>
      <c r="GSY95" s="60"/>
      <c r="GTN95" s="34"/>
      <c r="GTO95" s="60"/>
      <c r="GUD95" s="34"/>
      <c r="GUE95" s="60"/>
      <c r="GUT95" s="34"/>
      <c r="GUU95" s="60"/>
      <c r="GVJ95" s="34"/>
      <c r="GVK95" s="60"/>
      <c r="GVZ95" s="34"/>
      <c r="GWA95" s="60"/>
      <c r="GWP95" s="34"/>
      <c r="GWQ95" s="60"/>
      <c r="GXF95" s="34"/>
      <c r="GXG95" s="60"/>
      <c r="GXV95" s="34"/>
      <c r="GXW95" s="60"/>
      <c r="GYL95" s="34"/>
      <c r="GYM95" s="60"/>
      <c r="GZB95" s="34"/>
      <c r="GZC95" s="60"/>
      <c r="GZR95" s="34"/>
      <c r="GZS95" s="60"/>
      <c r="HAH95" s="34"/>
      <c r="HAI95" s="60"/>
      <c r="HAX95" s="34"/>
      <c r="HAY95" s="60"/>
      <c r="HBN95" s="34"/>
      <c r="HBO95" s="60"/>
      <c r="HCD95" s="34"/>
      <c r="HCE95" s="60"/>
      <c r="HCT95" s="34"/>
      <c r="HCU95" s="60"/>
      <c r="HDJ95" s="34"/>
      <c r="HDK95" s="60"/>
      <c r="HDZ95" s="34"/>
      <c r="HEA95" s="60"/>
      <c r="HEP95" s="34"/>
      <c r="HEQ95" s="60"/>
      <c r="HFF95" s="34"/>
      <c r="HFG95" s="60"/>
      <c r="HFV95" s="34"/>
      <c r="HFW95" s="60"/>
      <c r="HGL95" s="34"/>
      <c r="HGM95" s="60"/>
      <c r="HHB95" s="34"/>
      <c r="HHC95" s="60"/>
      <c r="HHR95" s="34"/>
      <c r="HHS95" s="60"/>
      <c r="HIH95" s="34"/>
      <c r="HII95" s="60"/>
      <c r="HIX95" s="34"/>
      <c r="HIY95" s="60"/>
      <c r="HJN95" s="34"/>
      <c r="HJO95" s="60"/>
      <c r="HKD95" s="34"/>
      <c r="HKE95" s="60"/>
      <c r="HKT95" s="34"/>
      <c r="HKU95" s="60"/>
      <c r="HLJ95" s="34"/>
      <c r="HLK95" s="60"/>
      <c r="HLZ95" s="34"/>
      <c r="HMA95" s="60"/>
      <c r="HMP95" s="34"/>
      <c r="HMQ95" s="60"/>
      <c r="HNF95" s="34"/>
      <c r="HNG95" s="60"/>
      <c r="HNV95" s="34"/>
      <c r="HNW95" s="60"/>
      <c r="HOL95" s="34"/>
      <c r="HOM95" s="60"/>
      <c r="HPB95" s="34"/>
      <c r="HPC95" s="60"/>
      <c r="HPR95" s="34"/>
      <c r="HPS95" s="60"/>
      <c r="HQH95" s="34"/>
      <c r="HQI95" s="60"/>
      <c r="HQX95" s="34"/>
      <c r="HQY95" s="60"/>
      <c r="HRN95" s="34"/>
      <c r="HRO95" s="60"/>
      <c r="HSD95" s="34"/>
      <c r="HSE95" s="60"/>
      <c r="HST95" s="34"/>
      <c r="HSU95" s="60"/>
      <c r="HTJ95" s="34"/>
      <c r="HTK95" s="60"/>
      <c r="HTZ95" s="34"/>
      <c r="HUA95" s="60"/>
      <c r="HUP95" s="34"/>
      <c r="HUQ95" s="60"/>
      <c r="HVF95" s="34"/>
      <c r="HVG95" s="60"/>
      <c r="HVV95" s="34"/>
      <c r="HVW95" s="60"/>
      <c r="HWL95" s="34"/>
      <c r="HWM95" s="60"/>
      <c r="HXB95" s="34"/>
      <c r="HXC95" s="60"/>
      <c r="HXR95" s="34"/>
      <c r="HXS95" s="60"/>
      <c r="HYH95" s="34"/>
      <c r="HYI95" s="60"/>
      <c r="HYX95" s="34"/>
      <c r="HYY95" s="60"/>
      <c r="HZN95" s="34"/>
      <c r="HZO95" s="60"/>
      <c r="IAD95" s="34"/>
      <c r="IAE95" s="60"/>
      <c r="IAT95" s="34"/>
      <c r="IAU95" s="60"/>
      <c r="IBJ95" s="34"/>
      <c r="IBK95" s="60"/>
      <c r="IBZ95" s="34"/>
      <c r="ICA95" s="60"/>
      <c r="ICP95" s="34"/>
      <c r="ICQ95" s="60"/>
      <c r="IDF95" s="34"/>
      <c r="IDG95" s="60"/>
      <c r="IDV95" s="34"/>
      <c r="IDW95" s="60"/>
      <c r="IEL95" s="34"/>
      <c r="IEM95" s="60"/>
      <c r="IFB95" s="34"/>
      <c r="IFC95" s="60"/>
      <c r="IFR95" s="34"/>
      <c r="IFS95" s="60"/>
      <c r="IGH95" s="34"/>
      <c r="IGI95" s="60"/>
      <c r="IGX95" s="34"/>
      <c r="IGY95" s="60"/>
      <c r="IHN95" s="34"/>
      <c r="IHO95" s="60"/>
      <c r="IID95" s="34"/>
      <c r="IIE95" s="60"/>
      <c r="IIT95" s="34"/>
      <c r="IIU95" s="60"/>
      <c r="IJJ95" s="34"/>
      <c r="IJK95" s="60"/>
      <c r="IJZ95" s="34"/>
      <c r="IKA95" s="60"/>
      <c r="IKP95" s="34"/>
      <c r="IKQ95" s="60"/>
      <c r="ILF95" s="34"/>
      <c r="ILG95" s="60"/>
      <c r="ILV95" s="34"/>
      <c r="ILW95" s="60"/>
      <c r="IML95" s="34"/>
      <c r="IMM95" s="60"/>
      <c r="INB95" s="34"/>
      <c r="INC95" s="60"/>
      <c r="INR95" s="34"/>
      <c r="INS95" s="60"/>
      <c r="IOH95" s="34"/>
      <c r="IOI95" s="60"/>
      <c r="IOX95" s="34"/>
      <c r="IOY95" s="60"/>
      <c r="IPN95" s="34"/>
      <c r="IPO95" s="60"/>
      <c r="IQD95" s="34"/>
      <c r="IQE95" s="60"/>
      <c r="IQT95" s="34"/>
      <c r="IQU95" s="60"/>
      <c r="IRJ95" s="34"/>
      <c r="IRK95" s="60"/>
      <c r="IRZ95" s="34"/>
      <c r="ISA95" s="60"/>
      <c r="ISP95" s="34"/>
      <c r="ISQ95" s="60"/>
      <c r="ITF95" s="34"/>
      <c r="ITG95" s="60"/>
      <c r="ITV95" s="34"/>
      <c r="ITW95" s="60"/>
      <c r="IUL95" s="34"/>
      <c r="IUM95" s="60"/>
      <c r="IVB95" s="34"/>
      <c r="IVC95" s="60"/>
      <c r="IVR95" s="34"/>
      <c r="IVS95" s="60"/>
      <c r="IWH95" s="34"/>
      <c r="IWI95" s="60"/>
      <c r="IWX95" s="34"/>
      <c r="IWY95" s="60"/>
      <c r="IXN95" s="34"/>
      <c r="IXO95" s="60"/>
      <c r="IYD95" s="34"/>
      <c r="IYE95" s="60"/>
      <c r="IYT95" s="34"/>
      <c r="IYU95" s="60"/>
      <c r="IZJ95" s="34"/>
      <c r="IZK95" s="60"/>
      <c r="IZZ95" s="34"/>
      <c r="JAA95" s="60"/>
      <c r="JAP95" s="34"/>
      <c r="JAQ95" s="60"/>
      <c r="JBF95" s="34"/>
      <c r="JBG95" s="60"/>
      <c r="JBV95" s="34"/>
      <c r="JBW95" s="60"/>
      <c r="JCL95" s="34"/>
      <c r="JCM95" s="60"/>
      <c r="JDB95" s="34"/>
      <c r="JDC95" s="60"/>
      <c r="JDR95" s="34"/>
      <c r="JDS95" s="60"/>
      <c r="JEH95" s="34"/>
      <c r="JEI95" s="60"/>
      <c r="JEX95" s="34"/>
      <c r="JEY95" s="60"/>
      <c r="JFN95" s="34"/>
      <c r="JFO95" s="60"/>
      <c r="JGD95" s="34"/>
      <c r="JGE95" s="60"/>
      <c r="JGT95" s="34"/>
      <c r="JGU95" s="60"/>
      <c r="JHJ95" s="34"/>
      <c r="JHK95" s="60"/>
      <c r="JHZ95" s="34"/>
      <c r="JIA95" s="60"/>
      <c r="JIP95" s="34"/>
      <c r="JIQ95" s="60"/>
      <c r="JJF95" s="34"/>
      <c r="JJG95" s="60"/>
      <c r="JJV95" s="34"/>
      <c r="JJW95" s="60"/>
      <c r="JKL95" s="34"/>
      <c r="JKM95" s="60"/>
      <c r="JLB95" s="34"/>
      <c r="JLC95" s="60"/>
      <c r="JLR95" s="34"/>
      <c r="JLS95" s="60"/>
      <c r="JMH95" s="34"/>
      <c r="JMI95" s="60"/>
      <c r="JMX95" s="34"/>
      <c r="JMY95" s="60"/>
      <c r="JNN95" s="34"/>
      <c r="JNO95" s="60"/>
      <c r="JOD95" s="34"/>
      <c r="JOE95" s="60"/>
      <c r="JOT95" s="34"/>
      <c r="JOU95" s="60"/>
      <c r="JPJ95" s="34"/>
      <c r="JPK95" s="60"/>
      <c r="JPZ95" s="34"/>
      <c r="JQA95" s="60"/>
      <c r="JQP95" s="34"/>
      <c r="JQQ95" s="60"/>
      <c r="JRF95" s="34"/>
      <c r="JRG95" s="60"/>
      <c r="JRV95" s="34"/>
      <c r="JRW95" s="60"/>
      <c r="JSL95" s="34"/>
      <c r="JSM95" s="60"/>
      <c r="JTB95" s="34"/>
      <c r="JTC95" s="60"/>
      <c r="JTR95" s="34"/>
      <c r="JTS95" s="60"/>
      <c r="JUH95" s="34"/>
      <c r="JUI95" s="60"/>
      <c r="JUX95" s="34"/>
      <c r="JUY95" s="60"/>
      <c r="JVN95" s="34"/>
      <c r="JVO95" s="60"/>
      <c r="JWD95" s="34"/>
      <c r="JWE95" s="60"/>
      <c r="JWT95" s="34"/>
      <c r="JWU95" s="60"/>
      <c r="JXJ95" s="34"/>
      <c r="JXK95" s="60"/>
      <c r="JXZ95" s="34"/>
      <c r="JYA95" s="60"/>
      <c r="JYP95" s="34"/>
      <c r="JYQ95" s="60"/>
      <c r="JZF95" s="34"/>
      <c r="JZG95" s="60"/>
      <c r="JZV95" s="34"/>
      <c r="JZW95" s="60"/>
      <c r="KAL95" s="34"/>
      <c r="KAM95" s="60"/>
      <c r="KBB95" s="34"/>
      <c r="KBC95" s="60"/>
      <c r="KBR95" s="34"/>
      <c r="KBS95" s="60"/>
      <c r="KCH95" s="34"/>
      <c r="KCI95" s="60"/>
      <c r="KCX95" s="34"/>
      <c r="KCY95" s="60"/>
      <c r="KDN95" s="34"/>
      <c r="KDO95" s="60"/>
      <c r="KED95" s="34"/>
      <c r="KEE95" s="60"/>
      <c r="KET95" s="34"/>
      <c r="KEU95" s="60"/>
      <c r="KFJ95" s="34"/>
      <c r="KFK95" s="60"/>
      <c r="KFZ95" s="34"/>
      <c r="KGA95" s="60"/>
      <c r="KGP95" s="34"/>
      <c r="KGQ95" s="60"/>
      <c r="KHF95" s="34"/>
      <c r="KHG95" s="60"/>
      <c r="KHV95" s="34"/>
      <c r="KHW95" s="60"/>
      <c r="KIL95" s="34"/>
      <c r="KIM95" s="60"/>
      <c r="KJB95" s="34"/>
      <c r="KJC95" s="60"/>
      <c r="KJR95" s="34"/>
      <c r="KJS95" s="60"/>
      <c r="KKH95" s="34"/>
      <c r="KKI95" s="60"/>
      <c r="KKX95" s="34"/>
      <c r="KKY95" s="60"/>
      <c r="KLN95" s="34"/>
      <c r="KLO95" s="60"/>
      <c r="KMD95" s="34"/>
      <c r="KME95" s="60"/>
      <c r="KMT95" s="34"/>
      <c r="KMU95" s="60"/>
      <c r="KNJ95" s="34"/>
      <c r="KNK95" s="60"/>
      <c r="KNZ95" s="34"/>
      <c r="KOA95" s="60"/>
      <c r="KOP95" s="34"/>
      <c r="KOQ95" s="60"/>
      <c r="KPF95" s="34"/>
      <c r="KPG95" s="60"/>
      <c r="KPV95" s="34"/>
      <c r="KPW95" s="60"/>
      <c r="KQL95" s="34"/>
      <c r="KQM95" s="60"/>
      <c r="KRB95" s="34"/>
      <c r="KRC95" s="60"/>
      <c r="KRR95" s="34"/>
      <c r="KRS95" s="60"/>
      <c r="KSH95" s="34"/>
      <c r="KSI95" s="60"/>
      <c r="KSX95" s="34"/>
      <c r="KSY95" s="60"/>
      <c r="KTN95" s="34"/>
      <c r="KTO95" s="60"/>
      <c r="KUD95" s="34"/>
      <c r="KUE95" s="60"/>
      <c r="KUT95" s="34"/>
      <c r="KUU95" s="60"/>
      <c r="KVJ95" s="34"/>
      <c r="KVK95" s="60"/>
      <c r="KVZ95" s="34"/>
      <c r="KWA95" s="60"/>
      <c r="KWP95" s="34"/>
      <c r="KWQ95" s="60"/>
      <c r="KXF95" s="34"/>
      <c r="KXG95" s="60"/>
      <c r="KXV95" s="34"/>
      <c r="KXW95" s="60"/>
      <c r="KYL95" s="34"/>
      <c r="KYM95" s="60"/>
      <c r="KZB95" s="34"/>
      <c r="KZC95" s="60"/>
      <c r="KZR95" s="34"/>
      <c r="KZS95" s="60"/>
      <c r="LAH95" s="34"/>
      <c r="LAI95" s="60"/>
      <c r="LAX95" s="34"/>
      <c r="LAY95" s="60"/>
      <c r="LBN95" s="34"/>
      <c r="LBO95" s="60"/>
      <c r="LCD95" s="34"/>
      <c r="LCE95" s="60"/>
      <c r="LCT95" s="34"/>
      <c r="LCU95" s="60"/>
      <c r="LDJ95" s="34"/>
      <c r="LDK95" s="60"/>
      <c r="LDZ95" s="34"/>
      <c r="LEA95" s="60"/>
      <c r="LEP95" s="34"/>
      <c r="LEQ95" s="60"/>
      <c r="LFF95" s="34"/>
      <c r="LFG95" s="60"/>
      <c r="LFV95" s="34"/>
      <c r="LFW95" s="60"/>
      <c r="LGL95" s="34"/>
      <c r="LGM95" s="60"/>
      <c r="LHB95" s="34"/>
      <c r="LHC95" s="60"/>
      <c r="LHR95" s="34"/>
      <c r="LHS95" s="60"/>
      <c r="LIH95" s="34"/>
      <c r="LII95" s="60"/>
      <c r="LIX95" s="34"/>
      <c r="LIY95" s="60"/>
      <c r="LJN95" s="34"/>
      <c r="LJO95" s="60"/>
      <c r="LKD95" s="34"/>
      <c r="LKE95" s="60"/>
      <c r="LKT95" s="34"/>
      <c r="LKU95" s="60"/>
      <c r="LLJ95" s="34"/>
      <c r="LLK95" s="60"/>
      <c r="LLZ95" s="34"/>
      <c r="LMA95" s="60"/>
      <c r="LMP95" s="34"/>
      <c r="LMQ95" s="60"/>
      <c r="LNF95" s="34"/>
      <c r="LNG95" s="60"/>
      <c r="LNV95" s="34"/>
      <c r="LNW95" s="60"/>
      <c r="LOL95" s="34"/>
      <c r="LOM95" s="60"/>
      <c r="LPB95" s="34"/>
      <c r="LPC95" s="60"/>
      <c r="LPR95" s="34"/>
      <c r="LPS95" s="60"/>
      <c r="LQH95" s="34"/>
      <c r="LQI95" s="60"/>
      <c r="LQX95" s="34"/>
      <c r="LQY95" s="60"/>
      <c r="LRN95" s="34"/>
      <c r="LRO95" s="60"/>
      <c r="LSD95" s="34"/>
      <c r="LSE95" s="60"/>
      <c r="LST95" s="34"/>
      <c r="LSU95" s="60"/>
      <c r="LTJ95" s="34"/>
      <c r="LTK95" s="60"/>
      <c r="LTZ95" s="34"/>
      <c r="LUA95" s="60"/>
      <c r="LUP95" s="34"/>
      <c r="LUQ95" s="60"/>
      <c r="LVF95" s="34"/>
      <c r="LVG95" s="60"/>
      <c r="LVV95" s="34"/>
      <c r="LVW95" s="60"/>
      <c r="LWL95" s="34"/>
      <c r="LWM95" s="60"/>
      <c r="LXB95" s="34"/>
      <c r="LXC95" s="60"/>
      <c r="LXR95" s="34"/>
      <c r="LXS95" s="60"/>
      <c r="LYH95" s="34"/>
      <c r="LYI95" s="60"/>
      <c r="LYX95" s="34"/>
      <c r="LYY95" s="60"/>
      <c r="LZN95" s="34"/>
      <c r="LZO95" s="60"/>
      <c r="MAD95" s="34"/>
      <c r="MAE95" s="60"/>
      <c r="MAT95" s="34"/>
      <c r="MAU95" s="60"/>
      <c r="MBJ95" s="34"/>
      <c r="MBK95" s="60"/>
      <c r="MBZ95" s="34"/>
      <c r="MCA95" s="60"/>
      <c r="MCP95" s="34"/>
      <c r="MCQ95" s="60"/>
      <c r="MDF95" s="34"/>
      <c r="MDG95" s="60"/>
      <c r="MDV95" s="34"/>
      <c r="MDW95" s="60"/>
      <c r="MEL95" s="34"/>
      <c r="MEM95" s="60"/>
      <c r="MFB95" s="34"/>
      <c r="MFC95" s="60"/>
      <c r="MFR95" s="34"/>
      <c r="MFS95" s="60"/>
      <c r="MGH95" s="34"/>
      <c r="MGI95" s="60"/>
      <c r="MGX95" s="34"/>
      <c r="MGY95" s="60"/>
      <c r="MHN95" s="34"/>
      <c r="MHO95" s="60"/>
      <c r="MID95" s="34"/>
      <c r="MIE95" s="60"/>
      <c r="MIT95" s="34"/>
      <c r="MIU95" s="60"/>
      <c r="MJJ95" s="34"/>
      <c r="MJK95" s="60"/>
      <c r="MJZ95" s="34"/>
      <c r="MKA95" s="60"/>
      <c r="MKP95" s="34"/>
      <c r="MKQ95" s="60"/>
      <c r="MLF95" s="34"/>
      <c r="MLG95" s="60"/>
      <c r="MLV95" s="34"/>
      <c r="MLW95" s="60"/>
      <c r="MML95" s="34"/>
      <c r="MMM95" s="60"/>
      <c r="MNB95" s="34"/>
      <c r="MNC95" s="60"/>
      <c r="MNR95" s="34"/>
      <c r="MNS95" s="60"/>
      <c r="MOH95" s="34"/>
      <c r="MOI95" s="60"/>
      <c r="MOX95" s="34"/>
      <c r="MOY95" s="60"/>
      <c r="MPN95" s="34"/>
      <c r="MPO95" s="60"/>
      <c r="MQD95" s="34"/>
      <c r="MQE95" s="60"/>
      <c r="MQT95" s="34"/>
      <c r="MQU95" s="60"/>
      <c r="MRJ95" s="34"/>
      <c r="MRK95" s="60"/>
      <c r="MRZ95" s="34"/>
      <c r="MSA95" s="60"/>
      <c r="MSP95" s="34"/>
      <c r="MSQ95" s="60"/>
      <c r="MTF95" s="34"/>
      <c r="MTG95" s="60"/>
      <c r="MTV95" s="34"/>
      <c r="MTW95" s="60"/>
      <c r="MUL95" s="34"/>
      <c r="MUM95" s="60"/>
      <c r="MVB95" s="34"/>
      <c r="MVC95" s="60"/>
      <c r="MVR95" s="34"/>
      <c r="MVS95" s="60"/>
      <c r="MWH95" s="34"/>
      <c r="MWI95" s="60"/>
      <c r="MWX95" s="34"/>
      <c r="MWY95" s="60"/>
      <c r="MXN95" s="34"/>
      <c r="MXO95" s="60"/>
      <c r="MYD95" s="34"/>
      <c r="MYE95" s="60"/>
      <c r="MYT95" s="34"/>
      <c r="MYU95" s="60"/>
      <c r="MZJ95" s="34"/>
      <c r="MZK95" s="60"/>
      <c r="MZZ95" s="34"/>
      <c r="NAA95" s="60"/>
      <c r="NAP95" s="34"/>
      <c r="NAQ95" s="60"/>
      <c r="NBF95" s="34"/>
      <c r="NBG95" s="60"/>
      <c r="NBV95" s="34"/>
      <c r="NBW95" s="60"/>
      <c r="NCL95" s="34"/>
      <c r="NCM95" s="60"/>
      <c r="NDB95" s="34"/>
      <c r="NDC95" s="60"/>
      <c r="NDR95" s="34"/>
      <c r="NDS95" s="60"/>
      <c r="NEH95" s="34"/>
      <c r="NEI95" s="60"/>
      <c r="NEX95" s="34"/>
      <c r="NEY95" s="60"/>
      <c r="NFN95" s="34"/>
      <c r="NFO95" s="60"/>
      <c r="NGD95" s="34"/>
      <c r="NGE95" s="60"/>
      <c r="NGT95" s="34"/>
      <c r="NGU95" s="60"/>
      <c r="NHJ95" s="34"/>
      <c r="NHK95" s="60"/>
      <c r="NHZ95" s="34"/>
      <c r="NIA95" s="60"/>
      <c r="NIP95" s="34"/>
      <c r="NIQ95" s="60"/>
      <c r="NJF95" s="34"/>
      <c r="NJG95" s="60"/>
      <c r="NJV95" s="34"/>
      <c r="NJW95" s="60"/>
      <c r="NKL95" s="34"/>
      <c r="NKM95" s="60"/>
      <c r="NLB95" s="34"/>
      <c r="NLC95" s="60"/>
      <c r="NLR95" s="34"/>
      <c r="NLS95" s="60"/>
      <c r="NMH95" s="34"/>
      <c r="NMI95" s="60"/>
      <c r="NMX95" s="34"/>
      <c r="NMY95" s="60"/>
      <c r="NNN95" s="34"/>
      <c r="NNO95" s="60"/>
      <c r="NOD95" s="34"/>
      <c r="NOE95" s="60"/>
      <c r="NOT95" s="34"/>
      <c r="NOU95" s="60"/>
      <c r="NPJ95" s="34"/>
      <c r="NPK95" s="60"/>
      <c r="NPZ95" s="34"/>
      <c r="NQA95" s="60"/>
      <c r="NQP95" s="34"/>
      <c r="NQQ95" s="60"/>
      <c r="NRF95" s="34"/>
      <c r="NRG95" s="60"/>
      <c r="NRV95" s="34"/>
      <c r="NRW95" s="60"/>
      <c r="NSL95" s="34"/>
      <c r="NSM95" s="60"/>
      <c r="NTB95" s="34"/>
      <c r="NTC95" s="60"/>
      <c r="NTR95" s="34"/>
      <c r="NTS95" s="60"/>
      <c r="NUH95" s="34"/>
      <c r="NUI95" s="60"/>
      <c r="NUX95" s="34"/>
      <c r="NUY95" s="60"/>
      <c r="NVN95" s="34"/>
      <c r="NVO95" s="60"/>
      <c r="NWD95" s="34"/>
      <c r="NWE95" s="60"/>
      <c r="NWT95" s="34"/>
      <c r="NWU95" s="60"/>
      <c r="NXJ95" s="34"/>
      <c r="NXK95" s="60"/>
      <c r="NXZ95" s="34"/>
      <c r="NYA95" s="60"/>
      <c r="NYP95" s="34"/>
      <c r="NYQ95" s="60"/>
      <c r="NZF95" s="34"/>
      <c r="NZG95" s="60"/>
      <c r="NZV95" s="34"/>
      <c r="NZW95" s="60"/>
      <c r="OAL95" s="34"/>
      <c r="OAM95" s="60"/>
      <c r="OBB95" s="34"/>
      <c r="OBC95" s="60"/>
      <c r="OBR95" s="34"/>
      <c r="OBS95" s="60"/>
      <c r="OCH95" s="34"/>
      <c r="OCI95" s="60"/>
      <c r="OCX95" s="34"/>
      <c r="OCY95" s="60"/>
      <c r="ODN95" s="34"/>
      <c r="ODO95" s="60"/>
      <c r="OED95" s="34"/>
      <c r="OEE95" s="60"/>
      <c r="OET95" s="34"/>
      <c r="OEU95" s="60"/>
      <c r="OFJ95" s="34"/>
      <c r="OFK95" s="60"/>
      <c r="OFZ95" s="34"/>
      <c r="OGA95" s="60"/>
      <c r="OGP95" s="34"/>
      <c r="OGQ95" s="60"/>
      <c r="OHF95" s="34"/>
      <c r="OHG95" s="60"/>
      <c r="OHV95" s="34"/>
      <c r="OHW95" s="60"/>
      <c r="OIL95" s="34"/>
      <c r="OIM95" s="60"/>
      <c r="OJB95" s="34"/>
      <c r="OJC95" s="60"/>
      <c r="OJR95" s="34"/>
      <c r="OJS95" s="60"/>
      <c r="OKH95" s="34"/>
      <c r="OKI95" s="60"/>
      <c r="OKX95" s="34"/>
      <c r="OKY95" s="60"/>
      <c r="OLN95" s="34"/>
      <c r="OLO95" s="60"/>
      <c r="OMD95" s="34"/>
      <c r="OME95" s="60"/>
      <c r="OMT95" s="34"/>
      <c r="OMU95" s="60"/>
      <c r="ONJ95" s="34"/>
      <c r="ONK95" s="60"/>
      <c r="ONZ95" s="34"/>
      <c r="OOA95" s="60"/>
      <c r="OOP95" s="34"/>
      <c r="OOQ95" s="60"/>
      <c r="OPF95" s="34"/>
      <c r="OPG95" s="60"/>
      <c r="OPV95" s="34"/>
      <c r="OPW95" s="60"/>
      <c r="OQL95" s="34"/>
      <c r="OQM95" s="60"/>
      <c r="ORB95" s="34"/>
      <c r="ORC95" s="60"/>
      <c r="ORR95" s="34"/>
      <c r="ORS95" s="60"/>
      <c r="OSH95" s="34"/>
      <c r="OSI95" s="60"/>
      <c r="OSX95" s="34"/>
      <c r="OSY95" s="60"/>
      <c r="OTN95" s="34"/>
      <c r="OTO95" s="60"/>
      <c r="OUD95" s="34"/>
      <c r="OUE95" s="60"/>
      <c r="OUT95" s="34"/>
      <c r="OUU95" s="60"/>
      <c r="OVJ95" s="34"/>
      <c r="OVK95" s="60"/>
      <c r="OVZ95" s="34"/>
      <c r="OWA95" s="60"/>
      <c r="OWP95" s="34"/>
      <c r="OWQ95" s="60"/>
      <c r="OXF95" s="34"/>
      <c r="OXG95" s="60"/>
      <c r="OXV95" s="34"/>
      <c r="OXW95" s="60"/>
      <c r="OYL95" s="34"/>
      <c r="OYM95" s="60"/>
      <c r="OZB95" s="34"/>
      <c r="OZC95" s="60"/>
      <c r="OZR95" s="34"/>
      <c r="OZS95" s="60"/>
      <c r="PAH95" s="34"/>
      <c r="PAI95" s="60"/>
      <c r="PAX95" s="34"/>
      <c r="PAY95" s="60"/>
      <c r="PBN95" s="34"/>
      <c r="PBO95" s="60"/>
      <c r="PCD95" s="34"/>
      <c r="PCE95" s="60"/>
      <c r="PCT95" s="34"/>
      <c r="PCU95" s="60"/>
      <c r="PDJ95" s="34"/>
      <c r="PDK95" s="60"/>
      <c r="PDZ95" s="34"/>
      <c r="PEA95" s="60"/>
      <c r="PEP95" s="34"/>
      <c r="PEQ95" s="60"/>
      <c r="PFF95" s="34"/>
      <c r="PFG95" s="60"/>
      <c r="PFV95" s="34"/>
      <c r="PFW95" s="60"/>
      <c r="PGL95" s="34"/>
      <c r="PGM95" s="60"/>
      <c r="PHB95" s="34"/>
      <c r="PHC95" s="60"/>
      <c r="PHR95" s="34"/>
      <c r="PHS95" s="60"/>
      <c r="PIH95" s="34"/>
      <c r="PII95" s="60"/>
      <c r="PIX95" s="34"/>
      <c r="PIY95" s="60"/>
      <c r="PJN95" s="34"/>
      <c r="PJO95" s="60"/>
      <c r="PKD95" s="34"/>
      <c r="PKE95" s="60"/>
      <c r="PKT95" s="34"/>
      <c r="PKU95" s="60"/>
      <c r="PLJ95" s="34"/>
      <c r="PLK95" s="60"/>
      <c r="PLZ95" s="34"/>
      <c r="PMA95" s="60"/>
      <c r="PMP95" s="34"/>
      <c r="PMQ95" s="60"/>
      <c r="PNF95" s="34"/>
      <c r="PNG95" s="60"/>
      <c r="PNV95" s="34"/>
      <c r="PNW95" s="60"/>
      <c r="POL95" s="34"/>
      <c r="POM95" s="60"/>
      <c r="PPB95" s="34"/>
      <c r="PPC95" s="60"/>
      <c r="PPR95" s="34"/>
      <c r="PPS95" s="60"/>
      <c r="PQH95" s="34"/>
      <c r="PQI95" s="60"/>
      <c r="PQX95" s="34"/>
      <c r="PQY95" s="60"/>
      <c r="PRN95" s="34"/>
      <c r="PRO95" s="60"/>
      <c r="PSD95" s="34"/>
      <c r="PSE95" s="60"/>
      <c r="PST95" s="34"/>
      <c r="PSU95" s="60"/>
      <c r="PTJ95" s="34"/>
      <c r="PTK95" s="60"/>
      <c r="PTZ95" s="34"/>
      <c r="PUA95" s="60"/>
      <c r="PUP95" s="34"/>
      <c r="PUQ95" s="60"/>
      <c r="PVF95" s="34"/>
      <c r="PVG95" s="60"/>
      <c r="PVV95" s="34"/>
      <c r="PVW95" s="60"/>
      <c r="PWL95" s="34"/>
      <c r="PWM95" s="60"/>
      <c r="PXB95" s="34"/>
      <c r="PXC95" s="60"/>
      <c r="PXR95" s="34"/>
      <c r="PXS95" s="60"/>
      <c r="PYH95" s="34"/>
      <c r="PYI95" s="60"/>
      <c r="PYX95" s="34"/>
      <c r="PYY95" s="60"/>
      <c r="PZN95" s="34"/>
      <c r="PZO95" s="60"/>
      <c r="QAD95" s="34"/>
      <c r="QAE95" s="60"/>
      <c r="QAT95" s="34"/>
      <c r="QAU95" s="60"/>
      <c r="QBJ95" s="34"/>
      <c r="QBK95" s="60"/>
      <c r="QBZ95" s="34"/>
      <c r="QCA95" s="60"/>
      <c r="QCP95" s="34"/>
      <c r="QCQ95" s="60"/>
      <c r="QDF95" s="34"/>
      <c r="QDG95" s="60"/>
      <c r="QDV95" s="34"/>
      <c r="QDW95" s="60"/>
      <c r="QEL95" s="34"/>
      <c r="QEM95" s="60"/>
      <c r="QFB95" s="34"/>
      <c r="QFC95" s="60"/>
      <c r="QFR95" s="34"/>
      <c r="QFS95" s="60"/>
      <c r="QGH95" s="34"/>
      <c r="QGI95" s="60"/>
      <c r="QGX95" s="34"/>
      <c r="QGY95" s="60"/>
      <c r="QHN95" s="34"/>
      <c r="QHO95" s="60"/>
      <c r="QID95" s="34"/>
      <c r="QIE95" s="60"/>
      <c r="QIT95" s="34"/>
      <c r="QIU95" s="60"/>
      <c r="QJJ95" s="34"/>
      <c r="QJK95" s="60"/>
      <c r="QJZ95" s="34"/>
      <c r="QKA95" s="60"/>
      <c r="QKP95" s="34"/>
      <c r="QKQ95" s="60"/>
      <c r="QLF95" s="34"/>
      <c r="QLG95" s="60"/>
      <c r="QLV95" s="34"/>
      <c r="QLW95" s="60"/>
      <c r="QML95" s="34"/>
      <c r="QMM95" s="60"/>
      <c r="QNB95" s="34"/>
      <c r="QNC95" s="60"/>
      <c r="QNR95" s="34"/>
      <c r="QNS95" s="60"/>
      <c r="QOH95" s="34"/>
      <c r="QOI95" s="60"/>
      <c r="QOX95" s="34"/>
      <c r="QOY95" s="60"/>
      <c r="QPN95" s="34"/>
      <c r="QPO95" s="60"/>
      <c r="QQD95" s="34"/>
      <c r="QQE95" s="60"/>
      <c r="QQT95" s="34"/>
      <c r="QQU95" s="60"/>
      <c r="QRJ95" s="34"/>
      <c r="QRK95" s="60"/>
      <c r="QRZ95" s="34"/>
      <c r="QSA95" s="60"/>
      <c r="QSP95" s="34"/>
      <c r="QSQ95" s="60"/>
      <c r="QTF95" s="34"/>
      <c r="QTG95" s="60"/>
      <c r="QTV95" s="34"/>
      <c r="QTW95" s="60"/>
      <c r="QUL95" s="34"/>
      <c r="QUM95" s="60"/>
      <c r="QVB95" s="34"/>
      <c r="QVC95" s="60"/>
      <c r="QVR95" s="34"/>
      <c r="QVS95" s="60"/>
      <c r="QWH95" s="34"/>
      <c r="QWI95" s="60"/>
      <c r="QWX95" s="34"/>
      <c r="QWY95" s="60"/>
      <c r="QXN95" s="34"/>
      <c r="QXO95" s="60"/>
      <c r="QYD95" s="34"/>
      <c r="QYE95" s="60"/>
      <c r="QYT95" s="34"/>
      <c r="QYU95" s="60"/>
      <c r="QZJ95" s="34"/>
      <c r="QZK95" s="60"/>
      <c r="QZZ95" s="34"/>
      <c r="RAA95" s="60"/>
      <c r="RAP95" s="34"/>
      <c r="RAQ95" s="60"/>
      <c r="RBF95" s="34"/>
      <c r="RBG95" s="60"/>
      <c r="RBV95" s="34"/>
      <c r="RBW95" s="60"/>
      <c r="RCL95" s="34"/>
      <c r="RCM95" s="60"/>
      <c r="RDB95" s="34"/>
      <c r="RDC95" s="60"/>
      <c r="RDR95" s="34"/>
      <c r="RDS95" s="60"/>
      <c r="REH95" s="34"/>
      <c r="REI95" s="60"/>
      <c r="REX95" s="34"/>
      <c r="REY95" s="60"/>
      <c r="RFN95" s="34"/>
      <c r="RFO95" s="60"/>
      <c r="RGD95" s="34"/>
      <c r="RGE95" s="60"/>
      <c r="RGT95" s="34"/>
      <c r="RGU95" s="60"/>
      <c r="RHJ95" s="34"/>
      <c r="RHK95" s="60"/>
      <c r="RHZ95" s="34"/>
      <c r="RIA95" s="60"/>
      <c r="RIP95" s="34"/>
      <c r="RIQ95" s="60"/>
      <c r="RJF95" s="34"/>
      <c r="RJG95" s="60"/>
      <c r="RJV95" s="34"/>
      <c r="RJW95" s="60"/>
      <c r="RKL95" s="34"/>
      <c r="RKM95" s="60"/>
      <c r="RLB95" s="34"/>
      <c r="RLC95" s="60"/>
      <c r="RLR95" s="34"/>
      <c r="RLS95" s="60"/>
      <c r="RMH95" s="34"/>
      <c r="RMI95" s="60"/>
      <c r="RMX95" s="34"/>
      <c r="RMY95" s="60"/>
      <c r="RNN95" s="34"/>
      <c r="RNO95" s="60"/>
      <c r="ROD95" s="34"/>
      <c r="ROE95" s="60"/>
      <c r="ROT95" s="34"/>
      <c r="ROU95" s="60"/>
      <c r="RPJ95" s="34"/>
      <c r="RPK95" s="60"/>
      <c r="RPZ95" s="34"/>
      <c r="RQA95" s="60"/>
      <c r="RQP95" s="34"/>
      <c r="RQQ95" s="60"/>
      <c r="RRF95" s="34"/>
      <c r="RRG95" s="60"/>
      <c r="RRV95" s="34"/>
      <c r="RRW95" s="60"/>
      <c r="RSL95" s="34"/>
      <c r="RSM95" s="60"/>
      <c r="RTB95" s="34"/>
      <c r="RTC95" s="60"/>
      <c r="RTR95" s="34"/>
      <c r="RTS95" s="60"/>
      <c r="RUH95" s="34"/>
      <c r="RUI95" s="60"/>
      <c r="RUX95" s="34"/>
      <c r="RUY95" s="60"/>
      <c r="RVN95" s="34"/>
      <c r="RVO95" s="60"/>
      <c r="RWD95" s="34"/>
      <c r="RWE95" s="60"/>
      <c r="RWT95" s="34"/>
      <c r="RWU95" s="60"/>
      <c r="RXJ95" s="34"/>
      <c r="RXK95" s="60"/>
      <c r="RXZ95" s="34"/>
      <c r="RYA95" s="60"/>
      <c r="RYP95" s="34"/>
      <c r="RYQ95" s="60"/>
      <c r="RZF95" s="34"/>
      <c r="RZG95" s="60"/>
      <c r="RZV95" s="34"/>
      <c r="RZW95" s="60"/>
      <c r="SAL95" s="34"/>
      <c r="SAM95" s="60"/>
      <c r="SBB95" s="34"/>
      <c r="SBC95" s="60"/>
      <c r="SBR95" s="34"/>
      <c r="SBS95" s="60"/>
      <c r="SCH95" s="34"/>
      <c r="SCI95" s="60"/>
      <c r="SCX95" s="34"/>
      <c r="SCY95" s="60"/>
      <c r="SDN95" s="34"/>
      <c r="SDO95" s="60"/>
      <c r="SED95" s="34"/>
      <c r="SEE95" s="60"/>
      <c r="SET95" s="34"/>
      <c r="SEU95" s="60"/>
      <c r="SFJ95" s="34"/>
      <c r="SFK95" s="60"/>
      <c r="SFZ95" s="34"/>
      <c r="SGA95" s="60"/>
      <c r="SGP95" s="34"/>
      <c r="SGQ95" s="60"/>
      <c r="SHF95" s="34"/>
      <c r="SHG95" s="60"/>
      <c r="SHV95" s="34"/>
      <c r="SHW95" s="60"/>
      <c r="SIL95" s="34"/>
      <c r="SIM95" s="60"/>
      <c r="SJB95" s="34"/>
      <c r="SJC95" s="60"/>
      <c r="SJR95" s="34"/>
      <c r="SJS95" s="60"/>
      <c r="SKH95" s="34"/>
      <c r="SKI95" s="60"/>
      <c r="SKX95" s="34"/>
      <c r="SKY95" s="60"/>
      <c r="SLN95" s="34"/>
      <c r="SLO95" s="60"/>
      <c r="SMD95" s="34"/>
      <c r="SME95" s="60"/>
      <c r="SMT95" s="34"/>
      <c r="SMU95" s="60"/>
      <c r="SNJ95" s="34"/>
      <c r="SNK95" s="60"/>
      <c r="SNZ95" s="34"/>
      <c r="SOA95" s="60"/>
      <c r="SOP95" s="34"/>
      <c r="SOQ95" s="60"/>
      <c r="SPF95" s="34"/>
      <c r="SPG95" s="60"/>
      <c r="SPV95" s="34"/>
      <c r="SPW95" s="60"/>
      <c r="SQL95" s="34"/>
      <c r="SQM95" s="60"/>
      <c r="SRB95" s="34"/>
      <c r="SRC95" s="60"/>
      <c r="SRR95" s="34"/>
      <c r="SRS95" s="60"/>
      <c r="SSH95" s="34"/>
      <c r="SSI95" s="60"/>
      <c r="SSX95" s="34"/>
      <c r="SSY95" s="60"/>
      <c r="STN95" s="34"/>
      <c r="STO95" s="60"/>
      <c r="SUD95" s="34"/>
      <c r="SUE95" s="60"/>
      <c r="SUT95" s="34"/>
      <c r="SUU95" s="60"/>
      <c r="SVJ95" s="34"/>
      <c r="SVK95" s="60"/>
      <c r="SVZ95" s="34"/>
      <c r="SWA95" s="60"/>
      <c r="SWP95" s="34"/>
      <c r="SWQ95" s="60"/>
      <c r="SXF95" s="34"/>
      <c r="SXG95" s="60"/>
      <c r="SXV95" s="34"/>
      <c r="SXW95" s="60"/>
      <c r="SYL95" s="34"/>
      <c r="SYM95" s="60"/>
      <c r="SZB95" s="34"/>
      <c r="SZC95" s="60"/>
      <c r="SZR95" s="34"/>
      <c r="SZS95" s="60"/>
      <c r="TAH95" s="34"/>
      <c r="TAI95" s="60"/>
      <c r="TAX95" s="34"/>
      <c r="TAY95" s="60"/>
      <c r="TBN95" s="34"/>
      <c r="TBO95" s="60"/>
      <c r="TCD95" s="34"/>
      <c r="TCE95" s="60"/>
      <c r="TCT95" s="34"/>
      <c r="TCU95" s="60"/>
      <c r="TDJ95" s="34"/>
      <c r="TDK95" s="60"/>
      <c r="TDZ95" s="34"/>
      <c r="TEA95" s="60"/>
      <c r="TEP95" s="34"/>
      <c r="TEQ95" s="60"/>
      <c r="TFF95" s="34"/>
      <c r="TFG95" s="60"/>
      <c r="TFV95" s="34"/>
      <c r="TFW95" s="60"/>
      <c r="TGL95" s="34"/>
      <c r="TGM95" s="60"/>
      <c r="THB95" s="34"/>
      <c r="THC95" s="60"/>
      <c r="THR95" s="34"/>
      <c r="THS95" s="60"/>
      <c r="TIH95" s="34"/>
      <c r="TII95" s="60"/>
      <c r="TIX95" s="34"/>
      <c r="TIY95" s="60"/>
      <c r="TJN95" s="34"/>
      <c r="TJO95" s="60"/>
      <c r="TKD95" s="34"/>
      <c r="TKE95" s="60"/>
      <c r="TKT95" s="34"/>
      <c r="TKU95" s="60"/>
      <c r="TLJ95" s="34"/>
      <c r="TLK95" s="60"/>
      <c r="TLZ95" s="34"/>
      <c r="TMA95" s="60"/>
      <c r="TMP95" s="34"/>
      <c r="TMQ95" s="60"/>
      <c r="TNF95" s="34"/>
      <c r="TNG95" s="60"/>
      <c r="TNV95" s="34"/>
      <c r="TNW95" s="60"/>
      <c r="TOL95" s="34"/>
      <c r="TOM95" s="60"/>
      <c r="TPB95" s="34"/>
      <c r="TPC95" s="60"/>
      <c r="TPR95" s="34"/>
      <c r="TPS95" s="60"/>
      <c r="TQH95" s="34"/>
      <c r="TQI95" s="60"/>
      <c r="TQX95" s="34"/>
      <c r="TQY95" s="60"/>
      <c r="TRN95" s="34"/>
      <c r="TRO95" s="60"/>
      <c r="TSD95" s="34"/>
      <c r="TSE95" s="60"/>
      <c r="TST95" s="34"/>
      <c r="TSU95" s="60"/>
      <c r="TTJ95" s="34"/>
      <c r="TTK95" s="60"/>
      <c r="TTZ95" s="34"/>
      <c r="TUA95" s="60"/>
      <c r="TUP95" s="34"/>
      <c r="TUQ95" s="60"/>
      <c r="TVF95" s="34"/>
      <c r="TVG95" s="60"/>
      <c r="TVV95" s="34"/>
      <c r="TVW95" s="60"/>
      <c r="TWL95" s="34"/>
      <c r="TWM95" s="60"/>
      <c r="TXB95" s="34"/>
      <c r="TXC95" s="60"/>
      <c r="TXR95" s="34"/>
      <c r="TXS95" s="60"/>
      <c r="TYH95" s="34"/>
      <c r="TYI95" s="60"/>
      <c r="TYX95" s="34"/>
      <c r="TYY95" s="60"/>
      <c r="TZN95" s="34"/>
      <c r="TZO95" s="60"/>
      <c r="UAD95" s="34"/>
      <c r="UAE95" s="60"/>
      <c r="UAT95" s="34"/>
      <c r="UAU95" s="60"/>
      <c r="UBJ95" s="34"/>
      <c r="UBK95" s="60"/>
      <c r="UBZ95" s="34"/>
      <c r="UCA95" s="60"/>
      <c r="UCP95" s="34"/>
      <c r="UCQ95" s="60"/>
      <c r="UDF95" s="34"/>
      <c r="UDG95" s="60"/>
      <c r="UDV95" s="34"/>
      <c r="UDW95" s="60"/>
      <c r="UEL95" s="34"/>
      <c r="UEM95" s="60"/>
      <c r="UFB95" s="34"/>
      <c r="UFC95" s="60"/>
      <c r="UFR95" s="34"/>
      <c r="UFS95" s="60"/>
      <c r="UGH95" s="34"/>
      <c r="UGI95" s="60"/>
      <c r="UGX95" s="34"/>
      <c r="UGY95" s="60"/>
      <c r="UHN95" s="34"/>
      <c r="UHO95" s="60"/>
      <c r="UID95" s="34"/>
      <c r="UIE95" s="60"/>
      <c r="UIT95" s="34"/>
      <c r="UIU95" s="60"/>
      <c r="UJJ95" s="34"/>
      <c r="UJK95" s="60"/>
      <c r="UJZ95" s="34"/>
      <c r="UKA95" s="60"/>
      <c r="UKP95" s="34"/>
      <c r="UKQ95" s="60"/>
      <c r="ULF95" s="34"/>
      <c r="ULG95" s="60"/>
      <c r="ULV95" s="34"/>
      <c r="ULW95" s="60"/>
      <c r="UML95" s="34"/>
      <c r="UMM95" s="60"/>
      <c r="UNB95" s="34"/>
      <c r="UNC95" s="60"/>
      <c r="UNR95" s="34"/>
      <c r="UNS95" s="60"/>
      <c r="UOH95" s="34"/>
      <c r="UOI95" s="60"/>
      <c r="UOX95" s="34"/>
      <c r="UOY95" s="60"/>
      <c r="UPN95" s="34"/>
      <c r="UPO95" s="60"/>
      <c r="UQD95" s="34"/>
      <c r="UQE95" s="60"/>
      <c r="UQT95" s="34"/>
      <c r="UQU95" s="60"/>
      <c r="URJ95" s="34"/>
      <c r="URK95" s="60"/>
      <c r="URZ95" s="34"/>
      <c r="USA95" s="60"/>
      <c r="USP95" s="34"/>
      <c r="USQ95" s="60"/>
      <c r="UTF95" s="34"/>
      <c r="UTG95" s="60"/>
      <c r="UTV95" s="34"/>
      <c r="UTW95" s="60"/>
      <c r="UUL95" s="34"/>
      <c r="UUM95" s="60"/>
      <c r="UVB95" s="34"/>
      <c r="UVC95" s="60"/>
      <c r="UVR95" s="34"/>
      <c r="UVS95" s="60"/>
      <c r="UWH95" s="34"/>
      <c r="UWI95" s="60"/>
      <c r="UWX95" s="34"/>
      <c r="UWY95" s="60"/>
      <c r="UXN95" s="34"/>
      <c r="UXO95" s="60"/>
      <c r="UYD95" s="34"/>
      <c r="UYE95" s="60"/>
      <c r="UYT95" s="34"/>
      <c r="UYU95" s="60"/>
      <c r="UZJ95" s="34"/>
      <c r="UZK95" s="60"/>
      <c r="UZZ95" s="34"/>
      <c r="VAA95" s="60"/>
      <c r="VAP95" s="34"/>
      <c r="VAQ95" s="60"/>
      <c r="VBF95" s="34"/>
      <c r="VBG95" s="60"/>
      <c r="VBV95" s="34"/>
      <c r="VBW95" s="60"/>
      <c r="VCL95" s="34"/>
      <c r="VCM95" s="60"/>
      <c r="VDB95" s="34"/>
      <c r="VDC95" s="60"/>
      <c r="VDR95" s="34"/>
      <c r="VDS95" s="60"/>
      <c r="VEH95" s="34"/>
      <c r="VEI95" s="60"/>
      <c r="VEX95" s="34"/>
      <c r="VEY95" s="60"/>
      <c r="VFN95" s="34"/>
      <c r="VFO95" s="60"/>
      <c r="VGD95" s="34"/>
      <c r="VGE95" s="60"/>
      <c r="VGT95" s="34"/>
      <c r="VGU95" s="60"/>
      <c r="VHJ95" s="34"/>
      <c r="VHK95" s="60"/>
      <c r="VHZ95" s="34"/>
      <c r="VIA95" s="60"/>
      <c r="VIP95" s="34"/>
      <c r="VIQ95" s="60"/>
      <c r="VJF95" s="34"/>
      <c r="VJG95" s="60"/>
      <c r="VJV95" s="34"/>
      <c r="VJW95" s="60"/>
      <c r="VKL95" s="34"/>
      <c r="VKM95" s="60"/>
      <c r="VLB95" s="34"/>
      <c r="VLC95" s="60"/>
      <c r="VLR95" s="34"/>
      <c r="VLS95" s="60"/>
      <c r="VMH95" s="34"/>
      <c r="VMI95" s="60"/>
      <c r="VMX95" s="34"/>
      <c r="VMY95" s="60"/>
      <c r="VNN95" s="34"/>
      <c r="VNO95" s="60"/>
      <c r="VOD95" s="34"/>
      <c r="VOE95" s="60"/>
      <c r="VOT95" s="34"/>
      <c r="VOU95" s="60"/>
      <c r="VPJ95" s="34"/>
      <c r="VPK95" s="60"/>
      <c r="VPZ95" s="34"/>
      <c r="VQA95" s="60"/>
      <c r="VQP95" s="34"/>
      <c r="VQQ95" s="60"/>
      <c r="VRF95" s="34"/>
      <c r="VRG95" s="60"/>
      <c r="VRV95" s="34"/>
      <c r="VRW95" s="60"/>
      <c r="VSL95" s="34"/>
      <c r="VSM95" s="60"/>
      <c r="VTB95" s="34"/>
      <c r="VTC95" s="60"/>
      <c r="VTR95" s="34"/>
      <c r="VTS95" s="60"/>
      <c r="VUH95" s="34"/>
      <c r="VUI95" s="60"/>
      <c r="VUX95" s="34"/>
      <c r="VUY95" s="60"/>
      <c r="VVN95" s="34"/>
      <c r="VVO95" s="60"/>
      <c r="VWD95" s="34"/>
      <c r="VWE95" s="60"/>
      <c r="VWT95" s="34"/>
      <c r="VWU95" s="60"/>
      <c r="VXJ95" s="34"/>
      <c r="VXK95" s="60"/>
      <c r="VXZ95" s="34"/>
      <c r="VYA95" s="60"/>
      <c r="VYP95" s="34"/>
      <c r="VYQ95" s="60"/>
      <c r="VZF95" s="34"/>
      <c r="VZG95" s="60"/>
      <c r="VZV95" s="34"/>
      <c r="VZW95" s="60"/>
      <c r="WAL95" s="34"/>
      <c r="WAM95" s="60"/>
      <c r="WBB95" s="34"/>
      <c r="WBC95" s="60"/>
      <c r="WBR95" s="34"/>
      <c r="WBS95" s="60"/>
      <c r="WCH95" s="34"/>
      <c r="WCI95" s="60"/>
      <c r="WCX95" s="34"/>
      <c r="WCY95" s="60"/>
      <c r="WDN95" s="34"/>
      <c r="WDO95" s="60"/>
      <c r="WED95" s="34"/>
      <c r="WEE95" s="60"/>
      <c r="WET95" s="34"/>
      <c r="WEU95" s="60"/>
      <c r="WFJ95" s="34"/>
      <c r="WFK95" s="60"/>
      <c r="WFZ95" s="34"/>
      <c r="WGA95" s="60"/>
      <c r="WGP95" s="34"/>
      <c r="WGQ95" s="60"/>
      <c r="WHF95" s="34"/>
      <c r="WHG95" s="60"/>
      <c r="WHV95" s="34"/>
      <c r="WHW95" s="60"/>
      <c r="WIL95" s="34"/>
      <c r="WIM95" s="60"/>
      <c r="WJB95" s="34"/>
      <c r="WJC95" s="60"/>
      <c r="WJR95" s="34"/>
      <c r="WJS95" s="60"/>
      <c r="WKH95" s="34"/>
      <c r="WKI95" s="60"/>
      <c r="WKX95" s="34"/>
      <c r="WKY95" s="60"/>
      <c r="WLN95" s="34"/>
      <c r="WLO95" s="60"/>
      <c r="WMD95" s="34"/>
      <c r="WME95" s="60"/>
      <c r="WMT95" s="34"/>
      <c r="WMU95" s="60"/>
      <c r="WNJ95" s="34"/>
      <c r="WNK95" s="60"/>
      <c r="WNZ95" s="34"/>
      <c r="WOA95" s="60"/>
      <c r="WOP95" s="34"/>
      <c r="WOQ95" s="60"/>
      <c r="WPF95" s="34"/>
      <c r="WPG95" s="60"/>
      <c r="WPV95" s="34"/>
      <c r="WPW95" s="60"/>
      <c r="WQL95" s="34"/>
      <c r="WQM95" s="60"/>
      <c r="WRB95" s="34"/>
      <c r="WRC95" s="60"/>
      <c r="WRR95" s="34"/>
      <c r="WRS95" s="60"/>
      <c r="WSH95" s="34"/>
      <c r="WSI95" s="60"/>
      <c r="WSX95" s="34"/>
      <c r="WSY95" s="60"/>
      <c r="WTN95" s="34"/>
      <c r="WTO95" s="60"/>
      <c r="WUD95" s="34"/>
      <c r="WUE95" s="60"/>
      <c r="WUT95" s="34"/>
      <c r="WUU95" s="60"/>
      <c r="WVJ95" s="34"/>
      <c r="WVK95" s="60"/>
      <c r="WVZ95" s="34"/>
      <c r="WWA95" s="60"/>
      <c r="WWP95" s="34"/>
      <c r="WWQ95" s="60"/>
      <c r="WXF95" s="34"/>
      <c r="WXG95" s="60"/>
      <c r="WXV95" s="34"/>
      <c r="WXW95" s="60"/>
      <c r="WYL95" s="34"/>
      <c r="WYM95" s="60"/>
      <c r="WZB95" s="34"/>
      <c r="WZC95" s="60"/>
      <c r="WZR95" s="34"/>
      <c r="WZS95" s="60"/>
      <c r="XAH95" s="34"/>
      <c r="XAI95" s="60"/>
      <c r="XAX95" s="34"/>
      <c r="XAY95" s="60"/>
      <c r="XBN95" s="34"/>
      <c r="XBO95" s="60"/>
      <c r="XCD95" s="34"/>
      <c r="XCE95" s="60"/>
      <c r="XCT95" s="34"/>
      <c r="XCU95" s="60"/>
      <c r="XDJ95" s="34"/>
      <c r="XDK95" s="60"/>
      <c r="XDZ95" s="34"/>
      <c r="XEA95" s="60"/>
      <c r="XEP95" s="34"/>
      <c r="XEQ95" s="60"/>
    </row>
    <row r="96" spans="2:1011 1026:2035 2050:3059 3074:4083 4098:5107 5122:6131 6146:7155 7170:8179 8194:9203 9218:10227 10242:11251 11266:12275 12290:13299 13314:14323 14338:15347 15362:16371" ht="14.25" x14ac:dyDescent="0.2">
      <c r="B96" s="34"/>
      <c r="C96" s="60"/>
      <c r="R96" s="34"/>
      <c r="S96" s="60"/>
      <c r="AH96" s="34"/>
      <c r="AI96" s="60"/>
      <c r="AX96" s="34"/>
      <c r="AY96" s="60"/>
      <c r="BN96" s="34"/>
      <c r="BO96" s="60"/>
      <c r="CD96" s="34"/>
      <c r="CE96" s="60"/>
      <c r="CT96" s="34"/>
      <c r="CU96" s="60"/>
      <c r="DJ96" s="34"/>
      <c r="DK96" s="60"/>
      <c r="DZ96" s="34"/>
      <c r="EA96" s="60"/>
      <c r="EP96" s="34"/>
      <c r="EQ96" s="60"/>
      <c r="FF96" s="34"/>
      <c r="FG96" s="60"/>
      <c r="FV96" s="34"/>
      <c r="FW96" s="60"/>
      <c r="GL96" s="34"/>
      <c r="GM96" s="60"/>
      <c r="HB96" s="34"/>
      <c r="HC96" s="60"/>
      <c r="HR96" s="34"/>
      <c r="HS96" s="60"/>
      <c r="IH96" s="34"/>
      <c r="II96" s="60"/>
      <c r="IX96" s="34"/>
      <c r="IY96" s="60"/>
      <c r="JN96" s="34"/>
      <c r="JO96" s="60"/>
      <c r="KD96" s="34"/>
      <c r="KE96" s="60"/>
      <c r="KT96" s="34"/>
      <c r="KU96" s="60"/>
      <c r="LJ96" s="34"/>
      <c r="LK96" s="60"/>
      <c r="LZ96" s="34"/>
      <c r="MA96" s="60"/>
      <c r="MP96" s="34"/>
      <c r="MQ96" s="60"/>
      <c r="NF96" s="34"/>
      <c r="NG96" s="60"/>
      <c r="NV96" s="34"/>
      <c r="NW96" s="60"/>
      <c r="OL96" s="34"/>
      <c r="OM96" s="60"/>
      <c r="PB96" s="34"/>
      <c r="PC96" s="60"/>
      <c r="PR96" s="34"/>
      <c r="PS96" s="60"/>
      <c r="QH96" s="34"/>
      <c r="QI96" s="60"/>
      <c r="QX96" s="34"/>
      <c r="QY96" s="60"/>
      <c r="RN96" s="34"/>
      <c r="RO96" s="60"/>
      <c r="SD96" s="34"/>
      <c r="SE96" s="60"/>
      <c r="ST96" s="34"/>
      <c r="SU96" s="60"/>
      <c r="TJ96" s="34"/>
      <c r="TK96" s="60"/>
      <c r="TZ96" s="34"/>
      <c r="UA96" s="60"/>
      <c r="UP96" s="34"/>
      <c r="UQ96" s="60"/>
      <c r="VF96" s="34"/>
      <c r="VG96" s="60"/>
      <c r="VV96" s="34"/>
      <c r="VW96" s="60"/>
      <c r="WL96" s="34"/>
      <c r="WM96" s="60"/>
      <c r="XB96" s="34"/>
      <c r="XC96" s="60"/>
      <c r="XR96" s="34"/>
      <c r="XS96" s="60"/>
      <c r="YH96" s="34"/>
      <c r="YI96" s="60"/>
      <c r="YX96" s="34"/>
      <c r="YY96" s="60"/>
      <c r="ZN96" s="34"/>
      <c r="ZO96" s="60"/>
      <c r="AAD96" s="34"/>
      <c r="AAE96" s="60"/>
      <c r="AAT96" s="34"/>
      <c r="AAU96" s="60"/>
      <c r="ABJ96" s="34"/>
      <c r="ABK96" s="60"/>
      <c r="ABZ96" s="34"/>
      <c r="ACA96" s="60"/>
      <c r="ACP96" s="34"/>
      <c r="ACQ96" s="60"/>
      <c r="ADF96" s="34"/>
      <c r="ADG96" s="60"/>
      <c r="ADV96" s="34"/>
      <c r="ADW96" s="60"/>
      <c r="AEL96" s="34"/>
      <c r="AEM96" s="60"/>
      <c r="AFB96" s="34"/>
      <c r="AFC96" s="60"/>
      <c r="AFR96" s="34"/>
      <c r="AFS96" s="60"/>
      <c r="AGH96" s="34"/>
      <c r="AGI96" s="60"/>
      <c r="AGX96" s="34"/>
      <c r="AGY96" s="60"/>
      <c r="AHN96" s="34"/>
      <c r="AHO96" s="60"/>
      <c r="AID96" s="34"/>
      <c r="AIE96" s="60"/>
      <c r="AIT96" s="34"/>
      <c r="AIU96" s="60"/>
      <c r="AJJ96" s="34"/>
      <c r="AJK96" s="60"/>
      <c r="AJZ96" s="34"/>
      <c r="AKA96" s="60"/>
      <c r="AKP96" s="34"/>
      <c r="AKQ96" s="60"/>
      <c r="ALF96" s="34"/>
      <c r="ALG96" s="60"/>
      <c r="ALV96" s="34"/>
      <c r="ALW96" s="60"/>
      <c r="AML96" s="34"/>
      <c r="AMM96" s="60"/>
      <c r="ANB96" s="34"/>
      <c r="ANC96" s="60"/>
      <c r="ANR96" s="34"/>
      <c r="ANS96" s="60"/>
      <c r="AOH96" s="34"/>
      <c r="AOI96" s="60"/>
      <c r="AOX96" s="34"/>
      <c r="AOY96" s="60"/>
      <c r="APN96" s="34"/>
      <c r="APO96" s="60"/>
      <c r="AQD96" s="34"/>
      <c r="AQE96" s="60"/>
      <c r="AQT96" s="34"/>
      <c r="AQU96" s="60"/>
      <c r="ARJ96" s="34"/>
      <c r="ARK96" s="60"/>
      <c r="ARZ96" s="34"/>
      <c r="ASA96" s="60"/>
      <c r="ASP96" s="34"/>
      <c r="ASQ96" s="60"/>
      <c r="ATF96" s="34"/>
      <c r="ATG96" s="60"/>
      <c r="ATV96" s="34"/>
      <c r="ATW96" s="60"/>
      <c r="AUL96" s="34"/>
      <c r="AUM96" s="60"/>
      <c r="AVB96" s="34"/>
      <c r="AVC96" s="60"/>
      <c r="AVR96" s="34"/>
      <c r="AVS96" s="60"/>
      <c r="AWH96" s="34"/>
      <c r="AWI96" s="60"/>
      <c r="AWX96" s="34"/>
      <c r="AWY96" s="60"/>
      <c r="AXN96" s="34"/>
      <c r="AXO96" s="60"/>
      <c r="AYD96" s="34"/>
      <c r="AYE96" s="60"/>
      <c r="AYT96" s="34"/>
      <c r="AYU96" s="60"/>
      <c r="AZJ96" s="34"/>
      <c r="AZK96" s="60"/>
      <c r="AZZ96" s="34"/>
      <c r="BAA96" s="60"/>
      <c r="BAP96" s="34"/>
      <c r="BAQ96" s="60"/>
      <c r="BBF96" s="34"/>
      <c r="BBG96" s="60"/>
      <c r="BBV96" s="34"/>
      <c r="BBW96" s="60"/>
      <c r="BCL96" s="34"/>
      <c r="BCM96" s="60"/>
      <c r="BDB96" s="34"/>
      <c r="BDC96" s="60"/>
      <c r="BDR96" s="34"/>
      <c r="BDS96" s="60"/>
      <c r="BEH96" s="34"/>
      <c r="BEI96" s="60"/>
      <c r="BEX96" s="34"/>
      <c r="BEY96" s="60"/>
      <c r="BFN96" s="34"/>
      <c r="BFO96" s="60"/>
      <c r="BGD96" s="34"/>
      <c r="BGE96" s="60"/>
      <c r="BGT96" s="34"/>
      <c r="BGU96" s="60"/>
      <c r="BHJ96" s="34"/>
      <c r="BHK96" s="60"/>
      <c r="BHZ96" s="34"/>
      <c r="BIA96" s="60"/>
      <c r="BIP96" s="34"/>
      <c r="BIQ96" s="60"/>
      <c r="BJF96" s="34"/>
      <c r="BJG96" s="60"/>
      <c r="BJV96" s="34"/>
      <c r="BJW96" s="60"/>
      <c r="BKL96" s="34"/>
      <c r="BKM96" s="60"/>
      <c r="BLB96" s="34"/>
      <c r="BLC96" s="60"/>
      <c r="BLR96" s="34"/>
      <c r="BLS96" s="60"/>
      <c r="BMH96" s="34"/>
      <c r="BMI96" s="60"/>
      <c r="BMX96" s="34"/>
      <c r="BMY96" s="60"/>
      <c r="BNN96" s="34"/>
      <c r="BNO96" s="60"/>
      <c r="BOD96" s="34"/>
      <c r="BOE96" s="60"/>
      <c r="BOT96" s="34"/>
      <c r="BOU96" s="60"/>
      <c r="BPJ96" s="34"/>
      <c r="BPK96" s="60"/>
      <c r="BPZ96" s="34"/>
      <c r="BQA96" s="60"/>
      <c r="BQP96" s="34"/>
      <c r="BQQ96" s="60"/>
      <c r="BRF96" s="34"/>
      <c r="BRG96" s="60"/>
      <c r="BRV96" s="34"/>
      <c r="BRW96" s="60"/>
      <c r="BSL96" s="34"/>
      <c r="BSM96" s="60"/>
      <c r="BTB96" s="34"/>
      <c r="BTC96" s="60"/>
      <c r="BTR96" s="34"/>
      <c r="BTS96" s="60"/>
      <c r="BUH96" s="34"/>
      <c r="BUI96" s="60"/>
      <c r="BUX96" s="34"/>
      <c r="BUY96" s="60"/>
      <c r="BVN96" s="34"/>
      <c r="BVO96" s="60"/>
      <c r="BWD96" s="34"/>
      <c r="BWE96" s="60"/>
      <c r="BWT96" s="34"/>
      <c r="BWU96" s="60"/>
      <c r="BXJ96" s="34"/>
      <c r="BXK96" s="60"/>
      <c r="BXZ96" s="34"/>
      <c r="BYA96" s="60"/>
      <c r="BYP96" s="34"/>
      <c r="BYQ96" s="60"/>
      <c r="BZF96" s="34"/>
      <c r="BZG96" s="60"/>
      <c r="BZV96" s="34"/>
      <c r="BZW96" s="60"/>
      <c r="CAL96" s="34"/>
      <c r="CAM96" s="60"/>
      <c r="CBB96" s="34"/>
      <c r="CBC96" s="60"/>
      <c r="CBR96" s="34"/>
      <c r="CBS96" s="60"/>
      <c r="CCH96" s="34"/>
      <c r="CCI96" s="60"/>
      <c r="CCX96" s="34"/>
      <c r="CCY96" s="60"/>
      <c r="CDN96" s="34"/>
      <c r="CDO96" s="60"/>
      <c r="CED96" s="34"/>
      <c r="CEE96" s="60"/>
      <c r="CET96" s="34"/>
      <c r="CEU96" s="60"/>
      <c r="CFJ96" s="34"/>
      <c r="CFK96" s="60"/>
      <c r="CFZ96" s="34"/>
      <c r="CGA96" s="60"/>
      <c r="CGP96" s="34"/>
      <c r="CGQ96" s="60"/>
      <c r="CHF96" s="34"/>
      <c r="CHG96" s="60"/>
      <c r="CHV96" s="34"/>
      <c r="CHW96" s="60"/>
      <c r="CIL96" s="34"/>
      <c r="CIM96" s="60"/>
      <c r="CJB96" s="34"/>
      <c r="CJC96" s="60"/>
      <c r="CJR96" s="34"/>
      <c r="CJS96" s="60"/>
      <c r="CKH96" s="34"/>
      <c r="CKI96" s="60"/>
      <c r="CKX96" s="34"/>
      <c r="CKY96" s="60"/>
      <c r="CLN96" s="34"/>
      <c r="CLO96" s="60"/>
      <c r="CMD96" s="34"/>
      <c r="CME96" s="60"/>
      <c r="CMT96" s="34"/>
      <c r="CMU96" s="60"/>
      <c r="CNJ96" s="34"/>
      <c r="CNK96" s="60"/>
      <c r="CNZ96" s="34"/>
      <c r="COA96" s="60"/>
      <c r="COP96" s="34"/>
      <c r="COQ96" s="60"/>
      <c r="CPF96" s="34"/>
      <c r="CPG96" s="60"/>
      <c r="CPV96" s="34"/>
      <c r="CPW96" s="60"/>
      <c r="CQL96" s="34"/>
      <c r="CQM96" s="60"/>
      <c r="CRB96" s="34"/>
      <c r="CRC96" s="60"/>
      <c r="CRR96" s="34"/>
      <c r="CRS96" s="60"/>
      <c r="CSH96" s="34"/>
      <c r="CSI96" s="60"/>
      <c r="CSX96" s="34"/>
      <c r="CSY96" s="60"/>
      <c r="CTN96" s="34"/>
      <c r="CTO96" s="60"/>
      <c r="CUD96" s="34"/>
      <c r="CUE96" s="60"/>
      <c r="CUT96" s="34"/>
      <c r="CUU96" s="60"/>
      <c r="CVJ96" s="34"/>
      <c r="CVK96" s="60"/>
      <c r="CVZ96" s="34"/>
      <c r="CWA96" s="60"/>
      <c r="CWP96" s="34"/>
      <c r="CWQ96" s="60"/>
      <c r="CXF96" s="34"/>
      <c r="CXG96" s="60"/>
      <c r="CXV96" s="34"/>
      <c r="CXW96" s="60"/>
      <c r="CYL96" s="34"/>
      <c r="CYM96" s="60"/>
      <c r="CZB96" s="34"/>
      <c r="CZC96" s="60"/>
      <c r="CZR96" s="34"/>
      <c r="CZS96" s="60"/>
      <c r="DAH96" s="34"/>
      <c r="DAI96" s="60"/>
      <c r="DAX96" s="34"/>
      <c r="DAY96" s="60"/>
      <c r="DBN96" s="34"/>
      <c r="DBO96" s="60"/>
      <c r="DCD96" s="34"/>
      <c r="DCE96" s="60"/>
      <c r="DCT96" s="34"/>
      <c r="DCU96" s="60"/>
      <c r="DDJ96" s="34"/>
      <c r="DDK96" s="60"/>
      <c r="DDZ96" s="34"/>
      <c r="DEA96" s="60"/>
      <c r="DEP96" s="34"/>
      <c r="DEQ96" s="60"/>
      <c r="DFF96" s="34"/>
      <c r="DFG96" s="60"/>
      <c r="DFV96" s="34"/>
      <c r="DFW96" s="60"/>
      <c r="DGL96" s="34"/>
      <c r="DGM96" s="60"/>
      <c r="DHB96" s="34"/>
      <c r="DHC96" s="60"/>
      <c r="DHR96" s="34"/>
      <c r="DHS96" s="60"/>
      <c r="DIH96" s="34"/>
      <c r="DII96" s="60"/>
      <c r="DIX96" s="34"/>
      <c r="DIY96" s="60"/>
      <c r="DJN96" s="34"/>
      <c r="DJO96" s="60"/>
      <c r="DKD96" s="34"/>
      <c r="DKE96" s="60"/>
      <c r="DKT96" s="34"/>
      <c r="DKU96" s="60"/>
      <c r="DLJ96" s="34"/>
      <c r="DLK96" s="60"/>
      <c r="DLZ96" s="34"/>
      <c r="DMA96" s="60"/>
      <c r="DMP96" s="34"/>
      <c r="DMQ96" s="60"/>
      <c r="DNF96" s="34"/>
      <c r="DNG96" s="60"/>
      <c r="DNV96" s="34"/>
      <c r="DNW96" s="60"/>
      <c r="DOL96" s="34"/>
      <c r="DOM96" s="60"/>
      <c r="DPB96" s="34"/>
      <c r="DPC96" s="60"/>
      <c r="DPR96" s="34"/>
      <c r="DPS96" s="60"/>
      <c r="DQH96" s="34"/>
      <c r="DQI96" s="60"/>
      <c r="DQX96" s="34"/>
      <c r="DQY96" s="60"/>
      <c r="DRN96" s="34"/>
      <c r="DRO96" s="60"/>
      <c r="DSD96" s="34"/>
      <c r="DSE96" s="60"/>
      <c r="DST96" s="34"/>
      <c r="DSU96" s="60"/>
      <c r="DTJ96" s="34"/>
      <c r="DTK96" s="60"/>
      <c r="DTZ96" s="34"/>
      <c r="DUA96" s="60"/>
      <c r="DUP96" s="34"/>
      <c r="DUQ96" s="60"/>
      <c r="DVF96" s="34"/>
      <c r="DVG96" s="60"/>
      <c r="DVV96" s="34"/>
      <c r="DVW96" s="60"/>
      <c r="DWL96" s="34"/>
      <c r="DWM96" s="60"/>
      <c r="DXB96" s="34"/>
      <c r="DXC96" s="60"/>
      <c r="DXR96" s="34"/>
      <c r="DXS96" s="60"/>
      <c r="DYH96" s="34"/>
      <c r="DYI96" s="60"/>
      <c r="DYX96" s="34"/>
      <c r="DYY96" s="60"/>
      <c r="DZN96" s="34"/>
      <c r="DZO96" s="60"/>
      <c r="EAD96" s="34"/>
      <c r="EAE96" s="60"/>
      <c r="EAT96" s="34"/>
      <c r="EAU96" s="60"/>
      <c r="EBJ96" s="34"/>
      <c r="EBK96" s="60"/>
      <c r="EBZ96" s="34"/>
      <c r="ECA96" s="60"/>
      <c r="ECP96" s="34"/>
      <c r="ECQ96" s="60"/>
      <c r="EDF96" s="34"/>
      <c r="EDG96" s="60"/>
      <c r="EDV96" s="34"/>
      <c r="EDW96" s="60"/>
      <c r="EEL96" s="34"/>
      <c r="EEM96" s="60"/>
      <c r="EFB96" s="34"/>
      <c r="EFC96" s="60"/>
      <c r="EFR96" s="34"/>
      <c r="EFS96" s="60"/>
      <c r="EGH96" s="34"/>
      <c r="EGI96" s="60"/>
      <c r="EGX96" s="34"/>
      <c r="EGY96" s="60"/>
      <c r="EHN96" s="34"/>
      <c r="EHO96" s="60"/>
      <c r="EID96" s="34"/>
      <c r="EIE96" s="60"/>
      <c r="EIT96" s="34"/>
      <c r="EIU96" s="60"/>
      <c r="EJJ96" s="34"/>
      <c r="EJK96" s="60"/>
      <c r="EJZ96" s="34"/>
      <c r="EKA96" s="60"/>
      <c r="EKP96" s="34"/>
      <c r="EKQ96" s="60"/>
      <c r="ELF96" s="34"/>
      <c r="ELG96" s="60"/>
      <c r="ELV96" s="34"/>
      <c r="ELW96" s="60"/>
      <c r="EML96" s="34"/>
      <c r="EMM96" s="60"/>
      <c r="ENB96" s="34"/>
      <c r="ENC96" s="60"/>
      <c r="ENR96" s="34"/>
      <c r="ENS96" s="60"/>
      <c r="EOH96" s="34"/>
      <c r="EOI96" s="60"/>
      <c r="EOX96" s="34"/>
      <c r="EOY96" s="60"/>
      <c r="EPN96" s="34"/>
      <c r="EPO96" s="60"/>
      <c r="EQD96" s="34"/>
      <c r="EQE96" s="60"/>
      <c r="EQT96" s="34"/>
      <c r="EQU96" s="60"/>
      <c r="ERJ96" s="34"/>
      <c r="ERK96" s="60"/>
      <c r="ERZ96" s="34"/>
      <c r="ESA96" s="60"/>
      <c r="ESP96" s="34"/>
      <c r="ESQ96" s="60"/>
      <c r="ETF96" s="34"/>
      <c r="ETG96" s="60"/>
      <c r="ETV96" s="34"/>
      <c r="ETW96" s="60"/>
      <c r="EUL96" s="34"/>
      <c r="EUM96" s="60"/>
      <c r="EVB96" s="34"/>
      <c r="EVC96" s="60"/>
      <c r="EVR96" s="34"/>
      <c r="EVS96" s="60"/>
      <c r="EWH96" s="34"/>
      <c r="EWI96" s="60"/>
      <c r="EWX96" s="34"/>
      <c r="EWY96" s="60"/>
      <c r="EXN96" s="34"/>
      <c r="EXO96" s="60"/>
      <c r="EYD96" s="34"/>
      <c r="EYE96" s="60"/>
      <c r="EYT96" s="34"/>
      <c r="EYU96" s="60"/>
      <c r="EZJ96" s="34"/>
      <c r="EZK96" s="60"/>
      <c r="EZZ96" s="34"/>
      <c r="FAA96" s="60"/>
      <c r="FAP96" s="34"/>
      <c r="FAQ96" s="60"/>
      <c r="FBF96" s="34"/>
      <c r="FBG96" s="60"/>
      <c r="FBV96" s="34"/>
      <c r="FBW96" s="60"/>
      <c r="FCL96" s="34"/>
      <c r="FCM96" s="60"/>
      <c r="FDB96" s="34"/>
      <c r="FDC96" s="60"/>
      <c r="FDR96" s="34"/>
      <c r="FDS96" s="60"/>
      <c r="FEH96" s="34"/>
      <c r="FEI96" s="60"/>
      <c r="FEX96" s="34"/>
      <c r="FEY96" s="60"/>
      <c r="FFN96" s="34"/>
      <c r="FFO96" s="60"/>
      <c r="FGD96" s="34"/>
      <c r="FGE96" s="60"/>
      <c r="FGT96" s="34"/>
      <c r="FGU96" s="60"/>
      <c r="FHJ96" s="34"/>
      <c r="FHK96" s="60"/>
      <c r="FHZ96" s="34"/>
      <c r="FIA96" s="60"/>
      <c r="FIP96" s="34"/>
      <c r="FIQ96" s="60"/>
      <c r="FJF96" s="34"/>
      <c r="FJG96" s="60"/>
      <c r="FJV96" s="34"/>
      <c r="FJW96" s="60"/>
      <c r="FKL96" s="34"/>
      <c r="FKM96" s="60"/>
      <c r="FLB96" s="34"/>
      <c r="FLC96" s="60"/>
      <c r="FLR96" s="34"/>
      <c r="FLS96" s="60"/>
      <c r="FMH96" s="34"/>
      <c r="FMI96" s="60"/>
      <c r="FMX96" s="34"/>
      <c r="FMY96" s="60"/>
      <c r="FNN96" s="34"/>
      <c r="FNO96" s="60"/>
      <c r="FOD96" s="34"/>
      <c r="FOE96" s="60"/>
      <c r="FOT96" s="34"/>
      <c r="FOU96" s="60"/>
      <c r="FPJ96" s="34"/>
      <c r="FPK96" s="60"/>
      <c r="FPZ96" s="34"/>
      <c r="FQA96" s="60"/>
      <c r="FQP96" s="34"/>
      <c r="FQQ96" s="60"/>
      <c r="FRF96" s="34"/>
      <c r="FRG96" s="60"/>
      <c r="FRV96" s="34"/>
      <c r="FRW96" s="60"/>
      <c r="FSL96" s="34"/>
      <c r="FSM96" s="60"/>
      <c r="FTB96" s="34"/>
      <c r="FTC96" s="60"/>
      <c r="FTR96" s="34"/>
      <c r="FTS96" s="60"/>
      <c r="FUH96" s="34"/>
      <c r="FUI96" s="60"/>
      <c r="FUX96" s="34"/>
      <c r="FUY96" s="60"/>
      <c r="FVN96" s="34"/>
      <c r="FVO96" s="60"/>
      <c r="FWD96" s="34"/>
      <c r="FWE96" s="60"/>
      <c r="FWT96" s="34"/>
      <c r="FWU96" s="60"/>
      <c r="FXJ96" s="34"/>
      <c r="FXK96" s="60"/>
      <c r="FXZ96" s="34"/>
      <c r="FYA96" s="60"/>
      <c r="FYP96" s="34"/>
      <c r="FYQ96" s="60"/>
      <c r="FZF96" s="34"/>
      <c r="FZG96" s="60"/>
      <c r="FZV96" s="34"/>
      <c r="FZW96" s="60"/>
      <c r="GAL96" s="34"/>
      <c r="GAM96" s="60"/>
      <c r="GBB96" s="34"/>
      <c r="GBC96" s="60"/>
      <c r="GBR96" s="34"/>
      <c r="GBS96" s="60"/>
      <c r="GCH96" s="34"/>
      <c r="GCI96" s="60"/>
      <c r="GCX96" s="34"/>
      <c r="GCY96" s="60"/>
      <c r="GDN96" s="34"/>
      <c r="GDO96" s="60"/>
      <c r="GED96" s="34"/>
      <c r="GEE96" s="60"/>
      <c r="GET96" s="34"/>
      <c r="GEU96" s="60"/>
      <c r="GFJ96" s="34"/>
      <c r="GFK96" s="60"/>
      <c r="GFZ96" s="34"/>
      <c r="GGA96" s="60"/>
      <c r="GGP96" s="34"/>
      <c r="GGQ96" s="60"/>
      <c r="GHF96" s="34"/>
      <c r="GHG96" s="60"/>
      <c r="GHV96" s="34"/>
      <c r="GHW96" s="60"/>
      <c r="GIL96" s="34"/>
      <c r="GIM96" s="60"/>
      <c r="GJB96" s="34"/>
      <c r="GJC96" s="60"/>
      <c r="GJR96" s="34"/>
      <c r="GJS96" s="60"/>
      <c r="GKH96" s="34"/>
      <c r="GKI96" s="60"/>
      <c r="GKX96" s="34"/>
      <c r="GKY96" s="60"/>
      <c r="GLN96" s="34"/>
      <c r="GLO96" s="60"/>
      <c r="GMD96" s="34"/>
      <c r="GME96" s="60"/>
      <c r="GMT96" s="34"/>
      <c r="GMU96" s="60"/>
      <c r="GNJ96" s="34"/>
      <c r="GNK96" s="60"/>
      <c r="GNZ96" s="34"/>
      <c r="GOA96" s="60"/>
      <c r="GOP96" s="34"/>
      <c r="GOQ96" s="60"/>
      <c r="GPF96" s="34"/>
      <c r="GPG96" s="60"/>
      <c r="GPV96" s="34"/>
      <c r="GPW96" s="60"/>
      <c r="GQL96" s="34"/>
      <c r="GQM96" s="60"/>
      <c r="GRB96" s="34"/>
      <c r="GRC96" s="60"/>
      <c r="GRR96" s="34"/>
      <c r="GRS96" s="60"/>
      <c r="GSH96" s="34"/>
      <c r="GSI96" s="60"/>
      <c r="GSX96" s="34"/>
      <c r="GSY96" s="60"/>
      <c r="GTN96" s="34"/>
      <c r="GTO96" s="60"/>
      <c r="GUD96" s="34"/>
      <c r="GUE96" s="60"/>
      <c r="GUT96" s="34"/>
      <c r="GUU96" s="60"/>
      <c r="GVJ96" s="34"/>
      <c r="GVK96" s="60"/>
      <c r="GVZ96" s="34"/>
      <c r="GWA96" s="60"/>
      <c r="GWP96" s="34"/>
      <c r="GWQ96" s="60"/>
      <c r="GXF96" s="34"/>
      <c r="GXG96" s="60"/>
      <c r="GXV96" s="34"/>
      <c r="GXW96" s="60"/>
      <c r="GYL96" s="34"/>
      <c r="GYM96" s="60"/>
      <c r="GZB96" s="34"/>
      <c r="GZC96" s="60"/>
      <c r="GZR96" s="34"/>
      <c r="GZS96" s="60"/>
      <c r="HAH96" s="34"/>
      <c r="HAI96" s="60"/>
      <c r="HAX96" s="34"/>
      <c r="HAY96" s="60"/>
      <c r="HBN96" s="34"/>
      <c r="HBO96" s="60"/>
      <c r="HCD96" s="34"/>
      <c r="HCE96" s="60"/>
      <c r="HCT96" s="34"/>
      <c r="HCU96" s="60"/>
      <c r="HDJ96" s="34"/>
      <c r="HDK96" s="60"/>
      <c r="HDZ96" s="34"/>
      <c r="HEA96" s="60"/>
      <c r="HEP96" s="34"/>
      <c r="HEQ96" s="60"/>
      <c r="HFF96" s="34"/>
      <c r="HFG96" s="60"/>
      <c r="HFV96" s="34"/>
      <c r="HFW96" s="60"/>
      <c r="HGL96" s="34"/>
      <c r="HGM96" s="60"/>
      <c r="HHB96" s="34"/>
      <c r="HHC96" s="60"/>
      <c r="HHR96" s="34"/>
      <c r="HHS96" s="60"/>
      <c r="HIH96" s="34"/>
      <c r="HII96" s="60"/>
      <c r="HIX96" s="34"/>
      <c r="HIY96" s="60"/>
      <c r="HJN96" s="34"/>
      <c r="HJO96" s="60"/>
      <c r="HKD96" s="34"/>
      <c r="HKE96" s="60"/>
      <c r="HKT96" s="34"/>
      <c r="HKU96" s="60"/>
      <c r="HLJ96" s="34"/>
      <c r="HLK96" s="60"/>
      <c r="HLZ96" s="34"/>
      <c r="HMA96" s="60"/>
      <c r="HMP96" s="34"/>
      <c r="HMQ96" s="60"/>
      <c r="HNF96" s="34"/>
      <c r="HNG96" s="60"/>
      <c r="HNV96" s="34"/>
      <c r="HNW96" s="60"/>
      <c r="HOL96" s="34"/>
      <c r="HOM96" s="60"/>
      <c r="HPB96" s="34"/>
      <c r="HPC96" s="60"/>
      <c r="HPR96" s="34"/>
      <c r="HPS96" s="60"/>
      <c r="HQH96" s="34"/>
      <c r="HQI96" s="60"/>
      <c r="HQX96" s="34"/>
      <c r="HQY96" s="60"/>
      <c r="HRN96" s="34"/>
      <c r="HRO96" s="60"/>
      <c r="HSD96" s="34"/>
      <c r="HSE96" s="60"/>
      <c r="HST96" s="34"/>
      <c r="HSU96" s="60"/>
      <c r="HTJ96" s="34"/>
      <c r="HTK96" s="60"/>
      <c r="HTZ96" s="34"/>
      <c r="HUA96" s="60"/>
      <c r="HUP96" s="34"/>
      <c r="HUQ96" s="60"/>
      <c r="HVF96" s="34"/>
      <c r="HVG96" s="60"/>
      <c r="HVV96" s="34"/>
      <c r="HVW96" s="60"/>
      <c r="HWL96" s="34"/>
      <c r="HWM96" s="60"/>
      <c r="HXB96" s="34"/>
      <c r="HXC96" s="60"/>
      <c r="HXR96" s="34"/>
      <c r="HXS96" s="60"/>
      <c r="HYH96" s="34"/>
      <c r="HYI96" s="60"/>
      <c r="HYX96" s="34"/>
      <c r="HYY96" s="60"/>
      <c r="HZN96" s="34"/>
      <c r="HZO96" s="60"/>
      <c r="IAD96" s="34"/>
      <c r="IAE96" s="60"/>
      <c r="IAT96" s="34"/>
      <c r="IAU96" s="60"/>
      <c r="IBJ96" s="34"/>
      <c r="IBK96" s="60"/>
      <c r="IBZ96" s="34"/>
      <c r="ICA96" s="60"/>
      <c r="ICP96" s="34"/>
      <c r="ICQ96" s="60"/>
      <c r="IDF96" s="34"/>
      <c r="IDG96" s="60"/>
      <c r="IDV96" s="34"/>
      <c r="IDW96" s="60"/>
      <c r="IEL96" s="34"/>
      <c r="IEM96" s="60"/>
      <c r="IFB96" s="34"/>
      <c r="IFC96" s="60"/>
      <c r="IFR96" s="34"/>
      <c r="IFS96" s="60"/>
      <c r="IGH96" s="34"/>
      <c r="IGI96" s="60"/>
      <c r="IGX96" s="34"/>
      <c r="IGY96" s="60"/>
      <c r="IHN96" s="34"/>
      <c r="IHO96" s="60"/>
      <c r="IID96" s="34"/>
      <c r="IIE96" s="60"/>
      <c r="IIT96" s="34"/>
      <c r="IIU96" s="60"/>
      <c r="IJJ96" s="34"/>
      <c r="IJK96" s="60"/>
      <c r="IJZ96" s="34"/>
      <c r="IKA96" s="60"/>
      <c r="IKP96" s="34"/>
      <c r="IKQ96" s="60"/>
      <c r="ILF96" s="34"/>
      <c r="ILG96" s="60"/>
      <c r="ILV96" s="34"/>
      <c r="ILW96" s="60"/>
      <c r="IML96" s="34"/>
      <c r="IMM96" s="60"/>
      <c r="INB96" s="34"/>
      <c r="INC96" s="60"/>
      <c r="INR96" s="34"/>
      <c r="INS96" s="60"/>
      <c r="IOH96" s="34"/>
      <c r="IOI96" s="60"/>
      <c r="IOX96" s="34"/>
      <c r="IOY96" s="60"/>
      <c r="IPN96" s="34"/>
      <c r="IPO96" s="60"/>
      <c r="IQD96" s="34"/>
      <c r="IQE96" s="60"/>
      <c r="IQT96" s="34"/>
      <c r="IQU96" s="60"/>
      <c r="IRJ96" s="34"/>
      <c r="IRK96" s="60"/>
      <c r="IRZ96" s="34"/>
      <c r="ISA96" s="60"/>
      <c r="ISP96" s="34"/>
      <c r="ISQ96" s="60"/>
      <c r="ITF96" s="34"/>
      <c r="ITG96" s="60"/>
      <c r="ITV96" s="34"/>
      <c r="ITW96" s="60"/>
      <c r="IUL96" s="34"/>
      <c r="IUM96" s="60"/>
      <c r="IVB96" s="34"/>
      <c r="IVC96" s="60"/>
      <c r="IVR96" s="34"/>
      <c r="IVS96" s="60"/>
      <c r="IWH96" s="34"/>
      <c r="IWI96" s="60"/>
      <c r="IWX96" s="34"/>
      <c r="IWY96" s="60"/>
      <c r="IXN96" s="34"/>
      <c r="IXO96" s="60"/>
      <c r="IYD96" s="34"/>
      <c r="IYE96" s="60"/>
      <c r="IYT96" s="34"/>
      <c r="IYU96" s="60"/>
      <c r="IZJ96" s="34"/>
      <c r="IZK96" s="60"/>
      <c r="IZZ96" s="34"/>
      <c r="JAA96" s="60"/>
      <c r="JAP96" s="34"/>
      <c r="JAQ96" s="60"/>
      <c r="JBF96" s="34"/>
      <c r="JBG96" s="60"/>
      <c r="JBV96" s="34"/>
      <c r="JBW96" s="60"/>
      <c r="JCL96" s="34"/>
      <c r="JCM96" s="60"/>
      <c r="JDB96" s="34"/>
      <c r="JDC96" s="60"/>
      <c r="JDR96" s="34"/>
      <c r="JDS96" s="60"/>
      <c r="JEH96" s="34"/>
      <c r="JEI96" s="60"/>
      <c r="JEX96" s="34"/>
      <c r="JEY96" s="60"/>
      <c r="JFN96" s="34"/>
      <c r="JFO96" s="60"/>
      <c r="JGD96" s="34"/>
      <c r="JGE96" s="60"/>
      <c r="JGT96" s="34"/>
      <c r="JGU96" s="60"/>
      <c r="JHJ96" s="34"/>
      <c r="JHK96" s="60"/>
      <c r="JHZ96" s="34"/>
      <c r="JIA96" s="60"/>
      <c r="JIP96" s="34"/>
      <c r="JIQ96" s="60"/>
      <c r="JJF96" s="34"/>
      <c r="JJG96" s="60"/>
      <c r="JJV96" s="34"/>
      <c r="JJW96" s="60"/>
      <c r="JKL96" s="34"/>
      <c r="JKM96" s="60"/>
      <c r="JLB96" s="34"/>
      <c r="JLC96" s="60"/>
      <c r="JLR96" s="34"/>
      <c r="JLS96" s="60"/>
      <c r="JMH96" s="34"/>
      <c r="JMI96" s="60"/>
      <c r="JMX96" s="34"/>
      <c r="JMY96" s="60"/>
      <c r="JNN96" s="34"/>
      <c r="JNO96" s="60"/>
      <c r="JOD96" s="34"/>
      <c r="JOE96" s="60"/>
      <c r="JOT96" s="34"/>
      <c r="JOU96" s="60"/>
      <c r="JPJ96" s="34"/>
      <c r="JPK96" s="60"/>
      <c r="JPZ96" s="34"/>
      <c r="JQA96" s="60"/>
      <c r="JQP96" s="34"/>
      <c r="JQQ96" s="60"/>
      <c r="JRF96" s="34"/>
      <c r="JRG96" s="60"/>
      <c r="JRV96" s="34"/>
      <c r="JRW96" s="60"/>
      <c r="JSL96" s="34"/>
      <c r="JSM96" s="60"/>
      <c r="JTB96" s="34"/>
      <c r="JTC96" s="60"/>
      <c r="JTR96" s="34"/>
      <c r="JTS96" s="60"/>
      <c r="JUH96" s="34"/>
      <c r="JUI96" s="60"/>
      <c r="JUX96" s="34"/>
      <c r="JUY96" s="60"/>
      <c r="JVN96" s="34"/>
      <c r="JVO96" s="60"/>
      <c r="JWD96" s="34"/>
      <c r="JWE96" s="60"/>
      <c r="JWT96" s="34"/>
      <c r="JWU96" s="60"/>
      <c r="JXJ96" s="34"/>
      <c r="JXK96" s="60"/>
      <c r="JXZ96" s="34"/>
      <c r="JYA96" s="60"/>
      <c r="JYP96" s="34"/>
      <c r="JYQ96" s="60"/>
      <c r="JZF96" s="34"/>
      <c r="JZG96" s="60"/>
      <c r="JZV96" s="34"/>
      <c r="JZW96" s="60"/>
      <c r="KAL96" s="34"/>
      <c r="KAM96" s="60"/>
      <c r="KBB96" s="34"/>
      <c r="KBC96" s="60"/>
      <c r="KBR96" s="34"/>
      <c r="KBS96" s="60"/>
      <c r="KCH96" s="34"/>
      <c r="KCI96" s="60"/>
      <c r="KCX96" s="34"/>
      <c r="KCY96" s="60"/>
      <c r="KDN96" s="34"/>
      <c r="KDO96" s="60"/>
      <c r="KED96" s="34"/>
      <c r="KEE96" s="60"/>
      <c r="KET96" s="34"/>
      <c r="KEU96" s="60"/>
      <c r="KFJ96" s="34"/>
      <c r="KFK96" s="60"/>
      <c r="KFZ96" s="34"/>
      <c r="KGA96" s="60"/>
      <c r="KGP96" s="34"/>
      <c r="KGQ96" s="60"/>
      <c r="KHF96" s="34"/>
      <c r="KHG96" s="60"/>
      <c r="KHV96" s="34"/>
      <c r="KHW96" s="60"/>
      <c r="KIL96" s="34"/>
      <c r="KIM96" s="60"/>
      <c r="KJB96" s="34"/>
      <c r="KJC96" s="60"/>
      <c r="KJR96" s="34"/>
      <c r="KJS96" s="60"/>
      <c r="KKH96" s="34"/>
      <c r="KKI96" s="60"/>
      <c r="KKX96" s="34"/>
      <c r="KKY96" s="60"/>
      <c r="KLN96" s="34"/>
      <c r="KLO96" s="60"/>
      <c r="KMD96" s="34"/>
      <c r="KME96" s="60"/>
      <c r="KMT96" s="34"/>
      <c r="KMU96" s="60"/>
      <c r="KNJ96" s="34"/>
      <c r="KNK96" s="60"/>
      <c r="KNZ96" s="34"/>
      <c r="KOA96" s="60"/>
      <c r="KOP96" s="34"/>
      <c r="KOQ96" s="60"/>
      <c r="KPF96" s="34"/>
      <c r="KPG96" s="60"/>
      <c r="KPV96" s="34"/>
      <c r="KPW96" s="60"/>
      <c r="KQL96" s="34"/>
      <c r="KQM96" s="60"/>
      <c r="KRB96" s="34"/>
      <c r="KRC96" s="60"/>
      <c r="KRR96" s="34"/>
      <c r="KRS96" s="60"/>
      <c r="KSH96" s="34"/>
      <c r="KSI96" s="60"/>
      <c r="KSX96" s="34"/>
      <c r="KSY96" s="60"/>
      <c r="KTN96" s="34"/>
      <c r="KTO96" s="60"/>
      <c r="KUD96" s="34"/>
      <c r="KUE96" s="60"/>
      <c r="KUT96" s="34"/>
      <c r="KUU96" s="60"/>
      <c r="KVJ96" s="34"/>
      <c r="KVK96" s="60"/>
      <c r="KVZ96" s="34"/>
      <c r="KWA96" s="60"/>
      <c r="KWP96" s="34"/>
      <c r="KWQ96" s="60"/>
      <c r="KXF96" s="34"/>
      <c r="KXG96" s="60"/>
      <c r="KXV96" s="34"/>
      <c r="KXW96" s="60"/>
      <c r="KYL96" s="34"/>
      <c r="KYM96" s="60"/>
      <c r="KZB96" s="34"/>
      <c r="KZC96" s="60"/>
      <c r="KZR96" s="34"/>
      <c r="KZS96" s="60"/>
      <c r="LAH96" s="34"/>
      <c r="LAI96" s="60"/>
      <c r="LAX96" s="34"/>
      <c r="LAY96" s="60"/>
      <c r="LBN96" s="34"/>
      <c r="LBO96" s="60"/>
      <c r="LCD96" s="34"/>
      <c r="LCE96" s="60"/>
      <c r="LCT96" s="34"/>
      <c r="LCU96" s="60"/>
      <c r="LDJ96" s="34"/>
      <c r="LDK96" s="60"/>
      <c r="LDZ96" s="34"/>
      <c r="LEA96" s="60"/>
      <c r="LEP96" s="34"/>
      <c r="LEQ96" s="60"/>
      <c r="LFF96" s="34"/>
      <c r="LFG96" s="60"/>
      <c r="LFV96" s="34"/>
      <c r="LFW96" s="60"/>
      <c r="LGL96" s="34"/>
      <c r="LGM96" s="60"/>
      <c r="LHB96" s="34"/>
      <c r="LHC96" s="60"/>
      <c r="LHR96" s="34"/>
      <c r="LHS96" s="60"/>
      <c r="LIH96" s="34"/>
      <c r="LII96" s="60"/>
      <c r="LIX96" s="34"/>
      <c r="LIY96" s="60"/>
      <c r="LJN96" s="34"/>
      <c r="LJO96" s="60"/>
      <c r="LKD96" s="34"/>
      <c r="LKE96" s="60"/>
      <c r="LKT96" s="34"/>
      <c r="LKU96" s="60"/>
      <c r="LLJ96" s="34"/>
      <c r="LLK96" s="60"/>
      <c r="LLZ96" s="34"/>
      <c r="LMA96" s="60"/>
      <c r="LMP96" s="34"/>
      <c r="LMQ96" s="60"/>
      <c r="LNF96" s="34"/>
      <c r="LNG96" s="60"/>
      <c r="LNV96" s="34"/>
      <c r="LNW96" s="60"/>
      <c r="LOL96" s="34"/>
      <c r="LOM96" s="60"/>
      <c r="LPB96" s="34"/>
      <c r="LPC96" s="60"/>
      <c r="LPR96" s="34"/>
      <c r="LPS96" s="60"/>
      <c r="LQH96" s="34"/>
      <c r="LQI96" s="60"/>
      <c r="LQX96" s="34"/>
      <c r="LQY96" s="60"/>
      <c r="LRN96" s="34"/>
      <c r="LRO96" s="60"/>
      <c r="LSD96" s="34"/>
      <c r="LSE96" s="60"/>
      <c r="LST96" s="34"/>
      <c r="LSU96" s="60"/>
      <c r="LTJ96" s="34"/>
      <c r="LTK96" s="60"/>
      <c r="LTZ96" s="34"/>
      <c r="LUA96" s="60"/>
      <c r="LUP96" s="34"/>
      <c r="LUQ96" s="60"/>
      <c r="LVF96" s="34"/>
      <c r="LVG96" s="60"/>
      <c r="LVV96" s="34"/>
      <c r="LVW96" s="60"/>
      <c r="LWL96" s="34"/>
      <c r="LWM96" s="60"/>
      <c r="LXB96" s="34"/>
      <c r="LXC96" s="60"/>
      <c r="LXR96" s="34"/>
      <c r="LXS96" s="60"/>
      <c r="LYH96" s="34"/>
      <c r="LYI96" s="60"/>
      <c r="LYX96" s="34"/>
      <c r="LYY96" s="60"/>
      <c r="LZN96" s="34"/>
      <c r="LZO96" s="60"/>
      <c r="MAD96" s="34"/>
      <c r="MAE96" s="60"/>
      <c r="MAT96" s="34"/>
      <c r="MAU96" s="60"/>
      <c r="MBJ96" s="34"/>
      <c r="MBK96" s="60"/>
      <c r="MBZ96" s="34"/>
      <c r="MCA96" s="60"/>
      <c r="MCP96" s="34"/>
      <c r="MCQ96" s="60"/>
      <c r="MDF96" s="34"/>
      <c r="MDG96" s="60"/>
      <c r="MDV96" s="34"/>
      <c r="MDW96" s="60"/>
      <c r="MEL96" s="34"/>
      <c r="MEM96" s="60"/>
      <c r="MFB96" s="34"/>
      <c r="MFC96" s="60"/>
      <c r="MFR96" s="34"/>
      <c r="MFS96" s="60"/>
      <c r="MGH96" s="34"/>
      <c r="MGI96" s="60"/>
      <c r="MGX96" s="34"/>
      <c r="MGY96" s="60"/>
      <c r="MHN96" s="34"/>
      <c r="MHO96" s="60"/>
      <c r="MID96" s="34"/>
      <c r="MIE96" s="60"/>
      <c r="MIT96" s="34"/>
      <c r="MIU96" s="60"/>
      <c r="MJJ96" s="34"/>
      <c r="MJK96" s="60"/>
      <c r="MJZ96" s="34"/>
      <c r="MKA96" s="60"/>
      <c r="MKP96" s="34"/>
      <c r="MKQ96" s="60"/>
      <c r="MLF96" s="34"/>
      <c r="MLG96" s="60"/>
      <c r="MLV96" s="34"/>
      <c r="MLW96" s="60"/>
      <c r="MML96" s="34"/>
      <c r="MMM96" s="60"/>
      <c r="MNB96" s="34"/>
      <c r="MNC96" s="60"/>
      <c r="MNR96" s="34"/>
      <c r="MNS96" s="60"/>
      <c r="MOH96" s="34"/>
      <c r="MOI96" s="60"/>
      <c r="MOX96" s="34"/>
      <c r="MOY96" s="60"/>
      <c r="MPN96" s="34"/>
      <c r="MPO96" s="60"/>
      <c r="MQD96" s="34"/>
      <c r="MQE96" s="60"/>
      <c r="MQT96" s="34"/>
      <c r="MQU96" s="60"/>
      <c r="MRJ96" s="34"/>
      <c r="MRK96" s="60"/>
      <c r="MRZ96" s="34"/>
      <c r="MSA96" s="60"/>
      <c r="MSP96" s="34"/>
      <c r="MSQ96" s="60"/>
      <c r="MTF96" s="34"/>
      <c r="MTG96" s="60"/>
      <c r="MTV96" s="34"/>
      <c r="MTW96" s="60"/>
      <c r="MUL96" s="34"/>
      <c r="MUM96" s="60"/>
      <c r="MVB96" s="34"/>
      <c r="MVC96" s="60"/>
      <c r="MVR96" s="34"/>
      <c r="MVS96" s="60"/>
      <c r="MWH96" s="34"/>
      <c r="MWI96" s="60"/>
      <c r="MWX96" s="34"/>
      <c r="MWY96" s="60"/>
      <c r="MXN96" s="34"/>
      <c r="MXO96" s="60"/>
      <c r="MYD96" s="34"/>
      <c r="MYE96" s="60"/>
      <c r="MYT96" s="34"/>
      <c r="MYU96" s="60"/>
      <c r="MZJ96" s="34"/>
      <c r="MZK96" s="60"/>
      <c r="MZZ96" s="34"/>
      <c r="NAA96" s="60"/>
      <c r="NAP96" s="34"/>
      <c r="NAQ96" s="60"/>
      <c r="NBF96" s="34"/>
      <c r="NBG96" s="60"/>
      <c r="NBV96" s="34"/>
      <c r="NBW96" s="60"/>
      <c r="NCL96" s="34"/>
      <c r="NCM96" s="60"/>
      <c r="NDB96" s="34"/>
      <c r="NDC96" s="60"/>
      <c r="NDR96" s="34"/>
      <c r="NDS96" s="60"/>
      <c r="NEH96" s="34"/>
      <c r="NEI96" s="60"/>
      <c r="NEX96" s="34"/>
      <c r="NEY96" s="60"/>
      <c r="NFN96" s="34"/>
      <c r="NFO96" s="60"/>
      <c r="NGD96" s="34"/>
      <c r="NGE96" s="60"/>
      <c r="NGT96" s="34"/>
      <c r="NGU96" s="60"/>
      <c r="NHJ96" s="34"/>
      <c r="NHK96" s="60"/>
      <c r="NHZ96" s="34"/>
      <c r="NIA96" s="60"/>
      <c r="NIP96" s="34"/>
      <c r="NIQ96" s="60"/>
      <c r="NJF96" s="34"/>
      <c r="NJG96" s="60"/>
      <c r="NJV96" s="34"/>
      <c r="NJW96" s="60"/>
      <c r="NKL96" s="34"/>
      <c r="NKM96" s="60"/>
      <c r="NLB96" s="34"/>
      <c r="NLC96" s="60"/>
      <c r="NLR96" s="34"/>
      <c r="NLS96" s="60"/>
      <c r="NMH96" s="34"/>
      <c r="NMI96" s="60"/>
      <c r="NMX96" s="34"/>
      <c r="NMY96" s="60"/>
      <c r="NNN96" s="34"/>
      <c r="NNO96" s="60"/>
      <c r="NOD96" s="34"/>
      <c r="NOE96" s="60"/>
      <c r="NOT96" s="34"/>
      <c r="NOU96" s="60"/>
      <c r="NPJ96" s="34"/>
      <c r="NPK96" s="60"/>
      <c r="NPZ96" s="34"/>
      <c r="NQA96" s="60"/>
      <c r="NQP96" s="34"/>
      <c r="NQQ96" s="60"/>
      <c r="NRF96" s="34"/>
      <c r="NRG96" s="60"/>
      <c r="NRV96" s="34"/>
      <c r="NRW96" s="60"/>
      <c r="NSL96" s="34"/>
      <c r="NSM96" s="60"/>
      <c r="NTB96" s="34"/>
      <c r="NTC96" s="60"/>
      <c r="NTR96" s="34"/>
      <c r="NTS96" s="60"/>
      <c r="NUH96" s="34"/>
      <c r="NUI96" s="60"/>
      <c r="NUX96" s="34"/>
      <c r="NUY96" s="60"/>
      <c r="NVN96" s="34"/>
      <c r="NVO96" s="60"/>
      <c r="NWD96" s="34"/>
      <c r="NWE96" s="60"/>
      <c r="NWT96" s="34"/>
      <c r="NWU96" s="60"/>
      <c r="NXJ96" s="34"/>
      <c r="NXK96" s="60"/>
      <c r="NXZ96" s="34"/>
      <c r="NYA96" s="60"/>
      <c r="NYP96" s="34"/>
      <c r="NYQ96" s="60"/>
      <c r="NZF96" s="34"/>
      <c r="NZG96" s="60"/>
      <c r="NZV96" s="34"/>
      <c r="NZW96" s="60"/>
      <c r="OAL96" s="34"/>
      <c r="OAM96" s="60"/>
      <c r="OBB96" s="34"/>
      <c r="OBC96" s="60"/>
      <c r="OBR96" s="34"/>
      <c r="OBS96" s="60"/>
      <c r="OCH96" s="34"/>
      <c r="OCI96" s="60"/>
      <c r="OCX96" s="34"/>
      <c r="OCY96" s="60"/>
      <c r="ODN96" s="34"/>
      <c r="ODO96" s="60"/>
      <c r="OED96" s="34"/>
      <c r="OEE96" s="60"/>
      <c r="OET96" s="34"/>
      <c r="OEU96" s="60"/>
      <c r="OFJ96" s="34"/>
      <c r="OFK96" s="60"/>
      <c r="OFZ96" s="34"/>
      <c r="OGA96" s="60"/>
      <c r="OGP96" s="34"/>
      <c r="OGQ96" s="60"/>
      <c r="OHF96" s="34"/>
      <c r="OHG96" s="60"/>
      <c r="OHV96" s="34"/>
      <c r="OHW96" s="60"/>
      <c r="OIL96" s="34"/>
      <c r="OIM96" s="60"/>
      <c r="OJB96" s="34"/>
      <c r="OJC96" s="60"/>
      <c r="OJR96" s="34"/>
      <c r="OJS96" s="60"/>
      <c r="OKH96" s="34"/>
      <c r="OKI96" s="60"/>
      <c r="OKX96" s="34"/>
      <c r="OKY96" s="60"/>
      <c r="OLN96" s="34"/>
      <c r="OLO96" s="60"/>
      <c r="OMD96" s="34"/>
      <c r="OME96" s="60"/>
      <c r="OMT96" s="34"/>
      <c r="OMU96" s="60"/>
      <c r="ONJ96" s="34"/>
      <c r="ONK96" s="60"/>
      <c r="ONZ96" s="34"/>
      <c r="OOA96" s="60"/>
      <c r="OOP96" s="34"/>
      <c r="OOQ96" s="60"/>
      <c r="OPF96" s="34"/>
      <c r="OPG96" s="60"/>
      <c r="OPV96" s="34"/>
      <c r="OPW96" s="60"/>
      <c r="OQL96" s="34"/>
      <c r="OQM96" s="60"/>
      <c r="ORB96" s="34"/>
      <c r="ORC96" s="60"/>
      <c r="ORR96" s="34"/>
      <c r="ORS96" s="60"/>
      <c r="OSH96" s="34"/>
      <c r="OSI96" s="60"/>
      <c r="OSX96" s="34"/>
      <c r="OSY96" s="60"/>
      <c r="OTN96" s="34"/>
      <c r="OTO96" s="60"/>
      <c r="OUD96" s="34"/>
      <c r="OUE96" s="60"/>
      <c r="OUT96" s="34"/>
      <c r="OUU96" s="60"/>
      <c r="OVJ96" s="34"/>
      <c r="OVK96" s="60"/>
      <c r="OVZ96" s="34"/>
      <c r="OWA96" s="60"/>
      <c r="OWP96" s="34"/>
      <c r="OWQ96" s="60"/>
      <c r="OXF96" s="34"/>
      <c r="OXG96" s="60"/>
      <c r="OXV96" s="34"/>
      <c r="OXW96" s="60"/>
      <c r="OYL96" s="34"/>
      <c r="OYM96" s="60"/>
      <c r="OZB96" s="34"/>
      <c r="OZC96" s="60"/>
      <c r="OZR96" s="34"/>
      <c r="OZS96" s="60"/>
      <c r="PAH96" s="34"/>
      <c r="PAI96" s="60"/>
      <c r="PAX96" s="34"/>
      <c r="PAY96" s="60"/>
      <c r="PBN96" s="34"/>
      <c r="PBO96" s="60"/>
      <c r="PCD96" s="34"/>
      <c r="PCE96" s="60"/>
      <c r="PCT96" s="34"/>
      <c r="PCU96" s="60"/>
      <c r="PDJ96" s="34"/>
      <c r="PDK96" s="60"/>
      <c r="PDZ96" s="34"/>
      <c r="PEA96" s="60"/>
      <c r="PEP96" s="34"/>
      <c r="PEQ96" s="60"/>
      <c r="PFF96" s="34"/>
      <c r="PFG96" s="60"/>
      <c r="PFV96" s="34"/>
      <c r="PFW96" s="60"/>
      <c r="PGL96" s="34"/>
      <c r="PGM96" s="60"/>
      <c r="PHB96" s="34"/>
      <c r="PHC96" s="60"/>
      <c r="PHR96" s="34"/>
      <c r="PHS96" s="60"/>
      <c r="PIH96" s="34"/>
      <c r="PII96" s="60"/>
      <c r="PIX96" s="34"/>
      <c r="PIY96" s="60"/>
      <c r="PJN96" s="34"/>
      <c r="PJO96" s="60"/>
      <c r="PKD96" s="34"/>
      <c r="PKE96" s="60"/>
      <c r="PKT96" s="34"/>
      <c r="PKU96" s="60"/>
      <c r="PLJ96" s="34"/>
      <c r="PLK96" s="60"/>
      <c r="PLZ96" s="34"/>
      <c r="PMA96" s="60"/>
      <c r="PMP96" s="34"/>
      <c r="PMQ96" s="60"/>
      <c r="PNF96" s="34"/>
      <c r="PNG96" s="60"/>
      <c r="PNV96" s="34"/>
      <c r="PNW96" s="60"/>
      <c r="POL96" s="34"/>
      <c r="POM96" s="60"/>
      <c r="PPB96" s="34"/>
      <c r="PPC96" s="60"/>
      <c r="PPR96" s="34"/>
      <c r="PPS96" s="60"/>
      <c r="PQH96" s="34"/>
      <c r="PQI96" s="60"/>
      <c r="PQX96" s="34"/>
      <c r="PQY96" s="60"/>
      <c r="PRN96" s="34"/>
      <c r="PRO96" s="60"/>
      <c r="PSD96" s="34"/>
      <c r="PSE96" s="60"/>
      <c r="PST96" s="34"/>
      <c r="PSU96" s="60"/>
      <c r="PTJ96" s="34"/>
      <c r="PTK96" s="60"/>
      <c r="PTZ96" s="34"/>
      <c r="PUA96" s="60"/>
      <c r="PUP96" s="34"/>
      <c r="PUQ96" s="60"/>
      <c r="PVF96" s="34"/>
      <c r="PVG96" s="60"/>
      <c r="PVV96" s="34"/>
      <c r="PVW96" s="60"/>
      <c r="PWL96" s="34"/>
      <c r="PWM96" s="60"/>
      <c r="PXB96" s="34"/>
      <c r="PXC96" s="60"/>
      <c r="PXR96" s="34"/>
      <c r="PXS96" s="60"/>
      <c r="PYH96" s="34"/>
      <c r="PYI96" s="60"/>
      <c r="PYX96" s="34"/>
      <c r="PYY96" s="60"/>
      <c r="PZN96" s="34"/>
      <c r="PZO96" s="60"/>
      <c r="QAD96" s="34"/>
      <c r="QAE96" s="60"/>
      <c r="QAT96" s="34"/>
      <c r="QAU96" s="60"/>
      <c r="QBJ96" s="34"/>
      <c r="QBK96" s="60"/>
      <c r="QBZ96" s="34"/>
      <c r="QCA96" s="60"/>
      <c r="QCP96" s="34"/>
      <c r="QCQ96" s="60"/>
      <c r="QDF96" s="34"/>
      <c r="QDG96" s="60"/>
      <c r="QDV96" s="34"/>
      <c r="QDW96" s="60"/>
      <c r="QEL96" s="34"/>
      <c r="QEM96" s="60"/>
      <c r="QFB96" s="34"/>
      <c r="QFC96" s="60"/>
      <c r="QFR96" s="34"/>
      <c r="QFS96" s="60"/>
      <c r="QGH96" s="34"/>
      <c r="QGI96" s="60"/>
      <c r="QGX96" s="34"/>
      <c r="QGY96" s="60"/>
      <c r="QHN96" s="34"/>
      <c r="QHO96" s="60"/>
      <c r="QID96" s="34"/>
      <c r="QIE96" s="60"/>
      <c r="QIT96" s="34"/>
      <c r="QIU96" s="60"/>
      <c r="QJJ96" s="34"/>
      <c r="QJK96" s="60"/>
      <c r="QJZ96" s="34"/>
      <c r="QKA96" s="60"/>
      <c r="QKP96" s="34"/>
      <c r="QKQ96" s="60"/>
      <c r="QLF96" s="34"/>
      <c r="QLG96" s="60"/>
      <c r="QLV96" s="34"/>
      <c r="QLW96" s="60"/>
      <c r="QML96" s="34"/>
      <c r="QMM96" s="60"/>
      <c r="QNB96" s="34"/>
      <c r="QNC96" s="60"/>
      <c r="QNR96" s="34"/>
      <c r="QNS96" s="60"/>
      <c r="QOH96" s="34"/>
      <c r="QOI96" s="60"/>
      <c r="QOX96" s="34"/>
      <c r="QOY96" s="60"/>
      <c r="QPN96" s="34"/>
      <c r="QPO96" s="60"/>
      <c r="QQD96" s="34"/>
      <c r="QQE96" s="60"/>
      <c r="QQT96" s="34"/>
      <c r="QQU96" s="60"/>
      <c r="QRJ96" s="34"/>
      <c r="QRK96" s="60"/>
      <c r="QRZ96" s="34"/>
      <c r="QSA96" s="60"/>
      <c r="QSP96" s="34"/>
      <c r="QSQ96" s="60"/>
      <c r="QTF96" s="34"/>
      <c r="QTG96" s="60"/>
      <c r="QTV96" s="34"/>
      <c r="QTW96" s="60"/>
      <c r="QUL96" s="34"/>
      <c r="QUM96" s="60"/>
      <c r="QVB96" s="34"/>
      <c r="QVC96" s="60"/>
      <c r="QVR96" s="34"/>
      <c r="QVS96" s="60"/>
      <c r="QWH96" s="34"/>
      <c r="QWI96" s="60"/>
      <c r="QWX96" s="34"/>
      <c r="QWY96" s="60"/>
      <c r="QXN96" s="34"/>
      <c r="QXO96" s="60"/>
      <c r="QYD96" s="34"/>
      <c r="QYE96" s="60"/>
      <c r="QYT96" s="34"/>
      <c r="QYU96" s="60"/>
      <c r="QZJ96" s="34"/>
      <c r="QZK96" s="60"/>
      <c r="QZZ96" s="34"/>
      <c r="RAA96" s="60"/>
      <c r="RAP96" s="34"/>
      <c r="RAQ96" s="60"/>
      <c r="RBF96" s="34"/>
      <c r="RBG96" s="60"/>
      <c r="RBV96" s="34"/>
      <c r="RBW96" s="60"/>
      <c r="RCL96" s="34"/>
      <c r="RCM96" s="60"/>
      <c r="RDB96" s="34"/>
      <c r="RDC96" s="60"/>
      <c r="RDR96" s="34"/>
      <c r="RDS96" s="60"/>
      <c r="REH96" s="34"/>
      <c r="REI96" s="60"/>
      <c r="REX96" s="34"/>
      <c r="REY96" s="60"/>
      <c r="RFN96" s="34"/>
      <c r="RFO96" s="60"/>
      <c r="RGD96" s="34"/>
      <c r="RGE96" s="60"/>
      <c r="RGT96" s="34"/>
      <c r="RGU96" s="60"/>
      <c r="RHJ96" s="34"/>
      <c r="RHK96" s="60"/>
      <c r="RHZ96" s="34"/>
      <c r="RIA96" s="60"/>
      <c r="RIP96" s="34"/>
      <c r="RIQ96" s="60"/>
      <c r="RJF96" s="34"/>
      <c r="RJG96" s="60"/>
      <c r="RJV96" s="34"/>
      <c r="RJW96" s="60"/>
      <c r="RKL96" s="34"/>
      <c r="RKM96" s="60"/>
      <c r="RLB96" s="34"/>
      <c r="RLC96" s="60"/>
      <c r="RLR96" s="34"/>
      <c r="RLS96" s="60"/>
      <c r="RMH96" s="34"/>
      <c r="RMI96" s="60"/>
      <c r="RMX96" s="34"/>
      <c r="RMY96" s="60"/>
      <c r="RNN96" s="34"/>
      <c r="RNO96" s="60"/>
      <c r="ROD96" s="34"/>
      <c r="ROE96" s="60"/>
      <c r="ROT96" s="34"/>
      <c r="ROU96" s="60"/>
      <c r="RPJ96" s="34"/>
      <c r="RPK96" s="60"/>
      <c r="RPZ96" s="34"/>
      <c r="RQA96" s="60"/>
      <c r="RQP96" s="34"/>
      <c r="RQQ96" s="60"/>
      <c r="RRF96" s="34"/>
      <c r="RRG96" s="60"/>
      <c r="RRV96" s="34"/>
      <c r="RRW96" s="60"/>
      <c r="RSL96" s="34"/>
      <c r="RSM96" s="60"/>
      <c r="RTB96" s="34"/>
      <c r="RTC96" s="60"/>
      <c r="RTR96" s="34"/>
      <c r="RTS96" s="60"/>
      <c r="RUH96" s="34"/>
      <c r="RUI96" s="60"/>
      <c r="RUX96" s="34"/>
      <c r="RUY96" s="60"/>
      <c r="RVN96" s="34"/>
      <c r="RVO96" s="60"/>
      <c r="RWD96" s="34"/>
      <c r="RWE96" s="60"/>
      <c r="RWT96" s="34"/>
      <c r="RWU96" s="60"/>
      <c r="RXJ96" s="34"/>
      <c r="RXK96" s="60"/>
      <c r="RXZ96" s="34"/>
      <c r="RYA96" s="60"/>
      <c r="RYP96" s="34"/>
      <c r="RYQ96" s="60"/>
      <c r="RZF96" s="34"/>
      <c r="RZG96" s="60"/>
      <c r="RZV96" s="34"/>
      <c r="RZW96" s="60"/>
      <c r="SAL96" s="34"/>
      <c r="SAM96" s="60"/>
      <c r="SBB96" s="34"/>
      <c r="SBC96" s="60"/>
      <c r="SBR96" s="34"/>
      <c r="SBS96" s="60"/>
      <c r="SCH96" s="34"/>
      <c r="SCI96" s="60"/>
      <c r="SCX96" s="34"/>
      <c r="SCY96" s="60"/>
      <c r="SDN96" s="34"/>
      <c r="SDO96" s="60"/>
      <c r="SED96" s="34"/>
      <c r="SEE96" s="60"/>
      <c r="SET96" s="34"/>
      <c r="SEU96" s="60"/>
      <c r="SFJ96" s="34"/>
      <c r="SFK96" s="60"/>
      <c r="SFZ96" s="34"/>
      <c r="SGA96" s="60"/>
      <c r="SGP96" s="34"/>
      <c r="SGQ96" s="60"/>
      <c r="SHF96" s="34"/>
      <c r="SHG96" s="60"/>
      <c r="SHV96" s="34"/>
      <c r="SHW96" s="60"/>
      <c r="SIL96" s="34"/>
      <c r="SIM96" s="60"/>
      <c r="SJB96" s="34"/>
      <c r="SJC96" s="60"/>
      <c r="SJR96" s="34"/>
      <c r="SJS96" s="60"/>
      <c r="SKH96" s="34"/>
      <c r="SKI96" s="60"/>
      <c r="SKX96" s="34"/>
      <c r="SKY96" s="60"/>
      <c r="SLN96" s="34"/>
      <c r="SLO96" s="60"/>
      <c r="SMD96" s="34"/>
      <c r="SME96" s="60"/>
      <c r="SMT96" s="34"/>
      <c r="SMU96" s="60"/>
      <c r="SNJ96" s="34"/>
      <c r="SNK96" s="60"/>
      <c r="SNZ96" s="34"/>
      <c r="SOA96" s="60"/>
      <c r="SOP96" s="34"/>
      <c r="SOQ96" s="60"/>
      <c r="SPF96" s="34"/>
      <c r="SPG96" s="60"/>
      <c r="SPV96" s="34"/>
      <c r="SPW96" s="60"/>
      <c r="SQL96" s="34"/>
      <c r="SQM96" s="60"/>
      <c r="SRB96" s="34"/>
      <c r="SRC96" s="60"/>
      <c r="SRR96" s="34"/>
      <c r="SRS96" s="60"/>
      <c r="SSH96" s="34"/>
      <c r="SSI96" s="60"/>
      <c r="SSX96" s="34"/>
      <c r="SSY96" s="60"/>
      <c r="STN96" s="34"/>
      <c r="STO96" s="60"/>
      <c r="SUD96" s="34"/>
      <c r="SUE96" s="60"/>
      <c r="SUT96" s="34"/>
      <c r="SUU96" s="60"/>
      <c r="SVJ96" s="34"/>
      <c r="SVK96" s="60"/>
      <c r="SVZ96" s="34"/>
      <c r="SWA96" s="60"/>
      <c r="SWP96" s="34"/>
      <c r="SWQ96" s="60"/>
      <c r="SXF96" s="34"/>
      <c r="SXG96" s="60"/>
      <c r="SXV96" s="34"/>
      <c r="SXW96" s="60"/>
      <c r="SYL96" s="34"/>
      <c r="SYM96" s="60"/>
      <c r="SZB96" s="34"/>
      <c r="SZC96" s="60"/>
      <c r="SZR96" s="34"/>
      <c r="SZS96" s="60"/>
      <c r="TAH96" s="34"/>
      <c r="TAI96" s="60"/>
      <c r="TAX96" s="34"/>
      <c r="TAY96" s="60"/>
      <c r="TBN96" s="34"/>
      <c r="TBO96" s="60"/>
      <c r="TCD96" s="34"/>
      <c r="TCE96" s="60"/>
      <c r="TCT96" s="34"/>
      <c r="TCU96" s="60"/>
      <c r="TDJ96" s="34"/>
      <c r="TDK96" s="60"/>
      <c r="TDZ96" s="34"/>
      <c r="TEA96" s="60"/>
      <c r="TEP96" s="34"/>
      <c r="TEQ96" s="60"/>
      <c r="TFF96" s="34"/>
      <c r="TFG96" s="60"/>
      <c r="TFV96" s="34"/>
      <c r="TFW96" s="60"/>
      <c r="TGL96" s="34"/>
      <c r="TGM96" s="60"/>
      <c r="THB96" s="34"/>
      <c r="THC96" s="60"/>
      <c r="THR96" s="34"/>
      <c r="THS96" s="60"/>
      <c r="TIH96" s="34"/>
      <c r="TII96" s="60"/>
      <c r="TIX96" s="34"/>
      <c r="TIY96" s="60"/>
      <c r="TJN96" s="34"/>
      <c r="TJO96" s="60"/>
      <c r="TKD96" s="34"/>
      <c r="TKE96" s="60"/>
      <c r="TKT96" s="34"/>
      <c r="TKU96" s="60"/>
      <c r="TLJ96" s="34"/>
      <c r="TLK96" s="60"/>
      <c r="TLZ96" s="34"/>
      <c r="TMA96" s="60"/>
      <c r="TMP96" s="34"/>
      <c r="TMQ96" s="60"/>
      <c r="TNF96" s="34"/>
      <c r="TNG96" s="60"/>
      <c r="TNV96" s="34"/>
      <c r="TNW96" s="60"/>
      <c r="TOL96" s="34"/>
      <c r="TOM96" s="60"/>
      <c r="TPB96" s="34"/>
      <c r="TPC96" s="60"/>
      <c r="TPR96" s="34"/>
      <c r="TPS96" s="60"/>
      <c r="TQH96" s="34"/>
      <c r="TQI96" s="60"/>
      <c r="TQX96" s="34"/>
      <c r="TQY96" s="60"/>
      <c r="TRN96" s="34"/>
      <c r="TRO96" s="60"/>
      <c r="TSD96" s="34"/>
      <c r="TSE96" s="60"/>
      <c r="TST96" s="34"/>
      <c r="TSU96" s="60"/>
      <c r="TTJ96" s="34"/>
      <c r="TTK96" s="60"/>
      <c r="TTZ96" s="34"/>
      <c r="TUA96" s="60"/>
      <c r="TUP96" s="34"/>
      <c r="TUQ96" s="60"/>
      <c r="TVF96" s="34"/>
      <c r="TVG96" s="60"/>
      <c r="TVV96" s="34"/>
      <c r="TVW96" s="60"/>
      <c r="TWL96" s="34"/>
      <c r="TWM96" s="60"/>
      <c r="TXB96" s="34"/>
      <c r="TXC96" s="60"/>
      <c r="TXR96" s="34"/>
      <c r="TXS96" s="60"/>
      <c r="TYH96" s="34"/>
      <c r="TYI96" s="60"/>
      <c r="TYX96" s="34"/>
      <c r="TYY96" s="60"/>
      <c r="TZN96" s="34"/>
      <c r="TZO96" s="60"/>
      <c r="UAD96" s="34"/>
      <c r="UAE96" s="60"/>
      <c r="UAT96" s="34"/>
      <c r="UAU96" s="60"/>
      <c r="UBJ96" s="34"/>
      <c r="UBK96" s="60"/>
      <c r="UBZ96" s="34"/>
      <c r="UCA96" s="60"/>
      <c r="UCP96" s="34"/>
      <c r="UCQ96" s="60"/>
      <c r="UDF96" s="34"/>
      <c r="UDG96" s="60"/>
      <c r="UDV96" s="34"/>
      <c r="UDW96" s="60"/>
      <c r="UEL96" s="34"/>
      <c r="UEM96" s="60"/>
      <c r="UFB96" s="34"/>
      <c r="UFC96" s="60"/>
      <c r="UFR96" s="34"/>
      <c r="UFS96" s="60"/>
      <c r="UGH96" s="34"/>
      <c r="UGI96" s="60"/>
      <c r="UGX96" s="34"/>
      <c r="UGY96" s="60"/>
      <c r="UHN96" s="34"/>
      <c r="UHO96" s="60"/>
      <c r="UID96" s="34"/>
      <c r="UIE96" s="60"/>
      <c r="UIT96" s="34"/>
      <c r="UIU96" s="60"/>
      <c r="UJJ96" s="34"/>
      <c r="UJK96" s="60"/>
      <c r="UJZ96" s="34"/>
      <c r="UKA96" s="60"/>
      <c r="UKP96" s="34"/>
      <c r="UKQ96" s="60"/>
      <c r="ULF96" s="34"/>
      <c r="ULG96" s="60"/>
      <c r="ULV96" s="34"/>
      <c r="ULW96" s="60"/>
      <c r="UML96" s="34"/>
      <c r="UMM96" s="60"/>
      <c r="UNB96" s="34"/>
      <c r="UNC96" s="60"/>
      <c r="UNR96" s="34"/>
      <c r="UNS96" s="60"/>
      <c r="UOH96" s="34"/>
      <c r="UOI96" s="60"/>
      <c r="UOX96" s="34"/>
      <c r="UOY96" s="60"/>
      <c r="UPN96" s="34"/>
      <c r="UPO96" s="60"/>
      <c r="UQD96" s="34"/>
      <c r="UQE96" s="60"/>
      <c r="UQT96" s="34"/>
      <c r="UQU96" s="60"/>
      <c r="URJ96" s="34"/>
      <c r="URK96" s="60"/>
      <c r="URZ96" s="34"/>
      <c r="USA96" s="60"/>
      <c r="USP96" s="34"/>
      <c r="USQ96" s="60"/>
      <c r="UTF96" s="34"/>
      <c r="UTG96" s="60"/>
      <c r="UTV96" s="34"/>
      <c r="UTW96" s="60"/>
      <c r="UUL96" s="34"/>
      <c r="UUM96" s="60"/>
      <c r="UVB96" s="34"/>
      <c r="UVC96" s="60"/>
      <c r="UVR96" s="34"/>
      <c r="UVS96" s="60"/>
      <c r="UWH96" s="34"/>
      <c r="UWI96" s="60"/>
      <c r="UWX96" s="34"/>
      <c r="UWY96" s="60"/>
      <c r="UXN96" s="34"/>
      <c r="UXO96" s="60"/>
      <c r="UYD96" s="34"/>
      <c r="UYE96" s="60"/>
      <c r="UYT96" s="34"/>
      <c r="UYU96" s="60"/>
      <c r="UZJ96" s="34"/>
      <c r="UZK96" s="60"/>
      <c r="UZZ96" s="34"/>
      <c r="VAA96" s="60"/>
      <c r="VAP96" s="34"/>
      <c r="VAQ96" s="60"/>
      <c r="VBF96" s="34"/>
      <c r="VBG96" s="60"/>
      <c r="VBV96" s="34"/>
      <c r="VBW96" s="60"/>
      <c r="VCL96" s="34"/>
      <c r="VCM96" s="60"/>
      <c r="VDB96" s="34"/>
      <c r="VDC96" s="60"/>
      <c r="VDR96" s="34"/>
      <c r="VDS96" s="60"/>
      <c r="VEH96" s="34"/>
      <c r="VEI96" s="60"/>
      <c r="VEX96" s="34"/>
      <c r="VEY96" s="60"/>
      <c r="VFN96" s="34"/>
      <c r="VFO96" s="60"/>
      <c r="VGD96" s="34"/>
      <c r="VGE96" s="60"/>
      <c r="VGT96" s="34"/>
      <c r="VGU96" s="60"/>
      <c r="VHJ96" s="34"/>
      <c r="VHK96" s="60"/>
      <c r="VHZ96" s="34"/>
      <c r="VIA96" s="60"/>
      <c r="VIP96" s="34"/>
      <c r="VIQ96" s="60"/>
      <c r="VJF96" s="34"/>
      <c r="VJG96" s="60"/>
      <c r="VJV96" s="34"/>
      <c r="VJW96" s="60"/>
      <c r="VKL96" s="34"/>
      <c r="VKM96" s="60"/>
      <c r="VLB96" s="34"/>
      <c r="VLC96" s="60"/>
      <c r="VLR96" s="34"/>
      <c r="VLS96" s="60"/>
      <c r="VMH96" s="34"/>
      <c r="VMI96" s="60"/>
      <c r="VMX96" s="34"/>
      <c r="VMY96" s="60"/>
      <c r="VNN96" s="34"/>
      <c r="VNO96" s="60"/>
      <c r="VOD96" s="34"/>
      <c r="VOE96" s="60"/>
      <c r="VOT96" s="34"/>
      <c r="VOU96" s="60"/>
      <c r="VPJ96" s="34"/>
      <c r="VPK96" s="60"/>
      <c r="VPZ96" s="34"/>
      <c r="VQA96" s="60"/>
      <c r="VQP96" s="34"/>
      <c r="VQQ96" s="60"/>
      <c r="VRF96" s="34"/>
      <c r="VRG96" s="60"/>
      <c r="VRV96" s="34"/>
      <c r="VRW96" s="60"/>
      <c r="VSL96" s="34"/>
      <c r="VSM96" s="60"/>
      <c r="VTB96" s="34"/>
      <c r="VTC96" s="60"/>
      <c r="VTR96" s="34"/>
      <c r="VTS96" s="60"/>
      <c r="VUH96" s="34"/>
      <c r="VUI96" s="60"/>
      <c r="VUX96" s="34"/>
      <c r="VUY96" s="60"/>
      <c r="VVN96" s="34"/>
      <c r="VVO96" s="60"/>
      <c r="VWD96" s="34"/>
      <c r="VWE96" s="60"/>
      <c r="VWT96" s="34"/>
      <c r="VWU96" s="60"/>
      <c r="VXJ96" s="34"/>
      <c r="VXK96" s="60"/>
      <c r="VXZ96" s="34"/>
      <c r="VYA96" s="60"/>
      <c r="VYP96" s="34"/>
      <c r="VYQ96" s="60"/>
      <c r="VZF96" s="34"/>
      <c r="VZG96" s="60"/>
      <c r="VZV96" s="34"/>
      <c r="VZW96" s="60"/>
      <c r="WAL96" s="34"/>
      <c r="WAM96" s="60"/>
      <c r="WBB96" s="34"/>
      <c r="WBC96" s="60"/>
      <c r="WBR96" s="34"/>
      <c r="WBS96" s="60"/>
      <c r="WCH96" s="34"/>
      <c r="WCI96" s="60"/>
      <c r="WCX96" s="34"/>
      <c r="WCY96" s="60"/>
      <c r="WDN96" s="34"/>
      <c r="WDO96" s="60"/>
      <c r="WED96" s="34"/>
      <c r="WEE96" s="60"/>
      <c r="WET96" s="34"/>
      <c r="WEU96" s="60"/>
      <c r="WFJ96" s="34"/>
      <c r="WFK96" s="60"/>
      <c r="WFZ96" s="34"/>
      <c r="WGA96" s="60"/>
      <c r="WGP96" s="34"/>
      <c r="WGQ96" s="60"/>
      <c r="WHF96" s="34"/>
      <c r="WHG96" s="60"/>
      <c r="WHV96" s="34"/>
      <c r="WHW96" s="60"/>
      <c r="WIL96" s="34"/>
      <c r="WIM96" s="60"/>
      <c r="WJB96" s="34"/>
      <c r="WJC96" s="60"/>
      <c r="WJR96" s="34"/>
      <c r="WJS96" s="60"/>
      <c r="WKH96" s="34"/>
      <c r="WKI96" s="60"/>
      <c r="WKX96" s="34"/>
      <c r="WKY96" s="60"/>
      <c r="WLN96" s="34"/>
      <c r="WLO96" s="60"/>
      <c r="WMD96" s="34"/>
      <c r="WME96" s="60"/>
      <c r="WMT96" s="34"/>
      <c r="WMU96" s="60"/>
      <c r="WNJ96" s="34"/>
      <c r="WNK96" s="60"/>
      <c r="WNZ96" s="34"/>
      <c r="WOA96" s="60"/>
      <c r="WOP96" s="34"/>
      <c r="WOQ96" s="60"/>
      <c r="WPF96" s="34"/>
      <c r="WPG96" s="60"/>
      <c r="WPV96" s="34"/>
      <c r="WPW96" s="60"/>
      <c r="WQL96" s="34"/>
      <c r="WQM96" s="60"/>
      <c r="WRB96" s="34"/>
      <c r="WRC96" s="60"/>
      <c r="WRR96" s="34"/>
      <c r="WRS96" s="60"/>
      <c r="WSH96" s="34"/>
      <c r="WSI96" s="60"/>
      <c r="WSX96" s="34"/>
      <c r="WSY96" s="60"/>
      <c r="WTN96" s="34"/>
      <c r="WTO96" s="60"/>
      <c r="WUD96" s="34"/>
      <c r="WUE96" s="60"/>
      <c r="WUT96" s="34"/>
      <c r="WUU96" s="60"/>
      <c r="WVJ96" s="34"/>
      <c r="WVK96" s="60"/>
      <c r="WVZ96" s="34"/>
      <c r="WWA96" s="60"/>
      <c r="WWP96" s="34"/>
      <c r="WWQ96" s="60"/>
      <c r="WXF96" s="34"/>
      <c r="WXG96" s="60"/>
      <c r="WXV96" s="34"/>
      <c r="WXW96" s="60"/>
      <c r="WYL96" s="34"/>
      <c r="WYM96" s="60"/>
      <c r="WZB96" s="34"/>
      <c r="WZC96" s="60"/>
      <c r="WZR96" s="34"/>
      <c r="WZS96" s="60"/>
      <c r="XAH96" s="34"/>
      <c r="XAI96" s="60"/>
      <c r="XAX96" s="34"/>
      <c r="XAY96" s="60"/>
      <c r="XBN96" s="34"/>
      <c r="XBO96" s="60"/>
      <c r="XCD96" s="34"/>
      <c r="XCE96" s="60"/>
      <c r="XCT96" s="34"/>
      <c r="XCU96" s="60"/>
      <c r="XDJ96" s="34"/>
      <c r="XDK96" s="60"/>
      <c r="XDZ96" s="34"/>
      <c r="XEA96" s="60"/>
      <c r="XEP96" s="34"/>
      <c r="XEQ96" s="60"/>
    </row>
    <row r="97" spans="2:15" ht="15.75" x14ac:dyDescent="0.25">
      <c r="B97" s="205" t="s">
        <v>532</v>
      </c>
      <c r="C97" s="205"/>
      <c r="D97" s="205"/>
      <c r="E97" s="223"/>
      <c r="F97" s="223"/>
      <c r="G97" s="223"/>
      <c r="H97" s="223"/>
      <c r="I97" s="223"/>
      <c r="J97" s="223"/>
      <c r="K97" s="86"/>
    </row>
    <row r="98" spans="2:15" ht="15" x14ac:dyDescent="0.2">
      <c r="B98" s="223" t="str">
        <f>'Cover Service Sheet'!C182</f>
        <v xml:space="preserve"> </v>
      </c>
      <c r="C98" s="223"/>
      <c r="D98" s="223"/>
      <c r="E98" s="223"/>
      <c r="F98" s="223"/>
      <c r="G98" s="223"/>
      <c r="H98" s="223"/>
      <c r="I98" s="223"/>
      <c r="J98" s="223"/>
    </row>
    <row r="99" spans="2:15" ht="129" customHeight="1" x14ac:dyDescent="0.2">
      <c r="B99" s="605" t="str">
        <f>'Cover Service Sheet'!C183</f>
        <v xml:space="preserve">
</v>
      </c>
      <c r="C99" s="605"/>
      <c r="D99" s="605"/>
      <c r="E99" s="605"/>
      <c r="F99" s="605"/>
      <c r="G99" s="605"/>
      <c r="H99" s="605"/>
      <c r="I99" s="605"/>
      <c r="J99" s="605"/>
      <c r="K99" s="605"/>
      <c r="L99" s="605"/>
      <c r="M99" s="605"/>
      <c r="N99" s="605"/>
      <c r="O99" s="605"/>
    </row>
    <row r="100" spans="2:15" ht="15" x14ac:dyDescent="0.2">
      <c r="B100" s="223"/>
      <c r="C100" s="223"/>
      <c r="D100" s="223"/>
      <c r="E100" s="223"/>
      <c r="F100" s="223"/>
      <c r="G100" s="223"/>
      <c r="H100" s="223"/>
      <c r="I100" s="223"/>
      <c r="J100" s="223"/>
    </row>
    <row r="101" spans="2:15" ht="15.75" x14ac:dyDescent="0.25">
      <c r="B101" s="205" t="s">
        <v>534</v>
      </c>
      <c r="C101" s="223"/>
      <c r="D101" s="223"/>
      <c r="E101" s="223"/>
      <c r="F101" s="223"/>
      <c r="G101" s="223"/>
      <c r="H101" s="223"/>
      <c r="I101" s="223"/>
      <c r="J101" s="223"/>
    </row>
    <row r="102" spans="2:15" ht="15" x14ac:dyDescent="0.2">
      <c r="B102" s="223" t="str">
        <f>'Cover Service Sheet'!C186</f>
        <v/>
      </c>
      <c r="C102" s="223"/>
      <c r="D102" s="223"/>
      <c r="E102" s="223"/>
      <c r="F102" s="223"/>
      <c r="G102" s="223"/>
      <c r="H102" s="223"/>
      <c r="I102" s="223"/>
      <c r="J102" s="223"/>
    </row>
    <row r="103" spans="2:15" ht="141" customHeight="1" x14ac:dyDescent="0.2">
      <c r="B103" s="605">
        <f>'Cover Service Sheet'!C187</f>
        <v>0</v>
      </c>
      <c r="C103" s="605"/>
      <c r="D103" s="605"/>
      <c r="E103" s="605"/>
      <c r="F103" s="605"/>
      <c r="G103" s="605"/>
      <c r="H103" s="605"/>
      <c r="I103" s="605"/>
      <c r="J103" s="605"/>
      <c r="K103" s="605"/>
      <c r="L103" s="605"/>
      <c r="M103" s="605"/>
      <c r="N103" s="605"/>
      <c r="O103" s="605"/>
    </row>
    <row r="104" spans="2:15" ht="15" x14ac:dyDescent="0.2">
      <c r="B104" s="223"/>
      <c r="C104" s="223"/>
      <c r="D104" s="223"/>
      <c r="E104" s="223"/>
      <c r="F104" s="223"/>
      <c r="G104" s="223"/>
      <c r="H104" s="223"/>
      <c r="I104" s="223"/>
      <c r="J104" s="223"/>
    </row>
    <row r="105" spans="2:15" ht="15.75" x14ac:dyDescent="0.25">
      <c r="B105" s="205" t="s">
        <v>535</v>
      </c>
      <c r="C105" s="205"/>
      <c r="D105" s="205"/>
      <c r="E105" s="223"/>
      <c r="F105" s="223"/>
      <c r="G105" s="223"/>
      <c r="H105" s="223"/>
      <c r="I105" s="223"/>
      <c r="J105" s="223"/>
    </row>
    <row r="106" spans="2:15" ht="15" x14ac:dyDescent="0.2">
      <c r="B106" s="223" t="str">
        <f>'Cover Service Sheet'!C190</f>
        <v/>
      </c>
      <c r="C106" s="223"/>
      <c r="D106" s="223"/>
      <c r="E106" s="223"/>
      <c r="F106" s="223"/>
      <c r="G106" s="223"/>
      <c r="H106" s="223"/>
      <c r="I106" s="223"/>
      <c r="J106" s="223"/>
    </row>
    <row r="107" spans="2:15" ht="135" customHeight="1" x14ac:dyDescent="0.2">
      <c r="B107" s="605">
        <f>'Cover Service Sheet'!C191</f>
        <v>0</v>
      </c>
      <c r="C107" s="605"/>
      <c r="D107" s="605"/>
      <c r="E107" s="605"/>
      <c r="F107" s="605"/>
      <c r="G107" s="605"/>
      <c r="H107" s="605"/>
      <c r="I107" s="605"/>
      <c r="J107" s="605"/>
      <c r="K107" s="605"/>
      <c r="L107" s="605"/>
      <c r="M107" s="605"/>
      <c r="N107" s="605"/>
      <c r="O107" s="605"/>
    </row>
    <row r="108" spans="2:15" ht="44.25" customHeight="1" x14ac:dyDescent="0.2">
      <c r="B108" s="223"/>
      <c r="C108" s="223"/>
      <c r="D108" s="223"/>
      <c r="E108" s="223"/>
      <c r="F108" s="223"/>
      <c r="G108" s="223"/>
      <c r="H108" s="223"/>
      <c r="I108" s="223"/>
      <c r="J108" s="223"/>
    </row>
    <row r="109" spans="2:15" ht="15.75" hidden="1" x14ac:dyDescent="0.25">
      <c r="B109" s="205" t="s">
        <v>937</v>
      </c>
      <c r="C109" s="205"/>
      <c r="D109" s="223"/>
      <c r="E109" s="223"/>
      <c r="F109" s="223"/>
      <c r="G109" s="223"/>
      <c r="H109" s="223"/>
      <c r="I109" s="223"/>
      <c r="J109" s="223"/>
    </row>
    <row r="110" spans="2:15" ht="15" hidden="1" x14ac:dyDescent="0.2">
      <c r="B110" s="223" t="str">
        <f>'Cover Service Sheet'!C194</f>
        <v/>
      </c>
      <c r="C110" s="223"/>
      <c r="D110" s="223"/>
      <c r="E110" s="223"/>
      <c r="F110" s="223"/>
      <c r="G110" s="223"/>
      <c r="H110" s="223"/>
      <c r="I110" s="223"/>
      <c r="J110" s="223"/>
    </row>
    <row r="111" spans="2:15" ht="27.75" customHeight="1" x14ac:dyDescent="0.35">
      <c r="B111" s="224" t="s">
        <v>567</v>
      </c>
      <c r="C111" s="223"/>
      <c r="D111" s="223"/>
      <c r="E111" s="223"/>
      <c r="F111" s="223"/>
      <c r="G111" s="223"/>
      <c r="H111" s="223"/>
      <c r="I111" s="223"/>
      <c r="J111" s="223"/>
    </row>
    <row r="112" spans="2:15" ht="23.25" x14ac:dyDescent="0.35">
      <c r="B112" s="225" t="str">
        <f>'Cover Service Sheet'!Q7</f>
        <v>Please note: Where possible, all recalibrations should be booked online at the supplied booking site</v>
      </c>
      <c r="C112" s="223"/>
      <c r="D112" s="223"/>
      <c r="E112" s="223"/>
      <c r="F112" s="223"/>
      <c r="G112" s="223"/>
      <c r="H112" s="223"/>
      <c r="I112" s="223"/>
      <c r="J112" s="223"/>
    </row>
    <row r="113" spans="2:10" ht="23.25" x14ac:dyDescent="0.35">
      <c r="B113" s="225" t="str">
        <f>'Cover Service Sheet'!Q8</f>
        <v>No accessories present to return to end user</v>
      </c>
      <c r="C113" s="223"/>
      <c r="D113" s="223"/>
      <c r="E113" s="223"/>
      <c r="F113" s="223"/>
      <c r="G113" s="223"/>
      <c r="H113" s="223"/>
      <c r="I113" s="223"/>
      <c r="J113" s="223"/>
    </row>
    <row r="114" spans="2:10" ht="23.25" x14ac:dyDescent="0.35">
      <c r="B114" s="225" t="str">
        <f>'Cover Service Sheet'!Q33</f>
        <v>Exterior damage to case upon receipt</v>
      </c>
      <c r="C114" s="223"/>
      <c r="D114" s="223"/>
      <c r="E114" s="223"/>
      <c r="F114" s="223"/>
      <c r="G114" s="223"/>
      <c r="H114" s="223"/>
      <c r="I114" s="223"/>
      <c r="J114" s="223"/>
    </row>
    <row r="115" spans="2:10" ht="23.25" x14ac:dyDescent="0.35">
      <c r="B115" s="225" t="str">
        <f>'Cover Service Sheet'!Q34</f>
        <v>No cap on input test point</v>
      </c>
      <c r="C115" s="223"/>
      <c r="D115" s="223"/>
      <c r="E115" s="223"/>
      <c r="F115" s="223"/>
      <c r="G115" s="223"/>
      <c r="H115" s="223"/>
      <c r="I115" s="223"/>
      <c r="J115" s="223"/>
    </row>
    <row r="116" spans="2:10" ht="23.25" x14ac:dyDescent="0.35">
      <c r="B116" s="225" t="str">
        <f>'Cover Service Sheet'!Q35</f>
        <v>No cap on waste test point</v>
      </c>
      <c r="C116" s="223"/>
      <c r="D116" s="223"/>
      <c r="E116" s="223"/>
      <c r="F116" s="223"/>
      <c r="G116" s="223"/>
      <c r="H116" s="223"/>
      <c r="I116" s="223"/>
      <c r="J116" s="223"/>
    </row>
    <row r="117" spans="2:10" ht="23.25" x14ac:dyDescent="0.35">
      <c r="B117" s="225" t="str">
        <f>'Cover Service Sheet'!Q39</f>
        <v>The screen has been damaged and is not functioning correctly</v>
      </c>
      <c r="C117" s="223"/>
      <c r="D117" s="223"/>
      <c r="E117" s="223"/>
      <c r="F117" s="223"/>
      <c r="G117" s="223"/>
      <c r="H117" s="223"/>
      <c r="I117" s="223"/>
      <c r="J117" s="223"/>
    </row>
    <row r="118" spans="2:10" ht="23.25" x14ac:dyDescent="0.35">
      <c r="B118" s="225" t="str">
        <f>'Cover Service Sheet'!Q42</f>
        <v>Firmware was an older version and needed updating</v>
      </c>
      <c r="C118" s="223"/>
      <c r="D118" s="223"/>
      <c r="E118" s="223"/>
      <c r="F118" s="223"/>
      <c r="G118" s="223"/>
      <c r="H118" s="223"/>
      <c r="I118" s="223"/>
      <c r="J118" s="223"/>
    </row>
    <row r="119" spans="2:10" ht="23.25" x14ac:dyDescent="0.35">
      <c r="B119" s="225" t="e">
        <f>'Cover Service Sheet'!Q71</f>
        <v>#REF!</v>
      </c>
      <c r="C119" s="223"/>
      <c r="D119" s="223"/>
      <c r="E119" s="223"/>
      <c r="F119" s="223"/>
      <c r="G119" s="223"/>
      <c r="H119" s="223"/>
      <c r="I119" s="223"/>
      <c r="J119" s="223"/>
    </row>
    <row r="120" spans="2:10" ht="23.25" x14ac:dyDescent="0.35">
      <c r="B120" s="225" t="e">
        <f>'Cover Service Sheet'!#REF!</f>
        <v>#REF!</v>
      </c>
      <c r="C120" s="223"/>
      <c r="D120" s="223"/>
      <c r="E120" s="223"/>
      <c r="F120" s="223"/>
      <c r="G120" s="223"/>
      <c r="H120" s="223"/>
      <c r="I120" s="223"/>
      <c r="J120" s="223"/>
    </row>
    <row r="121" spans="2:10" ht="23.25" x14ac:dyDescent="0.35">
      <c r="B121" s="225" t="e">
        <f>'Cover Service Sheet'!#REF!</f>
        <v>#REF!</v>
      </c>
      <c r="C121" s="223"/>
      <c r="D121" s="223"/>
      <c r="E121" s="223"/>
      <c r="F121" s="223"/>
      <c r="G121" s="223"/>
      <c r="H121" s="223"/>
      <c r="I121" s="223"/>
      <c r="J121" s="223"/>
    </row>
    <row r="122" spans="2:10" ht="23.25" x14ac:dyDescent="0.35">
      <c r="B122" s="225" t="e">
        <f>'Cover Service Sheet'!#REF!</f>
        <v>#REF!</v>
      </c>
      <c r="C122" s="223"/>
      <c r="D122" s="223"/>
      <c r="E122" s="223"/>
      <c r="F122" s="223"/>
      <c r="G122" s="223"/>
      <c r="H122" s="223"/>
      <c r="I122" s="223"/>
      <c r="J122" s="223"/>
    </row>
    <row r="123" spans="2:10" ht="23.25" x14ac:dyDescent="0.35">
      <c r="B123" s="225" t="str">
        <f>'Cover Service Sheet'!Q77</f>
        <v>Sensor array assembly passed initial inspection</v>
      </c>
      <c r="C123" s="223"/>
      <c r="D123" s="223"/>
      <c r="E123" s="223"/>
      <c r="F123" s="223"/>
      <c r="G123" s="223"/>
      <c r="H123" s="223"/>
      <c r="I123" s="223"/>
      <c r="J123" s="223"/>
    </row>
    <row r="124" spans="2:10" ht="23.25" x14ac:dyDescent="0.35">
      <c r="B124" s="225" t="str">
        <f>'Cover Service Sheet'!Q80</f>
        <v>Initial light source check, output within specification PASS</v>
      </c>
      <c r="C124" s="223"/>
      <c r="D124" s="223"/>
      <c r="E124" s="223"/>
      <c r="F124" s="223"/>
      <c r="G124" s="223"/>
      <c r="H124" s="223"/>
      <c r="I124" s="223"/>
      <c r="J124" s="223"/>
    </row>
    <row r="125" spans="2:10" ht="23.25" x14ac:dyDescent="0.35">
      <c r="B125" s="225" t="str">
        <f>'Cover Service Sheet'!Q81</f>
        <v>Initial Light source electrical noise output within specification PASS</v>
      </c>
      <c r="C125" s="223"/>
      <c r="D125" s="223"/>
      <c r="E125" s="223"/>
      <c r="F125" s="223"/>
      <c r="G125" s="223"/>
      <c r="H125" s="223"/>
      <c r="I125" s="223"/>
      <c r="J125" s="223"/>
    </row>
    <row r="126" spans="2:10" ht="23.25" x14ac:dyDescent="0.35">
      <c r="B126" s="225">
        <f>'Cover Service Sheet'!Q83</f>
        <v>0</v>
      </c>
      <c r="C126" s="223"/>
      <c r="D126" s="223"/>
      <c r="E126" s="223"/>
      <c r="F126" s="223"/>
      <c r="G126" s="223"/>
      <c r="H126" s="223"/>
      <c r="I126" s="223"/>
      <c r="J126" s="223"/>
    </row>
    <row r="127" spans="2:10" ht="23.25" x14ac:dyDescent="0.35">
      <c r="B127" s="225">
        <f>'Cover Service Sheet'!Q84</f>
        <v>0</v>
      </c>
      <c r="C127" s="223"/>
      <c r="D127" s="223"/>
      <c r="E127" s="223"/>
      <c r="F127" s="223"/>
      <c r="G127" s="223"/>
      <c r="H127" s="223"/>
      <c r="I127" s="223"/>
      <c r="J127" s="223"/>
    </row>
    <row r="128" spans="2:10" ht="23.25" x14ac:dyDescent="0.35">
      <c r="B128" s="225"/>
      <c r="C128" s="223"/>
      <c r="D128" s="223"/>
      <c r="E128" s="223"/>
      <c r="F128" s="223"/>
      <c r="G128" s="223"/>
      <c r="H128" s="223"/>
      <c r="I128" s="223"/>
      <c r="J128" s="223"/>
    </row>
    <row r="129" spans="2:10" ht="23.25" x14ac:dyDescent="0.35">
      <c r="B129" s="224" t="s">
        <v>938</v>
      </c>
      <c r="C129" s="223"/>
      <c r="D129" s="223"/>
      <c r="E129" s="223"/>
      <c r="F129" s="223"/>
      <c r="G129" s="223"/>
      <c r="H129" s="223"/>
      <c r="I129" s="223"/>
      <c r="J129" s="223"/>
    </row>
    <row r="130" spans="2:10" ht="23.25" x14ac:dyDescent="0.35">
      <c r="B130" s="225" t="e">
        <f>'Cover Service Sheet'!#REF!</f>
        <v>#REF!</v>
      </c>
      <c r="C130" s="223"/>
      <c r="D130" s="223"/>
      <c r="E130" s="223"/>
      <c r="F130" s="223"/>
      <c r="G130" s="223"/>
      <c r="H130" s="223"/>
      <c r="I130" s="223"/>
      <c r="J130" s="223"/>
    </row>
    <row r="131" spans="2:10" ht="23.25" x14ac:dyDescent="0.35">
      <c r="B131" s="225" t="e">
        <f>'Cover Service Sheet'!#REF!</f>
        <v>#REF!</v>
      </c>
      <c r="C131" s="223"/>
      <c r="D131" s="223"/>
      <c r="E131" s="223"/>
      <c r="F131" s="223"/>
      <c r="G131" s="223"/>
      <c r="H131" s="223"/>
      <c r="I131" s="223"/>
      <c r="J131" s="223"/>
    </row>
    <row r="132" spans="2:10" ht="23.25" x14ac:dyDescent="0.35">
      <c r="B132" s="225" t="e">
        <f>'Cover Service Sheet'!#REF!</f>
        <v>#REF!</v>
      </c>
      <c r="C132" s="223"/>
      <c r="D132" s="223"/>
      <c r="E132" s="223"/>
      <c r="F132" s="223"/>
      <c r="G132" s="223"/>
      <c r="H132" s="223"/>
      <c r="I132" s="223"/>
      <c r="J132" s="223"/>
    </row>
    <row r="133" spans="2:10" ht="23.25" x14ac:dyDescent="0.35">
      <c r="B133" s="225" t="str">
        <f>'Cover Service Sheet'!Q95</f>
        <v>Battery terminal cables of current design</v>
      </c>
      <c r="C133" s="223"/>
      <c r="D133" s="223"/>
      <c r="E133" s="223"/>
      <c r="F133" s="223"/>
      <c r="G133" s="223"/>
      <c r="H133" s="223"/>
      <c r="I133" s="223"/>
      <c r="J133" s="223"/>
    </row>
    <row r="134" spans="2:10" ht="23.25" x14ac:dyDescent="0.35">
      <c r="B134" s="225" t="str">
        <f>'Cover Service Sheet'!Q97</f>
        <v>Battery not secure in brackets, needed to be refurbished</v>
      </c>
      <c r="C134" s="223"/>
      <c r="D134" s="223"/>
      <c r="E134" s="223"/>
      <c r="F134" s="223"/>
      <c r="G134" s="223"/>
      <c r="H134" s="223"/>
      <c r="I134" s="223"/>
      <c r="J134" s="223"/>
    </row>
    <row r="135" spans="2:10" ht="23.25" x14ac:dyDescent="0.35">
      <c r="B135" s="225" t="e">
        <f>'Cover Service Sheet'!#REF!</f>
        <v>#REF!</v>
      </c>
      <c r="C135" s="223"/>
      <c r="D135" s="223"/>
      <c r="E135" s="223"/>
      <c r="F135" s="223"/>
      <c r="G135" s="223"/>
      <c r="H135" s="223"/>
      <c r="I135" s="223"/>
      <c r="J135" s="223"/>
    </row>
    <row r="136" spans="2:10" ht="23.25" x14ac:dyDescent="0.35">
      <c r="B136" s="225">
        <f>'Cover Service Sheet'!Q99</f>
        <v>0</v>
      </c>
      <c r="C136" s="223"/>
      <c r="D136" s="223"/>
      <c r="E136" s="223"/>
      <c r="F136" s="223"/>
      <c r="G136" s="223"/>
      <c r="H136" s="223"/>
      <c r="I136" s="223"/>
      <c r="J136" s="223"/>
    </row>
    <row r="137" spans="2:10" ht="23.25" x14ac:dyDescent="0.35">
      <c r="B137" s="225" t="e">
        <f>'Cover Service Sheet'!#REF!</f>
        <v>#REF!</v>
      </c>
      <c r="C137" s="223"/>
      <c r="D137" s="223"/>
      <c r="E137" s="223"/>
      <c r="F137" s="223"/>
      <c r="G137" s="223"/>
      <c r="H137" s="223"/>
      <c r="I137" s="223"/>
      <c r="J137" s="223"/>
    </row>
    <row r="138" spans="2:10" ht="23.25" x14ac:dyDescent="0.35">
      <c r="B138" s="225" t="str">
        <f>'Cover Service Sheet'!Q100</f>
        <v>High pressure seal integrity test failure, unit requires rework</v>
      </c>
      <c r="C138" s="223"/>
      <c r="D138" s="223"/>
      <c r="E138" s="223"/>
      <c r="F138" s="223"/>
      <c r="G138" s="223"/>
      <c r="H138" s="223"/>
      <c r="I138" s="223"/>
      <c r="J138" s="223"/>
    </row>
    <row r="139" spans="2:10" ht="23.25" x14ac:dyDescent="0.35">
      <c r="B139" s="225"/>
      <c r="C139" s="223"/>
      <c r="D139" s="223"/>
      <c r="E139" s="223"/>
      <c r="F139" s="223"/>
      <c r="G139" s="223"/>
      <c r="H139" s="223"/>
      <c r="I139" s="223"/>
      <c r="J139" s="223"/>
    </row>
    <row r="140" spans="2:10" ht="23.25" x14ac:dyDescent="0.35">
      <c r="B140" s="224" t="s">
        <v>939</v>
      </c>
      <c r="C140" s="223"/>
      <c r="D140" s="223"/>
      <c r="E140" s="223"/>
      <c r="F140" s="223"/>
      <c r="G140" s="223"/>
      <c r="H140" s="223"/>
      <c r="I140" s="223"/>
      <c r="J140" s="223"/>
    </row>
    <row r="141" spans="2:10" ht="23.25" x14ac:dyDescent="0.35">
      <c r="B141" s="225" t="str">
        <f>'Cover Service Sheet'!Q108</f>
        <v xml:space="preserve"> </v>
      </c>
      <c r="C141" s="223"/>
      <c r="D141" s="223"/>
      <c r="E141" s="223"/>
      <c r="F141" s="223"/>
      <c r="G141" s="223"/>
      <c r="H141" s="223"/>
      <c r="I141" s="223"/>
      <c r="J141" s="223"/>
    </row>
    <row r="142" spans="2:10" ht="23.25" x14ac:dyDescent="0.35">
      <c r="B142" s="225" t="str">
        <f>'Cover Service Sheet'!Q116</f>
        <v xml:space="preserve">Thresholds on certificate do not match those programmed in unit </v>
      </c>
      <c r="C142" s="223"/>
      <c r="D142" s="223"/>
      <c r="E142" s="223"/>
      <c r="F142" s="223"/>
      <c r="G142" s="223"/>
      <c r="H142" s="223"/>
      <c r="I142" s="223"/>
      <c r="J142" s="223"/>
    </row>
    <row r="143" spans="2:10" ht="23.25" x14ac:dyDescent="0.35">
      <c r="B143" s="225" t="str">
        <f>'Cover Service Sheet'!Q148</f>
        <v/>
      </c>
      <c r="C143" s="223"/>
      <c r="D143" s="223"/>
      <c r="E143" s="223"/>
      <c r="F143" s="223"/>
      <c r="G143" s="223"/>
      <c r="H143" s="223"/>
      <c r="I143" s="223"/>
      <c r="J143" s="223"/>
    </row>
    <row r="144" spans="2:10" ht="23.25" x14ac:dyDescent="0.35">
      <c r="B144" s="225" t="str">
        <f>'Cover Service Sheet'!Q154</f>
        <v/>
      </c>
      <c r="C144" s="223"/>
      <c r="D144" s="223"/>
      <c r="E144" s="223"/>
      <c r="F144" s="223"/>
      <c r="G144" s="223"/>
      <c r="H144" s="223"/>
      <c r="I144" s="223"/>
      <c r="J144" s="223"/>
    </row>
    <row r="145" spans="2:10" ht="23.25" x14ac:dyDescent="0.35">
      <c r="B145" s="225" t="str">
        <f>'Cover Service Sheet'!Q157</f>
        <v>LANGUAGE NOT CORRECT</v>
      </c>
      <c r="C145" s="223"/>
      <c r="D145" s="223"/>
      <c r="E145" s="223"/>
      <c r="F145" s="223"/>
      <c r="G145" s="223"/>
      <c r="H145" s="223"/>
      <c r="I145" s="223"/>
      <c r="J145" s="223"/>
    </row>
    <row r="146" spans="2:10" ht="23.25" x14ac:dyDescent="0.35">
      <c r="B146" s="225" t="str">
        <f>'Cover Service Sheet'!Q162</f>
        <v/>
      </c>
      <c r="C146" s="223"/>
      <c r="D146" s="223"/>
      <c r="E146" s="223"/>
      <c r="F146" s="223"/>
      <c r="G146" s="223"/>
      <c r="H146" s="223"/>
      <c r="I146" s="223"/>
      <c r="J146" s="223"/>
    </row>
    <row r="147" spans="2:10" ht="23.25" x14ac:dyDescent="0.35">
      <c r="B147" s="225"/>
      <c r="C147" s="223"/>
      <c r="D147" s="223"/>
      <c r="E147" s="223"/>
      <c r="F147" s="223"/>
      <c r="G147" s="223"/>
      <c r="H147" s="223"/>
      <c r="I147" s="223"/>
      <c r="J147" s="223"/>
    </row>
    <row r="148" spans="2:10" ht="23.25" x14ac:dyDescent="0.35">
      <c r="B148" s="225"/>
      <c r="C148" s="223"/>
      <c r="D148" s="223"/>
      <c r="E148" s="223"/>
      <c r="F148" s="223"/>
      <c r="G148" s="223"/>
      <c r="H148" s="223"/>
      <c r="I148" s="223"/>
      <c r="J148" s="223"/>
    </row>
    <row r="149" spans="2:10" ht="15" x14ac:dyDescent="0.2">
      <c r="B149" s="223"/>
      <c r="C149" s="223"/>
      <c r="D149" s="223"/>
      <c r="E149" s="223"/>
      <c r="F149" s="223"/>
      <c r="G149" s="223"/>
      <c r="H149" s="223"/>
      <c r="I149" s="223"/>
      <c r="J149" s="223"/>
    </row>
    <row r="150" spans="2:10" ht="15" x14ac:dyDescent="0.2">
      <c r="B150" s="223"/>
      <c r="C150" s="223"/>
      <c r="D150" s="223"/>
      <c r="E150" s="223"/>
      <c r="F150" s="223"/>
      <c r="G150" s="223"/>
      <c r="H150" s="223"/>
      <c r="I150" s="223"/>
      <c r="J150" s="223"/>
    </row>
    <row r="151" spans="2:10" ht="15.75" x14ac:dyDescent="0.25">
      <c r="B151" s="205" t="s">
        <v>537</v>
      </c>
      <c r="C151" s="205"/>
      <c r="D151" s="223" t="str">
        <f>'Cover Service Sheet'!D166</f>
        <v>-</v>
      </c>
      <c r="E151" s="223"/>
      <c r="F151" s="223"/>
      <c r="G151" s="223"/>
      <c r="H151" s="223"/>
      <c r="I151" s="223"/>
      <c r="J151" s="223"/>
    </row>
    <row r="152" spans="2:10" ht="15.75" x14ac:dyDescent="0.25">
      <c r="B152" s="205" t="s">
        <v>538</v>
      </c>
      <c r="C152" s="223"/>
      <c r="D152" s="226">
        <f>'Cover Service Sheet'!D111</f>
        <v>0</v>
      </c>
      <c r="E152" s="223"/>
      <c r="F152" s="223"/>
      <c r="G152" s="223"/>
      <c r="H152" s="223"/>
      <c r="I152" s="223"/>
      <c r="J152" s="223"/>
    </row>
    <row r="153" spans="2:10" ht="15" x14ac:dyDescent="0.2">
      <c r="B153" s="223"/>
      <c r="C153" s="223"/>
      <c r="D153" s="223"/>
      <c r="E153" s="223"/>
      <c r="F153" s="223"/>
      <c r="G153" s="223"/>
      <c r="H153" s="223"/>
      <c r="I153" s="223"/>
      <c r="J153" s="223"/>
    </row>
    <row r="154" spans="2:10" ht="15" x14ac:dyDescent="0.2">
      <c r="E154" s="223"/>
      <c r="F154" s="223"/>
      <c r="G154" s="223"/>
      <c r="H154" s="223"/>
      <c r="I154" s="223"/>
      <c r="J154" s="223"/>
    </row>
    <row r="155" spans="2:10" ht="15" x14ac:dyDescent="0.2">
      <c r="E155" s="223"/>
      <c r="F155" s="223"/>
      <c r="G155" s="223"/>
      <c r="H155" s="223"/>
      <c r="I155" s="223"/>
      <c r="J155" s="223"/>
    </row>
  </sheetData>
  <sheetProtection formatColumns="0"/>
  <mergeCells count="49">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 ref="F30:G30"/>
    <mergeCell ref="F31:G31"/>
    <mergeCell ref="F32:G32"/>
    <mergeCell ref="F33:G33"/>
    <mergeCell ref="F28:G28"/>
    <mergeCell ref="L76:O76"/>
    <mergeCell ref="F34:G34"/>
    <mergeCell ref="F35:G35"/>
    <mergeCell ref="G38:H38"/>
    <mergeCell ref="H31:I31"/>
    <mergeCell ref="D76:F76"/>
    <mergeCell ref="D31:E31"/>
    <mergeCell ref="D32:E32"/>
    <mergeCell ref="D33:E33"/>
    <mergeCell ref="D34:E34"/>
    <mergeCell ref="E40:F40"/>
    <mergeCell ref="D35:E35"/>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s>
  <phoneticPr fontId="13"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2"/>
  <cols>
    <col min="1" max="1" width="42" customWidth="1"/>
    <col min="2" max="2" width="13.8554687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40625" defaultRowHeight="12.75" x14ac:dyDescent="0.2"/>
  <cols>
    <col min="1" max="1" width="4.85546875" style="1" customWidth="1"/>
    <col min="2" max="3" width="11.7109375" style="1" customWidth="1"/>
    <col min="4" max="4" width="3.140625" style="1" customWidth="1"/>
    <col min="5" max="5" width="7.85546875" style="1" customWidth="1"/>
    <col min="6" max="6" width="10.7109375" style="1" customWidth="1"/>
    <col min="7" max="7" width="9.85546875" style="1" customWidth="1"/>
    <col min="8" max="8" width="9.85546875" style="1" bestFit="1" customWidth="1"/>
    <col min="9" max="9" width="8.5703125" style="1" customWidth="1"/>
    <col min="10" max="10" width="4.85546875" style="1" customWidth="1"/>
    <col min="11" max="11" width="11.7109375" style="1" customWidth="1"/>
    <col min="12" max="12" width="19.85546875" style="1" customWidth="1"/>
    <col min="13" max="16" width="11.7109375" style="1" customWidth="1"/>
    <col min="17" max="16384" width="9.140625" style="1"/>
  </cols>
  <sheetData>
    <row r="2" spans="1:12" ht="27.75" x14ac:dyDescent="0.4">
      <c r="A2" s="39" t="s">
        <v>940</v>
      </c>
    </row>
    <row r="3" spans="1:12" ht="18" x14ac:dyDescent="0.25">
      <c r="A3" s="40" t="s">
        <v>941</v>
      </c>
    </row>
    <row r="5" spans="1:12" x14ac:dyDescent="0.2">
      <c r="A5" s="41" t="s">
        <v>942</v>
      </c>
      <c r="B5" s="41"/>
      <c r="C5" s="41" t="s">
        <v>943</v>
      </c>
      <c r="D5" s="41"/>
      <c r="E5" s="41" t="s">
        <v>944</v>
      </c>
      <c r="F5" s="41"/>
      <c r="G5" s="41"/>
      <c r="H5" s="41"/>
    </row>
    <row r="6" spans="1:12" ht="27" thickBot="1" x14ac:dyDescent="0.45">
      <c r="A6" s="42"/>
      <c r="B6" s="42"/>
      <c r="C6" s="43" t="s">
        <v>945</v>
      </c>
      <c r="D6" s="42"/>
      <c r="E6" s="42"/>
      <c r="F6" s="42"/>
      <c r="G6" s="42"/>
      <c r="H6" s="42"/>
      <c r="I6" s="38"/>
      <c r="J6" s="38"/>
      <c r="K6" s="38"/>
    </row>
    <row r="7" spans="1:12" ht="13.5" thickTop="1" x14ac:dyDescent="0.2">
      <c r="A7" s="246"/>
      <c r="B7" s="193"/>
      <c r="C7" s="229"/>
      <c r="D7" s="247"/>
      <c r="E7" s="246"/>
      <c r="F7" s="246"/>
      <c r="G7" s="246"/>
      <c r="H7" s="246"/>
      <c r="I7" s="246"/>
      <c r="J7" s="246"/>
      <c r="K7" s="246"/>
      <c r="L7" s="246"/>
    </row>
    <row r="8" spans="1:12" x14ac:dyDescent="0.2">
      <c r="B8" s="193" t="s">
        <v>946</v>
      </c>
      <c r="C8" s="246"/>
      <c r="D8" s="193" t="s">
        <v>947</v>
      </c>
      <c r="E8" s="246"/>
      <c r="G8" s="246"/>
      <c r="H8" s="246"/>
      <c r="I8" s="246"/>
      <c r="J8" s="246"/>
      <c r="K8" s="246"/>
      <c r="L8" s="246"/>
    </row>
    <row r="9" spans="1:12" x14ac:dyDescent="0.2">
      <c r="B9" s="229"/>
      <c r="C9" s="246"/>
      <c r="D9" s="193" t="s">
        <v>942</v>
      </c>
      <c r="E9" s="246"/>
      <c r="G9" s="246"/>
      <c r="H9" s="246"/>
      <c r="I9" s="246"/>
      <c r="J9" s="246"/>
      <c r="K9" s="246"/>
      <c r="L9" s="246"/>
    </row>
    <row r="10" spans="1:12" x14ac:dyDescent="0.2">
      <c r="B10" s="229"/>
      <c r="C10" s="246"/>
      <c r="D10" s="193" t="s">
        <v>948</v>
      </c>
      <c r="E10" s="246"/>
      <c r="G10" s="246"/>
      <c r="H10" s="246"/>
      <c r="I10" s="246"/>
      <c r="J10" s="246"/>
      <c r="K10" s="246"/>
      <c r="L10" s="246"/>
    </row>
    <row r="11" spans="1:12" x14ac:dyDescent="0.2">
      <c r="B11" s="229"/>
      <c r="C11" s="246"/>
      <c r="D11" s="193" t="s">
        <v>949</v>
      </c>
      <c r="E11" s="246"/>
      <c r="G11" s="246"/>
      <c r="H11" s="246"/>
      <c r="I11" s="246"/>
      <c r="J11" s="246"/>
      <c r="K11" s="246"/>
      <c r="L11" s="246"/>
    </row>
    <row r="12" spans="1:12" x14ac:dyDescent="0.2">
      <c r="B12" s="246"/>
      <c r="C12" s="193"/>
      <c r="D12" s="246"/>
      <c r="E12" s="246"/>
      <c r="F12" s="246"/>
      <c r="G12" s="246"/>
      <c r="H12" s="246"/>
      <c r="I12" s="246"/>
      <c r="J12" s="246"/>
      <c r="K12" s="246"/>
      <c r="L12" s="246"/>
    </row>
    <row r="13" spans="1:12" x14ac:dyDescent="0.2">
      <c r="B13" s="193" t="s">
        <v>950</v>
      </c>
      <c r="C13" s="246"/>
      <c r="D13" s="103" t="s">
        <v>951</v>
      </c>
      <c r="E13" s="248">
        <f>'Auto-Calibration record'!J17</f>
        <v>0</v>
      </c>
      <c r="F13" s="234" t="str">
        <f>"0"&amp;('Auto-Calibration record'!H15-200000)</f>
        <v>0-200001</v>
      </c>
      <c r="G13" s="246"/>
      <c r="H13" s="246"/>
      <c r="I13" s="246"/>
      <c r="J13" s="246"/>
      <c r="K13" s="246"/>
      <c r="L13" s="246"/>
    </row>
    <row r="14" spans="1:12" x14ac:dyDescent="0.2">
      <c r="B14" s="193" t="s">
        <v>952</v>
      </c>
      <c r="C14" s="246"/>
      <c r="D14" s="611" t="str">
        <f>'Auto-Calibration record'!H14</f>
        <v>5.6mg/l RM8631b</v>
      </c>
      <c r="E14" s="611"/>
      <c r="F14" s="611"/>
      <c r="G14" s="246"/>
      <c r="H14" s="246"/>
      <c r="I14" s="246"/>
      <c r="J14" s="246"/>
      <c r="K14" s="246"/>
      <c r="L14" s="246"/>
    </row>
    <row r="15" spans="1:12" x14ac:dyDescent="0.2">
      <c r="B15" s="193" t="s">
        <v>331</v>
      </c>
      <c r="C15" s="246"/>
      <c r="D15" s="103" t="s">
        <v>951</v>
      </c>
      <c r="E15" s="249" t="str">
        <f>F13</f>
        <v>0-200001</v>
      </c>
      <c r="F15" s="246"/>
      <c r="G15" s="246"/>
      <c r="H15" s="246"/>
      <c r="I15" s="246"/>
      <c r="J15" s="246"/>
      <c r="K15" s="246"/>
      <c r="L15" s="246"/>
    </row>
    <row r="16" spans="1:12" x14ac:dyDescent="0.2">
      <c r="A16" s="246"/>
      <c r="B16" s="193"/>
      <c r="C16" s="246"/>
      <c r="D16" s="247"/>
      <c r="E16" s="246"/>
      <c r="F16" s="229"/>
      <c r="G16" s="246"/>
      <c r="H16" s="246"/>
      <c r="I16" s="246"/>
      <c r="J16" s="246"/>
      <c r="K16" s="246"/>
      <c r="L16" s="246"/>
    </row>
    <row r="17" spans="1:12" ht="62.25" customHeight="1" x14ac:dyDescent="0.2">
      <c r="B17" s="612" t="s">
        <v>953</v>
      </c>
      <c r="C17" s="612"/>
      <c r="D17" s="612"/>
      <c r="E17" s="612"/>
      <c r="F17" s="612"/>
      <c r="G17" s="612"/>
      <c r="H17" s="612"/>
      <c r="I17" s="612"/>
      <c r="J17" s="250"/>
      <c r="K17" s="250"/>
      <c r="L17" s="250"/>
    </row>
    <row r="18" spans="1:12" ht="28.5" customHeight="1" x14ac:dyDescent="0.2">
      <c r="B18" s="612" t="s">
        <v>954</v>
      </c>
      <c r="C18" s="612"/>
      <c r="D18" s="612"/>
      <c r="E18" s="612"/>
      <c r="F18" s="612"/>
      <c r="G18" s="612"/>
      <c r="H18" s="612"/>
      <c r="I18" s="612"/>
      <c r="J18" s="250"/>
      <c r="K18" s="250"/>
      <c r="L18" s="250"/>
    </row>
    <row r="19" spans="1:12" x14ac:dyDescent="0.2">
      <c r="A19" s="247"/>
      <c r="B19" s="193"/>
      <c r="C19" s="247"/>
      <c r="D19" s="247"/>
      <c r="E19" s="247"/>
      <c r="F19" s="229"/>
      <c r="G19" s="247"/>
      <c r="H19" s="247"/>
      <c r="I19" s="247"/>
      <c r="J19" s="246"/>
      <c r="K19" s="246"/>
      <c r="L19" s="246"/>
    </row>
    <row r="20" spans="1:12" ht="35.25" customHeight="1" x14ac:dyDescent="0.2">
      <c r="B20" s="620" t="s">
        <v>955</v>
      </c>
      <c r="C20" s="620"/>
      <c r="D20" s="620"/>
      <c r="E20" s="620"/>
      <c r="F20" s="620"/>
      <c r="G20" s="620"/>
      <c r="H20" s="620"/>
      <c r="I20" s="620"/>
      <c r="J20" s="251"/>
      <c r="K20" s="251"/>
      <c r="L20" s="251"/>
    </row>
    <row r="21" spans="1:12" x14ac:dyDescent="0.2">
      <c r="A21" s="246"/>
      <c r="B21" s="193"/>
      <c r="C21" s="246"/>
      <c r="D21" s="247"/>
      <c r="E21" s="246"/>
      <c r="F21" s="229"/>
      <c r="G21" s="246"/>
      <c r="H21" s="246"/>
      <c r="I21" s="246"/>
      <c r="J21" s="246"/>
      <c r="K21" s="246"/>
      <c r="L21" s="246"/>
    </row>
    <row r="22" spans="1:12" x14ac:dyDescent="0.2">
      <c r="A22" s="246"/>
      <c r="B22" s="193" t="s">
        <v>956</v>
      </c>
      <c r="C22" s="246"/>
      <c r="D22" s="247"/>
      <c r="E22" s="246"/>
      <c r="F22" s="229"/>
      <c r="G22" s="246"/>
      <c r="H22" s="246"/>
      <c r="I22" s="246"/>
      <c r="J22" s="246"/>
      <c r="K22" s="246"/>
      <c r="L22" s="246"/>
    </row>
    <row r="23" spans="1:12" x14ac:dyDescent="0.2">
      <c r="D23" s="5"/>
      <c r="F23" s="44"/>
    </row>
    <row r="24" spans="1:12" ht="15" x14ac:dyDescent="0.2">
      <c r="B24" s="45"/>
      <c r="D24" s="5"/>
      <c r="F24" s="44"/>
    </row>
    <row r="25" spans="1:12" x14ac:dyDescent="0.2">
      <c r="B25" s="193" t="s">
        <v>957</v>
      </c>
      <c r="D25" s="623">
        <f>'Auto-Calibration record'!H16</f>
        <v>46191.5</v>
      </c>
      <c r="E25" s="623"/>
      <c r="G25" s="193" t="s">
        <v>958</v>
      </c>
    </row>
    <row r="26" spans="1:12" ht="15" x14ac:dyDescent="0.2">
      <c r="B26" s="45"/>
      <c r="D26" s="5"/>
      <c r="G26" s="44"/>
    </row>
    <row r="27" spans="1:12" ht="15" x14ac:dyDescent="0.2">
      <c r="B27" s="45"/>
      <c r="D27" s="5"/>
      <c r="G27" s="44"/>
    </row>
    <row r="28" spans="1:12" x14ac:dyDescent="0.2">
      <c r="D28" s="5"/>
    </row>
    <row r="29" spans="1:12" x14ac:dyDescent="0.2">
      <c r="C29" s="44"/>
      <c r="D29" s="5"/>
      <c r="G29" s="193" t="s">
        <v>959</v>
      </c>
    </row>
    <row r="30" spans="1:12" ht="13.5" x14ac:dyDescent="0.2">
      <c r="A30" s="46" t="s">
        <v>960</v>
      </c>
      <c r="C30" s="44"/>
      <c r="D30" s="5"/>
    </row>
    <row r="32" spans="1:12" ht="27.75" x14ac:dyDescent="0.4">
      <c r="A32" s="39" t="s">
        <v>940</v>
      </c>
    </row>
    <row r="33" spans="1:12" ht="18" x14ac:dyDescent="0.25">
      <c r="A33" s="40" t="s">
        <v>941</v>
      </c>
    </row>
    <row r="35" spans="1:12" x14ac:dyDescent="0.2">
      <c r="A35" s="41" t="s">
        <v>942</v>
      </c>
      <c r="B35" s="41"/>
      <c r="C35" s="41" t="s">
        <v>943</v>
      </c>
      <c r="D35" s="41"/>
      <c r="E35" s="41" t="s">
        <v>944</v>
      </c>
      <c r="F35" s="41"/>
      <c r="G35" s="41"/>
      <c r="H35" s="41"/>
      <c r="I35" s="41"/>
    </row>
    <row r="36" spans="1:12" ht="27" thickBot="1" x14ac:dyDescent="0.45">
      <c r="A36" s="42"/>
      <c r="B36" s="42"/>
      <c r="C36" s="43" t="s">
        <v>945</v>
      </c>
      <c r="D36" s="42"/>
      <c r="E36" s="42"/>
      <c r="F36" s="42"/>
      <c r="G36" s="42"/>
      <c r="H36" s="42"/>
      <c r="I36" s="42"/>
      <c r="J36" s="98"/>
      <c r="K36" s="38"/>
    </row>
    <row r="37" spans="1:12" ht="13.5" thickTop="1" x14ac:dyDescent="0.2"/>
    <row r="39" spans="1:12" s="37" customFormat="1" ht="18.75" thickBot="1" x14ac:dyDescent="0.3">
      <c r="A39" s="48" t="s">
        <v>961</v>
      </c>
      <c r="B39" s="47"/>
      <c r="C39" s="47"/>
      <c r="D39" s="47"/>
      <c r="E39" s="47"/>
      <c r="F39" s="47"/>
      <c r="G39" s="47"/>
      <c r="H39" s="47"/>
      <c r="I39" s="47"/>
      <c r="J39" s="98"/>
    </row>
    <row r="40" spans="1:12" s="37" customFormat="1" ht="13.5" thickTop="1" x14ac:dyDescent="0.2">
      <c r="A40" s="1"/>
      <c r="B40" s="1"/>
      <c r="C40" s="1"/>
      <c r="D40" s="1"/>
      <c r="E40" s="1"/>
      <c r="F40" s="1"/>
    </row>
    <row r="41" spans="1:12" x14ac:dyDescent="0.2">
      <c r="A41" s="37"/>
      <c r="C41" s="61" t="s">
        <v>962</v>
      </c>
      <c r="D41" s="49"/>
      <c r="E41" s="621" t="str">
        <f>'Auto-Calibration record'!H14</f>
        <v>5.6mg/l RM8631b</v>
      </c>
      <c r="F41" s="622"/>
      <c r="G41" s="118"/>
    </row>
    <row r="42" spans="1:12" x14ac:dyDescent="0.2">
      <c r="A42" s="37"/>
      <c r="C42" s="252" t="s">
        <v>963</v>
      </c>
      <c r="D42" s="253"/>
      <c r="E42" s="104" t="s">
        <v>951</v>
      </c>
      <c r="F42" s="96" t="str">
        <f>E15</f>
        <v>0-200001</v>
      </c>
    </row>
    <row r="43" spans="1:12" x14ac:dyDescent="0.2">
      <c r="A43" s="37"/>
      <c r="C43" s="61" t="s">
        <v>964</v>
      </c>
      <c r="D43" s="49"/>
      <c r="E43" s="618" t="s">
        <v>965</v>
      </c>
      <c r="F43" s="619"/>
      <c r="G43" s="37"/>
    </row>
    <row r="44" spans="1:12" x14ac:dyDescent="0.2">
      <c r="C44" s="62" t="s">
        <v>966</v>
      </c>
      <c r="D44" s="51"/>
      <c r="E44" s="618">
        <f>'Auto-Calibration record'!B17</f>
        <v>0</v>
      </c>
      <c r="F44" s="619"/>
      <c r="G44" s="37"/>
      <c r="H44" s="3"/>
      <c r="I44" s="3"/>
      <c r="J44" s="3"/>
      <c r="K44" s="3"/>
      <c r="L44" s="3"/>
    </row>
    <row r="45" spans="1:12" x14ac:dyDescent="0.2">
      <c r="C45" s="61" t="s">
        <v>967</v>
      </c>
      <c r="D45" s="49"/>
      <c r="E45" s="618">
        <f>'Auto-Calibration record'!B11</f>
        <v>32</v>
      </c>
      <c r="F45" s="619"/>
      <c r="G45" s="37"/>
    </row>
    <row r="46" spans="1:12" x14ac:dyDescent="0.2">
      <c r="A46" s="37"/>
      <c r="C46" s="61" t="s">
        <v>968</v>
      </c>
      <c r="D46" s="49"/>
      <c r="E46" s="618" t="s">
        <v>969</v>
      </c>
      <c r="F46" s="619"/>
      <c r="G46" s="37"/>
    </row>
    <row r="47" spans="1:12" s="2" customFormat="1" x14ac:dyDescent="0.2">
      <c r="A47" s="1"/>
      <c r="C47" s="61" t="s">
        <v>970</v>
      </c>
      <c r="D47" s="49"/>
      <c r="E47" s="618" t="s">
        <v>971</v>
      </c>
      <c r="F47" s="619"/>
      <c r="G47" s="37"/>
    </row>
    <row r="48" spans="1:12" x14ac:dyDescent="0.2">
      <c r="B48" s="37"/>
      <c r="C48" s="37"/>
      <c r="D48" s="3"/>
      <c r="E48" s="3"/>
      <c r="F48" s="3"/>
    </row>
    <row r="49" spans="1:10" s="37" customFormat="1" x14ac:dyDescent="0.2">
      <c r="A49" s="52" t="s">
        <v>972</v>
      </c>
      <c r="B49" s="1"/>
      <c r="C49" s="1"/>
      <c r="D49" s="1"/>
      <c r="E49" s="1"/>
      <c r="F49" s="1"/>
    </row>
    <row r="50" spans="1:10" s="37" customFormat="1" x14ac:dyDescent="0.2">
      <c r="A50" s="52"/>
      <c r="B50" s="1"/>
      <c r="C50" s="1"/>
      <c r="D50" s="1"/>
      <c r="E50" s="1"/>
      <c r="F50" s="1"/>
    </row>
    <row r="51" spans="1:10" s="37" customFormat="1" x14ac:dyDescent="0.2">
      <c r="A51" s="52"/>
      <c r="B51" s="1"/>
      <c r="C51" s="1"/>
      <c r="D51" s="1"/>
      <c r="E51" s="1"/>
      <c r="F51" s="1"/>
    </row>
    <row r="52" spans="1:10" s="37" customFormat="1" ht="18.75" thickBot="1" x14ac:dyDescent="0.3">
      <c r="A52" s="48" t="s">
        <v>973</v>
      </c>
      <c r="B52" s="47"/>
      <c r="C52" s="47"/>
      <c r="D52" s="47"/>
      <c r="E52" s="47"/>
      <c r="F52" s="47"/>
      <c r="G52" s="47"/>
      <c r="H52" s="47"/>
      <c r="I52" s="47"/>
      <c r="J52" s="98"/>
    </row>
    <row r="53" spans="1:10" s="37" customFormat="1" ht="13.5" thickTop="1" x14ac:dyDescent="0.2">
      <c r="A53" s="1"/>
      <c r="B53" s="1"/>
      <c r="C53" s="1"/>
    </row>
    <row r="54" spans="1:10" s="37" customFormat="1" ht="13.5" thickBot="1" x14ac:dyDescent="0.25">
      <c r="B54" s="1" t="s">
        <v>974</v>
      </c>
      <c r="C54" s="1"/>
    </row>
    <row r="55" spans="1:10" s="37" customFormat="1" ht="63.75" customHeight="1" x14ac:dyDescent="0.2">
      <c r="B55" s="53" t="s">
        <v>898</v>
      </c>
      <c r="C55" s="54" t="s">
        <v>899</v>
      </c>
      <c r="D55" s="616" t="s">
        <v>975</v>
      </c>
      <c r="E55" s="616"/>
      <c r="F55" s="56" t="s">
        <v>976</v>
      </c>
      <c r="G55" s="55" t="s">
        <v>902</v>
      </c>
      <c r="H55" s="57" t="s">
        <v>902</v>
      </c>
      <c r="I55" s="2"/>
    </row>
    <row r="56" spans="1:10" s="2" customFormat="1" x14ac:dyDescent="0.2">
      <c r="A56" s="37"/>
      <c r="B56" s="384" t="s">
        <v>977</v>
      </c>
      <c r="C56" s="385" t="s">
        <v>905</v>
      </c>
      <c r="D56" s="617" t="s">
        <v>978</v>
      </c>
      <c r="E56" s="617"/>
      <c r="F56" s="387" t="s">
        <v>978</v>
      </c>
      <c r="G56" s="386" t="s">
        <v>978</v>
      </c>
      <c r="H56" s="388" t="s">
        <v>907</v>
      </c>
      <c r="I56" s="58"/>
    </row>
    <row r="57" spans="1:10" x14ac:dyDescent="0.2">
      <c r="A57" s="37"/>
      <c r="B57" s="92">
        <v>4</v>
      </c>
      <c r="C57" s="434">
        <f>'Auto-Calibration record'!B65</f>
        <v>78</v>
      </c>
      <c r="D57" s="614">
        <f>'Auto-Calibration record'!B68</f>
        <v>1056340</v>
      </c>
      <c r="E57" s="615"/>
      <c r="F57" s="435">
        <f>'Auto-Calibration record'!I68</f>
        <v>1066968</v>
      </c>
      <c r="G57" s="434">
        <f t="shared" ref="G57:G62" si="0">F57-D57</f>
        <v>10628</v>
      </c>
      <c r="H57" s="93">
        <f t="shared" ref="H57:H62" si="1">G57/D57</f>
        <v>1.0061154552511503E-2</v>
      </c>
      <c r="I57" s="59"/>
    </row>
    <row r="58" spans="1:10" s="37" customFormat="1" x14ac:dyDescent="0.2">
      <c r="A58" s="2"/>
      <c r="B58" s="92">
        <v>6</v>
      </c>
      <c r="C58" s="434">
        <f>'Auto-Calibration record'!C65</f>
        <v>188</v>
      </c>
      <c r="D58" s="614">
        <f>'Auto-Calibration record'!B69</f>
        <v>459350</v>
      </c>
      <c r="E58" s="615"/>
      <c r="F58" s="435">
        <f>'Auto-Calibration record'!I69</f>
        <v>465752</v>
      </c>
      <c r="G58" s="434">
        <f t="shared" si="0"/>
        <v>6402</v>
      </c>
      <c r="H58" s="93">
        <f t="shared" si="1"/>
        <v>1.3937085011429193E-2</v>
      </c>
      <c r="I58" s="59"/>
    </row>
    <row r="59" spans="1:10" x14ac:dyDescent="0.2">
      <c r="B59" s="92">
        <v>14</v>
      </c>
      <c r="C59" s="434">
        <f>'Auto-Calibration record'!D65</f>
        <v>1018</v>
      </c>
      <c r="D59" s="614">
        <f>'Auto-Calibration record'!B71</f>
        <v>36410</v>
      </c>
      <c r="E59" s="615"/>
      <c r="F59" s="435">
        <f>'Auto-Calibration record'!I71</f>
        <v>37095</v>
      </c>
      <c r="G59" s="434">
        <f t="shared" si="0"/>
        <v>685</v>
      </c>
      <c r="H59" s="93">
        <f t="shared" si="1"/>
        <v>1.8813512771216699E-2</v>
      </c>
      <c r="I59" s="59"/>
    </row>
    <row r="60" spans="1:10" x14ac:dyDescent="0.2">
      <c r="A60" s="37"/>
      <c r="B60" s="92">
        <v>21</v>
      </c>
      <c r="C60" s="434">
        <f>'Auto-Calibration record'!E65</f>
        <v>2074</v>
      </c>
      <c r="D60" s="614">
        <f>'Auto-Calibration record'!B72</f>
        <v>10940</v>
      </c>
      <c r="E60" s="615"/>
      <c r="F60" s="435">
        <f>'Auto-Calibration record'!I72</f>
        <v>11283</v>
      </c>
      <c r="G60" s="434">
        <f t="shared" si="0"/>
        <v>343</v>
      </c>
      <c r="H60" s="93">
        <f t="shared" si="1"/>
        <v>3.1352833638025594E-2</v>
      </c>
      <c r="I60" s="59"/>
    </row>
    <row r="61" spans="1:10" x14ac:dyDescent="0.2">
      <c r="B61" s="92">
        <v>25</v>
      </c>
      <c r="C61" s="434">
        <f>'Auto-Calibration record'!F65</f>
        <v>2990</v>
      </c>
      <c r="D61" s="614">
        <f>'Auto-Calibration record'!B73</f>
        <v>5210</v>
      </c>
      <c r="E61" s="615"/>
      <c r="F61" s="435">
        <f>'Auto-Calibration record'!I73</f>
        <v>5545</v>
      </c>
      <c r="G61" s="434">
        <f t="shared" si="0"/>
        <v>335</v>
      </c>
      <c r="H61" s="93">
        <f t="shared" si="1"/>
        <v>6.4299424184261031E-2</v>
      </c>
      <c r="I61" s="59"/>
    </row>
    <row r="62" spans="1:10" x14ac:dyDescent="0.2">
      <c r="A62" s="2"/>
      <c r="B62" s="92">
        <v>38</v>
      </c>
      <c r="C62" s="434">
        <f>'Auto-Calibration record'!G65</f>
        <v>10008</v>
      </c>
      <c r="D62" s="614">
        <f>'Auto-Calibration record'!B74</f>
        <v>611.721</v>
      </c>
      <c r="E62" s="615"/>
      <c r="F62" s="435">
        <f>'Auto-Calibration record'!I74</f>
        <v>731</v>
      </c>
      <c r="G62" s="434">
        <f t="shared" si="0"/>
        <v>119.279</v>
      </c>
      <c r="H62" s="93">
        <f t="shared" si="1"/>
        <v>0.19498921894131474</v>
      </c>
      <c r="I62" s="59"/>
    </row>
    <row r="63" spans="1:10" x14ac:dyDescent="0.2">
      <c r="B63" s="92" t="s">
        <v>979</v>
      </c>
      <c r="C63" s="434">
        <f>'Auto-Calibration record'!H65</f>
        <v>16418</v>
      </c>
      <c r="D63" s="614">
        <f>'Auto-Calibration record'!B75</f>
        <v>145.303</v>
      </c>
      <c r="E63" s="615"/>
      <c r="F63" s="435">
        <f>'Auto-Calibration record'!I75</f>
        <v>150</v>
      </c>
      <c r="G63" s="436" t="s">
        <v>321</v>
      </c>
      <c r="H63" s="254" t="s">
        <v>321</v>
      </c>
      <c r="I63" s="59"/>
    </row>
    <row r="64" spans="1:10" ht="13.5" thickBot="1" x14ac:dyDescent="0.25">
      <c r="A64" s="37"/>
      <c r="B64" s="94" t="s">
        <v>980</v>
      </c>
      <c r="C64" s="95">
        <f>'Auto-Calibration record'!I65</f>
        <v>24602</v>
      </c>
      <c r="D64" s="614">
        <f>'Auto-Calibration record'!B76</f>
        <v>24.939</v>
      </c>
      <c r="E64" s="615"/>
      <c r="F64" s="102">
        <f>'Auto-Calibration record'!I76</f>
        <v>14</v>
      </c>
      <c r="G64" s="255" t="s">
        <v>321</v>
      </c>
      <c r="H64" s="256" t="s">
        <v>321</v>
      </c>
      <c r="I64" s="59"/>
    </row>
    <row r="65" spans="2:7" x14ac:dyDescent="0.2">
      <c r="B65" s="613" t="s">
        <v>981</v>
      </c>
      <c r="C65" s="613"/>
      <c r="D65" s="613"/>
      <c r="E65" s="613"/>
      <c r="F65" s="613"/>
      <c r="G65" s="613"/>
    </row>
    <row r="67" spans="2:7" x14ac:dyDescent="0.2">
      <c r="B67" s="389" t="s">
        <v>982</v>
      </c>
      <c r="C67" s="390">
        <f>'Auto-Calibration record'!H16</f>
        <v>46191.5</v>
      </c>
    </row>
    <row r="72" spans="2:7" x14ac:dyDescent="0.2">
      <c r="F72" s="5" t="s">
        <v>959</v>
      </c>
    </row>
    <row r="74" spans="2:7" x14ac:dyDescent="0.2">
      <c r="B74" s="60" t="s">
        <v>983</v>
      </c>
    </row>
  </sheetData>
  <sheetProtection sheet="1" objects="1" scenarios="1" selectLockedCells="1"/>
  <mergeCells count="22">
    <mergeCell ref="B20:I20"/>
    <mergeCell ref="E41:F41"/>
    <mergeCell ref="E43:F43"/>
    <mergeCell ref="E44:F44"/>
    <mergeCell ref="E45:F45"/>
    <mergeCell ref="D25:E25"/>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46191.5</v>
      </c>
    </row>
    <row r="19" spans="2:15" ht="25.9" customHeight="1" x14ac:dyDescent="0.25">
      <c r="B19" s="414" t="s">
        <v>893</v>
      </c>
      <c r="C19" s="420"/>
      <c r="D19" s="607" t="str">
        <f>'Auto-Calibration record'!H17</f>
        <v>-1 180626</v>
      </c>
      <c r="E19" s="608"/>
      <c r="F19" s="609"/>
      <c r="K19" s="416" t="s">
        <v>894</v>
      </c>
      <c r="L19" s="417"/>
      <c r="M19" s="417"/>
      <c r="N19" s="418"/>
      <c r="O19" s="438" t="str">
        <f>'Auto-Calibration record'!H19</f>
        <v>NOT SET</v>
      </c>
    </row>
    <row r="20" spans="2:15" ht="25.5" customHeight="1" x14ac:dyDescent="0.25">
      <c r="B20" s="71"/>
      <c r="D20" s="87"/>
      <c r="E20" s="90"/>
      <c r="F20" s="88"/>
      <c r="K20" s="71"/>
      <c r="L20" s="72"/>
      <c r="M20" s="72"/>
      <c r="N20" s="72"/>
      <c r="O20" s="36"/>
    </row>
    <row r="21" spans="2:15" ht="34.5" customHeight="1" x14ac:dyDescent="0.25">
      <c r="B21" s="71"/>
      <c r="D21" s="439" t="s">
        <v>986</v>
      </c>
      <c r="E21" s="624" t="s">
        <v>987</v>
      </c>
      <c r="F21" s="624"/>
      <c r="G21" s="624" t="s">
        <v>988</v>
      </c>
      <c r="H21" s="624"/>
      <c r="I21" s="624" t="s">
        <v>989</v>
      </c>
      <c r="J21" s="624"/>
      <c r="M21" s="72"/>
      <c r="N21" s="72"/>
      <c r="O21" s="89"/>
    </row>
    <row r="22" spans="2:15" ht="18" x14ac:dyDescent="0.25">
      <c r="B22" s="71"/>
      <c r="D22" s="440" t="s">
        <v>990</v>
      </c>
      <c r="E22" s="625" t="s">
        <v>991</v>
      </c>
      <c r="F22" s="625"/>
      <c r="G22" s="625" t="s">
        <v>992</v>
      </c>
      <c r="H22" s="625"/>
      <c r="I22" s="625">
        <v>5226</v>
      </c>
      <c r="J22" s="625"/>
      <c r="M22" s="72"/>
      <c r="N22" s="72"/>
      <c r="O22" s="89"/>
    </row>
    <row r="23" spans="2:15" ht="14.25" customHeight="1" x14ac:dyDescent="0.25">
      <c r="B23" s="71"/>
      <c r="D23" s="440" t="s">
        <v>993</v>
      </c>
      <c r="E23" s="625" t="s">
        <v>991</v>
      </c>
      <c r="F23" s="625"/>
      <c r="G23" s="625" t="s">
        <v>992</v>
      </c>
      <c r="H23" s="625"/>
      <c r="I23" s="625">
        <v>5306</v>
      </c>
      <c r="J23" s="625"/>
      <c r="M23" s="72"/>
      <c r="N23" s="72"/>
      <c r="O23" s="89"/>
    </row>
    <row r="24" spans="2:15" ht="14.25" customHeight="1" x14ac:dyDescent="0.25">
      <c r="B24" s="71"/>
      <c r="D24" s="440" t="s">
        <v>994</v>
      </c>
      <c r="E24" s="625" t="s">
        <v>991</v>
      </c>
      <c r="F24" s="625"/>
      <c r="G24" s="625" t="s">
        <v>992</v>
      </c>
      <c r="H24" s="625"/>
      <c r="I24" s="625">
        <v>5326</v>
      </c>
      <c r="J24" s="625"/>
      <c r="M24" s="72"/>
      <c r="N24" s="72"/>
      <c r="O24" s="89"/>
    </row>
    <row r="25" spans="2:15" ht="14.25" customHeight="1" x14ac:dyDescent="0.25">
      <c r="B25" s="71"/>
      <c r="D25" s="440" t="s">
        <v>995</v>
      </c>
      <c r="E25" s="625" t="s">
        <v>991</v>
      </c>
      <c r="F25" s="625"/>
      <c r="G25" s="625" t="s">
        <v>992</v>
      </c>
      <c r="H25" s="625"/>
      <c r="I25" s="625">
        <v>5529</v>
      </c>
      <c r="J25" s="625"/>
      <c r="M25" s="72"/>
      <c r="N25" s="72"/>
      <c r="O25" s="89"/>
    </row>
    <row r="26" spans="2:15" ht="14.25" customHeight="1" x14ac:dyDescent="0.25">
      <c r="B26" s="71"/>
      <c r="D26" s="87"/>
      <c r="E26" s="88"/>
      <c r="K26" s="71"/>
      <c r="L26" s="72"/>
      <c r="M26" s="72"/>
      <c r="N26" s="72"/>
      <c r="O26" s="89"/>
    </row>
    <row r="27" spans="2:15" ht="15.75" x14ac:dyDescent="0.25">
      <c r="B27" s="73" t="s">
        <v>895</v>
      </c>
    </row>
    <row r="28" spans="2:15" ht="15.75" x14ac:dyDescent="0.25">
      <c r="B28" s="73" t="s">
        <v>896</v>
      </c>
      <c r="O28" s="74"/>
    </row>
    <row r="29" spans="2:15" ht="15.75" x14ac:dyDescent="0.25">
      <c r="B29" s="73" t="s">
        <v>897</v>
      </c>
    </row>
    <row r="30" spans="2:15" ht="15.75" x14ac:dyDescent="0.25">
      <c r="B30" s="73"/>
    </row>
    <row r="31" spans="2:15" x14ac:dyDescent="0.2">
      <c r="B31" s="75"/>
    </row>
    <row r="32" spans="2:15" s="76" customFormat="1" ht="67.5" customHeight="1" x14ac:dyDescent="0.2">
      <c r="D32" s="583" t="s">
        <v>898</v>
      </c>
      <c r="E32" s="583"/>
      <c r="F32" s="583" t="s">
        <v>899</v>
      </c>
      <c r="G32" s="583"/>
      <c r="H32" s="583" t="s">
        <v>900</v>
      </c>
      <c r="I32" s="583"/>
      <c r="J32" s="423" t="s">
        <v>901</v>
      </c>
      <c r="K32" s="423" t="s">
        <v>902</v>
      </c>
      <c r="L32" s="423" t="s">
        <v>903</v>
      </c>
    </row>
    <row r="33" spans="2:12" s="77" customFormat="1" ht="25.9" customHeight="1" x14ac:dyDescent="0.2">
      <c r="D33" s="584" t="s">
        <v>904</v>
      </c>
      <c r="E33" s="584"/>
      <c r="F33" s="584" t="s">
        <v>905</v>
      </c>
      <c r="G33" s="584"/>
      <c r="H33" s="584" t="s">
        <v>906</v>
      </c>
      <c r="I33" s="584"/>
      <c r="J33" s="424" t="s">
        <v>906</v>
      </c>
      <c r="K33" s="424" t="s">
        <v>906</v>
      </c>
      <c r="L33" s="424" t="s">
        <v>907</v>
      </c>
    </row>
    <row r="34" spans="2:12" s="77" customFormat="1" ht="25.9" customHeight="1" x14ac:dyDescent="0.2">
      <c r="D34" s="585" t="s">
        <v>908</v>
      </c>
      <c r="E34" s="585"/>
      <c r="F34" s="600">
        <f>'Auto-Calibration record'!B65</f>
        <v>78</v>
      </c>
      <c r="G34" s="600"/>
      <c r="H34" s="596">
        <f>'Auto-Calibration record'!B68</f>
        <v>1056340</v>
      </c>
      <c r="I34" s="626"/>
      <c r="J34" s="442">
        <f>'Auto-Calibration record'!I68</f>
        <v>1066968</v>
      </c>
      <c r="K34" s="425">
        <f t="shared" ref="K34:K39" si="0">J34-H34</f>
        <v>10628</v>
      </c>
      <c r="L34" s="443">
        <f t="shared" ref="L34:L39" si="1">K34/H34</f>
        <v>1.0061154552511503E-2</v>
      </c>
    </row>
    <row r="35" spans="2:12" s="77" customFormat="1" ht="25.9" customHeight="1" x14ac:dyDescent="0.2">
      <c r="D35" s="585" t="s">
        <v>909</v>
      </c>
      <c r="E35" s="585"/>
      <c r="F35" s="600">
        <f>'Auto-Calibration record'!C65</f>
        <v>188</v>
      </c>
      <c r="G35" s="600"/>
      <c r="H35" s="596">
        <f>'Auto-Calibration record'!B69</f>
        <v>459350</v>
      </c>
      <c r="I35" s="626"/>
      <c r="J35" s="442">
        <f>'Auto-Calibration record'!I69</f>
        <v>465752</v>
      </c>
      <c r="K35" s="425">
        <f t="shared" si="0"/>
        <v>6402</v>
      </c>
      <c r="L35" s="443">
        <f t="shared" si="1"/>
        <v>1.3937085011429193E-2</v>
      </c>
    </row>
    <row r="36" spans="2:12" s="77" customFormat="1" ht="25.9" customHeight="1" x14ac:dyDescent="0.2">
      <c r="D36" s="585" t="s">
        <v>910</v>
      </c>
      <c r="E36" s="585"/>
      <c r="F36" s="600">
        <f>'Auto-Calibration record'!D65</f>
        <v>1018</v>
      </c>
      <c r="G36" s="600"/>
      <c r="H36" s="596">
        <f>'Auto-Calibration record'!B71</f>
        <v>36410</v>
      </c>
      <c r="I36" s="626"/>
      <c r="J36" s="442">
        <f>'Auto-Calibration record'!I71</f>
        <v>37095</v>
      </c>
      <c r="K36" s="425">
        <f t="shared" si="0"/>
        <v>685</v>
      </c>
      <c r="L36" s="443">
        <f t="shared" si="1"/>
        <v>1.8813512771216699E-2</v>
      </c>
    </row>
    <row r="37" spans="2:12" s="77" customFormat="1" ht="25.9" customHeight="1" x14ac:dyDescent="0.2">
      <c r="D37" s="585" t="s">
        <v>911</v>
      </c>
      <c r="E37" s="585"/>
      <c r="F37" s="600">
        <f>'Auto-Calibration record'!E65</f>
        <v>2074</v>
      </c>
      <c r="G37" s="600"/>
      <c r="H37" s="596">
        <f>'Auto-Calibration record'!B72</f>
        <v>10940</v>
      </c>
      <c r="I37" s="626"/>
      <c r="J37" s="442">
        <f>'Auto-Calibration record'!I72</f>
        <v>11283</v>
      </c>
      <c r="K37" s="425">
        <f t="shared" si="0"/>
        <v>343</v>
      </c>
      <c r="L37" s="443">
        <f t="shared" si="1"/>
        <v>3.1352833638025594E-2</v>
      </c>
    </row>
    <row r="38" spans="2:12" s="77" customFormat="1" ht="25.9" customHeight="1" x14ac:dyDescent="0.2">
      <c r="D38" s="585" t="s">
        <v>912</v>
      </c>
      <c r="E38" s="585"/>
      <c r="F38" s="600">
        <f>'Auto-Calibration record'!F65</f>
        <v>2990</v>
      </c>
      <c r="G38" s="600"/>
      <c r="H38" s="596">
        <f>'Auto-Calibration record'!B73</f>
        <v>5210</v>
      </c>
      <c r="I38" s="626"/>
      <c r="J38" s="442">
        <f>'Auto-Calibration record'!I73</f>
        <v>5545</v>
      </c>
      <c r="K38" s="425">
        <f t="shared" si="0"/>
        <v>335</v>
      </c>
      <c r="L38" s="443">
        <f t="shared" si="1"/>
        <v>6.4299424184261031E-2</v>
      </c>
    </row>
    <row r="39" spans="2:12" s="77" customFormat="1" ht="25.9" customHeight="1" x14ac:dyDescent="0.2">
      <c r="D39" s="585" t="s">
        <v>913</v>
      </c>
      <c r="E39" s="585"/>
      <c r="F39" s="600">
        <f>'Auto-Calibration record'!G65</f>
        <v>10008</v>
      </c>
      <c r="G39" s="600"/>
      <c r="H39" s="596">
        <f>'Auto-Calibration record'!B74</f>
        <v>611.721</v>
      </c>
      <c r="I39" s="626"/>
      <c r="J39" s="442">
        <f>'Auto-Calibration record'!I74</f>
        <v>731</v>
      </c>
      <c r="K39" s="425">
        <f t="shared" si="0"/>
        <v>119.279</v>
      </c>
      <c r="L39" s="443">
        <f t="shared" si="1"/>
        <v>0.19498921894131474</v>
      </c>
    </row>
    <row r="40" spans="2:12" s="77" customFormat="1" ht="25.9" customHeight="1" x14ac:dyDescent="0.2">
      <c r="D40" s="585" t="s">
        <v>914</v>
      </c>
      <c r="E40" s="585"/>
      <c r="F40" s="600">
        <f>'Auto-Calibration record'!H65</f>
        <v>16418</v>
      </c>
      <c r="G40" s="600"/>
      <c r="H40" s="596">
        <f>'Auto-Calibration record'!B75</f>
        <v>145.303</v>
      </c>
      <c r="I40" s="626"/>
      <c r="J40" s="442">
        <f>'Auto-Calibration record'!I75</f>
        <v>150</v>
      </c>
      <c r="K40" s="425" t="s">
        <v>321</v>
      </c>
      <c r="L40" s="426" t="s">
        <v>321</v>
      </c>
    </row>
    <row r="41" spans="2:12" s="72" customFormat="1" ht="25.9" customHeight="1" x14ac:dyDescent="0.25">
      <c r="D41" s="585" t="s">
        <v>915</v>
      </c>
      <c r="E41" s="585"/>
      <c r="F41" s="601">
        <f>'Auto-Calibration record'!I65</f>
        <v>24602</v>
      </c>
      <c r="G41" s="601"/>
      <c r="H41" s="596">
        <f>'Auto-Calibration record'!B76</f>
        <v>24.939</v>
      </c>
      <c r="I41" s="626"/>
      <c r="J41" s="442">
        <f>'Auto-Calibration record'!I76</f>
        <v>14</v>
      </c>
      <c r="K41" s="425" t="s">
        <v>321</v>
      </c>
      <c r="L41" s="426" t="s">
        <v>321</v>
      </c>
    </row>
    <row r="42" spans="2:12" ht="20.25" x14ac:dyDescent="0.3">
      <c r="D42" s="78" t="s">
        <v>916</v>
      </c>
      <c r="E42" s="79"/>
      <c r="F42" s="79"/>
      <c r="G42" s="79"/>
      <c r="H42" s="79"/>
      <c r="I42" s="79"/>
      <c r="J42" s="79"/>
      <c r="K42" s="79"/>
    </row>
    <row r="43" spans="2:12" ht="20.25" x14ac:dyDescent="0.3">
      <c r="B43" s="80"/>
      <c r="D43" s="79"/>
      <c r="E43" s="79"/>
      <c r="F43" s="79"/>
      <c r="G43" s="79"/>
      <c r="H43" s="79"/>
      <c r="I43" s="79"/>
      <c r="J43" s="79"/>
      <c r="K43" s="79"/>
    </row>
    <row r="44" spans="2:12" ht="81" customHeight="1" x14ac:dyDescent="0.2">
      <c r="B44" s="80"/>
      <c r="D44" s="423" t="s">
        <v>917</v>
      </c>
      <c r="E44" s="583" t="s">
        <v>918</v>
      </c>
      <c r="F44" s="583"/>
      <c r="G44" s="583" t="s">
        <v>919</v>
      </c>
      <c r="H44" s="583"/>
      <c r="I44" s="77"/>
      <c r="J44" s="423" t="s">
        <v>996</v>
      </c>
      <c r="K44" s="423" t="s">
        <v>997</v>
      </c>
      <c r="L44" s="423" t="s">
        <v>919</v>
      </c>
    </row>
    <row r="45" spans="2:12" ht="25.9" customHeight="1" x14ac:dyDescent="0.2">
      <c r="B45" s="80"/>
      <c r="D45" s="424" t="s">
        <v>905</v>
      </c>
      <c r="E45" s="584" t="s">
        <v>905</v>
      </c>
      <c r="F45" s="584"/>
      <c r="G45" s="584" t="s">
        <v>920</v>
      </c>
      <c r="H45" s="584"/>
      <c r="I45" s="81"/>
      <c r="J45" s="424" t="s">
        <v>905</v>
      </c>
      <c r="K45" s="424" t="s">
        <v>905</v>
      </c>
      <c r="L45" s="424" t="s">
        <v>920</v>
      </c>
    </row>
    <row r="46" spans="2:12" ht="25.9" customHeight="1" x14ac:dyDescent="0.2">
      <c r="B46" s="80"/>
      <c r="D46" s="428">
        <f>'Auto-Calibration record'!B17</f>
        <v>0</v>
      </c>
      <c r="E46" s="596">
        <f>F34-D46</f>
        <v>78</v>
      </c>
      <c r="F46" s="596"/>
      <c r="G46" s="610" t="e">
        <f>F34/D46</f>
        <v>#DIV/0!</v>
      </c>
      <c r="H46" s="610"/>
      <c r="I46" s="81"/>
      <c r="J46" s="428">
        <f>'Auto-Calibration record'!B11</f>
        <v>32</v>
      </c>
      <c r="K46" s="425">
        <f>F35-J46</f>
        <v>156</v>
      </c>
      <c r="L46" s="429">
        <f>F35/J46</f>
        <v>5.875</v>
      </c>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x14ac:dyDescent="0.2">
      <c r="B69" s="80"/>
    </row>
    <row r="70" spans="2:16" x14ac:dyDescent="0.2">
      <c r="B70" s="80"/>
    </row>
    <row r="71" spans="2:16" x14ac:dyDescent="0.2">
      <c r="B71" s="80"/>
    </row>
    <row r="72" spans="2:16" x14ac:dyDescent="0.2">
      <c r="B72" s="80"/>
    </row>
    <row r="73" spans="2:16" x14ac:dyDescent="0.2">
      <c r="B73" s="80"/>
    </row>
    <row r="74" spans="2:16" x14ac:dyDescent="0.2">
      <c r="B74" s="80"/>
    </row>
    <row r="75" spans="2:16" ht="13.5" thickBot="1" x14ac:dyDescent="0.25">
      <c r="B75" s="82"/>
      <c r="C75" s="83"/>
      <c r="D75" s="83"/>
      <c r="E75" s="83"/>
      <c r="F75" s="83"/>
      <c r="G75" s="83"/>
      <c r="H75" s="83"/>
      <c r="I75" s="83"/>
      <c r="J75" s="83"/>
      <c r="K75" s="83"/>
      <c r="L75" s="83"/>
      <c r="M75" s="83"/>
      <c r="N75" s="83"/>
      <c r="O75" s="83"/>
      <c r="P75" s="83"/>
    </row>
    <row r="76" spans="2:16" ht="13.5" thickTop="1" x14ac:dyDescent="0.2">
      <c r="B76" s="80"/>
    </row>
    <row r="77" spans="2:16" ht="25.9" customHeight="1" x14ac:dyDescent="0.2"/>
    <row r="78" spans="2:16" s="64" customFormat="1" ht="25.9" customHeight="1" x14ac:dyDescent="0.2">
      <c r="B78" s="430" t="s">
        <v>921</v>
      </c>
      <c r="C78" s="431"/>
      <c r="D78" s="432" t="s">
        <v>922</v>
      </c>
      <c r="H78" s="1"/>
      <c r="I78" s="1"/>
      <c r="K78" s="586" t="s">
        <v>923</v>
      </c>
      <c r="L78" s="587"/>
      <c r="M78" s="587"/>
      <c r="N78" s="587"/>
      <c r="O78" s="588"/>
    </row>
    <row r="79" spans="2:16" s="64" customFormat="1" ht="25.9" customHeight="1" x14ac:dyDescent="0.2">
      <c r="H79" s="1"/>
      <c r="I79" s="1"/>
      <c r="K79" s="589"/>
      <c r="L79" s="590"/>
      <c r="M79" s="590"/>
      <c r="N79" s="590"/>
      <c r="O79" s="591"/>
    </row>
    <row r="80" spans="2:16" s="64" customFormat="1" ht="25.9" customHeight="1" x14ac:dyDescent="0.2">
      <c r="B80" s="430" t="s">
        <v>924</v>
      </c>
      <c r="C80" s="431"/>
      <c r="D80" s="627" t="s">
        <v>925</v>
      </c>
      <c r="E80" s="628"/>
      <c r="F80" s="628"/>
      <c r="G80" s="629"/>
      <c r="H80" s="1"/>
      <c r="I80" s="1"/>
      <c r="K80" s="589"/>
      <c r="L80" s="590"/>
      <c r="M80" s="590"/>
      <c r="N80" s="590"/>
      <c r="O80" s="591"/>
    </row>
    <row r="81" spans="2:16" s="64" customFormat="1" ht="25.9" customHeight="1" x14ac:dyDescent="0.2">
      <c r="K81" s="592"/>
      <c r="L81" s="593"/>
      <c r="M81" s="593"/>
      <c r="N81" s="593"/>
      <c r="O81" s="594"/>
    </row>
    <row r="82" spans="2:16" s="64" customFormat="1" ht="25.9" customHeight="1" x14ac:dyDescent="0.2">
      <c r="B82" s="430" t="s">
        <v>926</v>
      </c>
      <c r="C82" s="431"/>
      <c r="D82" s="602"/>
      <c r="E82" s="603"/>
      <c r="F82" s="604"/>
      <c r="K82" s="433" t="s">
        <v>927</v>
      </c>
      <c r="L82" s="597" t="s">
        <v>928</v>
      </c>
      <c r="M82" s="598"/>
      <c r="N82" s="598"/>
      <c r="O82" s="599"/>
      <c r="P82" s="84"/>
    </row>
    <row r="83" spans="2:16" ht="25.9" customHeight="1" x14ac:dyDescent="0.2">
      <c r="H83" s="64"/>
      <c r="I83" s="64"/>
      <c r="J83" s="64"/>
      <c r="K83" s="64"/>
    </row>
    <row r="84" spans="2:16" ht="15" x14ac:dyDescent="0.2">
      <c r="B84" s="80" t="s">
        <v>929</v>
      </c>
      <c r="H84" s="64"/>
      <c r="I84" s="64"/>
      <c r="J84" s="64"/>
      <c r="K84" s="64"/>
    </row>
    <row r="85" spans="2:16" ht="15" x14ac:dyDescent="0.2">
      <c r="B85" s="80" t="s">
        <v>930</v>
      </c>
      <c r="H85" s="64"/>
      <c r="I85" s="64"/>
      <c r="J85" s="64"/>
      <c r="K85" s="64"/>
    </row>
    <row r="86" spans="2:16" x14ac:dyDescent="0.2">
      <c r="B86" s="80" t="s">
        <v>931</v>
      </c>
    </row>
    <row r="89" spans="2:16" x14ac:dyDescent="0.2">
      <c r="O89" s="85" t="s">
        <v>932</v>
      </c>
    </row>
    <row r="90" spans="2:16" x14ac:dyDescent="0.2">
      <c r="O90" s="85" t="s">
        <v>841</v>
      </c>
    </row>
    <row r="91" spans="2:16" x14ac:dyDescent="0.2">
      <c r="O91" s="85" t="s">
        <v>19</v>
      </c>
    </row>
    <row r="92" spans="2:16" x14ac:dyDescent="0.2">
      <c r="B92" s="86" t="s">
        <v>998</v>
      </c>
      <c r="C92" s="86"/>
      <c r="L92" s="86"/>
      <c r="N92" s="86"/>
      <c r="O92" s="85" t="s">
        <v>20</v>
      </c>
    </row>
    <row r="94" spans="2:16" x14ac:dyDescent="0.2">
      <c r="D94" s="86"/>
      <c r="E94" s="86"/>
      <c r="F94" s="86"/>
      <c r="G94" s="86"/>
      <c r="H94" s="86"/>
      <c r="I94" s="86"/>
      <c r="J94" s="86"/>
      <c r="K94" s="86"/>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 ref="F36:G36"/>
    <mergeCell ref="D40:E40"/>
    <mergeCell ref="F40:G40"/>
    <mergeCell ref="H40:I40"/>
    <mergeCell ref="D82:F82"/>
    <mergeCell ref="H36:I36"/>
    <mergeCell ref="L82:O82"/>
    <mergeCell ref="D41:E41"/>
    <mergeCell ref="F41:G41"/>
    <mergeCell ref="H41:I41"/>
    <mergeCell ref="E44:F44"/>
    <mergeCell ref="G44:H44"/>
    <mergeCell ref="E45:F45"/>
    <mergeCell ref="G45:H45"/>
    <mergeCell ref="E46:F46"/>
    <mergeCell ref="G46:H46"/>
    <mergeCell ref="K78:O81"/>
    <mergeCell ref="D80:G80"/>
    <mergeCell ref="D33:E33"/>
    <mergeCell ref="F33:G33"/>
    <mergeCell ref="H33:I33"/>
    <mergeCell ref="D34:E34"/>
    <mergeCell ref="F34:G34"/>
    <mergeCell ref="H34:I34"/>
    <mergeCell ref="B10:P10"/>
    <mergeCell ref="B13:O13"/>
    <mergeCell ref="B14:O14"/>
    <mergeCell ref="D17:F17"/>
    <mergeCell ref="D18:F18"/>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999</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46191.5</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78</v>
      </c>
      <c r="G28" s="600"/>
      <c r="H28" s="596">
        <f>'Auto-Calibration record'!B68</f>
        <v>1056340</v>
      </c>
      <c r="I28" s="626"/>
      <c r="J28" s="442">
        <f>'Auto-Calibration record'!I68</f>
        <v>1066968</v>
      </c>
      <c r="K28" s="425">
        <f t="shared" ref="K28:K33" si="0">J28-H28</f>
        <v>10628</v>
      </c>
      <c r="L28" s="443">
        <f t="shared" ref="L28:L33" si="1">K28/H28</f>
        <v>1.0061154552511503E-2</v>
      </c>
    </row>
    <row r="29" spans="2:15" s="77" customFormat="1" ht="25.9" customHeight="1" x14ac:dyDescent="0.2">
      <c r="D29" s="585" t="s">
        <v>909</v>
      </c>
      <c r="E29" s="585"/>
      <c r="F29" s="600">
        <f>'Auto-Calibration record'!C65</f>
        <v>188</v>
      </c>
      <c r="G29" s="600"/>
      <c r="H29" s="596">
        <f>'Auto-Calibration record'!B69</f>
        <v>459350</v>
      </c>
      <c r="I29" s="626"/>
      <c r="J29" s="442">
        <f>'Auto-Calibration record'!I69</f>
        <v>465752</v>
      </c>
      <c r="K29" s="425">
        <f t="shared" si="0"/>
        <v>6402</v>
      </c>
      <c r="L29" s="443">
        <f t="shared" si="1"/>
        <v>1.3937085011429193E-2</v>
      </c>
    </row>
    <row r="30" spans="2:15" s="77" customFormat="1" ht="25.9" customHeight="1" x14ac:dyDescent="0.2">
      <c r="D30" s="585" t="s">
        <v>910</v>
      </c>
      <c r="E30" s="585"/>
      <c r="F30" s="600">
        <f>'Auto-Calibration record'!D65</f>
        <v>1018</v>
      </c>
      <c r="G30" s="600"/>
      <c r="H30" s="596">
        <f>'Auto-Calibration record'!B71</f>
        <v>36410</v>
      </c>
      <c r="I30" s="626"/>
      <c r="J30" s="442">
        <f>'Auto-Calibration record'!I71</f>
        <v>37095</v>
      </c>
      <c r="K30" s="425">
        <f t="shared" si="0"/>
        <v>685</v>
      </c>
      <c r="L30" s="443">
        <f t="shared" si="1"/>
        <v>1.8813512771216699E-2</v>
      </c>
    </row>
    <row r="31" spans="2:15" s="77" customFormat="1" ht="25.9" customHeight="1" x14ac:dyDescent="0.2">
      <c r="D31" s="585" t="s">
        <v>911</v>
      </c>
      <c r="E31" s="585"/>
      <c r="F31" s="600">
        <f>'Auto-Calibration record'!E65</f>
        <v>2074</v>
      </c>
      <c r="G31" s="600"/>
      <c r="H31" s="596">
        <f>'Auto-Calibration record'!B72</f>
        <v>10940</v>
      </c>
      <c r="I31" s="626"/>
      <c r="J31" s="442">
        <f>'Auto-Calibration record'!I72</f>
        <v>11283</v>
      </c>
      <c r="K31" s="425">
        <f t="shared" si="0"/>
        <v>343</v>
      </c>
      <c r="L31" s="443">
        <f t="shared" si="1"/>
        <v>3.1352833638025594E-2</v>
      </c>
    </row>
    <row r="32" spans="2:15" s="77" customFormat="1" ht="25.9" customHeight="1" x14ac:dyDescent="0.2">
      <c r="D32" s="585" t="s">
        <v>912</v>
      </c>
      <c r="E32" s="585"/>
      <c r="F32" s="600">
        <f>'Auto-Calibration record'!F65</f>
        <v>2990</v>
      </c>
      <c r="G32" s="600"/>
      <c r="H32" s="596">
        <f>'Auto-Calibration record'!B73</f>
        <v>5210</v>
      </c>
      <c r="I32" s="626"/>
      <c r="J32" s="442">
        <f>'Auto-Calibration record'!I73</f>
        <v>5545</v>
      </c>
      <c r="K32" s="425">
        <f t="shared" si="0"/>
        <v>335</v>
      </c>
      <c r="L32" s="443">
        <f t="shared" si="1"/>
        <v>6.4299424184261031E-2</v>
      </c>
    </row>
    <row r="33" spans="2:14" s="77" customFormat="1" ht="25.9" customHeight="1" x14ac:dyDescent="0.2">
      <c r="D33" s="585" t="s">
        <v>913</v>
      </c>
      <c r="E33" s="585"/>
      <c r="F33" s="600">
        <f>'Auto-Calibration record'!G65</f>
        <v>10008</v>
      </c>
      <c r="G33" s="600"/>
      <c r="H33" s="596">
        <f>'Auto-Calibration record'!B74</f>
        <v>611.721</v>
      </c>
      <c r="I33" s="626"/>
      <c r="J33" s="442">
        <f>'Auto-Calibration record'!I74</f>
        <v>731</v>
      </c>
      <c r="K33" s="425">
        <f t="shared" si="0"/>
        <v>119.279</v>
      </c>
      <c r="L33" s="443">
        <f t="shared" si="1"/>
        <v>0.19498921894131474</v>
      </c>
    </row>
    <row r="34" spans="2:14" s="77" customFormat="1" ht="25.9" customHeight="1" x14ac:dyDescent="0.2">
      <c r="D34" s="585" t="s">
        <v>914</v>
      </c>
      <c r="E34" s="585"/>
      <c r="F34" s="600">
        <f>'Auto-Calibration record'!H65</f>
        <v>16418</v>
      </c>
      <c r="G34" s="600"/>
      <c r="H34" s="596">
        <f>'Auto-Calibration record'!B75</f>
        <v>145.303</v>
      </c>
      <c r="I34" s="626"/>
      <c r="J34" s="442">
        <f>'Auto-Calibration record'!I75</f>
        <v>150</v>
      </c>
      <c r="K34" s="425" t="s">
        <v>321</v>
      </c>
      <c r="L34" s="426" t="s">
        <v>321</v>
      </c>
    </row>
    <row r="35" spans="2:14" s="72" customFormat="1" ht="25.9" customHeight="1" x14ac:dyDescent="0.25">
      <c r="D35" s="585" t="s">
        <v>915</v>
      </c>
      <c r="E35" s="585"/>
      <c r="F35" s="601">
        <f>'Auto-Calibration record'!I65</f>
        <v>24602</v>
      </c>
      <c r="G35" s="601"/>
      <c r="H35" s="596">
        <f>'Auto-Calibration record'!B76</f>
        <v>24.939</v>
      </c>
      <c r="I35" s="626"/>
      <c r="J35" s="442">
        <f>'Auto-Calibration record'!I76</f>
        <v>14</v>
      </c>
      <c r="K35" s="425" t="s">
        <v>321</v>
      </c>
      <c r="L35" s="426" t="s">
        <v>321</v>
      </c>
    </row>
    <row r="36" spans="2:14" ht="20.25" x14ac:dyDescent="0.3">
      <c r="D36" s="78" t="s">
        <v>916</v>
      </c>
      <c r="E36" s="79"/>
      <c r="F36" s="79"/>
      <c r="G36" s="79"/>
      <c r="H36" s="79"/>
      <c r="I36" s="79"/>
      <c r="J36" s="79"/>
      <c r="K36" s="79"/>
    </row>
    <row r="37" spans="2:14" ht="20.25" x14ac:dyDescent="0.3">
      <c r="B37" s="80"/>
      <c r="D37" s="79"/>
      <c r="E37" s="79"/>
      <c r="F37" s="79"/>
      <c r="G37" s="79"/>
      <c r="H37" s="79"/>
      <c r="I37" s="79"/>
      <c r="J37" s="79"/>
      <c r="K37" s="79"/>
    </row>
    <row r="38" spans="2:14" ht="81" customHeight="1" x14ac:dyDescent="0.2">
      <c r="B38" s="80"/>
      <c r="D38" s="423" t="s">
        <v>917</v>
      </c>
      <c r="E38" s="583" t="s">
        <v>918</v>
      </c>
      <c r="F38" s="583"/>
      <c r="G38" s="583" t="s">
        <v>919</v>
      </c>
      <c r="H38" s="583"/>
      <c r="I38" s="77"/>
      <c r="J38" s="423" t="s">
        <v>996</v>
      </c>
      <c r="K38" s="423" t="s">
        <v>997</v>
      </c>
      <c r="L38" s="423" t="s">
        <v>919</v>
      </c>
      <c r="N38" s="97"/>
    </row>
    <row r="39" spans="2:14" ht="25.9" customHeight="1" x14ac:dyDescent="0.2">
      <c r="B39" s="80"/>
      <c r="D39" s="424" t="s">
        <v>905</v>
      </c>
      <c r="E39" s="584" t="s">
        <v>905</v>
      </c>
      <c r="F39" s="584"/>
      <c r="G39" s="584" t="s">
        <v>920</v>
      </c>
      <c r="H39" s="584"/>
      <c r="I39" s="81"/>
      <c r="J39" s="424" t="s">
        <v>905</v>
      </c>
      <c r="K39" s="424" t="s">
        <v>905</v>
      </c>
      <c r="L39" s="424" t="s">
        <v>920</v>
      </c>
    </row>
    <row r="40" spans="2:14" ht="25.9" customHeight="1" x14ac:dyDescent="0.2">
      <c r="B40" s="80"/>
      <c r="D40" s="428">
        <f>'Auto-Calibration record'!B17</f>
        <v>0</v>
      </c>
      <c r="E40" s="596">
        <f>F28-D40</f>
        <v>78</v>
      </c>
      <c r="F40" s="596"/>
      <c r="G40" s="610" t="e">
        <f>F28/D40</f>
        <v>#DIV/0!</v>
      </c>
      <c r="H40" s="610"/>
      <c r="I40" s="81"/>
      <c r="J40" s="428">
        <f>'Auto-Calibration record'!B11</f>
        <v>32</v>
      </c>
      <c r="K40" s="425">
        <f>F29-J40</f>
        <v>156</v>
      </c>
      <c r="L40" s="429">
        <f>F29/J40</f>
        <v>5.875</v>
      </c>
    </row>
    <row r="41" spans="2:14" x14ac:dyDescent="0.2">
      <c r="B41" s="80"/>
    </row>
    <row r="42" spans="2:14" x14ac:dyDescent="0.2">
      <c r="B42" s="80"/>
    </row>
    <row r="43" spans="2:14" x14ac:dyDescent="0.2">
      <c r="B43" s="80"/>
    </row>
    <row r="44" spans="2:14" x14ac:dyDescent="0.2">
      <c r="B44" s="80"/>
    </row>
    <row r="45" spans="2:14" x14ac:dyDescent="0.2">
      <c r="B45" s="80"/>
    </row>
    <row r="46" spans="2:14" x14ac:dyDescent="0.2">
      <c r="B46" s="80"/>
    </row>
    <row r="47" spans="2:14" x14ac:dyDescent="0.2">
      <c r="B47" s="80"/>
    </row>
    <row r="48" spans="2:14"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c r="C2" s="60"/>
    </row>
    <row r="3" spans="1:16" ht="14.25" x14ac:dyDescent="0.2">
      <c r="B3" s="63"/>
      <c r="C3" s="60"/>
    </row>
    <row r="4" spans="1:16" ht="14.25" x14ac:dyDescent="0.2">
      <c r="B4" s="63"/>
      <c r="C4" s="60"/>
    </row>
    <row r="5" spans="1:16" ht="14.25" x14ac:dyDescent="0.2">
      <c r="B5" s="63"/>
      <c r="C5" s="60"/>
    </row>
    <row r="6" spans="1:16" ht="14.25" x14ac:dyDescent="0.2">
      <c r="B6" s="63"/>
      <c r="C6" s="60"/>
    </row>
    <row r="7" spans="1:16" ht="15" x14ac:dyDescent="0.2">
      <c r="B7" s="63"/>
      <c r="C7" s="60"/>
      <c r="D7" s="64"/>
    </row>
    <row r="8" spans="1:16" ht="14.25" x14ac:dyDescent="0.2">
      <c r="B8" s="34"/>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999</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46191.5</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78</v>
      </c>
      <c r="G28" s="600"/>
      <c r="H28" s="596">
        <f>'Auto-Calibration record'!B68</f>
        <v>1056340</v>
      </c>
      <c r="I28" s="626"/>
      <c r="J28" s="442">
        <f>'Auto-Calibration record'!I68</f>
        <v>1066968</v>
      </c>
      <c r="K28" s="425">
        <f t="shared" ref="K28:K33" si="0">J28-H28</f>
        <v>10628</v>
      </c>
      <c r="L28" s="443">
        <f t="shared" ref="L28:L33" si="1">K28/H28</f>
        <v>1.0061154552511503E-2</v>
      </c>
    </row>
    <row r="29" spans="2:15" s="77" customFormat="1" ht="25.9" customHeight="1" x14ac:dyDescent="0.2">
      <c r="D29" s="585" t="s">
        <v>909</v>
      </c>
      <c r="E29" s="585"/>
      <c r="F29" s="600">
        <f>'Auto-Calibration record'!C65</f>
        <v>188</v>
      </c>
      <c r="G29" s="600"/>
      <c r="H29" s="596">
        <f>'Auto-Calibration record'!B69</f>
        <v>459350</v>
      </c>
      <c r="I29" s="626"/>
      <c r="J29" s="442">
        <f>'Auto-Calibration record'!I69</f>
        <v>465752</v>
      </c>
      <c r="K29" s="425">
        <f t="shared" si="0"/>
        <v>6402</v>
      </c>
      <c r="L29" s="443">
        <f t="shared" si="1"/>
        <v>1.3937085011429193E-2</v>
      </c>
    </row>
    <row r="30" spans="2:15" s="77" customFormat="1" ht="25.9" customHeight="1" x14ac:dyDescent="0.2">
      <c r="D30" s="585" t="s">
        <v>910</v>
      </c>
      <c r="E30" s="585"/>
      <c r="F30" s="600">
        <f>'Auto-Calibration record'!D65</f>
        <v>1018</v>
      </c>
      <c r="G30" s="600"/>
      <c r="H30" s="596">
        <f>'Auto-Calibration record'!B71</f>
        <v>36410</v>
      </c>
      <c r="I30" s="626"/>
      <c r="J30" s="442">
        <f>'Auto-Calibration record'!I71</f>
        <v>37095</v>
      </c>
      <c r="K30" s="425">
        <f t="shared" si="0"/>
        <v>685</v>
      </c>
      <c r="L30" s="443">
        <f t="shared" si="1"/>
        <v>1.8813512771216699E-2</v>
      </c>
    </row>
    <row r="31" spans="2:15" s="77" customFormat="1" ht="25.9" customHeight="1" x14ac:dyDescent="0.2">
      <c r="D31" s="585" t="s">
        <v>911</v>
      </c>
      <c r="E31" s="585"/>
      <c r="F31" s="600">
        <f>'Auto-Calibration record'!E65</f>
        <v>2074</v>
      </c>
      <c r="G31" s="600"/>
      <c r="H31" s="596">
        <f>'Auto-Calibration record'!B72</f>
        <v>10940</v>
      </c>
      <c r="I31" s="626"/>
      <c r="J31" s="442">
        <f>'Auto-Calibration record'!I72</f>
        <v>11283</v>
      </c>
      <c r="K31" s="425">
        <f t="shared" si="0"/>
        <v>343</v>
      </c>
      <c r="L31" s="443">
        <f t="shared" si="1"/>
        <v>3.1352833638025594E-2</v>
      </c>
    </row>
    <row r="32" spans="2:15" s="77" customFormat="1" ht="25.9" customHeight="1" x14ac:dyDescent="0.2">
      <c r="D32" s="585" t="s">
        <v>912</v>
      </c>
      <c r="E32" s="585"/>
      <c r="F32" s="600">
        <f>'Auto-Calibration record'!F65</f>
        <v>2990</v>
      </c>
      <c r="G32" s="600"/>
      <c r="H32" s="596">
        <f>'Auto-Calibration record'!B73</f>
        <v>5210</v>
      </c>
      <c r="I32" s="626"/>
      <c r="J32" s="442">
        <f>'Auto-Calibration record'!I73</f>
        <v>5545</v>
      </c>
      <c r="K32" s="425">
        <f t="shared" si="0"/>
        <v>335</v>
      </c>
      <c r="L32" s="443">
        <f t="shared" si="1"/>
        <v>6.4299424184261031E-2</v>
      </c>
    </row>
    <row r="33" spans="2:12" s="77" customFormat="1" ht="25.9" customHeight="1" x14ac:dyDescent="0.2">
      <c r="D33" s="585" t="s">
        <v>913</v>
      </c>
      <c r="E33" s="585"/>
      <c r="F33" s="600">
        <f>'Auto-Calibration record'!G65</f>
        <v>10008</v>
      </c>
      <c r="G33" s="600"/>
      <c r="H33" s="596">
        <f>'Auto-Calibration record'!B74</f>
        <v>611.721</v>
      </c>
      <c r="I33" s="626"/>
      <c r="J33" s="442">
        <f>'Auto-Calibration record'!I74</f>
        <v>731</v>
      </c>
      <c r="K33" s="425">
        <f t="shared" si="0"/>
        <v>119.279</v>
      </c>
      <c r="L33" s="443">
        <f t="shared" si="1"/>
        <v>0.19498921894131474</v>
      </c>
    </row>
    <row r="34" spans="2:12" s="77" customFormat="1" ht="25.9" customHeight="1" x14ac:dyDescent="0.2">
      <c r="D34" s="585" t="s">
        <v>914</v>
      </c>
      <c r="E34" s="585"/>
      <c r="F34" s="600">
        <f>'Auto-Calibration record'!H65</f>
        <v>16418</v>
      </c>
      <c r="G34" s="600"/>
      <c r="H34" s="596">
        <f>'Auto-Calibration record'!B75</f>
        <v>145.303</v>
      </c>
      <c r="I34" s="626"/>
      <c r="J34" s="442">
        <f>'Auto-Calibration record'!I75</f>
        <v>150</v>
      </c>
      <c r="K34" s="425" t="s">
        <v>321</v>
      </c>
      <c r="L34" s="426" t="s">
        <v>321</v>
      </c>
    </row>
    <row r="35" spans="2:12" s="72" customFormat="1" ht="25.9" customHeight="1" x14ac:dyDescent="0.25">
      <c r="D35" s="585" t="s">
        <v>915</v>
      </c>
      <c r="E35" s="585"/>
      <c r="F35" s="601">
        <f>'Auto-Calibration record'!I65</f>
        <v>24602</v>
      </c>
      <c r="G35" s="601"/>
      <c r="H35" s="596">
        <f>'Auto-Calibration record'!B76</f>
        <v>24.939</v>
      </c>
      <c r="I35" s="626"/>
      <c r="J35" s="442">
        <f>'Auto-Calibration record'!I76</f>
        <v>14</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78</v>
      </c>
      <c r="F40" s="596"/>
      <c r="G40" s="610" t="e">
        <f>F28/D40</f>
        <v>#DIV/0!</v>
      </c>
      <c r="H40" s="610"/>
      <c r="I40" s="81"/>
      <c r="J40" s="428">
        <f>'Auto-Calibration record'!B11</f>
        <v>32</v>
      </c>
      <c r="K40" s="425">
        <f>F29-J40</f>
        <v>156</v>
      </c>
      <c r="L40" s="429">
        <f>F29/J40</f>
        <v>5.875</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46191.5</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78</v>
      </c>
      <c r="G28" s="600"/>
      <c r="H28" s="596">
        <f>'Auto-Calibration record'!B68</f>
        <v>1056340</v>
      </c>
      <c r="I28" s="626"/>
      <c r="J28" s="442">
        <f>'Auto-Calibration record'!I68</f>
        <v>1066968</v>
      </c>
      <c r="K28" s="425">
        <f t="shared" ref="K28:K33" si="0">J28-H28</f>
        <v>10628</v>
      </c>
      <c r="L28" s="443">
        <f t="shared" ref="L28:L33" si="1">K28/H28</f>
        <v>1.0061154552511503E-2</v>
      </c>
    </row>
    <row r="29" spans="2:15" s="77" customFormat="1" ht="25.9" customHeight="1" x14ac:dyDescent="0.2">
      <c r="D29" s="585" t="s">
        <v>909</v>
      </c>
      <c r="E29" s="585"/>
      <c r="F29" s="600">
        <f>'Auto-Calibration record'!C65</f>
        <v>188</v>
      </c>
      <c r="G29" s="600"/>
      <c r="H29" s="596">
        <f>'Auto-Calibration record'!B69</f>
        <v>459350</v>
      </c>
      <c r="I29" s="626"/>
      <c r="J29" s="442">
        <f>'Auto-Calibration record'!I69</f>
        <v>465752</v>
      </c>
      <c r="K29" s="425">
        <f t="shared" si="0"/>
        <v>6402</v>
      </c>
      <c r="L29" s="443">
        <f t="shared" si="1"/>
        <v>1.3937085011429193E-2</v>
      </c>
    </row>
    <row r="30" spans="2:15" s="77" customFormat="1" ht="25.9" customHeight="1" x14ac:dyDescent="0.2">
      <c r="D30" s="585" t="s">
        <v>910</v>
      </c>
      <c r="E30" s="585"/>
      <c r="F30" s="600">
        <f>'Auto-Calibration record'!D65</f>
        <v>1018</v>
      </c>
      <c r="G30" s="600"/>
      <c r="H30" s="596">
        <f>'Auto-Calibration record'!B71</f>
        <v>36410</v>
      </c>
      <c r="I30" s="626"/>
      <c r="J30" s="442">
        <f>'Auto-Calibration record'!I71</f>
        <v>37095</v>
      </c>
      <c r="K30" s="425">
        <f t="shared" si="0"/>
        <v>685</v>
      </c>
      <c r="L30" s="443">
        <f t="shared" si="1"/>
        <v>1.8813512771216699E-2</v>
      </c>
    </row>
    <row r="31" spans="2:15" s="77" customFormat="1" ht="25.9" customHeight="1" x14ac:dyDescent="0.2">
      <c r="D31" s="585" t="s">
        <v>911</v>
      </c>
      <c r="E31" s="585"/>
      <c r="F31" s="600">
        <f>'Auto-Calibration record'!E65</f>
        <v>2074</v>
      </c>
      <c r="G31" s="600"/>
      <c r="H31" s="596">
        <f>'Auto-Calibration record'!B72</f>
        <v>10940</v>
      </c>
      <c r="I31" s="626"/>
      <c r="J31" s="442">
        <f>'Auto-Calibration record'!I72</f>
        <v>11283</v>
      </c>
      <c r="K31" s="425">
        <f t="shared" si="0"/>
        <v>343</v>
      </c>
      <c r="L31" s="443">
        <f t="shared" si="1"/>
        <v>3.1352833638025594E-2</v>
      </c>
    </row>
    <row r="32" spans="2:15" s="77" customFormat="1" ht="25.9" customHeight="1" x14ac:dyDescent="0.2">
      <c r="D32" s="585" t="s">
        <v>912</v>
      </c>
      <c r="E32" s="585"/>
      <c r="F32" s="600">
        <f>'Auto-Calibration record'!F65</f>
        <v>2990</v>
      </c>
      <c r="G32" s="600"/>
      <c r="H32" s="596">
        <f>'Auto-Calibration record'!B73</f>
        <v>5210</v>
      </c>
      <c r="I32" s="626"/>
      <c r="J32" s="442">
        <f>'Auto-Calibration record'!I73</f>
        <v>5545</v>
      </c>
      <c r="K32" s="425">
        <f t="shared" si="0"/>
        <v>335</v>
      </c>
      <c r="L32" s="443">
        <f t="shared" si="1"/>
        <v>6.4299424184261031E-2</v>
      </c>
    </row>
    <row r="33" spans="2:12" s="77" customFormat="1" ht="25.9" customHeight="1" x14ac:dyDescent="0.2">
      <c r="D33" s="585" t="s">
        <v>913</v>
      </c>
      <c r="E33" s="585"/>
      <c r="F33" s="600">
        <f>'Auto-Calibration record'!G65</f>
        <v>10008</v>
      </c>
      <c r="G33" s="600"/>
      <c r="H33" s="596">
        <f>'Auto-Calibration record'!B74</f>
        <v>611.721</v>
      </c>
      <c r="I33" s="626"/>
      <c r="J33" s="442">
        <f>'Auto-Calibration record'!I74</f>
        <v>731</v>
      </c>
      <c r="K33" s="425">
        <f t="shared" si="0"/>
        <v>119.279</v>
      </c>
      <c r="L33" s="443">
        <f t="shared" si="1"/>
        <v>0.19498921894131474</v>
      </c>
    </row>
    <row r="34" spans="2:12" s="77" customFormat="1" ht="25.9" customHeight="1" x14ac:dyDescent="0.2">
      <c r="D34" s="585" t="s">
        <v>914</v>
      </c>
      <c r="E34" s="585"/>
      <c r="F34" s="600">
        <f>'Auto-Calibration record'!H65</f>
        <v>16418</v>
      </c>
      <c r="G34" s="600"/>
      <c r="H34" s="596">
        <f>'Auto-Calibration record'!B75</f>
        <v>145.303</v>
      </c>
      <c r="I34" s="626"/>
      <c r="J34" s="442">
        <f>'Auto-Calibration record'!I75</f>
        <v>150</v>
      </c>
      <c r="K34" s="425" t="s">
        <v>321</v>
      </c>
      <c r="L34" s="426" t="s">
        <v>321</v>
      </c>
    </row>
    <row r="35" spans="2:12" s="72" customFormat="1" ht="25.9" customHeight="1" x14ac:dyDescent="0.25">
      <c r="D35" s="585" t="s">
        <v>915</v>
      </c>
      <c r="E35" s="585"/>
      <c r="F35" s="601">
        <f>'Auto-Calibration record'!I65</f>
        <v>24602</v>
      </c>
      <c r="G35" s="601"/>
      <c r="H35" s="596">
        <f>'Auto-Calibration record'!B76</f>
        <v>24.939</v>
      </c>
      <c r="I35" s="626"/>
      <c r="J35" s="442">
        <f>'Auto-Calibration record'!I76</f>
        <v>14</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78</v>
      </c>
      <c r="F40" s="596"/>
      <c r="G40" s="610" t="e">
        <f>F28/D40</f>
        <v>#DIV/0!</v>
      </c>
      <c r="H40" s="610"/>
      <c r="I40" s="81"/>
      <c r="J40" s="428">
        <f>'Auto-Calibration record'!B11</f>
        <v>32</v>
      </c>
      <c r="K40" s="425">
        <f>F29-J40</f>
        <v>156</v>
      </c>
      <c r="L40" s="429">
        <f>F29/J40</f>
        <v>5.875</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8.75" x14ac:dyDescent="0.2">
      <c r="B78" s="80" t="s">
        <v>929</v>
      </c>
      <c r="H78" s="64"/>
      <c r="I78" s="64"/>
      <c r="J78" s="91" t="s">
        <v>1000</v>
      </c>
      <c r="M78" s="630" t="s">
        <v>1001</v>
      </c>
      <c r="N78" s="631"/>
      <c r="O78" s="632"/>
    </row>
    <row r="79" spans="2:16" ht="15" x14ac:dyDescent="0.2">
      <c r="B79" s="80" t="s">
        <v>930</v>
      </c>
      <c r="H79" s="64"/>
      <c r="I79" s="64"/>
      <c r="M79" s="633" t="s">
        <v>1002</v>
      </c>
      <c r="N79" s="634"/>
      <c r="O79" s="635"/>
    </row>
    <row r="80" spans="2:16" x14ac:dyDescent="0.2">
      <c r="B80" s="80" t="s">
        <v>931</v>
      </c>
      <c r="M80" s="633" t="s">
        <v>1003</v>
      </c>
      <c r="N80" s="634"/>
      <c r="O80" s="635"/>
    </row>
    <row r="81" spans="2:15" x14ac:dyDescent="0.2">
      <c r="M81" s="636" t="s">
        <v>1004</v>
      </c>
      <c r="N81" s="637"/>
      <c r="O81" s="638"/>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heet="1" objects="1" scenarios="1" selectLockedCells="1"/>
  <mergeCells count="50">
    <mergeCell ref="M78:O78"/>
    <mergeCell ref="M79:O79"/>
    <mergeCell ref="M80:O80"/>
    <mergeCell ref="M81:O81"/>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c r="C2" s="60"/>
    </row>
    <row r="3" spans="1:16" ht="14.25" x14ac:dyDescent="0.2">
      <c r="B3" s="63"/>
      <c r="C3" s="60"/>
    </row>
    <row r="4" spans="1:16" ht="14.25" x14ac:dyDescent="0.2">
      <c r="B4" s="63"/>
      <c r="C4" s="60"/>
    </row>
    <row r="5" spans="1:16" ht="14.25" x14ac:dyDescent="0.2">
      <c r="B5" s="63"/>
      <c r="C5" s="60"/>
    </row>
    <row r="6" spans="1:16" ht="14.25" x14ac:dyDescent="0.2">
      <c r="B6" s="63"/>
      <c r="C6" s="60"/>
    </row>
    <row r="7" spans="1:16" ht="15" x14ac:dyDescent="0.2">
      <c r="B7" s="63"/>
      <c r="C7" s="60"/>
      <c r="D7" s="64"/>
    </row>
    <row r="8" spans="1:16" ht="14.25" x14ac:dyDescent="0.2">
      <c r="B8" s="34"/>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51" customHeight="1" x14ac:dyDescent="0.2">
      <c r="B13" s="595" t="s">
        <v>999</v>
      </c>
      <c r="C13" s="595"/>
      <c r="D13" s="595"/>
      <c r="E13" s="595"/>
      <c r="F13" s="595"/>
      <c r="G13" s="595"/>
      <c r="H13" s="595"/>
      <c r="I13" s="595"/>
      <c r="J13" s="595"/>
      <c r="K13" s="595"/>
      <c r="L13" s="595"/>
      <c r="M13" s="595"/>
      <c r="N13" s="595"/>
      <c r="O13" s="595"/>
      <c r="P13" s="67"/>
    </row>
    <row r="14" spans="1:16" ht="66"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46191.5</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78</v>
      </c>
      <c r="G28" s="600"/>
      <c r="H28" s="596">
        <f>'Auto-Calibration record'!B68</f>
        <v>1056340</v>
      </c>
      <c r="I28" s="626"/>
      <c r="J28" s="442">
        <f>'MP Calibration Certificate'!J28</f>
        <v>1066968</v>
      </c>
      <c r="K28" s="425">
        <f t="shared" ref="K28:K33" si="0">J28-H28</f>
        <v>10628</v>
      </c>
      <c r="L28" s="443">
        <f t="shared" ref="L28:L33" si="1">K28/H28</f>
        <v>1.0061154552511503E-2</v>
      </c>
    </row>
    <row r="29" spans="2:15" s="77" customFormat="1" ht="25.9" customHeight="1" x14ac:dyDescent="0.2">
      <c r="D29" s="585" t="s">
        <v>909</v>
      </c>
      <c r="E29" s="585"/>
      <c r="F29" s="600">
        <f>'Auto-Calibration record'!C65</f>
        <v>188</v>
      </c>
      <c r="G29" s="600"/>
      <c r="H29" s="596">
        <f>'Auto-Calibration record'!B69</f>
        <v>459350</v>
      </c>
      <c r="I29" s="626"/>
      <c r="J29" s="442">
        <f>'MP Calibration Certificate'!J29</f>
        <v>465752</v>
      </c>
      <c r="K29" s="425">
        <f t="shared" si="0"/>
        <v>6402</v>
      </c>
      <c r="L29" s="443">
        <f t="shared" si="1"/>
        <v>1.3937085011429193E-2</v>
      </c>
    </row>
    <row r="30" spans="2:15" s="77" customFormat="1" ht="25.9" customHeight="1" x14ac:dyDescent="0.2">
      <c r="D30" s="585" t="s">
        <v>910</v>
      </c>
      <c r="E30" s="585"/>
      <c r="F30" s="600">
        <f>'Auto-Calibration record'!D65</f>
        <v>1018</v>
      </c>
      <c r="G30" s="600"/>
      <c r="H30" s="596">
        <f>'Auto-Calibration record'!B71</f>
        <v>36410</v>
      </c>
      <c r="I30" s="626"/>
      <c r="J30" s="442">
        <f>'MP Calibration Certificate'!J30</f>
        <v>37095</v>
      </c>
      <c r="K30" s="425">
        <f t="shared" si="0"/>
        <v>685</v>
      </c>
      <c r="L30" s="443">
        <f t="shared" si="1"/>
        <v>1.8813512771216699E-2</v>
      </c>
    </row>
    <row r="31" spans="2:15" s="77" customFormat="1" ht="25.9" customHeight="1" x14ac:dyDescent="0.2">
      <c r="D31" s="585" t="s">
        <v>911</v>
      </c>
      <c r="E31" s="585"/>
      <c r="F31" s="600">
        <f>'Auto-Calibration record'!E65</f>
        <v>2074</v>
      </c>
      <c r="G31" s="600"/>
      <c r="H31" s="596">
        <f>'Auto-Calibration record'!B72</f>
        <v>10940</v>
      </c>
      <c r="I31" s="626"/>
      <c r="J31" s="442">
        <f>'MP Calibration Certificate'!J31</f>
        <v>11283</v>
      </c>
      <c r="K31" s="425">
        <f t="shared" si="0"/>
        <v>343</v>
      </c>
      <c r="L31" s="443">
        <f t="shared" si="1"/>
        <v>3.1352833638025594E-2</v>
      </c>
    </row>
    <row r="32" spans="2:15" s="77" customFormat="1" ht="25.9" customHeight="1" x14ac:dyDescent="0.2">
      <c r="D32" s="585" t="s">
        <v>912</v>
      </c>
      <c r="E32" s="585"/>
      <c r="F32" s="600">
        <f>'Auto-Calibration record'!F65</f>
        <v>2990</v>
      </c>
      <c r="G32" s="600"/>
      <c r="H32" s="596">
        <f>'Auto-Calibration record'!B73</f>
        <v>5210</v>
      </c>
      <c r="I32" s="626"/>
      <c r="J32" s="442">
        <f>'MP Calibration Certificate'!J32</f>
        <v>5545</v>
      </c>
      <c r="K32" s="425">
        <f t="shared" si="0"/>
        <v>335</v>
      </c>
      <c r="L32" s="443">
        <f t="shared" si="1"/>
        <v>6.4299424184261031E-2</v>
      </c>
    </row>
    <row r="33" spans="2:12" s="77" customFormat="1" ht="25.9" customHeight="1" x14ac:dyDescent="0.2">
      <c r="D33" s="585" t="s">
        <v>913</v>
      </c>
      <c r="E33" s="585"/>
      <c r="F33" s="600">
        <f>'Auto-Calibration record'!G65</f>
        <v>10008</v>
      </c>
      <c r="G33" s="600"/>
      <c r="H33" s="596">
        <f>'Auto-Calibration record'!B74</f>
        <v>611.721</v>
      </c>
      <c r="I33" s="626"/>
      <c r="J33" s="442">
        <f>'MP Calibration Certificate'!J33</f>
        <v>731</v>
      </c>
      <c r="K33" s="425">
        <f t="shared" si="0"/>
        <v>119.279</v>
      </c>
      <c r="L33" s="443">
        <f t="shared" si="1"/>
        <v>0.19498921894131474</v>
      </c>
    </row>
    <row r="34" spans="2:12" s="77" customFormat="1" ht="25.9" customHeight="1" x14ac:dyDescent="0.2">
      <c r="D34" s="585" t="s">
        <v>914</v>
      </c>
      <c r="E34" s="585"/>
      <c r="F34" s="600">
        <f>'Auto-Calibration record'!H65</f>
        <v>16418</v>
      </c>
      <c r="G34" s="600"/>
      <c r="H34" s="596">
        <f>'Auto-Calibration record'!B75</f>
        <v>145.303</v>
      </c>
      <c r="I34" s="626"/>
      <c r="J34" s="442">
        <f>'MP Calibration Certificate'!J34</f>
        <v>150</v>
      </c>
      <c r="K34" s="425" t="s">
        <v>321</v>
      </c>
      <c r="L34" s="426" t="s">
        <v>321</v>
      </c>
    </row>
    <row r="35" spans="2:12" s="72" customFormat="1" ht="25.9" customHeight="1" x14ac:dyDescent="0.25">
      <c r="D35" s="585" t="s">
        <v>915</v>
      </c>
      <c r="E35" s="585"/>
      <c r="F35" s="601">
        <f>'Auto-Calibration record'!I65</f>
        <v>24602</v>
      </c>
      <c r="G35" s="601"/>
      <c r="H35" s="596">
        <f>'Auto-Calibration record'!B76</f>
        <v>24.939</v>
      </c>
      <c r="I35" s="626"/>
      <c r="J35" s="442">
        <f>'MP Calibration Certificate'!J35</f>
        <v>14</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78</v>
      </c>
      <c r="F40" s="596"/>
      <c r="G40" s="610" t="e">
        <f>F28/D40</f>
        <v>#DIV/0!</v>
      </c>
      <c r="H40" s="610"/>
      <c r="I40" s="81"/>
      <c r="J40" s="428">
        <f>'Auto-Calibration record'!B11</f>
        <v>32</v>
      </c>
      <c r="K40" s="425">
        <f>F29-J40</f>
        <v>156</v>
      </c>
      <c r="L40" s="429">
        <f>F29/J40</f>
        <v>5.875</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46191.5</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78</v>
      </c>
      <c r="G28" s="600"/>
      <c r="H28" s="596">
        <f>'Auto-Calibration record'!B68</f>
        <v>1056340</v>
      </c>
      <c r="I28" s="626"/>
      <c r="J28" s="442">
        <f>'Auto-Calibration record'!I68</f>
        <v>1066968</v>
      </c>
      <c r="K28" s="425">
        <f t="shared" ref="K28:K33" si="0">J28-H28</f>
        <v>10628</v>
      </c>
      <c r="L28" s="443">
        <f t="shared" ref="L28:L33" si="1">K28/H28</f>
        <v>1.0061154552511503E-2</v>
      </c>
    </row>
    <row r="29" spans="2:15" s="77" customFormat="1" ht="25.9" customHeight="1" x14ac:dyDescent="0.2">
      <c r="D29" s="585" t="s">
        <v>909</v>
      </c>
      <c r="E29" s="585"/>
      <c r="F29" s="600">
        <f>'Auto-Calibration record'!C65</f>
        <v>188</v>
      </c>
      <c r="G29" s="600"/>
      <c r="H29" s="596">
        <f>'Auto-Calibration record'!B69</f>
        <v>459350</v>
      </c>
      <c r="I29" s="626"/>
      <c r="J29" s="442">
        <f>'Auto-Calibration record'!I69</f>
        <v>465752</v>
      </c>
      <c r="K29" s="425">
        <f t="shared" si="0"/>
        <v>6402</v>
      </c>
      <c r="L29" s="443">
        <f t="shared" si="1"/>
        <v>1.3937085011429193E-2</v>
      </c>
    </row>
    <row r="30" spans="2:15" s="77" customFormat="1" ht="25.9" customHeight="1" x14ac:dyDescent="0.2">
      <c r="D30" s="585" t="s">
        <v>910</v>
      </c>
      <c r="E30" s="585"/>
      <c r="F30" s="600">
        <f>'Auto-Calibration record'!D65</f>
        <v>1018</v>
      </c>
      <c r="G30" s="600"/>
      <c r="H30" s="596">
        <f>'Auto-Calibration record'!B71</f>
        <v>36410</v>
      </c>
      <c r="I30" s="626"/>
      <c r="J30" s="442">
        <f>'Auto-Calibration record'!I71</f>
        <v>37095</v>
      </c>
      <c r="K30" s="425">
        <f t="shared" si="0"/>
        <v>685</v>
      </c>
      <c r="L30" s="443">
        <f t="shared" si="1"/>
        <v>1.8813512771216699E-2</v>
      </c>
    </row>
    <row r="31" spans="2:15" s="77" customFormat="1" ht="25.9" customHeight="1" x14ac:dyDescent="0.2">
      <c r="D31" s="585" t="s">
        <v>911</v>
      </c>
      <c r="E31" s="585"/>
      <c r="F31" s="600">
        <f>'Auto-Calibration record'!E65</f>
        <v>2074</v>
      </c>
      <c r="G31" s="600"/>
      <c r="H31" s="596">
        <f>'Auto-Calibration record'!B72</f>
        <v>10940</v>
      </c>
      <c r="I31" s="626"/>
      <c r="J31" s="442">
        <f>'Auto-Calibration record'!I72</f>
        <v>11283</v>
      </c>
      <c r="K31" s="425">
        <f t="shared" si="0"/>
        <v>343</v>
      </c>
      <c r="L31" s="443">
        <f t="shared" si="1"/>
        <v>3.1352833638025594E-2</v>
      </c>
    </row>
    <row r="32" spans="2:15" s="77" customFormat="1" ht="25.9" customHeight="1" x14ac:dyDescent="0.2">
      <c r="D32" s="585" t="s">
        <v>912</v>
      </c>
      <c r="E32" s="585"/>
      <c r="F32" s="600">
        <f>'Auto-Calibration record'!F65</f>
        <v>2990</v>
      </c>
      <c r="G32" s="600"/>
      <c r="H32" s="596">
        <f>'Auto-Calibration record'!B73</f>
        <v>5210</v>
      </c>
      <c r="I32" s="626"/>
      <c r="J32" s="442">
        <f>'Auto-Calibration record'!I73</f>
        <v>5545</v>
      </c>
      <c r="K32" s="425">
        <f t="shared" si="0"/>
        <v>335</v>
      </c>
      <c r="L32" s="443">
        <f t="shared" si="1"/>
        <v>6.4299424184261031E-2</v>
      </c>
    </row>
    <row r="33" spans="2:12" s="77" customFormat="1" ht="25.9" customHeight="1" x14ac:dyDescent="0.2">
      <c r="D33" s="585" t="s">
        <v>913</v>
      </c>
      <c r="E33" s="585"/>
      <c r="F33" s="600">
        <f>'Auto-Calibration record'!G65</f>
        <v>10008</v>
      </c>
      <c r="G33" s="600"/>
      <c r="H33" s="596">
        <f>'Auto-Calibration record'!B74</f>
        <v>611.721</v>
      </c>
      <c r="I33" s="626"/>
      <c r="J33" s="442">
        <f>'Auto-Calibration record'!I74</f>
        <v>731</v>
      </c>
      <c r="K33" s="425">
        <f t="shared" si="0"/>
        <v>119.279</v>
      </c>
      <c r="L33" s="443">
        <f t="shared" si="1"/>
        <v>0.19498921894131474</v>
      </c>
    </row>
    <row r="34" spans="2:12" s="77" customFormat="1" ht="25.9" customHeight="1" x14ac:dyDescent="0.2">
      <c r="D34" s="585" t="s">
        <v>914</v>
      </c>
      <c r="E34" s="585"/>
      <c r="F34" s="600">
        <f>'Auto-Calibration record'!H65</f>
        <v>16418</v>
      </c>
      <c r="G34" s="600"/>
      <c r="H34" s="596">
        <f>'Auto-Calibration record'!B75</f>
        <v>145.303</v>
      </c>
      <c r="I34" s="626"/>
      <c r="J34" s="442">
        <f>'Auto-Calibration record'!I75</f>
        <v>150</v>
      </c>
      <c r="K34" s="425" t="s">
        <v>321</v>
      </c>
      <c r="L34" s="426" t="s">
        <v>321</v>
      </c>
    </row>
    <row r="35" spans="2:12" s="72" customFormat="1" ht="25.9" customHeight="1" x14ac:dyDescent="0.25">
      <c r="D35" s="585" t="s">
        <v>915</v>
      </c>
      <c r="E35" s="585"/>
      <c r="F35" s="601">
        <f>'Auto-Calibration record'!I65</f>
        <v>24602</v>
      </c>
      <c r="G35" s="601"/>
      <c r="H35" s="596">
        <f>'Auto-Calibration record'!B76</f>
        <v>24.939</v>
      </c>
      <c r="I35" s="626"/>
      <c r="J35" s="442">
        <f>'Auto-Calibration record'!I76</f>
        <v>14</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626">
        <f>F28-D40</f>
        <v>78</v>
      </c>
      <c r="F40" s="626"/>
      <c r="G40" s="639" t="e">
        <f>F28/D40</f>
        <v>#DIV/0!</v>
      </c>
      <c r="H40" s="639"/>
      <c r="I40" s="81"/>
      <c r="J40" s="428">
        <f>'Auto-Calibration record'!B11</f>
        <v>32</v>
      </c>
      <c r="K40" s="441">
        <f>F29-J40</f>
        <v>156</v>
      </c>
      <c r="L40" s="445">
        <f>F29/J40</f>
        <v>5.875</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B77" s="91" t="s">
        <v>1005</v>
      </c>
      <c r="H77" s="64"/>
      <c r="I77" s="64"/>
      <c r="J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heet="1" objects="1" scenarios="1"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D17" sqref="D17:F1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880</v>
      </c>
      <c r="C3" s="60"/>
    </row>
    <row r="4" spans="1:16" ht="14.25" x14ac:dyDescent="0.2">
      <c r="B4" s="63" t="s">
        <v>881</v>
      </c>
      <c r="C4" s="60"/>
    </row>
    <row r="5" spans="1:16" ht="14.25" x14ac:dyDescent="0.2">
      <c r="B5" s="63" t="s">
        <v>882</v>
      </c>
      <c r="C5" s="60"/>
    </row>
    <row r="6" spans="1:16" ht="14.25" x14ac:dyDescent="0.2">
      <c r="B6" s="63" t="s">
        <v>883</v>
      </c>
      <c r="C6" s="60"/>
    </row>
    <row r="7" spans="1:16" ht="15" x14ac:dyDescent="0.2">
      <c r="B7" s="63" t="s">
        <v>884</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887</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890</v>
      </c>
      <c r="L17" s="417"/>
      <c r="M17" s="417"/>
      <c r="N17" s="418"/>
      <c r="O17" s="419" t="str">
        <f>'Auto-Calibration record'!H18</f>
        <v>RM8631b</v>
      </c>
    </row>
    <row r="18" spans="2:15" ht="25.9" customHeight="1" x14ac:dyDescent="0.25">
      <c r="B18" s="414" t="s">
        <v>891</v>
      </c>
      <c r="C18" s="420"/>
      <c r="D18" s="607">
        <f>'Auto-Calibration record'!H15</f>
        <v>-1</v>
      </c>
      <c r="E18" s="608"/>
      <c r="F18" s="609"/>
      <c r="K18" s="380" t="s">
        <v>892</v>
      </c>
      <c r="L18" s="381"/>
      <c r="M18" s="381"/>
      <c r="N18" s="382"/>
      <c r="O18" s="421">
        <f>'Auto-Calibration record'!H16</f>
        <v>46191.5</v>
      </c>
    </row>
    <row r="19" spans="2:15" ht="25.9" customHeight="1" x14ac:dyDescent="0.25">
      <c r="B19" s="414" t="s">
        <v>893</v>
      </c>
      <c r="C19" s="420"/>
      <c r="D19" s="607" t="str">
        <f>'Auto-Calibration record'!H17</f>
        <v>-1 180626</v>
      </c>
      <c r="E19" s="608"/>
      <c r="F19" s="609"/>
      <c r="K19" s="416" t="s">
        <v>894</v>
      </c>
      <c r="L19" s="417"/>
      <c r="M19" s="417"/>
      <c r="N19" s="418"/>
      <c r="O19" s="422"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78</v>
      </c>
      <c r="G28" s="600"/>
      <c r="H28" s="596">
        <f>'Auto-Calibration record'!B68</f>
        <v>1056340</v>
      </c>
      <c r="I28" s="596"/>
      <c r="J28" s="425">
        <f>'Auto-Calibration record'!I68</f>
        <v>1066968</v>
      </c>
      <c r="K28" s="425">
        <f t="shared" ref="K28:K35" si="0">J28-H28</f>
        <v>10628</v>
      </c>
      <c r="L28" s="383">
        <f t="shared" ref="L28:L35" si="1">K28/H28</f>
        <v>1.0061154552511503E-2</v>
      </c>
    </row>
    <row r="29" spans="2:15" s="77" customFormat="1" ht="25.9" customHeight="1" x14ac:dyDescent="0.2">
      <c r="D29" s="585" t="s">
        <v>909</v>
      </c>
      <c r="E29" s="585"/>
      <c r="F29" s="600">
        <f>'Auto-Calibration record'!C65</f>
        <v>188</v>
      </c>
      <c r="G29" s="600"/>
      <c r="H29" s="596">
        <f>'Auto-Calibration record'!B69</f>
        <v>459350</v>
      </c>
      <c r="I29" s="596"/>
      <c r="J29" s="425">
        <f>'Auto-Calibration record'!I69</f>
        <v>465752</v>
      </c>
      <c r="K29" s="425">
        <f t="shared" si="0"/>
        <v>6402</v>
      </c>
      <c r="L29" s="383">
        <f t="shared" si="1"/>
        <v>1.3937085011429193E-2</v>
      </c>
    </row>
    <row r="30" spans="2:15" s="77" customFormat="1" ht="25.9" customHeight="1" x14ac:dyDescent="0.2">
      <c r="D30" s="585" t="s">
        <v>910</v>
      </c>
      <c r="E30" s="585"/>
      <c r="F30" s="600">
        <f>'Auto-Calibration record'!D65</f>
        <v>1018</v>
      </c>
      <c r="G30" s="600"/>
      <c r="H30" s="596">
        <f>'Auto-Calibration record'!B71</f>
        <v>36410</v>
      </c>
      <c r="I30" s="596"/>
      <c r="J30" s="425">
        <f>'Auto-Calibration record'!I71</f>
        <v>37095</v>
      </c>
      <c r="K30" s="425">
        <f t="shared" si="0"/>
        <v>685</v>
      </c>
      <c r="L30" s="383">
        <f t="shared" si="1"/>
        <v>1.8813512771216699E-2</v>
      </c>
    </row>
    <row r="31" spans="2:15" s="77" customFormat="1" ht="25.9" customHeight="1" x14ac:dyDescent="0.2">
      <c r="D31" s="585" t="s">
        <v>911</v>
      </c>
      <c r="E31" s="585"/>
      <c r="F31" s="600">
        <f>'Auto-Calibration record'!E65</f>
        <v>2074</v>
      </c>
      <c r="G31" s="600"/>
      <c r="H31" s="596">
        <f>'Auto-Calibration record'!B72</f>
        <v>10940</v>
      </c>
      <c r="I31" s="596"/>
      <c r="J31" s="425">
        <f>'Auto-Calibration record'!I72</f>
        <v>11283</v>
      </c>
      <c r="K31" s="425">
        <f t="shared" si="0"/>
        <v>343</v>
      </c>
      <c r="L31" s="383">
        <f t="shared" si="1"/>
        <v>3.1352833638025594E-2</v>
      </c>
    </row>
    <row r="32" spans="2:15" s="77" customFormat="1" ht="25.9" customHeight="1" x14ac:dyDescent="0.2">
      <c r="D32" s="585" t="s">
        <v>912</v>
      </c>
      <c r="E32" s="585"/>
      <c r="F32" s="600">
        <f>'Auto-Calibration record'!F65</f>
        <v>2990</v>
      </c>
      <c r="G32" s="600"/>
      <c r="H32" s="596">
        <f>'Auto-Calibration record'!B73</f>
        <v>5210</v>
      </c>
      <c r="I32" s="596"/>
      <c r="J32" s="425">
        <f>'Auto-Calibration record'!I73</f>
        <v>5545</v>
      </c>
      <c r="K32" s="425">
        <f t="shared" si="0"/>
        <v>335</v>
      </c>
      <c r="L32" s="383">
        <f t="shared" si="1"/>
        <v>6.4299424184261031E-2</v>
      </c>
    </row>
    <row r="33" spans="2:12" s="77" customFormat="1" ht="25.9" customHeight="1" x14ac:dyDescent="0.2">
      <c r="D33" s="585" t="s">
        <v>913</v>
      </c>
      <c r="E33" s="585"/>
      <c r="F33" s="600">
        <f>'Auto-Calibration record'!G65</f>
        <v>10008</v>
      </c>
      <c r="G33" s="600"/>
      <c r="H33" s="596">
        <f>'Auto-Calibration record'!B74</f>
        <v>611.721</v>
      </c>
      <c r="I33" s="596"/>
      <c r="J33" s="425">
        <f>'Auto-Calibration record'!I74</f>
        <v>731</v>
      </c>
      <c r="K33" s="425">
        <f t="shared" si="0"/>
        <v>119.279</v>
      </c>
      <c r="L33" s="383">
        <f t="shared" si="1"/>
        <v>0.19498921894131474</v>
      </c>
    </row>
    <row r="34" spans="2:12" s="77" customFormat="1" ht="25.9" customHeight="1" x14ac:dyDescent="0.2">
      <c r="D34" s="585" t="s">
        <v>1006</v>
      </c>
      <c r="E34" s="585"/>
      <c r="F34" s="600">
        <f>'Auto-Calibration record'!H65</f>
        <v>16418</v>
      </c>
      <c r="G34" s="600"/>
      <c r="H34" s="596">
        <f>'Auto-Calibration record'!B75</f>
        <v>145.303</v>
      </c>
      <c r="I34" s="596"/>
      <c r="J34" s="425">
        <f>'Auto-Calibration record'!I75</f>
        <v>150</v>
      </c>
      <c r="K34" s="425">
        <f t="shared" si="0"/>
        <v>4.6970000000000027</v>
      </c>
      <c r="L34" s="383">
        <f t="shared" si="1"/>
        <v>3.2325554186768357E-2</v>
      </c>
    </row>
    <row r="35" spans="2:12" s="72" customFormat="1" ht="25.9" customHeight="1" x14ac:dyDescent="0.25">
      <c r="D35" s="585" t="s">
        <v>1007</v>
      </c>
      <c r="E35" s="585"/>
      <c r="F35" s="601">
        <f>'Auto-Calibration record'!I65</f>
        <v>24602</v>
      </c>
      <c r="G35" s="601"/>
      <c r="H35" s="596">
        <f>'Auto-Calibration record'!B76</f>
        <v>24.939</v>
      </c>
      <c r="I35" s="596"/>
      <c r="J35" s="427">
        <f>'Auto-Calibration record'!I76</f>
        <v>14</v>
      </c>
      <c r="K35" s="425">
        <f t="shared" si="0"/>
        <v>-10.939</v>
      </c>
      <c r="L35" s="383">
        <f t="shared" si="1"/>
        <v>-0.43863025782910303</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106"/>
      <c r="K38" s="106"/>
      <c r="L38" s="106"/>
    </row>
    <row r="39" spans="2:12" ht="25.9" customHeight="1" x14ac:dyDescent="0.2">
      <c r="B39" s="80"/>
      <c r="D39" s="424" t="s">
        <v>905</v>
      </c>
      <c r="E39" s="584" t="s">
        <v>905</v>
      </c>
      <c r="F39" s="584"/>
      <c r="G39" s="584" t="s">
        <v>920</v>
      </c>
      <c r="H39" s="584"/>
      <c r="I39" s="81"/>
      <c r="J39" s="107"/>
      <c r="K39" s="107"/>
      <c r="L39" s="107"/>
    </row>
    <row r="40" spans="2:12" ht="25.9" customHeight="1" x14ac:dyDescent="0.2">
      <c r="B40" s="80"/>
      <c r="D40" s="428">
        <f>'Auto-Calibration record'!B11</f>
        <v>32</v>
      </c>
      <c r="E40" s="596">
        <f>F28-D40</f>
        <v>46</v>
      </c>
      <c r="F40" s="596"/>
      <c r="G40" s="610">
        <f>F28/D40</f>
        <v>2.4375</v>
      </c>
      <c r="H40" s="610"/>
      <c r="I40" s="81"/>
      <c r="J40" s="108"/>
      <c r="K40" s="109"/>
      <c r="L40" s="110"/>
    </row>
    <row r="41" spans="2:12" x14ac:dyDescent="0.2">
      <c r="B41" s="80"/>
      <c r="D41" s="227"/>
    </row>
    <row r="42" spans="2:12" x14ac:dyDescent="0.2">
      <c r="B42" s="80"/>
      <c r="D42" s="227"/>
    </row>
    <row r="43" spans="2:12" x14ac:dyDescent="0.2">
      <c r="B43" s="80"/>
      <c r="D43" s="227"/>
    </row>
    <row r="44" spans="2:12" x14ac:dyDescent="0.2">
      <c r="B44" s="80"/>
      <c r="D44" s="227"/>
    </row>
    <row r="45" spans="2:12" x14ac:dyDescent="0.2">
      <c r="B45" s="80"/>
      <c r="D45" s="227"/>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580" t="s">
        <v>925</v>
      </c>
      <c r="E74" s="581"/>
      <c r="F74" s="581"/>
      <c r="G74" s="582"/>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t="str">
        <f>'Auto-Calibration record'!H26</f>
        <v>John Devereux</v>
      </c>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011 1026:2035 2050:3059 3074:4083 4098:5107 5122:6131 6146:7155 7170:8179 8194:9203 9218:10227 10242:11251 11266:12275 12290:13299 13314:14323 14338:15347 15362:16371" x14ac:dyDescent="0.2">
      <c r="O83" s="85" t="s">
        <v>932</v>
      </c>
    </row>
    <row r="84" spans="2:1011 1026:2035 2050:3059 3074:4083 4098:5107 5122:6131 6146:7155 7170:8179 8194:9203 9218:10227 10242:11251 11266:12275 12290:13299 13314:14323 14338:15347 15362:16371" ht="15.6" customHeight="1" x14ac:dyDescent="0.2">
      <c r="B84" s="63" t="s">
        <v>879</v>
      </c>
      <c r="C84" s="60"/>
      <c r="O84" s="85" t="s">
        <v>841</v>
      </c>
    </row>
    <row r="85" spans="2:1011 1026:2035 2050:3059 3074:4083 4098:5107 5122:6131 6146:7155 7170:8179 8194:9203 9218:10227 10242:11251 11266:12275 12290:13299 13314:14323 14338:15347 15362:16371" ht="14.25" x14ac:dyDescent="0.2">
      <c r="B85" s="63" t="s">
        <v>933</v>
      </c>
      <c r="C85" s="60"/>
      <c r="O85" s="85" t="s">
        <v>19</v>
      </c>
    </row>
    <row r="86" spans="2:1011 1026:2035 2050:3059 3074:4083 4098:5107 5122:6131 6146:7155 7170:8179 8194:9203 9218:10227 10242:11251 11266:12275 12290:13299 13314:14323 14338:15347 15362:16371" ht="14.25" x14ac:dyDescent="0.2">
      <c r="B86" s="63" t="s">
        <v>934</v>
      </c>
      <c r="C86" s="60"/>
      <c r="L86" s="86"/>
      <c r="N86" s="86"/>
      <c r="O86" s="85" t="s">
        <v>20</v>
      </c>
    </row>
    <row r="87" spans="2:1011 1026:2035 2050:3059 3074:4083 4098:5107 5122:6131 6146:7155 7170:8179 8194:9203 9218:10227 10242:11251 11266:12275 12290:13299 13314:14323 14338:15347 15362:16371" ht="14.25" x14ac:dyDescent="0.2">
      <c r="B87" s="63" t="s">
        <v>882</v>
      </c>
      <c r="C87" s="60"/>
    </row>
    <row r="88" spans="2:1011 1026:2035 2050:3059 3074:4083 4098:5107 5122:6131 6146:7155 7170:8179 8194:9203 9218:10227 10242:11251 11266:12275 12290:13299 13314:14323 14338:15347 15362:16371" ht="14.25" x14ac:dyDescent="0.2">
      <c r="B88" s="63" t="s">
        <v>935</v>
      </c>
      <c r="C88" s="60"/>
    </row>
    <row r="89" spans="2:1011 1026:2035 2050:3059 3074:4083 4098:5107 5122:6131 6146:7155 7170:8179 8194:9203 9218:10227 10242:11251 11266:12275 12290:13299 13314:14323 14338:15347 15362:16371" ht="14.25" x14ac:dyDescent="0.2">
      <c r="B89" s="63" t="s">
        <v>936</v>
      </c>
      <c r="C89" s="60"/>
    </row>
    <row r="90" spans="2:1011 1026:2035 2050:3059 3074:4083 4098:5107 5122:6131 6146:7155 7170:8179 8194:9203 9218:10227 10242:11251 11266:12275 12290:13299 13314:14323 14338:15347 15362:16371" ht="14.25" x14ac:dyDescent="0.2">
      <c r="B90" s="34" t="s">
        <v>885</v>
      </c>
      <c r="C90" s="60"/>
      <c r="R90" s="63" t="s">
        <v>879</v>
      </c>
      <c r="S90" s="60"/>
      <c r="AH90" s="63" t="s">
        <v>879</v>
      </c>
      <c r="AI90" s="60"/>
      <c r="AX90" s="63" t="s">
        <v>879</v>
      </c>
      <c r="AY90" s="60"/>
      <c r="BN90" s="63" t="s">
        <v>879</v>
      </c>
      <c r="BO90" s="60"/>
      <c r="CD90" s="63" t="s">
        <v>879</v>
      </c>
      <c r="CE90" s="60"/>
      <c r="CT90" s="63" t="s">
        <v>879</v>
      </c>
      <c r="CU90" s="60"/>
      <c r="DJ90" s="63" t="s">
        <v>879</v>
      </c>
      <c r="DK90" s="60"/>
      <c r="DZ90" s="63" t="s">
        <v>879</v>
      </c>
      <c r="EA90" s="60"/>
      <c r="EP90" s="63" t="s">
        <v>879</v>
      </c>
      <c r="EQ90" s="60"/>
      <c r="FF90" s="63" t="s">
        <v>879</v>
      </c>
      <c r="FG90" s="60"/>
      <c r="FV90" s="63" t="s">
        <v>879</v>
      </c>
      <c r="FW90" s="60"/>
      <c r="GL90" s="63" t="s">
        <v>879</v>
      </c>
      <c r="GM90" s="60"/>
      <c r="HB90" s="63" t="s">
        <v>879</v>
      </c>
      <c r="HC90" s="60"/>
      <c r="HR90" s="63" t="s">
        <v>879</v>
      </c>
      <c r="HS90" s="60"/>
      <c r="IH90" s="63" t="s">
        <v>879</v>
      </c>
      <c r="II90" s="60"/>
      <c r="IX90" s="63" t="s">
        <v>879</v>
      </c>
      <c r="IY90" s="60"/>
      <c r="JN90" s="63" t="s">
        <v>879</v>
      </c>
      <c r="JO90" s="60"/>
      <c r="KD90" s="63" t="s">
        <v>879</v>
      </c>
      <c r="KE90" s="60"/>
      <c r="KT90" s="63" t="s">
        <v>879</v>
      </c>
      <c r="KU90" s="60"/>
      <c r="LJ90" s="63" t="s">
        <v>879</v>
      </c>
      <c r="LK90" s="60"/>
      <c r="LZ90" s="63" t="s">
        <v>879</v>
      </c>
      <c r="MA90" s="60"/>
      <c r="MP90" s="63" t="s">
        <v>879</v>
      </c>
      <c r="MQ90" s="60"/>
      <c r="NF90" s="63" t="s">
        <v>879</v>
      </c>
      <c r="NG90" s="60"/>
      <c r="NV90" s="63" t="s">
        <v>879</v>
      </c>
      <c r="NW90" s="60"/>
      <c r="OL90" s="63" t="s">
        <v>879</v>
      </c>
      <c r="OM90" s="60"/>
      <c r="PB90" s="63" t="s">
        <v>879</v>
      </c>
      <c r="PC90" s="60"/>
      <c r="PR90" s="63" t="s">
        <v>879</v>
      </c>
      <c r="PS90" s="60"/>
      <c r="QH90" s="63" t="s">
        <v>879</v>
      </c>
      <c r="QI90" s="60"/>
      <c r="QX90" s="63" t="s">
        <v>879</v>
      </c>
      <c r="QY90" s="60"/>
      <c r="RN90" s="63" t="s">
        <v>879</v>
      </c>
      <c r="RO90" s="60"/>
      <c r="SD90" s="63" t="s">
        <v>879</v>
      </c>
      <c r="SE90" s="60"/>
      <c r="ST90" s="63" t="s">
        <v>879</v>
      </c>
      <c r="SU90" s="60"/>
      <c r="TJ90" s="63" t="s">
        <v>879</v>
      </c>
      <c r="TK90" s="60"/>
      <c r="TZ90" s="63" t="s">
        <v>879</v>
      </c>
      <c r="UA90" s="60"/>
      <c r="UP90" s="63" t="s">
        <v>879</v>
      </c>
      <c r="UQ90" s="60"/>
      <c r="VF90" s="63" t="s">
        <v>879</v>
      </c>
      <c r="VG90" s="60"/>
      <c r="VV90" s="63" t="s">
        <v>879</v>
      </c>
      <c r="VW90" s="60"/>
      <c r="WL90" s="63" t="s">
        <v>879</v>
      </c>
      <c r="WM90" s="60"/>
      <c r="XB90" s="63" t="s">
        <v>879</v>
      </c>
      <c r="XC90" s="60"/>
      <c r="XR90" s="63" t="s">
        <v>879</v>
      </c>
      <c r="XS90" s="60"/>
      <c r="YH90" s="63" t="s">
        <v>879</v>
      </c>
      <c r="YI90" s="60"/>
      <c r="YX90" s="63" t="s">
        <v>879</v>
      </c>
      <c r="YY90" s="60"/>
      <c r="ZN90" s="63" t="s">
        <v>879</v>
      </c>
      <c r="ZO90" s="60"/>
      <c r="AAD90" s="63" t="s">
        <v>879</v>
      </c>
      <c r="AAE90" s="60"/>
      <c r="AAT90" s="63" t="s">
        <v>879</v>
      </c>
      <c r="AAU90" s="60"/>
      <c r="ABJ90" s="63" t="s">
        <v>879</v>
      </c>
      <c r="ABK90" s="60"/>
      <c r="ABZ90" s="63" t="s">
        <v>879</v>
      </c>
      <c r="ACA90" s="60"/>
      <c r="ACP90" s="63" t="s">
        <v>879</v>
      </c>
      <c r="ACQ90" s="60"/>
      <c r="ADF90" s="63" t="s">
        <v>879</v>
      </c>
      <c r="ADG90" s="60"/>
      <c r="ADV90" s="63" t="s">
        <v>879</v>
      </c>
      <c r="ADW90" s="60"/>
      <c r="AEL90" s="63" t="s">
        <v>879</v>
      </c>
      <c r="AEM90" s="60"/>
      <c r="AFB90" s="63" t="s">
        <v>879</v>
      </c>
      <c r="AFC90" s="60"/>
      <c r="AFR90" s="63" t="s">
        <v>879</v>
      </c>
      <c r="AFS90" s="60"/>
      <c r="AGH90" s="63" t="s">
        <v>879</v>
      </c>
      <c r="AGI90" s="60"/>
      <c r="AGX90" s="63" t="s">
        <v>879</v>
      </c>
      <c r="AGY90" s="60"/>
      <c r="AHN90" s="63" t="s">
        <v>879</v>
      </c>
      <c r="AHO90" s="60"/>
      <c r="AID90" s="63" t="s">
        <v>879</v>
      </c>
      <c r="AIE90" s="60"/>
      <c r="AIT90" s="63" t="s">
        <v>879</v>
      </c>
      <c r="AIU90" s="60"/>
      <c r="AJJ90" s="63" t="s">
        <v>879</v>
      </c>
      <c r="AJK90" s="60"/>
      <c r="AJZ90" s="63" t="s">
        <v>879</v>
      </c>
      <c r="AKA90" s="60"/>
      <c r="AKP90" s="63" t="s">
        <v>879</v>
      </c>
      <c r="AKQ90" s="60"/>
      <c r="ALF90" s="63" t="s">
        <v>879</v>
      </c>
      <c r="ALG90" s="60"/>
      <c r="ALV90" s="63" t="s">
        <v>879</v>
      </c>
      <c r="ALW90" s="60"/>
      <c r="AML90" s="63" t="s">
        <v>879</v>
      </c>
      <c r="AMM90" s="60"/>
      <c r="ANB90" s="63" t="s">
        <v>879</v>
      </c>
      <c r="ANC90" s="60"/>
      <c r="ANR90" s="63" t="s">
        <v>879</v>
      </c>
      <c r="ANS90" s="60"/>
      <c r="AOH90" s="63" t="s">
        <v>879</v>
      </c>
      <c r="AOI90" s="60"/>
      <c r="AOX90" s="63" t="s">
        <v>879</v>
      </c>
      <c r="AOY90" s="60"/>
      <c r="APN90" s="63" t="s">
        <v>879</v>
      </c>
      <c r="APO90" s="60"/>
      <c r="AQD90" s="63" t="s">
        <v>879</v>
      </c>
      <c r="AQE90" s="60"/>
      <c r="AQT90" s="63" t="s">
        <v>879</v>
      </c>
      <c r="AQU90" s="60"/>
      <c r="ARJ90" s="63" t="s">
        <v>879</v>
      </c>
      <c r="ARK90" s="60"/>
      <c r="ARZ90" s="63" t="s">
        <v>879</v>
      </c>
      <c r="ASA90" s="60"/>
      <c r="ASP90" s="63" t="s">
        <v>879</v>
      </c>
      <c r="ASQ90" s="60"/>
      <c r="ATF90" s="63" t="s">
        <v>879</v>
      </c>
      <c r="ATG90" s="60"/>
      <c r="ATV90" s="63" t="s">
        <v>879</v>
      </c>
      <c r="ATW90" s="60"/>
      <c r="AUL90" s="63" t="s">
        <v>879</v>
      </c>
      <c r="AUM90" s="60"/>
      <c r="AVB90" s="63" t="s">
        <v>879</v>
      </c>
      <c r="AVC90" s="60"/>
      <c r="AVR90" s="63" t="s">
        <v>879</v>
      </c>
      <c r="AVS90" s="60"/>
      <c r="AWH90" s="63" t="s">
        <v>879</v>
      </c>
      <c r="AWI90" s="60"/>
      <c r="AWX90" s="63" t="s">
        <v>879</v>
      </c>
      <c r="AWY90" s="60"/>
      <c r="AXN90" s="63" t="s">
        <v>879</v>
      </c>
      <c r="AXO90" s="60"/>
      <c r="AYD90" s="63" t="s">
        <v>879</v>
      </c>
      <c r="AYE90" s="60"/>
      <c r="AYT90" s="63" t="s">
        <v>879</v>
      </c>
      <c r="AYU90" s="60"/>
      <c r="AZJ90" s="63" t="s">
        <v>879</v>
      </c>
      <c r="AZK90" s="60"/>
      <c r="AZZ90" s="63" t="s">
        <v>879</v>
      </c>
      <c r="BAA90" s="60"/>
      <c r="BAP90" s="63" t="s">
        <v>879</v>
      </c>
      <c r="BAQ90" s="60"/>
      <c r="BBF90" s="63" t="s">
        <v>879</v>
      </c>
      <c r="BBG90" s="60"/>
      <c r="BBV90" s="63" t="s">
        <v>879</v>
      </c>
      <c r="BBW90" s="60"/>
      <c r="BCL90" s="63" t="s">
        <v>879</v>
      </c>
      <c r="BCM90" s="60"/>
      <c r="BDB90" s="63" t="s">
        <v>879</v>
      </c>
      <c r="BDC90" s="60"/>
      <c r="BDR90" s="63" t="s">
        <v>879</v>
      </c>
      <c r="BDS90" s="60"/>
      <c r="BEH90" s="63" t="s">
        <v>879</v>
      </c>
      <c r="BEI90" s="60"/>
      <c r="BEX90" s="63" t="s">
        <v>879</v>
      </c>
      <c r="BEY90" s="60"/>
      <c r="BFN90" s="63" t="s">
        <v>879</v>
      </c>
      <c r="BFO90" s="60"/>
      <c r="BGD90" s="63" t="s">
        <v>879</v>
      </c>
      <c r="BGE90" s="60"/>
      <c r="BGT90" s="63" t="s">
        <v>879</v>
      </c>
      <c r="BGU90" s="60"/>
      <c r="BHJ90" s="63" t="s">
        <v>879</v>
      </c>
      <c r="BHK90" s="60"/>
      <c r="BHZ90" s="63" t="s">
        <v>879</v>
      </c>
      <c r="BIA90" s="60"/>
      <c r="BIP90" s="63" t="s">
        <v>879</v>
      </c>
      <c r="BIQ90" s="60"/>
      <c r="BJF90" s="63" t="s">
        <v>879</v>
      </c>
      <c r="BJG90" s="60"/>
      <c r="BJV90" s="63" t="s">
        <v>879</v>
      </c>
      <c r="BJW90" s="60"/>
      <c r="BKL90" s="63" t="s">
        <v>879</v>
      </c>
      <c r="BKM90" s="60"/>
      <c r="BLB90" s="63" t="s">
        <v>879</v>
      </c>
      <c r="BLC90" s="60"/>
      <c r="BLR90" s="63" t="s">
        <v>879</v>
      </c>
      <c r="BLS90" s="60"/>
      <c r="BMH90" s="63" t="s">
        <v>879</v>
      </c>
      <c r="BMI90" s="60"/>
      <c r="BMX90" s="63" t="s">
        <v>879</v>
      </c>
      <c r="BMY90" s="60"/>
      <c r="BNN90" s="63" t="s">
        <v>879</v>
      </c>
      <c r="BNO90" s="60"/>
      <c r="BOD90" s="63" t="s">
        <v>879</v>
      </c>
      <c r="BOE90" s="60"/>
      <c r="BOT90" s="63" t="s">
        <v>879</v>
      </c>
      <c r="BOU90" s="60"/>
      <c r="BPJ90" s="63" t="s">
        <v>879</v>
      </c>
      <c r="BPK90" s="60"/>
      <c r="BPZ90" s="63" t="s">
        <v>879</v>
      </c>
      <c r="BQA90" s="60"/>
      <c r="BQP90" s="63" t="s">
        <v>879</v>
      </c>
      <c r="BQQ90" s="60"/>
      <c r="BRF90" s="63" t="s">
        <v>879</v>
      </c>
      <c r="BRG90" s="60"/>
      <c r="BRV90" s="63" t="s">
        <v>879</v>
      </c>
      <c r="BRW90" s="60"/>
      <c r="BSL90" s="63" t="s">
        <v>879</v>
      </c>
      <c r="BSM90" s="60"/>
      <c r="BTB90" s="63" t="s">
        <v>879</v>
      </c>
      <c r="BTC90" s="60"/>
      <c r="BTR90" s="63" t="s">
        <v>879</v>
      </c>
      <c r="BTS90" s="60"/>
      <c r="BUH90" s="63" t="s">
        <v>879</v>
      </c>
      <c r="BUI90" s="60"/>
      <c r="BUX90" s="63" t="s">
        <v>879</v>
      </c>
      <c r="BUY90" s="60"/>
      <c r="BVN90" s="63" t="s">
        <v>879</v>
      </c>
      <c r="BVO90" s="60"/>
      <c r="BWD90" s="63" t="s">
        <v>879</v>
      </c>
      <c r="BWE90" s="60"/>
      <c r="BWT90" s="63" t="s">
        <v>879</v>
      </c>
      <c r="BWU90" s="60"/>
      <c r="BXJ90" s="63" t="s">
        <v>879</v>
      </c>
      <c r="BXK90" s="60"/>
      <c r="BXZ90" s="63" t="s">
        <v>879</v>
      </c>
      <c r="BYA90" s="60"/>
      <c r="BYP90" s="63" t="s">
        <v>879</v>
      </c>
      <c r="BYQ90" s="60"/>
      <c r="BZF90" s="63" t="s">
        <v>879</v>
      </c>
      <c r="BZG90" s="60"/>
      <c r="BZV90" s="63" t="s">
        <v>879</v>
      </c>
      <c r="BZW90" s="60"/>
      <c r="CAL90" s="63" t="s">
        <v>879</v>
      </c>
      <c r="CAM90" s="60"/>
      <c r="CBB90" s="63" t="s">
        <v>879</v>
      </c>
      <c r="CBC90" s="60"/>
      <c r="CBR90" s="63" t="s">
        <v>879</v>
      </c>
      <c r="CBS90" s="60"/>
      <c r="CCH90" s="63" t="s">
        <v>879</v>
      </c>
      <c r="CCI90" s="60"/>
      <c r="CCX90" s="63" t="s">
        <v>879</v>
      </c>
      <c r="CCY90" s="60"/>
      <c r="CDN90" s="63" t="s">
        <v>879</v>
      </c>
      <c r="CDO90" s="60"/>
      <c r="CED90" s="63" t="s">
        <v>879</v>
      </c>
      <c r="CEE90" s="60"/>
      <c r="CET90" s="63" t="s">
        <v>879</v>
      </c>
      <c r="CEU90" s="60"/>
      <c r="CFJ90" s="63" t="s">
        <v>879</v>
      </c>
      <c r="CFK90" s="60"/>
      <c r="CFZ90" s="63" t="s">
        <v>879</v>
      </c>
      <c r="CGA90" s="60"/>
      <c r="CGP90" s="63" t="s">
        <v>879</v>
      </c>
      <c r="CGQ90" s="60"/>
      <c r="CHF90" s="63" t="s">
        <v>879</v>
      </c>
      <c r="CHG90" s="60"/>
      <c r="CHV90" s="63" t="s">
        <v>879</v>
      </c>
      <c r="CHW90" s="60"/>
      <c r="CIL90" s="63" t="s">
        <v>879</v>
      </c>
      <c r="CIM90" s="60"/>
      <c r="CJB90" s="63" t="s">
        <v>879</v>
      </c>
      <c r="CJC90" s="60"/>
      <c r="CJR90" s="63" t="s">
        <v>879</v>
      </c>
      <c r="CJS90" s="60"/>
      <c r="CKH90" s="63" t="s">
        <v>879</v>
      </c>
      <c r="CKI90" s="60"/>
      <c r="CKX90" s="63" t="s">
        <v>879</v>
      </c>
      <c r="CKY90" s="60"/>
      <c r="CLN90" s="63" t="s">
        <v>879</v>
      </c>
      <c r="CLO90" s="60"/>
      <c r="CMD90" s="63" t="s">
        <v>879</v>
      </c>
      <c r="CME90" s="60"/>
      <c r="CMT90" s="63" t="s">
        <v>879</v>
      </c>
      <c r="CMU90" s="60"/>
      <c r="CNJ90" s="63" t="s">
        <v>879</v>
      </c>
      <c r="CNK90" s="60"/>
      <c r="CNZ90" s="63" t="s">
        <v>879</v>
      </c>
      <c r="COA90" s="60"/>
      <c r="COP90" s="63" t="s">
        <v>879</v>
      </c>
      <c r="COQ90" s="60"/>
      <c r="CPF90" s="63" t="s">
        <v>879</v>
      </c>
      <c r="CPG90" s="60"/>
      <c r="CPV90" s="63" t="s">
        <v>879</v>
      </c>
      <c r="CPW90" s="60"/>
      <c r="CQL90" s="63" t="s">
        <v>879</v>
      </c>
      <c r="CQM90" s="60"/>
      <c r="CRB90" s="63" t="s">
        <v>879</v>
      </c>
      <c r="CRC90" s="60"/>
      <c r="CRR90" s="63" t="s">
        <v>879</v>
      </c>
      <c r="CRS90" s="60"/>
      <c r="CSH90" s="63" t="s">
        <v>879</v>
      </c>
      <c r="CSI90" s="60"/>
      <c r="CSX90" s="63" t="s">
        <v>879</v>
      </c>
      <c r="CSY90" s="60"/>
      <c r="CTN90" s="63" t="s">
        <v>879</v>
      </c>
      <c r="CTO90" s="60"/>
      <c r="CUD90" s="63" t="s">
        <v>879</v>
      </c>
      <c r="CUE90" s="60"/>
      <c r="CUT90" s="63" t="s">
        <v>879</v>
      </c>
      <c r="CUU90" s="60"/>
      <c r="CVJ90" s="63" t="s">
        <v>879</v>
      </c>
      <c r="CVK90" s="60"/>
      <c r="CVZ90" s="63" t="s">
        <v>879</v>
      </c>
      <c r="CWA90" s="60"/>
      <c r="CWP90" s="63" t="s">
        <v>879</v>
      </c>
      <c r="CWQ90" s="60"/>
      <c r="CXF90" s="63" t="s">
        <v>879</v>
      </c>
      <c r="CXG90" s="60"/>
      <c r="CXV90" s="63" t="s">
        <v>879</v>
      </c>
      <c r="CXW90" s="60"/>
      <c r="CYL90" s="63" t="s">
        <v>879</v>
      </c>
      <c r="CYM90" s="60"/>
      <c r="CZB90" s="63" t="s">
        <v>879</v>
      </c>
      <c r="CZC90" s="60"/>
      <c r="CZR90" s="63" t="s">
        <v>879</v>
      </c>
      <c r="CZS90" s="60"/>
      <c r="DAH90" s="63" t="s">
        <v>879</v>
      </c>
      <c r="DAI90" s="60"/>
      <c r="DAX90" s="63" t="s">
        <v>879</v>
      </c>
      <c r="DAY90" s="60"/>
      <c r="DBN90" s="63" t="s">
        <v>879</v>
      </c>
      <c r="DBO90" s="60"/>
      <c r="DCD90" s="63" t="s">
        <v>879</v>
      </c>
      <c r="DCE90" s="60"/>
      <c r="DCT90" s="63" t="s">
        <v>879</v>
      </c>
      <c r="DCU90" s="60"/>
      <c r="DDJ90" s="63" t="s">
        <v>879</v>
      </c>
      <c r="DDK90" s="60"/>
      <c r="DDZ90" s="63" t="s">
        <v>879</v>
      </c>
      <c r="DEA90" s="60"/>
      <c r="DEP90" s="63" t="s">
        <v>879</v>
      </c>
      <c r="DEQ90" s="60"/>
      <c r="DFF90" s="63" t="s">
        <v>879</v>
      </c>
      <c r="DFG90" s="60"/>
      <c r="DFV90" s="63" t="s">
        <v>879</v>
      </c>
      <c r="DFW90" s="60"/>
      <c r="DGL90" s="63" t="s">
        <v>879</v>
      </c>
      <c r="DGM90" s="60"/>
      <c r="DHB90" s="63" t="s">
        <v>879</v>
      </c>
      <c r="DHC90" s="60"/>
      <c r="DHR90" s="63" t="s">
        <v>879</v>
      </c>
      <c r="DHS90" s="60"/>
      <c r="DIH90" s="63" t="s">
        <v>879</v>
      </c>
      <c r="DII90" s="60"/>
      <c r="DIX90" s="63" t="s">
        <v>879</v>
      </c>
      <c r="DIY90" s="60"/>
      <c r="DJN90" s="63" t="s">
        <v>879</v>
      </c>
      <c r="DJO90" s="60"/>
      <c r="DKD90" s="63" t="s">
        <v>879</v>
      </c>
      <c r="DKE90" s="60"/>
      <c r="DKT90" s="63" t="s">
        <v>879</v>
      </c>
      <c r="DKU90" s="60"/>
      <c r="DLJ90" s="63" t="s">
        <v>879</v>
      </c>
      <c r="DLK90" s="60"/>
      <c r="DLZ90" s="63" t="s">
        <v>879</v>
      </c>
      <c r="DMA90" s="60"/>
      <c r="DMP90" s="63" t="s">
        <v>879</v>
      </c>
      <c r="DMQ90" s="60"/>
      <c r="DNF90" s="63" t="s">
        <v>879</v>
      </c>
      <c r="DNG90" s="60"/>
      <c r="DNV90" s="63" t="s">
        <v>879</v>
      </c>
      <c r="DNW90" s="60"/>
      <c r="DOL90" s="63" t="s">
        <v>879</v>
      </c>
      <c r="DOM90" s="60"/>
      <c r="DPB90" s="63" t="s">
        <v>879</v>
      </c>
      <c r="DPC90" s="60"/>
      <c r="DPR90" s="63" t="s">
        <v>879</v>
      </c>
      <c r="DPS90" s="60"/>
      <c r="DQH90" s="63" t="s">
        <v>879</v>
      </c>
      <c r="DQI90" s="60"/>
      <c r="DQX90" s="63" t="s">
        <v>879</v>
      </c>
      <c r="DQY90" s="60"/>
      <c r="DRN90" s="63" t="s">
        <v>879</v>
      </c>
      <c r="DRO90" s="60"/>
      <c r="DSD90" s="63" t="s">
        <v>879</v>
      </c>
      <c r="DSE90" s="60"/>
      <c r="DST90" s="63" t="s">
        <v>879</v>
      </c>
      <c r="DSU90" s="60"/>
      <c r="DTJ90" s="63" t="s">
        <v>879</v>
      </c>
      <c r="DTK90" s="60"/>
      <c r="DTZ90" s="63" t="s">
        <v>879</v>
      </c>
      <c r="DUA90" s="60"/>
      <c r="DUP90" s="63" t="s">
        <v>879</v>
      </c>
      <c r="DUQ90" s="60"/>
      <c r="DVF90" s="63" t="s">
        <v>879</v>
      </c>
      <c r="DVG90" s="60"/>
      <c r="DVV90" s="63" t="s">
        <v>879</v>
      </c>
      <c r="DVW90" s="60"/>
      <c r="DWL90" s="63" t="s">
        <v>879</v>
      </c>
      <c r="DWM90" s="60"/>
      <c r="DXB90" s="63" t="s">
        <v>879</v>
      </c>
      <c r="DXC90" s="60"/>
      <c r="DXR90" s="63" t="s">
        <v>879</v>
      </c>
      <c r="DXS90" s="60"/>
      <c r="DYH90" s="63" t="s">
        <v>879</v>
      </c>
      <c r="DYI90" s="60"/>
      <c r="DYX90" s="63" t="s">
        <v>879</v>
      </c>
      <c r="DYY90" s="60"/>
      <c r="DZN90" s="63" t="s">
        <v>879</v>
      </c>
      <c r="DZO90" s="60"/>
      <c r="EAD90" s="63" t="s">
        <v>879</v>
      </c>
      <c r="EAE90" s="60"/>
      <c r="EAT90" s="63" t="s">
        <v>879</v>
      </c>
      <c r="EAU90" s="60"/>
      <c r="EBJ90" s="63" t="s">
        <v>879</v>
      </c>
      <c r="EBK90" s="60"/>
      <c r="EBZ90" s="63" t="s">
        <v>879</v>
      </c>
      <c r="ECA90" s="60"/>
      <c r="ECP90" s="63" t="s">
        <v>879</v>
      </c>
      <c r="ECQ90" s="60"/>
      <c r="EDF90" s="63" t="s">
        <v>879</v>
      </c>
      <c r="EDG90" s="60"/>
      <c r="EDV90" s="63" t="s">
        <v>879</v>
      </c>
      <c r="EDW90" s="60"/>
      <c r="EEL90" s="63" t="s">
        <v>879</v>
      </c>
      <c r="EEM90" s="60"/>
      <c r="EFB90" s="63" t="s">
        <v>879</v>
      </c>
      <c r="EFC90" s="60"/>
      <c r="EFR90" s="63" t="s">
        <v>879</v>
      </c>
      <c r="EFS90" s="60"/>
      <c r="EGH90" s="63" t="s">
        <v>879</v>
      </c>
      <c r="EGI90" s="60"/>
      <c r="EGX90" s="63" t="s">
        <v>879</v>
      </c>
      <c r="EGY90" s="60"/>
      <c r="EHN90" s="63" t="s">
        <v>879</v>
      </c>
      <c r="EHO90" s="60"/>
      <c r="EID90" s="63" t="s">
        <v>879</v>
      </c>
      <c r="EIE90" s="60"/>
      <c r="EIT90" s="63" t="s">
        <v>879</v>
      </c>
      <c r="EIU90" s="60"/>
      <c r="EJJ90" s="63" t="s">
        <v>879</v>
      </c>
      <c r="EJK90" s="60"/>
      <c r="EJZ90" s="63" t="s">
        <v>879</v>
      </c>
      <c r="EKA90" s="60"/>
      <c r="EKP90" s="63" t="s">
        <v>879</v>
      </c>
      <c r="EKQ90" s="60"/>
      <c r="ELF90" s="63" t="s">
        <v>879</v>
      </c>
      <c r="ELG90" s="60"/>
      <c r="ELV90" s="63" t="s">
        <v>879</v>
      </c>
      <c r="ELW90" s="60"/>
      <c r="EML90" s="63" t="s">
        <v>879</v>
      </c>
      <c r="EMM90" s="60"/>
      <c r="ENB90" s="63" t="s">
        <v>879</v>
      </c>
      <c r="ENC90" s="60"/>
      <c r="ENR90" s="63" t="s">
        <v>879</v>
      </c>
      <c r="ENS90" s="60"/>
      <c r="EOH90" s="63" t="s">
        <v>879</v>
      </c>
      <c r="EOI90" s="60"/>
      <c r="EOX90" s="63" t="s">
        <v>879</v>
      </c>
      <c r="EOY90" s="60"/>
      <c r="EPN90" s="63" t="s">
        <v>879</v>
      </c>
      <c r="EPO90" s="60"/>
      <c r="EQD90" s="63" t="s">
        <v>879</v>
      </c>
      <c r="EQE90" s="60"/>
      <c r="EQT90" s="63" t="s">
        <v>879</v>
      </c>
      <c r="EQU90" s="60"/>
      <c r="ERJ90" s="63" t="s">
        <v>879</v>
      </c>
      <c r="ERK90" s="60"/>
      <c r="ERZ90" s="63" t="s">
        <v>879</v>
      </c>
      <c r="ESA90" s="60"/>
      <c r="ESP90" s="63" t="s">
        <v>879</v>
      </c>
      <c r="ESQ90" s="60"/>
      <c r="ETF90" s="63" t="s">
        <v>879</v>
      </c>
      <c r="ETG90" s="60"/>
      <c r="ETV90" s="63" t="s">
        <v>879</v>
      </c>
      <c r="ETW90" s="60"/>
      <c r="EUL90" s="63" t="s">
        <v>879</v>
      </c>
      <c r="EUM90" s="60"/>
      <c r="EVB90" s="63" t="s">
        <v>879</v>
      </c>
      <c r="EVC90" s="60"/>
      <c r="EVR90" s="63" t="s">
        <v>879</v>
      </c>
      <c r="EVS90" s="60"/>
      <c r="EWH90" s="63" t="s">
        <v>879</v>
      </c>
      <c r="EWI90" s="60"/>
      <c r="EWX90" s="63" t="s">
        <v>879</v>
      </c>
      <c r="EWY90" s="60"/>
      <c r="EXN90" s="63" t="s">
        <v>879</v>
      </c>
      <c r="EXO90" s="60"/>
      <c r="EYD90" s="63" t="s">
        <v>879</v>
      </c>
      <c r="EYE90" s="60"/>
      <c r="EYT90" s="63" t="s">
        <v>879</v>
      </c>
      <c r="EYU90" s="60"/>
      <c r="EZJ90" s="63" t="s">
        <v>879</v>
      </c>
      <c r="EZK90" s="60"/>
      <c r="EZZ90" s="63" t="s">
        <v>879</v>
      </c>
      <c r="FAA90" s="60"/>
      <c r="FAP90" s="63" t="s">
        <v>879</v>
      </c>
      <c r="FAQ90" s="60"/>
      <c r="FBF90" s="63" t="s">
        <v>879</v>
      </c>
      <c r="FBG90" s="60"/>
      <c r="FBV90" s="63" t="s">
        <v>879</v>
      </c>
      <c r="FBW90" s="60"/>
      <c r="FCL90" s="63" t="s">
        <v>879</v>
      </c>
      <c r="FCM90" s="60"/>
      <c r="FDB90" s="63" t="s">
        <v>879</v>
      </c>
      <c r="FDC90" s="60"/>
      <c r="FDR90" s="63" t="s">
        <v>879</v>
      </c>
      <c r="FDS90" s="60"/>
      <c r="FEH90" s="63" t="s">
        <v>879</v>
      </c>
      <c r="FEI90" s="60"/>
      <c r="FEX90" s="63" t="s">
        <v>879</v>
      </c>
      <c r="FEY90" s="60"/>
      <c r="FFN90" s="63" t="s">
        <v>879</v>
      </c>
      <c r="FFO90" s="60"/>
      <c r="FGD90" s="63" t="s">
        <v>879</v>
      </c>
      <c r="FGE90" s="60"/>
      <c r="FGT90" s="63" t="s">
        <v>879</v>
      </c>
      <c r="FGU90" s="60"/>
      <c r="FHJ90" s="63" t="s">
        <v>879</v>
      </c>
      <c r="FHK90" s="60"/>
      <c r="FHZ90" s="63" t="s">
        <v>879</v>
      </c>
      <c r="FIA90" s="60"/>
      <c r="FIP90" s="63" t="s">
        <v>879</v>
      </c>
      <c r="FIQ90" s="60"/>
      <c r="FJF90" s="63" t="s">
        <v>879</v>
      </c>
      <c r="FJG90" s="60"/>
      <c r="FJV90" s="63" t="s">
        <v>879</v>
      </c>
      <c r="FJW90" s="60"/>
      <c r="FKL90" s="63" t="s">
        <v>879</v>
      </c>
      <c r="FKM90" s="60"/>
      <c r="FLB90" s="63" t="s">
        <v>879</v>
      </c>
      <c r="FLC90" s="60"/>
      <c r="FLR90" s="63" t="s">
        <v>879</v>
      </c>
      <c r="FLS90" s="60"/>
      <c r="FMH90" s="63" t="s">
        <v>879</v>
      </c>
      <c r="FMI90" s="60"/>
      <c r="FMX90" s="63" t="s">
        <v>879</v>
      </c>
      <c r="FMY90" s="60"/>
      <c r="FNN90" s="63" t="s">
        <v>879</v>
      </c>
      <c r="FNO90" s="60"/>
      <c r="FOD90" s="63" t="s">
        <v>879</v>
      </c>
      <c r="FOE90" s="60"/>
      <c r="FOT90" s="63" t="s">
        <v>879</v>
      </c>
      <c r="FOU90" s="60"/>
      <c r="FPJ90" s="63" t="s">
        <v>879</v>
      </c>
      <c r="FPK90" s="60"/>
      <c r="FPZ90" s="63" t="s">
        <v>879</v>
      </c>
      <c r="FQA90" s="60"/>
      <c r="FQP90" s="63" t="s">
        <v>879</v>
      </c>
      <c r="FQQ90" s="60"/>
      <c r="FRF90" s="63" t="s">
        <v>879</v>
      </c>
      <c r="FRG90" s="60"/>
      <c r="FRV90" s="63" t="s">
        <v>879</v>
      </c>
      <c r="FRW90" s="60"/>
      <c r="FSL90" s="63" t="s">
        <v>879</v>
      </c>
      <c r="FSM90" s="60"/>
      <c r="FTB90" s="63" t="s">
        <v>879</v>
      </c>
      <c r="FTC90" s="60"/>
      <c r="FTR90" s="63" t="s">
        <v>879</v>
      </c>
      <c r="FTS90" s="60"/>
      <c r="FUH90" s="63" t="s">
        <v>879</v>
      </c>
      <c r="FUI90" s="60"/>
      <c r="FUX90" s="63" t="s">
        <v>879</v>
      </c>
      <c r="FUY90" s="60"/>
      <c r="FVN90" s="63" t="s">
        <v>879</v>
      </c>
      <c r="FVO90" s="60"/>
      <c r="FWD90" s="63" t="s">
        <v>879</v>
      </c>
      <c r="FWE90" s="60"/>
      <c r="FWT90" s="63" t="s">
        <v>879</v>
      </c>
      <c r="FWU90" s="60"/>
      <c r="FXJ90" s="63" t="s">
        <v>879</v>
      </c>
      <c r="FXK90" s="60"/>
      <c r="FXZ90" s="63" t="s">
        <v>879</v>
      </c>
      <c r="FYA90" s="60"/>
      <c r="FYP90" s="63" t="s">
        <v>879</v>
      </c>
      <c r="FYQ90" s="60"/>
      <c r="FZF90" s="63" t="s">
        <v>879</v>
      </c>
      <c r="FZG90" s="60"/>
      <c r="FZV90" s="63" t="s">
        <v>879</v>
      </c>
      <c r="FZW90" s="60"/>
      <c r="GAL90" s="63" t="s">
        <v>879</v>
      </c>
      <c r="GAM90" s="60"/>
      <c r="GBB90" s="63" t="s">
        <v>879</v>
      </c>
      <c r="GBC90" s="60"/>
      <c r="GBR90" s="63" t="s">
        <v>879</v>
      </c>
      <c r="GBS90" s="60"/>
      <c r="GCH90" s="63" t="s">
        <v>879</v>
      </c>
      <c r="GCI90" s="60"/>
      <c r="GCX90" s="63" t="s">
        <v>879</v>
      </c>
      <c r="GCY90" s="60"/>
      <c r="GDN90" s="63" t="s">
        <v>879</v>
      </c>
      <c r="GDO90" s="60"/>
      <c r="GED90" s="63" t="s">
        <v>879</v>
      </c>
      <c r="GEE90" s="60"/>
      <c r="GET90" s="63" t="s">
        <v>879</v>
      </c>
      <c r="GEU90" s="60"/>
      <c r="GFJ90" s="63" t="s">
        <v>879</v>
      </c>
      <c r="GFK90" s="60"/>
      <c r="GFZ90" s="63" t="s">
        <v>879</v>
      </c>
      <c r="GGA90" s="60"/>
      <c r="GGP90" s="63" t="s">
        <v>879</v>
      </c>
      <c r="GGQ90" s="60"/>
      <c r="GHF90" s="63" t="s">
        <v>879</v>
      </c>
      <c r="GHG90" s="60"/>
      <c r="GHV90" s="63" t="s">
        <v>879</v>
      </c>
      <c r="GHW90" s="60"/>
      <c r="GIL90" s="63" t="s">
        <v>879</v>
      </c>
      <c r="GIM90" s="60"/>
      <c r="GJB90" s="63" t="s">
        <v>879</v>
      </c>
      <c r="GJC90" s="60"/>
      <c r="GJR90" s="63" t="s">
        <v>879</v>
      </c>
      <c r="GJS90" s="60"/>
      <c r="GKH90" s="63" t="s">
        <v>879</v>
      </c>
      <c r="GKI90" s="60"/>
      <c r="GKX90" s="63" t="s">
        <v>879</v>
      </c>
      <c r="GKY90" s="60"/>
      <c r="GLN90" s="63" t="s">
        <v>879</v>
      </c>
      <c r="GLO90" s="60"/>
      <c r="GMD90" s="63" t="s">
        <v>879</v>
      </c>
      <c r="GME90" s="60"/>
      <c r="GMT90" s="63" t="s">
        <v>879</v>
      </c>
      <c r="GMU90" s="60"/>
      <c r="GNJ90" s="63" t="s">
        <v>879</v>
      </c>
      <c r="GNK90" s="60"/>
      <c r="GNZ90" s="63" t="s">
        <v>879</v>
      </c>
      <c r="GOA90" s="60"/>
      <c r="GOP90" s="63" t="s">
        <v>879</v>
      </c>
      <c r="GOQ90" s="60"/>
      <c r="GPF90" s="63" t="s">
        <v>879</v>
      </c>
      <c r="GPG90" s="60"/>
      <c r="GPV90" s="63" t="s">
        <v>879</v>
      </c>
      <c r="GPW90" s="60"/>
      <c r="GQL90" s="63" t="s">
        <v>879</v>
      </c>
      <c r="GQM90" s="60"/>
      <c r="GRB90" s="63" t="s">
        <v>879</v>
      </c>
      <c r="GRC90" s="60"/>
      <c r="GRR90" s="63" t="s">
        <v>879</v>
      </c>
      <c r="GRS90" s="60"/>
      <c r="GSH90" s="63" t="s">
        <v>879</v>
      </c>
      <c r="GSI90" s="60"/>
      <c r="GSX90" s="63" t="s">
        <v>879</v>
      </c>
      <c r="GSY90" s="60"/>
      <c r="GTN90" s="63" t="s">
        <v>879</v>
      </c>
      <c r="GTO90" s="60"/>
      <c r="GUD90" s="63" t="s">
        <v>879</v>
      </c>
      <c r="GUE90" s="60"/>
      <c r="GUT90" s="63" t="s">
        <v>879</v>
      </c>
      <c r="GUU90" s="60"/>
      <c r="GVJ90" s="63" t="s">
        <v>879</v>
      </c>
      <c r="GVK90" s="60"/>
      <c r="GVZ90" s="63" t="s">
        <v>879</v>
      </c>
      <c r="GWA90" s="60"/>
      <c r="GWP90" s="63" t="s">
        <v>879</v>
      </c>
      <c r="GWQ90" s="60"/>
      <c r="GXF90" s="63" t="s">
        <v>879</v>
      </c>
      <c r="GXG90" s="60"/>
      <c r="GXV90" s="63" t="s">
        <v>879</v>
      </c>
      <c r="GXW90" s="60"/>
      <c r="GYL90" s="63" t="s">
        <v>879</v>
      </c>
      <c r="GYM90" s="60"/>
      <c r="GZB90" s="63" t="s">
        <v>879</v>
      </c>
      <c r="GZC90" s="60"/>
      <c r="GZR90" s="63" t="s">
        <v>879</v>
      </c>
      <c r="GZS90" s="60"/>
      <c r="HAH90" s="63" t="s">
        <v>879</v>
      </c>
      <c r="HAI90" s="60"/>
      <c r="HAX90" s="63" t="s">
        <v>879</v>
      </c>
      <c r="HAY90" s="60"/>
      <c r="HBN90" s="63" t="s">
        <v>879</v>
      </c>
      <c r="HBO90" s="60"/>
      <c r="HCD90" s="63" t="s">
        <v>879</v>
      </c>
      <c r="HCE90" s="60"/>
      <c r="HCT90" s="63" t="s">
        <v>879</v>
      </c>
      <c r="HCU90" s="60"/>
      <c r="HDJ90" s="63" t="s">
        <v>879</v>
      </c>
      <c r="HDK90" s="60"/>
      <c r="HDZ90" s="63" t="s">
        <v>879</v>
      </c>
      <c r="HEA90" s="60"/>
      <c r="HEP90" s="63" t="s">
        <v>879</v>
      </c>
      <c r="HEQ90" s="60"/>
      <c r="HFF90" s="63" t="s">
        <v>879</v>
      </c>
      <c r="HFG90" s="60"/>
      <c r="HFV90" s="63" t="s">
        <v>879</v>
      </c>
      <c r="HFW90" s="60"/>
      <c r="HGL90" s="63" t="s">
        <v>879</v>
      </c>
      <c r="HGM90" s="60"/>
      <c r="HHB90" s="63" t="s">
        <v>879</v>
      </c>
      <c r="HHC90" s="60"/>
      <c r="HHR90" s="63" t="s">
        <v>879</v>
      </c>
      <c r="HHS90" s="60"/>
      <c r="HIH90" s="63" t="s">
        <v>879</v>
      </c>
      <c r="HII90" s="60"/>
      <c r="HIX90" s="63" t="s">
        <v>879</v>
      </c>
      <c r="HIY90" s="60"/>
      <c r="HJN90" s="63" t="s">
        <v>879</v>
      </c>
      <c r="HJO90" s="60"/>
      <c r="HKD90" s="63" t="s">
        <v>879</v>
      </c>
      <c r="HKE90" s="60"/>
      <c r="HKT90" s="63" t="s">
        <v>879</v>
      </c>
      <c r="HKU90" s="60"/>
      <c r="HLJ90" s="63" t="s">
        <v>879</v>
      </c>
      <c r="HLK90" s="60"/>
      <c r="HLZ90" s="63" t="s">
        <v>879</v>
      </c>
      <c r="HMA90" s="60"/>
      <c r="HMP90" s="63" t="s">
        <v>879</v>
      </c>
      <c r="HMQ90" s="60"/>
      <c r="HNF90" s="63" t="s">
        <v>879</v>
      </c>
      <c r="HNG90" s="60"/>
      <c r="HNV90" s="63" t="s">
        <v>879</v>
      </c>
      <c r="HNW90" s="60"/>
      <c r="HOL90" s="63" t="s">
        <v>879</v>
      </c>
      <c r="HOM90" s="60"/>
      <c r="HPB90" s="63" t="s">
        <v>879</v>
      </c>
      <c r="HPC90" s="60"/>
      <c r="HPR90" s="63" t="s">
        <v>879</v>
      </c>
      <c r="HPS90" s="60"/>
      <c r="HQH90" s="63" t="s">
        <v>879</v>
      </c>
      <c r="HQI90" s="60"/>
      <c r="HQX90" s="63" t="s">
        <v>879</v>
      </c>
      <c r="HQY90" s="60"/>
      <c r="HRN90" s="63" t="s">
        <v>879</v>
      </c>
      <c r="HRO90" s="60"/>
      <c r="HSD90" s="63" t="s">
        <v>879</v>
      </c>
      <c r="HSE90" s="60"/>
      <c r="HST90" s="63" t="s">
        <v>879</v>
      </c>
      <c r="HSU90" s="60"/>
      <c r="HTJ90" s="63" t="s">
        <v>879</v>
      </c>
      <c r="HTK90" s="60"/>
      <c r="HTZ90" s="63" t="s">
        <v>879</v>
      </c>
      <c r="HUA90" s="60"/>
      <c r="HUP90" s="63" t="s">
        <v>879</v>
      </c>
      <c r="HUQ90" s="60"/>
      <c r="HVF90" s="63" t="s">
        <v>879</v>
      </c>
      <c r="HVG90" s="60"/>
      <c r="HVV90" s="63" t="s">
        <v>879</v>
      </c>
      <c r="HVW90" s="60"/>
      <c r="HWL90" s="63" t="s">
        <v>879</v>
      </c>
      <c r="HWM90" s="60"/>
      <c r="HXB90" s="63" t="s">
        <v>879</v>
      </c>
      <c r="HXC90" s="60"/>
      <c r="HXR90" s="63" t="s">
        <v>879</v>
      </c>
      <c r="HXS90" s="60"/>
      <c r="HYH90" s="63" t="s">
        <v>879</v>
      </c>
      <c r="HYI90" s="60"/>
      <c r="HYX90" s="63" t="s">
        <v>879</v>
      </c>
      <c r="HYY90" s="60"/>
      <c r="HZN90" s="63" t="s">
        <v>879</v>
      </c>
      <c r="HZO90" s="60"/>
      <c r="IAD90" s="63" t="s">
        <v>879</v>
      </c>
      <c r="IAE90" s="60"/>
      <c r="IAT90" s="63" t="s">
        <v>879</v>
      </c>
      <c r="IAU90" s="60"/>
      <c r="IBJ90" s="63" t="s">
        <v>879</v>
      </c>
      <c r="IBK90" s="60"/>
      <c r="IBZ90" s="63" t="s">
        <v>879</v>
      </c>
      <c r="ICA90" s="60"/>
      <c r="ICP90" s="63" t="s">
        <v>879</v>
      </c>
      <c r="ICQ90" s="60"/>
      <c r="IDF90" s="63" t="s">
        <v>879</v>
      </c>
      <c r="IDG90" s="60"/>
      <c r="IDV90" s="63" t="s">
        <v>879</v>
      </c>
      <c r="IDW90" s="60"/>
      <c r="IEL90" s="63" t="s">
        <v>879</v>
      </c>
      <c r="IEM90" s="60"/>
      <c r="IFB90" s="63" t="s">
        <v>879</v>
      </c>
      <c r="IFC90" s="60"/>
      <c r="IFR90" s="63" t="s">
        <v>879</v>
      </c>
      <c r="IFS90" s="60"/>
      <c r="IGH90" s="63" t="s">
        <v>879</v>
      </c>
      <c r="IGI90" s="60"/>
      <c r="IGX90" s="63" t="s">
        <v>879</v>
      </c>
      <c r="IGY90" s="60"/>
      <c r="IHN90" s="63" t="s">
        <v>879</v>
      </c>
      <c r="IHO90" s="60"/>
      <c r="IID90" s="63" t="s">
        <v>879</v>
      </c>
      <c r="IIE90" s="60"/>
      <c r="IIT90" s="63" t="s">
        <v>879</v>
      </c>
      <c r="IIU90" s="60"/>
      <c r="IJJ90" s="63" t="s">
        <v>879</v>
      </c>
      <c r="IJK90" s="60"/>
      <c r="IJZ90" s="63" t="s">
        <v>879</v>
      </c>
      <c r="IKA90" s="60"/>
      <c r="IKP90" s="63" t="s">
        <v>879</v>
      </c>
      <c r="IKQ90" s="60"/>
      <c r="ILF90" s="63" t="s">
        <v>879</v>
      </c>
      <c r="ILG90" s="60"/>
      <c r="ILV90" s="63" t="s">
        <v>879</v>
      </c>
      <c r="ILW90" s="60"/>
      <c r="IML90" s="63" t="s">
        <v>879</v>
      </c>
      <c r="IMM90" s="60"/>
      <c r="INB90" s="63" t="s">
        <v>879</v>
      </c>
      <c r="INC90" s="60"/>
      <c r="INR90" s="63" t="s">
        <v>879</v>
      </c>
      <c r="INS90" s="60"/>
      <c r="IOH90" s="63" t="s">
        <v>879</v>
      </c>
      <c r="IOI90" s="60"/>
      <c r="IOX90" s="63" t="s">
        <v>879</v>
      </c>
      <c r="IOY90" s="60"/>
      <c r="IPN90" s="63" t="s">
        <v>879</v>
      </c>
      <c r="IPO90" s="60"/>
      <c r="IQD90" s="63" t="s">
        <v>879</v>
      </c>
      <c r="IQE90" s="60"/>
      <c r="IQT90" s="63" t="s">
        <v>879</v>
      </c>
      <c r="IQU90" s="60"/>
      <c r="IRJ90" s="63" t="s">
        <v>879</v>
      </c>
      <c r="IRK90" s="60"/>
      <c r="IRZ90" s="63" t="s">
        <v>879</v>
      </c>
      <c r="ISA90" s="60"/>
      <c r="ISP90" s="63" t="s">
        <v>879</v>
      </c>
      <c r="ISQ90" s="60"/>
      <c r="ITF90" s="63" t="s">
        <v>879</v>
      </c>
      <c r="ITG90" s="60"/>
      <c r="ITV90" s="63" t="s">
        <v>879</v>
      </c>
      <c r="ITW90" s="60"/>
      <c r="IUL90" s="63" t="s">
        <v>879</v>
      </c>
      <c r="IUM90" s="60"/>
      <c r="IVB90" s="63" t="s">
        <v>879</v>
      </c>
      <c r="IVC90" s="60"/>
      <c r="IVR90" s="63" t="s">
        <v>879</v>
      </c>
      <c r="IVS90" s="60"/>
      <c r="IWH90" s="63" t="s">
        <v>879</v>
      </c>
      <c r="IWI90" s="60"/>
      <c r="IWX90" s="63" t="s">
        <v>879</v>
      </c>
      <c r="IWY90" s="60"/>
      <c r="IXN90" s="63" t="s">
        <v>879</v>
      </c>
      <c r="IXO90" s="60"/>
      <c r="IYD90" s="63" t="s">
        <v>879</v>
      </c>
      <c r="IYE90" s="60"/>
      <c r="IYT90" s="63" t="s">
        <v>879</v>
      </c>
      <c r="IYU90" s="60"/>
      <c r="IZJ90" s="63" t="s">
        <v>879</v>
      </c>
      <c r="IZK90" s="60"/>
      <c r="IZZ90" s="63" t="s">
        <v>879</v>
      </c>
      <c r="JAA90" s="60"/>
      <c r="JAP90" s="63" t="s">
        <v>879</v>
      </c>
      <c r="JAQ90" s="60"/>
      <c r="JBF90" s="63" t="s">
        <v>879</v>
      </c>
      <c r="JBG90" s="60"/>
      <c r="JBV90" s="63" t="s">
        <v>879</v>
      </c>
      <c r="JBW90" s="60"/>
      <c r="JCL90" s="63" t="s">
        <v>879</v>
      </c>
      <c r="JCM90" s="60"/>
      <c r="JDB90" s="63" t="s">
        <v>879</v>
      </c>
      <c r="JDC90" s="60"/>
      <c r="JDR90" s="63" t="s">
        <v>879</v>
      </c>
      <c r="JDS90" s="60"/>
      <c r="JEH90" s="63" t="s">
        <v>879</v>
      </c>
      <c r="JEI90" s="60"/>
      <c r="JEX90" s="63" t="s">
        <v>879</v>
      </c>
      <c r="JEY90" s="60"/>
      <c r="JFN90" s="63" t="s">
        <v>879</v>
      </c>
      <c r="JFO90" s="60"/>
      <c r="JGD90" s="63" t="s">
        <v>879</v>
      </c>
      <c r="JGE90" s="60"/>
      <c r="JGT90" s="63" t="s">
        <v>879</v>
      </c>
      <c r="JGU90" s="60"/>
      <c r="JHJ90" s="63" t="s">
        <v>879</v>
      </c>
      <c r="JHK90" s="60"/>
      <c r="JHZ90" s="63" t="s">
        <v>879</v>
      </c>
      <c r="JIA90" s="60"/>
      <c r="JIP90" s="63" t="s">
        <v>879</v>
      </c>
      <c r="JIQ90" s="60"/>
      <c r="JJF90" s="63" t="s">
        <v>879</v>
      </c>
      <c r="JJG90" s="60"/>
      <c r="JJV90" s="63" t="s">
        <v>879</v>
      </c>
      <c r="JJW90" s="60"/>
      <c r="JKL90" s="63" t="s">
        <v>879</v>
      </c>
      <c r="JKM90" s="60"/>
      <c r="JLB90" s="63" t="s">
        <v>879</v>
      </c>
      <c r="JLC90" s="60"/>
      <c r="JLR90" s="63" t="s">
        <v>879</v>
      </c>
      <c r="JLS90" s="60"/>
      <c r="JMH90" s="63" t="s">
        <v>879</v>
      </c>
      <c r="JMI90" s="60"/>
      <c r="JMX90" s="63" t="s">
        <v>879</v>
      </c>
      <c r="JMY90" s="60"/>
      <c r="JNN90" s="63" t="s">
        <v>879</v>
      </c>
      <c r="JNO90" s="60"/>
      <c r="JOD90" s="63" t="s">
        <v>879</v>
      </c>
      <c r="JOE90" s="60"/>
      <c r="JOT90" s="63" t="s">
        <v>879</v>
      </c>
      <c r="JOU90" s="60"/>
      <c r="JPJ90" s="63" t="s">
        <v>879</v>
      </c>
      <c r="JPK90" s="60"/>
      <c r="JPZ90" s="63" t="s">
        <v>879</v>
      </c>
      <c r="JQA90" s="60"/>
      <c r="JQP90" s="63" t="s">
        <v>879</v>
      </c>
      <c r="JQQ90" s="60"/>
      <c r="JRF90" s="63" t="s">
        <v>879</v>
      </c>
      <c r="JRG90" s="60"/>
      <c r="JRV90" s="63" t="s">
        <v>879</v>
      </c>
      <c r="JRW90" s="60"/>
      <c r="JSL90" s="63" t="s">
        <v>879</v>
      </c>
      <c r="JSM90" s="60"/>
      <c r="JTB90" s="63" t="s">
        <v>879</v>
      </c>
      <c r="JTC90" s="60"/>
      <c r="JTR90" s="63" t="s">
        <v>879</v>
      </c>
      <c r="JTS90" s="60"/>
      <c r="JUH90" s="63" t="s">
        <v>879</v>
      </c>
      <c r="JUI90" s="60"/>
      <c r="JUX90" s="63" t="s">
        <v>879</v>
      </c>
      <c r="JUY90" s="60"/>
      <c r="JVN90" s="63" t="s">
        <v>879</v>
      </c>
      <c r="JVO90" s="60"/>
      <c r="JWD90" s="63" t="s">
        <v>879</v>
      </c>
      <c r="JWE90" s="60"/>
      <c r="JWT90" s="63" t="s">
        <v>879</v>
      </c>
      <c r="JWU90" s="60"/>
      <c r="JXJ90" s="63" t="s">
        <v>879</v>
      </c>
      <c r="JXK90" s="60"/>
      <c r="JXZ90" s="63" t="s">
        <v>879</v>
      </c>
      <c r="JYA90" s="60"/>
      <c r="JYP90" s="63" t="s">
        <v>879</v>
      </c>
      <c r="JYQ90" s="60"/>
      <c r="JZF90" s="63" t="s">
        <v>879</v>
      </c>
      <c r="JZG90" s="60"/>
      <c r="JZV90" s="63" t="s">
        <v>879</v>
      </c>
      <c r="JZW90" s="60"/>
      <c r="KAL90" s="63" t="s">
        <v>879</v>
      </c>
      <c r="KAM90" s="60"/>
      <c r="KBB90" s="63" t="s">
        <v>879</v>
      </c>
      <c r="KBC90" s="60"/>
      <c r="KBR90" s="63" t="s">
        <v>879</v>
      </c>
      <c r="KBS90" s="60"/>
      <c r="KCH90" s="63" t="s">
        <v>879</v>
      </c>
      <c r="KCI90" s="60"/>
      <c r="KCX90" s="63" t="s">
        <v>879</v>
      </c>
      <c r="KCY90" s="60"/>
      <c r="KDN90" s="63" t="s">
        <v>879</v>
      </c>
      <c r="KDO90" s="60"/>
      <c r="KED90" s="63" t="s">
        <v>879</v>
      </c>
      <c r="KEE90" s="60"/>
      <c r="KET90" s="63" t="s">
        <v>879</v>
      </c>
      <c r="KEU90" s="60"/>
      <c r="KFJ90" s="63" t="s">
        <v>879</v>
      </c>
      <c r="KFK90" s="60"/>
      <c r="KFZ90" s="63" t="s">
        <v>879</v>
      </c>
      <c r="KGA90" s="60"/>
      <c r="KGP90" s="63" t="s">
        <v>879</v>
      </c>
      <c r="KGQ90" s="60"/>
      <c r="KHF90" s="63" t="s">
        <v>879</v>
      </c>
      <c r="KHG90" s="60"/>
      <c r="KHV90" s="63" t="s">
        <v>879</v>
      </c>
      <c r="KHW90" s="60"/>
      <c r="KIL90" s="63" t="s">
        <v>879</v>
      </c>
      <c r="KIM90" s="60"/>
      <c r="KJB90" s="63" t="s">
        <v>879</v>
      </c>
      <c r="KJC90" s="60"/>
      <c r="KJR90" s="63" t="s">
        <v>879</v>
      </c>
      <c r="KJS90" s="60"/>
      <c r="KKH90" s="63" t="s">
        <v>879</v>
      </c>
      <c r="KKI90" s="60"/>
      <c r="KKX90" s="63" t="s">
        <v>879</v>
      </c>
      <c r="KKY90" s="60"/>
      <c r="KLN90" s="63" t="s">
        <v>879</v>
      </c>
      <c r="KLO90" s="60"/>
      <c r="KMD90" s="63" t="s">
        <v>879</v>
      </c>
      <c r="KME90" s="60"/>
      <c r="KMT90" s="63" t="s">
        <v>879</v>
      </c>
      <c r="KMU90" s="60"/>
      <c r="KNJ90" s="63" t="s">
        <v>879</v>
      </c>
      <c r="KNK90" s="60"/>
      <c r="KNZ90" s="63" t="s">
        <v>879</v>
      </c>
      <c r="KOA90" s="60"/>
      <c r="KOP90" s="63" t="s">
        <v>879</v>
      </c>
      <c r="KOQ90" s="60"/>
      <c r="KPF90" s="63" t="s">
        <v>879</v>
      </c>
      <c r="KPG90" s="60"/>
      <c r="KPV90" s="63" t="s">
        <v>879</v>
      </c>
      <c r="KPW90" s="60"/>
      <c r="KQL90" s="63" t="s">
        <v>879</v>
      </c>
      <c r="KQM90" s="60"/>
      <c r="KRB90" s="63" t="s">
        <v>879</v>
      </c>
      <c r="KRC90" s="60"/>
      <c r="KRR90" s="63" t="s">
        <v>879</v>
      </c>
      <c r="KRS90" s="60"/>
      <c r="KSH90" s="63" t="s">
        <v>879</v>
      </c>
      <c r="KSI90" s="60"/>
      <c r="KSX90" s="63" t="s">
        <v>879</v>
      </c>
      <c r="KSY90" s="60"/>
      <c r="KTN90" s="63" t="s">
        <v>879</v>
      </c>
      <c r="KTO90" s="60"/>
      <c r="KUD90" s="63" t="s">
        <v>879</v>
      </c>
      <c r="KUE90" s="60"/>
      <c r="KUT90" s="63" t="s">
        <v>879</v>
      </c>
      <c r="KUU90" s="60"/>
      <c r="KVJ90" s="63" t="s">
        <v>879</v>
      </c>
      <c r="KVK90" s="60"/>
      <c r="KVZ90" s="63" t="s">
        <v>879</v>
      </c>
      <c r="KWA90" s="60"/>
      <c r="KWP90" s="63" t="s">
        <v>879</v>
      </c>
      <c r="KWQ90" s="60"/>
      <c r="KXF90" s="63" t="s">
        <v>879</v>
      </c>
      <c r="KXG90" s="60"/>
      <c r="KXV90" s="63" t="s">
        <v>879</v>
      </c>
      <c r="KXW90" s="60"/>
      <c r="KYL90" s="63" t="s">
        <v>879</v>
      </c>
      <c r="KYM90" s="60"/>
      <c r="KZB90" s="63" t="s">
        <v>879</v>
      </c>
      <c r="KZC90" s="60"/>
      <c r="KZR90" s="63" t="s">
        <v>879</v>
      </c>
      <c r="KZS90" s="60"/>
      <c r="LAH90" s="63" t="s">
        <v>879</v>
      </c>
      <c r="LAI90" s="60"/>
      <c r="LAX90" s="63" t="s">
        <v>879</v>
      </c>
      <c r="LAY90" s="60"/>
      <c r="LBN90" s="63" t="s">
        <v>879</v>
      </c>
      <c r="LBO90" s="60"/>
      <c r="LCD90" s="63" t="s">
        <v>879</v>
      </c>
      <c r="LCE90" s="60"/>
      <c r="LCT90" s="63" t="s">
        <v>879</v>
      </c>
      <c r="LCU90" s="60"/>
      <c r="LDJ90" s="63" t="s">
        <v>879</v>
      </c>
      <c r="LDK90" s="60"/>
      <c r="LDZ90" s="63" t="s">
        <v>879</v>
      </c>
      <c r="LEA90" s="60"/>
      <c r="LEP90" s="63" t="s">
        <v>879</v>
      </c>
      <c r="LEQ90" s="60"/>
      <c r="LFF90" s="63" t="s">
        <v>879</v>
      </c>
      <c r="LFG90" s="60"/>
      <c r="LFV90" s="63" t="s">
        <v>879</v>
      </c>
      <c r="LFW90" s="60"/>
      <c r="LGL90" s="63" t="s">
        <v>879</v>
      </c>
      <c r="LGM90" s="60"/>
      <c r="LHB90" s="63" t="s">
        <v>879</v>
      </c>
      <c r="LHC90" s="60"/>
      <c r="LHR90" s="63" t="s">
        <v>879</v>
      </c>
      <c r="LHS90" s="60"/>
      <c r="LIH90" s="63" t="s">
        <v>879</v>
      </c>
      <c r="LII90" s="60"/>
      <c r="LIX90" s="63" t="s">
        <v>879</v>
      </c>
      <c r="LIY90" s="60"/>
      <c r="LJN90" s="63" t="s">
        <v>879</v>
      </c>
      <c r="LJO90" s="60"/>
      <c r="LKD90" s="63" t="s">
        <v>879</v>
      </c>
      <c r="LKE90" s="60"/>
      <c r="LKT90" s="63" t="s">
        <v>879</v>
      </c>
      <c r="LKU90" s="60"/>
      <c r="LLJ90" s="63" t="s">
        <v>879</v>
      </c>
      <c r="LLK90" s="60"/>
      <c r="LLZ90" s="63" t="s">
        <v>879</v>
      </c>
      <c r="LMA90" s="60"/>
      <c r="LMP90" s="63" t="s">
        <v>879</v>
      </c>
      <c r="LMQ90" s="60"/>
      <c r="LNF90" s="63" t="s">
        <v>879</v>
      </c>
      <c r="LNG90" s="60"/>
      <c r="LNV90" s="63" t="s">
        <v>879</v>
      </c>
      <c r="LNW90" s="60"/>
      <c r="LOL90" s="63" t="s">
        <v>879</v>
      </c>
      <c r="LOM90" s="60"/>
      <c r="LPB90" s="63" t="s">
        <v>879</v>
      </c>
      <c r="LPC90" s="60"/>
      <c r="LPR90" s="63" t="s">
        <v>879</v>
      </c>
      <c r="LPS90" s="60"/>
      <c r="LQH90" s="63" t="s">
        <v>879</v>
      </c>
      <c r="LQI90" s="60"/>
      <c r="LQX90" s="63" t="s">
        <v>879</v>
      </c>
      <c r="LQY90" s="60"/>
      <c r="LRN90" s="63" t="s">
        <v>879</v>
      </c>
      <c r="LRO90" s="60"/>
      <c r="LSD90" s="63" t="s">
        <v>879</v>
      </c>
      <c r="LSE90" s="60"/>
      <c r="LST90" s="63" t="s">
        <v>879</v>
      </c>
      <c r="LSU90" s="60"/>
      <c r="LTJ90" s="63" t="s">
        <v>879</v>
      </c>
      <c r="LTK90" s="60"/>
      <c r="LTZ90" s="63" t="s">
        <v>879</v>
      </c>
      <c r="LUA90" s="60"/>
      <c r="LUP90" s="63" t="s">
        <v>879</v>
      </c>
      <c r="LUQ90" s="60"/>
      <c r="LVF90" s="63" t="s">
        <v>879</v>
      </c>
      <c r="LVG90" s="60"/>
      <c r="LVV90" s="63" t="s">
        <v>879</v>
      </c>
      <c r="LVW90" s="60"/>
      <c r="LWL90" s="63" t="s">
        <v>879</v>
      </c>
      <c r="LWM90" s="60"/>
      <c r="LXB90" s="63" t="s">
        <v>879</v>
      </c>
      <c r="LXC90" s="60"/>
      <c r="LXR90" s="63" t="s">
        <v>879</v>
      </c>
      <c r="LXS90" s="60"/>
      <c r="LYH90" s="63" t="s">
        <v>879</v>
      </c>
      <c r="LYI90" s="60"/>
      <c r="LYX90" s="63" t="s">
        <v>879</v>
      </c>
      <c r="LYY90" s="60"/>
      <c r="LZN90" s="63" t="s">
        <v>879</v>
      </c>
      <c r="LZO90" s="60"/>
      <c r="MAD90" s="63" t="s">
        <v>879</v>
      </c>
      <c r="MAE90" s="60"/>
      <c r="MAT90" s="63" t="s">
        <v>879</v>
      </c>
      <c r="MAU90" s="60"/>
      <c r="MBJ90" s="63" t="s">
        <v>879</v>
      </c>
      <c r="MBK90" s="60"/>
      <c r="MBZ90" s="63" t="s">
        <v>879</v>
      </c>
      <c r="MCA90" s="60"/>
      <c r="MCP90" s="63" t="s">
        <v>879</v>
      </c>
      <c r="MCQ90" s="60"/>
      <c r="MDF90" s="63" t="s">
        <v>879</v>
      </c>
      <c r="MDG90" s="60"/>
      <c r="MDV90" s="63" t="s">
        <v>879</v>
      </c>
      <c r="MDW90" s="60"/>
      <c r="MEL90" s="63" t="s">
        <v>879</v>
      </c>
      <c r="MEM90" s="60"/>
      <c r="MFB90" s="63" t="s">
        <v>879</v>
      </c>
      <c r="MFC90" s="60"/>
      <c r="MFR90" s="63" t="s">
        <v>879</v>
      </c>
      <c r="MFS90" s="60"/>
      <c r="MGH90" s="63" t="s">
        <v>879</v>
      </c>
      <c r="MGI90" s="60"/>
      <c r="MGX90" s="63" t="s">
        <v>879</v>
      </c>
      <c r="MGY90" s="60"/>
      <c r="MHN90" s="63" t="s">
        <v>879</v>
      </c>
      <c r="MHO90" s="60"/>
      <c r="MID90" s="63" t="s">
        <v>879</v>
      </c>
      <c r="MIE90" s="60"/>
      <c r="MIT90" s="63" t="s">
        <v>879</v>
      </c>
      <c r="MIU90" s="60"/>
      <c r="MJJ90" s="63" t="s">
        <v>879</v>
      </c>
      <c r="MJK90" s="60"/>
      <c r="MJZ90" s="63" t="s">
        <v>879</v>
      </c>
      <c r="MKA90" s="60"/>
      <c r="MKP90" s="63" t="s">
        <v>879</v>
      </c>
      <c r="MKQ90" s="60"/>
      <c r="MLF90" s="63" t="s">
        <v>879</v>
      </c>
      <c r="MLG90" s="60"/>
      <c r="MLV90" s="63" t="s">
        <v>879</v>
      </c>
      <c r="MLW90" s="60"/>
      <c r="MML90" s="63" t="s">
        <v>879</v>
      </c>
      <c r="MMM90" s="60"/>
      <c r="MNB90" s="63" t="s">
        <v>879</v>
      </c>
      <c r="MNC90" s="60"/>
      <c r="MNR90" s="63" t="s">
        <v>879</v>
      </c>
      <c r="MNS90" s="60"/>
      <c r="MOH90" s="63" t="s">
        <v>879</v>
      </c>
      <c r="MOI90" s="60"/>
      <c r="MOX90" s="63" t="s">
        <v>879</v>
      </c>
      <c r="MOY90" s="60"/>
      <c r="MPN90" s="63" t="s">
        <v>879</v>
      </c>
      <c r="MPO90" s="60"/>
      <c r="MQD90" s="63" t="s">
        <v>879</v>
      </c>
      <c r="MQE90" s="60"/>
      <c r="MQT90" s="63" t="s">
        <v>879</v>
      </c>
      <c r="MQU90" s="60"/>
      <c r="MRJ90" s="63" t="s">
        <v>879</v>
      </c>
      <c r="MRK90" s="60"/>
      <c r="MRZ90" s="63" t="s">
        <v>879</v>
      </c>
      <c r="MSA90" s="60"/>
      <c r="MSP90" s="63" t="s">
        <v>879</v>
      </c>
      <c r="MSQ90" s="60"/>
      <c r="MTF90" s="63" t="s">
        <v>879</v>
      </c>
      <c r="MTG90" s="60"/>
      <c r="MTV90" s="63" t="s">
        <v>879</v>
      </c>
      <c r="MTW90" s="60"/>
      <c r="MUL90" s="63" t="s">
        <v>879</v>
      </c>
      <c r="MUM90" s="60"/>
      <c r="MVB90" s="63" t="s">
        <v>879</v>
      </c>
      <c r="MVC90" s="60"/>
      <c r="MVR90" s="63" t="s">
        <v>879</v>
      </c>
      <c r="MVS90" s="60"/>
      <c r="MWH90" s="63" t="s">
        <v>879</v>
      </c>
      <c r="MWI90" s="60"/>
      <c r="MWX90" s="63" t="s">
        <v>879</v>
      </c>
      <c r="MWY90" s="60"/>
      <c r="MXN90" s="63" t="s">
        <v>879</v>
      </c>
      <c r="MXO90" s="60"/>
      <c r="MYD90" s="63" t="s">
        <v>879</v>
      </c>
      <c r="MYE90" s="60"/>
      <c r="MYT90" s="63" t="s">
        <v>879</v>
      </c>
      <c r="MYU90" s="60"/>
      <c r="MZJ90" s="63" t="s">
        <v>879</v>
      </c>
      <c r="MZK90" s="60"/>
      <c r="MZZ90" s="63" t="s">
        <v>879</v>
      </c>
      <c r="NAA90" s="60"/>
      <c r="NAP90" s="63" t="s">
        <v>879</v>
      </c>
      <c r="NAQ90" s="60"/>
      <c r="NBF90" s="63" t="s">
        <v>879</v>
      </c>
      <c r="NBG90" s="60"/>
      <c r="NBV90" s="63" t="s">
        <v>879</v>
      </c>
      <c r="NBW90" s="60"/>
      <c r="NCL90" s="63" t="s">
        <v>879</v>
      </c>
      <c r="NCM90" s="60"/>
      <c r="NDB90" s="63" t="s">
        <v>879</v>
      </c>
      <c r="NDC90" s="60"/>
      <c r="NDR90" s="63" t="s">
        <v>879</v>
      </c>
      <c r="NDS90" s="60"/>
      <c r="NEH90" s="63" t="s">
        <v>879</v>
      </c>
      <c r="NEI90" s="60"/>
      <c r="NEX90" s="63" t="s">
        <v>879</v>
      </c>
      <c r="NEY90" s="60"/>
      <c r="NFN90" s="63" t="s">
        <v>879</v>
      </c>
      <c r="NFO90" s="60"/>
      <c r="NGD90" s="63" t="s">
        <v>879</v>
      </c>
      <c r="NGE90" s="60"/>
      <c r="NGT90" s="63" t="s">
        <v>879</v>
      </c>
      <c r="NGU90" s="60"/>
      <c r="NHJ90" s="63" t="s">
        <v>879</v>
      </c>
      <c r="NHK90" s="60"/>
      <c r="NHZ90" s="63" t="s">
        <v>879</v>
      </c>
      <c r="NIA90" s="60"/>
      <c r="NIP90" s="63" t="s">
        <v>879</v>
      </c>
      <c r="NIQ90" s="60"/>
      <c r="NJF90" s="63" t="s">
        <v>879</v>
      </c>
      <c r="NJG90" s="60"/>
      <c r="NJV90" s="63" t="s">
        <v>879</v>
      </c>
      <c r="NJW90" s="60"/>
      <c r="NKL90" s="63" t="s">
        <v>879</v>
      </c>
      <c r="NKM90" s="60"/>
      <c r="NLB90" s="63" t="s">
        <v>879</v>
      </c>
      <c r="NLC90" s="60"/>
      <c r="NLR90" s="63" t="s">
        <v>879</v>
      </c>
      <c r="NLS90" s="60"/>
      <c r="NMH90" s="63" t="s">
        <v>879</v>
      </c>
      <c r="NMI90" s="60"/>
      <c r="NMX90" s="63" t="s">
        <v>879</v>
      </c>
      <c r="NMY90" s="60"/>
      <c r="NNN90" s="63" t="s">
        <v>879</v>
      </c>
      <c r="NNO90" s="60"/>
      <c r="NOD90" s="63" t="s">
        <v>879</v>
      </c>
      <c r="NOE90" s="60"/>
      <c r="NOT90" s="63" t="s">
        <v>879</v>
      </c>
      <c r="NOU90" s="60"/>
      <c r="NPJ90" s="63" t="s">
        <v>879</v>
      </c>
      <c r="NPK90" s="60"/>
      <c r="NPZ90" s="63" t="s">
        <v>879</v>
      </c>
      <c r="NQA90" s="60"/>
      <c r="NQP90" s="63" t="s">
        <v>879</v>
      </c>
      <c r="NQQ90" s="60"/>
      <c r="NRF90" s="63" t="s">
        <v>879</v>
      </c>
      <c r="NRG90" s="60"/>
      <c r="NRV90" s="63" t="s">
        <v>879</v>
      </c>
      <c r="NRW90" s="60"/>
      <c r="NSL90" s="63" t="s">
        <v>879</v>
      </c>
      <c r="NSM90" s="60"/>
      <c r="NTB90" s="63" t="s">
        <v>879</v>
      </c>
      <c r="NTC90" s="60"/>
      <c r="NTR90" s="63" t="s">
        <v>879</v>
      </c>
      <c r="NTS90" s="60"/>
      <c r="NUH90" s="63" t="s">
        <v>879</v>
      </c>
      <c r="NUI90" s="60"/>
      <c r="NUX90" s="63" t="s">
        <v>879</v>
      </c>
      <c r="NUY90" s="60"/>
      <c r="NVN90" s="63" t="s">
        <v>879</v>
      </c>
      <c r="NVO90" s="60"/>
      <c r="NWD90" s="63" t="s">
        <v>879</v>
      </c>
      <c r="NWE90" s="60"/>
      <c r="NWT90" s="63" t="s">
        <v>879</v>
      </c>
      <c r="NWU90" s="60"/>
      <c r="NXJ90" s="63" t="s">
        <v>879</v>
      </c>
      <c r="NXK90" s="60"/>
      <c r="NXZ90" s="63" t="s">
        <v>879</v>
      </c>
      <c r="NYA90" s="60"/>
      <c r="NYP90" s="63" t="s">
        <v>879</v>
      </c>
      <c r="NYQ90" s="60"/>
      <c r="NZF90" s="63" t="s">
        <v>879</v>
      </c>
      <c r="NZG90" s="60"/>
      <c r="NZV90" s="63" t="s">
        <v>879</v>
      </c>
      <c r="NZW90" s="60"/>
      <c r="OAL90" s="63" t="s">
        <v>879</v>
      </c>
      <c r="OAM90" s="60"/>
      <c r="OBB90" s="63" t="s">
        <v>879</v>
      </c>
      <c r="OBC90" s="60"/>
      <c r="OBR90" s="63" t="s">
        <v>879</v>
      </c>
      <c r="OBS90" s="60"/>
      <c r="OCH90" s="63" t="s">
        <v>879</v>
      </c>
      <c r="OCI90" s="60"/>
      <c r="OCX90" s="63" t="s">
        <v>879</v>
      </c>
      <c r="OCY90" s="60"/>
      <c r="ODN90" s="63" t="s">
        <v>879</v>
      </c>
      <c r="ODO90" s="60"/>
      <c r="OED90" s="63" t="s">
        <v>879</v>
      </c>
      <c r="OEE90" s="60"/>
      <c r="OET90" s="63" t="s">
        <v>879</v>
      </c>
      <c r="OEU90" s="60"/>
      <c r="OFJ90" s="63" t="s">
        <v>879</v>
      </c>
      <c r="OFK90" s="60"/>
      <c r="OFZ90" s="63" t="s">
        <v>879</v>
      </c>
      <c r="OGA90" s="60"/>
      <c r="OGP90" s="63" t="s">
        <v>879</v>
      </c>
      <c r="OGQ90" s="60"/>
      <c r="OHF90" s="63" t="s">
        <v>879</v>
      </c>
      <c r="OHG90" s="60"/>
      <c r="OHV90" s="63" t="s">
        <v>879</v>
      </c>
      <c r="OHW90" s="60"/>
      <c r="OIL90" s="63" t="s">
        <v>879</v>
      </c>
      <c r="OIM90" s="60"/>
      <c r="OJB90" s="63" t="s">
        <v>879</v>
      </c>
      <c r="OJC90" s="60"/>
      <c r="OJR90" s="63" t="s">
        <v>879</v>
      </c>
      <c r="OJS90" s="60"/>
      <c r="OKH90" s="63" t="s">
        <v>879</v>
      </c>
      <c r="OKI90" s="60"/>
      <c r="OKX90" s="63" t="s">
        <v>879</v>
      </c>
      <c r="OKY90" s="60"/>
      <c r="OLN90" s="63" t="s">
        <v>879</v>
      </c>
      <c r="OLO90" s="60"/>
      <c r="OMD90" s="63" t="s">
        <v>879</v>
      </c>
      <c r="OME90" s="60"/>
      <c r="OMT90" s="63" t="s">
        <v>879</v>
      </c>
      <c r="OMU90" s="60"/>
      <c r="ONJ90" s="63" t="s">
        <v>879</v>
      </c>
      <c r="ONK90" s="60"/>
      <c r="ONZ90" s="63" t="s">
        <v>879</v>
      </c>
      <c r="OOA90" s="60"/>
      <c r="OOP90" s="63" t="s">
        <v>879</v>
      </c>
      <c r="OOQ90" s="60"/>
      <c r="OPF90" s="63" t="s">
        <v>879</v>
      </c>
      <c r="OPG90" s="60"/>
      <c r="OPV90" s="63" t="s">
        <v>879</v>
      </c>
      <c r="OPW90" s="60"/>
      <c r="OQL90" s="63" t="s">
        <v>879</v>
      </c>
      <c r="OQM90" s="60"/>
      <c r="ORB90" s="63" t="s">
        <v>879</v>
      </c>
      <c r="ORC90" s="60"/>
      <c r="ORR90" s="63" t="s">
        <v>879</v>
      </c>
      <c r="ORS90" s="60"/>
      <c r="OSH90" s="63" t="s">
        <v>879</v>
      </c>
      <c r="OSI90" s="60"/>
      <c r="OSX90" s="63" t="s">
        <v>879</v>
      </c>
      <c r="OSY90" s="60"/>
      <c r="OTN90" s="63" t="s">
        <v>879</v>
      </c>
      <c r="OTO90" s="60"/>
      <c r="OUD90" s="63" t="s">
        <v>879</v>
      </c>
      <c r="OUE90" s="60"/>
      <c r="OUT90" s="63" t="s">
        <v>879</v>
      </c>
      <c r="OUU90" s="60"/>
      <c r="OVJ90" s="63" t="s">
        <v>879</v>
      </c>
      <c r="OVK90" s="60"/>
      <c r="OVZ90" s="63" t="s">
        <v>879</v>
      </c>
      <c r="OWA90" s="60"/>
      <c r="OWP90" s="63" t="s">
        <v>879</v>
      </c>
      <c r="OWQ90" s="60"/>
      <c r="OXF90" s="63" t="s">
        <v>879</v>
      </c>
      <c r="OXG90" s="60"/>
      <c r="OXV90" s="63" t="s">
        <v>879</v>
      </c>
      <c r="OXW90" s="60"/>
      <c r="OYL90" s="63" t="s">
        <v>879</v>
      </c>
      <c r="OYM90" s="60"/>
      <c r="OZB90" s="63" t="s">
        <v>879</v>
      </c>
      <c r="OZC90" s="60"/>
      <c r="OZR90" s="63" t="s">
        <v>879</v>
      </c>
      <c r="OZS90" s="60"/>
      <c r="PAH90" s="63" t="s">
        <v>879</v>
      </c>
      <c r="PAI90" s="60"/>
      <c r="PAX90" s="63" t="s">
        <v>879</v>
      </c>
      <c r="PAY90" s="60"/>
      <c r="PBN90" s="63" t="s">
        <v>879</v>
      </c>
      <c r="PBO90" s="60"/>
      <c r="PCD90" s="63" t="s">
        <v>879</v>
      </c>
      <c r="PCE90" s="60"/>
      <c r="PCT90" s="63" t="s">
        <v>879</v>
      </c>
      <c r="PCU90" s="60"/>
      <c r="PDJ90" s="63" t="s">
        <v>879</v>
      </c>
      <c r="PDK90" s="60"/>
      <c r="PDZ90" s="63" t="s">
        <v>879</v>
      </c>
      <c r="PEA90" s="60"/>
      <c r="PEP90" s="63" t="s">
        <v>879</v>
      </c>
      <c r="PEQ90" s="60"/>
      <c r="PFF90" s="63" t="s">
        <v>879</v>
      </c>
      <c r="PFG90" s="60"/>
      <c r="PFV90" s="63" t="s">
        <v>879</v>
      </c>
      <c r="PFW90" s="60"/>
      <c r="PGL90" s="63" t="s">
        <v>879</v>
      </c>
      <c r="PGM90" s="60"/>
      <c r="PHB90" s="63" t="s">
        <v>879</v>
      </c>
      <c r="PHC90" s="60"/>
      <c r="PHR90" s="63" t="s">
        <v>879</v>
      </c>
      <c r="PHS90" s="60"/>
      <c r="PIH90" s="63" t="s">
        <v>879</v>
      </c>
      <c r="PII90" s="60"/>
      <c r="PIX90" s="63" t="s">
        <v>879</v>
      </c>
      <c r="PIY90" s="60"/>
      <c r="PJN90" s="63" t="s">
        <v>879</v>
      </c>
      <c r="PJO90" s="60"/>
      <c r="PKD90" s="63" t="s">
        <v>879</v>
      </c>
      <c r="PKE90" s="60"/>
      <c r="PKT90" s="63" t="s">
        <v>879</v>
      </c>
      <c r="PKU90" s="60"/>
      <c r="PLJ90" s="63" t="s">
        <v>879</v>
      </c>
      <c r="PLK90" s="60"/>
      <c r="PLZ90" s="63" t="s">
        <v>879</v>
      </c>
      <c r="PMA90" s="60"/>
      <c r="PMP90" s="63" t="s">
        <v>879</v>
      </c>
      <c r="PMQ90" s="60"/>
      <c r="PNF90" s="63" t="s">
        <v>879</v>
      </c>
      <c r="PNG90" s="60"/>
      <c r="PNV90" s="63" t="s">
        <v>879</v>
      </c>
      <c r="PNW90" s="60"/>
      <c r="POL90" s="63" t="s">
        <v>879</v>
      </c>
      <c r="POM90" s="60"/>
      <c r="PPB90" s="63" t="s">
        <v>879</v>
      </c>
      <c r="PPC90" s="60"/>
      <c r="PPR90" s="63" t="s">
        <v>879</v>
      </c>
      <c r="PPS90" s="60"/>
      <c r="PQH90" s="63" t="s">
        <v>879</v>
      </c>
      <c r="PQI90" s="60"/>
      <c r="PQX90" s="63" t="s">
        <v>879</v>
      </c>
      <c r="PQY90" s="60"/>
      <c r="PRN90" s="63" t="s">
        <v>879</v>
      </c>
      <c r="PRO90" s="60"/>
      <c r="PSD90" s="63" t="s">
        <v>879</v>
      </c>
      <c r="PSE90" s="60"/>
      <c r="PST90" s="63" t="s">
        <v>879</v>
      </c>
      <c r="PSU90" s="60"/>
      <c r="PTJ90" s="63" t="s">
        <v>879</v>
      </c>
      <c r="PTK90" s="60"/>
      <c r="PTZ90" s="63" t="s">
        <v>879</v>
      </c>
      <c r="PUA90" s="60"/>
      <c r="PUP90" s="63" t="s">
        <v>879</v>
      </c>
      <c r="PUQ90" s="60"/>
      <c r="PVF90" s="63" t="s">
        <v>879</v>
      </c>
      <c r="PVG90" s="60"/>
      <c r="PVV90" s="63" t="s">
        <v>879</v>
      </c>
      <c r="PVW90" s="60"/>
      <c r="PWL90" s="63" t="s">
        <v>879</v>
      </c>
      <c r="PWM90" s="60"/>
      <c r="PXB90" s="63" t="s">
        <v>879</v>
      </c>
      <c r="PXC90" s="60"/>
      <c r="PXR90" s="63" t="s">
        <v>879</v>
      </c>
      <c r="PXS90" s="60"/>
      <c r="PYH90" s="63" t="s">
        <v>879</v>
      </c>
      <c r="PYI90" s="60"/>
      <c r="PYX90" s="63" t="s">
        <v>879</v>
      </c>
      <c r="PYY90" s="60"/>
      <c r="PZN90" s="63" t="s">
        <v>879</v>
      </c>
      <c r="PZO90" s="60"/>
      <c r="QAD90" s="63" t="s">
        <v>879</v>
      </c>
      <c r="QAE90" s="60"/>
      <c r="QAT90" s="63" t="s">
        <v>879</v>
      </c>
      <c r="QAU90" s="60"/>
      <c r="QBJ90" s="63" t="s">
        <v>879</v>
      </c>
      <c r="QBK90" s="60"/>
      <c r="QBZ90" s="63" t="s">
        <v>879</v>
      </c>
      <c r="QCA90" s="60"/>
      <c r="QCP90" s="63" t="s">
        <v>879</v>
      </c>
      <c r="QCQ90" s="60"/>
      <c r="QDF90" s="63" t="s">
        <v>879</v>
      </c>
      <c r="QDG90" s="60"/>
      <c r="QDV90" s="63" t="s">
        <v>879</v>
      </c>
      <c r="QDW90" s="60"/>
      <c r="QEL90" s="63" t="s">
        <v>879</v>
      </c>
      <c r="QEM90" s="60"/>
      <c r="QFB90" s="63" t="s">
        <v>879</v>
      </c>
      <c r="QFC90" s="60"/>
      <c r="QFR90" s="63" t="s">
        <v>879</v>
      </c>
      <c r="QFS90" s="60"/>
      <c r="QGH90" s="63" t="s">
        <v>879</v>
      </c>
      <c r="QGI90" s="60"/>
      <c r="QGX90" s="63" t="s">
        <v>879</v>
      </c>
      <c r="QGY90" s="60"/>
      <c r="QHN90" s="63" t="s">
        <v>879</v>
      </c>
      <c r="QHO90" s="60"/>
      <c r="QID90" s="63" t="s">
        <v>879</v>
      </c>
      <c r="QIE90" s="60"/>
      <c r="QIT90" s="63" t="s">
        <v>879</v>
      </c>
      <c r="QIU90" s="60"/>
      <c r="QJJ90" s="63" t="s">
        <v>879</v>
      </c>
      <c r="QJK90" s="60"/>
      <c r="QJZ90" s="63" t="s">
        <v>879</v>
      </c>
      <c r="QKA90" s="60"/>
      <c r="QKP90" s="63" t="s">
        <v>879</v>
      </c>
      <c r="QKQ90" s="60"/>
      <c r="QLF90" s="63" t="s">
        <v>879</v>
      </c>
      <c r="QLG90" s="60"/>
      <c r="QLV90" s="63" t="s">
        <v>879</v>
      </c>
      <c r="QLW90" s="60"/>
      <c r="QML90" s="63" t="s">
        <v>879</v>
      </c>
      <c r="QMM90" s="60"/>
      <c r="QNB90" s="63" t="s">
        <v>879</v>
      </c>
      <c r="QNC90" s="60"/>
      <c r="QNR90" s="63" t="s">
        <v>879</v>
      </c>
      <c r="QNS90" s="60"/>
      <c r="QOH90" s="63" t="s">
        <v>879</v>
      </c>
      <c r="QOI90" s="60"/>
      <c r="QOX90" s="63" t="s">
        <v>879</v>
      </c>
      <c r="QOY90" s="60"/>
      <c r="QPN90" s="63" t="s">
        <v>879</v>
      </c>
      <c r="QPO90" s="60"/>
      <c r="QQD90" s="63" t="s">
        <v>879</v>
      </c>
      <c r="QQE90" s="60"/>
      <c r="QQT90" s="63" t="s">
        <v>879</v>
      </c>
      <c r="QQU90" s="60"/>
      <c r="QRJ90" s="63" t="s">
        <v>879</v>
      </c>
      <c r="QRK90" s="60"/>
      <c r="QRZ90" s="63" t="s">
        <v>879</v>
      </c>
      <c r="QSA90" s="60"/>
      <c r="QSP90" s="63" t="s">
        <v>879</v>
      </c>
      <c r="QSQ90" s="60"/>
      <c r="QTF90" s="63" t="s">
        <v>879</v>
      </c>
      <c r="QTG90" s="60"/>
      <c r="QTV90" s="63" t="s">
        <v>879</v>
      </c>
      <c r="QTW90" s="60"/>
      <c r="QUL90" s="63" t="s">
        <v>879</v>
      </c>
      <c r="QUM90" s="60"/>
      <c r="QVB90" s="63" t="s">
        <v>879</v>
      </c>
      <c r="QVC90" s="60"/>
      <c r="QVR90" s="63" t="s">
        <v>879</v>
      </c>
      <c r="QVS90" s="60"/>
      <c r="QWH90" s="63" t="s">
        <v>879</v>
      </c>
      <c r="QWI90" s="60"/>
      <c r="QWX90" s="63" t="s">
        <v>879</v>
      </c>
      <c r="QWY90" s="60"/>
      <c r="QXN90" s="63" t="s">
        <v>879</v>
      </c>
      <c r="QXO90" s="60"/>
      <c r="QYD90" s="63" t="s">
        <v>879</v>
      </c>
      <c r="QYE90" s="60"/>
      <c r="QYT90" s="63" t="s">
        <v>879</v>
      </c>
      <c r="QYU90" s="60"/>
      <c r="QZJ90" s="63" t="s">
        <v>879</v>
      </c>
      <c r="QZK90" s="60"/>
      <c r="QZZ90" s="63" t="s">
        <v>879</v>
      </c>
      <c r="RAA90" s="60"/>
      <c r="RAP90" s="63" t="s">
        <v>879</v>
      </c>
      <c r="RAQ90" s="60"/>
      <c r="RBF90" s="63" t="s">
        <v>879</v>
      </c>
      <c r="RBG90" s="60"/>
      <c r="RBV90" s="63" t="s">
        <v>879</v>
      </c>
      <c r="RBW90" s="60"/>
      <c r="RCL90" s="63" t="s">
        <v>879</v>
      </c>
      <c r="RCM90" s="60"/>
      <c r="RDB90" s="63" t="s">
        <v>879</v>
      </c>
      <c r="RDC90" s="60"/>
      <c r="RDR90" s="63" t="s">
        <v>879</v>
      </c>
      <c r="RDS90" s="60"/>
      <c r="REH90" s="63" t="s">
        <v>879</v>
      </c>
      <c r="REI90" s="60"/>
      <c r="REX90" s="63" t="s">
        <v>879</v>
      </c>
      <c r="REY90" s="60"/>
      <c r="RFN90" s="63" t="s">
        <v>879</v>
      </c>
      <c r="RFO90" s="60"/>
      <c r="RGD90" s="63" t="s">
        <v>879</v>
      </c>
      <c r="RGE90" s="60"/>
      <c r="RGT90" s="63" t="s">
        <v>879</v>
      </c>
      <c r="RGU90" s="60"/>
      <c r="RHJ90" s="63" t="s">
        <v>879</v>
      </c>
      <c r="RHK90" s="60"/>
      <c r="RHZ90" s="63" t="s">
        <v>879</v>
      </c>
      <c r="RIA90" s="60"/>
      <c r="RIP90" s="63" t="s">
        <v>879</v>
      </c>
      <c r="RIQ90" s="60"/>
      <c r="RJF90" s="63" t="s">
        <v>879</v>
      </c>
      <c r="RJG90" s="60"/>
      <c r="RJV90" s="63" t="s">
        <v>879</v>
      </c>
      <c r="RJW90" s="60"/>
      <c r="RKL90" s="63" t="s">
        <v>879</v>
      </c>
      <c r="RKM90" s="60"/>
      <c r="RLB90" s="63" t="s">
        <v>879</v>
      </c>
      <c r="RLC90" s="60"/>
      <c r="RLR90" s="63" t="s">
        <v>879</v>
      </c>
      <c r="RLS90" s="60"/>
      <c r="RMH90" s="63" t="s">
        <v>879</v>
      </c>
      <c r="RMI90" s="60"/>
      <c r="RMX90" s="63" t="s">
        <v>879</v>
      </c>
      <c r="RMY90" s="60"/>
      <c r="RNN90" s="63" t="s">
        <v>879</v>
      </c>
      <c r="RNO90" s="60"/>
      <c r="ROD90" s="63" t="s">
        <v>879</v>
      </c>
      <c r="ROE90" s="60"/>
      <c r="ROT90" s="63" t="s">
        <v>879</v>
      </c>
      <c r="ROU90" s="60"/>
      <c r="RPJ90" s="63" t="s">
        <v>879</v>
      </c>
      <c r="RPK90" s="60"/>
      <c r="RPZ90" s="63" t="s">
        <v>879</v>
      </c>
      <c r="RQA90" s="60"/>
      <c r="RQP90" s="63" t="s">
        <v>879</v>
      </c>
      <c r="RQQ90" s="60"/>
      <c r="RRF90" s="63" t="s">
        <v>879</v>
      </c>
      <c r="RRG90" s="60"/>
      <c r="RRV90" s="63" t="s">
        <v>879</v>
      </c>
      <c r="RRW90" s="60"/>
      <c r="RSL90" s="63" t="s">
        <v>879</v>
      </c>
      <c r="RSM90" s="60"/>
      <c r="RTB90" s="63" t="s">
        <v>879</v>
      </c>
      <c r="RTC90" s="60"/>
      <c r="RTR90" s="63" t="s">
        <v>879</v>
      </c>
      <c r="RTS90" s="60"/>
      <c r="RUH90" s="63" t="s">
        <v>879</v>
      </c>
      <c r="RUI90" s="60"/>
      <c r="RUX90" s="63" t="s">
        <v>879</v>
      </c>
      <c r="RUY90" s="60"/>
      <c r="RVN90" s="63" t="s">
        <v>879</v>
      </c>
      <c r="RVO90" s="60"/>
      <c r="RWD90" s="63" t="s">
        <v>879</v>
      </c>
      <c r="RWE90" s="60"/>
      <c r="RWT90" s="63" t="s">
        <v>879</v>
      </c>
      <c r="RWU90" s="60"/>
      <c r="RXJ90" s="63" t="s">
        <v>879</v>
      </c>
      <c r="RXK90" s="60"/>
      <c r="RXZ90" s="63" t="s">
        <v>879</v>
      </c>
      <c r="RYA90" s="60"/>
      <c r="RYP90" s="63" t="s">
        <v>879</v>
      </c>
      <c r="RYQ90" s="60"/>
      <c r="RZF90" s="63" t="s">
        <v>879</v>
      </c>
      <c r="RZG90" s="60"/>
      <c r="RZV90" s="63" t="s">
        <v>879</v>
      </c>
      <c r="RZW90" s="60"/>
      <c r="SAL90" s="63" t="s">
        <v>879</v>
      </c>
      <c r="SAM90" s="60"/>
      <c r="SBB90" s="63" t="s">
        <v>879</v>
      </c>
      <c r="SBC90" s="60"/>
      <c r="SBR90" s="63" t="s">
        <v>879</v>
      </c>
      <c r="SBS90" s="60"/>
      <c r="SCH90" s="63" t="s">
        <v>879</v>
      </c>
      <c r="SCI90" s="60"/>
      <c r="SCX90" s="63" t="s">
        <v>879</v>
      </c>
      <c r="SCY90" s="60"/>
      <c r="SDN90" s="63" t="s">
        <v>879</v>
      </c>
      <c r="SDO90" s="60"/>
      <c r="SED90" s="63" t="s">
        <v>879</v>
      </c>
      <c r="SEE90" s="60"/>
      <c r="SET90" s="63" t="s">
        <v>879</v>
      </c>
      <c r="SEU90" s="60"/>
      <c r="SFJ90" s="63" t="s">
        <v>879</v>
      </c>
      <c r="SFK90" s="60"/>
      <c r="SFZ90" s="63" t="s">
        <v>879</v>
      </c>
      <c r="SGA90" s="60"/>
      <c r="SGP90" s="63" t="s">
        <v>879</v>
      </c>
      <c r="SGQ90" s="60"/>
      <c r="SHF90" s="63" t="s">
        <v>879</v>
      </c>
      <c r="SHG90" s="60"/>
      <c r="SHV90" s="63" t="s">
        <v>879</v>
      </c>
      <c r="SHW90" s="60"/>
      <c r="SIL90" s="63" t="s">
        <v>879</v>
      </c>
      <c r="SIM90" s="60"/>
      <c r="SJB90" s="63" t="s">
        <v>879</v>
      </c>
      <c r="SJC90" s="60"/>
      <c r="SJR90" s="63" t="s">
        <v>879</v>
      </c>
      <c r="SJS90" s="60"/>
      <c r="SKH90" s="63" t="s">
        <v>879</v>
      </c>
      <c r="SKI90" s="60"/>
      <c r="SKX90" s="63" t="s">
        <v>879</v>
      </c>
      <c r="SKY90" s="60"/>
      <c r="SLN90" s="63" t="s">
        <v>879</v>
      </c>
      <c r="SLO90" s="60"/>
      <c r="SMD90" s="63" t="s">
        <v>879</v>
      </c>
      <c r="SME90" s="60"/>
      <c r="SMT90" s="63" t="s">
        <v>879</v>
      </c>
      <c r="SMU90" s="60"/>
      <c r="SNJ90" s="63" t="s">
        <v>879</v>
      </c>
      <c r="SNK90" s="60"/>
      <c r="SNZ90" s="63" t="s">
        <v>879</v>
      </c>
      <c r="SOA90" s="60"/>
      <c r="SOP90" s="63" t="s">
        <v>879</v>
      </c>
      <c r="SOQ90" s="60"/>
      <c r="SPF90" s="63" t="s">
        <v>879</v>
      </c>
      <c r="SPG90" s="60"/>
      <c r="SPV90" s="63" t="s">
        <v>879</v>
      </c>
      <c r="SPW90" s="60"/>
      <c r="SQL90" s="63" t="s">
        <v>879</v>
      </c>
      <c r="SQM90" s="60"/>
      <c r="SRB90" s="63" t="s">
        <v>879</v>
      </c>
      <c r="SRC90" s="60"/>
      <c r="SRR90" s="63" t="s">
        <v>879</v>
      </c>
      <c r="SRS90" s="60"/>
      <c r="SSH90" s="63" t="s">
        <v>879</v>
      </c>
      <c r="SSI90" s="60"/>
      <c r="SSX90" s="63" t="s">
        <v>879</v>
      </c>
      <c r="SSY90" s="60"/>
      <c r="STN90" s="63" t="s">
        <v>879</v>
      </c>
      <c r="STO90" s="60"/>
      <c r="SUD90" s="63" t="s">
        <v>879</v>
      </c>
      <c r="SUE90" s="60"/>
      <c r="SUT90" s="63" t="s">
        <v>879</v>
      </c>
      <c r="SUU90" s="60"/>
      <c r="SVJ90" s="63" t="s">
        <v>879</v>
      </c>
      <c r="SVK90" s="60"/>
      <c r="SVZ90" s="63" t="s">
        <v>879</v>
      </c>
      <c r="SWA90" s="60"/>
      <c r="SWP90" s="63" t="s">
        <v>879</v>
      </c>
      <c r="SWQ90" s="60"/>
      <c r="SXF90" s="63" t="s">
        <v>879</v>
      </c>
      <c r="SXG90" s="60"/>
      <c r="SXV90" s="63" t="s">
        <v>879</v>
      </c>
      <c r="SXW90" s="60"/>
      <c r="SYL90" s="63" t="s">
        <v>879</v>
      </c>
      <c r="SYM90" s="60"/>
      <c r="SZB90" s="63" t="s">
        <v>879</v>
      </c>
      <c r="SZC90" s="60"/>
      <c r="SZR90" s="63" t="s">
        <v>879</v>
      </c>
      <c r="SZS90" s="60"/>
      <c r="TAH90" s="63" t="s">
        <v>879</v>
      </c>
      <c r="TAI90" s="60"/>
      <c r="TAX90" s="63" t="s">
        <v>879</v>
      </c>
      <c r="TAY90" s="60"/>
      <c r="TBN90" s="63" t="s">
        <v>879</v>
      </c>
      <c r="TBO90" s="60"/>
      <c r="TCD90" s="63" t="s">
        <v>879</v>
      </c>
      <c r="TCE90" s="60"/>
      <c r="TCT90" s="63" t="s">
        <v>879</v>
      </c>
      <c r="TCU90" s="60"/>
      <c r="TDJ90" s="63" t="s">
        <v>879</v>
      </c>
      <c r="TDK90" s="60"/>
      <c r="TDZ90" s="63" t="s">
        <v>879</v>
      </c>
      <c r="TEA90" s="60"/>
      <c r="TEP90" s="63" t="s">
        <v>879</v>
      </c>
      <c r="TEQ90" s="60"/>
      <c r="TFF90" s="63" t="s">
        <v>879</v>
      </c>
      <c r="TFG90" s="60"/>
      <c r="TFV90" s="63" t="s">
        <v>879</v>
      </c>
      <c r="TFW90" s="60"/>
      <c r="TGL90" s="63" t="s">
        <v>879</v>
      </c>
      <c r="TGM90" s="60"/>
      <c r="THB90" s="63" t="s">
        <v>879</v>
      </c>
      <c r="THC90" s="60"/>
      <c r="THR90" s="63" t="s">
        <v>879</v>
      </c>
      <c r="THS90" s="60"/>
      <c r="TIH90" s="63" t="s">
        <v>879</v>
      </c>
      <c r="TII90" s="60"/>
      <c r="TIX90" s="63" t="s">
        <v>879</v>
      </c>
      <c r="TIY90" s="60"/>
      <c r="TJN90" s="63" t="s">
        <v>879</v>
      </c>
      <c r="TJO90" s="60"/>
      <c r="TKD90" s="63" t="s">
        <v>879</v>
      </c>
      <c r="TKE90" s="60"/>
      <c r="TKT90" s="63" t="s">
        <v>879</v>
      </c>
      <c r="TKU90" s="60"/>
      <c r="TLJ90" s="63" t="s">
        <v>879</v>
      </c>
      <c r="TLK90" s="60"/>
      <c r="TLZ90" s="63" t="s">
        <v>879</v>
      </c>
      <c r="TMA90" s="60"/>
      <c r="TMP90" s="63" t="s">
        <v>879</v>
      </c>
      <c r="TMQ90" s="60"/>
      <c r="TNF90" s="63" t="s">
        <v>879</v>
      </c>
      <c r="TNG90" s="60"/>
      <c r="TNV90" s="63" t="s">
        <v>879</v>
      </c>
      <c r="TNW90" s="60"/>
      <c r="TOL90" s="63" t="s">
        <v>879</v>
      </c>
      <c r="TOM90" s="60"/>
      <c r="TPB90" s="63" t="s">
        <v>879</v>
      </c>
      <c r="TPC90" s="60"/>
      <c r="TPR90" s="63" t="s">
        <v>879</v>
      </c>
      <c r="TPS90" s="60"/>
      <c r="TQH90" s="63" t="s">
        <v>879</v>
      </c>
      <c r="TQI90" s="60"/>
      <c r="TQX90" s="63" t="s">
        <v>879</v>
      </c>
      <c r="TQY90" s="60"/>
      <c r="TRN90" s="63" t="s">
        <v>879</v>
      </c>
      <c r="TRO90" s="60"/>
      <c r="TSD90" s="63" t="s">
        <v>879</v>
      </c>
      <c r="TSE90" s="60"/>
      <c r="TST90" s="63" t="s">
        <v>879</v>
      </c>
      <c r="TSU90" s="60"/>
      <c r="TTJ90" s="63" t="s">
        <v>879</v>
      </c>
      <c r="TTK90" s="60"/>
      <c r="TTZ90" s="63" t="s">
        <v>879</v>
      </c>
      <c r="TUA90" s="60"/>
      <c r="TUP90" s="63" t="s">
        <v>879</v>
      </c>
      <c r="TUQ90" s="60"/>
      <c r="TVF90" s="63" t="s">
        <v>879</v>
      </c>
      <c r="TVG90" s="60"/>
      <c r="TVV90" s="63" t="s">
        <v>879</v>
      </c>
      <c r="TVW90" s="60"/>
      <c r="TWL90" s="63" t="s">
        <v>879</v>
      </c>
      <c r="TWM90" s="60"/>
      <c r="TXB90" s="63" t="s">
        <v>879</v>
      </c>
      <c r="TXC90" s="60"/>
      <c r="TXR90" s="63" t="s">
        <v>879</v>
      </c>
      <c r="TXS90" s="60"/>
      <c r="TYH90" s="63" t="s">
        <v>879</v>
      </c>
      <c r="TYI90" s="60"/>
      <c r="TYX90" s="63" t="s">
        <v>879</v>
      </c>
      <c r="TYY90" s="60"/>
      <c r="TZN90" s="63" t="s">
        <v>879</v>
      </c>
      <c r="TZO90" s="60"/>
      <c r="UAD90" s="63" t="s">
        <v>879</v>
      </c>
      <c r="UAE90" s="60"/>
      <c r="UAT90" s="63" t="s">
        <v>879</v>
      </c>
      <c r="UAU90" s="60"/>
      <c r="UBJ90" s="63" t="s">
        <v>879</v>
      </c>
      <c r="UBK90" s="60"/>
      <c r="UBZ90" s="63" t="s">
        <v>879</v>
      </c>
      <c r="UCA90" s="60"/>
      <c r="UCP90" s="63" t="s">
        <v>879</v>
      </c>
      <c r="UCQ90" s="60"/>
      <c r="UDF90" s="63" t="s">
        <v>879</v>
      </c>
      <c r="UDG90" s="60"/>
      <c r="UDV90" s="63" t="s">
        <v>879</v>
      </c>
      <c r="UDW90" s="60"/>
      <c r="UEL90" s="63" t="s">
        <v>879</v>
      </c>
      <c r="UEM90" s="60"/>
      <c r="UFB90" s="63" t="s">
        <v>879</v>
      </c>
      <c r="UFC90" s="60"/>
      <c r="UFR90" s="63" t="s">
        <v>879</v>
      </c>
      <c r="UFS90" s="60"/>
      <c r="UGH90" s="63" t="s">
        <v>879</v>
      </c>
      <c r="UGI90" s="60"/>
      <c r="UGX90" s="63" t="s">
        <v>879</v>
      </c>
      <c r="UGY90" s="60"/>
      <c r="UHN90" s="63" t="s">
        <v>879</v>
      </c>
      <c r="UHO90" s="60"/>
      <c r="UID90" s="63" t="s">
        <v>879</v>
      </c>
      <c r="UIE90" s="60"/>
      <c r="UIT90" s="63" t="s">
        <v>879</v>
      </c>
      <c r="UIU90" s="60"/>
      <c r="UJJ90" s="63" t="s">
        <v>879</v>
      </c>
      <c r="UJK90" s="60"/>
      <c r="UJZ90" s="63" t="s">
        <v>879</v>
      </c>
      <c r="UKA90" s="60"/>
      <c r="UKP90" s="63" t="s">
        <v>879</v>
      </c>
      <c r="UKQ90" s="60"/>
      <c r="ULF90" s="63" t="s">
        <v>879</v>
      </c>
      <c r="ULG90" s="60"/>
      <c r="ULV90" s="63" t="s">
        <v>879</v>
      </c>
      <c r="ULW90" s="60"/>
      <c r="UML90" s="63" t="s">
        <v>879</v>
      </c>
      <c r="UMM90" s="60"/>
      <c r="UNB90" s="63" t="s">
        <v>879</v>
      </c>
      <c r="UNC90" s="60"/>
      <c r="UNR90" s="63" t="s">
        <v>879</v>
      </c>
      <c r="UNS90" s="60"/>
      <c r="UOH90" s="63" t="s">
        <v>879</v>
      </c>
      <c r="UOI90" s="60"/>
      <c r="UOX90" s="63" t="s">
        <v>879</v>
      </c>
      <c r="UOY90" s="60"/>
      <c r="UPN90" s="63" t="s">
        <v>879</v>
      </c>
      <c r="UPO90" s="60"/>
      <c r="UQD90" s="63" t="s">
        <v>879</v>
      </c>
      <c r="UQE90" s="60"/>
      <c r="UQT90" s="63" t="s">
        <v>879</v>
      </c>
      <c r="UQU90" s="60"/>
      <c r="URJ90" s="63" t="s">
        <v>879</v>
      </c>
      <c r="URK90" s="60"/>
      <c r="URZ90" s="63" t="s">
        <v>879</v>
      </c>
      <c r="USA90" s="60"/>
      <c r="USP90" s="63" t="s">
        <v>879</v>
      </c>
      <c r="USQ90" s="60"/>
      <c r="UTF90" s="63" t="s">
        <v>879</v>
      </c>
      <c r="UTG90" s="60"/>
      <c r="UTV90" s="63" t="s">
        <v>879</v>
      </c>
      <c r="UTW90" s="60"/>
      <c r="UUL90" s="63" t="s">
        <v>879</v>
      </c>
      <c r="UUM90" s="60"/>
      <c r="UVB90" s="63" t="s">
        <v>879</v>
      </c>
      <c r="UVC90" s="60"/>
      <c r="UVR90" s="63" t="s">
        <v>879</v>
      </c>
      <c r="UVS90" s="60"/>
      <c r="UWH90" s="63" t="s">
        <v>879</v>
      </c>
      <c r="UWI90" s="60"/>
      <c r="UWX90" s="63" t="s">
        <v>879</v>
      </c>
      <c r="UWY90" s="60"/>
      <c r="UXN90" s="63" t="s">
        <v>879</v>
      </c>
      <c r="UXO90" s="60"/>
      <c r="UYD90" s="63" t="s">
        <v>879</v>
      </c>
      <c r="UYE90" s="60"/>
      <c r="UYT90" s="63" t="s">
        <v>879</v>
      </c>
      <c r="UYU90" s="60"/>
      <c r="UZJ90" s="63" t="s">
        <v>879</v>
      </c>
      <c r="UZK90" s="60"/>
      <c r="UZZ90" s="63" t="s">
        <v>879</v>
      </c>
      <c r="VAA90" s="60"/>
      <c r="VAP90" s="63" t="s">
        <v>879</v>
      </c>
      <c r="VAQ90" s="60"/>
      <c r="VBF90" s="63" t="s">
        <v>879</v>
      </c>
      <c r="VBG90" s="60"/>
      <c r="VBV90" s="63" t="s">
        <v>879</v>
      </c>
      <c r="VBW90" s="60"/>
      <c r="VCL90" s="63" t="s">
        <v>879</v>
      </c>
      <c r="VCM90" s="60"/>
      <c r="VDB90" s="63" t="s">
        <v>879</v>
      </c>
      <c r="VDC90" s="60"/>
      <c r="VDR90" s="63" t="s">
        <v>879</v>
      </c>
      <c r="VDS90" s="60"/>
      <c r="VEH90" s="63" t="s">
        <v>879</v>
      </c>
      <c r="VEI90" s="60"/>
      <c r="VEX90" s="63" t="s">
        <v>879</v>
      </c>
      <c r="VEY90" s="60"/>
      <c r="VFN90" s="63" t="s">
        <v>879</v>
      </c>
      <c r="VFO90" s="60"/>
      <c r="VGD90" s="63" t="s">
        <v>879</v>
      </c>
      <c r="VGE90" s="60"/>
      <c r="VGT90" s="63" t="s">
        <v>879</v>
      </c>
      <c r="VGU90" s="60"/>
      <c r="VHJ90" s="63" t="s">
        <v>879</v>
      </c>
      <c r="VHK90" s="60"/>
      <c r="VHZ90" s="63" t="s">
        <v>879</v>
      </c>
      <c r="VIA90" s="60"/>
      <c r="VIP90" s="63" t="s">
        <v>879</v>
      </c>
      <c r="VIQ90" s="60"/>
      <c r="VJF90" s="63" t="s">
        <v>879</v>
      </c>
      <c r="VJG90" s="60"/>
      <c r="VJV90" s="63" t="s">
        <v>879</v>
      </c>
      <c r="VJW90" s="60"/>
      <c r="VKL90" s="63" t="s">
        <v>879</v>
      </c>
      <c r="VKM90" s="60"/>
      <c r="VLB90" s="63" t="s">
        <v>879</v>
      </c>
      <c r="VLC90" s="60"/>
      <c r="VLR90" s="63" t="s">
        <v>879</v>
      </c>
      <c r="VLS90" s="60"/>
      <c r="VMH90" s="63" t="s">
        <v>879</v>
      </c>
      <c r="VMI90" s="60"/>
      <c r="VMX90" s="63" t="s">
        <v>879</v>
      </c>
      <c r="VMY90" s="60"/>
      <c r="VNN90" s="63" t="s">
        <v>879</v>
      </c>
      <c r="VNO90" s="60"/>
      <c r="VOD90" s="63" t="s">
        <v>879</v>
      </c>
      <c r="VOE90" s="60"/>
      <c r="VOT90" s="63" t="s">
        <v>879</v>
      </c>
      <c r="VOU90" s="60"/>
      <c r="VPJ90" s="63" t="s">
        <v>879</v>
      </c>
      <c r="VPK90" s="60"/>
      <c r="VPZ90" s="63" t="s">
        <v>879</v>
      </c>
      <c r="VQA90" s="60"/>
      <c r="VQP90" s="63" t="s">
        <v>879</v>
      </c>
      <c r="VQQ90" s="60"/>
      <c r="VRF90" s="63" t="s">
        <v>879</v>
      </c>
      <c r="VRG90" s="60"/>
      <c r="VRV90" s="63" t="s">
        <v>879</v>
      </c>
      <c r="VRW90" s="60"/>
      <c r="VSL90" s="63" t="s">
        <v>879</v>
      </c>
      <c r="VSM90" s="60"/>
      <c r="VTB90" s="63" t="s">
        <v>879</v>
      </c>
      <c r="VTC90" s="60"/>
      <c r="VTR90" s="63" t="s">
        <v>879</v>
      </c>
      <c r="VTS90" s="60"/>
      <c r="VUH90" s="63" t="s">
        <v>879</v>
      </c>
      <c r="VUI90" s="60"/>
      <c r="VUX90" s="63" t="s">
        <v>879</v>
      </c>
      <c r="VUY90" s="60"/>
      <c r="VVN90" s="63" t="s">
        <v>879</v>
      </c>
      <c r="VVO90" s="60"/>
      <c r="VWD90" s="63" t="s">
        <v>879</v>
      </c>
      <c r="VWE90" s="60"/>
      <c r="VWT90" s="63" t="s">
        <v>879</v>
      </c>
      <c r="VWU90" s="60"/>
      <c r="VXJ90" s="63" t="s">
        <v>879</v>
      </c>
      <c r="VXK90" s="60"/>
      <c r="VXZ90" s="63" t="s">
        <v>879</v>
      </c>
      <c r="VYA90" s="60"/>
      <c r="VYP90" s="63" t="s">
        <v>879</v>
      </c>
      <c r="VYQ90" s="60"/>
      <c r="VZF90" s="63" t="s">
        <v>879</v>
      </c>
      <c r="VZG90" s="60"/>
      <c r="VZV90" s="63" t="s">
        <v>879</v>
      </c>
      <c r="VZW90" s="60"/>
      <c r="WAL90" s="63" t="s">
        <v>879</v>
      </c>
      <c r="WAM90" s="60"/>
      <c r="WBB90" s="63" t="s">
        <v>879</v>
      </c>
      <c r="WBC90" s="60"/>
      <c r="WBR90" s="63" t="s">
        <v>879</v>
      </c>
      <c r="WBS90" s="60"/>
      <c r="WCH90" s="63" t="s">
        <v>879</v>
      </c>
      <c r="WCI90" s="60"/>
      <c r="WCX90" s="63" t="s">
        <v>879</v>
      </c>
      <c r="WCY90" s="60"/>
      <c r="WDN90" s="63" t="s">
        <v>879</v>
      </c>
      <c r="WDO90" s="60"/>
      <c r="WED90" s="63" t="s">
        <v>879</v>
      </c>
      <c r="WEE90" s="60"/>
      <c r="WET90" s="63" t="s">
        <v>879</v>
      </c>
      <c r="WEU90" s="60"/>
      <c r="WFJ90" s="63" t="s">
        <v>879</v>
      </c>
      <c r="WFK90" s="60"/>
      <c r="WFZ90" s="63" t="s">
        <v>879</v>
      </c>
      <c r="WGA90" s="60"/>
      <c r="WGP90" s="63" t="s">
        <v>879</v>
      </c>
      <c r="WGQ90" s="60"/>
      <c r="WHF90" s="63" t="s">
        <v>879</v>
      </c>
      <c r="WHG90" s="60"/>
      <c r="WHV90" s="63" t="s">
        <v>879</v>
      </c>
      <c r="WHW90" s="60"/>
      <c r="WIL90" s="63" t="s">
        <v>879</v>
      </c>
      <c r="WIM90" s="60"/>
      <c r="WJB90" s="63" t="s">
        <v>879</v>
      </c>
      <c r="WJC90" s="60"/>
      <c r="WJR90" s="63" t="s">
        <v>879</v>
      </c>
      <c r="WJS90" s="60"/>
      <c r="WKH90" s="63" t="s">
        <v>879</v>
      </c>
      <c r="WKI90" s="60"/>
      <c r="WKX90" s="63" t="s">
        <v>879</v>
      </c>
      <c r="WKY90" s="60"/>
      <c r="WLN90" s="63" t="s">
        <v>879</v>
      </c>
      <c r="WLO90" s="60"/>
      <c r="WMD90" s="63" t="s">
        <v>879</v>
      </c>
      <c r="WME90" s="60"/>
      <c r="WMT90" s="63" t="s">
        <v>879</v>
      </c>
      <c r="WMU90" s="60"/>
      <c r="WNJ90" s="63" t="s">
        <v>879</v>
      </c>
      <c r="WNK90" s="60"/>
      <c r="WNZ90" s="63" t="s">
        <v>879</v>
      </c>
      <c r="WOA90" s="60"/>
      <c r="WOP90" s="63" t="s">
        <v>879</v>
      </c>
      <c r="WOQ90" s="60"/>
      <c r="WPF90" s="63" t="s">
        <v>879</v>
      </c>
      <c r="WPG90" s="60"/>
      <c r="WPV90" s="63" t="s">
        <v>879</v>
      </c>
      <c r="WPW90" s="60"/>
      <c r="WQL90" s="63" t="s">
        <v>879</v>
      </c>
      <c r="WQM90" s="60"/>
      <c r="WRB90" s="63" t="s">
        <v>879</v>
      </c>
      <c r="WRC90" s="60"/>
      <c r="WRR90" s="63" t="s">
        <v>879</v>
      </c>
      <c r="WRS90" s="60"/>
      <c r="WSH90" s="63" t="s">
        <v>879</v>
      </c>
      <c r="WSI90" s="60"/>
      <c r="WSX90" s="63" t="s">
        <v>879</v>
      </c>
      <c r="WSY90" s="60"/>
      <c r="WTN90" s="63" t="s">
        <v>879</v>
      </c>
      <c r="WTO90" s="60"/>
      <c r="WUD90" s="63" t="s">
        <v>879</v>
      </c>
      <c r="WUE90" s="60"/>
      <c r="WUT90" s="63" t="s">
        <v>879</v>
      </c>
      <c r="WUU90" s="60"/>
      <c r="WVJ90" s="63" t="s">
        <v>879</v>
      </c>
      <c r="WVK90" s="60"/>
      <c r="WVZ90" s="63" t="s">
        <v>879</v>
      </c>
      <c r="WWA90" s="60"/>
      <c r="WWP90" s="63" t="s">
        <v>879</v>
      </c>
      <c r="WWQ90" s="60"/>
      <c r="WXF90" s="63" t="s">
        <v>879</v>
      </c>
      <c r="WXG90" s="60"/>
      <c r="WXV90" s="63" t="s">
        <v>879</v>
      </c>
      <c r="WXW90" s="60"/>
      <c r="WYL90" s="63" t="s">
        <v>879</v>
      </c>
      <c r="WYM90" s="60"/>
      <c r="WZB90" s="63" t="s">
        <v>879</v>
      </c>
      <c r="WZC90" s="60"/>
      <c r="WZR90" s="63" t="s">
        <v>879</v>
      </c>
      <c r="WZS90" s="60"/>
      <c r="XAH90" s="63" t="s">
        <v>879</v>
      </c>
      <c r="XAI90" s="60"/>
      <c r="XAX90" s="63" t="s">
        <v>879</v>
      </c>
      <c r="XAY90" s="60"/>
      <c r="XBN90" s="63" t="s">
        <v>879</v>
      </c>
      <c r="XBO90" s="60"/>
      <c r="XCD90" s="63" t="s">
        <v>879</v>
      </c>
      <c r="XCE90" s="60"/>
      <c r="XCT90" s="63" t="s">
        <v>879</v>
      </c>
      <c r="XCU90" s="60"/>
      <c r="XDJ90" s="63" t="s">
        <v>879</v>
      </c>
      <c r="XDK90" s="60"/>
      <c r="XDZ90" s="63" t="s">
        <v>879</v>
      </c>
      <c r="XEA90" s="60"/>
      <c r="XEP90" s="63" t="s">
        <v>879</v>
      </c>
      <c r="XEQ90" s="60"/>
    </row>
    <row r="91" spans="2:1011 1026:2035 2050:3059 3074:4083 4098:5107 5122:6131 6146:7155 7170:8179 8194:9203 9218:10227 10242:11251 11266:12275 12290:13299 13314:14323 14338:15347 15362:16371" ht="14.25" x14ac:dyDescent="0.2">
      <c r="B91" s="34"/>
      <c r="C91" s="60"/>
      <c r="R91" s="63" t="s">
        <v>933</v>
      </c>
      <c r="S91" s="60"/>
      <c r="AH91" s="63" t="s">
        <v>933</v>
      </c>
      <c r="AI91" s="60"/>
      <c r="AX91" s="63" t="s">
        <v>933</v>
      </c>
      <c r="AY91" s="60"/>
      <c r="BN91" s="63" t="s">
        <v>933</v>
      </c>
      <c r="BO91" s="60"/>
      <c r="CD91" s="63" t="s">
        <v>933</v>
      </c>
      <c r="CE91" s="60"/>
      <c r="CT91" s="63" t="s">
        <v>933</v>
      </c>
      <c r="CU91" s="60"/>
      <c r="DJ91" s="63" t="s">
        <v>933</v>
      </c>
      <c r="DK91" s="60"/>
      <c r="DZ91" s="63" t="s">
        <v>933</v>
      </c>
      <c r="EA91" s="60"/>
      <c r="EP91" s="63" t="s">
        <v>933</v>
      </c>
      <c r="EQ91" s="60"/>
      <c r="FF91" s="63" t="s">
        <v>933</v>
      </c>
      <c r="FG91" s="60"/>
      <c r="FV91" s="63" t="s">
        <v>933</v>
      </c>
      <c r="FW91" s="60"/>
      <c r="GL91" s="63" t="s">
        <v>933</v>
      </c>
      <c r="GM91" s="60"/>
      <c r="HB91" s="63" t="s">
        <v>933</v>
      </c>
      <c r="HC91" s="60"/>
      <c r="HR91" s="63" t="s">
        <v>933</v>
      </c>
      <c r="HS91" s="60"/>
      <c r="IH91" s="63" t="s">
        <v>933</v>
      </c>
      <c r="II91" s="60"/>
      <c r="IX91" s="63" t="s">
        <v>933</v>
      </c>
      <c r="IY91" s="60"/>
      <c r="JN91" s="63" t="s">
        <v>933</v>
      </c>
      <c r="JO91" s="60"/>
      <c r="KD91" s="63" t="s">
        <v>933</v>
      </c>
      <c r="KE91" s="60"/>
      <c r="KT91" s="63" t="s">
        <v>933</v>
      </c>
      <c r="KU91" s="60"/>
      <c r="LJ91" s="63" t="s">
        <v>933</v>
      </c>
      <c r="LK91" s="60"/>
      <c r="LZ91" s="63" t="s">
        <v>933</v>
      </c>
      <c r="MA91" s="60"/>
      <c r="MP91" s="63" t="s">
        <v>933</v>
      </c>
      <c r="MQ91" s="60"/>
      <c r="NF91" s="63" t="s">
        <v>933</v>
      </c>
      <c r="NG91" s="60"/>
      <c r="NV91" s="63" t="s">
        <v>933</v>
      </c>
      <c r="NW91" s="60"/>
      <c r="OL91" s="63" t="s">
        <v>933</v>
      </c>
      <c r="OM91" s="60"/>
      <c r="PB91" s="63" t="s">
        <v>933</v>
      </c>
      <c r="PC91" s="60"/>
      <c r="PR91" s="63" t="s">
        <v>933</v>
      </c>
      <c r="PS91" s="60"/>
      <c r="QH91" s="63" t="s">
        <v>933</v>
      </c>
      <c r="QI91" s="60"/>
      <c r="QX91" s="63" t="s">
        <v>933</v>
      </c>
      <c r="QY91" s="60"/>
      <c r="RN91" s="63" t="s">
        <v>933</v>
      </c>
      <c r="RO91" s="60"/>
      <c r="SD91" s="63" t="s">
        <v>933</v>
      </c>
      <c r="SE91" s="60"/>
      <c r="ST91" s="63" t="s">
        <v>933</v>
      </c>
      <c r="SU91" s="60"/>
      <c r="TJ91" s="63" t="s">
        <v>933</v>
      </c>
      <c r="TK91" s="60"/>
      <c r="TZ91" s="63" t="s">
        <v>933</v>
      </c>
      <c r="UA91" s="60"/>
      <c r="UP91" s="63" t="s">
        <v>933</v>
      </c>
      <c r="UQ91" s="60"/>
      <c r="VF91" s="63" t="s">
        <v>933</v>
      </c>
      <c r="VG91" s="60"/>
      <c r="VV91" s="63" t="s">
        <v>933</v>
      </c>
      <c r="VW91" s="60"/>
      <c r="WL91" s="63" t="s">
        <v>933</v>
      </c>
      <c r="WM91" s="60"/>
      <c r="XB91" s="63" t="s">
        <v>933</v>
      </c>
      <c r="XC91" s="60"/>
      <c r="XR91" s="63" t="s">
        <v>933</v>
      </c>
      <c r="XS91" s="60"/>
      <c r="YH91" s="63" t="s">
        <v>933</v>
      </c>
      <c r="YI91" s="60"/>
      <c r="YX91" s="63" t="s">
        <v>933</v>
      </c>
      <c r="YY91" s="60"/>
      <c r="ZN91" s="63" t="s">
        <v>933</v>
      </c>
      <c r="ZO91" s="60"/>
      <c r="AAD91" s="63" t="s">
        <v>933</v>
      </c>
      <c r="AAE91" s="60"/>
      <c r="AAT91" s="63" t="s">
        <v>933</v>
      </c>
      <c r="AAU91" s="60"/>
      <c r="ABJ91" s="63" t="s">
        <v>933</v>
      </c>
      <c r="ABK91" s="60"/>
      <c r="ABZ91" s="63" t="s">
        <v>933</v>
      </c>
      <c r="ACA91" s="60"/>
      <c r="ACP91" s="63" t="s">
        <v>933</v>
      </c>
      <c r="ACQ91" s="60"/>
      <c r="ADF91" s="63" t="s">
        <v>933</v>
      </c>
      <c r="ADG91" s="60"/>
      <c r="ADV91" s="63" t="s">
        <v>933</v>
      </c>
      <c r="ADW91" s="60"/>
      <c r="AEL91" s="63" t="s">
        <v>933</v>
      </c>
      <c r="AEM91" s="60"/>
      <c r="AFB91" s="63" t="s">
        <v>933</v>
      </c>
      <c r="AFC91" s="60"/>
      <c r="AFR91" s="63" t="s">
        <v>933</v>
      </c>
      <c r="AFS91" s="60"/>
      <c r="AGH91" s="63" t="s">
        <v>933</v>
      </c>
      <c r="AGI91" s="60"/>
      <c r="AGX91" s="63" t="s">
        <v>933</v>
      </c>
      <c r="AGY91" s="60"/>
      <c r="AHN91" s="63" t="s">
        <v>933</v>
      </c>
      <c r="AHO91" s="60"/>
      <c r="AID91" s="63" t="s">
        <v>933</v>
      </c>
      <c r="AIE91" s="60"/>
      <c r="AIT91" s="63" t="s">
        <v>933</v>
      </c>
      <c r="AIU91" s="60"/>
      <c r="AJJ91" s="63" t="s">
        <v>933</v>
      </c>
      <c r="AJK91" s="60"/>
      <c r="AJZ91" s="63" t="s">
        <v>933</v>
      </c>
      <c r="AKA91" s="60"/>
      <c r="AKP91" s="63" t="s">
        <v>933</v>
      </c>
      <c r="AKQ91" s="60"/>
      <c r="ALF91" s="63" t="s">
        <v>933</v>
      </c>
      <c r="ALG91" s="60"/>
      <c r="ALV91" s="63" t="s">
        <v>933</v>
      </c>
      <c r="ALW91" s="60"/>
      <c r="AML91" s="63" t="s">
        <v>933</v>
      </c>
      <c r="AMM91" s="60"/>
      <c r="ANB91" s="63" t="s">
        <v>933</v>
      </c>
      <c r="ANC91" s="60"/>
      <c r="ANR91" s="63" t="s">
        <v>933</v>
      </c>
      <c r="ANS91" s="60"/>
      <c r="AOH91" s="63" t="s">
        <v>933</v>
      </c>
      <c r="AOI91" s="60"/>
      <c r="AOX91" s="63" t="s">
        <v>933</v>
      </c>
      <c r="AOY91" s="60"/>
      <c r="APN91" s="63" t="s">
        <v>933</v>
      </c>
      <c r="APO91" s="60"/>
      <c r="AQD91" s="63" t="s">
        <v>933</v>
      </c>
      <c r="AQE91" s="60"/>
      <c r="AQT91" s="63" t="s">
        <v>933</v>
      </c>
      <c r="AQU91" s="60"/>
      <c r="ARJ91" s="63" t="s">
        <v>933</v>
      </c>
      <c r="ARK91" s="60"/>
      <c r="ARZ91" s="63" t="s">
        <v>933</v>
      </c>
      <c r="ASA91" s="60"/>
      <c r="ASP91" s="63" t="s">
        <v>933</v>
      </c>
      <c r="ASQ91" s="60"/>
      <c r="ATF91" s="63" t="s">
        <v>933</v>
      </c>
      <c r="ATG91" s="60"/>
      <c r="ATV91" s="63" t="s">
        <v>933</v>
      </c>
      <c r="ATW91" s="60"/>
      <c r="AUL91" s="63" t="s">
        <v>933</v>
      </c>
      <c r="AUM91" s="60"/>
      <c r="AVB91" s="63" t="s">
        <v>933</v>
      </c>
      <c r="AVC91" s="60"/>
      <c r="AVR91" s="63" t="s">
        <v>933</v>
      </c>
      <c r="AVS91" s="60"/>
      <c r="AWH91" s="63" t="s">
        <v>933</v>
      </c>
      <c r="AWI91" s="60"/>
      <c r="AWX91" s="63" t="s">
        <v>933</v>
      </c>
      <c r="AWY91" s="60"/>
      <c r="AXN91" s="63" t="s">
        <v>933</v>
      </c>
      <c r="AXO91" s="60"/>
      <c r="AYD91" s="63" t="s">
        <v>933</v>
      </c>
      <c r="AYE91" s="60"/>
      <c r="AYT91" s="63" t="s">
        <v>933</v>
      </c>
      <c r="AYU91" s="60"/>
      <c r="AZJ91" s="63" t="s">
        <v>933</v>
      </c>
      <c r="AZK91" s="60"/>
      <c r="AZZ91" s="63" t="s">
        <v>933</v>
      </c>
      <c r="BAA91" s="60"/>
      <c r="BAP91" s="63" t="s">
        <v>933</v>
      </c>
      <c r="BAQ91" s="60"/>
      <c r="BBF91" s="63" t="s">
        <v>933</v>
      </c>
      <c r="BBG91" s="60"/>
      <c r="BBV91" s="63" t="s">
        <v>933</v>
      </c>
      <c r="BBW91" s="60"/>
      <c r="BCL91" s="63" t="s">
        <v>933</v>
      </c>
      <c r="BCM91" s="60"/>
      <c r="BDB91" s="63" t="s">
        <v>933</v>
      </c>
      <c r="BDC91" s="60"/>
      <c r="BDR91" s="63" t="s">
        <v>933</v>
      </c>
      <c r="BDS91" s="60"/>
      <c r="BEH91" s="63" t="s">
        <v>933</v>
      </c>
      <c r="BEI91" s="60"/>
      <c r="BEX91" s="63" t="s">
        <v>933</v>
      </c>
      <c r="BEY91" s="60"/>
      <c r="BFN91" s="63" t="s">
        <v>933</v>
      </c>
      <c r="BFO91" s="60"/>
      <c r="BGD91" s="63" t="s">
        <v>933</v>
      </c>
      <c r="BGE91" s="60"/>
      <c r="BGT91" s="63" t="s">
        <v>933</v>
      </c>
      <c r="BGU91" s="60"/>
      <c r="BHJ91" s="63" t="s">
        <v>933</v>
      </c>
      <c r="BHK91" s="60"/>
      <c r="BHZ91" s="63" t="s">
        <v>933</v>
      </c>
      <c r="BIA91" s="60"/>
      <c r="BIP91" s="63" t="s">
        <v>933</v>
      </c>
      <c r="BIQ91" s="60"/>
      <c r="BJF91" s="63" t="s">
        <v>933</v>
      </c>
      <c r="BJG91" s="60"/>
      <c r="BJV91" s="63" t="s">
        <v>933</v>
      </c>
      <c r="BJW91" s="60"/>
      <c r="BKL91" s="63" t="s">
        <v>933</v>
      </c>
      <c r="BKM91" s="60"/>
      <c r="BLB91" s="63" t="s">
        <v>933</v>
      </c>
      <c r="BLC91" s="60"/>
      <c r="BLR91" s="63" t="s">
        <v>933</v>
      </c>
      <c r="BLS91" s="60"/>
      <c r="BMH91" s="63" t="s">
        <v>933</v>
      </c>
      <c r="BMI91" s="60"/>
      <c r="BMX91" s="63" t="s">
        <v>933</v>
      </c>
      <c r="BMY91" s="60"/>
      <c r="BNN91" s="63" t="s">
        <v>933</v>
      </c>
      <c r="BNO91" s="60"/>
      <c r="BOD91" s="63" t="s">
        <v>933</v>
      </c>
      <c r="BOE91" s="60"/>
      <c r="BOT91" s="63" t="s">
        <v>933</v>
      </c>
      <c r="BOU91" s="60"/>
      <c r="BPJ91" s="63" t="s">
        <v>933</v>
      </c>
      <c r="BPK91" s="60"/>
      <c r="BPZ91" s="63" t="s">
        <v>933</v>
      </c>
      <c r="BQA91" s="60"/>
      <c r="BQP91" s="63" t="s">
        <v>933</v>
      </c>
      <c r="BQQ91" s="60"/>
      <c r="BRF91" s="63" t="s">
        <v>933</v>
      </c>
      <c r="BRG91" s="60"/>
      <c r="BRV91" s="63" t="s">
        <v>933</v>
      </c>
      <c r="BRW91" s="60"/>
      <c r="BSL91" s="63" t="s">
        <v>933</v>
      </c>
      <c r="BSM91" s="60"/>
      <c r="BTB91" s="63" t="s">
        <v>933</v>
      </c>
      <c r="BTC91" s="60"/>
      <c r="BTR91" s="63" t="s">
        <v>933</v>
      </c>
      <c r="BTS91" s="60"/>
      <c r="BUH91" s="63" t="s">
        <v>933</v>
      </c>
      <c r="BUI91" s="60"/>
      <c r="BUX91" s="63" t="s">
        <v>933</v>
      </c>
      <c r="BUY91" s="60"/>
      <c r="BVN91" s="63" t="s">
        <v>933</v>
      </c>
      <c r="BVO91" s="60"/>
      <c r="BWD91" s="63" t="s">
        <v>933</v>
      </c>
      <c r="BWE91" s="60"/>
      <c r="BWT91" s="63" t="s">
        <v>933</v>
      </c>
      <c r="BWU91" s="60"/>
      <c r="BXJ91" s="63" t="s">
        <v>933</v>
      </c>
      <c r="BXK91" s="60"/>
      <c r="BXZ91" s="63" t="s">
        <v>933</v>
      </c>
      <c r="BYA91" s="60"/>
      <c r="BYP91" s="63" t="s">
        <v>933</v>
      </c>
      <c r="BYQ91" s="60"/>
      <c r="BZF91" s="63" t="s">
        <v>933</v>
      </c>
      <c r="BZG91" s="60"/>
      <c r="BZV91" s="63" t="s">
        <v>933</v>
      </c>
      <c r="BZW91" s="60"/>
      <c r="CAL91" s="63" t="s">
        <v>933</v>
      </c>
      <c r="CAM91" s="60"/>
      <c r="CBB91" s="63" t="s">
        <v>933</v>
      </c>
      <c r="CBC91" s="60"/>
      <c r="CBR91" s="63" t="s">
        <v>933</v>
      </c>
      <c r="CBS91" s="60"/>
      <c r="CCH91" s="63" t="s">
        <v>933</v>
      </c>
      <c r="CCI91" s="60"/>
      <c r="CCX91" s="63" t="s">
        <v>933</v>
      </c>
      <c r="CCY91" s="60"/>
      <c r="CDN91" s="63" t="s">
        <v>933</v>
      </c>
      <c r="CDO91" s="60"/>
      <c r="CED91" s="63" t="s">
        <v>933</v>
      </c>
      <c r="CEE91" s="60"/>
      <c r="CET91" s="63" t="s">
        <v>933</v>
      </c>
      <c r="CEU91" s="60"/>
      <c r="CFJ91" s="63" t="s">
        <v>933</v>
      </c>
      <c r="CFK91" s="60"/>
      <c r="CFZ91" s="63" t="s">
        <v>933</v>
      </c>
      <c r="CGA91" s="60"/>
      <c r="CGP91" s="63" t="s">
        <v>933</v>
      </c>
      <c r="CGQ91" s="60"/>
      <c r="CHF91" s="63" t="s">
        <v>933</v>
      </c>
      <c r="CHG91" s="60"/>
      <c r="CHV91" s="63" t="s">
        <v>933</v>
      </c>
      <c r="CHW91" s="60"/>
      <c r="CIL91" s="63" t="s">
        <v>933</v>
      </c>
      <c r="CIM91" s="60"/>
      <c r="CJB91" s="63" t="s">
        <v>933</v>
      </c>
      <c r="CJC91" s="60"/>
      <c r="CJR91" s="63" t="s">
        <v>933</v>
      </c>
      <c r="CJS91" s="60"/>
      <c r="CKH91" s="63" t="s">
        <v>933</v>
      </c>
      <c r="CKI91" s="60"/>
      <c r="CKX91" s="63" t="s">
        <v>933</v>
      </c>
      <c r="CKY91" s="60"/>
      <c r="CLN91" s="63" t="s">
        <v>933</v>
      </c>
      <c r="CLO91" s="60"/>
      <c r="CMD91" s="63" t="s">
        <v>933</v>
      </c>
      <c r="CME91" s="60"/>
      <c r="CMT91" s="63" t="s">
        <v>933</v>
      </c>
      <c r="CMU91" s="60"/>
      <c r="CNJ91" s="63" t="s">
        <v>933</v>
      </c>
      <c r="CNK91" s="60"/>
      <c r="CNZ91" s="63" t="s">
        <v>933</v>
      </c>
      <c r="COA91" s="60"/>
      <c r="COP91" s="63" t="s">
        <v>933</v>
      </c>
      <c r="COQ91" s="60"/>
      <c r="CPF91" s="63" t="s">
        <v>933</v>
      </c>
      <c r="CPG91" s="60"/>
      <c r="CPV91" s="63" t="s">
        <v>933</v>
      </c>
      <c r="CPW91" s="60"/>
      <c r="CQL91" s="63" t="s">
        <v>933</v>
      </c>
      <c r="CQM91" s="60"/>
      <c r="CRB91" s="63" t="s">
        <v>933</v>
      </c>
      <c r="CRC91" s="60"/>
      <c r="CRR91" s="63" t="s">
        <v>933</v>
      </c>
      <c r="CRS91" s="60"/>
      <c r="CSH91" s="63" t="s">
        <v>933</v>
      </c>
      <c r="CSI91" s="60"/>
      <c r="CSX91" s="63" t="s">
        <v>933</v>
      </c>
      <c r="CSY91" s="60"/>
      <c r="CTN91" s="63" t="s">
        <v>933</v>
      </c>
      <c r="CTO91" s="60"/>
      <c r="CUD91" s="63" t="s">
        <v>933</v>
      </c>
      <c r="CUE91" s="60"/>
      <c r="CUT91" s="63" t="s">
        <v>933</v>
      </c>
      <c r="CUU91" s="60"/>
      <c r="CVJ91" s="63" t="s">
        <v>933</v>
      </c>
      <c r="CVK91" s="60"/>
      <c r="CVZ91" s="63" t="s">
        <v>933</v>
      </c>
      <c r="CWA91" s="60"/>
      <c r="CWP91" s="63" t="s">
        <v>933</v>
      </c>
      <c r="CWQ91" s="60"/>
      <c r="CXF91" s="63" t="s">
        <v>933</v>
      </c>
      <c r="CXG91" s="60"/>
      <c r="CXV91" s="63" t="s">
        <v>933</v>
      </c>
      <c r="CXW91" s="60"/>
      <c r="CYL91" s="63" t="s">
        <v>933</v>
      </c>
      <c r="CYM91" s="60"/>
      <c r="CZB91" s="63" t="s">
        <v>933</v>
      </c>
      <c r="CZC91" s="60"/>
      <c r="CZR91" s="63" t="s">
        <v>933</v>
      </c>
      <c r="CZS91" s="60"/>
      <c r="DAH91" s="63" t="s">
        <v>933</v>
      </c>
      <c r="DAI91" s="60"/>
      <c r="DAX91" s="63" t="s">
        <v>933</v>
      </c>
      <c r="DAY91" s="60"/>
      <c r="DBN91" s="63" t="s">
        <v>933</v>
      </c>
      <c r="DBO91" s="60"/>
      <c r="DCD91" s="63" t="s">
        <v>933</v>
      </c>
      <c r="DCE91" s="60"/>
      <c r="DCT91" s="63" t="s">
        <v>933</v>
      </c>
      <c r="DCU91" s="60"/>
      <c r="DDJ91" s="63" t="s">
        <v>933</v>
      </c>
      <c r="DDK91" s="60"/>
      <c r="DDZ91" s="63" t="s">
        <v>933</v>
      </c>
      <c r="DEA91" s="60"/>
      <c r="DEP91" s="63" t="s">
        <v>933</v>
      </c>
      <c r="DEQ91" s="60"/>
      <c r="DFF91" s="63" t="s">
        <v>933</v>
      </c>
      <c r="DFG91" s="60"/>
      <c r="DFV91" s="63" t="s">
        <v>933</v>
      </c>
      <c r="DFW91" s="60"/>
      <c r="DGL91" s="63" t="s">
        <v>933</v>
      </c>
      <c r="DGM91" s="60"/>
      <c r="DHB91" s="63" t="s">
        <v>933</v>
      </c>
      <c r="DHC91" s="60"/>
      <c r="DHR91" s="63" t="s">
        <v>933</v>
      </c>
      <c r="DHS91" s="60"/>
      <c r="DIH91" s="63" t="s">
        <v>933</v>
      </c>
      <c r="DII91" s="60"/>
      <c r="DIX91" s="63" t="s">
        <v>933</v>
      </c>
      <c r="DIY91" s="60"/>
      <c r="DJN91" s="63" t="s">
        <v>933</v>
      </c>
      <c r="DJO91" s="60"/>
      <c r="DKD91" s="63" t="s">
        <v>933</v>
      </c>
      <c r="DKE91" s="60"/>
      <c r="DKT91" s="63" t="s">
        <v>933</v>
      </c>
      <c r="DKU91" s="60"/>
      <c r="DLJ91" s="63" t="s">
        <v>933</v>
      </c>
      <c r="DLK91" s="60"/>
      <c r="DLZ91" s="63" t="s">
        <v>933</v>
      </c>
      <c r="DMA91" s="60"/>
      <c r="DMP91" s="63" t="s">
        <v>933</v>
      </c>
      <c r="DMQ91" s="60"/>
      <c r="DNF91" s="63" t="s">
        <v>933</v>
      </c>
      <c r="DNG91" s="60"/>
      <c r="DNV91" s="63" t="s">
        <v>933</v>
      </c>
      <c r="DNW91" s="60"/>
      <c r="DOL91" s="63" t="s">
        <v>933</v>
      </c>
      <c r="DOM91" s="60"/>
      <c r="DPB91" s="63" t="s">
        <v>933</v>
      </c>
      <c r="DPC91" s="60"/>
      <c r="DPR91" s="63" t="s">
        <v>933</v>
      </c>
      <c r="DPS91" s="60"/>
      <c r="DQH91" s="63" t="s">
        <v>933</v>
      </c>
      <c r="DQI91" s="60"/>
      <c r="DQX91" s="63" t="s">
        <v>933</v>
      </c>
      <c r="DQY91" s="60"/>
      <c r="DRN91" s="63" t="s">
        <v>933</v>
      </c>
      <c r="DRO91" s="60"/>
      <c r="DSD91" s="63" t="s">
        <v>933</v>
      </c>
      <c r="DSE91" s="60"/>
      <c r="DST91" s="63" t="s">
        <v>933</v>
      </c>
      <c r="DSU91" s="60"/>
      <c r="DTJ91" s="63" t="s">
        <v>933</v>
      </c>
      <c r="DTK91" s="60"/>
      <c r="DTZ91" s="63" t="s">
        <v>933</v>
      </c>
      <c r="DUA91" s="60"/>
      <c r="DUP91" s="63" t="s">
        <v>933</v>
      </c>
      <c r="DUQ91" s="60"/>
      <c r="DVF91" s="63" t="s">
        <v>933</v>
      </c>
      <c r="DVG91" s="60"/>
      <c r="DVV91" s="63" t="s">
        <v>933</v>
      </c>
      <c r="DVW91" s="60"/>
      <c r="DWL91" s="63" t="s">
        <v>933</v>
      </c>
      <c r="DWM91" s="60"/>
      <c r="DXB91" s="63" t="s">
        <v>933</v>
      </c>
      <c r="DXC91" s="60"/>
      <c r="DXR91" s="63" t="s">
        <v>933</v>
      </c>
      <c r="DXS91" s="60"/>
      <c r="DYH91" s="63" t="s">
        <v>933</v>
      </c>
      <c r="DYI91" s="60"/>
      <c r="DYX91" s="63" t="s">
        <v>933</v>
      </c>
      <c r="DYY91" s="60"/>
      <c r="DZN91" s="63" t="s">
        <v>933</v>
      </c>
      <c r="DZO91" s="60"/>
      <c r="EAD91" s="63" t="s">
        <v>933</v>
      </c>
      <c r="EAE91" s="60"/>
      <c r="EAT91" s="63" t="s">
        <v>933</v>
      </c>
      <c r="EAU91" s="60"/>
      <c r="EBJ91" s="63" t="s">
        <v>933</v>
      </c>
      <c r="EBK91" s="60"/>
      <c r="EBZ91" s="63" t="s">
        <v>933</v>
      </c>
      <c r="ECA91" s="60"/>
      <c r="ECP91" s="63" t="s">
        <v>933</v>
      </c>
      <c r="ECQ91" s="60"/>
      <c r="EDF91" s="63" t="s">
        <v>933</v>
      </c>
      <c r="EDG91" s="60"/>
      <c r="EDV91" s="63" t="s">
        <v>933</v>
      </c>
      <c r="EDW91" s="60"/>
      <c r="EEL91" s="63" t="s">
        <v>933</v>
      </c>
      <c r="EEM91" s="60"/>
      <c r="EFB91" s="63" t="s">
        <v>933</v>
      </c>
      <c r="EFC91" s="60"/>
      <c r="EFR91" s="63" t="s">
        <v>933</v>
      </c>
      <c r="EFS91" s="60"/>
      <c r="EGH91" s="63" t="s">
        <v>933</v>
      </c>
      <c r="EGI91" s="60"/>
      <c r="EGX91" s="63" t="s">
        <v>933</v>
      </c>
      <c r="EGY91" s="60"/>
      <c r="EHN91" s="63" t="s">
        <v>933</v>
      </c>
      <c r="EHO91" s="60"/>
      <c r="EID91" s="63" t="s">
        <v>933</v>
      </c>
      <c r="EIE91" s="60"/>
      <c r="EIT91" s="63" t="s">
        <v>933</v>
      </c>
      <c r="EIU91" s="60"/>
      <c r="EJJ91" s="63" t="s">
        <v>933</v>
      </c>
      <c r="EJK91" s="60"/>
      <c r="EJZ91" s="63" t="s">
        <v>933</v>
      </c>
      <c r="EKA91" s="60"/>
      <c r="EKP91" s="63" t="s">
        <v>933</v>
      </c>
      <c r="EKQ91" s="60"/>
      <c r="ELF91" s="63" t="s">
        <v>933</v>
      </c>
      <c r="ELG91" s="60"/>
      <c r="ELV91" s="63" t="s">
        <v>933</v>
      </c>
      <c r="ELW91" s="60"/>
      <c r="EML91" s="63" t="s">
        <v>933</v>
      </c>
      <c r="EMM91" s="60"/>
      <c r="ENB91" s="63" t="s">
        <v>933</v>
      </c>
      <c r="ENC91" s="60"/>
      <c r="ENR91" s="63" t="s">
        <v>933</v>
      </c>
      <c r="ENS91" s="60"/>
      <c r="EOH91" s="63" t="s">
        <v>933</v>
      </c>
      <c r="EOI91" s="60"/>
      <c r="EOX91" s="63" t="s">
        <v>933</v>
      </c>
      <c r="EOY91" s="60"/>
      <c r="EPN91" s="63" t="s">
        <v>933</v>
      </c>
      <c r="EPO91" s="60"/>
      <c r="EQD91" s="63" t="s">
        <v>933</v>
      </c>
      <c r="EQE91" s="60"/>
      <c r="EQT91" s="63" t="s">
        <v>933</v>
      </c>
      <c r="EQU91" s="60"/>
      <c r="ERJ91" s="63" t="s">
        <v>933</v>
      </c>
      <c r="ERK91" s="60"/>
      <c r="ERZ91" s="63" t="s">
        <v>933</v>
      </c>
      <c r="ESA91" s="60"/>
      <c r="ESP91" s="63" t="s">
        <v>933</v>
      </c>
      <c r="ESQ91" s="60"/>
      <c r="ETF91" s="63" t="s">
        <v>933</v>
      </c>
      <c r="ETG91" s="60"/>
      <c r="ETV91" s="63" t="s">
        <v>933</v>
      </c>
      <c r="ETW91" s="60"/>
      <c r="EUL91" s="63" t="s">
        <v>933</v>
      </c>
      <c r="EUM91" s="60"/>
      <c r="EVB91" s="63" t="s">
        <v>933</v>
      </c>
      <c r="EVC91" s="60"/>
      <c r="EVR91" s="63" t="s">
        <v>933</v>
      </c>
      <c r="EVS91" s="60"/>
      <c r="EWH91" s="63" t="s">
        <v>933</v>
      </c>
      <c r="EWI91" s="60"/>
      <c r="EWX91" s="63" t="s">
        <v>933</v>
      </c>
      <c r="EWY91" s="60"/>
      <c r="EXN91" s="63" t="s">
        <v>933</v>
      </c>
      <c r="EXO91" s="60"/>
      <c r="EYD91" s="63" t="s">
        <v>933</v>
      </c>
      <c r="EYE91" s="60"/>
      <c r="EYT91" s="63" t="s">
        <v>933</v>
      </c>
      <c r="EYU91" s="60"/>
      <c r="EZJ91" s="63" t="s">
        <v>933</v>
      </c>
      <c r="EZK91" s="60"/>
      <c r="EZZ91" s="63" t="s">
        <v>933</v>
      </c>
      <c r="FAA91" s="60"/>
      <c r="FAP91" s="63" t="s">
        <v>933</v>
      </c>
      <c r="FAQ91" s="60"/>
      <c r="FBF91" s="63" t="s">
        <v>933</v>
      </c>
      <c r="FBG91" s="60"/>
      <c r="FBV91" s="63" t="s">
        <v>933</v>
      </c>
      <c r="FBW91" s="60"/>
      <c r="FCL91" s="63" t="s">
        <v>933</v>
      </c>
      <c r="FCM91" s="60"/>
      <c r="FDB91" s="63" t="s">
        <v>933</v>
      </c>
      <c r="FDC91" s="60"/>
      <c r="FDR91" s="63" t="s">
        <v>933</v>
      </c>
      <c r="FDS91" s="60"/>
      <c r="FEH91" s="63" t="s">
        <v>933</v>
      </c>
      <c r="FEI91" s="60"/>
      <c r="FEX91" s="63" t="s">
        <v>933</v>
      </c>
      <c r="FEY91" s="60"/>
      <c r="FFN91" s="63" t="s">
        <v>933</v>
      </c>
      <c r="FFO91" s="60"/>
      <c r="FGD91" s="63" t="s">
        <v>933</v>
      </c>
      <c r="FGE91" s="60"/>
      <c r="FGT91" s="63" t="s">
        <v>933</v>
      </c>
      <c r="FGU91" s="60"/>
      <c r="FHJ91" s="63" t="s">
        <v>933</v>
      </c>
      <c r="FHK91" s="60"/>
      <c r="FHZ91" s="63" t="s">
        <v>933</v>
      </c>
      <c r="FIA91" s="60"/>
      <c r="FIP91" s="63" t="s">
        <v>933</v>
      </c>
      <c r="FIQ91" s="60"/>
      <c r="FJF91" s="63" t="s">
        <v>933</v>
      </c>
      <c r="FJG91" s="60"/>
      <c r="FJV91" s="63" t="s">
        <v>933</v>
      </c>
      <c r="FJW91" s="60"/>
      <c r="FKL91" s="63" t="s">
        <v>933</v>
      </c>
      <c r="FKM91" s="60"/>
      <c r="FLB91" s="63" t="s">
        <v>933</v>
      </c>
      <c r="FLC91" s="60"/>
      <c r="FLR91" s="63" t="s">
        <v>933</v>
      </c>
      <c r="FLS91" s="60"/>
      <c r="FMH91" s="63" t="s">
        <v>933</v>
      </c>
      <c r="FMI91" s="60"/>
      <c r="FMX91" s="63" t="s">
        <v>933</v>
      </c>
      <c r="FMY91" s="60"/>
      <c r="FNN91" s="63" t="s">
        <v>933</v>
      </c>
      <c r="FNO91" s="60"/>
      <c r="FOD91" s="63" t="s">
        <v>933</v>
      </c>
      <c r="FOE91" s="60"/>
      <c r="FOT91" s="63" t="s">
        <v>933</v>
      </c>
      <c r="FOU91" s="60"/>
      <c r="FPJ91" s="63" t="s">
        <v>933</v>
      </c>
      <c r="FPK91" s="60"/>
      <c r="FPZ91" s="63" t="s">
        <v>933</v>
      </c>
      <c r="FQA91" s="60"/>
      <c r="FQP91" s="63" t="s">
        <v>933</v>
      </c>
      <c r="FQQ91" s="60"/>
      <c r="FRF91" s="63" t="s">
        <v>933</v>
      </c>
      <c r="FRG91" s="60"/>
      <c r="FRV91" s="63" t="s">
        <v>933</v>
      </c>
      <c r="FRW91" s="60"/>
      <c r="FSL91" s="63" t="s">
        <v>933</v>
      </c>
      <c r="FSM91" s="60"/>
      <c r="FTB91" s="63" t="s">
        <v>933</v>
      </c>
      <c r="FTC91" s="60"/>
      <c r="FTR91" s="63" t="s">
        <v>933</v>
      </c>
      <c r="FTS91" s="60"/>
      <c r="FUH91" s="63" t="s">
        <v>933</v>
      </c>
      <c r="FUI91" s="60"/>
      <c r="FUX91" s="63" t="s">
        <v>933</v>
      </c>
      <c r="FUY91" s="60"/>
      <c r="FVN91" s="63" t="s">
        <v>933</v>
      </c>
      <c r="FVO91" s="60"/>
      <c r="FWD91" s="63" t="s">
        <v>933</v>
      </c>
      <c r="FWE91" s="60"/>
      <c r="FWT91" s="63" t="s">
        <v>933</v>
      </c>
      <c r="FWU91" s="60"/>
      <c r="FXJ91" s="63" t="s">
        <v>933</v>
      </c>
      <c r="FXK91" s="60"/>
      <c r="FXZ91" s="63" t="s">
        <v>933</v>
      </c>
      <c r="FYA91" s="60"/>
      <c r="FYP91" s="63" t="s">
        <v>933</v>
      </c>
      <c r="FYQ91" s="60"/>
      <c r="FZF91" s="63" t="s">
        <v>933</v>
      </c>
      <c r="FZG91" s="60"/>
      <c r="FZV91" s="63" t="s">
        <v>933</v>
      </c>
      <c r="FZW91" s="60"/>
      <c r="GAL91" s="63" t="s">
        <v>933</v>
      </c>
      <c r="GAM91" s="60"/>
      <c r="GBB91" s="63" t="s">
        <v>933</v>
      </c>
      <c r="GBC91" s="60"/>
      <c r="GBR91" s="63" t="s">
        <v>933</v>
      </c>
      <c r="GBS91" s="60"/>
      <c r="GCH91" s="63" t="s">
        <v>933</v>
      </c>
      <c r="GCI91" s="60"/>
      <c r="GCX91" s="63" t="s">
        <v>933</v>
      </c>
      <c r="GCY91" s="60"/>
      <c r="GDN91" s="63" t="s">
        <v>933</v>
      </c>
      <c r="GDO91" s="60"/>
      <c r="GED91" s="63" t="s">
        <v>933</v>
      </c>
      <c r="GEE91" s="60"/>
      <c r="GET91" s="63" t="s">
        <v>933</v>
      </c>
      <c r="GEU91" s="60"/>
      <c r="GFJ91" s="63" t="s">
        <v>933</v>
      </c>
      <c r="GFK91" s="60"/>
      <c r="GFZ91" s="63" t="s">
        <v>933</v>
      </c>
      <c r="GGA91" s="60"/>
      <c r="GGP91" s="63" t="s">
        <v>933</v>
      </c>
      <c r="GGQ91" s="60"/>
      <c r="GHF91" s="63" t="s">
        <v>933</v>
      </c>
      <c r="GHG91" s="60"/>
      <c r="GHV91" s="63" t="s">
        <v>933</v>
      </c>
      <c r="GHW91" s="60"/>
      <c r="GIL91" s="63" t="s">
        <v>933</v>
      </c>
      <c r="GIM91" s="60"/>
      <c r="GJB91" s="63" t="s">
        <v>933</v>
      </c>
      <c r="GJC91" s="60"/>
      <c r="GJR91" s="63" t="s">
        <v>933</v>
      </c>
      <c r="GJS91" s="60"/>
      <c r="GKH91" s="63" t="s">
        <v>933</v>
      </c>
      <c r="GKI91" s="60"/>
      <c r="GKX91" s="63" t="s">
        <v>933</v>
      </c>
      <c r="GKY91" s="60"/>
      <c r="GLN91" s="63" t="s">
        <v>933</v>
      </c>
      <c r="GLO91" s="60"/>
      <c r="GMD91" s="63" t="s">
        <v>933</v>
      </c>
      <c r="GME91" s="60"/>
      <c r="GMT91" s="63" t="s">
        <v>933</v>
      </c>
      <c r="GMU91" s="60"/>
      <c r="GNJ91" s="63" t="s">
        <v>933</v>
      </c>
      <c r="GNK91" s="60"/>
      <c r="GNZ91" s="63" t="s">
        <v>933</v>
      </c>
      <c r="GOA91" s="60"/>
      <c r="GOP91" s="63" t="s">
        <v>933</v>
      </c>
      <c r="GOQ91" s="60"/>
      <c r="GPF91" s="63" t="s">
        <v>933</v>
      </c>
      <c r="GPG91" s="60"/>
      <c r="GPV91" s="63" t="s">
        <v>933</v>
      </c>
      <c r="GPW91" s="60"/>
      <c r="GQL91" s="63" t="s">
        <v>933</v>
      </c>
      <c r="GQM91" s="60"/>
      <c r="GRB91" s="63" t="s">
        <v>933</v>
      </c>
      <c r="GRC91" s="60"/>
      <c r="GRR91" s="63" t="s">
        <v>933</v>
      </c>
      <c r="GRS91" s="60"/>
      <c r="GSH91" s="63" t="s">
        <v>933</v>
      </c>
      <c r="GSI91" s="60"/>
      <c r="GSX91" s="63" t="s">
        <v>933</v>
      </c>
      <c r="GSY91" s="60"/>
      <c r="GTN91" s="63" t="s">
        <v>933</v>
      </c>
      <c r="GTO91" s="60"/>
      <c r="GUD91" s="63" t="s">
        <v>933</v>
      </c>
      <c r="GUE91" s="60"/>
      <c r="GUT91" s="63" t="s">
        <v>933</v>
      </c>
      <c r="GUU91" s="60"/>
      <c r="GVJ91" s="63" t="s">
        <v>933</v>
      </c>
      <c r="GVK91" s="60"/>
      <c r="GVZ91" s="63" t="s">
        <v>933</v>
      </c>
      <c r="GWA91" s="60"/>
      <c r="GWP91" s="63" t="s">
        <v>933</v>
      </c>
      <c r="GWQ91" s="60"/>
      <c r="GXF91" s="63" t="s">
        <v>933</v>
      </c>
      <c r="GXG91" s="60"/>
      <c r="GXV91" s="63" t="s">
        <v>933</v>
      </c>
      <c r="GXW91" s="60"/>
      <c r="GYL91" s="63" t="s">
        <v>933</v>
      </c>
      <c r="GYM91" s="60"/>
      <c r="GZB91" s="63" t="s">
        <v>933</v>
      </c>
      <c r="GZC91" s="60"/>
      <c r="GZR91" s="63" t="s">
        <v>933</v>
      </c>
      <c r="GZS91" s="60"/>
      <c r="HAH91" s="63" t="s">
        <v>933</v>
      </c>
      <c r="HAI91" s="60"/>
      <c r="HAX91" s="63" t="s">
        <v>933</v>
      </c>
      <c r="HAY91" s="60"/>
      <c r="HBN91" s="63" t="s">
        <v>933</v>
      </c>
      <c r="HBO91" s="60"/>
      <c r="HCD91" s="63" t="s">
        <v>933</v>
      </c>
      <c r="HCE91" s="60"/>
      <c r="HCT91" s="63" t="s">
        <v>933</v>
      </c>
      <c r="HCU91" s="60"/>
      <c r="HDJ91" s="63" t="s">
        <v>933</v>
      </c>
      <c r="HDK91" s="60"/>
      <c r="HDZ91" s="63" t="s">
        <v>933</v>
      </c>
      <c r="HEA91" s="60"/>
      <c r="HEP91" s="63" t="s">
        <v>933</v>
      </c>
      <c r="HEQ91" s="60"/>
      <c r="HFF91" s="63" t="s">
        <v>933</v>
      </c>
      <c r="HFG91" s="60"/>
      <c r="HFV91" s="63" t="s">
        <v>933</v>
      </c>
      <c r="HFW91" s="60"/>
      <c r="HGL91" s="63" t="s">
        <v>933</v>
      </c>
      <c r="HGM91" s="60"/>
      <c r="HHB91" s="63" t="s">
        <v>933</v>
      </c>
      <c r="HHC91" s="60"/>
      <c r="HHR91" s="63" t="s">
        <v>933</v>
      </c>
      <c r="HHS91" s="60"/>
      <c r="HIH91" s="63" t="s">
        <v>933</v>
      </c>
      <c r="HII91" s="60"/>
      <c r="HIX91" s="63" t="s">
        <v>933</v>
      </c>
      <c r="HIY91" s="60"/>
      <c r="HJN91" s="63" t="s">
        <v>933</v>
      </c>
      <c r="HJO91" s="60"/>
      <c r="HKD91" s="63" t="s">
        <v>933</v>
      </c>
      <c r="HKE91" s="60"/>
      <c r="HKT91" s="63" t="s">
        <v>933</v>
      </c>
      <c r="HKU91" s="60"/>
      <c r="HLJ91" s="63" t="s">
        <v>933</v>
      </c>
      <c r="HLK91" s="60"/>
      <c r="HLZ91" s="63" t="s">
        <v>933</v>
      </c>
      <c r="HMA91" s="60"/>
      <c r="HMP91" s="63" t="s">
        <v>933</v>
      </c>
      <c r="HMQ91" s="60"/>
      <c r="HNF91" s="63" t="s">
        <v>933</v>
      </c>
      <c r="HNG91" s="60"/>
      <c r="HNV91" s="63" t="s">
        <v>933</v>
      </c>
      <c r="HNW91" s="60"/>
      <c r="HOL91" s="63" t="s">
        <v>933</v>
      </c>
      <c r="HOM91" s="60"/>
      <c r="HPB91" s="63" t="s">
        <v>933</v>
      </c>
      <c r="HPC91" s="60"/>
      <c r="HPR91" s="63" t="s">
        <v>933</v>
      </c>
      <c r="HPS91" s="60"/>
      <c r="HQH91" s="63" t="s">
        <v>933</v>
      </c>
      <c r="HQI91" s="60"/>
      <c r="HQX91" s="63" t="s">
        <v>933</v>
      </c>
      <c r="HQY91" s="60"/>
      <c r="HRN91" s="63" t="s">
        <v>933</v>
      </c>
      <c r="HRO91" s="60"/>
      <c r="HSD91" s="63" t="s">
        <v>933</v>
      </c>
      <c r="HSE91" s="60"/>
      <c r="HST91" s="63" t="s">
        <v>933</v>
      </c>
      <c r="HSU91" s="60"/>
      <c r="HTJ91" s="63" t="s">
        <v>933</v>
      </c>
      <c r="HTK91" s="60"/>
      <c r="HTZ91" s="63" t="s">
        <v>933</v>
      </c>
      <c r="HUA91" s="60"/>
      <c r="HUP91" s="63" t="s">
        <v>933</v>
      </c>
      <c r="HUQ91" s="60"/>
      <c r="HVF91" s="63" t="s">
        <v>933</v>
      </c>
      <c r="HVG91" s="60"/>
      <c r="HVV91" s="63" t="s">
        <v>933</v>
      </c>
      <c r="HVW91" s="60"/>
      <c r="HWL91" s="63" t="s">
        <v>933</v>
      </c>
      <c r="HWM91" s="60"/>
      <c r="HXB91" s="63" t="s">
        <v>933</v>
      </c>
      <c r="HXC91" s="60"/>
      <c r="HXR91" s="63" t="s">
        <v>933</v>
      </c>
      <c r="HXS91" s="60"/>
      <c r="HYH91" s="63" t="s">
        <v>933</v>
      </c>
      <c r="HYI91" s="60"/>
      <c r="HYX91" s="63" t="s">
        <v>933</v>
      </c>
      <c r="HYY91" s="60"/>
      <c r="HZN91" s="63" t="s">
        <v>933</v>
      </c>
      <c r="HZO91" s="60"/>
      <c r="IAD91" s="63" t="s">
        <v>933</v>
      </c>
      <c r="IAE91" s="60"/>
      <c r="IAT91" s="63" t="s">
        <v>933</v>
      </c>
      <c r="IAU91" s="60"/>
      <c r="IBJ91" s="63" t="s">
        <v>933</v>
      </c>
      <c r="IBK91" s="60"/>
      <c r="IBZ91" s="63" t="s">
        <v>933</v>
      </c>
      <c r="ICA91" s="60"/>
      <c r="ICP91" s="63" t="s">
        <v>933</v>
      </c>
      <c r="ICQ91" s="60"/>
      <c r="IDF91" s="63" t="s">
        <v>933</v>
      </c>
      <c r="IDG91" s="60"/>
      <c r="IDV91" s="63" t="s">
        <v>933</v>
      </c>
      <c r="IDW91" s="60"/>
      <c r="IEL91" s="63" t="s">
        <v>933</v>
      </c>
      <c r="IEM91" s="60"/>
      <c r="IFB91" s="63" t="s">
        <v>933</v>
      </c>
      <c r="IFC91" s="60"/>
      <c r="IFR91" s="63" t="s">
        <v>933</v>
      </c>
      <c r="IFS91" s="60"/>
      <c r="IGH91" s="63" t="s">
        <v>933</v>
      </c>
      <c r="IGI91" s="60"/>
      <c r="IGX91" s="63" t="s">
        <v>933</v>
      </c>
      <c r="IGY91" s="60"/>
      <c r="IHN91" s="63" t="s">
        <v>933</v>
      </c>
      <c r="IHO91" s="60"/>
      <c r="IID91" s="63" t="s">
        <v>933</v>
      </c>
      <c r="IIE91" s="60"/>
      <c r="IIT91" s="63" t="s">
        <v>933</v>
      </c>
      <c r="IIU91" s="60"/>
      <c r="IJJ91" s="63" t="s">
        <v>933</v>
      </c>
      <c r="IJK91" s="60"/>
      <c r="IJZ91" s="63" t="s">
        <v>933</v>
      </c>
      <c r="IKA91" s="60"/>
      <c r="IKP91" s="63" t="s">
        <v>933</v>
      </c>
      <c r="IKQ91" s="60"/>
      <c r="ILF91" s="63" t="s">
        <v>933</v>
      </c>
      <c r="ILG91" s="60"/>
      <c r="ILV91" s="63" t="s">
        <v>933</v>
      </c>
      <c r="ILW91" s="60"/>
      <c r="IML91" s="63" t="s">
        <v>933</v>
      </c>
      <c r="IMM91" s="60"/>
      <c r="INB91" s="63" t="s">
        <v>933</v>
      </c>
      <c r="INC91" s="60"/>
      <c r="INR91" s="63" t="s">
        <v>933</v>
      </c>
      <c r="INS91" s="60"/>
      <c r="IOH91" s="63" t="s">
        <v>933</v>
      </c>
      <c r="IOI91" s="60"/>
      <c r="IOX91" s="63" t="s">
        <v>933</v>
      </c>
      <c r="IOY91" s="60"/>
      <c r="IPN91" s="63" t="s">
        <v>933</v>
      </c>
      <c r="IPO91" s="60"/>
      <c r="IQD91" s="63" t="s">
        <v>933</v>
      </c>
      <c r="IQE91" s="60"/>
      <c r="IQT91" s="63" t="s">
        <v>933</v>
      </c>
      <c r="IQU91" s="60"/>
      <c r="IRJ91" s="63" t="s">
        <v>933</v>
      </c>
      <c r="IRK91" s="60"/>
      <c r="IRZ91" s="63" t="s">
        <v>933</v>
      </c>
      <c r="ISA91" s="60"/>
      <c r="ISP91" s="63" t="s">
        <v>933</v>
      </c>
      <c r="ISQ91" s="60"/>
      <c r="ITF91" s="63" t="s">
        <v>933</v>
      </c>
      <c r="ITG91" s="60"/>
      <c r="ITV91" s="63" t="s">
        <v>933</v>
      </c>
      <c r="ITW91" s="60"/>
      <c r="IUL91" s="63" t="s">
        <v>933</v>
      </c>
      <c r="IUM91" s="60"/>
      <c r="IVB91" s="63" t="s">
        <v>933</v>
      </c>
      <c r="IVC91" s="60"/>
      <c r="IVR91" s="63" t="s">
        <v>933</v>
      </c>
      <c r="IVS91" s="60"/>
      <c r="IWH91" s="63" t="s">
        <v>933</v>
      </c>
      <c r="IWI91" s="60"/>
      <c r="IWX91" s="63" t="s">
        <v>933</v>
      </c>
      <c r="IWY91" s="60"/>
      <c r="IXN91" s="63" t="s">
        <v>933</v>
      </c>
      <c r="IXO91" s="60"/>
      <c r="IYD91" s="63" t="s">
        <v>933</v>
      </c>
      <c r="IYE91" s="60"/>
      <c r="IYT91" s="63" t="s">
        <v>933</v>
      </c>
      <c r="IYU91" s="60"/>
      <c r="IZJ91" s="63" t="s">
        <v>933</v>
      </c>
      <c r="IZK91" s="60"/>
      <c r="IZZ91" s="63" t="s">
        <v>933</v>
      </c>
      <c r="JAA91" s="60"/>
      <c r="JAP91" s="63" t="s">
        <v>933</v>
      </c>
      <c r="JAQ91" s="60"/>
      <c r="JBF91" s="63" t="s">
        <v>933</v>
      </c>
      <c r="JBG91" s="60"/>
      <c r="JBV91" s="63" t="s">
        <v>933</v>
      </c>
      <c r="JBW91" s="60"/>
      <c r="JCL91" s="63" t="s">
        <v>933</v>
      </c>
      <c r="JCM91" s="60"/>
      <c r="JDB91" s="63" t="s">
        <v>933</v>
      </c>
      <c r="JDC91" s="60"/>
      <c r="JDR91" s="63" t="s">
        <v>933</v>
      </c>
      <c r="JDS91" s="60"/>
      <c r="JEH91" s="63" t="s">
        <v>933</v>
      </c>
      <c r="JEI91" s="60"/>
      <c r="JEX91" s="63" t="s">
        <v>933</v>
      </c>
      <c r="JEY91" s="60"/>
      <c r="JFN91" s="63" t="s">
        <v>933</v>
      </c>
      <c r="JFO91" s="60"/>
      <c r="JGD91" s="63" t="s">
        <v>933</v>
      </c>
      <c r="JGE91" s="60"/>
      <c r="JGT91" s="63" t="s">
        <v>933</v>
      </c>
      <c r="JGU91" s="60"/>
      <c r="JHJ91" s="63" t="s">
        <v>933</v>
      </c>
      <c r="JHK91" s="60"/>
      <c r="JHZ91" s="63" t="s">
        <v>933</v>
      </c>
      <c r="JIA91" s="60"/>
      <c r="JIP91" s="63" t="s">
        <v>933</v>
      </c>
      <c r="JIQ91" s="60"/>
      <c r="JJF91" s="63" t="s">
        <v>933</v>
      </c>
      <c r="JJG91" s="60"/>
      <c r="JJV91" s="63" t="s">
        <v>933</v>
      </c>
      <c r="JJW91" s="60"/>
      <c r="JKL91" s="63" t="s">
        <v>933</v>
      </c>
      <c r="JKM91" s="60"/>
      <c r="JLB91" s="63" t="s">
        <v>933</v>
      </c>
      <c r="JLC91" s="60"/>
      <c r="JLR91" s="63" t="s">
        <v>933</v>
      </c>
      <c r="JLS91" s="60"/>
      <c r="JMH91" s="63" t="s">
        <v>933</v>
      </c>
      <c r="JMI91" s="60"/>
      <c r="JMX91" s="63" t="s">
        <v>933</v>
      </c>
      <c r="JMY91" s="60"/>
      <c r="JNN91" s="63" t="s">
        <v>933</v>
      </c>
      <c r="JNO91" s="60"/>
      <c r="JOD91" s="63" t="s">
        <v>933</v>
      </c>
      <c r="JOE91" s="60"/>
      <c r="JOT91" s="63" t="s">
        <v>933</v>
      </c>
      <c r="JOU91" s="60"/>
      <c r="JPJ91" s="63" t="s">
        <v>933</v>
      </c>
      <c r="JPK91" s="60"/>
      <c r="JPZ91" s="63" t="s">
        <v>933</v>
      </c>
      <c r="JQA91" s="60"/>
      <c r="JQP91" s="63" t="s">
        <v>933</v>
      </c>
      <c r="JQQ91" s="60"/>
      <c r="JRF91" s="63" t="s">
        <v>933</v>
      </c>
      <c r="JRG91" s="60"/>
      <c r="JRV91" s="63" t="s">
        <v>933</v>
      </c>
      <c r="JRW91" s="60"/>
      <c r="JSL91" s="63" t="s">
        <v>933</v>
      </c>
      <c r="JSM91" s="60"/>
      <c r="JTB91" s="63" t="s">
        <v>933</v>
      </c>
      <c r="JTC91" s="60"/>
      <c r="JTR91" s="63" t="s">
        <v>933</v>
      </c>
      <c r="JTS91" s="60"/>
      <c r="JUH91" s="63" t="s">
        <v>933</v>
      </c>
      <c r="JUI91" s="60"/>
      <c r="JUX91" s="63" t="s">
        <v>933</v>
      </c>
      <c r="JUY91" s="60"/>
      <c r="JVN91" s="63" t="s">
        <v>933</v>
      </c>
      <c r="JVO91" s="60"/>
      <c r="JWD91" s="63" t="s">
        <v>933</v>
      </c>
      <c r="JWE91" s="60"/>
      <c r="JWT91" s="63" t="s">
        <v>933</v>
      </c>
      <c r="JWU91" s="60"/>
      <c r="JXJ91" s="63" t="s">
        <v>933</v>
      </c>
      <c r="JXK91" s="60"/>
      <c r="JXZ91" s="63" t="s">
        <v>933</v>
      </c>
      <c r="JYA91" s="60"/>
      <c r="JYP91" s="63" t="s">
        <v>933</v>
      </c>
      <c r="JYQ91" s="60"/>
      <c r="JZF91" s="63" t="s">
        <v>933</v>
      </c>
      <c r="JZG91" s="60"/>
      <c r="JZV91" s="63" t="s">
        <v>933</v>
      </c>
      <c r="JZW91" s="60"/>
      <c r="KAL91" s="63" t="s">
        <v>933</v>
      </c>
      <c r="KAM91" s="60"/>
      <c r="KBB91" s="63" t="s">
        <v>933</v>
      </c>
      <c r="KBC91" s="60"/>
      <c r="KBR91" s="63" t="s">
        <v>933</v>
      </c>
      <c r="KBS91" s="60"/>
      <c r="KCH91" s="63" t="s">
        <v>933</v>
      </c>
      <c r="KCI91" s="60"/>
      <c r="KCX91" s="63" t="s">
        <v>933</v>
      </c>
      <c r="KCY91" s="60"/>
      <c r="KDN91" s="63" t="s">
        <v>933</v>
      </c>
      <c r="KDO91" s="60"/>
      <c r="KED91" s="63" t="s">
        <v>933</v>
      </c>
      <c r="KEE91" s="60"/>
      <c r="KET91" s="63" t="s">
        <v>933</v>
      </c>
      <c r="KEU91" s="60"/>
      <c r="KFJ91" s="63" t="s">
        <v>933</v>
      </c>
      <c r="KFK91" s="60"/>
      <c r="KFZ91" s="63" t="s">
        <v>933</v>
      </c>
      <c r="KGA91" s="60"/>
      <c r="KGP91" s="63" t="s">
        <v>933</v>
      </c>
      <c r="KGQ91" s="60"/>
      <c r="KHF91" s="63" t="s">
        <v>933</v>
      </c>
      <c r="KHG91" s="60"/>
      <c r="KHV91" s="63" t="s">
        <v>933</v>
      </c>
      <c r="KHW91" s="60"/>
      <c r="KIL91" s="63" t="s">
        <v>933</v>
      </c>
      <c r="KIM91" s="60"/>
      <c r="KJB91" s="63" t="s">
        <v>933</v>
      </c>
      <c r="KJC91" s="60"/>
      <c r="KJR91" s="63" t="s">
        <v>933</v>
      </c>
      <c r="KJS91" s="60"/>
      <c r="KKH91" s="63" t="s">
        <v>933</v>
      </c>
      <c r="KKI91" s="60"/>
      <c r="KKX91" s="63" t="s">
        <v>933</v>
      </c>
      <c r="KKY91" s="60"/>
      <c r="KLN91" s="63" t="s">
        <v>933</v>
      </c>
      <c r="KLO91" s="60"/>
      <c r="KMD91" s="63" t="s">
        <v>933</v>
      </c>
      <c r="KME91" s="60"/>
      <c r="KMT91" s="63" t="s">
        <v>933</v>
      </c>
      <c r="KMU91" s="60"/>
      <c r="KNJ91" s="63" t="s">
        <v>933</v>
      </c>
      <c r="KNK91" s="60"/>
      <c r="KNZ91" s="63" t="s">
        <v>933</v>
      </c>
      <c r="KOA91" s="60"/>
      <c r="KOP91" s="63" t="s">
        <v>933</v>
      </c>
      <c r="KOQ91" s="60"/>
      <c r="KPF91" s="63" t="s">
        <v>933</v>
      </c>
      <c r="KPG91" s="60"/>
      <c r="KPV91" s="63" t="s">
        <v>933</v>
      </c>
      <c r="KPW91" s="60"/>
      <c r="KQL91" s="63" t="s">
        <v>933</v>
      </c>
      <c r="KQM91" s="60"/>
      <c r="KRB91" s="63" t="s">
        <v>933</v>
      </c>
      <c r="KRC91" s="60"/>
      <c r="KRR91" s="63" t="s">
        <v>933</v>
      </c>
      <c r="KRS91" s="60"/>
      <c r="KSH91" s="63" t="s">
        <v>933</v>
      </c>
      <c r="KSI91" s="60"/>
      <c r="KSX91" s="63" t="s">
        <v>933</v>
      </c>
      <c r="KSY91" s="60"/>
      <c r="KTN91" s="63" t="s">
        <v>933</v>
      </c>
      <c r="KTO91" s="60"/>
      <c r="KUD91" s="63" t="s">
        <v>933</v>
      </c>
      <c r="KUE91" s="60"/>
      <c r="KUT91" s="63" t="s">
        <v>933</v>
      </c>
      <c r="KUU91" s="60"/>
      <c r="KVJ91" s="63" t="s">
        <v>933</v>
      </c>
      <c r="KVK91" s="60"/>
      <c r="KVZ91" s="63" t="s">
        <v>933</v>
      </c>
      <c r="KWA91" s="60"/>
      <c r="KWP91" s="63" t="s">
        <v>933</v>
      </c>
      <c r="KWQ91" s="60"/>
      <c r="KXF91" s="63" t="s">
        <v>933</v>
      </c>
      <c r="KXG91" s="60"/>
      <c r="KXV91" s="63" t="s">
        <v>933</v>
      </c>
      <c r="KXW91" s="60"/>
      <c r="KYL91" s="63" t="s">
        <v>933</v>
      </c>
      <c r="KYM91" s="60"/>
      <c r="KZB91" s="63" t="s">
        <v>933</v>
      </c>
      <c r="KZC91" s="60"/>
      <c r="KZR91" s="63" t="s">
        <v>933</v>
      </c>
      <c r="KZS91" s="60"/>
      <c r="LAH91" s="63" t="s">
        <v>933</v>
      </c>
      <c r="LAI91" s="60"/>
      <c r="LAX91" s="63" t="s">
        <v>933</v>
      </c>
      <c r="LAY91" s="60"/>
      <c r="LBN91" s="63" t="s">
        <v>933</v>
      </c>
      <c r="LBO91" s="60"/>
      <c r="LCD91" s="63" t="s">
        <v>933</v>
      </c>
      <c r="LCE91" s="60"/>
      <c r="LCT91" s="63" t="s">
        <v>933</v>
      </c>
      <c r="LCU91" s="60"/>
      <c r="LDJ91" s="63" t="s">
        <v>933</v>
      </c>
      <c r="LDK91" s="60"/>
      <c r="LDZ91" s="63" t="s">
        <v>933</v>
      </c>
      <c r="LEA91" s="60"/>
      <c r="LEP91" s="63" t="s">
        <v>933</v>
      </c>
      <c r="LEQ91" s="60"/>
      <c r="LFF91" s="63" t="s">
        <v>933</v>
      </c>
      <c r="LFG91" s="60"/>
      <c r="LFV91" s="63" t="s">
        <v>933</v>
      </c>
      <c r="LFW91" s="60"/>
      <c r="LGL91" s="63" t="s">
        <v>933</v>
      </c>
      <c r="LGM91" s="60"/>
      <c r="LHB91" s="63" t="s">
        <v>933</v>
      </c>
      <c r="LHC91" s="60"/>
      <c r="LHR91" s="63" t="s">
        <v>933</v>
      </c>
      <c r="LHS91" s="60"/>
      <c r="LIH91" s="63" t="s">
        <v>933</v>
      </c>
      <c r="LII91" s="60"/>
      <c r="LIX91" s="63" t="s">
        <v>933</v>
      </c>
      <c r="LIY91" s="60"/>
      <c r="LJN91" s="63" t="s">
        <v>933</v>
      </c>
      <c r="LJO91" s="60"/>
      <c r="LKD91" s="63" t="s">
        <v>933</v>
      </c>
      <c r="LKE91" s="60"/>
      <c r="LKT91" s="63" t="s">
        <v>933</v>
      </c>
      <c r="LKU91" s="60"/>
      <c r="LLJ91" s="63" t="s">
        <v>933</v>
      </c>
      <c r="LLK91" s="60"/>
      <c r="LLZ91" s="63" t="s">
        <v>933</v>
      </c>
      <c r="LMA91" s="60"/>
      <c r="LMP91" s="63" t="s">
        <v>933</v>
      </c>
      <c r="LMQ91" s="60"/>
      <c r="LNF91" s="63" t="s">
        <v>933</v>
      </c>
      <c r="LNG91" s="60"/>
      <c r="LNV91" s="63" t="s">
        <v>933</v>
      </c>
      <c r="LNW91" s="60"/>
      <c r="LOL91" s="63" t="s">
        <v>933</v>
      </c>
      <c r="LOM91" s="60"/>
      <c r="LPB91" s="63" t="s">
        <v>933</v>
      </c>
      <c r="LPC91" s="60"/>
      <c r="LPR91" s="63" t="s">
        <v>933</v>
      </c>
      <c r="LPS91" s="60"/>
      <c r="LQH91" s="63" t="s">
        <v>933</v>
      </c>
      <c r="LQI91" s="60"/>
      <c r="LQX91" s="63" t="s">
        <v>933</v>
      </c>
      <c r="LQY91" s="60"/>
      <c r="LRN91" s="63" t="s">
        <v>933</v>
      </c>
      <c r="LRO91" s="60"/>
      <c r="LSD91" s="63" t="s">
        <v>933</v>
      </c>
      <c r="LSE91" s="60"/>
      <c r="LST91" s="63" t="s">
        <v>933</v>
      </c>
      <c r="LSU91" s="60"/>
      <c r="LTJ91" s="63" t="s">
        <v>933</v>
      </c>
      <c r="LTK91" s="60"/>
      <c r="LTZ91" s="63" t="s">
        <v>933</v>
      </c>
      <c r="LUA91" s="60"/>
      <c r="LUP91" s="63" t="s">
        <v>933</v>
      </c>
      <c r="LUQ91" s="60"/>
      <c r="LVF91" s="63" t="s">
        <v>933</v>
      </c>
      <c r="LVG91" s="60"/>
      <c r="LVV91" s="63" t="s">
        <v>933</v>
      </c>
      <c r="LVW91" s="60"/>
      <c r="LWL91" s="63" t="s">
        <v>933</v>
      </c>
      <c r="LWM91" s="60"/>
      <c r="LXB91" s="63" t="s">
        <v>933</v>
      </c>
      <c r="LXC91" s="60"/>
      <c r="LXR91" s="63" t="s">
        <v>933</v>
      </c>
      <c r="LXS91" s="60"/>
      <c r="LYH91" s="63" t="s">
        <v>933</v>
      </c>
      <c r="LYI91" s="60"/>
      <c r="LYX91" s="63" t="s">
        <v>933</v>
      </c>
      <c r="LYY91" s="60"/>
      <c r="LZN91" s="63" t="s">
        <v>933</v>
      </c>
      <c r="LZO91" s="60"/>
      <c r="MAD91" s="63" t="s">
        <v>933</v>
      </c>
      <c r="MAE91" s="60"/>
      <c r="MAT91" s="63" t="s">
        <v>933</v>
      </c>
      <c r="MAU91" s="60"/>
      <c r="MBJ91" s="63" t="s">
        <v>933</v>
      </c>
      <c r="MBK91" s="60"/>
      <c r="MBZ91" s="63" t="s">
        <v>933</v>
      </c>
      <c r="MCA91" s="60"/>
      <c r="MCP91" s="63" t="s">
        <v>933</v>
      </c>
      <c r="MCQ91" s="60"/>
      <c r="MDF91" s="63" t="s">
        <v>933</v>
      </c>
      <c r="MDG91" s="60"/>
      <c r="MDV91" s="63" t="s">
        <v>933</v>
      </c>
      <c r="MDW91" s="60"/>
      <c r="MEL91" s="63" t="s">
        <v>933</v>
      </c>
      <c r="MEM91" s="60"/>
      <c r="MFB91" s="63" t="s">
        <v>933</v>
      </c>
      <c r="MFC91" s="60"/>
      <c r="MFR91" s="63" t="s">
        <v>933</v>
      </c>
      <c r="MFS91" s="60"/>
      <c r="MGH91" s="63" t="s">
        <v>933</v>
      </c>
      <c r="MGI91" s="60"/>
      <c r="MGX91" s="63" t="s">
        <v>933</v>
      </c>
      <c r="MGY91" s="60"/>
      <c r="MHN91" s="63" t="s">
        <v>933</v>
      </c>
      <c r="MHO91" s="60"/>
      <c r="MID91" s="63" t="s">
        <v>933</v>
      </c>
      <c r="MIE91" s="60"/>
      <c r="MIT91" s="63" t="s">
        <v>933</v>
      </c>
      <c r="MIU91" s="60"/>
      <c r="MJJ91" s="63" t="s">
        <v>933</v>
      </c>
      <c r="MJK91" s="60"/>
      <c r="MJZ91" s="63" t="s">
        <v>933</v>
      </c>
      <c r="MKA91" s="60"/>
      <c r="MKP91" s="63" t="s">
        <v>933</v>
      </c>
      <c r="MKQ91" s="60"/>
      <c r="MLF91" s="63" t="s">
        <v>933</v>
      </c>
      <c r="MLG91" s="60"/>
      <c r="MLV91" s="63" t="s">
        <v>933</v>
      </c>
      <c r="MLW91" s="60"/>
      <c r="MML91" s="63" t="s">
        <v>933</v>
      </c>
      <c r="MMM91" s="60"/>
      <c r="MNB91" s="63" t="s">
        <v>933</v>
      </c>
      <c r="MNC91" s="60"/>
      <c r="MNR91" s="63" t="s">
        <v>933</v>
      </c>
      <c r="MNS91" s="60"/>
      <c r="MOH91" s="63" t="s">
        <v>933</v>
      </c>
      <c r="MOI91" s="60"/>
      <c r="MOX91" s="63" t="s">
        <v>933</v>
      </c>
      <c r="MOY91" s="60"/>
      <c r="MPN91" s="63" t="s">
        <v>933</v>
      </c>
      <c r="MPO91" s="60"/>
      <c r="MQD91" s="63" t="s">
        <v>933</v>
      </c>
      <c r="MQE91" s="60"/>
      <c r="MQT91" s="63" t="s">
        <v>933</v>
      </c>
      <c r="MQU91" s="60"/>
      <c r="MRJ91" s="63" t="s">
        <v>933</v>
      </c>
      <c r="MRK91" s="60"/>
      <c r="MRZ91" s="63" t="s">
        <v>933</v>
      </c>
      <c r="MSA91" s="60"/>
      <c r="MSP91" s="63" t="s">
        <v>933</v>
      </c>
      <c r="MSQ91" s="60"/>
      <c r="MTF91" s="63" t="s">
        <v>933</v>
      </c>
      <c r="MTG91" s="60"/>
      <c r="MTV91" s="63" t="s">
        <v>933</v>
      </c>
      <c r="MTW91" s="60"/>
      <c r="MUL91" s="63" t="s">
        <v>933</v>
      </c>
      <c r="MUM91" s="60"/>
      <c r="MVB91" s="63" t="s">
        <v>933</v>
      </c>
      <c r="MVC91" s="60"/>
      <c r="MVR91" s="63" t="s">
        <v>933</v>
      </c>
      <c r="MVS91" s="60"/>
      <c r="MWH91" s="63" t="s">
        <v>933</v>
      </c>
      <c r="MWI91" s="60"/>
      <c r="MWX91" s="63" t="s">
        <v>933</v>
      </c>
      <c r="MWY91" s="60"/>
      <c r="MXN91" s="63" t="s">
        <v>933</v>
      </c>
      <c r="MXO91" s="60"/>
      <c r="MYD91" s="63" t="s">
        <v>933</v>
      </c>
      <c r="MYE91" s="60"/>
      <c r="MYT91" s="63" t="s">
        <v>933</v>
      </c>
      <c r="MYU91" s="60"/>
      <c r="MZJ91" s="63" t="s">
        <v>933</v>
      </c>
      <c r="MZK91" s="60"/>
      <c r="MZZ91" s="63" t="s">
        <v>933</v>
      </c>
      <c r="NAA91" s="60"/>
      <c r="NAP91" s="63" t="s">
        <v>933</v>
      </c>
      <c r="NAQ91" s="60"/>
      <c r="NBF91" s="63" t="s">
        <v>933</v>
      </c>
      <c r="NBG91" s="60"/>
      <c r="NBV91" s="63" t="s">
        <v>933</v>
      </c>
      <c r="NBW91" s="60"/>
      <c r="NCL91" s="63" t="s">
        <v>933</v>
      </c>
      <c r="NCM91" s="60"/>
      <c r="NDB91" s="63" t="s">
        <v>933</v>
      </c>
      <c r="NDC91" s="60"/>
      <c r="NDR91" s="63" t="s">
        <v>933</v>
      </c>
      <c r="NDS91" s="60"/>
      <c r="NEH91" s="63" t="s">
        <v>933</v>
      </c>
      <c r="NEI91" s="60"/>
      <c r="NEX91" s="63" t="s">
        <v>933</v>
      </c>
      <c r="NEY91" s="60"/>
      <c r="NFN91" s="63" t="s">
        <v>933</v>
      </c>
      <c r="NFO91" s="60"/>
      <c r="NGD91" s="63" t="s">
        <v>933</v>
      </c>
      <c r="NGE91" s="60"/>
      <c r="NGT91" s="63" t="s">
        <v>933</v>
      </c>
      <c r="NGU91" s="60"/>
      <c r="NHJ91" s="63" t="s">
        <v>933</v>
      </c>
      <c r="NHK91" s="60"/>
      <c r="NHZ91" s="63" t="s">
        <v>933</v>
      </c>
      <c r="NIA91" s="60"/>
      <c r="NIP91" s="63" t="s">
        <v>933</v>
      </c>
      <c r="NIQ91" s="60"/>
      <c r="NJF91" s="63" t="s">
        <v>933</v>
      </c>
      <c r="NJG91" s="60"/>
      <c r="NJV91" s="63" t="s">
        <v>933</v>
      </c>
      <c r="NJW91" s="60"/>
      <c r="NKL91" s="63" t="s">
        <v>933</v>
      </c>
      <c r="NKM91" s="60"/>
      <c r="NLB91" s="63" t="s">
        <v>933</v>
      </c>
      <c r="NLC91" s="60"/>
      <c r="NLR91" s="63" t="s">
        <v>933</v>
      </c>
      <c r="NLS91" s="60"/>
      <c r="NMH91" s="63" t="s">
        <v>933</v>
      </c>
      <c r="NMI91" s="60"/>
      <c r="NMX91" s="63" t="s">
        <v>933</v>
      </c>
      <c r="NMY91" s="60"/>
      <c r="NNN91" s="63" t="s">
        <v>933</v>
      </c>
      <c r="NNO91" s="60"/>
      <c r="NOD91" s="63" t="s">
        <v>933</v>
      </c>
      <c r="NOE91" s="60"/>
      <c r="NOT91" s="63" t="s">
        <v>933</v>
      </c>
      <c r="NOU91" s="60"/>
      <c r="NPJ91" s="63" t="s">
        <v>933</v>
      </c>
      <c r="NPK91" s="60"/>
      <c r="NPZ91" s="63" t="s">
        <v>933</v>
      </c>
      <c r="NQA91" s="60"/>
      <c r="NQP91" s="63" t="s">
        <v>933</v>
      </c>
      <c r="NQQ91" s="60"/>
      <c r="NRF91" s="63" t="s">
        <v>933</v>
      </c>
      <c r="NRG91" s="60"/>
      <c r="NRV91" s="63" t="s">
        <v>933</v>
      </c>
      <c r="NRW91" s="60"/>
      <c r="NSL91" s="63" t="s">
        <v>933</v>
      </c>
      <c r="NSM91" s="60"/>
      <c r="NTB91" s="63" t="s">
        <v>933</v>
      </c>
      <c r="NTC91" s="60"/>
      <c r="NTR91" s="63" t="s">
        <v>933</v>
      </c>
      <c r="NTS91" s="60"/>
      <c r="NUH91" s="63" t="s">
        <v>933</v>
      </c>
      <c r="NUI91" s="60"/>
      <c r="NUX91" s="63" t="s">
        <v>933</v>
      </c>
      <c r="NUY91" s="60"/>
      <c r="NVN91" s="63" t="s">
        <v>933</v>
      </c>
      <c r="NVO91" s="60"/>
      <c r="NWD91" s="63" t="s">
        <v>933</v>
      </c>
      <c r="NWE91" s="60"/>
      <c r="NWT91" s="63" t="s">
        <v>933</v>
      </c>
      <c r="NWU91" s="60"/>
      <c r="NXJ91" s="63" t="s">
        <v>933</v>
      </c>
      <c r="NXK91" s="60"/>
      <c r="NXZ91" s="63" t="s">
        <v>933</v>
      </c>
      <c r="NYA91" s="60"/>
      <c r="NYP91" s="63" t="s">
        <v>933</v>
      </c>
      <c r="NYQ91" s="60"/>
      <c r="NZF91" s="63" t="s">
        <v>933</v>
      </c>
      <c r="NZG91" s="60"/>
      <c r="NZV91" s="63" t="s">
        <v>933</v>
      </c>
      <c r="NZW91" s="60"/>
      <c r="OAL91" s="63" t="s">
        <v>933</v>
      </c>
      <c r="OAM91" s="60"/>
      <c r="OBB91" s="63" t="s">
        <v>933</v>
      </c>
      <c r="OBC91" s="60"/>
      <c r="OBR91" s="63" t="s">
        <v>933</v>
      </c>
      <c r="OBS91" s="60"/>
      <c r="OCH91" s="63" t="s">
        <v>933</v>
      </c>
      <c r="OCI91" s="60"/>
      <c r="OCX91" s="63" t="s">
        <v>933</v>
      </c>
      <c r="OCY91" s="60"/>
      <c r="ODN91" s="63" t="s">
        <v>933</v>
      </c>
      <c r="ODO91" s="60"/>
      <c r="OED91" s="63" t="s">
        <v>933</v>
      </c>
      <c r="OEE91" s="60"/>
      <c r="OET91" s="63" t="s">
        <v>933</v>
      </c>
      <c r="OEU91" s="60"/>
      <c r="OFJ91" s="63" t="s">
        <v>933</v>
      </c>
      <c r="OFK91" s="60"/>
      <c r="OFZ91" s="63" t="s">
        <v>933</v>
      </c>
      <c r="OGA91" s="60"/>
      <c r="OGP91" s="63" t="s">
        <v>933</v>
      </c>
      <c r="OGQ91" s="60"/>
      <c r="OHF91" s="63" t="s">
        <v>933</v>
      </c>
      <c r="OHG91" s="60"/>
      <c r="OHV91" s="63" t="s">
        <v>933</v>
      </c>
      <c r="OHW91" s="60"/>
      <c r="OIL91" s="63" t="s">
        <v>933</v>
      </c>
      <c r="OIM91" s="60"/>
      <c r="OJB91" s="63" t="s">
        <v>933</v>
      </c>
      <c r="OJC91" s="60"/>
      <c r="OJR91" s="63" t="s">
        <v>933</v>
      </c>
      <c r="OJS91" s="60"/>
      <c r="OKH91" s="63" t="s">
        <v>933</v>
      </c>
      <c r="OKI91" s="60"/>
      <c r="OKX91" s="63" t="s">
        <v>933</v>
      </c>
      <c r="OKY91" s="60"/>
      <c r="OLN91" s="63" t="s">
        <v>933</v>
      </c>
      <c r="OLO91" s="60"/>
      <c r="OMD91" s="63" t="s">
        <v>933</v>
      </c>
      <c r="OME91" s="60"/>
      <c r="OMT91" s="63" t="s">
        <v>933</v>
      </c>
      <c r="OMU91" s="60"/>
      <c r="ONJ91" s="63" t="s">
        <v>933</v>
      </c>
      <c r="ONK91" s="60"/>
      <c r="ONZ91" s="63" t="s">
        <v>933</v>
      </c>
      <c r="OOA91" s="60"/>
      <c r="OOP91" s="63" t="s">
        <v>933</v>
      </c>
      <c r="OOQ91" s="60"/>
      <c r="OPF91" s="63" t="s">
        <v>933</v>
      </c>
      <c r="OPG91" s="60"/>
      <c r="OPV91" s="63" t="s">
        <v>933</v>
      </c>
      <c r="OPW91" s="60"/>
      <c r="OQL91" s="63" t="s">
        <v>933</v>
      </c>
      <c r="OQM91" s="60"/>
      <c r="ORB91" s="63" t="s">
        <v>933</v>
      </c>
      <c r="ORC91" s="60"/>
      <c r="ORR91" s="63" t="s">
        <v>933</v>
      </c>
      <c r="ORS91" s="60"/>
      <c r="OSH91" s="63" t="s">
        <v>933</v>
      </c>
      <c r="OSI91" s="60"/>
      <c r="OSX91" s="63" t="s">
        <v>933</v>
      </c>
      <c r="OSY91" s="60"/>
      <c r="OTN91" s="63" t="s">
        <v>933</v>
      </c>
      <c r="OTO91" s="60"/>
      <c r="OUD91" s="63" t="s">
        <v>933</v>
      </c>
      <c r="OUE91" s="60"/>
      <c r="OUT91" s="63" t="s">
        <v>933</v>
      </c>
      <c r="OUU91" s="60"/>
      <c r="OVJ91" s="63" t="s">
        <v>933</v>
      </c>
      <c r="OVK91" s="60"/>
      <c r="OVZ91" s="63" t="s">
        <v>933</v>
      </c>
      <c r="OWA91" s="60"/>
      <c r="OWP91" s="63" t="s">
        <v>933</v>
      </c>
      <c r="OWQ91" s="60"/>
      <c r="OXF91" s="63" t="s">
        <v>933</v>
      </c>
      <c r="OXG91" s="60"/>
      <c r="OXV91" s="63" t="s">
        <v>933</v>
      </c>
      <c r="OXW91" s="60"/>
      <c r="OYL91" s="63" t="s">
        <v>933</v>
      </c>
      <c r="OYM91" s="60"/>
      <c r="OZB91" s="63" t="s">
        <v>933</v>
      </c>
      <c r="OZC91" s="60"/>
      <c r="OZR91" s="63" t="s">
        <v>933</v>
      </c>
      <c r="OZS91" s="60"/>
      <c r="PAH91" s="63" t="s">
        <v>933</v>
      </c>
      <c r="PAI91" s="60"/>
      <c r="PAX91" s="63" t="s">
        <v>933</v>
      </c>
      <c r="PAY91" s="60"/>
      <c r="PBN91" s="63" t="s">
        <v>933</v>
      </c>
      <c r="PBO91" s="60"/>
      <c r="PCD91" s="63" t="s">
        <v>933</v>
      </c>
      <c r="PCE91" s="60"/>
      <c r="PCT91" s="63" t="s">
        <v>933</v>
      </c>
      <c r="PCU91" s="60"/>
      <c r="PDJ91" s="63" t="s">
        <v>933</v>
      </c>
      <c r="PDK91" s="60"/>
      <c r="PDZ91" s="63" t="s">
        <v>933</v>
      </c>
      <c r="PEA91" s="60"/>
      <c r="PEP91" s="63" t="s">
        <v>933</v>
      </c>
      <c r="PEQ91" s="60"/>
      <c r="PFF91" s="63" t="s">
        <v>933</v>
      </c>
      <c r="PFG91" s="60"/>
      <c r="PFV91" s="63" t="s">
        <v>933</v>
      </c>
      <c r="PFW91" s="60"/>
      <c r="PGL91" s="63" t="s">
        <v>933</v>
      </c>
      <c r="PGM91" s="60"/>
      <c r="PHB91" s="63" t="s">
        <v>933</v>
      </c>
      <c r="PHC91" s="60"/>
      <c r="PHR91" s="63" t="s">
        <v>933</v>
      </c>
      <c r="PHS91" s="60"/>
      <c r="PIH91" s="63" t="s">
        <v>933</v>
      </c>
      <c r="PII91" s="60"/>
      <c r="PIX91" s="63" t="s">
        <v>933</v>
      </c>
      <c r="PIY91" s="60"/>
      <c r="PJN91" s="63" t="s">
        <v>933</v>
      </c>
      <c r="PJO91" s="60"/>
      <c r="PKD91" s="63" t="s">
        <v>933</v>
      </c>
      <c r="PKE91" s="60"/>
      <c r="PKT91" s="63" t="s">
        <v>933</v>
      </c>
      <c r="PKU91" s="60"/>
      <c r="PLJ91" s="63" t="s">
        <v>933</v>
      </c>
      <c r="PLK91" s="60"/>
      <c r="PLZ91" s="63" t="s">
        <v>933</v>
      </c>
      <c r="PMA91" s="60"/>
      <c r="PMP91" s="63" t="s">
        <v>933</v>
      </c>
      <c r="PMQ91" s="60"/>
      <c r="PNF91" s="63" t="s">
        <v>933</v>
      </c>
      <c r="PNG91" s="60"/>
      <c r="PNV91" s="63" t="s">
        <v>933</v>
      </c>
      <c r="PNW91" s="60"/>
      <c r="POL91" s="63" t="s">
        <v>933</v>
      </c>
      <c r="POM91" s="60"/>
      <c r="PPB91" s="63" t="s">
        <v>933</v>
      </c>
      <c r="PPC91" s="60"/>
      <c r="PPR91" s="63" t="s">
        <v>933</v>
      </c>
      <c r="PPS91" s="60"/>
      <c r="PQH91" s="63" t="s">
        <v>933</v>
      </c>
      <c r="PQI91" s="60"/>
      <c r="PQX91" s="63" t="s">
        <v>933</v>
      </c>
      <c r="PQY91" s="60"/>
      <c r="PRN91" s="63" t="s">
        <v>933</v>
      </c>
      <c r="PRO91" s="60"/>
      <c r="PSD91" s="63" t="s">
        <v>933</v>
      </c>
      <c r="PSE91" s="60"/>
      <c r="PST91" s="63" t="s">
        <v>933</v>
      </c>
      <c r="PSU91" s="60"/>
      <c r="PTJ91" s="63" t="s">
        <v>933</v>
      </c>
      <c r="PTK91" s="60"/>
      <c r="PTZ91" s="63" t="s">
        <v>933</v>
      </c>
      <c r="PUA91" s="60"/>
      <c r="PUP91" s="63" t="s">
        <v>933</v>
      </c>
      <c r="PUQ91" s="60"/>
      <c r="PVF91" s="63" t="s">
        <v>933</v>
      </c>
      <c r="PVG91" s="60"/>
      <c r="PVV91" s="63" t="s">
        <v>933</v>
      </c>
      <c r="PVW91" s="60"/>
      <c r="PWL91" s="63" t="s">
        <v>933</v>
      </c>
      <c r="PWM91" s="60"/>
      <c r="PXB91" s="63" t="s">
        <v>933</v>
      </c>
      <c r="PXC91" s="60"/>
      <c r="PXR91" s="63" t="s">
        <v>933</v>
      </c>
      <c r="PXS91" s="60"/>
      <c r="PYH91" s="63" t="s">
        <v>933</v>
      </c>
      <c r="PYI91" s="60"/>
      <c r="PYX91" s="63" t="s">
        <v>933</v>
      </c>
      <c r="PYY91" s="60"/>
      <c r="PZN91" s="63" t="s">
        <v>933</v>
      </c>
      <c r="PZO91" s="60"/>
      <c r="QAD91" s="63" t="s">
        <v>933</v>
      </c>
      <c r="QAE91" s="60"/>
      <c r="QAT91" s="63" t="s">
        <v>933</v>
      </c>
      <c r="QAU91" s="60"/>
      <c r="QBJ91" s="63" t="s">
        <v>933</v>
      </c>
      <c r="QBK91" s="60"/>
      <c r="QBZ91" s="63" t="s">
        <v>933</v>
      </c>
      <c r="QCA91" s="60"/>
      <c r="QCP91" s="63" t="s">
        <v>933</v>
      </c>
      <c r="QCQ91" s="60"/>
      <c r="QDF91" s="63" t="s">
        <v>933</v>
      </c>
      <c r="QDG91" s="60"/>
      <c r="QDV91" s="63" t="s">
        <v>933</v>
      </c>
      <c r="QDW91" s="60"/>
      <c r="QEL91" s="63" t="s">
        <v>933</v>
      </c>
      <c r="QEM91" s="60"/>
      <c r="QFB91" s="63" t="s">
        <v>933</v>
      </c>
      <c r="QFC91" s="60"/>
      <c r="QFR91" s="63" t="s">
        <v>933</v>
      </c>
      <c r="QFS91" s="60"/>
      <c r="QGH91" s="63" t="s">
        <v>933</v>
      </c>
      <c r="QGI91" s="60"/>
      <c r="QGX91" s="63" t="s">
        <v>933</v>
      </c>
      <c r="QGY91" s="60"/>
      <c r="QHN91" s="63" t="s">
        <v>933</v>
      </c>
      <c r="QHO91" s="60"/>
      <c r="QID91" s="63" t="s">
        <v>933</v>
      </c>
      <c r="QIE91" s="60"/>
      <c r="QIT91" s="63" t="s">
        <v>933</v>
      </c>
      <c r="QIU91" s="60"/>
      <c r="QJJ91" s="63" t="s">
        <v>933</v>
      </c>
      <c r="QJK91" s="60"/>
      <c r="QJZ91" s="63" t="s">
        <v>933</v>
      </c>
      <c r="QKA91" s="60"/>
      <c r="QKP91" s="63" t="s">
        <v>933</v>
      </c>
      <c r="QKQ91" s="60"/>
      <c r="QLF91" s="63" t="s">
        <v>933</v>
      </c>
      <c r="QLG91" s="60"/>
      <c r="QLV91" s="63" t="s">
        <v>933</v>
      </c>
      <c r="QLW91" s="60"/>
      <c r="QML91" s="63" t="s">
        <v>933</v>
      </c>
      <c r="QMM91" s="60"/>
      <c r="QNB91" s="63" t="s">
        <v>933</v>
      </c>
      <c r="QNC91" s="60"/>
      <c r="QNR91" s="63" t="s">
        <v>933</v>
      </c>
      <c r="QNS91" s="60"/>
      <c r="QOH91" s="63" t="s">
        <v>933</v>
      </c>
      <c r="QOI91" s="60"/>
      <c r="QOX91" s="63" t="s">
        <v>933</v>
      </c>
      <c r="QOY91" s="60"/>
      <c r="QPN91" s="63" t="s">
        <v>933</v>
      </c>
      <c r="QPO91" s="60"/>
      <c r="QQD91" s="63" t="s">
        <v>933</v>
      </c>
      <c r="QQE91" s="60"/>
      <c r="QQT91" s="63" t="s">
        <v>933</v>
      </c>
      <c r="QQU91" s="60"/>
      <c r="QRJ91" s="63" t="s">
        <v>933</v>
      </c>
      <c r="QRK91" s="60"/>
      <c r="QRZ91" s="63" t="s">
        <v>933</v>
      </c>
      <c r="QSA91" s="60"/>
      <c r="QSP91" s="63" t="s">
        <v>933</v>
      </c>
      <c r="QSQ91" s="60"/>
      <c r="QTF91" s="63" t="s">
        <v>933</v>
      </c>
      <c r="QTG91" s="60"/>
      <c r="QTV91" s="63" t="s">
        <v>933</v>
      </c>
      <c r="QTW91" s="60"/>
      <c r="QUL91" s="63" t="s">
        <v>933</v>
      </c>
      <c r="QUM91" s="60"/>
      <c r="QVB91" s="63" t="s">
        <v>933</v>
      </c>
      <c r="QVC91" s="60"/>
      <c r="QVR91" s="63" t="s">
        <v>933</v>
      </c>
      <c r="QVS91" s="60"/>
      <c r="QWH91" s="63" t="s">
        <v>933</v>
      </c>
      <c r="QWI91" s="60"/>
      <c r="QWX91" s="63" t="s">
        <v>933</v>
      </c>
      <c r="QWY91" s="60"/>
      <c r="QXN91" s="63" t="s">
        <v>933</v>
      </c>
      <c r="QXO91" s="60"/>
      <c r="QYD91" s="63" t="s">
        <v>933</v>
      </c>
      <c r="QYE91" s="60"/>
      <c r="QYT91" s="63" t="s">
        <v>933</v>
      </c>
      <c r="QYU91" s="60"/>
      <c r="QZJ91" s="63" t="s">
        <v>933</v>
      </c>
      <c r="QZK91" s="60"/>
      <c r="QZZ91" s="63" t="s">
        <v>933</v>
      </c>
      <c r="RAA91" s="60"/>
      <c r="RAP91" s="63" t="s">
        <v>933</v>
      </c>
      <c r="RAQ91" s="60"/>
      <c r="RBF91" s="63" t="s">
        <v>933</v>
      </c>
      <c r="RBG91" s="60"/>
      <c r="RBV91" s="63" t="s">
        <v>933</v>
      </c>
      <c r="RBW91" s="60"/>
      <c r="RCL91" s="63" t="s">
        <v>933</v>
      </c>
      <c r="RCM91" s="60"/>
      <c r="RDB91" s="63" t="s">
        <v>933</v>
      </c>
      <c r="RDC91" s="60"/>
      <c r="RDR91" s="63" t="s">
        <v>933</v>
      </c>
      <c r="RDS91" s="60"/>
      <c r="REH91" s="63" t="s">
        <v>933</v>
      </c>
      <c r="REI91" s="60"/>
      <c r="REX91" s="63" t="s">
        <v>933</v>
      </c>
      <c r="REY91" s="60"/>
      <c r="RFN91" s="63" t="s">
        <v>933</v>
      </c>
      <c r="RFO91" s="60"/>
      <c r="RGD91" s="63" t="s">
        <v>933</v>
      </c>
      <c r="RGE91" s="60"/>
      <c r="RGT91" s="63" t="s">
        <v>933</v>
      </c>
      <c r="RGU91" s="60"/>
      <c r="RHJ91" s="63" t="s">
        <v>933</v>
      </c>
      <c r="RHK91" s="60"/>
      <c r="RHZ91" s="63" t="s">
        <v>933</v>
      </c>
      <c r="RIA91" s="60"/>
      <c r="RIP91" s="63" t="s">
        <v>933</v>
      </c>
      <c r="RIQ91" s="60"/>
      <c r="RJF91" s="63" t="s">
        <v>933</v>
      </c>
      <c r="RJG91" s="60"/>
      <c r="RJV91" s="63" t="s">
        <v>933</v>
      </c>
      <c r="RJW91" s="60"/>
      <c r="RKL91" s="63" t="s">
        <v>933</v>
      </c>
      <c r="RKM91" s="60"/>
      <c r="RLB91" s="63" t="s">
        <v>933</v>
      </c>
      <c r="RLC91" s="60"/>
      <c r="RLR91" s="63" t="s">
        <v>933</v>
      </c>
      <c r="RLS91" s="60"/>
      <c r="RMH91" s="63" t="s">
        <v>933</v>
      </c>
      <c r="RMI91" s="60"/>
      <c r="RMX91" s="63" t="s">
        <v>933</v>
      </c>
      <c r="RMY91" s="60"/>
      <c r="RNN91" s="63" t="s">
        <v>933</v>
      </c>
      <c r="RNO91" s="60"/>
      <c r="ROD91" s="63" t="s">
        <v>933</v>
      </c>
      <c r="ROE91" s="60"/>
      <c r="ROT91" s="63" t="s">
        <v>933</v>
      </c>
      <c r="ROU91" s="60"/>
      <c r="RPJ91" s="63" t="s">
        <v>933</v>
      </c>
      <c r="RPK91" s="60"/>
      <c r="RPZ91" s="63" t="s">
        <v>933</v>
      </c>
      <c r="RQA91" s="60"/>
      <c r="RQP91" s="63" t="s">
        <v>933</v>
      </c>
      <c r="RQQ91" s="60"/>
      <c r="RRF91" s="63" t="s">
        <v>933</v>
      </c>
      <c r="RRG91" s="60"/>
      <c r="RRV91" s="63" t="s">
        <v>933</v>
      </c>
      <c r="RRW91" s="60"/>
      <c r="RSL91" s="63" t="s">
        <v>933</v>
      </c>
      <c r="RSM91" s="60"/>
      <c r="RTB91" s="63" t="s">
        <v>933</v>
      </c>
      <c r="RTC91" s="60"/>
      <c r="RTR91" s="63" t="s">
        <v>933</v>
      </c>
      <c r="RTS91" s="60"/>
      <c r="RUH91" s="63" t="s">
        <v>933</v>
      </c>
      <c r="RUI91" s="60"/>
      <c r="RUX91" s="63" t="s">
        <v>933</v>
      </c>
      <c r="RUY91" s="60"/>
      <c r="RVN91" s="63" t="s">
        <v>933</v>
      </c>
      <c r="RVO91" s="60"/>
      <c r="RWD91" s="63" t="s">
        <v>933</v>
      </c>
      <c r="RWE91" s="60"/>
      <c r="RWT91" s="63" t="s">
        <v>933</v>
      </c>
      <c r="RWU91" s="60"/>
      <c r="RXJ91" s="63" t="s">
        <v>933</v>
      </c>
      <c r="RXK91" s="60"/>
      <c r="RXZ91" s="63" t="s">
        <v>933</v>
      </c>
      <c r="RYA91" s="60"/>
      <c r="RYP91" s="63" t="s">
        <v>933</v>
      </c>
      <c r="RYQ91" s="60"/>
      <c r="RZF91" s="63" t="s">
        <v>933</v>
      </c>
      <c r="RZG91" s="60"/>
      <c r="RZV91" s="63" t="s">
        <v>933</v>
      </c>
      <c r="RZW91" s="60"/>
      <c r="SAL91" s="63" t="s">
        <v>933</v>
      </c>
      <c r="SAM91" s="60"/>
      <c r="SBB91" s="63" t="s">
        <v>933</v>
      </c>
      <c r="SBC91" s="60"/>
      <c r="SBR91" s="63" t="s">
        <v>933</v>
      </c>
      <c r="SBS91" s="60"/>
      <c r="SCH91" s="63" t="s">
        <v>933</v>
      </c>
      <c r="SCI91" s="60"/>
      <c r="SCX91" s="63" t="s">
        <v>933</v>
      </c>
      <c r="SCY91" s="60"/>
      <c r="SDN91" s="63" t="s">
        <v>933</v>
      </c>
      <c r="SDO91" s="60"/>
      <c r="SED91" s="63" t="s">
        <v>933</v>
      </c>
      <c r="SEE91" s="60"/>
      <c r="SET91" s="63" t="s">
        <v>933</v>
      </c>
      <c r="SEU91" s="60"/>
      <c r="SFJ91" s="63" t="s">
        <v>933</v>
      </c>
      <c r="SFK91" s="60"/>
      <c r="SFZ91" s="63" t="s">
        <v>933</v>
      </c>
      <c r="SGA91" s="60"/>
      <c r="SGP91" s="63" t="s">
        <v>933</v>
      </c>
      <c r="SGQ91" s="60"/>
      <c r="SHF91" s="63" t="s">
        <v>933</v>
      </c>
      <c r="SHG91" s="60"/>
      <c r="SHV91" s="63" t="s">
        <v>933</v>
      </c>
      <c r="SHW91" s="60"/>
      <c r="SIL91" s="63" t="s">
        <v>933</v>
      </c>
      <c r="SIM91" s="60"/>
      <c r="SJB91" s="63" t="s">
        <v>933</v>
      </c>
      <c r="SJC91" s="60"/>
      <c r="SJR91" s="63" t="s">
        <v>933</v>
      </c>
      <c r="SJS91" s="60"/>
      <c r="SKH91" s="63" t="s">
        <v>933</v>
      </c>
      <c r="SKI91" s="60"/>
      <c r="SKX91" s="63" t="s">
        <v>933</v>
      </c>
      <c r="SKY91" s="60"/>
      <c r="SLN91" s="63" t="s">
        <v>933</v>
      </c>
      <c r="SLO91" s="60"/>
      <c r="SMD91" s="63" t="s">
        <v>933</v>
      </c>
      <c r="SME91" s="60"/>
      <c r="SMT91" s="63" t="s">
        <v>933</v>
      </c>
      <c r="SMU91" s="60"/>
      <c r="SNJ91" s="63" t="s">
        <v>933</v>
      </c>
      <c r="SNK91" s="60"/>
      <c r="SNZ91" s="63" t="s">
        <v>933</v>
      </c>
      <c r="SOA91" s="60"/>
      <c r="SOP91" s="63" t="s">
        <v>933</v>
      </c>
      <c r="SOQ91" s="60"/>
      <c r="SPF91" s="63" t="s">
        <v>933</v>
      </c>
      <c r="SPG91" s="60"/>
      <c r="SPV91" s="63" t="s">
        <v>933</v>
      </c>
      <c r="SPW91" s="60"/>
      <c r="SQL91" s="63" t="s">
        <v>933</v>
      </c>
      <c r="SQM91" s="60"/>
      <c r="SRB91" s="63" t="s">
        <v>933</v>
      </c>
      <c r="SRC91" s="60"/>
      <c r="SRR91" s="63" t="s">
        <v>933</v>
      </c>
      <c r="SRS91" s="60"/>
      <c r="SSH91" s="63" t="s">
        <v>933</v>
      </c>
      <c r="SSI91" s="60"/>
      <c r="SSX91" s="63" t="s">
        <v>933</v>
      </c>
      <c r="SSY91" s="60"/>
      <c r="STN91" s="63" t="s">
        <v>933</v>
      </c>
      <c r="STO91" s="60"/>
      <c r="SUD91" s="63" t="s">
        <v>933</v>
      </c>
      <c r="SUE91" s="60"/>
      <c r="SUT91" s="63" t="s">
        <v>933</v>
      </c>
      <c r="SUU91" s="60"/>
      <c r="SVJ91" s="63" t="s">
        <v>933</v>
      </c>
      <c r="SVK91" s="60"/>
      <c r="SVZ91" s="63" t="s">
        <v>933</v>
      </c>
      <c r="SWA91" s="60"/>
      <c r="SWP91" s="63" t="s">
        <v>933</v>
      </c>
      <c r="SWQ91" s="60"/>
      <c r="SXF91" s="63" t="s">
        <v>933</v>
      </c>
      <c r="SXG91" s="60"/>
      <c r="SXV91" s="63" t="s">
        <v>933</v>
      </c>
      <c r="SXW91" s="60"/>
      <c r="SYL91" s="63" t="s">
        <v>933</v>
      </c>
      <c r="SYM91" s="60"/>
      <c r="SZB91" s="63" t="s">
        <v>933</v>
      </c>
      <c r="SZC91" s="60"/>
      <c r="SZR91" s="63" t="s">
        <v>933</v>
      </c>
      <c r="SZS91" s="60"/>
      <c r="TAH91" s="63" t="s">
        <v>933</v>
      </c>
      <c r="TAI91" s="60"/>
      <c r="TAX91" s="63" t="s">
        <v>933</v>
      </c>
      <c r="TAY91" s="60"/>
      <c r="TBN91" s="63" t="s">
        <v>933</v>
      </c>
      <c r="TBO91" s="60"/>
      <c r="TCD91" s="63" t="s">
        <v>933</v>
      </c>
      <c r="TCE91" s="60"/>
      <c r="TCT91" s="63" t="s">
        <v>933</v>
      </c>
      <c r="TCU91" s="60"/>
      <c r="TDJ91" s="63" t="s">
        <v>933</v>
      </c>
      <c r="TDK91" s="60"/>
      <c r="TDZ91" s="63" t="s">
        <v>933</v>
      </c>
      <c r="TEA91" s="60"/>
      <c r="TEP91" s="63" t="s">
        <v>933</v>
      </c>
      <c r="TEQ91" s="60"/>
      <c r="TFF91" s="63" t="s">
        <v>933</v>
      </c>
      <c r="TFG91" s="60"/>
      <c r="TFV91" s="63" t="s">
        <v>933</v>
      </c>
      <c r="TFW91" s="60"/>
      <c r="TGL91" s="63" t="s">
        <v>933</v>
      </c>
      <c r="TGM91" s="60"/>
      <c r="THB91" s="63" t="s">
        <v>933</v>
      </c>
      <c r="THC91" s="60"/>
      <c r="THR91" s="63" t="s">
        <v>933</v>
      </c>
      <c r="THS91" s="60"/>
      <c r="TIH91" s="63" t="s">
        <v>933</v>
      </c>
      <c r="TII91" s="60"/>
      <c r="TIX91" s="63" t="s">
        <v>933</v>
      </c>
      <c r="TIY91" s="60"/>
      <c r="TJN91" s="63" t="s">
        <v>933</v>
      </c>
      <c r="TJO91" s="60"/>
      <c r="TKD91" s="63" t="s">
        <v>933</v>
      </c>
      <c r="TKE91" s="60"/>
      <c r="TKT91" s="63" t="s">
        <v>933</v>
      </c>
      <c r="TKU91" s="60"/>
      <c r="TLJ91" s="63" t="s">
        <v>933</v>
      </c>
      <c r="TLK91" s="60"/>
      <c r="TLZ91" s="63" t="s">
        <v>933</v>
      </c>
      <c r="TMA91" s="60"/>
      <c r="TMP91" s="63" t="s">
        <v>933</v>
      </c>
      <c r="TMQ91" s="60"/>
      <c r="TNF91" s="63" t="s">
        <v>933</v>
      </c>
      <c r="TNG91" s="60"/>
      <c r="TNV91" s="63" t="s">
        <v>933</v>
      </c>
      <c r="TNW91" s="60"/>
      <c r="TOL91" s="63" t="s">
        <v>933</v>
      </c>
      <c r="TOM91" s="60"/>
      <c r="TPB91" s="63" t="s">
        <v>933</v>
      </c>
      <c r="TPC91" s="60"/>
      <c r="TPR91" s="63" t="s">
        <v>933</v>
      </c>
      <c r="TPS91" s="60"/>
      <c r="TQH91" s="63" t="s">
        <v>933</v>
      </c>
      <c r="TQI91" s="60"/>
      <c r="TQX91" s="63" t="s">
        <v>933</v>
      </c>
      <c r="TQY91" s="60"/>
      <c r="TRN91" s="63" t="s">
        <v>933</v>
      </c>
      <c r="TRO91" s="60"/>
      <c r="TSD91" s="63" t="s">
        <v>933</v>
      </c>
      <c r="TSE91" s="60"/>
      <c r="TST91" s="63" t="s">
        <v>933</v>
      </c>
      <c r="TSU91" s="60"/>
      <c r="TTJ91" s="63" t="s">
        <v>933</v>
      </c>
      <c r="TTK91" s="60"/>
      <c r="TTZ91" s="63" t="s">
        <v>933</v>
      </c>
      <c r="TUA91" s="60"/>
      <c r="TUP91" s="63" t="s">
        <v>933</v>
      </c>
      <c r="TUQ91" s="60"/>
      <c r="TVF91" s="63" t="s">
        <v>933</v>
      </c>
      <c r="TVG91" s="60"/>
      <c r="TVV91" s="63" t="s">
        <v>933</v>
      </c>
      <c r="TVW91" s="60"/>
      <c r="TWL91" s="63" t="s">
        <v>933</v>
      </c>
      <c r="TWM91" s="60"/>
      <c r="TXB91" s="63" t="s">
        <v>933</v>
      </c>
      <c r="TXC91" s="60"/>
      <c r="TXR91" s="63" t="s">
        <v>933</v>
      </c>
      <c r="TXS91" s="60"/>
      <c r="TYH91" s="63" t="s">
        <v>933</v>
      </c>
      <c r="TYI91" s="60"/>
      <c r="TYX91" s="63" t="s">
        <v>933</v>
      </c>
      <c r="TYY91" s="60"/>
      <c r="TZN91" s="63" t="s">
        <v>933</v>
      </c>
      <c r="TZO91" s="60"/>
      <c r="UAD91" s="63" t="s">
        <v>933</v>
      </c>
      <c r="UAE91" s="60"/>
      <c r="UAT91" s="63" t="s">
        <v>933</v>
      </c>
      <c r="UAU91" s="60"/>
      <c r="UBJ91" s="63" t="s">
        <v>933</v>
      </c>
      <c r="UBK91" s="60"/>
      <c r="UBZ91" s="63" t="s">
        <v>933</v>
      </c>
      <c r="UCA91" s="60"/>
      <c r="UCP91" s="63" t="s">
        <v>933</v>
      </c>
      <c r="UCQ91" s="60"/>
      <c r="UDF91" s="63" t="s">
        <v>933</v>
      </c>
      <c r="UDG91" s="60"/>
      <c r="UDV91" s="63" t="s">
        <v>933</v>
      </c>
      <c r="UDW91" s="60"/>
      <c r="UEL91" s="63" t="s">
        <v>933</v>
      </c>
      <c r="UEM91" s="60"/>
      <c r="UFB91" s="63" t="s">
        <v>933</v>
      </c>
      <c r="UFC91" s="60"/>
      <c r="UFR91" s="63" t="s">
        <v>933</v>
      </c>
      <c r="UFS91" s="60"/>
      <c r="UGH91" s="63" t="s">
        <v>933</v>
      </c>
      <c r="UGI91" s="60"/>
      <c r="UGX91" s="63" t="s">
        <v>933</v>
      </c>
      <c r="UGY91" s="60"/>
      <c r="UHN91" s="63" t="s">
        <v>933</v>
      </c>
      <c r="UHO91" s="60"/>
      <c r="UID91" s="63" t="s">
        <v>933</v>
      </c>
      <c r="UIE91" s="60"/>
      <c r="UIT91" s="63" t="s">
        <v>933</v>
      </c>
      <c r="UIU91" s="60"/>
      <c r="UJJ91" s="63" t="s">
        <v>933</v>
      </c>
      <c r="UJK91" s="60"/>
      <c r="UJZ91" s="63" t="s">
        <v>933</v>
      </c>
      <c r="UKA91" s="60"/>
      <c r="UKP91" s="63" t="s">
        <v>933</v>
      </c>
      <c r="UKQ91" s="60"/>
      <c r="ULF91" s="63" t="s">
        <v>933</v>
      </c>
      <c r="ULG91" s="60"/>
      <c r="ULV91" s="63" t="s">
        <v>933</v>
      </c>
      <c r="ULW91" s="60"/>
      <c r="UML91" s="63" t="s">
        <v>933</v>
      </c>
      <c r="UMM91" s="60"/>
      <c r="UNB91" s="63" t="s">
        <v>933</v>
      </c>
      <c r="UNC91" s="60"/>
      <c r="UNR91" s="63" t="s">
        <v>933</v>
      </c>
      <c r="UNS91" s="60"/>
      <c r="UOH91" s="63" t="s">
        <v>933</v>
      </c>
      <c r="UOI91" s="60"/>
      <c r="UOX91" s="63" t="s">
        <v>933</v>
      </c>
      <c r="UOY91" s="60"/>
      <c r="UPN91" s="63" t="s">
        <v>933</v>
      </c>
      <c r="UPO91" s="60"/>
      <c r="UQD91" s="63" t="s">
        <v>933</v>
      </c>
      <c r="UQE91" s="60"/>
      <c r="UQT91" s="63" t="s">
        <v>933</v>
      </c>
      <c r="UQU91" s="60"/>
      <c r="URJ91" s="63" t="s">
        <v>933</v>
      </c>
      <c r="URK91" s="60"/>
      <c r="URZ91" s="63" t="s">
        <v>933</v>
      </c>
      <c r="USA91" s="60"/>
      <c r="USP91" s="63" t="s">
        <v>933</v>
      </c>
      <c r="USQ91" s="60"/>
      <c r="UTF91" s="63" t="s">
        <v>933</v>
      </c>
      <c r="UTG91" s="60"/>
      <c r="UTV91" s="63" t="s">
        <v>933</v>
      </c>
      <c r="UTW91" s="60"/>
      <c r="UUL91" s="63" t="s">
        <v>933</v>
      </c>
      <c r="UUM91" s="60"/>
      <c r="UVB91" s="63" t="s">
        <v>933</v>
      </c>
      <c r="UVC91" s="60"/>
      <c r="UVR91" s="63" t="s">
        <v>933</v>
      </c>
      <c r="UVS91" s="60"/>
      <c r="UWH91" s="63" t="s">
        <v>933</v>
      </c>
      <c r="UWI91" s="60"/>
      <c r="UWX91" s="63" t="s">
        <v>933</v>
      </c>
      <c r="UWY91" s="60"/>
      <c r="UXN91" s="63" t="s">
        <v>933</v>
      </c>
      <c r="UXO91" s="60"/>
      <c r="UYD91" s="63" t="s">
        <v>933</v>
      </c>
      <c r="UYE91" s="60"/>
      <c r="UYT91" s="63" t="s">
        <v>933</v>
      </c>
      <c r="UYU91" s="60"/>
      <c r="UZJ91" s="63" t="s">
        <v>933</v>
      </c>
      <c r="UZK91" s="60"/>
      <c r="UZZ91" s="63" t="s">
        <v>933</v>
      </c>
      <c r="VAA91" s="60"/>
      <c r="VAP91" s="63" t="s">
        <v>933</v>
      </c>
      <c r="VAQ91" s="60"/>
      <c r="VBF91" s="63" t="s">
        <v>933</v>
      </c>
      <c r="VBG91" s="60"/>
      <c r="VBV91" s="63" t="s">
        <v>933</v>
      </c>
      <c r="VBW91" s="60"/>
      <c r="VCL91" s="63" t="s">
        <v>933</v>
      </c>
      <c r="VCM91" s="60"/>
      <c r="VDB91" s="63" t="s">
        <v>933</v>
      </c>
      <c r="VDC91" s="60"/>
      <c r="VDR91" s="63" t="s">
        <v>933</v>
      </c>
      <c r="VDS91" s="60"/>
      <c r="VEH91" s="63" t="s">
        <v>933</v>
      </c>
      <c r="VEI91" s="60"/>
      <c r="VEX91" s="63" t="s">
        <v>933</v>
      </c>
      <c r="VEY91" s="60"/>
      <c r="VFN91" s="63" t="s">
        <v>933</v>
      </c>
      <c r="VFO91" s="60"/>
      <c r="VGD91" s="63" t="s">
        <v>933</v>
      </c>
      <c r="VGE91" s="60"/>
      <c r="VGT91" s="63" t="s">
        <v>933</v>
      </c>
      <c r="VGU91" s="60"/>
      <c r="VHJ91" s="63" t="s">
        <v>933</v>
      </c>
      <c r="VHK91" s="60"/>
      <c r="VHZ91" s="63" t="s">
        <v>933</v>
      </c>
      <c r="VIA91" s="60"/>
      <c r="VIP91" s="63" t="s">
        <v>933</v>
      </c>
      <c r="VIQ91" s="60"/>
      <c r="VJF91" s="63" t="s">
        <v>933</v>
      </c>
      <c r="VJG91" s="60"/>
      <c r="VJV91" s="63" t="s">
        <v>933</v>
      </c>
      <c r="VJW91" s="60"/>
      <c r="VKL91" s="63" t="s">
        <v>933</v>
      </c>
      <c r="VKM91" s="60"/>
      <c r="VLB91" s="63" t="s">
        <v>933</v>
      </c>
      <c r="VLC91" s="60"/>
      <c r="VLR91" s="63" t="s">
        <v>933</v>
      </c>
      <c r="VLS91" s="60"/>
      <c r="VMH91" s="63" t="s">
        <v>933</v>
      </c>
      <c r="VMI91" s="60"/>
      <c r="VMX91" s="63" t="s">
        <v>933</v>
      </c>
      <c r="VMY91" s="60"/>
      <c r="VNN91" s="63" t="s">
        <v>933</v>
      </c>
      <c r="VNO91" s="60"/>
      <c r="VOD91" s="63" t="s">
        <v>933</v>
      </c>
      <c r="VOE91" s="60"/>
      <c r="VOT91" s="63" t="s">
        <v>933</v>
      </c>
      <c r="VOU91" s="60"/>
      <c r="VPJ91" s="63" t="s">
        <v>933</v>
      </c>
      <c r="VPK91" s="60"/>
      <c r="VPZ91" s="63" t="s">
        <v>933</v>
      </c>
      <c r="VQA91" s="60"/>
      <c r="VQP91" s="63" t="s">
        <v>933</v>
      </c>
      <c r="VQQ91" s="60"/>
      <c r="VRF91" s="63" t="s">
        <v>933</v>
      </c>
      <c r="VRG91" s="60"/>
      <c r="VRV91" s="63" t="s">
        <v>933</v>
      </c>
      <c r="VRW91" s="60"/>
      <c r="VSL91" s="63" t="s">
        <v>933</v>
      </c>
      <c r="VSM91" s="60"/>
      <c r="VTB91" s="63" t="s">
        <v>933</v>
      </c>
      <c r="VTC91" s="60"/>
      <c r="VTR91" s="63" t="s">
        <v>933</v>
      </c>
      <c r="VTS91" s="60"/>
      <c r="VUH91" s="63" t="s">
        <v>933</v>
      </c>
      <c r="VUI91" s="60"/>
      <c r="VUX91" s="63" t="s">
        <v>933</v>
      </c>
      <c r="VUY91" s="60"/>
      <c r="VVN91" s="63" t="s">
        <v>933</v>
      </c>
      <c r="VVO91" s="60"/>
      <c r="VWD91" s="63" t="s">
        <v>933</v>
      </c>
      <c r="VWE91" s="60"/>
      <c r="VWT91" s="63" t="s">
        <v>933</v>
      </c>
      <c r="VWU91" s="60"/>
      <c r="VXJ91" s="63" t="s">
        <v>933</v>
      </c>
      <c r="VXK91" s="60"/>
      <c r="VXZ91" s="63" t="s">
        <v>933</v>
      </c>
      <c r="VYA91" s="60"/>
      <c r="VYP91" s="63" t="s">
        <v>933</v>
      </c>
      <c r="VYQ91" s="60"/>
      <c r="VZF91" s="63" t="s">
        <v>933</v>
      </c>
      <c r="VZG91" s="60"/>
      <c r="VZV91" s="63" t="s">
        <v>933</v>
      </c>
      <c r="VZW91" s="60"/>
      <c r="WAL91" s="63" t="s">
        <v>933</v>
      </c>
      <c r="WAM91" s="60"/>
      <c r="WBB91" s="63" t="s">
        <v>933</v>
      </c>
      <c r="WBC91" s="60"/>
      <c r="WBR91" s="63" t="s">
        <v>933</v>
      </c>
      <c r="WBS91" s="60"/>
      <c r="WCH91" s="63" t="s">
        <v>933</v>
      </c>
      <c r="WCI91" s="60"/>
      <c r="WCX91" s="63" t="s">
        <v>933</v>
      </c>
      <c r="WCY91" s="60"/>
      <c r="WDN91" s="63" t="s">
        <v>933</v>
      </c>
      <c r="WDO91" s="60"/>
      <c r="WED91" s="63" t="s">
        <v>933</v>
      </c>
      <c r="WEE91" s="60"/>
      <c r="WET91" s="63" t="s">
        <v>933</v>
      </c>
      <c r="WEU91" s="60"/>
      <c r="WFJ91" s="63" t="s">
        <v>933</v>
      </c>
      <c r="WFK91" s="60"/>
      <c r="WFZ91" s="63" t="s">
        <v>933</v>
      </c>
      <c r="WGA91" s="60"/>
      <c r="WGP91" s="63" t="s">
        <v>933</v>
      </c>
      <c r="WGQ91" s="60"/>
      <c r="WHF91" s="63" t="s">
        <v>933</v>
      </c>
      <c r="WHG91" s="60"/>
      <c r="WHV91" s="63" t="s">
        <v>933</v>
      </c>
      <c r="WHW91" s="60"/>
      <c r="WIL91" s="63" t="s">
        <v>933</v>
      </c>
      <c r="WIM91" s="60"/>
      <c r="WJB91" s="63" t="s">
        <v>933</v>
      </c>
      <c r="WJC91" s="60"/>
      <c r="WJR91" s="63" t="s">
        <v>933</v>
      </c>
      <c r="WJS91" s="60"/>
      <c r="WKH91" s="63" t="s">
        <v>933</v>
      </c>
      <c r="WKI91" s="60"/>
      <c r="WKX91" s="63" t="s">
        <v>933</v>
      </c>
      <c r="WKY91" s="60"/>
      <c r="WLN91" s="63" t="s">
        <v>933</v>
      </c>
      <c r="WLO91" s="60"/>
      <c r="WMD91" s="63" t="s">
        <v>933</v>
      </c>
      <c r="WME91" s="60"/>
      <c r="WMT91" s="63" t="s">
        <v>933</v>
      </c>
      <c r="WMU91" s="60"/>
      <c r="WNJ91" s="63" t="s">
        <v>933</v>
      </c>
      <c r="WNK91" s="60"/>
      <c r="WNZ91" s="63" t="s">
        <v>933</v>
      </c>
      <c r="WOA91" s="60"/>
      <c r="WOP91" s="63" t="s">
        <v>933</v>
      </c>
      <c r="WOQ91" s="60"/>
      <c r="WPF91" s="63" t="s">
        <v>933</v>
      </c>
      <c r="WPG91" s="60"/>
      <c r="WPV91" s="63" t="s">
        <v>933</v>
      </c>
      <c r="WPW91" s="60"/>
      <c r="WQL91" s="63" t="s">
        <v>933</v>
      </c>
      <c r="WQM91" s="60"/>
      <c r="WRB91" s="63" t="s">
        <v>933</v>
      </c>
      <c r="WRC91" s="60"/>
      <c r="WRR91" s="63" t="s">
        <v>933</v>
      </c>
      <c r="WRS91" s="60"/>
      <c r="WSH91" s="63" t="s">
        <v>933</v>
      </c>
      <c r="WSI91" s="60"/>
      <c r="WSX91" s="63" t="s">
        <v>933</v>
      </c>
      <c r="WSY91" s="60"/>
      <c r="WTN91" s="63" t="s">
        <v>933</v>
      </c>
      <c r="WTO91" s="60"/>
      <c r="WUD91" s="63" t="s">
        <v>933</v>
      </c>
      <c r="WUE91" s="60"/>
      <c r="WUT91" s="63" t="s">
        <v>933</v>
      </c>
      <c r="WUU91" s="60"/>
      <c r="WVJ91" s="63" t="s">
        <v>933</v>
      </c>
      <c r="WVK91" s="60"/>
      <c r="WVZ91" s="63" t="s">
        <v>933</v>
      </c>
      <c r="WWA91" s="60"/>
      <c r="WWP91" s="63" t="s">
        <v>933</v>
      </c>
      <c r="WWQ91" s="60"/>
      <c r="WXF91" s="63" t="s">
        <v>933</v>
      </c>
      <c r="WXG91" s="60"/>
      <c r="WXV91" s="63" t="s">
        <v>933</v>
      </c>
      <c r="WXW91" s="60"/>
      <c r="WYL91" s="63" t="s">
        <v>933</v>
      </c>
      <c r="WYM91" s="60"/>
      <c r="WZB91" s="63" t="s">
        <v>933</v>
      </c>
      <c r="WZC91" s="60"/>
      <c r="WZR91" s="63" t="s">
        <v>933</v>
      </c>
      <c r="WZS91" s="60"/>
      <c r="XAH91" s="63" t="s">
        <v>933</v>
      </c>
      <c r="XAI91" s="60"/>
      <c r="XAX91" s="63" t="s">
        <v>933</v>
      </c>
      <c r="XAY91" s="60"/>
      <c r="XBN91" s="63" t="s">
        <v>933</v>
      </c>
      <c r="XBO91" s="60"/>
      <c r="XCD91" s="63" t="s">
        <v>933</v>
      </c>
      <c r="XCE91" s="60"/>
      <c r="XCT91" s="63" t="s">
        <v>933</v>
      </c>
      <c r="XCU91" s="60"/>
      <c r="XDJ91" s="63" t="s">
        <v>933</v>
      </c>
      <c r="XDK91" s="60"/>
      <c r="XDZ91" s="63" t="s">
        <v>933</v>
      </c>
      <c r="XEA91" s="60"/>
      <c r="XEP91" s="63" t="s">
        <v>933</v>
      </c>
      <c r="XEQ91" s="60"/>
    </row>
    <row r="92" spans="2:1011 1026:2035 2050:3059 3074:4083 4098:5107 5122:6131 6146:7155 7170:8179 8194:9203 9218:10227 10242:11251 11266:12275 12290:13299 13314:14323 14338:15347 15362:16371" ht="14.25" x14ac:dyDescent="0.2">
      <c r="R92" s="63" t="s">
        <v>934</v>
      </c>
      <c r="S92" s="60"/>
      <c r="AH92" s="63" t="s">
        <v>934</v>
      </c>
      <c r="AI92" s="60"/>
      <c r="AX92" s="63" t="s">
        <v>934</v>
      </c>
      <c r="AY92" s="60"/>
      <c r="BN92" s="63" t="s">
        <v>934</v>
      </c>
      <c r="BO92" s="60"/>
      <c r="CD92" s="63" t="s">
        <v>934</v>
      </c>
      <c r="CE92" s="60"/>
      <c r="CT92" s="63" t="s">
        <v>934</v>
      </c>
      <c r="CU92" s="60"/>
      <c r="DJ92" s="63" t="s">
        <v>934</v>
      </c>
      <c r="DK92" s="60"/>
      <c r="DZ92" s="63" t="s">
        <v>934</v>
      </c>
      <c r="EA92" s="60"/>
      <c r="EP92" s="63" t="s">
        <v>934</v>
      </c>
      <c r="EQ92" s="60"/>
      <c r="FF92" s="63" t="s">
        <v>934</v>
      </c>
      <c r="FG92" s="60"/>
      <c r="FV92" s="63" t="s">
        <v>934</v>
      </c>
      <c r="FW92" s="60"/>
      <c r="GL92" s="63" t="s">
        <v>934</v>
      </c>
      <c r="GM92" s="60"/>
      <c r="HB92" s="63" t="s">
        <v>934</v>
      </c>
      <c r="HC92" s="60"/>
      <c r="HR92" s="63" t="s">
        <v>934</v>
      </c>
      <c r="HS92" s="60"/>
      <c r="IH92" s="63" t="s">
        <v>934</v>
      </c>
      <c r="II92" s="60"/>
      <c r="IX92" s="63" t="s">
        <v>934</v>
      </c>
      <c r="IY92" s="60"/>
      <c r="JN92" s="63" t="s">
        <v>934</v>
      </c>
      <c r="JO92" s="60"/>
      <c r="KD92" s="63" t="s">
        <v>934</v>
      </c>
      <c r="KE92" s="60"/>
      <c r="KT92" s="63" t="s">
        <v>934</v>
      </c>
      <c r="KU92" s="60"/>
      <c r="LJ92" s="63" t="s">
        <v>934</v>
      </c>
      <c r="LK92" s="60"/>
      <c r="LZ92" s="63" t="s">
        <v>934</v>
      </c>
      <c r="MA92" s="60"/>
      <c r="MP92" s="63" t="s">
        <v>934</v>
      </c>
      <c r="MQ92" s="60"/>
      <c r="NF92" s="63" t="s">
        <v>934</v>
      </c>
      <c r="NG92" s="60"/>
      <c r="NV92" s="63" t="s">
        <v>934</v>
      </c>
      <c r="NW92" s="60"/>
      <c r="OL92" s="63" t="s">
        <v>934</v>
      </c>
      <c r="OM92" s="60"/>
      <c r="PB92" s="63" t="s">
        <v>934</v>
      </c>
      <c r="PC92" s="60"/>
      <c r="PR92" s="63" t="s">
        <v>934</v>
      </c>
      <c r="PS92" s="60"/>
      <c r="QH92" s="63" t="s">
        <v>934</v>
      </c>
      <c r="QI92" s="60"/>
      <c r="QX92" s="63" t="s">
        <v>934</v>
      </c>
      <c r="QY92" s="60"/>
      <c r="RN92" s="63" t="s">
        <v>934</v>
      </c>
      <c r="RO92" s="60"/>
      <c r="SD92" s="63" t="s">
        <v>934</v>
      </c>
      <c r="SE92" s="60"/>
      <c r="ST92" s="63" t="s">
        <v>934</v>
      </c>
      <c r="SU92" s="60"/>
      <c r="TJ92" s="63" t="s">
        <v>934</v>
      </c>
      <c r="TK92" s="60"/>
      <c r="TZ92" s="63" t="s">
        <v>934</v>
      </c>
      <c r="UA92" s="60"/>
      <c r="UP92" s="63" t="s">
        <v>934</v>
      </c>
      <c r="UQ92" s="60"/>
      <c r="VF92" s="63" t="s">
        <v>934</v>
      </c>
      <c r="VG92" s="60"/>
      <c r="VV92" s="63" t="s">
        <v>934</v>
      </c>
      <c r="VW92" s="60"/>
      <c r="WL92" s="63" t="s">
        <v>934</v>
      </c>
      <c r="WM92" s="60"/>
      <c r="XB92" s="63" t="s">
        <v>934</v>
      </c>
      <c r="XC92" s="60"/>
      <c r="XR92" s="63" t="s">
        <v>934</v>
      </c>
      <c r="XS92" s="60"/>
      <c r="YH92" s="63" t="s">
        <v>934</v>
      </c>
      <c r="YI92" s="60"/>
      <c r="YX92" s="63" t="s">
        <v>934</v>
      </c>
      <c r="YY92" s="60"/>
      <c r="ZN92" s="63" t="s">
        <v>934</v>
      </c>
      <c r="ZO92" s="60"/>
      <c r="AAD92" s="63" t="s">
        <v>934</v>
      </c>
      <c r="AAE92" s="60"/>
      <c r="AAT92" s="63" t="s">
        <v>934</v>
      </c>
      <c r="AAU92" s="60"/>
      <c r="ABJ92" s="63" t="s">
        <v>934</v>
      </c>
      <c r="ABK92" s="60"/>
      <c r="ABZ92" s="63" t="s">
        <v>934</v>
      </c>
      <c r="ACA92" s="60"/>
      <c r="ACP92" s="63" t="s">
        <v>934</v>
      </c>
      <c r="ACQ92" s="60"/>
      <c r="ADF92" s="63" t="s">
        <v>934</v>
      </c>
      <c r="ADG92" s="60"/>
      <c r="ADV92" s="63" t="s">
        <v>934</v>
      </c>
      <c r="ADW92" s="60"/>
      <c r="AEL92" s="63" t="s">
        <v>934</v>
      </c>
      <c r="AEM92" s="60"/>
      <c r="AFB92" s="63" t="s">
        <v>934</v>
      </c>
      <c r="AFC92" s="60"/>
      <c r="AFR92" s="63" t="s">
        <v>934</v>
      </c>
      <c r="AFS92" s="60"/>
      <c r="AGH92" s="63" t="s">
        <v>934</v>
      </c>
      <c r="AGI92" s="60"/>
      <c r="AGX92" s="63" t="s">
        <v>934</v>
      </c>
      <c r="AGY92" s="60"/>
      <c r="AHN92" s="63" t="s">
        <v>934</v>
      </c>
      <c r="AHO92" s="60"/>
      <c r="AID92" s="63" t="s">
        <v>934</v>
      </c>
      <c r="AIE92" s="60"/>
      <c r="AIT92" s="63" t="s">
        <v>934</v>
      </c>
      <c r="AIU92" s="60"/>
      <c r="AJJ92" s="63" t="s">
        <v>934</v>
      </c>
      <c r="AJK92" s="60"/>
      <c r="AJZ92" s="63" t="s">
        <v>934</v>
      </c>
      <c r="AKA92" s="60"/>
      <c r="AKP92" s="63" t="s">
        <v>934</v>
      </c>
      <c r="AKQ92" s="60"/>
      <c r="ALF92" s="63" t="s">
        <v>934</v>
      </c>
      <c r="ALG92" s="60"/>
      <c r="ALV92" s="63" t="s">
        <v>934</v>
      </c>
      <c r="ALW92" s="60"/>
      <c r="AML92" s="63" t="s">
        <v>934</v>
      </c>
      <c r="AMM92" s="60"/>
      <c r="ANB92" s="63" t="s">
        <v>934</v>
      </c>
      <c r="ANC92" s="60"/>
      <c r="ANR92" s="63" t="s">
        <v>934</v>
      </c>
      <c r="ANS92" s="60"/>
      <c r="AOH92" s="63" t="s">
        <v>934</v>
      </c>
      <c r="AOI92" s="60"/>
      <c r="AOX92" s="63" t="s">
        <v>934</v>
      </c>
      <c r="AOY92" s="60"/>
      <c r="APN92" s="63" t="s">
        <v>934</v>
      </c>
      <c r="APO92" s="60"/>
      <c r="AQD92" s="63" t="s">
        <v>934</v>
      </c>
      <c r="AQE92" s="60"/>
      <c r="AQT92" s="63" t="s">
        <v>934</v>
      </c>
      <c r="AQU92" s="60"/>
      <c r="ARJ92" s="63" t="s">
        <v>934</v>
      </c>
      <c r="ARK92" s="60"/>
      <c r="ARZ92" s="63" t="s">
        <v>934</v>
      </c>
      <c r="ASA92" s="60"/>
      <c r="ASP92" s="63" t="s">
        <v>934</v>
      </c>
      <c r="ASQ92" s="60"/>
      <c r="ATF92" s="63" t="s">
        <v>934</v>
      </c>
      <c r="ATG92" s="60"/>
      <c r="ATV92" s="63" t="s">
        <v>934</v>
      </c>
      <c r="ATW92" s="60"/>
      <c r="AUL92" s="63" t="s">
        <v>934</v>
      </c>
      <c r="AUM92" s="60"/>
      <c r="AVB92" s="63" t="s">
        <v>934</v>
      </c>
      <c r="AVC92" s="60"/>
      <c r="AVR92" s="63" t="s">
        <v>934</v>
      </c>
      <c r="AVS92" s="60"/>
      <c r="AWH92" s="63" t="s">
        <v>934</v>
      </c>
      <c r="AWI92" s="60"/>
      <c r="AWX92" s="63" t="s">
        <v>934</v>
      </c>
      <c r="AWY92" s="60"/>
      <c r="AXN92" s="63" t="s">
        <v>934</v>
      </c>
      <c r="AXO92" s="60"/>
      <c r="AYD92" s="63" t="s">
        <v>934</v>
      </c>
      <c r="AYE92" s="60"/>
      <c r="AYT92" s="63" t="s">
        <v>934</v>
      </c>
      <c r="AYU92" s="60"/>
      <c r="AZJ92" s="63" t="s">
        <v>934</v>
      </c>
      <c r="AZK92" s="60"/>
      <c r="AZZ92" s="63" t="s">
        <v>934</v>
      </c>
      <c r="BAA92" s="60"/>
      <c r="BAP92" s="63" t="s">
        <v>934</v>
      </c>
      <c r="BAQ92" s="60"/>
      <c r="BBF92" s="63" t="s">
        <v>934</v>
      </c>
      <c r="BBG92" s="60"/>
      <c r="BBV92" s="63" t="s">
        <v>934</v>
      </c>
      <c r="BBW92" s="60"/>
      <c r="BCL92" s="63" t="s">
        <v>934</v>
      </c>
      <c r="BCM92" s="60"/>
      <c r="BDB92" s="63" t="s">
        <v>934</v>
      </c>
      <c r="BDC92" s="60"/>
      <c r="BDR92" s="63" t="s">
        <v>934</v>
      </c>
      <c r="BDS92" s="60"/>
      <c r="BEH92" s="63" t="s">
        <v>934</v>
      </c>
      <c r="BEI92" s="60"/>
      <c r="BEX92" s="63" t="s">
        <v>934</v>
      </c>
      <c r="BEY92" s="60"/>
      <c r="BFN92" s="63" t="s">
        <v>934</v>
      </c>
      <c r="BFO92" s="60"/>
      <c r="BGD92" s="63" t="s">
        <v>934</v>
      </c>
      <c r="BGE92" s="60"/>
      <c r="BGT92" s="63" t="s">
        <v>934</v>
      </c>
      <c r="BGU92" s="60"/>
      <c r="BHJ92" s="63" t="s">
        <v>934</v>
      </c>
      <c r="BHK92" s="60"/>
      <c r="BHZ92" s="63" t="s">
        <v>934</v>
      </c>
      <c r="BIA92" s="60"/>
      <c r="BIP92" s="63" t="s">
        <v>934</v>
      </c>
      <c r="BIQ92" s="60"/>
      <c r="BJF92" s="63" t="s">
        <v>934</v>
      </c>
      <c r="BJG92" s="60"/>
      <c r="BJV92" s="63" t="s">
        <v>934</v>
      </c>
      <c r="BJW92" s="60"/>
      <c r="BKL92" s="63" t="s">
        <v>934</v>
      </c>
      <c r="BKM92" s="60"/>
      <c r="BLB92" s="63" t="s">
        <v>934</v>
      </c>
      <c r="BLC92" s="60"/>
      <c r="BLR92" s="63" t="s">
        <v>934</v>
      </c>
      <c r="BLS92" s="60"/>
      <c r="BMH92" s="63" t="s">
        <v>934</v>
      </c>
      <c r="BMI92" s="60"/>
      <c r="BMX92" s="63" t="s">
        <v>934</v>
      </c>
      <c r="BMY92" s="60"/>
      <c r="BNN92" s="63" t="s">
        <v>934</v>
      </c>
      <c r="BNO92" s="60"/>
      <c r="BOD92" s="63" t="s">
        <v>934</v>
      </c>
      <c r="BOE92" s="60"/>
      <c r="BOT92" s="63" t="s">
        <v>934</v>
      </c>
      <c r="BOU92" s="60"/>
      <c r="BPJ92" s="63" t="s">
        <v>934</v>
      </c>
      <c r="BPK92" s="60"/>
      <c r="BPZ92" s="63" t="s">
        <v>934</v>
      </c>
      <c r="BQA92" s="60"/>
      <c r="BQP92" s="63" t="s">
        <v>934</v>
      </c>
      <c r="BQQ92" s="60"/>
      <c r="BRF92" s="63" t="s">
        <v>934</v>
      </c>
      <c r="BRG92" s="60"/>
      <c r="BRV92" s="63" t="s">
        <v>934</v>
      </c>
      <c r="BRW92" s="60"/>
      <c r="BSL92" s="63" t="s">
        <v>934</v>
      </c>
      <c r="BSM92" s="60"/>
      <c r="BTB92" s="63" t="s">
        <v>934</v>
      </c>
      <c r="BTC92" s="60"/>
      <c r="BTR92" s="63" t="s">
        <v>934</v>
      </c>
      <c r="BTS92" s="60"/>
      <c r="BUH92" s="63" t="s">
        <v>934</v>
      </c>
      <c r="BUI92" s="60"/>
      <c r="BUX92" s="63" t="s">
        <v>934</v>
      </c>
      <c r="BUY92" s="60"/>
      <c r="BVN92" s="63" t="s">
        <v>934</v>
      </c>
      <c r="BVO92" s="60"/>
      <c r="BWD92" s="63" t="s">
        <v>934</v>
      </c>
      <c r="BWE92" s="60"/>
      <c r="BWT92" s="63" t="s">
        <v>934</v>
      </c>
      <c r="BWU92" s="60"/>
      <c r="BXJ92" s="63" t="s">
        <v>934</v>
      </c>
      <c r="BXK92" s="60"/>
      <c r="BXZ92" s="63" t="s">
        <v>934</v>
      </c>
      <c r="BYA92" s="60"/>
      <c r="BYP92" s="63" t="s">
        <v>934</v>
      </c>
      <c r="BYQ92" s="60"/>
      <c r="BZF92" s="63" t="s">
        <v>934</v>
      </c>
      <c r="BZG92" s="60"/>
      <c r="BZV92" s="63" t="s">
        <v>934</v>
      </c>
      <c r="BZW92" s="60"/>
      <c r="CAL92" s="63" t="s">
        <v>934</v>
      </c>
      <c r="CAM92" s="60"/>
      <c r="CBB92" s="63" t="s">
        <v>934</v>
      </c>
      <c r="CBC92" s="60"/>
      <c r="CBR92" s="63" t="s">
        <v>934</v>
      </c>
      <c r="CBS92" s="60"/>
      <c r="CCH92" s="63" t="s">
        <v>934</v>
      </c>
      <c r="CCI92" s="60"/>
      <c r="CCX92" s="63" t="s">
        <v>934</v>
      </c>
      <c r="CCY92" s="60"/>
      <c r="CDN92" s="63" t="s">
        <v>934</v>
      </c>
      <c r="CDO92" s="60"/>
      <c r="CED92" s="63" t="s">
        <v>934</v>
      </c>
      <c r="CEE92" s="60"/>
      <c r="CET92" s="63" t="s">
        <v>934</v>
      </c>
      <c r="CEU92" s="60"/>
      <c r="CFJ92" s="63" t="s">
        <v>934</v>
      </c>
      <c r="CFK92" s="60"/>
      <c r="CFZ92" s="63" t="s">
        <v>934</v>
      </c>
      <c r="CGA92" s="60"/>
      <c r="CGP92" s="63" t="s">
        <v>934</v>
      </c>
      <c r="CGQ92" s="60"/>
      <c r="CHF92" s="63" t="s">
        <v>934</v>
      </c>
      <c r="CHG92" s="60"/>
      <c r="CHV92" s="63" t="s">
        <v>934</v>
      </c>
      <c r="CHW92" s="60"/>
      <c r="CIL92" s="63" t="s">
        <v>934</v>
      </c>
      <c r="CIM92" s="60"/>
      <c r="CJB92" s="63" t="s">
        <v>934</v>
      </c>
      <c r="CJC92" s="60"/>
      <c r="CJR92" s="63" t="s">
        <v>934</v>
      </c>
      <c r="CJS92" s="60"/>
      <c r="CKH92" s="63" t="s">
        <v>934</v>
      </c>
      <c r="CKI92" s="60"/>
      <c r="CKX92" s="63" t="s">
        <v>934</v>
      </c>
      <c r="CKY92" s="60"/>
      <c r="CLN92" s="63" t="s">
        <v>934</v>
      </c>
      <c r="CLO92" s="60"/>
      <c r="CMD92" s="63" t="s">
        <v>934</v>
      </c>
      <c r="CME92" s="60"/>
      <c r="CMT92" s="63" t="s">
        <v>934</v>
      </c>
      <c r="CMU92" s="60"/>
      <c r="CNJ92" s="63" t="s">
        <v>934</v>
      </c>
      <c r="CNK92" s="60"/>
      <c r="CNZ92" s="63" t="s">
        <v>934</v>
      </c>
      <c r="COA92" s="60"/>
      <c r="COP92" s="63" t="s">
        <v>934</v>
      </c>
      <c r="COQ92" s="60"/>
      <c r="CPF92" s="63" t="s">
        <v>934</v>
      </c>
      <c r="CPG92" s="60"/>
      <c r="CPV92" s="63" t="s">
        <v>934</v>
      </c>
      <c r="CPW92" s="60"/>
      <c r="CQL92" s="63" t="s">
        <v>934</v>
      </c>
      <c r="CQM92" s="60"/>
      <c r="CRB92" s="63" t="s">
        <v>934</v>
      </c>
      <c r="CRC92" s="60"/>
      <c r="CRR92" s="63" t="s">
        <v>934</v>
      </c>
      <c r="CRS92" s="60"/>
      <c r="CSH92" s="63" t="s">
        <v>934</v>
      </c>
      <c r="CSI92" s="60"/>
      <c r="CSX92" s="63" t="s">
        <v>934</v>
      </c>
      <c r="CSY92" s="60"/>
      <c r="CTN92" s="63" t="s">
        <v>934</v>
      </c>
      <c r="CTO92" s="60"/>
      <c r="CUD92" s="63" t="s">
        <v>934</v>
      </c>
      <c r="CUE92" s="60"/>
      <c r="CUT92" s="63" t="s">
        <v>934</v>
      </c>
      <c r="CUU92" s="60"/>
      <c r="CVJ92" s="63" t="s">
        <v>934</v>
      </c>
      <c r="CVK92" s="60"/>
      <c r="CVZ92" s="63" t="s">
        <v>934</v>
      </c>
      <c r="CWA92" s="60"/>
      <c r="CWP92" s="63" t="s">
        <v>934</v>
      </c>
      <c r="CWQ92" s="60"/>
      <c r="CXF92" s="63" t="s">
        <v>934</v>
      </c>
      <c r="CXG92" s="60"/>
      <c r="CXV92" s="63" t="s">
        <v>934</v>
      </c>
      <c r="CXW92" s="60"/>
      <c r="CYL92" s="63" t="s">
        <v>934</v>
      </c>
      <c r="CYM92" s="60"/>
      <c r="CZB92" s="63" t="s">
        <v>934</v>
      </c>
      <c r="CZC92" s="60"/>
      <c r="CZR92" s="63" t="s">
        <v>934</v>
      </c>
      <c r="CZS92" s="60"/>
      <c r="DAH92" s="63" t="s">
        <v>934</v>
      </c>
      <c r="DAI92" s="60"/>
      <c r="DAX92" s="63" t="s">
        <v>934</v>
      </c>
      <c r="DAY92" s="60"/>
      <c r="DBN92" s="63" t="s">
        <v>934</v>
      </c>
      <c r="DBO92" s="60"/>
      <c r="DCD92" s="63" t="s">
        <v>934</v>
      </c>
      <c r="DCE92" s="60"/>
      <c r="DCT92" s="63" t="s">
        <v>934</v>
      </c>
      <c r="DCU92" s="60"/>
      <c r="DDJ92" s="63" t="s">
        <v>934</v>
      </c>
      <c r="DDK92" s="60"/>
      <c r="DDZ92" s="63" t="s">
        <v>934</v>
      </c>
      <c r="DEA92" s="60"/>
      <c r="DEP92" s="63" t="s">
        <v>934</v>
      </c>
      <c r="DEQ92" s="60"/>
      <c r="DFF92" s="63" t="s">
        <v>934</v>
      </c>
      <c r="DFG92" s="60"/>
      <c r="DFV92" s="63" t="s">
        <v>934</v>
      </c>
      <c r="DFW92" s="60"/>
      <c r="DGL92" s="63" t="s">
        <v>934</v>
      </c>
      <c r="DGM92" s="60"/>
      <c r="DHB92" s="63" t="s">
        <v>934</v>
      </c>
      <c r="DHC92" s="60"/>
      <c r="DHR92" s="63" t="s">
        <v>934</v>
      </c>
      <c r="DHS92" s="60"/>
      <c r="DIH92" s="63" t="s">
        <v>934</v>
      </c>
      <c r="DII92" s="60"/>
      <c r="DIX92" s="63" t="s">
        <v>934</v>
      </c>
      <c r="DIY92" s="60"/>
      <c r="DJN92" s="63" t="s">
        <v>934</v>
      </c>
      <c r="DJO92" s="60"/>
      <c r="DKD92" s="63" t="s">
        <v>934</v>
      </c>
      <c r="DKE92" s="60"/>
      <c r="DKT92" s="63" t="s">
        <v>934</v>
      </c>
      <c r="DKU92" s="60"/>
      <c r="DLJ92" s="63" t="s">
        <v>934</v>
      </c>
      <c r="DLK92" s="60"/>
      <c r="DLZ92" s="63" t="s">
        <v>934</v>
      </c>
      <c r="DMA92" s="60"/>
      <c r="DMP92" s="63" t="s">
        <v>934</v>
      </c>
      <c r="DMQ92" s="60"/>
      <c r="DNF92" s="63" t="s">
        <v>934</v>
      </c>
      <c r="DNG92" s="60"/>
      <c r="DNV92" s="63" t="s">
        <v>934</v>
      </c>
      <c r="DNW92" s="60"/>
      <c r="DOL92" s="63" t="s">
        <v>934</v>
      </c>
      <c r="DOM92" s="60"/>
      <c r="DPB92" s="63" t="s">
        <v>934</v>
      </c>
      <c r="DPC92" s="60"/>
      <c r="DPR92" s="63" t="s">
        <v>934</v>
      </c>
      <c r="DPS92" s="60"/>
      <c r="DQH92" s="63" t="s">
        <v>934</v>
      </c>
      <c r="DQI92" s="60"/>
      <c r="DQX92" s="63" t="s">
        <v>934</v>
      </c>
      <c r="DQY92" s="60"/>
      <c r="DRN92" s="63" t="s">
        <v>934</v>
      </c>
      <c r="DRO92" s="60"/>
      <c r="DSD92" s="63" t="s">
        <v>934</v>
      </c>
      <c r="DSE92" s="60"/>
      <c r="DST92" s="63" t="s">
        <v>934</v>
      </c>
      <c r="DSU92" s="60"/>
      <c r="DTJ92" s="63" t="s">
        <v>934</v>
      </c>
      <c r="DTK92" s="60"/>
      <c r="DTZ92" s="63" t="s">
        <v>934</v>
      </c>
      <c r="DUA92" s="60"/>
      <c r="DUP92" s="63" t="s">
        <v>934</v>
      </c>
      <c r="DUQ92" s="60"/>
      <c r="DVF92" s="63" t="s">
        <v>934</v>
      </c>
      <c r="DVG92" s="60"/>
      <c r="DVV92" s="63" t="s">
        <v>934</v>
      </c>
      <c r="DVW92" s="60"/>
      <c r="DWL92" s="63" t="s">
        <v>934</v>
      </c>
      <c r="DWM92" s="60"/>
      <c r="DXB92" s="63" t="s">
        <v>934</v>
      </c>
      <c r="DXC92" s="60"/>
      <c r="DXR92" s="63" t="s">
        <v>934</v>
      </c>
      <c r="DXS92" s="60"/>
      <c r="DYH92" s="63" t="s">
        <v>934</v>
      </c>
      <c r="DYI92" s="60"/>
      <c r="DYX92" s="63" t="s">
        <v>934</v>
      </c>
      <c r="DYY92" s="60"/>
      <c r="DZN92" s="63" t="s">
        <v>934</v>
      </c>
      <c r="DZO92" s="60"/>
      <c r="EAD92" s="63" t="s">
        <v>934</v>
      </c>
      <c r="EAE92" s="60"/>
      <c r="EAT92" s="63" t="s">
        <v>934</v>
      </c>
      <c r="EAU92" s="60"/>
      <c r="EBJ92" s="63" t="s">
        <v>934</v>
      </c>
      <c r="EBK92" s="60"/>
      <c r="EBZ92" s="63" t="s">
        <v>934</v>
      </c>
      <c r="ECA92" s="60"/>
      <c r="ECP92" s="63" t="s">
        <v>934</v>
      </c>
      <c r="ECQ92" s="60"/>
      <c r="EDF92" s="63" t="s">
        <v>934</v>
      </c>
      <c r="EDG92" s="60"/>
      <c r="EDV92" s="63" t="s">
        <v>934</v>
      </c>
      <c r="EDW92" s="60"/>
      <c r="EEL92" s="63" t="s">
        <v>934</v>
      </c>
      <c r="EEM92" s="60"/>
      <c r="EFB92" s="63" t="s">
        <v>934</v>
      </c>
      <c r="EFC92" s="60"/>
      <c r="EFR92" s="63" t="s">
        <v>934</v>
      </c>
      <c r="EFS92" s="60"/>
      <c r="EGH92" s="63" t="s">
        <v>934</v>
      </c>
      <c r="EGI92" s="60"/>
      <c r="EGX92" s="63" t="s">
        <v>934</v>
      </c>
      <c r="EGY92" s="60"/>
      <c r="EHN92" s="63" t="s">
        <v>934</v>
      </c>
      <c r="EHO92" s="60"/>
      <c r="EID92" s="63" t="s">
        <v>934</v>
      </c>
      <c r="EIE92" s="60"/>
      <c r="EIT92" s="63" t="s">
        <v>934</v>
      </c>
      <c r="EIU92" s="60"/>
      <c r="EJJ92" s="63" t="s">
        <v>934</v>
      </c>
      <c r="EJK92" s="60"/>
      <c r="EJZ92" s="63" t="s">
        <v>934</v>
      </c>
      <c r="EKA92" s="60"/>
      <c r="EKP92" s="63" t="s">
        <v>934</v>
      </c>
      <c r="EKQ92" s="60"/>
      <c r="ELF92" s="63" t="s">
        <v>934</v>
      </c>
      <c r="ELG92" s="60"/>
      <c r="ELV92" s="63" t="s">
        <v>934</v>
      </c>
      <c r="ELW92" s="60"/>
      <c r="EML92" s="63" t="s">
        <v>934</v>
      </c>
      <c r="EMM92" s="60"/>
      <c r="ENB92" s="63" t="s">
        <v>934</v>
      </c>
      <c r="ENC92" s="60"/>
      <c r="ENR92" s="63" t="s">
        <v>934</v>
      </c>
      <c r="ENS92" s="60"/>
      <c r="EOH92" s="63" t="s">
        <v>934</v>
      </c>
      <c r="EOI92" s="60"/>
      <c r="EOX92" s="63" t="s">
        <v>934</v>
      </c>
      <c r="EOY92" s="60"/>
      <c r="EPN92" s="63" t="s">
        <v>934</v>
      </c>
      <c r="EPO92" s="60"/>
      <c r="EQD92" s="63" t="s">
        <v>934</v>
      </c>
      <c r="EQE92" s="60"/>
      <c r="EQT92" s="63" t="s">
        <v>934</v>
      </c>
      <c r="EQU92" s="60"/>
      <c r="ERJ92" s="63" t="s">
        <v>934</v>
      </c>
      <c r="ERK92" s="60"/>
      <c r="ERZ92" s="63" t="s">
        <v>934</v>
      </c>
      <c r="ESA92" s="60"/>
      <c r="ESP92" s="63" t="s">
        <v>934</v>
      </c>
      <c r="ESQ92" s="60"/>
      <c r="ETF92" s="63" t="s">
        <v>934</v>
      </c>
      <c r="ETG92" s="60"/>
      <c r="ETV92" s="63" t="s">
        <v>934</v>
      </c>
      <c r="ETW92" s="60"/>
      <c r="EUL92" s="63" t="s">
        <v>934</v>
      </c>
      <c r="EUM92" s="60"/>
      <c r="EVB92" s="63" t="s">
        <v>934</v>
      </c>
      <c r="EVC92" s="60"/>
      <c r="EVR92" s="63" t="s">
        <v>934</v>
      </c>
      <c r="EVS92" s="60"/>
      <c r="EWH92" s="63" t="s">
        <v>934</v>
      </c>
      <c r="EWI92" s="60"/>
      <c r="EWX92" s="63" t="s">
        <v>934</v>
      </c>
      <c r="EWY92" s="60"/>
      <c r="EXN92" s="63" t="s">
        <v>934</v>
      </c>
      <c r="EXO92" s="60"/>
      <c r="EYD92" s="63" t="s">
        <v>934</v>
      </c>
      <c r="EYE92" s="60"/>
      <c r="EYT92" s="63" t="s">
        <v>934</v>
      </c>
      <c r="EYU92" s="60"/>
      <c r="EZJ92" s="63" t="s">
        <v>934</v>
      </c>
      <c r="EZK92" s="60"/>
      <c r="EZZ92" s="63" t="s">
        <v>934</v>
      </c>
      <c r="FAA92" s="60"/>
      <c r="FAP92" s="63" t="s">
        <v>934</v>
      </c>
      <c r="FAQ92" s="60"/>
      <c r="FBF92" s="63" t="s">
        <v>934</v>
      </c>
      <c r="FBG92" s="60"/>
      <c r="FBV92" s="63" t="s">
        <v>934</v>
      </c>
      <c r="FBW92" s="60"/>
      <c r="FCL92" s="63" t="s">
        <v>934</v>
      </c>
      <c r="FCM92" s="60"/>
      <c r="FDB92" s="63" t="s">
        <v>934</v>
      </c>
      <c r="FDC92" s="60"/>
      <c r="FDR92" s="63" t="s">
        <v>934</v>
      </c>
      <c r="FDS92" s="60"/>
      <c r="FEH92" s="63" t="s">
        <v>934</v>
      </c>
      <c r="FEI92" s="60"/>
      <c r="FEX92" s="63" t="s">
        <v>934</v>
      </c>
      <c r="FEY92" s="60"/>
      <c r="FFN92" s="63" t="s">
        <v>934</v>
      </c>
      <c r="FFO92" s="60"/>
      <c r="FGD92" s="63" t="s">
        <v>934</v>
      </c>
      <c r="FGE92" s="60"/>
      <c r="FGT92" s="63" t="s">
        <v>934</v>
      </c>
      <c r="FGU92" s="60"/>
      <c r="FHJ92" s="63" t="s">
        <v>934</v>
      </c>
      <c r="FHK92" s="60"/>
      <c r="FHZ92" s="63" t="s">
        <v>934</v>
      </c>
      <c r="FIA92" s="60"/>
      <c r="FIP92" s="63" t="s">
        <v>934</v>
      </c>
      <c r="FIQ92" s="60"/>
      <c r="FJF92" s="63" t="s">
        <v>934</v>
      </c>
      <c r="FJG92" s="60"/>
      <c r="FJV92" s="63" t="s">
        <v>934</v>
      </c>
      <c r="FJW92" s="60"/>
      <c r="FKL92" s="63" t="s">
        <v>934</v>
      </c>
      <c r="FKM92" s="60"/>
      <c r="FLB92" s="63" t="s">
        <v>934</v>
      </c>
      <c r="FLC92" s="60"/>
      <c r="FLR92" s="63" t="s">
        <v>934</v>
      </c>
      <c r="FLS92" s="60"/>
      <c r="FMH92" s="63" t="s">
        <v>934</v>
      </c>
      <c r="FMI92" s="60"/>
      <c r="FMX92" s="63" t="s">
        <v>934</v>
      </c>
      <c r="FMY92" s="60"/>
      <c r="FNN92" s="63" t="s">
        <v>934</v>
      </c>
      <c r="FNO92" s="60"/>
      <c r="FOD92" s="63" t="s">
        <v>934</v>
      </c>
      <c r="FOE92" s="60"/>
      <c r="FOT92" s="63" t="s">
        <v>934</v>
      </c>
      <c r="FOU92" s="60"/>
      <c r="FPJ92" s="63" t="s">
        <v>934</v>
      </c>
      <c r="FPK92" s="60"/>
      <c r="FPZ92" s="63" t="s">
        <v>934</v>
      </c>
      <c r="FQA92" s="60"/>
      <c r="FQP92" s="63" t="s">
        <v>934</v>
      </c>
      <c r="FQQ92" s="60"/>
      <c r="FRF92" s="63" t="s">
        <v>934</v>
      </c>
      <c r="FRG92" s="60"/>
      <c r="FRV92" s="63" t="s">
        <v>934</v>
      </c>
      <c r="FRW92" s="60"/>
      <c r="FSL92" s="63" t="s">
        <v>934</v>
      </c>
      <c r="FSM92" s="60"/>
      <c r="FTB92" s="63" t="s">
        <v>934</v>
      </c>
      <c r="FTC92" s="60"/>
      <c r="FTR92" s="63" t="s">
        <v>934</v>
      </c>
      <c r="FTS92" s="60"/>
      <c r="FUH92" s="63" t="s">
        <v>934</v>
      </c>
      <c r="FUI92" s="60"/>
      <c r="FUX92" s="63" t="s">
        <v>934</v>
      </c>
      <c r="FUY92" s="60"/>
      <c r="FVN92" s="63" t="s">
        <v>934</v>
      </c>
      <c r="FVO92" s="60"/>
      <c r="FWD92" s="63" t="s">
        <v>934</v>
      </c>
      <c r="FWE92" s="60"/>
      <c r="FWT92" s="63" t="s">
        <v>934</v>
      </c>
      <c r="FWU92" s="60"/>
      <c r="FXJ92" s="63" t="s">
        <v>934</v>
      </c>
      <c r="FXK92" s="60"/>
      <c r="FXZ92" s="63" t="s">
        <v>934</v>
      </c>
      <c r="FYA92" s="60"/>
      <c r="FYP92" s="63" t="s">
        <v>934</v>
      </c>
      <c r="FYQ92" s="60"/>
      <c r="FZF92" s="63" t="s">
        <v>934</v>
      </c>
      <c r="FZG92" s="60"/>
      <c r="FZV92" s="63" t="s">
        <v>934</v>
      </c>
      <c r="FZW92" s="60"/>
      <c r="GAL92" s="63" t="s">
        <v>934</v>
      </c>
      <c r="GAM92" s="60"/>
      <c r="GBB92" s="63" t="s">
        <v>934</v>
      </c>
      <c r="GBC92" s="60"/>
      <c r="GBR92" s="63" t="s">
        <v>934</v>
      </c>
      <c r="GBS92" s="60"/>
      <c r="GCH92" s="63" t="s">
        <v>934</v>
      </c>
      <c r="GCI92" s="60"/>
      <c r="GCX92" s="63" t="s">
        <v>934</v>
      </c>
      <c r="GCY92" s="60"/>
      <c r="GDN92" s="63" t="s">
        <v>934</v>
      </c>
      <c r="GDO92" s="60"/>
      <c r="GED92" s="63" t="s">
        <v>934</v>
      </c>
      <c r="GEE92" s="60"/>
      <c r="GET92" s="63" t="s">
        <v>934</v>
      </c>
      <c r="GEU92" s="60"/>
      <c r="GFJ92" s="63" t="s">
        <v>934</v>
      </c>
      <c r="GFK92" s="60"/>
      <c r="GFZ92" s="63" t="s">
        <v>934</v>
      </c>
      <c r="GGA92" s="60"/>
      <c r="GGP92" s="63" t="s">
        <v>934</v>
      </c>
      <c r="GGQ92" s="60"/>
      <c r="GHF92" s="63" t="s">
        <v>934</v>
      </c>
      <c r="GHG92" s="60"/>
      <c r="GHV92" s="63" t="s">
        <v>934</v>
      </c>
      <c r="GHW92" s="60"/>
      <c r="GIL92" s="63" t="s">
        <v>934</v>
      </c>
      <c r="GIM92" s="60"/>
      <c r="GJB92" s="63" t="s">
        <v>934</v>
      </c>
      <c r="GJC92" s="60"/>
      <c r="GJR92" s="63" t="s">
        <v>934</v>
      </c>
      <c r="GJS92" s="60"/>
      <c r="GKH92" s="63" t="s">
        <v>934</v>
      </c>
      <c r="GKI92" s="60"/>
      <c r="GKX92" s="63" t="s">
        <v>934</v>
      </c>
      <c r="GKY92" s="60"/>
      <c r="GLN92" s="63" t="s">
        <v>934</v>
      </c>
      <c r="GLO92" s="60"/>
      <c r="GMD92" s="63" t="s">
        <v>934</v>
      </c>
      <c r="GME92" s="60"/>
      <c r="GMT92" s="63" t="s">
        <v>934</v>
      </c>
      <c r="GMU92" s="60"/>
      <c r="GNJ92" s="63" t="s">
        <v>934</v>
      </c>
      <c r="GNK92" s="60"/>
      <c r="GNZ92" s="63" t="s">
        <v>934</v>
      </c>
      <c r="GOA92" s="60"/>
      <c r="GOP92" s="63" t="s">
        <v>934</v>
      </c>
      <c r="GOQ92" s="60"/>
      <c r="GPF92" s="63" t="s">
        <v>934</v>
      </c>
      <c r="GPG92" s="60"/>
      <c r="GPV92" s="63" t="s">
        <v>934</v>
      </c>
      <c r="GPW92" s="60"/>
      <c r="GQL92" s="63" t="s">
        <v>934</v>
      </c>
      <c r="GQM92" s="60"/>
      <c r="GRB92" s="63" t="s">
        <v>934</v>
      </c>
      <c r="GRC92" s="60"/>
      <c r="GRR92" s="63" t="s">
        <v>934</v>
      </c>
      <c r="GRS92" s="60"/>
      <c r="GSH92" s="63" t="s">
        <v>934</v>
      </c>
      <c r="GSI92" s="60"/>
      <c r="GSX92" s="63" t="s">
        <v>934</v>
      </c>
      <c r="GSY92" s="60"/>
      <c r="GTN92" s="63" t="s">
        <v>934</v>
      </c>
      <c r="GTO92" s="60"/>
      <c r="GUD92" s="63" t="s">
        <v>934</v>
      </c>
      <c r="GUE92" s="60"/>
      <c r="GUT92" s="63" t="s">
        <v>934</v>
      </c>
      <c r="GUU92" s="60"/>
      <c r="GVJ92" s="63" t="s">
        <v>934</v>
      </c>
      <c r="GVK92" s="60"/>
      <c r="GVZ92" s="63" t="s">
        <v>934</v>
      </c>
      <c r="GWA92" s="60"/>
      <c r="GWP92" s="63" t="s">
        <v>934</v>
      </c>
      <c r="GWQ92" s="60"/>
      <c r="GXF92" s="63" t="s">
        <v>934</v>
      </c>
      <c r="GXG92" s="60"/>
      <c r="GXV92" s="63" t="s">
        <v>934</v>
      </c>
      <c r="GXW92" s="60"/>
      <c r="GYL92" s="63" t="s">
        <v>934</v>
      </c>
      <c r="GYM92" s="60"/>
      <c r="GZB92" s="63" t="s">
        <v>934</v>
      </c>
      <c r="GZC92" s="60"/>
      <c r="GZR92" s="63" t="s">
        <v>934</v>
      </c>
      <c r="GZS92" s="60"/>
      <c r="HAH92" s="63" t="s">
        <v>934</v>
      </c>
      <c r="HAI92" s="60"/>
      <c r="HAX92" s="63" t="s">
        <v>934</v>
      </c>
      <c r="HAY92" s="60"/>
      <c r="HBN92" s="63" t="s">
        <v>934</v>
      </c>
      <c r="HBO92" s="60"/>
      <c r="HCD92" s="63" t="s">
        <v>934</v>
      </c>
      <c r="HCE92" s="60"/>
      <c r="HCT92" s="63" t="s">
        <v>934</v>
      </c>
      <c r="HCU92" s="60"/>
      <c r="HDJ92" s="63" t="s">
        <v>934</v>
      </c>
      <c r="HDK92" s="60"/>
      <c r="HDZ92" s="63" t="s">
        <v>934</v>
      </c>
      <c r="HEA92" s="60"/>
      <c r="HEP92" s="63" t="s">
        <v>934</v>
      </c>
      <c r="HEQ92" s="60"/>
      <c r="HFF92" s="63" t="s">
        <v>934</v>
      </c>
      <c r="HFG92" s="60"/>
      <c r="HFV92" s="63" t="s">
        <v>934</v>
      </c>
      <c r="HFW92" s="60"/>
      <c r="HGL92" s="63" t="s">
        <v>934</v>
      </c>
      <c r="HGM92" s="60"/>
      <c r="HHB92" s="63" t="s">
        <v>934</v>
      </c>
      <c r="HHC92" s="60"/>
      <c r="HHR92" s="63" t="s">
        <v>934</v>
      </c>
      <c r="HHS92" s="60"/>
      <c r="HIH92" s="63" t="s">
        <v>934</v>
      </c>
      <c r="HII92" s="60"/>
      <c r="HIX92" s="63" t="s">
        <v>934</v>
      </c>
      <c r="HIY92" s="60"/>
      <c r="HJN92" s="63" t="s">
        <v>934</v>
      </c>
      <c r="HJO92" s="60"/>
      <c r="HKD92" s="63" t="s">
        <v>934</v>
      </c>
      <c r="HKE92" s="60"/>
      <c r="HKT92" s="63" t="s">
        <v>934</v>
      </c>
      <c r="HKU92" s="60"/>
      <c r="HLJ92" s="63" t="s">
        <v>934</v>
      </c>
      <c r="HLK92" s="60"/>
      <c r="HLZ92" s="63" t="s">
        <v>934</v>
      </c>
      <c r="HMA92" s="60"/>
      <c r="HMP92" s="63" t="s">
        <v>934</v>
      </c>
      <c r="HMQ92" s="60"/>
      <c r="HNF92" s="63" t="s">
        <v>934</v>
      </c>
      <c r="HNG92" s="60"/>
      <c r="HNV92" s="63" t="s">
        <v>934</v>
      </c>
      <c r="HNW92" s="60"/>
      <c r="HOL92" s="63" t="s">
        <v>934</v>
      </c>
      <c r="HOM92" s="60"/>
      <c r="HPB92" s="63" t="s">
        <v>934</v>
      </c>
      <c r="HPC92" s="60"/>
      <c r="HPR92" s="63" t="s">
        <v>934</v>
      </c>
      <c r="HPS92" s="60"/>
      <c r="HQH92" s="63" t="s">
        <v>934</v>
      </c>
      <c r="HQI92" s="60"/>
      <c r="HQX92" s="63" t="s">
        <v>934</v>
      </c>
      <c r="HQY92" s="60"/>
      <c r="HRN92" s="63" t="s">
        <v>934</v>
      </c>
      <c r="HRO92" s="60"/>
      <c r="HSD92" s="63" t="s">
        <v>934</v>
      </c>
      <c r="HSE92" s="60"/>
      <c r="HST92" s="63" t="s">
        <v>934</v>
      </c>
      <c r="HSU92" s="60"/>
      <c r="HTJ92" s="63" t="s">
        <v>934</v>
      </c>
      <c r="HTK92" s="60"/>
      <c r="HTZ92" s="63" t="s">
        <v>934</v>
      </c>
      <c r="HUA92" s="60"/>
      <c r="HUP92" s="63" t="s">
        <v>934</v>
      </c>
      <c r="HUQ92" s="60"/>
      <c r="HVF92" s="63" t="s">
        <v>934</v>
      </c>
      <c r="HVG92" s="60"/>
      <c r="HVV92" s="63" t="s">
        <v>934</v>
      </c>
      <c r="HVW92" s="60"/>
      <c r="HWL92" s="63" t="s">
        <v>934</v>
      </c>
      <c r="HWM92" s="60"/>
      <c r="HXB92" s="63" t="s">
        <v>934</v>
      </c>
      <c r="HXC92" s="60"/>
      <c r="HXR92" s="63" t="s">
        <v>934</v>
      </c>
      <c r="HXS92" s="60"/>
      <c r="HYH92" s="63" t="s">
        <v>934</v>
      </c>
      <c r="HYI92" s="60"/>
      <c r="HYX92" s="63" t="s">
        <v>934</v>
      </c>
      <c r="HYY92" s="60"/>
      <c r="HZN92" s="63" t="s">
        <v>934</v>
      </c>
      <c r="HZO92" s="60"/>
      <c r="IAD92" s="63" t="s">
        <v>934</v>
      </c>
      <c r="IAE92" s="60"/>
      <c r="IAT92" s="63" t="s">
        <v>934</v>
      </c>
      <c r="IAU92" s="60"/>
      <c r="IBJ92" s="63" t="s">
        <v>934</v>
      </c>
      <c r="IBK92" s="60"/>
      <c r="IBZ92" s="63" t="s">
        <v>934</v>
      </c>
      <c r="ICA92" s="60"/>
      <c r="ICP92" s="63" t="s">
        <v>934</v>
      </c>
      <c r="ICQ92" s="60"/>
      <c r="IDF92" s="63" t="s">
        <v>934</v>
      </c>
      <c r="IDG92" s="60"/>
      <c r="IDV92" s="63" t="s">
        <v>934</v>
      </c>
      <c r="IDW92" s="60"/>
      <c r="IEL92" s="63" t="s">
        <v>934</v>
      </c>
      <c r="IEM92" s="60"/>
      <c r="IFB92" s="63" t="s">
        <v>934</v>
      </c>
      <c r="IFC92" s="60"/>
      <c r="IFR92" s="63" t="s">
        <v>934</v>
      </c>
      <c r="IFS92" s="60"/>
      <c r="IGH92" s="63" t="s">
        <v>934</v>
      </c>
      <c r="IGI92" s="60"/>
      <c r="IGX92" s="63" t="s">
        <v>934</v>
      </c>
      <c r="IGY92" s="60"/>
      <c r="IHN92" s="63" t="s">
        <v>934</v>
      </c>
      <c r="IHO92" s="60"/>
      <c r="IID92" s="63" t="s">
        <v>934</v>
      </c>
      <c r="IIE92" s="60"/>
      <c r="IIT92" s="63" t="s">
        <v>934</v>
      </c>
      <c r="IIU92" s="60"/>
      <c r="IJJ92" s="63" t="s">
        <v>934</v>
      </c>
      <c r="IJK92" s="60"/>
      <c r="IJZ92" s="63" t="s">
        <v>934</v>
      </c>
      <c r="IKA92" s="60"/>
      <c r="IKP92" s="63" t="s">
        <v>934</v>
      </c>
      <c r="IKQ92" s="60"/>
      <c r="ILF92" s="63" t="s">
        <v>934</v>
      </c>
      <c r="ILG92" s="60"/>
      <c r="ILV92" s="63" t="s">
        <v>934</v>
      </c>
      <c r="ILW92" s="60"/>
      <c r="IML92" s="63" t="s">
        <v>934</v>
      </c>
      <c r="IMM92" s="60"/>
      <c r="INB92" s="63" t="s">
        <v>934</v>
      </c>
      <c r="INC92" s="60"/>
      <c r="INR92" s="63" t="s">
        <v>934</v>
      </c>
      <c r="INS92" s="60"/>
      <c r="IOH92" s="63" t="s">
        <v>934</v>
      </c>
      <c r="IOI92" s="60"/>
      <c r="IOX92" s="63" t="s">
        <v>934</v>
      </c>
      <c r="IOY92" s="60"/>
      <c r="IPN92" s="63" t="s">
        <v>934</v>
      </c>
      <c r="IPO92" s="60"/>
      <c r="IQD92" s="63" t="s">
        <v>934</v>
      </c>
      <c r="IQE92" s="60"/>
      <c r="IQT92" s="63" t="s">
        <v>934</v>
      </c>
      <c r="IQU92" s="60"/>
      <c r="IRJ92" s="63" t="s">
        <v>934</v>
      </c>
      <c r="IRK92" s="60"/>
      <c r="IRZ92" s="63" t="s">
        <v>934</v>
      </c>
      <c r="ISA92" s="60"/>
      <c r="ISP92" s="63" t="s">
        <v>934</v>
      </c>
      <c r="ISQ92" s="60"/>
      <c r="ITF92" s="63" t="s">
        <v>934</v>
      </c>
      <c r="ITG92" s="60"/>
      <c r="ITV92" s="63" t="s">
        <v>934</v>
      </c>
      <c r="ITW92" s="60"/>
      <c r="IUL92" s="63" t="s">
        <v>934</v>
      </c>
      <c r="IUM92" s="60"/>
      <c r="IVB92" s="63" t="s">
        <v>934</v>
      </c>
      <c r="IVC92" s="60"/>
      <c r="IVR92" s="63" t="s">
        <v>934</v>
      </c>
      <c r="IVS92" s="60"/>
      <c r="IWH92" s="63" t="s">
        <v>934</v>
      </c>
      <c r="IWI92" s="60"/>
      <c r="IWX92" s="63" t="s">
        <v>934</v>
      </c>
      <c r="IWY92" s="60"/>
      <c r="IXN92" s="63" t="s">
        <v>934</v>
      </c>
      <c r="IXO92" s="60"/>
      <c r="IYD92" s="63" t="s">
        <v>934</v>
      </c>
      <c r="IYE92" s="60"/>
      <c r="IYT92" s="63" t="s">
        <v>934</v>
      </c>
      <c r="IYU92" s="60"/>
      <c r="IZJ92" s="63" t="s">
        <v>934</v>
      </c>
      <c r="IZK92" s="60"/>
      <c r="IZZ92" s="63" t="s">
        <v>934</v>
      </c>
      <c r="JAA92" s="60"/>
      <c r="JAP92" s="63" t="s">
        <v>934</v>
      </c>
      <c r="JAQ92" s="60"/>
      <c r="JBF92" s="63" t="s">
        <v>934</v>
      </c>
      <c r="JBG92" s="60"/>
      <c r="JBV92" s="63" t="s">
        <v>934</v>
      </c>
      <c r="JBW92" s="60"/>
      <c r="JCL92" s="63" t="s">
        <v>934</v>
      </c>
      <c r="JCM92" s="60"/>
      <c r="JDB92" s="63" t="s">
        <v>934</v>
      </c>
      <c r="JDC92" s="60"/>
      <c r="JDR92" s="63" t="s">
        <v>934</v>
      </c>
      <c r="JDS92" s="60"/>
      <c r="JEH92" s="63" t="s">
        <v>934</v>
      </c>
      <c r="JEI92" s="60"/>
      <c r="JEX92" s="63" t="s">
        <v>934</v>
      </c>
      <c r="JEY92" s="60"/>
      <c r="JFN92" s="63" t="s">
        <v>934</v>
      </c>
      <c r="JFO92" s="60"/>
      <c r="JGD92" s="63" t="s">
        <v>934</v>
      </c>
      <c r="JGE92" s="60"/>
      <c r="JGT92" s="63" t="s">
        <v>934</v>
      </c>
      <c r="JGU92" s="60"/>
      <c r="JHJ92" s="63" t="s">
        <v>934</v>
      </c>
      <c r="JHK92" s="60"/>
      <c r="JHZ92" s="63" t="s">
        <v>934</v>
      </c>
      <c r="JIA92" s="60"/>
      <c r="JIP92" s="63" t="s">
        <v>934</v>
      </c>
      <c r="JIQ92" s="60"/>
      <c r="JJF92" s="63" t="s">
        <v>934</v>
      </c>
      <c r="JJG92" s="60"/>
      <c r="JJV92" s="63" t="s">
        <v>934</v>
      </c>
      <c r="JJW92" s="60"/>
      <c r="JKL92" s="63" t="s">
        <v>934</v>
      </c>
      <c r="JKM92" s="60"/>
      <c r="JLB92" s="63" t="s">
        <v>934</v>
      </c>
      <c r="JLC92" s="60"/>
      <c r="JLR92" s="63" t="s">
        <v>934</v>
      </c>
      <c r="JLS92" s="60"/>
      <c r="JMH92" s="63" t="s">
        <v>934</v>
      </c>
      <c r="JMI92" s="60"/>
      <c r="JMX92" s="63" t="s">
        <v>934</v>
      </c>
      <c r="JMY92" s="60"/>
      <c r="JNN92" s="63" t="s">
        <v>934</v>
      </c>
      <c r="JNO92" s="60"/>
      <c r="JOD92" s="63" t="s">
        <v>934</v>
      </c>
      <c r="JOE92" s="60"/>
      <c r="JOT92" s="63" t="s">
        <v>934</v>
      </c>
      <c r="JOU92" s="60"/>
      <c r="JPJ92" s="63" t="s">
        <v>934</v>
      </c>
      <c r="JPK92" s="60"/>
      <c r="JPZ92" s="63" t="s">
        <v>934</v>
      </c>
      <c r="JQA92" s="60"/>
      <c r="JQP92" s="63" t="s">
        <v>934</v>
      </c>
      <c r="JQQ92" s="60"/>
      <c r="JRF92" s="63" t="s">
        <v>934</v>
      </c>
      <c r="JRG92" s="60"/>
      <c r="JRV92" s="63" t="s">
        <v>934</v>
      </c>
      <c r="JRW92" s="60"/>
      <c r="JSL92" s="63" t="s">
        <v>934</v>
      </c>
      <c r="JSM92" s="60"/>
      <c r="JTB92" s="63" t="s">
        <v>934</v>
      </c>
      <c r="JTC92" s="60"/>
      <c r="JTR92" s="63" t="s">
        <v>934</v>
      </c>
      <c r="JTS92" s="60"/>
      <c r="JUH92" s="63" t="s">
        <v>934</v>
      </c>
      <c r="JUI92" s="60"/>
      <c r="JUX92" s="63" t="s">
        <v>934</v>
      </c>
      <c r="JUY92" s="60"/>
      <c r="JVN92" s="63" t="s">
        <v>934</v>
      </c>
      <c r="JVO92" s="60"/>
      <c r="JWD92" s="63" t="s">
        <v>934</v>
      </c>
      <c r="JWE92" s="60"/>
      <c r="JWT92" s="63" t="s">
        <v>934</v>
      </c>
      <c r="JWU92" s="60"/>
      <c r="JXJ92" s="63" t="s">
        <v>934</v>
      </c>
      <c r="JXK92" s="60"/>
      <c r="JXZ92" s="63" t="s">
        <v>934</v>
      </c>
      <c r="JYA92" s="60"/>
      <c r="JYP92" s="63" t="s">
        <v>934</v>
      </c>
      <c r="JYQ92" s="60"/>
      <c r="JZF92" s="63" t="s">
        <v>934</v>
      </c>
      <c r="JZG92" s="60"/>
      <c r="JZV92" s="63" t="s">
        <v>934</v>
      </c>
      <c r="JZW92" s="60"/>
      <c r="KAL92" s="63" t="s">
        <v>934</v>
      </c>
      <c r="KAM92" s="60"/>
      <c r="KBB92" s="63" t="s">
        <v>934</v>
      </c>
      <c r="KBC92" s="60"/>
      <c r="KBR92" s="63" t="s">
        <v>934</v>
      </c>
      <c r="KBS92" s="60"/>
      <c r="KCH92" s="63" t="s">
        <v>934</v>
      </c>
      <c r="KCI92" s="60"/>
      <c r="KCX92" s="63" t="s">
        <v>934</v>
      </c>
      <c r="KCY92" s="60"/>
      <c r="KDN92" s="63" t="s">
        <v>934</v>
      </c>
      <c r="KDO92" s="60"/>
      <c r="KED92" s="63" t="s">
        <v>934</v>
      </c>
      <c r="KEE92" s="60"/>
      <c r="KET92" s="63" t="s">
        <v>934</v>
      </c>
      <c r="KEU92" s="60"/>
      <c r="KFJ92" s="63" t="s">
        <v>934</v>
      </c>
      <c r="KFK92" s="60"/>
      <c r="KFZ92" s="63" t="s">
        <v>934</v>
      </c>
      <c r="KGA92" s="60"/>
      <c r="KGP92" s="63" t="s">
        <v>934</v>
      </c>
      <c r="KGQ92" s="60"/>
      <c r="KHF92" s="63" t="s">
        <v>934</v>
      </c>
      <c r="KHG92" s="60"/>
      <c r="KHV92" s="63" t="s">
        <v>934</v>
      </c>
      <c r="KHW92" s="60"/>
      <c r="KIL92" s="63" t="s">
        <v>934</v>
      </c>
      <c r="KIM92" s="60"/>
      <c r="KJB92" s="63" t="s">
        <v>934</v>
      </c>
      <c r="KJC92" s="60"/>
      <c r="KJR92" s="63" t="s">
        <v>934</v>
      </c>
      <c r="KJS92" s="60"/>
      <c r="KKH92" s="63" t="s">
        <v>934</v>
      </c>
      <c r="KKI92" s="60"/>
      <c r="KKX92" s="63" t="s">
        <v>934</v>
      </c>
      <c r="KKY92" s="60"/>
      <c r="KLN92" s="63" t="s">
        <v>934</v>
      </c>
      <c r="KLO92" s="60"/>
      <c r="KMD92" s="63" t="s">
        <v>934</v>
      </c>
      <c r="KME92" s="60"/>
      <c r="KMT92" s="63" t="s">
        <v>934</v>
      </c>
      <c r="KMU92" s="60"/>
      <c r="KNJ92" s="63" t="s">
        <v>934</v>
      </c>
      <c r="KNK92" s="60"/>
      <c r="KNZ92" s="63" t="s">
        <v>934</v>
      </c>
      <c r="KOA92" s="60"/>
      <c r="KOP92" s="63" t="s">
        <v>934</v>
      </c>
      <c r="KOQ92" s="60"/>
      <c r="KPF92" s="63" t="s">
        <v>934</v>
      </c>
      <c r="KPG92" s="60"/>
      <c r="KPV92" s="63" t="s">
        <v>934</v>
      </c>
      <c r="KPW92" s="60"/>
      <c r="KQL92" s="63" t="s">
        <v>934</v>
      </c>
      <c r="KQM92" s="60"/>
      <c r="KRB92" s="63" t="s">
        <v>934</v>
      </c>
      <c r="KRC92" s="60"/>
      <c r="KRR92" s="63" t="s">
        <v>934</v>
      </c>
      <c r="KRS92" s="60"/>
      <c r="KSH92" s="63" t="s">
        <v>934</v>
      </c>
      <c r="KSI92" s="60"/>
      <c r="KSX92" s="63" t="s">
        <v>934</v>
      </c>
      <c r="KSY92" s="60"/>
      <c r="KTN92" s="63" t="s">
        <v>934</v>
      </c>
      <c r="KTO92" s="60"/>
      <c r="KUD92" s="63" t="s">
        <v>934</v>
      </c>
      <c r="KUE92" s="60"/>
      <c r="KUT92" s="63" t="s">
        <v>934</v>
      </c>
      <c r="KUU92" s="60"/>
      <c r="KVJ92" s="63" t="s">
        <v>934</v>
      </c>
      <c r="KVK92" s="60"/>
      <c r="KVZ92" s="63" t="s">
        <v>934</v>
      </c>
      <c r="KWA92" s="60"/>
      <c r="KWP92" s="63" t="s">
        <v>934</v>
      </c>
      <c r="KWQ92" s="60"/>
      <c r="KXF92" s="63" t="s">
        <v>934</v>
      </c>
      <c r="KXG92" s="60"/>
      <c r="KXV92" s="63" t="s">
        <v>934</v>
      </c>
      <c r="KXW92" s="60"/>
      <c r="KYL92" s="63" t="s">
        <v>934</v>
      </c>
      <c r="KYM92" s="60"/>
      <c r="KZB92" s="63" t="s">
        <v>934</v>
      </c>
      <c r="KZC92" s="60"/>
      <c r="KZR92" s="63" t="s">
        <v>934</v>
      </c>
      <c r="KZS92" s="60"/>
      <c r="LAH92" s="63" t="s">
        <v>934</v>
      </c>
      <c r="LAI92" s="60"/>
      <c r="LAX92" s="63" t="s">
        <v>934</v>
      </c>
      <c r="LAY92" s="60"/>
      <c r="LBN92" s="63" t="s">
        <v>934</v>
      </c>
      <c r="LBO92" s="60"/>
      <c r="LCD92" s="63" t="s">
        <v>934</v>
      </c>
      <c r="LCE92" s="60"/>
      <c r="LCT92" s="63" t="s">
        <v>934</v>
      </c>
      <c r="LCU92" s="60"/>
      <c r="LDJ92" s="63" t="s">
        <v>934</v>
      </c>
      <c r="LDK92" s="60"/>
      <c r="LDZ92" s="63" t="s">
        <v>934</v>
      </c>
      <c r="LEA92" s="60"/>
      <c r="LEP92" s="63" t="s">
        <v>934</v>
      </c>
      <c r="LEQ92" s="60"/>
      <c r="LFF92" s="63" t="s">
        <v>934</v>
      </c>
      <c r="LFG92" s="60"/>
      <c r="LFV92" s="63" t="s">
        <v>934</v>
      </c>
      <c r="LFW92" s="60"/>
      <c r="LGL92" s="63" t="s">
        <v>934</v>
      </c>
      <c r="LGM92" s="60"/>
      <c r="LHB92" s="63" t="s">
        <v>934</v>
      </c>
      <c r="LHC92" s="60"/>
      <c r="LHR92" s="63" t="s">
        <v>934</v>
      </c>
      <c r="LHS92" s="60"/>
      <c r="LIH92" s="63" t="s">
        <v>934</v>
      </c>
      <c r="LII92" s="60"/>
      <c r="LIX92" s="63" t="s">
        <v>934</v>
      </c>
      <c r="LIY92" s="60"/>
      <c r="LJN92" s="63" t="s">
        <v>934</v>
      </c>
      <c r="LJO92" s="60"/>
      <c r="LKD92" s="63" t="s">
        <v>934</v>
      </c>
      <c r="LKE92" s="60"/>
      <c r="LKT92" s="63" t="s">
        <v>934</v>
      </c>
      <c r="LKU92" s="60"/>
      <c r="LLJ92" s="63" t="s">
        <v>934</v>
      </c>
      <c r="LLK92" s="60"/>
      <c r="LLZ92" s="63" t="s">
        <v>934</v>
      </c>
      <c r="LMA92" s="60"/>
      <c r="LMP92" s="63" t="s">
        <v>934</v>
      </c>
      <c r="LMQ92" s="60"/>
      <c r="LNF92" s="63" t="s">
        <v>934</v>
      </c>
      <c r="LNG92" s="60"/>
      <c r="LNV92" s="63" t="s">
        <v>934</v>
      </c>
      <c r="LNW92" s="60"/>
      <c r="LOL92" s="63" t="s">
        <v>934</v>
      </c>
      <c r="LOM92" s="60"/>
      <c r="LPB92" s="63" t="s">
        <v>934</v>
      </c>
      <c r="LPC92" s="60"/>
      <c r="LPR92" s="63" t="s">
        <v>934</v>
      </c>
      <c r="LPS92" s="60"/>
      <c r="LQH92" s="63" t="s">
        <v>934</v>
      </c>
      <c r="LQI92" s="60"/>
      <c r="LQX92" s="63" t="s">
        <v>934</v>
      </c>
      <c r="LQY92" s="60"/>
      <c r="LRN92" s="63" t="s">
        <v>934</v>
      </c>
      <c r="LRO92" s="60"/>
      <c r="LSD92" s="63" t="s">
        <v>934</v>
      </c>
      <c r="LSE92" s="60"/>
      <c r="LST92" s="63" t="s">
        <v>934</v>
      </c>
      <c r="LSU92" s="60"/>
      <c r="LTJ92" s="63" t="s">
        <v>934</v>
      </c>
      <c r="LTK92" s="60"/>
      <c r="LTZ92" s="63" t="s">
        <v>934</v>
      </c>
      <c r="LUA92" s="60"/>
      <c r="LUP92" s="63" t="s">
        <v>934</v>
      </c>
      <c r="LUQ92" s="60"/>
      <c r="LVF92" s="63" t="s">
        <v>934</v>
      </c>
      <c r="LVG92" s="60"/>
      <c r="LVV92" s="63" t="s">
        <v>934</v>
      </c>
      <c r="LVW92" s="60"/>
      <c r="LWL92" s="63" t="s">
        <v>934</v>
      </c>
      <c r="LWM92" s="60"/>
      <c r="LXB92" s="63" t="s">
        <v>934</v>
      </c>
      <c r="LXC92" s="60"/>
      <c r="LXR92" s="63" t="s">
        <v>934</v>
      </c>
      <c r="LXS92" s="60"/>
      <c r="LYH92" s="63" t="s">
        <v>934</v>
      </c>
      <c r="LYI92" s="60"/>
      <c r="LYX92" s="63" t="s">
        <v>934</v>
      </c>
      <c r="LYY92" s="60"/>
      <c r="LZN92" s="63" t="s">
        <v>934</v>
      </c>
      <c r="LZO92" s="60"/>
      <c r="MAD92" s="63" t="s">
        <v>934</v>
      </c>
      <c r="MAE92" s="60"/>
      <c r="MAT92" s="63" t="s">
        <v>934</v>
      </c>
      <c r="MAU92" s="60"/>
      <c r="MBJ92" s="63" t="s">
        <v>934</v>
      </c>
      <c r="MBK92" s="60"/>
      <c r="MBZ92" s="63" t="s">
        <v>934</v>
      </c>
      <c r="MCA92" s="60"/>
      <c r="MCP92" s="63" t="s">
        <v>934</v>
      </c>
      <c r="MCQ92" s="60"/>
      <c r="MDF92" s="63" t="s">
        <v>934</v>
      </c>
      <c r="MDG92" s="60"/>
      <c r="MDV92" s="63" t="s">
        <v>934</v>
      </c>
      <c r="MDW92" s="60"/>
      <c r="MEL92" s="63" t="s">
        <v>934</v>
      </c>
      <c r="MEM92" s="60"/>
      <c r="MFB92" s="63" t="s">
        <v>934</v>
      </c>
      <c r="MFC92" s="60"/>
      <c r="MFR92" s="63" t="s">
        <v>934</v>
      </c>
      <c r="MFS92" s="60"/>
      <c r="MGH92" s="63" t="s">
        <v>934</v>
      </c>
      <c r="MGI92" s="60"/>
      <c r="MGX92" s="63" t="s">
        <v>934</v>
      </c>
      <c r="MGY92" s="60"/>
      <c r="MHN92" s="63" t="s">
        <v>934</v>
      </c>
      <c r="MHO92" s="60"/>
      <c r="MID92" s="63" t="s">
        <v>934</v>
      </c>
      <c r="MIE92" s="60"/>
      <c r="MIT92" s="63" t="s">
        <v>934</v>
      </c>
      <c r="MIU92" s="60"/>
      <c r="MJJ92" s="63" t="s">
        <v>934</v>
      </c>
      <c r="MJK92" s="60"/>
      <c r="MJZ92" s="63" t="s">
        <v>934</v>
      </c>
      <c r="MKA92" s="60"/>
      <c r="MKP92" s="63" t="s">
        <v>934</v>
      </c>
      <c r="MKQ92" s="60"/>
      <c r="MLF92" s="63" t="s">
        <v>934</v>
      </c>
      <c r="MLG92" s="60"/>
      <c r="MLV92" s="63" t="s">
        <v>934</v>
      </c>
      <c r="MLW92" s="60"/>
      <c r="MML92" s="63" t="s">
        <v>934</v>
      </c>
      <c r="MMM92" s="60"/>
      <c r="MNB92" s="63" t="s">
        <v>934</v>
      </c>
      <c r="MNC92" s="60"/>
      <c r="MNR92" s="63" t="s">
        <v>934</v>
      </c>
      <c r="MNS92" s="60"/>
      <c r="MOH92" s="63" t="s">
        <v>934</v>
      </c>
      <c r="MOI92" s="60"/>
      <c r="MOX92" s="63" t="s">
        <v>934</v>
      </c>
      <c r="MOY92" s="60"/>
      <c r="MPN92" s="63" t="s">
        <v>934</v>
      </c>
      <c r="MPO92" s="60"/>
      <c r="MQD92" s="63" t="s">
        <v>934</v>
      </c>
      <c r="MQE92" s="60"/>
      <c r="MQT92" s="63" t="s">
        <v>934</v>
      </c>
      <c r="MQU92" s="60"/>
      <c r="MRJ92" s="63" t="s">
        <v>934</v>
      </c>
      <c r="MRK92" s="60"/>
      <c r="MRZ92" s="63" t="s">
        <v>934</v>
      </c>
      <c r="MSA92" s="60"/>
      <c r="MSP92" s="63" t="s">
        <v>934</v>
      </c>
      <c r="MSQ92" s="60"/>
      <c r="MTF92" s="63" t="s">
        <v>934</v>
      </c>
      <c r="MTG92" s="60"/>
      <c r="MTV92" s="63" t="s">
        <v>934</v>
      </c>
      <c r="MTW92" s="60"/>
      <c r="MUL92" s="63" t="s">
        <v>934</v>
      </c>
      <c r="MUM92" s="60"/>
      <c r="MVB92" s="63" t="s">
        <v>934</v>
      </c>
      <c r="MVC92" s="60"/>
      <c r="MVR92" s="63" t="s">
        <v>934</v>
      </c>
      <c r="MVS92" s="60"/>
      <c r="MWH92" s="63" t="s">
        <v>934</v>
      </c>
      <c r="MWI92" s="60"/>
      <c r="MWX92" s="63" t="s">
        <v>934</v>
      </c>
      <c r="MWY92" s="60"/>
      <c r="MXN92" s="63" t="s">
        <v>934</v>
      </c>
      <c r="MXO92" s="60"/>
      <c r="MYD92" s="63" t="s">
        <v>934</v>
      </c>
      <c r="MYE92" s="60"/>
      <c r="MYT92" s="63" t="s">
        <v>934</v>
      </c>
      <c r="MYU92" s="60"/>
      <c r="MZJ92" s="63" t="s">
        <v>934</v>
      </c>
      <c r="MZK92" s="60"/>
      <c r="MZZ92" s="63" t="s">
        <v>934</v>
      </c>
      <c r="NAA92" s="60"/>
      <c r="NAP92" s="63" t="s">
        <v>934</v>
      </c>
      <c r="NAQ92" s="60"/>
      <c r="NBF92" s="63" t="s">
        <v>934</v>
      </c>
      <c r="NBG92" s="60"/>
      <c r="NBV92" s="63" t="s">
        <v>934</v>
      </c>
      <c r="NBW92" s="60"/>
      <c r="NCL92" s="63" t="s">
        <v>934</v>
      </c>
      <c r="NCM92" s="60"/>
      <c r="NDB92" s="63" t="s">
        <v>934</v>
      </c>
      <c r="NDC92" s="60"/>
      <c r="NDR92" s="63" t="s">
        <v>934</v>
      </c>
      <c r="NDS92" s="60"/>
      <c r="NEH92" s="63" t="s">
        <v>934</v>
      </c>
      <c r="NEI92" s="60"/>
      <c r="NEX92" s="63" t="s">
        <v>934</v>
      </c>
      <c r="NEY92" s="60"/>
      <c r="NFN92" s="63" t="s">
        <v>934</v>
      </c>
      <c r="NFO92" s="60"/>
      <c r="NGD92" s="63" t="s">
        <v>934</v>
      </c>
      <c r="NGE92" s="60"/>
      <c r="NGT92" s="63" t="s">
        <v>934</v>
      </c>
      <c r="NGU92" s="60"/>
      <c r="NHJ92" s="63" t="s">
        <v>934</v>
      </c>
      <c r="NHK92" s="60"/>
      <c r="NHZ92" s="63" t="s">
        <v>934</v>
      </c>
      <c r="NIA92" s="60"/>
      <c r="NIP92" s="63" t="s">
        <v>934</v>
      </c>
      <c r="NIQ92" s="60"/>
      <c r="NJF92" s="63" t="s">
        <v>934</v>
      </c>
      <c r="NJG92" s="60"/>
      <c r="NJV92" s="63" t="s">
        <v>934</v>
      </c>
      <c r="NJW92" s="60"/>
      <c r="NKL92" s="63" t="s">
        <v>934</v>
      </c>
      <c r="NKM92" s="60"/>
      <c r="NLB92" s="63" t="s">
        <v>934</v>
      </c>
      <c r="NLC92" s="60"/>
      <c r="NLR92" s="63" t="s">
        <v>934</v>
      </c>
      <c r="NLS92" s="60"/>
      <c r="NMH92" s="63" t="s">
        <v>934</v>
      </c>
      <c r="NMI92" s="60"/>
      <c r="NMX92" s="63" t="s">
        <v>934</v>
      </c>
      <c r="NMY92" s="60"/>
      <c r="NNN92" s="63" t="s">
        <v>934</v>
      </c>
      <c r="NNO92" s="60"/>
      <c r="NOD92" s="63" t="s">
        <v>934</v>
      </c>
      <c r="NOE92" s="60"/>
      <c r="NOT92" s="63" t="s">
        <v>934</v>
      </c>
      <c r="NOU92" s="60"/>
      <c r="NPJ92" s="63" t="s">
        <v>934</v>
      </c>
      <c r="NPK92" s="60"/>
      <c r="NPZ92" s="63" t="s">
        <v>934</v>
      </c>
      <c r="NQA92" s="60"/>
      <c r="NQP92" s="63" t="s">
        <v>934</v>
      </c>
      <c r="NQQ92" s="60"/>
      <c r="NRF92" s="63" t="s">
        <v>934</v>
      </c>
      <c r="NRG92" s="60"/>
      <c r="NRV92" s="63" t="s">
        <v>934</v>
      </c>
      <c r="NRW92" s="60"/>
      <c r="NSL92" s="63" t="s">
        <v>934</v>
      </c>
      <c r="NSM92" s="60"/>
      <c r="NTB92" s="63" t="s">
        <v>934</v>
      </c>
      <c r="NTC92" s="60"/>
      <c r="NTR92" s="63" t="s">
        <v>934</v>
      </c>
      <c r="NTS92" s="60"/>
      <c r="NUH92" s="63" t="s">
        <v>934</v>
      </c>
      <c r="NUI92" s="60"/>
      <c r="NUX92" s="63" t="s">
        <v>934</v>
      </c>
      <c r="NUY92" s="60"/>
      <c r="NVN92" s="63" t="s">
        <v>934</v>
      </c>
      <c r="NVO92" s="60"/>
      <c r="NWD92" s="63" t="s">
        <v>934</v>
      </c>
      <c r="NWE92" s="60"/>
      <c r="NWT92" s="63" t="s">
        <v>934</v>
      </c>
      <c r="NWU92" s="60"/>
      <c r="NXJ92" s="63" t="s">
        <v>934</v>
      </c>
      <c r="NXK92" s="60"/>
      <c r="NXZ92" s="63" t="s">
        <v>934</v>
      </c>
      <c r="NYA92" s="60"/>
      <c r="NYP92" s="63" t="s">
        <v>934</v>
      </c>
      <c r="NYQ92" s="60"/>
      <c r="NZF92" s="63" t="s">
        <v>934</v>
      </c>
      <c r="NZG92" s="60"/>
      <c r="NZV92" s="63" t="s">
        <v>934</v>
      </c>
      <c r="NZW92" s="60"/>
      <c r="OAL92" s="63" t="s">
        <v>934</v>
      </c>
      <c r="OAM92" s="60"/>
      <c r="OBB92" s="63" t="s">
        <v>934</v>
      </c>
      <c r="OBC92" s="60"/>
      <c r="OBR92" s="63" t="s">
        <v>934</v>
      </c>
      <c r="OBS92" s="60"/>
      <c r="OCH92" s="63" t="s">
        <v>934</v>
      </c>
      <c r="OCI92" s="60"/>
      <c r="OCX92" s="63" t="s">
        <v>934</v>
      </c>
      <c r="OCY92" s="60"/>
      <c r="ODN92" s="63" t="s">
        <v>934</v>
      </c>
      <c r="ODO92" s="60"/>
      <c r="OED92" s="63" t="s">
        <v>934</v>
      </c>
      <c r="OEE92" s="60"/>
      <c r="OET92" s="63" t="s">
        <v>934</v>
      </c>
      <c r="OEU92" s="60"/>
      <c r="OFJ92" s="63" t="s">
        <v>934</v>
      </c>
      <c r="OFK92" s="60"/>
      <c r="OFZ92" s="63" t="s">
        <v>934</v>
      </c>
      <c r="OGA92" s="60"/>
      <c r="OGP92" s="63" t="s">
        <v>934</v>
      </c>
      <c r="OGQ92" s="60"/>
      <c r="OHF92" s="63" t="s">
        <v>934</v>
      </c>
      <c r="OHG92" s="60"/>
      <c r="OHV92" s="63" t="s">
        <v>934</v>
      </c>
      <c r="OHW92" s="60"/>
      <c r="OIL92" s="63" t="s">
        <v>934</v>
      </c>
      <c r="OIM92" s="60"/>
      <c r="OJB92" s="63" t="s">
        <v>934</v>
      </c>
      <c r="OJC92" s="60"/>
      <c r="OJR92" s="63" t="s">
        <v>934</v>
      </c>
      <c r="OJS92" s="60"/>
      <c r="OKH92" s="63" t="s">
        <v>934</v>
      </c>
      <c r="OKI92" s="60"/>
      <c r="OKX92" s="63" t="s">
        <v>934</v>
      </c>
      <c r="OKY92" s="60"/>
      <c r="OLN92" s="63" t="s">
        <v>934</v>
      </c>
      <c r="OLO92" s="60"/>
      <c r="OMD92" s="63" t="s">
        <v>934</v>
      </c>
      <c r="OME92" s="60"/>
      <c r="OMT92" s="63" t="s">
        <v>934</v>
      </c>
      <c r="OMU92" s="60"/>
      <c r="ONJ92" s="63" t="s">
        <v>934</v>
      </c>
      <c r="ONK92" s="60"/>
      <c r="ONZ92" s="63" t="s">
        <v>934</v>
      </c>
      <c r="OOA92" s="60"/>
      <c r="OOP92" s="63" t="s">
        <v>934</v>
      </c>
      <c r="OOQ92" s="60"/>
      <c r="OPF92" s="63" t="s">
        <v>934</v>
      </c>
      <c r="OPG92" s="60"/>
      <c r="OPV92" s="63" t="s">
        <v>934</v>
      </c>
      <c r="OPW92" s="60"/>
      <c r="OQL92" s="63" t="s">
        <v>934</v>
      </c>
      <c r="OQM92" s="60"/>
      <c r="ORB92" s="63" t="s">
        <v>934</v>
      </c>
      <c r="ORC92" s="60"/>
      <c r="ORR92" s="63" t="s">
        <v>934</v>
      </c>
      <c r="ORS92" s="60"/>
      <c r="OSH92" s="63" t="s">
        <v>934</v>
      </c>
      <c r="OSI92" s="60"/>
      <c r="OSX92" s="63" t="s">
        <v>934</v>
      </c>
      <c r="OSY92" s="60"/>
      <c r="OTN92" s="63" t="s">
        <v>934</v>
      </c>
      <c r="OTO92" s="60"/>
      <c r="OUD92" s="63" t="s">
        <v>934</v>
      </c>
      <c r="OUE92" s="60"/>
      <c r="OUT92" s="63" t="s">
        <v>934</v>
      </c>
      <c r="OUU92" s="60"/>
      <c r="OVJ92" s="63" t="s">
        <v>934</v>
      </c>
      <c r="OVK92" s="60"/>
      <c r="OVZ92" s="63" t="s">
        <v>934</v>
      </c>
      <c r="OWA92" s="60"/>
      <c r="OWP92" s="63" t="s">
        <v>934</v>
      </c>
      <c r="OWQ92" s="60"/>
      <c r="OXF92" s="63" t="s">
        <v>934</v>
      </c>
      <c r="OXG92" s="60"/>
      <c r="OXV92" s="63" t="s">
        <v>934</v>
      </c>
      <c r="OXW92" s="60"/>
      <c r="OYL92" s="63" t="s">
        <v>934</v>
      </c>
      <c r="OYM92" s="60"/>
      <c r="OZB92" s="63" t="s">
        <v>934</v>
      </c>
      <c r="OZC92" s="60"/>
      <c r="OZR92" s="63" t="s">
        <v>934</v>
      </c>
      <c r="OZS92" s="60"/>
      <c r="PAH92" s="63" t="s">
        <v>934</v>
      </c>
      <c r="PAI92" s="60"/>
      <c r="PAX92" s="63" t="s">
        <v>934</v>
      </c>
      <c r="PAY92" s="60"/>
      <c r="PBN92" s="63" t="s">
        <v>934</v>
      </c>
      <c r="PBO92" s="60"/>
      <c r="PCD92" s="63" t="s">
        <v>934</v>
      </c>
      <c r="PCE92" s="60"/>
      <c r="PCT92" s="63" t="s">
        <v>934</v>
      </c>
      <c r="PCU92" s="60"/>
      <c r="PDJ92" s="63" t="s">
        <v>934</v>
      </c>
      <c r="PDK92" s="60"/>
      <c r="PDZ92" s="63" t="s">
        <v>934</v>
      </c>
      <c r="PEA92" s="60"/>
      <c r="PEP92" s="63" t="s">
        <v>934</v>
      </c>
      <c r="PEQ92" s="60"/>
      <c r="PFF92" s="63" t="s">
        <v>934</v>
      </c>
      <c r="PFG92" s="60"/>
      <c r="PFV92" s="63" t="s">
        <v>934</v>
      </c>
      <c r="PFW92" s="60"/>
      <c r="PGL92" s="63" t="s">
        <v>934</v>
      </c>
      <c r="PGM92" s="60"/>
      <c r="PHB92" s="63" t="s">
        <v>934</v>
      </c>
      <c r="PHC92" s="60"/>
      <c r="PHR92" s="63" t="s">
        <v>934</v>
      </c>
      <c r="PHS92" s="60"/>
      <c r="PIH92" s="63" t="s">
        <v>934</v>
      </c>
      <c r="PII92" s="60"/>
      <c r="PIX92" s="63" t="s">
        <v>934</v>
      </c>
      <c r="PIY92" s="60"/>
      <c r="PJN92" s="63" t="s">
        <v>934</v>
      </c>
      <c r="PJO92" s="60"/>
      <c r="PKD92" s="63" t="s">
        <v>934</v>
      </c>
      <c r="PKE92" s="60"/>
      <c r="PKT92" s="63" t="s">
        <v>934</v>
      </c>
      <c r="PKU92" s="60"/>
      <c r="PLJ92" s="63" t="s">
        <v>934</v>
      </c>
      <c r="PLK92" s="60"/>
      <c r="PLZ92" s="63" t="s">
        <v>934</v>
      </c>
      <c r="PMA92" s="60"/>
      <c r="PMP92" s="63" t="s">
        <v>934</v>
      </c>
      <c r="PMQ92" s="60"/>
      <c r="PNF92" s="63" t="s">
        <v>934</v>
      </c>
      <c r="PNG92" s="60"/>
      <c r="PNV92" s="63" t="s">
        <v>934</v>
      </c>
      <c r="PNW92" s="60"/>
      <c r="POL92" s="63" t="s">
        <v>934</v>
      </c>
      <c r="POM92" s="60"/>
      <c r="PPB92" s="63" t="s">
        <v>934</v>
      </c>
      <c r="PPC92" s="60"/>
      <c r="PPR92" s="63" t="s">
        <v>934</v>
      </c>
      <c r="PPS92" s="60"/>
      <c r="PQH92" s="63" t="s">
        <v>934</v>
      </c>
      <c r="PQI92" s="60"/>
      <c r="PQX92" s="63" t="s">
        <v>934</v>
      </c>
      <c r="PQY92" s="60"/>
      <c r="PRN92" s="63" t="s">
        <v>934</v>
      </c>
      <c r="PRO92" s="60"/>
      <c r="PSD92" s="63" t="s">
        <v>934</v>
      </c>
      <c r="PSE92" s="60"/>
      <c r="PST92" s="63" t="s">
        <v>934</v>
      </c>
      <c r="PSU92" s="60"/>
      <c r="PTJ92" s="63" t="s">
        <v>934</v>
      </c>
      <c r="PTK92" s="60"/>
      <c r="PTZ92" s="63" t="s">
        <v>934</v>
      </c>
      <c r="PUA92" s="60"/>
      <c r="PUP92" s="63" t="s">
        <v>934</v>
      </c>
      <c r="PUQ92" s="60"/>
      <c r="PVF92" s="63" t="s">
        <v>934</v>
      </c>
      <c r="PVG92" s="60"/>
      <c r="PVV92" s="63" t="s">
        <v>934</v>
      </c>
      <c r="PVW92" s="60"/>
      <c r="PWL92" s="63" t="s">
        <v>934</v>
      </c>
      <c r="PWM92" s="60"/>
      <c r="PXB92" s="63" t="s">
        <v>934</v>
      </c>
      <c r="PXC92" s="60"/>
      <c r="PXR92" s="63" t="s">
        <v>934</v>
      </c>
      <c r="PXS92" s="60"/>
      <c r="PYH92" s="63" t="s">
        <v>934</v>
      </c>
      <c r="PYI92" s="60"/>
      <c r="PYX92" s="63" t="s">
        <v>934</v>
      </c>
      <c r="PYY92" s="60"/>
      <c r="PZN92" s="63" t="s">
        <v>934</v>
      </c>
      <c r="PZO92" s="60"/>
      <c r="QAD92" s="63" t="s">
        <v>934</v>
      </c>
      <c r="QAE92" s="60"/>
      <c r="QAT92" s="63" t="s">
        <v>934</v>
      </c>
      <c r="QAU92" s="60"/>
      <c r="QBJ92" s="63" t="s">
        <v>934</v>
      </c>
      <c r="QBK92" s="60"/>
      <c r="QBZ92" s="63" t="s">
        <v>934</v>
      </c>
      <c r="QCA92" s="60"/>
      <c r="QCP92" s="63" t="s">
        <v>934</v>
      </c>
      <c r="QCQ92" s="60"/>
      <c r="QDF92" s="63" t="s">
        <v>934</v>
      </c>
      <c r="QDG92" s="60"/>
      <c r="QDV92" s="63" t="s">
        <v>934</v>
      </c>
      <c r="QDW92" s="60"/>
      <c r="QEL92" s="63" t="s">
        <v>934</v>
      </c>
      <c r="QEM92" s="60"/>
      <c r="QFB92" s="63" t="s">
        <v>934</v>
      </c>
      <c r="QFC92" s="60"/>
      <c r="QFR92" s="63" t="s">
        <v>934</v>
      </c>
      <c r="QFS92" s="60"/>
      <c r="QGH92" s="63" t="s">
        <v>934</v>
      </c>
      <c r="QGI92" s="60"/>
      <c r="QGX92" s="63" t="s">
        <v>934</v>
      </c>
      <c r="QGY92" s="60"/>
      <c r="QHN92" s="63" t="s">
        <v>934</v>
      </c>
      <c r="QHO92" s="60"/>
      <c r="QID92" s="63" t="s">
        <v>934</v>
      </c>
      <c r="QIE92" s="60"/>
      <c r="QIT92" s="63" t="s">
        <v>934</v>
      </c>
      <c r="QIU92" s="60"/>
      <c r="QJJ92" s="63" t="s">
        <v>934</v>
      </c>
      <c r="QJK92" s="60"/>
      <c r="QJZ92" s="63" t="s">
        <v>934</v>
      </c>
      <c r="QKA92" s="60"/>
      <c r="QKP92" s="63" t="s">
        <v>934</v>
      </c>
      <c r="QKQ92" s="60"/>
      <c r="QLF92" s="63" t="s">
        <v>934</v>
      </c>
      <c r="QLG92" s="60"/>
      <c r="QLV92" s="63" t="s">
        <v>934</v>
      </c>
      <c r="QLW92" s="60"/>
      <c r="QML92" s="63" t="s">
        <v>934</v>
      </c>
      <c r="QMM92" s="60"/>
      <c r="QNB92" s="63" t="s">
        <v>934</v>
      </c>
      <c r="QNC92" s="60"/>
      <c r="QNR92" s="63" t="s">
        <v>934</v>
      </c>
      <c r="QNS92" s="60"/>
      <c r="QOH92" s="63" t="s">
        <v>934</v>
      </c>
      <c r="QOI92" s="60"/>
      <c r="QOX92" s="63" t="s">
        <v>934</v>
      </c>
      <c r="QOY92" s="60"/>
      <c r="QPN92" s="63" t="s">
        <v>934</v>
      </c>
      <c r="QPO92" s="60"/>
      <c r="QQD92" s="63" t="s">
        <v>934</v>
      </c>
      <c r="QQE92" s="60"/>
      <c r="QQT92" s="63" t="s">
        <v>934</v>
      </c>
      <c r="QQU92" s="60"/>
      <c r="QRJ92" s="63" t="s">
        <v>934</v>
      </c>
      <c r="QRK92" s="60"/>
      <c r="QRZ92" s="63" t="s">
        <v>934</v>
      </c>
      <c r="QSA92" s="60"/>
      <c r="QSP92" s="63" t="s">
        <v>934</v>
      </c>
      <c r="QSQ92" s="60"/>
      <c r="QTF92" s="63" t="s">
        <v>934</v>
      </c>
      <c r="QTG92" s="60"/>
      <c r="QTV92" s="63" t="s">
        <v>934</v>
      </c>
      <c r="QTW92" s="60"/>
      <c r="QUL92" s="63" t="s">
        <v>934</v>
      </c>
      <c r="QUM92" s="60"/>
      <c r="QVB92" s="63" t="s">
        <v>934</v>
      </c>
      <c r="QVC92" s="60"/>
      <c r="QVR92" s="63" t="s">
        <v>934</v>
      </c>
      <c r="QVS92" s="60"/>
      <c r="QWH92" s="63" t="s">
        <v>934</v>
      </c>
      <c r="QWI92" s="60"/>
      <c r="QWX92" s="63" t="s">
        <v>934</v>
      </c>
      <c r="QWY92" s="60"/>
      <c r="QXN92" s="63" t="s">
        <v>934</v>
      </c>
      <c r="QXO92" s="60"/>
      <c r="QYD92" s="63" t="s">
        <v>934</v>
      </c>
      <c r="QYE92" s="60"/>
      <c r="QYT92" s="63" t="s">
        <v>934</v>
      </c>
      <c r="QYU92" s="60"/>
      <c r="QZJ92" s="63" t="s">
        <v>934</v>
      </c>
      <c r="QZK92" s="60"/>
      <c r="QZZ92" s="63" t="s">
        <v>934</v>
      </c>
      <c r="RAA92" s="60"/>
      <c r="RAP92" s="63" t="s">
        <v>934</v>
      </c>
      <c r="RAQ92" s="60"/>
      <c r="RBF92" s="63" t="s">
        <v>934</v>
      </c>
      <c r="RBG92" s="60"/>
      <c r="RBV92" s="63" t="s">
        <v>934</v>
      </c>
      <c r="RBW92" s="60"/>
      <c r="RCL92" s="63" t="s">
        <v>934</v>
      </c>
      <c r="RCM92" s="60"/>
      <c r="RDB92" s="63" t="s">
        <v>934</v>
      </c>
      <c r="RDC92" s="60"/>
      <c r="RDR92" s="63" t="s">
        <v>934</v>
      </c>
      <c r="RDS92" s="60"/>
      <c r="REH92" s="63" t="s">
        <v>934</v>
      </c>
      <c r="REI92" s="60"/>
      <c r="REX92" s="63" t="s">
        <v>934</v>
      </c>
      <c r="REY92" s="60"/>
      <c r="RFN92" s="63" t="s">
        <v>934</v>
      </c>
      <c r="RFO92" s="60"/>
      <c r="RGD92" s="63" t="s">
        <v>934</v>
      </c>
      <c r="RGE92" s="60"/>
      <c r="RGT92" s="63" t="s">
        <v>934</v>
      </c>
      <c r="RGU92" s="60"/>
      <c r="RHJ92" s="63" t="s">
        <v>934</v>
      </c>
      <c r="RHK92" s="60"/>
      <c r="RHZ92" s="63" t="s">
        <v>934</v>
      </c>
      <c r="RIA92" s="60"/>
      <c r="RIP92" s="63" t="s">
        <v>934</v>
      </c>
      <c r="RIQ92" s="60"/>
      <c r="RJF92" s="63" t="s">
        <v>934</v>
      </c>
      <c r="RJG92" s="60"/>
      <c r="RJV92" s="63" t="s">
        <v>934</v>
      </c>
      <c r="RJW92" s="60"/>
      <c r="RKL92" s="63" t="s">
        <v>934</v>
      </c>
      <c r="RKM92" s="60"/>
      <c r="RLB92" s="63" t="s">
        <v>934</v>
      </c>
      <c r="RLC92" s="60"/>
      <c r="RLR92" s="63" t="s">
        <v>934</v>
      </c>
      <c r="RLS92" s="60"/>
      <c r="RMH92" s="63" t="s">
        <v>934</v>
      </c>
      <c r="RMI92" s="60"/>
      <c r="RMX92" s="63" t="s">
        <v>934</v>
      </c>
      <c r="RMY92" s="60"/>
      <c r="RNN92" s="63" t="s">
        <v>934</v>
      </c>
      <c r="RNO92" s="60"/>
      <c r="ROD92" s="63" t="s">
        <v>934</v>
      </c>
      <c r="ROE92" s="60"/>
      <c r="ROT92" s="63" t="s">
        <v>934</v>
      </c>
      <c r="ROU92" s="60"/>
      <c r="RPJ92" s="63" t="s">
        <v>934</v>
      </c>
      <c r="RPK92" s="60"/>
      <c r="RPZ92" s="63" t="s">
        <v>934</v>
      </c>
      <c r="RQA92" s="60"/>
      <c r="RQP92" s="63" t="s">
        <v>934</v>
      </c>
      <c r="RQQ92" s="60"/>
      <c r="RRF92" s="63" t="s">
        <v>934</v>
      </c>
      <c r="RRG92" s="60"/>
      <c r="RRV92" s="63" t="s">
        <v>934</v>
      </c>
      <c r="RRW92" s="60"/>
      <c r="RSL92" s="63" t="s">
        <v>934</v>
      </c>
      <c r="RSM92" s="60"/>
      <c r="RTB92" s="63" t="s">
        <v>934</v>
      </c>
      <c r="RTC92" s="60"/>
      <c r="RTR92" s="63" t="s">
        <v>934</v>
      </c>
      <c r="RTS92" s="60"/>
      <c r="RUH92" s="63" t="s">
        <v>934</v>
      </c>
      <c r="RUI92" s="60"/>
      <c r="RUX92" s="63" t="s">
        <v>934</v>
      </c>
      <c r="RUY92" s="60"/>
      <c r="RVN92" s="63" t="s">
        <v>934</v>
      </c>
      <c r="RVO92" s="60"/>
      <c r="RWD92" s="63" t="s">
        <v>934</v>
      </c>
      <c r="RWE92" s="60"/>
      <c r="RWT92" s="63" t="s">
        <v>934</v>
      </c>
      <c r="RWU92" s="60"/>
      <c r="RXJ92" s="63" t="s">
        <v>934</v>
      </c>
      <c r="RXK92" s="60"/>
      <c r="RXZ92" s="63" t="s">
        <v>934</v>
      </c>
      <c r="RYA92" s="60"/>
      <c r="RYP92" s="63" t="s">
        <v>934</v>
      </c>
      <c r="RYQ92" s="60"/>
      <c r="RZF92" s="63" t="s">
        <v>934</v>
      </c>
      <c r="RZG92" s="60"/>
      <c r="RZV92" s="63" t="s">
        <v>934</v>
      </c>
      <c r="RZW92" s="60"/>
      <c r="SAL92" s="63" t="s">
        <v>934</v>
      </c>
      <c r="SAM92" s="60"/>
      <c r="SBB92" s="63" t="s">
        <v>934</v>
      </c>
      <c r="SBC92" s="60"/>
      <c r="SBR92" s="63" t="s">
        <v>934</v>
      </c>
      <c r="SBS92" s="60"/>
      <c r="SCH92" s="63" t="s">
        <v>934</v>
      </c>
      <c r="SCI92" s="60"/>
      <c r="SCX92" s="63" t="s">
        <v>934</v>
      </c>
      <c r="SCY92" s="60"/>
      <c r="SDN92" s="63" t="s">
        <v>934</v>
      </c>
      <c r="SDO92" s="60"/>
      <c r="SED92" s="63" t="s">
        <v>934</v>
      </c>
      <c r="SEE92" s="60"/>
      <c r="SET92" s="63" t="s">
        <v>934</v>
      </c>
      <c r="SEU92" s="60"/>
      <c r="SFJ92" s="63" t="s">
        <v>934</v>
      </c>
      <c r="SFK92" s="60"/>
      <c r="SFZ92" s="63" t="s">
        <v>934</v>
      </c>
      <c r="SGA92" s="60"/>
      <c r="SGP92" s="63" t="s">
        <v>934</v>
      </c>
      <c r="SGQ92" s="60"/>
      <c r="SHF92" s="63" t="s">
        <v>934</v>
      </c>
      <c r="SHG92" s="60"/>
      <c r="SHV92" s="63" t="s">
        <v>934</v>
      </c>
      <c r="SHW92" s="60"/>
      <c r="SIL92" s="63" t="s">
        <v>934</v>
      </c>
      <c r="SIM92" s="60"/>
      <c r="SJB92" s="63" t="s">
        <v>934</v>
      </c>
      <c r="SJC92" s="60"/>
      <c r="SJR92" s="63" t="s">
        <v>934</v>
      </c>
      <c r="SJS92" s="60"/>
      <c r="SKH92" s="63" t="s">
        <v>934</v>
      </c>
      <c r="SKI92" s="60"/>
      <c r="SKX92" s="63" t="s">
        <v>934</v>
      </c>
      <c r="SKY92" s="60"/>
      <c r="SLN92" s="63" t="s">
        <v>934</v>
      </c>
      <c r="SLO92" s="60"/>
      <c r="SMD92" s="63" t="s">
        <v>934</v>
      </c>
      <c r="SME92" s="60"/>
      <c r="SMT92" s="63" t="s">
        <v>934</v>
      </c>
      <c r="SMU92" s="60"/>
      <c r="SNJ92" s="63" t="s">
        <v>934</v>
      </c>
      <c r="SNK92" s="60"/>
      <c r="SNZ92" s="63" t="s">
        <v>934</v>
      </c>
      <c r="SOA92" s="60"/>
      <c r="SOP92" s="63" t="s">
        <v>934</v>
      </c>
      <c r="SOQ92" s="60"/>
      <c r="SPF92" s="63" t="s">
        <v>934</v>
      </c>
      <c r="SPG92" s="60"/>
      <c r="SPV92" s="63" t="s">
        <v>934</v>
      </c>
      <c r="SPW92" s="60"/>
      <c r="SQL92" s="63" t="s">
        <v>934</v>
      </c>
      <c r="SQM92" s="60"/>
      <c r="SRB92" s="63" t="s">
        <v>934</v>
      </c>
      <c r="SRC92" s="60"/>
      <c r="SRR92" s="63" t="s">
        <v>934</v>
      </c>
      <c r="SRS92" s="60"/>
      <c r="SSH92" s="63" t="s">
        <v>934</v>
      </c>
      <c r="SSI92" s="60"/>
      <c r="SSX92" s="63" t="s">
        <v>934</v>
      </c>
      <c r="SSY92" s="60"/>
      <c r="STN92" s="63" t="s">
        <v>934</v>
      </c>
      <c r="STO92" s="60"/>
      <c r="SUD92" s="63" t="s">
        <v>934</v>
      </c>
      <c r="SUE92" s="60"/>
      <c r="SUT92" s="63" t="s">
        <v>934</v>
      </c>
      <c r="SUU92" s="60"/>
      <c r="SVJ92" s="63" t="s">
        <v>934</v>
      </c>
      <c r="SVK92" s="60"/>
      <c r="SVZ92" s="63" t="s">
        <v>934</v>
      </c>
      <c r="SWA92" s="60"/>
      <c r="SWP92" s="63" t="s">
        <v>934</v>
      </c>
      <c r="SWQ92" s="60"/>
      <c r="SXF92" s="63" t="s">
        <v>934</v>
      </c>
      <c r="SXG92" s="60"/>
      <c r="SXV92" s="63" t="s">
        <v>934</v>
      </c>
      <c r="SXW92" s="60"/>
      <c r="SYL92" s="63" t="s">
        <v>934</v>
      </c>
      <c r="SYM92" s="60"/>
      <c r="SZB92" s="63" t="s">
        <v>934</v>
      </c>
      <c r="SZC92" s="60"/>
      <c r="SZR92" s="63" t="s">
        <v>934</v>
      </c>
      <c r="SZS92" s="60"/>
      <c r="TAH92" s="63" t="s">
        <v>934</v>
      </c>
      <c r="TAI92" s="60"/>
      <c r="TAX92" s="63" t="s">
        <v>934</v>
      </c>
      <c r="TAY92" s="60"/>
      <c r="TBN92" s="63" t="s">
        <v>934</v>
      </c>
      <c r="TBO92" s="60"/>
      <c r="TCD92" s="63" t="s">
        <v>934</v>
      </c>
      <c r="TCE92" s="60"/>
      <c r="TCT92" s="63" t="s">
        <v>934</v>
      </c>
      <c r="TCU92" s="60"/>
      <c r="TDJ92" s="63" t="s">
        <v>934</v>
      </c>
      <c r="TDK92" s="60"/>
      <c r="TDZ92" s="63" t="s">
        <v>934</v>
      </c>
      <c r="TEA92" s="60"/>
      <c r="TEP92" s="63" t="s">
        <v>934</v>
      </c>
      <c r="TEQ92" s="60"/>
      <c r="TFF92" s="63" t="s">
        <v>934</v>
      </c>
      <c r="TFG92" s="60"/>
      <c r="TFV92" s="63" t="s">
        <v>934</v>
      </c>
      <c r="TFW92" s="60"/>
      <c r="TGL92" s="63" t="s">
        <v>934</v>
      </c>
      <c r="TGM92" s="60"/>
      <c r="THB92" s="63" t="s">
        <v>934</v>
      </c>
      <c r="THC92" s="60"/>
      <c r="THR92" s="63" t="s">
        <v>934</v>
      </c>
      <c r="THS92" s="60"/>
      <c r="TIH92" s="63" t="s">
        <v>934</v>
      </c>
      <c r="TII92" s="60"/>
      <c r="TIX92" s="63" t="s">
        <v>934</v>
      </c>
      <c r="TIY92" s="60"/>
      <c r="TJN92" s="63" t="s">
        <v>934</v>
      </c>
      <c r="TJO92" s="60"/>
      <c r="TKD92" s="63" t="s">
        <v>934</v>
      </c>
      <c r="TKE92" s="60"/>
      <c r="TKT92" s="63" t="s">
        <v>934</v>
      </c>
      <c r="TKU92" s="60"/>
      <c r="TLJ92" s="63" t="s">
        <v>934</v>
      </c>
      <c r="TLK92" s="60"/>
      <c r="TLZ92" s="63" t="s">
        <v>934</v>
      </c>
      <c r="TMA92" s="60"/>
      <c r="TMP92" s="63" t="s">
        <v>934</v>
      </c>
      <c r="TMQ92" s="60"/>
      <c r="TNF92" s="63" t="s">
        <v>934</v>
      </c>
      <c r="TNG92" s="60"/>
      <c r="TNV92" s="63" t="s">
        <v>934</v>
      </c>
      <c r="TNW92" s="60"/>
      <c r="TOL92" s="63" t="s">
        <v>934</v>
      </c>
      <c r="TOM92" s="60"/>
      <c r="TPB92" s="63" t="s">
        <v>934</v>
      </c>
      <c r="TPC92" s="60"/>
      <c r="TPR92" s="63" t="s">
        <v>934</v>
      </c>
      <c r="TPS92" s="60"/>
      <c r="TQH92" s="63" t="s">
        <v>934</v>
      </c>
      <c r="TQI92" s="60"/>
      <c r="TQX92" s="63" t="s">
        <v>934</v>
      </c>
      <c r="TQY92" s="60"/>
      <c r="TRN92" s="63" t="s">
        <v>934</v>
      </c>
      <c r="TRO92" s="60"/>
      <c r="TSD92" s="63" t="s">
        <v>934</v>
      </c>
      <c r="TSE92" s="60"/>
      <c r="TST92" s="63" t="s">
        <v>934</v>
      </c>
      <c r="TSU92" s="60"/>
      <c r="TTJ92" s="63" t="s">
        <v>934</v>
      </c>
      <c r="TTK92" s="60"/>
      <c r="TTZ92" s="63" t="s">
        <v>934</v>
      </c>
      <c r="TUA92" s="60"/>
      <c r="TUP92" s="63" t="s">
        <v>934</v>
      </c>
      <c r="TUQ92" s="60"/>
      <c r="TVF92" s="63" t="s">
        <v>934</v>
      </c>
      <c r="TVG92" s="60"/>
      <c r="TVV92" s="63" t="s">
        <v>934</v>
      </c>
      <c r="TVW92" s="60"/>
      <c r="TWL92" s="63" t="s">
        <v>934</v>
      </c>
      <c r="TWM92" s="60"/>
      <c r="TXB92" s="63" t="s">
        <v>934</v>
      </c>
      <c r="TXC92" s="60"/>
      <c r="TXR92" s="63" t="s">
        <v>934</v>
      </c>
      <c r="TXS92" s="60"/>
      <c r="TYH92" s="63" t="s">
        <v>934</v>
      </c>
      <c r="TYI92" s="60"/>
      <c r="TYX92" s="63" t="s">
        <v>934</v>
      </c>
      <c r="TYY92" s="60"/>
      <c r="TZN92" s="63" t="s">
        <v>934</v>
      </c>
      <c r="TZO92" s="60"/>
      <c r="UAD92" s="63" t="s">
        <v>934</v>
      </c>
      <c r="UAE92" s="60"/>
      <c r="UAT92" s="63" t="s">
        <v>934</v>
      </c>
      <c r="UAU92" s="60"/>
      <c r="UBJ92" s="63" t="s">
        <v>934</v>
      </c>
      <c r="UBK92" s="60"/>
      <c r="UBZ92" s="63" t="s">
        <v>934</v>
      </c>
      <c r="UCA92" s="60"/>
      <c r="UCP92" s="63" t="s">
        <v>934</v>
      </c>
      <c r="UCQ92" s="60"/>
      <c r="UDF92" s="63" t="s">
        <v>934</v>
      </c>
      <c r="UDG92" s="60"/>
      <c r="UDV92" s="63" t="s">
        <v>934</v>
      </c>
      <c r="UDW92" s="60"/>
      <c r="UEL92" s="63" t="s">
        <v>934</v>
      </c>
      <c r="UEM92" s="60"/>
      <c r="UFB92" s="63" t="s">
        <v>934</v>
      </c>
      <c r="UFC92" s="60"/>
      <c r="UFR92" s="63" t="s">
        <v>934</v>
      </c>
      <c r="UFS92" s="60"/>
      <c r="UGH92" s="63" t="s">
        <v>934</v>
      </c>
      <c r="UGI92" s="60"/>
      <c r="UGX92" s="63" t="s">
        <v>934</v>
      </c>
      <c r="UGY92" s="60"/>
      <c r="UHN92" s="63" t="s">
        <v>934</v>
      </c>
      <c r="UHO92" s="60"/>
      <c r="UID92" s="63" t="s">
        <v>934</v>
      </c>
      <c r="UIE92" s="60"/>
      <c r="UIT92" s="63" t="s">
        <v>934</v>
      </c>
      <c r="UIU92" s="60"/>
      <c r="UJJ92" s="63" t="s">
        <v>934</v>
      </c>
      <c r="UJK92" s="60"/>
      <c r="UJZ92" s="63" t="s">
        <v>934</v>
      </c>
      <c r="UKA92" s="60"/>
      <c r="UKP92" s="63" t="s">
        <v>934</v>
      </c>
      <c r="UKQ92" s="60"/>
      <c r="ULF92" s="63" t="s">
        <v>934</v>
      </c>
      <c r="ULG92" s="60"/>
      <c r="ULV92" s="63" t="s">
        <v>934</v>
      </c>
      <c r="ULW92" s="60"/>
      <c r="UML92" s="63" t="s">
        <v>934</v>
      </c>
      <c r="UMM92" s="60"/>
      <c r="UNB92" s="63" t="s">
        <v>934</v>
      </c>
      <c r="UNC92" s="60"/>
      <c r="UNR92" s="63" t="s">
        <v>934</v>
      </c>
      <c r="UNS92" s="60"/>
      <c r="UOH92" s="63" t="s">
        <v>934</v>
      </c>
      <c r="UOI92" s="60"/>
      <c r="UOX92" s="63" t="s">
        <v>934</v>
      </c>
      <c r="UOY92" s="60"/>
      <c r="UPN92" s="63" t="s">
        <v>934</v>
      </c>
      <c r="UPO92" s="60"/>
      <c r="UQD92" s="63" t="s">
        <v>934</v>
      </c>
      <c r="UQE92" s="60"/>
      <c r="UQT92" s="63" t="s">
        <v>934</v>
      </c>
      <c r="UQU92" s="60"/>
      <c r="URJ92" s="63" t="s">
        <v>934</v>
      </c>
      <c r="URK92" s="60"/>
      <c r="URZ92" s="63" t="s">
        <v>934</v>
      </c>
      <c r="USA92" s="60"/>
      <c r="USP92" s="63" t="s">
        <v>934</v>
      </c>
      <c r="USQ92" s="60"/>
      <c r="UTF92" s="63" t="s">
        <v>934</v>
      </c>
      <c r="UTG92" s="60"/>
      <c r="UTV92" s="63" t="s">
        <v>934</v>
      </c>
      <c r="UTW92" s="60"/>
      <c r="UUL92" s="63" t="s">
        <v>934</v>
      </c>
      <c r="UUM92" s="60"/>
      <c r="UVB92" s="63" t="s">
        <v>934</v>
      </c>
      <c r="UVC92" s="60"/>
      <c r="UVR92" s="63" t="s">
        <v>934</v>
      </c>
      <c r="UVS92" s="60"/>
      <c r="UWH92" s="63" t="s">
        <v>934</v>
      </c>
      <c r="UWI92" s="60"/>
      <c r="UWX92" s="63" t="s">
        <v>934</v>
      </c>
      <c r="UWY92" s="60"/>
      <c r="UXN92" s="63" t="s">
        <v>934</v>
      </c>
      <c r="UXO92" s="60"/>
      <c r="UYD92" s="63" t="s">
        <v>934</v>
      </c>
      <c r="UYE92" s="60"/>
      <c r="UYT92" s="63" t="s">
        <v>934</v>
      </c>
      <c r="UYU92" s="60"/>
      <c r="UZJ92" s="63" t="s">
        <v>934</v>
      </c>
      <c r="UZK92" s="60"/>
      <c r="UZZ92" s="63" t="s">
        <v>934</v>
      </c>
      <c r="VAA92" s="60"/>
      <c r="VAP92" s="63" t="s">
        <v>934</v>
      </c>
      <c r="VAQ92" s="60"/>
      <c r="VBF92" s="63" t="s">
        <v>934</v>
      </c>
      <c r="VBG92" s="60"/>
      <c r="VBV92" s="63" t="s">
        <v>934</v>
      </c>
      <c r="VBW92" s="60"/>
      <c r="VCL92" s="63" t="s">
        <v>934</v>
      </c>
      <c r="VCM92" s="60"/>
      <c r="VDB92" s="63" t="s">
        <v>934</v>
      </c>
      <c r="VDC92" s="60"/>
      <c r="VDR92" s="63" t="s">
        <v>934</v>
      </c>
      <c r="VDS92" s="60"/>
      <c r="VEH92" s="63" t="s">
        <v>934</v>
      </c>
      <c r="VEI92" s="60"/>
      <c r="VEX92" s="63" t="s">
        <v>934</v>
      </c>
      <c r="VEY92" s="60"/>
      <c r="VFN92" s="63" t="s">
        <v>934</v>
      </c>
      <c r="VFO92" s="60"/>
      <c r="VGD92" s="63" t="s">
        <v>934</v>
      </c>
      <c r="VGE92" s="60"/>
      <c r="VGT92" s="63" t="s">
        <v>934</v>
      </c>
      <c r="VGU92" s="60"/>
      <c r="VHJ92" s="63" t="s">
        <v>934</v>
      </c>
      <c r="VHK92" s="60"/>
      <c r="VHZ92" s="63" t="s">
        <v>934</v>
      </c>
      <c r="VIA92" s="60"/>
      <c r="VIP92" s="63" t="s">
        <v>934</v>
      </c>
      <c r="VIQ92" s="60"/>
      <c r="VJF92" s="63" t="s">
        <v>934</v>
      </c>
      <c r="VJG92" s="60"/>
      <c r="VJV92" s="63" t="s">
        <v>934</v>
      </c>
      <c r="VJW92" s="60"/>
      <c r="VKL92" s="63" t="s">
        <v>934</v>
      </c>
      <c r="VKM92" s="60"/>
      <c r="VLB92" s="63" t="s">
        <v>934</v>
      </c>
      <c r="VLC92" s="60"/>
      <c r="VLR92" s="63" t="s">
        <v>934</v>
      </c>
      <c r="VLS92" s="60"/>
      <c r="VMH92" s="63" t="s">
        <v>934</v>
      </c>
      <c r="VMI92" s="60"/>
      <c r="VMX92" s="63" t="s">
        <v>934</v>
      </c>
      <c r="VMY92" s="60"/>
      <c r="VNN92" s="63" t="s">
        <v>934</v>
      </c>
      <c r="VNO92" s="60"/>
      <c r="VOD92" s="63" t="s">
        <v>934</v>
      </c>
      <c r="VOE92" s="60"/>
      <c r="VOT92" s="63" t="s">
        <v>934</v>
      </c>
      <c r="VOU92" s="60"/>
      <c r="VPJ92" s="63" t="s">
        <v>934</v>
      </c>
      <c r="VPK92" s="60"/>
      <c r="VPZ92" s="63" t="s">
        <v>934</v>
      </c>
      <c r="VQA92" s="60"/>
      <c r="VQP92" s="63" t="s">
        <v>934</v>
      </c>
      <c r="VQQ92" s="60"/>
      <c r="VRF92" s="63" t="s">
        <v>934</v>
      </c>
      <c r="VRG92" s="60"/>
      <c r="VRV92" s="63" t="s">
        <v>934</v>
      </c>
      <c r="VRW92" s="60"/>
      <c r="VSL92" s="63" t="s">
        <v>934</v>
      </c>
      <c r="VSM92" s="60"/>
      <c r="VTB92" s="63" t="s">
        <v>934</v>
      </c>
      <c r="VTC92" s="60"/>
      <c r="VTR92" s="63" t="s">
        <v>934</v>
      </c>
      <c r="VTS92" s="60"/>
      <c r="VUH92" s="63" t="s">
        <v>934</v>
      </c>
      <c r="VUI92" s="60"/>
      <c r="VUX92" s="63" t="s">
        <v>934</v>
      </c>
      <c r="VUY92" s="60"/>
      <c r="VVN92" s="63" t="s">
        <v>934</v>
      </c>
      <c r="VVO92" s="60"/>
      <c r="VWD92" s="63" t="s">
        <v>934</v>
      </c>
      <c r="VWE92" s="60"/>
      <c r="VWT92" s="63" t="s">
        <v>934</v>
      </c>
      <c r="VWU92" s="60"/>
      <c r="VXJ92" s="63" t="s">
        <v>934</v>
      </c>
      <c r="VXK92" s="60"/>
      <c r="VXZ92" s="63" t="s">
        <v>934</v>
      </c>
      <c r="VYA92" s="60"/>
      <c r="VYP92" s="63" t="s">
        <v>934</v>
      </c>
      <c r="VYQ92" s="60"/>
      <c r="VZF92" s="63" t="s">
        <v>934</v>
      </c>
      <c r="VZG92" s="60"/>
      <c r="VZV92" s="63" t="s">
        <v>934</v>
      </c>
      <c r="VZW92" s="60"/>
      <c r="WAL92" s="63" t="s">
        <v>934</v>
      </c>
      <c r="WAM92" s="60"/>
      <c r="WBB92" s="63" t="s">
        <v>934</v>
      </c>
      <c r="WBC92" s="60"/>
      <c r="WBR92" s="63" t="s">
        <v>934</v>
      </c>
      <c r="WBS92" s="60"/>
      <c r="WCH92" s="63" t="s">
        <v>934</v>
      </c>
      <c r="WCI92" s="60"/>
      <c r="WCX92" s="63" t="s">
        <v>934</v>
      </c>
      <c r="WCY92" s="60"/>
      <c r="WDN92" s="63" t="s">
        <v>934</v>
      </c>
      <c r="WDO92" s="60"/>
      <c r="WED92" s="63" t="s">
        <v>934</v>
      </c>
      <c r="WEE92" s="60"/>
      <c r="WET92" s="63" t="s">
        <v>934</v>
      </c>
      <c r="WEU92" s="60"/>
      <c r="WFJ92" s="63" t="s">
        <v>934</v>
      </c>
      <c r="WFK92" s="60"/>
      <c r="WFZ92" s="63" t="s">
        <v>934</v>
      </c>
      <c r="WGA92" s="60"/>
      <c r="WGP92" s="63" t="s">
        <v>934</v>
      </c>
      <c r="WGQ92" s="60"/>
      <c r="WHF92" s="63" t="s">
        <v>934</v>
      </c>
      <c r="WHG92" s="60"/>
      <c r="WHV92" s="63" t="s">
        <v>934</v>
      </c>
      <c r="WHW92" s="60"/>
      <c r="WIL92" s="63" t="s">
        <v>934</v>
      </c>
      <c r="WIM92" s="60"/>
      <c r="WJB92" s="63" t="s">
        <v>934</v>
      </c>
      <c r="WJC92" s="60"/>
      <c r="WJR92" s="63" t="s">
        <v>934</v>
      </c>
      <c r="WJS92" s="60"/>
      <c r="WKH92" s="63" t="s">
        <v>934</v>
      </c>
      <c r="WKI92" s="60"/>
      <c r="WKX92" s="63" t="s">
        <v>934</v>
      </c>
      <c r="WKY92" s="60"/>
      <c r="WLN92" s="63" t="s">
        <v>934</v>
      </c>
      <c r="WLO92" s="60"/>
      <c r="WMD92" s="63" t="s">
        <v>934</v>
      </c>
      <c r="WME92" s="60"/>
      <c r="WMT92" s="63" t="s">
        <v>934</v>
      </c>
      <c r="WMU92" s="60"/>
      <c r="WNJ92" s="63" t="s">
        <v>934</v>
      </c>
      <c r="WNK92" s="60"/>
      <c r="WNZ92" s="63" t="s">
        <v>934</v>
      </c>
      <c r="WOA92" s="60"/>
      <c r="WOP92" s="63" t="s">
        <v>934</v>
      </c>
      <c r="WOQ92" s="60"/>
      <c r="WPF92" s="63" t="s">
        <v>934</v>
      </c>
      <c r="WPG92" s="60"/>
      <c r="WPV92" s="63" t="s">
        <v>934</v>
      </c>
      <c r="WPW92" s="60"/>
      <c r="WQL92" s="63" t="s">
        <v>934</v>
      </c>
      <c r="WQM92" s="60"/>
      <c r="WRB92" s="63" t="s">
        <v>934</v>
      </c>
      <c r="WRC92" s="60"/>
      <c r="WRR92" s="63" t="s">
        <v>934</v>
      </c>
      <c r="WRS92" s="60"/>
      <c r="WSH92" s="63" t="s">
        <v>934</v>
      </c>
      <c r="WSI92" s="60"/>
      <c r="WSX92" s="63" t="s">
        <v>934</v>
      </c>
      <c r="WSY92" s="60"/>
      <c r="WTN92" s="63" t="s">
        <v>934</v>
      </c>
      <c r="WTO92" s="60"/>
      <c r="WUD92" s="63" t="s">
        <v>934</v>
      </c>
      <c r="WUE92" s="60"/>
      <c r="WUT92" s="63" t="s">
        <v>934</v>
      </c>
      <c r="WUU92" s="60"/>
      <c r="WVJ92" s="63" t="s">
        <v>934</v>
      </c>
      <c r="WVK92" s="60"/>
      <c r="WVZ92" s="63" t="s">
        <v>934</v>
      </c>
      <c r="WWA92" s="60"/>
      <c r="WWP92" s="63" t="s">
        <v>934</v>
      </c>
      <c r="WWQ92" s="60"/>
      <c r="WXF92" s="63" t="s">
        <v>934</v>
      </c>
      <c r="WXG92" s="60"/>
      <c r="WXV92" s="63" t="s">
        <v>934</v>
      </c>
      <c r="WXW92" s="60"/>
      <c r="WYL92" s="63" t="s">
        <v>934</v>
      </c>
      <c r="WYM92" s="60"/>
      <c r="WZB92" s="63" t="s">
        <v>934</v>
      </c>
      <c r="WZC92" s="60"/>
      <c r="WZR92" s="63" t="s">
        <v>934</v>
      </c>
      <c r="WZS92" s="60"/>
      <c r="XAH92" s="63" t="s">
        <v>934</v>
      </c>
      <c r="XAI92" s="60"/>
      <c r="XAX92" s="63" t="s">
        <v>934</v>
      </c>
      <c r="XAY92" s="60"/>
      <c r="XBN92" s="63" t="s">
        <v>934</v>
      </c>
      <c r="XBO92" s="60"/>
      <c r="XCD92" s="63" t="s">
        <v>934</v>
      </c>
      <c r="XCE92" s="60"/>
      <c r="XCT92" s="63" t="s">
        <v>934</v>
      </c>
      <c r="XCU92" s="60"/>
      <c r="XDJ92" s="63" t="s">
        <v>934</v>
      </c>
      <c r="XDK92" s="60"/>
      <c r="XDZ92" s="63" t="s">
        <v>934</v>
      </c>
      <c r="XEA92" s="60"/>
      <c r="XEP92" s="63" t="s">
        <v>934</v>
      </c>
      <c r="XEQ92" s="60"/>
    </row>
    <row r="93" spans="2:1011 1026:2035 2050:3059 3074:4083 4098:5107 5122:6131 6146:7155 7170:8179 8194:9203 9218:10227 10242:11251 11266:12275 12290:13299 13314:14323 14338:15347 15362:16371" ht="14.25" x14ac:dyDescent="0.2">
      <c r="R93" s="63" t="s">
        <v>882</v>
      </c>
      <c r="S93" s="60"/>
      <c r="AH93" s="63" t="s">
        <v>882</v>
      </c>
      <c r="AI93" s="60"/>
      <c r="AX93" s="63" t="s">
        <v>882</v>
      </c>
      <c r="AY93" s="60"/>
      <c r="BN93" s="63" t="s">
        <v>882</v>
      </c>
      <c r="BO93" s="60"/>
      <c r="CD93" s="63" t="s">
        <v>882</v>
      </c>
      <c r="CE93" s="60"/>
      <c r="CT93" s="63" t="s">
        <v>882</v>
      </c>
      <c r="CU93" s="60"/>
      <c r="DJ93" s="63" t="s">
        <v>882</v>
      </c>
      <c r="DK93" s="60"/>
      <c r="DZ93" s="63" t="s">
        <v>882</v>
      </c>
      <c r="EA93" s="60"/>
      <c r="EP93" s="63" t="s">
        <v>882</v>
      </c>
      <c r="EQ93" s="60"/>
      <c r="FF93" s="63" t="s">
        <v>882</v>
      </c>
      <c r="FG93" s="60"/>
      <c r="FV93" s="63" t="s">
        <v>882</v>
      </c>
      <c r="FW93" s="60"/>
      <c r="GL93" s="63" t="s">
        <v>882</v>
      </c>
      <c r="GM93" s="60"/>
      <c r="HB93" s="63" t="s">
        <v>882</v>
      </c>
      <c r="HC93" s="60"/>
      <c r="HR93" s="63" t="s">
        <v>882</v>
      </c>
      <c r="HS93" s="60"/>
      <c r="IH93" s="63" t="s">
        <v>882</v>
      </c>
      <c r="II93" s="60"/>
      <c r="IX93" s="63" t="s">
        <v>882</v>
      </c>
      <c r="IY93" s="60"/>
      <c r="JN93" s="63" t="s">
        <v>882</v>
      </c>
      <c r="JO93" s="60"/>
      <c r="KD93" s="63" t="s">
        <v>882</v>
      </c>
      <c r="KE93" s="60"/>
      <c r="KT93" s="63" t="s">
        <v>882</v>
      </c>
      <c r="KU93" s="60"/>
      <c r="LJ93" s="63" t="s">
        <v>882</v>
      </c>
      <c r="LK93" s="60"/>
      <c r="LZ93" s="63" t="s">
        <v>882</v>
      </c>
      <c r="MA93" s="60"/>
      <c r="MP93" s="63" t="s">
        <v>882</v>
      </c>
      <c r="MQ93" s="60"/>
      <c r="NF93" s="63" t="s">
        <v>882</v>
      </c>
      <c r="NG93" s="60"/>
      <c r="NV93" s="63" t="s">
        <v>882</v>
      </c>
      <c r="NW93" s="60"/>
      <c r="OL93" s="63" t="s">
        <v>882</v>
      </c>
      <c r="OM93" s="60"/>
      <c r="PB93" s="63" t="s">
        <v>882</v>
      </c>
      <c r="PC93" s="60"/>
      <c r="PR93" s="63" t="s">
        <v>882</v>
      </c>
      <c r="PS93" s="60"/>
      <c r="QH93" s="63" t="s">
        <v>882</v>
      </c>
      <c r="QI93" s="60"/>
      <c r="QX93" s="63" t="s">
        <v>882</v>
      </c>
      <c r="QY93" s="60"/>
      <c r="RN93" s="63" t="s">
        <v>882</v>
      </c>
      <c r="RO93" s="60"/>
      <c r="SD93" s="63" t="s">
        <v>882</v>
      </c>
      <c r="SE93" s="60"/>
      <c r="ST93" s="63" t="s">
        <v>882</v>
      </c>
      <c r="SU93" s="60"/>
      <c r="TJ93" s="63" t="s">
        <v>882</v>
      </c>
      <c r="TK93" s="60"/>
      <c r="TZ93" s="63" t="s">
        <v>882</v>
      </c>
      <c r="UA93" s="60"/>
      <c r="UP93" s="63" t="s">
        <v>882</v>
      </c>
      <c r="UQ93" s="60"/>
      <c r="VF93" s="63" t="s">
        <v>882</v>
      </c>
      <c r="VG93" s="60"/>
      <c r="VV93" s="63" t="s">
        <v>882</v>
      </c>
      <c r="VW93" s="60"/>
      <c r="WL93" s="63" t="s">
        <v>882</v>
      </c>
      <c r="WM93" s="60"/>
      <c r="XB93" s="63" t="s">
        <v>882</v>
      </c>
      <c r="XC93" s="60"/>
      <c r="XR93" s="63" t="s">
        <v>882</v>
      </c>
      <c r="XS93" s="60"/>
      <c r="YH93" s="63" t="s">
        <v>882</v>
      </c>
      <c r="YI93" s="60"/>
      <c r="YX93" s="63" t="s">
        <v>882</v>
      </c>
      <c r="YY93" s="60"/>
      <c r="ZN93" s="63" t="s">
        <v>882</v>
      </c>
      <c r="ZO93" s="60"/>
      <c r="AAD93" s="63" t="s">
        <v>882</v>
      </c>
      <c r="AAE93" s="60"/>
      <c r="AAT93" s="63" t="s">
        <v>882</v>
      </c>
      <c r="AAU93" s="60"/>
      <c r="ABJ93" s="63" t="s">
        <v>882</v>
      </c>
      <c r="ABK93" s="60"/>
      <c r="ABZ93" s="63" t="s">
        <v>882</v>
      </c>
      <c r="ACA93" s="60"/>
      <c r="ACP93" s="63" t="s">
        <v>882</v>
      </c>
      <c r="ACQ93" s="60"/>
      <c r="ADF93" s="63" t="s">
        <v>882</v>
      </c>
      <c r="ADG93" s="60"/>
      <c r="ADV93" s="63" t="s">
        <v>882</v>
      </c>
      <c r="ADW93" s="60"/>
      <c r="AEL93" s="63" t="s">
        <v>882</v>
      </c>
      <c r="AEM93" s="60"/>
      <c r="AFB93" s="63" t="s">
        <v>882</v>
      </c>
      <c r="AFC93" s="60"/>
      <c r="AFR93" s="63" t="s">
        <v>882</v>
      </c>
      <c r="AFS93" s="60"/>
      <c r="AGH93" s="63" t="s">
        <v>882</v>
      </c>
      <c r="AGI93" s="60"/>
      <c r="AGX93" s="63" t="s">
        <v>882</v>
      </c>
      <c r="AGY93" s="60"/>
      <c r="AHN93" s="63" t="s">
        <v>882</v>
      </c>
      <c r="AHO93" s="60"/>
      <c r="AID93" s="63" t="s">
        <v>882</v>
      </c>
      <c r="AIE93" s="60"/>
      <c r="AIT93" s="63" t="s">
        <v>882</v>
      </c>
      <c r="AIU93" s="60"/>
      <c r="AJJ93" s="63" t="s">
        <v>882</v>
      </c>
      <c r="AJK93" s="60"/>
      <c r="AJZ93" s="63" t="s">
        <v>882</v>
      </c>
      <c r="AKA93" s="60"/>
      <c r="AKP93" s="63" t="s">
        <v>882</v>
      </c>
      <c r="AKQ93" s="60"/>
      <c r="ALF93" s="63" t="s">
        <v>882</v>
      </c>
      <c r="ALG93" s="60"/>
      <c r="ALV93" s="63" t="s">
        <v>882</v>
      </c>
      <c r="ALW93" s="60"/>
      <c r="AML93" s="63" t="s">
        <v>882</v>
      </c>
      <c r="AMM93" s="60"/>
      <c r="ANB93" s="63" t="s">
        <v>882</v>
      </c>
      <c r="ANC93" s="60"/>
      <c r="ANR93" s="63" t="s">
        <v>882</v>
      </c>
      <c r="ANS93" s="60"/>
      <c r="AOH93" s="63" t="s">
        <v>882</v>
      </c>
      <c r="AOI93" s="60"/>
      <c r="AOX93" s="63" t="s">
        <v>882</v>
      </c>
      <c r="AOY93" s="60"/>
      <c r="APN93" s="63" t="s">
        <v>882</v>
      </c>
      <c r="APO93" s="60"/>
      <c r="AQD93" s="63" t="s">
        <v>882</v>
      </c>
      <c r="AQE93" s="60"/>
      <c r="AQT93" s="63" t="s">
        <v>882</v>
      </c>
      <c r="AQU93" s="60"/>
      <c r="ARJ93" s="63" t="s">
        <v>882</v>
      </c>
      <c r="ARK93" s="60"/>
      <c r="ARZ93" s="63" t="s">
        <v>882</v>
      </c>
      <c r="ASA93" s="60"/>
      <c r="ASP93" s="63" t="s">
        <v>882</v>
      </c>
      <c r="ASQ93" s="60"/>
      <c r="ATF93" s="63" t="s">
        <v>882</v>
      </c>
      <c r="ATG93" s="60"/>
      <c r="ATV93" s="63" t="s">
        <v>882</v>
      </c>
      <c r="ATW93" s="60"/>
      <c r="AUL93" s="63" t="s">
        <v>882</v>
      </c>
      <c r="AUM93" s="60"/>
      <c r="AVB93" s="63" t="s">
        <v>882</v>
      </c>
      <c r="AVC93" s="60"/>
      <c r="AVR93" s="63" t="s">
        <v>882</v>
      </c>
      <c r="AVS93" s="60"/>
      <c r="AWH93" s="63" t="s">
        <v>882</v>
      </c>
      <c r="AWI93" s="60"/>
      <c r="AWX93" s="63" t="s">
        <v>882</v>
      </c>
      <c r="AWY93" s="60"/>
      <c r="AXN93" s="63" t="s">
        <v>882</v>
      </c>
      <c r="AXO93" s="60"/>
      <c r="AYD93" s="63" t="s">
        <v>882</v>
      </c>
      <c r="AYE93" s="60"/>
      <c r="AYT93" s="63" t="s">
        <v>882</v>
      </c>
      <c r="AYU93" s="60"/>
      <c r="AZJ93" s="63" t="s">
        <v>882</v>
      </c>
      <c r="AZK93" s="60"/>
      <c r="AZZ93" s="63" t="s">
        <v>882</v>
      </c>
      <c r="BAA93" s="60"/>
      <c r="BAP93" s="63" t="s">
        <v>882</v>
      </c>
      <c r="BAQ93" s="60"/>
      <c r="BBF93" s="63" t="s">
        <v>882</v>
      </c>
      <c r="BBG93" s="60"/>
      <c r="BBV93" s="63" t="s">
        <v>882</v>
      </c>
      <c r="BBW93" s="60"/>
      <c r="BCL93" s="63" t="s">
        <v>882</v>
      </c>
      <c r="BCM93" s="60"/>
      <c r="BDB93" s="63" t="s">
        <v>882</v>
      </c>
      <c r="BDC93" s="60"/>
      <c r="BDR93" s="63" t="s">
        <v>882</v>
      </c>
      <c r="BDS93" s="60"/>
      <c r="BEH93" s="63" t="s">
        <v>882</v>
      </c>
      <c r="BEI93" s="60"/>
      <c r="BEX93" s="63" t="s">
        <v>882</v>
      </c>
      <c r="BEY93" s="60"/>
      <c r="BFN93" s="63" t="s">
        <v>882</v>
      </c>
      <c r="BFO93" s="60"/>
      <c r="BGD93" s="63" t="s">
        <v>882</v>
      </c>
      <c r="BGE93" s="60"/>
      <c r="BGT93" s="63" t="s">
        <v>882</v>
      </c>
      <c r="BGU93" s="60"/>
      <c r="BHJ93" s="63" t="s">
        <v>882</v>
      </c>
      <c r="BHK93" s="60"/>
      <c r="BHZ93" s="63" t="s">
        <v>882</v>
      </c>
      <c r="BIA93" s="60"/>
      <c r="BIP93" s="63" t="s">
        <v>882</v>
      </c>
      <c r="BIQ93" s="60"/>
      <c r="BJF93" s="63" t="s">
        <v>882</v>
      </c>
      <c r="BJG93" s="60"/>
      <c r="BJV93" s="63" t="s">
        <v>882</v>
      </c>
      <c r="BJW93" s="60"/>
      <c r="BKL93" s="63" t="s">
        <v>882</v>
      </c>
      <c r="BKM93" s="60"/>
      <c r="BLB93" s="63" t="s">
        <v>882</v>
      </c>
      <c r="BLC93" s="60"/>
      <c r="BLR93" s="63" t="s">
        <v>882</v>
      </c>
      <c r="BLS93" s="60"/>
      <c r="BMH93" s="63" t="s">
        <v>882</v>
      </c>
      <c r="BMI93" s="60"/>
      <c r="BMX93" s="63" t="s">
        <v>882</v>
      </c>
      <c r="BMY93" s="60"/>
      <c r="BNN93" s="63" t="s">
        <v>882</v>
      </c>
      <c r="BNO93" s="60"/>
      <c r="BOD93" s="63" t="s">
        <v>882</v>
      </c>
      <c r="BOE93" s="60"/>
      <c r="BOT93" s="63" t="s">
        <v>882</v>
      </c>
      <c r="BOU93" s="60"/>
      <c r="BPJ93" s="63" t="s">
        <v>882</v>
      </c>
      <c r="BPK93" s="60"/>
      <c r="BPZ93" s="63" t="s">
        <v>882</v>
      </c>
      <c r="BQA93" s="60"/>
      <c r="BQP93" s="63" t="s">
        <v>882</v>
      </c>
      <c r="BQQ93" s="60"/>
      <c r="BRF93" s="63" t="s">
        <v>882</v>
      </c>
      <c r="BRG93" s="60"/>
      <c r="BRV93" s="63" t="s">
        <v>882</v>
      </c>
      <c r="BRW93" s="60"/>
      <c r="BSL93" s="63" t="s">
        <v>882</v>
      </c>
      <c r="BSM93" s="60"/>
      <c r="BTB93" s="63" t="s">
        <v>882</v>
      </c>
      <c r="BTC93" s="60"/>
      <c r="BTR93" s="63" t="s">
        <v>882</v>
      </c>
      <c r="BTS93" s="60"/>
      <c r="BUH93" s="63" t="s">
        <v>882</v>
      </c>
      <c r="BUI93" s="60"/>
      <c r="BUX93" s="63" t="s">
        <v>882</v>
      </c>
      <c r="BUY93" s="60"/>
      <c r="BVN93" s="63" t="s">
        <v>882</v>
      </c>
      <c r="BVO93" s="60"/>
      <c r="BWD93" s="63" t="s">
        <v>882</v>
      </c>
      <c r="BWE93" s="60"/>
      <c r="BWT93" s="63" t="s">
        <v>882</v>
      </c>
      <c r="BWU93" s="60"/>
      <c r="BXJ93" s="63" t="s">
        <v>882</v>
      </c>
      <c r="BXK93" s="60"/>
      <c r="BXZ93" s="63" t="s">
        <v>882</v>
      </c>
      <c r="BYA93" s="60"/>
      <c r="BYP93" s="63" t="s">
        <v>882</v>
      </c>
      <c r="BYQ93" s="60"/>
      <c r="BZF93" s="63" t="s">
        <v>882</v>
      </c>
      <c r="BZG93" s="60"/>
      <c r="BZV93" s="63" t="s">
        <v>882</v>
      </c>
      <c r="BZW93" s="60"/>
      <c r="CAL93" s="63" t="s">
        <v>882</v>
      </c>
      <c r="CAM93" s="60"/>
      <c r="CBB93" s="63" t="s">
        <v>882</v>
      </c>
      <c r="CBC93" s="60"/>
      <c r="CBR93" s="63" t="s">
        <v>882</v>
      </c>
      <c r="CBS93" s="60"/>
      <c r="CCH93" s="63" t="s">
        <v>882</v>
      </c>
      <c r="CCI93" s="60"/>
      <c r="CCX93" s="63" t="s">
        <v>882</v>
      </c>
      <c r="CCY93" s="60"/>
      <c r="CDN93" s="63" t="s">
        <v>882</v>
      </c>
      <c r="CDO93" s="60"/>
      <c r="CED93" s="63" t="s">
        <v>882</v>
      </c>
      <c r="CEE93" s="60"/>
      <c r="CET93" s="63" t="s">
        <v>882</v>
      </c>
      <c r="CEU93" s="60"/>
      <c r="CFJ93" s="63" t="s">
        <v>882</v>
      </c>
      <c r="CFK93" s="60"/>
      <c r="CFZ93" s="63" t="s">
        <v>882</v>
      </c>
      <c r="CGA93" s="60"/>
      <c r="CGP93" s="63" t="s">
        <v>882</v>
      </c>
      <c r="CGQ93" s="60"/>
      <c r="CHF93" s="63" t="s">
        <v>882</v>
      </c>
      <c r="CHG93" s="60"/>
      <c r="CHV93" s="63" t="s">
        <v>882</v>
      </c>
      <c r="CHW93" s="60"/>
      <c r="CIL93" s="63" t="s">
        <v>882</v>
      </c>
      <c r="CIM93" s="60"/>
      <c r="CJB93" s="63" t="s">
        <v>882</v>
      </c>
      <c r="CJC93" s="60"/>
      <c r="CJR93" s="63" t="s">
        <v>882</v>
      </c>
      <c r="CJS93" s="60"/>
      <c r="CKH93" s="63" t="s">
        <v>882</v>
      </c>
      <c r="CKI93" s="60"/>
      <c r="CKX93" s="63" t="s">
        <v>882</v>
      </c>
      <c r="CKY93" s="60"/>
      <c r="CLN93" s="63" t="s">
        <v>882</v>
      </c>
      <c r="CLO93" s="60"/>
      <c r="CMD93" s="63" t="s">
        <v>882</v>
      </c>
      <c r="CME93" s="60"/>
      <c r="CMT93" s="63" t="s">
        <v>882</v>
      </c>
      <c r="CMU93" s="60"/>
      <c r="CNJ93" s="63" t="s">
        <v>882</v>
      </c>
      <c r="CNK93" s="60"/>
      <c r="CNZ93" s="63" t="s">
        <v>882</v>
      </c>
      <c r="COA93" s="60"/>
      <c r="COP93" s="63" t="s">
        <v>882</v>
      </c>
      <c r="COQ93" s="60"/>
      <c r="CPF93" s="63" t="s">
        <v>882</v>
      </c>
      <c r="CPG93" s="60"/>
      <c r="CPV93" s="63" t="s">
        <v>882</v>
      </c>
      <c r="CPW93" s="60"/>
      <c r="CQL93" s="63" t="s">
        <v>882</v>
      </c>
      <c r="CQM93" s="60"/>
      <c r="CRB93" s="63" t="s">
        <v>882</v>
      </c>
      <c r="CRC93" s="60"/>
      <c r="CRR93" s="63" t="s">
        <v>882</v>
      </c>
      <c r="CRS93" s="60"/>
      <c r="CSH93" s="63" t="s">
        <v>882</v>
      </c>
      <c r="CSI93" s="60"/>
      <c r="CSX93" s="63" t="s">
        <v>882</v>
      </c>
      <c r="CSY93" s="60"/>
      <c r="CTN93" s="63" t="s">
        <v>882</v>
      </c>
      <c r="CTO93" s="60"/>
      <c r="CUD93" s="63" t="s">
        <v>882</v>
      </c>
      <c r="CUE93" s="60"/>
      <c r="CUT93" s="63" t="s">
        <v>882</v>
      </c>
      <c r="CUU93" s="60"/>
      <c r="CVJ93" s="63" t="s">
        <v>882</v>
      </c>
      <c r="CVK93" s="60"/>
      <c r="CVZ93" s="63" t="s">
        <v>882</v>
      </c>
      <c r="CWA93" s="60"/>
      <c r="CWP93" s="63" t="s">
        <v>882</v>
      </c>
      <c r="CWQ93" s="60"/>
      <c r="CXF93" s="63" t="s">
        <v>882</v>
      </c>
      <c r="CXG93" s="60"/>
      <c r="CXV93" s="63" t="s">
        <v>882</v>
      </c>
      <c r="CXW93" s="60"/>
      <c r="CYL93" s="63" t="s">
        <v>882</v>
      </c>
      <c r="CYM93" s="60"/>
      <c r="CZB93" s="63" t="s">
        <v>882</v>
      </c>
      <c r="CZC93" s="60"/>
      <c r="CZR93" s="63" t="s">
        <v>882</v>
      </c>
      <c r="CZS93" s="60"/>
      <c r="DAH93" s="63" t="s">
        <v>882</v>
      </c>
      <c r="DAI93" s="60"/>
      <c r="DAX93" s="63" t="s">
        <v>882</v>
      </c>
      <c r="DAY93" s="60"/>
      <c r="DBN93" s="63" t="s">
        <v>882</v>
      </c>
      <c r="DBO93" s="60"/>
      <c r="DCD93" s="63" t="s">
        <v>882</v>
      </c>
      <c r="DCE93" s="60"/>
      <c r="DCT93" s="63" t="s">
        <v>882</v>
      </c>
      <c r="DCU93" s="60"/>
      <c r="DDJ93" s="63" t="s">
        <v>882</v>
      </c>
      <c r="DDK93" s="60"/>
      <c r="DDZ93" s="63" t="s">
        <v>882</v>
      </c>
      <c r="DEA93" s="60"/>
      <c r="DEP93" s="63" t="s">
        <v>882</v>
      </c>
      <c r="DEQ93" s="60"/>
      <c r="DFF93" s="63" t="s">
        <v>882</v>
      </c>
      <c r="DFG93" s="60"/>
      <c r="DFV93" s="63" t="s">
        <v>882</v>
      </c>
      <c r="DFW93" s="60"/>
      <c r="DGL93" s="63" t="s">
        <v>882</v>
      </c>
      <c r="DGM93" s="60"/>
      <c r="DHB93" s="63" t="s">
        <v>882</v>
      </c>
      <c r="DHC93" s="60"/>
      <c r="DHR93" s="63" t="s">
        <v>882</v>
      </c>
      <c r="DHS93" s="60"/>
      <c r="DIH93" s="63" t="s">
        <v>882</v>
      </c>
      <c r="DII93" s="60"/>
      <c r="DIX93" s="63" t="s">
        <v>882</v>
      </c>
      <c r="DIY93" s="60"/>
      <c r="DJN93" s="63" t="s">
        <v>882</v>
      </c>
      <c r="DJO93" s="60"/>
      <c r="DKD93" s="63" t="s">
        <v>882</v>
      </c>
      <c r="DKE93" s="60"/>
      <c r="DKT93" s="63" t="s">
        <v>882</v>
      </c>
      <c r="DKU93" s="60"/>
      <c r="DLJ93" s="63" t="s">
        <v>882</v>
      </c>
      <c r="DLK93" s="60"/>
      <c r="DLZ93" s="63" t="s">
        <v>882</v>
      </c>
      <c r="DMA93" s="60"/>
      <c r="DMP93" s="63" t="s">
        <v>882</v>
      </c>
      <c r="DMQ93" s="60"/>
      <c r="DNF93" s="63" t="s">
        <v>882</v>
      </c>
      <c r="DNG93" s="60"/>
      <c r="DNV93" s="63" t="s">
        <v>882</v>
      </c>
      <c r="DNW93" s="60"/>
      <c r="DOL93" s="63" t="s">
        <v>882</v>
      </c>
      <c r="DOM93" s="60"/>
      <c r="DPB93" s="63" t="s">
        <v>882</v>
      </c>
      <c r="DPC93" s="60"/>
      <c r="DPR93" s="63" t="s">
        <v>882</v>
      </c>
      <c r="DPS93" s="60"/>
      <c r="DQH93" s="63" t="s">
        <v>882</v>
      </c>
      <c r="DQI93" s="60"/>
      <c r="DQX93" s="63" t="s">
        <v>882</v>
      </c>
      <c r="DQY93" s="60"/>
      <c r="DRN93" s="63" t="s">
        <v>882</v>
      </c>
      <c r="DRO93" s="60"/>
      <c r="DSD93" s="63" t="s">
        <v>882</v>
      </c>
      <c r="DSE93" s="60"/>
      <c r="DST93" s="63" t="s">
        <v>882</v>
      </c>
      <c r="DSU93" s="60"/>
      <c r="DTJ93" s="63" t="s">
        <v>882</v>
      </c>
      <c r="DTK93" s="60"/>
      <c r="DTZ93" s="63" t="s">
        <v>882</v>
      </c>
      <c r="DUA93" s="60"/>
      <c r="DUP93" s="63" t="s">
        <v>882</v>
      </c>
      <c r="DUQ93" s="60"/>
      <c r="DVF93" s="63" t="s">
        <v>882</v>
      </c>
      <c r="DVG93" s="60"/>
      <c r="DVV93" s="63" t="s">
        <v>882</v>
      </c>
      <c r="DVW93" s="60"/>
      <c r="DWL93" s="63" t="s">
        <v>882</v>
      </c>
      <c r="DWM93" s="60"/>
      <c r="DXB93" s="63" t="s">
        <v>882</v>
      </c>
      <c r="DXC93" s="60"/>
      <c r="DXR93" s="63" t="s">
        <v>882</v>
      </c>
      <c r="DXS93" s="60"/>
      <c r="DYH93" s="63" t="s">
        <v>882</v>
      </c>
      <c r="DYI93" s="60"/>
      <c r="DYX93" s="63" t="s">
        <v>882</v>
      </c>
      <c r="DYY93" s="60"/>
      <c r="DZN93" s="63" t="s">
        <v>882</v>
      </c>
      <c r="DZO93" s="60"/>
      <c r="EAD93" s="63" t="s">
        <v>882</v>
      </c>
      <c r="EAE93" s="60"/>
      <c r="EAT93" s="63" t="s">
        <v>882</v>
      </c>
      <c r="EAU93" s="60"/>
      <c r="EBJ93" s="63" t="s">
        <v>882</v>
      </c>
      <c r="EBK93" s="60"/>
      <c r="EBZ93" s="63" t="s">
        <v>882</v>
      </c>
      <c r="ECA93" s="60"/>
      <c r="ECP93" s="63" t="s">
        <v>882</v>
      </c>
      <c r="ECQ93" s="60"/>
      <c r="EDF93" s="63" t="s">
        <v>882</v>
      </c>
      <c r="EDG93" s="60"/>
      <c r="EDV93" s="63" t="s">
        <v>882</v>
      </c>
      <c r="EDW93" s="60"/>
      <c r="EEL93" s="63" t="s">
        <v>882</v>
      </c>
      <c r="EEM93" s="60"/>
      <c r="EFB93" s="63" t="s">
        <v>882</v>
      </c>
      <c r="EFC93" s="60"/>
      <c r="EFR93" s="63" t="s">
        <v>882</v>
      </c>
      <c r="EFS93" s="60"/>
      <c r="EGH93" s="63" t="s">
        <v>882</v>
      </c>
      <c r="EGI93" s="60"/>
      <c r="EGX93" s="63" t="s">
        <v>882</v>
      </c>
      <c r="EGY93" s="60"/>
      <c r="EHN93" s="63" t="s">
        <v>882</v>
      </c>
      <c r="EHO93" s="60"/>
      <c r="EID93" s="63" t="s">
        <v>882</v>
      </c>
      <c r="EIE93" s="60"/>
      <c r="EIT93" s="63" t="s">
        <v>882</v>
      </c>
      <c r="EIU93" s="60"/>
      <c r="EJJ93" s="63" t="s">
        <v>882</v>
      </c>
      <c r="EJK93" s="60"/>
      <c r="EJZ93" s="63" t="s">
        <v>882</v>
      </c>
      <c r="EKA93" s="60"/>
      <c r="EKP93" s="63" t="s">
        <v>882</v>
      </c>
      <c r="EKQ93" s="60"/>
      <c r="ELF93" s="63" t="s">
        <v>882</v>
      </c>
      <c r="ELG93" s="60"/>
      <c r="ELV93" s="63" t="s">
        <v>882</v>
      </c>
      <c r="ELW93" s="60"/>
      <c r="EML93" s="63" t="s">
        <v>882</v>
      </c>
      <c r="EMM93" s="60"/>
      <c r="ENB93" s="63" t="s">
        <v>882</v>
      </c>
      <c r="ENC93" s="60"/>
      <c r="ENR93" s="63" t="s">
        <v>882</v>
      </c>
      <c r="ENS93" s="60"/>
      <c r="EOH93" s="63" t="s">
        <v>882</v>
      </c>
      <c r="EOI93" s="60"/>
      <c r="EOX93" s="63" t="s">
        <v>882</v>
      </c>
      <c r="EOY93" s="60"/>
      <c r="EPN93" s="63" t="s">
        <v>882</v>
      </c>
      <c r="EPO93" s="60"/>
      <c r="EQD93" s="63" t="s">
        <v>882</v>
      </c>
      <c r="EQE93" s="60"/>
      <c r="EQT93" s="63" t="s">
        <v>882</v>
      </c>
      <c r="EQU93" s="60"/>
      <c r="ERJ93" s="63" t="s">
        <v>882</v>
      </c>
      <c r="ERK93" s="60"/>
      <c r="ERZ93" s="63" t="s">
        <v>882</v>
      </c>
      <c r="ESA93" s="60"/>
      <c r="ESP93" s="63" t="s">
        <v>882</v>
      </c>
      <c r="ESQ93" s="60"/>
      <c r="ETF93" s="63" t="s">
        <v>882</v>
      </c>
      <c r="ETG93" s="60"/>
      <c r="ETV93" s="63" t="s">
        <v>882</v>
      </c>
      <c r="ETW93" s="60"/>
      <c r="EUL93" s="63" t="s">
        <v>882</v>
      </c>
      <c r="EUM93" s="60"/>
      <c r="EVB93" s="63" t="s">
        <v>882</v>
      </c>
      <c r="EVC93" s="60"/>
      <c r="EVR93" s="63" t="s">
        <v>882</v>
      </c>
      <c r="EVS93" s="60"/>
      <c r="EWH93" s="63" t="s">
        <v>882</v>
      </c>
      <c r="EWI93" s="60"/>
      <c r="EWX93" s="63" t="s">
        <v>882</v>
      </c>
      <c r="EWY93" s="60"/>
      <c r="EXN93" s="63" t="s">
        <v>882</v>
      </c>
      <c r="EXO93" s="60"/>
      <c r="EYD93" s="63" t="s">
        <v>882</v>
      </c>
      <c r="EYE93" s="60"/>
      <c r="EYT93" s="63" t="s">
        <v>882</v>
      </c>
      <c r="EYU93" s="60"/>
      <c r="EZJ93" s="63" t="s">
        <v>882</v>
      </c>
      <c r="EZK93" s="60"/>
      <c r="EZZ93" s="63" t="s">
        <v>882</v>
      </c>
      <c r="FAA93" s="60"/>
      <c r="FAP93" s="63" t="s">
        <v>882</v>
      </c>
      <c r="FAQ93" s="60"/>
      <c r="FBF93" s="63" t="s">
        <v>882</v>
      </c>
      <c r="FBG93" s="60"/>
      <c r="FBV93" s="63" t="s">
        <v>882</v>
      </c>
      <c r="FBW93" s="60"/>
      <c r="FCL93" s="63" t="s">
        <v>882</v>
      </c>
      <c r="FCM93" s="60"/>
      <c r="FDB93" s="63" t="s">
        <v>882</v>
      </c>
      <c r="FDC93" s="60"/>
      <c r="FDR93" s="63" t="s">
        <v>882</v>
      </c>
      <c r="FDS93" s="60"/>
      <c r="FEH93" s="63" t="s">
        <v>882</v>
      </c>
      <c r="FEI93" s="60"/>
      <c r="FEX93" s="63" t="s">
        <v>882</v>
      </c>
      <c r="FEY93" s="60"/>
      <c r="FFN93" s="63" t="s">
        <v>882</v>
      </c>
      <c r="FFO93" s="60"/>
      <c r="FGD93" s="63" t="s">
        <v>882</v>
      </c>
      <c r="FGE93" s="60"/>
      <c r="FGT93" s="63" t="s">
        <v>882</v>
      </c>
      <c r="FGU93" s="60"/>
      <c r="FHJ93" s="63" t="s">
        <v>882</v>
      </c>
      <c r="FHK93" s="60"/>
      <c r="FHZ93" s="63" t="s">
        <v>882</v>
      </c>
      <c r="FIA93" s="60"/>
      <c r="FIP93" s="63" t="s">
        <v>882</v>
      </c>
      <c r="FIQ93" s="60"/>
      <c r="FJF93" s="63" t="s">
        <v>882</v>
      </c>
      <c r="FJG93" s="60"/>
      <c r="FJV93" s="63" t="s">
        <v>882</v>
      </c>
      <c r="FJW93" s="60"/>
      <c r="FKL93" s="63" t="s">
        <v>882</v>
      </c>
      <c r="FKM93" s="60"/>
      <c r="FLB93" s="63" t="s">
        <v>882</v>
      </c>
      <c r="FLC93" s="60"/>
      <c r="FLR93" s="63" t="s">
        <v>882</v>
      </c>
      <c r="FLS93" s="60"/>
      <c r="FMH93" s="63" t="s">
        <v>882</v>
      </c>
      <c r="FMI93" s="60"/>
      <c r="FMX93" s="63" t="s">
        <v>882</v>
      </c>
      <c r="FMY93" s="60"/>
      <c r="FNN93" s="63" t="s">
        <v>882</v>
      </c>
      <c r="FNO93" s="60"/>
      <c r="FOD93" s="63" t="s">
        <v>882</v>
      </c>
      <c r="FOE93" s="60"/>
      <c r="FOT93" s="63" t="s">
        <v>882</v>
      </c>
      <c r="FOU93" s="60"/>
      <c r="FPJ93" s="63" t="s">
        <v>882</v>
      </c>
      <c r="FPK93" s="60"/>
      <c r="FPZ93" s="63" t="s">
        <v>882</v>
      </c>
      <c r="FQA93" s="60"/>
      <c r="FQP93" s="63" t="s">
        <v>882</v>
      </c>
      <c r="FQQ93" s="60"/>
      <c r="FRF93" s="63" t="s">
        <v>882</v>
      </c>
      <c r="FRG93" s="60"/>
      <c r="FRV93" s="63" t="s">
        <v>882</v>
      </c>
      <c r="FRW93" s="60"/>
      <c r="FSL93" s="63" t="s">
        <v>882</v>
      </c>
      <c r="FSM93" s="60"/>
      <c r="FTB93" s="63" t="s">
        <v>882</v>
      </c>
      <c r="FTC93" s="60"/>
      <c r="FTR93" s="63" t="s">
        <v>882</v>
      </c>
      <c r="FTS93" s="60"/>
      <c r="FUH93" s="63" t="s">
        <v>882</v>
      </c>
      <c r="FUI93" s="60"/>
      <c r="FUX93" s="63" t="s">
        <v>882</v>
      </c>
      <c r="FUY93" s="60"/>
      <c r="FVN93" s="63" t="s">
        <v>882</v>
      </c>
      <c r="FVO93" s="60"/>
      <c r="FWD93" s="63" t="s">
        <v>882</v>
      </c>
      <c r="FWE93" s="60"/>
      <c r="FWT93" s="63" t="s">
        <v>882</v>
      </c>
      <c r="FWU93" s="60"/>
      <c r="FXJ93" s="63" t="s">
        <v>882</v>
      </c>
      <c r="FXK93" s="60"/>
      <c r="FXZ93" s="63" t="s">
        <v>882</v>
      </c>
      <c r="FYA93" s="60"/>
      <c r="FYP93" s="63" t="s">
        <v>882</v>
      </c>
      <c r="FYQ93" s="60"/>
      <c r="FZF93" s="63" t="s">
        <v>882</v>
      </c>
      <c r="FZG93" s="60"/>
      <c r="FZV93" s="63" t="s">
        <v>882</v>
      </c>
      <c r="FZW93" s="60"/>
      <c r="GAL93" s="63" t="s">
        <v>882</v>
      </c>
      <c r="GAM93" s="60"/>
      <c r="GBB93" s="63" t="s">
        <v>882</v>
      </c>
      <c r="GBC93" s="60"/>
      <c r="GBR93" s="63" t="s">
        <v>882</v>
      </c>
      <c r="GBS93" s="60"/>
      <c r="GCH93" s="63" t="s">
        <v>882</v>
      </c>
      <c r="GCI93" s="60"/>
      <c r="GCX93" s="63" t="s">
        <v>882</v>
      </c>
      <c r="GCY93" s="60"/>
      <c r="GDN93" s="63" t="s">
        <v>882</v>
      </c>
      <c r="GDO93" s="60"/>
      <c r="GED93" s="63" t="s">
        <v>882</v>
      </c>
      <c r="GEE93" s="60"/>
      <c r="GET93" s="63" t="s">
        <v>882</v>
      </c>
      <c r="GEU93" s="60"/>
      <c r="GFJ93" s="63" t="s">
        <v>882</v>
      </c>
      <c r="GFK93" s="60"/>
      <c r="GFZ93" s="63" t="s">
        <v>882</v>
      </c>
      <c r="GGA93" s="60"/>
      <c r="GGP93" s="63" t="s">
        <v>882</v>
      </c>
      <c r="GGQ93" s="60"/>
      <c r="GHF93" s="63" t="s">
        <v>882</v>
      </c>
      <c r="GHG93" s="60"/>
      <c r="GHV93" s="63" t="s">
        <v>882</v>
      </c>
      <c r="GHW93" s="60"/>
      <c r="GIL93" s="63" t="s">
        <v>882</v>
      </c>
      <c r="GIM93" s="60"/>
      <c r="GJB93" s="63" t="s">
        <v>882</v>
      </c>
      <c r="GJC93" s="60"/>
      <c r="GJR93" s="63" t="s">
        <v>882</v>
      </c>
      <c r="GJS93" s="60"/>
      <c r="GKH93" s="63" t="s">
        <v>882</v>
      </c>
      <c r="GKI93" s="60"/>
      <c r="GKX93" s="63" t="s">
        <v>882</v>
      </c>
      <c r="GKY93" s="60"/>
      <c r="GLN93" s="63" t="s">
        <v>882</v>
      </c>
      <c r="GLO93" s="60"/>
      <c r="GMD93" s="63" t="s">
        <v>882</v>
      </c>
      <c r="GME93" s="60"/>
      <c r="GMT93" s="63" t="s">
        <v>882</v>
      </c>
      <c r="GMU93" s="60"/>
      <c r="GNJ93" s="63" t="s">
        <v>882</v>
      </c>
      <c r="GNK93" s="60"/>
      <c r="GNZ93" s="63" t="s">
        <v>882</v>
      </c>
      <c r="GOA93" s="60"/>
      <c r="GOP93" s="63" t="s">
        <v>882</v>
      </c>
      <c r="GOQ93" s="60"/>
      <c r="GPF93" s="63" t="s">
        <v>882</v>
      </c>
      <c r="GPG93" s="60"/>
      <c r="GPV93" s="63" t="s">
        <v>882</v>
      </c>
      <c r="GPW93" s="60"/>
      <c r="GQL93" s="63" t="s">
        <v>882</v>
      </c>
      <c r="GQM93" s="60"/>
      <c r="GRB93" s="63" t="s">
        <v>882</v>
      </c>
      <c r="GRC93" s="60"/>
      <c r="GRR93" s="63" t="s">
        <v>882</v>
      </c>
      <c r="GRS93" s="60"/>
      <c r="GSH93" s="63" t="s">
        <v>882</v>
      </c>
      <c r="GSI93" s="60"/>
      <c r="GSX93" s="63" t="s">
        <v>882</v>
      </c>
      <c r="GSY93" s="60"/>
      <c r="GTN93" s="63" t="s">
        <v>882</v>
      </c>
      <c r="GTO93" s="60"/>
      <c r="GUD93" s="63" t="s">
        <v>882</v>
      </c>
      <c r="GUE93" s="60"/>
      <c r="GUT93" s="63" t="s">
        <v>882</v>
      </c>
      <c r="GUU93" s="60"/>
      <c r="GVJ93" s="63" t="s">
        <v>882</v>
      </c>
      <c r="GVK93" s="60"/>
      <c r="GVZ93" s="63" t="s">
        <v>882</v>
      </c>
      <c r="GWA93" s="60"/>
      <c r="GWP93" s="63" t="s">
        <v>882</v>
      </c>
      <c r="GWQ93" s="60"/>
      <c r="GXF93" s="63" t="s">
        <v>882</v>
      </c>
      <c r="GXG93" s="60"/>
      <c r="GXV93" s="63" t="s">
        <v>882</v>
      </c>
      <c r="GXW93" s="60"/>
      <c r="GYL93" s="63" t="s">
        <v>882</v>
      </c>
      <c r="GYM93" s="60"/>
      <c r="GZB93" s="63" t="s">
        <v>882</v>
      </c>
      <c r="GZC93" s="60"/>
      <c r="GZR93" s="63" t="s">
        <v>882</v>
      </c>
      <c r="GZS93" s="60"/>
      <c r="HAH93" s="63" t="s">
        <v>882</v>
      </c>
      <c r="HAI93" s="60"/>
      <c r="HAX93" s="63" t="s">
        <v>882</v>
      </c>
      <c r="HAY93" s="60"/>
      <c r="HBN93" s="63" t="s">
        <v>882</v>
      </c>
      <c r="HBO93" s="60"/>
      <c r="HCD93" s="63" t="s">
        <v>882</v>
      </c>
      <c r="HCE93" s="60"/>
      <c r="HCT93" s="63" t="s">
        <v>882</v>
      </c>
      <c r="HCU93" s="60"/>
      <c r="HDJ93" s="63" t="s">
        <v>882</v>
      </c>
      <c r="HDK93" s="60"/>
      <c r="HDZ93" s="63" t="s">
        <v>882</v>
      </c>
      <c r="HEA93" s="60"/>
      <c r="HEP93" s="63" t="s">
        <v>882</v>
      </c>
      <c r="HEQ93" s="60"/>
      <c r="HFF93" s="63" t="s">
        <v>882</v>
      </c>
      <c r="HFG93" s="60"/>
      <c r="HFV93" s="63" t="s">
        <v>882</v>
      </c>
      <c r="HFW93" s="60"/>
      <c r="HGL93" s="63" t="s">
        <v>882</v>
      </c>
      <c r="HGM93" s="60"/>
      <c r="HHB93" s="63" t="s">
        <v>882</v>
      </c>
      <c r="HHC93" s="60"/>
      <c r="HHR93" s="63" t="s">
        <v>882</v>
      </c>
      <c r="HHS93" s="60"/>
      <c r="HIH93" s="63" t="s">
        <v>882</v>
      </c>
      <c r="HII93" s="60"/>
      <c r="HIX93" s="63" t="s">
        <v>882</v>
      </c>
      <c r="HIY93" s="60"/>
      <c r="HJN93" s="63" t="s">
        <v>882</v>
      </c>
      <c r="HJO93" s="60"/>
      <c r="HKD93" s="63" t="s">
        <v>882</v>
      </c>
      <c r="HKE93" s="60"/>
      <c r="HKT93" s="63" t="s">
        <v>882</v>
      </c>
      <c r="HKU93" s="60"/>
      <c r="HLJ93" s="63" t="s">
        <v>882</v>
      </c>
      <c r="HLK93" s="60"/>
      <c r="HLZ93" s="63" t="s">
        <v>882</v>
      </c>
      <c r="HMA93" s="60"/>
      <c r="HMP93" s="63" t="s">
        <v>882</v>
      </c>
      <c r="HMQ93" s="60"/>
      <c r="HNF93" s="63" t="s">
        <v>882</v>
      </c>
      <c r="HNG93" s="60"/>
      <c r="HNV93" s="63" t="s">
        <v>882</v>
      </c>
      <c r="HNW93" s="60"/>
      <c r="HOL93" s="63" t="s">
        <v>882</v>
      </c>
      <c r="HOM93" s="60"/>
      <c r="HPB93" s="63" t="s">
        <v>882</v>
      </c>
      <c r="HPC93" s="60"/>
      <c r="HPR93" s="63" t="s">
        <v>882</v>
      </c>
      <c r="HPS93" s="60"/>
      <c r="HQH93" s="63" t="s">
        <v>882</v>
      </c>
      <c r="HQI93" s="60"/>
      <c r="HQX93" s="63" t="s">
        <v>882</v>
      </c>
      <c r="HQY93" s="60"/>
      <c r="HRN93" s="63" t="s">
        <v>882</v>
      </c>
      <c r="HRO93" s="60"/>
      <c r="HSD93" s="63" t="s">
        <v>882</v>
      </c>
      <c r="HSE93" s="60"/>
      <c r="HST93" s="63" t="s">
        <v>882</v>
      </c>
      <c r="HSU93" s="60"/>
      <c r="HTJ93" s="63" t="s">
        <v>882</v>
      </c>
      <c r="HTK93" s="60"/>
      <c r="HTZ93" s="63" t="s">
        <v>882</v>
      </c>
      <c r="HUA93" s="60"/>
      <c r="HUP93" s="63" t="s">
        <v>882</v>
      </c>
      <c r="HUQ93" s="60"/>
      <c r="HVF93" s="63" t="s">
        <v>882</v>
      </c>
      <c r="HVG93" s="60"/>
      <c r="HVV93" s="63" t="s">
        <v>882</v>
      </c>
      <c r="HVW93" s="60"/>
      <c r="HWL93" s="63" t="s">
        <v>882</v>
      </c>
      <c r="HWM93" s="60"/>
      <c r="HXB93" s="63" t="s">
        <v>882</v>
      </c>
      <c r="HXC93" s="60"/>
      <c r="HXR93" s="63" t="s">
        <v>882</v>
      </c>
      <c r="HXS93" s="60"/>
      <c r="HYH93" s="63" t="s">
        <v>882</v>
      </c>
      <c r="HYI93" s="60"/>
      <c r="HYX93" s="63" t="s">
        <v>882</v>
      </c>
      <c r="HYY93" s="60"/>
      <c r="HZN93" s="63" t="s">
        <v>882</v>
      </c>
      <c r="HZO93" s="60"/>
      <c r="IAD93" s="63" t="s">
        <v>882</v>
      </c>
      <c r="IAE93" s="60"/>
      <c r="IAT93" s="63" t="s">
        <v>882</v>
      </c>
      <c r="IAU93" s="60"/>
      <c r="IBJ93" s="63" t="s">
        <v>882</v>
      </c>
      <c r="IBK93" s="60"/>
      <c r="IBZ93" s="63" t="s">
        <v>882</v>
      </c>
      <c r="ICA93" s="60"/>
      <c r="ICP93" s="63" t="s">
        <v>882</v>
      </c>
      <c r="ICQ93" s="60"/>
      <c r="IDF93" s="63" t="s">
        <v>882</v>
      </c>
      <c r="IDG93" s="60"/>
      <c r="IDV93" s="63" t="s">
        <v>882</v>
      </c>
      <c r="IDW93" s="60"/>
      <c r="IEL93" s="63" t="s">
        <v>882</v>
      </c>
      <c r="IEM93" s="60"/>
      <c r="IFB93" s="63" t="s">
        <v>882</v>
      </c>
      <c r="IFC93" s="60"/>
      <c r="IFR93" s="63" t="s">
        <v>882</v>
      </c>
      <c r="IFS93" s="60"/>
      <c r="IGH93" s="63" t="s">
        <v>882</v>
      </c>
      <c r="IGI93" s="60"/>
      <c r="IGX93" s="63" t="s">
        <v>882</v>
      </c>
      <c r="IGY93" s="60"/>
      <c r="IHN93" s="63" t="s">
        <v>882</v>
      </c>
      <c r="IHO93" s="60"/>
      <c r="IID93" s="63" t="s">
        <v>882</v>
      </c>
      <c r="IIE93" s="60"/>
      <c r="IIT93" s="63" t="s">
        <v>882</v>
      </c>
      <c r="IIU93" s="60"/>
      <c r="IJJ93" s="63" t="s">
        <v>882</v>
      </c>
      <c r="IJK93" s="60"/>
      <c r="IJZ93" s="63" t="s">
        <v>882</v>
      </c>
      <c r="IKA93" s="60"/>
      <c r="IKP93" s="63" t="s">
        <v>882</v>
      </c>
      <c r="IKQ93" s="60"/>
      <c r="ILF93" s="63" t="s">
        <v>882</v>
      </c>
      <c r="ILG93" s="60"/>
      <c r="ILV93" s="63" t="s">
        <v>882</v>
      </c>
      <c r="ILW93" s="60"/>
      <c r="IML93" s="63" t="s">
        <v>882</v>
      </c>
      <c r="IMM93" s="60"/>
      <c r="INB93" s="63" t="s">
        <v>882</v>
      </c>
      <c r="INC93" s="60"/>
      <c r="INR93" s="63" t="s">
        <v>882</v>
      </c>
      <c r="INS93" s="60"/>
      <c r="IOH93" s="63" t="s">
        <v>882</v>
      </c>
      <c r="IOI93" s="60"/>
      <c r="IOX93" s="63" t="s">
        <v>882</v>
      </c>
      <c r="IOY93" s="60"/>
      <c r="IPN93" s="63" t="s">
        <v>882</v>
      </c>
      <c r="IPO93" s="60"/>
      <c r="IQD93" s="63" t="s">
        <v>882</v>
      </c>
      <c r="IQE93" s="60"/>
      <c r="IQT93" s="63" t="s">
        <v>882</v>
      </c>
      <c r="IQU93" s="60"/>
      <c r="IRJ93" s="63" t="s">
        <v>882</v>
      </c>
      <c r="IRK93" s="60"/>
      <c r="IRZ93" s="63" t="s">
        <v>882</v>
      </c>
      <c r="ISA93" s="60"/>
      <c r="ISP93" s="63" t="s">
        <v>882</v>
      </c>
      <c r="ISQ93" s="60"/>
      <c r="ITF93" s="63" t="s">
        <v>882</v>
      </c>
      <c r="ITG93" s="60"/>
      <c r="ITV93" s="63" t="s">
        <v>882</v>
      </c>
      <c r="ITW93" s="60"/>
      <c r="IUL93" s="63" t="s">
        <v>882</v>
      </c>
      <c r="IUM93" s="60"/>
      <c r="IVB93" s="63" t="s">
        <v>882</v>
      </c>
      <c r="IVC93" s="60"/>
      <c r="IVR93" s="63" t="s">
        <v>882</v>
      </c>
      <c r="IVS93" s="60"/>
      <c r="IWH93" s="63" t="s">
        <v>882</v>
      </c>
      <c r="IWI93" s="60"/>
      <c r="IWX93" s="63" t="s">
        <v>882</v>
      </c>
      <c r="IWY93" s="60"/>
      <c r="IXN93" s="63" t="s">
        <v>882</v>
      </c>
      <c r="IXO93" s="60"/>
      <c r="IYD93" s="63" t="s">
        <v>882</v>
      </c>
      <c r="IYE93" s="60"/>
      <c r="IYT93" s="63" t="s">
        <v>882</v>
      </c>
      <c r="IYU93" s="60"/>
      <c r="IZJ93" s="63" t="s">
        <v>882</v>
      </c>
      <c r="IZK93" s="60"/>
      <c r="IZZ93" s="63" t="s">
        <v>882</v>
      </c>
      <c r="JAA93" s="60"/>
      <c r="JAP93" s="63" t="s">
        <v>882</v>
      </c>
      <c r="JAQ93" s="60"/>
      <c r="JBF93" s="63" t="s">
        <v>882</v>
      </c>
      <c r="JBG93" s="60"/>
      <c r="JBV93" s="63" t="s">
        <v>882</v>
      </c>
      <c r="JBW93" s="60"/>
      <c r="JCL93" s="63" t="s">
        <v>882</v>
      </c>
      <c r="JCM93" s="60"/>
      <c r="JDB93" s="63" t="s">
        <v>882</v>
      </c>
      <c r="JDC93" s="60"/>
      <c r="JDR93" s="63" t="s">
        <v>882</v>
      </c>
      <c r="JDS93" s="60"/>
      <c r="JEH93" s="63" t="s">
        <v>882</v>
      </c>
      <c r="JEI93" s="60"/>
      <c r="JEX93" s="63" t="s">
        <v>882</v>
      </c>
      <c r="JEY93" s="60"/>
      <c r="JFN93" s="63" t="s">
        <v>882</v>
      </c>
      <c r="JFO93" s="60"/>
      <c r="JGD93" s="63" t="s">
        <v>882</v>
      </c>
      <c r="JGE93" s="60"/>
      <c r="JGT93" s="63" t="s">
        <v>882</v>
      </c>
      <c r="JGU93" s="60"/>
      <c r="JHJ93" s="63" t="s">
        <v>882</v>
      </c>
      <c r="JHK93" s="60"/>
      <c r="JHZ93" s="63" t="s">
        <v>882</v>
      </c>
      <c r="JIA93" s="60"/>
      <c r="JIP93" s="63" t="s">
        <v>882</v>
      </c>
      <c r="JIQ93" s="60"/>
      <c r="JJF93" s="63" t="s">
        <v>882</v>
      </c>
      <c r="JJG93" s="60"/>
      <c r="JJV93" s="63" t="s">
        <v>882</v>
      </c>
      <c r="JJW93" s="60"/>
      <c r="JKL93" s="63" t="s">
        <v>882</v>
      </c>
      <c r="JKM93" s="60"/>
      <c r="JLB93" s="63" t="s">
        <v>882</v>
      </c>
      <c r="JLC93" s="60"/>
      <c r="JLR93" s="63" t="s">
        <v>882</v>
      </c>
      <c r="JLS93" s="60"/>
      <c r="JMH93" s="63" t="s">
        <v>882</v>
      </c>
      <c r="JMI93" s="60"/>
      <c r="JMX93" s="63" t="s">
        <v>882</v>
      </c>
      <c r="JMY93" s="60"/>
      <c r="JNN93" s="63" t="s">
        <v>882</v>
      </c>
      <c r="JNO93" s="60"/>
      <c r="JOD93" s="63" t="s">
        <v>882</v>
      </c>
      <c r="JOE93" s="60"/>
      <c r="JOT93" s="63" t="s">
        <v>882</v>
      </c>
      <c r="JOU93" s="60"/>
      <c r="JPJ93" s="63" t="s">
        <v>882</v>
      </c>
      <c r="JPK93" s="60"/>
      <c r="JPZ93" s="63" t="s">
        <v>882</v>
      </c>
      <c r="JQA93" s="60"/>
      <c r="JQP93" s="63" t="s">
        <v>882</v>
      </c>
      <c r="JQQ93" s="60"/>
      <c r="JRF93" s="63" t="s">
        <v>882</v>
      </c>
      <c r="JRG93" s="60"/>
      <c r="JRV93" s="63" t="s">
        <v>882</v>
      </c>
      <c r="JRW93" s="60"/>
      <c r="JSL93" s="63" t="s">
        <v>882</v>
      </c>
      <c r="JSM93" s="60"/>
      <c r="JTB93" s="63" t="s">
        <v>882</v>
      </c>
      <c r="JTC93" s="60"/>
      <c r="JTR93" s="63" t="s">
        <v>882</v>
      </c>
      <c r="JTS93" s="60"/>
      <c r="JUH93" s="63" t="s">
        <v>882</v>
      </c>
      <c r="JUI93" s="60"/>
      <c r="JUX93" s="63" t="s">
        <v>882</v>
      </c>
      <c r="JUY93" s="60"/>
      <c r="JVN93" s="63" t="s">
        <v>882</v>
      </c>
      <c r="JVO93" s="60"/>
      <c r="JWD93" s="63" t="s">
        <v>882</v>
      </c>
      <c r="JWE93" s="60"/>
      <c r="JWT93" s="63" t="s">
        <v>882</v>
      </c>
      <c r="JWU93" s="60"/>
      <c r="JXJ93" s="63" t="s">
        <v>882</v>
      </c>
      <c r="JXK93" s="60"/>
      <c r="JXZ93" s="63" t="s">
        <v>882</v>
      </c>
      <c r="JYA93" s="60"/>
      <c r="JYP93" s="63" t="s">
        <v>882</v>
      </c>
      <c r="JYQ93" s="60"/>
      <c r="JZF93" s="63" t="s">
        <v>882</v>
      </c>
      <c r="JZG93" s="60"/>
      <c r="JZV93" s="63" t="s">
        <v>882</v>
      </c>
      <c r="JZW93" s="60"/>
      <c r="KAL93" s="63" t="s">
        <v>882</v>
      </c>
      <c r="KAM93" s="60"/>
      <c r="KBB93" s="63" t="s">
        <v>882</v>
      </c>
      <c r="KBC93" s="60"/>
      <c r="KBR93" s="63" t="s">
        <v>882</v>
      </c>
      <c r="KBS93" s="60"/>
      <c r="KCH93" s="63" t="s">
        <v>882</v>
      </c>
      <c r="KCI93" s="60"/>
      <c r="KCX93" s="63" t="s">
        <v>882</v>
      </c>
      <c r="KCY93" s="60"/>
      <c r="KDN93" s="63" t="s">
        <v>882</v>
      </c>
      <c r="KDO93" s="60"/>
      <c r="KED93" s="63" t="s">
        <v>882</v>
      </c>
      <c r="KEE93" s="60"/>
      <c r="KET93" s="63" t="s">
        <v>882</v>
      </c>
      <c r="KEU93" s="60"/>
      <c r="KFJ93" s="63" t="s">
        <v>882</v>
      </c>
      <c r="KFK93" s="60"/>
      <c r="KFZ93" s="63" t="s">
        <v>882</v>
      </c>
      <c r="KGA93" s="60"/>
      <c r="KGP93" s="63" t="s">
        <v>882</v>
      </c>
      <c r="KGQ93" s="60"/>
      <c r="KHF93" s="63" t="s">
        <v>882</v>
      </c>
      <c r="KHG93" s="60"/>
      <c r="KHV93" s="63" t="s">
        <v>882</v>
      </c>
      <c r="KHW93" s="60"/>
      <c r="KIL93" s="63" t="s">
        <v>882</v>
      </c>
      <c r="KIM93" s="60"/>
      <c r="KJB93" s="63" t="s">
        <v>882</v>
      </c>
      <c r="KJC93" s="60"/>
      <c r="KJR93" s="63" t="s">
        <v>882</v>
      </c>
      <c r="KJS93" s="60"/>
      <c r="KKH93" s="63" t="s">
        <v>882</v>
      </c>
      <c r="KKI93" s="60"/>
      <c r="KKX93" s="63" t="s">
        <v>882</v>
      </c>
      <c r="KKY93" s="60"/>
      <c r="KLN93" s="63" t="s">
        <v>882</v>
      </c>
      <c r="KLO93" s="60"/>
      <c r="KMD93" s="63" t="s">
        <v>882</v>
      </c>
      <c r="KME93" s="60"/>
      <c r="KMT93" s="63" t="s">
        <v>882</v>
      </c>
      <c r="KMU93" s="60"/>
      <c r="KNJ93" s="63" t="s">
        <v>882</v>
      </c>
      <c r="KNK93" s="60"/>
      <c r="KNZ93" s="63" t="s">
        <v>882</v>
      </c>
      <c r="KOA93" s="60"/>
      <c r="KOP93" s="63" t="s">
        <v>882</v>
      </c>
      <c r="KOQ93" s="60"/>
      <c r="KPF93" s="63" t="s">
        <v>882</v>
      </c>
      <c r="KPG93" s="60"/>
      <c r="KPV93" s="63" t="s">
        <v>882</v>
      </c>
      <c r="KPW93" s="60"/>
      <c r="KQL93" s="63" t="s">
        <v>882</v>
      </c>
      <c r="KQM93" s="60"/>
      <c r="KRB93" s="63" t="s">
        <v>882</v>
      </c>
      <c r="KRC93" s="60"/>
      <c r="KRR93" s="63" t="s">
        <v>882</v>
      </c>
      <c r="KRS93" s="60"/>
      <c r="KSH93" s="63" t="s">
        <v>882</v>
      </c>
      <c r="KSI93" s="60"/>
      <c r="KSX93" s="63" t="s">
        <v>882</v>
      </c>
      <c r="KSY93" s="60"/>
      <c r="KTN93" s="63" t="s">
        <v>882</v>
      </c>
      <c r="KTO93" s="60"/>
      <c r="KUD93" s="63" t="s">
        <v>882</v>
      </c>
      <c r="KUE93" s="60"/>
      <c r="KUT93" s="63" t="s">
        <v>882</v>
      </c>
      <c r="KUU93" s="60"/>
      <c r="KVJ93" s="63" t="s">
        <v>882</v>
      </c>
      <c r="KVK93" s="60"/>
      <c r="KVZ93" s="63" t="s">
        <v>882</v>
      </c>
      <c r="KWA93" s="60"/>
      <c r="KWP93" s="63" t="s">
        <v>882</v>
      </c>
      <c r="KWQ93" s="60"/>
      <c r="KXF93" s="63" t="s">
        <v>882</v>
      </c>
      <c r="KXG93" s="60"/>
      <c r="KXV93" s="63" t="s">
        <v>882</v>
      </c>
      <c r="KXW93" s="60"/>
      <c r="KYL93" s="63" t="s">
        <v>882</v>
      </c>
      <c r="KYM93" s="60"/>
      <c r="KZB93" s="63" t="s">
        <v>882</v>
      </c>
      <c r="KZC93" s="60"/>
      <c r="KZR93" s="63" t="s">
        <v>882</v>
      </c>
      <c r="KZS93" s="60"/>
      <c r="LAH93" s="63" t="s">
        <v>882</v>
      </c>
      <c r="LAI93" s="60"/>
      <c r="LAX93" s="63" t="s">
        <v>882</v>
      </c>
      <c r="LAY93" s="60"/>
      <c r="LBN93" s="63" t="s">
        <v>882</v>
      </c>
      <c r="LBO93" s="60"/>
      <c r="LCD93" s="63" t="s">
        <v>882</v>
      </c>
      <c r="LCE93" s="60"/>
      <c r="LCT93" s="63" t="s">
        <v>882</v>
      </c>
      <c r="LCU93" s="60"/>
      <c r="LDJ93" s="63" t="s">
        <v>882</v>
      </c>
      <c r="LDK93" s="60"/>
      <c r="LDZ93" s="63" t="s">
        <v>882</v>
      </c>
      <c r="LEA93" s="60"/>
      <c r="LEP93" s="63" t="s">
        <v>882</v>
      </c>
      <c r="LEQ93" s="60"/>
      <c r="LFF93" s="63" t="s">
        <v>882</v>
      </c>
      <c r="LFG93" s="60"/>
      <c r="LFV93" s="63" t="s">
        <v>882</v>
      </c>
      <c r="LFW93" s="60"/>
      <c r="LGL93" s="63" t="s">
        <v>882</v>
      </c>
      <c r="LGM93" s="60"/>
      <c r="LHB93" s="63" t="s">
        <v>882</v>
      </c>
      <c r="LHC93" s="60"/>
      <c r="LHR93" s="63" t="s">
        <v>882</v>
      </c>
      <c r="LHS93" s="60"/>
      <c r="LIH93" s="63" t="s">
        <v>882</v>
      </c>
      <c r="LII93" s="60"/>
      <c r="LIX93" s="63" t="s">
        <v>882</v>
      </c>
      <c r="LIY93" s="60"/>
      <c r="LJN93" s="63" t="s">
        <v>882</v>
      </c>
      <c r="LJO93" s="60"/>
      <c r="LKD93" s="63" t="s">
        <v>882</v>
      </c>
      <c r="LKE93" s="60"/>
      <c r="LKT93" s="63" t="s">
        <v>882</v>
      </c>
      <c r="LKU93" s="60"/>
      <c r="LLJ93" s="63" t="s">
        <v>882</v>
      </c>
      <c r="LLK93" s="60"/>
      <c r="LLZ93" s="63" t="s">
        <v>882</v>
      </c>
      <c r="LMA93" s="60"/>
      <c r="LMP93" s="63" t="s">
        <v>882</v>
      </c>
      <c r="LMQ93" s="60"/>
      <c r="LNF93" s="63" t="s">
        <v>882</v>
      </c>
      <c r="LNG93" s="60"/>
      <c r="LNV93" s="63" t="s">
        <v>882</v>
      </c>
      <c r="LNW93" s="60"/>
      <c r="LOL93" s="63" t="s">
        <v>882</v>
      </c>
      <c r="LOM93" s="60"/>
      <c r="LPB93" s="63" t="s">
        <v>882</v>
      </c>
      <c r="LPC93" s="60"/>
      <c r="LPR93" s="63" t="s">
        <v>882</v>
      </c>
      <c r="LPS93" s="60"/>
      <c r="LQH93" s="63" t="s">
        <v>882</v>
      </c>
      <c r="LQI93" s="60"/>
      <c r="LQX93" s="63" t="s">
        <v>882</v>
      </c>
      <c r="LQY93" s="60"/>
      <c r="LRN93" s="63" t="s">
        <v>882</v>
      </c>
      <c r="LRO93" s="60"/>
      <c r="LSD93" s="63" t="s">
        <v>882</v>
      </c>
      <c r="LSE93" s="60"/>
      <c r="LST93" s="63" t="s">
        <v>882</v>
      </c>
      <c r="LSU93" s="60"/>
      <c r="LTJ93" s="63" t="s">
        <v>882</v>
      </c>
      <c r="LTK93" s="60"/>
      <c r="LTZ93" s="63" t="s">
        <v>882</v>
      </c>
      <c r="LUA93" s="60"/>
      <c r="LUP93" s="63" t="s">
        <v>882</v>
      </c>
      <c r="LUQ93" s="60"/>
      <c r="LVF93" s="63" t="s">
        <v>882</v>
      </c>
      <c r="LVG93" s="60"/>
      <c r="LVV93" s="63" t="s">
        <v>882</v>
      </c>
      <c r="LVW93" s="60"/>
      <c r="LWL93" s="63" t="s">
        <v>882</v>
      </c>
      <c r="LWM93" s="60"/>
      <c r="LXB93" s="63" t="s">
        <v>882</v>
      </c>
      <c r="LXC93" s="60"/>
      <c r="LXR93" s="63" t="s">
        <v>882</v>
      </c>
      <c r="LXS93" s="60"/>
      <c r="LYH93" s="63" t="s">
        <v>882</v>
      </c>
      <c r="LYI93" s="60"/>
      <c r="LYX93" s="63" t="s">
        <v>882</v>
      </c>
      <c r="LYY93" s="60"/>
      <c r="LZN93" s="63" t="s">
        <v>882</v>
      </c>
      <c r="LZO93" s="60"/>
      <c r="MAD93" s="63" t="s">
        <v>882</v>
      </c>
      <c r="MAE93" s="60"/>
      <c r="MAT93" s="63" t="s">
        <v>882</v>
      </c>
      <c r="MAU93" s="60"/>
      <c r="MBJ93" s="63" t="s">
        <v>882</v>
      </c>
      <c r="MBK93" s="60"/>
      <c r="MBZ93" s="63" t="s">
        <v>882</v>
      </c>
      <c r="MCA93" s="60"/>
      <c r="MCP93" s="63" t="s">
        <v>882</v>
      </c>
      <c r="MCQ93" s="60"/>
      <c r="MDF93" s="63" t="s">
        <v>882</v>
      </c>
      <c r="MDG93" s="60"/>
      <c r="MDV93" s="63" t="s">
        <v>882</v>
      </c>
      <c r="MDW93" s="60"/>
      <c r="MEL93" s="63" t="s">
        <v>882</v>
      </c>
      <c r="MEM93" s="60"/>
      <c r="MFB93" s="63" t="s">
        <v>882</v>
      </c>
      <c r="MFC93" s="60"/>
      <c r="MFR93" s="63" t="s">
        <v>882</v>
      </c>
      <c r="MFS93" s="60"/>
      <c r="MGH93" s="63" t="s">
        <v>882</v>
      </c>
      <c r="MGI93" s="60"/>
      <c r="MGX93" s="63" t="s">
        <v>882</v>
      </c>
      <c r="MGY93" s="60"/>
      <c r="MHN93" s="63" t="s">
        <v>882</v>
      </c>
      <c r="MHO93" s="60"/>
      <c r="MID93" s="63" t="s">
        <v>882</v>
      </c>
      <c r="MIE93" s="60"/>
      <c r="MIT93" s="63" t="s">
        <v>882</v>
      </c>
      <c r="MIU93" s="60"/>
      <c r="MJJ93" s="63" t="s">
        <v>882</v>
      </c>
      <c r="MJK93" s="60"/>
      <c r="MJZ93" s="63" t="s">
        <v>882</v>
      </c>
      <c r="MKA93" s="60"/>
      <c r="MKP93" s="63" t="s">
        <v>882</v>
      </c>
      <c r="MKQ93" s="60"/>
      <c r="MLF93" s="63" t="s">
        <v>882</v>
      </c>
      <c r="MLG93" s="60"/>
      <c r="MLV93" s="63" t="s">
        <v>882</v>
      </c>
      <c r="MLW93" s="60"/>
      <c r="MML93" s="63" t="s">
        <v>882</v>
      </c>
      <c r="MMM93" s="60"/>
      <c r="MNB93" s="63" t="s">
        <v>882</v>
      </c>
      <c r="MNC93" s="60"/>
      <c r="MNR93" s="63" t="s">
        <v>882</v>
      </c>
      <c r="MNS93" s="60"/>
      <c r="MOH93" s="63" t="s">
        <v>882</v>
      </c>
      <c r="MOI93" s="60"/>
      <c r="MOX93" s="63" t="s">
        <v>882</v>
      </c>
      <c r="MOY93" s="60"/>
      <c r="MPN93" s="63" t="s">
        <v>882</v>
      </c>
      <c r="MPO93" s="60"/>
      <c r="MQD93" s="63" t="s">
        <v>882</v>
      </c>
      <c r="MQE93" s="60"/>
      <c r="MQT93" s="63" t="s">
        <v>882</v>
      </c>
      <c r="MQU93" s="60"/>
      <c r="MRJ93" s="63" t="s">
        <v>882</v>
      </c>
      <c r="MRK93" s="60"/>
      <c r="MRZ93" s="63" t="s">
        <v>882</v>
      </c>
      <c r="MSA93" s="60"/>
      <c r="MSP93" s="63" t="s">
        <v>882</v>
      </c>
      <c r="MSQ93" s="60"/>
      <c r="MTF93" s="63" t="s">
        <v>882</v>
      </c>
      <c r="MTG93" s="60"/>
      <c r="MTV93" s="63" t="s">
        <v>882</v>
      </c>
      <c r="MTW93" s="60"/>
      <c r="MUL93" s="63" t="s">
        <v>882</v>
      </c>
      <c r="MUM93" s="60"/>
      <c r="MVB93" s="63" t="s">
        <v>882</v>
      </c>
      <c r="MVC93" s="60"/>
      <c r="MVR93" s="63" t="s">
        <v>882</v>
      </c>
      <c r="MVS93" s="60"/>
      <c r="MWH93" s="63" t="s">
        <v>882</v>
      </c>
      <c r="MWI93" s="60"/>
      <c r="MWX93" s="63" t="s">
        <v>882</v>
      </c>
      <c r="MWY93" s="60"/>
      <c r="MXN93" s="63" t="s">
        <v>882</v>
      </c>
      <c r="MXO93" s="60"/>
      <c r="MYD93" s="63" t="s">
        <v>882</v>
      </c>
      <c r="MYE93" s="60"/>
      <c r="MYT93" s="63" t="s">
        <v>882</v>
      </c>
      <c r="MYU93" s="60"/>
      <c r="MZJ93" s="63" t="s">
        <v>882</v>
      </c>
      <c r="MZK93" s="60"/>
      <c r="MZZ93" s="63" t="s">
        <v>882</v>
      </c>
      <c r="NAA93" s="60"/>
      <c r="NAP93" s="63" t="s">
        <v>882</v>
      </c>
      <c r="NAQ93" s="60"/>
      <c r="NBF93" s="63" t="s">
        <v>882</v>
      </c>
      <c r="NBG93" s="60"/>
      <c r="NBV93" s="63" t="s">
        <v>882</v>
      </c>
      <c r="NBW93" s="60"/>
      <c r="NCL93" s="63" t="s">
        <v>882</v>
      </c>
      <c r="NCM93" s="60"/>
      <c r="NDB93" s="63" t="s">
        <v>882</v>
      </c>
      <c r="NDC93" s="60"/>
      <c r="NDR93" s="63" t="s">
        <v>882</v>
      </c>
      <c r="NDS93" s="60"/>
      <c r="NEH93" s="63" t="s">
        <v>882</v>
      </c>
      <c r="NEI93" s="60"/>
      <c r="NEX93" s="63" t="s">
        <v>882</v>
      </c>
      <c r="NEY93" s="60"/>
      <c r="NFN93" s="63" t="s">
        <v>882</v>
      </c>
      <c r="NFO93" s="60"/>
      <c r="NGD93" s="63" t="s">
        <v>882</v>
      </c>
      <c r="NGE93" s="60"/>
      <c r="NGT93" s="63" t="s">
        <v>882</v>
      </c>
      <c r="NGU93" s="60"/>
      <c r="NHJ93" s="63" t="s">
        <v>882</v>
      </c>
      <c r="NHK93" s="60"/>
      <c r="NHZ93" s="63" t="s">
        <v>882</v>
      </c>
      <c r="NIA93" s="60"/>
      <c r="NIP93" s="63" t="s">
        <v>882</v>
      </c>
      <c r="NIQ93" s="60"/>
      <c r="NJF93" s="63" t="s">
        <v>882</v>
      </c>
      <c r="NJG93" s="60"/>
      <c r="NJV93" s="63" t="s">
        <v>882</v>
      </c>
      <c r="NJW93" s="60"/>
      <c r="NKL93" s="63" t="s">
        <v>882</v>
      </c>
      <c r="NKM93" s="60"/>
      <c r="NLB93" s="63" t="s">
        <v>882</v>
      </c>
      <c r="NLC93" s="60"/>
      <c r="NLR93" s="63" t="s">
        <v>882</v>
      </c>
      <c r="NLS93" s="60"/>
      <c r="NMH93" s="63" t="s">
        <v>882</v>
      </c>
      <c r="NMI93" s="60"/>
      <c r="NMX93" s="63" t="s">
        <v>882</v>
      </c>
      <c r="NMY93" s="60"/>
      <c r="NNN93" s="63" t="s">
        <v>882</v>
      </c>
      <c r="NNO93" s="60"/>
      <c r="NOD93" s="63" t="s">
        <v>882</v>
      </c>
      <c r="NOE93" s="60"/>
      <c r="NOT93" s="63" t="s">
        <v>882</v>
      </c>
      <c r="NOU93" s="60"/>
      <c r="NPJ93" s="63" t="s">
        <v>882</v>
      </c>
      <c r="NPK93" s="60"/>
      <c r="NPZ93" s="63" t="s">
        <v>882</v>
      </c>
      <c r="NQA93" s="60"/>
      <c r="NQP93" s="63" t="s">
        <v>882</v>
      </c>
      <c r="NQQ93" s="60"/>
      <c r="NRF93" s="63" t="s">
        <v>882</v>
      </c>
      <c r="NRG93" s="60"/>
      <c r="NRV93" s="63" t="s">
        <v>882</v>
      </c>
      <c r="NRW93" s="60"/>
      <c r="NSL93" s="63" t="s">
        <v>882</v>
      </c>
      <c r="NSM93" s="60"/>
      <c r="NTB93" s="63" t="s">
        <v>882</v>
      </c>
      <c r="NTC93" s="60"/>
      <c r="NTR93" s="63" t="s">
        <v>882</v>
      </c>
      <c r="NTS93" s="60"/>
      <c r="NUH93" s="63" t="s">
        <v>882</v>
      </c>
      <c r="NUI93" s="60"/>
      <c r="NUX93" s="63" t="s">
        <v>882</v>
      </c>
      <c r="NUY93" s="60"/>
      <c r="NVN93" s="63" t="s">
        <v>882</v>
      </c>
      <c r="NVO93" s="60"/>
      <c r="NWD93" s="63" t="s">
        <v>882</v>
      </c>
      <c r="NWE93" s="60"/>
      <c r="NWT93" s="63" t="s">
        <v>882</v>
      </c>
      <c r="NWU93" s="60"/>
      <c r="NXJ93" s="63" t="s">
        <v>882</v>
      </c>
      <c r="NXK93" s="60"/>
      <c r="NXZ93" s="63" t="s">
        <v>882</v>
      </c>
      <c r="NYA93" s="60"/>
      <c r="NYP93" s="63" t="s">
        <v>882</v>
      </c>
      <c r="NYQ93" s="60"/>
      <c r="NZF93" s="63" t="s">
        <v>882</v>
      </c>
      <c r="NZG93" s="60"/>
      <c r="NZV93" s="63" t="s">
        <v>882</v>
      </c>
      <c r="NZW93" s="60"/>
      <c r="OAL93" s="63" t="s">
        <v>882</v>
      </c>
      <c r="OAM93" s="60"/>
      <c r="OBB93" s="63" t="s">
        <v>882</v>
      </c>
      <c r="OBC93" s="60"/>
      <c r="OBR93" s="63" t="s">
        <v>882</v>
      </c>
      <c r="OBS93" s="60"/>
      <c r="OCH93" s="63" t="s">
        <v>882</v>
      </c>
      <c r="OCI93" s="60"/>
      <c r="OCX93" s="63" t="s">
        <v>882</v>
      </c>
      <c r="OCY93" s="60"/>
      <c r="ODN93" s="63" t="s">
        <v>882</v>
      </c>
      <c r="ODO93" s="60"/>
      <c r="OED93" s="63" t="s">
        <v>882</v>
      </c>
      <c r="OEE93" s="60"/>
      <c r="OET93" s="63" t="s">
        <v>882</v>
      </c>
      <c r="OEU93" s="60"/>
      <c r="OFJ93" s="63" t="s">
        <v>882</v>
      </c>
      <c r="OFK93" s="60"/>
      <c r="OFZ93" s="63" t="s">
        <v>882</v>
      </c>
      <c r="OGA93" s="60"/>
      <c r="OGP93" s="63" t="s">
        <v>882</v>
      </c>
      <c r="OGQ93" s="60"/>
      <c r="OHF93" s="63" t="s">
        <v>882</v>
      </c>
      <c r="OHG93" s="60"/>
      <c r="OHV93" s="63" t="s">
        <v>882</v>
      </c>
      <c r="OHW93" s="60"/>
      <c r="OIL93" s="63" t="s">
        <v>882</v>
      </c>
      <c r="OIM93" s="60"/>
      <c r="OJB93" s="63" t="s">
        <v>882</v>
      </c>
      <c r="OJC93" s="60"/>
      <c r="OJR93" s="63" t="s">
        <v>882</v>
      </c>
      <c r="OJS93" s="60"/>
      <c r="OKH93" s="63" t="s">
        <v>882</v>
      </c>
      <c r="OKI93" s="60"/>
      <c r="OKX93" s="63" t="s">
        <v>882</v>
      </c>
      <c r="OKY93" s="60"/>
      <c r="OLN93" s="63" t="s">
        <v>882</v>
      </c>
      <c r="OLO93" s="60"/>
      <c r="OMD93" s="63" t="s">
        <v>882</v>
      </c>
      <c r="OME93" s="60"/>
      <c r="OMT93" s="63" t="s">
        <v>882</v>
      </c>
      <c r="OMU93" s="60"/>
      <c r="ONJ93" s="63" t="s">
        <v>882</v>
      </c>
      <c r="ONK93" s="60"/>
      <c r="ONZ93" s="63" t="s">
        <v>882</v>
      </c>
      <c r="OOA93" s="60"/>
      <c r="OOP93" s="63" t="s">
        <v>882</v>
      </c>
      <c r="OOQ93" s="60"/>
      <c r="OPF93" s="63" t="s">
        <v>882</v>
      </c>
      <c r="OPG93" s="60"/>
      <c r="OPV93" s="63" t="s">
        <v>882</v>
      </c>
      <c r="OPW93" s="60"/>
      <c r="OQL93" s="63" t="s">
        <v>882</v>
      </c>
      <c r="OQM93" s="60"/>
      <c r="ORB93" s="63" t="s">
        <v>882</v>
      </c>
      <c r="ORC93" s="60"/>
      <c r="ORR93" s="63" t="s">
        <v>882</v>
      </c>
      <c r="ORS93" s="60"/>
      <c r="OSH93" s="63" t="s">
        <v>882</v>
      </c>
      <c r="OSI93" s="60"/>
      <c r="OSX93" s="63" t="s">
        <v>882</v>
      </c>
      <c r="OSY93" s="60"/>
      <c r="OTN93" s="63" t="s">
        <v>882</v>
      </c>
      <c r="OTO93" s="60"/>
      <c r="OUD93" s="63" t="s">
        <v>882</v>
      </c>
      <c r="OUE93" s="60"/>
      <c r="OUT93" s="63" t="s">
        <v>882</v>
      </c>
      <c r="OUU93" s="60"/>
      <c r="OVJ93" s="63" t="s">
        <v>882</v>
      </c>
      <c r="OVK93" s="60"/>
      <c r="OVZ93" s="63" t="s">
        <v>882</v>
      </c>
      <c r="OWA93" s="60"/>
      <c r="OWP93" s="63" t="s">
        <v>882</v>
      </c>
      <c r="OWQ93" s="60"/>
      <c r="OXF93" s="63" t="s">
        <v>882</v>
      </c>
      <c r="OXG93" s="60"/>
      <c r="OXV93" s="63" t="s">
        <v>882</v>
      </c>
      <c r="OXW93" s="60"/>
      <c r="OYL93" s="63" t="s">
        <v>882</v>
      </c>
      <c r="OYM93" s="60"/>
      <c r="OZB93" s="63" t="s">
        <v>882</v>
      </c>
      <c r="OZC93" s="60"/>
      <c r="OZR93" s="63" t="s">
        <v>882</v>
      </c>
      <c r="OZS93" s="60"/>
      <c r="PAH93" s="63" t="s">
        <v>882</v>
      </c>
      <c r="PAI93" s="60"/>
      <c r="PAX93" s="63" t="s">
        <v>882</v>
      </c>
      <c r="PAY93" s="60"/>
      <c r="PBN93" s="63" t="s">
        <v>882</v>
      </c>
      <c r="PBO93" s="60"/>
      <c r="PCD93" s="63" t="s">
        <v>882</v>
      </c>
      <c r="PCE93" s="60"/>
      <c r="PCT93" s="63" t="s">
        <v>882</v>
      </c>
      <c r="PCU93" s="60"/>
      <c r="PDJ93" s="63" t="s">
        <v>882</v>
      </c>
      <c r="PDK93" s="60"/>
      <c r="PDZ93" s="63" t="s">
        <v>882</v>
      </c>
      <c r="PEA93" s="60"/>
      <c r="PEP93" s="63" t="s">
        <v>882</v>
      </c>
      <c r="PEQ93" s="60"/>
      <c r="PFF93" s="63" t="s">
        <v>882</v>
      </c>
      <c r="PFG93" s="60"/>
      <c r="PFV93" s="63" t="s">
        <v>882</v>
      </c>
      <c r="PFW93" s="60"/>
      <c r="PGL93" s="63" t="s">
        <v>882</v>
      </c>
      <c r="PGM93" s="60"/>
      <c r="PHB93" s="63" t="s">
        <v>882</v>
      </c>
      <c r="PHC93" s="60"/>
      <c r="PHR93" s="63" t="s">
        <v>882</v>
      </c>
      <c r="PHS93" s="60"/>
      <c r="PIH93" s="63" t="s">
        <v>882</v>
      </c>
      <c r="PII93" s="60"/>
      <c r="PIX93" s="63" t="s">
        <v>882</v>
      </c>
      <c r="PIY93" s="60"/>
      <c r="PJN93" s="63" t="s">
        <v>882</v>
      </c>
      <c r="PJO93" s="60"/>
      <c r="PKD93" s="63" t="s">
        <v>882</v>
      </c>
      <c r="PKE93" s="60"/>
      <c r="PKT93" s="63" t="s">
        <v>882</v>
      </c>
      <c r="PKU93" s="60"/>
      <c r="PLJ93" s="63" t="s">
        <v>882</v>
      </c>
      <c r="PLK93" s="60"/>
      <c r="PLZ93" s="63" t="s">
        <v>882</v>
      </c>
      <c r="PMA93" s="60"/>
      <c r="PMP93" s="63" t="s">
        <v>882</v>
      </c>
      <c r="PMQ93" s="60"/>
      <c r="PNF93" s="63" t="s">
        <v>882</v>
      </c>
      <c r="PNG93" s="60"/>
      <c r="PNV93" s="63" t="s">
        <v>882</v>
      </c>
      <c r="PNW93" s="60"/>
      <c r="POL93" s="63" t="s">
        <v>882</v>
      </c>
      <c r="POM93" s="60"/>
      <c r="PPB93" s="63" t="s">
        <v>882</v>
      </c>
      <c r="PPC93" s="60"/>
      <c r="PPR93" s="63" t="s">
        <v>882</v>
      </c>
      <c r="PPS93" s="60"/>
      <c r="PQH93" s="63" t="s">
        <v>882</v>
      </c>
      <c r="PQI93" s="60"/>
      <c r="PQX93" s="63" t="s">
        <v>882</v>
      </c>
      <c r="PQY93" s="60"/>
      <c r="PRN93" s="63" t="s">
        <v>882</v>
      </c>
      <c r="PRO93" s="60"/>
      <c r="PSD93" s="63" t="s">
        <v>882</v>
      </c>
      <c r="PSE93" s="60"/>
      <c r="PST93" s="63" t="s">
        <v>882</v>
      </c>
      <c r="PSU93" s="60"/>
      <c r="PTJ93" s="63" t="s">
        <v>882</v>
      </c>
      <c r="PTK93" s="60"/>
      <c r="PTZ93" s="63" t="s">
        <v>882</v>
      </c>
      <c r="PUA93" s="60"/>
      <c r="PUP93" s="63" t="s">
        <v>882</v>
      </c>
      <c r="PUQ93" s="60"/>
      <c r="PVF93" s="63" t="s">
        <v>882</v>
      </c>
      <c r="PVG93" s="60"/>
      <c r="PVV93" s="63" t="s">
        <v>882</v>
      </c>
      <c r="PVW93" s="60"/>
      <c r="PWL93" s="63" t="s">
        <v>882</v>
      </c>
      <c r="PWM93" s="60"/>
      <c r="PXB93" s="63" t="s">
        <v>882</v>
      </c>
      <c r="PXC93" s="60"/>
      <c r="PXR93" s="63" t="s">
        <v>882</v>
      </c>
      <c r="PXS93" s="60"/>
      <c r="PYH93" s="63" t="s">
        <v>882</v>
      </c>
      <c r="PYI93" s="60"/>
      <c r="PYX93" s="63" t="s">
        <v>882</v>
      </c>
      <c r="PYY93" s="60"/>
      <c r="PZN93" s="63" t="s">
        <v>882</v>
      </c>
      <c r="PZO93" s="60"/>
      <c r="QAD93" s="63" t="s">
        <v>882</v>
      </c>
      <c r="QAE93" s="60"/>
      <c r="QAT93" s="63" t="s">
        <v>882</v>
      </c>
      <c r="QAU93" s="60"/>
      <c r="QBJ93" s="63" t="s">
        <v>882</v>
      </c>
      <c r="QBK93" s="60"/>
      <c r="QBZ93" s="63" t="s">
        <v>882</v>
      </c>
      <c r="QCA93" s="60"/>
      <c r="QCP93" s="63" t="s">
        <v>882</v>
      </c>
      <c r="QCQ93" s="60"/>
      <c r="QDF93" s="63" t="s">
        <v>882</v>
      </c>
      <c r="QDG93" s="60"/>
      <c r="QDV93" s="63" t="s">
        <v>882</v>
      </c>
      <c r="QDW93" s="60"/>
      <c r="QEL93" s="63" t="s">
        <v>882</v>
      </c>
      <c r="QEM93" s="60"/>
      <c r="QFB93" s="63" t="s">
        <v>882</v>
      </c>
      <c r="QFC93" s="60"/>
      <c r="QFR93" s="63" t="s">
        <v>882</v>
      </c>
      <c r="QFS93" s="60"/>
      <c r="QGH93" s="63" t="s">
        <v>882</v>
      </c>
      <c r="QGI93" s="60"/>
      <c r="QGX93" s="63" t="s">
        <v>882</v>
      </c>
      <c r="QGY93" s="60"/>
      <c r="QHN93" s="63" t="s">
        <v>882</v>
      </c>
      <c r="QHO93" s="60"/>
      <c r="QID93" s="63" t="s">
        <v>882</v>
      </c>
      <c r="QIE93" s="60"/>
      <c r="QIT93" s="63" t="s">
        <v>882</v>
      </c>
      <c r="QIU93" s="60"/>
      <c r="QJJ93" s="63" t="s">
        <v>882</v>
      </c>
      <c r="QJK93" s="60"/>
      <c r="QJZ93" s="63" t="s">
        <v>882</v>
      </c>
      <c r="QKA93" s="60"/>
      <c r="QKP93" s="63" t="s">
        <v>882</v>
      </c>
      <c r="QKQ93" s="60"/>
      <c r="QLF93" s="63" t="s">
        <v>882</v>
      </c>
      <c r="QLG93" s="60"/>
      <c r="QLV93" s="63" t="s">
        <v>882</v>
      </c>
      <c r="QLW93" s="60"/>
      <c r="QML93" s="63" t="s">
        <v>882</v>
      </c>
      <c r="QMM93" s="60"/>
      <c r="QNB93" s="63" t="s">
        <v>882</v>
      </c>
      <c r="QNC93" s="60"/>
      <c r="QNR93" s="63" t="s">
        <v>882</v>
      </c>
      <c r="QNS93" s="60"/>
      <c r="QOH93" s="63" t="s">
        <v>882</v>
      </c>
      <c r="QOI93" s="60"/>
      <c r="QOX93" s="63" t="s">
        <v>882</v>
      </c>
      <c r="QOY93" s="60"/>
      <c r="QPN93" s="63" t="s">
        <v>882</v>
      </c>
      <c r="QPO93" s="60"/>
      <c r="QQD93" s="63" t="s">
        <v>882</v>
      </c>
      <c r="QQE93" s="60"/>
      <c r="QQT93" s="63" t="s">
        <v>882</v>
      </c>
      <c r="QQU93" s="60"/>
      <c r="QRJ93" s="63" t="s">
        <v>882</v>
      </c>
      <c r="QRK93" s="60"/>
      <c r="QRZ93" s="63" t="s">
        <v>882</v>
      </c>
      <c r="QSA93" s="60"/>
      <c r="QSP93" s="63" t="s">
        <v>882</v>
      </c>
      <c r="QSQ93" s="60"/>
      <c r="QTF93" s="63" t="s">
        <v>882</v>
      </c>
      <c r="QTG93" s="60"/>
      <c r="QTV93" s="63" t="s">
        <v>882</v>
      </c>
      <c r="QTW93" s="60"/>
      <c r="QUL93" s="63" t="s">
        <v>882</v>
      </c>
      <c r="QUM93" s="60"/>
      <c r="QVB93" s="63" t="s">
        <v>882</v>
      </c>
      <c r="QVC93" s="60"/>
      <c r="QVR93" s="63" t="s">
        <v>882</v>
      </c>
      <c r="QVS93" s="60"/>
      <c r="QWH93" s="63" t="s">
        <v>882</v>
      </c>
      <c r="QWI93" s="60"/>
      <c r="QWX93" s="63" t="s">
        <v>882</v>
      </c>
      <c r="QWY93" s="60"/>
      <c r="QXN93" s="63" t="s">
        <v>882</v>
      </c>
      <c r="QXO93" s="60"/>
      <c r="QYD93" s="63" t="s">
        <v>882</v>
      </c>
      <c r="QYE93" s="60"/>
      <c r="QYT93" s="63" t="s">
        <v>882</v>
      </c>
      <c r="QYU93" s="60"/>
      <c r="QZJ93" s="63" t="s">
        <v>882</v>
      </c>
      <c r="QZK93" s="60"/>
      <c r="QZZ93" s="63" t="s">
        <v>882</v>
      </c>
      <c r="RAA93" s="60"/>
      <c r="RAP93" s="63" t="s">
        <v>882</v>
      </c>
      <c r="RAQ93" s="60"/>
      <c r="RBF93" s="63" t="s">
        <v>882</v>
      </c>
      <c r="RBG93" s="60"/>
      <c r="RBV93" s="63" t="s">
        <v>882</v>
      </c>
      <c r="RBW93" s="60"/>
      <c r="RCL93" s="63" t="s">
        <v>882</v>
      </c>
      <c r="RCM93" s="60"/>
      <c r="RDB93" s="63" t="s">
        <v>882</v>
      </c>
      <c r="RDC93" s="60"/>
      <c r="RDR93" s="63" t="s">
        <v>882</v>
      </c>
      <c r="RDS93" s="60"/>
      <c r="REH93" s="63" t="s">
        <v>882</v>
      </c>
      <c r="REI93" s="60"/>
      <c r="REX93" s="63" t="s">
        <v>882</v>
      </c>
      <c r="REY93" s="60"/>
      <c r="RFN93" s="63" t="s">
        <v>882</v>
      </c>
      <c r="RFO93" s="60"/>
      <c r="RGD93" s="63" t="s">
        <v>882</v>
      </c>
      <c r="RGE93" s="60"/>
      <c r="RGT93" s="63" t="s">
        <v>882</v>
      </c>
      <c r="RGU93" s="60"/>
      <c r="RHJ93" s="63" t="s">
        <v>882</v>
      </c>
      <c r="RHK93" s="60"/>
      <c r="RHZ93" s="63" t="s">
        <v>882</v>
      </c>
      <c r="RIA93" s="60"/>
      <c r="RIP93" s="63" t="s">
        <v>882</v>
      </c>
      <c r="RIQ93" s="60"/>
      <c r="RJF93" s="63" t="s">
        <v>882</v>
      </c>
      <c r="RJG93" s="60"/>
      <c r="RJV93" s="63" t="s">
        <v>882</v>
      </c>
      <c r="RJW93" s="60"/>
      <c r="RKL93" s="63" t="s">
        <v>882</v>
      </c>
      <c r="RKM93" s="60"/>
      <c r="RLB93" s="63" t="s">
        <v>882</v>
      </c>
      <c r="RLC93" s="60"/>
      <c r="RLR93" s="63" t="s">
        <v>882</v>
      </c>
      <c r="RLS93" s="60"/>
      <c r="RMH93" s="63" t="s">
        <v>882</v>
      </c>
      <c r="RMI93" s="60"/>
      <c r="RMX93" s="63" t="s">
        <v>882</v>
      </c>
      <c r="RMY93" s="60"/>
      <c r="RNN93" s="63" t="s">
        <v>882</v>
      </c>
      <c r="RNO93" s="60"/>
      <c r="ROD93" s="63" t="s">
        <v>882</v>
      </c>
      <c r="ROE93" s="60"/>
      <c r="ROT93" s="63" t="s">
        <v>882</v>
      </c>
      <c r="ROU93" s="60"/>
      <c r="RPJ93" s="63" t="s">
        <v>882</v>
      </c>
      <c r="RPK93" s="60"/>
      <c r="RPZ93" s="63" t="s">
        <v>882</v>
      </c>
      <c r="RQA93" s="60"/>
      <c r="RQP93" s="63" t="s">
        <v>882</v>
      </c>
      <c r="RQQ93" s="60"/>
      <c r="RRF93" s="63" t="s">
        <v>882</v>
      </c>
      <c r="RRG93" s="60"/>
      <c r="RRV93" s="63" t="s">
        <v>882</v>
      </c>
      <c r="RRW93" s="60"/>
      <c r="RSL93" s="63" t="s">
        <v>882</v>
      </c>
      <c r="RSM93" s="60"/>
      <c r="RTB93" s="63" t="s">
        <v>882</v>
      </c>
      <c r="RTC93" s="60"/>
      <c r="RTR93" s="63" t="s">
        <v>882</v>
      </c>
      <c r="RTS93" s="60"/>
      <c r="RUH93" s="63" t="s">
        <v>882</v>
      </c>
      <c r="RUI93" s="60"/>
      <c r="RUX93" s="63" t="s">
        <v>882</v>
      </c>
      <c r="RUY93" s="60"/>
      <c r="RVN93" s="63" t="s">
        <v>882</v>
      </c>
      <c r="RVO93" s="60"/>
      <c r="RWD93" s="63" t="s">
        <v>882</v>
      </c>
      <c r="RWE93" s="60"/>
      <c r="RWT93" s="63" t="s">
        <v>882</v>
      </c>
      <c r="RWU93" s="60"/>
      <c r="RXJ93" s="63" t="s">
        <v>882</v>
      </c>
      <c r="RXK93" s="60"/>
      <c r="RXZ93" s="63" t="s">
        <v>882</v>
      </c>
      <c r="RYA93" s="60"/>
      <c r="RYP93" s="63" t="s">
        <v>882</v>
      </c>
      <c r="RYQ93" s="60"/>
      <c r="RZF93" s="63" t="s">
        <v>882</v>
      </c>
      <c r="RZG93" s="60"/>
      <c r="RZV93" s="63" t="s">
        <v>882</v>
      </c>
      <c r="RZW93" s="60"/>
      <c r="SAL93" s="63" t="s">
        <v>882</v>
      </c>
      <c r="SAM93" s="60"/>
      <c r="SBB93" s="63" t="s">
        <v>882</v>
      </c>
      <c r="SBC93" s="60"/>
      <c r="SBR93" s="63" t="s">
        <v>882</v>
      </c>
      <c r="SBS93" s="60"/>
      <c r="SCH93" s="63" t="s">
        <v>882</v>
      </c>
      <c r="SCI93" s="60"/>
      <c r="SCX93" s="63" t="s">
        <v>882</v>
      </c>
      <c r="SCY93" s="60"/>
      <c r="SDN93" s="63" t="s">
        <v>882</v>
      </c>
      <c r="SDO93" s="60"/>
      <c r="SED93" s="63" t="s">
        <v>882</v>
      </c>
      <c r="SEE93" s="60"/>
      <c r="SET93" s="63" t="s">
        <v>882</v>
      </c>
      <c r="SEU93" s="60"/>
      <c r="SFJ93" s="63" t="s">
        <v>882</v>
      </c>
      <c r="SFK93" s="60"/>
      <c r="SFZ93" s="63" t="s">
        <v>882</v>
      </c>
      <c r="SGA93" s="60"/>
      <c r="SGP93" s="63" t="s">
        <v>882</v>
      </c>
      <c r="SGQ93" s="60"/>
      <c r="SHF93" s="63" t="s">
        <v>882</v>
      </c>
      <c r="SHG93" s="60"/>
      <c r="SHV93" s="63" t="s">
        <v>882</v>
      </c>
      <c r="SHW93" s="60"/>
      <c r="SIL93" s="63" t="s">
        <v>882</v>
      </c>
      <c r="SIM93" s="60"/>
      <c r="SJB93" s="63" t="s">
        <v>882</v>
      </c>
      <c r="SJC93" s="60"/>
      <c r="SJR93" s="63" t="s">
        <v>882</v>
      </c>
      <c r="SJS93" s="60"/>
      <c r="SKH93" s="63" t="s">
        <v>882</v>
      </c>
      <c r="SKI93" s="60"/>
      <c r="SKX93" s="63" t="s">
        <v>882</v>
      </c>
      <c r="SKY93" s="60"/>
      <c r="SLN93" s="63" t="s">
        <v>882</v>
      </c>
      <c r="SLO93" s="60"/>
      <c r="SMD93" s="63" t="s">
        <v>882</v>
      </c>
      <c r="SME93" s="60"/>
      <c r="SMT93" s="63" t="s">
        <v>882</v>
      </c>
      <c r="SMU93" s="60"/>
      <c r="SNJ93" s="63" t="s">
        <v>882</v>
      </c>
      <c r="SNK93" s="60"/>
      <c r="SNZ93" s="63" t="s">
        <v>882</v>
      </c>
      <c r="SOA93" s="60"/>
      <c r="SOP93" s="63" t="s">
        <v>882</v>
      </c>
      <c r="SOQ93" s="60"/>
      <c r="SPF93" s="63" t="s">
        <v>882</v>
      </c>
      <c r="SPG93" s="60"/>
      <c r="SPV93" s="63" t="s">
        <v>882</v>
      </c>
      <c r="SPW93" s="60"/>
      <c r="SQL93" s="63" t="s">
        <v>882</v>
      </c>
      <c r="SQM93" s="60"/>
      <c r="SRB93" s="63" t="s">
        <v>882</v>
      </c>
      <c r="SRC93" s="60"/>
      <c r="SRR93" s="63" t="s">
        <v>882</v>
      </c>
      <c r="SRS93" s="60"/>
      <c r="SSH93" s="63" t="s">
        <v>882</v>
      </c>
      <c r="SSI93" s="60"/>
      <c r="SSX93" s="63" t="s">
        <v>882</v>
      </c>
      <c r="SSY93" s="60"/>
      <c r="STN93" s="63" t="s">
        <v>882</v>
      </c>
      <c r="STO93" s="60"/>
      <c r="SUD93" s="63" t="s">
        <v>882</v>
      </c>
      <c r="SUE93" s="60"/>
      <c r="SUT93" s="63" t="s">
        <v>882</v>
      </c>
      <c r="SUU93" s="60"/>
      <c r="SVJ93" s="63" t="s">
        <v>882</v>
      </c>
      <c r="SVK93" s="60"/>
      <c r="SVZ93" s="63" t="s">
        <v>882</v>
      </c>
      <c r="SWA93" s="60"/>
      <c r="SWP93" s="63" t="s">
        <v>882</v>
      </c>
      <c r="SWQ93" s="60"/>
      <c r="SXF93" s="63" t="s">
        <v>882</v>
      </c>
      <c r="SXG93" s="60"/>
      <c r="SXV93" s="63" t="s">
        <v>882</v>
      </c>
      <c r="SXW93" s="60"/>
      <c r="SYL93" s="63" t="s">
        <v>882</v>
      </c>
      <c r="SYM93" s="60"/>
      <c r="SZB93" s="63" t="s">
        <v>882</v>
      </c>
      <c r="SZC93" s="60"/>
      <c r="SZR93" s="63" t="s">
        <v>882</v>
      </c>
      <c r="SZS93" s="60"/>
      <c r="TAH93" s="63" t="s">
        <v>882</v>
      </c>
      <c r="TAI93" s="60"/>
      <c r="TAX93" s="63" t="s">
        <v>882</v>
      </c>
      <c r="TAY93" s="60"/>
      <c r="TBN93" s="63" t="s">
        <v>882</v>
      </c>
      <c r="TBO93" s="60"/>
      <c r="TCD93" s="63" t="s">
        <v>882</v>
      </c>
      <c r="TCE93" s="60"/>
      <c r="TCT93" s="63" t="s">
        <v>882</v>
      </c>
      <c r="TCU93" s="60"/>
      <c r="TDJ93" s="63" t="s">
        <v>882</v>
      </c>
      <c r="TDK93" s="60"/>
      <c r="TDZ93" s="63" t="s">
        <v>882</v>
      </c>
      <c r="TEA93" s="60"/>
      <c r="TEP93" s="63" t="s">
        <v>882</v>
      </c>
      <c r="TEQ93" s="60"/>
      <c r="TFF93" s="63" t="s">
        <v>882</v>
      </c>
      <c r="TFG93" s="60"/>
      <c r="TFV93" s="63" t="s">
        <v>882</v>
      </c>
      <c r="TFW93" s="60"/>
      <c r="TGL93" s="63" t="s">
        <v>882</v>
      </c>
      <c r="TGM93" s="60"/>
      <c r="THB93" s="63" t="s">
        <v>882</v>
      </c>
      <c r="THC93" s="60"/>
      <c r="THR93" s="63" t="s">
        <v>882</v>
      </c>
      <c r="THS93" s="60"/>
      <c r="TIH93" s="63" t="s">
        <v>882</v>
      </c>
      <c r="TII93" s="60"/>
      <c r="TIX93" s="63" t="s">
        <v>882</v>
      </c>
      <c r="TIY93" s="60"/>
      <c r="TJN93" s="63" t="s">
        <v>882</v>
      </c>
      <c r="TJO93" s="60"/>
      <c r="TKD93" s="63" t="s">
        <v>882</v>
      </c>
      <c r="TKE93" s="60"/>
      <c r="TKT93" s="63" t="s">
        <v>882</v>
      </c>
      <c r="TKU93" s="60"/>
      <c r="TLJ93" s="63" t="s">
        <v>882</v>
      </c>
      <c r="TLK93" s="60"/>
      <c r="TLZ93" s="63" t="s">
        <v>882</v>
      </c>
      <c r="TMA93" s="60"/>
      <c r="TMP93" s="63" t="s">
        <v>882</v>
      </c>
      <c r="TMQ93" s="60"/>
      <c r="TNF93" s="63" t="s">
        <v>882</v>
      </c>
      <c r="TNG93" s="60"/>
      <c r="TNV93" s="63" t="s">
        <v>882</v>
      </c>
      <c r="TNW93" s="60"/>
      <c r="TOL93" s="63" t="s">
        <v>882</v>
      </c>
      <c r="TOM93" s="60"/>
      <c r="TPB93" s="63" t="s">
        <v>882</v>
      </c>
      <c r="TPC93" s="60"/>
      <c r="TPR93" s="63" t="s">
        <v>882</v>
      </c>
      <c r="TPS93" s="60"/>
      <c r="TQH93" s="63" t="s">
        <v>882</v>
      </c>
      <c r="TQI93" s="60"/>
      <c r="TQX93" s="63" t="s">
        <v>882</v>
      </c>
      <c r="TQY93" s="60"/>
      <c r="TRN93" s="63" t="s">
        <v>882</v>
      </c>
      <c r="TRO93" s="60"/>
      <c r="TSD93" s="63" t="s">
        <v>882</v>
      </c>
      <c r="TSE93" s="60"/>
      <c r="TST93" s="63" t="s">
        <v>882</v>
      </c>
      <c r="TSU93" s="60"/>
      <c r="TTJ93" s="63" t="s">
        <v>882</v>
      </c>
      <c r="TTK93" s="60"/>
      <c r="TTZ93" s="63" t="s">
        <v>882</v>
      </c>
      <c r="TUA93" s="60"/>
      <c r="TUP93" s="63" t="s">
        <v>882</v>
      </c>
      <c r="TUQ93" s="60"/>
      <c r="TVF93" s="63" t="s">
        <v>882</v>
      </c>
      <c r="TVG93" s="60"/>
      <c r="TVV93" s="63" t="s">
        <v>882</v>
      </c>
      <c r="TVW93" s="60"/>
      <c r="TWL93" s="63" t="s">
        <v>882</v>
      </c>
      <c r="TWM93" s="60"/>
      <c r="TXB93" s="63" t="s">
        <v>882</v>
      </c>
      <c r="TXC93" s="60"/>
      <c r="TXR93" s="63" t="s">
        <v>882</v>
      </c>
      <c r="TXS93" s="60"/>
      <c r="TYH93" s="63" t="s">
        <v>882</v>
      </c>
      <c r="TYI93" s="60"/>
      <c r="TYX93" s="63" t="s">
        <v>882</v>
      </c>
      <c r="TYY93" s="60"/>
      <c r="TZN93" s="63" t="s">
        <v>882</v>
      </c>
      <c r="TZO93" s="60"/>
      <c r="UAD93" s="63" t="s">
        <v>882</v>
      </c>
      <c r="UAE93" s="60"/>
      <c r="UAT93" s="63" t="s">
        <v>882</v>
      </c>
      <c r="UAU93" s="60"/>
      <c r="UBJ93" s="63" t="s">
        <v>882</v>
      </c>
      <c r="UBK93" s="60"/>
      <c r="UBZ93" s="63" t="s">
        <v>882</v>
      </c>
      <c r="UCA93" s="60"/>
      <c r="UCP93" s="63" t="s">
        <v>882</v>
      </c>
      <c r="UCQ93" s="60"/>
      <c r="UDF93" s="63" t="s">
        <v>882</v>
      </c>
      <c r="UDG93" s="60"/>
      <c r="UDV93" s="63" t="s">
        <v>882</v>
      </c>
      <c r="UDW93" s="60"/>
      <c r="UEL93" s="63" t="s">
        <v>882</v>
      </c>
      <c r="UEM93" s="60"/>
      <c r="UFB93" s="63" t="s">
        <v>882</v>
      </c>
      <c r="UFC93" s="60"/>
      <c r="UFR93" s="63" t="s">
        <v>882</v>
      </c>
      <c r="UFS93" s="60"/>
      <c r="UGH93" s="63" t="s">
        <v>882</v>
      </c>
      <c r="UGI93" s="60"/>
      <c r="UGX93" s="63" t="s">
        <v>882</v>
      </c>
      <c r="UGY93" s="60"/>
      <c r="UHN93" s="63" t="s">
        <v>882</v>
      </c>
      <c r="UHO93" s="60"/>
      <c r="UID93" s="63" t="s">
        <v>882</v>
      </c>
      <c r="UIE93" s="60"/>
      <c r="UIT93" s="63" t="s">
        <v>882</v>
      </c>
      <c r="UIU93" s="60"/>
      <c r="UJJ93" s="63" t="s">
        <v>882</v>
      </c>
      <c r="UJK93" s="60"/>
      <c r="UJZ93" s="63" t="s">
        <v>882</v>
      </c>
      <c r="UKA93" s="60"/>
      <c r="UKP93" s="63" t="s">
        <v>882</v>
      </c>
      <c r="UKQ93" s="60"/>
      <c r="ULF93" s="63" t="s">
        <v>882</v>
      </c>
      <c r="ULG93" s="60"/>
      <c r="ULV93" s="63" t="s">
        <v>882</v>
      </c>
      <c r="ULW93" s="60"/>
      <c r="UML93" s="63" t="s">
        <v>882</v>
      </c>
      <c r="UMM93" s="60"/>
      <c r="UNB93" s="63" t="s">
        <v>882</v>
      </c>
      <c r="UNC93" s="60"/>
      <c r="UNR93" s="63" t="s">
        <v>882</v>
      </c>
      <c r="UNS93" s="60"/>
      <c r="UOH93" s="63" t="s">
        <v>882</v>
      </c>
      <c r="UOI93" s="60"/>
      <c r="UOX93" s="63" t="s">
        <v>882</v>
      </c>
      <c r="UOY93" s="60"/>
      <c r="UPN93" s="63" t="s">
        <v>882</v>
      </c>
      <c r="UPO93" s="60"/>
      <c r="UQD93" s="63" t="s">
        <v>882</v>
      </c>
      <c r="UQE93" s="60"/>
      <c r="UQT93" s="63" t="s">
        <v>882</v>
      </c>
      <c r="UQU93" s="60"/>
      <c r="URJ93" s="63" t="s">
        <v>882</v>
      </c>
      <c r="URK93" s="60"/>
      <c r="URZ93" s="63" t="s">
        <v>882</v>
      </c>
      <c r="USA93" s="60"/>
      <c r="USP93" s="63" t="s">
        <v>882</v>
      </c>
      <c r="USQ93" s="60"/>
      <c r="UTF93" s="63" t="s">
        <v>882</v>
      </c>
      <c r="UTG93" s="60"/>
      <c r="UTV93" s="63" t="s">
        <v>882</v>
      </c>
      <c r="UTW93" s="60"/>
      <c r="UUL93" s="63" t="s">
        <v>882</v>
      </c>
      <c r="UUM93" s="60"/>
      <c r="UVB93" s="63" t="s">
        <v>882</v>
      </c>
      <c r="UVC93" s="60"/>
      <c r="UVR93" s="63" t="s">
        <v>882</v>
      </c>
      <c r="UVS93" s="60"/>
      <c r="UWH93" s="63" t="s">
        <v>882</v>
      </c>
      <c r="UWI93" s="60"/>
      <c r="UWX93" s="63" t="s">
        <v>882</v>
      </c>
      <c r="UWY93" s="60"/>
      <c r="UXN93" s="63" t="s">
        <v>882</v>
      </c>
      <c r="UXO93" s="60"/>
      <c r="UYD93" s="63" t="s">
        <v>882</v>
      </c>
      <c r="UYE93" s="60"/>
      <c r="UYT93" s="63" t="s">
        <v>882</v>
      </c>
      <c r="UYU93" s="60"/>
      <c r="UZJ93" s="63" t="s">
        <v>882</v>
      </c>
      <c r="UZK93" s="60"/>
      <c r="UZZ93" s="63" t="s">
        <v>882</v>
      </c>
      <c r="VAA93" s="60"/>
      <c r="VAP93" s="63" t="s">
        <v>882</v>
      </c>
      <c r="VAQ93" s="60"/>
      <c r="VBF93" s="63" t="s">
        <v>882</v>
      </c>
      <c r="VBG93" s="60"/>
      <c r="VBV93" s="63" t="s">
        <v>882</v>
      </c>
      <c r="VBW93" s="60"/>
      <c r="VCL93" s="63" t="s">
        <v>882</v>
      </c>
      <c r="VCM93" s="60"/>
      <c r="VDB93" s="63" t="s">
        <v>882</v>
      </c>
      <c r="VDC93" s="60"/>
      <c r="VDR93" s="63" t="s">
        <v>882</v>
      </c>
      <c r="VDS93" s="60"/>
      <c r="VEH93" s="63" t="s">
        <v>882</v>
      </c>
      <c r="VEI93" s="60"/>
      <c r="VEX93" s="63" t="s">
        <v>882</v>
      </c>
      <c r="VEY93" s="60"/>
      <c r="VFN93" s="63" t="s">
        <v>882</v>
      </c>
      <c r="VFO93" s="60"/>
      <c r="VGD93" s="63" t="s">
        <v>882</v>
      </c>
      <c r="VGE93" s="60"/>
      <c r="VGT93" s="63" t="s">
        <v>882</v>
      </c>
      <c r="VGU93" s="60"/>
      <c r="VHJ93" s="63" t="s">
        <v>882</v>
      </c>
      <c r="VHK93" s="60"/>
      <c r="VHZ93" s="63" t="s">
        <v>882</v>
      </c>
      <c r="VIA93" s="60"/>
      <c r="VIP93" s="63" t="s">
        <v>882</v>
      </c>
      <c r="VIQ93" s="60"/>
      <c r="VJF93" s="63" t="s">
        <v>882</v>
      </c>
      <c r="VJG93" s="60"/>
      <c r="VJV93" s="63" t="s">
        <v>882</v>
      </c>
      <c r="VJW93" s="60"/>
      <c r="VKL93" s="63" t="s">
        <v>882</v>
      </c>
      <c r="VKM93" s="60"/>
      <c r="VLB93" s="63" t="s">
        <v>882</v>
      </c>
      <c r="VLC93" s="60"/>
      <c r="VLR93" s="63" t="s">
        <v>882</v>
      </c>
      <c r="VLS93" s="60"/>
      <c r="VMH93" s="63" t="s">
        <v>882</v>
      </c>
      <c r="VMI93" s="60"/>
      <c r="VMX93" s="63" t="s">
        <v>882</v>
      </c>
      <c r="VMY93" s="60"/>
      <c r="VNN93" s="63" t="s">
        <v>882</v>
      </c>
      <c r="VNO93" s="60"/>
      <c r="VOD93" s="63" t="s">
        <v>882</v>
      </c>
      <c r="VOE93" s="60"/>
      <c r="VOT93" s="63" t="s">
        <v>882</v>
      </c>
      <c r="VOU93" s="60"/>
      <c r="VPJ93" s="63" t="s">
        <v>882</v>
      </c>
      <c r="VPK93" s="60"/>
      <c r="VPZ93" s="63" t="s">
        <v>882</v>
      </c>
      <c r="VQA93" s="60"/>
      <c r="VQP93" s="63" t="s">
        <v>882</v>
      </c>
      <c r="VQQ93" s="60"/>
      <c r="VRF93" s="63" t="s">
        <v>882</v>
      </c>
      <c r="VRG93" s="60"/>
      <c r="VRV93" s="63" t="s">
        <v>882</v>
      </c>
      <c r="VRW93" s="60"/>
      <c r="VSL93" s="63" t="s">
        <v>882</v>
      </c>
      <c r="VSM93" s="60"/>
      <c r="VTB93" s="63" t="s">
        <v>882</v>
      </c>
      <c r="VTC93" s="60"/>
      <c r="VTR93" s="63" t="s">
        <v>882</v>
      </c>
      <c r="VTS93" s="60"/>
      <c r="VUH93" s="63" t="s">
        <v>882</v>
      </c>
      <c r="VUI93" s="60"/>
      <c r="VUX93" s="63" t="s">
        <v>882</v>
      </c>
      <c r="VUY93" s="60"/>
      <c r="VVN93" s="63" t="s">
        <v>882</v>
      </c>
      <c r="VVO93" s="60"/>
      <c r="VWD93" s="63" t="s">
        <v>882</v>
      </c>
      <c r="VWE93" s="60"/>
      <c r="VWT93" s="63" t="s">
        <v>882</v>
      </c>
      <c r="VWU93" s="60"/>
      <c r="VXJ93" s="63" t="s">
        <v>882</v>
      </c>
      <c r="VXK93" s="60"/>
      <c r="VXZ93" s="63" t="s">
        <v>882</v>
      </c>
      <c r="VYA93" s="60"/>
      <c r="VYP93" s="63" t="s">
        <v>882</v>
      </c>
      <c r="VYQ93" s="60"/>
      <c r="VZF93" s="63" t="s">
        <v>882</v>
      </c>
      <c r="VZG93" s="60"/>
      <c r="VZV93" s="63" t="s">
        <v>882</v>
      </c>
      <c r="VZW93" s="60"/>
      <c r="WAL93" s="63" t="s">
        <v>882</v>
      </c>
      <c r="WAM93" s="60"/>
      <c r="WBB93" s="63" t="s">
        <v>882</v>
      </c>
      <c r="WBC93" s="60"/>
      <c r="WBR93" s="63" t="s">
        <v>882</v>
      </c>
      <c r="WBS93" s="60"/>
      <c r="WCH93" s="63" t="s">
        <v>882</v>
      </c>
      <c r="WCI93" s="60"/>
      <c r="WCX93" s="63" t="s">
        <v>882</v>
      </c>
      <c r="WCY93" s="60"/>
      <c r="WDN93" s="63" t="s">
        <v>882</v>
      </c>
      <c r="WDO93" s="60"/>
      <c r="WED93" s="63" t="s">
        <v>882</v>
      </c>
      <c r="WEE93" s="60"/>
      <c r="WET93" s="63" t="s">
        <v>882</v>
      </c>
      <c r="WEU93" s="60"/>
      <c r="WFJ93" s="63" t="s">
        <v>882</v>
      </c>
      <c r="WFK93" s="60"/>
      <c r="WFZ93" s="63" t="s">
        <v>882</v>
      </c>
      <c r="WGA93" s="60"/>
      <c r="WGP93" s="63" t="s">
        <v>882</v>
      </c>
      <c r="WGQ93" s="60"/>
      <c r="WHF93" s="63" t="s">
        <v>882</v>
      </c>
      <c r="WHG93" s="60"/>
      <c r="WHV93" s="63" t="s">
        <v>882</v>
      </c>
      <c r="WHW93" s="60"/>
      <c r="WIL93" s="63" t="s">
        <v>882</v>
      </c>
      <c r="WIM93" s="60"/>
      <c r="WJB93" s="63" t="s">
        <v>882</v>
      </c>
      <c r="WJC93" s="60"/>
      <c r="WJR93" s="63" t="s">
        <v>882</v>
      </c>
      <c r="WJS93" s="60"/>
      <c r="WKH93" s="63" t="s">
        <v>882</v>
      </c>
      <c r="WKI93" s="60"/>
      <c r="WKX93" s="63" t="s">
        <v>882</v>
      </c>
      <c r="WKY93" s="60"/>
      <c r="WLN93" s="63" t="s">
        <v>882</v>
      </c>
      <c r="WLO93" s="60"/>
      <c r="WMD93" s="63" t="s">
        <v>882</v>
      </c>
      <c r="WME93" s="60"/>
      <c r="WMT93" s="63" t="s">
        <v>882</v>
      </c>
      <c r="WMU93" s="60"/>
      <c r="WNJ93" s="63" t="s">
        <v>882</v>
      </c>
      <c r="WNK93" s="60"/>
      <c r="WNZ93" s="63" t="s">
        <v>882</v>
      </c>
      <c r="WOA93" s="60"/>
      <c r="WOP93" s="63" t="s">
        <v>882</v>
      </c>
      <c r="WOQ93" s="60"/>
      <c r="WPF93" s="63" t="s">
        <v>882</v>
      </c>
      <c r="WPG93" s="60"/>
      <c r="WPV93" s="63" t="s">
        <v>882</v>
      </c>
      <c r="WPW93" s="60"/>
      <c r="WQL93" s="63" t="s">
        <v>882</v>
      </c>
      <c r="WQM93" s="60"/>
      <c r="WRB93" s="63" t="s">
        <v>882</v>
      </c>
      <c r="WRC93" s="60"/>
      <c r="WRR93" s="63" t="s">
        <v>882</v>
      </c>
      <c r="WRS93" s="60"/>
      <c r="WSH93" s="63" t="s">
        <v>882</v>
      </c>
      <c r="WSI93" s="60"/>
      <c r="WSX93" s="63" t="s">
        <v>882</v>
      </c>
      <c r="WSY93" s="60"/>
      <c r="WTN93" s="63" t="s">
        <v>882</v>
      </c>
      <c r="WTO93" s="60"/>
      <c r="WUD93" s="63" t="s">
        <v>882</v>
      </c>
      <c r="WUE93" s="60"/>
      <c r="WUT93" s="63" t="s">
        <v>882</v>
      </c>
      <c r="WUU93" s="60"/>
      <c r="WVJ93" s="63" t="s">
        <v>882</v>
      </c>
      <c r="WVK93" s="60"/>
      <c r="WVZ93" s="63" t="s">
        <v>882</v>
      </c>
      <c r="WWA93" s="60"/>
      <c r="WWP93" s="63" t="s">
        <v>882</v>
      </c>
      <c r="WWQ93" s="60"/>
      <c r="WXF93" s="63" t="s">
        <v>882</v>
      </c>
      <c r="WXG93" s="60"/>
      <c r="WXV93" s="63" t="s">
        <v>882</v>
      </c>
      <c r="WXW93" s="60"/>
      <c r="WYL93" s="63" t="s">
        <v>882</v>
      </c>
      <c r="WYM93" s="60"/>
      <c r="WZB93" s="63" t="s">
        <v>882</v>
      </c>
      <c r="WZC93" s="60"/>
      <c r="WZR93" s="63" t="s">
        <v>882</v>
      </c>
      <c r="WZS93" s="60"/>
      <c r="XAH93" s="63" t="s">
        <v>882</v>
      </c>
      <c r="XAI93" s="60"/>
      <c r="XAX93" s="63" t="s">
        <v>882</v>
      </c>
      <c r="XAY93" s="60"/>
      <c r="XBN93" s="63" t="s">
        <v>882</v>
      </c>
      <c r="XBO93" s="60"/>
      <c r="XCD93" s="63" t="s">
        <v>882</v>
      </c>
      <c r="XCE93" s="60"/>
      <c r="XCT93" s="63" t="s">
        <v>882</v>
      </c>
      <c r="XCU93" s="60"/>
      <c r="XDJ93" s="63" t="s">
        <v>882</v>
      </c>
      <c r="XDK93" s="60"/>
      <c r="XDZ93" s="63" t="s">
        <v>882</v>
      </c>
      <c r="XEA93" s="60"/>
      <c r="XEP93" s="63" t="s">
        <v>882</v>
      </c>
      <c r="XEQ93" s="60"/>
    </row>
    <row r="94" spans="2:1011 1026:2035 2050:3059 3074:4083 4098:5107 5122:6131 6146:7155 7170:8179 8194:9203 9218:10227 10242:11251 11266:12275 12290:13299 13314:14323 14338:15347 15362:16371" ht="14.25" x14ac:dyDescent="0.2">
      <c r="R94" s="34" t="s">
        <v>885</v>
      </c>
      <c r="S94" s="60"/>
      <c r="AH94" s="34" t="s">
        <v>885</v>
      </c>
      <c r="AI94" s="60"/>
      <c r="AX94" s="34" t="s">
        <v>885</v>
      </c>
      <c r="AY94" s="60"/>
      <c r="BN94" s="34" t="s">
        <v>885</v>
      </c>
      <c r="BO94" s="60"/>
      <c r="CD94" s="34" t="s">
        <v>885</v>
      </c>
      <c r="CE94" s="60"/>
      <c r="CT94" s="34" t="s">
        <v>885</v>
      </c>
      <c r="CU94" s="60"/>
      <c r="DJ94" s="34" t="s">
        <v>885</v>
      </c>
      <c r="DK94" s="60"/>
      <c r="DZ94" s="34" t="s">
        <v>885</v>
      </c>
      <c r="EA94" s="60"/>
      <c r="EP94" s="34" t="s">
        <v>885</v>
      </c>
      <c r="EQ94" s="60"/>
      <c r="FF94" s="34" t="s">
        <v>885</v>
      </c>
      <c r="FG94" s="60"/>
      <c r="FV94" s="34" t="s">
        <v>885</v>
      </c>
      <c r="FW94" s="60"/>
      <c r="GL94" s="34" t="s">
        <v>885</v>
      </c>
      <c r="GM94" s="60"/>
      <c r="HB94" s="34" t="s">
        <v>885</v>
      </c>
      <c r="HC94" s="60"/>
      <c r="HR94" s="34" t="s">
        <v>885</v>
      </c>
      <c r="HS94" s="60"/>
      <c r="IH94" s="34" t="s">
        <v>885</v>
      </c>
      <c r="II94" s="60"/>
      <c r="IX94" s="34" t="s">
        <v>885</v>
      </c>
      <c r="IY94" s="60"/>
      <c r="JN94" s="34" t="s">
        <v>885</v>
      </c>
      <c r="JO94" s="60"/>
      <c r="KD94" s="34" t="s">
        <v>885</v>
      </c>
      <c r="KE94" s="60"/>
      <c r="KT94" s="34" t="s">
        <v>885</v>
      </c>
      <c r="KU94" s="60"/>
      <c r="LJ94" s="34" t="s">
        <v>885</v>
      </c>
      <c r="LK94" s="60"/>
      <c r="LZ94" s="34" t="s">
        <v>885</v>
      </c>
      <c r="MA94" s="60"/>
      <c r="MP94" s="34" t="s">
        <v>885</v>
      </c>
      <c r="MQ94" s="60"/>
      <c r="NF94" s="34" t="s">
        <v>885</v>
      </c>
      <c r="NG94" s="60"/>
      <c r="NV94" s="34" t="s">
        <v>885</v>
      </c>
      <c r="NW94" s="60"/>
      <c r="OL94" s="34" t="s">
        <v>885</v>
      </c>
      <c r="OM94" s="60"/>
      <c r="PB94" s="34" t="s">
        <v>885</v>
      </c>
      <c r="PC94" s="60"/>
      <c r="PR94" s="34" t="s">
        <v>885</v>
      </c>
      <c r="PS94" s="60"/>
      <c r="QH94" s="34" t="s">
        <v>885</v>
      </c>
      <c r="QI94" s="60"/>
      <c r="QX94" s="34" t="s">
        <v>885</v>
      </c>
      <c r="QY94" s="60"/>
      <c r="RN94" s="34" t="s">
        <v>885</v>
      </c>
      <c r="RO94" s="60"/>
      <c r="SD94" s="34" t="s">
        <v>885</v>
      </c>
      <c r="SE94" s="60"/>
      <c r="ST94" s="34" t="s">
        <v>885</v>
      </c>
      <c r="SU94" s="60"/>
      <c r="TJ94" s="34" t="s">
        <v>885</v>
      </c>
      <c r="TK94" s="60"/>
      <c r="TZ94" s="34" t="s">
        <v>885</v>
      </c>
      <c r="UA94" s="60"/>
      <c r="UP94" s="34" t="s">
        <v>885</v>
      </c>
      <c r="UQ94" s="60"/>
      <c r="VF94" s="34" t="s">
        <v>885</v>
      </c>
      <c r="VG94" s="60"/>
      <c r="VV94" s="34" t="s">
        <v>885</v>
      </c>
      <c r="VW94" s="60"/>
      <c r="WL94" s="34" t="s">
        <v>885</v>
      </c>
      <c r="WM94" s="60"/>
      <c r="XB94" s="34" t="s">
        <v>885</v>
      </c>
      <c r="XC94" s="60"/>
      <c r="XR94" s="34" t="s">
        <v>885</v>
      </c>
      <c r="XS94" s="60"/>
      <c r="YH94" s="34" t="s">
        <v>885</v>
      </c>
      <c r="YI94" s="60"/>
      <c r="YX94" s="34" t="s">
        <v>885</v>
      </c>
      <c r="YY94" s="60"/>
      <c r="ZN94" s="34" t="s">
        <v>885</v>
      </c>
      <c r="ZO94" s="60"/>
      <c r="AAD94" s="34" t="s">
        <v>885</v>
      </c>
      <c r="AAE94" s="60"/>
      <c r="AAT94" s="34" t="s">
        <v>885</v>
      </c>
      <c r="AAU94" s="60"/>
      <c r="ABJ94" s="34" t="s">
        <v>885</v>
      </c>
      <c r="ABK94" s="60"/>
      <c r="ABZ94" s="34" t="s">
        <v>885</v>
      </c>
      <c r="ACA94" s="60"/>
      <c r="ACP94" s="34" t="s">
        <v>885</v>
      </c>
      <c r="ACQ94" s="60"/>
      <c r="ADF94" s="34" t="s">
        <v>885</v>
      </c>
      <c r="ADG94" s="60"/>
      <c r="ADV94" s="34" t="s">
        <v>885</v>
      </c>
      <c r="ADW94" s="60"/>
      <c r="AEL94" s="34" t="s">
        <v>885</v>
      </c>
      <c r="AEM94" s="60"/>
      <c r="AFB94" s="34" t="s">
        <v>885</v>
      </c>
      <c r="AFC94" s="60"/>
      <c r="AFR94" s="34" t="s">
        <v>885</v>
      </c>
      <c r="AFS94" s="60"/>
      <c r="AGH94" s="34" t="s">
        <v>885</v>
      </c>
      <c r="AGI94" s="60"/>
      <c r="AGX94" s="34" t="s">
        <v>885</v>
      </c>
      <c r="AGY94" s="60"/>
      <c r="AHN94" s="34" t="s">
        <v>885</v>
      </c>
      <c r="AHO94" s="60"/>
      <c r="AID94" s="34" t="s">
        <v>885</v>
      </c>
      <c r="AIE94" s="60"/>
      <c r="AIT94" s="34" t="s">
        <v>885</v>
      </c>
      <c r="AIU94" s="60"/>
      <c r="AJJ94" s="34" t="s">
        <v>885</v>
      </c>
      <c r="AJK94" s="60"/>
      <c r="AJZ94" s="34" t="s">
        <v>885</v>
      </c>
      <c r="AKA94" s="60"/>
      <c r="AKP94" s="34" t="s">
        <v>885</v>
      </c>
      <c r="AKQ94" s="60"/>
      <c r="ALF94" s="34" t="s">
        <v>885</v>
      </c>
      <c r="ALG94" s="60"/>
      <c r="ALV94" s="34" t="s">
        <v>885</v>
      </c>
      <c r="ALW94" s="60"/>
      <c r="AML94" s="34" t="s">
        <v>885</v>
      </c>
      <c r="AMM94" s="60"/>
      <c r="ANB94" s="34" t="s">
        <v>885</v>
      </c>
      <c r="ANC94" s="60"/>
      <c r="ANR94" s="34" t="s">
        <v>885</v>
      </c>
      <c r="ANS94" s="60"/>
      <c r="AOH94" s="34" t="s">
        <v>885</v>
      </c>
      <c r="AOI94" s="60"/>
      <c r="AOX94" s="34" t="s">
        <v>885</v>
      </c>
      <c r="AOY94" s="60"/>
      <c r="APN94" s="34" t="s">
        <v>885</v>
      </c>
      <c r="APO94" s="60"/>
      <c r="AQD94" s="34" t="s">
        <v>885</v>
      </c>
      <c r="AQE94" s="60"/>
      <c r="AQT94" s="34" t="s">
        <v>885</v>
      </c>
      <c r="AQU94" s="60"/>
      <c r="ARJ94" s="34" t="s">
        <v>885</v>
      </c>
      <c r="ARK94" s="60"/>
      <c r="ARZ94" s="34" t="s">
        <v>885</v>
      </c>
      <c r="ASA94" s="60"/>
      <c r="ASP94" s="34" t="s">
        <v>885</v>
      </c>
      <c r="ASQ94" s="60"/>
      <c r="ATF94" s="34" t="s">
        <v>885</v>
      </c>
      <c r="ATG94" s="60"/>
      <c r="ATV94" s="34" t="s">
        <v>885</v>
      </c>
      <c r="ATW94" s="60"/>
      <c r="AUL94" s="34" t="s">
        <v>885</v>
      </c>
      <c r="AUM94" s="60"/>
      <c r="AVB94" s="34" t="s">
        <v>885</v>
      </c>
      <c r="AVC94" s="60"/>
      <c r="AVR94" s="34" t="s">
        <v>885</v>
      </c>
      <c r="AVS94" s="60"/>
      <c r="AWH94" s="34" t="s">
        <v>885</v>
      </c>
      <c r="AWI94" s="60"/>
      <c r="AWX94" s="34" t="s">
        <v>885</v>
      </c>
      <c r="AWY94" s="60"/>
      <c r="AXN94" s="34" t="s">
        <v>885</v>
      </c>
      <c r="AXO94" s="60"/>
      <c r="AYD94" s="34" t="s">
        <v>885</v>
      </c>
      <c r="AYE94" s="60"/>
      <c r="AYT94" s="34" t="s">
        <v>885</v>
      </c>
      <c r="AYU94" s="60"/>
      <c r="AZJ94" s="34" t="s">
        <v>885</v>
      </c>
      <c r="AZK94" s="60"/>
      <c r="AZZ94" s="34" t="s">
        <v>885</v>
      </c>
      <c r="BAA94" s="60"/>
      <c r="BAP94" s="34" t="s">
        <v>885</v>
      </c>
      <c r="BAQ94" s="60"/>
      <c r="BBF94" s="34" t="s">
        <v>885</v>
      </c>
      <c r="BBG94" s="60"/>
      <c r="BBV94" s="34" t="s">
        <v>885</v>
      </c>
      <c r="BBW94" s="60"/>
      <c r="BCL94" s="34" t="s">
        <v>885</v>
      </c>
      <c r="BCM94" s="60"/>
      <c r="BDB94" s="34" t="s">
        <v>885</v>
      </c>
      <c r="BDC94" s="60"/>
      <c r="BDR94" s="34" t="s">
        <v>885</v>
      </c>
      <c r="BDS94" s="60"/>
      <c r="BEH94" s="34" t="s">
        <v>885</v>
      </c>
      <c r="BEI94" s="60"/>
      <c r="BEX94" s="34" t="s">
        <v>885</v>
      </c>
      <c r="BEY94" s="60"/>
      <c r="BFN94" s="34" t="s">
        <v>885</v>
      </c>
      <c r="BFO94" s="60"/>
      <c r="BGD94" s="34" t="s">
        <v>885</v>
      </c>
      <c r="BGE94" s="60"/>
      <c r="BGT94" s="34" t="s">
        <v>885</v>
      </c>
      <c r="BGU94" s="60"/>
      <c r="BHJ94" s="34" t="s">
        <v>885</v>
      </c>
      <c r="BHK94" s="60"/>
      <c r="BHZ94" s="34" t="s">
        <v>885</v>
      </c>
      <c r="BIA94" s="60"/>
      <c r="BIP94" s="34" t="s">
        <v>885</v>
      </c>
      <c r="BIQ94" s="60"/>
      <c r="BJF94" s="34" t="s">
        <v>885</v>
      </c>
      <c r="BJG94" s="60"/>
      <c r="BJV94" s="34" t="s">
        <v>885</v>
      </c>
      <c r="BJW94" s="60"/>
      <c r="BKL94" s="34" t="s">
        <v>885</v>
      </c>
      <c r="BKM94" s="60"/>
      <c r="BLB94" s="34" t="s">
        <v>885</v>
      </c>
      <c r="BLC94" s="60"/>
      <c r="BLR94" s="34" t="s">
        <v>885</v>
      </c>
      <c r="BLS94" s="60"/>
      <c r="BMH94" s="34" t="s">
        <v>885</v>
      </c>
      <c r="BMI94" s="60"/>
      <c r="BMX94" s="34" t="s">
        <v>885</v>
      </c>
      <c r="BMY94" s="60"/>
      <c r="BNN94" s="34" t="s">
        <v>885</v>
      </c>
      <c r="BNO94" s="60"/>
      <c r="BOD94" s="34" t="s">
        <v>885</v>
      </c>
      <c r="BOE94" s="60"/>
      <c r="BOT94" s="34" t="s">
        <v>885</v>
      </c>
      <c r="BOU94" s="60"/>
      <c r="BPJ94" s="34" t="s">
        <v>885</v>
      </c>
      <c r="BPK94" s="60"/>
      <c r="BPZ94" s="34" t="s">
        <v>885</v>
      </c>
      <c r="BQA94" s="60"/>
      <c r="BQP94" s="34" t="s">
        <v>885</v>
      </c>
      <c r="BQQ94" s="60"/>
      <c r="BRF94" s="34" t="s">
        <v>885</v>
      </c>
      <c r="BRG94" s="60"/>
      <c r="BRV94" s="34" t="s">
        <v>885</v>
      </c>
      <c r="BRW94" s="60"/>
      <c r="BSL94" s="34" t="s">
        <v>885</v>
      </c>
      <c r="BSM94" s="60"/>
      <c r="BTB94" s="34" t="s">
        <v>885</v>
      </c>
      <c r="BTC94" s="60"/>
      <c r="BTR94" s="34" t="s">
        <v>885</v>
      </c>
      <c r="BTS94" s="60"/>
      <c r="BUH94" s="34" t="s">
        <v>885</v>
      </c>
      <c r="BUI94" s="60"/>
      <c r="BUX94" s="34" t="s">
        <v>885</v>
      </c>
      <c r="BUY94" s="60"/>
      <c r="BVN94" s="34" t="s">
        <v>885</v>
      </c>
      <c r="BVO94" s="60"/>
      <c r="BWD94" s="34" t="s">
        <v>885</v>
      </c>
      <c r="BWE94" s="60"/>
      <c r="BWT94" s="34" t="s">
        <v>885</v>
      </c>
      <c r="BWU94" s="60"/>
      <c r="BXJ94" s="34" t="s">
        <v>885</v>
      </c>
      <c r="BXK94" s="60"/>
      <c r="BXZ94" s="34" t="s">
        <v>885</v>
      </c>
      <c r="BYA94" s="60"/>
      <c r="BYP94" s="34" t="s">
        <v>885</v>
      </c>
      <c r="BYQ94" s="60"/>
      <c r="BZF94" s="34" t="s">
        <v>885</v>
      </c>
      <c r="BZG94" s="60"/>
      <c r="BZV94" s="34" t="s">
        <v>885</v>
      </c>
      <c r="BZW94" s="60"/>
      <c r="CAL94" s="34" t="s">
        <v>885</v>
      </c>
      <c r="CAM94" s="60"/>
      <c r="CBB94" s="34" t="s">
        <v>885</v>
      </c>
      <c r="CBC94" s="60"/>
      <c r="CBR94" s="34" t="s">
        <v>885</v>
      </c>
      <c r="CBS94" s="60"/>
      <c r="CCH94" s="34" t="s">
        <v>885</v>
      </c>
      <c r="CCI94" s="60"/>
      <c r="CCX94" s="34" t="s">
        <v>885</v>
      </c>
      <c r="CCY94" s="60"/>
      <c r="CDN94" s="34" t="s">
        <v>885</v>
      </c>
      <c r="CDO94" s="60"/>
      <c r="CED94" s="34" t="s">
        <v>885</v>
      </c>
      <c r="CEE94" s="60"/>
      <c r="CET94" s="34" t="s">
        <v>885</v>
      </c>
      <c r="CEU94" s="60"/>
      <c r="CFJ94" s="34" t="s">
        <v>885</v>
      </c>
      <c r="CFK94" s="60"/>
      <c r="CFZ94" s="34" t="s">
        <v>885</v>
      </c>
      <c r="CGA94" s="60"/>
      <c r="CGP94" s="34" t="s">
        <v>885</v>
      </c>
      <c r="CGQ94" s="60"/>
      <c r="CHF94" s="34" t="s">
        <v>885</v>
      </c>
      <c r="CHG94" s="60"/>
      <c r="CHV94" s="34" t="s">
        <v>885</v>
      </c>
      <c r="CHW94" s="60"/>
      <c r="CIL94" s="34" t="s">
        <v>885</v>
      </c>
      <c r="CIM94" s="60"/>
      <c r="CJB94" s="34" t="s">
        <v>885</v>
      </c>
      <c r="CJC94" s="60"/>
      <c r="CJR94" s="34" t="s">
        <v>885</v>
      </c>
      <c r="CJS94" s="60"/>
      <c r="CKH94" s="34" t="s">
        <v>885</v>
      </c>
      <c r="CKI94" s="60"/>
      <c r="CKX94" s="34" t="s">
        <v>885</v>
      </c>
      <c r="CKY94" s="60"/>
      <c r="CLN94" s="34" t="s">
        <v>885</v>
      </c>
      <c r="CLO94" s="60"/>
      <c r="CMD94" s="34" t="s">
        <v>885</v>
      </c>
      <c r="CME94" s="60"/>
      <c r="CMT94" s="34" t="s">
        <v>885</v>
      </c>
      <c r="CMU94" s="60"/>
      <c r="CNJ94" s="34" t="s">
        <v>885</v>
      </c>
      <c r="CNK94" s="60"/>
      <c r="CNZ94" s="34" t="s">
        <v>885</v>
      </c>
      <c r="COA94" s="60"/>
      <c r="COP94" s="34" t="s">
        <v>885</v>
      </c>
      <c r="COQ94" s="60"/>
      <c r="CPF94" s="34" t="s">
        <v>885</v>
      </c>
      <c r="CPG94" s="60"/>
      <c r="CPV94" s="34" t="s">
        <v>885</v>
      </c>
      <c r="CPW94" s="60"/>
      <c r="CQL94" s="34" t="s">
        <v>885</v>
      </c>
      <c r="CQM94" s="60"/>
      <c r="CRB94" s="34" t="s">
        <v>885</v>
      </c>
      <c r="CRC94" s="60"/>
      <c r="CRR94" s="34" t="s">
        <v>885</v>
      </c>
      <c r="CRS94" s="60"/>
      <c r="CSH94" s="34" t="s">
        <v>885</v>
      </c>
      <c r="CSI94" s="60"/>
      <c r="CSX94" s="34" t="s">
        <v>885</v>
      </c>
      <c r="CSY94" s="60"/>
      <c r="CTN94" s="34" t="s">
        <v>885</v>
      </c>
      <c r="CTO94" s="60"/>
      <c r="CUD94" s="34" t="s">
        <v>885</v>
      </c>
      <c r="CUE94" s="60"/>
      <c r="CUT94" s="34" t="s">
        <v>885</v>
      </c>
      <c r="CUU94" s="60"/>
      <c r="CVJ94" s="34" t="s">
        <v>885</v>
      </c>
      <c r="CVK94" s="60"/>
      <c r="CVZ94" s="34" t="s">
        <v>885</v>
      </c>
      <c r="CWA94" s="60"/>
      <c r="CWP94" s="34" t="s">
        <v>885</v>
      </c>
      <c r="CWQ94" s="60"/>
      <c r="CXF94" s="34" t="s">
        <v>885</v>
      </c>
      <c r="CXG94" s="60"/>
      <c r="CXV94" s="34" t="s">
        <v>885</v>
      </c>
      <c r="CXW94" s="60"/>
      <c r="CYL94" s="34" t="s">
        <v>885</v>
      </c>
      <c r="CYM94" s="60"/>
      <c r="CZB94" s="34" t="s">
        <v>885</v>
      </c>
      <c r="CZC94" s="60"/>
      <c r="CZR94" s="34" t="s">
        <v>885</v>
      </c>
      <c r="CZS94" s="60"/>
      <c r="DAH94" s="34" t="s">
        <v>885</v>
      </c>
      <c r="DAI94" s="60"/>
      <c r="DAX94" s="34" t="s">
        <v>885</v>
      </c>
      <c r="DAY94" s="60"/>
      <c r="DBN94" s="34" t="s">
        <v>885</v>
      </c>
      <c r="DBO94" s="60"/>
      <c r="DCD94" s="34" t="s">
        <v>885</v>
      </c>
      <c r="DCE94" s="60"/>
      <c r="DCT94" s="34" t="s">
        <v>885</v>
      </c>
      <c r="DCU94" s="60"/>
      <c r="DDJ94" s="34" t="s">
        <v>885</v>
      </c>
      <c r="DDK94" s="60"/>
      <c r="DDZ94" s="34" t="s">
        <v>885</v>
      </c>
      <c r="DEA94" s="60"/>
      <c r="DEP94" s="34" t="s">
        <v>885</v>
      </c>
      <c r="DEQ94" s="60"/>
      <c r="DFF94" s="34" t="s">
        <v>885</v>
      </c>
      <c r="DFG94" s="60"/>
      <c r="DFV94" s="34" t="s">
        <v>885</v>
      </c>
      <c r="DFW94" s="60"/>
      <c r="DGL94" s="34" t="s">
        <v>885</v>
      </c>
      <c r="DGM94" s="60"/>
      <c r="DHB94" s="34" t="s">
        <v>885</v>
      </c>
      <c r="DHC94" s="60"/>
      <c r="DHR94" s="34" t="s">
        <v>885</v>
      </c>
      <c r="DHS94" s="60"/>
      <c r="DIH94" s="34" t="s">
        <v>885</v>
      </c>
      <c r="DII94" s="60"/>
      <c r="DIX94" s="34" t="s">
        <v>885</v>
      </c>
      <c r="DIY94" s="60"/>
      <c r="DJN94" s="34" t="s">
        <v>885</v>
      </c>
      <c r="DJO94" s="60"/>
      <c r="DKD94" s="34" t="s">
        <v>885</v>
      </c>
      <c r="DKE94" s="60"/>
      <c r="DKT94" s="34" t="s">
        <v>885</v>
      </c>
      <c r="DKU94" s="60"/>
      <c r="DLJ94" s="34" t="s">
        <v>885</v>
      </c>
      <c r="DLK94" s="60"/>
      <c r="DLZ94" s="34" t="s">
        <v>885</v>
      </c>
      <c r="DMA94" s="60"/>
      <c r="DMP94" s="34" t="s">
        <v>885</v>
      </c>
      <c r="DMQ94" s="60"/>
      <c r="DNF94" s="34" t="s">
        <v>885</v>
      </c>
      <c r="DNG94" s="60"/>
      <c r="DNV94" s="34" t="s">
        <v>885</v>
      </c>
      <c r="DNW94" s="60"/>
      <c r="DOL94" s="34" t="s">
        <v>885</v>
      </c>
      <c r="DOM94" s="60"/>
      <c r="DPB94" s="34" t="s">
        <v>885</v>
      </c>
      <c r="DPC94" s="60"/>
      <c r="DPR94" s="34" t="s">
        <v>885</v>
      </c>
      <c r="DPS94" s="60"/>
      <c r="DQH94" s="34" t="s">
        <v>885</v>
      </c>
      <c r="DQI94" s="60"/>
      <c r="DQX94" s="34" t="s">
        <v>885</v>
      </c>
      <c r="DQY94" s="60"/>
      <c r="DRN94" s="34" t="s">
        <v>885</v>
      </c>
      <c r="DRO94" s="60"/>
      <c r="DSD94" s="34" t="s">
        <v>885</v>
      </c>
      <c r="DSE94" s="60"/>
      <c r="DST94" s="34" t="s">
        <v>885</v>
      </c>
      <c r="DSU94" s="60"/>
      <c r="DTJ94" s="34" t="s">
        <v>885</v>
      </c>
      <c r="DTK94" s="60"/>
      <c r="DTZ94" s="34" t="s">
        <v>885</v>
      </c>
      <c r="DUA94" s="60"/>
      <c r="DUP94" s="34" t="s">
        <v>885</v>
      </c>
      <c r="DUQ94" s="60"/>
      <c r="DVF94" s="34" t="s">
        <v>885</v>
      </c>
      <c r="DVG94" s="60"/>
      <c r="DVV94" s="34" t="s">
        <v>885</v>
      </c>
      <c r="DVW94" s="60"/>
      <c r="DWL94" s="34" t="s">
        <v>885</v>
      </c>
      <c r="DWM94" s="60"/>
      <c r="DXB94" s="34" t="s">
        <v>885</v>
      </c>
      <c r="DXC94" s="60"/>
      <c r="DXR94" s="34" t="s">
        <v>885</v>
      </c>
      <c r="DXS94" s="60"/>
      <c r="DYH94" s="34" t="s">
        <v>885</v>
      </c>
      <c r="DYI94" s="60"/>
      <c r="DYX94" s="34" t="s">
        <v>885</v>
      </c>
      <c r="DYY94" s="60"/>
      <c r="DZN94" s="34" t="s">
        <v>885</v>
      </c>
      <c r="DZO94" s="60"/>
      <c r="EAD94" s="34" t="s">
        <v>885</v>
      </c>
      <c r="EAE94" s="60"/>
      <c r="EAT94" s="34" t="s">
        <v>885</v>
      </c>
      <c r="EAU94" s="60"/>
      <c r="EBJ94" s="34" t="s">
        <v>885</v>
      </c>
      <c r="EBK94" s="60"/>
      <c r="EBZ94" s="34" t="s">
        <v>885</v>
      </c>
      <c r="ECA94" s="60"/>
      <c r="ECP94" s="34" t="s">
        <v>885</v>
      </c>
      <c r="ECQ94" s="60"/>
      <c r="EDF94" s="34" t="s">
        <v>885</v>
      </c>
      <c r="EDG94" s="60"/>
      <c r="EDV94" s="34" t="s">
        <v>885</v>
      </c>
      <c r="EDW94" s="60"/>
      <c r="EEL94" s="34" t="s">
        <v>885</v>
      </c>
      <c r="EEM94" s="60"/>
      <c r="EFB94" s="34" t="s">
        <v>885</v>
      </c>
      <c r="EFC94" s="60"/>
      <c r="EFR94" s="34" t="s">
        <v>885</v>
      </c>
      <c r="EFS94" s="60"/>
      <c r="EGH94" s="34" t="s">
        <v>885</v>
      </c>
      <c r="EGI94" s="60"/>
      <c r="EGX94" s="34" t="s">
        <v>885</v>
      </c>
      <c r="EGY94" s="60"/>
      <c r="EHN94" s="34" t="s">
        <v>885</v>
      </c>
      <c r="EHO94" s="60"/>
      <c r="EID94" s="34" t="s">
        <v>885</v>
      </c>
      <c r="EIE94" s="60"/>
      <c r="EIT94" s="34" t="s">
        <v>885</v>
      </c>
      <c r="EIU94" s="60"/>
      <c r="EJJ94" s="34" t="s">
        <v>885</v>
      </c>
      <c r="EJK94" s="60"/>
      <c r="EJZ94" s="34" t="s">
        <v>885</v>
      </c>
      <c r="EKA94" s="60"/>
      <c r="EKP94" s="34" t="s">
        <v>885</v>
      </c>
      <c r="EKQ94" s="60"/>
      <c r="ELF94" s="34" t="s">
        <v>885</v>
      </c>
      <c r="ELG94" s="60"/>
      <c r="ELV94" s="34" t="s">
        <v>885</v>
      </c>
      <c r="ELW94" s="60"/>
      <c r="EML94" s="34" t="s">
        <v>885</v>
      </c>
      <c r="EMM94" s="60"/>
      <c r="ENB94" s="34" t="s">
        <v>885</v>
      </c>
      <c r="ENC94" s="60"/>
      <c r="ENR94" s="34" t="s">
        <v>885</v>
      </c>
      <c r="ENS94" s="60"/>
      <c r="EOH94" s="34" t="s">
        <v>885</v>
      </c>
      <c r="EOI94" s="60"/>
      <c r="EOX94" s="34" t="s">
        <v>885</v>
      </c>
      <c r="EOY94" s="60"/>
      <c r="EPN94" s="34" t="s">
        <v>885</v>
      </c>
      <c r="EPO94" s="60"/>
      <c r="EQD94" s="34" t="s">
        <v>885</v>
      </c>
      <c r="EQE94" s="60"/>
      <c r="EQT94" s="34" t="s">
        <v>885</v>
      </c>
      <c r="EQU94" s="60"/>
      <c r="ERJ94" s="34" t="s">
        <v>885</v>
      </c>
      <c r="ERK94" s="60"/>
      <c r="ERZ94" s="34" t="s">
        <v>885</v>
      </c>
      <c r="ESA94" s="60"/>
      <c r="ESP94" s="34" t="s">
        <v>885</v>
      </c>
      <c r="ESQ94" s="60"/>
      <c r="ETF94" s="34" t="s">
        <v>885</v>
      </c>
      <c r="ETG94" s="60"/>
      <c r="ETV94" s="34" t="s">
        <v>885</v>
      </c>
      <c r="ETW94" s="60"/>
      <c r="EUL94" s="34" t="s">
        <v>885</v>
      </c>
      <c r="EUM94" s="60"/>
      <c r="EVB94" s="34" t="s">
        <v>885</v>
      </c>
      <c r="EVC94" s="60"/>
      <c r="EVR94" s="34" t="s">
        <v>885</v>
      </c>
      <c r="EVS94" s="60"/>
      <c r="EWH94" s="34" t="s">
        <v>885</v>
      </c>
      <c r="EWI94" s="60"/>
      <c r="EWX94" s="34" t="s">
        <v>885</v>
      </c>
      <c r="EWY94" s="60"/>
      <c r="EXN94" s="34" t="s">
        <v>885</v>
      </c>
      <c r="EXO94" s="60"/>
      <c r="EYD94" s="34" t="s">
        <v>885</v>
      </c>
      <c r="EYE94" s="60"/>
      <c r="EYT94" s="34" t="s">
        <v>885</v>
      </c>
      <c r="EYU94" s="60"/>
      <c r="EZJ94" s="34" t="s">
        <v>885</v>
      </c>
      <c r="EZK94" s="60"/>
      <c r="EZZ94" s="34" t="s">
        <v>885</v>
      </c>
      <c r="FAA94" s="60"/>
      <c r="FAP94" s="34" t="s">
        <v>885</v>
      </c>
      <c r="FAQ94" s="60"/>
      <c r="FBF94" s="34" t="s">
        <v>885</v>
      </c>
      <c r="FBG94" s="60"/>
      <c r="FBV94" s="34" t="s">
        <v>885</v>
      </c>
      <c r="FBW94" s="60"/>
      <c r="FCL94" s="34" t="s">
        <v>885</v>
      </c>
      <c r="FCM94" s="60"/>
      <c r="FDB94" s="34" t="s">
        <v>885</v>
      </c>
      <c r="FDC94" s="60"/>
      <c r="FDR94" s="34" t="s">
        <v>885</v>
      </c>
      <c r="FDS94" s="60"/>
      <c r="FEH94" s="34" t="s">
        <v>885</v>
      </c>
      <c r="FEI94" s="60"/>
      <c r="FEX94" s="34" t="s">
        <v>885</v>
      </c>
      <c r="FEY94" s="60"/>
      <c r="FFN94" s="34" t="s">
        <v>885</v>
      </c>
      <c r="FFO94" s="60"/>
      <c r="FGD94" s="34" t="s">
        <v>885</v>
      </c>
      <c r="FGE94" s="60"/>
      <c r="FGT94" s="34" t="s">
        <v>885</v>
      </c>
      <c r="FGU94" s="60"/>
      <c r="FHJ94" s="34" t="s">
        <v>885</v>
      </c>
      <c r="FHK94" s="60"/>
      <c r="FHZ94" s="34" t="s">
        <v>885</v>
      </c>
      <c r="FIA94" s="60"/>
      <c r="FIP94" s="34" t="s">
        <v>885</v>
      </c>
      <c r="FIQ94" s="60"/>
      <c r="FJF94" s="34" t="s">
        <v>885</v>
      </c>
      <c r="FJG94" s="60"/>
      <c r="FJV94" s="34" t="s">
        <v>885</v>
      </c>
      <c r="FJW94" s="60"/>
      <c r="FKL94" s="34" t="s">
        <v>885</v>
      </c>
      <c r="FKM94" s="60"/>
      <c r="FLB94" s="34" t="s">
        <v>885</v>
      </c>
      <c r="FLC94" s="60"/>
      <c r="FLR94" s="34" t="s">
        <v>885</v>
      </c>
      <c r="FLS94" s="60"/>
      <c r="FMH94" s="34" t="s">
        <v>885</v>
      </c>
      <c r="FMI94" s="60"/>
      <c r="FMX94" s="34" t="s">
        <v>885</v>
      </c>
      <c r="FMY94" s="60"/>
      <c r="FNN94" s="34" t="s">
        <v>885</v>
      </c>
      <c r="FNO94" s="60"/>
      <c r="FOD94" s="34" t="s">
        <v>885</v>
      </c>
      <c r="FOE94" s="60"/>
      <c r="FOT94" s="34" t="s">
        <v>885</v>
      </c>
      <c r="FOU94" s="60"/>
      <c r="FPJ94" s="34" t="s">
        <v>885</v>
      </c>
      <c r="FPK94" s="60"/>
      <c r="FPZ94" s="34" t="s">
        <v>885</v>
      </c>
      <c r="FQA94" s="60"/>
      <c r="FQP94" s="34" t="s">
        <v>885</v>
      </c>
      <c r="FQQ94" s="60"/>
      <c r="FRF94" s="34" t="s">
        <v>885</v>
      </c>
      <c r="FRG94" s="60"/>
      <c r="FRV94" s="34" t="s">
        <v>885</v>
      </c>
      <c r="FRW94" s="60"/>
      <c r="FSL94" s="34" t="s">
        <v>885</v>
      </c>
      <c r="FSM94" s="60"/>
      <c r="FTB94" s="34" t="s">
        <v>885</v>
      </c>
      <c r="FTC94" s="60"/>
      <c r="FTR94" s="34" t="s">
        <v>885</v>
      </c>
      <c r="FTS94" s="60"/>
      <c r="FUH94" s="34" t="s">
        <v>885</v>
      </c>
      <c r="FUI94" s="60"/>
      <c r="FUX94" s="34" t="s">
        <v>885</v>
      </c>
      <c r="FUY94" s="60"/>
      <c r="FVN94" s="34" t="s">
        <v>885</v>
      </c>
      <c r="FVO94" s="60"/>
      <c r="FWD94" s="34" t="s">
        <v>885</v>
      </c>
      <c r="FWE94" s="60"/>
      <c r="FWT94" s="34" t="s">
        <v>885</v>
      </c>
      <c r="FWU94" s="60"/>
      <c r="FXJ94" s="34" t="s">
        <v>885</v>
      </c>
      <c r="FXK94" s="60"/>
      <c r="FXZ94" s="34" t="s">
        <v>885</v>
      </c>
      <c r="FYA94" s="60"/>
      <c r="FYP94" s="34" t="s">
        <v>885</v>
      </c>
      <c r="FYQ94" s="60"/>
      <c r="FZF94" s="34" t="s">
        <v>885</v>
      </c>
      <c r="FZG94" s="60"/>
      <c r="FZV94" s="34" t="s">
        <v>885</v>
      </c>
      <c r="FZW94" s="60"/>
      <c r="GAL94" s="34" t="s">
        <v>885</v>
      </c>
      <c r="GAM94" s="60"/>
      <c r="GBB94" s="34" t="s">
        <v>885</v>
      </c>
      <c r="GBC94" s="60"/>
      <c r="GBR94" s="34" t="s">
        <v>885</v>
      </c>
      <c r="GBS94" s="60"/>
      <c r="GCH94" s="34" t="s">
        <v>885</v>
      </c>
      <c r="GCI94" s="60"/>
      <c r="GCX94" s="34" t="s">
        <v>885</v>
      </c>
      <c r="GCY94" s="60"/>
      <c r="GDN94" s="34" t="s">
        <v>885</v>
      </c>
      <c r="GDO94" s="60"/>
      <c r="GED94" s="34" t="s">
        <v>885</v>
      </c>
      <c r="GEE94" s="60"/>
      <c r="GET94" s="34" t="s">
        <v>885</v>
      </c>
      <c r="GEU94" s="60"/>
      <c r="GFJ94" s="34" t="s">
        <v>885</v>
      </c>
      <c r="GFK94" s="60"/>
      <c r="GFZ94" s="34" t="s">
        <v>885</v>
      </c>
      <c r="GGA94" s="60"/>
      <c r="GGP94" s="34" t="s">
        <v>885</v>
      </c>
      <c r="GGQ94" s="60"/>
      <c r="GHF94" s="34" t="s">
        <v>885</v>
      </c>
      <c r="GHG94" s="60"/>
      <c r="GHV94" s="34" t="s">
        <v>885</v>
      </c>
      <c r="GHW94" s="60"/>
      <c r="GIL94" s="34" t="s">
        <v>885</v>
      </c>
      <c r="GIM94" s="60"/>
      <c r="GJB94" s="34" t="s">
        <v>885</v>
      </c>
      <c r="GJC94" s="60"/>
      <c r="GJR94" s="34" t="s">
        <v>885</v>
      </c>
      <c r="GJS94" s="60"/>
      <c r="GKH94" s="34" t="s">
        <v>885</v>
      </c>
      <c r="GKI94" s="60"/>
      <c r="GKX94" s="34" t="s">
        <v>885</v>
      </c>
      <c r="GKY94" s="60"/>
      <c r="GLN94" s="34" t="s">
        <v>885</v>
      </c>
      <c r="GLO94" s="60"/>
      <c r="GMD94" s="34" t="s">
        <v>885</v>
      </c>
      <c r="GME94" s="60"/>
      <c r="GMT94" s="34" t="s">
        <v>885</v>
      </c>
      <c r="GMU94" s="60"/>
      <c r="GNJ94" s="34" t="s">
        <v>885</v>
      </c>
      <c r="GNK94" s="60"/>
      <c r="GNZ94" s="34" t="s">
        <v>885</v>
      </c>
      <c r="GOA94" s="60"/>
      <c r="GOP94" s="34" t="s">
        <v>885</v>
      </c>
      <c r="GOQ94" s="60"/>
      <c r="GPF94" s="34" t="s">
        <v>885</v>
      </c>
      <c r="GPG94" s="60"/>
      <c r="GPV94" s="34" t="s">
        <v>885</v>
      </c>
      <c r="GPW94" s="60"/>
      <c r="GQL94" s="34" t="s">
        <v>885</v>
      </c>
      <c r="GQM94" s="60"/>
      <c r="GRB94" s="34" t="s">
        <v>885</v>
      </c>
      <c r="GRC94" s="60"/>
      <c r="GRR94" s="34" t="s">
        <v>885</v>
      </c>
      <c r="GRS94" s="60"/>
      <c r="GSH94" s="34" t="s">
        <v>885</v>
      </c>
      <c r="GSI94" s="60"/>
      <c r="GSX94" s="34" t="s">
        <v>885</v>
      </c>
      <c r="GSY94" s="60"/>
      <c r="GTN94" s="34" t="s">
        <v>885</v>
      </c>
      <c r="GTO94" s="60"/>
      <c r="GUD94" s="34" t="s">
        <v>885</v>
      </c>
      <c r="GUE94" s="60"/>
      <c r="GUT94" s="34" t="s">
        <v>885</v>
      </c>
      <c r="GUU94" s="60"/>
      <c r="GVJ94" s="34" t="s">
        <v>885</v>
      </c>
      <c r="GVK94" s="60"/>
      <c r="GVZ94" s="34" t="s">
        <v>885</v>
      </c>
      <c r="GWA94" s="60"/>
      <c r="GWP94" s="34" t="s">
        <v>885</v>
      </c>
      <c r="GWQ94" s="60"/>
      <c r="GXF94" s="34" t="s">
        <v>885</v>
      </c>
      <c r="GXG94" s="60"/>
      <c r="GXV94" s="34" t="s">
        <v>885</v>
      </c>
      <c r="GXW94" s="60"/>
      <c r="GYL94" s="34" t="s">
        <v>885</v>
      </c>
      <c r="GYM94" s="60"/>
      <c r="GZB94" s="34" t="s">
        <v>885</v>
      </c>
      <c r="GZC94" s="60"/>
      <c r="GZR94" s="34" t="s">
        <v>885</v>
      </c>
      <c r="GZS94" s="60"/>
      <c r="HAH94" s="34" t="s">
        <v>885</v>
      </c>
      <c r="HAI94" s="60"/>
      <c r="HAX94" s="34" t="s">
        <v>885</v>
      </c>
      <c r="HAY94" s="60"/>
      <c r="HBN94" s="34" t="s">
        <v>885</v>
      </c>
      <c r="HBO94" s="60"/>
      <c r="HCD94" s="34" t="s">
        <v>885</v>
      </c>
      <c r="HCE94" s="60"/>
      <c r="HCT94" s="34" t="s">
        <v>885</v>
      </c>
      <c r="HCU94" s="60"/>
      <c r="HDJ94" s="34" t="s">
        <v>885</v>
      </c>
      <c r="HDK94" s="60"/>
      <c r="HDZ94" s="34" t="s">
        <v>885</v>
      </c>
      <c r="HEA94" s="60"/>
      <c r="HEP94" s="34" t="s">
        <v>885</v>
      </c>
      <c r="HEQ94" s="60"/>
      <c r="HFF94" s="34" t="s">
        <v>885</v>
      </c>
      <c r="HFG94" s="60"/>
      <c r="HFV94" s="34" t="s">
        <v>885</v>
      </c>
      <c r="HFW94" s="60"/>
      <c r="HGL94" s="34" t="s">
        <v>885</v>
      </c>
      <c r="HGM94" s="60"/>
      <c r="HHB94" s="34" t="s">
        <v>885</v>
      </c>
      <c r="HHC94" s="60"/>
      <c r="HHR94" s="34" t="s">
        <v>885</v>
      </c>
      <c r="HHS94" s="60"/>
      <c r="HIH94" s="34" t="s">
        <v>885</v>
      </c>
      <c r="HII94" s="60"/>
      <c r="HIX94" s="34" t="s">
        <v>885</v>
      </c>
      <c r="HIY94" s="60"/>
      <c r="HJN94" s="34" t="s">
        <v>885</v>
      </c>
      <c r="HJO94" s="60"/>
      <c r="HKD94" s="34" t="s">
        <v>885</v>
      </c>
      <c r="HKE94" s="60"/>
      <c r="HKT94" s="34" t="s">
        <v>885</v>
      </c>
      <c r="HKU94" s="60"/>
      <c r="HLJ94" s="34" t="s">
        <v>885</v>
      </c>
      <c r="HLK94" s="60"/>
      <c r="HLZ94" s="34" t="s">
        <v>885</v>
      </c>
      <c r="HMA94" s="60"/>
      <c r="HMP94" s="34" t="s">
        <v>885</v>
      </c>
      <c r="HMQ94" s="60"/>
      <c r="HNF94" s="34" t="s">
        <v>885</v>
      </c>
      <c r="HNG94" s="60"/>
      <c r="HNV94" s="34" t="s">
        <v>885</v>
      </c>
      <c r="HNW94" s="60"/>
      <c r="HOL94" s="34" t="s">
        <v>885</v>
      </c>
      <c r="HOM94" s="60"/>
      <c r="HPB94" s="34" t="s">
        <v>885</v>
      </c>
      <c r="HPC94" s="60"/>
      <c r="HPR94" s="34" t="s">
        <v>885</v>
      </c>
      <c r="HPS94" s="60"/>
      <c r="HQH94" s="34" t="s">
        <v>885</v>
      </c>
      <c r="HQI94" s="60"/>
      <c r="HQX94" s="34" t="s">
        <v>885</v>
      </c>
      <c r="HQY94" s="60"/>
      <c r="HRN94" s="34" t="s">
        <v>885</v>
      </c>
      <c r="HRO94" s="60"/>
      <c r="HSD94" s="34" t="s">
        <v>885</v>
      </c>
      <c r="HSE94" s="60"/>
      <c r="HST94" s="34" t="s">
        <v>885</v>
      </c>
      <c r="HSU94" s="60"/>
      <c r="HTJ94" s="34" t="s">
        <v>885</v>
      </c>
      <c r="HTK94" s="60"/>
      <c r="HTZ94" s="34" t="s">
        <v>885</v>
      </c>
      <c r="HUA94" s="60"/>
      <c r="HUP94" s="34" t="s">
        <v>885</v>
      </c>
      <c r="HUQ94" s="60"/>
      <c r="HVF94" s="34" t="s">
        <v>885</v>
      </c>
      <c r="HVG94" s="60"/>
      <c r="HVV94" s="34" t="s">
        <v>885</v>
      </c>
      <c r="HVW94" s="60"/>
      <c r="HWL94" s="34" t="s">
        <v>885</v>
      </c>
      <c r="HWM94" s="60"/>
      <c r="HXB94" s="34" t="s">
        <v>885</v>
      </c>
      <c r="HXC94" s="60"/>
      <c r="HXR94" s="34" t="s">
        <v>885</v>
      </c>
      <c r="HXS94" s="60"/>
      <c r="HYH94" s="34" t="s">
        <v>885</v>
      </c>
      <c r="HYI94" s="60"/>
      <c r="HYX94" s="34" t="s">
        <v>885</v>
      </c>
      <c r="HYY94" s="60"/>
      <c r="HZN94" s="34" t="s">
        <v>885</v>
      </c>
      <c r="HZO94" s="60"/>
      <c r="IAD94" s="34" t="s">
        <v>885</v>
      </c>
      <c r="IAE94" s="60"/>
      <c r="IAT94" s="34" t="s">
        <v>885</v>
      </c>
      <c r="IAU94" s="60"/>
      <c r="IBJ94" s="34" t="s">
        <v>885</v>
      </c>
      <c r="IBK94" s="60"/>
      <c r="IBZ94" s="34" t="s">
        <v>885</v>
      </c>
      <c r="ICA94" s="60"/>
      <c r="ICP94" s="34" t="s">
        <v>885</v>
      </c>
      <c r="ICQ94" s="60"/>
      <c r="IDF94" s="34" t="s">
        <v>885</v>
      </c>
      <c r="IDG94" s="60"/>
      <c r="IDV94" s="34" t="s">
        <v>885</v>
      </c>
      <c r="IDW94" s="60"/>
      <c r="IEL94" s="34" t="s">
        <v>885</v>
      </c>
      <c r="IEM94" s="60"/>
      <c r="IFB94" s="34" t="s">
        <v>885</v>
      </c>
      <c r="IFC94" s="60"/>
      <c r="IFR94" s="34" t="s">
        <v>885</v>
      </c>
      <c r="IFS94" s="60"/>
      <c r="IGH94" s="34" t="s">
        <v>885</v>
      </c>
      <c r="IGI94" s="60"/>
      <c r="IGX94" s="34" t="s">
        <v>885</v>
      </c>
      <c r="IGY94" s="60"/>
      <c r="IHN94" s="34" t="s">
        <v>885</v>
      </c>
      <c r="IHO94" s="60"/>
      <c r="IID94" s="34" t="s">
        <v>885</v>
      </c>
      <c r="IIE94" s="60"/>
      <c r="IIT94" s="34" t="s">
        <v>885</v>
      </c>
      <c r="IIU94" s="60"/>
      <c r="IJJ94" s="34" t="s">
        <v>885</v>
      </c>
      <c r="IJK94" s="60"/>
      <c r="IJZ94" s="34" t="s">
        <v>885</v>
      </c>
      <c r="IKA94" s="60"/>
      <c r="IKP94" s="34" t="s">
        <v>885</v>
      </c>
      <c r="IKQ94" s="60"/>
      <c r="ILF94" s="34" t="s">
        <v>885</v>
      </c>
      <c r="ILG94" s="60"/>
      <c r="ILV94" s="34" t="s">
        <v>885</v>
      </c>
      <c r="ILW94" s="60"/>
      <c r="IML94" s="34" t="s">
        <v>885</v>
      </c>
      <c r="IMM94" s="60"/>
      <c r="INB94" s="34" t="s">
        <v>885</v>
      </c>
      <c r="INC94" s="60"/>
      <c r="INR94" s="34" t="s">
        <v>885</v>
      </c>
      <c r="INS94" s="60"/>
      <c r="IOH94" s="34" t="s">
        <v>885</v>
      </c>
      <c r="IOI94" s="60"/>
      <c r="IOX94" s="34" t="s">
        <v>885</v>
      </c>
      <c r="IOY94" s="60"/>
      <c r="IPN94" s="34" t="s">
        <v>885</v>
      </c>
      <c r="IPO94" s="60"/>
      <c r="IQD94" s="34" t="s">
        <v>885</v>
      </c>
      <c r="IQE94" s="60"/>
      <c r="IQT94" s="34" t="s">
        <v>885</v>
      </c>
      <c r="IQU94" s="60"/>
      <c r="IRJ94" s="34" t="s">
        <v>885</v>
      </c>
      <c r="IRK94" s="60"/>
      <c r="IRZ94" s="34" t="s">
        <v>885</v>
      </c>
      <c r="ISA94" s="60"/>
      <c r="ISP94" s="34" t="s">
        <v>885</v>
      </c>
      <c r="ISQ94" s="60"/>
      <c r="ITF94" s="34" t="s">
        <v>885</v>
      </c>
      <c r="ITG94" s="60"/>
      <c r="ITV94" s="34" t="s">
        <v>885</v>
      </c>
      <c r="ITW94" s="60"/>
      <c r="IUL94" s="34" t="s">
        <v>885</v>
      </c>
      <c r="IUM94" s="60"/>
      <c r="IVB94" s="34" t="s">
        <v>885</v>
      </c>
      <c r="IVC94" s="60"/>
      <c r="IVR94" s="34" t="s">
        <v>885</v>
      </c>
      <c r="IVS94" s="60"/>
      <c r="IWH94" s="34" t="s">
        <v>885</v>
      </c>
      <c r="IWI94" s="60"/>
      <c r="IWX94" s="34" t="s">
        <v>885</v>
      </c>
      <c r="IWY94" s="60"/>
      <c r="IXN94" s="34" t="s">
        <v>885</v>
      </c>
      <c r="IXO94" s="60"/>
      <c r="IYD94" s="34" t="s">
        <v>885</v>
      </c>
      <c r="IYE94" s="60"/>
      <c r="IYT94" s="34" t="s">
        <v>885</v>
      </c>
      <c r="IYU94" s="60"/>
      <c r="IZJ94" s="34" t="s">
        <v>885</v>
      </c>
      <c r="IZK94" s="60"/>
      <c r="IZZ94" s="34" t="s">
        <v>885</v>
      </c>
      <c r="JAA94" s="60"/>
      <c r="JAP94" s="34" t="s">
        <v>885</v>
      </c>
      <c r="JAQ94" s="60"/>
      <c r="JBF94" s="34" t="s">
        <v>885</v>
      </c>
      <c r="JBG94" s="60"/>
      <c r="JBV94" s="34" t="s">
        <v>885</v>
      </c>
      <c r="JBW94" s="60"/>
      <c r="JCL94" s="34" t="s">
        <v>885</v>
      </c>
      <c r="JCM94" s="60"/>
      <c r="JDB94" s="34" t="s">
        <v>885</v>
      </c>
      <c r="JDC94" s="60"/>
      <c r="JDR94" s="34" t="s">
        <v>885</v>
      </c>
      <c r="JDS94" s="60"/>
      <c r="JEH94" s="34" t="s">
        <v>885</v>
      </c>
      <c r="JEI94" s="60"/>
      <c r="JEX94" s="34" t="s">
        <v>885</v>
      </c>
      <c r="JEY94" s="60"/>
      <c r="JFN94" s="34" t="s">
        <v>885</v>
      </c>
      <c r="JFO94" s="60"/>
      <c r="JGD94" s="34" t="s">
        <v>885</v>
      </c>
      <c r="JGE94" s="60"/>
      <c r="JGT94" s="34" t="s">
        <v>885</v>
      </c>
      <c r="JGU94" s="60"/>
      <c r="JHJ94" s="34" t="s">
        <v>885</v>
      </c>
      <c r="JHK94" s="60"/>
      <c r="JHZ94" s="34" t="s">
        <v>885</v>
      </c>
      <c r="JIA94" s="60"/>
      <c r="JIP94" s="34" t="s">
        <v>885</v>
      </c>
      <c r="JIQ94" s="60"/>
      <c r="JJF94" s="34" t="s">
        <v>885</v>
      </c>
      <c r="JJG94" s="60"/>
      <c r="JJV94" s="34" t="s">
        <v>885</v>
      </c>
      <c r="JJW94" s="60"/>
      <c r="JKL94" s="34" t="s">
        <v>885</v>
      </c>
      <c r="JKM94" s="60"/>
      <c r="JLB94" s="34" t="s">
        <v>885</v>
      </c>
      <c r="JLC94" s="60"/>
      <c r="JLR94" s="34" t="s">
        <v>885</v>
      </c>
      <c r="JLS94" s="60"/>
      <c r="JMH94" s="34" t="s">
        <v>885</v>
      </c>
      <c r="JMI94" s="60"/>
      <c r="JMX94" s="34" t="s">
        <v>885</v>
      </c>
      <c r="JMY94" s="60"/>
      <c r="JNN94" s="34" t="s">
        <v>885</v>
      </c>
      <c r="JNO94" s="60"/>
      <c r="JOD94" s="34" t="s">
        <v>885</v>
      </c>
      <c r="JOE94" s="60"/>
      <c r="JOT94" s="34" t="s">
        <v>885</v>
      </c>
      <c r="JOU94" s="60"/>
      <c r="JPJ94" s="34" t="s">
        <v>885</v>
      </c>
      <c r="JPK94" s="60"/>
      <c r="JPZ94" s="34" t="s">
        <v>885</v>
      </c>
      <c r="JQA94" s="60"/>
      <c r="JQP94" s="34" t="s">
        <v>885</v>
      </c>
      <c r="JQQ94" s="60"/>
      <c r="JRF94" s="34" t="s">
        <v>885</v>
      </c>
      <c r="JRG94" s="60"/>
      <c r="JRV94" s="34" t="s">
        <v>885</v>
      </c>
      <c r="JRW94" s="60"/>
      <c r="JSL94" s="34" t="s">
        <v>885</v>
      </c>
      <c r="JSM94" s="60"/>
      <c r="JTB94" s="34" t="s">
        <v>885</v>
      </c>
      <c r="JTC94" s="60"/>
      <c r="JTR94" s="34" t="s">
        <v>885</v>
      </c>
      <c r="JTS94" s="60"/>
      <c r="JUH94" s="34" t="s">
        <v>885</v>
      </c>
      <c r="JUI94" s="60"/>
      <c r="JUX94" s="34" t="s">
        <v>885</v>
      </c>
      <c r="JUY94" s="60"/>
      <c r="JVN94" s="34" t="s">
        <v>885</v>
      </c>
      <c r="JVO94" s="60"/>
      <c r="JWD94" s="34" t="s">
        <v>885</v>
      </c>
      <c r="JWE94" s="60"/>
      <c r="JWT94" s="34" t="s">
        <v>885</v>
      </c>
      <c r="JWU94" s="60"/>
      <c r="JXJ94" s="34" t="s">
        <v>885</v>
      </c>
      <c r="JXK94" s="60"/>
      <c r="JXZ94" s="34" t="s">
        <v>885</v>
      </c>
      <c r="JYA94" s="60"/>
      <c r="JYP94" s="34" t="s">
        <v>885</v>
      </c>
      <c r="JYQ94" s="60"/>
      <c r="JZF94" s="34" t="s">
        <v>885</v>
      </c>
      <c r="JZG94" s="60"/>
      <c r="JZV94" s="34" t="s">
        <v>885</v>
      </c>
      <c r="JZW94" s="60"/>
      <c r="KAL94" s="34" t="s">
        <v>885</v>
      </c>
      <c r="KAM94" s="60"/>
      <c r="KBB94" s="34" t="s">
        <v>885</v>
      </c>
      <c r="KBC94" s="60"/>
      <c r="KBR94" s="34" t="s">
        <v>885</v>
      </c>
      <c r="KBS94" s="60"/>
      <c r="KCH94" s="34" t="s">
        <v>885</v>
      </c>
      <c r="KCI94" s="60"/>
      <c r="KCX94" s="34" t="s">
        <v>885</v>
      </c>
      <c r="KCY94" s="60"/>
      <c r="KDN94" s="34" t="s">
        <v>885</v>
      </c>
      <c r="KDO94" s="60"/>
      <c r="KED94" s="34" t="s">
        <v>885</v>
      </c>
      <c r="KEE94" s="60"/>
      <c r="KET94" s="34" t="s">
        <v>885</v>
      </c>
      <c r="KEU94" s="60"/>
      <c r="KFJ94" s="34" t="s">
        <v>885</v>
      </c>
      <c r="KFK94" s="60"/>
      <c r="KFZ94" s="34" t="s">
        <v>885</v>
      </c>
      <c r="KGA94" s="60"/>
      <c r="KGP94" s="34" t="s">
        <v>885</v>
      </c>
      <c r="KGQ94" s="60"/>
      <c r="KHF94" s="34" t="s">
        <v>885</v>
      </c>
      <c r="KHG94" s="60"/>
      <c r="KHV94" s="34" t="s">
        <v>885</v>
      </c>
      <c r="KHW94" s="60"/>
      <c r="KIL94" s="34" t="s">
        <v>885</v>
      </c>
      <c r="KIM94" s="60"/>
      <c r="KJB94" s="34" t="s">
        <v>885</v>
      </c>
      <c r="KJC94" s="60"/>
      <c r="KJR94" s="34" t="s">
        <v>885</v>
      </c>
      <c r="KJS94" s="60"/>
      <c r="KKH94" s="34" t="s">
        <v>885</v>
      </c>
      <c r="KKI94" s="60"/>
      <c r="KKX94" s="34" t="s">
        <v>885</v>
      </c>
      <c r="KKY94" s="60"/>
      <c r="KLN94" s="34" t="s">
        <v>885</v>
      </c>
      <c r="KLO94" s="60"/>
      <c r="KMD94" s="34" t="s">
        <v>885</v>
      </c>
      <c r="KME94" s="60"/>
      <c r="KMT94" s="34" t="s">
        <v>885</v>
      </c>
      <c r="KMU94" s="60"/>
      <c r="KNJ94" s="34" t="s">
        <v>885</v>
      </c>
      <c r="KNK94" s="60"/>
      <c r="KNZ94" s="34" t="s">
        <v>885</v>
      </c>
      <c r="KOA94" s="60"/>
      <c r="KOP94" s="34" t="s">
        <v>885</v>
      </c>
      <c r="KOQ94" s="60"/>
      <c r="KPF94" s="34" t="s">
        <v>885</v>
      </c>
      <c r="KPG94" s="60"/>
      <c r="KPV94" s="34" t="s">
        <v>885</v>
      </c>
      <c r="KPW94" s="60"/>
      <c r="KQL94" s="34" t="s">
        <v>885</v>
      </c>
      <c r="KQM94" s="60"/>
      <c r="KRB94" s="34" t="s">
        <v>885</v>
      </c>
      <c r="KRC94" s="60"/>
      <c r="KRR94" s="34" t="s">
        <v>885</v>
      </c>
      <c r="KRS94" s="60"/>
      <c r="KSH94" s="34" t="s">
        <v>885</v>
      </c>
      <c r="KSI94" s="60"/>
      <c r="KSX94" s="34" t="s">
        <v>885</v>
      </c>
      <c r="KSY94" s="60"/>
      <c r="KTN94" s="34" t="s">
        <v>885</v>
      </c>
      <c r="KTO94" s="60"/>
      <c r="KUD94" s="34" t="s">
        <v>885</v>
      </c>
      <c r="KUE94" s="60"/>
      <c r="KUT94" s="34" t="s">
        <v>885</v>
      </c>
      <c r="KUU94" s="60"/>
      <c r="KVJ94" s="34" t="s">
        <v>885</v>
      </c>
      <c r="KVK94" s="60"/>
      <c r="KVZ94" s="34" t="s">
        <v>885</v>
      </c>
      <c r="KWA94" s="60"/>
      <c r="KWP94" s="34" t="s">
        <v>885</v>
      </c>
      <c r="KWQ94" s="60"/>
      <c r="KXF94" s="34" t="s">
        <v>885</v>
      </c>
      <c r="KXG94" s="60"/>
      <c r="KXV94" s="34" t="s">
        <v>885</v>
      </c>
      <c r="KXW94" s="60"/>
      <c r="KYL94" s="34" t="s">
        <v>885</v>
      </c>
      <c r="KYM94" s="60"/>
      <c r="KZB94" s="34" t="s">
        <v>885</v>
      </c>
      <c r="KZC94" s="60"/>
      <c r="KZR94" s="34" t="s">
        <v>885</v>
      </c>
      <c r="KZS94" s="60"/>
      <c r="LAH94" s="34" t="s">
        <v>885</v>
      </c>
      <c r="LAI94" s="60"/>
      <c r="LAX94" s="34" t="s">
        <v>885</v>
      </c>
      <c r="LAY94" s="60"/>
      <c r="LBN94" s="34" t="s">
        <v>885</v>
      </c>
      <c r="LBO94" s="60"/>
      <c r="LCD94" s="34" t="s">
        <v>885</v>
      </c>
      <c r="LCE94" s="60"/>
      <c r="LCT94" s="34" t="s">
        <v>885</v>
      </c>
      <c r="LCU94" s="60"/>
      <c r="LDJ94" s="34" t="s">
        <v>885</v>
      </c>
      <c r="LDK94" s="60"/>
      <c r="LDZ94" s="34" t="s">
        <v>885</v>
      </c>
      <c r="LEA94" s="60"/>
      <c r="LEP94" s="34" t="s">
        <v>885</v>
      </c>
      <c r="LEQ94" s="60"/>
      <c r="LFF94" s="34" t="s">
        <v>885</v>
      </c>
      <c r="LFG94" s="60"/>
      <c r="LFV94" s="34" t="s">
        <v>885</v>
      </c>
      <c r="LFW94" s="60"/>
      <c r="LGL94" s="34" t="s">
        <v>885</v>
      </c>
      <c r="LGM94" s="60"/>
      <c r="LHB94" s="34" t="s">
        <v>885</v>
      </c>
      <c r="LHC94" s="60"/>
      <c r="LHR94" s="34" t="s">
        <v>885</v>
      </c>
      <c r="LHS94" s="60"/>
      <c r="LIH94" s="34" t="s">
        <v>885</v>
      </c>
      <c r="LII94" s="60"/>
      <c r="LIX94" s="34" t="s">
        <v>885</v>
      </c>
      <c r="LIY94" s="60"/>
      <c r="LJN94" s="34" t="s">
        <v>885</v>
      </c>
      <c r="LJO94" s="60"/>
      <c r="LKD94" s="34" t="s">
        <v>885</v>
      </c>
      <c r="LKE94" s="60"/>
      <c r="LKT94" s="34" t="s">
        <v>885</v>
      </c>
      <c r="LKU94" s="60"/>
      <c r="LLJ94" s="34" t="s">
        <v>885</v>
      </c>
      <c r="LLK94" s="60"/>
      <c r="LLZ94" s="34" t="s">
        <v>885</v>
      </c>
      <c r="LMA94" s="60"/>
      <c r="LMP94" s="34" t="s">
        <v>885</v>
      </c>
      <c r="LMQ94" s="60"/>
      <c r="LNF94" s="34" t="s">
        <v>885</v>
      </c>
      <c r="LNG94" s="60"/>
      <c r="LNV94" s="34" t="s">
        <v>885</v>
      </c>
      <c r="LNW94" s="60"/>
      <c r="LOL94" s="34" t="s">
        <v>885</v>
      </c>
      <c r="LOM94" s="60"/>
      <c r="LPB94" s="34" t="s">
        <v>885</v>
      </c>
      <c r="LPC94" s="60"/>
      <c r="LPR94" s="34" t="s">
        <v>885</v>
      </c>
      <c r="LPS94" s="60"/>
      <c r="LQH94" s="34" t="s">
        <v>885</v>
      </c>
      <c r="LQI94" s="60"/>
      <c r="LQX94" s="34" t="s">
        <v>885</v>
      </c>
      <c r="LQY94" s="60"/>
      <c r="LRN94" s="34" t="s">
        <v>885</v>
      </c>
      <c r="LRO94" s="60"/>
      <c r="LSD94" s="34" t="s">
        <v>885</v>
      </c>
      <c r="LSE94" s="60"/>
      <c r="LST94" s="34" t="s">
        <v>885</v>
      </c>
      <c r="LSU94" s="60"/>
      <c r="LTJ94" s="34" t="s">
        <v>885</v>
      </c>
      <c r="LTK94" s="60"/>
      <c r="LTZ94" s="34" t="s">
        <v>885</v>
      </c>
      <c r="LUA94" s="60"/>
      <c r="LUP94" s="34" t="s">
        <v>885</v>
      </c>
      <c r="LUQ94" s="60"/>
      <c r="LVF94" s="34" t="s">
        <v>885</v>
      </c>
      <c r="LVG94" s="60"/>
      <c r="LVV94" s="34" t="s">
        <v>885</v>
      </c>
      <c r="LVW94" s="60"/>
      <c r="LWL94" s="34" t="s">
        <v>885</v>
      </c>
      <c r="LWM94" s="60"/>
      <c r="LXB94" s="34" t="s">
        <v>885</v>
      </c>
      <c r="LXC94" s="60"/>
      <c r="LXR94" s="34" t="s">
        <v>885</v>
      </c>
      <c r="LXS94" s="60"/>
      <c r="LYH94" s="34" t="s">
        <v>885</v>
      </c>
      <c r="LYI94" s="60"/>
      <c r="LYX94" s="34" t="s">
        <v>885</v>
      </c>
      <c r="LYY94" s="60"/>
      <c r="LZN94" s="34" t="s">
        <v>885</v>
      </c>
      <c r="LZO94" s="60"/>
      <c r="MAD94" s="34" t="s">
        <v>885</v>
      </c>
      <c r="MAE94" s="60"/>
      <c r="MAT94" s="34" t="s">
        <v>885</v>
      </c>
      <c r="MAU94" s="60"/>
      <c r="MBJ94" s="34" t="s">
        <v>885</v>
      </c>
      <c r="MBK94" s="60"/>
      <c r="MBZ94" s="34" t="s">
        <v>885</v>
      </c>
      <c r="MCA94" s="60"/>
      <c r="MCP94" s="34" t="s">
        <v>885</v>
      </c>
      <c r="MCQ94" s="60"/>
      <c r="MDF94" s="34" t="s">
        <v>885</v>
      </c>
      <c r="MDG94" s="60"/>
      <c r="MDV94" s="34" t="s">
        <v>885</v>
      </c>
      <c r="MDW94" s="60"/>
      <c r="MEL94" s="34" t="s">
        <v>885</v>
      </c>
      <c r="MEM94" s="60"/>
      <c r="MFB94" s="34" t="s">
        <v>885</v>
      </c>
      <c r="MFC94" s="60"/>
      <c r="MFR94" s="34" t="s">
        <v>885</v>
      </c>
      <c r="MFS94" s="60"/>
      <c r="MGH94" s="34" t="s">
        <v>885</v>
      </c>
      <c r="MGI94" s="60"/>
      <c r="MGX94" s="34" t="s">
        <v>885</v>
      </c>
      <c r="MGY94" s="60"/>
      <c r="MHN94" s="34" t="s">
        <v>885</v>
      </c>
      <c r="MHO94" s="60"/>
      <c r="MID94" s="34" t="s">
        <v>885</v>
      </c>
      <c r="MIE94" s="60"/>
      <c r="MIT94" s="34" t="s">
        <v>885</v>
      </c>
      <c r="MIU94" s="60"/>
      <c r="MJJ94" s="34" t="s">
        <v>885</v>
      </c>
      <c r="MJK94" s="60"/>
      <c r="MJZ94" s="34" t="s">
        <v>885</v>
      </c>
      <c r="MKA94" s="60"/>
      <c r="MKP94" s="34" t="s">
        <v>885</v>
      </c>
      <c r="MKQ94" s="60"/>
      <c r="MLF94" s="34" t="s">
        <v>885</v>
      </c>
      <c r="MLG94" s="60"/>
      <c r="MLV94" s="34" t="s">
        <v>885</v>
      </c>
      <c r="MLW94" s="60"/>
      <c r="MML94" s="34" t="s">
        <v>885</v>
      </c>
      <c r="MMM94" s="60"/>
      <c r="MNB94" s="34" t="s">
        <v>885</v>
      </c>
      <c r="MNC94" s="60"/>
      <c r="MNR94" s="34" t="s">
        <v>885</v>
      </c>
      <c r="MNS94" s="60"/>
      <c r="MOH94" s="34" t="s">
        <v>885</v>
      </c>
      <c r="MOI94" s="60"/>
      <c r="MOX94" s="34" t="s">
        <v>885</v>
      </c>
      <c r="MOY94" s="60"/>
      <c r="MPN94" s="34" t="s">
        <v>885</v>
      </c>
      <c r="MPO94" s="60"/>
      <c r="MQD94" s="34" t="s">
        <v>885</v>
      </c>
      <c r="MQE94" s="60"/>
      <c r="MQT94" s="34" t="s">
        <v>885</v>
      </c>
      <c r="MQU94" s="60"/>
      <c r="MRJ94" s="34" t="s">
        <v>885</v>
      </c>
      <c r="MRK94" s="60"/>
      <c r="MRZ94" s="34" t="s">
        <v>885</v>
      </c>
      <c r="MSA94" s="60"/>
      <c r="MSP94" s="34" t="s">
        <v>885</v>
      </c>
      <c r="MSQ94" s="60"/>
      <c r="MTF94" s="34" t="s">
        <v>885</v>
      </c>
      <c r="MTG94" s="60"/>
      <c r="MTV94" s="34" t="s">
        <v>885</v>
      </c>
      <c r="MTW94" s="60"/>
      <c r="MUL94" s="34" t="s">
        <v>885</v>
      </c>
      <c r="MUM94" s="60"/>
      <c r="MVB94" s="34" t="s">
        <v>885</v>
      </c>
      <c r="MVC94" s="60"/>
      <c r="MVR94" s="34" t="s">
        <v>885</v>
      </c>
      <c r="MVS94" s="60"/>
      <c r="MWH94" s="34" t="s">
        <v>885</v>
      </c>
      <c r="MWI94" s="60"/>
      <c r="MWX94" s="34" t="s">
        <v>885</v>
      </c>
      <c r="MWY94" s="60"/>
      <c r="MXN94" s="34" t="s">
        <v>885</v>
      </c>
      <c r="MXO94" s="60"/>
      <c r="MYD94" s="34" t="s">
        <v>885</v>
      </c>
      <c r="MYE94" s="60"/>
      <c r="MYT94" s="34" t="s">
        <v>885</v>
      </c>
      <c r="MYU94" s="60"/>
      <c r="MZJ94" s="34" t="s">
        <v>885</v>
      </c>
      <c r="MZK94" s="60"/>
      <c r="MZZ94" s="34" t="s">
        <v>885</v>
      </c>
      <c r="NAA94" s="60"/>
      <c r="NAP94" s="34" t="s">
        <v>885</v>
      </c>
      <c r="NAQ94" s="60"/>
      <c r="NBF94" s="34" t="s">
        <v>885</v>
      </c>
      <c r="NBG94" s="60"/>
      <c r="NBV94" s="34" t="s">
        <v>885</v>
      </c>
      <c r="NBW94" s="60"/>
      <c r="NCL94" s="34" t="s">
        <v>885</v>
      </c>
      <c r="NCM94" s="60"/>
      <c r="NDB94" s="34" t="s">
        <v>885</v>
      </c>
      <c r="NDC94" s="60"/>
      <c r="NDR94" s="34" t="s">
        <v>885</v>
      </c>
      <c r="NDS94" s="60"/>
      <c r="NEH94" s="34" t="s">
        <v>885</v>
      </c>
      <c r="NEI94" s="60"/>
      <c r="NEX94" s="34" t="s">
        <v>885</v>
      </c>
      <c r="NEY94" s="60"/>
      <c r="NFN94" s="34" t="s">
        <v>885</v>
      </c>
      <c r="NFO94" s="60"/>
      <c r="NGD94" s="34" t="s">
        <v>885</v>
      </c>
      <c r="NGE94" s="60"/>
      <c r="NGT94" s="34" t="s">
        <v>885</v>
      </c>
      <c r="NGU94" s="60"/>
      <c r="NHJ94" s="34" t="s">
        <v>885</v>
      </c>
      <c r="NHK94" s="60"/>
      <c r="NHZ94" s="34" t="s">
        <v>885</v>
      </c>
      <c r="NIA94" s="60"/>
      <c r="NIP94" s="34" t="s">
        <v>885</v>
      </c>
      <c r="NIQ94" s="60"/>
      <c r="NJF94" s="34" t="s">
        <v>885</v>
      </c>
      <c r="NJG94" s="60"/>
      <c r="NJV94" s="34" t="s">
        <v>885</v>
      </c>
      <c r="NJW94" s="60"/>
      <c r="NKL94" s="34" t="s">
        <v>885</v>
      </c>
      <c r="NKM94" s="60"/>
      <c r="NLB94" s="34" t="s">
        <v>885</v>
      </c>
      <c r="NLC94" s="60"/>
      <c r="NLR94" s="34" t="s">
        <v>885</v>
      </c>
      <c r="NLS94" s="60"/>
      <c r="NMH94" s="34" t="s">
        <v>885</v>
      </c>
      <c r="NMI94" s="60"/>
      <c r="NMX94" s="34" t="s">
        <v>885</v>
      </c>
      <c r="NMY94" s="60"/>
      <c r="NNN94" s="34" t="s">
        <v>885</v>
      </c>
      <c r="NNO94" s="60"/>
      <c r="NOD94" s="34" t="s">
        <v>885</v>
      </c>
      <c r="NOE94" s="60"/>
      <c r="NOT94" s="34" t="s">
        <v>885</v>
      </c>
      <c r="NOU94" s="60"/>
      <c r="NPJ94" s="34" t="s">
        <v>885</v>
      </c>
      <c r="NPK94" s="60"/>
      <c r="NPZ94" s="34" t="s">
        <v>885</v>
      </c>
      <c r="NQA94" s="60"/>
      <c r="NQP94" s="34" t="s">
        <v>885</v>
      </c>
      <c r="NQQ94" s="60"/>
      <c r="NRF94" s="34" t="s">
        <v>885</v>
      </c>
      <c r="NRG94" s="60"/>
      <c r="NRV94" s="34" t="s">
        <v>885</v>
      </c>
      <c r="NRW94" s="60"/>
      <c r="NSL94" s="34" t="s">
        <v>885</v>
      </c>
      <c r="NSM94" s="60"/>
      <c r="NTB94" s="34" t="s">
        <v>885</v>
      </c>
      <c r="NTC94" s="60"/>
      <c r="NTR94" s="34" t="s">
        <v>885</v>
      </c>
      <c r="NTS94" s="60"/>
      <c r="NUH94" s="34" t="s">
        <v>885</v>
      </c>
      <c r="NUI94" s="60"/>
      <c r="NUX94" s="34" t="s">
        <v>885</v>
      </c>
      <c r="NUY94" s="60"/>
      <c r="NVN94" s="34" t="s">
        <v>885</v>
      </c>
      <c r="NVO94" s="60"/>
      <c r="NWD94" s="34" t="s">
        <v>885</v>
      </c>
      <c r="NWE94" s="60"/>
      <c r="NWT94" s="34" t="s">
        <v>885</v>
      </c>
      <c r="NWU94" s="60"/>
      <c r="NXJ94" s="34" t="s">
        <v>885</v>
      </c>
      <c r="NXK94" s="60"/>
      <c r="NXZ94" s="34" t="s">
        <v>885</v>
      </c>
      <c r="NYA94" s="60"/>
      <c r="NYP94" s="34" t="s">
        <v>885</v>
      </c>
      <c r="NYQ94" s="60"/>
      <c r="NZF94" s="34" t="s">
        <v>885</v>
      </c>
      <c r="NZG94" s="60"/>
      <c r="NZV94" s="34" t="s">
        <v>885</v>
      </c>
      <c r="NZW94" s="60"/>
      <c r="OAL94" s="34" t="s">
        <v>885</v>
      </c>
      <c r="OAM94" s="60"/>
      <c r="OBB94" s="34" t="s">
        <v>885</v>
      </c>
      <c r="OBC94" s="60"/>
      <c r="OBR94" s="34" t="s">
        <v>885</v>
      </c>
      <c r="OBS94" s="60"/>
      <c r="OCH94" s="34" t="s">
        <v>885</v>
      </c>
      <c r="OCI94" s="60"/>
      <c r="OCX94" s="34" t="s">
        <v>885</v>
      </c>
      <c r="OCY94" s="60"/>
      <c r="ODN94" s="34" t="s">
        <v>885</v>
      </c>
      <c r="ODO94" s="60"/>
      <c r="OED94" s="34" t="s">
        <v>885</v>
      </c>
      <c r="OEE94" s="60"/>
      <c r="OET94" s="34" t="s">
        <v>885</v>
      </c>
      <c r="OEU94" s="60"/>
      <c r="OFJ94" s="34" t="s">
        <v>885</v>
      </c>
      <c r="OFK94" s="60"/>
      <c r="OFZ94" s="34" t="s">
        <v>885</v>
      </c>
      <c r="OGA94" s="60"/>
      <c r="OGP94" s="34" t="s">
        <v>885</v>
      </c>
      <c r="OGQ94" s="60"/>
      <c r="OHF94" s="34" t="s">
        <v>885</v>
      </c>
      <c r="OHG94" s="60"/>
      <c r="OHV94" s="34" t="s">
        <v>885</v>
      </c>
      <c r="OHW94" s="60"/>
      <c r="OIL94" s="34" t="s">
        <v>885</v>
      </c>
      <c r="OIM94" s="60"/>
      <c r="OJB94" s="34" t="s">
        <v>885</v>
      </c>
      <c r="OJC94" s="60"/>
      <c r="OJR94" s="34" t="s">
        <v>885</v>
      </c>
      <c r="OJS94" s="60"/>
      <c r="OKH94" s="34" t="s">
        <v>885</v>
      </c>
      <c r="OKI94" s="60"/>
      <c r="OKX94" s="34" t="s">
        <v>885</v>
      </c>
      <c r="OKY94" s="60"/>
      <c r="OLN94" s="34" t="s">
        <v>885</v>
      </c>
      <c r="OLO94" s="60"/>
      <c r="OMD94" s="34" t="s">
        <v>885</v>
      </c>
      <c r="OME94" s="60"/>
      <c r="OMT94" s="34" t="s">
        <v>885</v>
      </c>
      <c r="OMU94" s="60"/>
      <c r="ONJ94" s="34" t="s">
        <v>885</v>
      </c>
      <c r="ONK94" s="60"/>
      <c r="ONZ94" s="34" t="s">
        <v>885</v>
      </c>
      <c r="OOA94" s="60"/>
      <c r="OOP94" s="34" t="s">
        <v>885</v>
      </c>
      <c r="OOQ94" s="60"/>
      <c r="OPF94" s="34" t="s">
        <v>885</v>
      </c>
      <c r="OPG94" s="60"/>
      <c r="OPV94" s="34" t="s">
        <v>885</v>
      </c>
      <c r="OPW94" s="60"/>
      <c r="OQL94" s="34" t="s">
        <v>885</v>
      </c>
      <c r="OQM94" s="60"/>
      <c r="ORB94" s="34" t="s">
        <v>885</v>
      </c>
      <c r="ORC94" s="60"/>
      <c r="ORR94" s="34" t="s">
        <v>885</v>
      </c>
      <c r="ORS94" s="60"/>
      <c r="OSH94" s="34" t="s">
        <v>885</v>
      </c>
      <c r="OSI94" s="60"/>
      <c r="OSX94" s="34" t="s">
        <v>885</v>
      </c>
      <c r="OSY94" s="60"/>
      <c r="OTN94" s="34" t="s">
        <v>885</v>
      </c>
      <c r="OTO94" s="60"/>
      <c r="OUD94" s="34" t="s">
        <v>885</v>
      </c>
      <c r="OUE94" s="60"/>
      <c r="OUT94" s="34" t="s">
        <v>885</v>
      </c>
      <c r="OUU94" s="60"/>
      <c r="OVJ94" s="34" t="s">
        <v>885</v>
      </c>
      <c r="OVK94" s="60"/>
      <c r="OVZ94" s="34" t="s">
        <v>885</v>
      </c>
      <c r="OWA94" s="60"/>
      <c r="OWP94" s="34" t="s">
        <v>885</v>
      </c>
      <c r="OWQ94" s="60"/>
      <c r="OXF94" s="34" t="s">
        <v>885</v>
      </c>
      <c r="OXG94" s="60"/>
      <c r="OXV94" s="34" t="s">
        <v>885</v>
      </c>
      <c r="OXW94" s="60"/>
      <c r="OYL94" s="34" t="s">
        <v>885</v>
      </c>
      <c r="OYM94" s="60"/>
      <c r="OZB94" s="34" t="s">
        <v>885</v>
      </c>
      <c r="OZC94" s="60"/>
      <c r="OZR94" s="34" t="s">
        <v>885</v>
      </c>
      <c r="OZS94" s="60"/>
      <c r="PAH94" s="34" t="s">
        <v>885</v>
      </c>
      <c r="PAI94" s="60"/>
      <c r="PAX94" s="34" t="s">
        <v>885</v>
      </c>
      <c r="PAY94" s="60"/>
      <c r="PBN94" s="34" t="s">
        <v>885</v>
      </c>
      <c r="PBO94" s="60"/>
      <c r="PCD94" s="34" t="s">
        <v>885</v>
      </c>
      <c r="PCE94" s="60"/>
      <c r="PCT94" s="34" t="s">
        <v>885</v>
      </c>
      <c r="PCU94" s="60"/>
      <c r="PDJ94" s="34" t="s">
        <v>885</v>
      </c>
      <c r="PDK94" s="60"/>
      <c r="PDZ94" s="34" t="s">
        <v>885</v>
      </c>
      <c r="PEA94" s="60"/>
      <c r="PEP94" s="34" t="s">
        <v>885</v>
      </c>
      <c r="PEQ94" s="60"/>
      <c r="PFF94" s="34" t="s">
        <v>885</v>
      </c>
      <c r="PFG94" s="60"/>
      <c r="PFV94" s="34" t="s">
        <v>885</v>
      </c>
      <c r="PFW94" s="60"/>
      <c r="PGL94" s="34" t="s">
        <v>885</v>
      </c>
      <c r="PGM94" s="60"/>
      <c r="PHB94" s="34" t="s">
        <v>885</v>
      </c>
      <c r="PHC94" s="60"/>
      <c r="PHR94" s="34" t="s">
        <v>885</v>
      </c>
      <c r="PHS94" s="60"/>
      <c r="PIH94" s="34" t="s">
        <v>885</v>
      </c>
      <c r="PII94" s="60"/>
      <c r="PIX94" s="34" t="s">
        <v>885</v>
      </c>
      <c r="PIY94" s="60"/>
      <c r="PJN94" s="34" t="s">
        <v>885</v>
      </c>
      <c r="PJO94" s="60"/>
      <c r="PKD94" s="34" t="s">
        <v>885</v>
      </c>
      <c r="PKE94" s="60"/>
      <c r="PKT94" s="34" t="s">
        <v>885</v>
      </c>
      <c r="PKU94" s="60"/>
      <c r="PLJ94" s="34" t="s">
        <v>885</v>
      </c>
      <c r="PLK94" s="60"/>
      <c r="PLZ94" s="34" t="s">
        <v>885</v>
      </c>
      <c r="PMA94" s="60"/>
      <c r="PMP94" s="34" t="s">
        <v>885</v>
      </c>
      <c r="PMQ94" s="60"/>
      <c r="PNF94" s="34" t="s">
        <v>885</v>
      </c>
      <c r="PNG94" s="60"/>
      <c r="PNV94" s="34" t="s">
        <v>885</v>
      </c>
      <c r="PNW94" s="60"/>
      <c r="POL94" s="34" t="s">
        <v>885</v>
      </c>
      <c r="POM94" s="60"/>
      <c r="PPB94" s="34" t="s">
        <v>885</v>
      </c>
      <c r="PPC94" s="60"/>
      <c r="PPR94" s="34" t="s">
        <v>885</v>
      </c>
      <c r="PPS94" s="60"/>
      <c r="PQH94" s="34" t="s">
        <v>885</v>
      </c>
      <c r="PQI94" s="60"/>
      <c r="PQX94" s="34" t="s">
        <v>885</v>
      </c>
      <c r="PQY94" s="60"/>
      <c r="PRN94" s="34" t="s">
        <v>885</v>
      </c>
      <c r="PRO94" s="60"/>
      <c r="PSD94" s="34" t="s">
        <v>885</v>
      </c>
      <c r="PSE94" s="60"/>
      <c r="PST94" s="34" t="s">
        <v>885</v>
      </c>
      <c r="PSU94" s="60"/>
      <c r="PTJ94" s="34" t="s">
        <v>885</v>
      </c>
      <c r="PTK94" s="60"/>
      <c r="PTZ94" s="34" t="s">
        <v>885</v>
      </c>
      <c r="PUA94" s="60"/>
      <c r="PUP94" s="34" t="s">
        <v>885</v>
      </c>
      <c r="PUQ94" s="60"/>
      <c r="PVF94" s="34" t="s">
        <v>885</v>
      </c>
      <c r="PVG94" s="60"/>
      <c r="PVV94" s="34" t="s">
        <v>885</v>
      </c>
      <c r="PVW94" s="60"/>
      <c r="PWL94" s="34" t="s">
        <v>885</v>
      </c>
      <c r="PWM94" s="60"/>
      <c r="PXB94" s="34" t="s">
        <v>885</v>
      </c>
      <c r="PXC94" s="60"/>
      <c r="PXR94" s="34" t="s">
        <v>885</v>
      </c>
      <c r="PXS94" s="60"/>
      <c r="PYH94" s="34" t="s">
        <v>885</v>
      </c>
      <c r="PYI94" s="60"/>
      <c r="PYX94" s="34" t="s">
        <v>885</v>
      </c>
      <c r="PYY94" s="60"/>
      <c r="PZN94" s="34" t="s">
        <v>885</v>
      </c>
      <c r="PZO94" s="60"/>
      <c r="QAD94" s="34" t="s">
        <v>885</v>
      </c>
      <c r="QAE94" s="60"/>
      <c r="QAT94" s="34" t="s">
        <v>885</v>
      </c>
      <c r="QAU94" s="60"/>
      <c r="QBJ94" s="34" t="s">
        <v>885</v>
      </c>
      <c r="QBK94" s="60"/>
      <c r="QBZ94" s="34" t="s">
        <v>885</v>
      </c>
      <c r="QCA94" s="60"/>
      <c r="QCP94" s="34" t="s">
        <v>885</v>
      </c>
      <c r="QCQ94" s="60"/>
      <c r="QDF94" s="34" t="s">
        <v>885</v>
      </c>
      <c r="QDG94" s="60"/>
      <c r="QDV94" s="34" t="s">
        <v>885</v>
      </c>
      <c r="QDW94" s="60"/>
      <c r="QEL94" s="34" t="s">
        <v>885</v>
      </c>
      <c r="QEM94" s="60"/>
      <c r="QFB94" s="34" t="s">
        <v>885</v>
      </c>
      <c r="QFC94" s="60"/>
      <c r="QFR94" s="34" t="s">
        <v>885</v>
      </c>
      <c r="QFS94" s="60"/>
      <c r="QGH94" s="34" t="s">
        <v>885</v>
      </c>
      <c r="QGI94" s="60"/>
      <c r="QGX94" s="34" t="s">
        <v>885</v>
      </c>
      <c r="QGY94" s="60"/>
      <c r="QHN94" s="34" t="s">
        <v>885</v>
      </c>
      <c r="QHO94" s="60"/>
      <c r="QID94" s="34" t="s">
        <v>885</v>
      </c>
      <c r="QIE94" s="60"/>
      <c r="QIT94" s="34" t="s">
        <v>885</v>
      </c>
      <c r="QIU94" s="60"/>
      <c r="QJJ94" s="34" t="s">
        <v>885</v>
      </c>
      <c r="QJK94" s="60"/>
      <c r="QJZ94" s="34" t="s">
        <v>885</v>
      </c>
      <c r="QKA94" s="60"/>
      <c r="QKP94" s="34" t="s">
        <v>885</v>
      </c>
      <c r="QKQ94" s="60"/>
      <c r="QLF94" s="34" t="s">
        <v>885</v>
      </c>
      <c r="QLG94" s="60"/>
      <c r="QLV94" s="34" t="s">
        <v>885</v>
      </c>
      <c r="QLW94" s="60"/>
      <c r="QML94" s="34" t="s">
        <v>885</v>
      </c>
      <c r="QMM94" s="60"/>
      <c r="QNB94" s="34" t="s">
        <v>885</v>
      </c>
      <c r="QNC94" s="60"/>
      <c r="QNR94" s="34" t="s">
        <v>885</v>
      </c>
      <c r="QNS94" s="60"/>
      <c r="QOH94" s="34" t="s">
        <v>885</v>
      </c>
      <c r="QOI94" s="60"/>
      <c r="QOX94" s="34" t="s">
        <v>885</v>
      </c>
      <c r="QOY94" s="60"/>
      <c r="QPN94" s="34" t="s">
        <v>885</v>
      </c>
      <c r="QPO94" s="60"/>
      <c r="QQD94" s="34" t="s">
        <v>885</v>
      </c>
      <c r="QQE94" s="60"/>
      <c r="QQT94" s="34" t="s">
        <v>885</v>
      </c>
      <c r="QQU94" s="60"/>
      <c r="QRJ94" s="34" t="s">
        <v>885</v>
      </c>
      <c r="QRK94" s="60"/>
      <c r="QRZ94" s="34" t="s">
        <v>885</v>
      </c>
      <c r="QSA94" s="60"/>
      <c r="QSP94" s="34" t="s">
        <v>885</v>
      </c>
      <c r="QSQ94" s="60"/>
      <c r="QTF94" s="34" t="s">
        <v>885</v>
      </c>
      <c r="QTG94" s="60"/>
      <c r="QTV94" s="34" t="s">
        <v>885</v>
      </c>
      <c r="QTW94" s="60"/>
      <c r="QUL94" s="34" t="s">
        <v>885</v>
      </c>
      <c r="QUM94" s="60"/>
      <c r="QVB94" s="34" t="s">
        <v>885</v>
      </c>
      <c r="QVC94" s="60"/>
      <c r="QVR94" s="34" t="s">
        <v>885</v>
      </c>
      <c r="QVS94" s="60"/>
      <c r="QWH94" s="34" t="s">
        <v>885</v>
      </c>
      <c r="QWI94" s="60"/>
      <c r="QWX94" s="34" t="s">
        <v>885</v>
      </c>
      <c r="QWY94" s="60"/>
      <c r="QXN94" s="34" t="s">
        <v>885</v>
      </c>
      <c r="QXO94" s="60"/>
      <c r="QYD94" s="34" t="s">
        <v>885</v>
      </c>
      <c r="QYE94" s="60"/>
      <c r="QYT94" s="34" t="s">
        <v>885</v>
      </c>
      <c r="QYU94" s="60"/>
      <c r="QZJ94" s="34" t="s">
        <v>885</v>
      </c>
      <c r="QZK94" s="60"/>
      <c r="QZZ94" s="34" t="s">
        <v>885</v>
      </c>
      <c r="RAA94" s="60"/>
      <c r="RAP94" s="34" t="s">
        <v>885</v>
      </c>
      <c r="RAQ94" s="60"/>
      <c r="RBF94" s="34" t="s">
        <v>885</v>
      </c>
      <c r="RBG94" s="60"/>
      <c r="RBV94" s="34" t="s">
        <v>885</v>
      </c>
      <c r="RBW94" s="60"/>
      <c r="RCL94" s="34" t="s">
        <v>885</v>
      </c>
      <c r="RCM94" s="60"/>
      <c r="RDB94" s="34" t="s">
        <v>885</v>
      </c>
      <c r="RDC94" s="60"/>
      <c r="RDR94" s="34" t="s">
        <v>885</v>
      </c>
      <c r="RDS94" s="60"/>
      <c r="REH94" s="34" t="s">
        <v>885</v>
      </c>
      <c r="REI94" s="60"/>
      <c r="REX94" s="34" t="s">
        <v>885</v>
      </c>
      <c r="REY94" s="60"/>
      <c r="RFN94" s="34" t="s">
        <v>885</v>
      </c>
      <c r="RFO94" s="60"/>
      <c r="RGD94" s="34" t="s">
        <v>885</v>
      </c>
      <c r="RGE94" s="60"/>
      <c r="RGT94" s="34" t="s">
        <v>885</v>
      </c>
      <c r="RGU94" s="60"/>
      <c r="RHJ94" s="34" t="s">
        <v>885</v>
      </c>
      <c r="RHK94" s="60"/>
      <c r="RHZ94" s="34" t="s">
        <v>885</v>
      </c>
      <c r="RIA94" s="60"/>
      <c r="RIP94" s="34" t="s">
        <v>885</v>
      </c>
      <c r="RIQ94" s="60"/>
      <c r="RJF94" s="34" t="s">
        <v>885</v>
      </c>
      <c r="RJG94" s="60"/>
      <c r="RJV94" s="34" t="s">
        <v>885</v>
      </c>
      <c r="RJW94" s="60"/>
      <c r="RKL94" s="34" t="s">
        <v>885</v>
      </c>
      <c r="RKM94" s="60"/>
      <c r="RLB94" s="34" t="s">
        <v>885</v>
      </c>
      <c r="RLC94" s="60"/>
      <c r="RLR94" s="34" t="s">
        <v>885</v>
      </c>
      <c r="RLS94" s="60"/>
      <c r="RMH94" s="34" t="s">
        <v>885</v>
      </c>
      <c r="RMI94" s="60"/>
      <c r="RMX94" s="34" t="s">
        <v>885</v>
      </c>
      <c r="RMY94" s="60"/>
      <c r="RNN94" s="34" t="s">
        <v>885</v>
      </c>
      <c r="RNO94" s="60"/>
      <c r="ROD94" s="34" t="s">
        <v>885</v>
      </c>
      <c r="ROE94" s="60"/>
      <c r="ROT94" s="34" t="s">
        <v>885</v>
      </c>
      <c r="ROU94" s="60"/>
      <c r="RPJ94" s="34" t="s">
        <v>885</v>
      </c>
      <c r="RPK94" s="60"/>
      <c r="RPZ94" s="34" t="s">
        <v>885</v>
      </c>
      <c r="RQA94" s="60"/>
      <c r="RQP94" s="34" t="s">
        <v>885</v>
      </c>
      <c r="RQQ94" s="60"/>
      <c r="RRF94" s="34" t="s">
        <v>885</v>
      </c>
      <c r="RRG94" s="60"/>
      <c r="RRV94" s="34" t="s">
        <v>885</v>
      </c>
      <c r="RRW94" s="60"/>
      <c r="RSL94" s="34" t="s">
        <v>885</v>
      </c>
      <c r="RSM94" s="60"/>
      <c r="RTB94" s="34" t="s">
        <v>885</v>
      </c>
      <c r="RTC94" s="60"/>
      <c r="RTR94" s="34" t="s">
        <v>885</v>
      </c>
      <c r="RTS94" s="60"/>
      <c r="RUH94" s="34" t="s">
        <v>885</v>
      </c>
      <c r="RUI94" s="60"/>
      <c r="RUX94" s="34" t="s">
        <v>885</v>
      </c>
      <c r="RUY94" s="60"/>
      <c r="RVN94" s="34" t="s">
        <v>885</v>
      </c>
      <c r="RVO94" s="60"/>
      <c r="RWD94" s="34" t="s">
        <v>885</v>
      </c>
      <c r="RWE94" s="60"/>
      <c r="RWT94" s="34" t="s">
        <v>885</v>
      </c>
      <c r="RWU94" s="60"/>
      <c r="RXJ94" s="34" t="s">
        <v>885</v>
      </c>
      <c r="RXK94" s="60"/>
      <c r="RXZ94" s="34" t="s">
        <v>885</v>
      </c>
      <c r="RYA94" s="60"/>
      <c r="RYP94" s="34" t="s">
        <v>885</v>
      </c>
      <c r="RYQ94" s="60"/>
      <c r="RZF94" s="34" t="s">
        <v>885</v>
      </c>
      <c r="RZG94" s="60"/>
      <c r="RZV94" s="34" t="s">
        <v>885</v>
      </c>
      <c r="RZW94" s="60"/>
      <c r="SAL94" s="34" t="s">
        <v>885</v>
      </c>
      <c r="SAM94" s="60"/>
      <c r="SBB94" s="34" t="s">
        <v>885</v>
      </c>
      <c r="SBC94" s="60"/>
      <c r="SBR94" s="34" t="s">
        <v>885</v>
      </c>
      <c r="SBS94" s="60"/>
      <c r="SCH94" s="34" t="s">
        <v>885</v>
      </c>
      <c r="SCI94" s="60"/>
      <c r="SCX94" s="34" t="s">
        <v>885</v>
      </c>
      <c r="SCY94" s="60"/>
      <c r="SDN94" s="34" t="s">
        <v>885</v>
      </c>
      <c r="SDO94" s="60"/>
      <c r="SED94" s="34" t="s">
        <v>885</v>
      </c>
      <c r="SEE94" s="60"/>
      <c r="SET94" s="34" t="s">
        <v>885</v>
      </c>
      <c r="SEU94" s="60"/>
      <c r="SFJ94" s="34" t="s">
        <v>885</v>
      </c>
      <c r="SFK94" s="60"/>
      <c r="SFZ94" s="34" t="s">
        <v>885</v>
      </c>
      <c r="SGA94" s="60"/>
      <c r="SGP94" s="34" t="s">
        <v>885</v>
      </c>
      <c r="SGQ94" s="60"/>
      <c r="SHF94" s="34" t="s">
        <v>885</v>
      </c>
      <c r="SHG94" s="60"/>
      <c r="SHV94" s="34" t="s">
        <v>885</v>
      </c>
      <c r="SHW94" s="60"/>
      <c r="SIL94" s="34" t="s">
        <v>885</v>
      </c>
      <c r="SIM94" s="60"/>
      <c r="SJB94" s="34" t="s">
        <v>885</v>
      </c>
      <c r="SJC94" s="60"/>
      <c r="SJR94" s="34" t="s">
        <v>885</v>
      </c>
      <c r="SJS94" s="60"/>
      <c r="SKH94" s="34" t="s">
        <v>885</v>
      </c>
      <c r="SKI94" s="60"/>
      <c r="SKX94" s="34" t="s">
        <v>885</v>
      </c>
      <c r="SKY94" s="60"/>
      <c r="SLN94" s="34" t="s">
        <v>885</v>
      </c>
      <c r="SLO94" s="60"/>
      <c r="SMD94" s="34" t="s">
        <v>885</v>
      </c>
      <c r="SME94" s="60"/>
      <c r="SMT94" s="34" t="s">
        <v>885</v>
      </c>
      <c r="SMU94" s="60"/>
      <c r="SNJ94" s="34" t="s">
        <v>885</v>
      </c>
      <c r="SNK94" s="60"/>
      <c r="SNZ94" s="34" t="s">
        <v>885</v>
      </c>
      <c r="SOA94" s="60"/>
      <c r="SOP94" s="34" t="s">
        <v>885</v>
      </c>
      <c r="SOQ94" s="60"/>
      <c r="SPF94" s="34" t="s">
        <v>885</v>
      </c>
      <c r="SPG94" s="60"/>
      <c r="SPV94" s="34" t="s">
        <v>885</v>
      </c>
      <c r="SPW94" s="60"/>
      <c r="SQL94" s="34" t="s">
        <v>885</v>
      </c>
      <c r="SQM94" s="60"/>
      <c r="SRB94" s="34" t="s">
        <v>885</v>
      </c>
      <c r="SRC94" s="60"/>
      <c r="SRR94" s="34" t="s">
        <v>885</v>
      </c>
      <c r="SRS94" s="60"/>
      <c r="SSH94" s="34" t="s">
        <v>885</v>
      </c>
      <c r="SSI94" s="60"/>
      <c r="SSX94" s="34" t="s">
        <v>885</v>
      </c>
      <c r="SSY94" s="60"/>
      <c r="STN94" s="34" t="s">
        <v>885</v>
      </c>
      <c r="STO94" s="60"/>
      <c r="SUD94" s="34" t="s">
        <v>885</v>
      </c>
      <c r="SUE94" s="60"/>
      <c r="SUT94" s="34" t="s">
        <v>885</v>
      </c>
      <c r="SUU94" s="60"/>
      <c r="SVJ94" s="34" t="s">
        <v>885</v>
      </c>
      <c r="SVK94" s="60"/>
      <c r="SVZ94" s="34" t="s">
        <v>885</v>
      </c>
      <c r="SWA94" s="60"/>
      <c r="SWP94" s="34" t="s">
        <v>885</v>
      </c>
      <c r="SWQ94" s="60"/>
      <c r="SXF94" s="34" t="s">
        <v>885</v>
      </c>
      <c r="SXG94" s="60"/>
      <c r="SXV94" s="34" t="s">
        <v>885</v>
      </c>
      <c r="SXW94" s="60"/>
      <c r="SYL94" s="34" t="s">
        <v>885</v>
      </c>
      <c r="SYM94" s="60"/>
      <c r="SZB94" s="34" t="s">
        <v>885</v>
      </c>
      <c r="SZC94" s="60"/>
      <c r="SZR94" s="34" t="s">
        <v>885</v>
      </c>
      <c r="SZS94" s="60"/>
      <c r="TAH94" s="34" t="s">
        <v>885</v>
      </c>
      <c r="TAI94" s="60"/>
      <c r="TAX94" s="34" t="s">
        <v>885</v>
      </c>
      <c r="TAY94" s="60"/>
      <c r="TBN94" s="34" t="s">
        <v>885</v>
      </c>
      <c r="TBO94" s="60"/>
      <c r="TCD94" s="34" t="s">
        <v>885</v>
      </c>
      <c r="TCE94" s="60"/>
      <c r="TCT94" s="34" t="s">
        <v>885</v>
      </c>
      <c r="TCU94" s="60"/>
      <c r="TDJ94" s="34" t="s">
        <v>885</v>
      </c>
      <c r="TDK94" s="60"/>
      <c r="TDZ94" s="34" t="s">
        <v>885</v>
      </c>
      <c r="TEA94" s="60"/>
      <c r="TEP94" s="34" t="s">
        <v>885</v>
      </c>
      <c r="TEQ94" s="60"/>
      <c r="TFF94" s="34" t="s">
        <v>885</v>
      </c>
      <c r="TFG94" s="60"/>
      <c r="TFV94" s="34" t="s">
        <v>885</v>
      </c>
      <c r="TFW94" s="60"/>
      <c r="TGL94" s="34" t="s">
        <v>885</v>
      </c>
      <c r="TGM94" s="60"/>
      <c r="THB94" s="34" t="s">
        <v>885</v>
      </c>
      <c r="THC94" s="60"/>
      <c r="THR94" s="34" t="s">
        <v>885</v>
      </c>
      <c r="THS94" s="60"/>
      <c r="TIH94" s="34" t="s">
        <v>885</v>
      </c>
      <c r="TII94" s="60"/>
      <c r="TIX94" s="34" t="s">
        <v>885</v>
      </c>
      <c r="TIY94" s="60"/>
      <c r="TJN94" s="34" t="s">
        <v>885</v>
      </c>
      <c r="TJO94" s="60"/>
      <c r="TKD94" s="34" t="s">
        <v>885</v>
      </c>
      <c r="TKE94" s="60"/>
      <c r="TKT94" s="34" t="s">
        <v>885</v>
      </c>
      <c r="TKU94" s="60"/>
      <c r="TLJ94" s="34" t="s">
        <v>885</v>
      </c>
      <c r="TLK94" s="60"/>
      <c r="TLZ94" s="34" t="s">
        <v>885</v>
      </c>
      <c r="TMA94" s="60"/>
      <c r="TMP94" s="34" t="s">
        <v>885</v>
      </c>
      <c r="TMQ94" s="60"/>
      <c r="TNF94" s="34" t="s">
        <v>885</v>
      </c>
      <c r="TNG94" s="60"/>
      <c r="TNV94" s="34" t="s">
        <v>885</v>
      </c>
      <c r="TNW94" s="60"/>
      <c r="TOL94" s="34" t="s">
        <v>885</v>
      </c>
      <c r="TOM94" s="60"/>
      <c r="TPB94" s="34" t="s">
        <v>885</v>
      </c>
      <c r="TPC94" s="60"/>
      <c r="TPR94" s="34" t="s">
        <v>885</v>
      </c>
      <c r="TPS94" s="60"/>
      <c r="TQH94" s="34" t="s">
        <v>885</v>
      </c>
      <c r="TQI94" s="60"/>
      <c r="TQX94" s="34" t="s">
        <v>885</v>
      </c>
      <c r="TQY94" s="60"/>
      <c r="TRN94" s="34" t="s">
        <v>885</v>
      </c>
      <c r="TRO94" s="60"/>
      <c r="TSD94" s="34" t="s">
        <v>885</v>
      </c>
      <c r="TSE94" s="60"/>
      <c r="TST94" s="34" t="s">
        <v>885</v>
      </c>
      <c r="TSU94" s="60"/>
      <c r="TTJ94" s="34" t="s">
        <v>885</v>
      </c>
      <c r="TTK94" s="60"/>
      <c r="TTZ94" s="34" t="s">
        <v>885</v>
      </c>
      <c r="TUA94" s="60"/>
      <c r="TUP94" s="34" t="s">
        <v>885</v>
      </c>
      <c r="TUQ94" s="60"/>
      <c r="TVF94" s="34" t="s">
        <v>885</v>
      </c>
      <c r="TVG94" s="60"/>
      <c r="TVV94" s="34" t="s">
        <v>885</v>
      </c>
      <c r="TVW94" s="60"/>
      <c r="TWL94" s="34" t="s">
        <v>885</v>
      </c>
      <c r="TWM94" s="60"/>
      <c r="TXB94" s="34" t="s">
        <v>885</v>
      </c>
      <c r="TXC94" s="60"/>
      <c r="TXR94" s="34" t="s">
        <v>885</v>
      </c>
      <c r="TXS94" s="60"/>
      <c r="TYH94" s="34" t="s">
        <v>885</v>
      </c>
      <c r="TYI94" s="60"/>
      <c r="TYX94" s="34" t="s">
        <v>885</v>
      </c>
      <c r="TYY94" s="60"/>
      <c r="TZN94" s="34" t="s">
        <v>885</v>
      </c>
      <c r="TZO94" s="60"/>
      <c r="UAD94" s="34" t="s">
        <v>885</v>
      </c>
      <c r="UAE94" s="60"/>
      <c r="UAT94" s="34" t="s">
        <v>885</v>
      </c>
      <c r="UAU94" s="60"/>
      <c r="UBJ94" s="34" t="s">
        <v>885</v>
      </c>
      <c r="UBK94" s="60"/>
      <c r="UBZ94" s="34" t="s">
        <v>885</v>
      </c>
      <c r="UCA94" s="60"/>
      <c r="UCP94" s="34" t="s">
        <v>885</v>
      </c>
      <c r="UCQ94" s="60"/>
      <c r="UDF94" s="34" t="s">
        <v>885</v>
      </c>
      <c r="UDG94" s="60"/>
      <c r="UDV94" s="34" t="s">
        <v>885</v>
      </c>
      <c r="UDW94" s="60"/>
      <c r="UEL94" s="34" t="s">
        <v>885</v>
      </c>
      <c r="UEM94" s="60"/>
      <c r="UFB94" s="34" t="s">
        <v>885</v>
      </c>
      <c r="UFC94" s="60"/>
      <c r="UFR94" s="34" t="s">
        <v>885</v>
      </c>
      <c r="UFS94" s="60"/>
      <c r="UGH94" s="34" t="s">
        <v>885</v>
      </c>
      <c r="UGI94" s="60"/>
      <c r="UGX94" s="34" t="s">
        <v>885</v>
      </c>
      <c r="UGY94" s="60"/>
      <c r="UHN94" s="34" t="s">
        <v>885</v>
      </c>
      <c r="UHO94" s="60"/>
      <c r="UID94" s="34" t="s">
        <v>885</v>
      </c>
      <c r="UIE94" s="60"/>
      <c r="UIT94" s="34" t="s">
        <v>885</v>
      </c>
      <c r="UIU94" s="60"/>
      <c r="UJJ94" s="34" t="s">
        <v>885</v>
      </c>
      <c r="UJK94" s="60"/>
      <c r="UJZ94" s="34" t="s">
        <v>885</v>
      </c>
      <c r="UKA94" s="60"/>
      <c r="UKP94" s="34" t="s">
        <v>885</v>
      </c>
      <c r="UKQ94" s="60"/>
      <c r="ULF94" s="34" t="s">
        <v>885</v>
      </c>
      <c r="ULG94" s="60"/>
      <c r="ULV94" s="34" t="s">
        <v>885</v>
      </c>
      <c r="ULW94" s="60"/>
      <c r="UML94" s="34" t="s">
        <v>885</v>
      </c>
      <c r="UMM94" s="60"/>
      <c r="UNB94" s="34" t="s">
        <v>885</v>
      </c>
      <c r="UNC94" s="60"/>
      <c r="UNR94" s="34" t="s">
        <v>885</v>
      </c>
      <c r="UNS94" s="60"/>
      <c r="UOH94" s="34" t="s">
        <v>885</v>
      </c>
      <c r="UOI94" s="60"/>
      <c r="UOX94" s="34" t="s">
        <v>885</v>
      </c>
      <c r="UOY94" s="60"/>
      <c r="UPN94" s="34" t="s">
        <v>885</v>
      </c>
      <c r="UPO94" s="60"/>
      <c r="UQD94" s="34" t="s">
        <v>885</v>
      </c>
      <c r="UQE94" s="60"/>
      <c r="UQT94" s="34" t="s">
        <v>885</v>
      </c>
      <c r="UQU94" s="60"/>
      <c r="URJ94" s="34" t="s">
        <v>885</v>
      </c>
      <c r="URK94" s="60"/>
      <c r="URZ94" s="34" t="s">
        <v>885</v>
      </c>
      <c r="USA94" s="60"/>
      <c r="USP94" s="34" t="s">
        <v>885</v>
      </c>
      <c r="USQ94" s="60"/>
      <c r="UTF94" s="34" t="s">
        <v>885</v>
      </c>
      <c r="UTG94" s="60"/>
      <c r="UTV94" s="34" t="s">
        <v>885</v>
      </c>
      <c r="UTW94" s="60"/>
      <c r="UUL94" s="34" t="s">
        <v>885</v>
      </c>
      <c r="UUM94" s="60"/>
      <c r="UVB94" s="34" t="s">
        <v>885</v>
      </c>
      <c r="UVC94" s="60"/>
      <c r="UVR94" s="34" t="s">
        <v>885</v>
      </c>
      <c r="UVS94" s="60"/>
      <c r="UWH94" s="34" t="s">
        <v>885</v>
      </c>
      <c r="UWI94" s="60"/>
      <c r="UWX94" s="34" t="s">
        <v>885</v>
      </c>
      <c r="UWY94" s="60"/>
      <c r="UXN94" s="34" t="s">
        <v>885</v>
      </c>
      <c r="UXO94" s="60"/>
      <c r="UYD94" s="34" t="s">
        <v>885</v>
      </c>
      <c r="UYE94" s="60"/>
      <c r="UYT94" s="34" t="s">
        <v>885</v>
      </c>
      <c r="UYU94" s="60"/>
      <c r="UZJ94" s="34" t="s">
        <v>885</v>
      </c>
      <c r="UZK94" s="60"/>
      <c r="UZZ94" s="34" t="s">
        <v>885</v>
      </c>
      <c r="VAA94" s="60"/>
      <c r="VAP94" s="34" t="s">
        <v>885</v>
      </c>
      <c r="VAQ94" s="60"/>
      <c r="VBF94" s="34" t="s">
        <v>885</v>
      </c>
      <c r="VBG94" s="60"/>
      <c r="VBV94" s="34" t="s">
        <v>885</v>
      </c>
      <c r="VBW94" s="60"/>
      <c r="VCL94" s="34" t="s">
        <v>885</v>
      </c>
      <c r="VCM94" s="60"/>
      <c r="VDB94" s="34" t="s">
        <v>885</v>
      </c>
      <c r="VDC94" s="60"/>
      <c r="VDR94" s="34" t="s">
        <v>885</v>
      </c>
      <c r="VDS94" s="60"/>
      <c r="VEH94" s="34" t="s">
        <v>885</v>
      </c>
      <c r="VEI94" s="60"/>
      <c r="VEX94" s="34" t="s">
        <v>885</v>
      </c>
      <c r="VEY94" s="60"/>
      <c r="VFN94" s="34" t="s">
        <v>885</v>
      </c>
      <c r="VFO94" s="60"/>
      <c r="VGD94" s="34" t="s">
        <v>885</v>
      </c>
      <c r="VGE94" s="60"/>
      <c r="VGT94" s="34" t="s">
        <v>885</v>
      </c>
      <c r="VGU94" s="60"/>
      <c r="VHJ94" s="34" t="s">
        <v>885</v>
      </c>
      <c r="VHK94" s="60"/>
      <c r="VHZ94" s="34" t="s">
        <v>885</v>
      </c>
      <c r="VIA94" s="60"/>
      <c r="VIP94" s="34" t="s">
        <v>885</v>
      </c>
      <c r="VIQ94" s="60"/>
      <c r="VJF94" s="34" t="s">
        <v>885</v>
      </c>
      <c r="VJG94" s="60"/>
      <c r="VJV94" s="34" t="s">
        <v>885</v>
      </c>
      <c r="VJW94" s="60"/>
      <c r="VKL94" s="34" t="s">
        <v>885</v>
      </c>
      <c r="VKM94" s="60"/>
      <c r="VLB94" s="34" t="s">
        <v>885</v>
      </c>
      <c r="VLC94" s="60"/>
      <c r="VLR94" s="34" t="s">
        <v>885</v>
      </c>
      <c r="VLS94" s="60"/>
      <c r="VMH94" s="34" t="s">
        <v>885</v>
      </c>
      <c r="VMI94" s="60"/>
      <c r="VMX94" s="34" t="s">
        <v>885</v>
      </c>
      <c r="VMY94" s="60"/>
      <c r="VNN94" s="34" t="s">
        <v>885</v>
      </c>
      <c r="VNO94" s="60"/>
      <c r="VOD94" s="34" t="s">
        <v>885</v>
      </c>
      <c r="VOE94" s="60"/>
      <c r="VOT94" s="34" t="s">
        <v>885</v>
      </c>
      <c r="VOU94" s="60"/>
      <c r="VPJ94" s="34" t="s">
        <v>885</v>
      </c>
      <c r="VPK94" s="60"/>
      <c r="VPZ94" s="34" t="s">
        <v>885</v>
      </c>
      <c r="VQA94" s="60"/>
      <c r="VQP94" s="34" t="s">
        <v>885</v>
      </c>
      <c r="VQQ94" s="60"/>
      <c r="VRF94" s="34" t="s">
        <v>885</v>
      </c>
      <c r="VRG94" s="60"/>
      <c r="VRV94" s="34" t="s">
        <v>885</v>
      </c>
      <c r="VRW94" s="60"/>
      <c r="VSL94" s="34" t="s">
        <v>885</v>
      </c>
      <c r="VSM94" s="60"/>
      <c r="VTB94" s="34" t="s">
        <v>885</v>
      </c>
      <c r="VTC94" s="60"/>
      <c r="VTR94" s="34" t="s">
        <v>885</v>
      </c>
      <c r="VTS94" s="60"/>
      <c r="VUH94" s="34" t="s">
        <v>885</v>
      </c>
      <c r="VUI94" s="60"/>
      <c r="VUX94" s="34" t="s">
        <v>885</v>
      </c>
      <c r="VUY94" s="60"/>
      <c r="VVN94" s="34" t="s">
        <v>885</v>
      </c>
      <c r="VVO94" s="60"/>
      <c r="VWD94" s="34" t="s">
        <v>885</v>
      </c>
      <c r="VWE94" s="60"/>
      <c r="VWT94" s="34" t="s">
        <v>885</v>
      </c>
      <c r="VWU94" s="60"/>
      <c r="VXJ94" s="34" t="s">
        <v>885</v>
      </c>
      <c r="VXK94" s="60"/>
      <c r="VXZ94" s="34" t="s">
        <v>885</v>
      </c>
      <c r="VYA94" s="60"/>
      <c r="VYP94" s="34" t="s">
        <v>885</v>
      </c>
      <c r="VYQ94" s="60"/>
      <c r="VZF94" s="34" t="s">
        <v>885</v>
      </c>
      <c r="VZG94" s="60"/>
      <c r="VZV94" s="34" t="s">
        <v>885</v>
      </c>
      <c r="VZW94" s="60"/>
      <c r="WAL94" s="34" t="s">
        <v>885</v>
      </c>
      <c r="WAM94" s="60"/>
      <c r="WBB94" s="34" t="s">
        <v>885</v>
      </c>
      <c r="WBC94" s="60"/>
      <c r="WBR94" s="34" t="s">
        <v>885</v>
      </c>
      <c r="WBS94" s="60"/>
      <c r="WCH94" s="34" t="s">
        <v>885</v>
      </c>
      <c r="WCI94" s="60"/>
      <c r="WCX94" s="34" t="s">
        <v>885</v>
      </c>
      <c r="WCY94" s="60"/>
      <c r="WDN94" s="34" t="s">
        <v>885</v>
      </c>
      <c r="WDO94" s="60"/>
      <c r="WED94" s="34" t="s">
        <v>885</v>
      </c>
      <c r="WEE94" s="60"/>
      <c r="WET94" s="34" t="s">
        <v>885</v>
      </c>
      <c r="WEU94" s="60"/>
      <c r="WFJ94" s="34" t="s">
        <v>885</v>
      </c>
      <c r="WFK94" s="60"/>
      <c r="WFZ94" s="34" t="s">
        <v>885</v>
      </c>
      <c r="WGA94" s="60"/>
      <c r="WGP94" s="34" t="s">
        <v>885</v>
      </c>
      <c r="WGQ94" s="60"/>
      <c r="WHF94" s="34" t="s">
        <v>885</v>
      </c>
      <c r="WHG94" s="60"/>
      <c r="WHV94" s="34" t="s">
        <v>885</v>
      </c>
      <c r="WHW94" s="60"/>
      <c r="WIL94" s="34" t="s">
        <v>885</v>
      </c>
      <c r="WIM94" s="60"/>
      <c r="WJB94" s="34" t="s">
        <v>885</v>
      </c>
      <c r="WJC94" s="60"/>
      <c r="WJR94" s="34" t="s">
        <v>885</v>
      </c>
      <c r="WJS94" s="60"/>
      <c r="WKH94" s="34" t="s">
        <v>885</v>
      </c>
      <c r="WKI94" s="60"/>
      <c r="WKX94" s="34" t="s">
        <v>885</v>
      </c>
      <c r="WKY94" s="60"/>
      <c r="WLN94" s="34" t="s">
        <v>885</v>
      </c>
      <c r="WLO94" s="60"/>
      <c r="WMD94" s="34" t="s">
        <v>885</v>
      </c>
      <c r="WME94" s="60"/>
      <c r="WMT94" s="34" t="s">
        <v>885</v>
      </c>
      <c r="WMU94" s="60"/>
      <c r="WNJ94" s="34" t="s">
        <v>885</v>
      </c>
      <c r="WNK94" s="60"/>
      <c r="WNZ94" s="34" t="s">
        <v>885</v>
      </c>
      <c r="WOA94" s="60"/>
      <c r="WOP94" s="34" t="s">
        <v>885</v>
      </c>
      <c r="WOQ94" s="60"/>
      <c r="WPF94" s="34" t="s">
        <v>885</v>
      </c>
      <c r="WPG94" s="60"/>
      <c r="WPV94" s="34" t="s">
        <v>885</v>
      </c>
      <c r="WPW94" s="60"/>
      <c r="WQL94" s="34" t="s">
        <v>885</v>
      </c>
      <c r="WQM94" s="60"/>
      <c r="WRB94" s="34" t="s">
        <v>885</v>
      </c>
      <c r="WRC94" s="60"/>
      <c r="WRR94" s="34" t="s">
        <v>885</v>
      </c>
      <c r="WRS94" s="60"/>
      <c r="WSH94" s="34" t="s">
        <v>885</v>
      </c>
      <c r="WSI94" s="60"/>
      <c r="WSX94" s="34" t="s">
        <v>885</v>
      </c>
      <c r="WSY94" s="60"/>
      <c r="WTN94" s="34" t="s">
        <v>885</v>
      </c>
      <c r="WTO94" s="60"/>
      <c r="WUD94" s="34" t="s">
        <v>885</v>
      </c>
      <c r="WUE94" s="60"/>
      <c r="WUT94" s="34" t="s">
        <v>885</v>
      </c>
      <c r="WUU94" s="60"/>
      <c r="WVJ94" s="34" t="s">
        <v>885</v>
      </c>
      <c r="WVK94" s="60"/>
      <c r="WVZ94" s="34" t="s">
        <v>885</v>
      </c>
      <c r="WWA94" s="60"/>
      <c r="WWP94" s="34" t="s">
        <v>885</v>
      </c>
      <c r="WWQ94" s="60"/>
      <c r="WXF94" s="34" t="s">
        <v>885</v>
      </c>
      <c r="WXG94" s="60"/>
      <c r="WXV94" s="34" t="s">
        <v>885</v>
      </c>
      <c r="WXW94" s="60"/>
      <c r="WYL94" s="34" t="s">
        <v>885</v>
      </c>
      <c r="WYM94" s="60"/>
      <c r="WZB94" s="34" t="s">
        <v>885</v>
      </c>
      <c r="WZC94" s="60"/>
      <c r="WZR94" s="34" t="s">
        <v>885</v>
      </c>
      <c r="WZS94" s="60"/>
      <c r="XAH94" s="34" t="s">
        <v>885</v>
      </c>
      <c r="XAI94" s="60"/>
      <c r="XAX94" s="34" t="s">
        <v>885</v>
      </c>
      <c r="XAY94" s="60"/>
      <c r="XBN94" s="34" t="s">
        <v>885</v>
      </c>
      <c r="XBO94" s="60"/>
      <c r="XCD94" s="34" t="s">
        <v>885</v>
      </c>
      <c r="XCE94" s="60"/>
      <c r="XCT94" s="34" t="s">
        <v>885</v>
      </c>
      <c r="XCU94" s="60"/>
      <c r="XDJ94" s="34" t="s">
        <v>885</v>
      </c>
      <c r="XDK94" s="60"/>
      <c r="XDZ94" s="34" t="s">
        <v>885</v>
      </c>
      <c r="XEA94" s="60"/>
      <c r="XEP94" s="34" t="s">
        <v>885</v>
      </c>
      <c r="XEQ94" s="60"/>
    </row>
    <row r="95" spans="2:1011 1026:2035 2050:3059 3074:4083 4098:5107 5122:6131 6146:7155 7170:8179 8194:9203 9218:10227 10242:11251 11266:12275 12290:13299 13314:14323 14338:15347 15362:16371" ht="14.25" x14ac:dyDescent="0.2">
      <c r="R95" s="34"/>
      <c r="S95" s="60"/>
      <c r="AH95" s="34"/>
      <c r="AI95" s="60"/>
      <c r="AX95" s="34"/>
      <c r="AY95" s="60"/>
      <c r="BN95" s="34"/>
      <c r="BO95" s="60"/>
      <c r="CD95" s="34"/>
      <c r="CE95" s="60"/>
      <c r="CT95" s="34"/>
      <c r="CU95" s="60"/>
      <c r="DJ95" s="34"/>
      <c r="DK95" s="60"/>
      <c r="DZ95" s="34"/>
      <c r="EA95" s="60"/>
      <c r="EP95" s="34"/>
      <c r="EQ95" s="60"/>
      <c r="FF95" s="34"/>
      <c r="FG95" s="60"/>
      <c r="FV95" s="34"/>
      <c r="FW95" s="60"/>
      <c r="GL95" s="34"/>
      <c r="GM95" s="60"/>
      <c r="HB95" s="34"/>
      <c r="HC95" s="60"/>
      <c r="HR95" s="34"/>
      <c r="HS95" s="60"/>
      <c r="IH95" s="34"/>
      <c r="II95" s="60"/>
      <c r="IX95" s="34"/>
      <c r="IY95" s="60"/>
      <c r="JN95" s="34"/>
      <c r="JO95" s="60"/>
      <c r="KD95" s="34"/>
      <c r="KE95" s="60"/>
      <c r="KT95" s="34"/>
      <c r="KU95" s="60"/>
      <c r="LJ95" s="34"/>
      <c r="LK95" s="60"/>
      <c r="LZ95" s="34"/>
      <c r="MA95" s="60"/>
      <c r="MP95" s="34"/>
      <c r="MQ95" s="60"/>
      <c r="NF95" s="34"/>
      <c r="NG95" s="60"/>
      <c r="NV95" s="34"/>
      <c r="NW95" s="60"/>
      <c r="OL95" s="34"/>
      <c r="OM95" s="60"/>
      <c r="PB95" s="34"/>
      <c r="PC95" s="60"/>
      <c r="PR95" s="34"/>
      <c r="PS95" s="60"/>
      <c r="QH95" s="34"/>
      <c r="QI95" s="60"/>
      <c r="QX95" s="34"/>
      <c r="QY95" s="60"/>
      <c r="RN95" s="34"/>
      <c r="RO95" s="60"/>
      <c r="SD95" s="34"/>
      <c r="SE95" s="60"/>
      <c r="ST95" s="34"/>
      <c r="SU95" s="60"/>
      <c r="TJ95" s="34"/>
      <c r="TK95" s="60"/>
      <c r="TZ95" s="34"/>
      <c r="UA95" s="60"/>
      <c r="UP95" s="34"/>
      <c r="UQ95" s="60"/>
      <c r="VF95" s="34"/>
      <c r="VG95" s="60"/>
      <c r="VV95" s="34"/>
      <c r="VW95" s="60"/>
      <c r="WL95" s="34"/>
      <c r="WM95" s="60"/>
      <c r="XB95" s="34"/>
      <c r="XC95" s="60"/>
      <c r="XR95" s="34"/>
      <c r="XS95" s="60"/>
      <c r="YH95" s="34"/>
      <c r="YI95" s="60"/>
      <c r="YX95" s="34"/>
      <c r="YY95" s="60"/>
      <c r="ZN95" s="34"/>
      <c r="ZO95" s="60"/>
      <c r="AAD95" s="34"/>
      <c r="AAE95" s="60"/>
      <c r="AAT95" s="34"/>
      <c r="AAU95" s="60"/>
      <c r="ABJ95" s="34"/>
      <c r="ABK95" s="60"/>
      <c r="ABZ95" s="34"/>
      <c r="ACA95" s="60"/>
      <c r="ACP95" s="34"/>
      <c r="ACQ95" s="60"/>
      <c r="ADF95" s="34"/>
      <c r="ADG95" s="60"/>
      <c r="ADV95" s="34"/>
      <c r="ADW95" s="60"/>
      <c r="AEL95" s="34"/>
      <c r="AEM95" s="60"/>
      <c r="AFB95" s="34"/>
      <c r="AFC95" s="60"/>
      <c r="AFR95" s="34"/>
      <c r="AFS95" s="60"/>
      <c r="AGH95" s="34"/>
      <c r="AGI95" s="60"/>
      <c r="AGX95" s="34"/>
      <c r="AGY95" s="60"/>
      <c r="AHN95" s="34"/>
      <c r="AHO95" s="60"/>
      <c r="AID95" s="34"/>
      <c r="AIE95" s="60"/>
      <c r="AIT95" s="34"/>
      <c r="AIU95" s="60"/>
      <c r="AJJ95" s="34"/>
      <c r="AJK95" s="60"/>
      <c r="AJZ95" s="34"/>
      <c r="AKA95" s="60"/>
      <c r="AKP95" s="34"/>
      <c r="AKQ95" s="60"/>
      <c r="ALF95" s="34"/>
      <c r="ALG95" s="60"/>
      <c r="ALV95" s="34"/>
      <c r="ALW95" s="60"/>
      <c r="AML95" s="34"/>
      <c r="AMM95" s="60"/>
      <c r="ANB95" s="34"/>
      <c r="ANC95" s="60"/>
      <c r="ANR95" s="34"/>
      <c r="ANS95" s="60"/>
      <c r="AOH95" s="34"/>
      <c r="AOI95" s="60"/>
      <c r="AOX95" s="34"/>
      <c r="AOY95" s="60"/>
      <c r="APN95" s="34"/>
      <c r="APO95" s="60"/>
      <c r="AQD95" s="34"/>
      <c r="AQE95" s="60"/>
      <c r="AQT95" s="34"/>
      <c r="AQU95" s="60"/>
      <c r="ARJ95" s="34"/>
      <c r="ARK95" s="60"/>
      <c r="ARZ95" s="34"/>
      <c r="ASA95" s="60"/>
      <c r="ASP95" s="34"/>
      <c r="ASQ95" s="60"/>
      <c r="ATF95" s="34"/>
      <c r="ATG95" s="60"/>
      <c r="ATV95" s="34"/>
      <c r="ATW95" s="60"/>
      <c r="AUL95" s="34"/>
      <c r="AUM95" s="60"/>
      <c r="AVB95" s="34"/>
      <c r="AVC95" s="60"/>
      <c r="AVR95" s="34"/>
      <c r="AVS95" s="60"/>
      <c r="AWH95" s="34"/>
      <c r="AWI95" s="60"/>
      <c r="AWX95" s="34"/>
      <c r="AWY95" s="60"/>
      <c r="AXN95" s="34"/>
      <c r="AXO95" s="60"/>
      <c r="AYD95" s="34"/>
      <c r="AYE95" s="60"/>
      <c r="AYT95" s="34"/>
      <c r="AYU95" s="60"/>
      <c r="AZJ95" s="34"/>
      <c r="AZK95" s="60"/>
      <c r="AZZ95" s="34"/>
      <c r="BAA95" s="60"/>
      <c r="BAP95" s="34"/>
      <c r="BAQ95" s="60"/>
      <c r="BBF95" s="34"/>
      <c r="BBG95" s="60"/>
      <c r="BBV95" s="34"/>
      <c r="BBW95" s="60"/>
      <c r="BCL95" s="34"/>
      <c r="BCM95" s="60"/>
      <c r="BDB95" s="34"/>
      <c r="BDC95" s="60"/>
      <c r="BDR95" s="34"/>
      <c r="BDS95" s="60"/>
      <c r="BEH95" s="34"/>
      <c r="BEI95" s="60"/>
      <c r="BEX95" s="34"/>
      <c r="BEY95" s="60"/>
      <c r="BFN95" s="34"/>
      <c r="BFO95" s="60"/>
      <c r="BGD95" s="34"/>
      <c r="BGE95" s="60"/>
      <c r="BGT95" s="34"/>
      <c r="BGU95" s="60"/>
      <c r="BHJ95" s="34"/>
      <c r="BHK95" s="60"/>
      <c r="BHZ95" s="34"/>
      <c r="BIA95" s="60"/>
      <c r="BIP95" s="34"/>
      <c r="BIQ95" s="60"/>
      <c r="BJF95" s="34"/>
      <c r="BJG95" s="60"/>
      <c r="BJV95" s="34"/>
      <c r="BJW95" s="60"/>
      <c r="BKL95" s="34"/>
      <c r="BKM95" s="60"/>
      <c r="BLB95" s="34"/>
      <c r="BLC95" s="60"/>
      <c r="BLR95" s="34"/>
      <c r="BLS95" s="60"/>
      <c r="BMH95" s="34"/>
      <c r="BMI95" s="60"/>
      <c r="BMX95" s="34"/>
      <c r="BMY95" s="60"/>
      <c r="BNN95" s="34"/>
      <c r="BNO95" s="60"/>
      <c r="BOD95" s="34"/>
      <c r="BOE95" s="60"/>
      <c r="BOT95" s="34"/>
      <c r="BOU95" s="60"/>
      <c r="BPJ95" s="34"/>
      <c r="BPK95" s="60"/>
      <c r="BPZ95" s="34"/>
      <c r="BQA95" s="60"/>
      <c r="BQP95" s="34"/>
      <c r="BQQ95" s="60"/>
      <c r="BRF95" s="34"/>
      <c r="BRG95" s="60"/>
      <c r="BRV95" s="34"/>
      <c r="BRW95" s="60"/>
      <c r="BSL95" s="34"/>
      <c r="BSM95" s="60"/>
      <c r="BTB95" s="34"/>
      <c r="BTC95" s="60"/>
      <c r="BTR95" s="34"/>
      <c r="BTS95" s="60"/>
      <c r="BUH95" s="34"/>
      <c r="BUI95" s="60"/>
      <c r="BUX95" s="34"/>
      <c r="BUY95" s="60"/>
      <c r="BVN95" s="34"/>
      <c r="BVO95" s="60"/>
      <c r="BWD95" s="34"/>
      <c r="BWE95" s="60"/>
      <c r="BWT95" s="34"/>
      <c r="BWU95" s="60"/>
      <c r="BXJ95" s="34"/>
      <c r="BXK95" s="60"/>
      <c r="BXZ95" s="34"/>
      <c r="BYA95" s="60"/>
      <c r="BYP95" s="34"/>
      <c r="BYQ95" s="60"/>
      <c r="BZF95" s="34"/>
      <c r="BZG95" s="60"/>
      <c r="BZV95" s="34"/>
      <c r="BZW95" s="60"/>
      <c r="CAL95" s="34"/>
      <c r="CAM95" s="60"/>
      <c r="CBB95" s="34"/>
      <c r="CBC95" s="60"/>
      <c r="CBR95" s="34"/>
      <c r="CBS95" s="60"/>
      <c r="CCH95" s="34"/>
      <c r="CCI95" s="60"/>
      <c r="CCX95" s="34"/>
      <c r="CCY95" s="60"/>
      <c r="CDN95" s="34"/>
      <c r="CDO95" s="60"/>
      <c r="CED95" s="34"/>
      <c r="CEE95" s="60"/>
      <c r="CET95" s="34"/>
      <c r="CEU95" s="60"/>
      <c r="CFJ95" s="34"/>
      <c r="CFK95" s="60"/>
      <c r="CFZ95" s="34"/>
      <c r="CGA95" s="60"/>
      <c r="CGP95" s="34"/>
      <c r="CGQ95" s="60"/>
      <c r="CHF95" s="34"/>
      <c r="CHG95" s="60"/>
      <c r="CHV95" s="34"/>
      <c r="CHW95" s="60"/>
      <c r="CIL95" s="34"/>
      <c r="CIM95" s="60"/>
      <c r="CJB95" s="34"/>
      <c r="CJC95" s="60"/>
      <c r="CJR95" s="34"/>
      <c r="CJS95" s="60"/>
      <c r="CKH95" s="34"/>
      <c r="CKI95" s="60"/>
      <c r="CKX95" s="34"/>
      <c r="CKY95" s="60"/>
      <c r="CLN95" s="34"/>
      <c r="CLO95" s="60"/>
      <c r="CMD95" s="34"/>
      <c r="CME95" s="60"/>
      <c r="CMT95" s="34"/>
      <c r="CMU95" s="60"/>
      <c r="CNJ95" s="34"/>
      <c r="CNK95" s="60"/>
      <c r="CNZ95" s="34"/>
      <c r="COA95" s="60"/>
      <c r="COP95" s="34"/>
      <c r="COQ95" s="60"/>
      <c r="CPF95" s="34"/>
      <c r="CPG95" s="60"/>
      <c r="CPV95" s="34"/>
      <c r="CPW95" s="60"/>
      <c r="CQL95" s="34"/>
      <c r="CQM95" s="60"/>
      <c r="CRB95" s="34"/>
      <c r="CRC95" s="60"/>
      <c r="CRR95" s="34"/>
      <c r="CRS95" s="60"/>
      <c r="CSH95" s="34"/>
      <c r="CSI95" s="60"/>
      <c r="CSX95" s="34"/>
      <c r="CSY95" s="60"/>
      <c r="CTN95" s="34"/>
      <c r="CTO95" s="60"/>
      <c r="CUD95" s="34"/>
      <c r="CUE95" s="60"/>
      <c r="CUT95" s="34"/>
      <c r="CUU95" s="60"/>
      <c r="CVJ95" s="34"/>
      <c r="CVK95" s="60"/>
      <c r="CVZ95" s="34"/>
      <c r="CWA95" s="60"/>
      <c r="CWP95" s="34"/>
      <c r="CWQ95" s="60"/>
      <c r="CXF95" s="34"/>
      <c r="CXG95" s="60"/>
      <c r="CXV95" s="34"/>
      <c r="CXW95" s="60"/>
      <c r="CYL95" s="34"/>
      <c r="CYM95" s="60"/>
      <c r="CZB95" s="34"/>
      <c r="CZC95" s="60"/>
      <c r="CZR95" s="34"/>
      <c r="CZS95" s="60"/>
      <c r="DAH95" s="34"/>
      <c r="DAI95" s="60"/>
      <c r="DAX95" s="34"/>
      <c r="DAY95" s="60"/>
      <c r="DBN95" s="34"/>
      <c r="DBO95" s="60"/>
      <c r="DCD95" s="34"/>
      <c r="DCE95" s="60"/>
      <c r="DCT95" s="34"/>
      <c r="DCU95" s="60"/>
      <c r="DDJ95" s="34"/>
      <c r="DDK95" s="60"/>
      <c r="DDZ95" s="34"/>
      <c r="DEA95" s="60"/>
      <c r="DEP95" s="34"/>
      <c r="DEQ95" s="60"/>
      <c r="DFF95" s="34"/>
      <c r="DFG95" s="60"/>
      <c r="DFV95" s="34"/>
      <c r="DFW95" s="60"/>
      <c r="DGL95" s="34"/>
      <c r="DGM95" s="60"/>
      <c r="DHB95" s="34"/>
      <c r="DHC95" s="60"/>
      <c r="DHR95" s="34"/>
      <c r="DHS95" s="60"/>
      <c r="DIH95" s="34"/>
      <c r="DII95" s="60"/>
      <c r="DIX95" s="34"/>
      <c r="DIY95" s="60"/>
      <c r="DJN95" s="34"/>
      <c r="DJO95" s="60"/>
      <c r="DKD95" s="34"/>
      <c r="DKE95" s="60"/>
      <c r="DKT95" s="34"/>
      <c r="DKU95" s="60"/>
      <c r="DLJ95" s="34"/>
      <c r="DLK95" s="60"/>
      <c r="DLZ95" s="34"/>
      <c r="DMA95" s="60"/>
      <c r="DMP95" s="34"/>
      <c r="DMQ95" s="60"/>
      <c r="DNF95" s="34"/>
      <c r="DNG95" s="60"/>
      <c r="DNV95" s="34"/>
      <c r="DNW95" s="60"/>
      <c r="DOL95" s="34"/>
      <c r="DOM95" s="60"/>
      <c r="DPB95" s="34"/>
      <c r="DPC95" s="60"/>
      <c r="DPR95" s="34"/>
      <c r="DPS95" s="60"/>
      <c r="DQH95" s="34"/>
      <c r="DQI95" s="60"/>
      <c r="DQX95" s="34"/>
      <c r="DQY95" s="60"/>
      <c r="DRN95" s="34"/>
      <c r="DRO95" s="60"/>
      <c r="DSD95" s="34"/>
      <c r="DSE95" s="60"/>
      <c r="DST95" s="34"/>
      <c r="DSU95" s="60"/>
      <c r="DTJ95" s="34"/>
      <c r="DTK95" s="60"/>
      <c r="DTZ95" s="34"/>
      <c r="DUA95" s="60"/>
      <c r="DUP95" s="34"/>
      <c r="DUQ95" s="60"/>
      <c r="DVF95" s="34"/>
      <c r="DVG95" s="60"/>
      <c r="DVV95" s="34"/>
      <c r="DVW95" s="60"/>
      <c r="DWL95" s="34"/>
      <c r="DWM95" s="60"/>
      <c r="DXB95" s="34"/>
      <c r="DXC95" s="60"/>
      <c r="DXR95" s="34"/>
      <c r="DXS95" s="60"/>
      <c r="DYH95" s="34"/>
      <c r="DYI95" s="60"/>
      <c r="DYX95" s="34"/>
      <c r="DYY95" s="60"/>
      <c r="DZN95" s="34"/>
      <c r="DZO95" s="60"/>
      <c r="EAD95" s="34"/>
      <c r="EAE95" s="60"/>
      <c r="EAT95" s="34"/>
      <c r="EAU95" s="60"/>
      <c r="EBJ95" s="34"/>
      <c r="EBK95" s="60"/>
      <c r="EBZ95" s="34"/>
      <c r="ECA95" s="60"/>
      <c r="ECP95" s="34"/>
      <c r="ECQ95" s="60"/>
      <c r="EDF95" s="34"/>
      <c r="EDG95" s="60"/>
      <c r="EDV95" s="34"/>
      <c r="EDW95" s="60"/>
      <c r="EEL95" s="34"/>
      <c r="EEM95" s="60"/>
      <c r="EFB95" s="34"/>
      <c r="EFC95" s="60"/>
      <c r="EFR95" s="34"/>
      <c r="EFS95" s="60"/>
      <c r="EGH95" s="34"/>
      <c r="EGI95" s="60"/>
      <c r="EGX95" s="34"/>
      <c r="EGY95" s="60"/>
      <c r="EHN95" s="34"/>
      <c r="EHO95" s="60"/>
      <c r="EID95" s="34"/>
      <c r="EIE95" s="60"/>
      <c r="EIT95" s="34"/>
      <c r="EIU95" s="60"/>
      <c r="EJJ95" s="34"/>
      <c r="EJK95" s="60"/>
      <c r="EJZ95" s="34"/>
      <c r="EKA95" s="60"/>
      <c r="EKP95" s="34"/>
      <c r="EKQ95" s="60"/>
      <c r="ELF95" s="34"/>
      <c r="ELG95" s="60"/>
      <c r="ELV95" s="34"/>
      <c r="ELW95" s="60"/>
      <c r="EML95" s="34"/>
      <c r="EMM95" s="60"/>
      <c r="ENB95" s="34"/>
      <c r="ENC95" s="60"/>
      <c r="ENR95" s="34"/>
      <c r="ENS95" s="60"/>
      <c r="EOH95" s="34"/>
      <c r="EOI95" s="60"/>
      <c r="EOX95" s="34"/>
      <c r="EOY95" s="60"/>
      <c r="EPN95" s="34"/>
      <c r="EPO95" s="60"/>
      <c r="EQD95" s="34"/>
      <c r="EQE95" s="60"/>
      <c r="EQT95" s="34"/>
      <c r="EQU95" s="60"/>
      <c r="ERJ95" s="34"/>
      <c r="ERK95" s="60"/>
      <c r="ERZ95" s="34"/>
      <c r="ESA95" s="60"/>
      <c r="ESP95" s="34"/>
      <c r="ESQ95" s="60"/>
      <c r="ETF95" s="34"/>
      <c r="ETG95" s="60"/>
      <c r="ETV95" s="34"/>
      <c r="ETW95" s="60"/>
      <c r="EUL95" s="34"/>
      <c r="EUM95" s="60"/>
      <c r="EVB95" s="34"/>
      <c r="EVC95" s="60"/>
      <c r="EVR95" s="34"/>
      <c r="EVS95" s="60"/>
      <c r="EWH95" s="34"/>
      <c r="EWI95" s="60"/>
      <c r="EWX95" s="34"/>
      <c r="EWY95" s="60"/>
      <c r="EXN95" s="34"/>
      <c r="EXO95" s="60"/>
      <c r="EYD95" s="34"/>
      <c r="EYE95" s="60"/>
      <c r="EYT95" s="34"/>
      <c r="EYU95" s="60"/>
      <c r="EZJ95" s="34"/>
      <c r="EZK95" s="60"/>
      <c r="EZZ95" s="34"/>
      <c r="FAA95" s="60"/>
      <c r="FAP95" s="34"/>
      <c r="FAQ95" s="60"/>
      <c r="FBF95" s="34"/>
      <c r="FBG95" s="60"/>
      <c r="FBV95" s="34"/>
      <c r="FBW95" s="60"/>
      <c r="FCL95" s="34"/>
      <c r="FCM95" s="60"/>
      <c r="FDB95" s="34"/>
      <c r="FDC95" s="60"/>
      <c r="FDR95" s="34"/>
      <c r="FDS95" s="60"/>
      <c r="FEH95" s="34"/>
      <c r="FEI95" s="60"/>
      <c r="FEX95" s="34"/>
      <c r="FEY95" s="60"/>
      <c r="FFN95" s="34"/>
      <c r="FFO95" s="60"/>
      <c r="FGD95" s="34"/>
      <c r="FGE95" s="60"/>
      <c r="FGT95" s="34"/>
      <c r="FGU95" s="60"/>
      <c r="FHJ95" s="34"/>
      <c r="FHK95" s="60"/>
      <c r="FHZ95" s="34"/>
      <c r="FIA95" s="60"/>
      <c r="FIP95" s="34"/>
      <c r="FIQ95" s="60"/>
      <c r="FJF95" s="34"/>
      <c r="FJG95" s="60"/>
      <c r="FJV95" s="34"/>
      <c r="FJW95" s="60"/>
      <c r="FKL95" s="34"/>
      <c r="FKM95" s="60"/>
      <c r="FLB95" s="34"/>
      <c r="FLC95" s="60"/>
      <c r="FLR95" s="34"/>
      <c r="FLS95" s="60"/>
      <c r="FMH95" s="34"/>
      <c r="FMI95" s="60"/>
      <c r="FMX95" s="34"/>
      <c r="FMY95" s="60"/>
      <c r="FNN95" s="34"/>
      <c r="FNO95" s="60"/>
      <c r="FOD95" s="34"/>
      <c r="FOE95" s="60"/>
      <c r="FOT95" s="34"/>
      <c r="FOU95" s="60"/>
      <c r="FPJ95" s="34"/>
      <c r="FPK95" s="60"/>
      <c r="FPZ95" s="34"/>
      <c r="FQA95" s="60"/>
      <c r="FQP95" s="34"/>
      <c r="FQQ95" s="60"/>
      <c r="FRF95" s="34"/>
      <c r="FRG95" s="60"/>
      <c r="FRV95" s="34"/>
      <c r="FRW95" s="60"/>
      <c r="FSL95" s="34"/>
      <c r="FSM95" s="60"/>
      <c r="FTB95" s="34"/>
      <c r="FTC95" s="60"/>
      <c r="FTR95" s="34"/>
      <c r="FTS95" s="60"/>
      <c r="FUH95" s="34"/>
      <c r="FUI95" s="60"/>
      <c r="FUX95" s="34"/>
      <c r="FUY95" s="60"/>
      <c r="FVN95" s="34"/>
      <c r="FVO95" s="60"/>
      <c r="FWD95" s="34"/>
      <c r="FWE95" s="60"/>
      <c r="FWT95" s="34"/>
      <c r="FWU95" s="60"/>
      <c r="FXJ95" s="34"/>
      <c r="FXK95" s="60"/>
      <c r="FXZ95" s="34"/>
      <c r="FYA95" s="60"/>
      <c r="FYP95" s="34"/>
      <c r="FYQ95" s="60"/>
      <c r="FZF95" s="34"/>
      <c r="FZG95" s="60"/>
      <c r="FZV95" s="34"/>
      <c r="FZW95" s="60"/>
      <c r="GAL95" s="34"/>
      <c r="GAM95" s="60"/>
      <c r="GBB95" s="34"/>
      <c r="GBC95" s="60"/>
      <c r="GBR95" s="34"/>
      <c r="GBS95" s="60"/>
      <c r="GCH95" s="34"/>
      <c r="GCI95" s="60"/>
      <c r="GCX95" s="34"/>
      <c r="GCY95" s="60"/>
      <c r="GDN95" s="34"/>
      <c r="GDO95" s="60"/>
      <c r="GED95" s="34"/>
      <c r="GEE95" s="60"/>
      <c r="GET95" s="34"/>
      <c r="GEU95" s="60"/>
      <c r="GFJ95" s="34"/>
      <c r="GFK95" s="60"/>
      <c r="GFZ95" s="34"/>
      <c r="GGA95" s="60"/>
      <c r="GGP95" s="34"/>
      <c r="GGQ95" s="60"/>
      <c r="GHF95" s="34"/>
      <c r="GHG95" s="60"/>
      <c r="GHV95" s="34"/>
      <c r="GHW95" s="60"/>
      <c r="GIL95" s="34"/>
      <c r="GIM95" s="60"/>
      <c r="GJB95" s="34"/>
      <c r="GJC95" s="60"/>
      <c r="GJR95" s="34"/>
      <c r="GJS95" s="60"/>
      <c r="GKH95" s="34"/>
      <c r="GKI95" s="60"/>
      <c r="GKX95" s="34"/>
      <c r="GKY95" s="60"/>
      <c r="GLN95" s="34"/>
      <c r="GLO95" s="60"/>
      <c r="GMD95" s="34"/>
      <c r="GME95" s="60"/>
      <c r="GMT95" s="34"/>
      <c r="GMU95" s="60"/>
      <c r="GNJ95" s="34"/>
      <c r="GNK95" s="60"/>
      <c r="GNZ95" s="34"/>
      <c r="GOA95" s="60"/>
      <c r="GOP95" s="34"/>
      <c r="GOQ95" s="60"/>
      <c r="GPF95" s="34"/>
      <c r="GPG95" s="60"/>
      <c r="GPV95" s="34"/>
      <c r="GPW95" s="60"/>
      <c r="GQL95" s="34"/>
      <c r="GQM95" s="60"/>
      <c r="GRB95" s="34"/>
      <c r="GRC95" s="60"/>
      <c r="GRR95" s="34"/>
      <c r="GRS95" s="60"/>
      <c r="GSH95" s="34"/>
      <c r="GSI95" s="60"/>
      <c r="GSX95" s="34"/>
      <c r="GSY95" s="60"/>
      <c r="GTN95" s="34"/>
      <c r="GTO95" s="60"/>
      <c r="GUD95" s="34"/>
      <c r="GUE95" s="60"/>
      <c r="GUT95" s="34"/>
      <c r="GUU95" s="60"/>
      <c r="GVJ95" s="34"/>
      <c r="GVK95" s="60"/>
      <c r="GVZ95" s="34"/>
      <c r="GWA95" s="60"/>
      <c r="GWP95" s="34"/>
      <c r="GWQ95" s="60"/>
      <c r="GXF95" s="34"/>
      <c r="GXG95" s="60"/>
      <c r="GXV95" s="34"/>
      <c r="GXW95" s="60"/>
      <c r="GYL95" s="34"/>
      <c r="GYM95" s="60"/>
      <c r="GZB95" s="34"/>
      <c r="GZC95" s="60"/>
      <c r="GZR95" s="34"/>
      <c r="GZS95" s="60"/>
      <c r="HAH95" s="34"/>
      <c r="HAI95" s="60"/>
      <c r="HAX95" s="34"/>
      <c r="HAY95" s="60"/>
      <c r="HBN95" s="34"/>
      <c r="HBO95" s="60"/>
      <c r="HCD95" s="34"/>
      <c r="HCE95" s="60"/>
      <c r="HCT95" s="34"/>
      <c r="HCU95" s="60"/>
      <c r="HDJ95" s="34"/>
      <c r="HDK95" s="60"/>
      <c r="HDZ95" s="34"/>
      <c r="HEA95" s="60"/>
      <c r="HEP95" s="34"/>
      <c r="HEQ95" s="60"/>
      <c r="HFF95" s="34"/>
      <c r="HFG95" s="60"/>
      <c r="HFV95" s="34"/>
      <c r="HFW95" s="60"/>
      <c r="HGL95" s="34"/>
      <c r="HGM95" s="60"/>
      <c r="HHB95" s="34"/>
      <c r="HHC95" s="60"/>
      <c r="HHR95" s="34"/>
      <c r="HHS95" s="60"/>
      <c r="HIH95" s="34"/>
      <c r="HII95" s="60"/>
      <c r="HIX95" s="34"/>
      <c r="HIY95" s="60"/>
      <c r="HJN95" s="34"/>
      <c r="HJO95" s="60"/>
      <c r="HKD95" s="34"/>
      <c r="HKE95" s="60"/>
      <c r="HKT95" s="34"/>
      <c r="HKU95" s="60"/>
      <c r="HLJ95" s="34"/>
      <c r="HLK95" s="60"/>
      <c r="HLZ95" s="34"/>
      <c r="HMA95" s="60"/>
      <c r="HMP95" s="34"/>
      <c r="HMQ95" s="60"/>
      <c r="HNF95" s="34"/>
      <c r="HNG95" s="60"/>
      <c r="HNV95" s="34"/>
      <c r="HNW95" s="60"/>
      <c r="HOL95" s="34"/>
      <c r="HOM95" s="60"/>
      <c r="HPB95" s="34"/>
      <c r="HPC95" s="60"/>
      <c r="HPR95" s="34"/>
      <c r="HPS95" s="60"/>
      <c r="HQH95" s="34"/>
      <c r="HQI95" s="60"/>
      <c r="HQX95" s="34"/>
      <c r="HQY95" s="60"/>
      <c r="HRN95" s="34"/>
      <c r="HRO95" s="60"/>
      <c r="HSD95" s="34"/>
      <c r="HSE95" s="60"/>
      <c r="HST95" s="34"/>
      <c r="HSU95" s="60"/>
      <c r="HTJ95" s="34"/>
      <c r="HTK95" s="60"/>
      <c r="HTZ95" s="34"/>
      <c r="HUA95" s="60"/>
      <c r="HUP95" s="34"/>
      <c r="HUQ95" s="60"/>
      <c r="HVF95" s="34"/>
      <c r="HVG95" s="60"/>
      <c r="HVV95" s="34"/>
      <c r="HVW95" s="60"/>
      <c r="HWL95" s="34"/>
      <c r="HWM95" s="60"/>
      <c r="HXB95" s="34"/>
      <c r="HXC95" s="60"/>
      <c r="HXR95" s="34"/>
      <c r="HXS95" s="60"/>
      <c r="HYH95" s="34"/>
      <c r="HYI95" s="60"/>
      <c r="HYX95" s="34"/>
      <c r="HYY95" s="60"/>
      <c r="HZN95" s="34"/>
      <c r="HZO95" s="60"/>
      <c r="IAD95" s="34"/>
      <c r="IAE95" s="60"/>
      <c r="IAT95" s="34"/>
      <c r="IAU95" s="60"/>
      <c r="IBJ95" s="34"/>
      <c r="IBK95" s="60"/>
      <c r="IBZ95" s="34"/>
      <c r="ICA95" s="60"/>
      <c r="ICP95" s="34"/>
      <c r="ICQ95" s="60"/>
      <c r="IDF95" s="34"/>
      <c r="IDG95" s="60"/>
      <c r="IDV95" s="34"/>
      <c r="IDW95" s="60"/>
      <c r="IEL95" s="34"/>
      <c r="IEM95" s="60"/>
      <c r="IFB95" s="34"/>
      <c r="IFC95" s="60"/>
      <c r="IFR95" s="34"/>
      <c r="IFS95" s="60"/>
      <c r="IGH95" s="34"/>
      <c r="IGI95" s="60"/>
      <c r="IGX95" s="34"/>
      <c r="IGY95" s="60"/>
      <c r="IHN95" s="34"/>
      <c r="IHO95" s="60"/>
      <c r="IID95" s="34"/>
      <c r="IIE95" s="60"/>
      <c r="IIT95" s="34"/>
      <c r="IIU95" s="60"/>
      <c r="IJJ95" s="34"/>
      <c r="IJK95" s="60"/>
      <c r="IJZ95" s="34"/>
      <c r="IKA95" s="60"/>
      <c r="IKP95" s="34"/>
      <c r="IKQ95" s="60"/>
      <c r="ILF95" s="34"/>
      <c r="ILG95" s="60"/>
      <c r="ILV95" s="34"/>
      <c r="ILW95" s="60"/>
      <c r="IML95" s="34"/>
      <c r="IMM95" s="60"/>
      <c r="INB95" s="34"/>
      <c r="INC95" s="60"/>
      <c r="INR95" s="34"/>
      <c r="INS95" s="60"/>
      <c r="IOH95" s="34"/>
      <c r="IOI95" s="60"/>
      <c r="IOX95" s="34"/>
      <c r="IOY95" s="60"/>
      <c r="IPN95" s="34"/>
      <c r="IPO95" s="60"/>
      <c r="IQD95" s="34"/>
      <c r="IQE95" s="60"/>
      <c r="IQT95" s="34"/>
      <c r="IQU95" s="60"/>
      <c r="IRJ95" s="34"/>
      <c r="IRK95" s="60"/>
      <c r="IRZ95" s="34"/>
      <c r="ISA95" s="60"/>
      <c r="ISP95" s="34"/>
      <c r="ISQ95" s="60"/>
      <c r="ITF95" s="34"/>
      <c r="ITG95" s="60"/>
      <c r="ITV95" s="34"/>
      <c r="ITW95" s="60"/>
      <c r="IUL95" s="34"/>
      <c r="IUM95" s="60"/>
      <c r="IVB95" s="34"/>
      <c r="IVC95" s="60"/>
      <c r="IVR95" s="34"/>
      <c r="IVS95" s="60"/>
      <c r="IWH95" s="34"/>
      <c r="IWI95" s="60"/>
      <c r="IWX95" s="34"/>
      <c r="IWY95" s="60"/>
      <c r="IXN95" s="34"/>
      <c r="IXO95" s="60"/>
      <c r="IYD95" s="34"/>
      <c r="IYE95" s="60"/>
      <c r="IYT95" s="34"/>
      <c r="IYU95" s="60"/>
      <c r="IZJ95" s="34"/>
      <c r="IZK95" s="60"/>
      <c r="IZZ95" s="34"/>
      <c r="JAA95" s="60"/>
      <c r="JAP95" s="34"/>
      <c r="JAQ95" s="60"/>
      <c r="JBF95" s="34"/>
      <c r="JBG95" s="60"/>
      <c r="JBV95" s="34"/>
      <c r="JBW95" s="60"/>
      <c r="JCL95" s="34"/>
      <c r="JCM95" s="60"/>
      <c r="JDB95" s="34"/>
      <c r="JDC95" s="60"/>
      <c r="JDR95" s="34"/>
      <c r="JDS95" s="60"/>
      <c r="JEH95" s="34"/>
      <c r="JEI95" s="60"/>
      <c r="JEX95" s="34"/>
      <c r="JEY95" s="60"/>
      <c r="JFN95" s="34"/>
      <c r="JFO95" s="60"/>
      <c r="JGD95" s="34"/>
      <c r="JGE95" s="60"/>
      <c r="JGT95" s="34"/>
      <c r="JGU95" s="60"/>
      <c r="JHJ95" s="34"/>
      <c r="JHK95" s="60"/>
      <c r="JHZ95" s="34"/>
      <c r="JIA95" s="60"/>
      <c r="JIP95" s="34"/>
      <c r="JIQ95" s="60"/>
      <c r="JJF95" s="34"/>
      <c r="JJG95" s="60"/>
      <c r="JJV95" s="34"/>
      <c r="JJW95" s="60"/>
      <c r="JKL95" s="34"/>
      <c r="JKM95" s="60"/>
      <c r="JLB95" s="34"/>
      <c r="JLC95" s="60"/>
      <c r="JLR95" s="34"/>
      <c r="JLS95" s="60"/>
      <c r="JMH95" s="34"/>
      <c r="JMI95" s="60"/>
      <c r="JMX95" s="34"/>
      <c r="JMY95" s="60"/>
      <c r="JNN95" s="34"/>
      <c r="JNO95" s="60"/>
      <c r="JOD95" s="34"/>
      <c r="JOE95" s="60"/>
      <c r="JOT95" s="34"/>
      <c r="JOU95" s="60"/>
      <c r="JPJ95" s="34"/>
      <c r="JPK95" s="60"/>
      <c r="JPZ95" s="34"/>
      <c r="JQA95" s="60"/>
      <c r="JQP95" s="34"/>
      <c r="JQQ95" s="60"/>
      <c r="JRF95" s="34"/>
      <c r="JRG95" s="60"/>
      <c r="JRV95" s="34"/>
      <c r="JRW95" s="60"/>
      <c r="JSL95" s="34"/>
      <c r="JSM95" s="60"/>
      <c r="JTB95" s="34"/>
      <c r="JTC95" s="60"/>
      <c r="JTR95" s="34"/>
      <c r="JTS95" s="60"/>
      <c r="JUH95" s="34"/>
      <c r="JUI95" s="60"/>
      <c r="JUX95" s="34"/>
      <c r="JUY95" s="60"/>
      <c r="JVN95" s="34"/>
      <c r="JVO95" s="60"/>
      <c r="JWD95" s="34"/>
      <c r="JWE95" s="60"/>
      <c r="JWT95" s="34"/>
      <c r="JWU95" s="60"/>
      <c r="JXJ95" s="34"/>
      <c r="JXK95" s="60"/>
      <c r="JXZ95" s="34"/>
      <c r="JYA95" s="60"/>
      <c r="JYP95" s="34"/>
      <c r="JYQ95" s="60"/>
      <c r="JZF95" s="34"/>
      <c r="JZG95" s="60"/>
      <c r="JZV95" s="34"/>
      <c r="JZW95" s="60"/>
      <c r="KAL95" s="34"/>
      <c r="KAM95" s="60"/>
      <c r="KBB95" s="34"/>
      <c r="KBC95" s="60"/>
      <c r="KBR95" s="34"/>
      <c r="KBS95" s="60"/>
      <c r="KCH95" s="34"/>
      <c r="KCI95" s="60"/>
      <c r="KCX95" s="34"/>
      <c r="KCY95" s="60"/>
      <c r="KDN95" s="34"/>
      <c r="KDO95" s="60"/>
      <c r="KED95" s="34"/>
      <c r="KEE95" s="60"/>
      <c r="KET95" s="34"/>
      <c r="KEU95" s="60"/>
      <c r="KFJ95" s="34"/>
      <c r="KFK95" s="60"/>
      <c r="KFZ95" s="34"/>
      <c r="KGA95" s="60"/>
      <c r="KGP95" s="34"/>
      <c r="KGQ95" s="60"/>
      <c r="KHF95" s="34"/>
      <c r="KHG95" s="60"/>
      <c r="KHV95" s="34"/>
      <c r="KHW95" s="60"/>
      <c r="KIL95" s="34"/>
      <c r="KIM95" s="60"/>
      <c r="KJB95" s="34"/>
      <c r="KJC95" s="60"/>
      <c r="KJR95" s="34"/>
      <c r="KJS95" s="60"/>
      <c r="KKH95" s="34"/>
      <c r="KKI95" s="60"/>
      <c r="KKX95" s="34"/>
      <c r="KKY95" s="60"/>
      <c r="KLN95" s="34"/>
      <c r="KLO95" s="60"/>
      <c r="KMD95" s="34"/>
      <c r="KME95" s="60"/>
      <c r="KMT95" s="34"/>
      <c r="KMU95" s="60"/>
      <c r="KNJ95" s="34"/>
      <c r="KNK95" s="60"/>
      <c r="KNZ95" s="34"/>
      <c r="KOA95" s="60"/>
      <c r="KOP95" s="34"/>
      <c r="KOQ95" s="60"/>
      <c r="KPF95" s="34"/>
      <c r="KPG95" s="60"/>
      <c r="KPV95" s="34"/>
      <c r="KPW95" s="60"/>
      <c r="KQL95" s="34"/>
      <c r="KQM95" s="60"/>
      <c r="KRB95" s="34"/>
      <c r="KRC95" s="60"/>
      <c r="KRR95" s="34"/>
      <c r="KRS95" s="60"/>
      <c r="KSH95" s="34"/>
      <c r="KSI95" s="60"/>
      <c r="KSX95" s="34"/>
      <c r="KSY95" s="60"/>
      <c r="KTN95" s="34"/>
      <c r="KTO95" s="60"/>
      <c r="KUD95" s="34"/>
      <c r="KUE95" s="60"/>
      <c r="KUT95" s="34"/>
      <c r="KUU95" s="60"/>
      <c r="KVJ95" s="34"/>
      <c r="KVK95" s="60"/>
      <c r="KVZ95" s="34"/>
      <c r="KWA95" s="60"/>
      <c r="KWP95" s="34"/>
      <c r="KWQ95" s="60"/>
      <c r="KXF95" s="34"/>
      <c r="KXG95" s="60"/>
      <c r="KXV95" s="34"/>
      <c r="KXW95" s="60"/>
      <c r="KYL95" s="34"/>
      <c r="KYM95" s="60"/>
      <c r="KZB95" s="34"/>
      <c r="KZC95" s="60"/>
      <c r="KZR95" s="34"/>
      <c r="KZS95" s="60"/>
      <c r="LAH95" s="34"/>
      <c r="LAI95" s="60"/>
      <c r="LAX95" s="34"/>
      <c r="LAY95" s="60"/>
      <c r="LBN95" s="34"/>
      <c r="LBO95" s="60"/>
      <c r="LCD95" s="34"/>
      <c r="LCE95" s="60"/>
      <c r="LCT95" s="34"/>
      <c r="LCU95" s="60"/>
      <c r="LDJ95" s="34"/>
      <c r="LDK95" s="60"/>
      <c r="LDZ95" s="34"/>
      <c r="LEA95" s="60"/>
      <c r="LEP95" s="34"/>
      <c r="LEQ95" s="60"/>
      <c r="LFF95" s="34"/>
      <c r="LFG95" s="60"/>
      <c r="LFV95" s="34"/>
      <c r="LFW95" s="60"/>
      <c r="LGL95" s="34"/>
      <c r="LGM95" s="60"/>
      <c r="LHB95" s="34"/>
      <c r="LHC95" s="60"/>
      <c r="LHR95" s="34"/>
      <c r="LHS95" s="60"/>
      <c r="LIH95" s="34"/>
      <c r="LII95" s="60"/>
      <c r="LIX95" s="34"/>
      <c r="LIY95" s="60"/>
      <c r="LJN95" s="34"/>
      <c r="LJO95" s="60"/>
      <c r="LKD95" s="34"/>
      <c r="LKE95" s="60"/>
      <c r="LKT95" s="34"/>
      <c r="LKU95" s="60"/>
      <c r="LLJ95" s="34"/>
      <c r="LLK95" s="60"/>
      <c r="LLZ95" s="34"/>
      <c r="LMA95" s="60"/>
      <c r="LMP95" s="34"/>
      <c r="LMQ95" s="60"/>
      <c r="LNF95" s="34"/>
      <c r="LNG95" s="60"/>
      <c r="LNV95" s="34"/>
      <c r="LNW95" s="60"/>
      <c r="LOL95" s="34"/>
      <c r="LOM95" s="60"/>
      <c r="LPB95" s="34"/>
      <c r="LPC95" s="60"/>
      <c r="LPR95" s="34"/>
      <c r="LPS95" s="60"/>
      <c r="LQH95" s="34"/>
      <c r="LQI95" s="60"/>
      <c r="LQX95" s="34"/>
      <c r="LQY95" s="60"/>
      <c r="LRN95" s="34"/>
      <c r="LRO95" s="60"/>
      <c r="LSD95" s="34"/>
      <c r="LSE95" s="60"/>
      <c r="LST95" s="34"/>
      <c r="LSU95" s="60"/>
      <c r="LTJ95" s="34"/>
      <c r="LTK95" s="60"/>
      <c r="LTZ95" s="34"/>
      <c r="LUA95" s="60"/>
      <c r="LUP95" s="34"/>
      <c r="LUQ95" s="60"/>
      <c r="LVF95" s="34"/>
      <c r="LVG95" s="60"/>
      <c r="LVV95" s="34"/>
      <c r="LVW95" s="60"/>
      <c r="LWL95" s="34"/>
      <c r="LWM95" s="60"/>
      <c r="LXB95" s="34"/>
      <c r="LXC95" s="60"/>
      <c r="LXR95" s="34"/>
      <c r="LXS95" s="60"/>
      <c r="LYH95" s="34"/>
      <c r="LYI95" s="60"/>
      <c r="LYX95" s="34"/>
      <c r="LYY95" s="60"/>
      <c r="LZN95" s="34"/>
      <c r="LZO95" s="60"/>
      <c r="MAD95" s="34"/>
      <c r="MAE95" s="60"/>
      <c r="MAT95" s="34"/>
      <c r="MAU95" s="60"/>
      <c r="MBJ95" s="34"/>
      <c r="MBK95" s="60"/>
      <c r="MBZ95" s="34"/>
      <c r="MCA95" s="60"/>
      <c r="MCP95" s="34"/>
      <c r="MCQ95" s="60"/>
      <c r="MDF95" s="34"/>
      <c r="MDG95" s="60"/>
      <c r="MDV95" s="34"/>
      <c r="MDW95" s="60"/>
      <c r="MEL95" s="34"/>
      <c r="MEM95" s="60"/>
      <c r="MFB95" s="34"/>
      <c r="MFC95" s="60"/>
      <c r="MFR95" s="34"/>
      <c r="MFS95" s="60"/>
      <c r="MGH95" s="34"/>
      <c r="MGI95" s="60"/>
      <c r="MGX95" s="34"/>
      <c r="MGY95" s="60"/>
      <c r="MHN95" s="34"/>
      <c r="MHO95" s="60"/>
      <c r="MID95" s="34"/>
      <c r="MIE95" s="60"/>
      <c r="MIT95" s="34"/>
      <c r="MIU95" s="60"/>
      <c r="MJJ95" s="34"/>
      <c r="MJK95" s="60"/>
      <c r="MJZ95" s="34"/>
      <c r="MKA95" s="60"/>
      <c r="MKP95" s="34"/>
      <c r="MKQ95" s="60"/>
      <c r="MLF95" s="34"/>
      <c r="MLG95" s="60"/>
      <c r="MLV95" s="34"/>
      <c r="MLW95" s="60"/>
      <c r="MML95" s="34"/>
      <c r="MMM95" s="60"/>
      <c r="MNB95" s="34"/>
      <c r="MNC95" s="60"/>
      <c r="MNR95" s="34"/>
      <c r="MNS95" s="60"/>
      <c r="MOH95" s="34"/>
      <c r="MOI95" s="60"/>
      <c r="MOX95" s="34"/>
      <c r="MOY95" s="60"/>
      <c r="MPN95" s="34"/>
      <c r="MPO95" s="60"/>
      <c r="MQD95" s="34"/>
      <c r="MQE95" s="60"/>
      <c r="MQT95" s="34"/>
      <c r="MQU95" s="60"/>
      <c r="MRJ95" s="34"/>
      <c r="MRK95" s="60"/>
      <c r="MRZ95" s="34"/>
      <c r="MSA95" s="60"/>
      <c r="MSP95" s="34"/>
      <c r="MSQ95" s="60"/>
      <c r="MTF95" s="34"/>
      <c r="MTG95" s="60"/>
      <c r="MTV95" s="34"/>
      <c r="MTW95" s="60"/>
      <c r="MUL95" s="34"/>
      <c r="MUM95" s="60"/>
      <c r="MVB95" s="34"/>
      <c r="MVC95" s="60"/>
      <c r="MVR95" s="34"/>
      <c r="MVS95" s="60"/>
      <c r="MWH95" s="34"/>
      <c r="MWI95" s="60"/>
      <c r="MWX95" s="34"/>
      <c r="MWY95" s="60"/>
      <c r="MXN95" s="34"/>
      <c r="MXO95" s="60"/>
      <c r="MYD95" s="34"/>
      <c r="MYE95" s="60"/>
      <c r="MYT95" s="34"/>
      <c r="MYU95" s="60"/>
      <c r="MZJ95" s="34"/>
      <c r="MZK95" s="60"/>
      <c r="MZZ95" s="34"/>
      <c r="NAA95" s="60"/>
      <c r="NAP95" s="34"/>
      <c r="NAQ95" s="60"/>
      <c r="NBF95" s="34"/>
      <c r="NBG95" s="60"/>
      <c r="NBV95" s="34"/>
      <c r="NBW95" s="60"/>
      <c r="NCL95" s="34"/>
      <c r="NCM95" s="60"/>
      <c r="NDB95" s="34"/>
      <c r="NDC95" s="60"/>
      <c r="NDR95" s="34"/>
      <c r="NDS95" s="60"/>
      <c r="NEH95" s="34"/>
      <c r="NEI95" s="60"/>
      <c r="NEX95" s="34"/>
      <c r="NEY95" s="60"/>
      <c r="NFN95" s="34"/>
      <c r="NFO95" s="60"/>
      <c r="NGD95" s="34"/>
      <c r="NGE95" s="60"/>
      <c r="NGT95" s="34"/>
      <c r="NGU95" s="60"/>
      <c r="NHJ95" s="34"/>
      <c r="NHK95" s="60"/>
      <c r="NHZ95" s="34"/>
      <c r="NIA95" s="60"/>
      <c r="NIP95" s="34"/>
      <c r="NIQ95" s="60"/>
      <c r="NJF95" s="34"/>
      <c r="NJG95" s="60"/>
      <c r="NJV95" s="34"/>
      <c r="NJW95" s="60"/>
      <c r="NKL95" s="34"/>
      <c r="NKM95" s="60"/>
      <c r="NLB95" s="34"/>
      <c r="NLC95" s="60"/>
      <c r="NLR95" s="34"/>
      <c r="NLS95" s="60"/>
      <c r="NMH95" s="34"/>
      <c r="NMI95" s="60"/>
      <c r="NMX95" s="34"/>
      <c r="NMY95" s="60"/>
      <c r="NNN95" s="34"/>
      <c r="NNO95" s="60"/>
      <c r="NOD95" s="34"/>
      <c r="NOE95" s="60"/>
      <c r="NOT95" s="34"/>
      <c r="NOU95" s="60"/>
      <c r="NPJ95" s="34"/>
      <c r="NPK95" s="60"/>
      <c r="NPZ95" s="34"/>
      <c r="NQA95" s="60"/>
      <c r="NQP95" s="34"/>
      <c r="NQQ95" s="60"/>
      <c r="NRF95" s="34"/>
      <c r="NRG95" s="60"/>
      <c r="NRV95" s="34"/>
      <c r="NRW95" s="60"/>
      <c r="NSL95" s="34"/>
      <c r="NSM95" s="60"/>
      <c r="NTB95" s="34"/>
      <c r="NTC95" s="60"/>
      <c r="NTR95" s="34"/>
      <c r="NTS95" s="60"/>
      <c r="NUH95" s="34"/>
      <c r="NUI95" s="60"/>
      <c r="NUX95" s="34"/>
      <c r="NUY95" s="60"/>
      <c r="NVN95" s="34"/>
      <c r="NVO95" s="60"/>
      <c r="NWD95" s="34"/>
      <c r="NWE95" s="60"/>
      <c r="NWT95" s="34"/>
      <c r="NWU95" s="60"/>
      <c r="NXJ95" s="34"/>
      <c r="NXK95" s="60"/>
      <c r="NXZ95" s="34"/>
      <c r="NYA95" s="60"/>
      <c r="NYP95" s="34"/>
      <c r="NYQ95" s="60"/>
      <c r="NZF95" s="34"/>
      <c r="NZG95" s="60"/>
      <c r="NZV95" s="34"/>
      <c r="NZW95" s="60"/>
      <c r="OAL95" s="34"/>
      <c r="OAM95" s="60"/>
      <c r="OBB95" s="34"/>
      <c r="OBC95" s="60"/>
      <c r="OBR95" s="34"/>
      <c r="OBS95" s="60"/>
      <c r="OCH95" s="34"/>
      <c r="OCI95" s="60"/>
      <c r="OCX95" s="34"/>
      <c r="OCY95" s="60"/>
      <c r="ODN95" s="34"/>
      <c r="ODO95" s="60"/>
      <c r="OED95" s="34"/>
      <c r="OEE95" s="60"/>
      <c r="OET95" s="34"/>
      <c r="OEU95" s="60"/>
      <c r="OFJ95" s="34"/>
      <c r="OFK95" s="60"/>
      <c r="OFZ95" s="34"/>
      <c r="OGA95" s="60"/>
      <c r="OGP95" s="34"/>
      <c r="OGQ95" s="60"/>
      <c r="OHF95" s="34"/>
      <c r="OHG95" s="60"/>
      <c r="OHV95" s="34"/>
      <c r="OHW95" s="60"/>
      <c r="OIL95" s="34"/>
      <c r="OIM95" s="60"/>
      <c r="OJB95" s="34"/>
      <c r="OJC95" s="60"/>
      <c r="OJR95" s="34"/>
      <c r="OJS95" s="60"/>
      <c r="OKH95" s="34"/>
      <c r="OKI95" s="60"/>
      <c r="OKX95" s="34"/>
      <c r="OKY95" s="60"/>
      <c r="OLN95" s="34"/>
      <c r="OLO95" s="60"/>
      <c r="OMD95" s="34"/>
      <c r="OME95" s="60"/>
      <c r="OMT95" s="34"/>
      <c r="OMU95" s="60"/>
      <c r="ONJ95" s="34"/>
      <c r="ONK95" s="60"/>
      <c r="ONZ95" s="34"/>
      <c r="OOA95" s="60"/>
      <c r="OOP95" s="34"/>
      <c r="OOQ95" s="60"/>
      <c r="OPF95" s="34"/>
      <c r="OPG95" s="60"/>
      <c r="OPV95" s="34"/>
      <c r="OPW95" s="60"/>
      <c r="OQL95" s="34"/>
      <c r="OQM95" s="60"/>
      <c r="ORB95" s="34"/>
      <c r="ORC95" s="60"/>
      <c r="ORR95" s="34"/>
      <c r="ORS95" s="60"/>
      <c r="OSH95" s="34"/>
      <c r="OSI95" s="60"/>
      <c r="OSX95" s="34"/>
      <c r="OSY95" s="60"/>
      <c r="OTN95" s="34"/>
      <c r="OTO95" s="60"/>
      <c r="OUD95" s="34"/>
      <c r="OUE95" s="60"/>
      <c r="OUT95" s="34"/>
      <c r="OUU95" s="60"/>
      <c r="OVJ95" s="34"/>
      <c r="OVK95" s="60"/>
      <c r="OVZ95" s="34"/>
      <c r="OWA95" s="60"/>
      <c r="OWP95" s="34"/>
      <c r="OWQ95" s="60"/>
      <c r="OXF95" s="34"/>
      <c r="OXG95" s="60"/>
      <c r="OXV95" s="34"/>
      <c r="OXW95" s="60"/>
      <c r="OYL95" s="34"/>
      <c r="OYM95" s="60"/>
      <c r="OZB95" s="34"/>
      <c r="OZC95" s="60"/>
      <c r="OZR95" s="34"/>
      <c r="OZS95" s="60"/>
      <c r="PAH95" s="34"/>
      <c r="PAI95" s="60"/>
      <c r="PAX95" s="34"/>
      <c r="PAY95" s="60"/>
      <c r="PBN95" s="34"/>
      <c r="PBO95" s="60"/>
      <c r="PCD95" s="34"/>
      <c r="PCE95" s="60"/>
      <c r="PCT95" s="34"/>
      <c r="PCU95" s="60"/>
      <c r="PDJ95" s="34"/>
      <c r="PDK95" s="60"/>
      <c r="PDZ95" s="34"/>
      <c r="PEA95" s="60"/>
      <c r="PEP95" s="34"/>
      <c r="PEQ95" s="60"/>
      <c r="PFF95" s="34"/>
      <c r="PFG95" s="60"/>
      <c r="PFV95" s="34"/>
      <c r="PFW95" s="60"/>
      <c r="PGL95" s="34"/>
      <c r="PGM95" s="60"/>
      <c r="PHB95" s="34"/>
      <c r="PHC95" s="60"/>
      <c r="PHR95" s="34"/>
      <c r="PHS95" s="60"/>
      <c r="PIH95" s="34"/>
      <c r="PII95" s="60"/>
      <c r="PIX95" s="34"/>
      <c r="PIY95" s="60"/>
      <c r="PJN95" s="34"/>
      <c r="PJO95" s="60"/>
      <c r="PKD95" s="34"/>
      <c r="PKE95" s="60"/>
      <c r="PKT95" s="34"/>
      <c r="PKU95" s="60"/>
      <c r="PLJ95" s="34"/>
      <c r="PLK95" s="60"/>
      <c r="PLZ95" s="34"/>
      <c r="PMA95" s="60"/>
      <c r="PMP95" s="34"/>
      <c r="PMQ95" s="60"/>
      <c r="PNF95" s="34"/>
      <c r="PNG95" s="60"/>
      <c r="PNV95" s="34"/>
      <c r="PNW95" s="60"/>
      <c r="POL95" s="34"/>
      <c r="POM95" s="60"/>
      <c r="PPB95" s="34"/>
      <c r="PPC95" s="60"/>
      <c r="PPR95" s="34"/>
      <c r="PPS95" s="60"/>
      <c r="PQH95" s="34"/>
      <c r="PQI95" s="60"/>
      <c r="PQX95" s="34"/>
      <c r="PQY95" s="60"/>
      <c r="PRN95" s="34"/>
      <c r="PRO95" s="60"/>
      <c r="PSD95" s="34"/>
      <c r="PSE95" s="60"/>
      <c r="PST95" s="34"/>
      <c r="PSU95" s="60"/>
      <c r="PTJ95" s="34"/>
      <c r="PTK95" s="60"/>
      <c r="PTZ95" s="34"/>
      <c r="PUA95" s="60"/>
      <c r="PUP95" s="34"/>
      <c r="PUQ95" s="60"/>
      <c r="PVF95" s="34"/>
      <c r="PVG95" s="60"/>
      <c r="PVV95" s="34"/>
      <c r="PVW95" s="60"/>
      <c r="PWL95" s="34"/>
      <c r="PWM95" s="60"/>
      <c r="PXB95" s="34"/>
      <c r="PXC95" s="60"/>
      <c r="PXR95" s="34"/>
      <c r="PXS95" s="60"/>
      <c r="PYH95" s="34"/>
      <c r="PYI95" s="60"/>
      <c r="PYX95" s="34"/>
      <c r="PYY95" s="60"/>
      <c r="PZN95" s="34"/>
      <c r="PZO95" s="60"/>
      <c r="QAD95" s="34"/>
      <c r="QAE95" s="60"/>
      <c r="QAT95" s="34"/>
      <c r="QAU95" s="60"/>
      <c r="QBJ95" s="34"/>
      <c r="QBK95" s="60"/>
      <c r="QBZ95" s="34"/>
      <c r="QCA95" s="60"/>
      <c r="QCP95" s="34"/>
      <c r="QCQ95" s="60"/>
      <c r="QDF95" s="34"/>
      <c r="QDG95" s="60"/>
      <c r="QDV95" s="34"/>
      <c r="QDW95" s="60"/>
      <c r="QEL95" s="34"/>
      <c r="QEM95" s="60"/>
      <c r="QFB95" s="34"/>
      <c r="QFC95" s="60"/>
      <c r="QFR95" s="34"/>
      <c r="QFS95" s="60"/>
      <c r="QGH95" s="34"/>
      <c r="QGI95" s="60"/>
      <c r="QGX95" s="34"/>
      <c r="QGY95" s="60"/>
      <c r="QHN95" s="34"/>
      <c r="QHO95" s="60"/>
      <c r="QID95" s="34"/>
      <c r="QIE95" s="60"/>
      <c r="QIT95" s="34"/>
      <c r="QIU95" s="60"/>
      <c r="QJJ95" s="34"/>
      <c r="QJK95" s="60"/>
      <c r="QJZ95" s="34"/>
      <c r="QKA95" s="60"/>
      <c r="QKP95" s="34"/>
      <c r="QKQ95" s="60"/>
      <c r="QLF95" s="34"/>
      <c r="QLG95" s="60"/>
      <c r="QLV95" s="34"/>
      <c r="QLW95" s="60"/>
      <c r="QML95" s="34"/>
      <c r="QMM95" s="60"/>
      <c r="QNB95" s="34"/>
      <c r="QNC95" s="60"/>
      <c r="QNR95" s="34"/>
      <c r="QNS95" s="60"/>
      <c r="QOH95" s="34"/>
      <c r="QOI95" s="60"/>
      <c r="QOX95" s="34"/>
      <c r="QOY95" s="60"/>
      <c r="QPN95" s="34"/>
      <c r="QPO95" s="60"/>
      <c r="QQD95" s="34"/>
      <c r="QQE95" s="60"/>
      <c r="QQT95" s="34"/>
      <c r="QQU95" s="60"/>
      <c r="QRJ95" s="34"/>
      <c r="QRK95" s="60"/>
      <c r="QRZ95" s="34"/>
      <c r="QSA95" s="60"/>
      <c r="QSP95" s="34"/>
      <c r="QSQ95" s="60"/>
      <c r="QTF95" s="34"/>
      <c r="QTG95" s="60"/>
      <c r="QTV95" s="34"/>
      <c r="QTW95" s="60"/>
      <c r="QUL95" s="34"/>
      <c r="QUM95" s="60"/>
      <c r="QVB95" s="34"/>
      <c r="QVC95" s="60"/>
      <c r="QVR95" s="34"/>
      <c r="QVS95" s="60"/>
      <c r="QWH95" s="34"/>
      <c r="QWI95" s="60"/>
      <c r="QWX95" s="34"/>
      <c r="QWY95" s="60"/>
      <c r="QXN95" s="34"/>
      <c r="QXO95" s="60"/>
      <c r="QYD95" s="34"/>
      <c r="QYE95" s="60"/>
      <c r="QYT95" s="34"/>
      <c r="QYU95" s="60"/>
      <c r="QZJ95" s="34"/>
      <c r="QZK95" s="60"/>
      <c r="QZZ95" s="34"/>
      <c r="RAA95" s="60"/>
      <c r="RAP95" s="34"/>
      <c r="RAQ95" s="60"/>
      <c r="RBF95" s="34"/>
      <c r="RBG95" s="60"/>
      <c r="RBV95" s="34"/>
      <c r="RBW95" s="60"/>
      <c r="RCL95" s="34"/>
      <c r="RCM95" s="60"/>
      <c r="RDB95" s="34"/>
      <c r="RDC95" s="60"/>
      <c r="RDR95" s="34"/>
      <c r="RDS95" s="60"/>
      <c r="REH95" s="34"/>
      <c r="REI95" s="60"/>
      <c r="REX95" s="34"/>
      <c r="REY95" s="60"/>
      <c r="RFN95" s="34"/>
      <c r="RFO95" s="60"/>
      <c r="RGD95" s="34"/>
      <c r="RGE95" s="60"/>
      <c r="RGT95" s="34"/>
      <c r="RGU95" s="60"/>
      <c r="RHJ95" s="34"/>
      <c r="RHK95" s="60"/>
      <c r="RHZ95" s="34"/>
      <c r="RIA95" s="60"/>
      <c r="RIP95" s="34"/>
      <c r="RIQ95" s="60"/>
      <c r="RJF95" s="34"/>
      <c r="RJG95" s="60"/>
      <c r="RJV95" s="34"/>
      <c r="RJW95" s="60"/>
      <c r="RKL95" s="34"/>
      <c r="RKM95" s="60"/>
      <c r="RLB95" s="34"/>
      <c r="RLC95" s="60"/>
      <c r="RLR95" s="34"/>
      <c r="RLS95" s="60"/>
      <c r="RMH95" s="34"/>
      <c r="RMI95" s="60"/>
      <c r="RMX95" s="34"/>
      <c r="RMY95" s="60"/>
      <c r="RNN95" s="34"/>
      <c r="RNO95" s="60"/>
      <c r="ROD95" s="34"/>
      <c r="ROE95" s="60"/>
      <c r="ROT95" s="34"/>
      <c r="ROU95" s="60"/>
      <c r="RPJ95" s="34"/>
      <c r="RPK95" s="60"/>
      <c r="RPZ95" s="34"/>
      <c r="RQA95" s="60"/>
      <c r="RQP95" s="34"/>
      <c r="RQQ95" s="60"/>
      <c r="RRF95" s="34"/>
      <c r="RRG95" s="60"/>
      <c r="RRV95" s="34"/>
      <c r="RRW95" s="60"/>
      <c r="RSL95" s="34"/>
      <c r="RSM95" s="60"/>
      <c r="RTB95" s="34"/>
      <c r="RTC95" s="60"/>
      <c r="RTR95" s="34"/>
      <c r="RTS95" s="60"/>
      <c r="RUH95" s="34"/>
      <c r="RUI95" s="60"/>
      <c r="RUX95" s="34"/>
      <c r="RUY95" s="60"/>
      <c r="RVN95" s="34"/>
      <c r="RVO95" s="60"/>
      <c r="RWD95" s="34"/>
      <c r="RWE95" s="60"/>
      <c r="RWT95" s="34"/>
      <c r="RWU95" s="60"/>
      <c r="RXJ95" s="34"/>
      <c r="RXK95" s="60"/>
      <c r="RXZ95" s="34"/>
      <c r="RYA95" s="60"/>
      <c r="RYP95" s="34"/>
      <c r="RYQ95" s="60"/>
      <c r="RZF95" s="34"/>
      <c r="RZG95" s="60"/>
      <c r="RZV95" s="34"/>
      <c r="RZW95" s="60"/>
      <c r="SAL95" s="34"/>
      <c r="SAM95" s="60"/>
      <c r="SBB95" s="34"/>
      <c r="SBC95" s="60"/>
      <c r="SBR95" s="34"/>
      <c r="SBS95" s="60"/>
      <c r="SCH95" s="34"/>
      <c r="SCI95" s="60"/>
      <c r="SCX95" s="34"/>
      <c r="SCY95" s="60"/>
      <c r="SDN95" s="34"/>
      <c r="SDO95" s="60"/>
      <c r="SED95" s="34"/>
      <c r="SEE95" s="60"/>
      <c r="SET95" s="34"/>
      <c r="SEU95" s="60"/>
      <c r="SFJ95" s="34"/>
      <c r="SFK95" s="60"/>
      <c r="SFZ95" s="34"/>
      <c r="SGA95" s="60"/>
      <c r="SGP95" s="34"/>
      <c r="SGQ95" s="60"/>
      <c r="SHF95" s="34"/>
      <c r="SHG95" s="60"/>
      <c r="SHV95" s="34"/>
      <c r="SHW95" s="60"/>
      <c r="SIL95" s="34"/>
      <c r="SIM95" s="60"/>
      <c r="SJB95" s="34"/>
      <c r="SJC95" s="60"/>
      <c r="SJR95" s="34"/>
      <c r="SJS95" s="60"/>
      <c r="SKH95" s="34"/>
      <c r="SKI95" s="60"/>
      <c r="SKX95" s="34"/>
      <c r="SKY95" s="60"/>
      <c r="SLN95" s="34"/>
      <c r="SLO95" s="60"/>
      <c r="SMD95" s="34"/>
      <c r="SME95" s="60"/>
      <c r="SMT95" s="34"/>
      <c r="SMU95" s="60"/>
      <c r="SNJ95" s="34"/>
      <c r="SNK95" s="60"/>
      <c r="SNZ95" s="34"/>
      <c r="SOA95" s="60"/>
      <c r="SOP95" s="34"/>
      <c r="SOQ95" s="60"/>
      <c r="SPF95" s="34"/>
      <c r="SPG95" s="60"/>
      <c r="SPV95" s="34"/>
      <c r="SPW95" s="60"/>
      <c r="SQL95" s="34"/>
      <c r="SQM95" s="60"/>
      <c r="SRB95" s="34"/>
      <c r="SRC95" s="60"/>
      <c r="SRR95" s="34"/>
      <c r="SRS95" s="60"/>
      <c r="SSH95" s="34"/>
      <c r="SSI95" s="60"/>
      <c r="SSX95" s="34"/>
      <c r="SSY95" s="60"/>
      <c r="STN95" s="34"/>
      <c r="STO95" s="60"/>
      <c r="SUD95" s="34"/>
      <c r="SUE95" s="60"/>
      <c r="SUT95" s="34"/>
      <c r="SUU95" s="60"/>
      <c r="SVJ95" s="34"/>
      <c r="SVK95" s="60"/>
      <c r="SVZ95" s="34"/>
      <c r="SWA95" s="60"/>
      <c r="SWP95" s="34"/>
      <c r="SWQ95" s="60"/>
      <c r="SXF95" s="34"/>
      <c r="SXG95" s="60"/>
      <c r="SXV95" s="34"/>
      <c r="SXW95" s="60"/>
      <c r="SYL95" s="34"/>
      <c r="SYM95" s="60"/>
      <c r="SZB95" s="34"/>
      <c r="SZC95" s="60"/>
      <c r="SZR95" s="34"/>
      <c r="SZS95" s="60"/>
      <c r="TAH95" s="34"/>
      <c r="TAI95" s="60"/>
      <c r="TAX95" s="34"/>
      <c r="TAY95" s="60"/>
      <c r="TBN95" s="34"/>
      <c r="TBO95" s="60"/>
      <c r="TCD95" s="34"/>
      <c r="TCE95" s="60"/>
      <c r="TCT95" s="34"/>
      <c r="TCU95" s="60"/>
      <c r="TDJ95" s="34"/>
      <c r="TDK95" s="60"/>
      <c r="TDZ95" s="34"/>
      <c r="TEA95" s="60"/>
      <c r="TEP95" s="34"/>
      <c r="TEQ95" s="60"/>
      <c r="TFF95" s="34"/>
      <c r="TFG95" s="60"/>
      <c r="TFV95" s="34"/>
      <c r="TFW95" s="60"/>
      <c r="TGL95" s="34"/>
      <c r="TGM95" s="60"/>
      <c r="THB95" s="34"/>
      <c r="THC95" s="60"/>
      <c r="THR95" s="34"/>
      <c r="THS95" s="60"/>
      <c r="TIH95" s="34"/>
      <c r="TII95" s="60"/>
      <c r="TIX95" s="34"/>
      <c r="TIY95" s="60"/>
      <c r="TJN95" s="34"/>
      <c r="TJO95" s="60"/>
      <c r="TKD95" s="34"/>
      <c r="TKE95" s="60"/>
      <c r="TKT95" s="34"/>
      <c r="TKU95" s="60"/>
      <c r="TLJ95" s="34"/>
      <c r="TLK95" s="60"/>
      <c r="TLZ95" s="34"/>
      <c r="TMA95" s="60"/>
      <c r="TMP95" s="34"/>
      <c r="TMQ95" s="60"/>
      <c r="TNF95" s="34"/>
      <c r="TNG95" s="60"/>
      <c r="TNV95" s="34"/>
      <c r="TNW95" s="60"/>
      <c r="TOL95" s="34"/>
      <c r="TOM95" s="60"/>
      <c r="TPB95" s="34"/>
      <c r="TPC95" s="60"/>
      <c r="TPR95" s="34"/>
      <c r="TPS95" s="60"/>
      <c r="TQH95" s="34"/>
      <c r="TQI95" s="60"/>
      <c r="TQX95" s="34"/>
      <c r="TQY95" s="60"/>
      <c r="TRN95" s="34"/>
      <c r="TRO95" s="60"/>
      <c r="TSD95" s="34"/>
      <c r="TSE95" s="60"/>
      <c r="TST95" s="34"/>
      <c r="TSU95" s="60"/>
      <c r="TTJ95" s="34"/>
      <c r="TTK95" s="60"/>
      <c r="TTZ95" s="34"/>
      <c r="TUA95" s="60"/>
      <c r="TUP95" s="34"/>
      <c r="TUQ95" s="60"/>
      <c r="TVF95" s="34"/>
      <c r="TVG95" s="60"/>
      <c r="TVV95" s="34"/>
      <c r="TVW95" s="60"/>
      <c r="TWL95" s="34"/>
      <c r="TWM95" s="60"/>
      <c r="TXB95" s="34"/>
      <c r="TXC95" s="60"/>
      <c r="TXR95" s="34"/>
      <c r="TXS95" s="60"/>
      <c r="TYH95" s="34"/>
      <c r="TYI95" s="60"/>
      <c r="TYX95" s="34"/>
      <c r="TYY95" s="60"/>
      <c r="TZN95" s="34"/>
      <c r="TZO95" s="60"/>
      <c r="UAD95" s="34"/>
      <c r="UAE95" s="60"/>
      <c r="UAT95" s="34"/>
      <c r="UAU95" s="60"/>
      <c r="UBJ95" s="34"/>
      <c r="UBK95" s="60"/>
      <c r="UBZ95" s="34"/>
      <c r="UCA95" s="60"/>
      <c r="UCP95" s="34"/>
      <c r="UCQ95" s="60"/>
      <c r="UDF95" s="34"/>
      <c r="UDG95" s="60"/>
      <c r="UDV95" s="34"/>
      <c r="UDW95" s="60"/>
      <c r="UEL95" s="34"/>
      <c r="UEM95" s="60"/>
      <c r="UFB95" s="34"/>
      <c r="UFC95" s="60"/>
      <c r="UFR95" s="34"/>
      <c r="UFS95" s="60"/>
      <c r="UGH95" s="34"/>
      <c r="UGI95" s="60"/>
      <c r="UGX95" s="34"/>
      <c r="UGY95" s="60"/>
      <c r="UHN95" s="34"/>
      <c r="UHO95" s="60"/>
      <c r="UID95" s="34"/>
      <c r="UIE95" s="60"/>
      <c r="UIT95" s="34"/>
      <c r="UIU95" s="60"/>
      <c r="UJJ95" s="34"/>
      <c r="UJK95" s="60"/>
      <c r="UJZ95" s="34"/>
      <c r="UKA95" s="60"/>
      <c r="UKP95" s="34"/>
      <c r="UKQ95" s="60"/>
      <c r="ULF95" s="34"/>
      <c r="ULG95" s="60"/>
      <c r="ULV95" s="34"/>
      <c r="ULW95" s="60"/>
      <c r="UML95" s="34"/>
      <c r="UMM95" s="60"/>
      <c r="UNB95" s="34"/>
      <c r="UNC95" s="60"/>
      <c r="UNR95" s="34"/>
      <c r="UNS95" s="60"/>
      <c r="UOH95" s="34"/>
      <c r="UOI95" s="60"/>
      <c r="UOX95" s="34"/>
      <c r="UOY95" s="60"/>
      <c r="UPN95" s="34"/>
      <c r="UPO95" s="60"/>
      <c r="UQD95" s="34"/>
      <c r="UQE95" s="60"/>
      <c r="UQT95" s="34"/>
      <c r="UQU95" s="60"/>
      <c r="URJ95" s="34"/>
      <c r="URK95" s="60"/>
      <c r="URZ95" s="34"/>
      <c r="USA95" s="60"/>
      <c r="USP95" s="34"/>
      <c r="USQ95" s="60"/>
      <c r="UTF95" s="34"/>
      <c r="UTG95" s="60"/>
      <c r="UTV95" s="34"/>
      <c r="UTW95" s="60"/>
      <c r="UUL95" s="34"/>
      <c r="UUM95" s="60"/>
      <c r="UVB95" s="34"/>
      <c r="UVC95" s="60"/>
      <c r="UVR95" s="34"/>
      <c r="UVS95" s="60"/>
      <c r="UWH95" s="34"/>
      <c r="UWI95" s="60"/>
      <c r="UWX95" s="34"/>
      <c r="UWY95" s="60"/>
      <c r="UXN95" s="34"/>
      <c r="UXO95" s="60"/>
      <c r="UYD95" s="34"/>
      <c r="UYE95" s="60"/>
      <c r="UYT95" s="34"/>
      <c r="UYU95" s="60"/>
      <c r="UZJ95" s="34"/>
      <c r="UZK95" s="60"/>
      <c r="UZZ95" s="34"/>
      <c r="VAA95" s="60"/>
      <c r="VAP95" s="34"/>
      <c r="VAQ95" s="60"/>
      <c r="VBF95" s="34"/>
      <c r="VBG95" s="60"/>
      <c r="VBV95" s="34"/>
      <c r="VBW95" s="60"/>
      <c r="VCL95" s="34"/>
      <c r="VCM95" s="60"/>
      <c r="VDB95" s="34"/>
      <c r="VDC95" s="60"/>
      <c r="VDR95" s="34"/>
      <c r="VDS95" s="60"/>
      <c r="VEH95" s="34"/>
      <c r="VEI95" s="60"/>
      <c r="VEX95" s="34"/>
      <c r="VEY95" s="60"/>
      <c r="VFN95" s="34"/>
      <c r="VFO95" s="60"/>
      <c r="VGD95" s="34"/>
      <c r="VGE95" s="60"/>
      <c r="VGT95" s="34"/>
      <c r="VGU95" s="60"/>
      <c r="VHJ95" s="34"/>
      <c r="VHK95" s="60"/>
      <c r="VHZ95" s="34"/>
      <c r="VIA95" s="60"/>
      <c r="VIP95" s="34"/>
      <c r="VIQ95" s="60"/>
      <c r="VJF95" s="34"/>
      <c r="VJG95" s="60"/>
      <c r="VJV95" s="34"/>
      <c r="VJW95" s="60"/>
      <c r="VKL95" s="34"/>
      <c r="VKM95" s="60"/>
      <c r="VLB95" s="34"/>
      <c r="VLC95" s="60"/>
      <c r="VLR95" s="34"/>
      <c r="VLS95" s="60"/>
      <c r="VMH95" s="34"/>
      <c r="VMI95" s="60"/>
      <c r="VMX95" s="34"/>
      <c r="VMY95" s="60"/>
      <c r="VNN95" s="34"/>
      <c r="VNO95" s="60"/>
      <c r="VOD95" s="34"/>
      <c r="VOE95" s="60"/>
      <c r="VOT95" s="34"/>
      <c r="VOU95" s="60"/>
      <c r="VPJ95" s="34"/>
      <c r="VPK95" s="60"/>
      <c r="VPZ95" s="34"/>
      <c r="VQA95" s="60"/>
      <c r="VQP95" s="34"/>
      <c r="VQQ95" s="60"/>
      <c r="VRF95" s="34"/>
      <c r="VRG95" s="60"/>
      <c r="VRV95" s="34"/>
      <c r="VRW95" s="60"/>
      <c r="VSL95" s="34"/>
      <c r="VSM95" s="60"/>
      <c r="VTB95" s="34"/>
      <c r="VTC95" s="60"/>
      <c r="VTR95" s="34"/>
      <c r="VTS95" s="60"/>
      <c r="VUH95" s="34"/>
      <c r="VUI95" s="60"/>
      <c r="VUX95" s="34"/>
      <c r="VUY95" s="60"/>
      <c r="VVN95" s="34"/>
      <c r="VVO95" s="60"/>
      <c r="VWD95" s="34"/>
      <c r="VWE95" s="60"/>
      <c r="VWT95" s="34"/>
      <c r="VWU95" s="60"/>
      <c r="VXJ95" s="34"/>
      <c r="VXK95" s="60"/>
      <c r="VXZ95" s="34"/>
      <c r="VYA95" s="60"/>
      <c r="VYP95" s="34"/>
      <c r="VYQ95" s="60"/>
      <c r="VZF95" s="34"/>
      <c r="VZG95" s="60"/>
      <c r="VZV95" s="34"/>
      <c r="VZW95" s="60"/>
      <c r="WAL95" s="34"/>
      <c r="WAM95" s="60"/>
      <c r="WBB95" s="34"/>
      <c r="WBC95" s="60"/>
      <c r="WBR95" s="34"/>
      <c r="WBS95" s="60"/>
      <c r="WCH95" s="34"/>
      <c r="WCI95" s="60"/>
      <c r="WCX95" s="34"/>
      <c r="WCY95" s="60"/>
      <c r="WDN95" s="34"/>
      <c r="WDO95" s="60"/>
      <c r="WED95" s="34"/>
      <c r="WEE95" s="60"/>
      <c r="WET95" s="34"/>
      <c r="WEU95" s="60"/>
      <c r="WFJ95" s="34"/>
      <c r="WFK95" s="60"/>
      <c r="WFZ95" s="34"/>
      <c r="WGA95" s="60"/>
      <c r="WGP95" s="34"/>
      <c r="WGQ95" s="60"/>
      <c r="WHF95" s="34"/>
      <c r="WHG95" s="60"/>
      <c r="WHV95" s="34"/>
      <c r="WHW95" s="60"/>
      <c r="WIL95" s="34"/>
      <c r="WIM95" s="60"/>
      <c r="WJB95" s="34"/>
      <c r="WJC95" s="60"/>
      <c r="WJR95" s="34"/>
      <c r="WJS95" s="60"/>
      <c r="WKH95" s="34"/>
      <c r="WKI95" s="60"/>
      <c r="WKX95" s="34"/>
      <c r="WKY95" s="60"/>
      <c r="WLN95" s="34"/>
      <c r="WLO95" s="60"/>
      <c r="WMD95" s="34"/>
      <c r="WME95" s="60"/>
      <c r="WMT95" s="34"/>
      <c r="WMU95" s="60"/>
      <c r="WNJ95" s="34"/>
      <c r="WNK95" s="60"/>
      <c r="WNZ95" s="34"/>
      <c r="WOA95" s="60"/>
      <c r="WOP95" s="34"/>
      <c r="WOQ95" s="60"/>
      <c r="WPF95" s="34"/>
      <c r="WPG95" s="60"/>
      <c r="WPV95" s="34"/>
      <c r="WPW95" s="60"/>
      <c r="WQL95" s="34"/>
      <c r="WQM95" s="60"/>
      <c r="WRB95" s="34"/>
      <c r="WRC95" s="60"/>
      <c r="WRR95" s="34"/>
      <c r="WRS95" s="60"/>
      <c r="WSH95" s="34"/>
      <c r="WSI95" s="60"/>
      <c r="WSX95" s="34"/>
      <c r="WSY95" s="60"/>
      <c r="WTN95" s="34"/>
      <c r="WTO95" s="60"/>
      <c r="WUD95" s="34"/>
      <c r="WUE95" s="60"/>
      <c r="WUT95" s="34"/>
      <c r="WUU95" s="60"/>
      <c r="WVJ95" s="34"/>
      <c r="WVK95" s="60"/>
      <c r="WVZ95" s="34"/>
      <c r="WWA95" s="60"/>
      <c r="WWP95" s="34"/>
      <c r="WWQ95" s="60"/>
      <c r="WXF95" s="34"/>
      <c r="WXG95" s="60"/>
      <c r="WXV95" s="34"/>
      <c r="WXW95" s="60"/>
      <c r="WYL95" s="34"/>
      <c r="WYM95" s="60"/>
      <c r="WZB95" s="34"/>
      <c r="WZC95" s="60"/>
      <c r="WZR95" s="34"/>
      <c r="WZS95" s="60"/>
      <c r="XAH95" s="34"/>
      <c r="XAI95" s="60"/>
      <c r="XAX95" s="34"/>
      <c r="XAY95" s="60"/>
      <c r="XBN95" s="34"/>
      <c r="XBO95" s="60"/>
      <c r="XCD95" s="34"/>
      <c r="XCE95" s="60"/>
      <c r="XCT95" s="34"/>
      <c r="XCU95" s="60"/>
      <c r="XDJ95" s="34"/>
      <c r="XDK95" s="60"/>
      <c r="XDZ95" s="34"/>
      <c r="XEA95" s="60"/>
      <c r="XEP95" s="34"/>
      <c r="XEQ95" s="60"/>
    </row>
    <row r="96" spans="2:1011 1026:2035 2050:3059 3074:4083 4098:5107 5122:6131 6146:7155 7170:8179 8194:9203 9218:10227 10242:11251 11266:12275 12290:13299 13314:14323 14338:15347 15362:16371" ht="14.25" x14ac:dyDescent="0.2">
      <c r="B96" s="34"/>
      <c r="C96" s="60"/>
      <c r="R96" s="34"/>
      <c r="S96" s="60"/>
      <c r="AH96" s="34"/>
      <c r="AI96" s="60"/>
      <c r="AX96" s="34"/>
      <c r="AY96" s="60"/>
      <c r="BN96" s="34"/>
      <c r="BO96" s="60"/>
      <c r="CD96" s="34"/>
      <c r="CE96" s="60"/>
      <c r="CT96" s="34"/>
      <c r="CU96" s="60"/>
      <c r="DJ96" s="34"/>
      <c r="DK96" s="60"/>
      <c r="DZ96" s="34"/>
      <c r="EA96" s="60"/>
      <c r="EP96" s="34"/>
      <c r="EQ96" s="60"/>
      <c r="FF96" s="34"/>
      <c r="FG96" s="60"/>
      <c r="FV96" s="34"/>
      <c r="FW96" s="60"/>
      <c r="GL96" s="34"/>
      <c r="GM96" s="60"/>
      <c r="HB96" s="34"/>
      <c r="HC96" s="60"/>
      <c r="HR96" s="34"/>
      <c r="HS96" s="60"/>
      <c r="IH96" s="34"/>
      <c r="II96" s="60"/>
      <c r="IX96" s="34"/>
      <c r="IY96" s="60"/>
      <c r="JN96" s="34"/>
      <c r="JO96" s="60"/>
      <c r="KD96" s="34"/>
      <c r="KE96" s="60"/>
      <c r="KT96" s="34"/>
      <c r="KU96" s="60"/>
      <c r="LJ96" s="34"/>
      <c r="LK96" s="60"/>
      <c r="LZ96" s="34"/>
      <c r="MA96" s="60"/>
      <c r="MP96" s="34"/>
      <c r="MQ96" s="60"/>
      <c r="NF96" s="34"/>
      <c r="NG96" s="60"/>
      <c r="NV96" s="34"/>
      <c r="NW96" s="60"/>
      <c r="OL96" s="34"/>
      <c r="OM96" s="60"/>
      <c r="PB96" s="34"/>
      <c r="PC96" s="60"/>
      <c r="PR96" s="34"/>
      <c r="PS96" s="60"/>
      <c r="QH96" s="34"/>
      <c r="QI96" s="60"/>
      <c r="QX96" s="34"/>
      <c r="QY96" s="60"/>
      <c r="RN96" s="34"/>
      <c r="RO96" s="60"/>
      <c r="SD96" s="34"/>
      <c r="SE96" s="60"/>
      <c r="ST96" s="34"/>
      <c r="SU96" s="60"/>
      <c r="TJ96" s="34"/>
      <c r="TK96" s="60"/>
      <c r="TZ96" s="34"/>
      <c r="UA96" s="60"/>
      <c r="UP96" s="34"/>
      <c r="UQ96" s="60"/>
      <c r="VF96" s="34"/>
      <c r="VG96" s="60"/>
      <c r="VV96" s="34"/>
      <c r="VW96" s="60"/>
      <c r="WL96" s="34"/>
      <c r="WM96" s="60"/>
      <c r="XB96" s="34"/>
      <c r="XC96" s="60"/>
      <c r="XR96" s="34"/>
      <c r="XS96" s="60"/>
      <c r="YH96" s="34"/>
      <c r="YI96" s="60"/>
      <c r="YX96" s="34"/>
      <c r="YY96" s="60"/>
      <c r="ZN96" s="34"/>
      <c r="ZO96" s="60"/>
      <c r="AAD96" s="34"/>
      <c r="AAE96" s="60"/>
      <c r="AAT96" s="34"/>
      <c r="AAU96" s="60"/>
      <c r="ABJ96" s="34"/>
      <c r="ABK96" s="60"/>
      <c r="ABZ96" s="34"/>
      <c r="ACA96" s="60"/>
      <c r="ACP96" s="34"/>
      <c r="ACQ96" s="60"/>
      <c r="ADF96" s="34"/>
      <c r="ADG96" s="60"/>
      <c r="ADV96" s="34"/>
      <c r="ADW96" s="60"/>
      <c r="AEL96" s="34"/>
      <c r="AEM96" s="60"/>
      <c r="AFB96" s="34"/>
      <c r="AFC96" s="60"/>
      <c r="AFR96" s="34"/>
      <c r="AFS96" s="60"/>
      <c r="AGH96" s="34"/>
      <c r="AGI96" s="60"/>
      <c r="AGX96" s="34"/>
      <c r="AGY96" s="60"/>
      <c r="AHN96" s="34"/>
      <c r="AHO96" s="60"/>
      <c r="AID96" s="34"/>
      <c r="AIE96" s="60"/>
      <c r="AIT96" s="34"/>
      <c r="AIU96" s="60"/>
      <c r="AJJ96" s="34"/>
      <c r="AJK96" s="60"/>
      <c r="AJZ96" s="34"/>
      <c r="AKA96" s="60"/>
      <c r="AKP96" s="34"/>
      <c r="AKQ96" s="60"/>
      <c r="ALF96" s="34"/>
      <c r="ALG96" s="60"/>
      <c r="ALV96" s="34"/>
      <c r="ALW96" s="60"/>
      <c r="AML96" s="34"/>
      <c r="AMM96" s="60"/>
      <c r="ANB96" s="34"/>
      <c r="ANC96" s="60"/>
      <c r="ANR96" s="34"/>
      <c r="ANS96" s="60"/>
      <c r="AOH96" s="34"/>
      <c r="AOI96" s="60"/>
      <c r="AOX96" s="34"/>
      <c r="AOY96" s="60"/>
      <c r="APN96" s="34"/>
      <c r="APO96" s="60"/>
      <c r="AQD96" s="34"/>
      <c r="AQE96" s="60"/>
      <c r="AQT96" s="34"/>
      <c r="AQU96" s="60"/>
      <c r="ARJ96" s="34"/>
      <c r="ARK96" s="60"/>
      <c r="ARZ96" s="34"/>
      <c r="ASA96" s="60"/>
      <c r="ASP96" s="34"/>
      <c r="ASQ96" s="60"/>
      <c r="ATF96" s="34"/>
      <c r="ATG96" s="60"/>
      <c r="ATV96" s="34"/>
      <c r="ATW96" s="60"/>
      <c r="AUL96" s="34"/>
      <c r="AUM96" s="60"/>
      <c r="AVB96" s="34"/>
      <c r="AVC96" s="60"/>
      <c r="AVR96" s="34"/>
      <c r="AVS96" s="60"/>
      <c r="AWH96" s="34"/>
      <c r="AWI96" s="60"/>
      <c r="AWX96" s="34"/>
      <c r="AWY96" s="60"/>
      <c r="AXN96" s="34"/>
      <c r="AXO96" s="60"/>
      <c r="AYD96" s="34"/>
      <c r="AYE96" s="60"/>
      <c r="AYT96" s="34"/>
      <c r="AYU96" s="60"/>
      <c r="AZJ96" s="34"/>
      <c r="AZK96" s="60"/>
      <c r="AZZ96" s="34"/>
      <c r="BAA96" s="60"/>
      <c r="BAP96" s="34"/>
      <c r="BAQ96" s="60"/>
      <c r="BBF96" s="34"/>
      <c r="BBG96" s="60"/>
      <c r="BBV96" s="34"/>
      <c r="BBW96" s="60"/>
      <c r="BCL96" s="34"/>
      <c r="BCM96" s="60"/>
      <c r="BDB96" s="34"/>
      <c r="BDC96" s="60"/>
      <c r="BDR96" s="34"/>
      <c r="BDS96" s="60"/>
      <c r="BEH96" s="34"/>
      <c r="BEI96" s="60"/>
      <c r="BEX96" s="34"/>
      <c r="BEY96" s="60"/>
      <c r="BFN96" s="34"/>
      <c r="BFO96" s="60"/>
      <c r="BGD96" s="34"/>
      <c r="BGE96" s="60"/>
      <c r="BGT96" s="34"/>
      <c r="BGU96" s="60"/>
      <c r="BHJ96" s="34"/>
      <c r="BHK96" s="60"/>
      <c r="BHZ96" s="34"/>
      <c r="BIA96" s="60"/>
      <c r="BIP96" s="34"/>
      <c r="BIQ96" s="60"/>
      <c r="BJF96" s="34"/>
      <c r="BJG96" s="60"/>
      <c r="BJV96" s="34"/>
      <c r="BJW96" s="60"/>
      <c r="BKL96" s="34"/>
      <c r="BKM96" s="60"/>
      <c r="BLB96" s="34"/>
      <c r="BLC96" s="60"/>
      <c r="BLR96" s="34"/>
      <c r="BLS96" s="60"/>
      <c r="BMH96" s="34"/>
      <c r="BMI96" s="60"/>
      <c r="BMX96" s="34"/>
      <c r="BMY96" s="60"/>
      <c r="BNN96" s="34"/>
      <c r="BNO96" s="60"/>
      <c r="BOD96" s="34"/>
      <c r="BOE96" s="60"/>
      <c r="BOT96" s="34"/>
      <c r="BOU96" s="60"/>
      <c r="BPJ96" s="34"/>
      <c r="BPK96" s="60"/>
      <c r="BPZ96" s="34"/>
      <c r="BQA96" s="60"/>
      <c r="BQP96" s="34"/>
      <c r="BQQ96" s="60"/>
      <c r="BRF96" s="34"/>
      <c r="BRG96" s="60"/>
      <c r="BRV96" s="34"/>
      <c r="BRW96" s="60"/>
      <c r="BSL96" s="34"/>
      <c r="BSM96" s="60"/>
      <c r="BTB96" s="34"/>
      <c r="BTC96" s="60"/>
      <c r="BTR96" s="34"/>
      <c r="BTS96" s="60"/>
      <c r="BUH96" s="34"/>
      <c r="BUI96" s="60"/>
      <c r="BUX96" s="34"/>
      <c r="BUY96" s="60"/>
      <c r="BVN96" s="34"/>
      <c r="BVO96" s="60"/>
      <c r="BWD96" s="34"/>
      <c r="BWE96" s="60"/>
      <c r="BWT96" s="34"/>
      <c r="BWU96" s="60"/>
      <c r="BXJ96" s="34"/>
      <c r="BXK96" s="60"/>
      <c r="BXZ96" s="34"/>
      <c r="BYA96" s="60"/>
      <c r="BYP96" s="34"/>
      <c r="BYQ96" s="60"/>
      <c r="BZF96" s="34"/>
      <c r="BZG96" s="60"/>
      <c r="BZV96" s="34"/>
      <c r="BZW96" s="60"/>
      <c r="CAL96" s="34"/>
      <c r="CAM96" s="60"/>
      <c r="CBB96" s="34"/>
      <c r="CBC96" s="60"/>
      <c r="CBR96" s="34"/>
      <c r="CBS96" s="60"/>
      <c r="CCH96" s="34"/>
      <c r="CCI96" s="60"/>
      <c r="CCX96" s="34"/>
      <c r="CCY96" s="60"/>
      <c r="CDN96" s="34"/>
      <c r="CDO96" s="60"/>
      <c r="CED96" s="34"/>
      <c r="CEE96" s="60"/>
      <c r="CET96" s="34"/>
      <c r="CEU96" s="60"/>
      <c r="CFJ96" s="34"/>
      <c r="CFK96" s="60"/>
      <c r="CFZ96" s="34"/>
      <c r="CGA96" s="60"/>
      <c r="CGP96" s="34"/>
      <c r="CGQ96" s="60"/>
      <c r="CHF96" s="34"/>
      <c r="CHG96" s="60"/>
      <c r="CHV96" s="34"/>
      <c r="CHW96" s="60"/>
      <c r="CIL96" s="34"/>
      <c r="CIM96" s="60"/>
      <c r="CJB96" s="34"/>
      <c r="CJC96" s="60"/>
      <c r="CJR96" s="34"/>
      <c r="CJS96" s="60"/>
      <c r="CKH96" s="34"/>
      <c r="CKI96" s="60"/>
      <c r="CKX96" s="34"/>
      <c r="CKY96" s="60"/>
      <c r="CLN96" s="34"/>
      <c r="CLO96" s="60"/>
      <c r="CMD96" s="34"/>
      <c r="CME96" s="60"/>
      <c r="CMT96" s="34"/>
      <c r="CMU96" s="60"/>
      <c r="CNJ96" s="34"/>
      <c r="CNK96" s="60"/>
      <c r="CNZ96" s="34"/>
      <c r="COA96" s="60"/>
      <c r="COP96" s="34"/>
      <c r="COQ96" s="60"/>
      <c r="CPF96" s="34"/>
      <c r="CPG96" s="60"/>
      <c r="CPV96" s="34"/>
      <c r="CPW96" s="60"/>
      <c r="CQL96" s="34"/>
      <c r="CQM96" s="60"/>
      <c r="CRB96" s="34"/>
      <c r="CRC96" s="60"/>
      <c r="CRR96" s="34"/>
      <c r="CRS96" s="60"/>
      <c r="CSH96" s="34"/>
      <c r="CSI96" s="60"/>
      <c r="CSX96" s="34"/>
      <c r="CSY96" s="60"/>
      <c r="CTN96" s="34"/>
      <c r="CTO96" s="60"/>
      <c r="CUD96" s="34"/>
      <c r="CUE96" s="60"/>
      <c r="CUT96" s="34"/>
      <c r="CUU96" s="60"/>
      <c r="CVJ96" s="34"/>
      <c r="CVK96" s="60"/>
      <c r="CVZ96" s="34"/>
      <c r="CWA96" s="60"/>
      <c r="CWP96" s="34"/>
      <c r="CWQ96" s="60"/>
      <c r="CXF96" s="34"/>
      <c r="CXG96" s="60"/>
      <c r="CXV96" s="34"/>
      <c r="CXW96" s="60"/>
      <c r="CYL96" s="34"/>
      <c r="CYM96" s="60"/>
      <c r="CZB96" s="34"/>
      <c r="CZC96" s="60"/>
      <c r="CZR96" s="34"/>
      <c r="CZS96" s="60"/>
      <c r="DAH96" s="34"/>
      <c r="DAI96" s="60"/>
      <c r="DAX96" s="34"/>
      <c r="DAY96" s="60"/>
      <c r="DBN96" s="34"/>
      <c r="DBO96" s="60"/>
      <c r="DCD96" s="34"/>
      <c r="DCE96" s="60"/>
      <c r="DCT96" s="34"/>
      <c r="DCU96" s="60"/>
      <c r="DDJ96" s="34"/>
      <c r="DDK96" s="60"/>
      <c r="DDZ96" s="34"/>
      <c r="DEA96" s="60"/>
      <c r="DEP96" s="34"/>
      <c r="DEQ96" s="60"/>
      <c r="DFF96" s="34"/>
      <c r="DFG96" s="60"/>
      <c r="DFV96" s="34"/>
      <c r="DFW96" s="60"/>
      <c r="DGL96" s="34"/>
      <c r="DGM96" s="60"/>
      <c r="DHB96" s="34"/>
      <c r="DHC96" s="60"/>
      <c r="DHR96" s="34"/>
      <c r="DHS96" s="60"/>
      <c r="DIH96" s="34"/>
      <c r="DII96" s="60"/>
      <c r="DIX96" s="34"/>
      <c r="DIY96" s="60"/>
      <c r="DJN96" s="34"/>
      <c r="DJO96" s="60"/>
      <c r="DKD96" s="34"/>
      <c r="DKE96" s="60"/>
      <c r="DKT96" s="34"/>
      <c r="DKU96" s="60"/>
      <c r="DLJ96" s="34"/>
      <c r="DLK96" s="60"/>
      <c r="DLZ96" s="34"/>
      <c r="DMA96" s="60"/>
      <c r="DMP96" s="34"/>
      <c r="DMQ96" s="60"/>
      <c r="DNF96" s="34"/>
      <c r="DNG96" s="60"/>
      <c r="DNV96" s="34"/>
      <c r="DNW96" s="60"/>
      <c r="DOL96" s="34"/>
      <c r="DOM96" s="60"/>
      <c r="DPB96" s="34"/>
      <c r="DPC96" s="60"/>
      <c r="DPR96" s="34"/>
      <c r="DPS96" s="60"/>
      <c r="DQH96" s="34"/>
      <c r="DQI96" s="60"/>
      <c r="DQX96" s="34"/>
      <c r="DQY96" s="60"/>
      <c r="DRN96" s="34"/>
      <c r="DRO96" s="60"/>
      <c r="DSD96" s="34"/>
      <c r="DSE96" s="60"/>
      <c r="DST96" s="34"/>
      <c r="DSU96" s="60"/>
      <c r="DTJ96" s="34"/>
      <c r="DTK96" s="60"/>
      <c r="DTZ96" s="34"/>
      <c r="DUA96" s="60"/>
      <c r="DUP96" s="34"/>
      <c r="DUQ96" s="60"/>
      <c r="DVF96" s="34"/>
      <c r="DVG96" s="60"/>
      <c r="DVV96" s="34"/>
      <c r="DVW96" s="60"/>
      <c r="DWL96" s="34"/>
      <c r="DWM96" s="60"/>
      <c r="DXB96" s="34"/>
      <c r="DXC96" s="60"/>
      <c r="DXR96" s="34"/>
      <c r="DXS96" s="60"/>
      <c r="DYH96" s="34"/>
      <c r="DYI96" s="60"/>
      <c r="DYX96" s="34"/>
      <c r="DYY96" s="60"/>
      <c r="DZN96" s="34"/>
      <c r="DZO96" s="60"/>
      <c r="EAD96" s="34"/>
      <c r="EAE96" s="60"/>
      <c r="EAT96" s="34"/>
      <c r="EAU96" s="60"/>
      <c r="EBJ96" s="34"/>
      <c r="EBK96" s="60"/>
      <c r="EBZ96" s="34"/>
      <c r="ECA96" s="60"/>
      <c r="ECP96" s="34"/>
      <c r="ECQ96" s="60"/>
      <c r="EDF96" s="34"/>
      <c r="EDG96" s="60"/>
      <c r="EDV96" s="34"/>
      <c r="EDW96" s="60"/>
      <c r="EEL96" s="34"/>
      <c r="EEM96" s="60"/>
      <c r="EFB96" s="34"/>
      <c r="EFC96" s="60"/>
      <c r="EFR96" s="34"/>
      <c r="EFS96" s="60"/>
      <c r="EGH96" s="34"/>
      <c r="EGI96" s="60"/>
      <c r="EGX96" s="34"/>
      <c r="EGY96" s="60"/>
      <c r="EHN96" s="34"/>
      <c r="EHO96" s="60"/>
      <c r="EID96" s="34"/>
      <c r="EIE96" s="60"/>
      <c r="EIT96" s="34"/>
      <c r="EIU96" s="60"/>
      <c r="EJJ96" s="34"/>
      <c r="EJK96" s="60"/>
      <c r="EJZ96" s="34"/>
      <c r="EKA96" s="60"/>
      <c r="EKP96" s="34"/>
      <c r="EKQ96" s="60"/>
      <c r="ELF96" s="34"/>
      <c r="ELG96" s="60"/>
      <c r="ELV96" s="34"/>
      <c r="ELW96" s="60"/>
      <c r="EML96" s="34"/>
      <c r="EMM96" s="60"/>
      <c r="ENB96" s="34"/>
      <c r="ENC96" s="60"/>
      <c r="ENR96" s="34"/>
      <c r="ENS96" s="60"/>
      <c r="EOH96" s="34"/>
      <c r="EOI96" s="60"/>
      <c r="EOX96" s="34"/>
      <c r="EOY96" s="60"/>
      <c r="EPN96" s="34"/>
      <c r="EPO96" s="60"/>
      <c r="EQD96" s="34"/>
      <c r="EQE96" s="60"/>
      <c r="EQT96" s="34"/>
      <c r="EQU96" s="60"/>
      <c r="ERJ96" s="34"/>
      <c r="ERK96" s="60"/>
      <c r="ERZ96" s="34"/>
      <c r="ESA96" s="60"/>
      <c r="ESP96" s="34"/>
      <c r="ESQ96" s="60"/>
      <c r="ETF96" s="34"/>
      <c r="ETG96" s="60"/>
      <c r="ETV96" s="34"/>
      <c r="ETW96" s="60"/>
      <c r="EUL96" s="34"/>
      <c r="EUM96" s="60"/>
      <c r="EVB96" s="34"/>
      <c r="EVC96" s="60"/>
      <c r="EVR96" s="34"/>
      <c r="EVS96" s="60"/>
      <c r="EWH96" s="34"/>
      <c r="EWI96" s="60"/>
      <c r="EWX96" s="34"/>
      <c r="EWY96" s="60"/>
      <c r="EXN96" s="34"/>
      <c r="EXO96" s="60"/>
      <c r="EYD96" s="34"/>
      <c r="EYE96" s="60"/>
      <c r="EYT96" s="34"/>
      <c r="EYU96" s="60"/>
      <c r="EZJ96" s="34"/>
      <c r="EZK96" s="60"/>
      <c r="EZZ96" s="34"/>
      <c r="FAA96" s="60"/>
      <c r="FAP96" s="34"/>
      <c r="FAQ96" s="60"/>
      <c r="FBF96" s="34"/>
      <c r="FBG96" s="60"/>
      <c r="FBV96" s="34"/>
      <c r="FBW96" s="60"/>
      <c r="FCL96" s="34"/>
      <c r="FCM96" s="60"/>
      <c r="FDB96" s="34"/>
      <c r="FDC96" s="60"/>
      <c r="FDR96" s="34"/>
      <c r="FDS96" s="60"/>
      <c r="FEH96" s="34"/>
      <c r="FEI96" s="60"/>
      <c r="FEX96" s="34"/>
      <c r="FEY96" s="60"/>
      <c r="FFN96" s="34"/>
      <c r="FFO96" s="60"/>
      <c r="FGD96" s="34"/>
      <c r="FGE96" s="60"/>
      <c r="FGT96" s="34"/>
      <c r="FGU96" s="60"/>
      <c r="FHJ96" s="34"/>
      <c r="FHK96" s="60"/>
      <c r="FHZ96" s="34"/>
      <c r="FIA96" s="60"/>
      <c r="FIP96" s="34"/>
      <c r="FIQ96" s="60"/>
      <c r="FJF96" s="34"/>
      <c r="FJG96" s="60"/>
      <c r="FJV96" s="34"/>
      <c r="FJW96" s="60"/>
      <c r="FKL96" s="34"/>
      <c r="FKM96" s="60"/>
      <c r="FLB96" s="34"/>
      <c r="FLC96" s="60"/>
      <c r="FLR96" s="34"/>
      <c r="FLS96" s="60"/>
      <c r="FMH96" s="34"/>
      <c r="FMI96" s="60"/>
      <c r="FMX96" s="34"/>
      <c r="FMY96" s="60"/>
      <c r="FNN96" s="34"/>
      <c r="FNO96" s="60"/>
      <c r="FOD96" s="34"/>
      <c r="FOE96" s="60"/>
      <c r="FOT96" s="34"/>
      <c r="FOU96" s="60"/>
      <c r="FPJ96" s="34"/>
      <c r="FPK96" s="60"/>
      <c r="FPZ96" s="34"/>
      <c r="FQA96" s="60"/>
      <c r="FQP96" s="34"/>
      <c r="FQQ96" s="60"/>
      <c r="FRF96" s="34"/>
      <c r="FRG96" s="60"/>
      <c r="FRV96" s="34"/>
      <c r="FRW96" s="60"/>
      <c r="FSL96" s="34"/>
      <c r="FSM96" s="60"/>
      <c r="FTB96" s="34"/>
      <c r="FTC96" s="60"/>
      <c r="FTR96" s="34"/>
      <c r="FTS96" s="60"/>
      <c r="FUH96" s="34"/>
      <c r="FUI96" s="60"/>
      <c r="FUX96" s="34"/>
      <c r="FUY96" s="60"/>
      <c r="FVN96" s="34"/>
      <c r="FVO96" s="60"/>
      <c r="FWD96" s="34"/>
      <c r="FWE96" s="60"/>
      <c r="FWT96" s="34"/>
      <c r="FWU96" s="60"/>
      <c r="FXJ96" s="34"/>
      <c r="FXK96" s="60"/>
      <c r="FXZ96" s="34"/>
      <c r="FYA96" s="60"/>
      <c r="FYP96" s="34"/>
      <c r="FYQ96" s="60"/>
      <c r="FZF96" s="34"/>
      <c r="FZG96" s="60"/>
      <c r="FZV96" s="34"/>
      <c r="FZW96" s="60"/>
      <c r="GAL96" s="34"/>
      <c r="GAM96" s="60"/>
      <c r="GBB96" s="34"/>
      <c r="GBC96" s="60"/>
      <c r="GBR96" s="34"/>
      <c r="GBS96" s="60"/>
      <c r="GCH96" s="34"/>
      <c r="GCI96" s="60"/>
      <c r="GCX96" s="34"/>
      <c r="GCY96" s="60"/>
      <c r="GDN96" s="34"/>
      <c r="GDO96" s="60"/>
      <c r="GED96" s="34"/>
      <c r="GEE96" s="60"/>
      <c r="GET96" s="34"/>
      <c r="GEU96" s="60"/>
      <c r="GFJ96" s="34"/>
      <c r="GFK96" s="60"/>
      <c r="GFZ96" s="34"/>
      <c r="GGA96" s="60"/>
      <c r="GGP96" s="34"/>
      <c r="GGQ96" s="60"/>
      <c r="GHF96" s="34"/>
      <c r="GHG96" s="60"/>
      <c r="GHV96" s="34"/>
      <c r="GHW96" s="60"/>
      <c r="GIL96" s="34"/>
      <c r="GIM96" s="60"/>
      <c r="GJB96" s="34"/>
      <c r="GJC96" s="60"/>
      <c r="GJR96" s="34"/>
      <c r="GJS96" s="60"/>
      <c r="GKH96" s="34"/>
      <c r="GKI96" s="60"/>
      <c r="GKX96" s="34"/>
      <c r="GKY96" s="60"/>
      <c r="GLN96" s="34"/>
      <c r="GLO96" s="60"/>
      <c r="GMD96" s="34"/>
      <c r="GME96" s="60"/>
      <c r="GMT96" s="34"/>
      <c r="GMU96" s="60"/>
      <c r="GNJ96" s="34"/>
      <c r="GNK96" s="60"/>
      <c r="GNZ96" s="34"/>
      <c r="GOA96" s="60"/>
      <c r="GOP96" s="34"/>
      <c r="GOQ96" s="60"/>
      <c r="GPF96" s="34"/>
      <c r="GPG96" s="60"/>
      <c r="GPV96" s="34"/>
      <c r="GPW96" s="60"/>
      <c r="GQL96" s="34"/>
      <c r="GQM96" s="60"/>
      <c r="GRB96" s="34"/>
      <c r="GRC96" s="60"/>
      <c r="GRR96" s="34"/>
      <c r="GRS96" s="60"/>
      <c r="GSH96" s="34"/>
      <c r="GSI96" s="60"/>
      <c r="GSX96" s="34"/>
      <c r="GSY96" s="60"/>
      <c r="GTN96" s="34"/>
      <c r="GTO96" s="60"/>
      <c r="GUD96" s="34"/>
      <c r="GUE96" s="60"/>
      <c r="GUT96" s="34"/>
      <c r="GUU96" s="60"/>
      <c r="GVJ96" s="34"/>
      <c r="GVK96" s="60"/>
      <c r="GVZ96" s="34"/>
      <c r="GWA96" s="60"/>
      <c r="GWP96" s="34"/>
      <c r="GWQ96" s="60"/>
      <c r="GXF96" s="34"/>
      <c r="GXG96" s="60"/>
      <c r="GXV96" s="34"/>
      <c r="GXW96" s="60"/>
      <c r="GYL96" s="34"/>
      <c r="GYM96" s="60"/>
      <c r="GZB96" s="34"/>
      <c r="GZC96" s="60"/>
      <c r="GZR96" s="34"/>
      <c r="GZS96" s="60"/>
      <c r="HAH96" s="34"/>
      <c r="HAI96" s="60"/>
      <c r="HAX96" s="34"/>
      <c r="HAY96" s="60"/>
      <c r="HBN96" s="34"/>
      <c r="HBO96" s="60"/>
      <c r="HCD96" s="34"/>
      <c r="HCE96" s="60"/>
      <c r="HCT96" s="34"/>
      <c r="HCU96" s="60"/>
      <c r="HDJ96" s="34"/>
      <c r="HDK96" s="60"/>
      <c r="HDZ96" s="34"/>
      <c r="HEA96" s="60"/>
      <c r="HEP96" s="34"/>
      <c r="HEQ96" s="60"/>
      <c r="HFF96" s="34"/>
      <c r="HFG96" s="60"/>
      <c r="HFV96" s="34"/>
      <c r="HFW96" s="60"/>
      <c r="HGL96" s="34"/>
      <c r="HGM96" s="60"/>
      <c r="HHB96" s="34"/>
      <c r="HHC96" s="60"/>
      <c r="HHR96" s="34"/>
      <c r="HHS96" s="60"/>
      <c r="HIH96" s="34"/>
      <c r="HII96" s="60"/>
      <c r="HIX96" s="34"/>
      <c r="HIY96" s="60"/>
      <c r="HJN96" s="34"/>
      <c r="HJO96" s="60"/>
      <c r="HKD96" s="34"/>
      <c r="HKE96" s="60"/>
      <c r="HKT96" s="34"/>
      <c r="HKU96" s="60"/>
      <c r="HLJ96" s="34"/>
      <c r="HLK96" s="60"/>
      <c r="HLZ96" s="34"/>
      <c r="HMA96" s="60"/>
      <c r="HMP96" s="34"/>
      <c r="HMQ96" s="60"/>
      <c r="HNF96" s="34"/>
      <c r="HNG96" s="60"/>
      <c r="HNV96" s="34"/>
      <c r="HNW96" s="60"/>
      <c r="HOL96" s="34"/>
      <c r="HOM96" s="60"/>
      <c r="HPB96" s="34"/>
      <c r="HPC96" s="60"/>
      <c r="HPR96" s="34"/>
      <c r="HPS96" s="60"/>
      <c r="HQH96" s="34"/>
      <c r="HQI96" s="60"/>
      <c r="HQX96" s="34"/>
      <c r="HQY96" s="60"/>
      <c r="HRN96" s="34"/>
      <c r="HRO96" s="60"/>
      <c r="HSD96" s="34"/>
      <c r="HSE96" s="60"/>
      <c r="HST96" s="34"/>
      <c r="HSU96" s="60"/>
      <c r="HTJ96" s="34"/>
      <c r="HTK96" s="60"/>
      <c r="HTZ96" s="34"/>
      <c r="HUA96" s="60"/>
      <c r="HUP96" s="34"/>
      <c r="HUQ96" s="60"/>
      <c r="HVF96" s="34"/>
      <c r="HVG96" s="60"/>
      <c r="HVV96" s="34"/>
      <c r="HVW96" s="60"/>
      <c r="HWL96" s="34"/>
      <c r="HWM96" s="60"/>
      <c r="HXB96" s="34"/>
      <c r="HXC96" s="60"/>
      <c r="HXR96" s="34"/>
      <c r="HXS96" s="60"/>
      <c r="HYH96" s="34"/>
      <c r="HYI96" s="60"/>
      <c r="HYX96" s="34"/>
      <c r="HYY96" s="60"/>
      <c r="HZN96" s="34"/>
      <c r="HZO96" s="60"/>
      <c r="IAD96" s="34"/>
      <c r="IAE96" s="60"/>
      <c r="IAT96" s="34"/>
      <c r="IAU96" s="60"/>
      <c r="IBJ96" s="34"/>
      <c r="IBK96" s="60"/>
      <c r="IBZ96" s="34"/>
      <c r="ICA96" s="60"/>
      <c r="ICP96" s="34"/>
      <c r="ICQ96" s="60"/>
      <c r="IDF96" s="34"/>
      <c r="IDG96" s="60"/>
      <c r="IDV96" s="34"/>
      <c r="IDW96" s="60"/>
      <c r="IEL96" s="34"/>
      <c r="IEM96" s="60"/>
      <c r="IFB96" s="34"/>
      <c r="IFC96" s="60"/>
      <c r="IFR96" s="34"/>
      <c r="IFS96" s="60"/>
      <c r="IGH96" s="34"/>
      <c r="IGI96" s="60"/>
      <c r="IGX96" s="34"/>
      <c r="IGY96" s="60"/>
      <c r="IHN96" s="34"/>
      <c r="IHO96" s="60"/>
      <c r="IID96" s="34"/>
      <c r="IIE96" s="60"/>
      <c r="IIT96" s="34"/>
      <c r="IIU96" s="60"/>
      <c r="IJJ96" s="34"/>
      <c r="IJK96" s="60"/>
      <c r="IJZ96" s="34"/>
      <c r="IKA96" s="60"/>
      <c r="IKP96" s="34"/>
      <c r="IKQ96" s="60"/>
      <c r="ILF96" s="34"/>
      <c r="ILG96" s="60"/>
      <c r="ILV96" s="34"/>
      <c r="ILW96" s="60"/>
      <c r="IML96" s="34"/>
      <c r="IMM96" s="60"/>
      <c r="INB96" s="34"/>
      <c r="INC96" s="60"/>
      <c r="INR96" s="34"/>
      <c r="INS96" s="60"/>
      <c r="IOH96" s="34"/>
      <c r="IOI96" s="60"/>
      <c r="IOX96" s="34"/>
      <c r="IOY96" s="60"/>
      <c r="IPN96" s="34"/>
      <c r="IPO96" s="60"/>
      <c r="IQD96" s="34"/>
      <c r="IQE96" s="60"/>
      <c r="IQT96" s="34"/>
      <c r="IQU96" s="60"/>
      <c r="IRJ96" s="34"/>
      <c r="IRK96" s="60"/>
      <c r="IRZ96" s="34"/>
      <c r="ISA96" s="60"/>
      <c r="ISP96" s="34"/>
      <c r="ISQ96" s="60"/>
      <c r="ITF96" s="34"/>
      <c r="ITG96" s="60"/>
      <c r="ITV96" s="34"/>
      <c r="ITW96" s="60"/>
      <c r="IUL96" s="34"/>
      <c r="IUM96" s="60"/>
      <c r="IVB96" s="34"/>
      <c r="IVC96" s="60"/>
      <c r="IVR96" s="34"/>
      <c r="IVS96" s="60"/>
      <c r="IWH96" s="34"/>
      <c r="IWI96" s="60"/>
      <c r="IWX96" s="34"/>
      <c r="IWY96" s="60"/>
      <c r="IXN96" s="34"/>
      <c r="IXO96" s="60"/>
      <c r="IYD96" s="34"/>
      <c r="IYE96" s="60"/>
      <c r="IYT96" s="34"/>
      <c r="IYU96" s="60"/>
      <c r="IZJ96" s="34"/>
      <c r="IZK96" s="60"/>
      <c r="IZZ96" s="34"/>
      <c r="JAA96" s="60"/>
      <c r="JAP96" s="34"/>
      <c r="JAQ96" s="60"/>
      <c r="JBF96" s="34"/>
      <c r="JBG96" s="60"/>
      <c r="JBV96" s="34"/>
      <c r="JBW96" s="60"/>
      <c r="JCL96" s="34"/>
      <c r="JCM96" s="60"/>
      <c r="JDB96" s="34"/>
      <c r="JDC96" s="60"/>
      <c r="JDR96" s="34"/>
      <c r="JDS96" s="60"/>
      <c r="JEH96" s="34"/>
      <c r="JEI96" s="60"/>
      <c r="JEX96" s="34"/>
      <c r="JEY96" s="60"/>
      <c r="JFN96" s="34"/>
      <c r="JFO96" s="60"/>
      <c r="JGD96" s="34"/>
      <c r="JGE96" s="60"/>
      <c r="JGT96" s="34"/>
      <c r="JGU96" s="60"/>
      <c r="JHJ96" s="34"/>
      <c r="JHK96" s="60"/>
      <c r="JHZ96" s="34"/>
      <c r="JIA96" s="60"/>
      <c r="JIP96" s="34"/>
      <c r="JIQ96" s="60"/>
      <c r="JJF96" s="34"/>
      <c r="JJG96" s="60"/>
      <c r="JJV96" s="34"/>
      <c r="JJW96" s="60"/>
      <c r="JKL96" s="34"/>
      <c r="JKM96" s="60"/>
      <c r="JLB96" s="34"/>
      <c r="JLC96" s="60"/>
      <c r="JLR96" s="34"/>
      <c r="JLS96" s="60"/>
      <c r="JMH96" s="34"/>
      <c r="JMI96" s="60"/>
      <c r="JMX96" s="34"/>
      <c r="JMY96" s="60"/>
      <c r="JNN96" s="34"/>
      <c r="JNO96" s="60"/>
      <c r="JOD96" s="34"/>
      <c r="JOE96" s="60"/>
      <c r="JOT96" s="34"/>
      <c r="JOU96" s="60"/>
      <c r="JPJ96" s="34"/>
      <c r="JPK96" s="60"/>
      <c r="JPZ96" s="34"/>
      <c r="JQA96" s="60"/>
      <c r="JQP96" s="34"/>
      <c r="JQQ96" s="60"/>
      <c r="JRF96" s="34"/>
      <c r="JRG96" s="60"/>
      <c r="JRV96" s="34"/>
      <c r="JRW96" s="60"/>
      <c r="JSL96" s="34"/>
      <c r="JSM96" s="60"/>
      <c r="JTB96" s="34"/>
      <c r="JTC96" s="60"/>
      <c r="JTR96" s="34"/>
      <c r="JTS96" s="60"/>
      <c r="JUH96" s="34"/>
      <c r="JUI96" s="60"/>
      <c r="JUX96" s="34"/>
      <c r="JUY96" s="60"/>
      <c r="JVN96" s="34"/>
      <c r="JVO96" s="60"/>
      <c r="JWD96" s="34"/>
      <c r="JWE96" s="60"/>
      <c r="JWT96" s="34"/>
      <c r="JWU96" s="60"/>
      <c r="JXJ96" s="34"/>
      <c r="JXK96" s="60"/>
      <c r="JXZ96" s="34"/>
      <c r="JYA96" s="60"/>
      <c r="JYP96" s="34"/>
      <c r="JYQ96" s="60"/>
      <c r="JZF96" s="34"/>
      <c r="JZG96" s="60"/>
      <c r="JZV96" s="34"/>
      <c r="JZW96" s="60"/>
      <c r="KAL96" s="34"/>
      <c r="KAM96" s="60"/>
      <c r="KBB96" s="34"/>
      <c r="KBC96" s="60"/>
      <c r="KBR96" s="34"/>
      <c r="KBS96" s="60"/>
      <c r="KCH96" s="34"/>
      <c r="KCI96" s="60"/>
      <c r="KCX96" s="34"/>
      <c r="KCY96" s="60"/>
      <c r="KDN96" s="34"/>
      <c r="KDO96" s="60"/>
      <c r="KED96" s="34"/>
      <c r="KEE96" s="60"/>
      <c r="KET96" s="34"/>
      <c r="KEU96" s="60"/>
      <c r="KFJ96" s="34"/>
      <c r="KFK96" s="60"/>
      <c r="KFZ96" s="34"/>
      <c r="KGA96" s="60"/>
      <c r="KGP96" s="34"/>
      <c r="KGQ96" s="60"/>
      <c r="KHF96" s="34"/>
      <c r="KHG96" s="60"/>
      <c r="KHV96" s="34"/>
      <c r="KHW96" s="60"/>
      <c r="KIL96" s="34"/>
      <c r="KIM96" s="60"/>
      <c r="KJB96" s="34"/>
      <c r="KJC96" s="60"/>
      <c r="KJR96" s="34"/>
      <c r="KJS96" s="60"/>
      <c r="KKH96" s="34"/>
      <c r="KKI96" s="60"/>
      <c r="KKX96" s="34"/>
      <c r="KKY96" s="60"/>
      <c r="KLN96" s="34"/>
      <c r="KLO96" s="60"/>
      <c r="KMD96" s="34"/>
      <c r="KME96" s="60"/>
      <c r="KMT96" s="34"/>
      <c r="KMU96" s="60"/>
      <c r="KNJ96" s="34"/>
      <c r="KNK96" s="60"/>
      <c r="KNZ96" s="34"/>
      <c r="KOA96" s="60"/>
      <c r="KOP96" s="34"/>
      <c r="KOQ96" s="60"/>
      <c r="KPF96" s="34"/>
      <c r="KPG96" s="60"/>
      <c r="KPV96" s="34"/>
      <c r="KPW96" s="60"/>
      <c r="KQL96" s="34"/>
      <c r="KQM96" s="60"/>
      <c r="KRB96" s="34"/>
      <c r="KRC96" s="60"/>
      <c r="KRR96" s="34"/>
      <c r="KRS96" s="60"/>
      <c r="KSH96" s="34"/>
      <c r="KSI96" s="60"/>
      <c r="KSX96" s="34"/>
      <c r="KSY96" s="60"/>
      <c r="KTN96" s="34"/>
      <c r="KTO96" s="60"/>
      <c r="KUD96" s="34"/>
      <c r="KUE96" s="60"/>
      <c r="KUT96" s="34"/>
      <c r="KUU96" s="60"/>
      <c r="KVJ96" s="34"/>
      <c r="KVK96" s="60"/>
      <c r="KVZ96" s="34"/>
      <c r="KWA96" s="60"/>
      <c r="KWP96" s="34"/>
      <c r="KWQ96" s="60"/>
      <c r="KXF96" s="34"/>
      <c r="KXG96" s="60"/>
      <c r="KXV96" s="34"/>
      <c r="KXW96" s="60"/>
      <c r="KYL96" s="34"/>
      <c r="KYM96" s="60"/>
      <c r="KZB96" s="34"/>
      <c r="KZC96" s="60"/>
      <c r="KZR96" s="34"/>
      <c r="KZS96" s="60"/>
      <c r="LAH96" s="34"/>
      <c r="LAI96" s="60"/>
      <c r="LAX96" s="34"/>
      <c r="LAY96" s="60"/>
      <c r="LBN96" s="34"/>
      <c r="LBO96" s="60"/>
      <c r="LCD96" s="34"/>
      <c r="LCE96" s="60"/>
      <c r="LCT96" s="34"/>
      <c r="LCU96" s="60"/>
      <c r="LDJ96" s="34"/>
      <c r="LDK96" s="60"/>
      <c r="LDZ96" s="34"/>
      <c r="LEA96" s="60"/>
      <c r="LEP96" s="34"/>
      <c r="LEQ96" s="60"/>
      <c r="LFF96" s="34"/>
      <c r="LFG96" s="60"/>
      <c r="LFV96" s="34"/>
      <c r="LFW96" s="60"/>
      <c r="LGL96" s="34"/>
      <c r="LGM96" s="60"/>
      <c r="LHB96" s="34"/>
      <c r="LHC96" s="60"/>
      <c r="LHR96" s="34"/>
      <c r="LHS96" s="60"/>
      <c r="LIH96" s="34"/>
      <c r="LII96" s="60"/>
      <c r="LIX96" s="34"/>
      <c r="LIY96" s="60"/>
      <c r="LJN96" s="34"/>
      <c r="LJO96" s="60"/>
      <c r="LKD96" s="34"/>
      <c r="LKE96" s="60"/>
      <c r="LKT96" s="34"/>
      <c r="LKU96" s="60"/>
      <c r="LLJ96" s="34"/>
      <c r="LLK96" s="60"/>
      <c r="LLZ96" s="34"/>
      <c r="LMA96" s="60"/>
      <c r="LMP96" s="34"/>
      <c r="LMQ96" s="60"/>
      <c r="LNF96" s="34"/>
      <c r="LNG96" s="60"/>
      <c r="LNV96" s="34"/>
      <c r="LNW96" s="60"/>
      <c r="LOL96" s="34"/>
      <c r="LOM96" s="60"/>
      <c r="LPB96" s="34"/>
      <c r="LPC96" s="60"/>
      <c r="LPR96" s="34"/>
      <c r="LPS96" s="60"/>
      <c r="LQH96" s="34"/>
      <c r="LQI96" s="60"/>
      <c r="LQX96" s="34"/>
      <c r="LQY96" s="60"/>
      <c r="LRN96" s="34"/>
      <c r="LRO96" s="60"/>
      <c r="LSD96" s="34"/>
      <c r="LSE96" s="60"/>
      <c r="LST96" s="34"/>
      <c r="LSU96" s="60"/>
      <c r="LTJ96" s="34"/>
      <c r="LTK96" s="60"/>
      <c r="LTZ96" s="34"/>
      <c r="LUA96" s="60"/>
      <c r="LUP96" s="34"/>
      <c r="LUQ96" s="60"/>
      <c r="LVF96" s="34"/>
      <c r="LVG96" s="60"/>
      <c r="LVV96" s="34"/>
      <c r="LVW96" s="60"/>
      <c r="LWL96" s="34"/>
      <c r="LWM96" s="60"/>
      <c r="LXB96" s="34"/>
      <c r="LXC96" s="60"/>
      <c r="LXR96" s="34"/>
      <c r="LXS96" s="60"/>
      <c r="LYH96" s="34"/>
      <c r="LYI96" s="60"/>
      <c r="LYX96" s="34"/>
      <c r="LYY96" s="60"/>
      <c r="LZN96" s="34"/>
      <c r="LZO96" s="60"/>
      <c r="MAD96" s="34"/>
      <c r="MAE96" s="60"/>
      <c r="MAT96" s="34"/>
      <c r="MAU96" s="60"/>
      <c r="MBJ96" s="34"/>
      <c r="MBK96" s="60"/>
      <c r="MBZ96" s="34"/>
      <c r="MCA96" s="60"/>
      <c r="MCP96" s="34"/>
      <c r="MCQ96" s="60"/>
      <c r="MDF96" s="34"/>
      <c r="MDG96" s="60"/>
      <c r="MDV96" s="34"/>
      <c r="MDW96" s="60"/>
      <c r="MEL96" s="34"/>
      <c r="MEM96" s="60"/>
      <c r="MFB96" s="34"/>
      <c r="MFC96" s="60"/>
      <c r="MFR96" s="34"/>
      <c r="MFS96" s="60"/>
      <c r="MGH96" s="34"/>
      <c r="MGI96" s="60"/>
      <c r="MGX96" s="34"/>
      <c r="MGY96" s="60"/>
      <c r="MHN96" s="34"/>
      <c r="MHO96" s="60"/>
      <c r="MID96" s="34"/>
      <c r="MIE96" s="60"/>
      <c r="MIT96" s="34"/>
      <c r="MIU96" s="60"/>
      <c r="MJJ96" s="34"/>
      <c r="MJK96" s="60"/>
      <c r="MJZ96" s="34"/>
      <c r="MKA96" s="60"/>
      <c r="MKP96" s="34"/>
      <c r="MKQ96" s="60"/>
      <c r="MLF96" s="34"/>
      <c r="MLG96" s="60"/>
      <c r="MLV96" s="34"/>
      <c r="MLW96" s="60"/>
      <c r="MML96" s="34"/>
      <c r="MMM96" s="60"/>
      <c r="MNB96" s="34"/>
      <c r="MNC96" s="60"/>
      <c r="MNR96" s="34"/>
      <c r="MNS96" s="60"/>
      <c r="MOH96" s="34"/>
      <c r="MOI96" s="60"/>
      <c r="MOX96" s="34"/>
      <c r="MOY96" s="60"/>
      <c r="MPN96" s="34"/>
      <c r="MPO96" s="60"/>
      <c r="MQD96" s="34"/>
      <c r="MQE96" s="60"/>
      <c r="MQT96" s="34"/>
      <c r="MQU96" s="60"/>
      <c r="MRJ96" s="34"/>
      <c r="MRK96" s="60"/>
      <c r="MRZ96" s="34"/>
      <c r="MSA96" s="60"/>
      <c r="MSP96" s="34"/>
      <c r="MSQ96" s="60"/>
      <c r="MTF96" s="34"/>
      <c r="MTG96" s="60"/>
      <c r="MTV96" s="34"/>
      <c r="MTW96" s="60"/>
      <c r="MUL96" s="34"/>
      <c r="MUM96" s="60"/>
      <c r="MVB96" s="34"/>
      <c r="MVC96" s="60"/>
      <c r="MVR96" s="34"/>
      <c r="MVS96" s="60"/>
      <c r="MWH96" s="34"/>
      <c r="MWI96" s="60"/>
      <c r="MWX96" s="34"/>
      <c r="MWY96" s="60"/>
      <c r="MXN96" s="34"/>
      <c r="MXO96" s="60"/>
      <c r="MYD96" s="34"/>
      <c r="MYE96" s="60"/>
      <c r="MYT96" s="34"/>
      <c r="MYU96" s="60"/>
      <c r="MZJ96" s="34"/>
      <c r="MZK96" s="60"/>
      <c r="MZZ96" s="34"/>
      <c r="NAA96" s="60"/>
      <c r="NAP96" s="34"/>
      <c r="NAQ96" s="60"/>
      <c r="NBF96" s="34"/>
      <c r="NBG96" s="60"/>
      <c r="NBV96" s="34"/>
      <c r="NBW96" s="60"/>
      <c r="NCL96" s="34"/>
      <c r="NCM96" s="60"/>
      <c r="NDB96" s="34"/>
      <c r="NDC96" s="60"/>
      <c r="NDR96" s="34"/>
      <c r="NDS96" s="60"/>
      <c r="NEH96" s="34"/>
      <c r="NEI96" s="60"/>
      <c r="NEX96" s="34"/>
      <c r="NEY96" s="60"/>
      <c r="NFN96" s="34"/>
      <c r="NFO96" s="60"/>
      <c r="NGD96" s="34"/>
      <c r="NGE96" s="60"/>
      <c r="NGT96" s="34"/>
      <c r="NGU96" s="60"/>
      <c r="NHJ96" s="34"/>
      <c r="NHK96" s="60"/>
      <c r="NHZ96" s="34"/>
      <c r="NIA96" s="60"/>
      <c r="NIP96" s="34"/>
      <c r="NIQ96" s="60"/>
      <c r="NJF96" s="34"/>
      <c r="NJG96" s="60"/>
      <c r="NJV96" s="34"/>
      <c r="NJW96" s="60"/>
      <c r="NKL96" s="34"/>
      <c r="NKM96" s="60"/>
      <c r="NLB96" s="34"/>
      <c r="NLC96" s="60"/>
      <c r="NLR96" s="34"/>
      <c r="NLS96" s="60"/>
      <c r="NMH96" s="34"/>
      <c r="NMI96" s="60"/>
      <c r="NMX96" s="34"/>
      <c r="NMY96" s="60"/>
      <c r="NNN96" s="34"/>
      <c r="NNO96" s="60"/>
      <c r="NOD96" s="34"/>
      <c r="NOE96" s="60"/>
      <c r="NOT96" s="34"/>
      <c r="NOU96" s="60"/>
      <c r="NPJ96" s="34"/>
      <c r="NPK96" s="60"/>
      <c r="NPZ96" s="34"/>
      <c r="NQA96" s="60"/>
      <c r="NQP96" s="34"/>
      <c r="NQQ96" s="60"/>
      <c r="NRF96" s="34"/>
      <c r="NRG96" s="60"/>
      <c r="NRV96" s="34"/>
      <c r="NRW96" s="60"/>
      <c r="NSL96" s="34"/>
      <c r="NSM96" s="60"/>
      <c r="NTB96" s="34"/>
      <c r="NTC96" s="60"/>
      <c r="NTR96" s="34"/>
      <c r="NTS96" s="60"/>
      <c r="NUH96" s="34"/>
      <c r="NUI96" s="60"/>
      <c r="NUX96" s="34"/>
      <c r="NUY96" s="60"/>
      <c r="NVN96" s="34"/>
      <c r="NVO96" s="60"/>
      <c r="NWD96" s="34"/>
      <c r="NWE96" s="60"/>
      <c r="NWT96" s="34"/>
      <c r="NWU96" s="60"/>
      <c r="NXJ96" s="34"/>
      <c r="NXK96" s="60"/>
      <c r="NXZ96" s="34"/>
      <c r="NYA96" s="60"/>
      <c r="NYP96" s="34"/>
      <c r="NYQ96" s="60"/>
      <c r="NZF96" s="34"/>
      <c r="NZG96" s="60"/>
      <c r="NZV96" s="34"/>
      <c r="NZW96" s="60"/>
      <c r="OAL96" s="34"/>
      <c r="OAM96" s="60"/>
      <c r="OBB96" s="34"/>
      <c r="OBC96" s="60"/>
      <c r="OBR96" s="34"/>
      <c r="OBS96" s="60"/>
      <c r="OCH96" s="34"/>
      <c r="OCI96" s="60"/>
      <c r="OCX96" s="34"/>
      <c r="OCY96" s="60"/>
      <c r="ODN96" s="34"/>
      <c r="ODO96" s="60"/>
      <c r="OED96" s="34"/>
      <c r="OEE96" s="60"/>
      <c r="OET96" s="34"/>
      <c r="OEU96" s="60"/>
      <c r="OFJ96" s="34"/>
      <c r="OFK96" s="60"/>
      <c r="OFZ96" s="34"/>
      <c r="OGA96" s="60"/>
      <c r="OGP96" s="34"/>
      <c r="OGQ96" s="60"/>
      <c r="OHF96" s="34"/>
      <c r="OHG96" s="60"/>
      <c r="OHV96" s="34"/>
      <c r="OHW96" s="60"/>
      <c r="OIL96" s="34"/>
      <c r="OIM96" s="60"/>
      <c r="OJB96" s="34"/>
      <c r="OJC96" s="60"/>
      <c r="OJR96" s="34"/>
      <c r="OJS96" s="60"/>
      <c r="OKH96" s="34"/>
      <c r="OKI96" s="60"/>
      <c r="OKX96" s="34"/>
      <c r="OKY96" s="60"/>
      <c r="OLN96" s="34"/>
      <c r="OLO96" s="60"/>
      <c r="OMD96" s="34"/>
      <c r="OME96" s="60"/>
      <c r="OMT96" s="34"/>
      <c r="OMU96" s="60"/>
      <c r="ONJ96" s="34"/>
      <c r="ONK96" s="60"/>
      <c r="ONZ96" s="34"/>
      <c r="OOA96" s="60"/>
      <c r="OOP96" s="34"/>
      <c r="OOQ96" s="60"/>
      <c r="OPF96" s="34"/>
      <c r="OPG96" s="60"/>
      <c r="OPV96" s="34"/>
      <c r="OPW96" s="60"/>
      <c r="OQL96" s="34"/>
      <c r="OQM96" s="60"/>
      <c r="ORB96" s="34"/>
      <c r="ORC96" s="60"/>
      <c r="ORR96" s="34"/>
      <c r="ORS96" s="60"/>
      <c r="OSH96" s="34"/>
      <c r="OSI96" s="60"/>
      <c r="OSX96" s="34"/>
      <c r="OSY96" s="60"/>
      <c r="OTN96" s="34"/>
      <c r="OTO96" s="60"/>
      <c r="OUD96" s="34"/>
      <c r="OUE96" s="60"/>
      <c r="OUT96" s="34"/>
      <c r="OUU96" s="60"/>
      <c r="OVJ96" s="34"/>
      <c r="OVK96" s="60"/>
      <c r="OVZ96" s="34"/>
      <c r="OWA96" s="60"/>
      <c r="OWP96" s="34"/>
      <c r="OWQ96" s="60"/>
      <c r="OXF96" s="34"/>
      <c r="OXG96" s="60"/>
      <c r="OXV96" s="34"/>
      <c r="OXW96" s="60"/>
      <c r="OYL96" s="34"/>
      <c r="OYM96" s="60"/>
      <c r="OZB96" s="34"/>
      <c r="OZC96" s="60"/>
      <c r="OZR96" s="34"/>
      <c r="OZS96" s="60"/>
      <c r="PAH96" s="34"/>
      <c r="PAI96" s="60"/>
      <c r="PAX96" s="34"/>
      <c r="PAY96" s="60"/>
      <c r="PBN96" s="34"/>
      <c r="PBO96" s="60"/>
      <c r="PCD96" s="34"/>
      <c r="PCE96" s="60"/>
      <c r="PCT96" s="34"/>
      <c r="PCU96" s="60"/>
      <c r="PDJ96" s="34"/>
      <c r="PDK96" s="60"/>
      <c r="PDZ96" s="34"/>
      <c r="PEA96" s="60"/>
      <c r="PEP96" s="34"/>
      <c r="PEQ96" s="60"/>
      <c r="PFF96" s="34"/>
      <c r="PFG96" s="60"/>
      <c r="PFV96" s="34"/>
      <c r="PFW96" s="60"/>
      <c r="PGL96" s="34"/>
      <c r="PGM96" s="60"/>
      <c r="PHB96" s="34"/>
      <c r="PHC96" s="60"/>
      <c r="PHR96" s="34"/>
      <c r="PHS96" s="60"/>
      <c r="PIH96" s="34"/>
      <c r="PII96" s="60"/>
      <c r="PIX96" s="34"/>
      <c r="PIY96" s="60"/>
      <c r="PJN96" s="34"/>
      <c r="PJO96" s="60"/>
      <c r="PKD96" s="34"/>
      <c r="PKE96" s="60"/>
      <c r="PKT96" s="34"/>
      <c r="PKU96" s="60"/>
      <c r="PLJ96" s="34"/>
      <c r="PLK96" s="60"/>
      <c r="PLZ96" s="34"/>
      <c r="PMA96" s="60"/>
      <c r="PMP96" s="34"/>
      <c r="PMQ96" s="60"/>
      <c r="PNF96" s="34"/>
      <c r="PNG96" s="60"/>
      <c r="PNV96" s="34"/>
      <c r="PNW96" s="60"/>
      <c r="POL96" s="34"/>
      <c r="POM96" s="60"/>
      <c r="PPB96" s="34"/>
      <c r="PPC96" s="60"/>
      <c r="PPR96" s="34"/>
      <c r="PPS96" s="60"/>
      <c r="PQH96" s="34"/>
      <c r="PQI96" s="60"/>
      <c r="PQX96" s="34"/>
      <c r="PQY96" s="60"/>
      <c r="PRN96" s="34"/>
      <c r="PRO96" s="60"/>
      <c r="PSD96" s="34"/>
      <c r="PSE96" s="60"/>
      <c r="PST96" s="34"/>
      <c r="PSU96" s="60"/>
      <c r="PTJ96" s="34"/>
      <c r="PTK96" s="60"/>
      <c r="PTZ96" s="34"/>
      <c r="PUA96" s="60"/>
      <c r="PUP96" s="34"/>
      <c r="PUQ96" s="60"/>
      <c r="PVF96" s="34"/>
      <c r="PVG96" s="60"/>
      <c r="PVV96" s="34"/>
      <c r="PVW96" s="60"/>
      <c r="PWL96" s="34"/>
      <c r="PWM96" s="60"/>
      <c r="PXB96" s="34"/>
      <c r="PXC96" s="60"/>
      <c r="PXR96" s="34"/>
      <c r="PXS96" s="60"/>
      <c r="PYH96" s="34"/>
      <c r="PYI96" s="60"/>
      <c r="PYX96" s="34"/>
      <c r="PYY96" s="60"/>
      <c r="PZN96" s="34"/>
      <c r="PZO96" s="60"/>
      <c r="QAD96" s="34"/>
      <c r="QAE96" s="60"/>
      <c r="QAT96" s="34"/>
      <c r="QAU96" s="60"/>
      <c r="QBJ96" s="34"/>
      <c r="QBK96" s="60"/>
      <c r="QBZ96" s="34"/>
      <c r="QCA96" s="60"/>
      <c r="QCP96" s="34"/>
      <c r="QCQ96" s="60"/>
      <c r="QDF96" s="34"/>
      <c r="QDG96" s="60"/>
      <c r="QDV96" s="34"/>
      <c r="QDW96" s="60"/>
      <c r="QEL96" s="34"/>
      <c r="QEM96" s="60"/>
      <c r="QFB96" s="34"/>
      <c r="QFC96" s="60"/>
      <c r="QFR96" s="34"/>
      <c r="QFS96" s="60"/>
      <c r="QGH96" s="34"/>
      <c r="QGI96" s="60"/>
      <c r="QGX96" s="34"/>
      <c r="QGY96" s="60"/>
      <c r="QHN96" s="34"/>
      <c r="QHO96" s="60"/>
      <c r="QID96" s="34"/>
      <c r="QIE96" s="60"/>
      <c r="QIT96" s="34"/>
      <c r="QIU96" s="60"/>
      <c r="QJJ96" s="34"/>
      <c r="QJK96" s="60"/>
      <c r="QJZ96" s="34"/>
      <c r="QKA96" s="60"/>
      <c r="QKP96" s="34"/>
      <c r="QKQ96" s="60"/>
      <c r="QLF96" s="34"/>
      <c r="QLG96" s="60"/>
      <c r="QLV96" s="34"/>
      <c r="QLW96" s="60"/>
      <c r="QML96" s="34"/>
      <c r="QMM96" s="60"/>
      <c r="QNB96" s="34"/>
      <c r="QNC96" s="60"/>
      <c r="QNR96" s="34"/>
      <c r="QNS96" s="60"/>
      <c r="QOH96" s="34"/>
      <c r="QOI96" s="60"/>
      <c r="QOX96" s="34"/>
      <c r="QOY96" s="60"/>
      <c r="QPN96" s="34"/>
      <c r="QPO96" s="60"/>
      <c r="QQD96" s="34"/>
      <c r="QQE96" s="60"/>
      <c r="QQT96" s="34"/>
      <c r="QQU96" s="60"/>
      <c r="QRJ96" s="34"/>
      <c r="QRK96" s="60"/>
      <c r="QRZ96" s="34"/>
      <c r="QSA96" s="60"/>
      <c r="QSP96" s="34"/>
      <c r="QSQ96" s="60"/>
      <c r="QTF96" s="34"/>
      <c r="QTG96" s="60"/>
      <c r="QTV96" s="34"/>
      <c r="QTW96" s="60"/>
      <c r="QUL96" s="34"/>
      <c r="QUM96" s="60"/>
      <c r="QVB96" s="34"/>
      <c r="QVC96" s="60"/>
      <c r="QVR96" s="34"/>
      <c r="QVS96" s="60"/>
      <c r="QWH96" s="34"/>
      <c r="QWI96" s="60"/>
      <c r="QWX96" s="34"/>
      <c r="QWY96" s="60"/>
      <c r="QXN96" s="34"/>
      <c r="QXO96" s="60"/>
      <c r="QYD96" s="34"/>
      <c r="QYE96" s="60"/>
      <c r="QYT96" s="34"/>
      <c r="QYU96" s="60"/>
      <c r="QZJ96" s="34"/>
      <c r="QZK96" s="60"/>
      <c r="QZZ96" s="34"/>
      <c r="RAA96" s="60"/>
      <c r="RAP96" s="34"/>
      <c r="RAQ96" s="60"/>
      <c r="RBF96" s="34"/>
      <c r="RBG96" s="60"/>
      <c r="RBV96" s="34"/>
      <c r="RBW96" s="60"/>
      <c r="RCL96" s="34"/>
      <c r="RCM96" s="60"/>
      <c r="RDB96" s="34"/>
      <c r="RDC96" s="60"/>
      <c r="RDR96" s="34"/>
      <c r="RDS96" s="60"/>
      <c r="REH96" s="34"/>
      <c r="REI96" s="60"/>
      <c r="REX96" s="34"/>
      <c r="REY96" s="60"/>
      <c r="RFN96" s="34"/>
      <c r="RFO96" s="60"/>
      <c r="RGD96" s="34"/>
      <c r="RGE96" s="60"/>
      <c r="RGT96" s="34"/>
      <c r="RGU96" s="60"/>
      <c r="RHJ96" s="34"/>
      <c r="RHK96" s="60"/>
      <c r="RHZ96" s="34"/>
      <c r="RIA96" s="60"/>
      <c r="RIP96" s="34"/>
      <c r="RIQ96" s="60"/>
      <c r="RJF96" s="34"/>
      <c r="RJG96" s="60"/>
      <c r="RJV96" s="34"/>
      <c r="RJW96" s="60"/>
      <c r="RKL96" s="34"/>
      <c r="RKM96" s="60"/>
      <c r="RLB96" s="34"/>
      <c r="RLC96" s="60"/>
      <c r="RLR96" s="34"/>
      <c r="RLS96" s="60"/>
      <c r="RMH96" s="34"/>
      <c r="RMI96" s="60"/>
      <c r="RMX96" s="34"/>
      <c r="RMY96" s="60"/>
      <c r="RNN96" s="34"/>
      <c r="RNO96" s="60"/>
      <c r="ROD96" s="34"/>
      <c r="ROE96" s="60"/>
      <c r="ROT96" s="34"/>
      <c r="ROU96" s="60"/>
      <c r="RPJ96" s="34"/>
      <c r="RPK96" s="60"/>
      <c r="RPZ96" s="34"/>
      <c r="RQA96" s="60"/>
      <c r="RQP96" s="34"/>
      <c r="RQQ96" s="60"/>
      <c r="RRF96" s="34"/>
      <c r="RRG96" s="60"/>
      <c r="RRV96" s="34"/>
      <c r="RRW96" s="60"/>
      <c r="RSL96" s="34"/>
      <c r="RSM96" s="60"/>
      <c r="RTB96" s="34"/>
      <c r="RTC96" s="60"/>
      <c r="RTR96" s="34"/>
      <c r="RTS96" s="60"/>
      <c r="RUH96" s="34"/>
      <c r="RUI96" s="60"/>
      <c r="RUX96" s="34"/>
      <c r="RUY96" s="60"/>
      <c r="RVN96" s="34"/>
      <c r="RVO96" s="60"/>
      <c r="RWD96" s="34"/>
      <c r="RWE96" s="60"/>
      <c r="RWT96" s="34"/>
      <c r="RWU96" s="60"/>
      <c r="RXJ96" s="34"/>
      <c r="RXK96" s="60"/>
      <c r="RXZ96" s="34"/>
      <c r="RYA96" s="60"/>
      <c r="RYP96" s="34"/>
      <c r="RYQ96" s="60"/>
      <c r="RZF96" s="34"/>
      <c r="RZG96" s="60"/>
      <c r="RZV96" s="34"/>
      <c r="RZW96" s="60"/>
      <c r="SAL96" s="34"/>
      <c r="SAM96" s="60"/>
      <c r="SBB96" s="34"/>
      <c r="SBC96" s="60"/>
      <c r="SBR96" s="34"/>
      <c r="SBS96" s="60"/>
      <c r="SCH96" s="34"/>
      <c r="SCI96" s="60"/>
      <c r="SCX96" s="34"/>
      <c r="SCY96" s="60"/>
      <c r="SDN96" s="34"/>
      <c r="SDO96" s="60"/>
      <c r="SED96" s="34"/>
      <c r="SEE96" s="60"/>
      <c r="SET96" s="34"/>
      <c r="SEU96" s="60"/>
      <c r="SFJ96" s="34"/>
      <c r="SFK96" s="60"/>
      <c r="SFZ96" s="34"/>
      <c r="SGA96" s="60"/>
      <c r="SGP96" s="34"/>
      <c r="SGQ96" s="60"/>
      <c r="SHF96" s="34"/>
      <c r="SHG96" s="60"/>
      <c r="SHV96" s="34"/>
      <c r="SHW96" s="60"/>
      <c r="SIL96" s="34"/>
      <c r="SIM96" s="60"/>
      <c r="SJB96" s="34"/>
      <c r="SJC96" s="60"/>
      <c r="SJR96" s="34"/>
      <c r="SJS96" s="60"/>
      <c r="SKH96" s="34"/>
      <c r="SKI96" s="60"/>
      <c r="SKX96" s="34"/>
      <c r="SKY96" s="60"/>
      <c r="SLN96" s="34"/>
      <c r="SLO96" s="60"/>
      <c r="SMD96" s="34"/>
      <c r="SME96" s="60"/>
      <c r="SMT96" s="34"/>
      <c r="SMU96" s="60"/>
      <c r="SNJ96" s="34"/>
      <c r="SNK96" s="60"/>
      <c r="SNZ96" s="34"/>
      <c r="SOA96" s="60"/>
      <c r="SOP96" s="34"/>
      <c r="SOQ96" s="60"/>
      <c r="SPF96" s="34"/>
      <c r="SPG96" s="60"/>
      <c r="SPV96" s="34"/>
      <c r="SPW96" s="60"/>
      <c r="SQL96" s="34"/>
      <c r="SQM96" s="60"/>
      <c r="SRB96" s="34"/>
      <c r="SRC96" s="60"/>
      <c r="SRR96" s="34"/>
      <c r="SRS96" s="60"/>
      <c r="SSH96" s="34"/>
      <c r="SSI96" s="60"/>
      <c r="SSX96" s="34"/>
      <c r="SSY96" s="60"/>
      <c r="STN96" s="34"/>
      <c r="STO96" s="60"/>
      <c r="SUD96" s="34"/>
      <c r="SUE96" s="60"/>
      <c r="SUT96" s="34"/>
      <c r="SUU96" s="60"/>
      <c r="SVJ96" s="34"/>
      <c r="SVK96" s="60"/>
      <c r="SVZ96" s="34"/>
      <c r="SWA96" s="60"/>
      <c r="SWP96" s="34"/>
      <c r="SWQ96" s="60"/>
      <c r="SXF96" s="34"/>
      <c r="SXG96" s="60"/>
      <c r="SXV96" s="34"/>
      <c r="SXW96" s="60"/>
      <c r="SYL96" s="34"/>
      <c r="SYM96" s="60"/>
      <c r="SZB96" s="34"/>
      <c r="SZC96" s="60"/>
      <c r="SZR96" s="34"/>
      <c r="SZS96" s="60"/>
      <c r="TAH96" s="34"/>
      <c r="TAI96" s="60"/>
      <c r="TAX96" s="34"/>
      <c r="TAY96" s="60"/>
      <c r="TBN96" s="34"/>
      <c r="TBO96" s="60"/>
      <c r="TCD96" s="34"/>
      <c r="TCE96" s="60"/>
      <c r="TCT96" s="34"/>
      <c r="TCU96" s="60"/>
      <c r="TDJ96" s="34"/>
      <c r="TDK96" s="60"/>
      <c r="TDZ96" s="34"/>
      <c r="TEA96" s="60"/>
      <c r="TEP96" s="34"/>
      <c r="TEQ96" s="60"/>
      <c r="TFF96" s="34"/>
      <c r="TFG96" s="60"/>
      <c r="TFV96" s="34"/>
      <c r="TFW96" s="60"/>
      <c r="TGL96" s="34"/>
      <c r="TGM96" s="60"/>
      <c r="THB96" s="34"/>
      <c r="THC96" s="60"/>
      <c r="THR96" s="34"/>
      <c r="THS96" s="60"/>
      <c r="TIH96" s="34"/>
      <c r="TII96" s="60"/>
      <c r="TIX96" s="34"/>
      <c r="TIY96" s="60"/>
      <c r="TJN96" s="34"/>
      <c r="TJO96" s="60"/>
      <c r="TKD96" s="34"/>
      <c r="TKE96" s="60"/>
      <c r="TKT96" s="34"/>
      <c r="TKU96" s="60"/>
      <c r="TLJ96" s="34"/>
      <c r="TLK96" s="60"/>
      <c r="TLZ96" s="34"/>
      <c r="TMA96" s="60"/>
      <c r="TMP96" s="34"/>
      <c r="TMQ96" s="60"/>
      <c r="TNF96" s="34"/>
      <c r="TNG96" s="60"/>
      <c r="TNV96" s="34"/>
      <c r="TNW96" s="60"/>
      <c r="TOL96" s="34"/>
      <c r="TOM96" s="60"/>
      <c r="TPB96" s="34"/>
      <c r="TPC96" s="60"/>
      <c r="TPR96" s="34"/>
      <c r="TPS96" s="60"/>
      <c r="TQH96" s="34"/>
      <c r="TQI96" s="60"/>
      <c r="TQX96" s="34"/>
      <c r="TQY96" s="60"/>
      <c r="TRN96" s="34"/>
      <c r="TRO96" s="60"/>
      <c r="TSD96" s="34"/>
      <c r="TSE96" s="60"/>
      <c r="TST96" s="34"/>
      <c r="TSU96" s="60"/>
      <c r="TTJ96" s="34"/>
      <c r="TTK96" s="60"/>
      <c r="TTZ96" s="34"/>
      <c r="TUA96" s="60"/>
      <c r="TUP96" s="34"/>
      <c r="TUQ96" s="60"/>
      <c r="TVF96" s="34"/>
      <c r="TVG96" s="60"/>
      <c r="TVV96" s="34"/>
      <c r="TVW96" s="60"/>
      <c r="TWL96" s="34"/>
      <c r="TWM96" s="60"/>
      <c r="TXB96" s="34"/>
      <c r="TXC96" s="60"/>
      <c r="TXR96" s="34"/>
      <c r="TXS96" s="60"/>
      <c r="TYH96" s="34"/>
      <c r="TYI96" s="60"/>
      <c r="TYX96" s="34"/>
      <c r="TYY96" s="60"/>
      <c r="TZN96" s="34"/>
      <c r="TZO96" s="60"/>
      <c r="UAD96" s="34"/>
      <c r="UAE96" s="60"/>
      <c r="UAT96" s="34"/>
      <c r="UAU96" s="60"/>
      <c r="UBJ96" s="34"/>
      <c r="UBK96" s="60"/>
      <c r="UBZ96" s="34"/>
      <c r="UCA96" s="60"/>
      <c r="UCP96" s="34"/>
      <c r="UCQ96" s="60"/>
      <c r="UDF96" s="34"/>
      <c r="UDG96" s="60"/>
      <c r="UDV96" s="34"/>
      <c r="UDW96" s="60"/>
      <c r="UEL96" s="34"/>
      <c r="UEM96" s="60"/>
      <c r="UFB96" s="34"/>
      <c r="UFC96" s="60"/>
      <c r="UFR96" s="34"/>
      <c r="UFS96" s="60"/>
      <c r="UGH96" s="34"/>
      <c r="UGI96" s="60"/>
      <c r="UGX96" s="34"/>
      <c r="UGY96" s="60"/>
      <c r="UHN96" s="34"/>
      <c r="UHO96" s="60"/>
      <c r="UID96" s="34"/>
      <c r="UIE96" s="60"/>
      <c r="UIT96" s="34"/>
      <c r="UIU96" s="60"/>
      <c r="UJJ96" s="34"/>
      <c r="UJK96" s="60"/>
      <c r="UJZ96" s="34"/>
      <c r="UKA96" s="60"/>
      <c r="UKP96" s="34"/>
      <c r="UKQ96" s="60"/>
      <c r="ULF96" s="34"/>
      <c r="ULG96" s="60"/>
      <c r="ULV96" s="34"/>
      <c r="ULW96" s="60"/>
      <c r="UML96" s="34"/>
      <c r="UMM96" s="60"/>
      <c r="UNB96" s="34"/>
      <c r="UNC96" s="60"/>
      <c r="UNR96" s="34"/>
      <c r="UNS96" s="60"/>
      <c r="UOH96" s="34"/>
      <c r="UOI96" s="60"/>
      <c r="UOX96" s="34"/>
      <c r="UOY96" s="60"/>
      <c r="UPN96" s="34"/>
      <c r="UPO96" s="60"/>
      <c r="UQD96" s="34"/>
      <c r="UQE96" s="60"/>
      <c r="UQT96" s="34"/>
      <c r="UQU96" s="60"/>
      <c r="URJ96" s="34"/>
      <c r="URK96" s="60"/>
      <c r="URZ96" s="34"/>
      <c r="USA96" s="60"/>
      <c r="USP96" s="34"/>
      <c r="USQ96" s="60"/>
      <c r="UTF96" s="34"/>
      <c r="UTG96" s="60"/>
      <c r="UTV96" s="34"/>
      <c r="UTW96" s="60"/>
      <c r="UUL96" s="34"/>
      <c r="UUM96" s="60"/>
      <c r="UVB96" s="34"/>
      <c r="UVC96" s="60"/>
      <c r="UVR96" s="34"/>
      <c r="UVS96" s="60"/>
      <c r="UWH96" s="34"/>
      <c r="UWI96" s="60"/>
      <c r="UWX96" s="34"/>
      <c r="UWY96" s="60"/>
      <c r="UXN96" s="34"/>
      <c r="UXO96" s="60"/>
      <c r="UYD96" s="34"/>
      <c r="UYE96" s="60"/>
      <c r="UYT96" s="34"/>
      <c r="UYU96" s="60"/>
      <c r="UZJ96" s="34"/>
      <c r="UZK96" s="60"/>
      <c r="UZZ96" s="34"/>
      <c r="VAA96" s="60"/>
      <c r="VAP96" s="34"/>
      <c r="VAQ96" s="60"/>
      <c r="VBF96" s="34"/>
      <c r="VBG96" s="60"/>
      <c r="VBV96" s="34"/>
      <c r="VBW96" s="60"/>
      <c r="VCL96" s="34"/>
      <c r="VCM96" s="60"/>
      <c r="VDB96" s="34"/>
      <c r="VDC96" s="60"/>
      <c r="VDR96" s="34"/>
      <c r="VDS96" s="60"/>
      <c r="VEH96" s="34"/>
      <c r="VEI96" s="60"/>
      <c r="VEX96" s="34"/>
      <c r="VEY96" s="60"/>
      <c r="VFN96" s="34"/>
      <c r="VFO96" s="60"/>
      <c r="VGD96" s="34"/>
      <c r="VGE96" s="60"/>
      <c r="VGT96" s="34"/>
      <c r="VGU96" s="60"/>
      <c r="VHJ96" s="34"/>
      <c r="VHK96" s="60"/>
      <c r="VHZ96" s="34"/>
      <c r="VIA96" s="60"/>
      <c r="VIP96" s="34"/>
      <c r="VIQ96" s="60"/>
      <c r="VJF96" s="34"/>
      <c r="VJG96" s="60"/>
      <c r="VJV96" s="34"/>
      <c r="VJW96" s="60"/>
      <c r="VKL96" s="34"/>
      <c r="VKM96" s="60"/>
      <c r="VLB96" s="34"/>
      <c r="VLC96" s="60"/>
      <c r="VLR96" s="34"/>
      <c r="VLS96" s="60"/>
      <c r="VMH96" s="34"/>
      <c r="VMI96" s="60"/>
      <c r="VMX96" s="34"/>
      <c r="VMY96" s="60"/>
      <c r="VNN96" s="34"/>
      <c r="VNO96" s="60"/>
      <c r="VOD96" s="34"/>
      <c r="VOE96" s="60"/>
      <c r="VOT96" s="34"/>
      <c r="VOU96" s="60"/>
      <c r="VPJ96" s="34"/>
      <c r="VPK96" s="60"/>
      <c r="VPZ96" s="34"/>
      <c r="VQA96" s="60"/>
      <c r="VQP96" s="34"/>
      <c r="VQQ96" s="60"/>
      <c r="VRF96" s="34"/>
      <c r="VRG96" s="60"/>
      <c r="VRV96" s="34"/>
      <c r="VRW96" s="60"/>
      <c r="VSL96" s="34"/>
      <c r="VSM96" s="60"/>
      <c r="VTB96" s="34"/>
      <c r="VTC96" s="60"/>
      <c r="VTR96" s="34"/>
      <c r="VTS96" s="60"/>
      <c r="VUH96" s="34"/>
      <c r="VUI96" s="60"/>
      <c r="VUX96" s="34"/>
      <c r="VUY96" s="60"/>
      <c r="VVN96" s="34"/>
      <c r="VVO96" s="60"/>
      <c r="VWD96" s="34"/>
      <c r="VWE96" s="60"/>
      <c r="VWT96" s="34"/>
      <c r="VWU96" s="60"/>
      <c r="VXJ96" s="34"/>
      <c r="VXK96" s="60"/>
      <c r="VXZ96" s="34"/>
      <c r="VYA96" s="60"/>
      <c r="VYP96" s="34"/>
      <c r="VYQ96" s="60"/>
      <c r="VZF96" s="34"/>
      <c r="VZG96" s="60"/>
      <c r="VZV96" s="34"/>
      <c r="VZW96" s="60"/>
      <c r="WAL96" s="34"/>
      <c r="WAM96" s="60"/>
      <c r="WBB96" s="34"/>
      <c r="WBC96" s="60"/>
      <c r="WBR96" s="34"/>
      <c r="WBS96" s="60"/>
      <c r="WCH96" s="34"/>
      <c r="WCI96" s="60"/>
      <c r="WCX96" s="34"/>
      <c r="WCY96" s="60"/>
      <c r="WDN96" s="34"/>
      <c r="WDO96" s="60"/>
      <c r="WED96" s="34"/>
      <c r="WEE96" s="60"/>
      <c r="WET96" s="34"/>
      <c r="WEU96" s="60"/>
      <c r="WFJ96" s="34"/>
      <c r="WFK96" s="60"/>
      <c r="WFZ96" s="34"/>
      <c r="WGA96" s="60"/>
      <c r="WGP96" s="34"/>
      <c r="WGQ96" s="60"/>
      <c r="WHF96" s="34"/>
      <c r="WHG96" s="60"/>
      <c r="WHV96" s="34"/>
      <c r="WHW96" s="60"/>
      <c r="WIL96" s="34"/>
      <c r="WIM96" s="60"/>
      <c r="WJB96" s="34"/>
      <c r="WJC96" s="60"/>
      <c r="WJR96" s="34"/>
      <c r="WJS96" s="60"/>
      <c r="WKH96" s="34"/>
      <c r="WKI96" s="60"/>
      <c r="WKX96" s="34"/>
      <c r="WKY96" s="60"/>
      <c r="WLN96" s="34"/>
      <c r="WLO96" s="60"/>
      <c r="WMD96" s="34"/>
      <c r="WME96" s="60"/>
      <c r="WMT96" s="34"/>
      <c r="WMU96" s="60"/>
      <c r="WNJ96" s="34"/>
      <c r="WNK96" s="60"/>
      <c r="WNZ96" s="34"/>
      <c r="WOA96" s="60"/>
      <c r="WOP96" s="34"/>
      <c r="WOQ96" s="60"/>
      <c r="WPF96" s="34"/>
      <c r="WPG96" s="60"/>
      <c r="WPV96" s="34"/>
      <c r="WPW96" s="60"/>
      <c r="WQL96" s="34"/>
      <c r="WQM96" s="60"/>
      <c r="WRB96" s="34"/>
      <c r="WRC96" s="60"/>
      <c r="WRR96" s="34"/>
      <c r="WRS96" s="60"/>
      <c r="WSH96" s="34"/>
      <c r="WSI96" s="60"/>
      <c r="WSX96" s="34"/>
      <c r="WSY96" s="60"/>
      <c r="WTN96" s="34"/>
      <c r="WTO96" s="60"/>
      <c r="WUD96" s="34"/>
      <c r="WUE96" s="60"/>
      <c r="WUT96" s="34"/>
      <c r="WUU96" s="60"/>
      <c r="WVJ96" s="34"/>
      <c r="WVK96" s="60"/>
      <c r="WVZ96" s="34"/>
      <c r="WWA96" s="60"/>
      <c r="WWP96" s="34"/>
      <c r="WWQ96" s="60"/>
      <c r="WXF96" s="34"/>
      <c r="WXG96" s="60"/>
      <c r="WXV96" s="34"/>
      <c r="WXW96" s="60"/>
      <c r="WYL96" s="34"/>
      <c r="WYM96" s="60"/>
      <c r="WZB96" s="34"/>
      <c r="WZC96" s="60"/>
      <c r="WZR96" s="34"/>
      <c r="WZS96" s="60"/>
      <c r="XAH96" s="34"/>
      <c r="XAI96" s="60"/>
      <c r="XAX96" s="34"/>
      <c r="XAY96" s="60"/>
      <c r="XBN96" s="34"/>
      <c r="XBO96" s="60"/>
      <c r="XCD96" s="34"/>
      <c r="XCE96" s="60"/>
      <c r="XCT96" s="34"/>
      <c r="XCU96" s="60"/>
      <c r="XDJ96" s="34"/>
      <c r="XDK96" s="60"/>
      <c r="XDZ96" s="34"/>
      <c r="XEA96" s="60"/>
      <c r="XEP96" s="34"/>
      <c r="XEQ96" s="60"/>
    </row>
    <row r="97" spans="2:15" ht="15.75" x14ac:dyDescent="0.25">
      <c r="B97" s="205" t="s">
        <v>532</v>
      </c>
      <c r="C97" s="205"/>
      <c r="D97" s="205"/>
      <c r="E97" s="223"/>
      <c r="F97" s="223"/>
      <c r="G97" s="223"/>
      <c r="H97" s="223"/>
      <c r="I97" s="223"/>
      <c r="J97" s="223"/>
      <c r="K97" s="86"/>
    </row>
    <row r="98" spans="2:15" ht="15" x14ac:dyDescent="0.2">
      <c r="B98" s="223" t="str">
        <f>'Cover Service Sheet'!C182</f>
        <v xml:space="preserve"> </v>
      </c>
      <c r="C98" s="223"/>
      <c r="D98" s="223"/>
      <c r="E98" s="223"/>
      <c r="F98" s="223"/>
      <c r="G98" s="223"/>
      <c r="H98" s="223"/>
      <c r="I98" s="223"/>
      <c r="J98" s="223"/>
    </row>
    <row r="99" spans="2:15" ht="129" customHeight="1" x14ac:dyDescent="0.2">
      <c r="B99" s="605" t="str">
        <f>'Cover Service Sheet'!C183</f>
        <v xml:space="preserve">
</v>
      </c>
      <c r="C99" s="605"/>
      <c r="D99" s="605"/>
      <c r="E99" s="605"/>
      <c r="F99" s="605"/>
      <c r="G99" s="605"/>
      <c r="H99" s="605"/>
      <c r="I99" s="605"/>
      <c r="J99" s="605"/>
      <c r="K99" s="605"/>
      <c r="L99" s="605"/>
      <c r="M99" s="605"/>
      <c r="N99" s="605"/>
      <c r="O99" s="605"/>
    </row>
    <row r="100" spans="2:15" ht="15" x14ac:dyDescent="0.2">
      <c r="B100" s="223"/>
      <c r="C100" s="223"/>
      <c r="D100" s="223"/>
      <c r="E100" s="223"/>
      <c r="F100" s="223"/>
      <c r="G100" s="223"/>
      <c r="H100" s="223"/>
      <c r="I100" s="223"/>
      <c r="J100" s="223"/>
    </row>
    <row r="101" spans="2:15" ht="15.75" x14ac:dyDescent="0.25">
      <c r="B101" s="205" t="s">
        <v>534</v>
      </c>
      <c r="C101" s="223"/>
      <c r="D101" s="223"/>
      <c r="E101" s="223"/>
      <c r="F101" s="223"/>
      <c r="G101" s="223"/>
      <c r="H101" s="223"/>
      <c r="I101" s="223"/>
      <c r="J101" s="223"/>
    </row>
    <row r="102" spans="2:15" ht="15" x14ac:dyDescent="0.2">
      <c r="B102" s="223" t="str">
        <f>'Cover Service Sheet'!C186</f>
        <v/>
      </c>
      <c r="C102" s="223"/>
      <c r="D102" s="223"/>
      <c r="E102" s="223"/>
      <c r="F102" s="223"/>
      <c r="G102" s="223"/>
      <c r="H102" s="223"/>
      <c r="I102" s="223"/>
      <c r="J102" s="223"/>
    </row>
    <row r="103" spans="2:15" ht="141" customHeight="1" x14ac:dyDescent="0.2">
      <c r="B103" s="605">
        <f>'Cover Service Sheet'!C187</f>
        <v>0</v>
      </c>
      <c r="C103" s="605"/>
      <c r="D103" s="605"/>
      <c r="E103" s="605"/>
      <c r="F103" s="605"/>
      <c r="G103" s="605"/>
      <c r="H103" s="605"/>
      <c r="I103" s="605"/>
      <c r="J103" s="605"/>
      <c r="K103" s="605"/>
      <c r="L103" s="605"/>
      <c r="M103" s="605"/>
      <c r="N103" s="605"/>
      <c r="O103" s="605"/>
    </row>
    <row r="104" spans="2:15" ht="15" x14ac:dyDescent="0.2">
      <c r="B104" s="223"/>
      <c r="C104" s="223"/>
      <c r="D104" s="223"/>
      <c r="E104" s="223"/>
      <c r="F104" s="223"/>
      <c r="G104" s="223"/>
      <c r="H104" s="223"/>
      <c r="I104" s="223"/>
      <c r="J104" s="223"/>
    </row>
    <row r="105" spans="2:15" ht="15.75" x14ac:dyDescent="0.25">
      <c r="B105" s="205" t="s">
        <v>535</v>
      </c>
      <c r="C105" s="205"/>
      <c r="D105" s="205"/>
      <c r="E105" s="223"/>
      <c r="F105" s="223"/>
      <c r="G105" s="223"/>
      <c r="H105" s="223"/>
      <c r="I105" s="223"/>
      <c r="J105" s="223"/>
    </row>
    <row r="106" spans="2:15" ht="15" x14ac:dyDescent="0.2">
      <c r="B106" s="223" t="str">
        <f>'Cover Service Sheet'!C190</f>
        <v/>
      </c>
      <c r="C106" s="223"/>
      <c r="D106" s="223"/>
      <c r="E106" s="223"/>
      <c r="F106" s="223"/>
      <c r="G106" s="223"/>
      <c r="H106" s="223"/>
      <c r="I106" s="223"/>
      <c r="J106" s="223"/>
    </row>
    <row r="107" spans="2:15" ht="135" customHeight="1" x14ac:dyDescent="0.2">
      <c r="B107" s="605">
        <f>'Cover Service Sheet'!C191</f>
        <v>0</v>
      </c>
      <c r="C107" s="605"/>
      <c r="D107" s="605"/>
      <c r="E107" s="605"/>
      <c r="F107" s="605"/>
      <c r="G107" s="605"/>
      <c r="H107" s="605"/>
      <c r="I107" s="605"/>
      <c r="J107" s="605"/>
      <c r="K107" s="605"/>
      <c r="L107" s="605"/>
      <c r="M107" s="605"/>
      <c r="N107" s="605"/>
      <c r="O107" s="605"/>
    </row>
    <row r="108" spans="2:15" ht="44.25" customHeight="1" x14ac:dyDescent="0.2">
      <c r="B108" s="223"/>
      <c r="C108" s="223"/>
      <c r="D108" s="223"/>
      <c r="E108" s="223"/>
      <c r="F108" s="223"/>
      <c r="G108" s="223"/>
      <c r="H108" s="223"/>
      <c r="I108" s="223"/>
      <c r="J108" s="223"/>
    </row>
    <row r="109" spans="2:15" ht="15.75" hidden="1" x14ac:dyDescent="0.25">
      <c r="B109" s="205" t="s">
        <v>937</v>
      </c>
      <c r="C109" s="205"/>
      <c r="D109" s="223"/>
      <c r="E109" s="223"/>
      <c r="F109" s="223"/>
      <c r="G109" s="223"/>
      <c r="H109" s="223"/>
      <c r="I109" s="223"/>
      <c r="J109" s="223"/>
    </row>
    <row r="110" spans="2:15" ht="15" hidden="1" x14ac:dyDescent="0.2">
      <c r="B110" s="223" t="str">
        <f>'Cover Service Sheet'!C194</f>
        <v/>
      </c>
      <c r="C110" s="223"/>
      <c r="D110" s="223"/>
      <c r="E110" s="223"/>
      <c r="F110" s="223"/>
      <c r="G110" s="223"/>
      <c r="H110" s="223"/>
      <c r="I110" s="223"/>
      <c r="J110" s="223"/>
    </row>
    <row r="111" spans="2:15" ht="27.75" customHeight="1" x14ac:dyDescent="0.35">
      <c r="B111" s="224" t="s">
        <v>567</v>
      </c>
      <c r="C111" s="223"/>
      <c r="D111" s="223"/>
      <c r="E111" s="223"/>
      <c r="F111" s="223"/>
      <c r="G111" s="223"/>
      <c r="H111" s="223"/>
      <c r="I111" s="223"/>
      <c r="J111" s="223"/>
    </row>
    <row r="112" spans="2:15" ht="23.25" x14ac:dyDescent="0.35">
      <c r="B112" s="225" t="str">
        <f>'Cover Service Sheet'!Q7</f>
        <v>Please note: Where possible, all recalibrations should be booked online at the supplied booking site</v>
      </c>
      <c r="C112" s="223"/>
      <c r="D112" s="223"/>
      <c r="E112" s="223"/>
      <c r="F112" s="223"/>
      <c r="G112" s="223"/>
      <c r="H112" s="223"/>
      <c r="I112" s="223"/>
      <c r="J112" s="223"/>
    </row>
    <row r="113" spans="2:10" ht="23.25" x14ac:dyDescent="0.35">
      <c r="B113" s="225" t="str">
        <f>'Cover Service Sheet'!Q8</f>
        <v>No accessories present to return to end user</v>
      </c>
      <c r="C113" s="223"/>
      <c r="D113" s="223"/>
      <c r="E113" s="223"/>
      <c r="F113" s="223"/>
      <c r="G113" s="223"/>
      <c r="H113" s="223"/>
      <c r="I113" s="223"/>
      <c r="J113" s="223"/>
    </row>
    <row r="114" spans="2:10" ht="23.25" x14ac:dyDescent="0.35">
      <c r="B114" s="225" t="str">
        <f>'Cover Service Sheet'!Q33</f>
        <v>Exterior damage to case upon receipt</v>
      </c>
      <c r="C114" s="223"/>
      <c r="D114" s="223"/>
      <c r="E114" s="223"/>
      <c r="F114" s="223"/>
      <c r="G114" s="223"/>
      <c r="H114" s="223"/>
      <c r="I114" s="223"/>
      <c r="J114" s="223"/>
    </row>
    <row r="115" spans="2:10" ht="23.25" x14ac:dyDescent="0.35">
      <c r="B115" s="225" t="str">
        <f>'Cover Service Sheet'!Q34</f>
        <v>No cap on input test point</v>
      </c>
      <c r="C115" s="223"/>
      <c r="D115" s="223"/>
      <c r="E115" s="223"/>
      <c r="F115" s="223"/>
      <c r="G115" s="223"/>
      <c r="H115" s="223"/>
      <c r="I115" s="223"/>
      <c r="J115" s="223"/>
    </row>
    <row r="116" spans="2:10" ht="23.25" x14ac:dyDescent="0.35">
      <c r="B116" s="225" t="str">
        <f>'Cover Service Sheet'!Q35</f>
        <v>No cap on waste test point</v>
      </c>
      <c r="C116" s="223"/>
      <c r="D116" s="223"/>
      <c r="E116" s="223"/>
      <c r="F116" s="223"/>
      <c r="G116" s="223"/>
      <c r="H116" s="223"/>
      <c r="I116" s="223"/>
      <c r="J116" s="223"/>
    </row>
    <row r="117" spans="2:10" ht="23.25" x14ac:dyDescent="0.35">
      <c r="B117" s="225" t="str">
        <f>'Cover Service Sheet'!Q39</f>
        <v>The screen has been damaged and is not functioning correctly</v>
      </c>
      <c r="C117" s="223"/>
      <c r="D117" s="223"/>
      <c r="E117" s="223"/>
      <c r="F117" s="223"/>
      <c r="G117" s="223"/>
      <c r="H117" s="223"/>
      <c r="I117" s="223"/>
      <c r="J117" s="223"/>
    </row>
    <row r="118" spans="2:10" ht="23.25" x14ac:dyDescent="0.35">
      <c r="B118" s="225" t="str">
        <f>'Cover Service Sheet'!Q42</f>
        <v>Firmware was an older version and needed updating</v>
      </c>
      <c r="C118" s="223"/>
      <c r="D118" s="223"/>
      <c r="E118" s="223"/>
      <c r="F118" s="223"/>
      <c r="G118" s="223"/>
      <c r="H118" s="223"/>
      <c r="I118" s="223"/>
      <c r="J118" s="223"/>
    </row>
    <row r="119" spans="2:10" ht="23.25" x14ac:dyDescent="0.35">
      <c r="B119" s="225" t="e">
        <f>'Cover Service Sheet'!Q71</f>
        <v>#REF!</v>
      </c>
      <c r="C119" s="223"/>
      <c r="D119" s="223"/>
      <c r="E119" s="223"/>
      <c r="F119" s="223"/>
      <c r="G119" s="223"/>
      <c r="H119" s="223"/>
      <c r="I119" s="223"/>
      <c r="J119" s="223"/>
    </row>
    <row r="120" spans="2:10" ht="23.25" x14ac:dyDescent="0.35">
      <c r="B120" s="225" t="e">
        <f>'Cover Service Sheet'!#REF!</f>
        <v>#REF!</v>
      </c>
      <c r="C120" s="223"/>
      <c r="D120" s="223"/>
      <c r="E120" s="223"/>
      <c r="F120" s="223"/>
      <c r="G120" s="223"/>
      <c r="H120" s="223"/>
      <c r="I120" s="223"/>
      <c r="J120" s="223"/>
    </row>
    <row r="121" spans="2:10" ht="23.25" x14ac:dyDescent="0.35">
      <c r="B121" s="225" t="e">
        <f>'Cover Service Sheet'!#REF!</f>
        <v>#REF!</v>
      </c>
      <c r="C121" s="223"/>
      <c r="D121" s="223"/>
      <c r="E121" s="223"/>
      <c r="F121" s="223"/>
      <c r="G121" s="223"/>
      <c r="H121" s="223"/>
      <c r="I121" s="223"/>
      <c r="J121" s="223"/>
    </row>
    <row r="122" spans="2:10" ht="23.25" x14ac:dyDescent="0.35">
      <c r="B122" s="225" t="e">
        <f>'Cover Service Sheet'!#REF!</f>
        <v>#REF!</v>
      </c>
      <c r="C122" s="223"/>
      <c r="D122" s="223"/>
      <c r="E122" s="223"/>
      <c r="F122" s="223"/>
      <c r="G122" s="223"/>
      <c r="H122" s="223"/>
      <c r="I122" s="223"/>
      <c r="J122" s="223"/>
    </row>
    <row r="123" spans="2:10" ht="23.25" x14ac:dyDescent="0.35">
      <c r="B123" s="225" t="str">
        <f>'Cover Service Sheet'!Q77</f>
        <v>Sensor array assembly passed initial inspection</v>
      </c>
      <c r="C123" s="223"/>
      <c r="D123" s="223"/>
      <c r="E123" s="223"/>
      <c r="F123" s="223"/>
      <c r="G123" s="223"/>
      <c r="H123" s="223"/>
      <c r="I123" s="223"/>
      <c r="J123" s="223"/>
    </row>
    <row r="124" spans="2:10" ht="23.25" x14ac:dyDescent="0.35">
      <c r="B124" s="225" t="str">
        <f>'Cover Service Sheet'!Q80</f>
        <v>Initial light source check, output within specification PASS</v>
      </c>
      <c r="C124" s="223"/>
      <c r="D124" s="223"/>
      <c r="E124" s="223"/>
      <c r="F124" s="223"/>
      <c r="G124" s="223"/>
      <c r="H124" s="223"/>
      <c r="I124" s="223"/>
      <c r="J124" s="223"/>
    </row>
    <row r="125" spans="2:10" ht="23.25" x14ac:dyDescent="0.35">
      <c r="B125" s="225" t="str">
        <f>'Cover Service Sheet'!Q81</f>
        <v>Initial Light source electrical noise output within specification PASS</v>
      </c>
      <c r="C125" s="223"/>
      <c r="D125" s="223"/>
      <c r="E125" s="223"/>
      <c r="F125" s="223"/>
      <c r="G125" s="223"/>
      <c r="H125" s="223"/>
      <c r="I125" s="223"/>
      <c r="J125" s="223"/>
    </row>
    <row r="126" spans="2:10" ht="23.25" x14ac:dyDescent="0.35">
      <c r="B126" s="225">
        <f>'Cover Service Sheet'!Q83</f>
        <v>0</v>
      </c>
      <c r="C126" s="223"/>
      <c r="D126" s="223"/>
      <c r="E126" s="223"/>
      <c r="F126" s="223"/>
      <c r="G126" s="223"/>
      <c r="H126" s="223"/>
      <c r="I126" s="223"/>
      <c r="J126" s="223"/>
    </row>
    <row r="127" spans="2:10" ht="23.25" x14ac:dyDescent="0.35">
      <c r="B127" s="225">
        <f>'Cover Service Sheet'!Q84</f>
        <v>0</v>
      </c>
      <c r="C127" s="223"/>
      <c r="D127" s="223"/>
      <c r="E127" s="223"/>
      <c r="F127" s="223"/>
      <c r="G127" s="223"/>
      <c r="H127" s="223"/>
      <c r="I127" s="223"/>
      <c r="J127" s="223"/>
    </row>
    <row r="128" spans="2:10" ht="23.25" x14ac:dyDescent="0.35">
      <c r="B128" s="225"/>
      <c r="C128" s="223"/>
      <c r="D128" s="223"/>
      <c r="E128" s="223"/>
      <c r="F128" s="223"/>
      <c r="G128" s="223"/>
      <c r="H128" s="223"/>
      <c r="I128" s="223"/>
      <c r="J128" s="223"/>
    </row>
    <row r="129" spans="2:10" ht="23.25" x14ac:dyDescent="0.35">
      <c r="B129" s="224" t="s">
        <v>938</v>
      </c>
      <c r="C129" s="223"/>
      <c r="D129" s="223"/>
      <c r="E129" s="223"/>
      <c r="F129" s="223"/>
      <c r="G129" s="223"/>
      <c r="H129" s="223"/>
      <c r="I129" s="223"/>
      <c r="J129" s="223"/>
    </row>
    <row r="130" spans="2:10" ht="23.25" x14ac:dyDescent="0.35">
      <c r="B130" s="225" t="e">
        <f>'Cover Service Sheet'!#REF!</f>
        <v>#REF!</v>
      </c>
      <c r="C130" s="223"/>
      <c r="D130" s="223"/>
      <c r="E130" s="223"/>
      <c r="F130" s="223"/>
      <c r="G130" s="223"/>
      <c r="H130" s="223"/>
      <c r="I130" s="223"/>
      <c r="J130" s="223"/>
    </row>
    <row r="131" spans="2:10" ht="23.25" x14ac:dyDescent="0.35">
      <c r="B131" s="225" t="e">
        <f>'Cover Service Sheet'!#REF!</f>
        <v>#REF!</v>
      </c>
      <c r="C131" s="223"/>
      <c r="D131" s="223"/>
      <c r="E131" s="223"/>
      <c r="F131" s="223"/>
      <c r="G131" s="223"/>
      <c r="H131" s="223"/>
      <c r="I131" s="223"/>
      <c r="J131" s="223"/>
    </row>
    <row r="132" spans="2:10" ht="23.25" x14ac:dyDescent="0.35">
      <c r="B132" s="225" t="e">
        <f>'Cover Service Sheet'!#REF!</f>
        <v>#REF!</v>
      </c>
      <c r="C132" s="223"/>
      <c r="D132" s="223"/>
      <c r="E132" s="223"/>
      <c r="F132" s="223"/>
      <c r="G132" s="223"/>
      <c r="H132" s="223"/>
      <c r="I132" s="223"/>
      <c r="J132" s="223"/>
    </row>
    <row r="133" spans="2:10" ht="23.25" x14ac:dyDescent="0.35">
      <c r="B133" s="225" t="str">
        <f>'Cover Service Sheet'!Q95</f>
        <v>Battery terminal cables of current design</v>
      </c>
      <c r="C133" s="223"/>
      <c r="D133" s="223"/>
      <c r="E133" s="223"/>
      <c r="F133" s="223"/>
      <c r="G133" s="223"/>
      <c r="H133" s="223"/>
      <c r="I133" s="223"/>
      <c r="J133" s="223"/>
    </row>
    <row r="134" spans="2:10" ht="23.25" x14ac:dyDescent="0.35">
      <c r="B134" s="225" t="str">
        <f>'Cover Service Sheet'!Q97</f>
        <v>Battery not secure in brackets, needed to be refurbished</v>
      </c>
      <c r="C134" s="223"/>
      <c r="D134" s="223"/>
      <c r="E134" s="223"/>
      <c r="F134" s="223"/>
      <c r="G134" s="223"/>
      <c r="H134" s="223"/>
      <c r="I134" s="223"/>
      <c r="J134" s="223"/>
    </row>
    <row r="135" spans="2:10" ht="23.25" x14ac:dyDescent="0.35">
      <c r="B135" s="225" t="e">
        <f>'Cover Service Sheet'!#REF!</f>
        <v>#REF!</v>
      </c>
      <c r="C135" s="223"/>
      <c r="D135" s="223"/>
      <c r="E135" s="223"/>
      <c r="F135" s="223"/>
      <c r="G135" s="223"/>
      <c r="H135" s="223"/>
      <c r="I135" s="223"/>
      <c r="J135" s="223"/>
    </row>
    <row r="136" spans="2:10" ht="23.25" x14ac:dyDescent="0.35">
      <c r="B136" s="225">
        <f>'Cover Service Sheet'!Q99</f>
        <v>0</v>
      </c>
      <c r="C136" s="223"/>
      <c r="D136" s="223"/>
      <c r="E136" s="223"/>
      <c r="F136" s="223"/>
      <c r="G136" s="223"/>
      <c r="H136" s="223"/>
      <c r="I136" s="223"/>
      <c r="J136" s="223"/>
    </row>
    <row r="137" spans="2:10" ht="23.25" x14ac:dyDescent="0.35">
      <c r="B137" s="225" t="e">
        <f>'Cover Service Sheet'!#REF!</f>
        <v>#REF!</v>
      </c>
      <c r="C137" s="223"/>
      <c r="D137" s="223"/>
      <c r="E137" s="223"/>
      <c r="F137" s="223"/>
      <c r="G137" s="223"/>
      <c r="H137" s="223"/>
      <c r="I137" s="223"/>
      <c r="J137" s="223"/>
    </row>
    <row r="138" spans="2:10" ht="23.25" x14ac:dyDescent="0.35">
      <c r="B138" s="225" t="str">
        <f>'Cover Service Sheet'!Q100</f>
        <v>High pressure seal integrity test failure, unit requires rework</v>
      </c>
      <c r="C138" s="223"/>
      <c r="D138" s="223"/>
      <c r="E138" s="223"/>
      <c r="F138" s="223"/>
      <c r="G138" s="223"/>
      <c r="H138" s="223"/>
      <c r="I138" s="223"/>
      <c r="J138" s="223"/>
    </row>
    <row r="139" spans="2:10" ht="23.25" x14ac:dyDescent="0.35">
      <c r="B139" s="225"/>
      <c r="C139" s="223"/>
      <c r="D139" s="223"/>
      <c r="E139" s="223"/>
      <c r="F139" s="223"/>
      <c r="G139" s="223"/>
      <c r="H139" s="223"/>
      <c r="I139" s="223"/>
      <c r="J139" s="223"/>
    </row>
    <row r="140" spans="2:10" ht="23.25" x14ac:dyDescent="0.35">
      <c r="B140" s="224" t="s">
        <v>939</v>
      </c>
      <c r="C140" s="223"/>
      <c r="D140" s="223"/>
      <c r="E140" s="223"/>
      <c r="F140" s="223"/>
      <c r="G140" s="223"/>
      <c r="H140" s="223"/>
      <c r="I140" s="223"/>
      <c r="J140" s="223"/>
    </row>
    <row r="141" spans="2:10" ht="23.25" x14ac:dyDescent="0.35">
      <c r="B141" s="225" t="str">
        <f>'Cover Service Sheet'!Q108</f>
        <v xml:space="preserve"> </v>
      </c>
      <c r="C141" s="223"/>
      <c r="D141" s="223"/>
      <c r="E141" s="223"/>
      <c r="F141" s="223"/>
      <c r="G141" s="223"/>
      <c r="H141" s="223"/>
      <c r="I141" s="223"/>
      <c r="J141" s="223"/>
    </row>
    <row r="142" spans="2:10" ht="23.25" x14ac:dyDescent="0.35">
      <c r="B142" s="225" t="str">
        <f>'Cover Service Sheet'!Q116</f>
        <v xml:space="preserve">Thresholds on certificate do not match those programmed in unit </v>
      </c>
      <c r="C142" s="223"/>
      <c r="D142" s="223"/>
      <c r="E142" s="223"/>
      <c r="F142" s="223"/>
      <c r="G142" s="223"/>
      <c r="H142" s="223"/>
      <c r="I142" s="223"/>
      <c r="J142" s="223"/>
    </row>
    <row r="143" spans="2:10" ht="23.25" x14ac:dyDescent="0.35">
      <c r="B143" s="225" t="str">
        <f>'Cover Service Sheet'!Q148</f>
        <v/>
      </c>
      <c r="C143" s="223"/>
      <c r="D143" s="223"/>
      <c r="E143" s="223"/>
      <c r="F143" s="223"/>
      <c r="G143" s="223"/>
      <c r="H143" s="223"/>
      <c r="I143" s="223"/>
      <c r="J143" s="223"/>
    </row>
    <row r="144" spans="2:10" ht="23.25" x14ac:dyDescent="0.35">
      <c r="B144" s="225" t="str">
        <f>'Cover Service Sheet'!Q154</f>
        <v/>
      </c>
      <c r="C144" s="223"/>
      <c r="D144" s="223"/>
      <c r="E144" s="223"/>
      <c r="F144" s="223"/>
      <c r="G144" s="223"/>
      <c r="H144" s="223"/>
      <c r="I144" s="223"/>
      <c r="J144" s="223"/>
    </row>
    <row r="145" spans="2:10" ht="23.25" x14ac:dyDescent="0.35">
      <c r="B145" s="225" t="str">
        <f>'Cover Service Sheet'!Q157</f>
        <v>LANGUAGE NOT CORRECT</v>
      </c>
      <c r="C145" s="223"/>
      <c r="D145" s="223"/>
      <c r="E145" s="223"/>
      <c r="F145" s="223"/>
      <c r="G145" s="223"/>
      <c r="H145" s="223"/>
      <c r="I145" s="223"/>
      <c r="J145" s="223"/>
    </row>
    <row r="146" spans="2:10" ht="23.25" x14ac:dyDescent="0.35">
      <c r="B146" s="225" t="str">
        <f>'Cover Service Sheet'!Q162</f>
        <v/>
      </c>
      <c r="C146" s="223"/>
      <c r="D146" s="223"/>
      <c r="E146" s="223"/>
      <c r="F146" s="223"/>
      <c r="G146" s="223"/>
      <c r="H146" s="223"/>
      <c r="I146" s="223"/>
      <c r="J146" s="223"/>
    </row>
    <row r="147" spans="2:10" ht="23.25" x14ac:dyDescent="0.35">
      <c r="B147" s="225"/>
      <c r="C147" s="223"/>
      <c r="D147" s="223"/>
      <c r="E147" s="223"/>
      <c r="F147" s="223"/>
      <c r="G147" s="223"/>
      <c r="H147" s="223"/>
      <c r="I147" s="223"/>
      <c r="J147" s="223"/>
    </row>
    <row r="148" spans="2:10" ht="23.25" x14ac:dyDescent="0.35">
      <c r="B148" s="225"/>
      <c r="C148" s="223"/>
      <c r="D148" s="223"/>
      <c r="E148" s="223"/>
      <c r="F148" s="223"/>
      <c r="G148" s="223"/>
      <c r="H148" s="223"/>
      <c r="I148" s="223"/>
      <c r="J148" s="223"/>
    </row>
    <row r="149" spans="2:10" ht="15" x14ac:dyDescent="0.2">
      <c r="B149" s="223"/>
      <c r="C149" s="223"/>
      <c r="D149" s="223"/>
      <c r="E149" s="223"/>
      <c r="F149" s="223"/>
      <c r="G149" s="223"/>
      <c r="H149" s="223"/>
      <c r="I149" s="223"/>
      <c r="J149" s="223"/>
    </row>
    <row r="150" spans="2:10" ht="15" x14ac:dyDescent="0.2">
      <c r="B150" s="223"/>
      <c r="C150" s="223"/>
      <c r="D150" s="223"/>
      <c r="E150" s="223"/>
      <c r="F150" s="223"/>
      <c r="G150" s="223"/>
      <c r="H150" s="223"/>
      <c r="I150" s="223"/>
      <c r="J150" s="223"/>
    </row>
    <row r="151" spans="2:10" ht="15.75" x14ac:dyDescent="0.25">
      <c r="B151" s="205" t="s">
        <v>537</v>
      </c>
      <c r="C151" s="205"/>
      <c r="D151" s="223" t="str">
        <f>'Cover Service Sheet'!D166</f>
        <v>-</v>
      </c>
      <c r="E151" s="223"/>
      <c r="F151" s="223"/>
      <c r="G151" s="223"/>
      <c r="H151" s="223"/>
      <c r="I151" s="223"/>
      <c r="J151" s="223"/>
    </row>
    <row r="152" spans="2:10" ht="15.75" x14ac:dyDescent="0.25">
      <c r="B152" s="205" t="s">
        <v>538</v>
      </c>
      <c r="C152" s="223"/>
      <c r="D152" s="226">
        <f>'Cover Service Sheet'!D111</f>
        <v>0</v>
      </c>
      <c r="E152" s="223"/>
      <c r="F152" s="223"/>
      <c r="G152" s="223"/>
      <c r="H152" s="223"/>
      <c r="I152" s="223"/>
      <c r="J152" s="223"/>
    </row>
    <row r="153" spans="2:10" ht="15" x14ac:dyDescent="0.2">
      <c r="B153" s="223"/>
      <c r="C153" s="223"/>
      <c r="D153" s="223"/>
      <c r="E153" s="223"/>
      <c r="F153" s="223"/>
      <c r="G153" s="223"/>
      <c r="H153" s="223"/>
      <c r="I153" s="223"/>
      <c r="J153" s="223"/>
    </row>
    <row r="154" spans="2:10" ht="15" x14ac:dyDescent="0.2">
      <c r="E154" s="223"/>
      <c r="F154" s="223"/>
      <c r="G154" s="223"/>
      <c r="H154" s="223"/>
      <c r="I154" s="223"/>
      <c r="J154" s="223"/>
    </row>
    <row r="155" spans="2:10" ht="15" x14ac:dyDescent="0.2">
      <c r="E155" s="223"/>
      <c r="F155" s="223"/>
      <c r="G155" s="223"/>
      <c r="H155" s="223"/>
      <c r="I155" s="223"/>
      <c r="J155" s="223"/>
    </row>
  </sheetData>
  <sheetProtection formatColumns="0"/>
  <mergeCells count="49">
    <mergeCell ref="B107:O107"/>
    <mergeCell ref="K72:O75"/>
    <mergeCell ref="D74:G74"/>
    <mergeCell ref="D76:F76"/>
    <mergeCell ref="L76:O76"/>
    <mergeCell ref="B99:O99"/>
    <mergeCell ref="B103:O103"/>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26:E26"/>
    <mergeCell ref="F26:G26"/>
    <mergeCell ref="H26:I26"/>
    <mergeCell ref="D27:E27"/>
    <mergeCell ref="F27:G27"/>
    <mergeCell ref="H27:I27"/>
    <mergeCell ref="D19:F19"/>
    <mergeCell ref="B10:P10"/>
    <mergeCell ref="B13:O13"/>
    <mergeCell ref="B14:O14"/>
    <mergeCell ref="D17:F17"/>
    <mergeCell ref="D18:F18"/>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171450</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171450</xdr:colOff>
                <xdr:row>95</xdr:row>
                <xdr:rowOff>66675</xdr:rowOff>
              </to>
            </anchor>
          </objectPr>
        </oleObject>
      </mc:Choice>
      <mc:Fallback>
        <oleObject progId="Paint.Picture" shapeId="307202" r:id="rId1031"/>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E1E72-4487-4EDB-8CE5-C237895509A7}">
  <dimension ref="A1:H38"/>
  <sheetViews>
    <sheetView showGridLines="0" zoomScale="85" zoomScaleNormal="85" workbookViewId="0">
      <selection activeCell="G19" sqref="G19:H27"/>
    </sheetView>
  </sheetViews>
  <sheetFormatPr defaultColWidth="8.7109375" defaultRowHeight="15" x14ac:dyDescent="0.25"/>
  <cols>
    <col min="1" max="1" width="10" style="257" customWidth="1"/>
    <col min="2" max="2" width="22" style="257" customWidth="1"/>
    <col min="3" max="3" width="18" style="257" customWidth="1"/>
    <col min="4" max="4" width="4" style="257" customWidth="1"/>
    <col min="5" max="5" width="24" style="257" customWidth="1"/>
    <col min="6" max="6" width="18" style="257" customWidth="1"/>
    <col min="7" max="7" width="16" style="257" customWidth="1"/>
    <col min="8" max="8" width="14" style="257" customWidth="1"/>
    <col min="9" max="16384" width="8.7109375" style="257"/>
  </cols>
  <sheetData>
    <row r="1" spans="1:8" ht="21.75" customHeight="1" x14ac:dyDescent="0.25">
      <c r="A1" s="640" t="s">
        <v>1008</v>
      </c>
      <c r="B1" s="640"/>
      <c r="C1" s="640"/>
      <c r="D1" s="640"/>
      <c r="E1" s="640"/>
      <c r="F1" s="640"/>
      <c r="G1" s="640"/>
      <c r="H1" s="640"/>
    </row>
    <row r="3" spans="1:8" ht="19.5" customHeight="1" x14ac:dyDescent="0.25">
      <c r="A3" s="479" t="s">
        <v>1009</v>
      </c>
      <c r="B3" s="447" t="s">
        <v>1010</v>
      </c>
      <c r="C3" s="448" t="str">
        <f>VLOOKUP("product",AUTO!$A$1:$B$1051,2,FALSE)</f>
        <v>LPA3 NAVAIR</v>
      </c>
      <c r="D3" s="449"/>
      <c r="E3" s="447" t="s">
        <v>538</v>
      </c>
      <c r="F3" s="450"/>
      <c r="G3" s="450"/>
      <c r="H3" s="451">
        <f>VLOOKUP("date_",AUTO!$A$1:$B$1051,2,FALSE)</f>
        <v>46191.5</v>
      </c>
    </row>
    <row r="4" spans="1:8" ht="19.5" customHeight="1" x14ac:dyDescent="0.25">
      <c r="A4" s="479"/>
      <c r="B4" s="447" t="s">
        <v>543</v>
      </c>
      <c r="C4" s="448">
        <f>VLOOKUP("serial_number",AUTO!$A$1:$B$1051,2,FALSE)</f>
        <v>63010079</v>
      </c>
      <c r="D4" s="449"/>
      <c r="E4" s="447" t="s">
        <v>1011</v>
      </c>
      <c r="F4" s="450"/>
      <c r="G4" s="450"/>
      <c r="H4" s="450" t="s">
        <v>1012</v>
      </c>
    </row>
    <row r="5" spans="1:8" ht="19.5" customHeight="1" x14ac:dyDescent="0.25">
      <c r="A5" s="479"/>
      <c r="B5" s="447" t="s">
        <v>1010</v>
      </c>
      <c r="C5" s="448" t="str">
        <f>VLOOKUP("product",AUTO!$A$1:$B$1051,2,FALSE)</f>
        <v>LPA3 NAVAIR</v>
      </c>
      <c r="D5" s="449"/>
      <c r="E5" s="452" t="s">
        <v>1013</v>
      </c>
      <c r="F5" s="450"/>
      <c r="G5" s="450"/>
      <c r="H5" s="450" t="s">
        <v>1014</v>
      </c>
    </row>
    <row r="6" spans="1:8" ht="19.5" customHeight="1" x14ac:dyDescent="0.25">
      <c r="A6" s="479"/>
      <c r="B6" s="447" t="s">
        <v>543</v>
      </c>
      <c r="C6" s="448">
        <f>VLOOKUP("serial_number",AUTO!$A$1:$B$1051,2,FALSE)</f>
        <v>63010079</v>
      </c>
      <c r="D6" s="449"/>
      <c r="E6" s="452" t="s">
        <v>1015</v>
      </c>
      <c r="F6" s="450"/>
      <c r="G6" s="450"/>
      <c r="H6" s="450" t="s">
        <v>1016</v>
      </c>
    </row>
    <row r="7" spans="1:8" ht="19.5" customHeight="1" x14ac:dyDescent="0.25">
      <c r="A7" s="467" t="s">
        <v>1017</v>
      </c>
      <c r="B7" s="467"/>
      <c r="C7" s="448">
        <f>VLOOKUP("no_noise_threshold",AUTO!$A$1:$B$1051,2,FALSE)</f>
        <v>32</v>
      </c>
      <c r="D7" s="449"/>
      <c r="E7" s="452" t="s">
        <v>1018</v>
      </c>
      <c r="F7" s="450"/>
      <c r="G7" s="450">
        <v>20000</v>
      </c>
      <c r="H7" s="447" t="s">
        <v>1019</v>
      </c>
    </row>
    <row r="8" spans="1:8" ht="19.5" customHeight="1" x14ac:dyDescent="0.25">
      <c r="A8" s="467" t="s">
        <v>1020</v>
      </c>
      <c r="B8" s="467"/>
      <c r="C8" s="448">
        <f>VLOOKUP("sample_volume_ml",AUTO!$A$1:$B$1051,2,FALSE)</f>
        <v>50</v>
      </c>
      <c r="D8" s="449"/>
      <c r="E8" s="447" t="s">
        <v>1021</v>
      </c>
      <c r="F8" s="450"/>
      <c r="G8" s="450">
        <v>30</v>
      </c>
      <c r="H8" s="447" t="s">
        <v>1022</v>
      </c>
    </row>
    <row r="9" spans="1:8" ht="19.5" customHeight="1" x14ac:dyDescent="0.25">
      <c r="A9" s="467" t="s">
        <v>1023</v>
      </c>
      <c r="B9" s="467"/>
      <c r="C9" s="258">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0</v>
      </c>
      <c r="D9" s="449"/>
      <c r="E9" s="447" t="s">
        <v>1024</v>
      </c>
      <c r="F9" s="450"/>
      <c r="G9" s="450">
        <v>30</v>
      </c>
      <c r="H9" s="447" t="s">
        <v>1022</v>
      </c>
    </row>
    <row r="10" spans="1:8" ht="18" customHeight="1" x14ac:dyDescent="0.25">
      <c r="A10" s="472" t="s">
        <v>1025</v>
      </c>
      <c r="B10" s="472"/>
      <c r="C10" s="472"/>
      <c r="D10" s="472"/>
      <c r="E10" s="472"/>
      <c r="F10" s="472"/>
      <c r="G10" s="472"/>
      <c r="H10" s="472"/>
    </row>
    <row r="11" spans="1:8" ht="19.5" customHeight="1" x14ac:dyDescent="0.25">
      <c r="A11" s="446" t="s">
        <v>1026</v>
      </c>
      <c r="B11" s="641">
        <v>0.5</v>
      </c>
      <c r="C11" s="641"/>
      <c r="D11" s="446" t="s">
        <v>1027</v>
      </c>
      <c r="E11" s="446" t="s">
        <v>1028</v>
      </c>
      <c r="F11" s="641">
        <v>2.7</v>
      </c>
      <c r="G11" s="641"/>
      <c r="H11" s="446" t="s">
        <v>1029</v>
      </c>
    </row>
    <row r="12" spans="1:8" ht="19.5" customHeight="1" x14ac:dyDescent="0.25">
      <c r="A12" s="446" t="s">
        <v>1030</v>
      </c>
      <c r="B12" s="641">
        <v>0.6</v>
      </c>
      <c r="C12" s="641"/>
      <c r="D12" s="446" t="s">
        <v>1027</v>
      </c>
      <c r="E12" s="446" t="s">
        <v>1031</v>
      </c>
      <c r="F12" s="641">
        <v>8.3000000000000007</v>
      </c>
      <c r="G12" s="641"/>
      <c r="H12" s="446" t="s">
        <v>1029</v>
      </c>
    </row>
    <row r="13" spans="1:8" ht="19.5" customHeight="1" x14ac:dyDescent="0.25">
      <c r="A13" s="446" t="s">
        <v>1032</v>
      </c>
      <c r="B13" s="641">
        <v>10.199999999999999</v>
      </c>
      <c r="C13" s="641"/>
      <c r="D13" s="446" t="s">
        <v>1027</v>
      </c>
      <c r="E13" s="446" t="s">
        <v>1033</v>
      </c>
      <c r="F13" s="641">
        <v>8.3000000000000007</v>
      </c>
      <c r="G13" s="641"/>
      <c r="H13" s="446" t="s">
        <v>1029</v>
      </c>
    </row>
    <row r="16" spans="1:8" ht="30" customHeight="1" x14ac:dyDescent="0.25">
      <c r="A16" s="465" t="s">
        <v>1034</v>
      </c>
      <c r="B16" s="465"/>
      <c r="C16" s="465"/>
      <c r="E16" s="465" t="s">
        <v>1035</v>
      </c>
      <c r="F16" s="465"/>
      <c r="G16" s="465"/>
      <c r="H16" s="465"/>
    </row>
    <row r="17" spans="1:8" ht="42" customHeight="1" x14ac:dyDescent="0.25">
      <c r="A17" s="453" t="s">
        <v>898</v>
      </c>
      <c r="B17" s="453" t="s">
        <v>1036</v>
      </c>
      <c r="C17" s="453" t="s">
        <v>1037</v>
      </c>
      <c r="E17" s="453" t="s">
        <v>898</v>
      </c>
      <c r="F17" s="453" t="s">
        <v>1038</v>
      </c>
      <c r="G17" s="465" t="s">
        <v>1039</v>
      </c>
      <c r="H17" s="465"/>
    </row>
    <row r="18" spans="1:8" ht="18" customHeight="1" x14ac:dyDescent="0.25">
      <c r="A18" s="454" t="s">
        <v>1040</v>
      </c>
      <c r="B18" s="454" t="s">
        <v>1041</v>
      </c>
      <c r="C18" s="454" t="s">
        <v>1041</v>
      </c>
      <c r="E18" s="454" t="s">
        <v>1040</v>
      </c>
      <c r="F18" s="454" t="s">
        <v>1041</v>
      </c>
      <c r="G18" s="462" t="s">
        <v>1042</v>
      </c>
      <c r="H18" s="462"/>
    </row>
    <row r="19" spans="1:8" ht="18" customHeight="1" x14ac:dyDescent="0.25">
      <c r="A19" s="448">
        <f>VLOOKUP("threshold32_0_sz",AUTO!$A$1:$B$1051,2,FALSE)</f>
        <v>4</v>
      </c>
      <c r="B19" s="448">
        <f>VLOOKUP("reference_count_0",AUTO!$A$1:$B$1051,2,FALSE)</f>
        <v>1056340</v>
      </c>
      <c r="C19" s="455">
        <f>'Auto-Calibration record'!$I$68</f>
        <v>1066968</v>
      </c>
      <c r="E19" s="448">
        <f>VLOOKUP("threshold32_0_sz",AUTO!$A$1:$B$1051,2,FALSE)</f>
        <v>4</v>
      </c>
      <c r="F19" s="448">
        <f>VLOOKUP("reference_count_0",AUTO!$A$1:$B$1051,2,FALSE)</f>
        <v>1056340</v>
      </c>
      <c r="G19" s="460">
        <f>VLOOKUP("threshold32_0_value",AUTO!$A$1:$B$1051,2,FALSE)</f>
        <v>78</v>
      </c>
      <c r="H19" s="461">
        <f>VLOOKUP("threshold32_0_sz",AUTO!$A$1:$B$1051,2,FALSE)</f>
        <v>4</v>
      </c>
    </row>
    <row r="20" spans="1:8" ht="18" customHeight="1" x14ac:dyDescent="0.25">
      <c r="A20" s="448">
        <f>VLOOKUP("threshold32_2_sz",AUTO!$A$1:$B$1051,2,FALSE)</f>
        <v>6</v>
      </c>
      <c r="B20" s="448">
        <f>VLOOKUP("reference_count_1",AUTO!$A$1:$B$1051,2,FALSE)</f>
        <v>459350</v>
      </c>
      <c r="C20" s="455">
        <f>'Auto-Calibration record'!$I$69</f>
        <v>465752</v>
      </c>
      <c r="E20" s="448">
        <f>VLOOKUP("threshold32_2_sz",AUTO!$A$1:$B$1051,2,FALSE)</f>
        <v>6</v>
      </c>
      <c r="F20" s="448">
        <f>VLOOKUP("reference_count_1",AUTO!$A$1:$B$1051,2,FALSE)</f>
        <v>459350</v>
      </c>
      <c r="G20" s="460">
        <f>VLOOKUP("threshold32_2_value",AUTO!$A$1:$B$1051,2,FALSE)</f>
        <v>188</v>
      </c>
      <c r="H20" s="461">
        <f>VLOOKUP("threshold32_2_sz",AUTO!$A$1:$B$1051,2,FALSE)</f>
        <v>6</v>
      </c>
    </row>
    <row r="21" spans="1:8" ht="18" customHeight="1" x14ac:dyDescent="0.25">
      <c r="A21" s="448">
        <f>VLOOKUP("threshold32_6_sz",AUTO!$A$1:$B$1051,2,FALSE)</f>
        <v>10</v>
      </c>
      <c r="B21" s="448">
        <f>VLOOKUP("reference_count32_6",AUTO!$A$1:$B$1051,2,FALSE)*100</f>
        <v>106950</v>
      </c>
      <c r="C21" s="455">
        <f>'Auto-Calibration record'!$I$70</f>
        <v>109065.00000000001</v>
      </c>
      <c r="E21" s="448">
        <f>VLOOKUP("threshold32_6_sz",AUTO!$A$1:$B$1051,2,FALSE)</f>
        <v>10</v>
      </c>
      <c r="F21" s="448">
        <f>VLOOKUP("reference_count32_6",AUTO!$A$1:$B$1051,2,FALSE)*100</f>
        <v>106950</v>
      </c>
      <c r="G21" s="460">
        <f>VLOOKUP("threshold32_6_value",AUTO!$A$1:$B$1051,2,FALSE)</f>
        <v>530</v>
      </c>
      <c r="H21" s="461">
        <f>VLOOKUP("threshold32_6_sz",AUTO!$A$1:$B$1051,2,FALSE)</f>
        <v>10</v>
      </c>
    </row>
    <row r="22" spans="1:8" ht="18" customHeight="1" x14ac:dyDescent="0.25">
      <c r="A22" s="448">
        <f>VLOOKUP("threshold32_10_sz",AUTO!$A$1:$B$1051,2,FALSE)</f>
        <v>14</v>
      </c>
      <c r="B22" s="448">
        <f>VLOOKUP("reference_count_2",AUTO!$A$1:$B$1051,2,FALSE)</f>
        <v>36410</v>
      </c>
      <c r="C22" s="455">
        <f>'Auto-Calibration record'!$I$71</f>
        <v>37095</v>
      </c>
      <c r="E22" s="448">
        <f>VLOOKUP("threshold32_10_sz",AUTO!$A$1:$B$1051,2,FALSE)</f>
        <v>14</v>
      </c>
      <c r="F22" s="448">
        <f>VLOOKUP("reference_count_2",AUTO!$A$1:$B$1051,2,FALSE)</f>
        <v>36410</v>
      </c>
      <c r="G22" s="460">
        <f>VLOOKUP("threshold32_10_value",AUTO!$A$1:$B$1051,2,FALSE)</f>
        <v>1018</v>
      </c>
      <c r="H22" s="461">
        <f>VLOOKUP("threshold32_10_sz",AUTO!$A$1:$B$1051,2,FALSE)</f>
        <v>14</v>
      </c>
    </row>
    <row r="23" spans="1:8" ht="18" customHeight="1" x14ac:dyDescent="0.25">
      <c r="A23" s="448">
        <f>VLOOKUP("threshold32_17_sz",AUTO!$A$1:$B$1051,2,FALSE)</f>
        <v>21</v>
      </c>
      <c r="B23" s="448">
        <f>VLOOKUP("reference_count_3",AUTO!$A$1:$B$1051,2,FALSE)</f>
        <v>10940</v>
      </c>
      <c r="C23" s="455">
        <f>'Auto-Calibration record'!$I$72</f>
        <v>11283</v>
      </c>
      <c r="E23" s="448">
        <f>VLOOKUP("threshold32_17_sz",AUTO!$A$1:$B$1051,2,FALSE)</f>
        <v>21</v>
      </c>
      <c r="F23" s="448">
        <f>VLOOKUP("reference_count_3",AUTO!$A$1:$B$1051,2,FALSE)</f>
        <v>10940</v>
      </c>
      <c r="G23" s="460">
        <f>VLOOKUP("threshold32_17_value",AUTO!$A$1:$B$1051,2,FALSE)</f>
        <v>2074</v>
      </c>
      <c r="H23" s="461">
        <f>VLOOKUP("threshold32_17_sz",AUTO!$A$1:$B$1051,2,FALSE)</f>
        <v>21</v>
      </c>
    </row>
    <row r="24" spans="1:8" ht="18" customHeight="1" x14ac:dyDescent="0.25">
      <c r="A24" s="448">
        <f>VLOOKUP("threshold32_21_sz",AUTO!$A$1:$B$1051,2,FALSE)</f>
        <v>25</v>
      </c>
      <c r="B24" s="448">
        <f>VLOOKUP("reference_count_4",AUTO!$A$1:$B$1051,2,FALSE)</f>
        <v>5210</v>
      </c>
      <c r="C24" s="455">
        <f>'Auto-Calibration record'!$I$73</f>
        <v>5545</v>
      </c>
      <c r="E24" s="448">
        <f>VLOOKUP("threshold32_21_sz",AUTO!$A$1:$B$1051,2,FALSE)</f>
        <v>25</v>
      </c>
      <c r="F24" s="448">
        <f>VLOOKUP("reference_count_4",AUTO!$A$1:$B$1051,2,FALSE)</f>
        <v>5210</v>
      </c>
      <c r="G24" s="460">
        <f>VLOOKUP("threshold32_21_value",AUTO!$A$1:$B$1051,2,FALSE)</f>
        <v>2990</v>
      </c>
      <c r="H24" s="461">
        <f>VLOOKUP("threshold32_21_sz",AUTO!$A$1:$B$1051,2,FALSE)</f>
        <v>25</v>
      </c>
    </row>
    <row r="25" spans="1:8" ht="18" customHeight="1" x14ac:dyDescent="0.25">
      <c r="A25" s="448">
        <f>VLOOKUP("threshold32_27_sz",AUTO!$A$1:$B$1051,2,FALSE)</f>
        <v>38</v>
      </c>
      <c r="B25" s="448">
        <f>VLOOKUP("reference_count_5",AUTO!$A$1:$B$1051,2,FALSE)</f>
        <v>611.721</v>
      </c>
      <c r="C25" s="455">
        <f>'Auto-Calibration record'!$I$74</f>
        <v>731</v>
      </c>
      <c r="E25" s="448">
        <f>VLOOKUP("threshold32_27_sz",AUTO!$A$1:$B$1051,2,FALSE)</f>
        <v>38</v>
      </c>
      <c r="F25" s="448">
        <f>VLOOKUP("reference_count_5",AUTO!$A$1:$B$1051,2,FALSE)</f>
        <v>611.721</v>
      </c>
      <c r="G25" s="460">
        <f>VLOOKUP("threshold32_27_value",AUTO!$A$1:$B$1051,2,FALSE)</f>
        <v>10008</v>
      </c>
      <c r="H25" s="461">
        <f>VLOOKUP("threshold32_27_sz",AUTO!$A$1:$B$1051,2,FALSE)</f>
        <v>38</v>
      </c>
    </row>
    <row r="26" spans="1:8" ht="18" customHeight="1" x14ac:dyDescent="0.25">
      <c r="A26" s="448">
        <f>VLOOKUP("threshold32_28_sz",AUTO!$A$1:$B$1051,2,FALSE)</f>
        <v>50</v>
      </c>
      <c r="B26" s="448">
        <f>VLOOKUP("reference_count_6",AUTO!$A$1:$B$1051,2,FALSE)</f>
        <v>145.303</v>
      </c>
      <c r="C26" s="455">
        <f>'Auto-Calibration record'!$I$75</f>
        <v>150</v>
      </c>
      <c r="E26" s="448">
        <f>VLOOKUP("threshold32_28_sz",AUTO!$A$1:$B$1051,2,FALSE)</f>
        <v>50</v>
      </c>
      <c r="F26" s="448">
        <f>VLOOKUP("reference_count_6",AUTO!$A$1:$B$1051,2,FALSE)</f>
        <v>145.303</v>
      </c>
      <c r="G26" s="460">
        <f>VLOOKUP("threshold32_28_value",AUTO!$A$1:$B$1051,2,FALSE)</f>
        <v>16418</v>
      </c>
      <c r="H26" s="461">
        <f>VLOOKUP("threshold32_28_sz",AUTO!$A$1:$B$1051,2,FALSE)</f>
        <v>50</v>
      </c>
    </row>
    <row r="27" spans="1:8" ht="18" customHeight="1" x14ac:dyDescent="0.25">
      <c r="A27" s="448">
        <f>VLOOKUP("threshold32_29_sz",AUTO!$A$1:$B$1051,2,FALSE)</f>
        <v>70</v>
      </c>
      <c r="B27" s="448">
        <f>VLOOKUP("reference_count_7",AUTO!$A$1:$B$1051,2,FALSE)</f>
        <v>24.939</v>
      </c>
      <c r="C27" s="455">
        <f>'Auto-Calibration record'!$I$76</f>
        <v>14</v>
      </c>
      <c r="E27" s="448">
        <f>VLOOKUP("threshold32_29_sz",AUTO!$A$1:$B$1051,2,FALSE)</f>
        <v>70</v>
      </c>
      <c r="F27" s="448">
        <f>VLOOKUP("reference_count_7",AUTO!$A$1:$B$1051,2,FALSE)</f>
        <v>24.939</v>
      </c>
      <c r="G27" s="460">
        <f>VLOOKUP("threshold32_29_value",AUTO!$A$1:$B$1051,2,FALSE)</f>
        <v>24602</v>
      </c>
      <c r="H27" s="461">
        <f>VLOOKUP("threshold32_29_sz",AUTO!$A$1:$B$1051,2,FALSE)</f>
        <v>70</v>
      </c>
    </row>
    <row r="28" spans="1:8" ht="18" customHeight="1" x14ac:dyDescent="0.25">
      <c r="A28" s="448"/>
      <c r="B28" s="448"/>
      <c r="C28" s="448"/>
      <c r="E28" s="448"/>
      <c r="F28" s="448"/>
      <c r="G28" s="457"/>
      <c r="H28" s="457"/>
    </row>
    <row r="29" spans="1:8" ht="18" customHeight="1" x14ac:dyDescent="0.25">
      <c r="A29" s="448"/>
      <c r="B29" s="448"/>
      <c r="C29" s="448"/>
      <c r="E29" s="448"/>
      <c r="F29" s="448"/>
      <c r="G29" s="457"/>
      <c r="H29" s="457"/>
    </row>
    <row r="30" spans="1:8" ht="18" customHeight="1" x14ac:dyDescent="0.25">
      <c r="A30" s="448"/>
      <c r="B30" s="448"/>
      <c r="C30" s="448"/>
      <c r="E30" s="448"/>
      <c r="F30" s="448"/>
      <c r="G30" s="457"/>
      <c r="H30" s="457"/>
    </row>
    <row r="31" spans="1:8" ht="18" customHeight="1" x14ac:dyDescent="0.25">
      <c r="A31" s="448"/>
      <c r="B31" s="448"/>
      <c r="C31" s="448"/>
      <c r="E31" s="448"/>
      <c r="F31" s="448"/>
      <c r="G31" s="457"/>
      <c r="H31" s="457"/>
    </row>
    <row r="32" spans="1:8" ht="18" customHeight="1" x14ac:dyDescent="0.25">
      <c r="A32" s="448"/>
      <c r="B32" s="448"/>
      <c r="C32" s="448"/>
      <c r="E32" s="448"/>
      <c r="F32" s="448"/>
      <c r="G32" s="457"/>
      <c r="H32" s="457"/>
    </row>
    <row r="33" spans="1:8" ht="18" customHeight="1" x14ac:dyDescent="0.25">
      <c r="A33" s="448"/>
      <c r="B33" s="448"/>
      <c r="C33" s="448"/>
      <c r="E33" s="448"/>
      <c r="F33" s="448"/>
      <c r="G33" s="457"/>
      <c r="H33" s="457"/>
    </row>
    <row r="34" spans="1:8" ht="18" customHeight="1" x14ac:dyDescent="0.25">
      <c r="A34" s="448"/>
      <c r="B34" s="448"/>
      <c r="C34" s="448"/>
      <c r="E34" s="448"/>
      <c r="F34" s="448"/>
      <c r="G34" s="457"/>
      <c r="H34" s="457"/>
    </row>
    <row r="35" spans="1:8" ht="18" customHeight="1" x14ac:dyDescent="0.25">
      <c r="A35" s="448"/>
      <c r="B35" s="448"/>
      <c r="C35" s="448"/>
      <c r="E35" s="448"/>
      <c r="F35" s="448"/>
      <c r="G35" s="457"/>
      <c r="H35" s="457"/>
    </row>
    <row r="36" spans="1:8" ht="18" customHeight="1" x14ac:dyDescent="0.25">
      <c r="A36" s="448"/>
      <c r="B36" s="448"/>
      <c r="C36" s="448"/>
      <c r="E36" s="448"/>
      <c r="F36" s="448"/>
      <c r="G36" s="457"/>
      <c r="H36" s="457"/>
    </row>
    <row r="37" spans="1:8" ht="18" customHeight="1" x14ac:dyDescent="0.25">
      <c r="A37" s="448"/>
      <c r="B37" s="448"/>
      <c r="C37" s="448"/>
      <c r="E37" s="448"/>
      <c r="F37" s="448"/>
      <c r="G37" s="457"/>
      <c r="H37" s="457"/>
    </row>
    <row r="38" spans="1:8" ht="18" customHeight="1" x14ac:dyDescent="0.25">
      <c r="A38" s="448"/>
      <c r="B38" s="448"/>
      <c r="C38" s="448"/>
      <c r="E38" s="448"/>
      <c r="F38" s="448"/>
      <c r="G38" s="457"/>
      <c r="H38" s="457"/>
    </row>
  </sheetData>
  <mergeCells count="36">
    <mergeCell ref="G38:H38"/>
    <mergeCell ref="G27:H27"/>
    <mergeCell ref="G28:H28"/>
    <mergeCell ref="G29:H29"/>
    <mergeCell ref="G30:H30"/>
    <mergeCell ref="G31:H31"/>
    <mergeCell ref="G32:H32"/>
    <mergeCell ref="G33:H33"/>
    <mergeCell ref="G34:H34"/>
    <mergeCell ref="G35:H35"/>
    <mergeCell ref="G36:H36"/>
    <mergeCell ref="G37:H37"/>
    <mergeCell ref="G26:H26"/>
    <mergeCell ref="A16:C16"/>
    <mergeCell ref="E16:H16"/>
    <mergeCell ref="G17:H17"/>
    <mergeCell ref="G18:H18"/>
    <mergeCell ref="G19:H19"/>
    <mergeCell ref="G20:H20"/>
    <mergeCell ref="G21:H21"/>
    <mergeCell ref="G22:H22"/>
    <mergeCell ref="G23:H23"/>
    <mergeCell ref="G24:H24"/>
    <mergeCell ref="G25:H25"/>
    <mergeCell ref="B11:C11"/>
    <mergeCell ref="F11:G11"/>
    <mergeCell ref="B12:C12"/>
    <mergeCell ref="F12:G12"/>
    <mergeCell ref="B13:C13"/>
    <mergeCell ref="F13:G13"/>
    <mergeCell ref="A10:H10"/>
    <mergeCell ref="A1:H1"/>
    <mergeCell ref="A3:A6"/>
    <mergeCell ref="A7:B7"/>
    <mergeCell ref="A8:B8"/>
    <mergeCell ref="A9:B9"/>
  </mergeCells>
  <pageMargins left="0.75" right="0.75" top="1" bottom="1" header="0.511811023622047" footer="0.511811023622047"/>
  <pageSetup paperSize="9"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FD88C-2968-44D4-80B9-8259FF3D97FF}">
  <sheetPr>
    <pageSetUpPr fitToPage="1"/>
  </sheetPr>
  <dimension ref="B2:R53"/>
  <sheetViews>
    <sheetView showGridLines="0" tabSelected="1" zoomScale="90" zoomScaleNormal="90" workbookViewId="0">
      <selection activeCell="D27" sqref="D27"/>
    </sheetView>
  </sheetViews>
  <sheetFormatPr defaultColWidth="9" defaultRowHeight="15" x14ac:dyDescent="0.25"/>
  <cols>
    <col min="1" max="1" width="3.7109375" style="262" customWidth="1"/>
    <col min="2" max="2" width="3.140625" style="262" customWidth="1"/>
    <col min="3" max="3" width="10" style="262" customWidth="1"/>
    <col min="4" max="4" width="16.7109375" style="262" customWidth="1"/>
    <col min="5" max="5" width="25.7109375" style="262" customWidth="1"/>
    <col min="6" max="6" width="4" style="262" customWidth="1"/>
    <col min="7" max="7" width="10" style="262" customWidth="1"/>
    <col min="8" max="8" width="25.7109375" style="262" customWidth="1"/>
    <col min="9" max="9" width="10.140625" style="262" customWidth="1"/>
    <col min="10" max="10" width="10.85546875" style="262" customWidth="1"/>
    <col min="11" max="11" width="3.140625" style="262" customWidth="1"/>
    <col min="12" max="16384" width="9" style="262"/>
  </cols>
  <sheetData>
    <row r="2" spans="2:18" x14ac:dyDescent="0.25">
      <c r="B2" s="259"/>
      <c r="C2" s="260"/>
      <c r="D2" s="260"/>
      <c r="E2" s="260"/>
      <c r="F2" s="260"/>
      <c r="G2" s="260"/>
      <c r="H2" s="260"/>
      <c r="I2" s="260"/>
      <c r="J2" s="260"/>
      <c r="K2" s="261"/>
    </row>
    <row r="3" spans="2:18" x14ac:dyDescent="0.25">
      <c r="B3" s="263"/>
      <c r="C3" s="262" t="s">
        <v>879</v>
      </c>
      <c r="K3" s="264"/>
    </row>
    <row r="4" spans="2:18" x14ac:dyDescent="0.25">
      <c r="B4" s="263"/>
      <c r="C4" s="262" t="s">
        <v>1043</v>
      </c>
      <c r="K4" s="264"/>
    </row>
    <row r="5" spans="2:18" x14ac:dyDescent="0.25">
      <c r="B5" s="263"/>
      <c r="C5" s="262" t="s">
        <v>881</v>
      </c>
      <c r="K5" s="264"/>
    </row>
    <row r="6" spans="2:18" x14ac:dyDescent="0.25">
      <c r="B6" s="263"/>
      <c r="C6" s="262" t="s">
        <v>882</v>
      </c>
      <c r="K6" s="264"/>
    </row>
    <row r="7" spans="2:18" x14ac:dyDescent="0.25">
      <c r="B7" s="263"/>
      <c r="C7" s="262" t="s">
        <v>883</v>
      </c>
      <c r="K7" s="264"/>
    </row>
    <row r="8" spans="2:18" x14ac:dyDescent="0.25">
      <c r="B8" s="263"/>
      <c r="C8" s="265" t="s">
        <v>1044</v>
      </c>
      <c r="K8" s="264"/>
    </row>
    <row r="9" spans="2:18" x14ac:dyDescent="0.25">
      <c r="B9" s="263"/>
      <c r="K9" s="264"/>
    </row>
    <row r="10" spans="2:18" ht="18.399999999999999" customHeight="1" x14ac:dyDescent="0.25">
      <c r="B10" s="263"/>
      <c r="C10" s="473" t="s">
        <v>1008</v>
      </c>
      <c r="D10" s="474"/>
      <c r="E10" s="474"/>
      <c r="F10" s="474"/>
      <c r="G10" s="474"/>
      <c r="H10" s="474"/>
      <c r="I10" s="474"/>
      <c r="J10" s="475"/>
      <c r="K10" s="264"/>
    </row>
    <row r="11" spans="2:18" ht="14.65" customHeight="1" x14ac:dyDescent="0.25">
      <c r="B11" s="263"/>
      <c r="C11" s="476"/>
      <c r="D11" s="477"/>
      <c r="E11" s="477"/>
      <c r="F11" s="477"/>
      <c r="G11" s="477"/>
      <c r="H11" s="477"/>
      <c r="I11" s="477"/>
      <c r="J11" s="478"/>
      <c r="K11" s="264"/>
    </row>
    <row r="12" spans="2:18" ht="14.65" customHeight="1" x14ac:dyDescent="0.25">
      <c r="B12" s="263"/>
      <c r="C12" s="479" t="s">
        <v>1009</v>
      </c>
      <c r="D12" s="447" t="s">
        <v>1010</v>
      </c>
      <c r="E12" s="448" t="str">
        <f>VLOOKUP("product",AUTO!$A$1:$B$1051,2,FALSE)</f>
        <v>LPA3 NAVAIR</v>
      </c>
      <c r="F12" s="449"/>
      <c r="G12" s="470" t="s">
        <v>538</v>
      </c>
      <c r="H12" s="471"/>
      <c r="I12" s="480">
        <v>46147.7</v>
      </c>
      <c r="J12" s="481"/>
      <c r="K12" s="264"/>
    </row>
    <row r="13" spans="2:18" x14ac:dyDescent="0.25">
      <c r="B13" s="263"/>
      <c r="C13" s="479"/>
      <c r="D13" s="447" t="s">
        <v>543</v>
      </c>
      <c r="E13" s="448">
        <f>VLOOKUP("serial_number",AUTO!$A$1:$B$1051,2,FALSE)</f>
        <v>63010079</v>
      </c>
      <c r="F13" s="449"/>
      <c r="G13" s="470" t="s">
        <v>1011</v>
      </c>
      <c r="H13" s="471"/>
      <c r="I13" s="482" t="s">
        <v>1045</v>
      </c>
      <c r="J13" s="483"/>
      <c r="K13" s="264"/>
    </row>
    <row r="14" spans="2:18" ht="14.65" customHeight="1" x14ac:dyDescent="0.25">
      <c r="B14" s="263"/>
      <c r="C14" s="479"/>
      <c r="D14" s="447" t="s">
        <v>1010</v>
      </c>
      <c r="E14" s="448" t="str">
        <f>VLOOKUP("product",AUTO!$A$1:$B$1051,2,FALSE)</f>
        <v>LPA3 NAVAIR</v>
      </c>
      <c r="F14" s="449"/>
      <c r="G14" s="468" t="s">
        <v>1013</v>
      </c>
      <c r="H14" s="469"/>
      <c r="I14" s="482" t="s">
        <v>1014</v>
      </c>
      <c r="J14" s="483"/>
      <c r="K14" s="264"/>
    </row>
    <row r="15" spans="2:18" ht="14.65" customHeight="1" x14ac:dyDescent="0.25">
      <c r="B15" s="263"/>
      <c r="C15" s="479"/>
      <c r="D15" s="447" t="s">
        <v>543</v>
      </c>
      <c r="E15" s="448">
        <f>VLOOKUP("serial_number",AUTO!$A$1:$B$1051,2,FALSE)</f>
        <v>63010079</v>
      </c>
      <c r="F15" s="449"/>
      <c r="G15" s="468" t="s">
        <v>1015</v>
      </c>
      <c r="H15" s="469"/>
      <c r="I15" s="482" t="s">
        <v>1046</v>
      </c>
      <c r="J15" s="483"/>
      <c r="K15" s="264"/>
      <c r="P15" s="266"/>
      <c r="Q15" s="466"/>
      <c r="R15" s="466"/>
    </row>
    <row r="16" spans="2:18" ht="15.4" customHeight="1" x14ac:dyDescent="0.25">
      <c r="B16" s="263"/>
      <c r="C16" s="467" t="s">
        <v>1017</v>
      </c>
      <c r="D16" s="467"/>
      <c r="E16" s="448">
        <f>VLOOKUP("no_noise_threshold",AUTO!$A$1:$B$1051,2,FALSE)</f>
        <v>32</v>
      </c>
      <c r="F16" s="449"/>
      <c r="G16" s="468" t="s">
        <v>1018</v>
      </c>
      <c r="H16" s="469"/>
      <c r="I16" s="450">
        <v>30000</v>
      </c>
      <c r="J16" s="447" t="s">
        <v>1019</v>
      </c>
      <c r="K16" s="264"/>
      <c r="P16" s="267"/>
      <c r="Q16" s="464"/>
      <c r="R16" s="464"/>
    </row>
    <row r="17" spans="2:18" ht="14.65" customHeight="1" x14ac:dyDescent="0.25">
      <c r="B17" s="263"/>
      <c r="C17" s="467" t="s">
        <v>1020</v>
      </c>
      <c r="D17" s="467"/>
      <c r="E17" s="448">
        <f>VLOOKUP("sample_volume_ml",AUTO!$A$1:$B$1051,2,FALSE)</f>
        <v>50</v>
      </c>
      <c r="F17" s="449"/>
      <c r="G17" s="470" t="s">
        <v>1021</v>
      </c>
      <c r="H17" s="471"/>
      <c r="I17" s="450">
        <v>30</v>
      </c>
      <c r="J17" s="447" t="s">
        <v>1022</v>
      </c>
      <c r="K17" s="264"/>
      <c r="P17" s="267"/>
      <c r="Q17" s="464"/>
      <c r="R17" s="464"/>
    </row>
    <row r="18" spans="2:18" ht="14.65" customHeight="1" x14ac:dyDescent="0.25">
      <c r="B18" s="263"/>
      <c r="C18" s="467" t="s">
        <v>1023</v>
      </c>
      <c r="D18" s="467"/>
      <c r="E18" s="258">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0</v>
      </c>
      <c r="F18" s="449"/>
      <c r="G18" s="470" t="s">
        <v>1024</v>
      </c>
      <c r="H18" s="471"/>
      <c r="I18" s="450">
        <v>30</v>
      </c>
      <c r="J18" s="447" t="s">
        <v>1022</v>
      </c>
      <c r="K18" s="264"/>
      <c r="P18" s="267"/>
      <c r="Q18" s="464"/>
      <c r="R18" s="464"/>
    </row>
    <row r="19" spans="2:18" ht="14.65" customHeight="1" x14ac:dyDescent="0.25">
      <c r="B19" s="263"/>
      <c r="C19" s="472" t="s">
        <v>1025</v>
      </c>
      <c r="D19" s="472"/>
      <c r="E19" s="472"/>
      <c r="F19" s="472"/>
      <c r="G19" s="472"/>
      <c r="H19" s="472"/>
      <c r="I19" s="472"/>
      <c r="J19" s="472"/>
      <c r="K19" s="264"/>
      <c r="P19" s="267"/>
      <c r="Q19" s="464"/>
      <c r="R19" s="464"/>
    </row>
    <row r="20" spans="2:18" x14ac:dyDescent="0.25">
      <c r="B20" s="263"/>
      <c r="C20" s="446" t="s">
        <v>1026</v>
      </c>
      <c r="D20" s="463">
        <v>0.5</v>
      </c>
      <c r="E20" s="463"/>
      <c r="F20" s="446" t="s">
        <v>1027</v>
      </c>
      <c r="G20" s="446" t="s">
        <v>1028</v>
      </c>
      <c r="H20" s="463">
        <v>2.7</v>
      </c>
      <c r="I20" s="463"/>
      <c r="J20" s="446" t="s">
        <v>1029</v>
      </c>
      <c r="K20" s="264"/>
      <c r="P20" s="267"/>
      <c r="Q20" s="464"/>
      <c r="R20" s="464"/>
    </row>
    <row r="21" spans="2:18" x14ac:dyDescent="0.25">
      <c r="B21" s="263"/>
      <c r="C21" s="446" t="s">
        <v>1030</v>
      </c>
      <c r="D21" s="463">
        <v>0.6</v>
      </c>
      <c r="E21" s="463"/>
      <c r="F21" s="446" t="s">
        <v>1027</v>
      </c>
      <c r="G21" s="446" t="s">
        <v>1031</v>
      </c>
      <c r="H21" s="463">
        <v>8.3000000000000007</v>
      </c>
      <c r="I21" s="463"/>
      <c r="J21" s="446" t="s">
        <v>1029</v>
      </c>
      <c r="K21" s="264"/>
      <c r="P21" s="267"/>
      <c r="Q21" s="464"/>
      <c r="R21" s="464"/>
    </row>
    <row r="22" spans="2:18" x14ac:dyDescent="0.25">
      <c r="B22" s="263"/>
      <c r="C22" s="446" t="s">
        <v>1032</v>
      </c>
      <c r="D22" s="463">
        <v>10.199999999999999</v>
      </c>
      <c r="E22" s="463"/>
      <c r="F22" s="446" t="s">
        <v>1027</v>
      </c>
      <c r="G22" s="446" t="s">
        <v>1033</v>
      </c>
      <c r="H22" s="463">
        <v>8.3000000000000007</v>
      </c>
      <c r="I22" s="463"/>
      <c r="J22" s="446" t="s">
        <v>1029</v>
      </c>
      <c r="K22" s="264"/>
      <c r="P22" s="267"/>
      <c r="Q22" s="464"/>
      <c r="R22" s="464"/>
    </row>
    <row r="23" spans="2:18" ht="14.1" customHeight="1" x14ac:dyDescent="0.25">
      <c r="B23" s="263"/>
      <c r="C23" s="257"/>
      <c r="D23" s="257"/>
      <c r="E23" s="257"/>
      <c r="F23" s="257"/>
      <c r="G23" s="257"/>
      <c r="H23" s="257"/>
      <c r="I23" s="257"/>
      <c r="J23" s="257"/>
      <c r="K23" s="264"/>
      <c r="P23" s="267"/>
      <c r="Q23" s="464"/>
      <c r="R23" s="464"/>
    </row>
    <row r="24" spans="2:18" ht="14.65" customHeight="1" x14ac:dyDescent="0.25">
      <c r="B24" s="263"/>
      <c r="C24" s="465" t="s">
        <v>1034</v>
      </c>
      <c r="D24" s="465"/>
      <c r="E24" s="465"/>
      <c r="F24" s="257"/>
      <c r="G24" s="465" t="s">
        <v>1035</v>
      </c>
      <c r="H24" s="465"/>
      <c r="I24" s="465"/>
      <c r="J24" s="465"/>
      <c r="K24" s="264"/>
      <c r="P24" s="267"/>
      <c r="Q24" s="464"/>
      <c r="R24" s="464"/>
    </row>
    <row r="25" spans="2:18" ht="30" x14ac:dyDescent="0.25">
      <c r="B25" s="263"/>
      <c r="C25" s="453" t="s">
        <v>898</v>
      </c>
      <c r="D25" s="453" t="s">
        <v>1036</v>
      </c>
      <c r="E25" s="453" t="s">
        <v>1037</v>
      </c>
      <c r="F25" s="257"/>
      <c r="G25" s="453" t="s">
        <v>898</v>
      </c>
      <c r="H25" s="453" t="s">
        <v>1038</v>
      </c>
      <c r="I25" s="465" t="s">
        <v>1039</v>
      </c>
      <c r="J25" s="465"/>
      <c r="K25" s="264"/>
    </row>
    <row r="26" spans="2:18" x14ac:dyDescent="0.25">
      <c r="B26" s="263"/>
      <c r="C26" s="454" t="s">
        <v>1040</v>
      </c>
      <c r="D26" s="454" t="s">
        <v>1041</v>
      </c>
      <c r="E26" s="454" t="s">
        <v>1041</v>
      </c>
      <c r="F26" s="257"/>
      <c r="G26" s="454" t="s">
        <v>1040</v>
      </c>
      <c r="H26" s="454" t="s">
        <v>1041</v>
      </c>
      <c r="I26" s="462" t="s">
        <v>1042</v>
      </c>
      <c r="J26" s="462"/>
      <c r="K26" s="264"/>
    </row>
    <row r="27" spans="2:18" x14ac:dyDescent="0.25">
      <c r="B27" s="263"/>
      <c r="C27" s="448">
        <f>VLOOKUP("threshold32_0_sz",AUTO!$A$1:$B$1051,2,FALSE)</f>
        <v>4</v>
      </c>
      <c r="D27" s="448">
        <f>VLOOKUP("reference_count_0",AUTO!$A$1:$B$1051,2,FALSE)/100</f>
        <v>10563.4</v>
      </c>
      <c r="E27" s="456">
        <f>1095753/100</f>
        <v>10957.53</v>
      </c>
      <c r="F27" s="257"/>
      <c r="G27" s="448">
        <f>C27</f>
        <v>4</v>
      </c>
      <c r="H27" s="448">
        <f>D27</f>
        <v>10563.4</v>
      </c>
      <c r="I27" s="460">
        <f>VLOOKUP("threshold32_0_value",AUTO!$A$1:$B$1051,2,FALSE)</f>
        <v>78</v>
      </c>
      <c r="J27" s="461">
        <f>VLOOKUP("threshold32_0_sz",AUTO!$A$1:$B$1051,2,FALSE)</f>
        <v>4</v>
      </c>
      <c r="K27" s="264"/>
    </row>
    <row r="28" spans="2:18" x14ac:dyDescent="0.25">
      <c r="B28" s="263"/>
      <c r="C28" s="448">
        <f>VLOOKUP("threshold32_2_sz",AUTO!$A$1:$B$1051,2,FALSE)</f>
        <v>6</v>
      </c>
      <c r="D28" s="448">
        <f>VLOOKUP("reference_count_1",AUTO!$A$1:$B$1051,2,FALSE)/100</f>
        <v>4593.5</v>
      </c>
      <c r="E28" s="456">
        <f>463914/100</f>
        <v>4639.1400000000003</v>
      </c>
      <c r="F28" s="257"/>
      <c r="G28" s="448">
        <f t="shared" ref="G28:H35" si="0">C28</f>
        <v>6</v>
      </c>
      <c r="H28" s="448">
        <f t="shared" si="0"/>
        <v>4593.5</v>
      </c>
      <c r="I28" s="460">
        <f>VLOOKUP("threshold32_2_value",AUTO!$A$1:$B$1051,2,FALSE)</f>
        <v>188</v>
      </c>
      <c r="J28" s="461">
        <f>VLOOKUP("threshold32_2_sz",AUTO!$A$1:$B$1051,2,FALSE)</f>
        <v>6</v>
      </c>
      <c r="K28" s="264"/>
    </row>
    <row r="29" spans="2:18" x14ac:dyDescent="0.25">
      <c r="B29" s="263"/>
      <c r="C29" s="448">
        <f>VLOOKUP("threshold32_6_sz",AUTO!$A$1:$B$1051,2,FALSE)</f>
        <v>10</v>
      </c>
      <c r="D29" s="448">
        <f>VLOOKUP("reference_count32_6",AUTO!$A$1:$B$1051,2,FALSE)</f>
        <v>1069.5</v>
      </c>
      <c r="E29" s="456">
        <f>107953/100</f>
        <v>1079.53</v>
      </c>
      <c r="F29" s="257"/>
      <c r="G29" s="448">
        <f t="shared" si="0"/>
        <v>10</v>
      </c>
      <c r="H29" s="448">
        <f t="shared" si="0"/>
        <v>1069.5</v>
      </c>
      <c r="I29" s="460">
        <f>VLOOKUP("threshold32_6_value",AUTO!$A$1:$B$1051,2,FALSE)</f>
        <v>530</v>
      </c>
      <c r="J29" s="461">
        <f>VLOOKUP("threshold32_6_sz",AUTO!$A$1:$B$1051,2,FALSE)</f>
        <v>10</v>
      </c>
      <c r="K29" s="264"/>
    </row>
    <row r="30" spans="2:18" x14ac:dyDescent="0.25">
      <c r="B30" s="263"/>
      <c r="C30" s="448">
        <f>VLOOKUP("threshold32_10_sz",AUTO!$A$1:$B$1051,2,FALSE)</f>
        <v>14</v>
      </c>
      <c r="D30" s="448">
        <f>VLOOKUP("reference_count_2",AUTO!$A$1:$B$1051,2,FALSE)/100</f>
        <v>364.1</v>
      </c>
      <c r="E30" s="456">
        <f>35860/100</f>
        <v>358.6</v>
      </c>
      <c r="F30" s="257"/>
      <c r="G30" s="448">
        <f t="shared" si="0"/>
        <v>14</v>
      </c>
      <c r="H30" s="448">
        <f t="shared" si="0"/>
        <v>364.1</v>
      </c>
      <c r="I30" s="460">
        <f>VLOOKUP("threshold32_10_value",AUTO!$A$1:$B$1051,2,FALSE)</f>
        <v>1018</v>
      </c>
      <c r="J30" s="461">
        <f>VLOOKUP("threshold32_10_sz",AUTO!$A$1:$B$1051,2,FALSE)</f>
        <v>14</v>
      </c>
      <c r="K30" s="264"/>
    </row>
    <row r="31" spans="2:18" x14ac:dyDescent="0.25">
      <c r="B31" s="263"/>
      <c r="C31" s="448">
        <f>VLOOKUP("threshold32_17_sz",AUTO!$A$1:$B$1051,2,FALSE)</f>
        <v>21</v>
      </c>
      <c r="D31" s="448">
        <f>VLOOKUP("reference_count_3",AUTO!$A$1:$B$1051,2,FALSE)/100</f>
        <v>109.4</v>
      </c>
      <c r="E31" s="456">
        <f>10524/100</f>
        <v>105.24</v>
      </c>
      <c r="F31" s="257"/>
      <c r="G31" s="448">
        <f t="shared" si="0"/>
        <v>21</v>
      </c>
      <c r="H31" s="448">
        <f t="shared" si="0"/>
        <v>109.4</v>
      </c>
      <c r="I31" s="460">
        <f>VLOOKUP("threshold32_17_value",AUTO!$A$1:$B$1051,2,FALSE)</f>
        <v>2074</v>
      </c>
      <c r="J31" s="461">
        <f>VLOOKUP("threshold32_17_sz",AUTO!$A$1:$B$1051,2,FALSE)</f>
        <v>21</v>
      </c>
      <c r="K31" s="264"/>
    </row>
    <row r="32" spans="2:18" x14ac:dyDescent="0.25">
      <c r="B32" s="263"/>
      <c r="C32" s="448">
        <f>VLOOKUP("threshold32_21_sz",AUTO!$A$1:$B$1051,2,FALSE)</f>
        <v>25</v>
      </c>
      <c r="D32" s="448">
        <f>VLOOKUP("reference_count_4",AUTO!$A$1:$B$1051,2,FALSE)/100</f>
        <v>52.1</v>
      </c>
      <c r="E32" s="456">
        <f>4913/100</f>
        <v>49.13</v>
      </c>
      <c r="F32" s="257"/>
      <c r="G32" s="448">
        <f t="shared" si="0"/>
        <v>25</v>
      </c>
      <c r="H32" s="448">
        <f t="shared" si="0"/>
        <v>52.1</v>
      </c>
      <c r="I32" s="460">
        <f>VLOOKUP("threshold32_21_value",AUTO!$A$1:$B$1051,2,FALSE)</f>
        <v>2990</v>
      </c>
      <c r="J32" s="461">
        <f>VLOOKUP("threshold32_21_sz",AUTO!$A$1:$B$1051,2,FALSE)</f>
        <v>25</v>
      </c>
      <c r="K32" s="264"/>
    </row>
    <row r="33" spans="2:11" x14ac:dyDescent="0.25">
      <c r="B33" s="263"/>
      <c r="C33" s="448">
        <f>VLOOKUP("threshold32_27_sz",AUTO!$A$1:$B$1051,2,FALSE)</f>
        <v>38</v>
      </c>
      <c r="D33" s="448" t="s">
        <v>321</v>
      </c>
      <c r="E33" s="456">
        <f>292/100</f>
        <v>2.92</v>
      </c>
      <c r="F33" s="257"/>
      <c r="G33" s="448">
        <f t="shared" si="0"/>
        <v>38</v>
      </c>
      <c r="H33" s="448" t="str">
        <f t="shared" si="0"/>
        <v>-</v>
      </c>
      <c r="I33" s="460">
        <f>VLOOKUP("threshold32_27_value",AUTO!$A$1:$B$1051,2,FALSE)</f>
        <v>10008</v>
      </c>
      <c r="J33" s="461">
        <f>VLOOKUP("threshold32_27_sz",AUTO!$A$1:$B$1051,2,FALSE)</f>
        <v>38</v>
      </c>
      <c r="K33" s="264"/>
    </row>
    <row r="34" spans="2:11" x14ac:dyDescent="0.25">
      <c r="B34" s="263"/>
      <c r="C34" s="448">
        <f>VLOOKUP("threshold32_28_sz",AUTO!$A$1:$B$1051,2,FALSE)</f>
        <v>50</v>
      </c>
      <c r="D34" s="448" t="s">
        <v>321</v>
      </c>
      <c r="E34" s="456">
        <f>71/100</f>
        <v>0.71</v>
      </c>
      <c r="F34" s="257"/>
      <c r="G34" s="448">
        <f t="shared" si="0"/>
        <v>50</v>
      </c>
      <c r="H34" s="448" t="str">
        <f t="shared" si="0"/>
        <v>-</v>
      </c>
      <c r="I34" s="460">
        <f>VLOOKUP("threshold32_28_value",AUTO!$A$1:$B$1051,2,FALSE)</f>
        <v>16418</v>
      </c>
      <c r="J34" s="461">
        <f>VLOOKUP("threshold32_28_sz",AUTO!$A$1:$B$1051,2,FALSE)</f>
        <v>50</v>
      </c>
      <c r="K34" s="264"/>
    </row>
    <row r="35" spans="2:11" x14ac:dyDescent="0.25">
      <c r="B35" s="263"/>
      <c r="C35" s="448">
        <f>VLOOKUP("threshold32_29_sz",AUTO!$A$1:$B$1051,2,FALSE)</f>
        <v>70</v>
      </c>
      <c r="D35" s="448" t="s">
        <v>321</v>
      </c>
      <c r="E35" s="456">
        <f>11/100</f>
        <v>0.11</v>
      </c>
      <c r="F35" s="257"/>
      <c r="G35" s="448">
        <f t="shared" si="0"/>
        <v>70</v>
      </c>
      <c r="H35" s="448" t="str">
        <f t="shared" si="0"/>
        <v>-</v>
      </c>
      <c r="I35" s="460">
        <f>VLOOKUP("threshold32_29_value",AUTO!$A$1:$B$1051,2,FALSE)</f>
        <v>24602</v>
      </c>
      <c r="J35" s="461">
        <f>VLOOKUP("threshold32_29_sz",AUTO!$A$1:$B$1051,2,FALSE)</f>
        <v>70</v>
      </c>
      <c r="K35" s="264"/>
    </row>
    <row r="36" spans="2:11" x14ac:dyDescent="0.25">
      <c r="B36" s="263"/>
      <c r="C36" s="448"/>
      <c r="D36" s="448"/>
      <c r="E36" s="448"/>
      <c r="F36" s="257"/>
      <c r="G36" s="448"/>
      <c r="H36" s="448"/>
      <c r="I36" s="457"/>
      <c r="J36" s="457"/>
      <c r="K36" s="264"/>
    </row>
    <row r="37" spans="2:11" x14ac:dyDescent="0.25">
      <c r="B37" s="263"/>
      <c r="C37" s="448"/>
      <c r="D37" s="448"/>
      <c r="E37" s="448"/>
      <c r="F37" s="257"/>
      <c r="G37" s="448"/>
      <c r="H37" s="448"/>
      <c r="I37" s="457"/>
      <c r="J37" s="457"/>
      <c r="K37" s="264"/>
    </row>
    <row r="38" spans="2:11" x14ac:dyDescent="0.25">
      <c r="B38" s="263"/>
      <c r="C38" s="448"/>
      <c r="D38" s="448"/>
      <c r="E38" s="448"/>
      <c r="F38" s="257"/>
      <c r="G38" s="448"/>
      <c r="H38" s="448"/>
      <c r="I38" s="457"/>
      <c r="J38" s="457"/>
      <c r="K38" s="264"/>
    </row>
    <row r="39" spans="2:11" x14ac:dyDescent="0.25">
      <c r="B39" s="263"/>
      <c r="C39" s="448"/>
      <c r="D39" s="448"/>
      <c r="E39" s="448"/>
      <c r="F39" s="257"/>
      <c r="G39" s="448"/>
      <c r="H39" s="448"/>
      <c r="I39" s="457"/>
      <c r="J39" s="457"/>
      <c r="K39" s="264"/>
    </row>
    <row r="40" spans="2:11" x14ac:dyDescent="0.25">
      <c r="B40" s="263"/>
      <c r="C40" s="448"/>
      <c r="D40" s="448"/>
      <c r="E40" s="448"/>
      <c r="F40" s="257"/>
      <c r="G40" s="448"/>
      <c r="H40" s="448"/>
      <c r="I40" s="457"/>
      <c r="J40" s="457"/>
      <c r="K40" s="264"/>
    </row>
    <row r="41" spans="2:11" x14ac:dyDescent="0.25">
      <c r="B41" s="263"/>
      <c r="C41" s="448"/>
      <c r="D41" s="448"/>
      <c r="E41" s="448"/>
      <c r="F41" s="257"/>
      <c r="G41" s="448"/>
      <c r="H41" s="448"/>
      <c r="I41" s="457"/>
      <c r="J41" s="457"/>
      <c r="K41" s="264"/>
    </row>
    <row r="42" spans="2:11" x14ac:dyDescent="0.25">
      <c r="B42" s="263"/>
      <c r="C42" s="448"/>
      <c r="D42" s="448"/>
      <c r="E42" s="448"/>
      <c r="F42" s="257"/>
      <c r="G42" s="448"/>
      <c r="H42" s="448"/>
      <c r="I42" s="457"/>
      <c r="J42" s="457"/>
      <c r="K42" s="264"/>
    </row>
    <row r="43" spans="2:11" x14ac:dyDescent="0.25">
      <c r="B43" s="263"/>
      <c r="C43" s="448"/>
      <c r="D43" s="448"/>
      <c r="E43" s="448"/>
      <c r="F43" s="257"/>
      <c r="G43" s="448"/>
      <c r="H43" s="448"/>
      <c r="I43" s="457"/>
      <c r="J43" s="457"/>
      <c r="K43" s="264"/>
    </row>
    <row r="44" spans="2:11" x14ac:dyDescent="0.25">
      <c r="B44" s="263"/>
      <c r="C44" s="448"/>
      <c r="D44" s="448"/>
      <c r="E44" s="448"/>
      <c r="F44" s="257"/>
      <c r="G44" s="448"/>
      <c r="H44" s="448"/>
      <c r="I44" s="457"/>
      <c r="J44" s="457"/>
      <c r="K44" s="264"/>
    </row>
    <row r="45" spans="2:11" x14ac:dyDescent="0.25">
      <c r="B45" s="263"/>
      <c r="C45" s="448"/>
      <c r="D45" s="448"/>
      <c r="E45" s="448"/>
      <c r="F45" s="257"/>
      <c r="G45" s="448"/>
      <c r="H45" s="448"/>
      <c r="I45" s="457"/>
      <c r="J45" s="457"/>
      <c r="K45" s="264"/>
    </row>
    <row r="46" spans="2:11" x14ac:dyDescent="0.25">
      <c r="B46" s="263"/>
      <c r="C46" s="448"/>
      <c r="D46" s="448"/>
      <c r="E46" s="448"/>
      <c r="F46" s="257"/>
      <c r="G46" s="448"/>
      <c r="H46" s="448"/>
      <c r="I46" s="457"/>
      <c r="J46" s="457"/>
      <c r="K46" s="264"/>
    </row>
    <row r="47" spans="2:11" x14ac:dyDescent="0.25">
      <c r="B47" s="263"/>
      <c r="K47" s="264"/>
    </row>
    <row r="48" spans="2:11" ht="14.65" customHeight="1" x14ac:dyDescent="0.25">
      <c r="B48" s="263"/>
      <c r="C48" s="458" t="s">
        <v>1047</v>
      </c>
      <c r="D48" s="459"/>
      <c r="E48" s="459"/>
      <c r="F48" s="459"/>
      <c r="G48" s="459"/>
      <c r="H48" s="459"/>
      <c r="I48" s="459"/>
      <c r="J48" s="459"/>
      <c r="K48" s="264"/>
    </row>
    <row r="49" spans="2:11" x14ac:dyDescent="0.25">
      <c r="B49" s="263"/>
      <c r="C49" s="459"/>
      <c r="D49" s="459"/>
      <c r="E49" s="459"/>
      <c r="F49" s="459"/>
      <c r="G49" s="459"/>
      <c r="H49" s="459"/>
      <c r="I49" s="459"/>
      <c r="J49" s="459"/>
      <c r="K49" s="264"/>
    </row>
    <row r="50" spans="2:11" x14ac:dyDescent="0.25">
      <c r="B50" s="263"/>
      <c r="C50" s="459"/>
      <c r="D50" s="459"/>
      <c r="E50" s="459"/>
      <c r="F50" s="459"/>
      <c r="G50" s="459"/>
      <c r="H50" s="459"/>
      <c r="I50" s="459"/>
      <c r="J50" s="459"/>
      <c r="K50" s="264"/>
    </row>
    <row r="51" spans="2:11" x14ac:dyDescent="0.25">
      <c r="B51" s="263"/>
      <c r="C51" s="459"/>
      <c r="D51" s="459"/>
      <c r="E51" s="459"/>
      <c r="F51" s="459"/>
      <c r="G51" s="459"/>
      <c r="H51" s="459"/>
      <c r="I51" s="459"/>
      <c r="J51" s="459"/>
      <c r="K51" s="264"/>
    </row>
    <row r="52" spans="2:11" x14ac:dyDescent="0.25">
      <c r="B52" s="263"/>
      <c r="C52" s="459"/>
      <c r="D52" s="459"/>
      <c r="E52" s="459"/>
      <c r="F52" s="459"/>
      <c r="G52" s="459"/>
      <c r="H52" s="459"/>
      <c r="I52" s="459"/>
      <c r="J52" s="459"/>
      <c r="K52" s="264"/>
    </row>
    <row r="53" spans="2:11" x14ac:dyDescent="0.25">
      <c r="B53" s="268"/>
      <c r="C53" s="269"/>
      <c r="D53" s="269"/>
      <c r="E53" s="269"/>
      <c r="F53" s="269"/>
      <c r="G53" s="269"/>
      <c r="H53" s="269"/>
      <c r="I53" s="269"/>
      <c r="J53" s="269"/>
      <c r="K53" s="270"/>
    </row>
  </sheetData>
  <mergeCells count="58">
    <mergeCell ref="C10:J11"/>
    <mergeCell ref="C12:C15"/>
    <mergeCell ref="G12:H12"/>
    <mergeCell ref="I12:J12"/>
    <mergeCell ref="G13:H13"/>
    <mergeCell ref="I13:J13"/>
    <mergeCell ref="G14:H14"/>
    <mergeCell ref="I14:J14"/>
    <mergeCell ref="G15:H15"/>
    <mergeCell ref="I15:J15"/>
    <mergeCell ref="D20:E20"/>
    <mergeCell ref="H20:I20"/>
    <mergeCell ref="Q20:R20"/>
    <mergeCell ref="Q15:R15"/>
    <mergeCell ref="C16:D16"/>
    <mergeCell ref="G16:H16"/>
    <mergeCell ref="Q16:R16"/>
    <mergeCell ref="C17:D17"/>
    <mergeCell ref="G17:H17"/>
    <mergeCell ref="Q17:R17"/>
    <mergeCell ref="C18:D18"/>
    <mergeCell ref="G18:H18"/>
    <mergeCell ref="Q18:R18"/>
    <mergeCell ref="C19:J19"/>
    <mergeCell ref="Q19:R19"/>
    <mergeCell ref="I26:J26"/>
    <mergeCell ref="D21:E21"/>
    <mergeCell ref="H21:I21"/>
    <mergeCell ref="Q21:R21"/>
    <mergeCell ref="D22:E22"/>
    <mergeCell ref="H22:I22"/>
    <mergeCell ref="Q22:R22"/>
    <mergeCell ref="Q23:R23"/>
    <mergeCell ref="C24:E24"/>
    <mergeCell ref="G24:J24"/>
    <mergeCell ref="Q24:R24"/>
    <mergeCell ref="I25:J25"/>
    <mergeCell ref="I38:J38"/>
    <mergeCell ref="I27:J27"/>
    <mergeCell ref="I28:J28"/>
    <mergeCell ref="I29:J29"/>
    <mergeCell ref="I30:J30"/>
    <mergeCell ref="I31:J31"/>
    <mergeCell ref="I32:J32"/>
    <mergeCell ref="I33:J33"/>
    <mergeCell ref="I34:J34"/>
    <mergeCell ref="I35:J35"/>
    <mergeCell ref="I36:J36"/>
    <mergeCell ref="I37:J37"/>
    <mergeCell ref="I45:J45"/>
    <mergeCell ref="I46:J46"/>
    <mergeCell ref="C48:J52"/>
    <mergeCell ref="I39:J39"/>
    <mergeCell ref="I40:J40"/>
    <mergeCell ref="I41:J41"/>
    <mergeCell ref="I42:J42"/>
    <mergeCell ref="I43:J43"/>
    <mergeCell ref="I44:J44"/>
  </mergeCells>
  <hyperlinks>
    <hyperlink ref="C8" r:id="rId1" xr:uid="{2F61B39F-FCE3-4965-AEA0-7483E31B7299}"/>
  </hyperlinks>
  <pageMargins left="0.25" right="0.25" top="0.75" bottom="0.75" header="0.3" footer="0.3"/>
  <pageSetup scale="91" fitToWidth="0"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D8A31C-973F-41F7-AD5F-0FE588061AAB}">
  <ds:schemaRefs>
    <ds:schemaRef ds:uri="http://schemas.microsoft.com/office/2006/metadata/properties"/>
    <ds:schemaRef ds:uri="http://schemas.microsoft.com/office/infopath/2007/PartnerControls"/>
    <ds:schemaRef ds:uri="5618c633-c8fa-4306-aeb4-38d5faabf3f3"/>
    <ds:schemaRef ds:uri="572944f8-833f-4c78-98b4-5f94e81f5976"/>
  </ds:schemaRefs>
</ds:datastoreItem>
</file>

<file path=customXml/itemProps2.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0BAA5DC-1BCF-4F1E-B1AE-36EAD3F126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19</vt:i4>
      </vt:variant>
      <vt:variant>
        <vt:lpstr>Charts</vt:lpstr>
      </vt:variant>
      <vt:variant>
        <vt:i4>2</vt:i4>
      </vt:variant>
      <vt:variant>
        <vt:lpstr>Named Ranges</vt:lpstr>
      </vt:variant>
      <vt:variant>
        <vt:i4>15</vt:i4>
      </vt:variant>
    </vt:vector>
  </HeadingPairs>
  <TitlesOfParts>
    <vt:vector size="36"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11171</vt:lpstr>
      <vt:lpstr>D2</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Emily Hayward</cp:lastModifiedBy>
  <cp:revision/>
  <dcterms:created xsi:type="dcterms:W3CDTF">2002-07-09T10:21:12Z</dcterms:created>
  <dcterms:modified xsi:type="dcterms:W3CDTF">2026-06-18T12:12:49Z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