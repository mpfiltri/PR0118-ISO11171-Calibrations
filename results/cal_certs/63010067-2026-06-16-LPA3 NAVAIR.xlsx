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F86A0AB0-3670-42FE-9DE6-1C26911F9492}" xr6:coauthVersionLast="47" xr6:coauthVersionMax="47" xr10:uidLastSave="{00000000-0000-0000-0000-000000000000}"/>
  <bookViews>
    <workbookView xWindow="-120" yWindow="-120" windowWidth="29040" windowHeight="15840" firstSheet="3"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86" l="1"/>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46" i="85" l="1"/>
  <c r="B146" i="108"/>
  <c r="B144" i="85"/>
  <c r="B144" i="108"/>
  <c r="B143" i="85"/>
  <c r="B143" i="108"/>
  <c r="B142" i="85"/>
  <c r="B142" i="108"/>
  <c r="B138" i="85"/>
  <c r="B138"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12" i="85" l="1"/>
  <c r="B112" i="108"/>
  <c r="B145" i="85"/>
  <c r="B145" i="108"/>
  <c r="B141" i="85"/>
  <c r="B141" i="108"/>
  <c r="B134" i="85"/>
  <c r="B134" i="108"/>
  <c r="B133" i="85"/>
  <c r="B133" i="108"/>
  <c r="B122" i="85"/>
  <c r="Q77" i="103"/>
  <c r="B121" i="85"/>
  <c r="Q42" i="103"/>
  <c r="Q39" i="103"/>
  <c r="Q33" i="103"/>
  <c r="Q35" i="103"/>
  <c r="Q34" i="103"/>
  <c r="D135" i="103"/>
  <c r="D117" i="103"/>
  <c r="D118" i="103"/>
  <c r="D152" i="103"/>
  <c r="D144" i="103"/>
  <c r="D143" i="103"/>
  <c r="D145" i="103"/>
  <c r="D142" i="103"/>
  <c r="B123" i="85" l="1"/>
  <c r="B123" i="108"/>
  <c r="B118" i="85"/>
  <c r="B118" i="108"/>
  <c r="B117" i="85"/>
  <c r="B117" i="108"/>
  <c r="B114" i="85"/>
  <c r="B114" i="108"/>
  <c r="B116" i="85"/>
  <c r="B116" i="108"/>
  <c r="B115" i="85"/>
  <c r="B115" i="108"/>
  <c r="D140" i="103"/>
  <c r="D153" i="103"/>
  <c r="D138" i="103"/>
  <c r="D137" i="103"/>
  <c r="D154" i="103"/>
  <c r="D151" i="103" l="1"/>
  <c r="D123" i="103" l="1"/>
  <c r="D124" i="103" l="1"/>
  <c r="D157" i="103"/>
  <c r="D121" i="103"/>
  <c r="D120" i="103"/>
  <c r="S99" i="103" l="1"/>
  <c r="B132" i="85"/>
  <c r="B131" i="85"/>
  <c r="Q81" i="103"/>
  <c r="Q80" i="103"/>
  <c r="B125" i="85" l="1"/>
  <c r="B125" i="108"/>
  <c r="B124" i="85"/>
  <c r="B124"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102" i="85" l="1"/>
  <c r="B102" i="108"/>
  <c r="B106" i="85"/>
  <c r="B106" i="108"/>
  <c r="B98" i="85"/>
  <c r="B98"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s="1"/>
  <c r="A196" i="106"/>
  <c r="O196" i="106" s="1"/>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F17" i="1" s="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F41" i="1" s="1"/>
  <c r="C42" i="1"/>
  <c r="F42" i="1"/>
  <c r="C43" i="1"/>
  <c r="F43" i="1"/>
  <c r="C44" i="1"/>
  <c r="F44" i="1"/>
  <c r="C45" i="1"/>
  <c r="F45" i="1"/>
  <c r="C46" i="1"/>
  <c r="F46" i="1"/>
  <c r="C47" i="1"/>
  <c r="F47" i="1"/>
  <c r="C48" i="1"/>
  <c r="F48" i="1"/>
  <c r="C49" i="1"/>
  <c r="F49" i="1"/>
  <c r="C50" i="1"/>
  <c r="F50" i="1"/>
  <c r="C51" i="1"/>
  <c r="F51" i="1"/>
  <c r="C52" i="1"/>
  <c r="F52" i="1"/>
  <c r="C53" i="1"/>
  <c r="F53" i="1" s="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H29" i="93"/>
  <c r="H29" i="96"/>
  <c r="H28" i="85"/>
  <c r="H34" i="90"/>
  <c r="D57" i="89"/>
  <c r="H28" i="93"/>
  <c r="H28" i="91"/>
  <c r="H28" i="96"/>
  <c r="H29" i="85"/>
  <c r="H28" i="97"/>
  <c r="H29" i="91"/>
  <c r="H29" i="97"/>
  <c r="H29" i="94"/>
  <c r="D58" i="89"/>
  <c r="D69" i="86"/>
  <c r="F34" i="90"/>
  <c r="G46" i="90" s="1"/>
  <c r="F28" i="97"/>
  <c r="F28" i="91"/>
  <c r="E40" i="91" s="1"/>
  <c r="F28" i="94"/>
  <c r="F32" i="91"/>
  <c r="F32" i="97"/>
  <c r="F32" i="85"/>
  <c r="F32" i="94"/>
  <c r="F32" i="96"/>
  <c r="C61" i="89"/>
  <c r="F38" i="90"/>
  <c r="F32" i="93"/>
  <c r="F31" i="93"/>
  <c r="F31" i="97"/>
  <c r="C64" i="89"/>
  <c r="F35" i="93"/>
  <c r="F33" i="85"/>
  <c r="F39" i="90"/>
  <c r="F33" i="91"/>
  <c r="F33" i="97"/>
  <c r="C62" i="89"/>
  <c r="F33" i="96"/>
  <c r="F33" i="94"/>
  <c r="F33" i="93"/>
  <c r="G40" i="97" l="1"/>
  <c r="B113" i="85"/>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<sst xmlns="http://schemas.openxmlformats.org/spreadsheetml/2006/main" count="12063" uniqueCount="1044">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</sst>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7"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sz val="11"/>
      <color rgb="FF000000"/>
      <name val="Aptos Narrow"/>
      <family val="2"/>
    </font>
  </fonts>
  <fills count="18">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
      <patternFill patternType="solid">
        <fgColor rgb="FFB5E6A2"/>
        <bgColor rgb="FF000000"/>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xf numFmtId="44" fontId="1" fillId="0" borderId="0" applyFont="0" applyFill="0" applyBorder="0" applyAlignment="0" applyProtection="0"/>
  </cellStyleXfs>
  <cellXfs count="608">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2" fillId="0" borderId="2" xfId="6" applyBorder="1"/>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4" fillId="15" borderId="2" xfId="6" applyFont="1" applyFill="1" applyBorder="1" applyAlignment="1">
      <alignment vertical="center" wrapText="1"/>
    </xf>
    <xf numFmtId="0" fontId="64" fillId="0" borderId="2" xfId="6" applyFont="1" applyBorder="1" applyAlignment="1">
      <alignment horizontal="left" vertical="center"/>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71" fontId="1" fillId="0" borderId="0" xfId="5" applyNumberFormat="1" applyFont="1"/>
    <xf numFmtId="14" fontId="64" fillId="15" borderId="2" xfId="6" applyNumberFormat="1" applyFont="1" applyFill="1" applyBorder="1" applyAlignment="1">
      <alignment horizontal="left" vertical="center" wrapText="1"/>
    </xf>
    <xf numFmtId="1" fontId="64" fillId="15" borderId="2" xfId="6" applyNumberFormat="1" applyFont="1" applyFill="1" applyBorder="1" applyAlignment="1">
      <alignment horizontal="left" vertical="center" wrapText="1"/>
    </xf>
    <xf numFmtId="0" fontId="58" fillId="16" borderId="2" xfId="6"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36" xfId="0"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6"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3" fontId="66" fillId="17" borderId="36" xfId="0" applyNumberFormat="1" applyFont="1" applyFill="1" applyBorder="1" applyAlignment="1">
      <alignment vertical="center" wrapText="1"/>
    </xf>
  </cellXfs>
  <cellStyles count="8">
    <cellStyle name="Currency" xfId="4" builtinId="4"/>
    <cellStyle name="Currency 2" xfId="7" xr:uid="{425ACE1C-CFEE-44DC-AE46-5E5C6B54EB1C}"/>
    <cellStyle name="Explanatory Text" xfId="3" builtinId="53"/>
    <cellStyle name="Hyperlink" xfId="1" builtinId="8"/>
    <cellStyle name="Normal" xfId="0" builtinId="0"/>
    <cellStyle name="Normal 2" xfId="2" xr:uid="{00000000-0005-0000-0000-000002000000}"/>
    <cellStyle name="Normal 3" xfId="6" xr:uid="{8F7B4F6F-6EC6-4412-91F6-E338FE3E56F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alcChain" Target="calcChain.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microsoft.com/office/2017/10/relationships/person" Target="persons/perso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76</c:v>
                </c:pt>
                <c:pt idx="1">
                  <c:v>180</c:v>
                </c:pt>
                <c:pt idx="2">
                  <c:v>994</c:v>
                </c:pt>
                <c:pt idx="3">
                  <c:v>2074</c:v>
                </c:pt>
                <c:pt idx="4">
                  <c:v>3050</c:v>
                </c:pt>
                <c:pt idx="5">
                  <c:v>9964</c:v>
                </c:pt>
                <c:pt idx="6">
                  <c:v>16287</c:v>
                </c:pt>
                <c:pt idx="7">
                  <c:v>25144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1072929</c:v>
                </c:pt>
                <c:pt idx="1">
                  <c:v>463329</c:v>
                </c:pt>
                <c:pt idx="2">
                  <c:v>109548</c:v>
                </c:pt>
                <c:pt idx="3">
                  <c:v>37037</c:v>
                </c:pt>
                <c:pt idx="4">
                  <c:v>10731</c:v>
                </c:pt>
                <c:pt idx="5">
                  <c:v>5199</c:v>
                </c:pt>
                <c:pt idx="6">
                  <c:v>579</c:v>
                </c:pt>
                <c:pt idx="7">
                  <c:v>115</c:v>
                </c:pt>
                <c:pt idx="8">
                  <c:v>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57150</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4" customWidth="1"/>
    <col min="2" max="2" width="9.5703125" style="4" bestFit="1" customWidth="1"/>
    <col min="3" max="3" width="10.140625" style="4" bestFit="1" customWidth="1"/>
    <col min="4" max="4" width="10.28515625" style="4" customWidth="1"/>
    <col min="5" max="5" width="6.42578125" style="4" customWidth="1"/>
    <col min="6" max="6" width="13.140625" style="5" customWidth="1"/>
    <col min="7" max="7" width="6.42578125" style="4" customWidth="1"/>
    <col min="8" max="9" width="12.42578125" style="4" bestFit="1" customWidth="1"/>
    <col min="10" max="10" width="6.42578125" style="4" customWidth="1"/>
    <col min="11" max="11" width="12.85546875" style="4" customWidth="1"/>
    <col min="12" max="12" width="12.85546875" style="5" customWidth="1"/>
    <col min="13" max="13" width="12.85546875" style="4" customWidth="1"/>
    <col min="14" max="14" width="12.85546875" style="5" customWidth="1"/>
    <col min="15" max="16384" width="9.140625" style="1"/>
  </cols>
  <sheetData>
    <row r="1" spans="1:14" ht="15.75" x14ac:dyDescent="0.25">
      <c r="A1" s="20" t="s">
        <v>0</v>
      </c>
      <c r="H1" s="20" t="s">
        <v>1</v>
      </c>
    </row>
    <row r="2" spans="1:14" x14ac:dyDescent="0.2">
      <c r="H2" s="4">
        <v>4</v>
      </c>
      <c r="K2" s="18" t="s">
        <v>2</v>
      </c>
      <c r="L2" s="19"/>
      <c r="M2" s="18" t="s">
        <v>3</v>
      </c>
      <c r="N2" s="19"/>
    </row>
    <row r="3" spans="1:14" s="2" customFormat="1" ht="27" customHeight="1" x14ac:dyDescent="0.2">
      <c r="A3" s="3" t="s">
        <v>4</v>
      </c>
      <c r="B3" s="3" t="s">
        <v>5</v>
      </c>
      <c r="C3" s="3" t="s">
        <v>6</v>
      </c>
      <c r="D3" s="15" t="s">
        <v>7</v>
      </c>
      <c r="F3" s="16" t="s">
        <v>8</v>
      </c>
      <c r="H3" s="17" t="s">
        <v>4</v>
      </c>
      <c r="I3" s="17" t="s">
        <v>6</v>
      </c>
      <c r="K3" s="17" t="s">
        <v>9</v>
      </c>
      <c r="L3" s="16" t="s">
        <v>10</v>
      </c>
      <c r="M3" s="17" t="s">
        <v>9</v>
      </c>
      <c r="N3" s="16" t="s">
        <v>10</v>
      </c>
    </row>
    <row r="4" spans="1:14" x14ac:dyDescent="0.2">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x14ac:dyDescent="0.2">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x14ac:dyDescent="0.2">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x14ac:dyDescent="0.2">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x14ac:dyDescent="0.2">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x14ac:dyDescent="0.2">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x14ac:dyDescent="0.2">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x14ac:dyDescent="0.2">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x14ac:dyDescent="0.2">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x14ac:dyDescent="0.2">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x14ac:dyDescent="0.2">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x14ac:dyDescent="0.2">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x14ac:dyDescent="0.2">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x14ac:dyDescent="0.2">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x14ac:dyDescent="0.2">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x14ac:dyDescent="0.2">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x14ac:dyDescent="0.2">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x14ac:dyDescent="0.2">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x14ac:dyDescent="0.2">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x14ac:dyDescent="0.2">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x14ac:dyDescent="0.2">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x14ac:dyDescent="0.2">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x14ac:dyDescent="0.2">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x14ac:dyDescent="0.2">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x14ac:dyDescent="0.2">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x14ac:dyDescent="0.2">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x14ac:dyDescent="0.2">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x14ac:dyDescent="0.2">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x14ac:dyDescent="0.2">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x14ac:dyDescent="0.2">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x14ac:dyDescent="0.2">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x14ac:dyDescent="0.2">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x14ac:dyDescent="0.2">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x14ac:dyDescent="0.2">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x14ac:dyDescent="0.2">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x14ac:dyDescent="0.2">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x14ac:dyDescent="0.2">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x14ac:dyDescent="0.2">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x14ac:dyDescent="0.2">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x14ac:dyDescent="0.2">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x14ac:dyDescent="0.2">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x14ac:dyDescent="0.2">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x14ac:dyDescent="0.2">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x14ac:dyDescent="0.2">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x14ac:dyDescent="0.2">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x14ac:dyDescent="0.2">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x14ac:dyDescent="0.2">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x14ac:dyDescent="0.2">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x14ac:dyDescent="0.2">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x14ac:dyDescent="0.2">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2">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2">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2">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2">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2">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2">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2">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2">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2">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2">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2">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2">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2">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2">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2">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2">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2">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2">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2">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2">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2">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2">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2">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2">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2">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2">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2">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2">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2">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2">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2">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2">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2">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2">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2">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2">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2">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2">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2">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2">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workbookViewId="0">
      <selection activeCell="E13" sqref="E13:G13"/>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t="s">
        <v>703</v>
      </c>
      <c r="B1" t="s">
        <v>704</v>
      </c>
      <c r="H1" s="154"/>
    </row>
    <row r="2" spans="1:9" x14ac:dyDescent="0.2">
      <c r="A2" t="s">
        <v>705</v>
      </c>
      <c r="H2" s="154"/>
      <c r="I2" s="154"/>
    </row>
    <row r="3" spans="1:9" x14ac:dyDescent="0.2">
      <c r="A3" t="s">
        <v>706</v>
      </c>
      <c r="B3" t="s">
        <v>704</v>
      </c>
      <c r="H3" s="154"/>
      <c r="I3" s="154"/>
    </row>
    <row r="4" spans="1:9" x14ac:dyDescent="0.2">
      <c r="A4" s="166" t="s">
        <v>707</v>
      </c>
      <c r="B4">
        <v>63010067</v>
      </c>
      <c r="H4" s="154"/>
    </row>
    <row r="5" spans="1:9" x14ac:dyDescent="0.2">
      <c r="A5" t="s">
        <v>708</v>
      </c>
      <c r="B5">
        <v>1024</v>
      </c>
      <c r="H5" s="154"/>
      <c r="I5" s="154"/>
    </row>
    <row r="6" spans="1:9" x14ac:dyDescent="0.2">
      <c r="A6" t="s">
        <v>709</v>
      </c>
      <c r="B6">
        <v>0</v>
      </c>
      <c r="H6" s="154"/>
      <c r="I6" s="154"/>
    </row>
    <row r="7" spans="1:9" x14ac:dyDescent="0.2">
      <c r="A7" t="s">
        <v>710</v>
      </c>
      <c r="B7" t="s">
        <v>704</v>
      </c>
      <c r="H7" s="154"/>
      <c r="I7" s="154"/>
    </row>
    <row r="8" spans="1:9" x14ac:dyDescent="0.2">
      <c r="A8" t="s">
        <v>711</v>
      </c>
      <c r="B8">
        <v>76</v>
      </c>
      <c r="H8" s="154"/>
      <c r="I8" s="154"/>
    </row>
    <row r="9" spans="1:9" x14ac:dyDescent="0.2">
      <c r="A9" t="s">
        <v>712</v>
      </c>
      <c r="B9">
        <v>180</v>
      </c>
      <c r="H9" s="154"/>
      <c r="I9" s="154"/>
    </row>
    <row r="10" spans="1:9" x14ac:dyDescent="0.2">
      <c r="A10" t="s">
        <v>713</v>
      </c>
      <c r="B10">
        <v>994</v>
      </c>
      <c r="H10" s="154"/>
      <c r="I10" s="154"/>
    </row>
    <row r="11" spans="1:9" x14ac:dyDescent="0.2">
      <c r="A11" t="s">
        <v>714</v>
      </c>
      <c r="B11">
        <v>2074</v>
      </c>
      <c r="H11" s="154"/>
      <c r="I11" s="154"/>
    </row>
    <row r="12" spans="1:9" x14ac:dyDescent="0.2">
      <c r="A12" t="s">
        <v>715</v>
      </c>
      <c r="B12">
        <v>3050</v>
      </c>
      <c r="H12" s="154"/>
      <c r="I12" s="154"/>
    </row>
    <row r="13" spans="1:9" ht="15" x14ac:dyDescent="0.2">
      <c r="A13" t="s">
        <v>716</v>
      </c>
      <c r="B13" s="607">
        <v>9964</v>
      </c>
      <c r="E13" s="607"/>
      <c r="F13" s="607"/>
      <c r="G13" s="607"/>
      <c r="H13" s="154"/>
      <c r="I13" s="154"/>
    </row>
    <row r="14" spans="1:9" ht="15" x14ac:dyDescent="0.2">
      <c r="A14" t="s">
        <v>717</v>
      </c>
      <c r="B14" s="607">
        <v>16287</v>
      </c>
      <c r="H14" s="154"/>
      <c r="I14" s="154"/>
    </row>
    <row r="15" spans="1:9" ht="15" x14ac:dyDescent="0.2">
      <c r="A15" t="s">
        <v>718</v>
      </c>
      <c r="B15" s="607">
        <v>25144</v>
      </c>
      <c r="H15" s="154"/>
      <c r="I15" s="154"/>
    </row>
    <row r="16" spans="1:9" x14ac:dyDescent="0.2">
      <c r="A16" t="s">
        <v>719</v>
      </c>
      <c r="B16">
        <v>60</v>
      </c>
      <c r="H16" s="154"/>
      <c r="I16" s="154"/>
    </row>
    <row r="17" spans="1:9" x14ac:dyDescent="0.2">
      <c r="A17" t="s">
        <v>720</v>
      </c>
      <c r="B17">
        <v>300</v>
      </c>
      <c r="H17" s="154"/>
      <c r="I17" s="154"/>
    </row>
    <row r="18" spans="1:9" x14ac:dyDescent="0.2">
      <c r="A18" t="s">
        <v>721</v>
      </c>
      <c r="B18">
        <v>750</v>
      </c>
      <c r="H18" s="154"/>
      <c r="I18" s="154"/>
    </row>
    <row r="19" spans="1:9" x14ac:dyDescent="0.2">
      <c r="A19" t="s">
        <v>722</v>
      </c>
      <c r="B19">
        <v>200</v>
      </c>
      <c r="H19" s="154"/>
      <c r="I19" s="154"/>
    </row>
    <row r="20" spans="1:9" x14ac:dyDescent="0.2">
      <c r="A20" t="s">
        <v>723</v>
      </c>
      <c r="B20">
        <v>500</v>
      </c>
      <c r="H20" s="154"/>
      <c r="I20" s="154"/>
    </row>
    <row r="21" spans="1:9" x14ac:dyDescent="0.2">
      <c r="A21" t="s">
        <v>724</v>
      </c>
      <c r="B21">
        <v>12618</v>
      </c>
      <c r="H21" s="154"/>
      <c r="I21" s="154"/>
    </row>
    <row r="22" spans="1:9" x14ac:dyDescent="0.2">
      <c r="A22" t="s">
        <v>725</v>
      </c>
      <c r="B22">
        <v>0</v>
      </c>
      <c r="H22" s="154"/>
      <c r="I22" s="154"/>
    </row>
    <row r="23" spans="1:9" x14ac:dyDescent="0.2">
      <c r="A23" t="s">
        <v>726</v>
      </c>
      <c r="B23">
        <v>50</v>
      </c>
      <c r="H23" s="154"/>
      <c r="I23" s="154"/>
    </row>
    <row r="24" spans="1:9" x14ac:dyDescent="0.2">
      <c r="A24" t="s">
        <v>727</v>
      </c>
      <c r="B24">
        <v>2147483648</v>
      </c>
      <c r="H24" s="154"/>
      <c r="I24" s="154"/>
    </row>
    <row r="25" spans="1:9" x14ac:dyDescent="0.2">
      <c r="A25" t="s">
        <v>728</v>
      </c>
      <c r="B25">
        <v>2147483648</v>
      </c>
      <c r="H25" s="154"/>
      <c r="I25" s="154"/>
    </row>
    <row r="26" spans="1:9" x14ac:dyDescent="0.2">
      <c r="A26" t="s">
        <v>729</v>
      </c>
      <c r="B26">
        <v>0</v>
      </c>
      <c r="H26" s="154"/>
      <c r="I26" s="154"/>
    </row>
    <row r="27" spans="1:9" x14ac:dyDescent="0.2">
      <c r="A27" t="s">
        <v>730</v>
      </c>
      <c r="B27">
        <v>0</v>
      </c>
      <c r="H27" s="154"/>
      <c r="I27" s="154"/>
    </row>
    <row r="28" spans="1:9" x14ac:dyDescent="0.2">
      <c r="A28" t="s">
        <v>731</v>
      </c>
      <c r="B28">
        <v>0</v>
      </c>
      <c r="H28" s="154"/>
      <c r="I28" s="154"/>
    </row>
    <row r="29" spans="1:9" x14ac:dyDescent="0.2">
      <c r="A29" t="s">
        <v>732</v>
      </c>
      <c r="B29">
        <v>5</v>
      </c>
      <c r="H29" s="154"/>
      <c r="I29" s="154"/>
    </row>
    <row r="30" spans="1:9" x14ac:dyDescent="0.2">
      <c r="A30" t="s">
        <v>733</v>
      </c>
      <c r="B30">
        <v>0</v>
      </c>
      <c r="H30" s="154"/>
      <c r="I30" s="154"/>
    </row>
    <row r="31" spans="1:9" x14ac:dyDescent="0.2">
      <c r="A31" t="s">
        <v>734</v>
      </c>
      <c r="B31">
        <v>2147483648</v>
      </c>
      <c r="H31" s="154"/>
      <c r="I31" s="154"/>
    </row>
    <row r="32" spans="1:9" x14ac:dyDescent="0.2">
      <c r="A32" t="s">
        <v>735</v>
      </c>
      <c r="B32">
        <v>0</v>
      </c>
      <c r="H32" s="154"/>
      <c r="I32" s="154"/>
    </row>
    <row r="33" spans="1:9" x14ac:dyDescent="0.2">
      <c r="A33" t="s">
        <v>736</v>
      </c>
      <c r="B33">
        <v>4095</v>
      </c>
      <c r="H33" s="154"/>
      <c r="I33" s="154"/>
    </row>
    <row r="34" spans="1:9" x14ac:dyDescent="0.2">
      <c r="A34" t="s">
        <v>737</v>
      </c>
      <c r="B34">
        <v>0</v>
      </c>
      <c r="H34" s="154"/>
      <c r="I34" s="154"/>
    </row>
    <row r="35" spans="1:9" x14ac:dyDescent="0.2">
      <c r="A35" t="s">
        <v>738</v>
      </c>
      <c r="B35">
        <v>30</v>
      </c>
      <c r="H35" s="154"/>
      <c r="I35" s="154"/>
    </row>
    <row r="36" spans="1:9" x14ac:dyDescent="0.2">
      <c r="A36" t="s">
        <v>739</v>
      </c>
      <c r="B36">
        <v>2</v>
      </c>
      <c r="H36" s="154"/>
      <c r="I36" s="154"/>
    </row>
    <row r="37" spans="1:9" x14ac:dyDescent="0.2">
      <c r="A37" t="s">
        <v>740</v>
      </c>
      <c r="B37">
        <v>1</v>
      </c>
      <c r="H37" s="154"/>
      <c r="I37" s="154"/>
    </row>
    <row r="38" spans="1:9" x14ac:dyDescent="0.2">
      <c r="A38" t="s">
        <v>741</v>
      </c>
      <c r="B38">
        <v>30</v>
      </c>
      <c r="H38" s="154"/>
      <c r="I38" s="154"/>
    </row>
    <row r="39" spans="1:9" x14ac:dyDescent="0.2">
      <c r="A39" t="s">
        <v>742</v>
      </c>
      <c r="B39">
        <v>150</v>
      </c>
      <c r="H39" s="154"/>
      <c r="I39" s="154"/>
    </row>
    <row r="40" spans="1:9" x14ac:dyDescent="0.2">
      <c r="A40" t="s">
        <v>743</v>
      </c>
      <c r="B40">
        <v>50</v>
      </c>
      <c r="H40" s="154"/>
      <c r="I40" s="154"/>
    </row>
    <row r="41" spans="1:9" x14ac:dyDescent="0.2">
      <c r="A41" t="s">
        <v>744</v>
      </c>
      <c r="B41">
        <v>20</v>
      </c>
      <c r="H41" s="154"/>
      <c r="I41" s="154"/>
    </row>
    <row r="42" spans="1:9" x14ac:dyDescent="0.2">
      <c r="A42" t="s">
        <v>745</v>
      </c>
      <c r="B42">
        <v>100</v>
      </c>
      <c r="H42" s="154"/>
      <c r="I42" s="154"/>
    </row>
    <row r="43" spans="1:9" x14ac:dyDescent="0.2">
      <c r="A43" t="s">
        <v>746</v>
      </c>
      <c r="B43">
        <v>90</v>
      </c>
      <c r="H43" s="154"/>
      <c r="I43" s="154"/>
    </row>
    <row r="44" spans="1:9" x14ac:dyDescent="0.2">
      <c r="A44" t="s">
        <v>747</v>
      </c>
      <c r="B44">
        <v>50</v>
      </c>
      <c r="H44" s="154"/>
      <c r="I44" s="154"/>
    </row>
    <row r="45" spans="1:9" x14ac:dyDescent="0.2">
      <c r="A45" t="s">
        <v>748</v>
      </c>
      <c r="B45">
        <v>50</v>
      </c>
      <c r="H45" s="154"/>
      <c r="I45" s="154"/>
    </row>
    <row r="46" spans="1:9" x14ac:dyDescent="0.2">
      <c r="A46" t="s">
        <v>749</v>
      </c>
      <c r="B46">
        <v>50</v>
      </c>
      <c r="H46" s="154"/>
      <c r="I46" s="154"/>
    </row>
    <row r="47" spans="1:9" x14ac:dyDescent="0.2">
      <c r="A47" t="s">
        <v>750</v>
      </c>
      <c r="B47">
        <v>40</v>
      </c>
      <c r="H47" s="154"/>
      <c r="I47" s="154"/>
    </row>
    <row r="48" spans="1:9" x14ac:dyDescent="0.2">
      <c r="A48" t="s">
        <v>751</v>
      </c>
      <c r="B48">
        <v>20</v>
      </c>
      <c r="H48" s="154"/>
      <c r="I48" s="154"/>
    </row>
    <row r="49" spans="1:9" x14ac:dyDescent="0.2">
      <c r="A49" t="s">
        <v>752</v>
      </c>
      <c r="B49">
        <v>40</v>
      </c>
      <c r="H49" s="154"/>
      <c r="I49" s="154"/>
    </row>
    <row r="50" spans="1:9" x14ac:dyDescent="0.2">
      <c r="A50" t="s">
        <v>753</v>
      </c>
      <c r="B50">
        <v>20</v>
      </c>
      <c r="H50" s="154"/>
      <c r="I50" s="154"/>
    </row>
    <row r="51" spans="1:9" x14ac:dyDescent="0.2">
      <c r="A51" t="s">
        <v>754</v>
      </c>
      <c r="B51">
        <v>0</v>
      </c>
      <c r="H51" s="154"/>
      <c r="I51" s="154"/>
    </row>
    <row r="52" spans="1:9" x14ac:dyDescent="0.2">
      <c r="A52" s="166" t="s">
        <v>755</v>
      </c>
      <c r="B52">
        <v>76</v>
      </c>
      <c r="H52" s="154"/>
      <c r="I52" s="154"/>
    </row>
    <row r="53" spans="1:9" x14ac:dyDescent="0.2">
      <c r="A53" t="s">
        <v>756</v>
      </c>
      <c r="B53">
        <v>122</v>
      </c>
      <c r="H53" s="154"/>
      <c r="I53" s="154"/>
    </row>
    <row r="54" spans="1:9" x14ac:dyDescent="0.2">
      <c r="A54" t="s">
        <v>757</v>
      </c>
      <c r="B54">
        <v>180</v>
      </c>
      <c r="H54" s="154"/>
      <c r="I54" s="154"/>
    </row>
    <row r="55" spans="1:9" x14ac:dyDescent="0.2">
      <c r="A55" t="s">
        <v>758</v>
      </c>
      <c r="B55">
        <v>242</v>
      </c>
      <c r="H55" s="154"/>
      <c r="I55" s="154"/>
    </row>
    <row r="56" spans="1:9" x14ac:dyDescent="0.2">
      <c r="A56" t="s">
        <v>759</v>
      </c>
      <c r="B56">
        <v>320</v>
      </c>
      <c r="H56" s="154"/>
      <c r="I56" s="154"/>
    </row>
    <row r="57" spans="1:9" x14ac:dyDescent="0.2">
      <c r="A57" t="s">
        <v>760</v>
      </c>
      <c r="B57">
        <v>410</v>
      </c>
      <c r="H57" s="154"/>
      <c r="I57" s="154"/>
    </row>
    <row r="58" spans="1:9" x14ac:dyDescent="0.2">
      <c r="A58" t="s">
        <v>761</v>
      </c>
      <c r="B58">
        <v>508</v>
      </c>
      <c r="H58" s="154"/>
    </row>
    <row r="59" spans="1:9" x14ac:dyDescent="0.2">
      <c r="A59" t="s">
        <v>762</v>
      </c>
      <c r="B59">
        <v>620</v>
      </c>
      <c r="H59" s="154"/>
      <c r="I59" s="154"/>
    </row>
    <row r="60" spans="1:9" x14ac:dyDescent="0.2">
      <c r="A60" t="s">
        <v>763</v>
      </c>
      <c r="B60">
        <v>744</v>
      </c>
      <c r="H60" s="154"/>
      <c r="I60" s="154"/>
    </row>
    <row r="61" spans="1:9" x14ac:dyDescent="0.2">
      <c r="A61" t="s">
        <v>764</v>
      </c>
      <c r="B61">
        <v>870</v>
      </c>
      <c r="H61" s="154"/>
      <c r="I61" s="154"/>
    </row>
    <row r="62" spans="1:9" x14ac:dyDescent="0.2">
      <c r="A62" t="s">
        <v>765</v>
      </c>
      <c r="B62">
        <v>994</v>
      </c>
      <c r="H62" s="154"/>
      <c r="I62" s="154"/>
    </row>
    <row r="63" spans="1:9" x14ac:dyDescent="0.2">
      <c r="A63" t="s">
        <v>766</v>
      </c>
      <c r="B63">
        <v>1126</v>
      </c>
      <c r="H63" s="154"/>
      <c r="I63" s="154"/>
    </row>
    <row r="64" spans="1:9" x14ac:dyDescent="0.2">
      <c r="A64" t="s">
        <v>767</v>
      </c>
      <c r="B64">
        <v>1266</v>
      </c>
      <c r="H64" s="154"/>
      <c r="I64" s="154"/>
    </row>
    <row r="65" spans="1:9" x14ac:dyDescent="0.2">
      <c r="A65" t="s">
        <v>768</v>
      </c>
      <c r="B65">
        <v>1414</v>
      </c>
      <c r="H65" s="154"/>
      <c r="I65" s="154"/>
    </row>
    <row r="66" spans="1:9" x14ac:dyDescent="0.2">
      <c r="A66" t="s">
        <v>769</v>
      </c>
      <c r="B66">
        <v>1558</v>
      </c>
      <c r="H66" s="154"/>
      <c r="I66" s="154"/>
    </row>
    <row r="67" spans="1:9" x14ac:dyDescent="0.2">
      <c r="A67" t="s">
        <v>770</v>
      </c>
      <c r="B67">
        <v>1706</v>
      </c>
      <c r="H67" s="154"/>
      <c r="I67" s="154"/>
    </row>
    <row r="68" spans="1:9" x14ac:dyDescent="0.2">
      <c r="A68" t="s">
        <v>771</v>
      </c>
      <c r="B68">
        <v>1880</v>
      </c>
      <c r="H68" s="154"/>
      <c r="I68" s="154"/>
    </row>
    <row r="69" spans="1:9" x14ac:dyDescent="0.2">
      <c r="A69" t="s">
        <v>772</v>
      </c>
      <c r="B69">
        <v>2074</v>
      </c>
      <c r="H69" s="154"/>
      <c r="I69" s="154"/>
    </row>
    <row r="70" spans="1:9" x14ac:dyDescent="0.2">
      <c r="A70" t="s">
        <v>773</v>
      </c>
      <c r="B70">
        <v>2280</v>
      </c>
      <c r="H70" s="154"/>
      <c r="I70" s="154"/>
    </row>
    <row r="71" spans="1:9" x14ac:dyDescent="0.2">
      <c r="A71" t="s">
        <v>774</v>
      </c>
      <c r="B71">
        <v>2514</v>
      </c>
      <c r="H71" s="154"/>
      <c r="I71" s="154"/>
    </row>
    <row r="72" spans="1:9" x14ac:dyDescent="0.2">
      <c r="A72" t="s">
        <v>775</v>
      </c>
      <c r="B72">
        <v>2772</v>
      </c>
      <c r="H72" s="154"/>
      <c r="I72" s="154"/>
    </row>
    <row r="73" spans="1:9" x14ac:dyDescent="0.2">
      <c r="A73" t="s">
        <v>776</v>
      </c>
      <c r="B73">
        <v>3050</v>
      </c>
      <c r="H73" s="154"/>
      <c r="I73" s="154"/>
    </row>
    <row r="74" spans="1:9" x14ac:dyDescent="0.2">
      <c r="A74" t="s">
        <v>777</v>
      </c>
      <c r="B74">
        <v>3376</v>
      </c>
      <c r="H74" s="154"/>
      <c r="I74" s="154"/>
    </row>
    <row r="75" spans="1:9" x14ac:dyDescent="0.2">
      <c r="A75" t="s">
        <v>778</v>
      </c>
      <c r="B75">
        <v>3688</v>
      </c>
      <c r="H75" s="154"/>
    </row>
    <row r="76" spans="1:9" x14ac:dyDescent="0.2">
      <c r="A76" t="s">
        <v>779</v>
      </c>
      <c r="B76">
        <v>3986</v>
      </c>
      <c r="H76" s="154"/>
      <c r="I76" s="154"/>
    </row>
    <row r="77" spans="1:9" x14ac:dyDescent="0.2">
      <c r="A77" t="s">
        <v>780</v>
      </c>
      <c r="B77">
        <v>4292</v>
      </c>
      <c r="H77" s="154"/>
    </row>
    <row r="78" spans="1:9" x14ac:dyDescent="0.2">
      <c r="A78" t="s">
        <v>781</v>
      </c>
      <c r="B78">
        <v>4684</v>
      </c>
      <c r="H78" s="154"/>
      <c r="I78" s="154"/>
    </row>
    <row r="79" spans="1:9" ht="15" x14ac:dyDescent="0.2">
      <c r="A79" t="s">
        <v>782</v>
      </c>
      <c r="B79" s="607">
        <v>9964</v>
      </c>
      <c r="H79" s="154"/>
      <c r="I79" s="154"/>
    </row>
    <row r="80" spans="1:9" ht="15" x14ac:dyDescent="0.2">
      <c r="A80" t="s">
        <v>783</v>
      </c>
      <c r="B80" s="607">
        <v>16287</v>
      </c>
      <c r="H80" s="154"/>
      <c r="I80" s="154"/>
    </row>
    <row r="81" spans="1:9" ht="15" x14ac:dyDescent="0.2">
      <c r="A81" t="s">
        <v>784</v>
      </c>
      <c r="B81" s="607">
        <v>25144</v>
      </c>
      <c r="H81" s="154"/>
      <c r="I81" s="154"/>
    </row>
    <row r="82" spans="1:9" x14ac:dyDescent="0.2">
      <c r="A82" t="s">
        <v>785</v>
      </c>
      <c r="B82">
        <v>18846</v>
      </c>
      <c r="H82" s="154"/>
      <c r="I82" s="154"/>
    </row>
    <row r="83" spans="1:9" x14ac:dyDescent="0.2">
      <c r="A83" t="s">
        <v>786</v>
      </c>
      <c r="B83">
        <v>18846</v>
      </c>
      <c r="H83" s="154"/>
      <c r="I83" s="154"/>
    </row>
    <row r="84" spans="1:9" x14ac:dyDescent="0.2">
      <c r="A84" t="s">
        <v>787</v>
      </c>
      <c r="B84">
        <v>4</v>
      </c>
      <c r="H84" s="154"/>
    </row>
    <row r="85" spans="1:9" x14ac:dyDescent="0.2">
      <c r="A85" t="s">
        <v>788</v>
      </c>
      <c r="B85">
        <v>5</v>
      </c>
      <c r="H85" s="154"/>
      <c r="I85" s="154"/>
    </row>
    <row r="86" spans="1:9" x14ac:dyDescent="0.2">
      <c r="A86" t="s">
        <v>789</v>
      </c>
      <c r="B86">
        <v>6</v>
      </c>
      <c r="H86" s="154"/>
      <c r="I86" s="154"/>
    </row>
    <row r="87" spans="1:9" x14ac:dyDescent="0.2">
      <c r="A87" t="s">
        <v>790</v>
      </c>
      <c r="B87">
        <v>7</v>
      </c>
      <c r="H87" s="154"/>
    </row>
    <row r="88" spans="1:9" x14ac:dyDescent="0.2">
      <c r="A88" t="s">
        <v>791</v>
      </c>
      <c r="B88">
        <v>8</v>
      </c>
      <c r="H88" s="154"/>
      <c r="I88" s="154"/>
    </row>
    <row r="89" spans="1:9" x14ac:dyDescent="0.2">
      <c r="A89" t="s">
        <v>792</v>
      </c>
      <c r="B89">
        <v>9</v>
      </c>
      <c r="H89" s="154"/>
      <c r="I89" s="154"/>
    </row>
    <row r="90" spans="1:9" x14ac:dyDescent="0.2">
      <c r="A90" t="s">
        <v>793</v>
      </c>
      <c r="B90">
        <v>10</v>
      </c>
      <c r="H90" s="154"/>
      <c r="I90" s="154"/>
    </row>
    <row r="91" spans="1:9" x14ac:dyDescent="0.2">
      <c r="A91" t="s">
        <v>794</v>
      </c>
      <c r="B91">
        <v>11</v>
      </c>
      <c r="H91" s="154"/>
      <c r="I91" s="154"/>
    </row>
    <row r="92" spans="1:9" x14ac:dyDescent="0.2">
      <c r="A92" t="s">
        <v>795</v>
      </c>
      <c r="B92">
        <v>12</v>
      </c>
      <c r="H92" s="154"/>
      <c r="I92" s="154"/>
    </row>
    <row r="93" spans="1:9" x14ac:dyDescent="0.2">
      <c r="A93" t="s">
        <v>796</v>
      </c>
      <c r="B93">
        <v>13</v>
      </c>
      <c r="H93" s="154"/>
      <c r="I93" s="154"/>
    </row>
    <row r="94" spans="1:9" x14ac:dyDescent="0.2">
      <c r="A94" t="s">
        <v>797</v>
      </c>
      <c r="B94">
        <v>14</v>
      </c>
      <c r="H94" s="154"/>
      <c r="I94" s="154"/>
    </row>
    <row r="95" spans="1:9" x14ac:dyDescent="0.2">
      <c r="A95" t="s">
        <v>798</v>
      </c>
      <c r="B95">
        <v>15</v>
      </c>
      <c r="H95" s="154"/>
      <c r="I95" s="154"/>
    </row>
    <row r="96" spans="1:9" x14ac:dyDescent="0.2">
      <c r="A96" t="s">
        <v>799</v>
      </c>
      <c r="B96">
        <v>16</v>
      </c>
      <c r="H96" s="154"/>
      <c r="I96" s="154"/>
    </row>
    <row r="97" spans="1:9" x14ac:dyDescent="0.2">
      <c r="A97" t="s">
        <v>800</v>
      </c>
      <c r="B97">
        <v>17</v>
      </c>
      <c r="H97" s="154"/>
      <c r="I97" s="154"/>
    </row>
    <row r="98" spans="1:9" x14ac:dyDescent="0.2">
      <c r="A98" t="s">
        <v>801</v>
      </c>
      <c r="B98">
        <v>18</v>
      </c>
      <c r="H98" s="154"/>
      <c r="I98" s="154"/>
    </row>
    <row r="99" spans="1:9" x14ac:dyDescent="0.2">
      <c r="A99" t="s">
        <v>802</v>
      </c>
      <c r="B99">
        <v>19</v>
      </c>
      <c r="H99" s="154"/>
      <c r="I99" s="154"/>
    </row>
    <row r="100" spans="1:9" x14ac:dyDescent="0.2">
      <c r="A100" t="s">
        <v>803</v>
      </c>
      <c r="B100">
        <v>20</v>
      </c>
      <c r="H100" s="154"/>
      <c r="I100" s="154"/>
    </row>
    <row r="101" spans="1:9" x14ac:dyDescent="0.2">
      <c r="A101" t="s">
        <v>804</v>
      </c>
      <c r="B101">
        <v>21</v>
      </c>
      <c r="H101" s="154"/>
      <c r="I101" s="154"/>
    </row>
    <row r="102" spans="1:9" x14ac:dyDescent="0.2">
      <c r="A102" t="s">
        <v>805</v>
      </c>
      <c r="B102">
        <v>22</v>
      </c>
      <c r="H102" s="154"/>
      <c r="I102" s="154"/>
    </row>
    <row r="103" spans="1:9" x14ac:dyDescent="0.2">
      <c r="A103" t="s">
        <v>806</v>
      </c>
      <c r="B103">
        <v>23</v>
      </c>
      <c r="H103" s="154"/>
      <c r="I103" s="154"/>
    </row>
    <row r="104" spans="1:9" x14ac:dyDescent="0.2">
      <c r="A104" t="s">
        <v>807</v>
      </c>
      <c r="B104">
        <v>24</v>
      </c>
      <c r="H104" s="154"/>
      <c r="I104" s="154"/>
    </row>
    <row r="105" spans="1:9" x14ac:dyDescent="0.2">
      <c r="A105" t="s">
        <v>808</v>
      </c>
      <c r="B105">
        <v>25</v>
      </c>
      <c r="H105" s="154"/>
      <c r="I105" s="154"/>
    </row>
    <row r="106" spans="1:9" x14ac:dyDescent="0.2">
      <c r="A106" t="s">
        <v>809</v>
      </c>
      <c r="B106">
        <v>26</v>
      </c>
      <c r="H106" s="154"/>
      <c r="I106" s="154"/>
    </row>
    <row r="107" spans="1:9" x14ac:dyDescent="0.2">
      <c r="A107" t="s">
        <v>810</v>
      </c>
      <c r="B107">
        <v>27</v>
      </c>
      <c r="H107" s="154"/>
      <c r="I107" s="154"/>
    </row>
    <row r="108" spans="1:9" x14ac:dyDescent="0.2">
      <c r="A108" t="s">
        <v>811</v>
      </c>
      <c r="B108">
        <v>28</v>
      </c>
      <c r="H108" s="154"/>
      <c r="I108" s="154"/>
    </row>
    <row r="109" spans="1:9" x14ac:dyDescent="0.2">
      <c r="A109" t="s">
        <v>812</v>
      </c>
      <c r="B109">
        <v>29</v>
      </c>
      <c r="H109" s="154"/>
      <c r="I109" s="154"/>
    </row>
    <row r="110" spans="1:9" x14ac:dyDescent="0.2">
      <c r="A110" t="s">
        <v>813</v>
      </c>
      <c r="B110">
        <v>30</v>
      </c>
      <c r="H110" s="154"/>
      <c r="I110" s="154"/>
    </row>
    <row r="111" spans="1:9" x14ac:dyDescent="0.2">
      <c r="A111" t="s">
        <v>814</v>
      </c>
      <c r="B111">
        <v>38</v>
      </c>
      <c r="H111" s="154"/>
      <c r="I111" s="154"/>
    </row>
    <row r="112" spans="1:9" x14ac:dyDescent="0.2">
      <c r="A112" t="s">
        <v>815</v>
      </c>
      <c r="B112">
        <v>50</v>
      </c>
      <c r="H112" s="154"/>
      <c r="I112" s="154"/>
    </row>
    <row r="113" spans="1:9" x14ac:dyDescent="0.2">
      <c r="A113" t="s">
        <v>816</v>
      </c>
      <c r="B113">
        <v>70</v>
      </c>
      <c r="H113" s="154"/>
      <c r="I113" s="154"/>
    </row>
    <row r="114" spans="1:9" x14ac:dyDescent="0.2">
      <c r="A114" t="s">
        <v>817</v>
      </c>
      <c r="B114">
        <v>70</v>
      </c>
      <c r="H114" s="154"/>
      <c r="I114" s="154"/>
    </row>
    <row r="115" spans="1:9" x14ac:dyDescent="0.2">
      <c r="A115" t="s">
        <v>818</v>
      </c>
      <c r="B115">
        <v>70</v>
      </c>
      <c r="H115" s="154"/>
      <c r="I115" s="154"/>
    </row>
    <row r="116" spans="1:9" x14ac:dyDescent="0.2">
      <c r="A116" t="s">
        <v>819</v>
      </c>
      <c r="H116" s="154"/>
      <c r="I116" s="154"/>
    </row>
    <row r="117" spans="1:9" x14ac:dyDescent="0.2">
      <c r="A117" t="s">
        <v>820</v>
      </c>
      <c r="B117">
        <v>1072929</v>
      </c>
      <c r="H117" s="154"/>
      <c r="I117" s="154"/>
    </row>
    <row r="118" spans="1:9" x14ac:dyDescent="0.2">
      <c r="A118" t="s">
        <v>821</v>
      </c>
      <c r="B118">
        <v>463329</v>
      </c>
      <c r="H118" s="154"/>
      <c r="I118" s="154"/>
    </row>
    <row r="119" spans="1:9" x14ac:dyDescent="0.2">
      <c r="A119" t="s">
        <v>822</v>
      </c>
      <c r="B119">
        <v>37037</v>
      </c>
      <c r="H119" s="154"/>
      <c r="I119" s="154"/>
    </row>
    <row r="120" spans="1:9" x14ac:dyDescent="0.2">
      <c r="A120" t="s">
        <v>823</v>
      </c>
      <c r="B120">
        <v>10731</v>
      </c>
      <c r="H120" s="154"/>
      <c r="I120" s="154"/>
    </row>
    <row r="121" spans="1:9" x14ac:dyDescent="0.2">
      <c r="A121" t="s">
        <v>824</v>
      </c>
      <c r="B121">
        <v>5199</v>
      </c>
      <c r="H121" s="154"/>
      <c r="I121" s="154"/>
    </row>
    <row r="122" spans="1:9" x14ac:dyDescent="0.2">
      <c r="A122" t="s">
        <v>825</v>
      </c>
      <c r="B122">
        <v>579</v>
      </c>
      <c r="H122" s="154"/>
      <c r="I122" s="154"/>
    </row>
    <row r="123" spans="1:9" x14ac:dyDescent="0.2">
      <c r="A123" t="s">
        <v>826</v>
      </c>
      <c r="B123">
        <v>115</v>
      </c>
      <c r="H123" s="154"/>
      <c r="I123" s="154"/>
    </row>
    <row r="124" spans="1:9" x14ac:dyDescent="0.2">
      <c r="A124" t="s">
        <v>827</v>
      </c>
      <c r="B124">
        <v>37</v>
      </c>
      <c r="H124" s="154"/>
      <c r="I124" s="154"/>
    </row>
    <row r="125" spans="1:9" x14ac:dyDescent="0.2">
      <c r="A125" t="s">
        <v>828</v>
      </c>
      <c r="B125">
        <v>1072929</v>
      </c>
      <c r="H125" s="154"/>
      <c r="I125" s="154"/>
    </row>
    <row r="126" spans="1:9" x14ac:dyDescent="0.2">
      <c r="A126" t="s">
        <v>829</v>
      </c>
      <c r="B126">
        <v>463329</v>
      </c>
      <c r="H126" s="154"/>
      <c r="I126" s="154"/>
    </row>
    <row r="127" spans="1:9" x14ac:dyDescent="0.2">
      <c r="A127" t="s">
        <v>830</v>
      </c>
      <c r="B127">
        <v>37037</v>
      </c>
      <c r="H127" s="154"/>
      <c r="I127" s="154"/>
    </row>
    <row r="128" spans="1:9" x14ac:dyDescent="0.2">
      <c r="A128" t="s">
        <v>831</v>
      </c>
      <c r="B128">
        <v>10731</v>
      </c>
      <c r="H128" s="154"/>
      <c r="I128" s="154"/>
    </row>
    <row r="129" spans="1:9" x14ac:dyDescent="0.2">
      <c r="A129" t="s">
        <v>832</v>
      </c>
      <c r="B129">
        <v>5199</v>
      </c>
      <c r="H129" s="154"/>
      <c r="I129" s="154"/>
    </row>
    <row r="130" spans="1:9" x14ac:dyDescent="0.2">
      <c r="A130" t="s">
        <v>833</v>
      </c>
      <c r="B130">
        <v>579</v>
      </c>
      <c r="H130" s="154"/>
      <c r="I130" s="155"/>
    </row>
    <row r="131" spans="1:9" x14ac:dyDescent="0.2">
      <c r="A131" t="s">
        <v>834</v>
      </c>
      <c r="B131">
        <v>115</v>
      </c>
      <c r="H131" s="154"/>
      <c r="I131" s="154"/>
    </row>
    <row r="132" spans="1:9" x14ac:dyDescent="0.2">
      <c r="A132" t="s">
        <v>835</v>
      </c>
      <c r="B132">
        <v>37</v>
      </c>
      <c r="H132" s="154"/>
      <c r="I132" s="154"/>
    </row>
    <row r="133" spans="1:9" x14ac:dyDescent="0.2">
      <c r="A133" t="s">
        <v>836</v>
      </c>
      <c r="B133">
        <v>1072929</v>
      </c>
      <c r="H133" s="154"/>
      <c r="I133" s="154"/>
    </row>
    <row r="134" spans="1:9" x14ac:dyDescent="0.2">
      <c r="A134" t="s">
        <v>837</v>
      </c>
      <c r="B134">
        <v>463329</v>
      </c>
      <c r="H134" s="154"/>
      <c r="I134" s="154"/>
    </row>
    <row r="135" spans="1:9" x14ac:dyDescent="0.2">
      <c r="A135" t="s">
        <v>838</v>
      </c>
      <c r="B135">
        <v>37037</v>
      </c>
      <c r="H135" s="154"/>
      <c r="I135" s="154"/>
    </row>
    <row r="136" spans="1:9" x14ac:dyDescent="0.2">
      <c r="A136" t="s">
        <v>839</v>
      </c>
      <c r="B136">
        <v>10731</v>
      </c>
      <c r="H136" s="154"/>
      <c r="I136" s="154"/>
    </row>
    <row r="137" spans="1:9" x14ac:dyDescent="0.2">
      <c r="A137" t="s">
        <v>840</v>
      </c>
      <c r="B137">
        <v>5199</v>
      </c>
      <c r="H137" s="154"/>
      <c r="I137" s="154"/>
    </row>
    <row r="138" spans="1:9" x14ac:dyDescent="0.2">
      <c r="A138" t="s">
        <v>841</v>
      </c>
      <c r="B138">
        <v>579</v>
      </c>
      <c r="H138" s="154"/>
      <c r="I138" s="154"/>
    </row>
    <row r="139" spans="1:9" x14ac:dyDescent="0.2">
      <c r="A139" t="s">
        <v>842</v>
      </c>
      <c r="B139">
        <v>115</v>
      </c>
      <c r="H139" s="154"/>
      <c r="I139" s="154"/>
    </row>
    <row r="140" spans="1:9" x14ac:dyDescent="0.2">
      <c r="A140" t="s">
        <v>843</v>
      </c>
      <c r="B140">
        <v>37</v>
      </c>
      <c r="H140" s="154"/>
      <c r="I140" s="154"/>
    </row>
    <row r="141" spans="1:9" x14ac:dyDescent="0.2">
      <c r="A141" t="s">
        <v>844</v>
      </c>
      <c r="B141">
        <v>1056340</v>
      </c>
      <c r="H141" s="154"/>
      <c r="I141" s="154"/>
    </row>
    <row r="142" spans="1:9" x14ac:dyDescent="0.2">
      <c r="A142" t="s">
        <v>845</v>
      </c>
      <c r="B142">
        <v>459350</v>
      </c>
      <c r="H142" s="154"/>
      <c r="I142" s="154"/>
    </row>
    <row r="143" spans="1:9" x14ac:dyDescent="0.2">
      <c r="A143" t="s">
        <v>846</v>
      </c>
      <c r="B143">
        <v>36410</v>
      </c>
      <c r="H143" s="154"/>
      <c r="I143" s="154"/>
    </row>
    <row r="144" spans="1:9" x14ac:dyDescent="0.2">
      <c r="A144" t="s">
        <v>847</v>
      </c>
      <c r="B144">
        <v>10940</v>
      </c>
      <c r="H144" s="154"/>
      <c r="I144" s="157"/>
    </row>
    <row r="145" spans="1:2" x14ac:dyDescent="0.2">
      <c r="A145" t="s">
        <v>848</v>
      </c>
      <c r="B145">
        <v>5210</v>
      </c>
    </row>
    <row r="146" spans="1:2" x14ac:dyDescent="0.2">
      <c r="A146" t="s">
        <v>849</v>
      </c>
      <c r="B146">
        <v>611.721</v>
      </c>
    </row>
    <row r="147" spans="1:2" x14ac:dyDescent="0.2">
      <c r="A147" t="s">
        <v>850</v>
      </c>
      <c r="B147">
        <v>145.303</v>
      </c>
    </row>
    <row r="148" spans="1:2" x14ac:dyDescent="0.2">
      <c r="A148" t="s">
        <v>851</v>
      </c>
      <c r="B148">
        <v>24.939</v>
      </c>
    </row>
    <row r="149" spans="1:2" x14ac:dyDescent="0.2">
      <c r="A149" s="166" t="s">
        <v>852</v>
      </c>
      <c r="B149">
        <v>10729.3</v>
      </c>
    </row>
    <row r="150" spans="1:2" x14ac:dyDescent="0.2">
      <c r="A150" t="s">
        <v>853</v>
      </c>
      <c r="B150">
        <v>6948.34</v>
      </c>
    </row>
    <row r="151" spans="1:2" x14ac:dyDescent="0.2">
      <c r="A151" t="s">
        <v>854</v>
      </c>
      <c r="B151">
        <v>4633.29</v>
      </c>
    </row>
    <row r="152" spans="1:2" x14ac:dyDescent="0.2">
      <c r="A152" t="s">
        <v>855</v>
      </c>
      <c r="B152">
        <v>3248.67</v>
      </c>
    </row>
    <row r="153" spans="1:2" x14ac:dyDescent="0.2">
      <c r="A153" t="s">
        <v>856</v>
      </c>
      <c r="B153">
        <v>2210.09</v>
      </c>
    </row>
    <row r="154" spans="1:2" x14ac:dyDescent="0.2">
      <c r="A154" t="s">
        <v>857</v>
      </c>
      <c r="B154">
        <v>1530.73</v>
      </c>
    </row>
    <row r="155" spans="1:2" x14ac:dyDescent="0.2">
      <c r="A155" t="s">
        <v>858</v>
      </c>
      <c r="B155">
        <v>1095.48</v>
      </c>
    </row>
    <row r="156" spans="1:2" x14ac:dyDescent="0.2">
      <c r="A156" t="s">
        <v>859</v>
      </c>
      <c r="B156">
        <v>790.11</v>
      </c>
    </row>
    <row r="157" spans="1:2" x14ac:dyDescent="0.2">
      <c r="A157" t="s">
        <v>860</v>
      </c>
      <c r="B157">
        <v>588.26099999999997</v>
      </c>
    </row>
    <row r="158" spans="1:2" x14ac:dyDescent="0.2">
      <c r="A158" t="s">
        <v>861</v>
      </c>
      <c r="B158">
        <v>455.04</v>
      </c>
    </row>
    <row r="159" spans="1:2" x14ac:dyDescent="0.2">
      <c r="A159" t="s">
        <v>862</v>
      </c>
      <c r="B159">
        <v>370.38</v>
      </c>
    </row>
    <row r="160" spans="1:2" x14ac:dyDescent="0.2">
      <c r="A160" t="s">
        <v>863</v>
      </c>
      <c r="B160">
        <v>303.375</v>
      </c>
    </row>
    <row r="161" spans="1:2" x14ac:dyDescent="0.2">
      <c r="A161" t="s">
        <v>864</v>
      </c>
      <c r="B161">
        <v>250.68899999999999</v>
      </c>
    </row>
    <row r="162" spans="1:2" x14ac:dyDescent="0.2">
      <c r="A162" t="s">
        <v>865</v>
      </c>
      <c r="B162">
        <v>208.98500000000001</v>
      </c>
    </row>
    <row r="163" spans="1:2" x14ac:dyDescent="0.2">
      <c r="A163" t="s">
        <v>866</v>
      </c>
      <c r="B163">
        <v>176.78</v>
      </c>
    </row>
    <row r="164" spans="1:2" x14ac:dyDescent="0.2">
      <c r="A164" t="s">
        <v>867</v>
      </c>
      <c r="B164">
        <v>151.803</v>
      </c>
    </row>
    <row r="165" spans="1:2" x14ac:dyDescent="0.2">
      <c r="A165" t="s">
        <v>868</v>
      </c>
      <c r="B165">
        <v>128.542</v>
      </c>
    </row>
    <row r="166" spans="1:2" x14ac:dyDescent="0.2">
      <c r="A166" t="s">
        <v>869</v>
      </c>
      <c r="B166">
        <v>107.319</v>
      </c>
    </row>
    <row r="167" spans="1:2" x14ac:dyDescent="0.2">
      <c r="A167" t="s">
        <v>870</v>
      </c>
      <c r="B167">
        <v>90.034800000000004</v>
      </c>
    </row>
    <row r="168" spans="1:2" x14ac:dyDescent="0.2">
      <c r="A168" t="s">
        <v>871</v>
      </c>
      <c r="B168">
        <v>75.808999999999997</v>
      </c>
    </row>
    <row r="169" spans="1:2" x14ac:dyDescent="0.2">
      <c r="A169" t="s">
        <v>872</v>
      </c>
      <c r="B169">
        <v>62.787999999999997</v>
      </c>
    </row>
    <row r="170" spans="1:2" x14ac:dyDescent="0.2">
      <c r="A170" t="s">
        <v>873</v>
      </c>
      <c r="B170">
        <v>51.991300000000003</v>
      </c>
    </row>
    <row r="171" spans="1:2" x14ac:dyDescent="0.2">
      <c r="A171" t="s">
        <v>874</v>
      </c>
      <c r="B171">
        <v>41.472499999999997</v>
      </c>
    </row>
    <row r="172" spans="1:2" x14ac:dyDescent="0.2">
      <c r="A172" t="s">
        <v>875</v>
      </c>
      <c r="B172">
        <v>34.104799999999997</v>
      </c>
    </row>
    <row r="173" spans="1:2" x14ac:dyDescent="0.2">
      <c r="A173" t="s">
        <v>876</v>
      </c>
      <c r="B173">
        <v>29.61</v>
      </c>
    </row>
    <row r="174" spans="1:2" x14ac:dyDescent="0.2">
      <c r="A174" t="s">
        <v>877</v>
      </c>
      <c r="B174">
        <v>25.300599999999999</v>
      </c>
    </row>
    <row r="175" spans="1:2" x14ac:dyDescent="0.2">
      <c r="A175" t="s">
        <v>878</v>
      </c>
      <c r="B175">
        <v>19.786300000000001</v>
      </c>
    </row>
    <row r="176" spans="1:2" x14ac:dyDescent="0.2">
      <c r="A176" t="s">
        <v>879</v>
      </c>
      <c r="B176">
        <v>5.7922500000000001</v>
      </c>
    </row>
    <row r="177" spans="1:2" x14ac:dyDescent="0.2">
      <c r="A177" t="s">
        <v>880</v>
      </c>
      <c r="B177">
        <v>1.15845</v>
      </c>
    </row>
    <row r="178" spans="1:2" x14ac:dyDescent="0.2">
      <c r="A178" t="s">
        <v>881</v>
      </c>
      <c r="B178">
        <v>0.37070399999999998</v>
      </c>
    </row>
    <row r="179" spans="1:2" x14ac:dyDescent="0.2">
      <c r="A179" t="s">
        <v>882</v>
      </c>
      <c r="B179">
        <v>0.37070399999999998</v>
      </c>
    </row>
    <row r="180" spans="1:2" x14ac:dyDescent="0.2">
      <c r="A180" t="s">
        <v>883</v>
      </c>
      <c r="B180">
        <v>0.37070399999999998</v>
      </c>
    </row>
    <row r="181" spans="1:2" x14ac:dyDescent="0.2">
      <c r="A181" t="s">
        <v>884</v>
      </c>
      <c r="B181">
        <v>10729.3</v>
      </c>
    </row>
    <row r="182" spans="1:2" x14ac:dyDescent="0.2">
      <c r="A182" t="s">
        <v>885</v>
      </c>
      <c r="B182">
        <v>6948.34</v>
      </c>
    </row>
    <row r="183" spans="1:2" x14ac:dyDescent="0.2">
      <c r="A183" t="s">
        <v>886</v>
      </c>
      <c r="B183">
        <v>4633.29</v>
      </c>
    </row>
    <row r="184" spans="1:2" x14ac:dyDescent="0.2">
      <c r="A184" t="s">
        <v>887</v>
      </c>
      <c r="B184">
        <v>3248.67</v>
      </c>
    </row>
    <row r="185" spans="1:2" x14ac:dyDescent="0.2">
      <c r="A185" t="s">
        <v>888</v>
      </c>
      <c r="B185">
        <v>2210.09</v>
      </c>
    </row>
    <row r="186" spans="1:2" x14ac:dyDescent="0.2">
      <c r="A186" t="s">
        <v>889</v>
      </c>
      <c r="B186">
        <v>1530.73</v>
      </c>
    </row>
    <row r="187" spans="1:2" x14ac:dyDescent="0.2">
      <c r="A187" t="s">
        <v>890</v>
      </c>
      <c r="B187">
        <v>1095.48</v>
      </c>
    </row>
    <row r="188" spans="1:2" x14ac:dyDescent="0.2">
      <c r="A188" t="s">
        <v>891</v>
      </c>
      <c r="B188">
        <v>790.11</v>
      </c>
    </row>
    <row r="189" spans="1:2" x14ac:dyDescent="0.2">
      <c r="A189" t="s">
        <v>892</v>
      </c>
      <c r="B189">
        <v>588.26099999999997</v>
      </c>
    </row>
    <row r="190" spans="1:2" x14ac:dyDescent="0.2">
      <c r="A190" t="s">
        <v>893</v>
      </c>
      <c r="B190">
        <v>455.04</v>
      </c>
    </row>
    <row r="191" spans="1:2" x14ac:dyDescent="0.2">
      <c r="A191" t="s">
        <v>894</v>
      </c>
      <c r="B191">
        <v>370.38</v>
      </c>
    </row>
    <row r="192" spans="1:2" x14ac:dyDescent="0.2">
      <c r="A192" t="s">
        <v>895</v>
      </c>
      <c r="B192">
        <v>303.375</v>
      </c>
    </row>
    <row r="193" spans="1:2" x14ac:dyDescent="0.2">
      <c r="A193" t="s">
        <v>896</v>
      </c>
      <c r="B193">
        <v>250.68899999999999</v>
      </c>
    </row>
    <row r="194" spans="1:2" x14ac:dyDescent="0.2">
      <c r="A194" t="s">
        <v>897</v>
      </c>
      <c r="B194">
        <v>208.98500000000001</v>
      </c>
    </row>
    <row r="195" spans="1:2" x14ac:dyDescent="0.2">
      <c r="A195" t="s">
        <v>898</v>
      </c>
      <c r="B195">
        <v>176.78</v>
      </c>
    </row>
    <row r="196" spans="1:2" x14ac:dyDescent="0.2">
      <c r="A196" t="s">
        <v>899</v>
      </c>
      <c r="B196">
        <v>151.803</v>
      </c>
    </row>
    <row r="197" spans="1:2" x14ac:dyDescent="0.2">
      <c r="A197" t="s">
        <v>900</v>
      </c>
      <c r="B197">
        <v>128.542</v>
      </c>
    </row>
    <row r="198" spans="1:2" x14ac:dyDescent="0.2">
      <c r="A198" t="s">
        <v>901</v>
      </c>
      <c r="B198">
        <v>107.319</v>
      </c>
    </row>
    <row r="199" spans="1:2" x14ac:dyDescent="0.2">
      <c r="A199" t="s">
        <v>902</v>
      </c>
      <c r="B199">
        <v>90.034800000000004</v>
      </c>
    </row>
    <row r="200" spans="1:2" x14ac:dyDescent="0.2">
      <c r="A200" t="s">
        <v>903</v>
      </c>
      <c r="B200">
        <v>75.808999999999997</v>
      </c>
    </row>
    <row r="201" spans="1:2" x14ac:dyDescent="0.2">
      <c r="A201" t="s">
        <v>904</v>
      </c>
      <c r="B201">
        <v>62.787999999999997</v>
      </c>
    </row>
    <row r="202" spans="1:2" x14ac:dyDescent="0.2">
      <c r="A202" t="s">
        <v>905</v>
      </c>
      <c r="B202">
        <v>51.991300000000003</v>
      </c>
    </row>
    <row r="203" spans="1:2" x14ac:dyDescent="0.2">
      <c r="A203" t="s">
        <v>906</v>
      </c>
      <c r="B203">
        <v>41.472499999999997</v>
      </c>
    </row>
    <row r="204" spans="1:2" x14ac:dyDescent="0.2">
      <c r="A204" t="s">
        <v>907</v>
      </c>
      <c r="B204">
        <v>34.104799999999997</v>
      </c>
    </row>
    <row r="205" spans="1:2" x14ac:dyDescent="0.2">
      <c r="A205" t="s">
        <v>908</v>
      </c>
      <c r="B205">
        <v>29.61</v>
      </c>
    </row>
    <row r="206" spans="1:2" x14ac:dyDescent="0.2">
      <c r="A206" t="s">
        <v>909</v>
      </c>
      <c r="B206">
        <v>25.300599999999999</v>
      </c>
    </row>
    <row r="207" spans="1:2" x14ac:dyDescent="0.2">
      <c r="A207" t="s">
        <v>910</v>
      </c>
      <c r="B207">
        <v>19.786300000000001</v>
      </c>
    </row>
    <row r="208" spans="1:2" x14ac:dyDescent="0.2">
      <c r="A208" t="s">
        <v>911</v>
      </c>
      <c r="B208">
        <v>5.7922500000000001</v>
      </c>
    </row>
    <row r="209" spans="1:2" x14ac:dyDescent="0.2">
      <c r="A209" t="s">
        <v>912</v>
      </c>
      <c r="B209">
        <v>1.15845</v>
      </c>
    </row>
    <row r="210" spans="1:2" x14ac:dyDescent="0.2">
      <c r="A210" t="s">
        <v>913</v>
      </c>
      <c r="B210">
        <v>0.37070399999999998</v>
      </c>
    </row>
    <row r="211" spans="1:2" x14ac:dyDescent="0.2">
      <c r="A211" t="s">
        <v>914</v>
      </c>
      <c r="B211">
        <v>0.37070399999999998</v>
      </c>
    </row>
    <row r="212" spans="1:2" x14ac:dyDescent="0.2">
      <c r="A212" t="s">
        <v>915</v>
      </c>
      <c r="B212">
        <v>0.37070399999999998</v>
      </c>
    </row>
    <row r="213" spans="1:2" x14ac:dyDescent="0.2">
      <c r="A213" t="s">
        <v>916</v>
      </c>
      <c r="B213">
        <v>10729.3</v>
      </c>
    </row>
    <row r="214" spans="1:2" x14ac:dyDescent="0.2">
      <c r="A214" t="s">
        <v>917</v>
      </c>
      <c r="B214">
        <v>6948.34</v>
      </c>
    </row>
    <row r="215" spans="1:2" x14ac:dyDescent="0.2">
      <c r="A215" t="s">
        <v>918</v>
      </c>
      <c r="B215">
        <v>4633.29</v>
      </c>
    </row>
    <row r="216" spans="1:2" x14ac:dyDescent="0.2">
      <c r="A216" t="s">
        <v>919</v>
      </c>
      <c r="B216">
        <v>3248.67</v>
      </c>
    </row>
    <row r="217" spans="1:2" x14ac:dyDescent="0.2">
      <c r="A217" t="s">
        <v>920</v>
      </c>
      <c r="B217">
        <v>2210.09</v>
      </c>
    </row>
    <row r="218" spans="1:2" x14ac:dyDescent="0.2">
      <c r="A218" t="s">
        <v>921</v>
      </c>
      <c r="B218">
        <v>1530.73</v>
      </c>
    </row>
    <row r="219" spans="1:2" x14ac:dyDescent="0.2">
      <c r="A219" t="s">
        <v>922</v>
      </c>
      <c r="B219">
        <v>1095.48</v>
      </c>
    </row>
    <row r="220" spans="1:2" x14ac:dyDescent="0.2">
      <c r="A220" t="s">
        <v>923</v>
      </c>
      <c r="B220">
        <v>790.11</v>
      </c>
    </row>
    <row r="221" spans="1:2" x14ac:dyDescent="0.2">
      <c r="A221" t="s">
        <v>924</v>
      </c>
      <c r="B221">
        <v>588.26099999999997</v>
      </c>
    </row>
    <row r="222" spans="1:2" x14ac:dyDescent="0.2">
      <c r="A222" t="s">
        <v>925</v>
      </c>
      <c r="B222">
        <v>455.04</v>
      </c>
    </row>
    <row r="223" spans="1:2" x14ac:dyDescent="0.2">
      <c r="A223" t="s">
        <v>926</v>
      </c>
      <c r="B223">
        <v>370.38</v>
      </c>
    </row>
    <row r="224" spans="1:2" x14ac:dyDescent="0.2">
      <c r="A224" t="s">
        <v>927</v>
      </c>
      <c r="B224">
        <v>303.375</v>
      </c>
    </row>
    <row r="225" spans="1:2" x14ac:dyDescent="0.2">
      <c r="A225" t="s">
        <v>928</v>
      </c>
      <c r="B225">
        <v>250.68899999999999</v>
      </c>
    </row>
    <row r="226" spans="1:2" x14ac:dyDescent="0.2">
      <c r="A226" t="s">
        <v>929</v>
      </c>
      <c r="B226">
        <v>208.98500000000001</v>
      </c>
    </row>
    <row r="227" spans="1:2" x14ac:dyDescent="0.2">
      <c r="A227" t="s">
        <v>930</v>
      </c>
      <c r="B227">
        <v>176.78</v>
      </c>
    </row>
    <row r="228" spans="1:2" x14ac:dyDescent="0.2">
      <c r="A228" t="s">
        <v>931</v>
      </c>
      <c r="B228">
        <v>151.803</v>
      </c>
    </row>
    <row r="229" spans="1:2" x14ac:dyDescent="0.2">
      <c r="A229" t="s">
        <v>932</v>
      </c>
      <c r="B229">
        <v>128.542</v>
      </c>
    </row>
    <row r="230" spans="1:2" x14ac:dyDescent="0.2">
      <c r="A230" t="s">
        <v>933</v>
      </c>
      <c r="B230">
        <v>107.319</v>
      </c>
    </row>
    <row r="231" spans="1:2" x14ac:dyDescent="0.2">
      <c r="A231" t="s">
        <v>934</v>
      </c>
      <c r="B231">
        <v>90.034800000000004</v>
      </c>
    </row>
    <row r="232" spans="1:2" x14ac:dyDescent="0.2">
      <c r="A232" t="s">
        <v>935</v>
      </c>
      <c r="B232">
        <v>75.808999999999997</v>
      </c>
    </row>
    <row r="233" spans="1:2" x14ac:dyDescent="0.2">
      <c r="A233" t="s">
        <v>936</v>
      </c>
      <c r="B233">
        <v>62.787999999999997</v>
      </c>
    </row>
    <row r="234" spans="1:2" x14ac:dyDescent="0.2">
      <c r="A234" t="s">
        <v>937</v>
      </c>
      <c r="B234">
        <v>51.991300000000003</v>
      </c>
    </row>
    <row r="235" spans="1:2" x14ac:dyDescent="0.2">
      <c r="A235" t="s">
        <v>938</v>
      </c>
      <c r="B235">
        <v>41.472499999999997</v>
      </c>
    </row>
    <row r="236" spans="1:2" x14ac:dyDescent="0.2">
      <c r="A236" t="s">
        <v>939</v>
      </c>
      <c r="B236">
        <v>34.104799999999997</v>
      </c>
    </row>
    <row r="237" spans="1:2" x14ac:dyDescent="0.2">
      <c r="A237" t="s">
        <v>940</v>
      </c>
      <c r="B237">
        <v>29.61</v>
      </c>
    </row>
    <row r="238" spans="1:2" x14ac:dyDescent="0.2">
      <c r="A238" t="s">
        <v>941</v>
      </c>
      <c r="B238">
        <v>25.300599999999999</v>
      </c>
    </row>
    <row r="239" spans="1:2" x14ac:dyDescent="0.2">
      <c r="A239" t="s">
        <v>942</v>
      </c>
      <c r="B239">
        <v>19.786300000000001</v>
      </c>
    </row>
    <row r="240" spans="1:2" x14ac:dyDescent="0.2">
      <c r="A240" t="s">
        <v>943</v>
      </c>
      <c r="B240">
        <v>5.7922500000000001</v>
      </c>
    </row>
    <row r="241" spans="1:2" x14ac:dyDescent="0.2">
      <c r="A241" t="s">
        <v>944</v>
      </c>
      <c r="B241">
        <v>1.15845</v>
      </c>
    </row>
    <row r="242" spans="1:2" x14ac:dyDescent="0.2">
      <c r="A242" t="s">
        <v>945</v>
      </c>
      <c r="B242">
        <v>0.37070399999999998</v>
      </c>
    </row>
    <row r="243" spans="1:2" x14ac:dyDescent="0.2">
      <c r="A243" t="s">
        <v>946</v>
      </c>
      <c r="B243">
        <v>0.37070399999999998</v>
      </c>
    </row>
    <row r="244" spans="1:2" x14ac:dyDescent="0.2">
      <c r="A244" t="s">
        <v>947</v>
      </c>
      <c r="B244">
        <v>0.37070399999999998</v>
      </c>
    </row>
    <row r="245" spans="1:2" x14ac:dyDescent="0.2">
      <c r="A245" t="s">
        <v>948</v>
      </c>
      <c r="B245">
        <v>10563.4</v>
      </c>
    </row>
    <row r="246" spans="1:2" x14ac:dyDescent="0.2">
      <c r="A246" t="s">
        <v>949</v>
      </c>
      <c r="B246">
        <v>6899.8</v>
      </c>
    </row>
    <row r="247" spans="1:2" x14ac:dyDescent="0.2">
      <c r="A247" t="s">
        <v>950</v>
      </c>
      <c r="B247">
        <v>4593.5</v>
      </c>
    </row>
    <row r="248" spans="1:2" x14ac:dyDescent="0.2">
      <c r="A248" t="s">
        <v>951</v>
      </c>
      <c r="B248">
        <v>3202.3</v>
      </c>
    </row>
    <row r="249" spans="1:2" x14ac:dyDescent="0.2">
      <c r="A249" t="s">
        <v>952</v>
      </c>
      <c r="B249">
        <v>2184.8000000000002</v>
      </c>
    </row>
    <row r="250" spans="1:2" x14ac:dyDescent="0.2">
      <c r="A250" t="s">
        <v>953</v>
      </c>
      <c r="B250">
        <v>1501.7</v>
      </c>
    </row>
    <row r="251" spans="1:2" x14ac:dyDescent="0.2">
      <c r="A251" t="s">
        <v>954</v>
      </c>
      <c r="B251">
        <v>1069.5</v>
      </c>
    </row>
    <row r="252" spans="1:2" x14ac:dyDescent="0.2">
      <c r="A252" t="s">
        <v>955</v>
      </c>
      <c r="B252">
        <v>779</v>
      </c>
    </row>
    <row r="253" spans="1:2" x14ac:dyDescent="0.2">
      <c r="A253" t="s">
        <v>956</v>
      </c>
      <c r="B253">
        <v>583.4</v>
      </c>
    </row>
    <row r="254" spans="1:2" x14ac:dyDescent="0.2">
      <c r="A254" t="s">
        <v>957</v>
      </c>
      <c r="B254">
        <v>453.2</v>
      </c>
    </row>
    <row r="255" spans="1:2" x14ac:dyDescent="0.2">
      <c r="A255" t="s">
        <v>958</v>
      </c>
      <c r="B255">
        <v>364.1</v>
      </c>
    </row>
    <row r="256" spans="1:2" x14ac:dyDescent="0.2">
      <c r="A256" t="s">
        <v>959</v>
      </c>
      <c r="B256">
        <v>296.89999999999998</v>
      </c>
    </row>
    <row r="257" spans="1:2" x14ac:dyDescent="0.2">
      <c r="A257" t="s">
        <v>960</v>
      </c>
      <c r="B257">
        <v>246.4</v>
      </c>
    </row>
    <row r="258" spans="1:2" x14ac:dyDescent="0.2">
      <c r="A258" t="s">
        <v>961</v>
      </c>
      <c r="B258">
        <v>208.5</v>
      </c>
    </row>
    <row r="259" spans="1:2" x14ac:dyDescent="0.2">
      <c r="A259" t="s">
        <v>962</v>
      </c>
      <c r="B259">
        <v>178.7</v>
      </c>
    </row>
    <row r="260" spans="1:2" x14ac:dyDescent="0.2">
      <c r="A260" t="s">
        <v>963</v>
      </c>
      <c r="B260">
        <v>153.30000000000001</v>
      </c>
    </row>
    <row r="261" spans="1:2" x14ac:dyDescent="0.2">
      <c r="A261" t="s">
        <v>964</v>
      </c>
      <c r="B261">
        <v>130.4</v>
      </c>
    </row>
    <row r="262" spans="1:2" x14ac:dyDescent="0.2">
      <c r="A262" t="s">
        <v>965</v>
      </c>
      <c r="B262">
        <v>109.4</v>
      </c>
    </row>
    <row r="263" spans="1:2" x14ac:dyDescent="0.2">
      <c r="A263" t="s">
        <v>966</v>
      </c>
      <c r="B263">
        <v>91.3</v>
      </c>
    </row>
    <row r="264" spans="1:2" x14ac:dyDescent="0.2">
      <c r="A264" t="s">
        <v>967</v>
      </c>
      <c r="B264">
        <v>76.099999999999994</v>
      </c>
    </row>
    <row r="265" spans="1:2" x14ac:dyDescent="0.2">
      <c r="A265" t="s">
        <v>968</v>
      </c>
      <c r="B265">
        <v>63.1</v>
      </c>
    </row>
    <row r="266" spans="1:2" x14ac:dyDescent="0.2">
      <c r="A266" t="s">
        <v>969</v>
      </c>
      <c r="B266">
        <v>52.1</v>
      </c>
    </row>
    <row r="267" spans="1:2" x14ac:dyDescent="0.2">
      <c r="A267" t="s">
        <v>970</v>
      </c>
      <c r="B267">
        <v>43</v>
      </c>
    </row>
    <row r="268" spans="1:2" x14ac:dyDescent="0.2">
      <c r="A268" t="s">
        <v>971</v>
      </c>
      <c r="B268">
        <v>35.700000000000003</v>
      </c>
    </row>
    <row r="269" spans="1:2" x14ac:dyDescent="0.2">
      <c r="A269" t="s">
        <v>972</v>
      </c>
      <c r="B269">
        <v>29.8</v>
      </c>
    </row>
    <row r="270" spans="1:2" x14ac:dyDescent="0.2">
      <c r="A270" t="s">
        <v>973</v>
      </c>
      <c r="B270">
        <v>25.2</v>
      </c>
    </row>
    <row r="271" spans="1:2" x14ac:dyDescent="0.2">
      <c r="A271" t="s">
        <v>974</v>
      </c>
      <c r="B271">
        <v>21.1</v>
      </c>
    </row>
    <row r="272" spans="1:2" x14ac:dyDescent="0.2">
      <c r="A272" t="s">
        <v>975</v>
      </c>
      <c r="B272">
        <v>6.11721</v>
      </c>
    </row>
    <row r="273" spans="1:2" x14ac:dyDescent="0.2">
      <c r="A273" t="s">
        <v>976</v>
      </c>
      <c r="B273">
        <v>1.45303</v>
      </c>
    </row>
    <row r="274" spans="1:2" x14ac:dyDescent="0.2">
      <c r="A274" t="s">
        <v>977</v>
      </c>
      <c r="B274">
        <v>0.24939</v>
      </c>
    </row>
    <row r="275" spans="1:2" x14ac:dyDescent="0.2">
      <c r="A275" t="s">
        <v>978</v>
      </c>
      <c r="B275">
        <v>0.24939</v>
      </c>
    </row>
    <row r="276" spans="1:2" x14ac:dyDescent="0.2">
      <c r="A276" t="s">
        <v>979</v>
      </c>
      <c r="B276">
        <v>0.24939</v>
      </c>
    </row>
    <row r="277" spans="1:2" x14ac:dyDescent="0.2">
      <c r="A277" t="s">
        <v>980</v>
      </c>
    </row>
    <row r="278" spans="1:2" x14ac:dyDescent="0.2">
      <c r="A278" t="s">
        <v>981</v>
      </c>
      <c r="B278">
        <v>59</v>
      </c>
    </row>
    <row r="279" spans="1:2" x14ac:dyDescent="0.2">
      <c r="A279" t="s">
        <v>982</v>
      </c>
      <c r="B279">
        <v>428</v>
      </c>
    </row>
    <row r="280" spans="1:2" x14ac:dyDescent="0.2">
      <c r="A280" t="s">
        <v>983</v>
      </c>
      <c r="B280">
        <v>12599</v>
      </c>
    </row>
    <row r="281" spans="1:2" x14ac:dyDescent="0.2">
      <c r="A281" s="166" t="s">
        <v>984</v>
      </c>
      <c r="B281">
        <v>34</v>
      </c>
    </row>
    <row r="282" spans="1:2" x14ac:dyDescent="0.2">
      <c r="A282" t="s">
        <v>985</v>
      </c>
    </row>
    <row r="283" spans="1:2" x14ac:dyDescent="0.2">
      <c r="A283" s="166" t="s">
        <v>986</v>
      </c>
      <c r="B283">
        <v>46189.599999999999</v>
      </c>
    </row>
    <row r="284" spans="1:2" x14ac:dyDescent="0.2">
      <c r="A284" t="s">
        <v>987</v>
      </c>
      <c r="B284">
        <v>-1</v>
      </c>
    </row>
    <row r="285" spans="1:2" x14ac:dyDescent="0.2">
      <c r="A285" t="s">
        <v>988</v>
      </c>
    </row>
    <row r="286" spans="1:2" x14ac:dyDescent="0.2">
      <c r="A286" t="s">
        <v>989</v>
      </c>
      <c r="B286">
        <v>0</v>
      </c>
    </row>
    <row r="287" spans="1:2" x14ac:dyDescent="0.2">
      <c r="A287" t="s">
        <v>990</v>
      </c>
      <c r="B287">
        <v>0</v>
      </c>
    </row>
    <row r="288" spans="1:2" x14ac:dyDescent="0.2">
      <c r="A288" t="s">
        <v>991</v>
      </c>
      <c r="B288">
        <v>16</v>
      </c>
    </row>
    <row r="289" spans="1:2" x14ac:dyDescent="0.2">
      <c r="A289" t="s">
        <v>992</v>
      </c>
      <c r="B289">
        <v>0</v>
      </c>
    </row>
    <row r="290" spans="1:2" x14ac:dyDescent="0.2">
      <c r="A290" t="s">
        <v>993</v>
      </c>
      <c r="B290">
        <v>0</v>
      </c>
    </row>
    <row r="291" spans="1:2" x14ac:dyDescent="0.2">
      <c r="A291" t="s">
        <v>994</v>
      </c>
      <c r="B291">
        <v>0</v>
      </c>
    </row>
    <row r="292" spans="1:2" x14ac:dyDescent="0.2">
      <c r="A292" t="s">
        <v>995</v>
      </c>
      <c r="B292">
        <v>0</v>
      </c>
    </row>
    <row r="293" spans="1:2" x14ac:dyDescent="0.2">
      <c r="A293" t="s">
        <v>996</v>
      </c>
      <c r="B293">
        <v>16</v>
      </c>
    </row>
    <row r="294" spans="1:2" x14ac:dyDescent="0.2">
      <c r="A294" t="s">
        <v>997</v>
      </c>
      <c r="B294">
        <v>0</v>
      </c>
    </row>
    <row r="295" spans="1:2" x14ac:dyDescent="0.2">
      <c r="A295" t="s">
        <v>998</v>
      </c>
      <c r="B295">
        <v>0</v>
      </c>
    </row>
    <row r="296" spans="1:2" x14ac:dyDescent="0.2">
      <c r="A296" t="s">
        <v>999</v>
      </c>
      <c r="B296" t="s">
        <v>1043</v>
      </c>
    </row>
    <row r="297" spans="1:2" x14ac:dyDescent="0.2">
      <c r="A297" t="s">
        <v>1000</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328" customWidth="1"/>
    <col min="2" max="2" width="13" style="299" customWidth="1"/>
    <col min="3" max="3" width="64.140625" style="299"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85" t="s">
        <v>22</v>
      </c>
      <c r="D1" s="299"/>
      <c r="E1" s="299"/>
      <c r="F1" s="299"/>
      <c r="G1" s="299"/>
      <c r="H1" s="299"/>
      <c r="I1" s="299"/>
      <c r="J1" s="299"/>
      <c r="K1" s="299"/>
      <c r="L1" s="299"/>
      <c r="M1" s="299"/>
      <c r="N1" s="299"/>
      <c r="O1" s="299"/>
      <c r="P1" s="299"/>
      <c r="Q1" s="299"/>
      <c r="R1" s="166" t="s">
        <v>23</v>
      </c>
    </row>
    <row r="2" spans="1:24" ht="15" customHeight="1" x14ac:dyDescent="0.2">
      <c r="B2" s="185"/>
      <c r="D2" s="299"/>
      <c r="E2" s="299"/>
      <c r="F2" s="299"/>
      <c r="G2" s="299"/>
      <c r="H2" s="299"/>
      <c r="I2" s="299"/>
      <c r="J2" s="299"/>
      <c r="K2" s="299"/>
      <c r="L2" s="299"/>
      <c r="M2" s="299"/>
      <c r="N2" s="299"/>
      <c r="O2" s="299"/>
      <c r="P2" s="299"/>
      <c r="Q2" s="299"/>
      <c r="R2" s="166" t="s">
        <v>696</v>
      </c>
    </row>
    <row r="3" spans="1:24" ht="15" customHeight="1" x14ac:dyDescent="0.25">
      <c r="B3" s="203" t="s">
        <v>24</v>
      </c>
      <c r="C3" s="341" t="s">
        <v>25</v>
      </c>
      <c r="D3" s="342"/>
      <c r="E3" s="342"/>
      <c r="F3" s="342"/>
      <c r="G3" s="342"/>
      <c r="H3" s="342"/>
      <c r="I3" s="342"/>
      <c r="J3" s="342"/>
      <c r="K3" s="342"/>
      <c r="L3" s="342"/>
      <c r="M3" s="342"/>
      <c r="N3" s="342"/>
      <c r="O3" s="342"/>
      <c r="P3" s="342"/>
      <c r="Q3" s="343"/>
      <c r="R3" s="166" t="s">
        <v>697</v>
      </c>
    </row>
    <row r="4" spans="1:24" ht="15" customHeight="1" x14ac:dyDescent="0.2">
      <c r="B4" s="279">
        <v>1</v>
      </c>
      <c r="C4" s="231" t="s">
        <v>26</v>
      </c>
      <c r="D4" s="300" t="s">
        <v>0</v>
      </c>
      <c r="E4" s="206"/>
      <c r="F4" s="212" t="s">
        <v>27</v>
      </c>
      <c r="G4" s="206"/>
      <c r="H4" s="212">
        <v>0</v>
      </c>
      <c r="I4" s="206"/>
      <c r="J4" s="212" t="s">
        <v>28</v>
      </c>
      <c r="K4" s="206"/>
      <c r="L4" s="207">
        <v>0</v>
      </c>
      <c r="M4" s="344"/>
      <c r="N4" s="334">
        <v>0</v>
      </c>
      <c r="O4" s="206"/>
      <c r="P4" s="386">
        <v>3</v>
      </c>
      <c r="Q4" s="345" t="s">
        <v>29</v>
      </c>
      <c r="R4" s="166" t="s">
        <v>698</v>
      </c>
    </row>
    <row r="5" spans="1:24" ht="15" customHeight="1" x14ac:dyDescent="0.2">
      <c r="B5" s="279">
        <f>B4+1</f>
        <v>2</v>
      </c>
      <c r="C5" s="231" t="s">
        <v>30</v>
      </c>
      <c r="D5" s="429">
        <f>'Auto-Calibration record'!H15</f>
        <v>-1</v>
      </c>
      <c r="E5" s="204" t="str">
        <f>IF(D5="20","0",IF(D5="PC","00",""))</f>
        <v/>
      </c>
      <c r="F5" s="213"/>
      <c r="G5" s="333"/>
      <c r="H5" s="213"/>
      <c r="I5" s="333"/>
      <c r="J5" s="213"/>
      <c r="K5" s="211"/>
      <c r="L5" s="346"/>
      <c r="M5" s="211"/>
      <c r="N5" s="211"/>
      <c r="O5" s="211"/>
      <c r="P5" s="211"/>
      <c r="Q5" s="211"/>
      <c r="R5" s="166" t="s">
        <v>699</v>
      </c>
      <c r="S5" s="347" t="s">
        <v>27</v>
      </c>
      <c r="T5" s="347" t="s">
        <v>31</v>
      </c>
      <c r="U5" s="347" t="s">
        <v>28</v>
      </c>
      <c r="V5" s="217">
        <v>1</v>
      </c>
      <c r="W5" s="217">
        <v>0</v>
      </c>
      <c r="X5" s="217">
        <v>1</v>
      </c>
    </row>
    <row r="6" spans="1:24" ht="15" customHeight="1" x14ac:dyDescent="0.2">
      <c r="A6" s="219" t="b">
        <v>0</v>
      </c>
      <c r="B6" s="279">
        <f t="shared" ref="B6:B17" si="0">B5+1</f>
        <v>3</v>
      </c>
      <c r="C6" s="231" t="s">
        <v>32</v>
      </c>
      <c r="D6" s="212"/>
      <c r="E6" s="471" t="s">
        <v>33</v>
      </c>
      <c r="F6" s="472"/>
      <c r="G6" s="472"/>
      <c r="H6" s="472"/>
      <c r="I6" s="472"/>
      <c r="J6" s="472"/>
      <c r="K6" s="472"/>
      <c r="L6" s="472"/>
      <c r="M6" s="472"/>
      <c r="N6" s="472"/>
      <c r="O6" s="472"/>
      <c r="P6" s="472"/>
      <c r="Q6" s="211"/>
      <c r="R6" s="166" t="s">
        <v>700</v>
      </c>
      <c r="S6" s="217">
        <v>0</v>
      </c>
      <c r="T6" s="217">
        <v>0</v>
      </c>
      <c r="U6" s="217" t="s">
        <v>34</v>
      </c>
      <c r="V6" s="217">
        <v>0</v>
      </c>
      <c r="W6" s="217"/>
      <c r="X6" s="217">
        <v>2</v>
      </c>
    </row>
    <row r="7" spans="1:24" ht="15" customHeight="1" x14ac:dyDescent="0.2">
      <c r="A7" s="219" t="b">
        <v>0</v>
      </c>
      <c r="B7" s="279">
        <f t="shared" si="0"/>
        <v>4</v>
      </c>
      <c r="C7" s="348" t="s">
        <v>35</v>
      </c>
      <c r="D7" s="208"/>
      <c r="E7" s="473"/>
      <c r="F7" s="461"/>
      <c r="G7" s="461"/>
      <c r="H7" s="461"/>
      <c r="I7" s="461"/>
      <c r="J7" s="461"/>
      <c r="K7" s="461"/>
      <c r="L7" s="461"/>
      <c r="M7" s="461"/>
      <c r="N7" s="461"/>
      <c r="O7" s="461"/>
      <c r="P7" s="46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2">
      <c r="A8" s="219" t="b">
        <v>0</v>
      </c>
      <c r="B8" s="279">
        <f t="shared" si="0"/>
        <v>5</v>
      </c>
      <c r="C8" s="364" t="s">
        <v>39</v>
      </c>
      <c r="D8" s="208"/>
      <c r="E8" s="474" t="s">
        <v>40</v>
      </c>
      <c r="F8" s="475"/>
      <c r="G8" s="475"/>
      <c r="H8" s="475"/>
      <c r="I8" s="475"/>
      <c r="J8" s="475"/>
      <c r="K8" s="475"/>
      <c r="L8" s="475"/>
      <c r="M8" s="475"/>
      <c r="N8" s="475"/>
      <c r="O8" s="475"/>
      <c r="P8" s="47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2">
      <c r="A9" s="219" t="b">
        <v>0</v>
      </c>
      <c r="B9" s="279">
        <f t="shared" si="0"/>
        <v>6</v>
      </c>
      <c r="C9" s="348" t="s">
        <v>42</v>
      </c>
      <c r="D9" s="208"/>
      <c r="E9" s="469"/>
      <c r="F9" s="470"/>
      <c r="G9" s="470"/>
      <c r="H9" s="470"/>
      <c r="I9" s="470"/>
      <c r="J9" s="470"/>
      <c r="K9" s="470"/>
      <c r="L9" s="470"/>
      <c r="M9" s="470"/>
      <c r="N9" s="470"/>
      <c r="O9" s="470"/>
      <c r="P9" s="470"/>
      <c r="Q9" s="211" t="str">
        <f>IF(A9&lt;&gt;TRUE,"Relevant COSHH information provided by end user","No COSHH information supplied by end user")</f>
        <v>Relevant COSHH information provided by end user</v>
      </c>
      <c r="R9" s="166" t="s">
        <v>43</v>
      </c>
    </row>
    <row r="10" spans="1:24" ht="15" customHeight="1" x14ac:dyDescent="0.2">
      <c r="A10" s="219" t="b">
        <v>0</v>
      </c>
      <c r="B10" s="279">
        <f t="shared" si="0"/>
        <v>7</v>
      </c>
      <c r="C10" s="231" t="s">
        <v>44</v>
      </c>
      <c r="D10" s="302"/>
      <c r="E10" s="469"/>
      <c r="F10" s="470"/>
      <c r="G10" s="470"/>
      <c r="H10" s="470"/>
      <c r="I10" s="470"/>
      <c r="J10" s="470"/>
      <c r="K10" s="470"/>
      <c r="L10" s="470"/>
      <c r="M10" s="470"/>
      <c r="N10" s="470"/>
      <c r="O10" s="470"/>
      <c r="P10" s="470"/>
      <c r="Q10" s="211"/>
      <c r="R10" s="166" t="s">
        <v>702</v>
      </c>
    </row>
    <row r="11" spans="1:24" ht="15" hidden="1" customHeight="1" x14ac:dyDescent="0.2">
      <c r="A11" s="219" t="b">
        <v>0</v>
      </c>
      <c r="B11" s="279">
        <f t="shared" si="0"/>
        <v>8</v>
      </c>
      <c r="C11" s="231" t="s">
        <v>45</v>
      </c>
      <c r="D11" s="301"/>
      <c r="E11" s="469"/>
      <c r="F11" s="470"/>
      <c r="G11" s="470"/>
      <c r="H11" s="470"/>
      <c r="I11" s="470"/>
      <c r="J11" s="470"/>
      <c r="K11" s="470"/>
      <c r="L11" s="470"/>
      <c r="M11" s="470"/>
      <c r="N11" s="470"/>
      <c r="O11" s="470"/>
      <c r="P11" s="470"/>
      <c r="Q11" s="211"/>
      <c r="R11" s="166" t="s">
        <v>46</v>
      </c>
    </row>
    <row r="12" spans="1:24" ht="15" customHeight="1" x14ac:dyDescent="0.2">
      <c r="A12" s="219" t="b">
        <v>0</v>
      </c>
      <c r="B12" s="279">
        <f>B11+1</f>
        <v>9</v>
      </c>
      <c r="C12" s="231" t="s">
        <v>47</v>
      </c>
      <c r="D12" s="208"/>
      <c r="E12" s="476"/>
      <c r="F12" s="477"/>
      <c r="G12" s="477"/>
      <c r="H12" s="477"/>
      <c r="I12" s="477"/>
      <c r="J12" s="477"/>
      <c r="K12" s="477"/>
      <c r="L12" s="477"/>
      <c r="M12" s="477"/>
      <c r="N12" s="477"/>
      <c r="O12" s="477"/>
      <c r="P12" s="477"/>
      <c r="Q12" s="211" t="str">
        <f>IF(A12=TRUE,"Item is considered warranty, requires QC control on NCR","")</f>
        <v/>
      </c>
      <c r="R12" s="166" t="s">
        <v>1007</v>
      </c>
    </row>
    <row r="13" spans="1:24" ht="15" customHeight="1" x14ac:dyDescent="0.2">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2">
      <c r="A14" s="219" t="b">
        <v>0</v>
      </c>
      <c r="B14" s="279">
        <f t="shared" si="0"/>
        <v>11</v>
      </c>
      <c r="C14" s="231" t="s">
        <v>49</v>
      </c>
      <c r="D14" s="210"/>
      <c r="E14" s="455"/>
      <c r="F14" s="455"/>
      <c r="G14" s="455"/>
      <c r="H14" s="455"/>
      <c r="I14" s="455"/>
      <c r="J14" s="455"/>
      <c r="K14" s="455"/>
      <c r="L14" s="455"/>
      <c r="M14" s="455"/>
      <c r="N14" s="455"/>
      <c r="O14" s="455"/>
      <c r="P14" s="455"/>
      <c r="Q14" s="211"/>
    </row>
    <row r="15" spans="1:24" ht="15" customHeight="1" x14ac:dyDescent="0.2">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2">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2">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2">
      <c r="A18" s="219" t="b">
        <v>0</v>
      </c>
      <c r="B18" s="279"/>
      <c r="C18" s="185"/>
      <c r="D18" s="342"/>
      <c r="E18" s="342"/>
      <c r="F18" s="342"/>
      <c r="G18" s="342"/>
      <c r="H18" s="342"/>
      <c r="I18" s="342"/>
      <c r="J18" s="342"/>
      <c r="K18" s="342"/>
      <c r="L18" s="342"/>
      <c r="M18" s="342"/>
      <c r="N18" s="342"/>
      <c r="O18" s="342"/>
      <c r="P18" s="342"/>
      <c r="Q18" s="343"/>
    </row>
    <row r="19" spans="1:23" ht="15" hidden="1" customHeight="1" x14ac:dyDescent="0.2">
      <c r="A19" s="219" t="b">
        <v>0</v>
      </c>
      <c r="B19" s="279"/>
      <c r="C19" s="453" t="s">
        <v>53</v>
      </c>
      <c r="D19" s="453"/>
      <c r="E19" s="453"/>
      <c r="F19" s="453"/>
      <c r="G19" s="453"/>
      <c r="H19" s="453"/>
      <c r="I19" s="453"/>
      <c r="J19" s="453"/>
      <c r="K19" s="453"/>
      <c r="L19" s="453"/>
      <c r="M19" s="453"/>
      <c r="N19" s="453"/>
      <c r="O19" s="342"/>
      <c r="P19" s="342"/>
      <c r="Q19" s="343"/>
    </row>
    <row r="20" spans="1:23" ht="15" hidden="1" customHeight="1" x14ac:dyDescent="0.2">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2">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2">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2">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2">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2">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2">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2">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2">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2">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2">
      <c r="A30" s="219" t="b">
        <v>0</v>
      </c>
      <c r="B30" s="279"/>
      <c r="C30" s="453" t="s">
        <v>65</v>
      </c>
      <c r="D30" s="453"/>
      <c r="E30" s="453"/>
      <c r="F30" s="453"/>
      <c r="G30" s="453"/>
      <c r="H30" s="453"/>
      <c r="I30" s="453"/>
      <c r="J30" s="453"/>
      <c r="K30" s="453"/>
      <c r="L30" s="453"/>
      <c r="M30" s="453"/>
      <c r="N30" s="453"/>
    </row>
    <row r="31" spans="1:23" ht="15" customHeight="1" x14ac:dyDescent="0.2">
      <c r="A31" s="219" t="b">
        <v>1</v>
      </c>
      <c r="B31" s="279">
        <f>B29+1</f>
        <v>25</v>
      </c>
      <c r="C31" s="185" t="s">
        <v>66</v>
      </c>
      <c r="D31" s="365"/>
      <c r="E31" s="456" t="s">
        <v>67</v>
      </c>
      <c r="F31" s="456"/>
      <c r="G31" s="457" t="str">
        <f>IF($D$31=$D$10,"ON TIME",IF($D$31&gt;$D$10,"LATE",IF($D$31&lt;$D$10,"EARLY")))</f>
        <v>ON TIME</v>
      </c>
      <c r="H31" s="457"/>
      <c r="I31" s="457"/>
      <c r="J31" s="457"/>
      <c r="K31" s="457"/>
      <c r="L31" s="457"/>
      <c r="M31" s="457"/>
      <c r="N31" s="457"/>
    </row>
    <row r="32" spans="1:23" ht="15" customHeight="1" x14ac:dyDescent="0.2">
      <c r="A32" s="219" t="b">
        <v>1</v>
      </c>
      <c r="B32" s="279">
        <f>B31+1</f>
        <v>26</v>
      </c>
      <c r="C32" s="185" t="s">
        <v>68</v>
      </c>
      <c r="D32" s="365" t="s">
        <v>23</v>
      </c>
      <c r="E32" s="246"/>
      <c r="F32" s="246"/>
      <c r="G32" s="351"/>
      <c r="H32" s="351"/>
      <c r="I32" s="351"/>
      <c r="J32" s="351"/>
      <c r="K32" s="351"/>
      <c r="L32" s="351"/>
      <c r="M32" s="351"/>
      <c r="N32" s="351"/>
    </row>
    <row r="33" spans="1:18" ht="15" customHeight="1" x14ac:dyDescent="0.2">
      <c r="A33" s="219" t="b">
        <v>0</v>
      </c>
      <c r="B33" s="279">
        <f>B32+1</f>
        <v>27</v>
      </c>
      <c r="C33" s="299" t="s">
        <v>69</v>
      </c>
      <c r="D33" s="327"/>
      <c r="Q33" t="str">
        <f>IF(A33=TRUE,"Case was returned in acceptable condition","Exterior damage to case upon receipt")</f>
        <v>Exterior damage to case upon receipt</v>
      </c>
    </row>
    <row r="34" spans="1:18" x14ac:dyDescent="0.2">
      <c r="A34" s="219" t="b">
        <v>0</v>
      </c>
      <c r="B34" s="279">
        <f t="shared" ref="B34:B73" si="2">B33+1</f>
        <v>28</v>
      </c>
      <c r="C34" s="299" t="s">
        <v>70</v>
      </c>
      <c r="D34" s="366"/>
      <c r="Q34" s="211" t="str">
        <f>IF(A34=TRUE,"Cap on input test point","No cap on input test point")</f>
        <v>No cap on input test point</v>
      </c>
    </row>
    <row r="35" spans="1:18" x14ac:dyDescent="0.2">
      <c r="A35" s="219" t="b">
        <v>0</v>
      </c>
      <c r="B35" s="279">
        <f t="shared" si="2"/>
        <v>29</v>
      </c>
      <c r="C35" s="299" t="s">
        <v>71</v>
      </c>
      <c r="D35" s="366"/>
      <c r="Q35" s="211" t="str">
        <f>IF(A35=TRUE,"Cap on waste test point","No cap on waste test point")</f>
        <v>No cap on waste test point</v>
      </c>
    </row>
    <row r="36" spans="1:18" x14ac:dyDescent="0.2">
      <c r="A36" s="219" t="b">
        <v>0</v>
      </c>
      <c r="B36" s="279">
        <f t="shared" si="2"/>
        <v>30</v>
      </c>
      <c r="C36" s="299" t="s">
        <v>72</v>
      </c>
      <c r="D36" s="366"/>
    </row>
    <row r="37" spans="1:18" ht="15" customHeight="1" x14ac:dyDescent="0.2">
      <c r="A37" s="219" t="b">
        <v>0</v>
      </c>
      <c r="B37" s="279">
        <f t="shared" si="2"/>
        <v>31</v>
      </c>
      <c r="C37" s="299" t="s">
        <v>73</v>
      </c>
      <c r="D37" s="366"/>
    </row>
    <row r="38" spans="1:18" ht="15" customHeight="1" x14ac:dyDescent="0.2">
      <c r="A38" s="219" t="b">
        <v>0</v>
      </c>
      <c r="B38" s="279">
        <f t="shared" si="2"/>
        <v>32</v>
      </c>
      <c r="C38" s="299" t="s">
        <v>74</v>
      </c>
      <c r="D38" s="366"/>
    </row>
    <row r="39" spans="1:18" ht="15" customHeight="1" x14ac:dyDescent="0.2">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2">
      <c r="A40" s="219" t="b">
        <v>0</v>
      </c>
      <c r="B40" s="279">
        <f t="shared" si="2"/>
        <v>34</v>
      </c>
      <c r="C40" s="299" t="s">
        <v>76</v>
      </c>
      <c r="D40" s="366"/>
    </row>
    <row r="41" spans="1:18" ht="15" customHeight="1" x14ac:dyDescent="0.2">
      <c r="A41" s="219" t="b">
        <v>0</v>
      </c>
      <c r="B41" s="279">
        <f t="shared" si="2"/>
        <v>35</v>
      </c>
      <c r="C41" s="299" t="s">
        <v>77</v>
      </c>
      <c r="D41" s="366"/>
    </row>
    <row r="42" spans="1:18" ht="15" customHeight="1" x14ac:dyDescent="0.2">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2">
      <c r="A43" s="219"/>
      <c r="B43" s="279">
        <f t="shared" si="2"/>
        <v>37</v>
      </c>
      <c r="C43" s="299" t="s">
        <v>79</v>
      </c>
      <c r="D43" s="366"/>
      <c r="R43" t="s">
        <v>80</v>
      </c>
    </row>
    <row r="44" spans="1:18" ht="15" customHeight="1" x14ac:dyDescent="0.2">
      <c r="A44" s="219" t="b">
        <v>1</v>
      </c>
      <c r="B44" s="279">
        <f t="shared" si="2"/>
        <v>38</v>
      </c>
      <c r="C44" s="299" t="s">
        <v>81</v>
      </c>
      <c r="D44" s="366"/>
      <c r="R44" t="s">
        <v>82</v>
      </c>
    </row>
    <row r="45" spans="1:18" ht="15" customHeight="1" x14ac:dyDescent="0.2">
      <c r="A45" s="219" t="b">
        <v>0</v>
      </c>
      <c r="B45" s="279">
        <f t="shared" si="2"/>
        <v>39</v>
      </c>
      <c r="C45" s="299" t="s">
        <v>83</v>
      </c>
      <c r="D45" s="366"/>
      <c r="R45" t="s">
        <v>84</v>
      </c>
    </row>
    <row r="46" spans="1:18" ht="15" customHeight="1" x14ac:dyDescent="0.2">
      <c r="A46" s="219" t="b">
        <v>0</v>
      </c>
      <c r="B46" s="279">
        <f t="shared" si="2"/>
        <v>40</v>
      </c>
      <c r="C46" s="299" t="s">
        <v>85</v>
      </c>
      <c r="D46" s="366"/>
      <c r="R46" t="s">
        <v>86</v>
      </c>
    </row>
    <row r="47" spans="1:18" ht="15" customHeight="1" x14ac:dyDescent="0.2">
      <c r="A47" s="219" t="b">
        <v>0</v>
      </c>
      <c r="B47" s="279">
        <f t="shared" si="2"/>
        <v>41</v>
      </c>
      <c r="C47" s="367"/>
      <c r="D47" s="352" t="s">
        <v>87</v>
      </c>
      <c r="R47" t="s">
        <v>88</v>
      </c>
    </row>
    <row r="48" spans="1:18" ht="15" customHeight="1" x14ac:dyDescent="0.2">
      <c r="A48" s="219" t="b">
        <v>1</v>
      </c>
      <c r="B48" s="279">
        <f t="shared" si="2"/>
        <v>42</v>
      </c>
      <c r="C48" s="299" t="s">
        <v>89</v>
      </c>
      <c r="D48" s="368"/>
    </row>
    <row r="49" spans="1:18" ht="15" customHeight="1" x14ac:dyDescent="0.2">
      <c r="A49" s="219" t="b">
        <v>0</v>
      </c>
      <c r="B49" s="279">
        <f t="shared" si="2"/>
        <v>43</v>
      </c>
      <c r="C49" s="299" t="s">
        <v>90</v>
      </c>
      <c r="D49" s="366" t="s">
        <v>23</v>
      </c>
    </row>
    <row r="50" spans="1:18" ht="15" customHeight="1" x14ac:dyDescent="0.2">
      <c r="A50" s="219" t="b">
        <v>0</v>
      </c>
      <c r="B50" s="279">
        <f t="shared" si="2"/>
        <v>44</v>
      </c>
      <c r="C50" s="299" t="s">
        <v>91</v>
      </c>
      <c r="D50" s="369"/>
    </row>
    <row r="51" spans="1:18" ht="15" customHeight="1" x14ac:dyDescent="0.2">
      <c r="A51" s="219" t="b">
        <v>0</v>
      </c>
      <c r="B51" s="279">
        <f t="shared" si="2"/>
        <v>45</v>
      </c>
      <c r="C51" s="299" t="s">
        <v>92</v>
      </c>
      <c r="D51" s="370"/>
    </row>
    <row r="52" spans="1:18" ht="15" customHeight="1" x14ac:dyDescent="0.2">
      <c r="A52" s="219" t="b">
        <v>0</v>
      </c>
      <c r="B52" s="279">
        <f t="shared" si="2"/>
        <v>46</v>
      </c>
      <c r="C52" s="299" t="s">
        <v>93</v>
      </c>
      <c r="D52" s="371"/>
    </row>
    <row r="53" spans="1:18" ht="15" customHeight="1" x14ac:dyDescent="0.2">
      <c r="A53" s="219" t="b">
        <v>0</v>
      </c>
      <c r="B53" s="279">
        <f t="shared" si="2"/>
        <v>47</v>
      </c>
      <c r="C53" s="299" t="s">
        <v>94</v>
      </c>
      <c r="D53" s="366"/>
    </row>
    <row r="54" spans="1:18" s="213" customFormat="1" ht="15.75" customHeight="1" x14ac:dyDescent="0.2">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2">
      <c r="A55" s="219" t="b">
        <v>0</v>
      </c>
      <c r="B55" s="279">
        <f t="shared" si="2"/>
        <v>49</v>
      </c>
      <c r="C55" s="337"/>
      <c r="D55" s="240" t="s">
        <v>96</v>
      </c>
      <c r="E55" s="458"/>
      <c r="F55" s="458"/>
      <c r="G55" s="458"/>
      <c r="H55" s="458"/>
      <c r="I55" s="458"/>
      <c r="J55" s="458"/>
      <c r="K55" s="458"/>
      <c r="L55" s="458"/>
      <c r="M55" s="458"/>
      <c r="N55" s="458"/>
      <c r="O55" s="211"/>
      <c r="P55" s="209"/>
      <c r="R55" s="213" t="s">
        <v>97</v>
      </c>
    </row>
    <row r="56" spans="1:18" s="213" customFormat="1" ht="15.75" customHeight="1" x14ac:dyDescent="0.2">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2">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2">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2">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2">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2">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2">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2">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2">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2">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2">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2">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2">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2">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2">
      <c r="A70" s="219" t="b">
        <v>0</v>
      </c>
      <c r="B70" s="279">
        <f t="shared" si="2"/>
        <v>64</v>
      </c>
      <c r="C70" s="299" t="s">
        <v>120</v>
      </c>
      <c r="D70" s="366"/>
      <c r="R70" s="213" t="s">
        <v>121</v>
      </c>
    </row>
    <row r="71" spans="1:18" ht="15" customHeight="1" x14ac:dyDescent="0.2">
      <c r="A71" s="219" t="b">
        <v>0</v>
      </c>
      <c r="B71" s="279">
        <f t="shared" si="2"/>
        <v>65</v>
      </c>
      <c r="C71" s="299" t="s">
        <v>122</v>
      </c>
      <c r="D71" s="366"/>
      <c r="Q71" s="211" t="e">
        <f>IF(#REF!=FALSE,"Unit was dirty or damaged inside and required extra cleaning","Internal condition good")</f>
        <v>#REF!</v>
      </c>
      <c r="R71" s="213" t="s">
        <v>123</v>
      </c>
    </row>
    <row r="72" spans="1:18" s="213" customFormat="1" x14ac:dyDescent="0.2">
      <c r="A72" s="219" t="b">
        <v>0</v>
      </c>
      <c r="B72" s="279" t="e">
        <f>#REF!+1</f>
        <v>#REF!</v>
      </c>
      <c r="C72" s="299" t="s">
        <v>124</v>
      </c>
      <c r="D72" s="265"/>
      <c r="O72" s="211"/>
      <c r="P72" s="209"/>
      <c r="R72" s="213" t="s">
        <v>701</v>
      </c>
    </row>
    <row r="73" spans="1:18" s="213" customFormat="1" x14ac:dyDescent="0.2">
      <c r="A73" s="219" t="b">
        <v>0</v>
      </c>
      <c r="B73" s="279" t="e">
        <f t="shared" si="2"/>
        <v>#REF!</v>
      </c>
      <c r="C73" s="299" t="s">
        <v>125</v>
      </c>
      <c r="D73" s="265"/>
      <c r="O73" s="211"/>
      <c r="P73" s="209"/>
    </row>
    <row r="74" spans="1:18" s="213" customFormat="1" ht="15.75" customHeight="1" x14ac:dyDescent="0.2">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x14ac:dyDescent="0.2">
      <c r="A75" s="219" t="b">
        <v>0</v>
      </c>
      <c r="B75" s="279"/>
      <c r="C75" s="454" t="s">
        <v>127</v>
      </c>
      <c r="D75" s="454"/>
      <c r="E75" s="454"/>
      <c r="F75" s="454"/>
      <c r="G75" s="454"/>
      <c r="H75" s="454"/>
      <c r="I75" s="454"/>
      <c r="J75" s="454"/>
      <c r="K75" s="454"/>
      <c r="L75" s="454"/>
      <c r="M75" s="454"/>
      <c r="N75" s="454"/>
      <c r="O75" s="454"/>
      <c r="P75" s="226"/>
    </row>
    <row r="76" spans="1:18" s="213" customFormat="1" x14ac:dyDescent="0.2">
      <c r="A76" s="219" t="b">
        <v>0</v>
      </c>
      <c r="B76" s="279" t="e">
        <f>B74+1</f>
        <v>#REF!</v>
      </c>
      <c r="C76" s="232"/>
      <c r="D76" s="233" t="s">
        <v>686</v>
      </c>
      <c r="E76" s="455"/>
      <c r="F76" s="455"/>
      <c r="G76" s="455"/>
      <c r="H76" s="455"/>
      <c r="I76" s="455"/>
      <c r="J76" s="455"/>
      <c r="K76" s="455"/>
      <c r="L76" s="455"/>
      <c r="M76" s="455"/>
      <c r="N76" s="455"/>
      <c r="P76" s="209"/>
      <c r="Q76" s="211"/>
    </row>
    <row r="77" spans="1:18" s="213" customFormat="1" x14ac:dyDescent="0.2">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x14ac:dyDescent="0.2">
      <c r="A78" s="219" t="b">
        <v>0</v>
      </c>
      <c r="B78" s="279" t="e">
        <f>B77+1</f>
        <v>#REF!</v>
      </c>
      <c r="C78" s="241"/>
      <c r="D78" s="233" t="s">
        <v>131</v>
      </c>
      <c r="E78" s="238"/>
      <c r="F78" s="238"/>
      <c r="G78" s="238"/>
      <c r="H78" s="238"/>
      <c r="I78" s="238"/>
      <c r="J78" s="238"/>
      <c r="K78" s="238"/>
      <c r="L78" s="238"/>
      <c r="M78" s="238"/>
      <c r="N78" s="238"/>
      <c r="O78" s="211"/>
      <c r="P78" s="209"/>
    </row>
    <row r="79" spans="1:18" s="220" customFormat="1" x14ac:dyDescent="0.2">
      <c r="A79" s="219" t="b">
        <v>0</v>
      </c>
      <c r="B79" s="279" t="e">
        <f>B78+1</f>
        <v>#REF!</v>
      </c>
      <c r="C79" s="241"/>
      <c r="D79" s="233" t="s">
        <v>132</v>
      </c>
      <c r="E79" s="459" t="s">
        <v>687</v>
      </c>
      <c r="F79" s="459"/>
      <c r="G79" s="459"/>
      <c r="H79" s="459"/>
      <c r="I79" s="459"/>
      <c r="J79" s="459"/>
      <c r="K79" s="459"/>
      <c r="L79" s="459"/>
      <c r="M79" s="459"/>
      <c r="N79" s="459"/>
      <c r="O79" s="211"/>
      <c r="P79" s="209"/>
    </row>
    <row r="80" spans="1:18" s="213" customFormat="1" x14ac:dyDescent="0.2">
      <c r="A80" s="219" t="b">
        <v>1</v>
      </c>
      <c r="B80" s="279" t="e">
        <f t="shared" ref="B80:B105" si="3">B79+1</f>
        <v>#REF!</v>
      </c>
      <c r="C80" s="299" t="s">
        <v>134</v>
      </c>
      <c r="D80" s="212"/>
      <c r="E80" s="455"/>
      <c r="F80" s="455"/>
      <c r="G80" s="455"/>
      <c r="H80" s="455"/>
      <c r="I80" s="455"/>
      <c r="J80" s="455"/>
      <c r="K80" s="455"/>
      <c r="L80" s="455"/>
      <c r="M80" s="455"/>
      <c r="N80" s="45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x14ac:dyDescent="0.2">
      <c r="A81" s="219" t="b">
        <v>0</v>
      </c>
      <c r="B81" s="279" t="e">
        <f>B80+1</f>
        <v>#REF!</v>
      </c>
      <c r="C81" s="299" t="s">
        <v>135</v>
      </c>
      <c r="D81" s="212"/>
      <c r="E81" s="455"/>
      <c r="F81" s="455"/>
      <c r="G81" s="455"/>
      <c r="H81" s="455"/>
      <c r="I81" s="455"/>
      <c r="J81" s="455"/>
      <c r="K81" s="455"/>
      <c r="L81" s="455"/>
      <c r="M81" s="455"/>
      <c r="N81" s="45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idden="1" x14ac:dyDescent="0.2">
      <c r="A82" s="219"/>
      <c r="B82" s="279"/>
      <c r="C82" s="454"/>
      <c r="D82" s="454"/>
      <c r="E82" s="454"/>
      <c r="F82" s="454"/>
      <c r="G82" s="454"/>
      <c r="H82" s="454"/>
      <c r="I82" s="454"/>
      <c r="J82" s="454"/>
      <c r="K82" s="454"/>
      <c r="L82" s="454"/>
      <c r="M82" s="454"/>
      <c r="N82" s="454"/>
      <c r="O82" s="454"/>
      <c r="P82" s="226"/>
    </row>
    <row r="83" spans="1:17" s="213" customFormat="1" hidden="1" x14ac:dyDescent="0.2">
      <c r="A83" s="219" t="b">
        <v>1</v>
      </c>
      <c r="B83" s="279"/>
      <c r="C83" s="241"/>
      <c r="D83" s="233"/>
      <c r="E83" s="478"/>
      <c r="F83" s="479"/>
      <c r="G83" s="479"/>
      <c r="H83" s="479"/>
      <c r="I83" s="479"/>
      <c r="J83" s="479"/>
      <c r="K83" s="461"/>
      <c r="L83" s="461"/>
      <c r="M83" s="461"/>
      <c r="N83" s="461"/>
      <c r="P83" s="209"/>
      <c r="Q83" s="211"/>
    </row>
    <row r="84" spans="1:17" s="213" customFormat="1" hidden="1" x14ac:dyDescent="0.2">
      <c r="A84" s="219"/>
      <c r="B84" s="279"/>
      <c r="C84" s="241"/>
      <c r="D84" s="233"/>
      <c r="E84" s="238"/>
      <c r="F84" s="238"/>
      <c r="G84" s="238"/>
      <c r="H84" s="238"/>
      <c r="I84" s="238"/>
      <c r="J84" s="238"/>
      <c r="K84" s="209"/>
      <c r="L84" s="209"/>
      <c r="M84" s="209"/>
      <c r="N84" s="209"/>
      <c r="P84" s="209"/>
      <c r="Q84" s="211"/>
    </row>
    <row r="85" spans="1:17" s="213" customFormat="1" hidden="1" x14ac:dyDescent="0.2">
      <c r="A85" s="219"/>
      <c r="B85" s="279"/>
      <c r="C85" s="241"/>
      <c r="D85" s="240"/>
      <c r="E85" s="459"/>
      <c r="F85" s="459"/>
      <c r="G85" s="459"/>
      <c r="H85" s="459"/>
      <c r="I85" s="459"/>
      <c r="J85" s="459"/>
      <c r="K85" s="459"/>
      <c r="L85" s="459"/>
      <c r="M85" s="459"/>
      <c r="N85" s="459"/>
      <c r="P85" s="209"/>
      <c r="Q85" s="211"/>
    </row>
    <row r="86" spans="1:17" s="213" customFormat="1" hidden="1" x14ac:dyDescent="0.2">
      <c r="A86" s="219"/>
      <c r="B86" s="279"/>
      <c r="C86" s="241"/>
      <c r="D86" s="240"/>
      <c r="E86" s="456"/>
      <c r="F86" s="456"/>
      <c r="G86" s="456"/>
      <c r="H86" s="456"/>
      <c r="I86" s="456"/>
      <c r="J86" s="456"/>
      <c r="K86" s="460"/>
      <c r="L86" s="460"/>
      <c r="M86" s="460"/>
      <c r="N86" s="460"/>
      <c r="O86" s="211"/>
      <c r="P86" s="209"/>
    </row>
    <row r="87" spans="1:17" s="213" customFormat="1" hidden="1" x14ac:dyDescent="0.2">
      <c r="A87" s="219"/>
      <c r="B87" s="279"/>
      <c r="C87" s="241"/>
      <c r="D87" s="240"/>
      <c r="E87" s="459"/>
      <c r="F87" s="459"/>
      <c r="G87" s="459"/>
      <c r="H87" s="459"/>
      <c r="I87" s="459"/>
      <c r="J87" s="459"/>
      <c r="K87" s="459"/>
      <c r="L87" s="459"/>
      <c r="M87" s="459"/>
      <c r="N87" s="459"/>
      <c r="P87" s="209"/>
      <c r="Q87" s="211"/>
    </row>
    <row r="88" spans="1:17" s="213" customFormat="1" hidden="1" x14ac:dyDescent="0.2">
      <c r="A88" s="219"/>
      <c r="B88" s="279"/>
      <c r="C88" s="241"/>
      <c r="D88" s="240"/>
      <c r="E88" s="456"/>
      <c r="F88" s="456"/>
      <c r="G88" s="456"/>
      <c r="H88" s="456"/>
      <c r="I88" s="456"/>
      <c r="J88" s="456"/>
      <c r="K88" s="460"/>
      <c r="L88" s="460"/>
      <c r="M88" s="460"/>
      <c r="N88" s="460"/>
      <c r="P88" s="209"/>
      <c r="Q88" s="211"/>
    </row>
    <row r="89" spans="1:17" s="213" customFormat="1" x14ac:dyDescent="0.2">
      <c r="A89" s="219" t="b">
        <v>1</v>
      </c>
      <c r="B89" s="279">
        <f t="shared" si="3"/>
        <v>1</v>
      </c>
      <c r="C89" s="299" t="s">
        <v>144</v>
      </c>
      <c r="D89" s="210" t="s">
        <v>23</v>
      </c>
      <c r="E89" s="481"/>
      <c r="F89" s="482"/>
      <c r="G89" s="482"/>
      <c r="H89" s="482"/>
      <c r="I89" s="482"/>
      <c r="J89" s="482"/>
      <c r="K89" s="482"/>
      <c r="L89" s="255"/>
      <c r="M89" s="255"/>
      <c r="N89" s="255"/>
      <c r="O89" s="209"/>
      <c r="P89" s="209"/>
    </row>
    <row r="90" spans="1:17" s="213" customFormat="1" x14ac:dyDescent="0.2">
      <c r="A90" s="219" t="b">
        <v>0</v>
      </c>
      <c r="B90" s="279">
        <f t="shared" si="3"/>
        <v>2</v>
      </c>
      <c r="C90" s="299" t="s">
        <v>145</v>
      </c>
      <c r="D90" s="372" t="b">
        <v>1</v>
      </c>
      <c r="E90" s="231"/>
      <c r="G90" s="228"/>
      <c r="H90" s="228"/>
      <c r="I90" s="483"/>
      <c r="J90" s="483"/>
      <c r="K90" s="483"/>
      <c r="L90" s="483"/>
      <c r="M90" s="483"/>
      <c r="N90" s="483"/>
      <c r="P90" s="209"/>
    </row>
    <row r="91" spans="1:17" s="213" customFormat="1" x14ac:dyDescent="0.2">
      <c r="A91" s="219" t="b">
        <v>0</v>
      </c>
      <c r="B91" s="279"/>
      <c r="C91" s="454" t="s">
        <v>146</v>
      </c>
      <c r="D91" s="454"/>
      <c r="E91" s="454"/>
      <c r="F91" s="454"/>
      <c r="G91" s="454"/>
      <c r="H91" s="454"/>
      <c r="I91" s="454"/>
      <c r="J91" s="454"/>
      <c r="K91" s="454"/>
      <c r="L91" s="454"/>
      <c r="M91" s="454"/>
      <c r="N91" s="454"/>
      <c r="O91" s="454"/>
      <c r="P91" s="226"/>
    </row>
    <row r="92" spans="1:17" s="220" customFormat="1" ht="15.75" customHeight="1" x14ac:dyDescent="0.2">
      <c r="A92" s="219" t="b">
        <v>0</v>
      </c>
      <c r="B92" s="279">
        <f>B90+1</f>
        <v>3</v>
      </c>
      <c r="C92" s="228" t="s">
        <v>147</v>
      </c>
      <c r="D92" s="302"/>
      <c r="E92" s="456" t="s">
        <v>67</v>
      </c>
      <c r="F92" s="456"/>
      <c r="G92" s="484" t="str">
        <f>IF(D92=$D$7,"ON TIME",IF(D92&gt;$D$7,"LATE",IF(D92&lt;$D$7,"EARLY")))</f>
        <v>ON TIME</v>
      </c>
      <c r="H92" s="484"/>
      <c r="I92" s="484"/>
      <c r="J92" s="484"/>
      <c r="K92" s="484"/>
      <c r="L92" s="484"/>
      <c r="M92" s="484"/>
      <c r="N92" s="484"/>
      <c r="O92" s="238"/>
      <c r="P92" s="238"/>
    </row>
    <row r="93" spans="1:17" s="213" customFormat="1" x14ac:dyDescent="0.2">
      <c r="A93" s="219" t="b">
        <v>0</v>
      </c>
      <c r="B93" s="279">
        <f t="shared" si="3"/>
        <v>4</v>
      </c>
      <c r="C93" s="256">
        <f>D15</f>
        <v>0</v>
      </c>
      <c r="D93" s="233" t="s">
        <v>148</v>
      </c>
      <c r="E93" s="480">
        <v>0</v>
      </c>
      <c r="F93" s="480"/>
      <c r="G93" s="480"/>
      <c r="H93" s="480"/>
      <c r="I93" s="480"/>
      <c r="J93" s="480"/>
      <c r="K93" s="480"/>
      <c r="L93" s="480"/>
      <c r="M93" s="480"/>
      <c r="N93" s="480"/>
      <c r="P93" s="220"/>
      <c r="Q93" s="211" t="str">
        <f>IF(A93=TRUE,"SO received and on system","Awaiting customers purchase order")</f>
        <v>Awaiting customers purchase order</v>
      </c>
    </row>
    <row r="94" spans="1:17" s="213" customFormat="1" x14ac:dyDescent="0.2">
      <c r="A94" s="219" t="b">
        <v>0</v>
      </c>
      <c r="B94" s="279">
        <f t="shared" si="3"/>
        <v>5</v>
      </c>
      <c r="C94" s="256">
        <f>D16</f>
        <v>0</v>
      </c>
      <c r="D94" s="233" t="s">
        <v>149</v>
      </c>
      <c r="E94" s="480">
        <v>0</v>
      </c>
      <c r="F94" s="480"/>
      <c r="G94" s="480"/>
      <c r="H94" s="480"/>
      <c r="I94" s="480"/>
      <c r="J94" s="480"/>
      <c r="K94" s="480"/>
      <c r="L94" s="480"/>
      <c r="M94" s="480"/>
      <c r="N94" s="480"/>
      <c r="P94" s="220"/>
      <c r="Q94" s="211" t="str">
        <f>IF(A94=TRUE,"WO processed, service can be started","Awaiting customers purchase order")</f>
        <v>Awaiting customers purchase order</v>
      </c>
    </row>
    <row r="95" spans="1:17" s="213" customFormat="1" x14ac:dyDescent="0.2">
      <c r="A95" s="219" t="b">
        <v>0</v>
      </c>
      <c r="B95" s="279" t="e">
        <f>#REF!+1</f>
        <v>#REF!</v>
      </c>
      <c r="C95" s="256"/>
      <c r="D95" s="233" t="s">
        <v>688</v>
      </c>
      <c r="E95" s="485"/>
      <c r="F95" s="485"/>
      <c r="G95" s="485"/>
      <c r="H95" s="485"/>
      <c r="I95" s="485"/>
      <c r="J95" s="485"/>
      <c r="K95" s="485"/>
      <c r="L95" s="485"/>
      <c r="M95" s="485"/>
      <c r="N95" s="485"/>
      <c r="O95" s="211"/>
      <c r="P95" s="209"/>
      <c r="Q95" s="211" t="str">
        <f>IF(A95=TRUE,"Old-design battery terminal cables present, replaced with new","Battery terminal cables of current design")</f>
        <v>Battery terminal cables of current design</v>
      </c>
    </row>
    <row r="96" spans="1:17" s="213" customFormat="1" x14ac:dyDescent="0.2">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x14ac:dyDescent="0.2">
      <c r="A97" s="219" t="b">
        <v>0</v>
      </c>
      <c r="B97" s="279" t="e">
        <f>#REF!+1</f>
        <v>#REF!</v>
      </c>
      <c r="C97" s="256"/>
      <c r="D97" s="233" t="s">
        <v>151</v>
      </c>
      <c r="E97" s="459" t="s">
        <v>152</v>
      </c>
      <c r="F97" s="459"/>
      <c r="G97" s="459"/>
      <c r="H97" s="459"/>
      <c r="I97" s="459"/>
      <c r="J97" s="459"/>
      <c r="K97" s="459"/>
      <c r="L97" s="459"/>
      <c r="M97" s="459"/>
      <c r="N97" s="459"/>
      <c r="O97" s="211"/>
      <c r="P97" s="209"/>
      <c r="Q97" s="211" t="str">
        <f>IF(A97=TRUE,"Battery brackets secure and complete","Battery not secure in brackets, needed to be refurbished")</f>
        <v>Battery not secure in brackets, needed to be refurbished</v>
      </c>
    </row>
    <row r="98" spans="1:28" s="213" customFormat="1" x14ac:dyDescent="0.2">
      <c r="A98" s="219" t="b">
        <v>1</v>
      </c>
      <c r="B98" s="279"/>
      <c r="C98" s="454" t="s">
        <v>136</v>
      </c>
      <c r="D98" s="454"/>
      <c r="E98" s="454"/>
      <c r="F98" s="454"/>
      <c r="G98" s="454"/>
      <c r="H98" s="454"/>
      <c r="I98" s="454"/>
      <c r="J98" s="454"/>
      <c r="K98" s="454"/>
      <c r="L98" s="454"/>
      <c r="M98" s="454"/>
      <c r="N98" s="454"/>
      <c r="O98" s="454"/>
      <c r="P98" s="226"/>
    </row>
    <row r="99" spans="1:28" s="213" customFormat="1" x14ac:dyDescent="0.2">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x14ac:dyDescent="0.2">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x14ac:dyDescent="0.2">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x14ac:dyDescent="0.2">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x14ac:dyDescent="0.2">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x14ac:dyDescent="0.2">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2">
      <c r="A105" s="219" t="b">
        <v>0</v>
      </c>
      <c r="B105" s="279" t="e">
        <f t="shared" si="3"/>
        <v>#REF!</v>
      </c>
      <c r="C105" s="299" t="s">
        <v>161</v>
      </c>
      <c r="D105" s="210"/>
      <c r="E105" s="456" t="s">
        <v>67</v>
      </c>
      <c r="F105" s="456"/>
      <c r="G105" s="457" t="str">
        <f>IF(D105=D18,"ON TIME",IF(D105&gt;D18,"LATE",IF(D105&lt;D18,"EARLY")))</f>
        <v>ON TIME</v>
      </c>
      <c r="H105" s="457"/>
      <c r="I105" s="457"/>
      <c r="J105" s="457"/>
      <c r="K105" s="457"/>
      <c r="L105" s="457"/>
      <c r="M105" s="457"/>
      <c r="N105" s="457"/>
      <c r="O105" s="220"/>
      <c r="P105" s="205"/>
    </row>
    <row r="106" spans="1:28" s="213" customFormat="1" x14ac:dyDescent="0.2">
      <c r="A106" s="219" t="b">
        <v>0</v>
      </c>
      <c r="B106" s="279"/>
      <c r="C106" s="454" t="s">
        <v>689</v>
      </c>
      <c r="D106" s="454"/>
      <c r="E106" s="454"/>
      <c r="F106" s="454"/>
      <c r="G106" s="454"/>
      <c r="H106" s="454"/>
      <c r="I106" s="454"/>
      <c r="J106" s="454"/>
      <c r="K106" s="454"/>
      <c r="L106" s="454"/>
      <c r="M106" s="454"/>
      <c r="N106" s="454"/>
      <c r="O106" s="454"/>
      <c r="P106" s="209"/>
    </row>
    <row r="107" spans="1:28" s="213" customFormat="1" ht="15.75" x14ac:dyDescent="0.2">
      <c r="A107" s="219" t="b">
        <v>0</v>
      </c>
      <c r="B107" s="279" t="e">
        <f>B105+1</f>
        <v>#REF!</v>
      </c>
      <c r="C107" s="299" t="s">
        <v>163</v>
      </c>
      <c r="D107" s="302"/>
      <c r="E107" s="456" t="s">
        <v>67</v>
      </c>
      <c r="F107" s="456"/>
      <c r="G107" s="484" t="str">
        <f>IF(D107=D18,"ON TIME",IF(D107&gt;D18,"LATE",IF(D107&lt;D18,"EARLY")))</f>
        <v>ON TIME</v>
      </c>
      <c r="H107" s="484"/>
      <c r="I107" s="484"/>
      <c r="J107" s="484"/>
      <c r="K107" s="484"/>
      <c r="L107" s="484"/>
      <c r="M107" s="484"/>
      <c r="N107" s="484"/>
      <c r="O107" s="264"/>
      <c r="P107" s="209"/>
    </row>
    <row r="108" spans="1:28" s="213" customFormat="1" x14ac:dyDescent="0.2">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x14ac:dyDescent="0.2">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2">
      <c r="A110" s="219" t="b">
        <v>1</v>
      </c>
      <c r="B110" s="279"/>
      <c r="C110" s="486" t="s">
        <v>166</v>
      </c>
      <c r="D110" s="486"/>
      <c r="E110" s="486"/>
      <c r="F110" s="486"/>
      <c r="G110" s="486"/>
      <c r="H110" s="486"/>
      <c r="I110" s="486"/>
      <c r="J110" s="486"/>
      <c r="K110" s="486"/>
      <c r="L110" s="486"/>
      <c r="M110" s="486"/>
      <c r="N110" s="486"/>
      <c r="O110" s="486"/>
      <c r="P110" s="209"/>
    </row>
    <row r="111" spans="1:28" s="213" customFormat="1" x14ac:dyDescent="0.2">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x14ac:dyDescent="0.2">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x14ac:dyDescent="0.2">
      <c r="A113" s="219" t="b">
        <v>0</v>
      </c>
      <c r="B113" s="279" t="e">
        <f>B112+1</f>
        <v>#REF!</v>
      </c>
      <c r="C113" t="s">
        <v>168</v>
      </c>
      <c r="D113" s="265"/>
      <c r="E113" s="487" t="s">
        <v>690</v>
      </c>
      <c r="F113" s="482"/>
      <c r="G113" s="482"/>
      <c r="H113" s="482"/>
      <c r="I113" s="482"/>
      <c r="J113" s="482"/>
      <c r="K113" s="482"/>
      <c r="L113" s="482"/>
      <c r="M113" s="482"/>
      <c r="N113" s="482"/>
      <c r="O113" s="211"/>
      <c r="P113" s="209"/>
      <c r="Z113" s="266"/>
      <c r="AA113" s="266"/>
      <c r="AB113" s="266"/>
    </row>
    <row r="114" spans="1:28" s="213" customFormat="1" x14ac:dyDescent="0.2">
      <c r="A114" s="219" t="b">
        <v>1</v>
      </c>
      <c r="B114" s="279"/>
      <c r="C114" s="454" t="s">
        <v>169</v>
      </c>
      <c r="D114" s="454"/>
      <c r="E114" s="454"/>
      <c r="F114" s="454"/>
      <c r="G114" s="454"/>
      <c r="H114" s="454"/>
      <c r="I114" s="454"/>
      <c r="J114" s="454"/>
      <c r="K114" s="454"/>
      <c r="L114" s="454"/>
      <c r="M114" s="454"/>
      <c r="N114" s="204"/>
      <c r="O114" s="211"/>
      <c r="P114" s="209"/>
      <c r="Z114" s="266"/>
      <c r="AA114" s="266"/>
      <c r="AB114" s="266"/>
    </row>
    <row r="115" spans="1:28" s="213" customFormat="1" x14ac:dyDescent="0.2">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x14ac:dyDescent="0.2">
      <c r="A116" s="219" t="b">
        <v>0</v>
      </c>
      <c r="B116" s="279" t="e">
        <f>B115+1</f>
        <v>#REF!</v>
      </c>
      <c r="C116" s="228" t="s">
        <v>173</v>
      </c>
      <c r="D116" s="270"/>
      <c r="F116" s="335">
        <v>1</v>
      </c>
      <c r="G116" s="377">
        <v>4</v>
      </c>
      <c r="H116" s="354">
        <f>'Auto-Calibration record'!$B$65</f>
        <v>76</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x14ac:dyDescent="0.2">
      <c r="A117" s="219" t="b">
        <v>0</v>
      </c>
      <c r="B117" s="279" t="e">
        <f t="shared" ref="B117:B129" si="4">B116+1</f>
        <v>#REF!</v>
      </c>
      <c r="C117" s="228" t="s">
        <v>174</v>
      </c>
      <c r="D117" s="373">
        <f>IF(A34=TRUE,1,2)</f>
        <v>2</v>
      </c>
      <c r="F117" s="335">
        <f t="shared" ref="F117:F120" si="5">F116+1</f>
        <v>2</v>
      </c>
      <c r="G117" s="377">
        <v>6</v>
      </c>
      <c r="H117" s="354">
        <f>'Auto-Calibration record'!$C$65</f>
        <v>180</v>
      </c>
      <c r="I117" s="204"/>
      <c r="J117" s="211"/>
      <c r="K117" s="204"/>
      <c r="L117" s="204"/>
      <c r="M117" s="204"/>
      <c r="N117" s="204"/>
      <c r="P117" s="209"/>
      <c r="Z117" s="266"/>
      <c r="AA117" s="266"/>
      <c r="AB117" s="266"/>
    </row>
    <row r="118" spans="1:28" s="213" customFormat="1" x14ac:dyDescent="0.2">
      <c r="A118" s="219" t="b">
        <v>0</v>
      </c>
      <c r="B118" s="279" t="e">
        <f t="shared" si="4"/>
        <v>#REF!</v>
      </c>
      <c r="C118" s="228" t="s">
        <v>175</v>
      </c>
      <c r="D118" s="374">
        <f>IF(A35=TRUE,1,2)</f>
        <v>2</v>
      </c>
      <c r="F118" s="335">
        <f t="shared" si="5"/>
        <v>3</v>
      </c>
      <c r="G118" s="377">
        <v>14</v>
      </c>
      <c r="H118" s="354">
        <f>'Auto-Calibration record'!$D$65</f>
        <v>994</v>
      </c>
      <c r="I118" s="355"/>
      <c r="J118" s="356"/>
      <c r="K118" s="204"/>
      <c r="L118" s="204"/>
      <c r="M118" s="204"/>
      <c r="N118" s="204"/>
      <c r="P118" s="209"/>
      <c r="Z118" s="266"/>
      <c r="AA118" s="266"/>
      <c r="AB118" s="266"/>
    </row>
    <row r="119" spans="1:28" s="213" customFormat="1" x14ac:dyDescent="0.2">
      <c r="A119" s="219" t="b">
        <v>0</v>
      </c>
      <c r="B119" s="279" t="e">
        <f t="shared" si="4"/>
        <v>#REF!</v>
      </c>
      <c r="C119" s="228" t="s">
        <v>176</v>
      </c>
      <c r="D119" s="338">
        <f>D5</f>
        <v>-1</v>
      </c>
      <c r="F119" s="335">
        <f t="shared" si="5"/>
        <v>4</v>
      </c>
      <c r="G119" s="377">
        <v>21</v>
      </c>
      <c r="H119" s="354">
        <f>'Auto-Calibration record'!$E$65</f>
        <v>2074</v>
      </c>
      <c r="I119" s="355"/>
      <c r="J119" s="356"/>
      <c r="K119" s="204"/>
      <c r="L119" s="204"/>
      <c r="M119" s="204"/>
      <c r="N119" s="204"/>
      <c r="P119" s="209"/>
      <c r="Z119" s="266"/>
      <c r="AA119" s="266"/>
      <c r="AB119" s="266"/>
    </row>
    <row r="120" spans="1:28" s="213" customFormat="1" x14ac:dyDescent="0.2">
      <c r="A120" s="219" t="b">
        <v>0</v>
      </c>
      <c r="B120" s="279" t="e">
        <f t="shared" si="4"/>
        <v>#REF!</v>
      </c>
      <c r="C120" s="228" t="s">
        <v>177</v>
      </c>
      <c r="D120" s="340">
        <f>D48</f>
        <v>0</v>
      </c>
      <c r="F120" s="335">
        <f t="shared" si="5"/>
        <v>5</v>
      </c>
      <c r="G120" s="377">
        <v>25</v>
      </c>
      <c r="H120" s="354">
        <f>'Auto-Calibration record'!$F$65</f>
        <v>3050</v>
      </c>
      <c r="I120" s="355"/>
      <c r="J120" s="356"/>
      <c r="K120" s="204"/>
      <c r="L120" s="204"/>
      <c r="M120" s="204"/>
      <c r="N120" s="204"/>
      <c r="P120" s="209"/>
      <c r="Z120" s="266"/>
      <c r="AA120" s="266"/>
      <c r="AB120" s="266"/>
    </row>
    <row r="121" spans="1:28" s="213" customFormat="1" x14ac:dyDescent="0.2">
      <c r="A121" s="219" t="b">
        <v>0</v>
      </c>
      <c r="B121" s="279" t="e">
        <f t="shared" si="4"/>
        <v>#REF!</v>
      </c>
      <c r="C121" s="228" t="s">
        <v>178</v>
      </c>
      <c r="D121" s="339">
        <f>D107+365</f>
        <v>365</v>
      </c>
      <c r="F121" s="335">
        <f>F120+1</f>
        <v>6</v>
      </c>
      <c r="G121" s="377">
        <v>38</v>
      </c>
      <c r="H121" s="354">
        <f>'Auto-Calibration record'!$G$65</f>
        <v>9964</v>
      </c>
      <c r="I121" s="355"/>
      <c r="J121" s="356"/>
      <c r="K121" s="204"/>
      <c r="L121" s="204"/>
      <c r="M121" s="204"/>
      <c r="N121" s="204"/>
      <c r="P121" s="209"/>
      <c r="Z121" s="266"/>
      <c r="AA121" s="266"/>
      <c r="AB121" s="266"/>
    </row>
    <row r="122" spans="1:28" s="213" customFormat="1" x14ac:dyDescent="0.2">
      <c r="A122" s="219" t="b">
        <v>0</v>
      </c>
      <c r="B122" s="279" t="e">
        <f t="shared" si="4"/>
        <v>#REF!</v>
      </c>
      <c r="C122" s="228" t="s">
        <v>179</v>
      </c>
      <c r="D122" s="270"/>
      <c r="F122" s="335">
        <f>F121+1</f>
        <v>7</v>
      </c>
      <c r="G122" s="377">
        <v>50</v>
      </c>
      <c r="H122" s="354">
        <f>'Auto-Calibration record'!$H$65</f>
        <v>16287</v>
      </c>
      <c r="I122" s="355"/>
      <c r="J122" s="356"/>
      <c r="K122" s="204"/>
      <c r="L122" s="204"/>
      <c r="M122" s="204"/>
      <c r="P122" s="209"/>
      <c r="Z122" s="266"/>
      <c r="AA122" s="266"/>
      <c r="AB122" s="266"/>
    </row>
    <row r="123" spans="1:28" s="213" customFormat="1" x14ac:dyDescent="0.2">
      <c r="A123" s="219" t="b">
        <v>0</v>
      </c>
      <c r="B123" s="279" t="e">
        <f t="shared" si="4"/>
        <v>#REF!</v>
      </c>
      <c r="C123" s="228" t="s">
        <v>180</v>
      </c>
      <c r="D123" s="270">
        <f>D43</f>
        <v>0</v>
      </c>
      <c r="E123" s="204"/>
      <c r="F123" s="335">
        <f>F122+1</f>
        <v>8</v>
      </c>
      <c r="G123" s="377">
        <v>70</v>
      </c>
      <c r="H123" s="354">
        <f>'Auto-Calibration record'!$I$65</f>
        <v>25144</v>
      </c>
      <c r="I123" s="238"/>
      <c r="J123" s="238"/>
      <c r="K123" s="238"/>
      <c r="L123" s="238"/>
      <c r="M123" s="238"/>
      <c r="N123" s="238"/>
      <c r="O123" s="238"/>
      <c r="P123" s="238"/>
      <c r="Q123" s="238"/>
      <c r="R123" s="211"/>
    </row>
    <row r="124" spans="1:28" s="213" customFormat="1" x14ac:dyDescent="0.2">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x14ac:dyDescent="0.2">
      <c r="A125" s="219"/>
      <c r="B125" s="279" t="e">
        <f t="shared" si="4"/>
        <v>#REF!</v>
      </c>
      <c r="C125" s="228" t="s">
        <v>182</v>
      </c>
      <c r="D125" s="270"/>
      <c r="E125" s="204"/>
      <c r="I125" s="204"/>
      <c r="J125" s="204"/>
      <c r="K125" s="204"/>
      <c r="L125" s="204"/>
      <c r="M125" s="204"/>
      <c r="N125" s="204"/>
      <c r="O125" s="211"/>
      <c r="P125" s="209"/>
    </row>
    <row r="126" spans="1:28" s="213" customFormat="1" x14ac:dyDescent="0.2">
      <c r="A126" s="219"/>
      <c r="B126" s="279" t="e">
        <f t="shared" si="4"/>
        <v>#REF!</v>
      </c>
      <c r="C126" s="228" t="s">
        <v>183</v>
      </c>
      <c r="D126" s="270"/>
      <c r="E126" s="204"/>
      <c r="I126" s="204"/>
      <c r="J126" s="204"/>
      <c r="K126" s="204"/>
      <c r="L126" s="204"/>
      <c r="M126" s="204"/>
      <c r="N126" s="204"/>
      <c r="O126" s="211"/>
      <c r="P126" s="209"/>
    </row>
    <row r="127" spans="1:28" s="213" customFormat="1" x14ac:dyDescent="0.2">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2">
      <c r="A128" s="219" t="b">
        <v>0</v>
      </c>
      <c r="B128" s="279" t="e">
        <f t="shared" si="4"/>
        <v>#REF!</v>
      </c>
      <c r="C128" s="228" t="s">
        <v>185</v>
      </c>
      <c r="D128" s="270"/>
      <c r="E128" s="204"/>
      <c r="I128" s="204"/>
      <c r="J128" s="204"/>
      <c r="K128" s="204"/>
      <c r="L128" s="204"/>
      <c r="M128" s="204"/>
      <c r="N128" s="204"/>
      <c r="O128" s="211"/>
      <c r="P128" s="209"/>
    </row>
    <row r="129" spans="1:17" s="213" customFormat="1" x14ac:dyDescent="0.2">
      <c r="A129" s="219" t="b">
        <v>0</v>
      </c>
      <c r="B129" s="279" t="e">
        <f t="shared" si="4"/>
        <v>#REF!</v>
      </c>
      <c r="C129" s="228" t="s">
        <v>691</v>
      </c>
      <c r="D129" s="270"/>
      <c r="E129" s="204"/>
      <c r="I129" s="204"/>
      <c r="J129" s="204"/>
      <c r="K129" s="204"/>
      <c r="L129" s="204"/>
      <c r="M129" s="204"/>
      <c r="N129" s="204"/>
      <c r="O129" s="211"/>
      <c r="P129" s="209"/>
    </row>
    <row r="130" spans="1:17" s="213" customFormat="1" x14ac:dyDescent="0.2">
      <c r="A130" s="219" t="b">
        <v>0</v>
      </c>
      <c r="B130" s="279" t="e">
        <f>#REF!+1</f>
        <v>#REF!</v>
      </c>
      <c r="C130" s="228" t="s">
        <v>692</v>
      </c>
      <c r="D130" s="270"/>
      <c r="E130" s="204"/>
      <c r="I130" s="204"/>
      <c r="J130" s="204"/>
      <c r="K130" s="204"/>
      <c r="L130" s="204"/>
      <c r="M130" s="204"/>
      <c r="N130" s="204"/>
      <c r="O130" s="211"/>
      <c r="P130" s="209"/>
      <c r="Q130" s="211" t="str">
        <f>IF(A130= TRUE,"Battery parameters reset for full discharge and charge","")</f>
        <v/>
      </c>
    </row>
    <row r="131" spans="1:17" s="213" customFormat="1" x14ac:dyDescent="0.2">
      <c r="A131" s="219"/>
      <c r="B131" s="279"/>
      <c r="C131" s="228" t="s">
        <v>693</v>
      </c>
      <c r="D131" s="270"/>
      <c r="E131" s="204"/>
      <c r="I131" s="204"/>
      <c r="J131" s="204"/>
      <c r="K131" s="204"/>
      <c r="L131" s="204"/>
      <c r="M131" s="204"/>
      <c r="N131" s="204"/>
      <c r="O131" s="211"/>
      <c r="P131" s="209"/>
      <c r="Q131" s="211"/>
    </row>
    <row r="132" spans="1:17" s="213" customFormat="1" x14ac:dyDescent="0.2">
      <c r="A132" s="219" t="b">
        <v>0</v>
      </c>
      <c r="B132" s="279" t="e">
        <f>B130+1</f>
        <v>#REF!</v>
      </c>
      <c r="C132" s="228" t="s">
        <v>186</v>
      </c>
      <c r="D132" s="270"/>
      <c r="E132" s="204"/>
      <c r="I132" s="204"/>
      <c r="J132" s="204"/>
      <c r="K132" s="204"/>
      <c r="L132" s="204"/>
      <c r="M132" s="204"/>
      <c r="N132" s="204"/>
      <c r="O132" s="211"/>
      <c r="P132" s="209"/>
    </row>
    <row r="133" spans="1:17" s="213" customFormat="1" x14ac:dyDescent="0.2">
      <c r="A133" s="219" t="b">
        <v>0</v>
      </c>
      <c r="B133" s="279"/>
      <c r="C133" s="454" t="s">
        <v>187</v>
      </c>
      <c r="D133" s="454"/>
      <c r="F133" s="204"/>
      <c r="H133" s="204"/>
      <c r="J133" s="204"/>
      <c r="K133" s="204"/>
      <c r="L133" s="204"/>
      <c r="M133" s="204"/>
      <c r="N133" s="204"/>
      <c r="O133" s="211"/>
      <c r="P133" s="209"/>
    </row>
    <row r="134" spans="1:17" s="213" customFormat="1" x14ac:dyDescent="0.2">
      <c r="A134" s="219" t="b">
        <v>0</v>
      </c>
      <c r="B134" s="279" t="e">
        <f>B132+1</f>
        <v>#REF!</v>
      </c>
      <c r="C134" s="228" t="s">
        <v>188</v>
      </c>
      <c r="D134" s="270"/>
      <c r="F134" s="204"/>
      <c r="H134" s="204"/>
      <c r="J134" s="204"/>
      <c r="K134" s="204"/>
      <c r="L134" s="204"/>
      <c r="M134" s="204"/>
      <c r="N134" s="204"/>
      <c r="O134" s="211"/>
      <c r="P134" s="209"/>
    </row>
    <row r="135" spans="1:17" s="213" customFormat="1" x14ac:dyDescent="0.2">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x14ac:dyDescent="0.2">
      <c r="A136" s="219" t="b">
        <v>0</v>
      </c>
      <c r="B136" s="279" t="e">
        <f t="shared" si="6"/>
        <v>#REF!</v>
      </c>
      <c r="C136" s="228" t="s">
        <v>190</v>
      </c>
      <c r="D136" s="340"/>
      <c r="F136" s="204"/>
      <c r="H136" s="204"/>
      <c r="J136" s="204"/>
      <c r="K136" s="204"/>
      <c r="L136" s="204"/>
      <c r="M136" s="204"/>
      <c r="N136" s="204"/>
      <c r="O136" s="211"/>
      <c r="P136" s="209"/>
    </row>
    <row r="137" spans="1:17" s="213" customFormat="1" x14ac:dyDescent="0.2">
      <c r="A137" s="219" t="b">
        <v>0</v>
      </c>
      <c r="B137" s="279" t="e">
        <f t="shared" si="6"/>
        <v>#REF!</v>
      </c>
      <c r="C137" s="228" t="s">
        <v>191</v>
      </c>
      <c r="D137" s="374">
        <f>IF(A56=TRUE,1,2)</f>
        <v>2</v>
      </c>
      <c r="F137" s="204"/>
      <c r="H137" s="204"/>
      <c r="J137" s="204"/>
      <c r="K137" s="204"/>
      <c r="L137" s="204"/>
      <c r="M137" s="204"/>
      <c r="N137" s="204"/>
      <c r="O137" s="211"/>
      <c r="P137" s="209"/>
    </row>
    <row r="138" spans="1:17" s="213" customFormat="1" x14ac:dyDescent="0.2">
      <c r="A138" s="219" t="b">
        <v>0</v>
      </c>
      <c r="B138" s="279" t="e">
        <f t="shared" si="6"/>
        <v>#REF!</v>
      </c>
      <c r="C138" s="228" t="s">
        <v>192</v>
      </c>
      <c r="D138" s="374">
        <f>IF(A57=TRUE,1,2)</f>
        <v>2</v>
      </c>
      <c r="F138" s="204"/>
      <c r="H138" s="204"/>
      <c r="J138" s="204"/>
      <c r="K138" s="204"/>
      <c r="L138" s="204"/>
      <c r="M138" s="204"/>
      <c r="N138" s="204"/>
      <c r="O138" s="211"/>
      <c r="P138" s="209"/>
    </row>
    <row r="139" spans="1:17" s="213" customFormat="1" x14ac:dyDescent="0.2">
      <c r="A139" s="219" t="b">
        <v>0</v>
      </c>
      <c r="B139" s="279" t="e">
        <f t="shared" si="6"/>
        <v>#REF!</v>
      </c>
      <c r="C139" s="228" t="s">
        <v>193</v>
      </c>
      <c r="D139" s="270"/>
      <c r="F139" s="204"/>
      <c r="H139" s="204"/>
      <c r="J139" s="204"/>
      <c r="K139" s="204"/>
      <c r="L139" s="204"/>
      <c r="M139" s="204"/>
      <c r="N139" s="204"/>
      <c r="O139" s="211"/>
      <c r="P139" s="209"/>
    </row>
    <row r="140" spans="1:17" s="213" customFormat="1" x14ac:dyDescent="0.2">
      <c r="A140" s="219" t="b">
        <v>0</v>
      </c>
      <c r="B140" s="279" t="e">
        <f t="shared" si="6"/>
        <v>#REF!</v>
      </c>
      <c r="C140" s="246" t="s">
        <v>194</v>
      </c>
      <c r="D140" s="374">
        <f>IF(A60=TRUE,1,2)</f>
        <v>2</v>
      </c>
      <c r="F140" s="204"/>
      <c r="H140" s="204"/>
      <c r="J140" s="204"/>
      <c r="K140" s="204"/>
      <c r="L140" s="204"/>
      <c r="M140" s="204"/>
      <c r="N140" s="204"/>
      <c r="O140" s="211"/>
      <c r="P140" s="209"/>
    </row>
    <row r="141" spans="1:17" s="213" customFormat="1" x14ac:dyDescent="0.2">
      <c r="A141" s="219" t="b">
        <v>0</v>
      </c>
      <c r="B141" s="279" t="e">
        <f t="shared" si="6"/>
        <v>#REF!</v>
      </c>
      <c r="C141" s="228" t="s">
        <v>195</v>
      </c>
      <c r="D141" s="270"/>
      <c r="F141" s="204"/>
      <c r="H141" s="204"/>
      <c r="J141" s="204"/>
      <c r="K141" s="204"/>
      <c r="L141" s="204"/>
      <c r="M141" s="204"/>
      <c r="N141" s="204"/>
      <c r="O141" s="211"/>
      <c r="P141" s="209"/>
    </row>
    <row r="142" spans="1:17" s="213" customFormat="1" x14ac:dyDescent="0.2">
      <c r="A142" s="219" t="b">
        <v>0</v>
      </c>
      <c r="B142" s="279" t="e">
        <f t="shared" si="6"/>
        <v>#REF!</v>
      </c>
      <c r="C142" s="228" t="s">
        <v>694</v>
      </c>
      <c r="D142" s="270">
        <f>D63</f>
        <v>0</v>
      </c>
      <c r="F142" s="204"/>
      <c r="H142" s="204"/>
      <c r="J142" s="204"/>
      <c r="K142" s="204"/>
      <c r="L142" s="204"/>
      <c r="M142" s="204"/>
      <c r="N142" s="204"/>
      <c r="O142" s="211"/>
      <c r="P142" s="209"/>
    </row>
    <row r="143" spans="1:17" s="213" customFormat="1" x14ac:dyDescent="0.2">
      <c r="A143" s="219" t="b">
        <v>0</v>
      </c>
      <c r="B143" s="279" t="e">
        <f>#REF!+1</f>
        <v>#REF!</v>
      </c>
      <c r="C143" s="228" t="s">
        <v>196</v>
      </c>
      <c r="D143" s="270">
        <f>D65</f>
        <v>0</v>
      </c>
      <c r="F143" s="204"/>
      <c r="H143" s="204"/>
      <c r="J143" s="204"/>
      <c r="K143" s="204"/>
      <c r="L143" s="204"/>
      <c r="M143" s="204"/>
      <c r="N143" s="204"/>
      <c r="O143" s="211"/>
      <c r="P143" s="209"/>
    </row>
    <row r="144" spans="1:17" s="213" customFormat="1" x14ac:dyDescent="0.2">
      <c r="A144" s="219" t="b">
        <v>0</v>
      </c>
      <c r="B144" s="279" t="e">
        <f t="shared" si="6"/>
        <v>#REF!</v>
      </c>
      <c r="C144" s="228" t="s">
        <v>197</v>
      </c>
      <c r="D144" s="270">
        <f>D66</f>
        <v>0</v>
      </c>
      <c r="F144" s="204"/>
      <c r="H144" s="204"/>
      <c r="J144" s="204"/>
      <c r="K144" s="204"/>
      <c r="L144" s="204"/>
      <c r="M144" s="204"/>
      <c r="N144" s="204"/>
      <c r="O144" s="211"/>
      <c r="P144" s="209"/>
    </row>
    <row r="145" spans="1:17" s="213" customFormat="1" x14ac:dyDescent="0.2">
      <c r="A145" s="219" t="b">
        <v>0</v>
      </c>
      <c r="B145" s="279" t="e">
        <f t="shared" si="6"/>
        <v>#REF!</v>
      </c>
      <c r="C145" s="228" t="s">
        <v>198</v>
      </c>
      <c r="D145" s="374">
        <f>IF(A68=TRUE,1,2)</f>
        <v>2</v>
      </c>
      <c r="F145" s="204"/>
      <c r="H145" s="204"/>
      <c r="J145" s="204"/>
      <c r="K145" s="204"/>
      <c r="L145" s="204"/>
      <c r="M145" s="204"/>
      <c r="N145" s="204"/>
      <c r="O145" s="211"/>
      <c r="P145" s="209"/>
    </row>
    <row r="146" spans="1:17" s="213" customFormat="1" x14ac:dyDescent="0.2">
      <c r="A146" s="219" t="b">
        <v>0</v>
      </c>
      <c r="B146" s="279" t="e">
        <f t="shared" si="6"/>
        <v>#REF!</v>
      </c>
      <c r="C146" s="228" t="s">
        <v>695</v>
      </c>
      <c r="D146" s="270"/>
      <c r="F146" s="204"/>
      <c r="H146" s="204"/>
      <c r="J146" s="204"/>
      <c r="K146" s="204"/>
      <c r="L146" s="204"/>
      <c r="M146" s="204"/>
      <c r="N146" s="204"/>
      <c r="O146" s="211"/>
      <c r="P146" s="209"/>
    </row>
    <row r="147" spans="1:17" s="213" customFormat="1" x14ac:dyDescent="0.2">
      <c r="A147" s="219" t="b">
        <v>0</v>
      </c>
      <c r="B147" s="279" t="e">
        <f t="shared" si="6"/>
        <v>#REF!</v>
      </c>
      <c r="C147" s="228" t="s">
        <v>199</v>
      </c>
      <c r="D147" s="270"/>
      <c r="F147" s="204"/>
      <c r="H147" s="204"/>
      <c r="J147" s="204"/>
      <c r="K147" s="204"/>
      <c r="L147" s="204"/>
      <c r="M147" s="204"/>
      <c r="N147" s="204"/>
      <c r="O147" s="211"/>
      <c r="P147" s="209"/>
    </row>
    <row r="148" spans="1:17" s="213" customFormat="1" x14ac:dyDescent="0.2">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x14ac:dyDescent="0.2">
      <c r="A149" s="219" t="b">
        <v>1</v>
      </c>
      <c r="B149" s="279" t="e">
        <f t="shared" si="6"/>
        <v>#REF!</v>
      </c>
      <c r="C149" s="228" t="s">
        <v>201</v>
      </c>
      <c r="D149" s="274"/>
      <c r="F149" s="204"/>
      <c r="H149" s="204"/>
      <c r="J149" s="204"/>
      <c r="K149" s="204"/>
      <c r="L149" s="204"/>
      <c r="M149" s="204"/>
      <c r="N149" s="204"/>
      <c r="P149" s="209"/>
    </row>
    <row r="150" spans="1:17" s="213" customFormat="1" x14ac:dyDescent="0.2">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x14ac:dyDescent="0.2">
      <c r="A151" s="219" t="b">
        <v>0</v>
      </c>
      <c r="B151" s="279" t="e">
        <f t="shared" si="6"/>
        <v>#REF!</v>
      </c>
      <c r="C151" s="228" t="s">
        <v>203</v>
      </c>
      <c r="D151" s="374">
        <f>IF(A69=TRUE,1,2)</f>
        <v>2</v>
      </c>
      <c r="E151" s="204"/>
      <c r="I151" s="204"/>
      <c r="J151" s="204"/>
      <c r="K151" s="204"/>
      <c r="L151" s="204"/>
      <c r="M151" s="204"/>
      <c r="N151" s="204"/>
      <c r="O151" s="211"/>
      <c r="P151" s="209"/>
    </row>
    <row r="152" spans="1:17" s="213" customFormat="1" x14ac:dyDescent="0.2">
      <c r="A152" s="219" t="b">
        <v>0</v>
      </c>
      <c r="B152" s="279" t="e">
        <f t="shared" si="6"/>
        <v>#REF!</v>
      </c>
      <c r="C152" s="228" t="s">
        <v>204</v>
      </c>
      <c r="D152" s="375" t="str">
        <f>D61</f>
        <v>-</v>
      </c>
      <c r="E152" s="204"/>
      <c r="I152" s="204"/>
      <c r="J152" s="204"/>
      <c r="K152" s="204"/>
      <c r="L152" s="204"/>
      <c r="M152" s="204"/>
      <c r="N152" s="204"/>
      <c r="O152" s="211"/>
      <c r="P152" s="209"/>
    </row>
    <row r="153" spans="1:17" s="213" customFormat="1" x14ac:dyDescent="0.2">
      <c r="A153" s="219" t="b">
        <v>0</v>
      </c>
      <c r="B153" s="279" t="e">
        <f t="shared" si="6"/>
        <v>#REF!</v>
      </c>
      <c r="C153" s="228" t="s">
        <v>205</v>
      </c>
      <c r="D153" s="374">
        <f>IF(A58=TRUE,1,2)</f>
        <v>2</v>
      </c>
      <c r="F153" s="204"/>
      <c r="H153" s="204"/>
      <c r="J153" s="204"/>
      <c r="K153" s="204"/>
      <c r="L153" s="204"/>
      <c r="M153" s="204"/>
      <c r="N153" s="204"/>
      <c r="O153" s="211"/>
      <c r="P153" s="209"/>
    </row>
    <row r="154" spans="1:17" s="213" customFormat="1" x14ac:dyDescent="0.2">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x14ac:dyDescent="0.2">
      <c r="A155" s="219" t="b">
        <v>0</v>
      </c>
      <c r="B155" s="279"/>
      <c r="C155" s="454" t="s">
        <v>207</v>
      </c>
      <c r="D155" s="454"/>
      <c r="F155" s="204"/>
      <c r="H155" s="204"/>
      <c r="J155" s="204"/>
      <c r="K155" s="204"/>
      <c r="L155" s="204"/>
      <c r="M155" s="204"/>
      <c r="N155" s="204"/>
      <c r="O155" s="211"/>
      <c r="P155" s="209"/>
    </row>
    <row r="156" spans="1:17" s="213" customFormat="1" x14ac:dyDescent="0.2">
      <c r="A156" s="219" t="b">
        <v>0</v>
      </c>
      <c r="B156" s="279" t="e">
        <f>#REF!+1</f>
        <v>#REF!</v>
      </c>
      <c r="C156" s="228" t="s">
        <v>208</v>
      </c>
      <c r="D156" s="270"/>
      <c r="F156" s="204"/>
      <c r="H156" s="204"/>
      <c r="J156" s="204"/>
      <c r="K156" s="204"/>
      <c r="L156" s="204"/>
      <c r="M156" s="204"/>
      <c r="N156" s="204"/>
      <c r="O156" s="211"/>
      <c r="P156" s="209"/>
    </row>
    <row r="157" spans="1:17" s="213" customFormat="1" x14ac:dyDescent="0.2">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x14ac:dyDescent="0.2">
      <c r="A158" s="219" t="b">
        <v>0</v>
      </c>
      <c r="B158" s="279" t="e">
        <f>B156+1</f>
        <v>#REF!</v>
      </c>
      <c r="C158" s="228" t="s">
        <v>210</v>
      </c>
      <c r="D158" s="270"/>
      <c r="F158" s="204"/>
      <c r="H158" s="204"/>
      <c r="J158" s="204"/>
      <c r="K158" s="204"/>
      <c r="L158" s="204"/>
      <c r="M158" s="204"/>
      <c r="N158" s="204"/>
      <c r="O158" s="211"/>
      <c r="P158" s="209"/>
    </row>
    <row r="159" spans="1:17" s="213" customFormat="1" x14ac:dyDescent="0.2">
      <c r="A159" s="219" t="b">
        <v>0</v>
      </c>
      <c r="B159" s="279" t="e">
        <f t="shared" ref="B159:B177" si="7">B158+1</f>
        <v>#REF!</v>
      </c>
      <c r="C159" s="228" t="s">
        <v>211</v>
      </c>
      <c r="D159" s="270"/>
      <c r="F159" s="204"/>
      <c r="H159" s="204"/>
      <c r="J159" s="204"/>
      <c r="K159" s="204"/>
      <c r="L159" s="204"/>
      <c r="M159" s="204"/>
      <c r="N159" s="204"/>
      <c r="O159" s="211"/>
      <c r="P159" s="209"/>
    </row>
    <row r="160" spans="1:17" s="213" customFormat="1" x14ac:dyDescent="0.2">
      <c r="A160" s="219" t="b">
        <v>0</v>
      </c>
      <c r="B160" s="279" t="e">
        <f t="shared" si="7"/>
        <v>#REF!</v>
      </c>
      <c r="C160" s="228" t="s">
        <v>212</v>
      </c>
      <c r="D160" s="376"/>
      <c r="F160" s="204"/>
      <c r="H160" s="204"/>
      <c r="J160" s="204"/>
      <c r="K160" s="204"/>
      <c r="L160" s="204"/>
      <c r="M160" s="204"/>
      <c r="N160" s="204"/>
      <c r="O160" s="209"/>
      <c r="P160" s="209"/>
    </row>
    <row r="161" spans="1:73" s="213" customFormat="1" x14ac:dyDescent="0.2">
      <c r="A161" s="219" t="b">
        <v>0</v>
      </c>
      <c r="B161" s="279"/>
      <c r="C161" s="454" t="s">
        <v>213</v>
      </c>
      <c r="D161" s="454"/>
      <c r="F161" s="204"/>
      <c r="H161" s="204"/>
      <c r="J161" s="204"/>
      <c r="K161" s="204"/>
      <c r="L161" s="204"/>
      <c r="M161" s="204"/>
      <c r="N161" s="204"/>
      <c r="O161" s="211"/>
      <c r="P161" s="209"/>
    </row>
    <row r="162" spans="1:73" s="213" customFormat="1" x14ac:dyDescent="0.2">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x14ac:dyDescent="0.2">
      <c r="A163" s="219" t="b">
        <v>0</v>
      </c>
      <c r="B163" s="279" t="e">
        <f>B162+1</f>
        <v>#REF!</v>
      </c>
      <c r="C163" s="228" t="s">
        <v>215</v>
      </c>
      <c r="D163" s="229"/>
      <c r="E163" s="238"/>
      <c r="G163" s="231"/>
      <c r="H163" s="231"/>
      <c r="I163" s="231"/>
      <c r="J163" s="231"/>
      <c r="L163" s="220"/>
      <c r="M163" s="220"/>
      <c r="N163" s="220"/>
      <c r="O163" s="211"/>
      <c r="P163" s="209"/>
    </row>
    <row r="164" spans="1:73" s="213" customFormat="1" x14ac:dyDescent="0.2">
      <c r="A164" s="219" t="b">
        <v>0</v>
      </c>
      <c r="B164" s="279" t="e">
        <f t="shared" si="7"/>
        <v>#REF!</v>
      </c>
      <c r="C164" s="228" t="s">
        <v>216</v>
      </c>
      <c r="D164" s="265"/>
      <c r="E164" s="238"/>
      <c r="G164" s="231"/>
      <c r="H164" s="231"/>
      <c r="I164" s="231"/>
      <c r="J164" s="231"/>
      <c r="L164" s="220"/>
      <c r="M164" s="220"/>
      <c r="N164" s="220"/>
      <c r="O164" s="211"/>
      <c r="P164" s="209"/>
    </row>
    <row r="165" spans="1:73" s="358" customFormat="1" x14ac:dyDescent="0.2">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x14ac:dyDescent="0.2">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x14ac:dyDescent="0.2">
      <c r="A167" s="219" t="b">
        <v>0</v>
      </c>
      <c r="B167" s="279"/>
      <c r="C167" s="454" t="s">
        <v>219</v>
      </c>
      <c r="D167" s="488"/>
      <c r="F167" s="204"/>
      <c r="H167" s="204"/>
      <c r="J167" s="204"/>
      <c r="K167" s="204"/>
      <c r="L167" s="204"/>
      <c r="M167" s="204"/>
      <c r="N167" s="204"/>
      <c r="O167" s="211"/>
      <c r="P167" s="209"/>
    </row>
    <row r="168" spans="1:73" s="213" customFormat="1" x14ac:dyDescent="0.2">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x14ac:dyDescent="0.2">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x14ac:dyDescent="0.2">
      <c r="A170" s="219" t="b">
        <v>1</v>
      </c>
      <c r="B170" s="279" t="e">
        <f t="shared" si="7"/>
        <v>#REF!</v>
      </c>
      <c r="C170" s="228" t="s">
        <v>222</v>
      </c>
      <c r="D170" s="270"/>
      <c r="F170" s="204"/>
      <c r="H170" s="204"/>
      <c r="J170" s="204"/>
      <c r="K170" s="204"/>
      <c r="L170" s="204"/>
      <c r="M170" s="204"/>
      <c r="N170" s="204"/>
      <c r="O170" s="211"/>
      <c r="P170" s="209"/>
    </row>
    <row r="171" spans="1:73" s="213" customFormat="1" x14ac:dyDescent="0.2">
      <c r="A171" s="219" t="b">
        <v>1</v>
      </c>
      <c r="B171" s="279" t="e">
        <f t="shared" si="7"/>
        <v>#REF!</v>
      </c>
      <c r="C171" s="228" t="s">
        <v>223</v>
      </c>
      <c r="D171" s="270"/>
      <c r="F171" s="204"/>
      <c r="H171" s="204"/>
      <c r="J171" s="204"/>
      <c r="K171" s="204"/>
      <c r="L171" s="204"/>
      <c r="M171" s="204"/>
      <c r="N171" s="204"/>
      <c r="O171" s="211"/>
      <c r="P171" s="209"/>
    </row>
    <row r="172" spans="1:73" s="213" customFormat="1" x14ac:dyDescent="0.2">
      <c r="A172" s="219" t="b">
        <v>1</v>
      </c>
      <c r="B172" s="279" t="e">
        <f t="shared" si="7"/>
        <v>#REF!</v>
      </c>
      <c r="C172" s="228" t="s">
        <v>224</v>
      </c>
      <c r="D172" s="270"/>
      <c r="H172" s="204"/>
      <c r="J172" s="204"/>
      <c r="K172" s="204"/>
      <c r="L172" s="204"/>
      <c r="M172" s="204"/>
      <c r="N172" s="204"/>
      <c r="O172" s="211"/>
      <c r="P172" s="209"/>
    </row>
    <row r="173" spans="1:73" s="213" customFormat="1" x14ac:dyDescent="0.2">
      <c r="A173" s="219" t="b">
        <v>1</v>
      </c>
      <c r="B173" s="279" t="e">
        <f t="shared" si="7"/>
        <v>#REF!</v>
      </c>
      <c r="C173" s="228" t="s">
        <v>225</v>
      </c>
      <c r="D173" s="270"/>
      <c r="H173" s="204"/>
      <c r="J173" s="204"/>
      <c r="K173" s="204"/>
      <c r="L173" s="204"/>
      <c r="M173" s="204"/>
      <c r="N173" s="204"/>
      <c r="O173" s="211"/>
      <c r="P173" s="209"/>
    </row>
    <row r="174" spans="1:73" s="213" customFormat="1" x14ac:dyDescent="0.2">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x14ac:dyDescent="0.2">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2">
      <c r="A176" s="219" t="b">
        <v>0</v>
      </c>
      <c r="B176" s="279" t="e">
        <f t="shared" si="7"/>
        <v>#REF!</v>
      </c>
      <c r="C176" s="228" t="s">
        <v>161</v>
      </c>
      <c r="D176" s="302">
        <f>D111</f>
        <v>0</v>
      </c>
      <c r="E176" s="456" t="s">
        <v>67</v>
      </c>
      <c r="F176" s="456"/>
      <c r="G176" s="484" t="str">
        <f>IF(D176=D18,"ON TIME",IF(D176&gt;D18,"LATE",IF(D176&lt;D18,"EARLY")))</f>
        <v>ON TIME</v>
      </c>
      <c r="H176" s="484"/>
      <c r="I176" s="484"/>
      <c r="J176" s="484"/>
      <c r="K176" s="484"/>
      <c r="L176" s="484"/>
      <c r="M176" s="484"/>
      <c r="N176" s="484"/>
      <c r="O176" s="211"/>
      <c r="P176" s="209"/>
    </row>
    <row r="177" spans="1:16" s="213" customFormat="1" x14ac:dyDescent="0.2">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2">
      <c r="B178" s="279"/>
      <c r="D178" s="360"/>
    </row>
    <row r="179" spans="1:16" ht="15" customHeight="1" x14ac:dyDescent="0.25">
      <c r="B179" s="279"/>
      <c r="C179" s="361" t="s">
        <v>228</v>
      </c>
      <c r="D179" s="360"/>
    </row>
    <row r="180" spans="1:16" ht="15" customHeight="1" x14ac:dyDescent="0.25">
      <c r="B180" s="279"/>
      <c r="C180" s="341" t="s">
        <v>229</v>
      </c>
      <c r="D180" s="362" t="b">
        <f>IF(D10="NEW BUILD", "Y")</f>
        <v>0</v>
      </c>
    </row>
    <row r="181" spans="1:16" ht="15" customHeight="1" x14ac:dyDescent="0.2">
      <c r="B181" s="279"/>
      <c r="C181" s="462" t="s">
        <v>230</v>
      </c>
      <c r="D181" s="462"/>
      <c r="E181" s="462"/>
      <c r="F181" s="465"/>
      <c r="G181" s="465"/>
      <c r="H181" s="465"/>
    </row>
    <row r="182" spans="1:16" ht="15" customHeight="1" x14ac:dyDescent="0.2">
      <c r="B182" s="279"/>
      <c r="C182" s="299" t="str">
        <f>IF(D180="Y", "NEW BUILD UNIT, SERVICE REPORT NOT APPLICABLE"," ")</f>
        <v xml:space="preserve"> </v>
      </c>
    </row>
    <row r="183" spans="1:16" ht="91.15" customHeight="1" x14ac:dyDescent="0.2">
      <c r="B183" s="279" t="e">
        <f>B177+1</f>
        <v>#REF!</v>
      </c>
      <c r="C183" s="463" t="s">
        <v>231</v>
      </c>
      <c r="D183" s="464"/>
      <c r="E183" s="464"/>
      <c r="F183" s="464"/>
      <c r="G183" s="464"/>
      <c r="H183" s="464"/>
      <c r="I183" s="464"/>
      <c r="J183" s="464"/>
      <c r="K183" s="464"/>
      <c r="L183" s="464"/>
      <c r="M183" s="464"/>
      <c r="N183" s="464"/>
      <c r="O183" s="464"/>
    </row>
    <row r="184" spans="1:16" ht="15" customHeight="1" x14ac:dyDescent="0.2">
      <c r="B184" s="279"/>
    </row>
    <row r="185" spans="1:16" ht="15" customHeight="1" x14ac:dyDescent="0.2">
      <c r="B185" s="279"/>
      <c r="C185" s="462" t="s">
        <v>232</v>
      </c>
      <c r="D185" s="465"/>
      <c r="E185" s="465"/>
    </row>
    <row r="186" spans="1:16" ht="15" customHeight="1" x14ac:dyDescent="0.2">
      <c r="B186" s="279"/>
      <c r="C186" s="299" t="str">
        <f>IF(D180="Y", "NEW BUILD UNIT, SERVICE REPORT NOT APPLICABLE","")</f>
        <v/>
      </c>
    </row>
    <row r="187" spans="1:16" ht="60" customHeight="1" x14ac:dyDescent="0.2">
      <c r="B187" s="279" t="e">
        <f>B183+1</f>
        <v>#REF!</v>
      </c>
      <c r="C187" s="464"/>
      <c r="D187" s="464"/>
      <c r="E187" s="464"/>
      <c r="F187" s="464"/>
      <c r="G187" s="464"/>
      <c r="H187" s="464"/>
      <c r="I187" s="464"/>
      <c r="J187" s="464"/>
      <c r="K187" s="464"/>
      <c r="L187" s="464"/>
      <c r="M187" s="464"/>
      <c r="N187" s="464"/>
      <c r="O187" s="464"/>
    </row>
    <row r="188" spans="1:16" ht="15" customHeight="1" x14ac:dyDescent="0.2">
      <c r="B188" s="279"/>
    </row>
    <row r="189" spans="1:16" ht="15" customHeight="1" x14ac:dyDescent="0.2">
      <c r="B189" s="279"/>
      <c r="C189" s="462" t="s">
        <v>233</v>
      </c>
      <c r="D189" s="462"/>
      <c r="E189" s="462"/>
    </row>
    <row r="190" spans="1:16" ht="15" customHeight="1" x14ac:dyDescent="0.2">
      <c r="B190" s="279"/>
      <c r="C190" s="299" t="str">
        <f>IF(D180="Y", "NEW BUILD UNIT, SERVICE REPORT NOT APPLICABLE","")</f>
        <v/>
      </c>
    </row>
    <row r="191" spans="1:16" ht="52.15" customHeight="1" x14ac:dyDescent="0.2">
      <c r="B191" s="279" t="e">
        <f>B187+1</f>
        <v>#REF!</v>
      </c>
      <c r="C191" s="464"/>
      <c r="D191" s="464"/>
      <c r="E191" s="464"/>
      <c r="F191" s="464"/>
      <c r="G191" s="464"/>
      <c r="H191" s="464"/>
      <c r="I191" s="464"/>
      <c r="J191" s="464"/>
      <c r="K191" s="464"/>
      <c r="L191" s="464"/>
      <c r="M191" s="464"/>
      <c r="N191" s="464"/>
      <c r="O191" s="464"/>
    </row>
    <row r="192" spans="1:16" ht="15" customHeight="1" x14ac:dyDescent="0.2">
      <c r="B192" s="279"/>
    </row>
    <row r="193" spans="2:15" ht="15" customHeight="1" x14ac:dyDescent="0.2">
      <c r="B193" s="279"/>
      <c r="C193" s="462" t="s">
        <v>234</v>
      </c>
      <c r="D193" s="462"/>
    </row>
    <row r="194" spans="2:15" ht="15" customHeight="1" x14ac:dyDescent="0.2">
      <c r="B194" s="279"/>
      <c r="C194" s="299" t="str">
        <f>IF(D180="Y", "NEW BUILD UNIT, SERVICE REPORT NOT APPLICABLE","")</f>
        <v/>
      </c>
    </row>
    <row r="195" spans="2:15" ht="55.15" customHeight="1" x14ac:dyDescent="0.2">
      <c r="B195" s="279" t="e">
        <f>B191+1</f>
        <v>#REF!</v>
      </c>
      <c r="C195" s="466"/>
      <c r="D195" s="467"/>
      <c r="E195" s="467"/>
      <c r="F195" s="467"/>
      <c r="G195" s="467"/>
      <c r="H195" s="467"/>
      <c r="I195" s="467"/>
      <c r="J195" s="467"/>
      <c r="K195" s="467"/>
      <c r="L195" s="467"/>
      <c r="M195" s="467"/>
      <c r="N195" s="467"/>
      <c r="O195" s="468"/>
    </row>
    <row r="196" spans="2:15" ht="15" customHeight="1" x14ac:dyDescent="0.2">
      <c r="B196" s="279"/>
    </row>
    <row r="197" spans="2:15" ht="14.25" customHeight="1" x14ac:dyDescent="0.2">
      <c r="B197" s="279" t="e">
        <f>B195+1</f>
        <v>#REF!</v>
      </c>
      <c r="C197" s="299" t="s">
        <v>235</v>
      </c>
      <c r="D197" s="327" t="s">
        <v>23</v>
      </c>
      <c r="E197" s="166"/>
    </row>
    <row r="198" spans="2:15" ht="15" customHeight="1" x14ac:dyDescent="0.2">
      <c r="B198" s="279" t="e">
        <f t="shared" si="1"/>
        <v>#REF!</v>
      </c>
      <c r="C198" s="299" t="s">
        <v>236</v>
      </c>
      <c r="D198" s="327"/>
      <c r="E198" s="363"/>
    </row>
    <row r="199" spans="2:15" ht="15" customHeight="1" x14ac:dyDescent="0.2">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489" t="s">
        <v>237</v>
      </c>
      <c r="B1" s="465"/>
      <c r="C1">
        <f>'Cover Service Sheet'!E10</f>
        <v>0</v>
      </c>
    </row>
    <row r="3" spans="1:7" x14ac:dyDescent="0.2">
      <c r="A3" s="489" t="s">
        <v>238</v>
      </c>
      <c r="B3" s="465"/>
      <c r="G3" s="197"/>
    </row>
    <row r="4" spans="1:7" x14ac:dyDescent="0.2">
      <c r="A4" s="489" t="s">
        <v>239</v>
      </c>
      <c r="B4" s="465"/>
      <c r="G4" s="197"/>
    </row>
    <row r="5" spans="1:7" x14ac:dyDescent="0.2">
      <c r="A5" s="166" t="s">
        <v>240</v>
      </c>
      <c r="G5" s="197"/>
    </row>
    <row r="6" spans="1:7" x14ac:dyDescent="0.2">
      <c r="A6" s="166" t="s">
        <v>241</v>
      </c>
      <c r="G6" s="197"/>
    </row>
    <row r="7" spans="1:7" x14ac:dyDescent="0.2">
      <c r="A7" s="166" t="s">
        <v>242</v>
      </c>
      <c r="G7" s="202"/>
    </row>
    <row r="8" spans="1:7" x14ac:dyDescent="0.2">
      <c r="A8" s="489" t="s">
        <v>243</v>
      </c>
      <c r="B8" s="465"/>
      <c r="G8" s="197"/>
    </row>
    <row r="9" spans="1:7" x14ac:dyDescent="0.2">
      <c r="A9" s="166" t="s">
        <v>244</v>
      </c>
      <c r="G9" s="197"/>
    </row>
    <row r="10" spans="1:7" x14ac:dyDescent="0.2">
      <c r="A10" s="489" t="s">
        <v>245</v>
      </c>
      <c r="B10" s="465"/>
      <c r="C10" s="465"/>
      <c r="G10" s="197"/>
    </row>
    <row r="11" spans="1:7" x14ac:dyDescent="0.2">
      <c r="A11" s="166" t="s">
        <v>246</v>
      </c>
      <c r="G11" s="197"/>
    </row>
    <row r="12" spans="1:7" x14ac:dyDescent="0.2">
      <c r="A12" s="166" t="s">
        <v>247</v>
      </c>
      <c r="G12" s="197"/>
    </row>
    <row r="13" spans="1:7" x14ac:dyDescent="0.2">
      <c r="A13" s="166" t="s">
        <v>248</v>
      </c>
      <c r="G13" s="197"/>
    </row>
    <row r="15" spans="1:7" x14ac:dyDescent="0.2">
      <c r="A15" s="489" t="s">
        <v>120</v>
      </c>
      <c r="B15" s="465"/>
      <c r="C15" s="465"/>
      <c r="G15" s="197"/>
    </row>
    <row r="16" spans="1:7" x14ac:dyDescent="0.2">
      <c r="A16" s="489" t="s">
        <v>249</v>
      </c>
      <c r="B16" s="465"/>
      <c r="C16" s="465"/>
      <c r="D16" s="465"/>
      <c r="E16" s="465"/>
      <c r="F16" s="465"/>
      <c r="G16" s="197"/>
    </row>
    <row r="17" spans="1:7" x14ac:dyDescent="0.2">
      <c r="A17" s="489" t="s">
        <v>250</v>
      </c>
      <c r="B17" s="465"/>
      <c r="G17" s="197"/>
    </row>
    <row r="18" spans="1:7" x14ac:dyDescent="0.2">
      <c r="A18" s="489" t="s">
        <v>251</v>
      </c>
      <c r="B18" s="46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219" hidden="1" customWidth="1"/>
    <col min="2" max="2" width="11.7109375" style="203" bestFit="1" customWidth="1"/>
    <col min="3" max="3" width="72.28515625" style="246" bestFit="1" customWidth="1"/>
    <col min="4" max="4" width="42.85546875" style="213" bestFit="1" customWidth="1"/>
    <col min="5" max="6" width="4.42578125" style="204" customWidth="1"/>
    <col min="7" max="7" width="3.28515625" style="204" customWidth="1"/>
    <col min="8" max="8" width="4.28515625" style="204" customWidth="1"/>
    <col min="9" max="9" width="3.85546875" style="204" bestFit="1" customWidth="1"/>
    <col min="10" max="13" width="3.28515625" style="204" customWidth="1"/>
    <col min="14" max="14" width="3.5703125" style="204" customWidth="1"/>
    <col min="15" max="15" width="110.42578125" style="211" bestFit="1" customWidth="1"/>
    <col min="16" max="16" width="14.42578125" style="209" hidden="1" customWidth="1"/>
    <col min="17" max="17" width="11.28515625" style="213" hidden="1" customWidth="1"/>
    <col min="18" max="18" width="20.85546875" style="213" bestFit="1" customWidth="1"/>
    <col min="19" max="16384" width="9.140625" style="213"/>
  </cols>
  <sheetData>
    <row r="1" spans="1:17" x14ac:dyDescent="0.2">
      <c r="C1" s="205"/>
      <c r="D1" s="220"/>
      <c r="E1" s="220"/>
      <c r="F1" s="220"/>
      <c r="G1" s="220"/>
      <c r="H1" s="220"/>
      <c r="I1" s="220"/>
      <c r="J1" s="220"/>
      <c r="K1" s="220"/>
      <c r="L1" s="220"/>
      <c r="M1" s="220"/>
      <c r="N1" s="220"/>
    </row>
    <row r="2" spans="1:17" x14ac:dyDescent="0.2">
      <c r="B2" s="203" t="s">
        <v>24</v>
      </c>
      <c r="C2" s="472" t="s">
        <v>252</v>
      </c>
      <c r="D2" s="472"/>
      <c r="E2" s="472"/>
      <c r="F2" s="472"/>
      <c r="G2" s="472"/>
      <c r="H2" s="472"/>
      <c r="I2" s="472"/>
      <c r="J2" s="472"/>
      <c r="K2" s="472"/>
      <c r="L2" s="472"/>
      <c r="M2" s="472"/>
      <c r="N2" s="472"/>
      <c r="O2" s="472"/>
      <c r="P2" s="203" t="s">
        <v>28</v>
      </c>
      <c r="Q2" s="213" t="s">
        <v>253</v>
      </c>
    </row>
    <row r="3" spans="1:17" x14ac:dyDescent="0.2">
      <c r="C3" s="205"/>
      <c r="E3" s="220"/>
      <c r="F3" s="220"/>
      <c r="G3" s="220"/>
      <c r="H3" s="220"/>
      <c r="I3" s="220"/>
      <c r="J3" s="220"/>
      <c r="K3" s="220"/>
      <c r="L3" s="220"/>
      <c r="M3" s="220"/>
      <c r="N3" s="220"/>
      <c r="P3" s="203" t="s">
        <v>34</v>
      </c>
      <c r="Q3" s="213" t="s">
        <v>254</v>
      </c>
    </row>
    <row r="4" spans="1:17" x14ac:dyDescent="0.2">
      <c r="B4" s="203">
        <v>16</v>
      </c>
      <c r="C4" s="205" t="s">
        <v>26</v>
      </c>
      <c r="D4" s="221" t="str">
        <f>'Cover Service Sheet'!D4&amp;'Cover Service Sheet'!F4&amp;'Cover Service Sheet'!H4&amp;'Cover Service Sheet'!J4&amp;'Cover Service Sheet'!L4&amp;'Cover Service Sheet'!N4&amp;'Cover Service Sheet'!P4</f>
        <v>SRM2806 2.8mg MTD / mlW0M003</v>
      </c>
      <c r="L4" s="222"/>
      <c r="O4" s="223" t="s">
        <v>29</v>
      </c>
      <c r="P4" s="203" t="s">
        <v>38</v>
      </c>
      <c r="Q4" s="213" t="s">
        <v>255</v>
      </c>
    </row>
    <row r="5" spans="1:17" x14ac:dyDescent="0.2">
      <c r="B5" s="203">
        <f>B4+1</f>
        <v>17</v>
      </c>
      <c r="C5" s="205" t="s">
        <v>30</v>
      </c>
      <c r="D5" s="221">
        <f>'Cover Service Sheet'!D5</f>
        <v>-1</v>
      </c>
      <c r="E5" s="490" t="str">
        <f>'Cover Service Sheet'!E5&amp;'Cover Service Sheet'!F5</f>
        <v/>
      </c>
      <c r="F5" s="490"/>
      <c r="G5" s="490"/>
      <c r="H5" s="490"/>
      <c r="I5" s="490"/>
      <c r="J5" s="220"/>
      <c r="K5" s="220"/>
      <c r="L5" s="220"/>
      <c r="M5" s="220"/>
      <c r="N5" s="220"/>
      <c r="Q5" s="213" t="s">
        <v>256</v>
      </c>
    </row>
    <row r="6" spans="1:17" x14ac:dyDescent="0.2">
      <c r="B6" s="203">
        <f t="shared" ref="B6:B69" si="0">B5+1</f>
        <v>18</v>
      </c>
      <c r="C6" s="205" t="s">
        <v>32</v>
      </c>
      <c r="D6" s="206">
        <v>0</v>
      </c>
      <c r="E6" s="220"/>
      <c r="F6" s="220"/>
      <c r="G6" s="220"/>
      <c r="H6" s="220"/>
      <c r="I6" s="220"/>
      <c r="J6" s="220"/>
      <c r="K6" s="220"/>
      <c r="L6" s="220"/>
      <c r="M6" s="220"/>
      <c r="N6" s="220"/>
      <c r="Q6" s="213" t="s">
        <v>257</v>
      </c>
    </row>
    <row r="7" spans="1:17" x14ac:dyDescent="0.2">
      <c r="B7" s="203">
        <f t="shared" si="0"/>
        <v>19</v>
      </c>
      <c r="C7" s="205" t="s">
        <v>44</v>
      </c>
      <c r="D7" s="215">
        <v>0</v>
      </c>
      <c r="E7" s="213"/>
      <c r="Q7" s="213" t="s">
        <v>258</v>
      </c>
    </row>
    <row r="8" spans="1:17" x14ac:dyDescent="0.2">
      <c r="B8" s="203">
        <f t="shared" si="0"/>
        <v>20</v>
      </c>
      <c r="C8" s="205" t="s">
        <v>259</v>
      </c>
      <c r="D8" s="224">
        <v>0</v>
      </c>
      <c r="E8" s="213"/>
      <c r="F8" s="213"/>
      <c r="G8" s="213"/>
      <c r="H8" s="213"/>
      <c r="I8" s="213"/>
      <c r="J8" s="213"/>
      <c r="K8" s="213"/>
      <c r="L8" s="213"/>
      <c r="M8" s="213"/>
      <c r="N8" s="213"/>
      <c r="Q8" s="213" t="s">
        <v>260</v>
      </c>
    </row>
    <row r="9" spans="1:17" x14ac:dyDescent="0.2">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2">
      <c r="A10" s="219" t="b">
        <v>1</v>
      </c>
      <c r="B10" s="203">
        <f t="shared" si="0"/>
        <v>22</v>
      </c>
      <c r="C10" s="205" t="s">
        <v>262</v>
      </c>
      <c r="D10" s="206">
        <v>0</v>
      </c>
      <c r="E10" s="491">
        <v>0</v>
      </c>
      <c r="F10" s="491"/>
      <c r="G10" s="491"/>
      <c r="H10" s="491"/>
      <c r="I10" s="491"/>
      <c r="J10" s="491"/>
      <c r="K10" s="491"/>
      <c r="L10" s="491"/>
      <c r="M10" s="491"/>
      <c r="N10" s="491"/>
      <c r="Q10" s="213" t="s">
        <v>263</v>
      </c>
    </row>
    <row r="11" spans="1:17" x14ac:dyDescent="0.2">
      <c r="B11" s="203">
        <f t="shared" si="0"/>
        <v>23</v>
      </c>
      <c r="C11" s="205" t="s">
        <v>50</v>
      </c>
      <c r="D11" s="206">
        <v>0</v>
      </c>
      <c r="E11" s="213"/>
      <c r="F11" s="213"/>
      <c r="G11" s="213"/>
      <c r="H11" s="213"/>
      <c r="I11" s="213"/>
      <c r="J11" s="213"/>
      <c r="K11" s="213"/>
      <c r="L11" s="213"/>
      <c r="M11" s="214"/>
      <c r="N11" s="213"/>
    </row>
    <row r="12" spans="1:17" x14ac:dyDescent="0.2">
      <c r="B12" s="203">
        <f t="shared" si="0"/>
        <v>24</v>
      </c>
      <c r="C12" s="205" t="s">
        <v>51</v>
      </c>
      <c r="D12" s="206">
        <v>0</v>
      </c>
      <c r="E12" s="213"/>
      <c r="F12" s="213"/>
      <c r="G12" s="213"/>
      <c r="H12" s="213"/>
      <c r="I12" s="213"/>
      <c r="J12" s="213"/>
      <c r="K12" s="213"/>
      <c r="L12" s="213"/>
      <c r="M12" s="213"/>
      <c r="N12" s="213"/>
    </row>
    <row r="13" spans="1:17" x14ac:dyDescent="0.2">
      <c r="B13" s="203">
        <f t="shared" si="0"/>
        <v>25</v>
      </c>
      <c r="C13" s="205" t="s">
        <v>264</v>
      </c>
      <c r="D13" s="225">
        <f>D7+14</f>
        <v>14</v>
      </c>
      <c r="E13" s="213"/>
      <c r="F13" s="213"/>
      <c r="G13" s="213"/>
      <c r="H13" s="213"/>
      <c r="I13" s="213"/>
      <c r="J13" s="213"/>
      <c r="K13" s="213"/>
      <c r="L13" s="213"/>
      <c r="M13" s="213"/>
      <c r="N13" s="213"/>
    </row>
    <row r="14" spans="1:17" x14ac:dyDescent="0.2">
      <c r="C14" s="454" t="s">
        <v>265</v>
      </c>
      <c r="D14" s="454"/>
      <c r="E14" s="454"/>
      <c r="F14" s="454"/>
      <c r="G14" s="454"/>
      <c r="H14" s="454"/>
      <c r="I14" s="454"/>
      <c r="J14" s="454"/>
      <c r="K14" s="454"/>
      <c r="L14" s="454"/>
      <c r="M14" s="454"/>
      <c r="N14" s="454"/>
      <c r="O14" s="454"/>
      <c r="P14" s="226"/>
    </row>
    <row r="15" spans="1:17" s="220" customFormat="1" ht="15.75" x14ac:dyDescent="0.2">
      <c r="A15" s="227"/>
      <c r="B15" s="203">
        <f>B13+1</f>
        <v>26</v>
      </c>
      <c r="C15" s="228" t="s">
        <v>163</v>
      </c>
      <c r="D15" s="210"/>
      <c r="E15" s="456" t="s">
        <v>67</v>
      </c>
      <c r="F15" s="456"/>
      <c r="G15" s="457" t="str">
        <f>IF(D15=D7,"ON TIME",IF(D15&gt;D7,"LATE",IF(D15&lt;D7,"EARLY")))</f>
        <v>ON TIME</v>
      </c>
      <c r="H15" s="457"/>
      <c r="I15" s="457"/>
      <c r="J15" s="457"/>
      <c r="K15" s="457"/>
      <c r="L15" s="457"/>
      <c r="M15" s="457"/>
      <c r="N15" s="457"/>
      <c r="O15" s="226"/>
      <c r="P15" s="226"/>
    </row>
    <row r="16" spans="1:17" s="220" customFormat="1" x14ac:dyDescent="0.2">
      <c r="A16" s="227"/>
      <c r="B16" s="203">
        <f t="shared" si="0"/>
        <v>27</v>
      </c>
      <c r="C16" s="228" t="s">
        <v>266</v>
      </c>
      <c r="D16" s="229"/>
      <c r="E16" s="228"/>
      <c r="G16" s="230"/>
      <c r="H16" s="230"/>
      <c r="I16" s="230"/>
      <c r="J16" s="226"/>
      <c r="K16" s="226"/>
      <c r="L16" s="226"/>
      <c r="M16" s="226"/>
      <c r="N16" s="226"/>
      <c r="O16" s="226"/>
      <c r="P16" s="226"/>
    </row>
    <row r="17" spans="1:16" x14ac:dyDescent="0.2">
      <c r="C17" s="203"/>
      <c r="D17" s="203" t="s">
        <v>267</v>
      </c>
      <c r="E17" s="472" t="s">
        <v>268</v>
      </c>
      <c r="F17" s="472"/>
      <c r="G17" s="472"/>
      <c r="H17" s="472"/>
      <c r="I17" s="472"/>
      <c r="J17" s="472"/>
      <c r="K17" s="472"/>
      <c r="L17" s="472"/>
      <c r="M17" s="472"/>
      <c r="N17" s="472"/>
      <c r="O17" s="231"/>
      <c r="P17" s="231"/>
    </row>
    <row r="18" spans="1:16" x14ac:dyDescent="0.2">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2">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2">
      <c r="A20" s="219" t="b">
        <v>1</v>
      </c>
      <c r="B20" s="203">
        <f t="shared" si="0"/>
        <v>30</v>
      </c>
      <c r="C20" s="298"/>
      <c r="D20" s="234"/>
      <c r="E20" s="213"/>
      <c r="F20" s="213"/>
      <c r="G20" s="213"/>
      <c r="H20" s="213"/>
      <c r="I20" s="213"/>
      <c r="J20" s="213"/>
      <c r="K20" s="213"/>
      <c r="L20" s="213"/>
      <c r="M20" s="213"/>
      <c r="N20" s="213"/>
    </row>
    <row r="21" spans="1:16" x14ac:dyDescent="0.2">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2">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2">
      <c r="A23" s="219" t="b">
        <v>1</v>
      </c>
      <c r="B23" s="203">
        <f t="shared" si="0"/>
        <v>33</v>
      </c>
      <c r="C23" s="232"/>
      <c r="D23" s="234" t="s">
        <v>272</v>
      </c>
      <c r="E23" s="213"/>
      <c r="F23" s="213"/>
      <c r="G23" s="213"/>
      <c r="H23" s="213"/>
      <c r="I23" s="213"/>
      <c r="J23" s="213"/>
      <c r="K23" s="213"/>
      <c r="L23" s="213"/>
      <c r="M23" s="213"/>
      <c r="N23" s="213"/>
    </row>
    <row r="24" spans="1:16" x14ac:dyDescent="0.2">
      <c r="A24" s="219" t="b">
        <v>0</v>
      </c>
      <c r="B24" s="203">
        <f t="shared" si="0"/>
        <v>34</v>
      </c>
      <c r="C24" s="232"/>
      <c r="D24" s="234" t="s">
        <v>273</v>
      </c>
      <c r="E24" s="213"/>
      <c r="F24" s="213"/>
      <c r="G24" s="213"/>
      <c r="H24" s="213"/>
      <c r="I24" s="213"/>
      <c r="J24" s="213"/>
      <c r="K24" s="213"/>
      <c r="L24" s="213"/>
      <c r="M24" s="213"/>
      <c r="N24" s="213"/>
    </row>
    <row r="25" spans="1:16" ht="15.75" customHeight="1" x14ac:dyDescent="0.2">
      <c r="A25" s="219" t="b">
        <v>0</v>
      </c>
      <c r="B25" s="203">
        <f t="shared" si="0"/>
        <v>35</v>
      </c>
      <c r="C25" s="232"/>
      <c r="D25" s="235" t="s">
        <v>274</v>
      </c>
      <c r="E25" s="455"/>
      <c r="F25" s="455"/>
      <c r="G25" s="455"/>
      <c r="H25" s="455"/>
      <c r="I25" s="455"/>
      <c r="J25" s="455"/>
      <c r="K25" s="455"/>
      <c r="L25" s="455"/>
      <c r="M25" s="455"/>
      <c r="N25" s="455"/>
      <c r="O25" s="211" t="str">
        <f>IF(A25=TRUE,"Charge circuit checked and verified PASS","")</f>
        <v/>
      </c>
    </row>
    <row r="26" spans="1:16" x14ac:dyDescent="0.2">
      <c r="A26" s="236">
        <v>4.0999999999999996</v>
      </c>
      <c r="B26" s="203">
        <f t="shared" si="0"/>
        <v>36</v>
      </c>
      <c r="C26" s="205" t="s">
        <v>275</v>
      </c>
      <c r="D26" s="237"/>
      <c r="E26" s="492"/>
      <c r="F26" s="492"/>
      <c r="G26" s="492"/>
      <c r="H26" s="492"/>
      <c r="I26" s="492"/>
      <c r="J26" s="492"/>
      <c r="K26" s="492"/>
      <c r="L26" s="492"/>
      <c r="M26" s="492"/>
      <c r="N26" s="492"/>
      <c r="O26" s="211" t="str">
        <f>IF(D26=A26,"Unit firmware at current release","Free of charge upgrade of unit firmware ")</f>
        <v xml:space="preserve">Free of charge upgrade of unit firmware </v>
      </c>
    </row>
    <row r="27" spans="1:16" x14ac:dyDescent="0.2">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2">
      <c r="B28" s="203">
        <f t="shared" si="0"/>
        <v>38</v>
      </c>
      <c r="C28" s="205" t="s">
        <v>277</v>
      </c>
      <c r="D28" s="212"/>
      <c r="E28" s="238"/>
      <c r="F28" s="238"/>
      <c r="G28" s="238"/>
      <c r="H28" s="238"/>
      <c r="I28" s="238"/>
      <c r="J28" s="238"/>
      <c r="K28" s="238"/>
      <c r="L28" s="238"/>
      <c r="M28" s="238"/>
      <c r="N28" s="238"/>
      <c r="O28" s="213"/>
    </row>
    <row r="29" spans="1:16" ht="15.75" customHeight="1" x14ac:dyDescent="0.2">
      <c r="B29" s="203">
        <f t="shared" si="0"/>
        <v>39</v>
      </c>
      <c r="C29" s="205" t="s">
        <v>278</v>
      </c>
      <c r="D29" s="212"/>
      <c r="E29" s="238"/>
      <c r="F29" s="238"/>
      <c r="G29" s="238"/>
      <c r="H29" s="238"/>
      <c r="I29" s="238"/>
      <c r="J29" s="238"/>
      <c r="K29" s="238"/>
      <c r="L29" s="238"/>
      <c r="M29" s="238"/>
      <c r="N29" s="238"/>
      <c r="O29" s="213"/>
    </row>
    <row r="30" spans="1:16" ht="15.75" customHeight="1" x14ac:dyDescent="0.2">
      <c r="B30" s="203">
        <f t="shared" si="0"/>
        <v>40</v>
      </c>
      <c r="C30" s="205" t="s">
        <v>279</v>
      </c>
      <c r="D30" s="239"/>
      <c r="E30" s="238"/>
      <c r="F30" s="238"/>
      <c r="G30" s="238"/>
      <c r="H30" s="238"/>
      <c r="I30" s="238"/>
      <c r="J30" s="238"/>
      <c r="K30" s="238"/>
      <c r="L30" s="238"/>
      <c r="M30" s="238"/>
      <c r="N30" s="238"/>
      <c r="O30" s="213"/>
    </row>
    <row r="31" spans="1:16" ht="15.75" customHeight="1" x14ac:dyDescent="0.2">
      <c r="B31" s="203">
        <f t="shared" si="0"/>
        <v>41</v>
      </c>
      <c r="C31" s="205" t="s">
        <v>280</v>
      </c>
      <c r="D31" s="239"/>
      <c r="E31" s="238"/>
      <c r="F31" s="238"/>
      <c r="G31" s="238"/>
      <c r="H31" s="238"/>
      <c r="I31" s="238"/>
      <c r="J31" s="238"/>
      <c r="K31" s="238"/>
      <c r="L31" s="238"/>
      <c r="M31" s="238"/>
      <c r="N31" s="238"/>
      <c r="O31" s="213"/>
    </row>
    <row r="32" spans="1:16" ht="15.75" customHeight="1" x14ac:dyDescent="0.2">
      <c r="A32" s="219" t="b">
        <v>0</v>
      </c>
      <c r="B32" s="203">
        <f t="shared" si="0"/>
        <v>42</v>
      </c>
      <c r="C32" s="232"/>
      <c r="D32" s="240" t="s">
        <v>96</v>
      </c>
      <c r="E32" s="458"/>
      <c r="F32" s="458"/>
      <c r="G32" s="458"/>
      <c r="H32" s="458"/>
      <c r="I32" s="458"/>
      <c r="J32" s="458"/>
      <c r="K32" s="458"/>
      <c r="L32" s="458"/>
      <c r="M32" s="458"/>
      <c r="N32" s="458"/>
    </row>
    <row r="33" spans="1:15" ht="15.75" customHeight="1" x14ac:dyDescent="0.2">
      <c r="B33" s="203">
        <f t="shared" si="0"/>
        <v>43</v>
      </c>
      <c r="C33" s="205" t="s">
        <v>281</v>
      </c>
      <c r="D33" s="239"/>
      <c r="E33" s="238"/>
      <c r="F33" s="238"/>
      <c r="G33" s="238"/>
      <c r="H33" s="238"/>
      <c r="I33" s="238"/>
      <c r="J33" s="238"/>
      <c r="K33" s="238"/>
      <c r="L33" s="238"/>
      <c r="M33" s="238"/>
      <c r="N33" s="238"/>
      <c r="O33" s="213"/>
    </row>
    <row r="34" spans="1:15" ht="15.75" customHeight="1" x14ac:dyDescent="0.2">
      <c r="B34" s="203">
        <f t="shared" si="0"/>
        <v>44</v>
      </c>
      <c r="C34" s="205" t="s">
        <v>282</v>
      </c>
      <c r="D34" s="239"/>
      <c r="E34" s="238"/>
      <c r="F34" s="238"/>
      <c r="G34" s="238"/>
      <c r="H34" s="238"/>
      <c r="I34" s="238"/>
      <c r="J34" s="238"/>
      <c r="K34" s="238"/>
      <c r="L34" s="238"/>
      <c r="M34" s="238"/>
      <c r="N34" s="238"/>
      <c r="O34" s="213"/>
    </row>
    <row r="35" spans="1:15" ht="15.75" customHeight="1" x14ac:dyDescent="0.2">
      <c r="B35" s="203">
        <f t="shared" si="0"/>
        <v>45</v>
      </c>
      <c r="C35" s="205" t="s">
        <v>283</v>
      </c>
      <c r="D35" s="239"/>
      <c r="E35" s="238"/>
      <c r="F35" s="238"/>
      <c r="G35" s="238"/>
      <c r="H35" s="238"/>
      <c r="I35" s="238"/>
      <c r="J35" s="238"/>
      <c r="K35" s="238"/>
      <c r="L35" s="238"/>
      <c r="M35" s="238"/>
      <c r="N35" s="238"/>
      <c r="O35" s="213"/>
    </row>
    <row r="36" spans="1:15" ht="15.75" customHeight="1" x14ac:dyDescent="0.2">
      <c r="A36" s="219" t="b">
        <v>0</v>
      </c>
      <c r="B36" s="203">
        <f t="shared" si="0"/>
        <v>46</v>
      </c>
      <c r="C36" s="232"/>
      <c r="D36" s="235" t="s">
        <v>104</v>
      </c>
      <c r="E36" s="238"/>
      <c r="F36" s="238"/>
      <c r="G36" s="238"/>
      <c r="H36" s="238"/>
      <c r="I36" s="238"/>
      <c r="J36" s="238"/>
      <c r="K36" s="238"/>
      <c r="L36" s="238"/>
      <c r="M36" s="238"/>
      <c r="N36" s="238"/>
      <c r="O36" s="213"/>
    </row>
    <row r="37" spans="1:15" ht="15.75" customHeight="1" x14ac:dyDescent="0.2">
      <c r="B37" s="203">
        <f t="shared" si="0"/>
        <v>47</v>
      </c>
      <c r="C37" s="205" t="s">
        <v>284</v>
      </c>
      <c r="D37" s="239"/>
      <c r="E37" s="238"/>
      <c r="F37" s="238"/>
      <c r="G37" s="238"/>
      <c r="H37" s="238"/>
      <c r="I37" s="238"/>
      <c r="J37" s="238"/>
      <c r="K37" s="238"/>
      <c r="L37" s="238"/>
      <c r="M37" s="238"/>
      <c r="N37" s="238"/>
      <c r="O37" s="213"/>
    </row>
    <row r="38" spans="1:15" ht="15.75" customHeight="1" x14ac:dyDescent="0.2">
      <c r="B38" s="203">
        <f t="shared" si="0"/>
        <v>48</v>
      </c>
      <c r="C38" s="205" t="s">
        <v>244</v>
      </c>
      <c r="D38" s="239"/>
      <c r="E38" s="238"/>
      <c r="F38" s="238"/>
      <c r="G38" s="238"/>
      <c r="H38" s="238"/>
      <c r="I38" s="238"/>
      <c r="J38" s="238"/>
      <c r="K38" s="238"/>
      <c r="L38" s="238"/>
      <c r="M38" s="238"/>
      <c r="N38" s="238"/>
      <c r="O38" s="213"/>
    </row>
    <row r="39" spans="1:15" ht="15.75" customHeight="1" x14ac:dyDescent="0.2">
      <c r="B39" s="203">
        <f t="shared" si="0"/>
        <v>49</v>
      </c>
      <c r="C39" s="205" t="s">
        <v>285</v>
      </c>
      <c r="D39" s="239"/>
      <c r="E39" s="238"/>
      <c r="F39" s="238"/>
      <c r="G39" s="238"/>
      <c r="H39" s="238"/>
      <c r="I39" s="238"/>
      <c r="J39" s="238"/>
      <c r="K39" s="238"/>
      <c r="L39" s="238"/>
      <c r="M39" s="238"/>
      <c r="N39" s="238"/>
      <c r="O39" s="213"/>
    </row>
    <row r="40" spans="1:15" ht="15.75" customHeight="1" x14ac:dyDescent="0.2">
      <c r="A40" s="219" t="b">
        <v>0</v>
      </c>
      <c r="B40" s="203">
        <f t="shared" si="0"/>
        <v>50</v>
      </c>
      <c r="C40" s="232"/>
      <c r="D40" s="233" t="s">
        <v>286</v>
      </c>
    </row>
    <row r="41" spans="1:15" ht="15.75" customHeight="1" x14ac:dyDescent="0.2">
      <c r="B41" s="203">
        <f t="shared" si="0"/>
        <v>51</v>
      </c>
      <c r="C41" s="205" t="s">
        <v>287</v>
      </c>
      <c r="D41" s="239"/>
      <c r="E41" s="238"/>
      <c r="F41" s="238"/>
      <c r="G41" s="238"/>
      <c r="H41" s="238"/>
      <c r="I41" s="238"/>
      <c r="J41" s="238"/>
      <c r="K41" s="238"/>
      <c r="L41" s="238"/>
      <c r="M41" s="238"/>
      <c r="N41" s="238"/>
      <c r="O41" s="213"/>
    </row>
    <row r="42" spans="1:15" ht="15.75" customHeight="1" x14ac:dyDescent="0.2">
      <c r="B42" s="203">
        <f t="shared" si="0"/>
        <v>52</v>
      </c>
      <c r="C42" s="205" t="s">
        <v>288</v>
      </c>
      <c r="D42" s="239"/>
      <c r="E42" s="238"/>
      <c r="F42" s="238"/>
      <c r="G42" s="238"/>
      <c r="H42" s="238"/>
      <c r="I42" s="238"/>
      <c r="J42" s="238"/>
      <c r="K42" s="238"/>
      <c r="L42" s="238"/>
      <c r="M42" s="238"/>
      <c r="N42" s="238"/>
      <c r="O42" s="213"/>
    </row>
    <row r="43" spans="1:15" ht="15.75" customHeight="1" x14ac:dyDescent="0.2">
      <c r="B43" s="203">
        <f t="shared" si="0"/>
        <v>53</v>
      </c>
      <c r="C43" s="205" t="s">
        <v>289</v>
      </c>
      <c r="D43" s="239"/>
      <c r="E43" s="238"/>
      <c r="F43" s="238"/>
      <c r="G43" s="238"/>
      <c r="H43" s="238"/>
      <c r="I43" s="238"/>
      <c r="J43" s="238"/>
      <c r="K43" s="238"/>
      <c r="L43" s="238"/>
      <c r="M43" s="238"/>
      <c r="N43" s="238"/>
      <c r="O43" s="213"/>
    </row>
    <row r="44" spans="1:15" ht="15.75" customHeight="1" x14ac:dyDescent="0.2">
      <c r="A44" s="219" t="b">
        <v>0</v>
      </c>
      <c r="B44" s="203">
        <f t="shared" si="0"/>
        <v>54</v>
      </c>
      <c r="C44" s="232"/>
      <c r="D44" s="233" t="s">
        <v>290</v>
      </c>
      <c r="E44" s="238"/>
      <c r="F44" s="238"/>
      <c r="G44" s="238"/>
      <c r="H44" s="238"/>
      <c r="I44" s="238"/>
      <c r="J44" s="238"/>
      <c r="K44" s="238"/>
      <c r="L44" s="238"/>
      <c r="M44" s="238"/>
      <c r="N44" s="238"/>
      <c r="O44" s="213"/>
    </row>
    <row r="45" spans="1:15" ht="15.75" customHeight="1" x14ac:dyDescent="0.2">
      <c r="B45" s="203">
        <f t="shared" si="0"/>
        <v>55</v>
      </c>
      <c r="C45" s="205"/>
      <c r="D45" s="239"/>
      <c r="E45" s="238"/>
      <c r="F45" s="238"/>
      <c r="G45" s="238"/>
      <c r="H45" s="238"/>
      <c r="I45" s="238"/>
      <c r="J45" s="238"/>
      <c r="K45" s="238"/>
      <c r="L45" s="238"/>
      <c r="M45" s="238"/>
      <c r="N45" s="238"/>
      <c r="O45" s="213"/>
    </row>
    <row r="46" spans="1:15" ht="15.75" customHeight="1" x14ac:dyDescent="0.2">
      <c r="A46" s="219" t="b">
        <v>0</v>
      </c>
      <c r="B46" s="203">
        <f t="shared" si="0"/>
        <v>56</v>
      </c>
      <c r="C46" s="232"/>
      <c r="D46" s="233"/>
    </row>
    <row r="47" spans="1:15" ht="15.75" customHeight="1" x14ac:dyDescent="0.2">
      <c r="B47" s="203">
        <f t="shared" si="0"/>
        <v>57</v>
      </c>
      <c r="C47" s="205"/>
      <c r="D47" s="239"/>
      <c r="E47" s="238"/>
      <c r="F47" s="238"/>
      <c r="G47" s="238"/>
      <c r="H47" s="238"/>
      <c r="I47" s="238"/>
      <c r="J47" s="238"/>
      <c r="K47" s="238"/>
      <c r="L47" s="238"/>
      <c r="M47" s="238"/>
      <c r="N47" s="238"/>
      <c r="O47" s="213"/>
    </row>
    <row r="48" spans="1:15" ht="15.75" customHeight="1" x14ac:dyDescent="0.2">
      <c r="B48" s="203">
        <f t="shared" si="0"/>
        <v>58</v>
      </c>
      <c r="C48" s="205"/>
      <c r="D48" s="239"/>
      <c r="E48" s="238"/>
      <c r="F48" s="238"/>
      <c r="G48" s="238"/>
      <c r="H48" s="238"/>
      <c r="I48" s="238"/>
      <c r="J48" s="238"/>
      <c r="K48" s="238"/>
      <c r="L48" s="238"/>
      <c r="M48" s="238"/>
      <c r="N48" s="238"/>
      <c r="O48" s="213"/>
    </row>
    <row r="49" spans="1:25" ht="15.75" customHeight="1" x14ac:dyDescent="0.2">
      <c r="B49" s="203">
        <f t="shared" si="0"/>
        <v>59</v>
      </c>
      <c r="C49" s="205" t="s">
        <v>291</v>
      </c>
      <c r="D49" s="239"/>
      <c r="E49" s="238"/>
      <c r="F49" s="238"/>
      <c r="G49" s="238"/>
      <c r="H49" s="238"/>
      <c r="I49" s="238"/>
      <c r="J49" s="238"/>
      <c r="K49" s="238"/>
      <c r="L49" s="238"/>
      <c r="M49" s="238"/>
      <c r="N49" s="238"/>
      <c r="O49" s="213"/>
    </row>
    <row r="50" spans="1:25" ht="15.75" customHeight="1" x14ac:dyDescent="0.2">
      <c r="B50" s="203">
        <f t="shared" si="0"/>
        <v>60</v>
      </c>
      <c r="C50" s="205"/>
      <c r="D50" s="239"/>
      <c r="E50" s="238"/>
      <c r="F50" s="238"/>
      <c r="G50" s="238"/>
      <c r="H50" s="238"/>
      <c r="I50" s="238"/>
      <c r="J50" s="238"/>
      <c r="K50" s="238"/>
      <c r="L50" s="238"/>
      <c r="M50" s="238"/>
      <c r="N50" s="238"/>
      <c r="O50" s="213"/>
    </row>
    <row r="51" spans="1:25" ht="15.75" customHeight="1" x14ac:dyDescent="0.2">
      <c r="B51" s="203">
        <f t="shared" si="0"/>
        <v>61</v>
      </c>
      <c r="C51" s="205"/>
      <c r="D51" s="239"/>
      <c r="E51" s="238"/>
      <c r="F51" s="238"/>
      <c r="G51" s="238"/>
      <c r="H51" s="238"/>
      <c r="I51" s="238"/>
      <c r="J51" s="238"/>
      <c r="K51" s="238"/>
      <c r="L51" s="238"/>
      <c r="M51" s="238"/>
      <c r="N51" s="238"/>
      <c r="O51" s="213"/>
    </row>
    <row r="52" spans="1:25" ht="15.75" customHeight="1" x14ac:dyDescent="0.2">
      <c r="B52" s="203">
        <f t="shared" si="0"/>
        <v>62</v>
      </c>
      <c r="C52" s="205"/>
      <c r="D52" s="239"/>
      <c r="E52" s="238"/>
      <c r="F52" s="238"/>
      <c r="G52" s="238"/>
      <c r="H52" s="238"/>
      <c r="I52" s="238"/>
      <c r="J52" s="238"/>
      <c r="K52" s="238"/>
      <c r="L52" s="238"/>
      <c r="M52" s="238"/>
      <c r="N52" s="238"/>
      <c r="O52" s="213"/>
    </row>
    <row r="53" spans="1:25" ht="15.75" customHeight="1" x14ac:dyDescent="0.2">
      <c r="B53" s="203">
        <f t="shared" si="0"/>
        <v>63</v>
      </c>
      <c r="C53" s="205"/>
      <c r="D53" s="239"/>
      <c r="E53" s="238"/>
      <c r="F53" s="238"/>
      <c r="G53" s="238"/>
      <c r="H53" s="238"/>
      <c r="I53" s="238"/>
      <c r="J53" s="238"/>
      <c r="K53" s="238"/>
      <c r="L53" s="238"/>
      <c r="M53" s="238"/>
      <c r="N53" s="238"/>
      <c r="O53" s="213"/>
    </row>
    <row r="54" spans="1:25" ht="15.75" customHeight="1" x14ac:dyDescent="0.2">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2">
      <c r="A55" s="219" t="b">
        <v>0</v>
      </c>
      <c r="B55" s="203">
        <f t="shared" si="0"/>
        <v>65</v>
      </c>
      <c r="C55" s="242"/>
      <c r="D55" s="240"/>
      <c r="E55" s="238"/>
      <c r="F55" s="238"/>
      <c r="G55" s="238"/>
      <c r="H55" s="238"/>
      <c r="I55" s="238"/>
      <c r="J55" s="238"/>
      <c r="K55" s="238"/>
      <c r="L55" s="238"/>
      <c r="M55" s="238"/>
      <c r="N55" s="238"/>
      <c r="O55" s="213"/>
    </row>
    <row r="56" spans="1:25" ht="15.75" customHeight="1" x14ac:dyDescent="0.2">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2">
      <c r="A57" s="219" t="b">
        <v>0</v>
      </c>
      <c r="B57" s="203">
        <f t="shared" si="0"/>
        <v>67</v>
      </c>
      <c r="C57" s="232"/>
      <c r="D57" s="233"/>
    </row>
    <row r="58" spans="1:25" x14ac:dyDescent="0.2">
      <c r="A58" s="219" t="b">
        <v>0</v>
      </c>
      <c r="B58" s="203">
        <f t="shared" si="0"/>
        <v>68</v>
      </c>
      <c r="C58" s="232"/>
      <c r="D58" s="243"/>
    </row>
    <row r="59" spans="1:25" x14ac:dyDescent="0.2">
      <c r="A59" s="219" t="b">
        <v>0</v>
      </c>
      <c r="B59" s="203">
        <f t="shared" si="0"/>
        <v>69</v>
      </c>
      <c r="C59" s="232"/>
      <c r="D59" s="243"/>
    </row>
    <row r="60" spans="1:25" x14ac:dyDescent="0.2">
      <c r="A60" s="219" t="b">
        <v>0</v>
      </c>
      <c r="B60" s="203">
        <f t="shared" si="0"/>
        <v>70</v>
      </c>
      <c r="C60" s="244" t="str">
        <f>D5&amp;E5</f>
        <v>-1</v>
      </c>
      <c r="D60" s="243" t="s">
        <v>293</v>
      </c>
    </row>
    <row r="61" spans="1:25" x14ac:dyDescent="0.2">
      <c r="A61" s="219" t="b">
        <v>0</v>
      </c>
      <c r="B61" s="203">
        <f t="shared" si="0"/>
        <v>71</v>
      </c>
      <c r="C61" s="245"/>
      <c r="D61" s="243"/>
    </row>
    <row r="62" spans="1:25" x14ac:dyDescent="0.2">
      <c r="B62" s="203">
        <f t="shared" si="0"/>
        <v>72</v>
      </c>
      <c r="C62" s="205"/>
      <c r="D62" s="212"/>
      <c r="O62" s="493"/>
      <c r="P62" s="493"/>
      <c r="Q62" s="493"/>
      <c r="R62" s="493"/>
      <c r="S62" s="493"/>
      <c r="T62" s="493"/>
      <c r="U62" s="493"/>
      <c r="V62" s="493"/>
      <c r="W62" s="493"/>
      <c r="X62" s="493"/>
      <c r="Y62" s="494"/>
    </row>
    <row r="63" spans="1:25" x14ac:dyDescent="0.2">
      <c r="B63" s="203">
        <f t="shared" si="0"/>
        <v>73</v>
      </c>
      <c r="C63" s="228"/>
      <c r="D63" s="212"/>
    </row>
    <row r="64" spans="1:25" x14ac:dyDescent="0.2">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2">
      <c r="A65" s="219" t="b">
        <v>0</v>
      </c>
      <c r="B65" s="203">
        <f t="shared" si="0"/>
        <v>75</v>
      </c>
      <c r="C65" s="241"/>
      <c r="D65" s="233"/>
      <c r="E65" s="455"/>
      <c r="F65" s="455"/>
      <c r="G65" s="455"/>
      <c r="H65" s="455"/>
      <c r="I65" s="455"/>
      <c r="J65" s="455"/>
      <c r="K65" s="455"/>
      <c r="L65" s="455"/>
      <c r="M65" s="455"/>
      <c r="N65" s="455"/>
    </row>
    <row r="66" spans="1:16" x14ac:dyDescent="0.2">
      <c r="B66" s="203">
        <f t="shared" si="0"/>
        <v>76</v>
      </c>
      <c r="C66" s="246" t="s">
        <v>294</v>
      </c>
      <c r="D66" s="212"/>
    </row>
    <row r="67" spans="1:16" x14ac:dyDescent="0.2">
      <c r="A67" s="247" t="b">
        <v>0</v>
      </c>
      <c r="B67" s="203">
        <f t="shared" si="0"/>
        <v>77</v>
      </c>
      <c r="C67" s="241"/>
      <c r="D67" s="248" t="s">
        <v>295</v>
      </c>
      <c r="E67" s="213"/>
      <c r="F67" s="213"/>
      <c r="G67" s="213"/>
      <c r="H67" s="213"/>
      <c r="I67" s="213"/>
      <c r="J67" s="213"/>
      <c r="K67" s="213"/>
      <c r="L67" s="213"/>
      <c r="M67" s="213"/>
      <c r="N67" s="213"/>
      <c r="O67" s="213"/>
    </row>
    <row r="68" spans="1:16" x14ac:dyDescent="0.2">
      <c r="A68" s="247" t="b">
        <v>0</v>
      </c>
      <c r="B68" s="203">
        <f t="shared" si="0"/>
        <v>78</v>
      </c>
      <c r="C68" s="241"/>
      <c r="D68" s="248" t="s">
        <v>296</v>
      </c>
      <c r="E68" s="213"/>
      <c r="F68" s="213"/>
      <c r="G68" s="213"/>
      <c r="H68" s="213"/>
      <c r="I68" s="213"/>
      <c r="J68" s="213"/>
      <c r="K68" s="213"/>
      <c r="L68" s="213"/>
      <c r="M68" s="213"/>
      <c r="N68" s="213"/>
      <c r="O68" s="213"/>
    </row>
    <row r="69" spans="1:16" x14ac:dyDescent="0.2">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2">
      <c r="C70" s="454" t="s">
        <v>127</v>
      </c>
      <c r="D70" s="454"/>
      <c r="E70" s="454"/>
      <c r="F70" s="454"/>
      <c r="G70" s="454"/>
      <c r="H70" s="454"/>
      <c r="I70" s="454"/>
      <c r="J70" s="454"/>
      <c r="K70" s="454"/>
      <c r="L70" s="454"/>
      <c r="M70" s="454"/>
      <c r="N70" s="454"/>
      <c r="O70" s="454"/>
      <c r="P70" s="226"/>
    </row>
    <row r="71" spans="1:16" x14ac:dyDescent="0.2">
      <c r="A71" s="219" t="b">
        <v>0</v>
      </c>
      <c r="B71" s="203">
        <f>B69+1</f>
        <v>80</v>
      </c>
      <c r="C71" s="232"/>
      <c r="D71" s="233" t="s">
        <v>128</v>
      </c>
      <c r="E71" s="455"/>
      <c r="F71" s="455"/>
      <c r="G71" s="455"/>
      <c r="H71" s="455"/>
      <c r="I71" s="455"/>
      <c r="J71" s="455"/>
      <c r="K71" s="455"/>
      <c r="L71" s="455"/>
      <c r="M71" s="455"/>
      <c r="N71" s="455"/>
      <c r="O71" s="211" t="str">
        <f>IF(A71=FALSE,"Initial purge test FAIL","Initial purge test PASS")</f>
        <v>Initial purge test FAIL</v>
      </c>
    </row>
    <row r="72" spans="1:16" x14ac:dyDescent="0.2">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2">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2">
      <c r="A74" s="219" t="b">
        <v>0</v>
      </c>
      <c r="B74" s="203">
        <f t="shared" si="1"/>
        <v>83</v>
      </c>
      <c r="C74" s="241"/>
      <c r="D74" s="233" t="s">
        <v>299</v>
      </c>
      <c r="E74" s="238"/>
      <c r="F74" s="238"/>
      <c r="G74" s="238"/>
      <c r="H74" s="238"/>
      <c r="I74" s="238"/>
      <c r="J74" s="238"/>
      <c r="K74" s="238"/>
      <c r="L74" s="238"/>
      <c r="M74" s="238"/>
      <c r="N74" s="238"/>
    </row>
    <row r="75" spans="1:16" x14ac:dyDescent="0.2">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2">
      <c r="A76" s="219" t="b">
        <v>0</v>
      </c>
      <c r="B76" s="203">
        <f t="shared" si="1"/>
        <v>85</v>
      </c>
      <c r="C76" s="241"/>
      <c r="D76" s="233" t="s">
        <v>132</v>
      </c>
      <c r="E76" s="459" t="s">
        <v>133</v>
      </c>
      <c r="F76" s="459"/>
      <c r="G76" s="459"/>
      <c r="H76" s="459"/>
      <c r="I76" s="459"/>
      <c r="J76" s="459"/>
      <c r="K76" s="459"/>
      <c r="L76" s="459"/>
      <c r="M76" s="459"/>
      <c r="N76" s="459"/>
      <c r="O76" s="211" t="str">
        <f>IF(A76=FALSE,"Secondary purge test FAIL/not completed","Secondary purge test PASS")</f>
        <v>Secondary purge test FAIL/not completed</v>
      </c>
      <c r="P76" s="209"/>
    </row>
    <row r="77" spans="1:16" x14ac:dyDescent="0.2">
      <c r="A77" s="219">
        <v>2000</v>
      </c>
      <c r="B77" s="203">
        <f t="shared" si="1"/>
        <v>86</v>
      </c>
      <c r="C77" s="254"/>
      <c r="D77" s="212"/>
      <c r="E77" s="455"/>
      <c r="F77" s="455"/>
      <c r="G77" s="455"/>
      <c r="H77" s="455"/>
      <c r="I77" s="455"/>
      <c r="J77" s="455"/>
      <c r="K77" s="455"/>
      <c r="L77" s="455"/>
      <c r="M77" s="455"/>
      <c r="N77" s="455"/>
      <c r="O77" s="211" t="str">
        <f>IF(D77&lt;550,"Initial Laser 1  check, output outside of specification FAILED/not checked","Initial Laser 1 check, output within specification PASS")</f>
        <v>Initial Laser 1  check, output outside of specification FAILED/not checked</v>
      </c>
    </row>
    <row r="78" spans="1:16" x14ac:dyDescent="0.2">
      <c r="A78" s="219">
        <v>2400</v>
      </c>
      <c r="B78" s="203">
        <f>B77+1</f>
        <v>87</v>
      </c>
      <c r="C78" s="254"/>
      <c r="D78" s="212"/>
      <c r="E78" s="455"/>
      <c r="F78" s="455"/>
      <c r="G78" s="455"/>
      <c r="H78" s="455"/>
      <c r="I78" s="455"/>
      <c r="J78" s="455"/>
      <c r="K78" s="455"/>
      <c r="L78" s="455"/>
      <c r="M78" s="455"/>
      <c r="N78" s="455"/>
      <c r="O78" s="211" t="str">
        <f>IF(D78&lt;800,"Initial Laser 2 check, output outside of specification FAILED/not checked","Initial Laser 2 output within specification PASS")</f>
        <v>Initial Laser 2 check, output outside of specification FAILED/not checked</v>
      </c>
    </row>
    <row r="79" spans="1:16" x14ac:dyDescent="0.2">
      <c r="B79" s="203">
        <f>B78+1</f>
        <v>88</v>
      </c>
      <c r="C79" s="254"/>
      <c r="D79" s="212"/>
      <c r="E79" s="455"/>
      <c r="F79" s="455"/>
      <c r="G79" s="455"/>
      <c r="H79" s="455"/>
      <c r="I79" s="455"/>
      <c r="J79" s="455"/>
      <c r="K79" s="455"/>
      <c r="L79" s="455"/>
      <c r="M79" s="455"/>
      <c r="N79" s="45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203">
        <f>B79+1</f>
        <v>89</v>
      </c>
      <c r="C80" s="254"/>
      <c r="D80" s="212"/>
      <c r="E80" s="455"/>
      <c r="F80" s="455"/>
      <c r="G80" s="455"/>
      <c r="H80" s="455"/>
      <c r="I80" s="455"/>
      <c r="J80" s="455"/>
      <c r="K80" s="455"/>
      <c r="L80" s="455"/>
      <c r="M80" s="455"/>
      <c r="N80" s="45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227"/>
      <c r="C81" s="454" t="s">
        <v>136</v>
      </c>
      <c r="D81" s="454"/>
      <c r="E81" s="454"/>
      <c r="F81" s="454"/>
      <c r="G81" s="454"/>
      <c r="H81" s="454"/>
      <c r="I81" s="454"/>
      <c r="J81" s="454"/>
      <c r="K81" s="454"/>
      <c r="L81" s="454"/>
      <c r="M81" s="454"/>
      <c r="N81" s="454"/>
      <c r="O81" s="454"/>
      <c r="P81" s="226"/>
    </row>
    <row r="82" spans="1:16" x14ac:dyDescent="0.2">
      <c r="A82" s="219" t="b">
        <v>0</v>
      </c>
      <c r="B82" s="203">
        <f>B80+1</f>
        <v>90</v>
      </c>
      <c r="C82" s="241"/>
      <c r="D82" s="233" t="s">
        <v>137</v>
      </c>
      <c r="E82" s="478"/>
      <c r="F82" s="479"/>
      <c r="G82" s="479"/>
      <c r="H82" s="479"/>
      <c r="I82" s="479"/>
      <c r="J82" s="479"/>
      <c r="K82" s="461" t="s">
        <v>138</v>
      </c>
      <c r="L82" s="461"/>
      <c r="M82" s="461"/>
      <c r="N82" s="461"/>
      <c r="O82" s="211" t="str">
        <f>IF(A82=FALSE,"Pressure reducing valve initial check FAIL/not checked","Pressure reducing valve initial check PASS")</f>
        <v>Pressure reducing valve initial check FAIL/not checked</v>
      </c>
    </row>
    <row r="83" spans="1:16" x14ac:dyDescent="0.2">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2">
      <c r="A84" s="219" t="b">
        <v>0</v>
      </c>
      <c r="B84" s="203">
        <f t="shared" ref="B84:B89" si="2">B83+1</f>
        <v>92</v>
      </c>
      <c r="C84" s="241"/>
      <c r="D84" s="240" t="s">
        <v>302</v>
      </c>
      <c r="E84" s="459" t="s">
        <v>139</v>
      </c>
      <c r="F84" s="459"/>
      <c r="G84" s="459"/>
      <c r="H84" s="459"/>
      <c r="I84" s="459"/>
      <c r="J84" s="459"/>
      <c r="K84" s="459"/>
      <c r="L84" s="459"/>
      <c r="M84" s="459"/>
      <c r="N84" s="459"/>
      <c r="O84" s="211" t="str">
        <f>IF(A84=TRUE,"SERVICE QUOTE SIGN OFF REQUIRED FROM END USER TO PROGRESS SERVICE","Initial inspection PASS, moved to Service")</f>
        <v>Initial inspection PASS, moved to Service</v>
      </c>
    </row>
    <row r="85" spans="1:16" x14ac:dyDescent="0.2">
      <c r="A85" s="219" t="b">
        <v>0</v>
      </c>
      <c r="B85" s="203">
        <f t="shared" si="2"/>
        <v>93</v>
      </c>
      <c r="C85" s="241"/>
      <c r="D85" s="240" t="s">
        <v>140</v>
      </c>
      <c r="E85" s="456" t="s">
        <v>141</v>
      </c>
      <c r="F85" s="456"/>
      <c r="G85" s="456"/>
      <c r="H85" s="456"/>
      <c r="I85" s="456"/>
      <c r="J85" s="456"/>
      <c r="K85" s="495"/>
      <c r="L85" s="495"/>
      <c r="M85" s="495"/>
      <c r="N85" s="495"/>
      <c r="O85" s="211" t="str">
        <f>IF(A85=TRUE,"Customer advised of additional work required for approval","")</f>
        <v/>
      </c>
    </row>
    <row r="86" spans="1:16" x14ac:dyDescent="0.2">
      <c r="A86" s="219" t="b">
        <v>0</v>
      </c>
      <c r="B86" s="203">
        <f t="shared" si="2"/>
        <v>94</v>
      </c>
      <c r="C86" s="241"/>
      <c r="D86" s="240" t="s">
        <v>303</v>
      </c>
      <c r="E86" s="459" t="s">
        <v>139</v>
      </c>
      <c r="F86" s="459"/>
      <c r="G86" s="459"/>
      <c r="H86" s="459"/>
      <c r="I86" s="459"/>
      <c r="J86" s="459"/>
      <c r="K86" s="459"/>
      <c r="L86" s="459"/>
      <c r="M86" s="459"/>
      <c r="N86" s="459"/>
      <c r="O86" s="211" t="str">
        <f>IF(A86=TRUE,"SALES ORDER WAS REQUIRED TO PROGRESS SERVICE","Initial inspection PASS, moved to Service")</f>
        <v>Initial inspection PASS, moved to Service</v>
      </c>
    </row>
    <row r="87" spans="1:16" x14ac:dyDescent="0.2">
      <c r="A87" s="219" t="b">
        <v>0</v>
      </c>
      <c r="B87" s="203">
        <f t="shared" si="2"/>
        <v>95</v>
      </c>
      <c r="C87" s="241"/>
      <c r="D87" s="240" t="s">
        <v>142</v>
      </c>
      <c r="E87" s="456" t="s">
        <v>143</v>
      </c>
      <c r="F87" s="456"/>
      <c r="G87" s="456"/>
      <c r="H87" s="456"/>
      <c r="I87" s="456"/>
      <c r="J87" s="456"/>
      <c r="K87" s="495"/>
      <c r="L87" s="495"/>
      <c r="M87" s="495"/>
      <c r="N87" s="495"/>
      <c r="O87" s="211" t="str">
        <f>IF(A87=TRUE,"Customer advised of order requirement","Sales Order raised, passed to Service")</f>
        <v>Sales Order raised, passed to Service</v>
      </c>
    </row>
    <row r="88" spans="1:16" x14ac:dyDescent="0.2">
      <c r="B88" s="203">
        <f t="shared" si="2"/>
        <v>96</v>
      </c>
      <c r="C88" s="228" t="s">
        <v>304</v>
      </c>
      <c r="D88" s="210"/>
      <c r="E88" s="231"/>
      <c r="F88" s="213"/>
      <c r="G88" s="228"/>
      <c r="H88" s="228"/>
      <c r="I88" s="228"/>
      <c r="J88" s="228"/>
      <c r="K88" s="213"/>
      <c r="L88" s="255"/>
      <c r="M88" s="255"/>
      <c r="N88" s="255"/>
      <c r="O88" s="209"/>
    </row>
    <row r="89" spans="1:16" x14ac:dyDescent="0.2">
      <c r="B89" s="203">
        <f t="shared" si="2"/>
        <v>97</v>
      </c>
      <c r="C89" s="228" t="s">
        <v>305</v>
      </c>
      <c r="D89" s="229"/>
      <c r="E89" s="231" t="s">
        <v>306</v>
      </c>
      <c r="F89" s="213"/>
      <c r="G89" s="228"/>
      <c r="H89" s="228"/>
      <c r="I89" s="483">
        <f>D89-D16</f>
        <v>0</v>
      </c>
      <c r="J89" s="483"/>
      <c r="K89" s="483"/>
      <c r="L89" s="483"/>
      <c r="M89" s="483"/>
      <c r="N89" s="483"/>
      <c r="O89" s="213"/>
    </row>
    <row r="90" spans="1:16" x14ac:dyDescent="0.2">
      <c r="C90" s="454" t="s">
        <v>146</v>
      </c>
      <c r="D90" s="454"/>
      <c r="E90" s="454"/>
      <c r="F90" s="454"/>
      <c r="G90" s="454"/>
      <c r="H90" s="454"/>
      <c r="I90" s="454"/>
      <c r="J90" s="454"/>
      <c r="K90" s="454"/>
      <c r="L90" s="454"/>
      <c r="M90" s="454"/>
      <c r="N90" s="454"/>
      <c r="O90" s="454"/>
      <c r="P90" s="226"/>
    </row>
    <row r="91" spans="1:16" s="220" customFormat="1" ht="15.75" customHeight="1" x14ac:dyDescent="0.2">
      <c r="A91" s="227"/>
      <c r="B91" s="203">
        <f>B89+1</f>
        <v>98</v>
      </c>
      <c r="C91" s="228" t="s">
        <v>147</v>
      </c>
      <c r="D91" s="210"/>
      <c r="E91" s="456" t="s">
        <v>67</v>
      </c>
      <c r="F91" s="456"/>
      <c r="G91" s="484" t="str">
        <f>IF(D91=$D$7,"ON TIME",IF(D91&gt;$D$7,"LATE",IF(D91&lt;$D$7,"EARLY")))</f>
        <v>ON TIME</v>
      </c>
      <c r="H91" s="484"/>
      <c r="I91" s="484"/>
      <c r="J91" s="484"/>
      <c r="K91" s="484"/>
      <c r="L91" s="484"/>
      <c r="M91" s="484"/>
      <c r="N91" s="484"/>
      <c r="O91" s="238"/>
      <c r="P91" s="238"/>
    </row>
    <row r="92" spans="1:16" s="220" customFormat="1" ht="15.75" customHeight="1" x14ac:dyDescent="0.2">
      <c r="A92" s="227"/>
      <c r="B92" s="203">
        <f t="shared" si="1"/>
        <v>99</v>
      </c>
      <c r="C92" s="228" t="s">
        <v>307</v>
      </c>
      <c r="D92" s="229"/>
      <c r="E92" s="226"/>
      <c r="G92" s="228"/>
      <c r="H92" s="228"/>
      <c r="I92" s="228"/>
      <c r="J92" s="228"/>
      <c r="L92" s="230"/>
      <c r="M92" s="230"/>
      <c r="N92" s="230"/>
      <c r="O92" s="226"/>
      <c r="P92" s="226"/>
    </row>
    <row r="93" spans="1:16" x14ac:dyDescent="0.2">
      <c r="A93" s="219" t="b">
        <v>0</v>
      </c>
      <c r="B93" s="203">
        <f t="shared" si="1"/>
        <v>100</v>
      </c>
      <c r="C93" s="256"/>
      <c r="D93" s="233" t="s">
        <v>308</v>
      </c>
      <c r="E93" s="480">
        <v>0</v>
      </c>
      <c r="F93" s="480"/>
      <c r="G93" s="480"/>
      <c r="H93" s="480"/>
      <c r="I93" s="480"/>
      <c r="J93" s="480"/>
      <c r="K93" s="480"/>
      <c r="L93" s="480"/>
      <c r="M93" s="480"/>
      <c r="N93" s="480"/>
      <c r="O93" s="211" t="str">
        <f>IF(A93=TRUE,"SO received and on system","Awaiting customers purchase order")</f>
        <v>Awaiting customers purchase order</v>
      </c>
      <c r="P93" s="220"/>
    </row>
    <row r="94" spans="1:16" x14ac:dyDescent="0.2">
      <c r="A94" s="219" t="b">
        <v>0</v>
      </c>
      <c r="B94" s="203">
        <f t="shared" si="1"/>
        <v>101</v>
      </c>
      <c r="C94" s="256"/>
      <c r="D94" s="233" t="s">
        <v>309</v>
      </c>
      <c r="E94" s="480">
        <v>0</v>
      </c>
      <c r="F94" s="480"/>
      <c r="G94" s="480"/>
      <c r="H94" s="480"/>
      <c r="I94" s="480"/>
      <c r="J94" s="480"/>
      <c r="K94" s="480"/>
      <c r="L94" s="480"/>
      <c r="M94" s="480"/>
      <c r="N94" s="480"/>
      <c r="O94" s="211" t="str">
        <f>IF(A94=TRUE,"WO processed, service can be started","Awaiting customers purchase order")</f>
        <v>Awaiting customers purchase order</v>
      </c>
      <c r="P94" s="220"/>
    </row>
    <row r="95" spans="1:16" x14ac:dyDescent="0.2">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2">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2">
      <c r="A97" s="219" t="b">
        <v>0</v>
      </c>
      <c r="B97" s="203">
        <f t="shared" si="1"/>
        <v>104</v>
      </c>
      <c r="C97" s="241"/>
      <c r="D97" s="233"/>
      <c r="E97" s="496"/>
      <c r="F97" s="497"/>
      <c r="G97" s="497"/>
      <c r="H97" s="497"/>
      <c r="I97" s="497"/>
      <c r="J97" s="497"/>
      <c r="K97" s="461" t="s">
        <v>138</v>
      </c>
      <c r="L97" s="461"/>
      <c r="M97" s="461"/>
      <c r="N97" s="461"/>
      <c r="O97" s="211" t="str">
        <f>IF(A97=TRUE,"Pressure reducing valve value logged PASS","")</f>
        <v/>
      </c>
    </row>
    <row r="98" spans="1:15" x14ac:dyDescent="0.2">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2">
      <c r="B99" s="203">
        <f t="shared" si="1"/>
        <v>106</v>
      </c>
      <c r="C99" s="254" t="s">
        <v>313</v>
      </c>
      <c r="D99" s="212"/>
      <c r="E99" s="498"/>
      <c r="F99" s="455"/>
      <c r="G99" s="455"/>
      <c r="H99" s="455"/>
      <c r="I99" s="455"/>
      <c r="J99" s="455"/>
      <c r="K99" s="455"/>
      <c r="L99" s="455"/>
      <c r="M99" s="455"/>
      <c r="N99" s="455"/>
      <c r="O99" s="211" t="str">
        <f>IF(D99&lt;550,"Laser 1 output outside of specification FAILED","Laser 1 output within specification PASS")</f>
        <v>Laser 1 output outside of specification FAILED</v>
      </c>
    </row>
    <row r="100" spans="1:15" x14ac:dyDescent="0.2">
      <c r="B100" s="203">
        <f t="shared" si="1"/>
        <v>107</v>
      </c>
      <c r="C100" s="254" t="s">
        <v>314</v>
      </c>
      <c r="D100" s="212"/>
      <c r="E100" s="498"/>
      <c r="F100" s="455"/>
      <c r="G100" s="455"/>
      <c r="H100" s="455"/>
      <c r="I100" s="455"/>
      <c r="J100" s="455"/>
      <c r="K100" s="455"/>
      <c r="L100" s="455"/>
      <c r="M100" s="455"/>
      <c r="N100" s="455"/>
      <c r="O100" s="211" t="str">
        <f>IF(D100&lt;800,"Laser 2 output outside of specification FAILED","Laser 2 output within specification PASS")</f>
        <v>Laser 2 output outside of specification FAILED</v>
      </c>
    </row>
    <row r="101" spans="1:15" x14ac:dyDescent="0.2">
      <c r="B101" s="203">
        <f t="shared" si="1"/>
        <v>108</v>
      </c>
      <c r="C101" s="254" t="s">
        <v>315</v>
      </c>
      <c r="D101" s="212"/>
      <c r="E101" s="498"/>
      <c r="F101" s="455"/>
      <c r="G101" s="455"/>
      <c r="H101" s="455"/>
      <c r="I101" s="455"/>
      <c r="J101" s="455"/>
      <c r="K101" s="455"/>
      <c r="L101" s="455"/>
      <c r="M101" s="455"/>
      <c r="N101" s="455"/>
      <c r="O101" s="211" t="str">
        <f>IF(D101&lt;1500,"Laser 1 NOISE output within specification PASS","Laser 1 NOISE output outside specification FAILED")</f>
        <v>Laser 1 NOISE output within specification PASS</v>
      </c>
    </row>
    <row r="102" spans="1:15" x14ac:dyDescent="0.2">
      <c r="B102" s="203">
        <f t="shared" si="1"/>
        <v>109</v>
      </c>
      <c r="C102" s="254" t="s">
        <v>316</v>
      </c>
      <c r="D102" s="212"/>
      <c r="E102" s="498"/>
      <c r="F102" s="455"/>
      <c r="G102" s="455"/>
      <c r="H102" s="455"/>
      <c r="I102" s="455"/>
      <c r="J102" s="455"/>
      <c r="K102" s="455"/>
      <c r="L102" s="455"/>
      <c r="M102" s="455"/>
      <c r="N102" s="455"/>
      <c r="O102" s="211" t="str">
        <f>IF(D102&lt;1500,"Laser 2 NOISE output within specification PASS","Laser 2 NOISE output outside specification FAILED")</f>
        <v>Laser 2 NOISE output within specification PASS</v>
      </c>
    </row>
    <row r="103" spans="1:15" x14ac:dyDescent="0.2">
      <c r="A103" s="219" t="b">
        <v>0</v>
      </c>
      <c r="B103" s="203">
        <f t="shared" si="1"/>
        <v>110</v>
      </c>
      <c r="C103" s="256"/>
      <c r="D103" s="233" t="s">
        <v>317</v>
      </c>
      <c r="E103" s="459" t="s">
        <v>152</v>
      </c>
      <c r="F103" s="459"/>
      <c r="G103" s="459"/>
      <c r="H103" s="459"/>
      <c r="I103" s="459"/>
      <c r="J103" s="459"/>
      <c r="K103" s="459"/>
      <c r="L103" s="459"/>
      <c r="M103" s="459"/>
      <c r="N103" s="459"/>
      <c r="O103" s="211" t="str">
        <f>IF(A103=TRUE,"DC connector inspected and tests OK","")</f>
        <v/>
      </c>
    </row>
    <row r="104" spans="1:15" x14ac:dyDescent="0.2">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2">
      <c r="A105" s="219" t="b">
        <v>0</v>
      </c>
      <c r="B105" s="203">
        <f t="shared" si="1"/>
        <v>112</v>
      </c>
      <c r="C105" s="256"/>
      <c r="D105" s="233" t="s">
        <v>319</v>
      </c>
      <c r="E105" s="238"/>
      <c r="F105" s="238"/>
      <c r="G105" s="238"/>
      <c r="H105" s="238"/>
      <c r="I105" s="238"/>
      <c r="J105" s="238"/>
      <c r="K105" s="238"/>
      <c r="L105" s="238"/>
      <c r="M105" s="238"/>
      <c r="N105" s="238"/>
    </row>
    <row r="106" spans="1:15" x14ac:dyDescent="0.2">
      <c r="A106" s="219" t="b">
        <v>0</v>
      </c>
      <c r="B106" s="203">
        <f t="shared" si="1"/>
        <v>113</v>
      </c>
      <c r="C106" s="256"/>
      <c r="D106" s="233" t="s">
        <v>320</v>
      </c>
      <c r="E106" s="238"/>
      <c r="F106" s="238"/>
      <c r="G106" s="238"/>
      <c r="H106" s="238"/>
      <c r="I106" s="238"/>
      <c r="J106" s="238"/>
      <c r="K106" s="238"/>
      <c r="L106" s="238"/>
      <c r="M106" s="238"/>
      <c r="N106" s="238"/>
    </row>
    <row r="107" spans="1:15" x14ac:dyDescent="0.2">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2">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2">
      <c r="A109" s="219" t="b">
        <v>0</v>
      </c>
      <c r="B109" s="203">
        <f t="shared" si="1"/>
        <v>116</v>
      </c>
      <c r="C109" s="256"/>
      <c r="D109" s="233" t="s">
        <v>322</v>
      </c>
      <c r="E109" s="459" t="s">
        <v>152</v>
      </c>
      <c r="F109" s="459"/>
      <c r="G109" s="459"/>
      <c r="H109" s="459"/>
      <c r="I109" s="459"/>
      <c r="J109" s="459"/>
      <c r="K109" s="459"/>
      <c r="L109" s="459"/>
      <c r="M109" s="459"/>
      <c r="N109" s="459"/>
      <c r="O109" s="211" t="str">
        <f>IF(A109=TRUE,"Battery clamps inspected PASS","")</f>
        <v/>
      </c>
    </row>
    <row r="110" spans="1:15" x14ac:dyDescent="0.2">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2">
      <c r="A111" s="219" t="b">
        <v>0</v>
      </c>
      <c r="B111" s="203">
        <f t="shared" si="1"/>
        <v>118</v>
      </c>
      <c r="C111" s="242"/>
      <c r="D111" s="233"/>
      <c r="E111" s="238"/>
      <c r="F111" s="238"/>
      <c r="G111" s="238"/>
      <c r="H111" s="238"/>
      <c r="I111" s="238"/>
      <c r="J111" s="238"/>
      <c r="K111" s="238"/>
      <c r="L111" s="238"/>
      <c r="M111" s="238"/>
      <c r="N111" s="238"/>
    </row>
    <row r="112" spans="1:15" x14ac:dyDescent="0.2">
      <c r="A112" s="219" t="b">
        <v>0</v>
      </c>
      <c r="B112" s="203">
        <f>B110+1</f>
        <v>118</v>
      </c>
      <c r="C112" s="241"/>
      <c r="D112" s="233"/>
      <c r="E112" s="213"/>
      <c r="F112" s="238"/>
      <c r="G112" s="209" t="s">
        <v>323</v>
      </c>
      <c r="H112" s="238"/>
      <c r="I112" s="238"/>
      <c r="J112" s="238"/>
      <c r="K112" s="497"/>
      <c r="L112" s="497"/>
      <c r="M112" s="497"/>
      <c r="N112" s="497"/>
      <c r="O112" s="211" t="str">
        <f>IF(A112=TRUE,"Moisture sensor replaced as part of service","")</f>
        <v/>
      </c>
    </row>
    <row r="113" spans="1:16" x14ac:dyDescent="0.2">
      <c r="A113" s="219" t="b">
        <v>0</v>
      </c>
      <c r="B113" s="203">
        <f t="shared" si="1"/>
        <v>119</v>
      </c>
      <c r="C113" s="241"/>
      <c r="D113" s="233" t="s">
        <v>324</v>
      </c>
      <c r="E113" s="496"/>
      <c r="F113" s="497"/>
      <c r="G113" s="220" t="s">
        <v>325</v>
      </c>
      <c r="I113" s="497"/>
      <c r="J113" s="497"/>
      <c r="K113" s="220" t="s">
        <v>326</v>
      </c>
      <c r="O113" s="211" t="str">
        <f>IF(A113=TRUE,"Moisture sensor initial test PASS","")</f>
        <v/>
      </c>
    </row>
    <row r="114" spans="1:16" x14ac:dyDescent="0.2">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2">
      <c r="A115" s="219" t="b">
        <v>0</v>
      </c>
      <c r="B115" s="203">
        <f t="shared" si="1"/>
        <v>121</v>
      </c>
      <c r="C115" s="242"/>
      <c r="D115" s="233" t="s">
        <v>327</v>
      </c>
      <c r="E115" s="497"/>
      <c r="F115" s="497"/>
      <c r="G115" s="497"/>
      <c r="H115" s="497"/>
      <c r="I115" s="238"/>
      <c r="J115" s="238"/>
      <c r="K115" s="238"/>
      <c r="L115" s="238"/>
      <c r="M115" s="238"/>
      <c r="N115" s="238"/>
    </row>
    <row r="116" spans="1:16" x14ac:dyDescent="0.2">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2">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2">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2">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2">
      <c r="A120" s="227"/>
      <c r="C120" s="454" t="s">
        <v>136</v>
      </c>
      <c r="D120" s="454"/>
      <c r="E120" s="454"/>
      <c r="F120" s="454"/>
      <c r="G120" s="454"/>
      <c r="H120" s="454"/>
      <c r="I120" s="454"/>
      <c r="J120" s="454"/>
      <c r="K120" s="454"/>
      <c r="L120" s="454"/>
      <c r="M120" s="454"/>
      <c r="N120" s="454"/>
      <c r="O120" s="454"/>
      <c r="P120" s="226"/>
    </row>
    <row r="121" spans="1:16" x14ac:dyDescent="0.2">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2">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2">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2">
      <c r="A124" s="219">
        <v>2000</v>
      </c>
      <c r="B124" s="203">
        <f t="shared" si="1"/>
        <v>129</v>
      </c>
      <c r="C124" s="205" t="s">
        <v>313</v>
      </c>
      <c r="D124" s="212"/>
      <c r="E124" s="455"/>
      <c r="F124" s="455"/>
      <c r="G124" s="455"/>
      <c r="H124" s="455"/>
      <c r="I124" s="455"/>
      <c r="J124" s="455"/>
      <c r="K124" s="455"/>
      <c r="L124" s="455"/>
      <c r="M124" s="455"/>
      <c r="N124" s="455"/>
      <c r="O124" s="211" t="str">
        <f>IF(D124&lt;550,"Laser 1 output outside of specification FAILED","Laser 1 output within specification PASS")</f>
        <v>Laser 1 output outside of specification FAILED</v>
      </c>
    </row>
    <row r="125" spans="1:16" x14ac:dyDescent="0.2">
      <c r="A125" s="219">
        <v>2400</v>
      </c>
      <c r="B125" s="203">
        <f t="shared" si="1"/>
        <v>130</v>
      </c>
      <c r="C125" s="205" t="s">
        <v>314</v>
      </c>
      <c r="D125" s="212"/>
      <c r="E125" s="455"/>
      <c r="F125" s="455"/>
      <c r="G125" s="455"/>
      <c r="H125" s="455"/>
      <c r="I125" s="455"/>
      <c r="J125" s="455"/>
      <c r="K125" s="455"/>
      <c r="L125" s="455"/>
      <c r="M125" s="455"/>
      <c r="N125" s="455"/>
      <c r="O125" s="211" t="str">
        <f>IF(D125&lt;800,"Laser 2 output outside of specification FAILED","Laser 2 output within specification PASS")</f>
        <v>Laser 2 output outside of specification FAILED</v>
      </c>
    </row>
    <row r="126" spans="1:16" x14ac:dyDescent="0.2">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2">
      <c r="B127" s="203">
        <f t="shared" si="1"/>
        <v>132</v>
      </c>
      <c r="C127" s="205" t="s">
        <v>218</v>
      </c>
      <c r="E127" s="499"/>
      <c r="F127" s="499"/>
      <c r="G127" s="499"/>
      <c r="H127" s="499"/>
      <c r="I127" s="499"/>
      <c r="J127" s="499"/>
      <c r="K127" s="499"/>
      <c r="L127" s="499"/>
      <c r="M127" s="499"/>
      <c r="N127" s="499"/>
    </row>
    <row r="128" spans="1:16" x14ac:dyDescent="0.2">
      <c r="A128" s="219" t="b">
        <v>0</v>
      </c>
      <c r="B128" s="203">
        <f t="shared" si="1"/>
        <v>133</v>
      </c>
      <c r="C128" s="262"/>
      <c r="D128" s="233" t="s">
        <v>332</v>
      </c>
      <c r="E128" s="263"/>
      <c r="F128" s="263"/>
      <c r="G128" s="263"/>
      <c r="H128" s="263"/>
      <c r="I128" s="263"/>
      <c r="J128" s="263"/>
      <c r="K128" s="263"/>
      <c r="L128" s="263"/>
      <c r="M128" s="263"/>
      <c r="N128" s="238"/>
    </row>
    <row r="129" spans="1:28" x14ac:dyDescent="0.2">
      <c r="A129" s="219" t="b">
        <v>0</v>
      </c>
      <c r="B129" s="203">
        <f t="shared" si="1"/>
        <v>134</v>
      </c>
      <c r="C129" s="262"/>
      <c r="D129" s="233" t="s">
        <v>333</v>
      </c>
      <c r="E129" s="263"/>
      <c r="F129" s="263"/>
      <c r="G129" s="263"/>
      <c r="H129" s="263"/>
      <c r="I129" s="263"/>
      <c r="J129" s="263"/>
      <c r="K129" s="263"/>
      <c r="L129" s="263"/>
      <c r="M129" s="263"/>
      <c r="N129" s="238"/>
    </row>
    <row r="130" spans="1:28" x14ac:dyDescent="0.2">
      <c r="A130" s="219" t="b">
        <v>0</v>
      </c>
      <c r="B130" s="203">
        <f t="shared" si="1"/>
        <v>135</v>
      </c>
      <c r="C130" s="262"/>
      <c r="D130" s="233" t="s">
        <v>334</v>
      </c>
      <c r="E130" s="263"/>
      <c r="F130" s="263"/>
      <c r="G130" s="263"/>
      <c r="H130" s="263"/>
      <c r="I130" s="263"/>
      <c r="J130" s="263"/>
      <c r="K130" s="263"/>
      <c r="L130" s="263"/>
      <c r="M130" s="263"/>
      <c r="N130" s="238"/>
    </row>
    <row r="131" spans="1:28" ht="15.75" x14ac:dyDescent="0.2">
      <c r="B131" s="203">
        <f t="shared" si="1"/>
        <v>136</v>
      </c>
      <c r="C131" s="228" t="s">
        <v>161</v>
      </c>
      <c r="D131" s="210"/>
      <c r="E131" s="456" t="s">
        <v>67</v>
      </c>
      <c r="F131" s="456"/>
      <c r="G131" s="457" t="str">
        <f>IF(D131=D13,"ON TIME",IF(D131&gt;D13,"LATE",IF(D131&lt;D13,"EARLY")))</f>
        <v>EARLY</v>
      </c>
      <c r="H131" s="457"/>
      <c r="I131" s="457"/>
      <c r="J131" s="457"/>
      <c r="K131" s="457"/>
      <c r="L131" s="457"/>
      <c r="M131" s="457"/>
      <c r="N131" s="457"/>
      <c r="O131" s="220"/>
      <c r="P131" s="205"/>
    </row>
    <row r="132" spans="1:28" x14ac:dyDescent="0.2">
      <c r="B132" s="203">
        <f t="shared" si="1"/>
        <v>137</v>
      </c>
      <c r="C132" s="228" t="s">
        <v>335</v>
      </c>
      <c r="D132" s="229"/>
      <c r="E132" s="231" t="s">
        <v>306</v>
      </c>
      <c r="F132" s="213"/>
      <c r="G132" s="228"/>
      <c r="H132" s="228"/>
      <c r="I132" s="483">
        <f>D132-D92</f>
        <v>0</v>
      </c>
      <c r="J132" s="483"/>
      <c r="K132" s="483"/>
      <c r="L132" s="483"/>
      <c r="M132" s="483"/>
      <c r="N132" s="483"/>
      <c r="O132" s="213"/>
    </row>
    <row r="133" spans="1:28" x14ac:dyDescent="0.2">
      <c r="C133" s="454" t="s">
        <v>162</v>
      </c>
      <c r="D133" s="454"/>
      <c r="E133" s="454"/>
      <c r="F133" s="454"/>
      <c r="G133" s="454"/>
      <c r="H133" s="454"/>
      <c r="I133" s="454"/>
      <c r="J133" s="454"/>
      <c r="K133" s="454"/>
      <c r="L133" s="454"/>
      <c r="M133" s="454"/>
      <c r="N133" s="454"/>
      <c r="O133" s="454"/>
    </row>
    <row r="134" spans="1:28" ht="15.75" x14ac:dyDescent="0.2">
      <c r="B134" s="203">
        <f>B132+1</f>
        <v>138</v>
      </c>
      <c r="C134" s="228" t="s">
        <v>163</v>
      </c>
      <c r="D134" s="210"/>
      <c r="E134" s="456" t="s">
        <v>67</v>
      </c>
      <c r="F134" s="456"/>
      <c r="G134" s="484" t="str">
        <f>IF(D134=D13,"ON TIME",IF(D134&gt;D13,"LATE",IF(D134&lt;D13,"EARLY")))</f>
        <v>EARLY</v>
      </c>
      <c r="H134" s="484"/>
      <c r="I134" s="484"/>
      <c r="J134" s="484"/>
      <c r="K134" s="484"/>
      <c r="L134" s="484"/>
      <c r="M134" s="484"/>
      <c r="N134" s="484"/>
      <c r="O134" s="264"/>
    </row>
    <row r="135" spans="1:28" x14ac:dyDescent="0.2">
      <c r="B135" s="203">
        <f t="shared" si="1"/>
        <v>139</v>
      </c>
      <c r="C135" s="228" t="s">
        <v>266</v>
      </c>
      <c r="D135" s="229"/>
      <c r="E135" s="238"/>
      <c r="F135" s="213"/>
      <c r="G135" s="231"/>
      <c r="H135" s="231"/>
      <c r="I135" s="231"/>
      <c r="J135" s="231"/>
      <c r="K135" s="213"/>
      <c r="L135" s="220"/>
      <c r="M135" s="220"/>
      <c r="N135" s="220"/>
    </row>
    <row r="136" spans="1:28" x14ac:dyDescent="0.2">
      <c r="B136" s="203">
        <f t="shared" ref="B136:B199" si="3">B135+1</f>
        <v>140</v>
      </c>
      <c r="C136" s="228" t="s">
        <v>335</v>
      </c>
      <c r="D136" s="229"/>
      <c r="E136" s="231" t="s">
        <v>306</v>
      </c>
      <c r="F136" s="213"/>
      <c r="G136" s="228"/>
      <c r="H136" s="228"/>
      <c r="I136" s="483">
        <f>D136-D135</f>
        <v>0</v>
      </c>
      <c r="J136" s="483"/>
      <c r="K136" s="483"/>
      <c r="L136" s="483"/>
      <c r="M136" s="483"/>
      <c r="N136" s="483"/>
    </row>
    <row r="137" spans="1:28" x14ac:dyDescent="0.2">
      <c r="B137" s="203">
        <f t="shared" si="3"/>
        <v>141</v>
      </c>
      <c r="C137" s="228" t="s">
        <v>336</v>
      </c>
      <c r="D137" s="229"/>
      <c r="E137" s="238"/>
      <c r="F137" s="213"/>
      <c r="G137" s="231"/>
      <c r="H137" s="231"/>
      <c r="I137" s="231"/>
      <c r="J137" s="231"/>
      <c r="K137" s="213"/>
      <c r="L137" s="220"/>
      <c r="M137" s="220"/>
      <c r="N137" s="220"/>
    </row>
    <row r="138" spans="1:28" x14ac:dyDescent="0.2">
      <c r="A138" s="219" t="b">
        <v>0</v>
      </c>
      <c r="B138" s="203">
        <f t="shared" si="3"/>
        <v>142</v>
      </c>
      <c r="C138" s="228" t="s">
        <v>337</v>
      </c>
      <c r="D138" s="265"/>
      <c r="E138" s="238"/>
      <c r="F138" s="213"/>
      <c r="G138" s="231"/>
      <c r="H138" s="231"/>
      <c r="I138" s="231"/>
      <c r="J138" s="231"/>
      <c r="K138" s="213"/>
      <c r="L138" s="220"/>
      <c r="M138" s="220"/>
      <c r="N138" s="220"/>
    </row>
    <row r="139" spans="1:28" x14ac:dyDescent="0.2">
      <c r="A139" s="219" t="b">
        <v>0</v>
      </c>
      <c r="B139" s="203">
        <f t="shared" si="3"/>
        <v>143</v>
      </c>
      <c r="C139" s="228" t="s">
        <v>338</v>
      </c>
      <c r="D139" s="265"/>
      <c r="E139" s="238"/>
      <c r="F139" s="213"/>
      <c r="G139" s="231"/>
      <c r="H139" s="231"/>
      <c r="I139" s="231"/>
      <c r="J139" s="231"/>
      <c r="K139" s="213"/>
      <c r="L139" s="220"/>
      <c r="M139" s="220"/>
      <c r="N139" s="220"/>
    </row>
    <row r="140" spans="1:28" x14ac:dyDescent="0.2">
      <c r="A140" s="219" t="b">
        <v>0</v>
      </c>
      <c r="B140" s="203">
        <f t="shared" si="3"/>
        <v>144</v>
      </c>
      <c r="C140" s="246" t="s">
        <v>164</v>
      </c>
      <c r="D140" s="265"/>
      <c r="E140" s="499"/>
      <c r="F140" s="499"/>
      <c r="G140" s="499"/>
      <c r="H140" s="499"/>
      <c r="I140" s="499"/>
      <c r="J140" s="499"/>
      <c r="K140" s="499"/>
      <c r="L140" s="499"/>
      <c r="M140" s="499"/>
      <c r="N140" s="499"/>
      <c r="O140" s="211" t="str">
        <f>IF(A140=TRUE,"Calibration complete PASSED","")</f>
        <v/>
      </c>
    </row>
    <row r="141" spans="1:28" ht="15.75" x14ac:dyDescent="0.2">
      <c r="C141" s="486" t="s">
        <v>166</v>
      </c>
      <c r="D141" s="486"/>
      <c r="E141" s="486"/>
      <c r="F141" s="486"/>
      <c r="G141" s="486"/>
      <c r="H141" s="486"/>
      <c r="I141" s="486"/>
      <c r="J141" s="486"/>
      <c r="K141" s="486"/>
      <c r="L141" s="486"/>
      <c r="M141" s="486"/>
      <c r="N141" s="486"/>
      <c r="O141" s="486"/>
    </row>
    <row r="142" spans="1:28" x14ac:dyDescent="0.2">
      <c r="B142" s="203">
        <f>B140+1</f>
        <v>145</v>
      </c>
      <c r="C142" s="228" t="s">
        <v>163</v>
      </c>
      <c r="D142" s="210"/>
      <c r="E142" s="266"/>
      <c r="F142" s="266"/>
      <c r="G142" s="266"/>
      <c r="H142" s="217"/>
      <c r="I142" s="266"/>
      <c r="K142" s="238"/>
      <c r="L142" s="238"/>
      <c r="M142" s="238"/>
      <c r="N142" s="238"/>
      <c r="Z142" s="266"/>
      <c r="AA142" s="266"/>
      <c r="AB142" s="266"/>
    </row>
    <row r="143" spans="1:28" x14ac:dyDescent="0.2">
      <c r="B143" s="203">
        <f>B142+1</f>
        <v>146</v>
      </c>
      <c r="C143" s="228" t="s">
        <v>266</v>
      </c>
      <c r="D143" s="229"/>
      <c r="E143" s="266"/>
      <c r="F143" s="266"/>
      <c r="G143" s="266"/>
      <c r="H143" s="217"/>
      <c r="I143" s="266"/>
      <c r="K143" s="238"/>
      <c r="L143" s="238"/>
      <c r="M143" s="238"/>
      <c r="N143" s="238"/>
      <c r="Z143" s="266"/>
      <c r="AA143" s="266"/>
      <c r="AB143" s="266"/>
    </row>
    <row r="144" spans="1:28" x14ac:dyDescent="0.2">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2">
      <c r="A145" s="219" t="b">
        <v>0</v>
      </c>
      <c r="B145" s="203">
        <f t="shared" si="3"/>
        <v>148</v>
      </c>
      <c r="C145" s="228" t="s">
        <v>339</v>
      </c>
      <c r="D145" s="265"/>
      <c r="E145" s="213"/>
      <c r="G145" s="213"/>
      <c r="I145" s="213"/>
      <c r="Z145" s="266"/>
      <c r="AA145" s="266"/>
      <c r="AB145" s="266"/>
    </row>
    <row r="146" spans="1:28" x14ac:dyDescent="0.2">
      <c r="C146" s="269" t="s">
        <v>340</v>
      </c>
      <c r="E146" s="213"/>
      <c r="G146" s="213"/>
      <c r="I146" s="213"/>
      <c r="Z146" s="266"/>
      <c r="AA146" s="266"/>
      <c r="AB146" s="266"/>
    </row>
    <row r="147" spans="1:28" x14ac:dyDescent="0.2">
      <c r="A147" s="219" t="b">
        <v>0</v>
      </c>
      <c r="B147" s="203">
        <f>B145+1</f>
        <v>149</v>
      </c>
      <c r="C147" s="228"/>
      <c r="D147" s="289"/>
      <c r="E147" s="211"/>
      <c r="J147" s="211"/>
      <c r="O147" s="213"/>
      <c r="Z147" s="266"/>
      <c r="AA147" s="266"/>
      <c r="AB147" s="266"/>
    </row>
    <row r="148" spans="1:28" x14ac:dyDescent="0.2">
      <c r="A148" s="219" t="b">
        <v>0</v>
      </c>
      <c r="B148" s="203">
        <f t="shared" si="3"/>
        <v>150</v>
      </c>
      <c r="C148" s="246" t="s">
        <v>341</v>
      </c>
      <c r="D148" s="290"/>
      <c r="G148" s="291"/>
      <c r="O148" s="213"/>
      <c r="Z148" s="266"/>
      <c r="AA148" s="266"/>
      <c r="AB148" s="266"/>
    </row>
    <row r="149" spans="1:28" x14ac:dyDescent="0.2">
      <c r="A149" s="219" t="b">
        <v>0</v>
      </c>
      <c r="B149" s="203">
        <f t="shared" si="3"/>
        <v>151</v>
      </c>
      <c r="C149" s="228" t="s">
        <v>342</v>
      </c>
      <c r="D149" s="290"/>
      <c r="G149" s="291"/>
      <c r="K149" s="279"/>
      <c r="L149" s="279"/>
      <c r="M149" s="279"/>
      <c r="O149" s="213"/>
      <c r="Z149" s="266"/>
      <c r="AA149" s="266"/>
      <c r="AB149" s="266"/>
    </row>
    <row r="150" spans="1:28" x14ac:dyDescent="0.2">
      <c r="A150" s="219" t="b">
        <v>0</v>
      </c>
      <c r="B150" s="203">
        <f t="shared" si="3"/>
        <v>152</v>
      </c>
      <c r="C150" s="228" t="s">
        <v>343</v>
      </c>
      <c r="D150" s="290"/>
      <c r="F150" s="279"/>
      <c r="G150" s="292"/>
      <c r="H150" s="279"/>
      <c r="K150" s="279"/>
      <c r="L150" s="279"/>
      <c r="M150" s="279"/>
      <c r="O150" s="213"/>
      <c r="Z150" s="266"/>
      <c r="AA150" s="266"/>
      <c r="AB150" s="266"/>
    </row>
    <row r="151" spans="1:28" x14ac:dyDescent="0.2">
      <c r="A151" s="219" t="b">
        <v>0</v>
      </c>
      <c r="B151" s="203">
        <f t="shared" si="3"/>
        <v>153</v>
      </c>
      <c r="C151" s="228" t="s">
        <v>344</v>
      </c>
      <c r="D151" s="290"/>
      <c r="F151" s="279"/>
      <c r="G151" s="292"/>
      <c r="H151" s="279"/>
      <c r="O151" s="213"/>
      <c r="Z151" s="266"/>
      <c r="AA151" s="266"/>
      <c r="AB151" s="266"/>
    </row>
    <row r="152" spans="1:28" x14ac:dyDescent="0.2">
      <c r="A152" s="219" t="b">
        <v>0</v>
      </c>
      <c r="B152" s="203">
        <f t="shared" si="3"/>
        <v>154</v>
      </c>
      <c r="C152" s="228" t="s">
        <v>345</v>
      </c>
      <c r="D152" s="290"/>
      <c r="F152" s="279"/>
      <c r="G152" s="292"/>
      <c r="H152" s="279"/>
      <c r="O152" s="213"/>
      <c r="Z152" s="266"/>
      <c r="AA152" s="266"/>
      <c r="AB152" s="266"/>
    </row>
    <row r="153" spans="1:28" x14ac:dyDescent="0.2">
      <c r="A153" s="219" t="b">
        <v>0</v>
      </c>
      <c r="B153" s="203">
        <f t="shared" si="3"/>
        <v>155</v>
      </c>
      <c r="C153" s="228" t="s">
        <v>346</v>
      </c>
      <c r="D153" s="290"/>
      <c r="F153" s="279"/>
      <c r="G153" s="292"/>
      <c r="H153" s="279"/>
      <c r="O153" s="213"/>
      <c r="Z153" s="266"/>
      <c r="AA153" s="266"/>
      <c r="AB153" s="266"/>
    </row>
    <row r="154" spans="1:28" x14ac:dyDescent="0.2">
      <c r="A154" s="219" t="b">
        <v>0</v>
      </c>
      <c r="B154" s="203">
        <f t="shared" si="3"/>
        <v>156</v>
      </c>
      <c r="C154" s="228" t="s">
        <v>347</v>
      </c>
      <c r="D154" s="290"/>
      <c r="F154" s="279"/>
      <c r="G154" s="292"/>
      <c r="H154" s="279"/>
      <c r="O154" s="213"/>
      <c r="Z154" s="266"/>
      <c r="AA154" s="266"/>
      <c r="AB154" s="266"/>
    </row>
    <row r="155" spans="1:28" x14ac:dyDescent="0.2">
      <c r="A155" s="219" t="b">
        <v>0</v>
      </c>
      <c r="B155" s="203">
        <f t="shared" si="3"/>
        <v>157</v>
      </c>
      <c r="C155" s="228" t="s">
        <v>348</v>
      </c>
      <c r="D155" s="290"/>
      <c r="F155" s="279"/>
      <c r="G155" s="292"/>
      <c r="H155" s="279"/>
      <c r="N155" s="213"/>
      <c r="O155" s="213"/>
      <c r="Z155" s="266"/>
      <c r="AA155" s="266"/>
      <c r="AB155" s="266"/>
    </row>
    <row r="156" spans="1:28" x14ac:dyDescent="0.2">
      <c r="A156" s="219" t="b">
        <v>0</v>
      </c>
      <c r="B156" s="203">
        <f t="shared" si="3"/>
        <v>158</v>
      </c>
      <c r="C156" s="228" t="s">
        <v>349</v>
      </c>
      <c r="D156" s="270"/>
      <c r="Z156" s="271"/>
      <c r="AA156" s="271"/>
      <c r="AB156" s="271"/>
    </row>
    <row r="157" spans="1:28" x14ac:dyDescent="0.2">
      <c r="A157" s="219" t="b">
        <v>0</v>
      </c>
      <c r="B157" s="203">
        <f t="shared" si="3"/>
        <v>159</v>
      </c>
      <c r="C157" s="228" t="s">
        <v>350</v>
      </c>
      <c r="D157" s="270"/>
      <c r="Z157" s="272"/>
      <c r="AA157" s="272"/>
      <c r="AB157" s="272"/>
    </row>
    <row r="158" spans="1:28" x14ac:dyDescent="0.2">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2">
      <c r="A159" s="219" t="b">
        <v>0</v>
      </c>
      <c r="B159" s="203">
        <f t="shared" si="3"/>
        <v>161</v>
      </c>
      <c r="C159" s="269" t="s">
        <v>352</v>
      </c>
      <c r="D159" s="270"/>
      <c r="H159" s="238"/>
      <c r="I159" s="238"/>
      <c r="J159" s="238"/>
      <c r="K159" s="238"/>
      <c r="L159" s="238"/>
      <c r="M159" s="238"/>
      <c r="N159" s="238"/>
      <c r="O159" s="238"/>
      <c r="P159" s="238"/>
      <c r="Q159" s="238"/>
      <c r="R159" s="211"/>
    </row>
    <row r="160" spans="1:28" x14ac:dyDescent="0.2">
      <c r="A160" s="219" t="b">
        <v>0</v>
      </c>
      <c r="B160" s="203">
        <f t="shared" si="3"/>
        <v>162</v>
      </c>
      <c r="C160" s="228" t="s">
        <v>353</v>
      </c>
      <c r="D160" s="270"/>
      <c r="E160" s="204" t="s">
        <v>171</v>
      </c>
      <c r="F160" s="204" t="s">
        <v>4</v>
      </c>
      <c r="G160" s="485" t="s">
        <v>172</v>
      </c>
      <c r="H160" s="485"/>
      <c r="I160" s="238"/>
      <c r="J160" s="238"/>
      <c r="K160" s="238"/>
      <c r="L160" s="238"/>
      <c r="M160" s="238"/>
      <c r="N160" s="238"/>
      <c r="O160" s="238"/>
      <c r="P160" s="238"/>
      <c r="Q160" s="238"/>
      <c r="R160" s="211"/>
    </row>
    <row r="161" spans="1:18" x14ac:dyDescent="0.2">
      <c r="A161" s="219" t="b">
        <v>0</v>
      </c>
      <c r="B161" s="203">
        <f t="shared" si="3"/>
        <v>163</v>
      </c>
      <c r="C161" s="228" t="s">
        <v>354</v>
      </c>
      <c r="D161" s="270"/>
      <c r="E161" s="204">
        <v>1</v>
      </c>
      <c r="F161" s="204">
        <v>4</v>
      </c>
      <c r="G161" s="500">
        <f>'Auto-Calibration record'!B65</f>
        <v>76</v>
      </c>
      <c r="H161" s="501"/>
      <c r="I161" s="238"/>
      <c r="J161" s="238"/>
      <c r="K161" s="238"/>
      <c r="L161" s="238"/>
      <c r="M161" s="238"/>
      <c r="N161" s="238"/>
      <c r="O161" s="238"/>
      <c r="P161" s="238"/>
      <c r="Q161" s="238"/>
      <c r="R161" s="211"/>
    </row>
    <row r="162" spans="1:18" x14ac:dyDescent="0.2">
      <c r="A162" s="219" t="b">
        <v>0</v>
      </c>
      <c r="B162" s="203">
        <f t="shared" si="3"/>
        <v>164</v>
      </c>
      <c r="C162" s="279" t="s">
        <v>355</v>
      </c>
      <c r="D162" s="270"/>
      <c r="E162" s="204">
        <v>2</v>
      </c>
      <c r="F162" s="204">
        <v>6</v>
      </c>
      <c r="G162" s="500">
        <f>'Auto-Calibration record'!C65</f>
        <v>180</v>
      </c>
      <c r="H162" s="501"/>
      <c r="I162" s="238"/>
      <c r="J162" s="238"/>
      <c r="K162" s="238"/>
      <c r="L162" s="238"/>
      <c r="M162" s="238"/>
      <c r="N162" s="238"/>
      <c r="O162" s="238"/>
      <c r="P162" s="238"/>
      <c r="Q162" s="238"/>
      <c r="R162" s="211"/>
    </row>
    <row r="163" spans="1:18" x14ac:dyDescent="0.2">
      <c r="A163" s="219" t="b">
        <v>0</v>
      </c>
      <c r="B163" s="203">
        <f t="shared" si="3"/>
        <v>165</v>
      </c>
      <c r="C163" s="228" t="s">
        <v>356</v>
      </c>
      <c r="D163" s="273"/>
      <c r="E163" s="204">
        <v>3</v>
      </c>
      <c r="F163" s="204">
        <v>14</v>
      </c>
      <c r="G163" s="500">
        <f>'Auto-Calibration record'!D65</f>
        <v>994</v>
      </c>
      <c r="H163" s="501"/>
      <c r="I163" s="238"/>
      <c r="J163" s="238"/>
      <c r="K163" s="238"/>
      <c r="L163" s="238"/>
      <c r="M163" s="238"/>
      <c r="N163" s="238"/>
      <c r="O163" s="238"/>
      <c r="P163" s="238"/>
      <c r="Q163" s="238"/>
      <c r="R163" s="211"/>
    </row>
    <row r="164" spans="1:18" x14ac:dyDescent="0.2">
      <c r="A164" s="219" t="b">
        <v>0</v>
      </c>
      <c r="B164" s="203">
        <f t="shared" si="3"/>
        <v>166</v>
      </c>
      <c r="C164" s="228" t="s">
        <v>357</v>
      </c>
      <c r="D164" s="273"/>
      <c r="E164" s="204">
        <v>4</v>
      </c>
      <c r="F164" s="204">
        <v>21</v>
      </c>
      <c r="G164" s="500">
        <f>'Auto-Calibration record'!E65</f>
        <v>2074</v>
      </c>
      <c r="H164" s="501"/>
    </row>
    <row r="165" spans="1:18" x14ac:dyDescent="0.2">
      <c r="A165" s="219" t="b">
        <v>0</v>
      </c>
      <c r="B165" s="203">
        <f t="shared" si="3"/>
        <v>167</v>
      </c>
      <c r="C165" s="228" t="s">
        <v>358</v>
      </c>
      <c r="D165" s="270"/>
      <c r="E165" s="204">
        <v>5</v>
      </c>
      <c r="F165" s="204">
        <v>25</v>
      </c>
      <c r="G165" s="500">
        <f>'Auto-Calibration record'!F65</f>
        <v>3050</v>
      </c>
      <c r="H165" s="501"/>
    </row>
    <row r="166" spans="1:18" x14ac:dyDescent="0.2">
      <c r="A166" s="219" t="b">
        <v>0</v>
      </c>
      <c r="B166" s="203">
        <f t="shared" si="3"/>
        <v>168</v>
      </c>
      <c r="C166" s="228" t="s">
        <v>359</v>
      </c>
      <c r="D166" s="273"/>
      <c r="E166" s="204">
        <v>6</v>
      </c>
      <c r="F166" s="204">
        <v>38</v>
      </c>
      <c r="G166" s="500">
        <f>'Auto-Calibration record'!G65</f>
        <v>9964</v>
      </c>
      <c r="H166" s="501"/>
    </row>
    <row r="167" spans="1:18" x14ac:dyDescent="0.2">
      <c r="A167" s="219" t="b">
        <v>0</v>
      </c>
      <c r="B167" s="203">
        <f t="shared" si="3"/>
        <v>169</v>
      </c>
      <c r="C167" s="279" t="s">
        <v>360</v>
      </c>
      <c r="D167" s="273"/>
      <c r="E167" s="204">
        <v>7</v>
      </c>
      <c r="F167" s="204">
        <v>50</v>
      </c>
      <c r="G167" s="500">
        <f>'Auto-Calibration record'!H65</f>
        <v>16287</v>
      </c>
      <c r="H167" s="501"/>
    </row>
    <row r="168" spans="1:18" x14ac:dyDescent="0.2">
      <c r="A168" s="219" t="b">
        <v>0</v>
      </c>
      <c r="B168" s="203">
        <f t="shared" si="3"/>
        <v>170</v>
      </c>
      <c r="C168" s="228" t="s">
        <v>361</v>
      </c>
      <c r="D168" s="273"/>
      <c r="E168" s="204">
        <v>8</v>
      </c>
      <c r="F168" s="204">
        <v>70</v>
      </c>
      <c r="G168" s="500">
        <f>'Auto-Calibration record'!I65</f>
        <v>25144</v>
      </c>
      <c r="H168" s="501"/>
    </row>
    <row r="169" spans="1:18" x14ac:dyDescent="0.2">
      <c r="A169" s="219" t="b">
        <v>0</v>
      </c>
      <c r="B169" s="203">
        <f t="shared" si="3"/>
        <v>171</v>
      </c>
      <c r="C169" s="228" t="s">
        <v>362</v>
      </c>
      <c r="D169" s="270"/>
    </row>
    <row r="170" spans="1:18" x14ac:dyDescent="0.2">
      <c r="A170" s="219" t="b">
        <v>0</v>
      </c>
      <c r="B170" s="203">
        <f t="shared" si="3"/>
        <v>172</v>
      </c>
      <c r="C170" s="228" t="s">
        <v>363</v>
      </c>
      <c r="D170" s="273"/>
      <c r="E170" s="213"/>
      <c r="G170" s="213"/>
      <c r="I170" s="213"/>
    </row>
    <row r="171" spans="1:18" x14ac:dyDescent="0.2">
      <c r="A171" s="219" t="b">
        <v>0</v>
      </c>
      <c r="B171" s="203">
        <f t="shared" si="3"/>
        <v>173</v>
      </c>
      <c r="C171" s="228" t="s">
        <v>364</v>
      </c>
      <c r="D171" s="270"/>
      <c r="E171" s="213"/>
      <c r="G171" s="213"/>
      <c r="I171" s="213"/>
    </row>
    <row r="172" spans="1:18" x14ac:dyDescent="0.2">
      <c r="A172" s="219" t="b">
        <v>0</v>
      </c>
      <c r="B172" s="203">
        <f t="shared" si="3"/>
        <v>174</v>
      </c>
      <c r="C172" s="228" t="s">
        <v>241</v>
      </c>
      <c r="D172" s="270"/>
      <c r="E172" s="213"/>
      <c r="G172" s="213"/>
      <c r="I172" s="213"/>
    </row>
    <row r="173" spans="1:18" x14ac:dyDescent="0.2">
      <c r="C173" s="228" t="s">
        <v>365</v>
      </c>
      <c r="D173" s="293"/>
      <c r="E173" s="213"/>
      <c r="G173" s="213"/>
      <c r="I173" s="213"/>
    </row>
    <row r="174" spans="1:18" x14ac:dyDescent="0.2">
      <c r="A174" s="219" t="b">
        <v>0</v>
      </c>
      <c r="B174" s="203">
        <f>B172+1</f>
        <v>175</v>
      </c>
      <c r="C174" s="228" t="s">
        <v>366</v>
      </c>
      <c r="D174" s="273"/>
      <c r="E174" s="213"/>
      <c r="G174" s="213"/>
      <c r="I174" s="213"/>
      <c r="O174" s="209"/>
    </row>
    <row r="175" spans="1:18" x14ac:dyDescent="0.2">
      <c r="A175" s="219" t="b">
        <v>0</v>
      </c>
      <c r="B175" s="203">
        <f>B174+1</f>
        <v>176</v>
      </c>
      <c r="C175" s="228" t="s">
        <v>367</v>
      </c>
      <c r="D175" s="270"/>
      <c r="E175" s="213"/>
      <c r="G175" s="213"/>
      <c r="I175" s="213"/>
    </row>
    <row r="176" spans="1:18" x14ac:dyDescent="0.2">
      <c r="A176" s="219" t="b">
        <v>0</v>
      </c>
      <c r="B176" s="203">
        <f t="shared" si="3"/>
        <v>177</v>
      </c>
      <c r="C176" s="228" t="s">
        <v>350</v>
      </c>
      <c r="D176" s="273"/>
      <c r="E176" s="213"/>
      <c r="G176" s="213"/>
      <c r="I176" s="213"/>
    </row>
    <row r="177" spans="1:9" x14ac:dyDescent="0.2">
      <c r="A177" s="219" t="b">
        <v>0</v>
      </c>
      <c r="B177" s="203">
        <f t="shared" si="3"/>
        <v>178</v>
      </c>
      <c r="C177" s="228" t="s">
        <v>368</v>
      </c>
      <c r="D177" s="273"/>
      <c r="E177" s="213"/>
      <c r="G177" s="213"/>
      <c r="I177" s="213"/>
    </row>
    <row r="178" spans="1:9" x14ac:dyDescent="0.2">
      <c r="A178" s="219" t="b">
        <v>0</v>
      </c>
      <c r="B178" s="203">
        <f t="shared" si="3"/>
        <v>179</v>
      </c>
      <c r="C178" s="228" t="s">
        <v>369</v>
      </c>
      <c r="D178" s="273"/>
      <c r="E178" s="213"/>
      <c r="G178" s="213"/>
      <c r="I178" s="213"/>
    </row>
    <row r="179" spans="1:9" x14ac:dyDescent="0.2">
      <c r="A179" s="219" t="b">
        <v>0</v>
      </c>
      <c r="B179" s="203">
        <f t="shared" si="3"/>
        <v>180</v>
      </c>
      <c r="C179" s="228" t="s">
        <v>370</v>
      </c>
      <c r="D179" s="273"/>
      <c r="E179" s="213"/>
      <c r="G179" s="213"/>
      <c r="I179" s="213"/>
    </row>
    <row r="180" spans="1:9" x14ac:dyDescent="0.2">
      <c r="A180" s="219" t="b">
        <v>0</v>
      </c>
      <c r="B180" s="203">
        <f t="shared" si="3"/>
        <v>181</v>
      </c>
      <c r="C180" s="246" t="s">
        <v>371</v>
      </c>
      <c r="D180" s="273"/>
      <c r="E180" s="213"/>
      <c r="G180" s="213"/>
      <c r="I180" s="213"/>
    </row>
    <row r="181" spans="1:9" x14ac:dyDescent="0.2">
      <c r="A181" s="219" t="b">
        <v>0</v>
      </c>
      <c r="B181" s="203">
        <f t="shared" si="3"/>
        <v>182</v>
      </c>
      <c r="C181" s="279" t="s">
        <v>372</v>
      </c>
      <c r="D181" s="273"/>
      <c r="E181" s="213"/>
      <c r="G181" s="213"/>
      <c r="I181" s="213"/>
    </row>
    <row r="182" spans="1:9" x14ac:dyDescent="0.2">
      <c r="A182" s="219" t="b">
        <v>0</v>
      </c>
      <c r="B182" s="203">
        <f t="shared" si="3"/>
        <v>183</v>
      </c>
      <c r="C182" s="228" t="s">
        <v>373</v>
      </c>
      <c r="D182" s="273"/>
      <c r="E182" s="213"/>
      <c r="G182" s="213"/>
      <c r="I182" s="213"/>
    </row>
    <row r="183" spans="1:9" x14ac:dyDescent="0.2">
      <c r="A183" s="219" t="b">
        <v>0</v>
      </c>
      <c r="B183" s="203">
        <f t="shared" si="3"/>
        <v>184</v>
      </c>
      <c r="C183" s="228" t="s">
        <v>374</v>
      </c>
      <c r="D183" s="273"/>
      <c r="E183" s="213"/>
      <c r="G183" s="213"/>
      <c r="I183" s="213"/>
    </row>
    <row r="184" spans="1:9" x14ac:dyDescent="0.2">
      <c r="A184" s="219" t="b">
        <v>0</v>
      </c>
      <c r="B184" s="203">
        <f t="shared" si="3"/>
        <v>185</v>
      </c>
      <c r="C184" s="228" t="s">
        <v>375</v>
      </c>
      <c r="D184" s="273"/>
      <c r="E184" s="213"/>
      <c r="G184" s="213"/>
      <c r="I184" s="213"/>
    </row>
    <row r="185" spans="1:9" x14ac:dyDescent="0.2">
      <c r="A185" s="219" t="b">
        <v>0</v>
      </c>
      <c r="B185" s="203">
        <f t="shared" si="3"/>
        <v>186</v>
      </c>
      <c r="C185" s="279" t="s">
        <v>376</v>
      </c>
      <c r="D185" s="273"/>
      <c r="E185" s="213"/>
      <c r="G185" s="213"/>
      <c r="I185" s="213"/>
    </row>
    <row r="186" spans="1:9" x14ac:dyDescent="0.2">
      <c r="A186" s="219" t="b">
        <v>0</v>
      </c>
      <c r="B186" s="203">
        <f t="shared" si="3"/>
        <v>187</v>
      </c>
      <c r="C186" s="228" t="s">
        <v>377</v>
      </c>
      <c r="D186" s="273"/>
      <c r="E186" s="213"/>
      <c r="G186" s="213"/>
      <c r="I186" s="213"/>
    </row>
    <row r="187" spans="1:9" x14ac:dyDescent="0.2">
      <c r="A187" s="219" t="b">
        <v>0</v>
      </c>
      <c r="B187" s="203">
        <f t="shared" si="3"/>
        <v>188</v>
      </c>
      <c r="C187" s="228" t="s">
        <v>378</v>
      </c>
      <c r="D187" s="273"/>
      <c r="E187" s="213"/>
      <c r="G187" s="213"/>
      <c r="I187" s="213"/>
    </row>
    <row r="188" spans="1:9" x14ac:dyDescent="0.2">
      <c r="A188" s="219" t="b">
        <v>0</v>
      </c>
      <c r="B188" s="203">
        <f t="shared" si="3"/>
        <v>189</v>
      </c>
      <c r="C188" s="228" t="s">
        <v>379</v>
      </c>
      <c r="D188" s="273"/>
      <c r="E188" s="213"/>
      <c r="G188" s="213"/>
      <c r="I188" s="213"/>
    </row>
    <row r="189" spans="1:9" x14ac:dyDescent="0.2">
      <c r="A189" s="219" t="b">
        <v>0</v>
      </c>
      <c r="B189" s="203">
        <f t="shared" si="3"/>
        <v>190</v>
      </c>
      <c r="C189" s="228" t="s">
        <v>380</v>
      </c>
      <c r="D189" s="270"/>
      <c r="E189" s="213"/>
      <c r="G189" s="213"/>
      <c r="I189" s="213"/>
    </row>
    <row r="190" spans="1:9" x14ac:dyDescent="0.2">
      <c r="A190" s="219" t="b">
        <v>0</v>
      </c>
      <c r="B190" s="203">
        <f t="shared" si="3"/>
        <v>191</v>
      </c>
      <c r="C190" s="228" t="s">
        <v>381</v>
      </c>
      <c r="D190" s="273"/>
      <c r="E190" s="213"/>
      <c r="G190" s="213"/>
      <c r="I190" s="213"/>
    </row>
    <row r="191" spans="1:9" x14ac:dyDescent="0.2">
      <c r="A191" s="219" t="b">
        <v>0</v>
      </c>
      <c r="B191" s="203">
        <f t="shared" si="3"/>
        <v>192</v>
      </c>
      <c r="C191" s="228" t="s">
        <v>382</v>
      </c>
      <c r="D191" s="273"/>
      <c r="E191" s="213"/>
      <c r="G191" s="213"/>
      <c r="I191" s="213"/>
    </row>
    <row r="192" spans="1:9" x14ac:dyDescent="0.2">
      <c r="A192" s="219" t="b">
        <v>0</v>
      </c>
      <c r="B192" s="203">
        <f t="shared" si="3"/>
        <v>193</v>
      </c>
      <c r="C192" s="228" t="s">
        <v>383</v>
      </c>
      <c r="D192" s="273"/>
      <c r="E192" s="213"/>
      <c r="G192" s="213"/>
      <c r="I192" s="213"/>
    </row>
    <row r="193" spans="1:15" x14ac:dyDescent="0.2">
      <c r="A193" s="219" t="b">
        <v>0</v>
      </c>
      <c r="B193" s="203">
        <f t="shared" si="3"/>
        <v>194</v>
      </c>
      <c r="C193" s="228" t="s">
        <v>384</v>
      </c>
      <c r="D193" s="270"/>
      <c r="E193" s="213"/>
      <c r="G193" s="213"/>
      <c r="I193" s="213"/>
    </row>
    <row r="194" spans="1:15" x14ac:dyDescent="0.2">
      <c r="A194" s="219" t="b">
        <v>0</v>
      </c>
      <c r="B194" s="203">
        <f t="shared" si="3"/>
        <v>195</v>
      </c>
      <c r="C194" s="228" t="s">
        <v>385</v>
      </c>
      <c r="D194" s="270"/>
      <c r="E194" s="213"/>
      <c r="G194" s="213"/>
      <c r="I194" s="213"/>
    </row>
    <row r="195" spans="1:15" x14ac:dyDescent="0.2">
      <c r="A195" s="219" t="b">
        <v>0</v>
      </c>
      <c r="B195" s="203">
        <f t="shared" si="3"/>
        <v>196</v>
      </c>
      <c r="C195" s="279" t="s">
        <v>386</v>
      </c>
      <c r="D195" s="270"/>
      <c r="E195" s="213"/>
      <c r="G195" s="213"/>
      <c r="I195" s="213"/>
    </row>
    <row r="196" spans="1:15" x14ac:dyDescent="0.2">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2">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2">
      <c r="A198" s="219" t="b">
        <v>0</v>
      </c>
      <c r="B198" s="203">
        <f t="shared" si="3"/>
        <v>199</v>
      </c>
      <c r="C198" s="228" t="s">
        <v>389</v>
      </c>
      <c r="D198" s="270"/>
      <c r="E198" s="213"/>
      <c r="G198" s="213"/>
      <c r="I198" s="213"/>
    </row>
    <row r="199" spans="1:15" x14ac:dyDescent="0.2">
      <c r="A199" s="219" t="b">
        <v>0</v>
      </c>
      <c r="B199" s="203">
        <f t="shared" si="3"/>
        <v>200</v>
      </c>
      <c r="C199" s="228" t="s">
        <v>390</v>
      </c>
      <c r="D199" s="232"/>
      <c r="E199" s="213"/>
      <c r="G199" s="213"/>
      <c r="I199" s="213"/>
    </row>
    <row r="200" spans="1:15" x14ac:dyDescent="0.2">
      <c r="C200" s="228" t="s">
        <v>391</v>
      </c>
      <c r="D200" s="246"/>
      <c r="E200" s="213"/>
      <c r="G200" s="213"/>
      <c r="I200" s="213"/>
    </row>
    <row r="201" spans="1:15" x14ac:dyDescent="0.2">
      <c r="A201" s="219" t="b">
        <v>0</v>
      </c>
      <c r="B201" s="203">
        <f>B199+1</f>
        <v>201</v>
      </c>
      <c r="C201" s="228" t="s">
        <v>392</v>
      </c>
      <c r="D201" s="270"/>
      <c r="E201" s="213"/>
      <c r="G201" s="213"/>
      <c r="I201" s="213"/>
    </row>
    <row r="202" spans="1:15" x14ac:dyDescent="0.2">
      <c r="A202" s="219" t="b">
        <v>0</v>
      </c>
      <c r="B202" s="203">
        <f t="shared" ref="B202:B227" si="4">B201+1</f>
        <v>202</v>
      </c>
      <c r="C202" s="228" t="s">
        <v>390</v>
      </c>
      <c r="D202" s="270"/>
      <c r="E202" s="213"/>
      <c r="G202" s="213"/>
      <c r="I202" s="213"/>
    </row>
    <row r="203" spans="1:15" x14ac:dyDescent="0.2">
      <c r="A203" s="219" t="b">
        <v>0</v>
      </c>
      <c r="B203" s="203">
        <f t="shared" si="4"/>
        <v>203</v>
      </c>
      <c r="C203" s="228" t="s">
        <v>391</v>
      </c>
      <c r="D203" s="270"/>
      <c r="E203" s="213"/>
      <c r="G203" s="213"/>
      <c r="I203" s="213"/>
    </row>
    <row r="204" spans="1:15" x14ac:dyDescent="0.2">
      <c r="A204" s="219" t="b">
        <v>0</v>
      </c>
      <c r="B204" s="203">
        <f t="shared" si="4"/>
        <v>204</v>
      </c>
      <c r="C204" s="228" t="s">
        <v>393</v>
      </c>
      <c r="D204" s="270"/>
      <c r="E204" s="213"/>
      <c r="G204" s="213"/>
      <c r="I204" s="213"/>
    </row>
    <row r="205" spans="1:15" x14ac:dyDescent="0.2">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2">
      <c r="C206" s="228" t="s">
        <v>395</v>
      </c>
      <c r="D206" s="245"/>
      <c r="E206" s="213"/>
      <c r="G206" s="213"/>
      <c r="I206" s="213"/>
    </row>
    <row r="207" spans="1:15" x14ac:dyDescent="0.2">
      <c r="A207" s="219" t="b">
        <v>0</v>
      </c>
      <c r="B207" s="203">
        <f>B205+1</f>
        <v>206</v>
      </c>
      <c r="C207" s="228" t="s">
        <v>396</v>
      </c>
      <c r="D207" s="270"/>
      <c r="E207" s="213"/>
      <c r="G207" s="213"/>
      <c r="I207" s="213"/>
    </row>
    <row r="208" spans="1:15" x14ac:dyDescent="0.2">
      <c r="A208" s="219" t="b">
        <v>0</v>
      </c>
      <c r="B208" s="203">
        <f>B207+1</f>
        <v>207</v>
      </c>
      <c r="C208" s="228" t="s">
        <v>397</v>
      </c>
      <c r="D208" s="270"/>
      <c r="E208" s="213"/>
      <c r="G208" s="213"/>
      <c r="I208" s="213"/>
    </row>
    <row r="209" spans="1:15" x14ac:dyDescent="0.2">
      <c r="C209" s="228" t="s">
        <v>398</v>
      </c>
      <c r="D209" s="246"/>
      <c r="E209" s="213"/>
      <c r="G209" s="213"/>
      <c r="I209" s="213"/>
    </row>
    <row r="210" spans="1:15" x14ac:dyDescent="0.2">
      <c r="A210" s="219" t="b">
        <v>0</v>
      </c>
      <c r="B210" s="203">
        <f>B208+1</f>
        <v>208</v>
      </c>
      <c r="C210" s="228" t="s">
        <v>399</v>
      </c>
      <c r="D210" s="270"/>
      <c r="E210" s="213"/>
      <c r="G210" s="213"/>
      <c r="I210" s="213"/>
    </row>
    <row r="211" spans="1:15" x14ac:dyDescent="0.2">
      <c r="A211" s="219" t="b">
        <v>0</v>
      </c>
      <c r="B211" s="203">
        <f t="shared" si="4"/>
        <v>209</v>
      </c>
      <c r="C211" s="228" t="s">
        <v>400</v>
      </c>
      <c r="D211" s="270"/>
      <c r="E211" s="213"/>
      <c r="G211" s="213"/>
      <c r="I211" s="213"/>
    </row>
    <row r="212" spans="1:15" x14ac:dyDescent="0.2">
      <c r="A212" s="219" t="b">
        <v>0</v>
      </c>
      <c r="B212" s="203">
        <f t="shared" si="4"/>
        <v>210</v>
      </c>
      <c r="C212" s="279" t="s">
        <v>401</v>
      </c>
      <c r="D212" s="294"/>
      <c r="E212" s="213"/>
      <c r="G212" s="213"/>
      <c r="I212" s="213"/>
    </row>
    <row r="213" spans="1:15" x14ac:dyDescent="0.2">
      <c r="A213" s="219" t="b">
        <v>0</v>
      </c>
      <c r="B213" s="203">
        <f t="shared" si="4"/>
        <v>211</v>
      </c>
      <c r="C213" s="228" t="s">
        <v>402</v>
      </c>
      <c r="D213" s="270"/>
      <c r="E213" s="213"/>
      <c r="G213" s="213"/>
      <c r="I213" s="213"/>
    </row>
    <row r="214" spans="1:15" x14ac:dyDescent="0.2">
      <c r="A214" s="219" t="b">
        <v>0</v>
      </c>
      <c r="B214" s="203">
        <f t="shared" si="4"/>
        <v>212</v>
      </c>
      <c r="C214" s="228" t="s">
        <v>403</v>
      </c>
      <c r="D214" s="270"/>
      <c r="E214" s="213"/>
      <c r="G214" s="213"/>
      <c r="I214" s="213"/>
    </row>
    <row r="215" spans="1:15" x14ac:dyDescent="0.2">
      <c r="C215" s="228" t="s">
        <v>404</v>
      </c>
      <c r="D215" s="246"/>
      <c r="E215" s="213"/>
      <c r="G215" s="213"/>
      <c r="I215" s="213"/>
    </row>
    <row r="216" spans="1:15" x14ac:dyDescent="0.2">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2">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2">
      <c r="A218" s="219" t="b">
        <v>0</v>
      </c>
      <c r="B218" s="203">
        <f t="shared" si="4"/>
        <v>215</v>
      </c>
      <c r="C218" s="228" t="s">
        <v>407</v>
      </c>
      <c r="D218" s="294"/>
      <c r="E218" s="213"/>
      <c r="G218" s="213"/>
      <c r="I218" s="213"/>
    </row>
    <row r="219" spans="1:15" x14ac:dyDescent="0.2">
      <c r="A219" s="219" t="b">
        <v>0</v>
      </c>
      <c r="B219" s="203">
        <f t="shared" si="4"/>
        <v>216</v>
      </c>
      <c r="C219" s="228" t="s">
        <v>408</v>
      </c>
      <c r="D219" s="270"/>
      <c r="E219" s="474" t="s">
        <v>438</v>
      </c>
      <c r="F219" s="475"/>
      <c r="G219" s="475"/>
      <c r="H219" s="475"/>
      <c r="I219" s="475"/>
      <c r="J219" s="475"/>
      <c r="K219" s="475"/>
      <c r="L219" s="475"/>
      <c r="M219" s="475"/>
      <c r="N219" s="475"/>
      <c r="O219" s="475"/>
    </row>
    <row r="220" spans="1:15" x14ac:dyDescent="0.2">
      <c r="A220" s="219" t="b">
        <v>0</v>
      </c>
      <c r="B220" s="203">
        <f t="shared" si="4"/>
        <v>217</v>
      </c>
      <c r="C220" s="228" t="s">
        <v>409</v>
      </c>
      <c r="D220" s="270"/>
      <c r="E220" s="213"/>
      <c r="G220" s="213"/>
      <c r="I220" s="213"/>
    </row>
    <row r="221" spans="1:15" x14ac:dyDescent="0.2">
      <c r="A221" s="219" t="b">
        <v>0</v>
      </c>
      <c r="B221" s="203">
        <f t="shared" si="4"/>
        <v>218</v>
      </c>
      <c r="C221" s="228" t="s">
        <v>410</v>
      </c>
      <c r="D221" s="270"/>
      <c r="E221" s="213"/>
      <c r="F221" s="213"/>
      <c r="G221" s="213"/>
      <c r="I221" s="213"/>
    </row>
    <row r="222" spans="1:15" x14ac:dyDescent="0.2">
      <c r="A222" s="219" t="b">
        <v>0</v>
      </c>
      <c r="B222" s="203">
        <f t="shared" si="4"/>
        <v>219</v>
      </c>
      <c r="C222" s="228" t="s">
        <v>411</v>
      </c>
      <c r="D222" s="270"/>
      <c r="E222" s="213"/>
      <c r="F222" s="213"/>
      <c r="G222" s="213"/>
      <c r="I222" s="213"/>
    </row>
    <row r="223" spans="1:15" x14ac:dyDescent="0.2">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2">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2">
      <c r="B225" s="203">
        <f t="shared" si="4"/>
        <v>222</v>
      </c>
      <c r="C225" s="228" t="s">
        <v>413</v>
      </c>
      <c r="D225" s="210"/>
      <c r="E225" s="456"/>
      <c r="F225" s="456"/>
      <c r="G225" s="484"/>
      <c r="H225" s="484"/>
      <c r="I225" s="484"/>
      <c r="J225" s="484"/>
      <c r="K225" s="484"/>
      <c r="L225" s="484"/>
      <c r="M225" s="484"/>
      <c r="N225" s="484"/>
    </row>
    <row r="226" spans="2:14" x14ac:dyDescent="0.2">
      <c r="B226" s="203">
        <f t="shared" si="4"/>
        <v>223</v>
      </c>
      <c r="C226" s="228" t="s">
        <v>414</v>
      </c>
      <c r="D226" s="229"/>
      <c r="E226" s="231" t="s">
        <v>306</v>
      </c>
      <c r="F226" s="213"/>
      <c r="G226" s="228"/>
      <c r="H226" s="228"/>
      <c r="I226" s="483"/>
      <c r="J226" s="483"/>
      <c r="K226" s="483"/>
      <c r="L226" s="483"/>
      <c r="M226" s="483"/>
      <c r="N226" s="483"/>
    </row>
    <row r="227" spans="2:14" x14ac:dyDescent="0.2">
      <c r="B227" s="203">
        <f t="shared" si="4"/>
        <v>224</v>
      </c>
      <c r="C227" s="205" t="s">
        <v>415</v>
      </c>
      <c r="E227" s="499"/>
      <c r="F227" s="499"/>
      <c r="G227" s="499"/>
      <c r="H227" s="499"/>
      <c r="I227" s="499"/>
      <c r="J227" s="499"/>
      <c r="K227" s="499"/>
      <c r="L227" s="499"/>
      <c r="M227" s="499"/>
      <c r="N227" s="499"/>
    </row>
    <row r="228" spans="2:14" x14ac:dyDescent="0.2">
      <c r="C228" s="231" t="s">
        <v>416</v>
      </c>
      <c r="D228" s="220"/>
    </row>
    <row r="229" spans="2:14" x14ac:dyDescent="0.2">
      <c r="C229" s="231" t="s">
        <v>417</v>
      </c>
      <c r="D229" s="230"/>
    </row>
    <row r="230" spans="2:14" x14ac:dyDescent="0.2">
      <c r="C230" s="246" t="s">
        <v>418</v>
      </c>
    </row>
    <row r="231" spans="2:14" x14ac:dyDescent="0.2">
      <c r="B231" s="204"/>
      <c r="C231" s="228" t="s">
        <v>419</v>
      </c>
      <c r="E231" s="213"/>
      <c r="F231" s="213"/>
      <c r="G231" s="213"/>
      <c r="H231" s="213"/>
      <c r="I231" s="213"/>
      <c r="J231" s="213"/>
      <c r="K231" s="213"/>
      <c r="L231" s="213"/>
    </row>
    <row r="232" spans="2:14" x14ac:dyDescent="0.2">
      <c r="B232" s="204"/>
      <c r="C232" s="228" t="s">
        <v>420</v>
      </c>
      <c r="E232" s="213"/>
      <c r="F232" s="213"/>
      <c r="G232" s="213"/>
      <c r="H232" s="213"/>
      <c r="I232" s="213"/>
      <c r="J232" s="213"/>
      <c r="L232" s="213"/>
    </row>
    <row r="233" spans="2:14" x14ac:dyDescent="0.2">
      <c r="B233" s="280"/>
      <c r="C233" s="295" t="s">
        <v>421</v>
      </c>
      <c r="D233" s="282"/>
      <c r="E233" s="502"/>
      <c r="F233" s="503"/>
      <c r="G233" s="503"/>
      <c r="H233" s="503"/>
      <c r="I233" s="503"/>
      <c r="J233" s="503"/>
      <c r="K233" s="504"/>
      <c r="L233" s="213"/>
    </row>
    <row r="234" spans="2:14" x14ac:dyDescent="0.2">
      <c r="B234" s="280"/>
      <c r="C234" s="281" t="s">
        <v>422</v>
      </c>
      <c r="D234" s="282"/>
      <c r="E234" s="502"/>
      <c r="F234" s="503"/>
      <c r="G234" s="503"/>
      <c r="H234" s="503"/>
      <c r="I234" s="503"/>
      <c r="J234" s="503"/>
      <c r="K234" s="504"/>
      <c r="L234" s="213"/>
    </row>
    <row r="235" spans="2:14" x14ac:dyDescent="0.2">
      <c r="B235" s="296"/>
      <c r="C235" s="295" t="s">
        <v>423</v>
      </c>
      <c r="D235" s="297"/>
      <c r="E235" s="502"/>
      <c r="F235" s="503"/>
      <c r="G235" s="503"/>
      <c r="H235" s="503"/>
      <c r="I235" s="503"/>
      <c r="J235" s="503"/>
      <c r="K235" s="504"/>
      <c r="L235" s="213"/>
    </row>
    <row r="236" spans="2:14" x14ac:dyDescent="0.2">
      <c r="B236" s="280"/>
      <c r="C236" s="295"/>
      <c r="D236" s="282"/>
      <c r="E236" s="505" t="s">
        <v>67</v>
      </c>
      <c r="F236" s="506"/>
      <c r="G236" s="507" t="str">
        <f>IF(D225=D13,"ON TIME",IF(D225&gt;D13,"LATE",IF(D225&lt;D13,"EARLY")))</f>
        <v>EARLY</v>
      </c>
      <c r="H236" s="482"/>
      <c r="I236" s="482"/>
      <c r="J236" s="482"/>
      <c r="K236" s="482"/>
      <c r="L236" s="482"/>
      <c r="M236" s="482"/>
      <c r="N236" s="482"/>
    </row>
    <row r="237" spans="2:14" x14ac:dyDescent="0.2">
      <c r="B237" s="280"/>
      <c r="C237" s="295"/>
      <c r="D237" s="282"/>
      <c r="E237" s="502"/>
      <c r="F237" s="503"/>
      <c r="G237" s="503"/>
      <c r="H237" s="503"/>
      <c r="I237" s="503"/>
      <c r="J237" s="503"/>
      <c r="K237" s="504"/>
      <c r="L237" s="213"/>
    </row>
    <row r="238" spans="2:14" x14ac:dyDescent="0.2">
      <c r="B238" s="280"/>
      <c r="C238" s="295"/>
      <c r="D238" s="282"/>
      <c r="E238" s="502"/>
      <c r="F238" s="503"/>
      <c r="G238" s="503"/>
      <c r="H238" s="503"/>
      <c r="I238" s="503"/>
      <c r="J238" s="503"/>
      <c r="K238" s="504"/>
      <c r="L238" s="213"/>
    </row>
    <row r="239" spans="2:14" x14ac:dyDescent="0.2">
      <c r="B239" s="280"/>
      <c r="C239" s="281"/>
      <c r="D239" s="282"/>
      <c r="E239" s="502"/>
      <c r="F239" s="503"/>
      <c r="G239" s="503"/>
      <c r="H239" s="503"/>
      <c r="I239" s="503"/>
      <c r="J239" s="503"/>
      <c r="K239" s="504"/>
      <c r="L239" s="213"/>
    </row>
    <row r="240" spans="2:14" x14ac:dyDescent="0.2">
      <c r="B240" s="280"/>
      <c r="C240" s="281"/>
      <c r="D240" s="282"/>
      <c r="E240" s="502"/>
      <c r="F240" s="503"/>
      <c r="G240" s="503"/>
      <c r="H240" s="503"/>
      <c r="I240" s="503"/>
      <c r="J240" s="503"/>
      <c r="K240" s="504"/>
      <c r="L240" s="213"/>
    </row>
    <row r="241" spans="2:12" x14ac:dyDescent="0.2">
      <c r="B241" s="280"/>
      <c r="C241" s="281"/>
      <c r="D241" s="282"/>
      <c r="E241" s="502"/>
      <c r="F241" s="503"/>
      <c r="G241" s="503"/>
      <c r="H241" s="503"/>
      <c r="I241" s="503"/>
      <c r="J241" s="503"/>
      <c r="K241" s="504"/>
      <c r="L241" s="213"/>
    </row>
    <row r="242" spans="2:12" x14ac:dyDescent="0.2">
      <c r="B242" s="280"/>
      <c r="C242" s="295" t="s">
        <v>424</v>
      </c>
      <c r="D242" s="282"/>
      <c r="E242" s="502"/>
      <c r="F242" s="503"/>
      <c r="G242" s="503"/>
      <c r="H242" s="503"/>
      <c r="I242" s="503"/>
      <c r="J242" s="503"/>
      <c r="K242" s="504"/>
      <c r="L242" s="213"/>
    </row>
    <row r="243" spans="2:12" x14ac:dyDescent="0.2">
      <c r="B243" s="280"/>
      <c r="C243" s="295" t="s">
        <v>236</v>
      </c>
      <c r="D243" s="282"/>
      <c r="E243" s="502"/>
      <c r="F243" s="503"/>
      <c r="G243" s="503"/>
      <c r="H243" s="503"/>
      <c r="I243" s="503"/>
      <c r="J243" s="503"/>
      <c r="K243" s="504"/>
      <c r="L243" s="213"/>
    </row>
    <row r="244" spans="2:12" x14ac:dyDescent="0.2">
      <c r="B244" s="286"/>
      <c r="C244" s="287"/>
      <c r="D244" s="288"/>
      <c r="E244" s="502"/>
      <c r="F244" s="503"/>
      <c r="G244" s="503"/>
      <c r="H244" s="503"/>
      <c r="I244" s="503"/>
      <c r="J244" s="503"/>
      <c r="K244" s="504"/>
      <c r="L244" s="213"/>
    </row>
    <row r="245" spans="2:12" x14ac:dyDescent="0.2">
      <c r="B245" s="280"/>
      <c r="C245" s="281"/>
      <c r="D245" s="282"/>
      <c r="E245" s="502"/>
      <c r="F245" s="503"/>
      <c r="G245" s="503"/>
      <c r="H245" s="503"/>
      <c r="I245" s="503"/>
      <c r="J245" s="503"/>
      <c r="K245" s="504"/>
      <c r="L245" s="213"/>
    </row>
    <row r="246" spans="2:12" x14ac:dyDescent="0.2">
      <c r="B246" s="283"/>
      <c r="C246" s="284"/>
      <c r="D246" s="285"/>
      <c r="E246" s="508"/>
      <c r="F246" s="509"/>
      <c r="G246" s="509"/>
      <c r="H246" s="509"/>
      <c r="I246" s="509"/>
      <c r="J246" s="509"/>
      <c r="K246" s="510"/>
      <c r="L246" s="213"/>
    </row>
    <row r="247" spans="2:12" x14ac:dyDescent="0.2">
      <c r="B247" s="283"/>
      <c r="C247" s="284"/>
      <c r="D247" s="285"/>
      <c r="E247" s="508"/>
      <c r="F247" s="509"/>
      <c r="G247" s="509"/>
      <c r="H247" s="509"/>
      <c r="I247" s="509"/>
      <c r="J247" s="509"/>
      <c r="K247" s="510"/>
      <c r="L247" s="213"/>
    </row>
    <row r="248" spans="2:12" x14ac:dyDescent="0.2">
      <c r="B248" s="283"/>
      <c r="C248" s="284"/>
      <c r="D248" s="285"/>
      <c r="E248" s="508"/>
      <c r="F248" s="509"/>
      <c r="G248" s="509"/>
      <c r="H248" s="509"/>
      <c r="I248" s="509"/>
      <c r="J248" s="509"/>
      <c r="K248" s="510"/>
      <c r="L248" s="213"/>
    </row>
    <row r="249" spans="2:12" x14ac:dyDescent="0.2">
      <c r="B249" s="204"/>
      <c r="C249" s="213"/>
      <c r="E249" s="213"/>
      <c r="F249" s="213"/>
      <c r="G249" s="213"/>
      <c r="H249" s="213"/>
      <c r="I249" s="213"/>
      <c r="J249" s="213"/>
      <c r="K249" s="213"/>
      <c r="L249" s="213"/>
    </row>
    <row r="250" spans="2:12" x14ac:dyDescent="0.2">
      <c r="B250" s="204"/>
      <c r="C250" s="276" t="s">
        <v>425</v>
      </c>
      <c r="D250" s="204"/>
      <c r="E250" s="276"/>
      <c r="F250" s="276"/>
      <c r="G250" s="251" t="s">
        <v>28</v>
      </c>
      <c r="H250" s="277" t="s">
        <v>426</v>
      </c>
      <c r="I250" s="251" t="s">
        <v>34</v>
      </c>
      <c r="J250" s="277" t="s">
        <v>426</v>
      </c>
      <c r="K250" s="251" t="s">
        <v>38</v>
      </c>
      <c r="L250" s="277" t="s">
        <v>426</v>
      </c>
    </row>
    <row r="251" spans="2:12" x14ac:dyDescent="0.2">
      <c r="B251" s="204"/>
      <c r="C251" s="276" t="s">
        <v>427</v>
      </c>
      <c r="D251" s="204"/>
      <c r="E251" s="276"/>
      <c r="F251" s="277" t="s">
        <v>426</v>
      </c>
      <c r="G251" s="213"/>
      <c r="H251" s="251"/>
      <c r="I251" s="278"/>
      <c r="J251" s="251"/>
      <c r="K251" s="251"/>
      <c r="L251" s="251"/>
    </row>
    <row r="1476" spans="1:16" s="220" customFormat="1" x14ac:dyDescent="0.2">
      <c r="A1476" s="219"/>
      <c r="B1476" s="203"/>
      <c r="C1476" s="246"/>
      <c r="D1476" s="213"/>
      <c r="E1476" s="204"/>
      <c r="F1476" s="204"/>
      <c r="G1476" s="204"/>
      <c r="H1476" s="204"/>
      <c r="I1476" s="204"/>
      <c r="J1476" s="204"/>
      <c r="K1476" s="204"/>
      <c r="L1476" s="204"/>
      <c r="M1476" s="204"/>
      <c r="N1476" s="204"/>
      <c r="O1476" s="211"/>
      <c r="P1476" s="209"/>
    </row>
    <row r="1477" spans="1:16" x14ac:dyDescent="0.2">
      <c r="A1477" s="227"/>
      <c r="C1477" s="205"/>
      <c r="D1477" s="220"/>
      <c r="E1477" s="238"/>
      <c r="F1477" s="238"/>
      <c r="G1477" s="238"/>
      <c r="H1477" s="238"/>
      <c r="I1477" s="238"/>
      <c r="J1477" s="238"/>
      <c r="K1477" s="238"/>
      <c r="L1477" s="238"/>
      <c r="M1477" s="238"/>
      <c r="N1477" s="238"/>
      <c r="O1477" s="209"/>
    </row>
    <row r="9225" spans="1:1" x14ac:dyDescent="0.2">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66" bestFit="1" customWidth="1"/>
    <col min="2" max="3" width="9.140625" style="166"/>
    <col min="4" max="4" width="11.5703125" style="166" bestFit="1" customWidth="1"/>
    <col min="5" max="7" width="9.140625" style="166"/>
    <col min="8" max="8" width="13.7109375" style="166" customWidth="1"/>
    <col min="9" max="12" width="9.42578125" style="166" bestFit="1" customWidth="1"/>
    <col min="13" max="13" width="8.85546875" style="166" customWidth="1"/>
    <col min="14" max="16" width="9.42578125" style="166" bestFit="1" customWidth="1"/>
    <col min="17" max="16384" width="9.140625" style="166"/>
  </cols>
  <sheetData>
    <row r="1" spans="1:16" x14ac:dyDescent="0.2">
      <c r="A1" s="299" t="s">
        <v>428</v>
      </c>
    </row>
    <row r="2" spans="1:16" x14ac:dyDescent="0.2">
      <c r="H2" s="306"/>
      <c r="I2" s="306"/>
    </row>
    <row r="3" spans="1:16" x14ac:dyDescent="0.2">
      <c r="A3" s="166" t="s">
        <v>429</v>
      </c>
      <c r="H3" s="511" t="str">
        <f>'MP Calibration Certificate'!D17</f>
        <v>5.6mg/l RM8631b</v>
      </c>
      <c r="I3" s="511"/>
    </row>
    <row r="4" spans="1:16" x14ac:dyDescent="0.2">
      <c r="A4" s="166" t="s">
        <v>241</v>
      </c>
      <c r="H4" s="512">
        <f>'MP Calibration Certificate'!D18</f>
        <v>-1</v>
      </c>
      <c r="I4" s="513"/>
    </row>
    <row r="5" spans="1:16" x14ac:dyDescent="0.2">
      <c r="A5" s="166" t="s">
        <v>430</v>
      </c>
      <c r="H5" s="513">
        <f>'Cover Service Sheet'!D6</f>
        <v>0</v>
      </c>
      <c r="I5" s="513"/>
    </row>
    <row r="6" spans="1:16" x14ac:dyDescent="0.2">
      <c r="A6" s="166" t="s">
        <v>431</v>
      </c>
      <c r="H6" s="513">
        <f>'Cover Service Sheet'!D15</f>
        <v>0</v>
      </c>
      <c r="I6" s="513"/>
      <c r="M6" s="198"/>
      <c r="N6" s="199"/>
      <c r="O6" s="199"/>
      <c r="P6" s="307"/>
    </row>
    <row r="7" spans="1:16" x14ac:dyDescent="0.2">
      <c r="A7" s="166" t="s">
        <v>432</v>
      </c>
      <c r="H7" s="513">
        <f>'Cover Service Sheet'!D16</f>
        <v>0</v>
      </c>
      <c r="I7" s="513"/>
      <c r="M7" s="308"/>
      <c r="N7" s="309"/>
      <c r="O7" s="309"/>
      <c r="P7" s="309"/>
    </row>
    <row r="8" spans="1:16" x14ac:dyDescent="0.2">
      <c r="M8" s="310"/>
      <c r="N8" s="309"/>
      <c r="O8" s="309"/>
      <c r="P8" s="309"/>
    </row>
    <row r="9" spans="1:16" x14ac:dyDescent="0.2">
      <c r="A9" s="166" t="s">
        <v>433</v>
      </c>
      <c r="H9" s="306"/>
      <c r="M9" s="310"/>
      <c r="N9" s="309"/>
      <c r="O9" s="309"/>
      <c r="P9" s="309"/>
    </row>
    <row r="10" spans="1:16" x14ac:dyDescent="0.2">
      <c r="A10" s="218">
        <v>1</v>
      </c>
      <c r="B10" s="166" t="s">
        <v>434</v>
      </c>
      <c r="H10" s="311"/>
      <c r="I10" s="312"/>
      <c r="M10" s="310"/>
      <c r="N10" s="309"/>
      <c r="O10" s="218"/>
      <c r="P10" s="218"/>
    </row>
    <row r="11" spans="1:16" x14ac:dyDescent="0.2">
      <c r="A11" s="218">
        <f>A10+1</f>
        <v>2</v>
      </c>
      <c r="B11" s="489" t="s">
        <v>435</v>
      </c>
      <c r="C11" s="489"/>
      <c r="D11" s="489"/>
      <c r="E11" s="489"/>
      <c r="H11" s="313"/>
      <c r="I11" s="312"/>
      <c r="M11" s="310"/>
      <c r="N11" s="309"/>
      <c r="O11" s="309"/>
      <c r="P11" s="309"/>
    </row>
    <row r="12" spans="1:16" x14ac:dyDescent="0.2">
      <c r="A12" s="218">
        <f t="shared" ref="A12:A71" si="0">A11+1</f>
        <v>3</v>
      </c>
      <c r="B12" s="166" t="s">
        <v>436</v>
      </c>
      <c r="H12" s="314"/>
      <c r="I12" s="312"/>
      <c r="M12" s="310"/>
      <c r="N12" s="309"/>
      <c r="O12" s="309"/>
      <c r="P12" s="309"/>
    </row>
    <row r="13" spans="1:16" x14ac:dyDescent="0.2">
      <c r="A13" s="218">
        <f t="shared" si="0"/>
        <v>4</v>
      </c>
      <c r="B13" s="489" t="s">
        <v>437</v>
      </c>
      <c r="C13" s="489"/>
      <c r="D13" s="489"/>
      <c r="E13" s="489"/>
      <c r="F13" s="489"/>
      <c r="H13" s="315" t="s">
        <v>438</v>
      </c>
      <c r="I13" s="312"/>
      <c r="M13" s="310"/>
      <c r="N13" s="309"/>
      <c r="O13" s="309"/>
      <c r="P13" s="309"/>
    </row>
    <row r="14" spans="1:16" x14ac:dyDescent="0.2">
      <c r="A14" s="218"/>
      <c r="B14" s="518" t="s">
        <v>439</v>
      </c>
      <c r="C14" s="519"/>
      <c r="D14" s="519"/>
      <c r="E14" s="519"/>
      <c r="F14" s="519"/>
      <c r="G14" s="519"/>
      <c r="H14" s="316"/>
      <c r="M14" s="310"/>
      <c r="N14" s="309"/>
      <c r="O14" s="309"/>
      <c r="P14" s="309"/>
    </row>
    <row r="15" spans="1:16" x14ac:dyDescent="0.2">
      <c r="A15" s="218"/>
      <c r="B15" s="201" t="s">
        <v>440</v>
      </c>
      <c r="H15" s="306"/>
      <c r="M15" s="310"/>
      <c r="N15" s="309"/>
      <c r="O15" s="309"/>
      <c r="P15" s="309"/>
    </row>
    <row r="16" spans="1:16" x14ac:dyDescent="0.2">
      <c r="A16" s="218">
        <f>A13+1</f>
        <v>5</v>
      </c>
      <c r="B16" s="166" t="s">
        <v>441</v>
      </c>
      <c r="H16" s="315" t="s">
        <v>438</v>
      </c>
      <c r="I16" s="312"/>
      <c r="M16" s="310"/>
      <c r="N16" s="317"/>
      <c r="O16" s="317"/>
      <c r="P16" s="317"/>
    </row>
    <row r="17" spans="1:16" x14ac:dyDescent="0.2">
      <c r="A17" s="218">
        <f t="shared" si="0"/>
        <v>6</v>
      </c>
      <c r="B17" s="166" t="s">
        <v>442</v>
      </c>
      <c r="H17" s="315" t="s">
        <v>438</v>
      </c>
      <c r="I17" s="312"/>
      <c r="M17" s="318"/>
      <c r="N17" s="309"/>
      <c r="O17" s="309"/>
      <c r="P17" s="309"/>
    </row>
    <row r="18" spans="1:16" x14ac:dyDescent="0.2">
      <c r="A18" s="218">
        <f t="shared" si="0"/>
        <v>7</v>
      </c>
      <c r="B18" s="166" t="s">
        <v>443</v>
      </c>
      <c r="H18" s="315" t="s">
        <v>438</v>
      </c>
      <c r="I18" s="312"/>
      <c r="M18" s="200"/>
      <c r="N18" s="200"/>
      <c r="O18" s="200"/>
      <c r="P18" s="200"/>
    </row>
    <row r="19" spans="1:16" x14ac:dyDescent="0.2">
      <c r="A19" s="218">
        <f t="shared" si="0"/>
        <v>8</v>
      </c>
      <c r="B19" s="166" t="s">
        <v>444</v>
      </c>
      <c r="H19" s="319" t="s">
        <v>438</v>
      </c>
      <c r="M19" s="199"/>
      <c r="N19" s="199"/>
      <c r="O19" s="199"/>
      <c r="P19" s="199"/>
    </row>
    <row r="20" spans="1:16" x14ac:dyDescent="0.2">
      <c r="A20" s="218">
        <f t="shared" si="0"/>
        <v>9</v>
      </c>
      <c r="B20" s="166" t="s">
        <v>344</v>
      </c>
      <c r="H20" s="319" t="s">
        <v>438</v>
      </c>
      <c r="M20" s="310"/>
      <c r="N20" s="309"/>
      <c r="O20" s="309"/>
      <c r="P20" s="309"/>
    </row>
    <row r="21" spans="1:16" x14ac:dyDescent="0.2">
      <c r="A21" s="218">
        <f t="shared" si="0"/>
        <v>10</v>
      </c>
      <c r="B21" s="166" t="s">
        <v>445</v>
      </c>
      <c r="H21" s="319" t="s">
        <v>438</v>
      </c>
      <c r="M21" s="310"/>
      <c r="N21" s="309"/>
      <c r="O21" s="309"/>
      <c r="P21" s="309"/>
    </row>
    <row r="22" spans="1:16" x14ac:dyDescent="0.2">
      <c r="A22" s="218">
        <f t="shared" si="0"/>
        <v>11</v>
      </c>
      <c r="B22" s="166" t="s">
        <v>446</v>
      </c>
      <c r="H22" s="319" t="s">
        <v>438</v>
      </c>
      <c r="M22" s="310"/>
      <c r="N22" s="309"/>
      <c r="O22" s="309"/>
      <c r="P22" s="309"/>
    </row>
    <row r="23" spans="1:16" x14ac:dyDescent="0.2">
      <c r="A23" s="218">
        <f t="shared" si="0"/>
        <v>12</v>
      </c>
      <c r="B23" s="166" t="s">
        <v>447</v>
      </c>
      <c r="H23" s="319" t="s">
        <v>438</v>
      </c>
      <c r="M23" s="310"/>
      <c r="N23" s="309"/>
      <c r="O23" s="309"/>
      <c r="P23" s="309"/>
    </row>
    <row r="24" spans="1:16" x14ac:dyDescent="0.2">
      <c r="A24" s="218">
        <f t="shared" si="0"/>
        <v>13</v>
      </c>
      <c r="B24" s="166" t="s">
        <v>448</v>
      </c>
      <c r="H24" s="319" t="s">
        <v>438</v>
      </c>
      <c r="M24" s="310"/>
      <c r="N24" s="309"/>
      <c r="O24" s="309"/>
      <c r="P24" s="309"/>
    </row>
    <row r="25" spans="1:16" x14ac:dyDescent="0.2">
      <c r="A25" s="218">
        <f t="shared" si="0"/>
        <v>14</v>
      </c>
      <c r="B25" s="166" t="s">
        <v>349</v>
      </c>
      <c r="H25" s="320" t="s">
        <v>438</v>
      </c>
      <c r="M25" s="310"/>
      <c r="N25" s="309"/>
      <c r="O25" s="309"/>
      <c r="P25" s="309"/>
    </row>
    <row r="26" spans="1:16" x14ac:dyDescent="0.2">
      <c r="A26" s="218">
        <f t="shared" si="0"/>
        <v>15</v>
      </c>
      <c r="B26" s="166" t="s">
        <v>449</v>
      </c>
      <c r="H26" s="321"/>
      <c r="M26" s="310"/>
      <c r="N26" s="309"/>
      <c r="O26" s="309"/>
      <c r="P26" s="309"/>
    </row>
    <row r="27" spans="1:16" x14ac:dyDescent="0.2">
      <c r="A27" s="218">
        <f t="shared" si="0"/>
        <v>16</v>
      </c>
      <c r="B27" s="166" t="s">
        <v>450</v>
      </c>
      <c r="H27" s="322">
        <f>H26+365</f>
        <v>365</v>
      </c>
      <c r="M27" s="310"/>
      <c r="N27" s="309"/>
      <c r="O27" s="309"/>
      <c r="P27" s="309"/>
    </row>
    <row r="28" spans="1:16" x14ac:dyDescent="0.2">
      <c r="A28" s="218"/>
      <c r="B28" s="299" t="s">
        <v>451</v>
      </c>
      <c r="M28" s="310"/>
      <c r="N28" s="309"/>
      <c r="O28" s="309"/>
      <c r="P28" s="309"/>
    </row>
    <row r="29" spans="1:16" x14ac:dyDescent="0.2">
      <c r="A29" s="218">
        <f>A27+1</f>
        <v>17</v>
      </c>
      <c r="B29" s="166" t="s">
        <v>452</v>
      </c>
      <c r="H29" s="319" t="s">
        <v>438</v>
      </c>
      <c r="I29" s="166">
        <v>4</v>
      </c>
      <c r="J29" s="166">
        <v>6</v>
      </c>
      <c r="K29" s="166">
        <v>14</v>
      </c>
      <c r="L29" s="166">
        <v>21</v>
      </c>
      <c r="M29" s="310">
        <v>25</v>
      </c>
      <c r="N29" s="309">
        <v>38</v>
      </c>
      <c r="O29" s="218">
        <v>50</v>
      </c>
      <c r="P29" s="218">
        <v>70</v>
      </c>
    </row>
    <row r="30" spans="1:16" x14ac:dyDescent="0.2">
      <c r="A30" s="218">
        <f t="shared" si="0"/>
        <v>18</v>
      </c>
      <c r="B30" s="166" t="s">
        <v>453</v>
      </c>
      <c r="H30" s="320" t="s">
        <v>438</v>
      </c>
      <c r="I30" s="166" t="str">
        <f>AUTO!B3</f>
        <v>LPA3 NAVAIR</v>
      </c>
      <c r="J30" s="166">
        <f>AUTO!B4</f>
        <v>63010067</v>
      </c>
      <c r="K30" s="166">
        <f>AUTO!B5</f>
        <v>1024</v>
      </c>
      <c r="L30" s="166">
        <f>AUTO!B6</f>
        <v>0</v>
      </c>
      <c r="M30" s="310" t="str">
        <f>AUTO!B7</f>
        <v>LPA3 NAVAIR</v>
      </c>
      <c r="N30" s="309">
        <f>AUTO!B8</f>
        <v>76</v>
      </c>
      <c r="O30" s="309">
        <f>AUTO!B9</f>
        <v>180</v>
      </c>
      <c r="P30" s="309">
        <f>AUTO!B10</f>
        <v>994</v>
      </c>
    </row>
    <row r="31" spans="1:16" x14ac:dyDescent="0.2">
      <c r="A31" s="218"/>
      <c r="B31" s="299" t="s">
        <v>355</v>
      </c>
      <c r="H31" s="323"/>
      <c r="M31" s="310"/>
      <c r="N31" s="309"/>
      <c r="O31" s="309"/>
      <c r="P31" s="309"/>
    </row>
    <row r="32" spans="1:16" x14ac:dyDescent="0.2">
      <c r="A32" s="218">
        <f>A30+1</f>
        <v>19</v>
      </c>
      <c r="B32" s="166" t="s">
        <v>356</v>
      </c>
      <c r="H32" s="319" t="s">
        <v>438</v>
      </c>
      <c r="M32" s="199"/>
      <c r="N32" s="199"/>
      <c r="O32" s="199"/>
      <c r="P32" s="199"/>
    </row>
    <row r="33" spans="1:16" ht="14.45" customHeight="1" x14ac:dyDescent="0.2">
      <c r="A33" s="218">
        <f t="shared" si="0"/>
        <v>20</v>
      </c>
      <c r="B33" s="166" t="s">
        <v>357</v>
      </c>
      <c r="H33" s="319" t="s">
        <v>438</v>
      </c>
      <c r="M33" s="310"/>
      <c r="N33" s="309"/>
      <c r="O33" s="309"/>
      <c r="P33" s="309"/>
    </row>
    <row r="34" spans="1:16" x14ac:dyDescent="0.2">
      <c r="A34" s="218">
        <f t="shared" si="0"/>
        <v>21</v>
      </c>
      <c r="B34" s="166" t="s">
        <v>454</v>
      </c>
      <c r="H34" s="319" t="s">
        <v>438</v>
      </c>
      <c r="M34" s="199"/>
      <c r="N34" s="199"/>
      <c r="O34" s="199"/>
      <c r="P34" s="199"/>
    </row>
    <row r="35" spans="1:16" x14ac:dyDescent="0.2">
      <c r="A35" s="218">
        <f t="shared" si="0"/>
        <v>22</v>
      </c>
      <c r="B35" s="166" t="s">
        <v>455</v>
      </c>
      <c r="H35" s="320" t="s">
        <v>438</v>
      </c>
      <c r="M35" s="310"/>
      <c r="N35" s="309"/>
      <c r="O35" s="309"/>
      <c r="P35" s="309"/>
    </row>
    <row r="36" spans="1:16" x14ac:dyDescent="0.2">
      <c r="A36" s="218"/>
      <c r="B36" s="299" t="s">
        <v>360</v>
      </c>
      <c r="H36" s="323"/>
      <c r="M36" s="310"/>
      <c r="N36" s="309"/>
      <c r="O36" s="309"/>
      <c r="P36" s="309"/>
    </row>
    <row r="37" spans="1:16" x14ac:dyDescent="0.2">
      <c r="A37" s="218">
        <f>A35+1</f>
        <v>23</v>
      </c>
      <c r="B37" s="489" t="s">
        <v>456</v>
      </c>
      <c r="C37" s="489"/>
      <c r="D37" s="489"/>
      <c r="E37" s="489"/>
      <c r="H37" s="319" t="s">
        <v>438</v>
      </c>
      <c r="M37" s="310"/>
      <c r="N37" s="309"/>
      <c r="O37" s="309"/>
      <c r="P37" s="309"/>
    </row>
    <row r="38" spans="1:16" x14ac:dyDescent="0.2">
      <c r="A38" s="218">
        <f t="shared" si="0"/>
        <v>24</v>
      </c>
      <c r="B38" s="166" t="s">
        <v>362</v>
      </c>
      <c r="H38" s="319" t="s">
        <v>438</v>
      </c>
      <c r="M38" s="310"/>
      <c r="N38" s="309"/>
      <c r="O38" s="309"/>
      <c r="P38" s="309"/>
    </row>
    <row r="39" spans="1:16" x14ac:dyDescent="0.2">
      <c r="A39" s="218">
        <f t="shared" si="0"/>
        <v>25</v>
      </c>
      <c r="B39" s="166" t="s">
        <v>457</v>
      </c>
      <c r="H39" s="319" t="s">
        <v>438</v>
      </c>
      <c r="M39" s="199"/>
      <c r="N39" s="199"/>
      <c r="O39" s="199"/>
      <c r="P39" s="199"/>
    </row>
    <row r="40" spans="1:16" x14ac:dyDescent="0.2">
      <c r="A40" s="218">
        <f t="shared" si="0"/>
        <v>26</v>
      </c>
      <c r="B40" s="166" t="s">
        <v>458</v>
      </c>
      <c r="H40" s="320" t="s">
        <v>438</v>
      </c>
      <c r="M40" s="310"/>
      <c r="N40" s="309"/>
      <c r="O40" s="309"/>
      <c r="P40" s="309"/>
    </row>
    <row r="41" spans="1:16" x14ac:dyDescent="0.2">
      <c r="A41" s="218"/>
      <c r="B41" s="462" t="s">
        <v>459</v>
      </c>
      <c r="C41" s="462"/>
      <c r="H41" s="324"/>
      <c r="M41" s="310"/>
      <c r="N41" s="309"/>
      <c r="O41" s="309"/>
      <c r="P41" s="309"/>
    </row>
    <row r="42" spans="1:16" x14ac:dyDescent="0.2">
      <c r="A42" s="218">
        <f>A40+1</f>
        <v>27</v>
      </c>
      <c r="B42" s="489" t="s">
        <v>460</v>
      </c>
      <c r="C42" s="489"/>
      <c r="D42" s="489"/>
      <c r="E42" s="489"/>
      <c r="H42" s="320"/>
      <c r="M42" s="310"/>
      <c r="N42" s="309"/>
      <c r="O42" s="309"/>
      <c r="P42" s="309"/>
    </row>
    <row r="43" spans="1:16" x14ac:dyDescent="0.2">
      <c r="A43" s="218">
        <f>A42+1</f>
        <v>28</v>
      </c>
      <c r="B43" s="166" t="s">
        <v>461</v>
      </c>
      <c r="H43" s="325"/>
      <c r="M43" s="199"/>
      <c r="N43" s="199"/>
      <c r="O43" s="199"/>
      <c r="P43" s="199"/>
    </row>
    <row r="44" spans="1:16" x14ac:dyDescent="0.2">
      <c r="A44" s="218">
        <f t="shared" si="0"/>
        <v>29</v>
      </c>
      <c r="B44" s="166" t="s">
        <v>462</v>
      </c>
      <c r="H44" s="319" t="s">
        <v>438</v>
      </c>
      <c r="M44" s="310"/>
      <c r="N44" s="309"/>
      <c r="O44" s="309"/>
      <c r="P44" s="309"/>
    </row>
    <row r="45" spans="1:16" x14ac:dyDescent="0.2">
      <c r="A45" s="218">
        <f t="shared" si="0"/>
        <v>30</v>
      </c>
      <c r="B45" s="489" t="s">
        <v>463</v>
      </c>
      <c r="C45" s="489"/>
      <c r="D45" s="489"/>
      <c r="E45" s="489"/>
      <c r="F45" s="489"/>
      <c r="G45" s="522"/>
      <c r="H45" s="319" t="s">
        <v>438</v>
      </c>
      <c r="I45" s="523" t="str">
        <f>'Cover Service Sheet'!D49</f>
        <v>-</v>
      </c>
      <c r="J45" s="524"/>
      <c r="K45" s="524"/>
      <c r="M45" s="310"/>
      <c r="N45" s="309"/>
      <c r="O45" s="309"/>
      <c r="P45" s="309"/>
    </row>
    <row r="46" spans="1:16" x14ac:dyDescent="0.2">
      <c r="A46" s="218">
        <f t="shared" si="0"/>
        <v>31</v>
      </c>
      <c r="B46" s="489" t="s">
        <v>464</v>
      </c>
      <c r="C46" s="489"/>
      <c r="D46" s="489"/>
      <c r="H46" s="320" t="s">
        <v>438</v>
      </c>
      <c r="M46" s="310"/>
      <c r="N46" s="309"/>
      <c r="O46" s="309"/>
      <c r="P46" s="309"/>
    </row>
    <row r="47" spans="1:16" x14ac:dyDescent="0.2">
      <c r="A47" s="218">
        <f t="shared" si="0"/>
        <v>32</v>
      </c>
      <c r="B47" s="166" t="s">
        <v>465</v>
      </c>
      <c r="H47" s="330"/>
      <c r="M47" s="310"/>
      <c r="N47" s="309"/>
      <c r="O47" s="309"/>
      <c r="P47" s="309"/>
    </row>
    <row r="48" spans="1:16" x14ac:dyDescent="0.2">
      <c r="A48" s="218">
        <f t="shared" si="0"/>
        <v>33</v>
      </c>
      <c r="B48" s="166" t="s">
        <v>466</v>
      </c>
      <c r="H48" s="330"/>
      <c r="M48" s="310"/>
      <c r="N48" s="309"/>
      <c r="O48" s="309"/>
      <c r="P48" s="309"/>
    </row>
    <row r="49" spans="1:16" x14ac:dyDescent="0.2">
      <c r="A49" s="218">
        <f t="shared" si="0"/>
        <v>34</v>
      </c>
      <c r="B49" s="166" t="s">
        <v>467</v>
      </c>
      <c r="H49" s="330"/>
      <c r="M49" s="310"/>
      <c r="N49" s="309"/>
      <c r="O49" s="309"/>
      <c r="P49" s="309"/>
    </row>
    <row r="50" spans="1:16" x14ac:dyDescent="0.2">
      <c r="A50" s="218"/>
      <c r="B50" s="299" t="s">
        <v>372</v>
      </c>
      <c r="H50" s="323"/>
      <c r="M50" s="310"/>
      <c r="N50" s="309"/>
      <c r="O50" s="218"/>
      <c r="P50" s="218"/>
    </row>
    <row r="51" spans="1:16" x14ac:dyDescent="0.2">
      <c r="A51" s="218">
        <f>A49+1</f>
        <v>35</v>
      </c>
      <c r="B51" s="166" t="s">
        <v>468</v>
      </c>
      <c r="H51" s="325"/>
      <c r="M51" s="310"/>
      <c r="N51" s="309"/>
      <c r="O51" s="218"/>
      <c r="P51" s="218"/>
    </row>
    <row r="52" spans="1:16" x14ac:dyDescent="0.2">
      <c r="A52" s="218">
        <f t="shared" si="0"/>
        <v>36</v>
      </c>
      <c r="B52" s="166" t="s">
        <v>469</v>
      </c>
      <c r="H52" s="319" t="s">
        <v>438</v>
      </c>
      <c r="M52" s="310"/>
      <c r="N52" s="309"/>
      <c r="O52" s="309"/>
      <c r="P52" s="309"/>
    </row>
    <row r="53" spans="1:16" x14ac:dyDescent="0.2">
      <c r="A53" s="218">
        <f t="shared" si="0"/>
        <v>37</v>
      </c>
      <c r="B53" s="166" t="s">
        <v>470</v>
      </c>
      <c r="H53" s="320" t="s">
        <v>438</v>
      </c>
      <c r="M53" s="310"/>
      <c r="N53" s="309"/>
      <c r="O53" s="309"/>
      <c r="P53" s="309"/>
    </row>
    <row r="54" spans="1:16" x14ac:dyDescent="0.2">
      <c r="A54" s="218">
        <f t="shared" si="0"/>
        <v>38</v>
      </c>
      <c r="B54" s="166" t="s">
        <v>471</v>
      </c>
      <c r="H54" s="320"/>
      <c r="M54" s="310"/>
      <c r="N54" s="309"/>
      <c r="O54" s="309"/>
      <c r="P54" s="309"/>
    </row>
    <row r="55" spans="1:16" x14ac:dyDescent="0.2">
      <c r="A55" s="218"/>
      <c r="B55" s="520" t="s">
        <v>472</v>
      </c>
      <c r="C55" s="521"/>
      <c r="D55" s="521"/>
      <c r="E55" s="521"/>
      <c r="F55" s="521"/>
      <c r="G55" s="521"/>
      <c r="M55" s="310"/>
      <c r="N55" s="309"/>
      <c r="O55" s="309"/>
      <c r="P55" s="309"/>
    </row>
    <row r="56" spans="1:16" x14ac:dyDescent="0.2">
      <c r="A56" s="218"/>
      <c r="B56" s="299" t="s">
        <v>381</v>
      </c>
      <c r="M56" s="310"/>
      <c r="N56" s="309"/>
      <c r="O56" s="309"/>
      <c r="P56" s="309"/>
    </row>
    <row r="57" spans="1:16" x14ac:dyDescent="0.2">
      <c r="A57" s="218">
        <f>A54+1</f>
        <v>39</v>
      </c>
      <c r="B57" s="166" t="s">
        <v>473</v>
      </c>
      <c r="H57" s="320" t="s">
        <v>438</v>
      </c>
      <c r="M57" s="310"/>
      <c r="N57" s="309"/>
      <c r="O57" s="309"/>
      <c r="P57" s="309"/>
    </row>
    <row r="58" spans="1:16" x14ac:dyDescent="0.2">
      <c r="A58" s="218">
        <f t="shared" si="0"/>
        <v>40</v>
      </c>
      <c r="B58" s="166" t="s">
        <v>474</v>
      </c>
      <c r="H58" s="319" t="s">
        <v>438</v>
      </c>
      <c r="M58" s="310"/>
      <c r="N58" s="309"/>
      <c r="O58" s="309"/>
      <c r="P58" s="309"/>
    </row>
    <row r="59" spans="1:16" x14ac:dyDescent="0.2">
      <c r="A59" s="218">
        <f t="shared" si="0"/>
        <v>41</v>
      </c>
      <c r="B59" s="166" t="s">
        <v>475</v>
      </c>
      <c r="H59" s="319" t="s">
        <v>438</v>
      </c>
      <c r="M59" s="199"/>
      <c r="N59" s="199"/>
      <c r="O59" s="199"/>
      <c r="P59" s="199"/>
    </row>
    <row r="60" spans="1:16" x14ac:dyDescent="0.2">
      <c r="A60" s="218">
        <f t="shared" si="0"/>
        <v>42</v>
      </c>
      <c r="B60" s="166" t="s">
        <v>385</v>
      </c>
      <c r="H60" s="319" t="s">
        <v>438</v>
      </c>
      <c r="M60" s="310"/>
      <c r="N60" s="309"/>
      <c r="O60" s="309"/>
      <c r="P60" s="309"/>
    </row>
    <row r="61" spans="1:16" x14ac:dyDescent="0.2">
      <c r="A61" s="218">
        <f t="shared" si="0"/>
        <v>43</v>
      </c>
      <c r="B61" s="489" t="s">
        <v>476</v>
      </c>
      <c r="C61" s="489"/>
      <c r="D61" s="489"/>
      <c r="E61" s="489"/>
      <c r="F61" s="489"/>
      <c r="H61" s="320" t="s">
        <v>438</v>
      </c>
      <c r="M61" s="310"/>
      <c r="N61" s="309"/>
      <c r="O61" s="309"/>
      <c r="P61" s="309"/>
    </row>
    <row r="62" spans="1:16" x14ac:dyDescent="0.2">
      <c r="A62" s="218"/>
      <c r="B62" s="299" t="s">
        <v>477</v>
      </c>
      <c r="H62" s="316"/>
      <c r="M62" s="310"/>
      <c r="N62" s="309"/>
      <c r="O62" s="309"/>
      <c r="P62" s="309"/>
    </row>
    <row r="63" spans="1:16" x14ac:dyDescent="0.2">
      <c r="A63" s="218">
        <f>A61</f>
        <v>43</v>
      </c>
      <c r="B63" s="166" t="s">
        <v>478</v>
      </c>
      <c r="H63" s="319" t="s">
        <v>438</v>
      </c>
      <c r="M63" s="310"/>
      <c r="N63" s="309"/>
      <c r="O63" s="218"/>
      <c r="P63" s="218"/>
    </row>
    <row r="64" spans="1:16" x14ac:dyDescent="0.2">
      <c r="A64" s="218">
        <f t="shared" si="0"/>
        <v>44</v>
      </c>
      <c r="B64" s="166" t="s">
        <v>396</v>
      </c>
      <c r="H64" s="319" t="s">
        <v>438</v>
      </c>
      <c r="M64" s="310"/>
      <c r="N64" s="309"/>
      <c r="O64" s="309"/>
      <c r="P64" s="309"/>
    </row>
    <row r="65" spans="1:16" x14ac:dyDescent="0.2">
      <c r="A65" s="218">
        <f t="shared" si="0"/>
        <v>45</v>
      </c>
      <c r="B65" s="166" t="s">
        <v>390</v>
      </c>
      <c r="H65" s="319" t="s">
        <v>438</v>
      </c>
      <c r="M65" s="310"/>
      <c r="N65" s="309"/>
      <c r="O65" s="309"/>
      <c r="P65" s="309"/>
    </row>
    <row r="66" spans="1:16" x14ac:dyDescent="0.2">
      <c r="A66" s="218">
        <f t="shared" si="0"/>
        <v>46</v>
      </c>
      <c r="B66" s="166" t="s">
        <v>391</v>
      </c>
      <c r="H66" s="319" t="s">
        <v>438</v>
      </c>
      <c r="M66" s="310"/>
      <c r="N66" s="309"/>
      <c r="O66" s="309"/>
      <c r="P66" s="309"/>
    </row>
    <row r="67" spans="1:16" x14ac:dyDescent="0.2">
      <c r="A67" s="218">
        <f t="shared" si="0"/>
        <v>47</v>
      </c>
      <c r="B67" s="166" t="s">
        <v>390</v>
      </c>
      <c r="H67" s="319" t="s">
        <v>438</v>
      </c>
      <c r="M67" s="310"/>
      <c r="N67" s="309"/>
      <c r="O67" s="309"/>
      <c r="P67" s="309"/>
    </row>
    <row r="68" spans="1:16" x14ac:dyDescent="0.2">
      <c r="A68" s="218">
        <f t="shared" si="0"/>
        <v>48</v>
      </c>
      <c r="B68" s="166" t="s">
        <v>479</v>
      </c>
      <c r="H68" s="319" t="s">
        <v>438</v>
      </c>
      <c r="M68" s="310"/>
      <c r="N68" s="309"/>
      <c r="O68" s="218"/>
      <c r="P68" s="218"/>
    </row>
    <row r="69" spans="1:16" x14ac:dyDescent="0.2">
      <c r="A69" s="218">
        <f t="shared" si="0"/>
        <v>49</v>
      </c>
      <c r="B69" s="166" t="s">
        <v>398</v>
      </c>
      <c r="H69" s="319" t="s">
        <v>438</v>
      </c>
      <c r="M69" s="310"/>
      <c r="N69" s="309"/>
      <c r="O69" s="309"/>
      <c r="P69" s="309"/>
    </row>
    <row r="70" spans="1:16" x14ac:dyDescent="0.2">
      <c r="A70" s="218">
        <f t="shared" si="0"/>
        <v>50</v>
      </c>
      <c r="B70" s="166" t="s">
        <v>480</v>
      </c>
      <c r="H70" s="320" t="s">
        <v>438</v>
      </c>
      <c r="M70" s="199"/>
      <c r="N70" s="199"/>
      <c r="O70" s="199"/>
      <c r="P70" s="199"/>
    </row>
    <row r="71" spans="1:16" x14ac:dyDescent="0.2">
      <c r="A71" s="218">
        <f t="shared" si="0"/>
        <v>51</v>
      </c>
      <c r="B71" s="489" t="s">
        <v>481</v>
      </c>
      <c r="C71" s="489"/>
      <c r="D71" s="489"/>
      <c r="E71" s="489"/>
      <c r="F71" s="489"/>
      <c r="G71" s="522"/>
      <c r="H71" s="320" t="s">
        <v>438</v>
      </c>
      <c r="I71" s="523">
        <f>'Cover Service Sheet'!D50</f>
        <v>0</v>
      </c>
      <c r="J71" s="524"/>
      <c r="K71" s="524"/>
      <c r="M71" s="310"/>
      <c r="N71" s="309"/>
      <c r="O71" s="309"/>
      <c r="P71" s="309"/>
    </row>
    <row r="72" spans="1:16" x14ac:dyDescent="0.2">
      <c r="A72" s="218"/>
      <c r="B72" s="299" t="s">
        <v>401</v>
      </c>
      <c r="H72" s="323"/>
      <c r="M72" s="310"/>
      <c r="N72" s="309"/>
      <c r="O72" s="309"/>
      <c r="P72" s="309"/>
    </row>
    <row r="73" spans="1:16" x14ac:dyDescent="0.2">
      <c r="A73" s="218">
        <f>A71+1</f>
        <v>52</v>
      </c>
      <c r="B73" s="166" t="s">
        <v>482</v>
      </c>
      <c r="H73" s="319" t="s">
        <v>438</v>
      </c>
      <c r="M73" s="310"/>
      <c r="N73" s="309"/>
      <c r="O73" s="309"/>
      <c r="P73" s="309"/>
    </row>
    <row r="74" spans="1:16" x14ac:dyDescent="0.2">
      <c r="A74" s="218">
        <f t="shared" ref="A74:A98" si="1">A73+1</f>
        <v>53</v>
      </c>
      <c r="B74" s="166" t="s">
        <v>483</v>
      </c>
      <c r="H74" s="319" t="s">
        <v>438</v>
      </c>
      <c r="M74" s="310"/>
      <c r="N74" s="309"/>
      <c r="O74" s="309"/>
      <c r="P74" s="309"/>
    </row>
    <row r="75" spans="1:16" x14ac:dyDescent="0.2">
      <c r="A75" s="218">
        <f t="shared" si="1"/>
        <v>54</v>
      </c>
      <c r="B75" s="166" t="s">
        <v>484</v>
      </c>
      <c r="H75" s="319" t="s">
        <v>438</v>
      </c>
      <c r="M75" s="199"/>
      <c r="N75" s="199"/>
      <c r="O75" s="199"/>
      <c r="P75" s="199"/>
    </row>
    <row r="76" spans="1:16" x14ac:dyDescent="0.2">
      <c r="A76" s="218">
        <f t="shared" si="1"/>
        <v>55</v>
      </c>
      <c r="B76" s="166" t="s">
        <v>405</v>
      </c>
      <c r="H76" s="320" t="s">
        <v>438</v>
      </c>
      <c r="M76" s="310"/>
      <c r="N76" s="309"/>
      <c r="O76" s="309"/>
      <c r="P76" s="309"/>
    </row>
    <row r="77" spans="1:16" x14ac:dyDescent="0.2">
      <c r="A77" s="218"/>
      <c r="B77" s="299" t="s">
        <v>485</v>
      </c>
      <c r="H77" s="316"/>
      <c r="M77" s="310"/>
      <c r="N77" s="326"/>
      <c r="O77" s="326"/>
      <c r="P77" s="326"/>
    </row>
    <row r="78" spans="1:16" x14ac:dyDescent="0.2">
      <c r="A78" s="218">
        <f>A76+1</f>
        <v>56</v>
      </c>
      <c r="B78" s="166" t="s">
        <v>486</v>
      </c>
      <c r="H78" s="306"/>
      <c r="M78" s="310"/>
      <c r="N78" s="309"/>
      <c r="O78" s="309"/>
      <c r="P78" s="309"/>
    </row>
    <row r="79" spans="1:16" x14ac:dyDescent="0.2">
      <c r="A79" s="218">
        <f t="shared" si="1"/>
        <v>57</v>
      </c>
      <c r="B79" s="166" t="s">
        <v>408</v>
      </c>
      <c r="H79" s="331"/>
      <c r="M79" s="310"/>
      <c r="N79" s="309"/>
      <c r="O79" s="309"/>
      <c r="P79" s="309"/>
    </row>
    <row r="80" spans="1:16" x14ac:dyDescent="0.2">
      <c r="A80" s="218">
        <f t="shared" si="1"/>
        <v>58</v>
      </c>
      <c r="B80" s="166" t="s">
        <v>487</v>
      </c>
      <c r="H80" s="330"/>
      <c r="M80" s="310"/>
      <c r="N80" s="309"/>
      <c r="O80" s="309"/>
      <c r="P80" s="309"/>
    </row>
    <row r="81" spans="1:16" x14ac:dyDescent="0.2">
      <c r="A81" s="218">
        <f t="shared" si="1"/>
        <v>59</v>
      </c>
      <c r="B81" s="166" t="s">
        <v>488</v>
      </c>
      <c r="H81" s="332"/>
      <c r="M81" s="310"/>
      <c r="N81" s="309"/>
      <c r="O81" s="309"/>
      <c r="P81" s="309"/>
    </row>
    <row r="82" spans="1:16" x14ac:dyDescent="0.2">
      <c r="A82" s="218">
        <f t="shared" si="1"/>
        <v>60</v>
      </c>
      <c r="B82" s="166" t="s">
        <v>489</v>
      </c>
      <c r="H82" s="319" t="s">
        <v>438</v>
      </c>
      <c r="M82" s="198"/>
      <c r="N82" s="309"/>
      <c r="O82" s="309"/>
      <c r="P82" s="309"/>
    </row>
    <row r="83" spans="1:16" x14ac:dyDescent="0.2">
      <c r="A83" s="218">
        <f t="shared" si="1"/>
        <v>61</v>
      </c>
      <c r="B83" s="166" t="s">
        <v>412</v>
      </c>
      <c r="H83" s="320" t="s">
        <v>438</v>
      </c>
      <c r="M83" s="310"/>
      <c r="N83" s="309"/>
      <c r="O83" s="218"/>
      <c r="P83" s="218"/>
    </row>
    <row r="84" spans="1:16" x14ac:dyDescent="0.2">
      <c r="A84" s="218"/>
      <c r="B84" s="299" t="s">
        <v>386</v>
      </c>
      <c r="H84" s="323"/>
      <c r="M84" s="310"/>
      <c r="N84" s="309"/>
      <c r="O84" s="309"/>
      <c r="P84" s="309"/>
    </row>
    <row r="85" spans="1:16" x14ac:dyDescent="0.2">
      <c r="A85" s="218">
        <f>A83+1</f>
        <v>62</v>
      </c>
      <c r="B85" s="166" t="s">
        <v>490</v>
      </c>
      <c r="H85" s="319" t="s">
        <v>438</v>
      </c>
      <c r="M85" s="310"/>
      <c r="N85" s="309"/>
      <c r="O85" s="309"/>
      <c r="P85" s="309"/>
    </row>
    <row r="86" spans="1:16" x14ac:dyDescent="0.2">
      <c r="A86" s="218">
        <f t="shared" si="1"/>
        <v>63</v>
      </c>
      <c r="B86" s="166" t="s">
        <v>414</v>
      </c>
      <c r="H86" s="319" t="s">
        <v>438</v>
      </c>
      <c r="M86" s="310"/>
      <c r="N86" s="309"/>
      <c r="O86" s="309"/>
      <c r="P86" s="309"/>
    </row>
    <row r="87" spans="1:16" x14ac:dyDescent="0.2">
      <c r="A87" s="218">
        <f t="shared" si="1"/>
        <v>64</v>
      </c>
      <c r="B87" s="166" t="s">
        <v>491</v>
      </c>
      <c r="H87" s="319" t="s">
        <v>438</v>
      </c>
      <c r="M87" s="310"/>
      <c r="N87" s="309"/>
      <c r="O87" s="309"/>
      <c r="P87" s="309"/>
    </row>
    <row r="88" spans="1:16" x14ac:dyDescent="0.2">
      <c r="A88" s="218">
        <f t="shared" si="1"/>
        <v>65</v>
      </c>
      <c r="B88" s="166" t="s">
        <v>416</v>
      </c>
      <c r="H88" s="319" t="s">
        <v>438</v>
      </c>
      <c r="M88" s="310"/>
      <c r="N88" s="309"/>
      <c r="O88" s="218"/>
      <c r="P88" s="218"/>
    </row>
    <row r="89" spans="1:16" x14ac:dyDescent="0.2">
      <c r="A89" s="218">
        <f t="shared" si="1"/>
        <v>66</v>
      </c>
      <c r="B89" s="166" t="s">
        <v>492</v>
      </c>
      <c r="H89" s="319" t="s">
        <v>438</v>
      </c>
      <c r="M89" s="199"/>
      <c r="N89" s="199"/>
      <c r="O89" s="199"/>
      <c r="P89" s="199"/>
    </row>
    <row r="90" spans="1:16" x14ac:dyDescent="0.2">
      <c r="A90" s="218">
        <f t="shared" si="1"/>
        <v>67</v>
      </c>
      <c r="B90" s="166" t="s">
        <v>493</v>
      </c>
      <c r="H90" s="319" t="s">
        <v>438</v>
      </c>
      <c r="M90" s="310"/>
      <c r="N90" s="309"/>
      <c r="O90" s="309"/>
      <c r="P90" s="309"/>
    </row>
    <row r="91" spans="1:16" x14ac:dyDescent="0.2">
      <c r="A91" s="218">
        <f t="shared" si="1"/>
        <v>68</v>
      </c>
      <c r="B91" s="166" t="s">
        <v>419</v>
      </c>
      <c r="H91" s="319" t="s">
        <v>438</v>
      </c>
      <c r="M91" s="310"/>
      <c r="N91" s="309"/>
      <c r="O91" s="309"/>
      <c r="P91" s="309"/>
    </row>
    <row r="92" spans="1:16" x14ac:dyDescent="0.2">
      <c r="A92" s="218">
        <f t="shared" si="1"/>
        <v>69</v>
      </c>
      <c r="B92" s="166" t="s">
        <v>494</v>
      </c>
      <c r="H92" s="319" t="s">
        <v>438</v>
      </c>
    </row>
    <row r="93" spans="1:16" x14ac:dyDescent="0.2">
      <c r="A93" s="218">
        <f t="shared" si="1"/>
        <v>70</v>
      </c>
      <c r="B93" s="166" t="s">
        <v>495</v>
      </c>
      <c r="H93" s="320" t="s">
        <v>438</v>
      </c>
    </row>
    <row r="94" spans="1:16" x14ac:dyDescent="0.2">
      <c r="A94" s="218"/>
      <c r="B94" s="299" t="s">
        <v>422</v>
      </c>
      <c r="H94" s="323"/>
    </row>
    <row r="95" spans="1:16" x14ac:dyDescent="0.2">
      <c r="A95" s="218">
        <f>A93+1</f>
        <v>71</v>
      </c>
      <c r="B95" s="166" t="s">
        <v>496</v>
      </c>
      <c r="H95" s="319" t="s">
        <v>438</v>
      </c>
    </row>
    <row r="96" spans="1:16" x14ac:dyDescent="0.2">
      <c r="A96" s="218"/>
      <c r="B96" s="299"/>
      <c r="C96" s="299"/>
      <c r="H96" s="316"/>
    </row>
    <row r="97" spans="1:9" x14ac:dyDescent="0.2">
      <c r="A97" s="218">
        <f>A95+1</f>
        <v>72</v>
      </c>
      <c r="B97" s="166" t="s">
        <v>497</v>
      </c>
      <c r="H97" s="514"/>
      <c r="I97" s="515"/>
    </row>
    <row r="98" spans="1:9" x14ac:dyDescent="0.2">
      <c r="A98" s="218">
        <f t="shared" si="1"/>
        <v>73</v>
      </c>
      <c r="B98" s="166" t="s">
        <v>236</v>
      </c>
      <c r="H98" s="516"/>
      <c r="I98" s="517"/>
    </row>
    <row r="100" spans="1:9" x14ac:dyDescent="0.2">
      <c r="B100" s="299" t="s">
        <v>498</v>
      </c>
    </row>
    <row r="101" spans="1:9" ht="14.25" x14ac:dyDescent="0.2">
      <c r="B101" s="305" t="s">
        <v>499</v>
      </c>
      <c r="C101" s="304"/>
      <c r="D101" s="304"/>
      <c r="E101" s="304"/>
    </row>
    <row r="102" spans="1:9" ht="14.25" x14ac:dyDescent="0.2">
      <c r="B102" s="305" t="s">
        <v>500</v>
      </c>
      <c r="C102" s="304"/>
      <c r="D102" s="304"/>
      <c r="E102" s="304"/>
    </row>
    <row r="103" spans="1:9" ht="14.25" x14ac:dyDescent="0.2">
      <c r="B103" s="305" t="s">
        <v>501</v>
      </c>
      <c r="C103" s="304"/>
      <c r="D103" s="304"/>
      <c r="E103" s="304"/>
    </row>
    <row r="104" spans="1:9" ht="14.25" x14ac:dyDescent="0.2">
      <c r="B104" s="305" t="s">
        <v>502</v>
      </c>
      <c r="C104" s="304"/>
      <c r="D104" s="304"/>
      <c r="E104" s="304"/>
    </row>
    <row r="105" spans="1:9" ht="14.25" x14ac:dyDescent="0.2">
      <c r="B105" s="305" t="s">
        <v>503</v>
      </c>
      <c r="C105" s="304"/>
      <c r="D105" s="304"/>
      <c r="E105" s="304"/>
    </row>
    <row r="106" spans="1:9" ht="14.25" x14ac:dyDescent="0.2">
      <c r="B106" s="305" t="s">
        <v>504</v>
      </c>
      <c r="C106" s="304"/>
      <c r="D106" s="304"/>
      <c r="E106" s="304"/>
    </row>
    <row r="107" spans="1:9" ht="14.25" x14ac:dyDescent="0.2">
      <c r="B107" s="305" t="s">
        <v>505</v>
      </c>
      <c r="C107" s="304"/>
      <c r="D107" s="304"/>
      <c r="E107" s="304"/>
    </row>
    <row r="108" spans="1:9" ht="14.25" x14ac:dyDescent="0.2">
      <c r="B108" s="305" t="s">
        <v>54</v>
      </c>
      <c r="C108" s="304"/>
      <c r="D108" s="304"/>
      <c r="E108" s="304"/>
    </row>
    <row r="109" spans="1:9" ht="14.25" x14ac:dyDescent="0.2">
      <c r="B109" s="305" t="s">
        <v>506</v>
      </c>
      <c r="C109" s="304"/>
      <c r="D109" s="304"/>
      <c r="E109" s="304"/>
    </row>
    <row r="110" spans="1:9" ht="14.25" x14ac:dyDescent="0.2">
      <c r="B110" s="305" t="s">
        <v>507</v>
      </c>
      <c r="C110" s="304"/>
      <c r="D110" s="304"/>
      <c r="E110" s="304"/>
    </row>
    <row r="111" spans="1:9" ht="14.25" x14ac:dyDescent="0.2">
      <c r="B111" s="305" t="s">
        <v>508</v>
      </c>
      <c r="C111" s="304"/>
      <c r="D111" s="304"/>
      <c r="E111" s="304"/>
    </row>
    <row r="112" spans="1:9" ht="14.25" x14ac:dyDescent="0.2">
      <c r="B112" s="305" t="s">
        <v>509</v>
      </c>
      <c r="C112" s="304"/>
      <c r="D112" s="304"/>
      <c r="E112" s="304"/>
    </row>
    <row r="113" spans="2:5" ht="14.25" x14ac:dyDescent="0.2">
      <c r="B113" s="305" t="s">
        <v>510</v>
      </c>
      <c r="C113" s="304"/>
      <c r="D113" s="304"/>
      <c r="E113" s="304"/>
    </row>
    <row r="114" spans="2:5" ht="14.25" x14ac:dyDescent="0.2">
      <c r="B114" s="305" t="s">
        <v>511</v>
      </c>
      <c r="C114" s="304"/>
      <c r="D114" s="304"/>
      <c r="E114" s="304"/>
    </row>
    <row r="115" spans="2:5" ht="14.25" x14ac:dyDescent="0.2">
      <c r="B115" s="305" t="s">
        <v>512</v>
      </c>
      <c r="C115" s="304"/>
      <c r="D115" s="304"/>
      <c r="E115" s="304"/>
    </row>
    <row r="116" spans="2:5" ht="14.25" x14ac:dyDescent="0.2">
      <c r="B116" s="305" t="s">
        <v>513</v>
      </c>
      <c r="C116" s="304"/>
      <c r="D116" s="304"/>
      <c r="E116" s="304"/>
    </row>
    <row r="117" spans="2:5" x14ac:dyDescent="0.2">
      <c r="B117" s="310"/>
    </row>
    <row r="118" spans="2:5" x14ac:dyDescent="0.2">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72" bestFit="1" customWidth="1"/>
    <col min="2" max="6" width="15.5703125" style="72" customWidth="1"/>
    <col min="7" max="7" width="15.5703125" style="72" bestFit="1" customWidth="1"/>
    <col min="8" max="9" width="15.5703125" style="72" customWidth="1"/>
    <col min="10" max="10" width="16.140625" style="72" customWidth="1"/>
    <col min="11" max="13" width="10.7109375" style="72" customWidth="1"/>
    <col min="14" max="16383" width="7.85546875" style="72" hidden="1"/>
    <col min="16384" max="16384" width="1.85546875" style="72" customWidth="1"/>
  </cols>
  <sheetData>
    <row r="1" spans="2:13" x14ac:dyDescent="0.2">
      <c r="B1" s="172"/>
      <c r="C1" s="183"/>
      <c r="D1" s="183"/>
      <c r="E1" s="183"/>
      <c r="F1" s="183"/>
      <c r="G1" s="183"/>
      <c r="H1" s="183"/>
      <c r="I1" s="183"/>
      <c r="J1" s="183"/>
      <c r="K1" s="183"/>
      <c r="L1" s="183"/>
      <c r="M1" s="183"/>
    </row>
    <row r="2" spans="2:13" x14ac:dyDescent="0.2">
      <c r="B2" s="173"/>
      <c r="C2" s="173"/>
      <c r="D2" s="183"/>
      <c r="E2" s="183"/>
      <c r="F2" s="183"/>
      <c r="G2" s="183"/>
      <c r="H2" s="183"/>
      <c r="I2" s="183"/>
      <c r="J2" s="183"/>
      <c r="K2" s="183"/>
      <c r="L2" s="183"/>
      <c r="M2" s="183"/>
    </row>
    <row r="3" spans="2:13" x14ac:dyDescent="0.2">
      <c r="B3" s="174" t="s">
        <v>514</v>
      </c>
      <c r="C3" s="174" t="s">
        <v>515</v>
      </c>
      <c r="D3" s="389"/>
      <c r="E3" s="389"/>
      <c r="F3" s="183"/>
      <c r="G3" s="183"/>
      <c r="H3" s="183"/>
      <c r="I3" s="183"/>
      <c r="J3" s="183"/>
      <c r="K3" s="183"/>
      <c r="L3" s="183"/>
      <c r="M3" s="183"/>
    </row>
    <row r="4" spans="2:13" x14ac:dyDescent="0.2">
      <c r="B4" s="175"/>
      <c r="C4" s="175"/>
      <c r="D4" s="175"/>
      <c r="E4" s="175"/>
      <c r="F4" s="183"/>
      <c r="G4" s="531" t="s">
        <v>685</v>
      </c>
      <c r="H4" s="531"/>
      <c r="I4" s="531"/>
      <c r="J4" s="531"/>
      <c r="K4" s="531"/>
      <c r="L4" s="531"/>
      <c r="M4" s="183"/>
    </row>
    <row r="5" spans="2:13" x14ac:dyDescent="0.2">
      <c r="B5" s="390">
        <f>VLOOKUP("pump_flow_emptying_ml_min",AUTO!$A$1:$B$1051,2,FALSE)</f>
        <v>150</v>
      </c>
      <c r="C5" s="176" t="s">
        <v>516</v>
      </c>
      <c r="D5" s="177" t="s">
        <v>517</v>
      </c>
      <c r="E5" s="176"/>
      <c r="F5" s="183"/>
      <c r="G5" s="531"/>
      <c r="H5" s="531"/>
      <c r="I5" s="531"/>
      <c r="J5" s="531"/>
      <c r="K5" s="531"/>
      <c r="L5" s="531"/>
      <c r="M5" s="183"/>
    </row>
    <row r="6" spans="2:13" x14ac:dyDescent="0.2">
      <c r="B6" s="390">
        <f>VLOOKUP("pump_target_flow_ml_min",AUTO!$A$1:$B$1051,2,FALSE)</f>
        <v>30</v>
      </c>
      <c r="C6" s="176" t="s">
        <v>516</v>
      </c>
      <c r="D6" s="177" t="s">
        <v>518</v>
      </c>
      <c r="E6" s="176"/>
      <c r="F6" s="183"/>
      <c r="G6" s="531"/>
      <c r="H6" s="531"/>
      <c r="I6" s="531"/>
      <c r="J6" s="531"/>
      <c r="K6" s="531"/>
      <c r="L6" s="531"/>
      <c r="M6" s="183"/>
    </row>
    <row r="7" spans="2:13" x14ac:dyDescent="0.2">
      <c r="B7" s="390">
        <f>VLOOKUP("pump_current_sampling",AUTO!$A$1:$B$1051,2,FALSE)</f>
        <v>59</v>
      </c>
      <c r="C7" s="391" t="s">
        <v>519</v>
      </c>
      <c r="D7" s="392" t="s">
        <v>520</v>
      </c>
      <c r="E7" s="391"/>
      <c r="F7" s="183"/>
      <c r="G7" s="183"/>
      <c r="H7" s="183"/>
      <c r="I7" s="183"/>
      <c r="J7" s="183"/>
      <c r="K7" s="183"/>
      <c r="L7" s="183"/>
      <c r="M7" s="183"/>
    </row>
    <row r="8" spans="2:13" x14ac:dyDescent="0.2">
      <c r="B8" s="390">
        <f>VLOOKUP("pump_current_emptying",AUTO!$A$1:$B$1051,2,FALSE)</f>
        <v>428</v>
      </c>
      <c r="C8" s="391" t="s">
        <v>519</v>
      </c>
      <c r="D8" s="392" t="s">
        <v>521</v>
      </c>
      <c r="E8" s="391"/>
      <c r="F8" s="183"/>
      <c r="G8" s="393"/>
      <c r="H8" s="394" t="s">
        <v>522</v>
      </c>
      <c r="I8" s="183"/>
      <c r="J8" s="183"/>
      <c r="K8" s="183"/>
      <c r="L8" s="178" t="s">
        <v>523</v>
      </c>
      <c r="M8" s="183"/>
    </row>
    <row r="9" spans="2:13" x14ac:dyDescent="0.2">
      <c r="B9" s="395"/>
      <c r="C9" s="396"/>
      <c r="D9" s="397"/>
      <c r="E9" s="396"/>
      <c r="F9" s="183"/>
      <c r="G9" s="183"/>
      <c r="H9" s="183"/>
      <c r="I9" s="183"/>
      <c r="J9" s="183"/>
      <c r="K9" s="183"/>
      <c r="L9" s="178" t="s">
        <v>524</v>
      </c>
      <c r="M9" s="183"/>
    </row>
    <row r="10" spans="2:13" x14ac:dyDescent="0.2">
      <c r="B10" s="303" t="s">
        <v>525</v>
      </c>
      <c r="C10" s="174" t="s">
        <v>515</v>
      </c>
      <c r="D10" s="398"/>
      <c r="E10" s="399"/>
      <c r="F10" s="183"/>
      <c r="G10" s="400"/>
      <c r="H10" s="401" t="s">
        <v>526</v>
      </c>
      <c r="I10" s="183"/>
      <c r="J10" s="183"/>
      <c r="K10" s="183"/>
      <c r="L10" s="178" t="s">
        <v>19</v>
      </c>
      <c r="M10" s="183"/>
    </row>
    <row r="11" spans="2:13" x14ac:dyDescent="0.2">
      <c r="B11" s="390">
        <f>VLOOKUP("no_noise_threshold",AUTO!$A$1:$B$1051,2,FALSE)</f>
        <v>34</v>
      </c>
      <c r="C11" s="402" t="s">
        <v>23</v>
      </c>
      <c r="D11" s="180" t="s">
        <v>527</v>
      </c>
      <c r="E11" s="403"/>
      <c r="F11" s="183"/>
      <c r="G11" s="183"/>
      <c r="H11" s="183"/>
      <c r="I11" s="183"/>
      <c r="J11" s="183"/>
      <c r="K11" s="183"/>
      <c r="L11" s="178" t="s">
        <v>528</v>
      </c>
      <c r="M11" s="183"/>
    </row>
    <row r="12" spans="2:13" x14ac:dyDescent="0.2">
      <c r="B12" s="390">
        <f>VLOOKUP("sample_volume_ml",AUTO!$A$1:$B$1051,2,FALSE)</f>
        <v>50</v>
      </c>
      <c r="C12" s="176" t="s">
        <v>529</v>
      </c>
      <c r="D12" s="177" t="s">
        <v>530</v>
      </c>
      <c r="E12" s="176"/>
      <c r="F12" s="183"/>
      <c r="G12" s="404"/>
      <c r="H12" s="401" t="s">
        <v>16</v>
      </c>
      <c r="I12" s="183"/>
      <c r="J12" s="183"/>
      <c r="K12" s="183"/>
      <c r="L12" s="183"/>
      <c r="M12" s="183"/>
    </row>
    <row r="13" spans="2:13" x14ac:dyDescent="0.2">
      <c r="B13" s="390"/>
      <c r="C13" s="405"/>
      <c r="D13" s="177"/>
      <c r="E13" s="176"/>
      <c r="F13" s="183"/>
      <c r="G13" s="183"/>
      <c r="H13" s="183"/>
      <c r="I13" s="183"/>
      <c r="J13" s="183"/>
      <c r="K13" s="183"/>
      <c r="L13" s="183"/>
      <c r="M13" s="183"/>
    </row>
    <row r="14" spans="2:13" x14ac:dyDescent="0.2">
      <c r="B14" s="390">
        <f>VLOOKUP("led_level",AUTO!$A$1:$B$1051,2,FALSE)</f>
        <v>12599</v>
      </c>
      <c r="C14" s="176" t="s">
        <v>531</v>
      </c>
      <c r="D14" s="177" t="s">
        <v>532</v>
      </c>
      <c r="E14" s="176"/>
      <c r="F14" s="183"/>
      <c r="G14" s="181" t="s">
        <v>533</v>
      </c>
      <c r="H14" s="544" t="s">
        <v>1005</v>
      </c>
      <c r="I14" s="545"/>
      <c r="J14" s="545"/>
      <c r="K14" s="396"/>
      <c r="L14" s="396"/>
      <c r="M14" s="406"/>
    </row>
    <row r="15" spans="2:13" ht="12.75" customHeight="1" x14ac:dyDescent="0.2">
      <c r="B15" s="407"/>
      <c r="C15" s="396"/>
      <c r="D15" s="397"/>
      <c r="E15" s="396"/>
      <c r="F15" s="183"/>
      <c r="G15" s="181" t="s">
        <v>241</v>
      </c>
      <c r="H15" s="535">
        <f>VLOOKUP("serial_number_",AUTO!$A$1:$B$1051,2,FALSE)</f>
        <v>-1</v>
      </c>
      <c r="I15" s="536"/>
      <c r="J15" s="537"/>
      <c r="K15" s="183"/>
      <c r="L15" s="183"/>
      <c r="M15" s="183"/>
    </row>
    <row r="16" spans="2:13" x14ac:dyDescent="0.2">
      <c r="B16" s="182"/>
      <c r="C16" s="174"/>
      <c r="D16" s="398"/>
      <c r="E16" s="399"/>
      <c r="F16" s="183"/>
      <c r="G16" s="181" t="s">
        <v>236</v>
      </c>
      <c r="H16" s="532">
        <f>VLOOKUP("date_",AUTO!$A$1:$B$1051,2,FALSE)</f>
        <v>46189.599999999999</v>
      </c>
      <c r="I16" s="533"/>
      <c r="J16" s="534"/>
      <c r="K16" s="183"/>
      <c r="L16" s="183"/>
      <c r="M16" s="183"/>
    </row>
    <row r="17" spans="2:10" x14ac:dyDescent="0.2">
      <c r="B17" s="390"/>
      <c r="C17" s="402"/>
      <c r="D17" s="180"/>
      <c r="E17" s="403"/>
      <c r="F17" s="183"/>
      <c r="G17" s="181" t="s">
        <v>534</v>
      </c>
      <c r="H17" s="535" t="str">
        <f>H15&amp;" "&amp;TEXT(H16,"ddmmyy")</f>
        <v>-1 160626</v>
      </c>
      <c r="I17" s="536"/>
      <c r="J17" s="537"/>
    </row>
    <row r="18" spans="2:10" x14ac:dyDescent="0.2">
      <c r="B18" s="390"/>
      <c r="C18" s="176"/>
      <c r="D18" s="177"/>
      <c r="E18" s="176"/>
      <c r="F18" s="183"/>
      <c r="G18" s="181" t="s">
        <v>1001</v>
      </c>
      <c r="H18" s="541" t="s">
        <v>1006</v>
      </c>
      <c r="I18" s="542"/>
      <c r="J18" s="543"/>
    </row>
    <row r="19" spans="2:10" x14ac:dyDescent="0.2">
      <c r="B19" s="390"/>
      <c r="C19" s="405"/>
      <c r="D19" s="177"/>
      <c r="E19" s="176"/>
      <c r="F19" s="183"/>
      <c r="G19" s="181" t="s">
        <v>535</v>
      </c>
      <c r="H19" s="538" t="str">
        <f>VLOOKUP("rig_param_identifier",AUTO!$A$1:$B$1051,2,FALSE)</f>
        <v>NOT SET</v>
      </c>
      <c r="I19" s="539"/>
      <c r="J19" s="540"/>
    </row>
    <row r="20" spans="2:10" x14ac:dyDescent="0.2">
      <c r="B20" s="390"/>
      <c r="C20" s="176"/>
      <c r="D20" s="177"/>
      <c r="E20" s="176"/>
      <c r="F20" s="183"/>
      <c r="G20" s="183"/>
      <c r="H20" s="183"/>
      <c r="I20" s="183"/>
      <c r="J20" s="183"/>
    </row>
    <row r="21" spans="2:10" ht="12.75" customHeight="1" x14ac:dyDescent="0.2">
      <c r="B21" s="407"/>
      <c r="C21" s="396"/>
      <c r="D21" s="397"/>
      <c r="E21" s="396"/>
      <c r="F21" s="183"/>
      <c r="G21" s="527" t="s">
        <v>536</v>
      </c>
      <c r="H21" s="528">
        <f>VLOOKUP("rig_cleanliness_count",AUTO!$A$1:$B$1051,2,FALSE)</f>
        <v>0</v>
      </c>
      <c r="I21" s="183"/>
      <c r="J21" s="183"/>
    </row>
    <row r="22" spans="2:10" x14ac:dyDescent="0.2">
      <c r="B22" s="179" t="s">
        <v>537</v>
      </c>
      <c r="C22" s="174" t="s">
        <v>515</v>
      </c>
      <c r="D22" s="398"/>
      <c r="E22" s="399"/>
      <c r="F22" s="183"/>
      <c r="G22" s="527"/>
      <c r="H22" s="529"/>
      <c r="I22" s="183"/>
      <c r="J22" s="183"/>
    </row>
    <row r="23" spans="2:10" x14ac:dyDescent="0.2">
      <c r="B23" s="390">
        <f>VLOOKUP("meas_init_level",AUTO!A13:B1063,2,FALSE)</f>
        <v>0</v>
      </c>
      <c r="C23" s="403" t="s">
        <v>538</v>
      </c>
      <c r="D23" s="180" t="s">
        <v>539</v>
      </c>
      <c r="E23" s="403"/>
      <c r="F23" s="183"/>
      <c r="G23" s="527"/>
      <c r="H23" s="529"/>
      <c r="I23" s="183"/>
      <c r="J23" s="183"/>
    </row>
    <row r="24" spans="2:10" x14ac:dyDescent="0.2">
      <c r="B24" s="390">
        <f>VLOOKUP("calc_init_volume",AUTO!$A$1:$B$1051,2,FALSE)</f>
        <v>0</v>
      </c>
      <c r="C24" s="176" t="s">
        <v>540</v>
      </c>
      <c r="D24" s="177" t="s">
        <v>541</v>
      </c>
      <c r="E24" s="176"/>
      <c r="F24" s="183"/>
      <c r="G24" s="527"/>
      <c r="H24" s="530"/>
      <c r="I24" s="183"/>
      <c r="J24" s="183"/>
    </row>
    <row r="25" spans="2:10" x14ac:dyDescent="0.2">
      <c r="B25" s="390">
        <f>VLOOKUP("desired_concentration",AUTO!$A$1:$B$1051,2,FALSE)</f>
        <v>16</v>
      </c>
      <c r="C25" s="176" t="s">
        <v>542</v>
      </c>
      <c r="D25" s="177" t="s">
        <v>543</v>
      </c>
      <c r="E25" s="176"/>
      <c r="F25" s="183"/>
      <c r="G25" s="183"/>
      <c r="H25" s="183"/>
      <c r="I25" s="183"/>
      <c r="J25" s="183"/>
    </row>
    <row r="26" spans="2:10" x14ac:dyDescent="0.2">
      <c r="B26" s="390">
        <f>VLOOKUP("calc_qty_add",AUTO!$A$1:$B$1051,2,FALSE)</f>
        <v>0</v>
      </c>
      <c r="C26" s="176" t="s">
        <v>544</v>
      </c>
      <c r="D26" s="177" t="s">
        <v>545</v>
      </c>
      <c r="E26" s="176"/>
      <c r="F26" s="183"/>
      <c r="G26" s="184" t="s">
        <v>546</v>
      </c>
      <c r="H26" s="525" t="s">
        <v>1007</v>
      </c>
      <c r="I26" s="526"/>
      <c r="J26" s="183"/>
    </row>
    <row r="27" spans="2:10" x14ac:dyDescent="0.2">
      <c r="B27" s="390">
        <f>VLOOKUP("meas_qty_add",AUTO!$A$1:$B$1051,2,FALSE)</f>
        <v>0</v>
      </c>
      <c r="C27" s="176" t="s">
        <v>544</v>
      </c>
      <c r="D27" s="177" t="s">
        <v>547</v>
      </c>
      <c r="E27" s="176"/>
      <c r="F27" s="183"/>
      <c r="G27" s="184" t="s">
        <v>548</v>
      </c>
      <c r="H27" s="514"/>
      <c r="I27" s="515"/>
      <c r="J27" s="183"/>
    </row>
    <row r="28" spans="2:10" x14ac:dyDescent="0.2">
      <c r="B28" s="390">
        <f>VLOOKUP("meas_final_level",AUTO!$A$1:$B$1051,2,FALSE)</f>
        <v>0</v>
      </c>
      <c r="C28" s="176" t="s">
        <v>538</v>
      </c>
      <c r="D28" s="177" t="s">
        <v>549</v>
      </c>
      <c r="E28" s="176"/>
      <c r="F28" s="183"/>
      <c r="G28" s="183"/>
      <c r="H28" s="183"/>
      <c r="I28" s="183"/>
      <c r="J28" s="183"/>
    </row>
    <row r="29" spans="2:10" x14ac:dyDescent="0.2">
      <c r="B29" s="390">
        <f>VLOOKUP("calc_volume",AUTO!$A$1:$B$1051,2,FALSE)</f>
        <v>0</v>
      </c>
      <c r="C29" s="176" t="s">
        <v>540</v>
      </c>
      <c r="D29" s="177" t="s">
        <v>550</v>
      </c>
      <c r="E29" s="176"/>
      <c r="F29" s="183"/>
      <c r="G29" s="183"/>
      <c r="H29" s="183"/>
      <c r="I29" s="183"/>
      <c r="J29" s="183"/>
    </row>
    <row r="30" spans="2:10" x14ac:dyDescent="0.2">
      <c r="B30" s="427">
        <f>VLOOKUP("calc_concentration",AUTO!$A$1:$B$1051,2,FALSE)</f>
        <v>16</v>
      </c>
      <c r="C30" s="176" t="s">
        <v>542</v>
      </c>
      <c r="D30" s="177" t="s">
        <v>551</v>
      </c>
      <c r="E30" s="176"/>
      <c r="F30" s="183"/>
      <c r="G30" s="183"/>
      <c r="H30" s="183"/>
      <c r="I30" s="183"/>
      <c r="J30" s="183"/>
    </row>
    <row r="31" spans="2:10" hidden="1" x14ac:dyDescent="0.2">
      <c r="B31" s="183"/>
      <c r="C31" s="183"/>
      <c r="D31" s="183"/>
      <c r="E31" s="183"/>
      <c r="F31" s="183"/>
      <c r="G31" s="183"/>
      <c r="H31" s="183"/>
      <c r="I31" s="183"/>
      <c r="J31" s="183"/>
    </row>
    <row r="32" spans="2:10" hidden="1" x14ac:dyDescent="0.2">
      <c r="B32" s="175"/>
      <c r="C32" s="183"/>
      <c r="D32" s="183"/>
      <c r="E32" s="183"/>
      <c r="F32" s="183"/>
      <c r="G32" s="183"/>
      <c r="H32" s="183"/>
      <c r="I32" s="183"/>
      <c r="J32" s="183"/>
    </row>
    <row r="33" spans="2:10" s="186" customFormat="1" hidden="1" x14ac:dyDescent="0.2">
      <c r="B33" s="218"/>
      <c r="C33" s="218"/>
      <c r="D33" s="218"/>
      <c r="E33" s="218"/>
      <c r="F33" s="218"/>
      <c r="G33" s="218"/>
      <c r="H33" s="218"/>
      <c r="I33" s="218"/>
      <c r="J33" s="185"/>
    </row>
    <row r="34" spans="2:10" s="186" customFormat="1" hidden="1" x14ac:dyDescent="0.2">
      <c r="B34" s="218"/>
      <c r="C34" s="218"/>
      <c r="D34" s="218"/>
      <c r="E34" s="218"/>
      <c r="F34" s="218"/>
      <c r="G34" s="218"/>
      <c r="H34" s="218"/>
      <c r="I34" s="218"/>
      <c r="J34" s="185"/>
    </row>
    <row r="35" spans="2:10" s="186" customFormat="1" hidden="1" x14ac:dyDescent="0.2">
      <c r="B35" s="187"/>
      <c r="C35" s="187"/>
      <c r="D35" s="187"/>
      <c r="E35" s="187"/>
      <c r="F35" s="187"/>
      <c r="G35" s="187"/>
      <c r="H35" s="187"/>
      <c r="I35" s="187"/>
      <c r="J35" s="185"/>
    </row>
    <row r="36" spans="2:10" s="186" customFormat="1" hidden="1" x14ac:dyDescent="0.2">
      <c r="B36" s="408"/>
      <c r="C36" s="408"/>
      <c r="D36" s="408"/>
      <c r="E36" s="408"/>
      <c r="F36" s="408"/>
      <c r="G36" s="408"/>
      <c r="H36" s="408"/>
      <c r="I36" s="408"/>
      <c r="J36" s="185"/>
    </row>
    <row r="37" spans="2:10" s="186" customFormat="1" hidden="1" x14ac:dyDescent="0.2">
      <c r="B37" s="408"/>
      <c r="C37" s="408"/>
      <c r="D37" s="408"/>
      <c r="E37" s="408"/>
      <c r="F37" s="408"/>
      <c r="G37" s="408"/>
      <c r="H37" s="408"/>
      <c r="I37" s="408"/>
      <c r="J37" s="185"/>
    </row>
    <row r="38" spans="2:10" s="186" customFormat="1" hidden="1" x14ac:dyDescent="0.2">
      <c r="B38" s="409"/>
      <c r="C38" s="409"/>
      <c r="D38" s="409"/>
      <c r="E38" s="409"/>
      <c r="F38" s="409"/>
      <c r="G38" s="409"/>
      <c r="H38" s="409"/>
      <c r="I38" s="409"/>
      <c r="J38" s="185"/>
    </row>
    <row r="39" spans="2:10" s="186" customFormat="1" hidden="1" x14ac:dyDescent="0.2">
      <c r="B39" s="188"/>
      <c r="C39" s="409"/>
      <c r="D39" s="409"/>
      <c r="E39" s="409"/>
      <c r="F39" s="409"/>
      <c r="G39" s="409"/>
      <c r="H39" s="409"/>
      <c r="I39" s="409"/>
      <c r="J39" s="185"/>
    </row>
    <row r="40" spans="2:10" s="190" customFormat="1" hidden="1" x14ac:dyDescent="0.2">
      <c r="B40" s="410"/>
      <c r="C40" s="410"/>
      <c r="D40" s="410"/>
      <c r="E40" s="410"/>
      <c r="F40" s="410"/>
      <c r="G40" s="410"/>
      <c r="H40" s="410"/>
      <c r="I40" s="410"/>
      <c r="J40" s="189"/>
    </row>
    <row r="41" spans="2:10" s="186" customFormat="1" hidden="1" x14ac:dyDescent="0.2">
      <c r="B41" s="410"/>
      <c r="C41" s="410"/>
      <c r="D41" s="410"/>
      <c r="E41" s="410"/>
      <c r="F41" s="410"/>
      <c r="G41" s="410"/>
      <c r="H41" s="410"/>
      <c r="I41" s="410"/>
      <c r="J41" s="185"/>
    </row>
    <row r="42" spans="2:10" s="186" customFormat="1" hidden="1" x14ac:dyDescent="0.2">
      <c r="B42" s="187"/>
      <c r="C42" s="187"/>
      <c r="D42" s="187"/>
      <c r="E42" s="187"/>
      <c r="F42" s="187"/>
      <c r="G42" s="187"/>
      <c r="H42" s="187"/>
      <c r="I42" s="187"/>
      <c r="J42" s="185"/>
    </row>
    <row r="43" spans="2:10" s="186" customFormat="1" hidden="1" x14ac:dyDescent="0.2">
      <c r="B43" s="408"/>
      <c r="C43" s="408"/>
      <c r="D43" s="408"/>
      <c r="E43" s="408"/>
      <c r="F43" s="408"/>
      <c r="G43" s="408"/>
      <c r="H43" s="408"/>
      <c r="I43" s="408"/>
      <c r="J43" s="185"/>
    </row>
    <row r="44" spans="2:10" s="186" customFormat="1" hidden="1" x14ac:dyDescent="0.2">
      <c r="B44" s="408"/>
      <c r="C44" s="408"/>
      <c r="D44" s="408"/>
      <c r="E44" s="408"/>
      <c r="F44" s="408"/>
      <c r="G44" s="408"/>
      <c r="H44" s="408"/>
      <c r="I44" s="408"/>
      <c r="J44" s="185"/>
    </row>
    <row r="45" spans="2:10" s="186" customFormat="1" hidden="1" x14ac:dyDescent="0.2">
      <c r="B45" s="409"/>
      <c r="C45" s="409"/>
      <c r="D45" s="409"/>
      <c r="E45" s="409"/>
      <c r="F45" s="409"/>
      <c r="G45" s="409"/>
      <c r="H45" s="409"/>
      <c r="I45" s="409"/>
      <c r="J45" s="185"/>
    </row>
    <row r="46" spans="2:10" s="186" customFormat="1" hidden="1" x14ac:dyDescent="0.2">
      <c r="B46" s="188"/>
      <c r="C46" s="409"/>
      <c r="D46" s="409"/>
      <c r="E46" s="409"/>
      <c r="F46" s="409"/>
      <c r="G46" s="409"/>
      <c r="H46" s="409"/>
      <c r="I46" s="409"/>
      <c r="J46" s="185"/>
    </row>
    <row r="47" spans="2:10" s="190" customFormat="1" hidden="1" x14ac:dyDescent="0.2">
      <c r="B47" s="410"/>
      <c r="C47" s="410"/>
      <c r="D47" s="410"/>
      <c r="E47" s="410"/>
      <c r="F47" s="410"/>
      <c r="G47" s="410"/>
      <c r="H47" s="410"/>
      <c r="I47" s="410"/>
      <c r="J47" s="189"/>
    </row>
    <row r="48" spans="2:10" s="190" customFormat="1" hidden="1" x14ac:dyDescent="0.2">
      <c r="B48" s="410"/>
      <c r="C48" s="410"/>
      <c r="D48" s="410"/>
      <c r="E48" s="410"/>
      <c r="F48" s="410"/>
      <c r="G48" s="410"/>
      <c r="H48" s="410"/>
      <c r="I48" s="410"/>
      <c r="J48" s="189"/>
    </row>
    <row r="49" spans="2:10" s="186" customFormat="1" hidden="1" x14ac:dyDescent="0.2">
      <c r="B49" s="191"/>
      <c r="C49" s="191"/>
      <c r="D49" s="191"/>
      <c r="E49" s="191"/>
      <c r="F49" s="191"/>
      <c r="G49" s="191"/>
      <c r="H49" s="191"/>
      <c r="I49" s="191"/>
      <c r="J49" s="185"/>
    </row>
    <row r="50" spans="2:10" s="186" customFormat="1" hidden="1" x14ac:dyDescent="0.2">
      <c r="B50" s="187"/>
      <c r="C50" s="187"/>
      <c r="D50" s="187"/>
      <c r="E50" s="187"/>
      <c r="F50" s="187"/>
      <c r="G50" s="187"/>
      <c r="H50" s="187"/>
      <c r="I50" s="187"/>
      <c r="J50" s="185"/>
    </row>
    <row r="51" spans="2:10" s="186" customFormat="1" hidden="1" x14ac:dyDescent="0.2">
      <c r="B51" s="187"/>
      <c r="C51" s="187"/>
      <c r="D51" s="187"/>
      <c r="E51" s="187"/>
      <c r="F51" s="187"/>
      <c r="G51" s="187"/>
      <c r="H51" s="187"/>
      <c r="I51" s="187"/>
      <c r="J51" s="185"/>
    </row>
    <row r="52" spans="2:10" s="186" customFormat="1" hidden="1" x14ac:dyDescent="0.2">
      <c r="B52" s="187"/>
      <c r="C52" s="187"/>
      <c r="D52" s="187"/>
      <c r="E52" s="187"/>
      <c r="F52" s="187"/>
      <c r="G52" s="187"/>
      <c r="H52" s="187"/>
      <c r="I52" s="187"/>
      <c r="J52" s="185"/>
    </row>
    <row r="53" spans="2:10" s="186" customFormat="1" hidden="1" x14ac:dyDescent="0.2">
      <c r="B53" s="408"/>
      <c r="C53" s="408"/>
      <c r="D53" s="408"/>
      <c r="E53" s="408"/>
      <c r="F53" s="408"/>
      <c r="G53" s="408"/>
      <c r="H53" s="408"/>
      <c r="I53" s="408"/>
      <c r="J53" s="185"/>
    </row>
    <row r="54" spans="2:10" s="186" customFormat="1" hidden="1" x14ac:dyDescent="0.2">
      <c r="B54" s="408"/>
      <c r="C54" s="408"/>
      <c r="D54" s="408"/>
      <c r="E54" s="408"/>
      <c r="F54" s="408"/>
      <c r="G54" s="408"/>
      <c r="H54" s="408"/>
      <c r="I54" s="408"/>
      <c r="J54" s="185"/>
    </row>
    <row r="55" spans="2:10" x14ac:dyDescent="0.2">
      <c r="B55" s="183"/>
      <c r="C55" s="183"/>
      <c r="D55" s="183"/>
      <c r="E55" s="183"/>
      <c r="F55" s="183"/>
      <c r="G55" s="183"/>
      <c r="H55" s="183"/>
      <c r="I55" s="183"/>
      <c r="J55" s="175"/>
    </row>
    <row r="56" spans="2:10" hidden="1" x14ac:dyDescent="0.2">
      <c r="B56" s="175"/>
      <c r="C56" s="183"/>
      <c r="D56" s="183"/>
      <c r="E56" s="183"/>
      <c r="F56" s="183"/>
      <c r="G56" s="183"/>
      <c r="H56" s="183"/>
      <c r="I56" s="183"/>
      <c r="J56" s="175"/>
    </row>
    <row r="57" spans="2:10" hidden="1" x14ac:dyDescent="0.2">
      <c r="B57" s="175"/>
      <c r="C57" s="175"/>
      <c r="D57" s="175"/>
      <c r="E57" s="175"/>
      <c r="F57" s="175"/>
      <c r="G57" s="175"/>
      <c r="H57" s="175"/>
      <c r="I57" s="175"/>
      <c r="J57" s="175"/>
    </row>
    <row r="58" spans="2:10" hidden="1" x14ac:dyDescent="0.2">
      <c r="B58" s="175"/>
      <c r="C58" s="175"/>
      <c r="D58" s="175"/>
      <c r="E58" s="175"/>
      <c r="F58" s="175"/>
      <c r="G58" s="175"/>
      <c r="H58" s="175"/>
      <c r="I58" s="175"/>
      <c r="J58" s="175"/>
    </row>
    <row r="59" spans="2:10" hidden="1" x14ac:dyDescent="0.2">
      <c r="B59" s="192"/>
      <c r="C59" s="411"/>
      <c r="D59" s="175"/>
      <c r="E59" s="175"/>
      <c r="F59" s="175"/>
      <c r="G59" s="175"/>
      <c r="H59" s="175"/>
      <c r="I59" s="175"/>
      <c r="J59" s="175"/>
    </row>
    <row r="60" spans="2:10" hidden="1" x14ac:dyDescent="0.2">
      <c r="B60" s="175"/>
      <c r="C60" s="175"/>
      <c r="D60" s="175"/>
      <c r="E60" s="175"/>
      <c r="F60" s="175"/>
      <c r="G60" s="175"/>
      <c r="H60" s="175"/>
      <c r="I60" s="175"/>
      <c r="J60" s="175"/>
    </row>
    <row r="61" spans="2:10" hidden="1" x14ac:dyDescent="0.2">
      <c r="B61" s="175"/>
      <c r="C61" s="175"/>
      <c r="D61" s="175"/>
      <c r="E61" s="175"/>
      <c r="F61" s="175"/>
      <c r="G61" s="175"/>
      <c r="H61" s="175"/>
      <c r="I61" s="175"/>
      <c r="J61" s="175"/>
    </row>
    <row r="62" spans="2:10" s="193" customFormat="1" x14ac:dyDescent="0.2">
      <c r="B62" s="175"/>
      <c r="C62" s="175"/>
      <c r="D62" s="175"/>
      <c r="E62" s="175"/>
      <c r="F62" s="175"/>
      <c r="G62" s="175"/>
      <c r="H62" s="175"/>
      <c r="I62" s="175"/>
      <c r="J62" s="192"/>
    </row>
    <row r="63" spans="2:10" x14ac:dyDescent="0.2">
      <c r="B63" s="194" t="s">
        <v>552</v>
      </c>
      <c r="C63" s="411"/>
      <c r="D63" s="411"/>
      <c r="E63" s="411"/>
      <c r="F63" s="411"/>
      <c r="G63" s="411"/>
      <c r="H63" s="411"/>
      <c r="I63" s="411"/>
      <c r="J63" s="175"/>
    </row>
    <row r="64" spans="2:10" x14ac:dyDescent="0.2">
      <c r="B64" s="412">
        <v>4</v>
      </c>
      <c r="C64" s="412">
        <v>6</v>
      </c>
      <c r="D64" s="412">
        <v>14</v>
      </c>
      <c r="E64" s="412">
        <v>21</v>
      </c>
      <c r="F64" s="412">
        <v>25</v>
      </c>
      <c r="G64" s="412">
        <v>38</v>
      </c>
      <c r="H64" s="412">
        <v>50</v>
      </c>
      <c r="I64" s="412">
        <v>70</v>
      </c>
      <c r="J64" s="52" t="s">
        <v>553</v>
      </c>
    </row>
    <row r="65" spans="1:10" s="195" customFormat="1" x14ac:dyDescent="0.2">
      <c r="B65" s="196">
        <f>VLOOKUP("threshold0",AUTO!$A$1:$B$1051,2,FALSE)</f>
        <v>76</v>
      </c>
      <c r="C65" s="196">
        <f>VLOOKUP("threshold1",AUTO!$A$1:$B$1051,2,FALSE)</f>
        <v>180</v>
      </c>
      <c r="D65" s="196">
        <f>VLOOKUP("threshold2",AUTO!$A$1:$B$1051,2,FALSE)</f>
        <v>994</v>
      </c>
      <c r="E65" s="196">
        <f>VLOOKUP("threshold3",AUTO!$A$1:$B$1051,2,FALSE)</f>
        <v>2074</v>
      </c>
      <c r="F65" s="196">
        <f>VLOOKUP("threshold4",AUTO!$A$1:$B$1051,2,FALSE)</f>
        <v>3050</v>
      </c>
      <c r="G65" s="196">
        <f>VLOOKUP("threshold5",AUTO!$A$1:$B$1051,2,FALSE)</f>
        <v>9964</v>
      </c>
      <c r="H65" s="196">
        <f>VLOOKUP("threshold6",AUTO!$A$1:$B$1051,2,FALSE)</f>
        <v>16287</v>
      </c>
      <c r="I65" s="196">
        <f>VLOOKUP("threshold7",AUTO!$A$1:$B$1051,2,FALSE)</f>
        <v>25144</v>
      </c>
      <c r="J65" s="57" t="s">
        <v>554</v>
      </c>
    </row>
    <row r="66" spans="1:10" x14ac:dyDescent="0.2">
      <c r="A66" s="183"/>
      <c r="B66" s="413"/>
      <c r="C66" s="413"/>
      <c r="D66" s="413"/>
      <c r="E66" s="413"/>
      <c r="F66" s="413"/>
      <c r="G66" s="414"/>
      <c r="H66" s="413"/>
      <c r="I66" s="413"/>
      <c r="J66" s="183"/>
    </row>
    <row r="67" spans="1:10" x14ac:dyDescent="0.2">
      <c r="A67" s="138" t="s">
        <v>555</v>
      </c>
      <c r="B67" s="137" t="s">
        <v>556</v>
      </c>
      <c r="C67" s="137">
        <v>1</v>
      </c>
      <c r="D67" s="137" t="s">
        <v>557</v>
      </c>
      <c r="E67" s="137"/>
      <c r="F67" s="137"/>
      <c r="G67" s="137"/>
      <c r="H67" s="137"/>
      <c r="I67" s="137" t="s">
        <v>558</v>
      </c>
      <c r="J67" s="183"/>
    </row>
    <row r="68" spans="1:10" ht="18" customHeight="1" x14ac:dyDescent="0.2">
      <c r="A68" s="139">
        <v>4</v>
      </c>
      <c r="B68" s="163">
        <f>VLOOKUP("reference_count_0",AUTO!$A$1:$B$1051,2,FALSE)</f>
        <v>1056340</v>
      </c>
      <c r="C68" s="390">
        <f>VLOOKUP("verification_count_1_0",AUTO!$A$1:$B$1051,2,FALSE)</f>
        <v>1072929</v>
      </c>
      <c r="D68" s="156">
        <f>(C68-B68)/B68</f>
        <v>1.5704224018781833E-2</v>
      </c>
      <c r="E68" s="390"/>
      <c r="F68" s="156"/>
      <c r="G68" s="390"/>
      <c r="H68" s="156"/>
      <c r="I68" s="329">
        <f>(C68)</f>
        <v>1072929</v>
      </c>
      <c r="J68" s="156">
        <f>(I68-$B68)/$B68</f>
        <v>1.5704224018781833E-2</v>
      </c>
    </row>
    <row r="69" spans="1:10" ht="18" customHeight="1" x14ac:dyDescent="0.2">
      <c r="A69" s="139">
        <v>6</v>
      </c>
      <c r="B69" s="163">
        <f>VLOOKUP("reference_count_1",AUTO!$A$1:$B$1051,2,FALSE)</f>
        <v>459350</v>
      </c>
      <c r="C69" s="390">
        <f>VLOOKUP("verification_count_1_1",AUTO!$A$1:$B$1051,2,FALSE)</f>
        <v>463329</v>
      </c>
      <c r="D69" s="156">
        <f t="shared" ref="D69:D76" si="0">(C69-B69)/B69</f>
        <v>8.6622401219113958E-3</v>
      </c>
      <c r="E69" s="390"/>
      <c r="F69" s="156"/>
      <c r="G69" s="390"/>
      <c r="H69" s="156"/>
      <c r="I69" s="329">
        <f t="shared" ref="I69:I76" si="1">(C69)</f>
        <v>463329</v>
      </c>
      <c r="J69" s="156">
        <f t="shared" ref="J69:J76" si="2">(I69-$B69)/$B69</f>
        <v>8.6622401219113958E-3</v>
      </c>
    </row>
    <row r="70" spans="1:10" ht="18" customHeight="1" x14ac:dyDescent="0.2">
      <c r="A70" s="139">
        <v>10</v>
      </c>
      <c r="B70" s="163">
        <f>VLOOKUP("reference_count32_6",AUTO!$A$1:$B$1051,2,FALSE)*100</f>
        <v>106950</v>
      </c>
      <c r="C70" s="430">
        <f>VLOOKUP("verification_count32_1_6",AUTO!$A$1:$B$1051,2,FALSE)*100</f>
        <v>109548</v>
      </c>
      <c r="D70" s="156">
        <f t="shared" si="0"/>
        <v>2.429172510518934E-2</v>
      </c>
      <c r="E70" s="430"/>
      <c r="F70" s="156"/>
      <c r="G70" s="430"/>
      <c r="H70" s="156"/>
      <c r="I70" s="329">
        <f t="shared" si="1"/>
        <v>109548</v>
      </c>
      <c r="J70" s="156">
        <f t="shared" si="2"/>
        <v>2.429172510518934E-2</v>
      </c>
    </row>
    <row r="71" spans="1:10" ht="18" customHeight="1" x14ac:dyDescent="0.2">
      <c r="A71" s="139">
        <v>14</v>
      </c>
      <c r="B71" s="163">
        <f>VLOOKUP("reference_count_2",AUTO!$A$1:$B$1051,2,FALSE)</f>
        <v>36410</v>
      </c>
      <c r="C71" s="390">
        <f>VLOOKUP("verification_count_1_2",AUTO!$A$1:$B$1051,2,FALSE)</f>
        <v>37037</v>
      </c>
      <c r="D71" s="156">
        <f t="shared" si="0"/>
        <v>1.7220543806646525E-2</v>
      </c>
      <c r="E71" s="390"/>
      <c r="F71" s="156"/>
      <c r="G71" s="390"/>
      <c r="H71" s="156"/>
      <c r="I71" s="329">
        <f t="shared" si="1"/>
        <v>37037</v>
      </c>
      <c r="J71" s="156">
        <f t="shared" si="2"/>
        <v>1.7220543806646525E-2</v>
      </c>
    </row>
    <row r="72" spans="1:10" ht="18" customHeight="1" x14ac:dyDescent="0.2">
      <c r="A72" s="139">
        <v>21</v>
      </c>
      <c r="B72" s="163">
        <f>VLOOKUP("reference_count_3",AUTO!$A$1:$B$1051,2,FALSE)</f>
        <v>10940</v>
      </c>
      <c r="C72" s="390">
        <f>VLOOKUP("verification_count_1_3",AUTO!$A$1:$B$1051,2,FALSE)</f>
        <v>10731</v>
      </c>
      <c r="D72" s="156">
        <f t="shared" si="0"/>
        <v>-1.910420475319927E-2</v>
      </c>
      <c r="E72" s="390"/>
      <c r="F72" s="156"/>
      <c r="G72" s="390"/>
      <c r="H72" s="156"/>
      <c r="I72" s="329">
        <f t="shared" si="1"/>
        <v>10731</v>
      </c>
      <c r="J72" s="156">
        <f t="shared" si="2"/>
        <v>-1.910420475319927E-2</v>
      </c>
    </row>
    <row r="73" spans="1:10" ht="18" customHeight="1" x14ac:dyDescent="0.2">
      <c r="A73" s="139">
        <v>25</v>
      </c>
      <c r="B73" s="163">
        <f>VLOOKUP("reference_count_4",AUTO!$A$1:$B$1051,2,FALSE)</f>
        <v>5210</v>
      </c>
      <c r="C73" s="390">
        <f>VLOOKUP("verification_count_1_4",AUTO!$A$1:$B$1051,2,FALSE)</f>
        <v>5199</v>
      </c>
      <c r="D73" s="156">
        <f t="shared" si="0"/>
        <v>-2.1113243761996161E-3</v>
      </c>
      <c r="E73" s="390"/>
      <c r="F73" s="156"/>
      <c r="G73" s="390"/>
      <c r="H73" s="156"/>
      <c r="I73" s="329">
        <f t="shared" si="1"/>
        <v>5199</v>
      </c>
      <c r="J73" s="156">
        <f t="shared" si="2"/>
        <v>-2.1113243761996161E-3</v>
      </c>
    </row>
    <row r="74" spans="1:10" ht="18" customHeight="1" x14ac:dyDescent="0.2">
      <c r="A74" s="139">
        <v>38</v>
      </c>
      <c r="B74" s="163">
        <f>VLOOKUP("reference_count_5",AUTO!$A$1:$B$1051,2,FALSE)</f>
        <v>611.721</v>
      </c>
      <c r="C74" s="390">
        <f>VLOOKUP("verification_count_1_5",AUTO!$A$1:$B$1051,2,FALSE)</f>
        <v>579</v>
      </c>
      <c r="D74" s="156">
        <f t="shared" si="0"/>
        <v>-5.3490071454143313E-2</v>
      </c>
      <c r="E74" s="390"/>
      <c r="F74" s="156"/>
      <c r="G74" s="390"/>
      <c r="H74" s="156"/>
      <c r="I74" s="329">
        <f t="shared" si="1"/>
        <v>579</v>
      </c>
      <c r="J74" s="156">
        <f t="shared" si="2"/>
        <v>-5.3490071454143313E-2</v>
      </c>
    </row>
    <row r="75" spans="1:10" ht="18" customHeight="1" x14ac:dyDescent="0.2">
      <c r="A75" s="139">
        <v>50</v>
      </c>
      <c r="B75" s="163">
        <f>VLOOKUP("reference_count_6",AUTO!$A$1:$B$1051,2,FALSE)</f>
        <v>145.303</v>
      </c>
      <c r="C75" s="390">
        <f>VLOOKUP("verification_count_1_6",AUTO!$A$1:$B$1051,2,FALSE)</f>
        <v>115</v>
      </c>
      <c r="D75" s="156">
        <f t="shared" si="0"/>
        <v>-0.20855040845681092</v>
      </c>
      <c r="E75" s="390"/>
      <c r="F75" s="156"/>
      <c r="G75" s="390"/>
      <c r="H75" s="156"/>
      <c r="I75" s="329">
        <f t="shared" si="1"/>
        <v>115</v>
      </c>
      <c r="J75" s="156">
        <f t="shared" si="2"/>
        <v>-0.20855040845681092</v>
      </c>
    </row>
    <row r="76" spans="1:10" ht="18" customHeight="1" x14ac:dyDescent="0.2">
      <c r="A76" s="139">
        <v>70</v>
      </c>
      <c r="B76" s="163">
        <f>VLOOKUP("reference_count_7",AUTO!$A$1:$B$1051,2,FALSE)</f>
        <v>24.939</v>
      </c>
      <c r="C76" s="390">
        <f>VLOOKUP("verification_count_1_7",AUTO!$A$1:$B$1051,2,FALSE)</f>
        <v>37</v>
      </c>
      <c r="D76" s="156">
        <f t="shared" si="0"/>
        <v>0.48362003288022776</v>
      </c>
      <c r="E76" s="390"/>
      <c r="F76" s="156"/>
      <c r="G76" s="390"/>
      <c r="H76" s="156"/>
      <c r="I76" s="329">
        <f t="shared" si="1"/>
        <v>37</v>
      </c>
      <c r="J76" s="156">
        <f t="shared" si="2"/>
        <v>0.48362003288022776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560</v>
      </c>
      <c r="C3" s="83"/>
    </row>
    <row r="4" spans="1:16" ht="14.25" x14ac:dyDescent="0.2">
      <c r="B4" s="87" t="s">
        <v>561</v>
      </c>
      <c r="C4" s="83"/>
    </row>
    <row r="5" spans="1:16" ht="14.25" x14ac:dyDescent="0.2">
      <c r="B5" s="87" t="s">
        <v>562</v>
      </c>
      <c r="C5" s="83"/>
    </row>
    <row r="6" spans="1:16" ht="14.25" x14ac:dyDescent="0.2">
      <c r="B6" s="87" t="s">
        <v>563</v>
      </c>
      <c r="C6" s="83"/>
    </row>
    <row r="7" spans="1:16" ht="15" x14ac:dyDescent="0.2">
      <c r="B7" s="87" t="s">
        <v>564</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567</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1002</v>
      </c>
      <c r="L17" s="96"/>
      <c r="M17" s="96"/>
      <c r="N17" s="97"/>
      <c r="O17" s="378" t="str">
        <f>'Auto-Calibration record'!H18</f>
        <v>RM8631b</v>
      </c>
    </row>
    <row r="18" spans="2:15" ht="25.9" customHeight="1" x14ac:dyDescent="0.25">
      <c r="B18" s="131" t="s">
        <v>571</v>
      </c>
      <c r="C18" s="132"/>
      <c r="D18" s="574">
        <f>'Auto-Calibration record'!H15</f>
        <v>-1</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428"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63"/>
      <c r="J28" s="159">
        <f>'Auto-Calibration record'!I68</f>
        <v>1072929</v>
      </c>
      <c r="K28" s="159">
        <f t="shared" ref="K28:K33" si="0">J28-H28</f>
        <v>16589</v>
      </c>
      <c r="L28" s="379">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63"/>
      <c r="J29" s="159">
        <f>'Auto-Calibration record'!I69</f>
        <v>463329</v>
      </c>
      <c r="K29" s="159">
        <f t="shared" si="0"/>
        <v>3979</v>
      </c>
      <c r="L29" s="379">
        <f t="shared" si="1"/>
        <v>8.6622401219113958E-3</v>
      </c>
    </row>
    <row r="30" spans="2:15" s="108" customFormat="1" ht="25.9" customHeight="1" x14ac:dyDescent="0.2">
      <c r="D30" s="552" t="s">
        <v>590</v>
      </c>
      <c r="E30" s="552"/>
      <c r="F30" s="567">
        <f>'Auto-Calibration record'!D65</f>
        <v>994</v>
      </c>
      <c r="G30" s="567"/>
      <c r="H30" s="563">
        <f>'Auto-Calibration record'!B71</f>
        <v>36410</v>
      </c>
      <c r="I30" s="563"/>
      <c r="J30" s="159">
        <f>'Auto-Calibration record'!I71</f>
        <v>37037</v>
      </c>
      <c r="K30" s="159">
        <f t="shared" si="0"/>
        <v>627</v>
      </c>
      <c r="L30" s="379">
        <f t="shared" si="1"/>
        <v>1.7220543806646525E-2</v>
      </c>
    </row>
    <row r="31" spans="2:15" s="108" customFormat="1" ht="25.9" customHeight="1" x14ac:dyDescent="0.2">
      <c r="D31" s="552" t="s">
        <v>591</v>
      </c>
      <c r="E31" s="552"/>
      <c r="F31" s="567">
        <f>'Auto-Calibration record'!E65</f>
        <v>2074</v>
      </c>
      <c r="G31" s="567"/>
      <c r="H31" s="563">
        <f>'Auto-Calibration record'!B72</f>
        <v>10940</v>
      </c>
      <c r="I31" s="563"/>
      <c r="J31" s="159">
        <f>'Auto-Calibration record'!I72</f>
        <v>10731</v>
      </c>
      <c r="K31" s="159">
        <f t="shared" si="0"/>
        <v>-209</v>
      </c>
      <c r="L31" s="379">
        <f t="shared" si="1"/>
        <v>-1.910420475319927E-2</v>
      </c>
    </row>
    <row r="32" spans="2:15" s="108" customFormat="1" ht="25.9" customHeight="1" x14ac:dyDescent="0.2">
      <c r="D32" s="552" t="s">
        <v>592</v>
      </c>
      <c r="E32" s="552"/>
      <c r="F32" s="567">
        <f>'Auto-Calibration record'!F65</f>
        <v>3050</v>
      </c>
      <c r="G32" s="567"/>
      <c r="H32" s="563">
        <f>'Auto-Calibration record'!B73</f>
        <v>5210</v>
      </c>
      <c r="I32" s="563"/>
      <c r="J32" s="159">
        <f>'Auto-Calibration record'!I73</f>
        <v>5199</v>
      </c>
      <c r="K32" s="159">
        <f t="shared" si="0"/>
        <v>-11</v>
      </c>
      <c r="L32" s="379">
        <f t="shared" si="1"/>
        <v>-2.1113243761996161E-3</v>
      </c>
    </row>
    <row r="33" spans="2:12" s="108" customFormat="1" ht="25.9" customHeight="1" x14ac:dyDescent="0.2">
      <c r="D33" s="552" t="s">
        <v>593</v>
      </c>
      <c r="E33" s="552"/>
      <c r="F33" s="567">
        <f>'Auto-Calibration record'!G65</f>
        <v>9964</v>
      </c>
      <c r="G33" s="567"/>
      <c r="H33" s="563">
        <f>'Auto-Calibration record'!B74</f>
        <v>611.721</v>
      </c>
      <c r="I33" s="563"/>
      <c r="J33" s="159">
        <f>'Auto-Calibration record'!I74</f>
        <v>579</v>
      </c>
      <c r="K33" s="159">
        <f t="shared" si="0"/>
        <v>-32.721000000000004</v>
      </c>
      <c r="L33" s="379">
        <f t="shared" si="1"/>
        <v>-5.3490071454143313E-2</v>
      </c>
    </row>
    <row r="34" spans="2:12" s="108" customFormat="1" ht="25.9" customHeight="1" x14ac:dyDescent="0.2">
      <c r="D34" s="552" t="s">
        <v>594</v>
      </c>
      <c r="E34" s="552"/>
      <c r="F34" s="567">
        <f>'Auto-Calibration record'!H65</f>
        <v>16287</v>
      </c>
      <c r="G34" s="567"/>
      <c r="H34" s="563">
        <f>'Auto-Calibration record'!B75</f>
        <v>145.303</v>
      </c>
      <c r="I34" s="563"/>
      <c r="J34" s="159">
        <f>'Auto-Calibration record'!I75</f>
        <v>115</v>
      </c>
      <c r="K34" s="159" t="s">
        <v>23</v>
      </c>
      <c r="L34" s="112" t="s">
        <v>23</v>
      </c>
    </row>
    <row r="35" spans="2:12" s="102" customFormat="1" ht="25.9" customHeight="1" x14ac:dyDescent="0.25">
      <c r="D35" s="552" t="s">
        <v>595</v>
      </c>
      <c r="E35" s="552"/>
      <c r="F35" s="568">
        <f>'Auto-Calibration record'!I65</f>
        <v>25144</v>
      </c>
      <c r="G35" s="568"/>
      <c r="H35" s="563">
        <f>'Auto-Calibration record'!B76</f>
        <v>24.939</v>
      </c>
      <c r="I35" s="563"/>
      <c r="J35" s="380">
        <f>'Auto-Calibration record'!I76</f>
        <v>37</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67"/>
      <c r="K38" s="167"/>
      <c r="L38" s="167"/>
    </row>
    <row r="39" spans="2:12" ht="25.9" customHeight="1" x14ac:dyDescent="0.2">
      <c r="B39" s="115"/>
      <c r="D39" s="109" t="s">
        <v>585</v>
      </c>
      <c r="E39" s="551" t="s">
        <v>585</v>
      </c>
      <c r="F39" s="551"/>
      <c r="G39" s="551" t="s">
        <v>600</v>
      </c>
      <c r="H39" s="551"/>
      <c r="I39" s="116"/>
      <c r="J39" s="168"/>
      <c r="K39" s="168"/>
      <c r="L39" s="168"/>
    </row>
    <row r="40" spans="2:12" ht="25.9" customHeight="1" x14ac:dyDescent="0.2">
      <c r="B40" s="115"/>
      <c r="D40" s="129">
        <f>'Auto-Calibration record'!B11</f>
        <v>34</v>
      </c>
      <c r="E40" s="563">
        <f>F28-D40</f>
        <v>42</v>
      </c>
      <c r="F40" s="563"/>
      <c r="G40" s="577">
        <f>F28/D40</f>
        <v>2.2352941176470589</v>
      </c>
      <c r="H40" s="577"/>
      <c r="I40" s="116"/>
      <c r="J40" s="169"/>
      <c r="K40" s="170"/>
      <c r="L40" s="171"/>
    </row>
    <row r="41" spans="2:12" x14ac:dyDescent="0.2">
      <c r="B41" s="115"/>
      <c r="D41" s="385"/>
    </row>
    <row r="42" spans="2:12" x14ac:dyDescent="0.2">
      <c r="B42" s="115"/>
      <c r="D42" s="385"/>
    </row>
    <row r="43" spans="2:12" x14ac:dyDescent="0.2">
      <c r="B43" s="115"/>
      <c r="D43" s="385"/>
    </row>
    <row r="44" spans="2:12" x14ac:dyDescent="0.2">
      <c r="B44" s="115"/>
      <c r="D44" s="385"/>
    </row>
    <row r="45" spans="2:12" x14ac:dyDescent="0.2">
      <c r="B45" s="115"/>
      <c r="D45" s="38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47" t="s">
        <v>605</v>
      </c>
      <c r="E74" s="548"/>
      <c r="F74" s="548"/>
      <c r="G74" s="549"/>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t="str">
        <f>'Auto-Calibration record'!H26</f>
        <v>John Devereux</v>
      </c>
      <c r="E76" s="570"/>
      <c r="F76" s="571"/>
      <c r="K76" s="122" t="s">
        <v>607</v>
      </c>
      <c r="L76" s="564" t="s">
        <v>608</v>
      </c>
      <c r="M76" s="565"/>
      <c r="N76" s="565"/>
      <c r="O76" s="566"/>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011 1026:2035 2050:3059 3074:4083 4098:5107 5122:6131 6146:7155 7170:8179 8194:9203 9218:10227 10242:11251 11266:12275 12290:13299 13314:14323 14338:15347 15362:16371" x14ac:dyDescent="0.2">
      <c r="O83" s="124" t="s">
        <v>612</v>
      </c>
    </row>
    <row r="84" spans="2:1011 1026:2035 2050:3059 3074:4083 4098:5107 5122:6131 6146:7155 7170:8179 8194:9203 9218:10227 10242:11251 11266:12275 12290:13299 13314:14323 14338:15347 15362:16371" ht="15.6" customHeight="1" x14ac:dyDescent="0.2">
      <c r="B84" s="87" t="s">
        <v>559</v>
      </c>
      <c r="C84" s="83"/>
      <c r="O84" s="124" t="s">
        <v>524</v>
      </c>
    </row>
    <row r="85" spans="2:1011 1026:2035 2050:3059 3074:4083 4098:5107 5122:6131 6146:7155 7170:8179 8194:9203 9218:10227 10242:11251 11266:12275 12290:13299 13314:14323 14338:15347 15362:16371" ht="14.25" x14ac:dyDescent="0.2">
      <c r="B85" s="87" t="s">
        <v>613</v>
      </c>
      <c r="C85" s="83"/>
      <c r="O85" s="124" t="s">
        <v>19</v>
      </c>
    </row>
    <row r="86" spans="2:1011 1026:2035 2050:3059 3074:4083 4098:5107 5122:6131 6146:7155 7170:8179 8194:9203 9218:10227 10242:11251 11266:12275 12290:13299 13314:14323 14338:15347 15362:16371" ht="14.25" x14ac:dyDescent="0.2">
      <c r="B86" s="87" t="s">
        <v>614</v>
      </c>
      <c r="C86" s="83"/>
      <c r="L86" s="125"/>
      <c r="N86" s="125"/>
      <c r="O86" s="124" t="s">
        <v>20</v>
      </c>
    </row>
    <row r="87" spans="2:1011 1026:2035 2050:3059 3074:4083 4098:5107 5122:6131 6146:7155 7170:8179 8194:9203 9218:10227 10242:11251 11266:12275 12290:13299 13314:14323 14338:15347 15362:16371" ht="14.25" x14ac:dyDescent="0.2">
      <c r="B87" s="87" t="s">
        <v>562</v>
      </c>
      <c r="C87" s="83"/>
    </row>
    <row r="88" spans="2:1011 1026:2035 2050:3059 3074:4083 4098:5107 5122:6131 6146:7155 7170:8179 8194:9203 9218:10227 10242:11251 11266:12275 12290:13299 13314:14323 14338:15347 15362:16371" ht="14.25" x14ac:dyDescent="0.2">
      <c r="B88" s="87" t="s">
        <v>615</v>
      </c>
      <c r="C88" s="83"/>
    </row>
    <row r="89" spans="2:1011 1026:2035 2050:3059 3074:4083 4098:5107 5122:6131 6146:7155 7170:8179 8194:9203 9218:10227 10242:11251 11266:12275 12290:13299 13314:14323 14338:15347 15362:16371" ht="14.25" x14ac:dyDescent="0.2">
      <c r="B89" s="87" t="s">
        <v>616</v>
      </c>
      <c r="C89" s="83"/>
    </row>
    <row r="90" spans="2:1011 1026:2035 2050:3059 3074:4083 4098:5107 5122:6131 6146:7155 7170:8179 8194:9203 9218:10227 10242:11251 11266:12275 12290:13299 13314:14323 14338:15347 15362:16371" ht="14.25" x14ac:dyDescent="0.2">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4.25" x14ac:dyDescent="0.2">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4.25" x14ac:dyDescent="0.2">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4.25" x14ac:dyDescent="0.2">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4.25" x14ac:dyDescent="0.2">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4.25" x14ac:dyDescent="0.2">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4.25" x14ac:dyDescent="0.2">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75" x14ac:dyDescent="0.25">
      <c r="B97" s="341" t="s">
        <v>230</v>
      </c>
      <c r="C97" s="341"/>
      <c r="D97" s="341"/>
      <c r="E97" s="381"/>
      <c r="F97" s="381"/>
      <c r="G97" s="381"/>
      <c r="H97" s="381"/>
      <c r="I97" s="381"/>
      <c r="J97" s="381"/>
      <c r="K97" s="125"/>
    </row>
    <row r="98" spans="2:15" ht="15" x14ac:dyDescent="0.2">
      <c r="B98" s="381" t="str">
        <f>'Cover Service Sheet'!C182</f>
        <v xml:space="preserve"> </v>
      </c>
      <c r="C98" s="381"/>
      <c r="D98" s="381"/>
      <c r="E98" s="381"/>
      <c r="F98" s="381"/>
      <c r="G98" s="381"/>
      <c r="H98" s="381"/>
      <c r="I98" s="381"/>
      <c r="J98" s="381"/>
    </row>
    <row r="99" spans="2:15" ht="129" customHeight="1" x14ac:dyDescent="0.2">
      <c r="B99" s="572" t="str">
        <f>'Cover Service Sheet'!C183</f>
        <v xml:space="preserve">
</v>
      </c>
      <c r="C99" s="572"/>
      <c r="D99" s="572"/>
      <c r="E99" s="572"/>
      <c r="F99" s="572"/>
      <c r="G99" s="572"/>
      <c r="H99" s="572"/>
      <c r="I99" s="572"/>
      <c r="J99" s="572"/>
      <c r="K99" s="572"/>
      <c r="L99" s="572"/>
      <c r="M99" s="572"/>
      <c r="N99" s="572"/>
      <c r="O99" s="572"/>
    </row>
    <row r="100" spans="2:15" ht="15" x14ac:dyDescent="0.2">
      <c r="B100" s="381"/>
      <c r="C100" s="381"/>
      <c r="D100" s="381"/>
      <c r="E100" s="381"/>
      <c r="F100" s="381"/>
      <c r="G100" s="381"/>
      <c r="H100" s="381"/>
      <c r="I100" s="381"/>
      <c r="J100" s="381"/>
    </row>
    <row r="101" spans="2:15" ht="15.75" x14ac:dyDescent="0.25">
      <c r="B101" s="341" t="s">
        <v>232</v>
      </c>
      <c r="C101" s="381"/>
      <c r="D101" s="381"/>
      <c r="E101" s="381"/>
      <c r="F101" s="381"/>
      <c r="G101" s="381"/>
      <c r="H101" s="381"/>
      <c r="I101" s="381"/>
      <c r="J101" s="381"/>
    </row>
    <row r="102" spans="2:15" ht="15" x14ac:dyDescent="0.2">
      <c r="B102" s="381" t="str">
        <f>'Cover Service Sheet'!C186</f>
        <v/>
      </c>
      <c r="C102" s="381"/>
      <c r="D102" s="381"/>
      <c r="E102" s="381"/>
      <c r="F102" s="381"/>
      <c r="G102" s="381"/>
      <c r="H102" s="381"/>
      <c r="I102" s="381"/>
      <c r="J102" s="381"/>
    </row>
    <row r="103" spans="2:15" ht="141" customHeight="1" x14ac:dyDescent="0.2">
      <c r="B103" s="572">
        <f>'Cover Service Sheet'!C187</f>
        <v>0</v>
      </c>
      <c r="C103" s="572"/>
      <c r="D103" s="572"/>
      <c r="E103" s="572"/>
      <c r="F103" s="572"/>
      <c r="G103" s="572"/>
      <c r="H103" s="572"/>
      <c r="I103" s="572"/>
      <c r="J103" s="572"/>
      <c r="K103" s="572"/>
      <c r="L103" s="572"/>
      <c r="M103" s="572"/>
      <c r="N103" s="572"/>
      <c r="O103" s="572"/>
    </row>
    <row r="104" spans="2:15" ht="15" x14ac:dyDescent="0.2">
      <c r="B104" s="381"/>
      <c r="C104" s="381"/>
      <c r="D104" s="381"/>
      <c r="E104" s="381"/>
      <c r="F104" s="381"/>
      <c r="G104" s="381"/>
      <c r="H104" s="381"/>
      <c r="I104" s="381"/>
      <c r="J104" s="381"/>
    </row>
    <row r="105" spans="2:15" ht="15.75" x14ac:dyDescent="0.25">
      <c r="B105" s="341" t="s">
        <v>233</v>
      </c>
      <c r="C105" s="341"/>
      <c r="D105" s="341"/>
      <c r="E105" s="381"/>
      <c r="F105" s="381"/>
      <c r="G105" s="381"/>
      <c r="H105" s="381"/>
      <c r="I105" s="381"/>
      <c r="J105" s="381"/>
    </row>
    <row r="106" spans="2:15" ht="15" x14ac:dyDescent="0.2">
      <c r="B106" s="381" t="str">
        <f>'Cover Service Sheet'!C190</f>
        <v/>
      </c>
      <c r="C106" s="381"/>
      <c r="D106" s="381"/>
      <c r="E106" s="381"/>
      <c r="F106" s="381"/>
      <c r="G106" s="381"/>
      <c r="H106" s="381"/>
      <c r="I106" s="381"/>
      <c r="J106" s="381"/>
    </row>
    <row r="107" spans="2:15" ht="135" customHeight="1" x14ac:dyDescent="0.2">
      <c r="B107" s="572">
        <f>'Cover Service Sheet'!C191</f>
        <v>0</v>
      </c>
      <c r="C107" s="572"/>
      <c r="D107" s="572"/>
      <c r="E107" s="572"/>
      <c r="F107" s="572"/>
      <c r="G107" s="572"/>
      <c r="H107" s="572"/>
      <c r="I107" s="572"/>
      <c r="J107" s="572"/>
      <c r="K107" s="572"/>
      <c r="L107" s="572"/>
      <c r="M107" s="572"/>
      <c r="N107" s="572"/>
      <c r="O107" s="572"/>
    </row>
    <row r="108" spans="2:15" ht="44.25" customHeight="1" x14ac:dyDescent="0.2">
      <c r="B108" s="381"/>
      <c r="C108" s="381"/>
      <c r="D108" s="381"/>
      <c r="E108" s="381"/>
      <c r="F108" s="381"/>
      <c r="G108" s="381"/>
      <c r="H108" s="381"/>
      <c r="I108" s="381"/>
      <c r="J108" s="381"/>
    </row>
    <row r="109" spans="2:15" ht="15.75" hidden="1" x14ac:dyDescent="0.25">
      <c r="B109" s="341" t="s">
        <v>617</v>
      </c>
      <c r="C109" s="341"/>
      <c r="D109" s="381"/>
      <c r="E109" s="381"/>
      <c r="F109" s="381"/>
      <c r="G109" s="381"/>
      <c r="H109" s="381"/>
      <c r="I109" s="381"/>
      <c r="J109" s="381"/>
    </row>
    <row r="110" spans="2:15" ht="15" hidden="1" x14ac:dyDescent="0.2">
      <c r="B110" s="381" t="str">
        <f>'Cover Service Sheet'!C194</f>
        <v/>
      </c>
      <c r="C110" s="381"/>
      <c r="D110" s="381"/>
      <c r="E110" s="381"/>
      <c r="F110" s="381"/>
      <c r="G110" s="381"/>
      <c r="H110" s="381"/>
      <c r="I110" s="381"/>
      <c r="J110" s="381"/>
    </row>
    <row r="111" spans="2:15" ht="27.75" customHeight="1" x14ac:dyDescent="0.35">
      <c r="B111" s="382" t="s">
        <v>265</v>
      </c>
      <c r="C111" s="381"/>
      <c r="D111" s="381"/>
      <c r="E111" s="381"/>
      <c r="F111" s="381"/>
      <c r="G111" s="381"/>
      <c r="H111" s="381"/>
      <c r="I111" s="381"/>
      <c r="J111" s="381"/>
    </row>
    <row r="112" spans="2:15" ht="23.25" x14ac:dyDescent="0.35">
      <c r="B112" s="383" t="str">
        <f>'Cover Service Sheet'!Q7</f>
        <v>Please note: Where possible, all recalibrations should be booked online at the supplied booking site</v>
      </c>
      <c r="C112" s="381"/>
      <c r="D112" s="381"/>
      <c r="E112" s="381"/>
      <c r="F112" s="381"/>
      <c r="G112" s="381"/>
      <c r="H112" s="381"/>
      <c r="I112" s="381"/>
      <c r="J112" s="381"/>
    </row>
    <row r="113" spans="2:10" ht="23.25" x14ac:dyDescent="0.35">
      <c r="B113" s="383" t="str">
        <f>'Cover Service Sheet'!Q8</f>
        <v>No accessories present to return to end user</v>
      </c>
      <c r="C113" s="381"/>
      <c r="D113" s="381"/>
      <c r="E113" s="381"/>
      <c r="F113" s="381"/>
      <c r="G113" s="381"/>
      <c r="H113" s="381"/>
      <c r="I113" s="381"/>
      <c r="J113" s="381"/>
    </row>
    <row r="114" spans="2:10" ht="23.25" x14ac:dyDescent="0.35">
      <c r="B114" s="383" t="str">
        <f>'Cover Service Sheet'!Q33</f>
        <v>Exterior damage to case upon receipt</v>
      </c>
      <c r="C114" s="381"/>
      <c r="D114" s="381"/>
      <c r="E114" s="381"/>
      <c r="F114" s="381"/>
      <c r="G114" s="381"/>
      <c r="H114" s="381"/>
      <c r="I114" s="381"/>
      <c r="J114" s="381"/>
    </row>
    <row r="115" spans="2:10" ht="23.25" x14ac:dyDescent="0.35">
      <c r="B115" s="383" t="str">
        <f>'Cover Service Sheet'!Q34</f>
        <v>No cap on input test point</v>
      </c>
      <c r="C115" s="381"/>
      <c r="D115" s="381"/>
      <c r="E115" s="381"/>
      <c r="F115" s="381"/>
      <c r="G115" s="381"/>
      <c r="H115" s="381"/>
      <c r="I115" s="381"/>
      <c r="J115" s="381"/>
    </row>
    <row r="116" spans="2:10" ht="23.25" x14ac:dyDescent="0.35">
      <c r="B116" s="383" t="str">
        <f>'Cover Service Sheet'!Q35</f>
        <v>No cap on waste test point</v>
      </c>
      <c r="C116" s="381"/>
      <c r="D116" s="381"/>
      <c r="E116" s="381"/>
      <c r="F116" s="381"/>
      <c r="G116" s="381"/>
      <c r="H116" s="381"/>
      <c r="I116" s="381"/>
      <c r="J116" s="381"/>
    </row>
    <row r="117" spans="2:10" ht="23.25" x14ac:dyDescent="0.35">
      <c r="B117" s="383" t="str">
        <f>'Cover Service Sheet'!Q39</f>
        <v>The screen has been damaged and is not functioning correctly</v>
      </c>
      <c r="C117" s="381"/>
      <c r="D117" s="381"/>
      <c r="E117" s="381"/>
      <c r="F117" s="381"/>
      <c r="G117" s="381"/>
      <c r="H117" s="381"/>
      <c r="I117" s="381"/>
      <c r="J117" s="381"/>
    </row>
    <row r="118" spans="2:10" ht="23.25" x14ac:dyDescent="0.35">
      <c r="B118" s="383" t="str">
        <f>'Cover Service Sheet'!Q42</f>
        <v>Firmware was an older version and needed updating</v>
      </c>
      <c r="C118" s="381"/>
      <c r="D118" s="381"/>
      <c r="E118" s="381"/>
      <c r="F118" s="381"/>
      <c r="G118" s="381"/>
      <c r="H118" s="381"/>
      <c r="I118" s="381"/>
      <c r="J118" s="381"/>
    </row>
    <row r="119" spans="2:10" ht="23.25" x14ac:dyDescent="0.35">
      <c r="B119" s="383" t="e">
        <f>'Cover Service Sheet'!Q71</f>
        <v>#REF!</v>
      </c>
      <c r="C119" s="381"/>
      <c r="D119" s="381"/>
      <c r="E119" s="381"/>
      <c r="F119" s="381"/>
      <c r="G119" s="381"/>
      <c r="H119" s="381"/>
      <c r="I119" s="381"/>
      <c r="J119" s="381"/>
    </row>
    <row r="120" spans="2:10" ht="23.25" x14ac:dyDescent="0.35">
      <c r="B120" s="383" t="e">
        <f>'Cover Service Sheet'!#REF!</f>
        <v>#REF!</v>
      </c>
      <c r="C120" s="381"/>
      <c r="D120" s="381"/>
      <c r="E120" s="381"/>
      <c r="F120" s="381"/>
      <c r="G120" s="381"/>
      <c r="H120" s="381"/>
      <c r="I120" s="381"/>
      <c r="J120" s="381"/>
    </row>
    <row r="121" spans="2:10" ht="23.25" x14ac:dyDescent="0.35">
      <c r="B121" s="383" t="e">
        <f>'Cover Service Sheet'!#REF!</f>
        <v>#REF!</v>
      </c>
      <c r="C121" s="381"/>
      <c r="D121" s="381"/>
      <c r="E121" s="381"/>
      <c r="F121" s="381"/>
      <c r="G121" s="381"/>
      <c r="H121" s="381"/>
      <c r="I121" s="381"/>
      <c r="J121" s="381"/>
    </row>
    <row r="122" spans="2:10" ht="23.25" x14ac:dyDescent="0.35">
      <c r="B122" s="383" t="e">
        <f>'Cover Service Sheet'!#REF!</f>
        <v>#REF!</v>
      </c>
      <c r="C122" s="381"/>
      <c r="D122" s="381"/>
      <c r="E122" s="381"/>
      <c r="F122" s="381"/>
      <c r="G122" s="381"/>
      <c r="H122" s="381"/>
      <c r="I122" s="381"/>
      <c r="J122" s="381"/>
    </row>
    <row r="123" spans="2:10" ht="23.25" x14ac:dyDescent="0.35">
      <c r="B123" s="383" t="str">
        <f>'Cover Service Sheet'!Q77</f>
        <v>Sensor array assembly passed initial inspection</v>
      </c>
      <c r="C123" s="381"/>
      <c r="D123" s="381"/>
      <c r="E123" s="381"/>
      <c r="F123" s="381"/>
      <c r="G123" s="381"/>
      <c r="H123" s="381"/>
      <c r="I123" s="381"/>
      <c r="J123" s="381"/>
    </row>
    <row r="124" spans="2:10" ht="23.25" x14ac:dyDescent="0.35">
      <c r="B124" s="383" t="str">
        <f>'Cover Service Sheet'!Q80</f>
        <v>Initial light source check, output within specification PASS</v>
      </c>
      <c r="C124" s="381"/>
      <c r="D124" s="381"/>
      <c r="E124" s="381"/>
      <c r="F124" s="381"/>
      <c r="G124" s="381"/>
      <c r="H124" s="381"/>
      <c r="I124" s="381"/>
      <c r="J124" s="381"/>
    </row>
    <row r="125" spans="2:10" ht="23.25" x14ac:dyDescent="0.35">
      <c r="B125" s="383" t="str">
        <f>'Cover Service Sheet'!Q81</f>
        <v>Initial Light source electrical noise output within specification PASS</v>
      </c>
      <c r="C125" s="381"/>
      <c r="D125" s="381"/>
      <c r="E125" s="381"/>
      <c r="F125" s="381"/>
      <c r="G125" s="381"/>
      <c r="H125" s="381"/>
      <c r="I125" s="381"/>
      <c r="J125" s="381"/>
    </row>
    <row r="126" spans="2:10" ht="23.25" x14ac:dyDescent="0.35">
      <c r="B126" s="383">
        <f>'Cover Service Sheet'!Q83</f>
        <v>0</v>
      </c>
      <c r="C126" s="381"/>
      <c r="D126" s="381"/>
      <c r="E126" s="381"/>
      <c r="F126" s="381"/>
      <c r="G126" s="381"/>
      <c r="H126" s="381"/>
      <c r="I126" s="381"/>
      <c r="J126" s="381"/>
    </row>
    <row r="127" spans="2:10" ht="23.25" x14ac:dyDescent="0.35">
      <c r="B127" s="383">
        <f>'Cover Service Sheet'!Q84</f>
        <v>0</v>
      </c>
      <c r="C127" s="381"/>
      <c r="D127" s="381"/>
      <c r="E127" s="381"/>
      <c r="F127" s="381"/>
      <c r="G127" s="381"/>
      <c r="H127" s="381"/>
      <c r="I127" s="381"/>
      <c r="J127" s="381"/>
    </row>
    <row r="128" spans="2:10" ht="23.25" x14ac:dyDescent="0.35">
      <c r="B128" s="383"/>
      <c r="C128" s="381"/>
      <c r="D128" s="381"/>
      <c r="E128" s="381"/>
      <c r="F128" s="381"/>
      <c r="G128" s="381"/>
      <c r="H128" s="381"/>
      <c r="I128" s="381"/>
      <c r="J128" s="381"/>
    </row>
    <row r="129" spans="2:10" ht="23.25" x14ac:dyDescent="0.35">
      <c r="B129" s="382" t="s">
        <v>618</v>
      </c>
      <c r="C129" s="381"/>
      <c r="D129" s="381"/>
      <c r="E129" s="381"/>
      <c r="F129" s="381"/>
      <c r="G129" s="381"/>
      <c r="H129" s="381"/>
      <c r="I129" s="381"/>
      <c r="J129" s="381"/>
    </row>
    <row r="130" spans="2:10" ht="23.25" x14ac:dyDescent="0.35">
      <c r="B130" s="383" t="e">
        <f>'Cover Service Sheet'!#REF!</f>
        <v>#REF!</v>
      </c>
      <c r="C130" s="381"/>
      <c r="D130" s="381"/>
      <c r="E130" s="381"/>
      <c r="F130" s="381"/>
      <c r="G130" s="381"/>
      <c r="H130" s="381"/>
      <c r="I130" s="381"/>
      <c r="J130" s="381"/>
    </row>
    <row r="131" spans="2:10" ht="23.25" x14ac:dyDescent="0.35">
      <c r="B131" s="383" t="e">
        <f>'Cover Service Sheet'!#REF!</f>
        <v>#REF!</v>
      </c>
      <c r="C131" s="381"/>
      <c r="D131" s="381"/>
      <c r="E131" s="381"/>
      <c r="F131" s="381"/>
      <c r="G131" s="381"/>
      <c r="H131" s="381"/>
      <c r="I131" s="381"/>
      <c r="J131" s="381"/>
    </row>
    <row r="132" spans="2:10" ht="23.25" x14ac:dyDescent="0.35">
      <c r="B132" s="383" t="e">
        <f>'Cover Service Sheet'!#REF!</f>
        <v>#REF!</v>
      </c>
      <c r="C132" s="381"/>
      <c r="D132" s="381"/>
      <c r="E132" s="381"/>
      <c r="F132" s="381"/>
      <c r="G132" s="381"/>
      <c r="H132" s="381"/>
      <c r="I132" s="381"/>
      <c r="J132" s="381"/>
    </row>
    <row r="133" spans="2:10" ht="23.25" x14ac:dyDescent="0.35">
      <c r="B133" s="383" t="str">
        <f>'Cover Service Sheet'!Q95</f>
        <v>Battery terminal cables of current design</v>
      </c>
      <c r="C133" s="381"/>
      <c r="D133" s="381"/>
      <c r="E133" s="381"/>
      <c r="F133" s="381"/>
      <c r="G133" s="381"/>
      <c r="H133" s="381"/>
      <c r="I133" s="381"/>
      <c r="J133" s="381"/>
    </row>
    <row r="134" spans="2:10" ht="23.25" x14ac:dyDescent="0.35">
      <c r="B134" s="383" t="str">
        <f>'Cover Service Sheet'!Q97</f>
        <v>Battery not secure in brackets, needed to be refurbished</v>
      </c>
      <c r="C134" s="381"/>
      <c r="D134" s="381"/>
      <c r="E134" s="381"/>
      <c r="F134" s="381"/>
      <c r="G134" s="381"/>
      <c r="H134" s="381"/>
      <c r="I134" s="381"/>
      <c r="J134" s="381"/>
    </row>
    <row r="135" spans="2:10" ht="23.25" x14ac:dyDescent="0.35">
      <c r="B135" s="383" t="e">
        <f>'Cover Service Sheet'!#REF!</f>
        <v>#REF!</v>
      </c>
      <c r="C135" s="381"/>
      <c r="D135" s="381"/>
      <c r="E135" s="381"/>
      <c r="F135" s="381"/>
      <c r="G135" s="381"/>
      <c r="H135" s="381"/>
      <c r="I135" s="381"/>
      <c r="J135" s="381"/>
    </row>
    <row r="136" spans="2:10" ht="23.25" x14ac:dyDescent="0.35">
      <c r="B136" s="383">
        <f>'Cover Service Sheet'!Q99</f>
        <v>0</v>
      </c>
      <c r="C136" s="381"/>
      <c r="D136" s="381"/>
      <c r="E136" s="381"/>
      <c r="F136" s="381"/>
      <c r="G136" s="381"/>
      <c r="H136" s="381"/>
      <c r="I136" s="381"/>
      <c r="J136" s="381"/>
    </row>
    <row r="137" spans="2:10" ht="23.25" x14ac:dyDescent="0.35">
      <c r="B137" s="383" t="e">
        <f>'Cover Service Sheet'!#REF!</f>
        <v>#REF!</v>
      </c>
      <c r="C137" s="381"/>
      <c r="D137" s="381"/>
      <c r="E137" s="381"/>
      <c r="F137" s="381"/>
      <c r="G137" s="381"/>
      <c r="H137" s="381"/>
      <c r="I137" s="381"/>
      <c r="J137" s="381"/>
    </row>
    <row r="138" spans="2:10" ht="23.25" x14ac:dyDescent="0.35">
      <c r="B138" s="383" t="str">
        <f>'Cover Service Sheet'!Q100</f>
        <v>High pressure seal integrity test failure, unit requires rework</v>
      </c>
      <c r="C138" s="381"/>
      <c r="D138" s="381"/>
      <c r="E138" s="381"/>
      <c r="F138" s="381"/>
      <c r="G138" s="381"/>
      <c r="H138" s="381"/>
      <c r="I138" s="381"/>
      <c r="J138" s="381"/>
    </row>
    <row r="139" spans="2:10" ht="23.25" x14ac:dyDescent="0.35">
      <c r="B139" s="383"/>
      <c r="C139" s="381"/>
      <c r="D139" s="381"/>
      <c r="E139" s="381"/>
      <c r="F139" s="381"/>
      <c r="G139" s="381"/>
      <c r="H139" s="381"/>
      <c r="I139" s="381"/>
      <c r="J139" s="381"/>
    </row>
    <row r="140" spans="2:10" ht="23.25" x14ac:dyDescent="0.35">
      <c r="B140" s="382" t="s">
        <v>619</v>
      </c>
      <c r="C140" s="381"/>
      <c r="D140" s="381"/>
      <c r="E140" s="381"/>
      <c r="F140" s="381"/>
      <c r="G140" s="381"/>
      <c r="H140" s="381"/>
      <c r="I140" s="381"/>
      <c r="J140" s="381"/>
    </row>
    <row r="141" spans="2:10" ht="23.25" x14ac:dyDescent="0.35">
      <c r="B141" s="383" t="str">
        <f>'Cover Service Sheet'!Q108</f>
        <v xml:space="preserve"> </v>
      </c>
      <c r="C141" s="381"/>
      <c r="D141" s="381"/>
      <c r="E141" s="381"/>
      <c r="F141" s="381"/>
      <c r="G141" s="381"/>
      <c r="H141" s="381"/>
      <c r="I141" s="381"/>
      <c r="J141" s="381"/>
    </row>
    <row r="142" spans="2:10" ht="23.25" x14ac:dyDescent="0.35">
      <c r="B142" s="383" t="str">
        <f>'Cover Service Sheet'!Q116</f>
        <v xml:space="preserve">Thresholds on certificate do not match those programmed in unit </v>
      </c>
      <c r="C142" s="381"/>
      <c r="D142" s="381"/>
      <c r="E142" s="381"/>
      <c r="F142" s="381"/>
      <c r="G142" s="381"/>
      <c r="H142" s="381"/>
      <c r="I142" s="381"/>
      <c r="J142" s="381"/>
    </row>
    <row r="143" spans="2:10" ht="23.25" x14ac:dyDescent="0.35">
      <c r="B143" s="383" t="str">
        <f>'Cover Service Sheet'!Q148</f>
        <v/>
      </c>
      <c r="C143" s="381"/>
      <c r="D143" s="381"/>
      <c r="E143" s="381"/>
      <c r="F143" s="381"/>
      <c r="G143" s="381"/>
      <c r="H143" s="381"/>
      <c r="I143" s="381"/>
      <c r="J143" s="381"/>
    </row>
    <row r="144" spans="2:10" ht="23.25" x14ac:dyDescent="0.35">
      <c r="B144" s="383" t="str">
        <f>'Cover Service Sheet'!Q154</f>
        <v/>
      </c>
      <c r="C144" s="381"/>
      <c r="D144" s="381"/>
      <c r="E144" s="381"/>
      <c r="F144" s="381"/>
      <c r="G144" s="381"/>
      <c r="H144" s="381"/>
      <c r="I144" s="381"/>
      <c r="J144" s="381"/>
    </row>
    <row r="145" spans="2:10" ht="23.25" x14ac:dyDescent="0.35">
      <c r="B145" s="383" t="str">
        <f>'Cover Service Sheet'!Q157</f>
        <v>LANGUAGE NOT CORRECT</v>
      </c>
      <c r="C145" s="381"/>
      <c r="D145" s="381"/>
      <c r="E145" s="381"/>
      <c r="F145" s="381"/>
      <c r="G145" s="381"/>
      <c r="H145" s="381"/>
      <c r="I145" s="381"/>
      <c r="J145" s="381"/>
    </row>
    <row r="146" spans="2:10" ht="23.25" x14ac:dyDescent="0.35">
      <c r="B146" s="383" t="str">
        <f>'Cover Service Sheet'!Q162</f>
        <v/>
      </c>
      <c r="C146" s="381"/>
      <c r="D146" s="381"/>
      <c r="E146" s="381"/>
      <c r="F146" s="381"/>
      <c r="G146" s="381"/>
      <c r="H146" s="381"/>
      <c r="I146" s="381"/>
      <c r="J146" s="381"/>
    </row>
    <row r="147" spans="2:10" ht="23.25" x14ac:dyDescent="0.35">
      <c r="B147" s="383"/>
      <c r="C147" s="381"/>
      <c r="D147" s="381"/>
      <c r="E147" s="381"/>
      <c r="F147" s="381"/>
      <c r="G147" s="381"/>
      <c r="H147" s="381"/>
      <c r="I147" s="381"/>
      <c r="J147" s="381"/>
    </row>
    <row r="148" spans="2:10" ht="23.25" x14ac:dyDescent="0.35">
      <c r="B148" s="383"/>
      <c r="C148" s="381"/>
      <c r="D148" s="381"/>
      <c r="E148" s="381"/>
      <c r="F148" s="381"/>
      <c r="G148" s="381"/>
      <c r="H148" s="381"/>
      <c r="I148" s="381"/>
      <c r="J148" s="381"/>
    </row>
    <row r="149" spans="2:10" ht="15" x14ac:dyDescent="0.2">
      <c r="B149" s="381"/>
      <c r="C149" s="381"/>
      <c r="D149" s="381"/>
      <c r="E149" s="381"/>
      <c r="F149" s="381"/>
      <c r="G149" s="381"/>
      <c r="H149" s="381"/>
      <c r="I149" s="381"/>
      <c r="J149" s="381"/>
    </row>
    <row r="150" spans="2:10" ht="15" x14ac:dyDescent="0.2">
      <c r="B150" s="381"/>
      <c r="C150" s="381"/>
      <c r="D150" s="381"/>
      <c r="E150" s="381"/>
      <c r="F150" s="381"/>
      <c r="G150" s="381"/>
      <c r="H150" s="381"/>
      <c r="I150" s="381"/>
      <c r="J150" s="381"/>
    </row>
    <row r="151" spans="2:10" ht="15.75" x14ac:dyDescent="0.25">
      <c r="B151" s="341" t="s">
        <v>235</v>
      </c>
      <c r="C151" s="341"/>
      <c r="D151" s="381" t="str">
        <f>'Cover Service Sheet'!D166</f>
        <v>-</v>
      </c>
      <c r="E151" s="381"/>
      <c r="F151" s="381"/>
      <c r="G151" s="381"/>
      <c r="H151" s="381"/>
      <c r="I151" s="381"/>
      <c r="J151" s="381"/>
    </row>
    <row r="152" spans="2:10" ht="15.75" x14ac:dyDescent="0.25">
      <c r="B152" s="341" t="s">
        <v>236</v>
      </c>
      <c r="C152" s="381"/>
      <c r="D152" s="384">
        <f>'Cover Service Sheet'!D111</f>
        <v>0</v>
      </c>
      <c r="E152" s="381"/>
      <c r="F152" s="381"/>
      <c r="G152" s="381"/>
      <c r="H152" s="381"/>
      <c r="I152" s="381"/>
      <c r="J152" s="381"/>
    </row>
    <row r="153" spans="2:10" ht="15" x14ac:dyDescent="0.2">
      <c r="B153" s="381"/>
      <c r="C153" s="381"/>
      <c r="D153" s="381"/>
      <c r="E153" s="381"/>
      <c r="F153" s="381"/>
      <c r="G153" s="381"/>
      <c r="H153" s="381"/>
      <c r="I153" s="381"/>
      <c r="J153" s="381"/>
    </row>
    <row r="154" spans="2:10" ht="15" x14ac:dyDescent="0.2">
      <c r="E154" s="381"/>
      <c r="F154" s="381"/>
      <c r="G154" s="381"/>
      <c r="H154" s="381"/>
      <c r="I154" s="381"/>
      <c r="J154" s="381"/>
    </row>
    <row r="155" spans="2:10" ht="15" x14ac:dyDescent="0.2">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61" t="s">
        <v>620</v>
      </c>
    </row>
    <row r="3" spans="1:12" ht="18" x14ac:dyDescent="0.25">
      <c r="A3" s="62" t="s">
        <v>621</v>
      </c>
    </row>
    <row r="5" spans="1:12" x14ac:dyDescent="0.2">
      <c r="A5" s="63" t="s">
        <v>622</v>
      </c>
      <c r="B5" s="63"/>
      <c r="C5" s="63" t="s">
        <v>623</v>
      </c>
      <c r="D5" s="63"/>
      <c r="E5" s="63" t="s">
        <v>624</v>
      </c>
      <c r="F5" s="63"/>
      <c r="G5" s="63"/>
      <c r="H5" s="63"/>
    </row>
    <row r="6" spans="1:12" ht="27" thickBot="1" x14ac:dyDescent="0.45">
      <c r="A6" s="64"/>
      <c r="B6" s="64"/>
      <c r="C6" s="65" t="s">
        <v>625</v>
      </c>
      <c r="D6" s="64"/>
      <c r="E6" s="64"/>
      <c r="F6" s="64"/>
      <c r="G6" s="64"/>
      <c r="H6" s="64"/>
      <c r="I6" s="60"/>
      <c r="J6" s="60"/>
      <c r="K6" s="60"/>
    </row>
    <row r="7" spans="1:12" ht="13.5" thickTop="1" x14ac:dyDescent="0.2">
      <c r="A7" s="415"/>
      <c r="B7" s="307"/>
      <c r="C7" s="388"/>
      <c r="D7" s="416"/>
      <c r="E7" s="415"/>
      <c r="F7" s="415"/>
      <c r="G7" s="415"/>
      <c r="H7" s="415"/>
      <c r="I7" s="415"/>
      <c r="J7" s="415"/>
      <c r="K7" s="415"/>
      <c r="L7" s="415"/>
    </row>
    <row r="8" spans="1:12" x14ac:dyDescent="0.2">
      <c r="B8" s="307" t="s">
        <v>626</v>
      </c>
      <c r="C8" s="415"/>
      <c r="D8" s="307" t="s">
        <v>627</v>
      </c>
      <c r="E8" s="415"/>
      <c r="G8" s="415"/>
      <c r="H8" s="415"/>
      <c r="I8" s="415"/>
      <c r="J8" s="415"/>
      <c r="K8" s="415"/>
      <c r="L8" s="415"/>
    </row>
    <row r="9" spans="1:12" x14ac:dyDescent="0.2">
      <c r="B9" s="388"/>
      <c r="C9" s="415"/>
      <c r="D9" s="307" t="s">
        <v>622</v>
      </c>
      <c r="E9" s="415"/>
      <c r="G9" s="415"/>
      <c r="H9" s="415"/>
      <c r="I9" s="415"/>
      <c r="J9" s="415"/>
      <c r="K9" s="415"/>
      <c r="L9" s="415"/>
    </row>
    <row r="10" spans="1:12" x14ac:dyDescent="0.2">
      <c r="B10" s="388"/>
      <c r="C10" s="415"/>
      <c r="D10" s="307" t="s">
        <v>628</v>
      </c>
      <c r="E10" s="415"/>
      <c r="G10" s="415"/>
      <c r="H10" s="415"/>
      <c r="I10" s="415"/>
      <c r="J10" s="415"/>
      <c r="K10" s="415"/>
      <c r="L10" s="415"/>
    </row>
    <row r="11" spans="1:12" x14ac:dyDescent="0.2">
      <c r="B11" s="388"/>
      <c r="C11" s="415"/>
      <c r="D11" s="307" t="s">
        <v>629</v>
      </c>
      <c r="E11" s="415"/>
      <c r="G11" s="415"/>
      <c r="H11" s="415"/>
      <c r="I11" s="415"/>
      <c r="J11" s="415"/>
      <c r="K11" s="415"/>
      <c r="L11" s="415"/>
    </row>
    <row r="12" spans="1:12" x14ac:dyDescent="0.2">
      <c r="B12" s="415"/>
      <c r="C12" s="307"/>
      <c r="D12" s="415"/>
      <c r="E12" s="415"/>
      <c r="F12" s="415"/>
      <c r="G12" s="415"/>
      <c r="H12" s="415"/>
      <c r="I12" s="415"/>
      <c r="J12" s="415"/>
      <c r="K12" s="415"/>
      <c r="L12" s="415"/>
    </row>
    <row r="13" spans="1:12" x14ac:dyDescent="0.2">
      <c r="B13" s="307" t="s">
        <v>630</v>
      </c>
      <c r="C13" s="415"/>
      <c r="D13" s="164" t="s">
        <v>631</v>
      </c>
      <c r="E13" s="417">
        <f>'Auto-Calibration record'!J17</f>
        <v>0</v>
      </c>
      <c r="F13" s="397" t="str">
        <f>"0"&amp;('Auto-Calibration record'!H15-200000)</f>
        <v>0-200001</v>
      </c>
      <c r="G13" s="415"/>
      <c r="H13" s="415"/>
      <c r="I13" s="415"/>
      <c r="J13" s="415"/>
      <c r="K13" s="415"/>
      <c r="L13" s="415"/>
    </row>
    <row r="14" spans="1:12" x14ac:dyDescent="0.2">
      <c r="B14" s="307" t="s">
        <v>632</v>
      </c>
      <c r="C14" s="415"/>
      <c r="D14" s="578" t="str">
        <f>'Auto-Calibration record'!H14</f>
        <v>5.6mg/l RM8631b</v>
      </c>
      <c r="E14" s="578"/>
      <c r="F14" s="578"/>
      <c r="G14" s="415"/>
      <c r="H14" s="415"/>
      <c r="I14" s="415"/>
      <c r="J14" s="415"/>
      <c r="K14" s="415"/>
      <c r="L14" s="415"/>
    </row>
    <row r="15" spans="1:12" x14ac:dyDescent="0.2">
      <c r="B15" s="307" t="s">
        <v>30</v>
      </c>
      <c r="C15" s="415"/>
      <c r="D15" s="164" t="s">
        <v>631</v>
      </c>
      <c r="E15" s="418" t="str">
        <f>F13</f>
        <v>0-200001</v>
      </c>
      <c r="F15" s="415"/>
      <c r="G15" s="415"/>
      <c r="H15" s="415"/>
      <c r="I15" s="415"/>
      <c r="J15" s="415"/>
      <c r="K15" s="415"/>
      <c r="L15" s="415"/>
    </row>
    <row r="16" spans="1:12" x14ac:dyDescent="0.2">
      <c r="A16" s="415"/>
      <c r="B16" s="307"/>
      <c r="C16" s="415"/>
      <c r="D16" s="416"/>
      <c r="E16" s="415"/>
      <c r="F16" s="388"/>
      <c r="G16" s="415"/>
      <c r="H16" s="415"/>
      <c r="I16" s="415"/>
      <c r="J16" s="415"/>
      <c r="K16" s="415"/>
      <c r="L16" s="415"/>
    </row>
    <row r="17" spans="1:12" ht="62.25" customHeight="1" x14ac:dyDescent="0.2">
      <c r="B17" s="579" t="s">
        <v>633</v>
      </c>
      <c r="C17" s="579"/>
      <c r="D17" s="579"/>
      <c r="E17" s="579"/>
      <c r="F17" s="579"/>
      <c r="G17" s="579"/>
      <c r="H17" s="579"/>
      <c r="I17" s="579"/>
      <c r="J17" s="419"/>
      <c r="K17" s="419"/>
      <c r="L17" s="419"/>
    </row>
    <row r="18" spans="1:12" ht="28.5" customHeight="1" x14ac:dyDescent="0.2">
      <c r="B18" s="579" t="s">
        <v>634</v>
      </c>
      <c r="C18" s="579"/>
      <c r="D18" s="579"/>
      <c r="E18" s="579"/>
      <c r="F18" s="579"/>
      <c r="G18" s="579"/>
      <c r="H18" s="579"/>
      <c r="I18" s="579"/>
      <c r="J18" s="419"/>
      <c r="K18" s="419"/>
      <c r="L18" s="419"/>
    </row>
    <row r="19" spans="1:12" x14ac:dyDescent="0.2">
      <c r="A19" s="416"/>
      <c r="B19" s="307"/>
      <c r="C19" s="416"/>
      <c r="D19" s="416"/>
      <c r="E19" s="416"/>
      <c r="F19" s="388"/>
      <c r="G19" s="416"/>
      <c r="H19" s="416"/>
      <c r="I19" s="416"/>
      <c r="J19" s="415"/>
      <c r="K19" s="415"/>
      <c r="L19" s="415"/>
    </row>
    <row r="20" spans="1:12" ht="35.25" customHeight="1" x14ac:dyDescent="0.2">
      <c r="B20" s="587" t="s">
        <v>635</v>
      </c>
      <c r="C20" s="587"/>
      <c r="D20" s="587"/>
      <c r="E20" s="587"/>
      <c r="F20" s="587"/>
      <c r="G20" s="587"/>
      <c r="H20" s="587"/>
      <c r="I20" s="587"/>
      <c r="J20" s="420"/>
      <c r="K20" s="420"/>
      <c r="L20" s="420"/>
    </row>
    <row r="21" spans="1:12" x14ac:dyDescent="0.2">
      <c r="A21" s="415"/>
      <c r="B21" s="307"/>
      <c r="C21" s="415"/>
      <c r="D21" s="416"/>
      <c r="E21" s="415"/>
      <c r="F21" s="388"/>
      <c r="G21" s="415"/>
      <c r="H21" s="415"/>
      <c r="I21" s="415"/>
      <c r="J21" s="415"/>
      <c r="K21" s="415"/>
      <c r="L21" s="415"/>
    </row>
    <row r="22" spans="1:12" x14ac:dyDescent="0.2">
      <c r="A22" s="415"/>
      <c r="B22" s="307" t="s">
        <v>636</v>
      </c>
      <c r="C22" s="415"/>
      <c r="D22" s="416"/>
      <c r="E22" s="415"/>
      <c r="F22" s="388"/>
      <c r="G22" s="415"/>
      <c r="H22" s="415"/>
      <c r="I22" s="415"/>
      <c r="J22" s="415"/>
      <c r="K22" s="415"/>
      <c r="L22" s="415"/>
    </row>
    <row r="23" spans="1:12" x14ac:dyDescent="0.2">
      <c r="D23" s="6"/>
      <c r="F23" s="66"/>
    </row>
    <row r="24" spans="1:12" ht="15" x14ac:dyDescent="0.2">
      <c r="B24" s="67"/>
      <c r="D24" s="6"/>
      <c r="F24" s="66"/>
    </row>
    <row r="25" spans="1:12" x14ac:dyDescent="0.2">
      <c r="B25" s="307" t="s">
        <v>637</v>
      </c>
      <c r="D25" s="590">
        <f>'Auto-Calibration record'!H16</f>
        <v>46189.599999999999</v>
      </c>
      <c r="E25" s="590"/>
      <c r="G25" s="307" t="s">
        <v>638</v>
      </c>
    </row>
    <row r="26" spans="1:12" ht="15" x14ac:dyDescent="0.2">
      <c r="B26" s="67"/>
      <c r="D26" s="6"/>
      <c r="G26" s="66"/>
    </row>
    <row r="27" spans="1:12" ht="15" x14ac:dyDescent="0.2">
      <c r="B27" s="67"/>
      <c r="D27" s="6"/>
      <c r="G27" s="66"/>
    </row>
    <row r="28" spans="1:12" x14ac:dyDescent="0.2">
      <c r="D28" s="6"/>
    </row>
    <row r="29" spans="1:12" x14ac:dyDescent="0.2">
      <c r="C29" s="66"/>
      <c r="D29" s="6"/>
      <c r="G29" s="307" t="s">
        <v>639</v>
      </c>
    </row>
    <row r="30" spans="1:12" ht="13.5" x14ac:dyDescent="0.2">
      <c r="A30" s="68" t="s">
        <v>640</v>
      </c>
      <c r="C30" s="66"/>
      <c r="D30" s="6"/>
    </row>
    <row r="32" spans="1:12" ht="27.75" x14ac:dyDescent="0.4">
      <c r="A32" s="61" t="s">
        <v>620</v>
      </c>
    </row>
    <row r="33" spans="1:12" ht="18" x14ac:dyDescent="0.25">
      <c r="A33" s="62" t="s">
        <v>621</v>
      </c>
    </row>
    <row r="35" spans="1:12" x14ac:dyDescent="0.2">
      <c r="A35" s="63" t="s">
        <v>622</v>
      </c>
      <c r="B35" s="63"/>
      <c r="C35" s="63" t="s">
        <v>623</v>
      </c>
      <c r="D35" s="63"/>
      <c r="E35" s="63" t="s">
        <v>624</v>
      </c>
      <c r="F35" s="63"/>
      <c r="G35" s="63"/>
      <c r="H35" s="63"/>
      <c r="I35" s="63"/>
    </row>
    <row r="36" spans="1:12" ht="27" thickBot="1" x14ac:dyDescent="0.45">
      <c r="A36" s="64"/>
      <c r="B36" s="64"/>
      <c r="C36" s="65" t="s">
        <v>625</v>
      </c>
      <c r="D36" s="64"/>
      <c r="E36" s="64"/>
      <c r="F36" s="64"/>
      <c r="G36" s="64"/>
      <c r="H36" s="64"/>
      <c r="I36" s="64"/>
      <c r="J36" s="153"/>
      <c r="K36" s="60"/>
    </row>
    <row r="37" spans="1:12" ht="13.5" thickTop="1" x14ac:dyDescent="0.2"/>
    <row r="39" spans="1:12" s="59" customFormat="1" ht="18.75" thickBot="1" x14ac:dyDescent="0.3">
      <c r="A39" s="70" t="s">
        <v>641</v>
      </c>
      <c r="B39" s="69"/>
      <c r="C39" s="69"/>
      <c r="D39" s="69"/>
      <c r="E39" s="69"/>
      <c r="F39" s="69"/>
      <c r="G39" s="69"/>
      <c r="H39" s="69"/>
      <c r="I39" s="69"/>
      <c r="J39" s="153"/>
    </row>
    <row r="40" spans="1:12" s="59" customFormat="1" ht="13.5" thickTop="1" x14ac:dyDescent="0.2">
      <c r="A40" s="1"/>
      <c r="B40" s="1"/>
      <c r="C40" s="1"/>
      <c r="D40" s="1"/>
      <c r="E40" s="1"/>
      <c r="F40" s="1"/>
    </row>
    <row r="41" spans="1:12" x14ac:dyDescent="0.2">
      <c r="A41" s="59"/>
      <c r="C41" s="85" t="s">
        <v>642</v>
      </c>
      <c r="D41" s="71"/>
      <c r="E41" s="588" t="str">
        <f>'Auto-Calibration record'!H14</f>
        <v>5.6mg/l RM8631b</v>
      </c>
      <c r="F41" s="589"/>
      <c r="G41" s="183"/>
    </row>
    <row r="42" spans="1:12" x14ac:dyDescent="0.2">
      <c r="A42" s="59"/>
      <c r="C42" s="421" t="s">
        <v>643</v>
      </c>
      <c r="D42" s="422"/>
      <c r="E42" s="165" t="s">
        <v>631</v>
      </c>
      <c r="F42" s="150" t="str">
        <f>E15</f>
        <v>0-200001</v>
      </c>
    </row>
    <row r="43" spans="1:12" x14ac:dyDescent="0.2">
      <c r="A43" s="59"/>
      <c r="C43" s="85" t="s">
        <v>644</v>
      </c>
      <c r="D43" s="71"/>
      <c r="E43" s="585" t="s">
        <v>645</v>
      </c>
      <c r="F43" s="586"/>
      <c r="G43" s="59"/>
    </row>
    <row r="44" spans="1:12" x14ac:dyDescent="0.2">
      <c r="C44" s="86" t="s">
        <v>646</v>
      </c>
      <c r="D44" s="73"/>
      <c r="E44" s="585">
        <f>'Auto-Calibration record'!B17</f>
        <v>0</v>
      </c>
      <c r="F44" s="586"/>
      <c r="G44" s="59"/>
      <c r="H44" s="4"/>
      <c r="I44" s="4"/>
      <c r="J44" s="4"/>
      <c r="K44" s="4"/>
      <c r="L44" s="4"/>
    </row>
    <row r="45" spans="1:12" x14ac:dyDescent="0.2">
      <c r="C45" s="85" t="s">
        <v>647</v>
      </c>
      <c r="D45" s="71"/>
      <c r="E45" s="585">
        <f>'Auto-Calibration record'!B11</f>
        <v>34</v>
      </c>
      <c r="F45" s="586"/>
      <c r="G45" s="59"/>
    </row>
    <row r="46" spans="1:12" x14ac:dyDescent="0.2">
      <c r="A46" s="59"/>
      <c r="C46" s="85" t="s">
        <v>648</v>
      </c>
      <c r="D46" s="71"/>
      <c r="E46" s="585" t="s">
        <v>649</v>
      </c>
      <c r="F46" s="586"/>
      <c r="G46" s="59"/>
    </row>
    <row r="47" spans="1:12" s="2" customFormat="1" x14ac:dyDescent="0.2">
      <c r="A47" s="1"/>
      <c r="C47" s="85" t="s">
        <v>650</v>
      </c>
      <c r="D47" s="71"/>
      <c r="E47" s="585" t="s">
        <v>651</v>
      </c>
      <c r="F47" s="586"/>
      <c r="G47" s="59"/>
    </row>
    <row r="48" spans="1:12" x14ac:dyDescent="0.2">
      <c r="B48" s="59"/>
      <c r="C48" s="59"/>
      <c r="D48" s="4"/>
      <c r="E48" s="4"/>
      <c r="F48" s="4"/>
    </row>
    <row r="49" spans="1:10" s="59" customFormat="1" x14ac:dyDescent="0.2">
      <c r="A49" s="74" t="s">
        <v>652</v>
      </c>
      <c r="B49" s="1"/>
      <c r="C49" s="1"/>
      <c r="D49" s="1"/>
      <c r="E49" s="1"/>
      <c r="F49" s="1"/>
    </row>
    <row r="50" spans="1:10" s="59" customFormat="1" x14ac:dyDescent="0.2">
      <c r="A50" s="74"/>
      <c r="B50" s="1"/>
      <c r="C50" s="1"/>
      <c r="D50" s="1"/>
      <c r="E50" s="1"/>
      <c r="F50" s="1"/>
    </row>
    <row r="51" spans="1:10" s="59" customFormat="1" x14ac:dyDescent="0.2">
      <c r="A51" s="74"/>
      <c r="B51" s="1"/>
      <c r="C51" s="1"/>
      <c r="D51" s="1"/>
      <c r="E51" s="1"/>
      <c r="F51" s="1"/>
    </row>
    <row r="52" spans="1:10" s="59" customFormat="1" ht="18.75" thickBot="1" x14ac:dyDescent="0.3">
      <c r="A52" s="70" t="s">
        <v>653</v>
      </c>
      <c r="B52" s="69"/>
      <c r="C52" s="69"/>
      <c r="D52" s="69"/>
      <c r="E52" s="69"/>
      <c r="F52" s="69"/>
      <c r="G52" s="69"/>
      <c r="H52" s="69"/>
      <c r="I52" s="69"/>
      <c r="J52" s="153"/>
    </row>
    <row r="53" spans="1:10" s="59" customFormat="1" ht="13.5" thickTop="1" x14ac:dyDescent="0.2">
      <c r="A53" s="1"/>
      <c r="B53" s="1"/>
      <c r="C53" s="1"/>
    </row>
    <row r="54" spans="1:10" s="59" customFormat="1" ht="13.5" thickBot="1" x14ac:dyDescent="0.25">
      <c r="B54" s="1" t="s">
        <v>654</v>
      </c>
      <c r="C54" s="1"/>
    </row>
    <row r="55" spans="1:10" s="59" customFormat="1" ht="63.75" customHeight="1" x14ac:dyDescent="0.2">
      <c r="B55" s="75" t="s">
        <v>578</v>
      </c>
      <c r="C55" s="76" t="s">
        <v>579</v>
      </c>
      <c r="D55" s="583" t="s">
        <v>655</v>
      </c>
      <c r="E55" s="583"/>
      <c r="F55" s="78" t="s">
        <v>656</v>
      </c>
      <c r="G55" s="77" t="s">
        <v>582</v>
      </c>
      <c r="H55" s="79" t="s">
        <v>582</v>
      </c>
      <c r="I55" s="2"/>
    </row>
    <row r="56" spans="1:10" s="2" customFormat="1" x14ac:dyDescent="0.2">
      <c r="A56" s="59"/>
      <c r="B56" s="140" t="s">
        <v>657</v>
      </c>
      <c r="C56" s="141" t="s">
        <v>585</v>
      </c>
      <c r="D56" s="584" t="s">
        <v>658</v>
      </c>
      <c r="E56" s="584"/>
      <c r="F56" s="143" t="s">
        <v>658</v>
      </c>
      <c r="G56" s="142" t="s">
        <v>658</v>
      </c>
      <c r="H56" s="144" t="s">
        <v>587</v>
      </c>
      <c r="I56" s="80"/>
    </row>
    <row r="57" spans="1:10" x14ac:dyDescent="0.2">
      <c r="A57" s="59"/>
      <c r="B57" s="146">
        <v>4</v>
      </c>
      <c r="C57" s="145">
        <f>'Auto-Calibration record'!B65</f>
        <v>76</v>
      </c>
      <c r="D57" s="581">
        <f>'Auto-Calibration record'!B68</f>
        <v>1056340</v>
      </c>
      <c r="E57" s="582"/>
      <c r="F57" s="160">
        <f>'Auto-Calibration record'!I68</f>
        <v>1072929</v>
      </c>
      <c r="G57" s="145">
        <f t="shared" ref="G57:G62" si="0">F57-D57</f>
        <v>16589</v>
      </c>
      <c r="H57" s="147">
        <f t="shared" ref="H57:H62" si="1">G57/D57</f>
        <v>1.5704224018781833E-2</v>
      </c>
      <c r="I57" s="81"/>
    </row>
    <row r="58" spans="1:10" s="59" customFormat="1" x14ac:dyDescent="0.2">
      <c r="A58" s="2"/>
      <c r="B58" s="146">
        <v>6</v>
      </c>
      <c r="C58" s="145">
        <f>'Auto-Calibration record'!C65</f>
        <v>180</v>
      </c>
      <c r="D58" s="581">
        <f>'Auto-Calibration record'!B69</f>
        <v>459350</v>
      </c>
      <c r="E58" s="582"/>
      <c r="F58" s="160">
        <f>'Auto-Calibration record'!I69</f>
        <v>463329</v>
      </c>
      <c r="G58" s="145">
        <f t="shared" si="0"/>
        <v>3979</v>
      </c>
      <c r="H58" s="147">
        <f t="shared" si="1"/>
        <v>8.6622401219113958E-3</v>
      </c>
      <c r="I58" s="81"/>
    </row>
    <row r="59" spans="1:10" x14ac:dyDescent="0.2">
      <c r="B59" s="146">
        <v>14</v>
      </c>
      <c r="C59" s="145">
        <f>'Auto-Calibration record'!D65</f>
        <v>994</v>
      </c>
      <c r="D59" s="581">
        <f>'Auto-Calibration record'!B71</f>
        <v>36410</v>
      </c>
      <c r="E59" s="582"/>
      <c r="F59" s="160">
        <f>'Auto-Calibration record'!I71</f>
        <v>37037</v>
      </c>
      <c r="G59" s="145">
        <f t="shared" si="0"/>
        <v>627</v>
      </c>
      <c r="H59" s="147">
        <f t="shared" si="1"/>
        <v>1.7220543806646525E-2</v>
      </c>
      <c r="I59" s="81"/>
    </row>
    <row r="60" spans="1:10" x14ac:dyDescent="0.2">
      <c r="A60" s="59"/>
      <c r="B60" s="146">
        <v>21</v>
      </c>
      <c r="C60" s="145">
        <f>'Auto-Calibration record'!E65</f>
        <v>2074</v>
      </c>
      <c r="D60" s="581">
        <f>'Auto-Calibration record'!B72</f>
        <v>10940</v>
      </c>
      <c r="E60" s="582"/>
      <c r="F60" s="160">
        <f>'Auto-Calibration record'!I72</f>
        <v>10731</v>
      </c>
      <c r="G60" s="145">
        <f t="shared" si="0"/>
        <v>-209</v>
      </c>
      <c r="H60" s="147">
        <f t="shared" si="1"/>
        <v>-1.910420475319927E-2</v>
      </c>
      <c r="I60" s="81"/>
    </row>
    <row r="61" spans="1:10" x14ac:dyDescent="0.2">
      <c r="B61" s="146">
        <v>25</v>
      </c>
      <c r="C61" s="145">
        <f>'Auto-Calibration record'!F65</f>
        <v>3050</v>
      </c>
      <c r="D61" s="581">
        <f>'Auto-Calibration record'!B73</f>
        <v>5210</v>
      </c>
      <c r="E61" s="582"/>
      <c r="F61" s="160">
        <f>'Auto-Calibration record'!I73</f>
        <v>5199</v>
      </c>
      <c r="G61" s="145">
        <f t="shared" si="0"/>
        <v>-11</v>
      </c>
      <c r="H61" s="147">
        <f t="shared" si="1"/>
        <v>-2.1113243761996161E-3</v>
      </c>
      <c r="I61" s="81"/>
    </row>
    <row r="62" spans="1:10" x14ac:dyDescent="0.2">
      <c r="A62" s="2"/>
      <c r="B62" s="146">
        <v>38</v>
      </c>
      <c r="C62" s="145">
        <f>'Auto-Calibration record'!G65</f>
        <v>9964</v>
      </c>
      <c r="D62" s="581">
        <f>'Auto-Calibration record'!B74</f>
        <v>611.721</v>
      </c>
      <c r="E62" s="582"/>
      <c r="F62" s="160">
        <f>'Auto-Calibration record'!I74</f>
        <v>579</v>
      </c>
      <c r="G62" s="145">
        <f t="shared" si="0"/>
        <v>-32.721000000000004</v>
      </c>
      <c r="H62" s="147">
        <f t="shared" si="1"/>
        <v>-5.3490071454143313E-2</v>
      </c>
      <c r="I62" s="81"/>
    </row>
    <row r="63" spans="1:10" x14ac:dyDescent="0.2">
      <c r="B63" s="146" t="s">
        <v>659</v>
      </c>
      <c r="C63" s="145">
        <f>'Auto-Calibration record'!H65</f>
        <v>16287</v>
      </c>
      <c r="D63" s="581">
        <f>'Auto-Calibration record'!B75</f>
        <v>145.303</v>
      </c>
      <c r="E63" s="582"/>
      <c r="F63" s="160">
        <f>'Auto-Calibration record'!I75</f>
        <v>115</v>
      </c>
      <c r="G63" s="423" t="s">
        <v>23</v>
      </c>
      <c r="H63" s="424" t="s">
        <v>23</v>
      </c>
      <c r="I63" s="81"/>
    </row>
    <row r="64" spans="1:10" ht="13.5" thickBot="1" x14ac:dyDescent="0.25">
      <c r="A64" s="59"/>
      <c r="B64" s="148" t="s">
        <v>660</v>
      </c>
      <c r="C64" s="149">
        <f>'Auto-Calibration record'!I65</f>
        <v>25144</v>
      </c>
      <c r="D64" s="581">
        <f>'Auto-Calibration record'!B76</f>
        <v>24.939</v>
      </c>
      <c r="E64" s="582"/>
      <c r="F64" s="161">
        <f>'Auto-Calibration record'!I76</f>
        <v>37</v>
      </c>
      <c r="G64" s="425" t="s">
        <v>23</v>
      </c>
      <c r="H64" s="426" t="s">
        <v>23</v>
      </c>
      <c r="I64" s="81"/>
    </row>
    <row r="65" spans="2:7" x14ac:dyDescent="0.2">
      <c r="B65" s="580" t="s">
        <v>661</v>
      </c>
      <c r="C65" s="580"/>
      <c r="D65" s="580"/>
      <c r="E65" s="580"/>
      <c r="F65" s="580"/>
      <c r="G65" s="580"/>
    </row>
    <row r="67" spans="2:7" x14ac:dyDescent="0.2">
      <c r="B67" s="84" t="s">
        <v>662</v>
      </c>
      <c r="C67" s="82">
        <f>'Auto-Calibration record'!H16</f>
        <v>46189.599999999999</v>
      </c>
    </row>
    <row r="72" spans="2:7" x14ac:dyDescent="0.2">
      <c r="F72" s="6" t="s">
        <v>639</v>
      </c>
    </row>
    <row r="74" spans="2:7" x14ac:dyDescent="0.2">
      <c r="B74" s="83" t="s">
        <v>663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664</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162" t="str">
        <f>'Auto-Calibration record'!H19</f>
        <v>NOT SET</v>
      </c>
    </row>
    <row r="20" spans="2:15" ht="25.5" customHeight="1" x14ac:dyDescent="0.25">
      <c r="B20" s="101"/>
      <c r="D20" s="126"/>
      <c r="E20" s="133"/>
      <c r="F20" s="127"/>
      <c r="K20" s="101"/>
      <c r="L20" s="102"/>
      <c r="M20" s="102"/>
      <c r="N20" s="102"/>
      <c r="O20" s="58"/>
    </row>
    <row r="21" spans="2:15" ht="34.5" customHeight="1" x14ac:dyDescent="0.25">
      <c r="B21" s="101"/>
      <c r="D21" s="135" t="s">
        <v>665</v>
      </c>
      <c r="E21" s="591" t="s">
        <v>666</v>
      </c>
      <c r="F21" s="591"/>
      <c r="G21" s="591" t="s">
        <v>667</v>
      </c>
      <c r="H21" s="591"/>
      <c r="I21" s="591" t="s">
        <v>668</v>
      </c>
      <c r="J21" s="591"/>
      <c r="M21" s="102"/>
      <c r="N21" s="102"/>
      <c r="O21" s="128"/>
    </row>
    <row r="22" spans="2:15" ht="18" x14ac:dyDescent="0.25">
      <c r="B22" s="101"/>
      <c r="D22" s="134" t="s">
        <v>669</v>
      </c>
      <c r="E22" s="592" t="s">
        <v>670</v>
      </c>
      <c r="F22" s="592"/>
      <c r="G22" s="592" t="s">
        <v>671</v>
      </c>
      <c r="H22" s="592"/>
      <c r="I22" s="592">
        <v>5226</v>
      </c>
      <c r="J22" s="592"/>
      <c r="M22" s="102"/>
      <c r="N22" s="102"/>
      <c r="O22" s="128"/>
    </row>
    <row r="23" spans="2:15" ht="14.25" customHeight="1" x14ac:dyDescent="0.25">
      <c r="B23" s="101"/>
      <c r="D23" s="134" t="s">
        <v>672</v>
      </c>
      <c r="E23" s="592" t="s">
        <v>670</v>
      </c>
      <c r="F23" s="592"/>
      <c r="G23" s="592" t="s">
        <v>671</v>
      </c>
      <c r="H23" s="592"/>
      <c r="I23" s="592">
        <v>5306</v>
      </c>
      <c r="J23" s="592"/>
      <c r="M23" s="102"/>
      <c r="N23" s="102"/>
      <c r="O23" s="128"/>
    </row>
    <row r="24" spans="2:15" ht="14.25" customHeight="1" x14ac:dyDescent="0.25">
      <c r="B24" s="101"/>
      <c r="D24" s="134" t="s">
        <v>673</v>
      </c>
      <c r="E24" s="592" t="s">
        <v>670</v>
      </c>
      <c r="F24" s="592"/>
      <c r="G24" s="592" t="s">
        <v>671</v>
      </c>
      <c r="H24" s="592"/>
      <c r="I24" s="592">
        <v>5326</v>
      </c>
      <c r="J24" s="592"/>
      <c r="M24" s="102"/>
      <c r="N24" s="102"/>
      <c r="O24" s="128"/>
    </row>
    <row r="25" spans="2:15" ht="14.25" customHeight="1" x14ac:dyDescent="0.25">
      <c r="B25" s="101"/>
      <c r="D25" s="134" t="s">
        <v>674</v>
      </c>
      <c r="E25" s="592" t="s">
        <v>670</v>
      </c>
      <c r="F25" s="592"/>
      <c r="G25" s="592" t="s">
        <v>671</v>
      </c>
      <c r="H25" s="592"/>
      <c r="I25" s="592">
        <v>5529</v>
      </c>
      <c r="J25" s="592"/>
      <c r="M25" s="102"/>
      <c r="N25" s="102"/>
      <c r="O25" s="128"/>
    </row>
    <row r="26" spans="2:15" ht="14.25" customHeight="1" x14ac:dyDescent="0.25">
      <c r="B26" s="101"/>
      <c r="D26" s="126"/>
      <c r="E26" s="127"/>
      <c r="K26" s="101"/>
      <c r="L26" s="102"/>
      <c r="M26" s="102"/>
      <c r="N26" s="102"/>
      <c r="O26" s="128"/>
    </row>
    <row r="27" spans="2:15" ht="15.75" x14ac:dyDescent="0.25">
      <c r="B27" s="103" t="s">
        <v>575</v>
      </c>
    </row>
    <row r="28" spans="2:15" ht="15.75" x14ac:dyDescent="0.25">
      <c r="B28" s="103" t="s">
        <v>576</v>
      </c>
      <c r="O28" s="104"/>
    </row>
    <row r="29" spans="2:15" ht="15.75" x14ac:dyDescent="0.25">
      <c r="B29" s="103" t="s">
        <v>577</v>
      </c>
    </row>
    <row r="30" spans="2:15" ht="15.75" x14ac:dyDescent="0.25">
      <c r="B30" s="103"/>
    </row>
    <row r="31" spans="2:15" x14ac:dyDescent="0.2">
      <c r="B31" s="105"/>
    </row>
    <row r="32" spans="2:15" s="106" customFormat="1" ht="67.5" customHeight="1" x14ac:dyDescent="0.2">
      <c r="D32" s="550" t="s">
        <v>578</v>
      </c>
      <c r="E32" s="550"/>
      <c r="F32" s="550" t="s">
        <v>579</v>
      </c>
      <c r="G32" s="550"/>
      <c r="H32" s="550" t="s">
        <v>580</v>
      </c>
      <c r="I32" s="550"/>
      <c r="J32" s="107" t="s">
        <v>581</v>
      </c>
      <c r="K32" s="107" t="s">
        <v>582</v>
      </c>
      <c r="L32" s="107" t="s">
        <v>583</v>
      </c>
    </row>
    <row r="33" spans="2:12" s="108" customFormat="1" ht="25.9" customHeight="1" x14ac:dyDescent="0.2">
      <c r="D33" s="551" t="s">
        <v>584</v>
      </c>
      <c r="E33" s="551"/>
      <c r="F33" s="551" t="s">
        <v>585</v>
      </c>
      <c r="G33" s="551"/>
      <c r="H33" s="551" t="s">
        <v>586</v>
      </c>
      <c r="I33" s="551"/>
      <c r="J33" s="109" t="s">
        <v>586</v>
      </c>
      <c r="K33" s="109" t="s">
        <v>586</v>
      </c>
      <c r="L33" s="109" t="s">
        <v>587</v>
      </c>
    </row>
    <row r="34" spans="2:12" s="108" customFormat="1" ht="25.9" customHeight="1" x14ac:dyDescent="0.2">
      <c r="D34" s="552" t="s">
        <v>588</v>
      </c>
      <c r="E34" s="552"/>
      <c r="F34" s="567">
        <f>'Auto-Calibration record'!B65</f>
        <v>76</v>
      </c>
      <c r="G34" s="567"/>
      <c r="H34" s="563">
        <f>'Auto-Calibration record'!B68</f>
        <v>1056340</v>
      </c>
      <c r="I34" s="593"/>
      <c r="J34" s="158">
        <f>'Auto-Calibration record'!I68</f>
        <v>1072929</v>
      </c>
      <c r="K34" s="159">
        <f t="shared" ref="K34:K39" si="0">J34-H34</f>
        <v>16589</v>
      </c>
      <c r="L34" s="111">
        <f t="shared" ref="L34:L39" si="1">K34/H34</f>
        <v>1.5704224018781833E-2</v>
      </c>
    </row>
    <row r="35" spans="2:12" s="108" customFormat="1" ht="25.9" customHeight="1" x14ac:dyDescent="0.2">
      <c r="D35" s="552" t="s">
        <v>589</v>
      </c>
      <c r="E35" s="552"/>
      <c r="F35" s="567">
        <f>'Auto-Calibration record'!C65</f>
        <v>180</v>
      </c>
      <c r="G35" s="567"/>
      <c r="H35" s="563">
        <f>'Auto-Calibration record'!B69</f>
        <v>459350</v>
      </c>
      <c r="I35" s="593"/>
      <c r="J35" s="158">
        <f>'Auto-Calibration record'!I69</f>
        <v>463329</v>
      </c>
      <c r="K35" s="159">
        <f t="shared" si="0"/>
        <v>3979</v>
      </c>
      <c r="L35" s="111">
        <f t="shared" si="1"/>
        <v>8.6622401219113958E-3</v>
      </c>
    </row>
    <row r="36" spans="2:12" s="108" customFormat="1" ht="25.9" customHeight="1" x14ac:dyDescent="0.2">
      <c r="D36" s="552" t="s">
        <v>590</v>
      </c>
      <c r="E36" s="552"/>
      <c r="F36" s="567">
        <f>'Auto-Calibration record'!D65</f>
        <v>994</v>
      </c>
      <c r="G36" s="567"/>
      <c r="H36" s="563">
        <f>'Auto-Calibration record'!B71</f>
        <v>36410</v>
      </c>
      <c r="I36" s="593"/>
      <c r="J36" s="158">
        <f>'Auto-Calibration record'!I71</f>
        <v>37037</v>
      </c>
      <c r="K36" s="159">
        <f t="shared" si="0"/>
        <v>627</v>
      </c>
      <c r="L36" s="111">
        <f t="shared" si="1"/>
        <v>1.7220543806646525E-2</v>
      </c>
    </row>
    <row r="37" spans="2:12" s="108" customFormat="1" ht="25.9" customHeight="1" x14ac:dyDescent="0.2">
      <c r="D37" s="552" t="s">
        <v>591</v>
      </c>
      <c r="E37" s="552"/>
      <c r="F37" s="567">
        <f>'Auto-Calibration record'!E65</f>
        <v>2074</v>
      </c>
      <c r="G37" s="567"/>
      <c r="H37" s="563">
        <f>'Auto-Calibration record'!B72</f>
        <v>10940</v>
      </c>
      <c r="I37" s="593"/>
      <c r="J37" s="158">
        <f>'Auto-Calibration record'!I72</f>
        <v>10731</v>
      </c>
      <c r="K37" s="159">
        <f t="shared" si="0"/>
        <v>-209</v>
      </c>
      <c r="L37" s="111">
        <f t="shared" si="1"/>
        <v>-1.910420475319927E-2</v>
      </c>
    </row>
    <row r="38" spans="2:12" s="108" customFormat="1" ht="25.9" customHeight="1" x14ac:dyDescent="0.2">
      <c r="D38" s="552" t="s">
        <v>592</v>
      </c>
      <c r="E38" s="552"/>
      <c r="F38" s="567">
        <f>'Auto-Calibration record'!F65</f>
        <v>3050</v>
      </c>
      <c r="G38" s="567"/>
      <c r="H38" s="563">
        <f>'Auto-Calibration record'!B73</f>
        <v>5210</v>
      </c>
      <c r="I38" s="593"/>
      <c r="J38" s="158">
        <f>'Auto-Calibration record'!I73</f>
        <v>5199</v>
      </c>
      <c r="K38" s="159">
        <f t="shared" si="0"/>
        <v>-11</v>
      </c>
      <c r="L38" s="111">
        <f t="shared" si="1"/>
        <v>-2.1113243761996161E-3</v>
      </c>
    </row>
    <row r="39" spans="2:12" s="108" customFormat="1" ht="25.9" customHeight="1" x14ac:dyDescent="0.2">
      <c r="D39" s="552" t="s">
        <v>593</v>
      </c>
      <c r="E39" s="552"/>
      <c r="F39" s="567">
        <f>'Auto-Calibration record'!G65</f>
        <v>9964</v>
      </c>
      <c r="G39" s="567"/>
      <c r="H39" s="563">
        <f>'Auto-Calibration record'!B74</f>
        <v>611.721</v>
      </c>
      <c r="I39" s="593"/>
      <c r="J39" s="158">
        <f>'Auto-Calibration record'!I74</f>
        <v>579</v>
      </c>
      <c r="K39" s="159">
        <f t="shared" si="0"/>
        <v>-32.721000000000004</v>
      </c>
      <c r="L39" s="111">
        <f t="shared" si="1"/>
        <v>-5.3490071454143313E-2</v>
      </c>
    </row>
    <row r="40" spans="2:12" s="108" customFormat="1" ht="25.9" customHeight="1" x14ac:dyDescent="0.2">
      <c r="D40" s="552" t="s">
        <v>594</v>
      </c>
      <c r="E40" s="552"/>
      <c r="F40" s="567">
        <f>'Auto-Calibration record'!H65</f>
        <v>16287</v>
      </c>
      <c r="G40" s="567"/>
      <c r="H40" s="563">
        <f>'Auto-Calibration record'!B75</f>
        <v>145.303</v>
      </c>
      <c r="I40" s="593"/>
      <c r="J40" s="158">
        <f>'Auto-Calibration record'!I75</f>
        <v>115</v>
      </c>
      <c r="K40" s="159" t="s">
        <v>23</v>
      </c>
      <c r="L40" s="112" t="s">
        <v>23</v>
      </c>
    </row>
    <row r="41" spans="2:12" s="102" customFormat="1" ht="25.9" customHeight="1" x14ac:dyDescent="0.25">
      <c r="D41" s="552" t="s">
        <v>595</v>
      </c>
      <c r="E41" s="552"/>
      <c r="F41" s="568">
        <f>'Auto-Calibration record'!I65</f>
        <v>25144</v>
      </c>
      <c r="G41" s="568"/>
      <c r="H41" s="563">
        <f>'Auto-Calibration record'!B76</f>
        <v>24.939</v>
      </c>
      <c r="I41" s="593"/>
      <c r="J41" s="158">
        <f>'Auto-Calibration record'!I76</f>
        <v>37</v>
      </c>
      <c r="K41" s="159" t="s">
        <v>23</v>
      </c>
      <c r="L41" s="112" t="s">
        <v>23</v>
      </c>
    </row>
    <row r="42" spans="2:12" ht="20.25" x14ac:dyDescent="0.3">
      <c r="D42" s="113" t="s">
        <v>596</v>
      </c>
      <c r="E42" s="114"/>
      <c r="F42" s="114"/>
      <c r="G42" s="114"/>
      <c r="H42" s="114"/>
      <c r="I42" s="114"/>
      <c r="J42" s="114"/>
      <c r="K42" s="114"/>
    </row>
    <row r="43" spans="2:12" ht="20.25" x14ac:dyDescent="0.3">
      <c r="B43" s="115"/>
      <c r="D43" s="114"/>
      <c r="E43" s="114"/>
      <c r="F43" s="114"/>
      <c r="G43" s="114"/>
      <c r="H43" s="114"/>
      <c r="I43" s="114"/>
      <c r="J43" s="114"/>
      <c r="K43" s="114"/>
    </row>
    <row r="44" spans="2:12" ht="81" customHeight="1" x14ac:dyDescent="0.2">
      <c r="B44" s="115"/>
      <c r="D44" s="107" t="s">
        <v>597</v>
      </c>
      <c r="E44" s="550" t="s">
        <v>598</v>
      </c>
      <c r="F44" s="550"/>
      <c r="G44" s="550" t="s">
        <v>599</v>
      </c>
      <c r="H44" s="550"/>
      <c r="I44" s="108"/>
      <c r="J44" s="107" t="s">
        <v>675</v>
      </c>
      <c r="K44" s="107" t="s">
        <v>676</v>
      </c>
      <c r="L44" s="107" t="s">
        <v>599</v>
      </c>
    </row>
    <row r="45" spans="2:12" ht="25.9" customHeight="1" x14ac:dyDescent="0.2">
      <c r="B45" s="115"/>
      <c r="D45" s="109" t="s">
        <v>585</v>
      </c>
      <c r="E45" s="551" t="s">
        <v>585</v>
      </c>
      <c r="F45" s="551"/>
      <c r="G45" s="551" t="s">
        <v>600</v>
      </c>
      <c r="H45" s="551"/>
      <c r="I45" s="116"/>
      <c r="J45" s="109" t="s">
        <v>585</v>
      </c>
      <c r="K45" s="109" t="s">
        <v>585</v>
      </c>
      <c r="L45" s="109" t="s">
        <v>600</v>
      </c>
    </row>
    <row r="46" spans="2:12" ht="25.9" customHeight="1" x14ac:dyDescent="0.2">
      <c r="B46" s="115"/>
      <c r="D46" s="129">
        <f>'Auto-Calibration record'!B17</f>
        <v>0</v>
      </c>
      <c r="E46" s="563">
        <f>F34-D46</f>
        <v>76</v>
      </c>
      <c r="F46" s="563"/>
      <c r="G46" s="577" t="e">
        <f>F34/D46</f>
        <v>#DIV/0!</v>
      </c>
      <c r="H46" s="577"/>
      <c r="I46" s="116"/>
      <c r="J46" s="129">
        <f>'Auto-Calibration record'!B11</f>
        <v>34</v>
      </c>
      <c r="K46" s="159">
        <f>F35-J46</f>
        <v>146</v>
      </c>
      <c r="L46" s="151">
        <f>F35/J46</f>
        <v>5.2941176470588234</v>
      </c>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x14ac:dyDescent="0.2">
      <c r="B69" s="115"/>
    </row>
    <row r="70" spans="2:16" x14ac:dyDescent="0.2">
      <c r="B70" s="115"/>
    </row>
    <row r="71" spans="2:16" x14ac:dyDescent="0.2">
      <c r="B71" s="115"/>
    </row>
    <row r="72" spans="2:16" x14ac:dyDescent="0.2">
      <c r="B72" s="115"/>
    </row>
    <row r="73" spans="2:16" x14ac:dyDescent="0.2">
      <c r="B73" s="115"/>
    </row>
    <row r="74" spans="2:16" x14ac:dyDescent="0.2">
      <c r="B74" s="115"/>
    </row>
    <row r="75" spans="2:16" ht="13.5" thickBot="1" x14ac:dyDescent="0.25">
      <c r="B75" s="118"/>
      <c r="C75" s="119"/>
      <c r="D75" s="119"/>
      <c r="E75" s="119"/>
      <c r="F75" s="119"/>
      <c r="G75" s="119"/>
      <c r="H75" s="119"/>
      <c r="I75" s="119"/>
      <c r="J75" s="119"/>
      <c r="K75" s="119"/>
      <c r="L75" s="119"/>
      <c r="M75" s="119"/>
      <c r="N75" s="119"/>
      <c r="O75" s="119"/>
      <c r="P75" s="119"/>
    </row>
    <row r="76" spans="2:16" ht="13.5" thickTop="1" x14ac:dyDescent="0.2">
      <c r="B76" s="115"/>
    </row>
    <row r="77" spans="2:16" ht="25.9" customHeight="1" x14ac:dyDescent="0.2"/>
    <row r="78" spans="2:16" s="88" customFormat="1" ht="25.9" customHeight="1" x14ac:dyDescent="0.2">
      <c r="B78" s="120" t="s">
        <v>601</v>
      </c>
      <c r="C78" s="121"/>
      <c r="D78" s="130" t="s">
        <v>602</v>
      </c>
      <c r="H78" s="1"/>
      <c r="I78" s="1"/>
      <c r="K78" s="553" t="s">
        <v>603</v>
      </c>
      <c r="L78" s="554"/>
      <c r="M78" s="554"/>
      <c r="N78" s="554"/>
      <c r="O78" s="555"/>
    </row>
    <row r="79" spans="2:16" s="88" customFormat="1" ht="25.9" customHeight="1" x14ac:dyDescent="0.2">
      <c r="H79" s="1"/>
      <c r="I79" s="1"/>
      <c r="K79" s="556"/>
      <c r="L79" s="557"/>
      <c r="M79" s="557"/>
      <c r="N79" s="557"/>
      <c r="O79" s="558"/>
    </row>
    <row r="80" spans="2:16" s="88" customFormat="1" ht="25.9" customHeight="1" x14ac:dyDescent="0.2">
      <c r="B80" s="120" t="s">
        <v>604</v>
      </c>
      <c r="C80" s="121"/>
      <c r="D80" s="594" t="s">
        <v>605</v>
      </c>
      <c r="E80" s="595"/>
      <c r="F80" s="595"/>
      <c r="G80" s="596"/>
      <c r="H80" s="1"/>
      <c r="I80" s="1"/>
      <c r="K80" s="556"/>
      <c r="L80" s="557"/>
      <c r="M80" s="557"/>
      <c r="N80" s="557"/>
      <c r="O80" s="558"/>
    </row>
    <row r="81" spans="2:16" s="88" customFormat="1" ht="25.9" customHeight="1" x14ac:dyDescent="0.2">
      <c r="K81" s="559"/>
      <c r="L81" s="560"/>
      <c r="M81" s="560"/>
      <c r="N81" s="560"/>
      <c r="O81" s="561"/>
    </row>
    <row r="82" spans="2:16" s="88" customFormat="1" ht="25.9" customHeight="1" x14ac:dyDescent="0.2">
      <c r="B82" s="120" t="s">
        <v>606</v>
      </c>
      <c r="C82" s="121"/>
      <c r="D82" s="569"/>
      <c r="E82" s="570"/>
      <c r="F82" s="571"/>
      <c r="K82" s="122" t="s">
        <v>607</v>
      </c>
      <c r="L82" s="564" t="s">
        <v>608</v>
      </c>
      <c r="M82" s="565"/>
      <c r="N82" s="565"/>
      <c r="O82" s="566"/>
      <c r="P82" s="123"/>
    </row>
    <row r="83" spans="2:16" ht="25.9" customHeight="1" x14ac:dyDescent="0.2">
      <c r="H83" s="88"/>
      <c r="I83" s="88"/>
      <c r="J83" s="88"/>
      <c r="K83" s="88"/>
    </row>
    <row r="84" spans="2:16" ht="15" x14ac:dyDescent="0.2">
      <c r="B84" s="115" t="s">
        <v>609</v>
      </c>
      <c r="H84" s="88"/>
      <c r="I84" s="88"/>
      <c r="J84" s="88"/>
      <c r="K84" s="88"/>
    </row>
    <row r="85" spans="2:16" ht="15" x14ac:dyDescent="0.2">
      <c r="B85" s="115" t="s">
        <v>610</v>
      </c>
      <c r="H85" s="88"/>
      <c r="I85" s="88"/>
      <c r="J85" s="88"/>
      <c r="K85" s="88"/>
    </row>
    <row r="86" spans="2:16" x14ac:dyDescent="0.2">
      <c r="B86" s="115" t="s">
        <v>611</v>
      </c>
    </row>
    <row r="89" spans="2:16" x14ac:dyDescent="0.2">
      <c r="O89" s="124" t="s">
        <v>612</v>
      </c>
    </row>
    <row r="90" spans="2:16" x14ac:dyDescent="0.2">
      <c r="O90" s="124" t="s">
        <v>524</v>
      </c>
    </row>
    <row r="91" spans="2:16" x14ac:dyDescent="0.2">
      <c r="O91" s="124" t="s">
        <v>19</v>
      </c>
    </row>
    <row r="92" spans="2:16" x14ac:dyDescent="0.2">
      <c r="B92" s="125" t="s">
        <v>677</v>
      </c>
      <c r="C92" s="125"/>
      <c r="L92" s="125"/>
      <c r="N92" s="125"/>
      <c r="O92" s="124" t="s">
        <v>20</v>
      </c>
    </row>
    <row r="94" spans="2:16" x14ac:dyDescent="0.2">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678</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93"/>
      <c r="J28" s="158">
        <f>'Auto-Calibration record'!I68</f>
        <v>1072929</v>
      </c>
      <c r="K28" s="159">
        <f t="shared" ref="K28:K33" si="0">J28-H28</f>
        <v>16589</v>
      </c>
      <c r="L28" s="111">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93"/>
      <c r="J29" s="158">
        <f>'Auto-Calibration record'!I69</f>
        <v>463329</v>
      </c>
      <c r="K29" s="159">
        <f t="shared" si="0"/>
        <v>3979</v>
      </c>
      <c r="L29" s="111">
        <f t="shared" si="1"/>
        <v>8.6622401219113958E-3</v>
      </c>
    </row>
    <row r="30" spans="2:15" s="108" customFormat="1" ht="25.9" customHeight="1" x14ac:dyDescent="0.2">
      <c r="D30" s="552" t="s">
        <v>590</v>
      </c>
      <c r="E30" s="552"/>
      <c r="F30" s="567">
        <f>'Auto-Calibration record'!D65</f>
        <v>994</v>
      </c>
      <c r="G30" s="567"/>
      <c r="H30" s="563">
        <f>'Auto-Calibration record'!B71</f>
        <v>36410</v>
      </c>
      <c r="I30" s="593"/>
      <c r="J30" s="158">
        <f>'Auto-Calibration record'!I71</f>
        <v>37037</v>
      </c>
      <c r="K30" s="159">
        <f t="shared" si="0"/>
        <v>627</v>
      </c>
      <c r="L30" s="111">
        <f t="shared" si="1"/>
        <v>1.7220543806646525E-2</v>
      </c>
    </row>
    <row r="31" spans="2:15" s="108" customFormat="1" ht="25.9" customHeight="1" x14ac:dyDescent="0.2">
      <c r="D31" s="552" t="s">
        <v>591</v>
      </c>
      <c r="E31" s="552"/>
      <c r="F31" s="567">
        <f>'Auto-Calibration record'!E65</f>
        <v>2074</v>
      </c>
      <c r="G31" s="567"/>
      <c r="H31" s="563">
        <f>'Auto-Calibration record'!B72</f>
        <v>10940</v>
      </c>
      <c r="I31" s="593"/>
      <c r="J31" s="158">
        <f>'Auto-Calibration record'!I72</f>
        <v>10731</v>
      </c>
      <c r="K31" s="159">
        <f t="shared" si="0"/>
        <v>-209</v>
      </c>
      <c r="L31" s="111">
        <f t="shared" si="1"/>
        <v>-1.910420475319927E-2</v>
      </c>
    </row>
    <row r="32" spans="2:15" s="108" customFormat="1" ht="25.9" customHeight="1" x14ac:dyDescent="0.2">
      <c r="D32" s="552" t="s">
        <v>592</v>
      </c>
      <c r="E32" s="552"/>
      <c r="F32" s="567">
        <f>'Auto-Calibration record'!F65</f>
        <v>3050</v>
      </c>
      <c r="G32" s="567"/>
      <c r="H32" s="563">
        <f>'Auto-Calibration record'!B73</f>
        <v>5210</v>
      </c>
      <c r="I32" s="593"/>
      <c r="J32" s="158">
        <f>'Auto-Calibration record'!I73</f>
        <v>5199</v>
      </c>
      <c r="K32" s="159">
        <f t="shared" si="0"/>
        <v>-11</v>
      </c>
      <c r="L32" s="111">
        <f t="shared" si="1"/>
        <v>-2.1113243761996161E-3</v>
      </c>
    </row>
    <row r="33" spans="2:14" s="108" customFormat="1" ht="25.9" customHeight="1" x14ac:dyDescent="0.2">
      <c r="D33" s="552" t="s">
        <v>593</v>
      </c>
      <c r="E33" s="552"/>
      <c r="F33" s="567">
        <f>'Auto-Calibration record'!G65</f>
        <v>9964</v>
      </c>
      <c r="G33" s="567"/>
      <c r="H33" s="563">
        <f>'Auto-Calibration record'!B74</f>
        <v>611.721</v>
      </c>
      <c r="I33" s="593"/>
      <c r="J33" s="158">
        <f>'Auto-Calibration record'!I74</f>
        <v>579</v>
      </c>
      <c r="K33" s="159">
        <f t="shared" si="0"/>
        <v>-32.721000000000004</v>
      </c>
      <c r="L33" s="111">
        <f t="shared" si="1"/>
        <v>-5.3490071454143313E-2</v>
      </c>
    </row>
    <row r="34" spans="2:14" s="108" customFormat="1" ht="25.9" customHeight="1" x14ac:dyDescent="0.2">
      <c r="D34" s="552" t="s">
        <v>594</v>
      </c>
      <c r="E34" s="552"/>
      <c r="F34" s="567">
        <f>'Auto-Calibration record'!H65</f>
        <v>16287</v>
      </c>
      <c r="G34" s="567"/>
      <c r="H34" s="563">
        <f>'Auto-Calibration record'!B75</f>
        <v>145.303</v>
      </c>
      <c r="I34" s="593"/>
      <c r="J34" s="158">
        <f>'Auto-Calibration record'!I75</f>
        <v>115</v>
      </c>
      <c r="K34" s="159" t="s">
        <v>23</v>
      </c>
      <c r="L34" s="112" t="s">
        <v>23</v>
      </c>
    </row>
    <row r="35" spans="2:14" s="102" customFormat="1" ht="25.9" customHeight="1" x14ac:dyDescent="0.25">
      <c r="D35" s="552" t="s">
        <v>595</v>
      </c>
      <c r="E35" s="552"/>
      <c r="F35" s="568">
        <f>'Auto-Calibration record'!I65</f>
        <v>25144</v>
      </c>
      <c r="G35" s="568"/>
      <c r="H35" s="563">
        <f>'Auto-Calibration record'!B76</f>
        <v>24.939</v>
      </c>
      <c r="I35" s="593"/>
      <c r="J35" s="158">
        <f>'Auto-Calibration record'!I76</f>
        <v>37</v>
      </c>
      <c r="K35" s="159" t="s">
        <v>23</v>
      </c>
      <c r="L35" s="112" t="s">
        <v>23</v>
      </c>
    </row>
    <row r="36" spans="2:14" ht="20.25" x14ac:dyDescent="0.3">
      <c r="D36" s="113" t="s">
        <v>596</v>
      </c>
      <c r="E36" s="114"/>
      <c r="F36" s="114"/>
      <c r="G36" s="114"/>
      <c r="H36" s="114"/>
      <c r="I36" s="114"/>
      <c r="J36" s="114"/>
      <c r="K36" s="114"/>
    </row>
    <row r="37" spans="2:14" ht="20.25" x14ac:dyDescent="0.3">
      <c r="B37" s="115"/>
      <c r="D37" s="114"/>
      <c r="E37" s="114"/>
      <c r="F37" s="114"/>
      <c r="G37" s="114"/>
      <c r="H37" s="114"/>
      <c r="I37" s="114"/>
      <c r="J37" s="114"/>
      <c r="K37" s="114"/>
    </row>
    <row r="38" spans="2:14" ht="81" customHeight="1" x14ac:dyDescent="0.2">
      <c r="B38" s="115"/>
      <c r="D38" s="107" t="s">
        <v>597</v>
      </c>
      <c r="E38" s="550" t="s">
        <v>598</v>
      </c>
      <c r="F38" s="550"/>
      <c r="G38" s="550" t="s">
        <v>599</v>
      </c>
      <c r="H38" s="550"/>
      <c r="I38" s="108"/>
      <c r="J38" s="107" t="s">
        <v>675</v>
      </c>
      <c r="K38" s="107" t="s">
        <v>676</v>
      </c>
      <c r="L38" s="107" t="s">
        <v>599</v>
      </c>
      <c r="N38" s="152"/>
    </row>
    <row r="39" spans="2:14" ht="25.9" customHeight="1" x14ac:dyDescent="0.2">
      <c r="B39" s="115"/>
      <c r="D39" s="109" t="s">
        <v>585</v>
      </c>
      <c r="E39" s="551" t="s">
        <v>585</v>
      </c>
      <c r="F39" s="551"/>
      <c r="G39" s="551" t="s">
        <v>600</v>
      </c>
      <c r="H39" s="551"/>
      <c r="I39" s="116"/>
      <c r="J39" s="109" t="s">
        <v>585</v>
      </c>
      <c r="K39" s="109" t="s">
        <v>585</v>
      </c>
      <c r="L39" s="109" t="s">
        <v>600</v>
      </c>
    </row>
    <row r="40" spans="2:14" ht="25.9" customHeight="1" x14ac:dyDescent="0.2">
      <c r="B40" s="115"/>
      <c r="D40" s="129">
        <f>'Auto-Calibration record'!B17</f>
        <v>0</v>
      </c>
      <c r="E40" s="563">
        <f>F28-D40</f>
        <v>76</v>
      </c>
      <c r="F40" s="563"/>
      <c r="G40" s="577" t="e">
        <f>F28/D40</f>
        <v>#DIV/0!</v>
      </c>
      <c r="H40" s="577"/>
      <c r="I40" s="116"/>
      <c r="J40" s="129">
        <f>'Auto-Calibration record'!B11</f>
        <v>34</v>
      </c>
      <c r="K40" s="159">
        <f>F29-J40</f>
        <v>146</v>
      </c>
      <c r="L40" s="151">
        <f>F29/J40</f>
        <v>5.2941176470588234</v>
      </c>
    </row>
    <row r="41" spans="2:14" x14ac:dyDescent="0.2">
      <c r="B41" s="115"/>
    </row>
    <row r="42" spans="2:14" x14ac:dyDescent="0.2">
      <c r="B42" s="115"/>
    </row>
    <row r="43" spans="2:14" x14ac:dyDescent="0.2">
      <c r="B43" s="115"/>
    </row>
    <row r="44" spans="2:14" x14ac:dyDescent="0.2">
      <c r="B44" s="115"/>
    </row>
    <row r="45" spans="2:14" x14ac:dyDescent="0.2">
      <c r="B45" s="115"/>
    </row>
    <row r="46" spans="2:14" x14ac:dyDescent="0.2">
      <c r="B46" s="115"/>
    </row>
    <row r="47" spans="2:14" x14ac:dyDescent="0.2">
      <c r="B47" s="115"/>
    </row>
    <row r="48" spans="2:14"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94" t="s">
        <v>605</v>
      </c>
      <c r="E74" s="595"/>
      <c r="F74" s="595"/>
      <c r="G74" s="596"/>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c r="E76" s="570"/>
      <c r="F76" s="571"/>
      <c r="K76" s="122" t="s">
        <v>607</v>
      </c>
      <c r="L76" s="564" t="s">
        <v>608</v>
      </c>
      <c r="M76" s="565"/>
      <c r="N76" s="565"/>
      <c r="O76" s="566"/>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c r="C2" s="83"/>
    </row>
    <row r="3" spans="1:16" ht="14.25" x14ac:dyDescent="0.2">
      <c r="B3" s="87"/>
      <c r="C3" s="83"/>
    </row>
    <row r="4" spans="1:16" ht="14.25" x14ac:dyDescent="0.2">
      <c r="B4" s="87"/>
      <c r="C4" s="83"/>
    </row>
    <row r="5" spans="1:16" ht="14.25" x14ac:dyDescent="0.2">
      <c r="B5" s="87"/>
      <c r="C5" s="83"/>
    </row>
    <row r="6" spans="1:16" ht="14.25" x14ac:dyDescent="0.2">
      <c r="B6" s="87"/>
      <c r="C6" s="83"/>
    </row>
    <row r="7" spans="1:16" ht="15" x14ac:dyDescent="0.2">
      <c r="B7" s="87"/>
      <c r="C7" s="83"/>
      <c r="D7" s="88"/>
    </row>
    <row r="8" spans="1:16" ht="14.25" x14ac:dyDescent="0.2">
      <c r="B8" s="53"/>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678</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93"/>
      <c r="J28" s="158">
        <f>'Auto-Calibration record'!I68</f>
        <v>1072929</v>
      </c>
      <c r="K28" s="159">
        <f t="shared" ref="K28:K33" si="0">J28-H28</f>
        <v>16589</v>
      </c>
      <c r="L28" s="111">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93"/>
      <c r="J29" s="158">
        <f>'Auto-Calibration record'!I69</f>
        <v>463329</v>
      </c>
      <c r="K29" s="159">
        <f t="shared" si="0"/>
        <v>3979</v>
      </c>
      <c r="L29" s="111">
        <f t="shared" si="1"/>
        <v>8.6622401219113958E-3</v>
      </c>
    </row>
    <row r="30" spans="2:15" s="108" customFormat="1" ht="25.9" customHeight="1" x14ac:dyDescent="0.2">
      <c r="D30" s="552" t="s">
        <v>590</v>
      </c>
      <c r="E30" s="552"/>
      <c r="F30" s="567">
        <f>'Auto-Calibration record'!D65</f>
        <v>994</v>
      </c>
      <c r="G30" s="567"/>
      <c r="H30" s="563">
        <f>'Auto-Calibration record'!B71</f>
        <v>36410</v>
      </c>
      <c r="I30" s="593"/>
      <c r="J30" s="158">
        <f>'Auto-Calibration record'!I71</f>
        <v>37037</v>
      </c>
      <c r="K30" s="159">
        <f t="shared" si="0"/>
        <v>627</v>
      </c>
      <c r="L30" s="111">
        <f t="shared" si="1"/>
        <v>1.7220543806646525E-2</v>
      </c>
    </row>
    <row r="31" spans="2:15" s="108" customFormat="1" ht="25.9" customHeight="1" x14ac:dyDescent="0.2">
      <c r="D31" s="552" t="s">
        <v>591</v>
      </c>
      <c r="E31" s="552"/>
      <c r="F31" s="567">
        <f>'Auto-Calibration record'!E65</f>
        <v>2074</v>
      </c>
      <c r="G31" s="567"/>
      <c r="H31" s="563">
        <f>'Auto-Calibration record'!B72</f>
        <v>10940</v>
      </c>
      <c r="I31" s="593"/>
      <c r="J31" s="158">
        <f>'Auto-Calibration record'!I72</f>
        <v>10731</v>
      </c>
      <c r="K31" s="159">
        <f t="shared" si="0"/>
        <v>-209</v>
      </c>
      <c r="L31" s="111">
        <f t="shared" si="1"/>
        <v>-1.910420475319927E-2</v>
      </c>
    </row>
    <row r="32" spans="2:15" s="108" customFormat="1" ht="25.9" customHeight="1" x14ac:dyDescent="0.2">
      <c r="D32" s="552" t="s">
        <v>592</v>
      </c>
      <c r="E32" s="552"/>
      <c r="F32" s="567">
        <f>'Auto-Calibration record'!F65</f>
        <v>3050</v>
      </c>
      <c r="G32" s="567"/>
      <c r="H32" s="563">
        <f>'Auto-Calibration record'!B73</f>
        <v>5210</v>
      </c>
      <c r="I32" s="593"/>
      <c r="J32" s="158">
        <f>'Auto-Calibration record'!I73</f>
        <v>5199</v>
      </c>
      <c r="K32" s="159">
        <f t="shared" si="0"/>
        <v>-11</v>
      </c>
      <c r="L32" s="111">
        <f t="shared" si="1"/>
        <v>-2.1113243761996161E-3</v>
      </c>
    </row>
    <row r="33" spans="2:12" s="108" customFormat="1" ht="25.9" customHeight="1" x14ac:dyDescent="0.2">
      <c r="D33" s="552" t="s">
        <v>593</v>
      </c>
      <c r="E33" s="552"/>
      <c r="F33" s="567">
        <f>'Auto-Calibration record'!G65</f>
        <v>9964</v>
      </c>
      <c r="G33" s="567"/>
      <c r="H33" s="563">
        <f>'Auto-Calibration record'!B74</f>
        <v>611.721</v>
      </c>
      <c r="I33" s="593"/>
      <c r="J33" s="158">
        <f>'Auto-Calibration record'!I74</f>
        <v>579</v>
      </c>
      <c r="K33" s="159">
        <f t="shared" si="0"/>
        <v>-32.721000000000004</v>
      </c>
      <c r="L33" s="111">
        <f t="shared" si="1"/>
        <v>-5.3490071454143313E-2</v>
      </c>
    </row>
    <row r="34" spans="2:12" s="108" customFormat="1" ht="25.9" customHeight="1" x14ac:dyDescent="0.2">
      <c r="D34" s="552" t="s">
        <v>594</v>
      </c>
      <c r="E34" s="552"/>
      <c r="F34" s="567">
        <f>'Auto-Calibration record'!H65</f>
        <v>16287</v>
      </c>
      <c r="G34" s="567"/>
      <c r="H34" s="563">
        <f>'Auto-Calibration record'!B75</f>
        <v>145.303</v>
      </c>
      <c r="I34" s="593"/>
      <c r="J34" s="158">
        <f>'Auto-Calibration record'!I75</f>
        <v>115</v>
      </c>
      <c r="K34" s="159" t="s">
        <v>23</v>
      </c>
      <c r="L34" s="112" t="s">
        <v>23</v>
      </c>
    </row>
    <row r="35" spans="2:12" s="102" customFormat="1" ht="25.9" customHeight="1" x14ac:dyDescent="0.25">
      <c r="D35" s="552" t="s">
        <v>595</v>
      </c>
      <c r="E35" s="552"/>
      <c r="F35" s="568">
        <f>'Auto-Calibration record'!I65</f>
        <v>25144</v>
      </c>
      <c r="G35" s="568"/>
      <c r="H35" s="563">
        <f>'Auto-Calibration record'!B76</f>
        <v>24.939</v>
      </c>
      <c r="I35" s="593"/>
      <c r="J35" s="158">
        <f>'Auto-Calibration record'!I76</f>
        <v>37</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63">
        <f>F28-D40</f>
        <v>76</v>
      </c>
      <c r="F40" s="563"/>
      <c r="G40" s="577" t="e">
        <f>F28/D40</f>
        <v>#DIV/0!</v>
      </c>
      <c r="H40" s="577"/>
      <c r="I40" s="116"/>
      <c r="J40" s="129">
        <f>'Auto-Calibration record'!B11</f>
        <v>34</v>
      </c>
      <c r="K40" s="159">
        <f>F29-J40</f>
        <v>146</v>
      </c>
      <c r="L40" s="151">
        <f>F29/J40</f>
        <v>5.2941176470588234</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94" t="s">
        <v>605</v>
      </c>
      <c r="E74" s="595"/>
      <c r="F74" s="595"/>
      <c r="G74" s="596"/>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c r="E76" s="570"/>
      <c r="F76" s="571"/>
      <c r="K76" s="122" t="s">
        <v>607</v>
      </c>
      <c r="L76" s="564" t="s">
        <v>608</v>
      </c>
      <c r="M76" s="565"/>
      <c r="N76" s="565"/>
      <c r="O76" s="566"/>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664</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93"/>
      <c r="J28" s="158">
        <f>'Auto-Calibration record'!I68</f>
        <v>1072929</v>
      </c>
      <c r="K28" s="159">
        <f t="shared" ref="K28:K33" si="0">J28-H28</f>
        <v>16589</v>
      </c>
      <c r="L28" s="111">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93"/>
      <c r="J29" s="158">
        <f>'Auto-Calibration record'!I69</f>
        <v>463329</v>
      </c>
      <c r="K29" s="159">
        <f t="shared" si="0"/>
        <v>3979</v>
      </c>
      <c r="L29" s="111">
        <f t="shared" si="1"/>
        <v>8.6622401219113958E-3</v>
      </c>
    </row>
    <row r="30" spans="2:15" s="108" customFormat="1" ht="25.9" customHeight="1" x14ac:dyDescent="0.2">
      <c r="D30" s="552" t="s">
        <v>590</v>
      </c>
      <c r="E30" s="552"/>
      <c r="F30" s="567">
        <f>'Auto-Calibration record'!D65</f>
        <v>994</v>
      </c>
      <c r="G30" s="567"/>
      <c r="H30" s="563">
        <f>'Auto-Calibration record'!B71</f>
        <v>36410</v>
      </c>
      <c r="I30" s="593"/>
      <c r="J30" s="158">
        <f>'Auto-Calibration record'!I71</f>
        <v>37037</v>
      </c>
      <c r="K30" s="159">
        <f t="shared" si="0"/>
        <v>627</v>
      </c>
      <c r="L30" s="111">
        <f t="shared" si="1"/>
        <v>1.7220543806646525E-2</v>
      </c>
    </row>
    <row r="31" spans="2:15" s="108" customFormat="1" ht="25.9" customHeight="1" x14ac:dyDescent="0.2">
      <c r="D31" s="552" t="s">
        <v>591</v>
      </c>
      <c r="E31" s="552"/>
      <c r="F31" s="567">
        <f>'Auto-Calibration record'!E65</f>
        <v>2074</v>
      </c>
      <c r="G31" s="567"/>
      <c r="H31" s="563">
        <f>'Auto-Calibration record'!B72</f>
        <v>10940</v>
      </c>
      <c r="I31" s="593"/>
      <c r="J31" s="158">
        <f>'Auto-Calibration record'!I72</f>
        <v>10731</v>
      </c>
      <c r="K31" s="159">
        <f t="shared" si="0"/>
        <v>-209</v>
      </c>
      <c r="L31" s="111">
        <f t="shared" si="1"/>
        <v>-1.910420475319927E-2</v>
      </c>
    </row>
    <row r="32" spans="2:15" s="108" customFormat="1" ht="25.9" customHeight="1" x14ac:dyDescent="0.2">
      <c r="D32" s="552" t="s">
        <v>592</v>
      </c>
      <c r="E32" s="552"/>
      <c r="F32" s="567">
        <f>'Auto-Calibration record'!F65</f>
        <v>3050</v>
      </c>
      <c r="G32" s="567"/>
      <c r="H32" s="563">
        <f>'Auto-Calibration record'!B73</f>
        <v>5210</v>
      </c>
      <c r="I32" s="593"/>
      <c r="J32" s="158">
        <f>'Auto-Calibration record'!I73</f>
        <v>5199</v>
      </c>
      <c r="K32" s="159">
        <f t="shared" si="0"/>
        <v>-11</v>
      </c>
      <c r="L32" s="111">
        <f t="shared" si="1"/>
        <v>-2.1113243761996161E-3</v>
      </c>
    </row>
    <row r="33" spans="2:12" s="108" customFormat="1" ht="25.9" customHeight="1" x14ac:dyDescent="0.2">
      <c r="D33" s="552" t="s">
        <v>593</v>
      </c>
      <c r="E33" s="552"/>
      <c r="F33" s="567">
        <f>'Auto-Calibration record'!G65</f>
        <v>9964</v>
      </c>
      <c r="G33" s="567"/>
      <c r="H33" s="563">
        <f>'Auto-Calibration record'!B74</f>
        <v>611.721</v>
      </c>
      <c r="I33" s="593"/>
      <c r="J33" s="158">
        <f>'Auto-Calibration record'!I74</f>
        <v>579</v>
      </c>
      <c r="K33" s="159">
        <f t="shared" si="0"/>
        <v>-32.721000000000004</v>
      </c>
      <c r="L33" s="111">
        <f t="shared" si="1"/>
        <v>-5.3490071454143313E-2</v>
      </c>
    </row>
    <row r="34" spans="2:12" s="108" customFormat="1" ht="25.9" customHeight="1" x14ac:dyDescent="0.2">
      <c r="D34" s="552" t="s">
        <v>594</v>
      </c>
      <c r="E34" s="552"/>
      <c r="F34" s="567">
        <f>'Auto-Calibration record'!H65</f>
        <v>16287</v>
      </c>
      <c r="G34" s="567"/>
      <c r="H34" s="563">
        <f>'Auto-Calibration record'!B75</f>
        <v>145.303</v>
      </c>
      <c r="I34" s="593"/>
      <c r="J34" s="158">
        <f>'Auto-Calibration record'!I75</f>
        <v>115</v>
      </c>
      <c r="K34" s="159" t="s">
        <v>23</v>
      </c>
      <c r="L34" s="112" t="s">
        <v>23</v>
      </c>
    </row>
    <row r="35" spans="2:12" s="102" customFormat="1" ht="25.9" customHeight="1" x14ac:dyDescent="0.25">
      <c r="D35" s="552" t="s">
        <v>595</v>
      </c>
      <c r="E35" s="552"/>
      <c r="F35" s="568">
        <f>'Auto-Calibration record'!I65</f>
        <v>25144</v>
      </c>
      <c r="G35" s="568"/>
      <c r="H35" s="563">
        <f>'Auto-Calibration record'!B76</f>
        <v>24.939</v>
      </c>
      <c r="I35" s="593"/>
      <c r="J35" s="158">
        <f>'Auto-Calibration record'!I76</f>
        <v>37</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63">
        <f>F28-D40</f>
        <v>76</v>
      </c>
      <c r="F40" s="563"/>
      <c r="G40" s="577" t="e">
        <f>F28/D40</f>
        <v>#DIV/0!</v>
      </c>
      <c r="H40" s="577"/>
      <c r="I40" s="116"/>
      <c r="J40" s="129">
        <f>'Auto-Calibration record'!B11</f>
        <v>34</v>
      </c>
      <c r="K40" s="159">
        <f>F29-J40</f>
        <v>146</v>
      </c>
      <c r="L40" s="151">
        <f>F29/J40</f>
        <v>5.2941176470588234</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94" t="s">
        <v>605</v>
      </c>
      <c r="E74" s="595"/>
      <c r="F74" s="595"/>
      <c r="G74" s="596"/>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c r="E76" s="570"/>
      <c r="F76" s="571"/>
      <c r="K76" s="122" t="s">
        <v>607</v>
      </c>
      <c r="L76" s="564" t="s">
        <v>608</v>
      </c>
      <c r="M76" s="565"/>
      <c r="N76" s="565"/>
      <c r="O76" s="566"/>
      <c r="P76" s="123"/>
    </row>
    <row r="77" spans="2:16" ht="25.9" customHeight="1" x14ac:dyDescent="0.2">
      <c r="H77" s="88"/>
      <c r="I77" s="88"/>
      <c r="J77" s="88"/>
      <c r="K77" s="88"/>
    </row>
    <row r="78" spans="2:16" ht="18.75" x14ac:dyDescent="0.2">
      <c r="B78" s="115" t="s">
        <v>609</v>
      </c>
      <c r="H78" s="88"/>
      <c r="I78" s="88"/>
      <c r="J78" s="136" t="s">
        <v>679</v>
      </c>
      <c r="M78" s="597" t="s">
        <v>680</v>
      </c>
      <c r="N78" s="598"/>
      <c r="O78" s="599"/>
    </row>
    <row r="79" spans="2:16" ht="15" x14ac:dyDescent="0.2">
      <c r="B79" s="115" t="s">
        <v>610</v>
      </c>
      <c r="H79" s="88"/>
      <c r="I79" s="88"/>
      <c r="M79" s="600" t="s">
        <v>681</v>
      </c>
      <c r="N79" s="601"/>
      <c r="O79" s="602"/>
    </row>
    <row r="80" spans="2:16" x14ac:dyDescent="0.2">
      <c r="B80" s="115" t="s">
        <v>611</v>
      </c>
      <c r="M80" s="600" t="s">
        <v>682</v>
      </c>
      <c r="N80" s="601"/>
      <c r="O80" s="602"/>
    </row>
    <row r="81" spans="2:15" x14ac:dyDescent="0.2">
      <c r="M81" s="603" t="s">
        <v>683</v>
      </c>
      <c r="N81" s="604"/>
      <c r="O81" s="605"/>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c r="C2" s="83"/>
    </row>
    <row r="3" spans="1:16" ht="14.25" x14ac:dyDescent="0.2">
      <c r="B3" s="87"/>
      <c r="C3" s="83"/>
    </row>
    <row r="4" spans="1:16" ht="14.25" x14ac:dyDescent="0.2">
      <c r="B4" s="87"/>
      <c r="C4" s="83"/>
    </row>
    <row r="5" spans="1:16" ht="14.25" x14ac:dyDescent="0.2">
      <c r="B5" s="87"/>
      <c r="C5" s="83"/>
    </row>
    <row r="6" spans="1:16" ht="14.25" x14ac:dyDescent="0.2">
      <c r="B6" s="87"/>
      <c r="C6" s="83"/>
    </row>
    <row r="7" spans="1:16" ht="15" x14ac:dyDescent="0.2">
      <c r="B7" s="87"/>
      <c r="C7" s="83"/>
      <c r="D7" s="88"/>
    </row>
    <row r="8" spans="1:16" ht="14.25" x14ac:dyDescent="0.2">
      <c r="B8" s="53"/>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51" customHeight="1" x14ac:dyDescent="0.2">
      <c r="B13" s="562" t="s">
        <v>678</v>
      </c>
      <c r="C13" s="562"/>
      <c r="D13" s="562"/>
      <c r="E13" s="562"/>
      <c r="F13" s="562"/>
      <c r="G13" s="562"/>
      <c r="H13" s="562"/>
      <c r="I13" s="562"/>
      <c r="J13" s="562"/>
      <c r="K13" s="562"/>
      <c r="L13" s="562"/>
      <c r="M13" s="562"/>
      <c r="N13" s="562"/>
      <c r="O13" s="562"/>
      <c r="P13" s="91"/>
    </row>
    <row r="14" spans="1:16" ht="66"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93"/>
      <c r="J28" s="158">
        <f>'MP Calibration Certificate'!J28</f>
        <v>1072929</v>
      </c>
      <c r="K28" s="159">
        <f t="shared" ref="K28:K33" si="0">J28-H28</f>
        <v>16589</v>
      </c>
      <c r="L28" s="111">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93"/>
      <c r="J29" s="158">
        <f>'MP Calibration Certificate'!J29</f>
        <v>463329</v>
      </c>
      <c r="K29" s="159">
        <f t="shared" si="0"/>
        <v>3979</v>
      </c>
      <c r="L29" s="111">
        <f t="shared" si="1"/>
        <v>8.6622401219113958E-3</v>
      </c>
    </row>
    <row r="30" spans="2:15" s="108" customFormat="1" ht="25.9" customHeight="1" x14ac:dyDescent="0.2">
      <c r="D30" s="552" t="s">
        <v>590</v>
      </c>
      <c r="E30" s="552"/>
      <c r="F30" s="567">
        <f>'Auto-Calibration record'!D65</f>
        <v>994</v>
      </c>
      <c r="G30" s="567"/>
      <c r="H30" s="563">
        <f>'Auto-Calibration record'!B71</f>
        <v>36410</v>
      </c>
      <c r="I30" s="593"/>
      <c r="J30" s="158">
        <f>'MP Calibration Certificate'!J30</f>
        <v>37037</v>
      </c>
      <c r="K30" s="159">
        <f t="shared" si="0"/>
        <v>627</v>
      </c>
      <c r="L30" s="111">
        <f t="shared" si="1"/>
        <v>1.7220543806646525E-2</v>
      </c>
    </row>
    <row r="31" spans="2:15" s="108" customFormat="1" ht="25.9" customHeight="1" x14ac:dyDescent="0.2">
      <c r="D31" s="552" t="s">
        <v>591</v>
      </c>
      <c r="E31" s="552"/>
      <c r="F31" s="567">
        <f>'Auto-Calibration record'!E65</f>
        <v>2074</v>
      </c>
      <c r="G31" s="567"/>
      <c r="H31" s="563">
        <f>'Auto-Calibration record'!B72</f>
        <v>10940</v>
      </c>
      <c r="I31" s="593"/>
      <c r="J31" s="158">
        <f>'MP Calibration Certificate'!J31</f>
        <v>10731</v>
      </c>
      <c r="K31" s="159">
        <f t="shared" si="0"/>
        <v>-209</v>
      </c>
      <c r="L31" s="111">
        <f t="shared" si="1"/>
        <v>-1.910420475319927E-2</v>
      </c>
    </row>
    <row r="32" spans="2:15" s="108" customFormat="1" ht="25.9" customHeight="1" x14ac:dyDescent="0.2">
      <c r="D32" s="552" t="s">
        <v>592</v>
      </c>
      <c r="E32" s="552"/>
      <c r="F32" s="567">
        <f>'Auto-Calibration record'!F65</f>
        <v>3050</v>
      </c>
      <c r="G32" s="567"/>
      <c r="H32" s="563">
        <f>'Auto-Calibration record'!B73</f>
        <v>5210</v>
      </c>
      <c r="I32" s="593"/>
      <c r="J32" s="158">
        <f>'MP Calibration Certificate'!J32</f>
        <v>5199</v>
      </c>
      <c r="K32" s="159">
        <f t="shared" si="0"/>
        <v>-11</v>
      </c>
      <c r="L32" s="111">
        <f t="shared" si="1"/>
        <v>-2.1113243761996161E-3</v>
      </c>
    </row>
    <row r="33" spans="2:12" s="108" customFormat="1" ht="25.9" customHeight="1" x14ac:dyDescent="0.2">
      <c r="D33" s="552" t="s">
        <v>593</v>
      </c>
      <c r="E33" s="552"/>
      <c r="F33" s="567">
        <f>'Auto-Calibration record'!G65</f>
        <v>9964</v>
      </c>
      <c r="G33" s="567"/>
      <c r="H33" s="563">
        <f>'Auto-Calibration record'!B74</f>
        <v>611.721</v>
      </c>
      <c r="I33" s="593"/>
      <c r="J33" s="158">
        <f>'MP Calibration Certificate'!J33</f>
        <v>579</v>
      </c>
      <c r="K33" s="159">
        <f t="shared" si="0"/>
        <v>-32.721000000000004</v>
      </c>
      <c r="L33" s="111">
        <f t="shared" si="1"/>
        <v>-5.3490071454143313E-2</v>
      </c>
    </row>
    <row r="34" spans="2:12" s="108" customFormat="1" ht="25.9" customHeight="1" x14ac:dyDescent="0.2">
      <c r="D34" s="552" t="s">
        <v>594</v>
      </c>
      <c r="E34" s="552"/>
      <c r="F34" s="567">
        <f>'Auto-Calibration record'!H65</f>
        <v>16287</v>
      </c>
      <c r="G34" s="567"/>
      <c r="H34" s="563">
        <f>'Auto-Calibration record'!B75</f>
        <v>145.303</v>
      </c>
      <c r="I34" s="593"/>
      <c r="J34" s="158">
        <f>'MP Calibration Certificate'!J34</f>
        <v>115</v>
      </c>
      <c r="K34" s="159" t="s">
        <v>23</v>
      </c>
      <c r="L34" s="112" t="s">
        <v>23</v>
      </c>
    </row>
    <row r="35" spans="2:12" s="102" customFormat="1" ht="25.9" customHeight="1" x14ac:dyDescent="0.25">
      <c r="D35" s="552" t="s">
        <v>595</v>
      </c>
      <c r="E35" s="552"/>
      <c r="F35" s="568">
        <f>'Auto-Calibration record'!I65</f>
        <v>25144</v>
      </c>
      <c r="G35" s="568"/>
      <c r="H35" s="563">
        <f>'Auto-Calibration record'!B76</f>
        <v>24.939</v>
      </c>
      <c r="I35" s="593"/>
      <c r="J35" s="158">
        <f>'MP Calibration Certificate'!J35</f>
        <v>37</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63">
        <f>F28-D40</f>
        <v>76</v>
      </c>
      <c r="F40" s="563"/>
      <c r="G40" s="577" t="e">
        <f>F28/D40</f>
        <v>#DIV/0!</v>
      </c>
      <c r="H40" s="577"/>
      <c r="I40" s="116"/>
      <c r="J40" s="129">
        <f>'Auto-Calibration record'!B11</f>
        <v>34</v>
      </c>
      <c r="K40" s="159">
        <f>F29-J40</f>
        <v>146</v>
      </c>
      <c r="L40" s="151">
        <f>F29/J40</f>
        <v>5.2941176470588234</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94" t="s">
        <v>605</v>
      </c>
      <c r="E74" s="595"/>
      <c r="F74" s="595"/>
      <c r="G74" s="596"/>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c r="E76" s="570"/>
      <c r="F76" s="571"/>
      <c r="K76" s="122" t="s">
        <v>607</v>
      </c>
      <c r="L76" s="564" t="s">
        <v>608</v>
      </c>
      <c r="M76" s="565"/>
      <c r="N76" s="565"/>
      <c r="O76" s="566"/>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664</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570</v>
      </c>
      <c r="L17" s="96"/>
      <c r="M17" s="96"/>
      <c r="N17" s="97"/>
      <c r="O17" s="54" t="str">
        <f>'Auto-Calibration record'!H18</f>
        <v>RM8631b</v>
      </c>
    </row>
    <row r="18" spans="2:15" ht="25.9" customHeight="1" x14ac:dyDescent="0.25">
      <c r="B18" s="131" t="s">
        <v>571</v>
      </c>
      <c r="C18" s="132"/>
      <c r="D18" s="574" t="e">
        <f>'Auto-Calibration record'!#REF!&amp;'Auto-Calibration record'!H15</f>
        <v>#REF!</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93"/>
      <c r="J28" s="158">
        <f>'Auto-Calibration record'!I68</f>
        <v>1072929</v>
      </c>
      <c r="K28" s="159">
        <f t="shared" ref="K28:K33" si="0">J28-H28</f>
        <v>16589</v>
      </c>
      <c r="L28" s="111">
        <f t="shared" ref="L28:L33" si="1">K28/H28</f>
        <v>1.5704224018781833E-2</v>
      </c>
    </row>
    <row r="29" spans="2:15" s="108" customFormat="1" ht="25.9" customHeight="1" x14ac:dyDescent="0.2">
      <c r="D29" s="552" t="s">
        <v>589</v>
      </c>
      <c r="E29" s="552"/>
      <c r="F29" s="567">
        <f>'Auto-Calibration record'!C65</f>
        <v>180</v>
      </c>
      <c r="G29" s="567"/>
      <c r="H29" s="563">
        <f>'Auto-Calibration record'!B69</f>
        <v>459350</v>
      </c>
      <c r="I29" s="593"/>
      <c r="J29" s="158">
        <f>'Auto-Calibration record'!I69</f>
        <v>463329</v>
      </c>
      <c r="K29" s="159">
        <f t="shared" si="0"/>
        <v>3979</v>
      </c>
      <c r="L29" s="111">
        <f t="shared" si="1"/>
        <v>8.6622401219113958E-3</v>
      </c>
    </row>
    <row r="30" spans="2:15" s="108" customFormat="1" ht="25.9" customHeight="1" x14ac:dyDescent="0.2">
      <c r="D30" s="552" t="s">
        <v>590</v>
      </c>
      <c r="E30" s="552"/>
      <c r="F30" s="567">
        <f>'Auto-Calibration record'!D65</f>
        <v>994</v>
      </c>
      <c r="G30" s="567"/>
      <c r="H30" s="563">
        <f>'Auto-Calibration record'!B71</f>
        <v>36410</v>
      </c>
      <c r="I30" s="593"/>
      <c r="J30" s="158">
        <f>'Auto-Calibration record'!I71</f>
        <v>37037</v>
      </c>
      <c r="K30" s="159">
        <f t="shared" si="0"/>
        <v>627</v>
      </c>
      <c r="L30" s="111">
        <f t="shared" si="1"/>
        <v>1.7220543806646525E-2</v>
      </c>
    </row>
    <row r="31" spans="2:15" s="108" customFormat="1" ht="25.9" customHeight="1" x14ac:dyDescent="0.2">
      <c r="D31" s="552" t="s">
        <v>591</v>
      </c>
      <c r="E31" s="552"/>
      <c r="F31" s="567">
        <f>'Auto-Calibration record'!E65</f>
        <v>2074</v>
      </c>
      <c r="G31" s="567"/>
      <c r="H31" s="563">
        <f>'Auto-Calibration record'!B72</f>
        <v>10940</v>
      </c>
      <c r="I31" s="593"/>
      <c r="J31" s="158">
        <f>'Auto-Calibration record'!I72</f>
        <v>10731</v>
      </c>
      <c r="K31" s="159">
        <f t="shared" si="0"/>
        <v>-209</v>
      </c>
      <c r="L31" s="111">
        <f t="shared" si="1"/>
        <v>-1.910420475319927E-2</v>
      </c>
    </row>
    <row r="32" spans="2:15" s="108" customFormat="1" ht="25.9" customHeight="1" x14ac:dyDescent="0.2">
      <c r="D32" s="552" t="s">
        <v>592</v>
      </c>
      <c r="E32" s="552"/>
      <c r="F32" s="567">
        <f>'Auto-Calibration record'!F65</f>
        <v>3050</v>
      </c>
      <c r="G32" s="567"/>
      <c r="H32" s="563">
        <f>'Auto-Calibration record'!B73</f>
        <v>5210</v>
      </c>
      <c r="I32" s="593"/>
      <c r="J32" s="158">
        <f>'Auto-Calibration record'!I73</f>
        <v>5199</v>
      </c>
      <c r="K32" s="159">
        <f t="shared" si="0"/>
        <v>-11</v>
      </c>
      <c r="L32" s="111">
        <f t="shared" si="1"/>
        <v>-2.1113243761996161E-3</v>
      </c>
    </row>
    <row r="33" spans="2:12" s="108" customFormat="1" ht="25.9" customHeight="1" x14ac:dyDescent="0.2">
      <c r="D33" s="552" t="s">
        <v>593</v>
      </c>
      <c r="E33" s="552"/>
      <c r="F33" s="567">
        <f>'Auto-Calibration record'!G65</f>
        <v>9964</v>
      </c>
      <c r="G33" s="567"/>
      <c r="H33" s="563">
        <f>'Auto-Calibration record'!B74</f>
        <v>611.721</v>
      </c>
      <c r="I33" s="593"/>
      <c r="J33" s="158">
        <f>'Auto-Calibration record'!I74</f>
        <v>579</v>
      </c>
      <c r="K33" s="159">
        <f t="shared" si="0"/>
        <v>-32.721000000000004</v>
      </c>
      <c r="L33" s="111">
        <f t="shared" si="1"/>
        <v>-5.3490071454143313E-2</v>
      </c>
    </row>
    <row r="34" spans="2:12" s="108" customFormat="1" ht="25.9" customHeight="1" x14ac:dyDescent="0.2">
      <c r="D34" s="552" t="s">
        <v>594</v>
      </c>
      <c r="E34" s="552"/>
      <c r="F34" s="567">
        <f>'Auto-Calibration record'!H65</f>
        <v>16287</v>
      </c>
      <c r="G34" s="567"/>
      <c r="H34" s="563">
        <f>'Auto-Calibration record'!B75</f>
        <v>145.303</v>
      </c>
      <c r="I34" s="593"/>
      <c r="J34" s="158">
        <f>'Auto-Calibration record'!I75</f>
        <v>115</v>
      </c>
      <c r="K34" s="159" t="s">
        <v>23</v>
      </c>
      <c r="L34" s="112" t="s">
        <v>23</v>
      </c>
    </row>
    <row r="35" spans="2:12" s="102" customFormat="1" ht="25.9" customHeight="1" x14ac:dyDescent="0.25">
      <c r="D35" s="552" t="s">
        <v>595</v>
      </c>
      <c r="E35" s="552"/>
      <c r="F35" s="568">
        <f>'Auto-Calibration record'!I65</f>
        <v>25144</v>
      </c>
      <c r="G35" s="568"/>
      <c r="H35" s="563">
        <f>'Auto-Calibration record'!B76</f>
        <v>24.939</v>
      </c>
      <c r="I35" s="593"/>
      <c r="J35" s="158">
        <f>'Auto-Calibration record'!I76</f>
        <v>37</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93">
        <f>F28-D40</f>
        <v>76</v>
      </c>
      <c r="F40" s="593"/>
      <c r="G40" s="606" t="e">
        <f>F28/D40</f>
        <v>#DIV/0!</v>
      </c>
      <c r="H40" s="606"/>
      <c r="I40" s="116"/>
      <c r="J40" s="129">
        <f>'Auto-Calibration record'!B11</f>
        <v>34</v>
      </c>
      <c r="K40" s="110">
        <f>F29-J40</f>
        <v>146</v>
      </c>
      <c r="L40" s="117">
        <f>F29/J40</f>
        <v>5.2941176470588234</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94" t="s">
        <v>605</v>
      </c>
      <c r="E74" s="595"/>
      <c r="F74" s="595"/>
      <c r="G74" s="596"/>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c r="E76" s="570"/>
      <c r="F76" s="571"/>
      <c r="K76" s="122" t="s">
        <v>607</v>
      </c>
      <c r="L76" s="564" t="s">
        <v>608</v>
      </c>
      <c r="M76" s="565"/>
      <c r="N76" s="565"/>
      <c r="O76" s="566"/>
      <c r="P76" s="123"/>
    </row>
    <row r="77" spans="2:16" ht="25.9" customHeight="1" x14ac:dyDescent="0.2">
      <c r="B77" s="136" t="s">
        <v>684</v>
      </c>
      <c r="H77" s="88"/>
      <c r="I77" s="88"/>
      <c r="J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560</v>
      </c>
      <c r="C3" s="83"/>
    </row>
    <row r="4" spans="1:16" ht="14.25" x14ac:dyDescent="0.2">
      <c r="B4" s="87" t="s">
        <v>561</v>
      </c>
      <c r="C4" s="83"/>
    </row>
    <row r="5" spans="1:16" ht="14.25" x14ac:dyDescent="0.2">
      <c r="B5" s="87" t="s">
        <v>562</v>
      </c>
      <c r="C5" s="83"/>
    </row>
    <row r="6" spans="1:16" ht="14.25" x14ac:dyDescent="0.2">
      <c r="B6" s="87" t="s">
        <v>563</v>
      </c>
      <c r="C6" s="83"/>
    </row>
    <row r="7" spans="1:16" ht="15" x14ac:dyDescent="0.2">
      <c r="B7" s="87" t="s">
        <v>564</v>
      </c>
      <c r="C7" s="83"/>
      <c r="D7" s="88"/>
    </row>
    <row r="8" spans="1:16" ht="14.25" x14ac:dyDescent="0.2">
      <c r="B8" s="53" t="s">
        <v>565</v>
      </c>
      <c r="C8" s="83"/>
    </row>
    <row r="9" spans="1:16" ht="14.25" x14ac:dyDescent="0.2">
      <c r="B9" s="53"/>
      <c r="C9" s="83"/>
    </row>
    <row r="10" spans="1:16" ht="37.5" customHeight="1" x14ac:dyDescent="0.5">
      <c r="B10" s="546" t="s">
        <v>566</v>
      </c>
      <c r="C10" s="546"/>
      <c r="D10" s="546"/>
      <c r="E10" s="546"/>
      <c r="F10" s="546"/>
      <c r="G10" s="546"/>
      <c r="H10" s="546"/>
      <c r="I10" s="546"/>
      <c r="J10" s="546"/>
      <c r="K10" s="546"/>
      <c r="L10" s="546"/>
      <c r="M10" s="546"/>
      <c r="N10" s="546"/>
      <c r="O10" s="546"/>
      <c r="P10" s="546"/>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62" t="s">
        <v>567</v>
      </c>
      <c r="C13" s="562"/>
      <c r="D13" s="562"/>
      <c r="E13" s="562"/>
      <c r="F13" s="562"/>
      <c r="G13" s="562"/>
      <c r="H13" s="562"/>
      <c r="I13" s="562"/>
      <c r="J13" s="562"/>
      <c r="K13" s="562"/>
      <c r="L13" s="562"/>
      <c r="M13" s="562"/>
      <c r="N13" s="562"/>
      <c r="O13" s="562"/>
      <c r="P13" s="91"/>
    </row>
    <row r="14" spans="1:16" ht="77.25" customHeight="1" x14ac:dyDescent="0.2">
      <c r="A14" s="92"/>
      <c r="B14" s="562" t="s">
        <v>568</v>
      </c>
      <c r="C14" s="562"/>
      <c r="D14" s="562"/>
      <c r="E14" s="562"/>
      <c r="F14" s="562"/>
      <c r="G14" s="562"/>
      <c r="H14" s="562"/>
      <c r="I14" s="562"/>
      <c r="J14" s="562"/>
      <c r="K14" s="562"/>
      <c r="L14" s="562"/>
      <c r="M14" s="562"/>
      <c r="N14" s="562"/>
      <c r="O14" s="562"/>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73" t="str">
        <f>'Auto-Calibration record'!H14</f>
        <v>5.6mg/l RM8631b</v>
      </c>
      <c r="E17" s="573"/>
      <c r="F17" s="573"/>
      <c r="K17" s="95" t="s">
        <v>1002</v>
      </c>
      <c r="L17" s="96"/>
      <c r="M17" s="96"/>
      <c r="N17" s="97"/>
      <c r="O17" s="378" t="str">
        <f>'Auto-Calibration record'!H18</f>
        <v>RM8631b</v>
      </c>
    </row>
    <row r="18" spans="2:15" ht="25.9" customHeight="1" x14ac:dyDescent="0.25">
      <c r="B18" s="131" t="s">
        <v>571</v>
      </c>
      <c r="C18" s="132"/>
      <c r="D18" s="574">
        <f>'Auto-Calibration record'!H15</f>
        <v>-1</v>
      </c>
      <c r="E18" s="575"/>
      <c r="F18" s="576"/>
      <c r="K18" s="98" t="s">
        <v>572</v>
      </c>
      <c r="L18" s="99"/>
      <c r="M18" s="99"/>
      <c r="N18" s="100"/>
      <c r="O18" s="55">
        <f>'Auto-Calibration record'!H16</f>
        <v>46189.599999999999</v>
      </c>
    </row>
    <row r="19" spans="2:15" ht="25.9" customHeight="1" x14ac:dyDescent="0.25">
      <c r="B19" s="131" t="s">
        <v>573</v>
      </c>
      <c r="C19" s="132"/>
      <c r="D19" s="574" t="str">
        <f>'Auto-Calibration record'!H17</f>
        <v>-1 160626</v>
      </c>
      <c r="E19" s="575"/>
      <c r="F19" s="576"/>
      <c r="K19" s="95" t="s">
        <v>574</v>
      </c>
      <c r="L19" s="96"/>
      <c r="M19" s="96"/>
      <c r="N19" s="97"/>
      <c r="O19" s="428"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52" t="s">
        <v>588</v>
      </c>
      <c r="E28" s="552"/>
      <c r="F28" s="567">
        <f>'Auto-Calibration record'!B65</f>
        <v>76</v>
      </c>
      <c r="G28" s="567"/>
      <c r="H28" s="563">
        <f>'Auto-Calibration record'!B68</f>
        <v>1056340</v>
      </c>
      <c r="I28" s="563"/>
      <c r="J28" s="159">
        <f>'Auto-Calibration record'!I68</f>
        <v>1072929</v>
      </c>
      <c r="K28" s="159">
        <f t="shared" ref="K28:K35" si="0">J28-H28</f>
        <v>16589</v>
      </c>
      <c r="L28" s="379">
        <f t="shared" ref="L28:L35" si="1">K28/H28</f>
        <v>1.5704224018781833E-2</v>
      </c>
    </row>
    <row r="29" spans="2:15" s="108" customFormat="1" ht="25.9" customHeight="1" x14ac:dyDescent="0.2">
      <c r="D29" s="552" t="s">
        <v>589</v>
      </c>
      <c r="E29" s="552"/>
      <c r="F29" s="567">
        <f>'Auto-Calibration record'!C65</f>
        <v>180</v>
      </c>
      <c r="G29" s="567"/>
      <c r="H29" s="563">
        <f>'Auto-Calibration record'!B69</f>
        <v>459350</v>
      </c>
      <c r="I29" s="563"/>
      <c r="J29" s="159">
        <f>'Auto-Calibration record'!I69</f>
        <v>463329</v>
      </c>
      <c r="K29" s="159">
        <f t="shared" si="0"/>
        <v>3979</v>
      </c>
      <c r="L29" s="379">
        <f t="shared" si="1"/>
        <v>8.6622401219113958E-3</v>
      </c>
    </row>
    <row r="30" spans="2:15" s="108" customFormat="1" ht="25.9" customHeight="1" x14ac:dyDescent="0.2">
      <c r="D30" s="552" t="s">
        <v>590</v>
      </c>
      <c r="E30" s="552"/>
      <c r="F30" s="567">
        <f>'Auto-Calibration record'!D65</f>
        <v>994</v>
      </c>
      <c r="G30" s="567"/>
      <c r="H30" s="563">
        <f>'Auto-Calibration record'!B71</f>
        <v>36410</v>
      </c>
      <c r="I30" s="563"/>
      <c r="J30" s="159">
        <f>'Auto-Calibration record'!I71</f>
        <v>37037</v>
      </c>
      <c r="K30" s="159">
        <f t="shared" si="0"/>
        <v>627</v>
      </c>
      <c r="L30" s="379">
        <f t="shared" si="1"/>
        <v>1.7220543806646525E-2</v>
      </c>
    </row>
    <row r="31" spans="2:15" s="108" customFormat="1" ht="25.9" customHeight="1" x14ac:dyDescent="0.2">
      <c r="D31" s="552" t="s">
        <v>591</v>
      </c>
      <c r="E31" s="552"/>
      <c r="F31" s="567">
        <f>'Auto-Calibration record'!E65</f>
        <v>2074</v>
      </c>
      <c r="G31" s="567"/>
      <c r="H31" s="563">
        <f>'Auto-Calibration record'!B72</f>
        <v>10940</v>
      </c>
      <c r="I31" s="563"/>
      <c r="J31" s="159">
        <f>'Auto-Calibration record'!I72</f>
        <v>10731</v>
      </c>
      <c r="K31" s="159">
        <f t="shared" si="0"/>
        <v>-209</v>
      </c>
      <c r="L31" s="379">
        <f t="shared" si="1"/>
        <v>-1.910420475319927E-2</v>
      </c>
    </row>
    <row r="32" spans="2:15" s="108" customFormat="1" ht="25.9" customHeight="1" x14ac:dyDescent="0.2">
      <c r="D32" s="552" t="s">
        <v>592</v>
      </c>
      <c r="E32" s="552"/>
      <c r="F32" s="567">
        <f>'Auto-Calibration record'!F65</f>
        <v>3050</v>
      </c>
      <c r="G32" s="567"/>
      <c r="H32" s="563">
        <f>'Auto-Calibration record'!B73</f>
        <v>5210</v>
      </c>
      <c r="I32" s="563"/>
      <c r="J32" s="159">
        <f>'Auto-Calibration record'!I73</f>
        <v>5199</v>
      </c>
      <c r="K32" s="159">
        <f t="shared" si="0"/>
        <v>-11</v>
      </c>
      <c r="L32" s="379">
        <f t="shared" si="1"/>
        <v>-2.1113243761996161E-3</v>
      </c>
    </row>
    <row r="33" spans="2:12" s="108" customFormat="1" ht="25.9" customHeight="1" x14ac:dyDescent="0.2">
      <c r="D33" s="552" t="s">
        <v>593</v>
      </c>
      <c r="E33" s="552"/>
      <c r="F33" s="567">
        <f>'Auto-Calibration record'!G65</f>
        <v>9964</v>
      </c>
      <c r="G33" s="567"/>
      <c r="H33" s="563">
        <f>'Auto-Calibration record'!B74</f>
        <v>611.721</v>
      </c>
      <c r="I33" s="563"/>
      <c r="J33" s="159">
        <f>'Auto-Calibration record'!I74</f>
        <v>579</v>
      </c>
      <c r="K33" s="159">
        <f t="shared" si="0"/>
        <v>-32.721000000000004</v>
      </c>
      <c r="L33" s="379">
        <f t="shared" si="1"/>
        <v>-5.3490071454143313E-2</v>
      </c>
    </row>
    <row r="34" spans="2:12" s="108" customFormat="1" ht="25.9" customHeight="1" x14ac:dyDescent="0.2">
      <c r="D34" s="552" t="s">
        <v>1003</v>
      </c>
      <c r="E34" s="552"/>
      <c r="F34" s="567">
        <f>'Auto-Calibration record'!H65</f>
        <v>16287</v>
      </c>
      <c r="G34" s="567"/>
      <c r="H34" s="563">
        <f>'Auto-Calibration record'!B75</f>
        <v>145.303</v>
      </c>
      <c r="I34" s="563"/>
      <c r="J34" s="159">
        <f>'Auto-Calibration record'!I75</f>
        <v>115</v>
      </c>
      <c r="K34" s="159">
        <f t="shared" si="0"/>
        <v>-30.302999999999997</v>
      </c>
      <c r="L34" s="379">
        <f t="shared" si="1"/>
        <v>-0.20855040845681092</v>
      </c>
    </row>
    <row r="35" spans="2:12" s="102" customFormat="1" ht="25.9" customHeight="1" x14ac:dyDescent="0.25">
      <c r="D35" s="552" t="s">
        <v>1004</v>
      </c>
      <c r="E35" s="552"/>
      <c r="F35" s="568">
        <f>'Auto-Calibration record'!I65</f>
        <v>25144</v>
      </c>
      <c r="G35" s="568"/>
      <c r="H35" s="563">
        <f>'Auto-Calibration record'!B76</f>
        <v>24.939</v>
      </c>
      <c r="I35" s="563"/>
      <c r="J35" s="380">
        <f>'Auto-Calibration record'!I76</f>
        <v>37</v>
      </c>
      <c r="K35" s="159">
        <f t="shared" si="0"/>
        <v>12.061</v>
      </c>
      <c r="L35" s="379">
        <f t="shared" si="1"/>
        <v>0.48362003288022776</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67"/>
      <c r="K38" s="167"/>
      <c r="L38" s="167"/>
    </row>
    <row r="39" spans="2:12" ht="25.9" customHeight="1" x14ac:dyDescent="0.2">
      <c r="B39" s="115"/>
      <c r="D39" s="109" t="s">
        <v>585</v>
      </c>
      <c r="E39" s="551" t="s">
        <v>585</v>
      </c>
      <c r="F39" s="551"/>
      <c r="G39" s="551" t="s">
        <v>600</v>
      </c>
      <c r="H39" s="551"/>
      <c r="I39" s="116"/>
      <c r="J39" s="168"/>
      <c r="K39" s="168"/>
      <c r="L39" s="168"/>
    </row>
    <row r="40" spans="2:12" ht="25.9" customHeight="1" x14ac:dyDescent="0.2">
      <c r="B40" s="115"/>
      <c r="D40" s="129">
        <f>'Auto-Calibration record'!B11</f>
        <v>34</v>
      </c>
      <c r="E40" s="563">
        <f>F28-D40</f>
        <v>42</v>
      </c>
      <c r="F40" s="563"/>
      <c r="G40" s="577">
        <f>F28/D40</f>
        <v>2.2352941176470589</v>
      </c>
      <c r="H40" s="577"/>
      <c r="I40" s="116"/>
      <c r="J40" s="169"/>
      <c r="K40" s="170"/>
      <c r="L40" s="171"/>
    </row>
    <row r="41" spans="2:12" x14ac:dyDescent="0.2">
      <c r="B41" s="115"/>
      <c r="D41" s="385"/>
    </row>
    <row r="42" spans="2:12" x14ac:dyDescent="0.2">
      <c r="B42" s="115"/>
      <c r="D42" s="385"/>
    </row>
    <row r="43" spans="2:12" x14ac:dyDescent="0.2">
      <c r="B43" s="115"/>
      <c r="D43" s="385"/>
    </row>
    <row r="44" spans="2:12" x14ac:dyDescent="0.2">
      <c r="B44" s="115"/>
      <c r="D44" s="385"/>
    </row>
    <row r="45" spans="2:12" x14ac:dyDescent="0.2">
      <c r="B45" s="115"/>
      <c r="D45" s="38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53" t="s">
        <v>603</v>
      </c>
      <c r="L72" s="554"/>
      <c r="M72" s="554"/>
      <c r="N72" s="554"/>
      <c r="O72" s="555"/>
    </row>
    <row r="73" spans="2:16" s="88" customFormat="1" ht="25.9" customHeight="1" x14ac:dyDescent="0.2">
      <c r="H73" s="1"/>
      <c r="I73" s="1"/>
      <c r="K73" s="556"/>
      <c r="L73" s="557"/>
      <c r="M73" s="557"/>
      <c r="N73" s="557"/>
      <c r="O73" s="558"/>
    </row>
    <row r="74" spans="2:16" s="88" customFormat="1" ht="25.9" customHeight="1" x14ac:dyDescent="0.2">
      <c r="B74" s="120" t="s">
        <v>604</v>
      </c>
      <c r="C74" s="121"/>
      <c r="D74" s="547" t="s">
        <v>605</v>
      </c>
      <c r="E74" s="548"/>
      <c r="F74" s="548"/>
      <c r="G74" s="549"/>
      <c r="H74" s="1"/>
      <c r="I74" s="1"/>
      <c r="K74" s="556"/>
      <c r="L74" s="557"/>
      <c r="M74" s="557"/>
      <c r="N74" s="557"/>
      <c r="O74" s="558"/>
    </row>
    <row r="75" spans="2:16" s="88" customFormat="1" ht="25.9" customHeight="1" x14ac:dyDescent="0.2">
      <c r="K75" s="559"/>
      <c r="L75" s="560"/>
      <c r="M75" s="560"/>
      <c r="N75" s="560"/>
      <c r="O75" s="561"/>
    </row>
    <row r="76" spans="2:16" s="88" customFormat="1" ht="25.9" customHeight="1" x14ac:dyDescent="0.2">
      <c r="B76" s="120" t="s">
        <v>606</v>
      </c>
      <c r="C76" s="121"/>
      <c r="D76" s="569" t="str">
        <f>'Auto-Calibration record'!H26</f>
        <v>John Devereux</v>
      </c>
      <c r="E76" s="570"/>
      <c r="F76" s="571"/>
      <c r="K76" s="122" t="s">
        <v>607</v>
      </c>
      <c r="L76" s="564" t="s">
        <v>608</v>
      </c>
      <c r="M76" s="565"/>
      <c r="N76" s="565"/>
      <c r="O76" s="566"/>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011 1026:2035 2050:3059 3074:4083 4098:5107 5122:6131 6146:7155 7170:8179 8194:9203 9218:10227 10242:11251 11266:12275 12290:13299 13314:14323 14338:15347 15362:16371" x14ac:dyDescent="0.2">
      <c r="O83" s="124" t="s">
        <v>612</v>
      </c>
    </row>
    <row r="84" spans="2:1011 1026:2035 2050:3059 3074:4083 4098:5107 5122:6131 6146:7155 7170:8179 8194:9203 9218:10227 10242:11251 11266:12275 12290:13299 13314:14323 14338:15347 15362:16371" ht="15.6" customHeight="1" x14ac:dyDescent="0.2">
      <c r="B84" s="87" t="s">
        <v>559</v>
      </c>
      <c r="C84" s="83"/>
      <c r="O84" s="124" t="s">
        <v>524</v>
      </c>
    </row>
    <row r="85" spans="2:1011 1026:2035 2050:3059 3074:4083 4098:5107 5122:6131 6146:7155 7170:8179 8194:9203 9218:10227 10242:11251 11266:12275 12290:13299 13314:14323 14338:15347 15362:16371" ht="14.25" x14ac:dyDescent="0.2">
      <c r="B85" s="87" t="s">
        <v>613</v>
      </c>
      <c r="C85" s="83"/>
      <c r="O85" s="124" t="s">
        <v>19</v>
      </c>
    </row>
    <row r="86" spans="2:1011 1026:2035 2050:3059 3074:4083 4098:5107 5122:6131 6146:7155 7170:8179 8194:9203 9218:10227 10242:11251 11266:12275 12290:13299 13314:14323 14338:15347 15362:16371" ht="14.25" x14ac:dyDescent="0.2">
      <c r="B86" s="87" t="s">
        <v>614</v>
      </c>
      <c r="C86" s="83"/>
      <c r="L86" s="125"/>
      <c r="N86" s="125"/>
      <c r="O86" s="124" t="s">
        <v>20</v>
      </c>
    </row>
    <row r="87" spans="2:1011 1026:2035 2050:3059 3074:4083 4098:5107 5122:6131 6146:7155 7170:8179 8194:9203 9218:10227 10242:11251 11266:12275 12290:13299 13314:14323 14338:15347 15362:16371" ht="14.25" x14ac:dyDescent="0.2">
      <c r="B87" s="87" t="s">
        <v>562</v>
      </c>
      <c r="C87" s="83"/>
    </row>
    <row r="88" spans="2:1011 1026:2035 2050:3059 3074:4083 4098:5107 5122:6131 6146:7155 7170:8179 8194:9203 9218:10227 10242:11251 11266:12275 12290:13299 13314:14323 14338:15347 15362:16371" ht="14.25" x14ac:dyDescent="0.2">
      <c r="B88" s="87" t="s">
        <v>615</v>
      </c>
      <c r="C88" s="83"/>
    </row>
    <row r="89" spans="2:1011 1026:2035 2050:3059 3074:4083 4098:5107 5122:6131 6146:7155 7170:8179 8194:9203 9218:10227 10242:11251 11266:12275 12290:13299 13314:14323 14338:15347 15362:16371" ht="14.25" x14ac:dyDescent="0.2">
      <c r="B89" s="87" t="s">
        <v>616</v>
      </c>
      <c r="C89" s="83"/>
    </row>
    <row r="90" spans="2:1011 1026:2035 2050:3059 3074:4083 4098:5107 5122:6131 6146:7155 7170:8179 8194:9203 9218:10227 10242:11251 11266:12275 12290:13299 13314:14323 14338:15347 15362:16371" ht="14.25" x14ac:dyDescent="0.2">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4.25" x14ac:dyDescent="0.2">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4.25" x14ac:dyDescent="0.2">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4.25" x14ac:dyDescent="0.2">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4.25" x14ac:dyDescent="0.2">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4.25" x14ac:dyDescent="0.2">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4.25" x14ac:dyDescent="0.2">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75" x14ac:dyDescent="0.25">
      <c r="B97" s="341" t="s">
        <v>230</v>
      </c>
      <c r="C97" s="341"/>
      <c r="D97" s="341"/>
      <c r="E97" s="381"/>
      <c r="F97" s="381"/>
      <c r="G97" s="381"/>
      <c r="H97" s="381"/>
      <c r="I97" s="381"/>
      <c r="J97" s="381"/>
      <c r="K97" s="125"/>
    </row>
    <row r="98" spans="2:15" ht="15" x14ac:dyDescent="0.2">
      <c r="B98" s="381" t="str">
        <f>'Cover Service Sheet'!C182</f>
        <v xml:space="preserve"> </v>
      </c>
      <c r="C98" s="381"/>
      <c r="D98" s="381"/>
      <c r="E98" s="381"/>
      <c r="F98" s="381"/>
      <c r="G98" s="381"/>
      <c r="H98" s="381"/>
      <c r="I98" s="381"/>
      <c r="J98" s="381"/>
    </row>
    <row r="99" spans="2:15" ht="129" customHeight="1" x14ac:dyDescent="0.2">
      <c r="B99" s="572" t="str">
        <f>'Cover Service Sheet'!C183</f>
        <v xml:space="preserve">
</v>
      </c>
      <c r="C99" s="572"/>
      <c r="D99" s="572"/>
      <c r="E99" s="572"/>
      <c r="F99" s="572"/>
      <c r="G99" s="572"/>
      <c r="H99" s="572"/>
      <c r="I99" s="572"/>
      <c r="J99" s="572"/>
      <c r="K99" s="572"/>
      <c r="L99" s="572"/>
      <c r="M99" s="572"/>
      <c r="N99" s="572"/>
      <c r="O99" s="572"/>
    </row>
    <row r="100" spans="2:15" ht="15" x14ac:dyDescent="0.2">
      <c r="B100" s="381"/>
      <c r="C100" s="381"/>
      <c r="D100" s="381"/>
      <c r="E100" s="381"/>
      <c r="F100" s="381"/>
      <c r="G100" s="381"/>
      <c r="H100" s="381"/>
      <c r="I100" s="381"/>
      <c r="J100" s="381"/>
    </row>
    <row r="101" spans="2:15" ht="15.75" x14ac:dyDescent="0.25">
      <c r="B101" s="341" t="s">
        <v>232</v>
      </c>
      <c r="C101" s="381"/>
      <c r="D101" s="381"/>
      <c r="E101" s="381"/>
      <c r="F101" s="381"/>
      <c r="G101" s="381"/>
      <c r="H101" s="381"/>
      <c r="I101" s="381"/>
      <c r="J101" s="381"/>
    </row>
    <row r="102" spans="2:15" ht="15" x14ac:dyDescent="0.2">
      <c r="B102" s="381" t="str">
        <f>'Cover Service Sheet'!C186</f>
        <v/>
      </c>
      <c r="C102" s="381"/>
      <c r="D102" s="381"/>
      <c r="E102" s="381"/>
      <c r="F102" s="381"/>
      <c r="G102" s="381"/>
      <c r="H102" s="381"/>
      <c r="I102" s="381"/>
      <c r="J102" s="381"/>
    </row>
    <row r="103" spans="2:15" ht="141" customHeight="1" x14ac:dyDescent="0.2">
      <c r="B103" s="572">
        <f>'Cover Service Sheet'!C187</f>
        <v>0</v>
      </c>
      <c r="C103" s="572"/>
      <c r="D103" s="572"/>
      <c r="E103" s="572"/>
      <c r="F103" s="572"/>
      <c r="G103" s="572"/>
      <c r="H103" s="572"/>
      <c r="I103" s="572"/>
      <c r="J103" s="572"/>
      <c r="K103" s="572"/>
      <c r="L103" s="572"/>
      <c r="M103" s="572"/>
      <c r="N103" s="572"/>
      <c r="O103" s="572"/>
    </row>
    <row r="104" spans="2:15" ht="15" x14ac:dyDescent="0.2">
      <c r="B104" s="381"/>
      <c r="C104" s="381"/>
      <c r="D104" s="381"/>
      <c r="E104" s="381"/>
      <c r="F104" s="381"/>
      <c r="G104" s="381"/>
      <c r="H104" s="381"/>
      <c r="I104" s="381"/>
      <c r="J104" s="381"/>
    </row>
    <row r="105" spans="2:15" ht="15.75" x14ac:dyDescent="0.25">
      <c r="B105" s="341" t="s">
        <v>233</v>
      </c>
      <c r="C105" s="341"/>
      <c r="D105" s="341"/>
      <c r="E105" s="381"/>
      <c r="F105" s="381"/>
      <c r="G105" s="381"/>
      <c r="H105" s="381"/>
      <c r="I105" s="381"/>
      <c r="J105" s="381"/>
    </row>
    <row r="106" spans="2:15" ht="15" x14ac:dyDescent="0.2">
      <c r="B106" s="381" t="str">
        <f>'Cover Service Sheet'!C190</f>
        <v/>
      </c>
      <c r="C106" s="381"/>
      <c r="D106" s="381"/>
      <c r="E106" s="381"/>
      <c r="F106" s="381"/>
      <c r="G106" s="381"/>
      <c r="H106" s="381"/>
      <c r="I106" s="381"/>
      <c r="J106" s="381"/>
    </row>
    <row r="107" spans="2:15" ht="135" customHeight="1" x14ac:dyDescent="0.2">
      <c r="B107" s="572">
        <f>'Cover Service Sheet'!C191</f>
        <v>0</v>
      </c>
      <c r="C107" s="572"/>
      <c r="D107" s="572"/>
      <c r="E107" s="572"/>
      <c r="F107" s="572"/>
      <c r="G107" s="572"/>
      <c r="H107" s="572"/>
      <c r="I107" s="572"/>
      <c r="J107" s="572"/>
      <c r="K107" s="572"/>
      <c r="L107" s="572"/>
      <c r="M107" s="572"/>
      <c r="N107" s="572"/>
      <c r="O107" s="572"/>
    </row>
    <row r="108" spans="2:15" ht="44.25" customHeight="1" x14ac:dyDescent="0.2">
      <c r="B108" s="381"/>
      <c r="C108" s="381"/>
      <c r="D108" s="381"/>
      <c r="E108" s="381"/>
      <c r="F108" s="381"/>
      <c r="G108" s="381"/>
      <c r="H108" s="381"/>
      <c r="I108" s="381"/>
      <c r="J108" s="381"/>
    </row>
    <row r="109" spans="2:15" ht="15.75" hidden="1" x14ac:dyDescent="0.25">
      <c r="B109" s="341" t="s">
        <v>617</v>
      </c>
      <c r="C109" s="341"/>
      <c r="D109" s="381"/>
      <c r="E109" s="381"/>
      <c r="F109" s="381"/>
      <c r="G109" s="381"/>
      <c r="H109" s="381"/>
      <c r="I109" s="381"/>
      <c r="J109" s="381"/>
    </row>
    <row r="110" spans="2:15" ht="15" hidden="1" x14ac:dyDescent="0.2">
      <c r="B110" s="381" t="str">
        <f>'Cover Service Sheet'!C194</f>
        <v/>
      </c>
      <c r="C110" s="381"/>
      <c r="D110" s="381"/>
      <c r="E110" s="381"/>
      <c r="F110" s="381"/>
      <c r="G110" s="381"/>
      <c r="H110" s="381"/>
      <c r="I110" s="381"/>
      <c r="J110" s="381"/>
    </row>
    <row r="111" spans="2:15" ht="27.75" customHeight="1" x14ac:dyDescent="0.35">
      <c r="B111" s="382" t="s">
        <v>265</v>
      </c>
      <c r="C111" s="381"/>
      <c r="D111" s="381"/>
      <c r="E111" s="381"/>
      <c r="F111" s="381"/>
      <c r="G111" s="381"/>
      <c r="H111" s="381"/>
      <c r="I111" s="381"/>
      <c r="J111" s="381"/>
    </row>
    <row r="112" spans="2:15" ht="23.25" x14ac:dyDescent="0.35">
      <c r="B112" s="383" t="str">
        <f>'Cover Service Sheet'!Q7</f>
        <v>Please note: Where possible, all recalibrations should be booked online at the supplied booking site</v>
      </c>
      <c r="C112" s="381"/>
      <c r="D112" s="381"/>
      <c r="E112" s="381"/>
      <c r="F112" s="381"/>
      <c r="G112" s="381"/>
      <c r="H112" s="381"/>
      <c r="I112" s="381"/>
      <c r="J112" s="381"/>
    </row>
    <row r="113" spans="2:10" ht="23.25" x14ac:dyDescent="0.35">
      <c r="B113" s="383" t="str">
        <f>'Cover Service Sheet'!Q8</f>
        <v>No accessories present to return to end user</v>
      </c>
      <c r="C113" s="381"/>
      <c r="D113" s="381"/>
      <c r="E113" s="381"/>
      <c r="F113" s="381"/>
      <c r="G113" s="381"/>
      <c r="H113" s="381"/>
      <c r="I113" s="381"/>
      <c r="J113" s="381"/>
    </row>
    <row r="114" spans="2:10" ht="23.25" x14ac:dyDescent="0.35">
      <c r="B114" s="383" t="str">
        <f>'Cover Service Sheet'!Q33</f>
        <v>Exterior damage to case upon receipt</v>
      </c>
      <c r="C114" s="381"/>
      <c r="D114" s="381"/>
      <c r="E114" s="381"/>
      <c r="F114" s="381"/>
      <c r="G114" s="381"/>
      <c r="H114" s="381"/>
      <c r="I114" s="381"/>
      <c r="J114" s="381"/>
    </row>
    <row r="115" spans="2:10" ht="23.25" x14ac:dyDescent="0.35">
      <c r="B115" s="383" t="str">
        <f>'Cover Service Sheet'!Q34</f>
        <v>No cap on input test point</v>
      </c>
      <c r="C115" s="381"/>
      <c r="D115" s="381"/>
      <c r="E115" s="381"/>
      <c r="F115" s="381"/>
      <c r="G115" s="381"/>
      <c r="H115" s="381"/>
      <c r="I115" s="381"/>
      <c r="J115" s="381"/>
    </row>
    <row r="116" spans="2:10" ht="23.25" x14ac:dyDescent="0.35">
      <c r="B116" s="383" t="str">
        <f>'Cover Service Sheet'!Q35</f>
        <v>No cap on waste test point</v>
      </c>
      <c r="C116" s="381"/>
      <c r="D116" s="381"/>
      <c r="E116" s="381"/>
      <c r="F116" s="381"/>
      <c r="G116" s="381"/>
      <c r="H116" s="381"/>
      <c r="I116" s="381"/>
      <c r="J116" s="381"/>
    </row>
    <row r="117" spans="2:10" ht="23.25" x14ac:dyDescent="0.35">
      <c r="B117" s="383" t="str">
        <f>'Cover Service Sheet'!Q39</f>
        <v>The screen has been damaged and is not functioning correctly</v>
      </c>
      <c r="C117" s="381"/>
      <c r="D117" s="381"/>
      <c r="E117" s="381"/>
      <c r="F117" s="381"/>
      <c r="G117" s="381"/>
      <c r="H117" s="381"/>
      <c r="I117" s="381"/>
      <c r="J117" s="381"/>
    </row>
    <row r="118" spans="2:10" ht="23.25" x14ac:dyDescent="0.35">
      <c r="B118" s="383" t="str">
        <f>'Cover Service Sheet'!Q42</f>
        <v>Firmware was an older version and needed updating</v>
      </c>
      <c r="C118" s="381"/>
      <c r="D118" s="381"/>
      <c r="E118" s="381"/>
      <c r="F118" s="381"/>
      <c r="G118" s="381"/>
      <c r="H118" s="381"/>
      <c r="I118" s="381"/>
      <c r="J118" s="381"/>
    </row>
    <row r="119" spans="2:10" ht="23.25" x14ac:dyDescent="0.35">
      <c r="B119" s="383" t="e">
        <f>'Cover Service Sheet'!Q71</f>
        <v>#REF!</v>
      </c>
      <c r="C119" s="381"/>
      <c r="D119" s="381"/>
      <c r="E119" s="381"/>
      <c r="F119" s="381"/>
      <c r="G119" s="381"/>
      <c r="H119" s="381"/>
      <c r="I119" s="381"/>
      <c r="J119" s="381"/>
    </row>
    <row r="120" spans="2:10" ht="23.25" x14ac:dyDescent="0.35">
      <c r="B120" s="383" t="e">
        <f>'Cover Service Sheet'!#REF!</f>
        <v>#REF!</v>
      </c>
      <c r="C120" s="381"/>
      <c r="D120" s="381"/>
      <c r="E120" s="381"/>
      <c r="F120" s="381"/>
      <c r="G120" s="381"/>
      <c r="H120" s="381"/>
      <c r="I120" s="381"/>
      <c r="J120" s="381"/>
    </row>
    <row r="121" spans="2:10" ht="23.25" x14ac:dyDescent="0.35">
      <c r="B121" s="383" t="e">
        <f>'Cover Service Sheet'!#REF!</f>
        <v>#REF!</v>
      </c>
      <c r="C121" s="381"/>
      <c r="D121" s="381"/>
      <c r="E121" s="381"/>
      <c r="F121" s="381"/>
      <c r="G121" s="381"/>
      <c r="H121" s="381"/>
      <c r="I121" s="381"/>
      <c r="J121" s="381"/>
    </row>
    <row r="122" spans="2:10" ht="23.25" x14ac:dyDescent="0.35">
      <c r="B122" s="383" t="e">
        <f>'Cover Service Sheet'!#REF!</f>
        <v>#REF!</v>
      </c>
      <c r="C122" s="381"/>
      <c r="D122" s="381"/>
      <c r="E122" s="381"/>
      <c r="F122" s="381"/>
      <c r="G122" s="381"/>
      <c r="H122" s="381"/>
      <c r="I122" s="381"/>
      <c r="J122" s="381"/>
    </row>
    <row r="123" spans="2:10" ht="23.25" x14ac:dyDescent="0.35">
      <c r="B123" s="383" t="str">
        <f>'Cover Service Sheet'!Q77</f>
        <v>Sensor array assembly passed initial inspection</v>
      </c>
      <c r="C123" s="381"/>
      <c r="D123" s="381"/>
      <c r="E123" s="381"/>
      <c r="F123" s="381"/>
      <c r="G123" s="381"/>
      <c r="H123" s="381"/>
      <c r="I123" s="381"/>
      <c r="J123" s="381"/>
    </row>
    <row r="124" spans="2:10" ht="23.25" x14ac:dyDescent="0.35">
      <c r="B124" s="383" t="str">
        <f>'Cover Service Sheet'!Q80</f>
        <v>Initial light source check, output within specification PASS</v>
      </c>
      <c r="C124" s="381"/>
      <c r="D124" s="381"/>
      <c r="E124" s="381"/>
      <c r="F124" s="381"/>
      <c r="G124" s="381"/>
      <c r="H124" s="381"/>
      <c r="I124" s="381"/>
      <c r="J124" s="381"/>
    </row>
    <row r="125" spans="2:10" ht="23.25" x14ac:dyDescent="0.35">
      <c r="B125" s="383" t="str">
        <f>'Cover Service Sheet'!Q81</f>
        <v>Initial Light source electrical noise output within specification PASS</v>
      </c>
      <c r="C125" s="381"/>
      <c r="D125" s="381"/>
      <c r="E125" s="381"/>
      <c r="F125" s="381"/>
      <c r="G125" s="381"/>
      <c r="H125" s="381"/>
      <c r="I125" s="381"/>
      <c r="J125" s="381"/>
    </row>
    <row r="126" spans="2:10" ht="23.25" x14ac:dyDescent="0.35">
      <c r="B126" s="383">
        <f>'Cover Service Sheet'!Q83</f>
        <v>0</v>
      </c>
      <c r="C126" s="381"/>
      <c r="D126" s="381"/>
      <c r="E126" s="381"/>
      <c r="F126" s="381"/>
      <c r="G126" s="381"/>
      <c r="H126" s="381"/>
      <c r="I126" s="381"/>
      <c r="J126" s="381"/>
    </row>
    <row r="127" spans="2:10" ht="23.25" x14ac:dyDescent="0.35">
      <c r="B127" s="383">
        <f>'Cover Service Sheet'!Q84</f>
        <v>0</v>
      </c>
      <c r="C127" s="381"/>
      <c r="D127" s="381"/>
      <c r="E127" s="381"/>
      <c r="F127" s="381"/>
      <c r="G127" s="381"/>
      <c r="H127" s="381"/>
      <c r="I127" s="381"/>
      <c r="J127" s="381"/>
    </row>
    <row r="128" spans="2:10" ht="23.25" x14ac:dyDescent="0.35">
      <c r="B128" s="383"/>
      <c r="C128" s="381"/>
      <c r="D128" s="381"/>
      <c r="E128" s="381"/>
      <c r="F128" s="381"/>
      <c r="G128" s="381"/>
      <c r="H128" s="381"/>
      <c r="I128" s="381"/>
      <c r="J128" s="381"/>
    </row>
    <row r="129" spans="2:10" ht="23.25" x14ac:dyDescent="0.35">
      <c r="B129" s="382" t="s">
        <v>618</v>
      </c>
      <c r="C129" s="381"/>
      <c r="D129" s="381"/>
      <c r="E129" s="381"/>
      <c r="F129" s="381"/>
      <c r="G129" s="381"/>
      <c r="H129" s="381"/>
      <c r="I129" s="381"/>
      <c r="J129" s="381"/>
    </row>
    <row r="130" spans="2:10" ht="23.25" x14ac:dyDescent="0.35">
      <c r="B130" s="383" t="e">
        <f>'Cover Service Sheet'!#REF!</f>
        <v>#REF!</v>
      </c>
      <c r="C130" s="381"/>
      <c r="D130" s="381"/>
      <c r="E130" s="381"/>
      <c r="F130" s="381"/>
      <c r="G130" s="381"/>
      <c r="H130" s="381"/>
      <c r="I130" s="381"/>
      <c r="J130" s="381"/>
    </row>
    <row r="131" spans="2:10" ht="23.25" x14ac:dyDescent="0.35">
      <c r="B131" s="383" t="e">
        <f>'Cover Service Sheet'!#REF!</f>
        <v>#REF!</v>
      </c>
      <c r="C131" s="381"/>
      <c r="D131" s="381"/>
      <c r="E131" s="381"/>
      <c r="F131" s="381"/>
      <c r="G131" s="381"/>
      <c r="H131" s="381"/>
      <c r="I131" s="381"/>
      <c r="J131" s="381"/>
    </row>
    <row r="132" spans="2:10" ht="23.25" x14ac:dyDescent="0.35">
      <c r="B132" s="383" t="e">
        <f>'Cover Service Sheet'!#REF!</f>
        <v>#REF!</v>
      </c>
      <c r="C132" s="381"/>
      <c r="D132" s="381"/>
      <c r="E132" s="381"/>
      <c r="F132" s="381"/>
      <c r="G132" s="381"/>
      <c r="H132" s="381"/>
      <c r="I132" s="381"/>
      <c r="J132" s="381"/>
    </row>
    <row r="133" spans="2:10" ht="23.25" x14ac:dyDescent="0.35">
      <c r="B133" s="383" t="str">
        <f>'Cover Service Sheet'!Q95</f>
        <v>Battery terminal cables of current design</v>
      </c>
      <c r="C133" s="381"/>
      <c r="D133" s="381"/>
      <c r="E133" s="381"/>
      <c r="F133" s="381"/>
      <c r="G133" s="381"/>
      <c r="H133" s="381"/>
      <c r="I133" s="381"/>
      <c r="J133" s="381"/>
    </row>
    <row r="134" spans="2:10" ht="23.25" x14ac:dyDescent="0.35">
      <c r="B134" s="383" t="str">
        <f>'Cover Service Sheet'!Q97</f>
        <v>Battery not secure in brackets, needed to be refurbished</v>
      </c>
      <c r="C134" s="381"/>
      <c r="D134" s="381"/>
      <c r="E134" s="381"/>
      <c r="F134" s="381"/>
      <c r="G134" s="381"/>
      <c r="H134" s="381"/>
      <c r="I134" s="381"/>
      <c r="J134" s="381"/>
    </row>
    <row r="135" spans="2:10" ht="23.25" x14ac:dyDescent="0.35">
      <c r="B135" s="383" t="e">
        <f>'Cover Service Sheet'!#REF!</f>
        <v>#REF!</v>
      </c>
      <c r="C135" s="381"/>
      <c r="D135" s="381"/>
      <c r="E135" s="381"/>
      <c r="F135" s="381"/>
      <c r="G135" s="381"/>
      <c r="H135" s="381"/>
      <c r="I135" s="381"/>
      <c r="J135" s="381"/>
    </row>
    <row r="136" spans="2:10" ht="23.25" x14ac:dyDescent="0.35">
      <c r="B136" s="383">
        <f>'Cover Service Sheet'!Q99</f>
        <v>0</v>
      </c>
      <c r="C136" s="381"/>
      <c r="D136" s="381"/>
      <c r="E136" s="381"/>
      <c r="F136" s="381"/>
      <c r="G136" s="381"/>
      <c r="H136" s="381"/>
      <c r="I136" s="381"/>
      <c r="J136" s="381"/>
    </row>
    <row r="137" spans="2:10" ht="23.25" x14ac:dyDescent="0.35">
      <c r="B137" s="383" t="e">
        <f>'Cover Service Sheet'!#REF!</f>
        <v>#REF!</v>
      </c>
      <c r="C137" s="381"/>
      <c r="D137" s="381"/>
      <c r="E137" s="381"/>
      <c r="F137" s="381"/>
      <c r="G137" s="381"/>
      <c r="H137" s="381"/>
      <c r="I137" s="381"/>
      <c r="J137" s="381"/>
    </row>
    <row r="138" spans="2:10" ht="23.25" x14ac:dyDescent="0.35">
      <c r="B138" s="383" t="str">
        <f>'Cover Service Sheet'!Q100</f>
        <v>High pressure seal integrity test failure, unit requires rework</v>
      </c>
      <c r="C138" s="381"/>
      <c r="D138" s="381"/>
      <c r="E138" s="381"/>
      <c r="F138" s="381"/>
      <c r="G138" s="381"/>
      <c r="H138" s="381"/>
      <c r="I138" s="381"/>
      <c r="J138" s="381"/>
    </row>
    <row r="139" spans="2:10" ht="23.25" x14ac:dyDescent="0.35">
      <c r="B139" s="383"/>
      <c r="C139" s="381"/>
      <c r="D139" s="381"/>
      <c r="E139" s="381"/>
      <c r="F139" s="381"/>
      <c r="G139" s="381"/>
      <c r="H139" s="381"/>
      <c r="I139" s="381"/>
      <c r="J139" s="381"/>
    </row>
    <row r="140" spans="2:10" ht="23.25" x14ac:dyDescent="0.35">
      <c r="B140" s="382" t="s">
        <v>619</v>
      </c>
      <c r="C140" s="381"/>
      <c r="D140" s="381"/>
      <c r="E140" s="381"/>
      <c r="F140" s="381"/>
      <c r="G140" s="381"/>
      <c r="H140" s="381"/>
      <c r="I140" s="381"/>
      <c r="J140" s="381"/>
    </row>
    <row r="141" spans="2:10" ht="23.25" x14ac:dyDescent="0.35">
      <c r="B141" s="383" t="str">
        <f>'Cover Service Sheet'!Q108</f>
        <v xml:space="preserve"> </v>
      </c>
      <c r="C141" s="381"/>
      <c r="D141" s="381"/>
      <c r="E141" s="381"/>
      <c r="F141" s="381"/>
      <c r="G141" s="381"/>
      <c r="H141" s="381"/>
      <c r="I141" s="381"/>
      <c r="J141" s="381"/>
    </row>
    <row r="142" spans="2:10" ht="23.25" x14ac:dyDescent="0.35">
      <c r="B142" s="383" t="str">
        <f>'Cover Service Sheet'!Q116</f>
        <v xml:space="preserve">Thresholds on certificate do not match those programmed in unit </v>
      </c>
      <c r="C142" s="381"/>
      <c r="D142" s="381"/>
      <c r="E142" s="381"/>
      <c r="F142" s="381"/>
      <c r="G142" s="381"/>
      <c r="H142" s="381"/>
      <c r="I142" s="381"/>
      <c r="J142" s="381"/>
    </row>
    <row r="143" spans="2:10" ht="23.25" x14ac:dyDescent="0.35">
      <c r="B143" s="383" t="str">
        <f>'Cover Service Sheet'!Q148</f>
        <v/>
      </c>
      <c r="C143" s="381"/>
      <c r="D143" s="381"/>
      <c r="E143" s="381"/>
      <c r="F143" s="381"/>
      <c r="G143" s="381"/>
      <c r="H143" s="381"/>
      <c r="I143" s="381"/>
      <c r="J143" s="381"/>
    </row>
    <row r="144" spans="2:10" ht="23.25" x14ac:dyDescent="0.35">
      <c r="B144" s="383" t="str">
        <f>'Cover Service Sheet'!Q154</f>
        <v/>
      </c>
      <c r="C144" s="381"/>
      <c r="D144" s="381"/>
      <c r="E144" s="381"/>
      <c r="F144" s="381"/>
      <c r="G144" s="381"/>
      <c r="H144" s="381"/>
      <c r="I144" s="381"/>
      <c r="J144" s="381"/>
    </row>
    <row r="145" spans="2:10" ht="23.25" x14ac:dyDescent="0.35">
      <c r="B145" s="383" t="str">
        <f>'Cover Service Sheet'!Q157</f>
        <v>LANGUAGE NOT CORRECT</v>
      </c>
      <c r="C145" s="381"/>
      <c r="D145" s="381"/>
      <c r="E145" s="381"/>
      <c r="F145" s="381"/>
      <c r="G145" s="381"/>
      <c r="H145" s="381"/>
      <c r="I145" s="381"/>
      <c r="J145" s="381"/>
    </row>
    <row r="146" spans="2:10" ht="23.25" x14ac:dyDescent="0.35">
      <c r="B146" s="383" t="str">
        <f>'Cover Service Sheet'!Q162</f>
        <v/>
      </c>
      <c r="C146" s="381"/>
      <c r="D146" s="381"/>
      <c r="E146" s="381"/>
      <c r="F146" s="381"/>
      <c r="G146" s="381"/>
      <c r="H146" s="381"/>
      <c r="I146" s="381"/>
      <c r="J146" s="381"/>
    </row>
    <row r="147" spans="2:10" ht="23.25" x14ac:dyDescent="0.35">
      <c r="B147" s="383"/>
      <c r="C147" s="381"/>
      <c r="D147" s="381"/>
      <c r="E147" s="381"/>
      <c r="F147" s="381"/>
      <c r="G147" s="381"/>
      <c r="H147" s="381"/>
      <c r="I147" s="381"/>
      <c r="J147" s="381"/>
    </row>
    <row r="148" spans="2:10" ht="23.25" x14ac:dyDescent="0.35">
      <c r="B148" s="383"/>
      <c r="C148" s="381"/>
      <c r="D148" s="381"/>
      <c r="E148" s="381"/>
      <c r="F148" s="381"/>
      <c r="G148" s="381"/>
      <c r="H148" s="381"/>
      <c r="I148" s="381"/>
      <c r="J148" s="381"/>
    </row>
    <row r="149" spans="2:10" ht="15" x14ac:dyDescent="0.2">
      <c r="B149" s="381"/>
      <c r="C149" s="381"/>
      <c r="D149" s="381"/>
      <c r="E149" s="381"/>
      <c r="F149" s="381"/>
      <c r="G149" s="381"/>
      <c r="H149" s="381"/>
      <c r="I149" s="381"/>
      <c r="J149" s="381"/>
    </row>
    <row r="150" spans="2:10" ht="15" x14ac:dyDescent="0.2">
      <c r="B150" s="381"/>
      <c r="C150" s="381"/>
      <c r="D150" s="381"/>
      <c r="E150" s="381"/>
      <c r="F150" s="381"/>
      <c r="G150" s="381"/>
      <c r="H150" s="381"/>
      <c r="I150" s="381"/>
      <c r="J150" s="381"/>
    </row>
    <row r="151" spans="2:10" ht="15.75" x14ac:dyDescent="0.25">
      <c r="B151" s="341" t="s">
        <v>235</v>
      </c>
      <c r="C151" s="341"/>
      <c r="D151" s="381" t="str">
        <f>'Cover Service Sheet'!D166</f>
        <v>-</v>
      </c>
      <c r="E151" s="381"/>
      <c r="F151" s="381"/>
      <c r="G151" s="381"/>
      <c r="H151" s="381"/>
      <c r="I151" s="381"/>
      <c r="J151" s="381"/>
    </row>
    <row r="152" spans="2:10" ht="15.75" x14ac:dyDescent="0.25">
      <c r="B152" s="341" t="s">
        <v>236</v>
      </c>
      <c r="C152" s="381"/>
      <c r="D152" s="384">
        <f>'Cover Service Sheet'!D111</f>
        <v>0</v>
      </c>
      <c r="E152" s="381"/>
      <c r="F152" s="381"/>
      <c r="G152" s="381"/>
      <c r="H152" s="381"/>
      <c r="I152" s="381"/>
      <c r="J152" s="381"/>
    </row>
    <row r="153" spans="2:10" ht="15" x14ac:dyDescent="0.2">
      <c r="B153" s="381"/>
      <c r="C153" s="381"/>
      <c r="D153" s="381"/>
      <c r="E153" s="381"/>
      <c r="F153" s="381"/>
      <c r="G153" s="381"/>
      <c r="H153" s="381"/>
      <c r="I153" s="381"/>
      <c r="J153" s="381"/>
    </row>
    <row r="154" spans="2:10" ht="15" x14ac:dyDescent="0.2">
      <c r="E154" s="381"/>
      <c r="F154" s="381"/>
      <c r="G154" s="381"/>
      <c r="H154" s="381"/>
      <c r="I154" s="381"/>
      <c r="J154" s="381"/>
    </row>
    <row r="155" spans="2:10" ht="15" x14ac:dyDescent="0.2">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57150</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tabSelected="1" zoomScale="70" zoomScaleNormal="70" workbookViewId="0">
      <selection activeCell="Q17" sqref="Q17"/>
    </sheetView>
  </sheetViews>
  <sheetFormatPr defaultColWidth="8.7109375" defaultRowHeight="15" x14ac:dyDescent="0.2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7109375" style="431"/>
  </cols>
  <sheetData>
    <row r="1" spans="1:8" ht="21.75" customHeight="1" x14ac:dyDescent="0.25">
      <c r="A1" s="444" t="s">
        <v>1039</v>
      </c>
      <c r="B1" s="444"/>
      <c r="C1" s="444"/>
      <c r="D1" s="444"/>
      <c r="E1" s="444"/>
      <c r="F1" s="444"/>
      <c r="G1" s="444"/>
      <c r="H1" s="444"/>
    </row>
    <row r="3" spans="1:8" ht="19.5" customHeight="1" x14ac:dyDescent="0.25">
      <c r="A3" s="445" t="s">
        <v>1038</v>
      </c>
      <c r="B3" s="434" t="s">
        <v>1036</v>
      </c>
      <c r="C3" s="435" t="str">
        <f>VLOOKUP("product",AUTO!$A$1:$B$1051,2,FALSE)</f>
        <v>LPA3 NAVAIR</v>
      </c>
      <c r="D3" s="432"/>
      <c r="E3" s="434" t="s">
        <v>236</v>
      </c>
      <c r="F3" s="436"/>
      <c r="G3" s="436"/>
      <c r="H3" s="441">
        <f>VLOOKUP("date_",AUTO!$A$1:$B$1051,2,FALSE)</f>
        <v>46189.599999999999</v>
      </c>
    </row>
    <row r="4" spans="1:8" ht="19.5" customHeight="1" x14ac:dyDescent="0.25">
      <c r="A4" s="445"/>
      <c r="B4" s="434" t="s">
        <v>241</v>
      </c>
      <c r="C4" s="435">
        <f>VLOOKUP("serial_number",AUTO!$A$1:$B$1051,2,FALSE)</f>
        <v>63010067</v>
      </c>
      <c r="D4" s="432"/>
      <c r="E4" s="434" t="s">
        <v>1037</v>
      </c>
      <c r="F4" s="436"/>
      <c r="G4" s="436"/>
      <c r="H4" s="436" t="s">
        <v>1040</v>
      </c>
    </row>
    <row r="5" spans="1:8" ht="19.5" customHeight="1" x14ac:dyDescent="0.25">
      <c r="A5" s="445"/>
      <c r="B5" s="434" t="s">
        <v>1036</v>
      </c>
      <c r="C5" s="435" t="str">
        <f>VLOOKUP("product",AUTO!$A$1:$B$1051,2,FALSE)</f>
        <v>LPA3 NAVAIR</v>
      </c>
      <c r="D5" s="432"/>
      <c r="E5" s="437" t="s">
        <v>1035</v>
      </c>
      <c r="F5" s="436"/>
      <c r="G5" s="436"/>
      <c r="H5" s="436" t="s">
        <v>1041</v>
      </c>
    </row>
    <row r="6" spans="1:8" ht="19.5" customHeight="1" x14ac:dyDescent="0.25">
      <c r="A6" s="445"/>
      <c r="B6" s="434" t="s">
        <v>241</v>
      </c>
      <c r="C6" s="435">
        <f>VLOOKUP("serial_number",AUTO!$A$1:$B$1051,2,FALSE)</f>
        <v>63010067</v>
      </c>
      <c r="D6" s="432"/>
      <c r="E6" s="437" t="s">
        <v>1034</v>
      </c>
      <c r="F6" s="436"/>
      <c r="G6" s="436"/>
      <c r="H6" s="436" t="s">
        <v>1042</v>
      </c>
    </row>
    <row r="7" spans="1:8" ht="19.5" customHeight="1" x14ac:dyDescent="0.25">
      <c r="A7" s="446" t="s">
        <v>1033</v>
      </c>
      <c r="B7" s="446"/>
      <c r="C7" s="435">
        <f>VLOOKUP("no_noise_threshold",AUTO!$A$1:$B$1051,2,FALSE)</f>
        <v>34</v>
      </c>
      <c r="D7" s="432"/>
      <c r="E7" s="437" t="s">
        <v>1032</v>
      </c>
      <c r="F7" s="436"/>
      <c r="G7" s="436">
        <v>20000</v>
      </c>
      <c r="H7" s="434" t="s">
        <v>1031</v>
      </c>
    </row>
    <row r="8" spans="1:8" ht="19.5" customHeight="1" x14ac:dyDescent="0.25">
      <c r="A8" s="446" t="s">
        <v>1030</v>
      </c>
      <c r="B8" s="446"/>
      <c r="C8" s="435">
        <f>VLOOKUP("sample_volume_ml",AUTO!$A$1:$B$1051,2,FALSE)</f>
        <v>50</v>
      </c>
      <c r="D8" s="432"/>
      <c r="E8" s="434" t="s">
        <v>1029</v>
      </c>
      <c r="F8" s="436"/>
      <c r="G8" s="436">
        <v>30</v>
      </c>
      <c r="H8" s="434" t="s">
        <v>1026</v>
      </c>
    </row>
    <row r="9" spans="1:8" ht="19.5" customHeight="1" x14ac:dyDescent="0.25">
      <c r="A9" s="446" t="s">
        <v>1028</v>
      </c>
      <c r="B9" s="446"/>
      <c r="C9" s="440">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32"/>
      <c r="E9" s="434" t="s">
        <v>1027</v>
      </c>
      <c r="F9" s="436"/>
      <c r="G9" s="436">
        <v>30</v>
      </c>
      <c r="H9" s="434" t="s">
        <v>1026</v>
      </c>
    </row>
    <row r="10" spans="1:8" ht="18" customHeight="1" x14ac:dyDescent="0.25">
      <c r="A10" s="443" t="s">
        <v>1025</v>
      </c>
      <c r="B10" s="443"/>
      <c r="C10" s="443"/>
      <c r="D10" s="443"/>
      <c r="E10" s="443"/>
      <c r="F10" s="443"/>
      <c r="G10" s="443"/>
      <c r="H10" s="443"/>
    </row>
    <row r="11" spans="1:8" ht="19.5" customHeight="1" x14ac:dyDescent="0.25">
      <c r="A11" s="433" t="s">
        <v>1024</v>
      </c>
      <c r="B11" s="447">
        <v>0.5</v>
      </c>
      <c r="C11" s="447"/>
      <c r="D11" s="433" t="s">
        <v>1019</v>
      </c>
      <c r="E11" s="433" t="s">
        <v>1023</v>
      </c>
      <c r="F11" s="447">
        <v>2.7</v>
      </c>
      <c r="G11" s="447"/>
      <c r="H11" s="433" t="s">
        <v>1017</v>
      </c>
    </row>
    <row r="12" spans="1:8" ht="19.5" customHeight="1" x14ac:dyDescent="0.25">
      <c r="A12" s="433" t="s">
        <v>1022</v>
      </c>
      <c r="B12" s="447">
        <v>0.6</v>
      </c>
      <c r="C12" s="447"/>
      <c r="D12" s="433" t="s">
        <v>1019</v>
      </c>
      <c r="E12" s="433" t="s">
        <v>1021</v>
      </c>
      <c r="F12" s="447">
        <v>8.3000000000000007</v>
      </c>
      <c r="G12" s="447"/>
      <c r="H12" s="433" t="s">
        <v>1017</v>
      </c>
    </row>
    <row r="13" spans="1:8" ht="19.5" customHeight="1" x14ac:dyDescent="0.25">
      <c r="A13" s="433" t="s">
        <v>1020</v>
      </c>
      <c r="B13" s="447">
        <v>10.199999999999999</v>
      </c>
      <c r="C13" s="447"/>
      <c r="D13" s="433" t="s">
        <v>1019</v>
      </c>
      <c r="E13" s="433" t="s">
        <v>1018</v>
      </c>
      <c r="F13" s="447">
        <v>8.3000000000000007</v>
      </c>
      <c r="G13" s="447"/>
      <c r="H13" s="433" t="s">
        <v>1017</v>
      </c>
    </row>
    <row r="16" spans="1:8" ht="30" customHeight="1" x14ac:dyDescent="0.25">
      <c r="A16" s="450" t="s">
        <v>1016</v>
      </c>
      <c r="B16" s="450"/>
      <c r="C16" s="450"/>
      <c r="E16" s="450" t="s">
        <v>1015</v>
      </c>
      <c r="F16" s="450"/>
      <c r="G16" s="450"/>
      <c r="H16" s="450"/>
    </row>
    <row r="17" spans="1:8" ht="42" customHeight="1" x14ac:dyDescent="0.25">
      <c r="A17" s="438" t="s">
        <v>578</v>
      </c>
      <c r="B17" s="438" t="s">
        <v>1014</v>
      </c>
      <c r="C17" s="438" t="s">
        <v>1013</v>
      </c>
      <c r="E17" s="438" t="s">
        <v>578</v>
      </c>
      <c r="F17" s="438" t="s">
        <v>1012</v>
      </c>
      <c r="G17" s="450" t="s">
        <v>1011</v>
      </c>
      <c r="H17" s="450"/>
    </row>
    <row r="18" spans="1:8" ht="18" customHeight="1" x14ac:dyDescent="0.25">
      <c r="A18" s="439" t="s">
        <v>1010</v>
      </c>
      <c r="B18" s="439" t="s">
        <v>1009</v>
      </c>
      <c r="C18" s="439" t="s">
        <v>1009</v>
      </c>
      <c r="E18" s="439" t="s">
        <v>1010</v>
      </c>
      <c r="F18" s="439" t="s">
        <v>1009</v>
      </c>
      <c r="G18" s="451" t="s">
        <v>1008</v>
      </c>
      <c r="H18" s="451"/>
    </row>
    <row r="19" spans="1:8" ht="18" customHeight="1" x14ac:dyDescent="0.25">
      <c r="A19" s="435">
        <f>VLOOKUP("threshold32_0_sz",AUTO!$A$1:$B$1051,2,FALSE)</f>
        <v>4</v>
      </c>
      <c r="B19" s="435">
        <f>VLOOKUP("reference_count_0",AUTO!$A$1:$B$1051,2,FALSE)</f>
        <v>1056340</v>
      </c>
      <c r="C19" s="442">
        <f>'Auto-Calibration record'!$I$68</f>
        <v>1072929</v>
      </c>
      <c r="E19" s="435">
        <f>VLOOKUP("threshold32_0_sz",AUTO!$A$1:$B$1051,2,FALSE)</f>
        <v>4</v>
      </c>
      <c r="F19" s="435">
        <f>VLOOKUP("reference_count_0",AUTO!$A$1:$B$1051,2,FALSE)</f>
        <v>1056340</v>
      </c>
      <c r="G19" s="448">
        <f>VLOOKUP("threshold32_0_value",AUTO!$A$1:$B$1051,2,FALSE)</f>
        <v>76</v>
      </c>
      <c r="H19" s="449">
        <f>VLOOKUP("threshold32_0_sz",AUTO!$A$1:$B$1051,2,FALSE)</f>
        <v>4</v>
      </c>
    </row>
    <row r="20" spans="1:8" ht="18" customHeight="1" x14ac:dyDescent="0.25">
      <c r="A20" s="435">
        <f>VLOOKUP("threshold32_2_sz",AUTO!$A$1:$B$1051,2,FALSE)</f>
        <v>6</v>
      </c>
      <c r="B20" s="435">
        <f>VLOOKUP("reference_count_1",AUTO!$A$1:$B$1051,2,FALSE)</f>
        <v>459350</v>
      </c>
      <c r="C20" s="442">
        <f>'Auto-Calibration record'!$I$69</f>
        <v>463329</v>
      </c>
      <c r="E20" s="435">
        <f>VLOOKUP("threshold32_2_sz",AUTO!$A$1:$B$1051,2,FALSE)</f>
        <v>6</v>
      </c>
      <c r="F20" s="435">
        <f>VLOOKUP("reference_count_1",AUTO!$A$1:$B$1051,2,FALSE)</f>
        <v>459350</v>
      </c>
      <c r="G20" s="448">
        <f>VLOOKUP("threshold32_2_value",AUTO!$A$1:$B$1051,2,FALSE)</f>
        <v>180</v>
      </c>
      <c r="H20" s="449">
        <f>VLOOKUP("threshold32_2_sz",AUTO!$A$1:$B$1051,2,FALSE)</f>
        <v>6</v>
      </c>
    </row>
    <row r="21" spans="1:8" ht="18" customHeight="1" x14ac:dyDescent="0.25">
      <c r="A21" s="435">
        <f>VLOOKUP("threshold32_6_sz",AUTO!$A$1:$B$1051,2,FALSE)</f>
        <v>10</v>
      </c>
      <c r="B21" s="435">
        <f>VLOOKUP("reference_count32_6",AUTO!$A$1:$B$1051,2,FALSE)*100</f>
        <v>106950</v>
      </c>
      <c r="C21" s="442">
        <f>'Auto-Calibration record'!$I$70</f>
        <v>109548</v>
      </c>
      <c r="E21" s="435">
        <f>VLOOKUP("threshold32_6_sz",AUTO!$A$1:$B$1051,2,FALSE)</f>
        <v>10</v>
      </c>
      <c r="F21" s="435">
        <f>VLOOKUP("reference_count32_6",AUTO!$A$1:$B$1051,2,FALSE)*100</f>
        <v>106950</v>
      </c>
      <c r="G21" s="448">
        <f>VLOOKUP("threshold32_6_value",AUTO!$A$1:$B$1051,2,FALSE)</f>
        <v>508</v>
      </c>
      <c r="H21" s="449">
        <f>VLOOKUP("threshold32_6_sz",AUTO!$A$1:$B$1051,2,FALSE)</f>
        <v>10</v>
      </c>
    </row>
    <row r="22" spans="1:8" ht="18" customHeight="1" x14ac:dyDescent="0.25">
      <c r="A22" s="435">
        <f>VLOOKUP("threshold32_10_sz",AUTO!$A$1:$B$1051,2,FALSE)</f>
        <v>14</v>
      </c>
      <c r="B22" s="435">
        <f>VLOOKUP("reference_count_2",AUTO!$A$1:$B$1051,2,FALSE)</f>
        <v>36410</v>
      </c>
      <c r="C22" s="442">
        <f>'Auto-Calibration record'!$I$71</f>
        <v>37037</v>
      </c>
      <c r="E22" s="435">
        <f>VLOOKUP("threshold32_10_sz",AUTO!$A$1:$B$1051,2,FALSE)</f>
        <v>14</v>
      </c>
      <c r="F22" s="435">
        <f>VLOOKUP("reference_count_2",AUTO!$A$1:$B$1051,2,FALSE)</f>
        <v>36410</v>
      </c>
      <c r="G22" s="448">
        <f>VLOOKUP("threshold32_10_value",AUTO!$A$1:$B$1051,2,FALSE)</f>
        <v>994</v>
      </c>
      <c r="H22" s="449">
        <f>VLOOKUP("threshold32_10_sz",AUTO!$A$1:$B$1051,2,FALSE)</f>
        <v>14</v>
      </c>
    </row>
    <row r="23" spans="1:8" ht="18" customHeight="1" x14ac:dyDescent="0.25">
      <c r="A23" s="435">
        <f>VLOOKUP("threshold32_17_sz",AUTO!$A$1:$B$1051,2,FALSE)</f>
        <v>21</v>
      </c>
      <c r="B23" s="435">
        <f>VLOOKUP("reference_count_3",AUTO!$A$1:$B$1051,2,FALSE)</f>
        <v>10940</v>
      </c>
      <c r="C23" s="442">
        <f>'Auto-Calibration record'!$I$72</f>
        <v>10731</v>
      </c>
      <c r="E23" s="435">
        <f>VLOOKUP("threshold32_17_sz",AUTO!$A$1:$B$1051,2,FALSE)</f>
        <v>21</v>
      </c>
      <c r="F23" s="435">
        <f>VLOOKUP("reference_count_3",AUTO!$A$1:$B$1051,2,FALSE)</f>
        <v>10940</v>
      </c>
      <c r="G23" s="448">
        <f>VLOOKUP("threshold32_17_value",AUTO!$A$1:$B$1051,2,FALSE)</f>
        <v>2074</v>
      </c>
      <c r="H23" s="449">
        <f>VLOOKUP("threshold32_17_sz",AUTO!$A$1:$B$1051,2,FALSE)</f>
        <v>21</v>
      </c>
    </row>
    <row r="24" spans="1:8" ht="18" customHeight="1" x14ac:dyDescent="0.25">
      <c r="A24" s="435">
        <f>VLOOKUP("threshold32_21_sz",AUTO!$A$1:$B$1051,2,FALSE)</f>
        <v>25</v>
      </c>
      <c r="B24" s="435">
        <f>VLOOKUP("reference_count_4",AUTO!$A$1:$B$1051,2,FALSE)</f>
        <v>5210</v>
      </c>
      <c r="C24" s="442">
        <f>'Auto-Calibration record'!$I$73</f>
        <v>5199</v>
      </c>
      <c r="E24" s="435">
        <f>VLOOKUP("threshold32_21_sz",AUTO!$A$1:$B$1051,2,FALSE)</f>
        <v>25</v>
      </c>
      <c r="F24" s="435">
        <f>VLOOKUP("reference_count_4",AUTO!$A$1:$B$1051,2,FALSE)</f>
        <v>5210</v>
      </c>
      <c r="G24" s="448">
        <f>VLOOKUP("threshold32_21_value",AUTO!$A$1:$B$1051,2,FALSE)</f>
        <v>3050</v>
      </c>
      <c r="H24" s="449">
        <f>VLOOKUP("threshold32_21_sz",AUTO!$A$1:$B$1051,2,FALSE)</f>
        <v>25</v>
      </c>
    </row>
    <row r="25" spans="1:8" ht="18" customHeight="1" x14ac:dyDescent="0.25">
      <c r="A25" s="435">
        <f>VLOOKUP("threshold32_27_sz",AUTO!$A$1:$B$1051,2,FALSE)</f>
        <v>38</v>
      </c>
      <c r="B25" s="435">
        <f>VLOOKUP("reference_count_5",AUTO!$A$1:$B$1051,2,FALSE)</f>
        <v>611.721</v>
      </c>
      <c r="C25" s="442">
        <f>'Auto-Calibration record'!$I$74</f>
        <v>579</v>
      </c>
      <c r="E25" s="435">
        <f>VLOOKUP("threshold32_27_sz",AUTO!$A$1:$B$1051,2,FALSE)</f>
        <v>38</v>
      </c>
      <c r="F25" s="435">
        <f>VLOOKUP("reference_count_5",AUTO!$A$1:$B$1051,2,FALSE)</f>
        <v>611.721</v>
      </c>
      <c r="G25" s="448">
        <f>VLOOKUP("threshold32_27_value",AUTO!$A$1:$B$1051,2,FALSE)</f>
        <v>9964</v>
      </c>
      <c r="H25" s="449">
        <f>VLOOKUP("threshold32_27_sz",AUTO!$A$1:$B$1051,2,FALSE)</f>
        <v>38</v>
      </c>
    </row>
    <row r="26" spans="1:8" ht="18" customHeight="1" x14ac:dyDescent="0.25">
      <c r="A26" s="435">
        <f>VLOOKUP("threshold32_28_sz",AUTO!$A$1:$B$1051,2,FALSE)</f>
        <v>50</v>
      </c>
      <c r="B26" s="435">
        <f>VLOOKUP("reference_count_6",AUTO!$A$1:$B$1051,2,FALSE)</f>
        <v>145.303</v>
      </c>
      <c r="C26" s="442">
        <f>'Auto-Calibration record'!$I$75</f>
        <v>115</v>
      </c>
      <c r="E26" s="435">
        <f>VLOOKUP("threshold32_28_sz",AUTO!$A$1:$B$1051,2,FALSE)</f>
        <v>50</v>
      </c>
      <c r="F26" s="435">
        <f>VLOOKUP("reference_count_6",AUTO!$A$1:$B$1051,2,FALSE)</f>
        <v>145.303</v>
      </c>
      <c r="G26" s="448">
        <f>VLOOKUP("threshold32_28_value",AUTO!$A$1:$B$1051,2,FALSE)</f>
        <v>16287</v>
      </c>
      <c r="H26" s="449">
        <f>VLOOKUP("threshold32_28_sz",AUTO!$A$1:$B$1051,2,FALSE)</f>
        <v>50</v>
      </c>
    </row>
    <row r="27" spans="1:8" ht="18" customHeight="1" x14ac:dyDescent="0.25">
      <c r="A27" s="435">
        <f>VLOOKUP("threshold32_29_sz",AUTO!$A$1:$B$1051,2,FALSE)</f>
        <v>70</v>
      </c>
      <c r="B27" s="435">
        <f>VLOOKUP("reference_count_7",AUTO!$A$1:$B$1051,2,FALSE)</f>
        <v>24.939</v>
      </c>
      <c r="C27" s="442">
        <f>'Auto-Calibration record'!$I$76</f>
        <v>37</v>
      </c>
      <c r="E27" s="435">
        <f>VLOOKUP("threshold32_29_sz",AUTO!$A$1:$B$1051,2,FALSE)</f>
        <v>70</v>
      </c>
      <c r="F27" s="435">
        <f>VLOOKUP("reference_count_7",AUTO!$A$1:$B$1051,2,FALSE)</f>
        <v>24.939</v>
      </c>
      <c r="G27" s="448">
        <f>VLOOKUP("threshold32_29_value",AUTO!$A$1:$B$1051,2,FALSE)</f>
        <v>25144</v>
      </c>
      <c r="H27" s="449">
        <f>VLOOKUP("threshold32_29_sz",AUTO!$A$1:$B$1051,2,FALSE)</f>
        <v>70</v>
      </c>
    </row>
    <row r="28" spans="1:8" ht="18" customHeight="1" x14ac:dyDescent="0.25">
      <c r="A28" s="435"/>
      <c r="B28" s="435"/>
      <c r="C28" s="435"/>
      <c r="E28" s="435"/>
      <c r="F28" s="435"/>
      <c r="G28" s="452"/>
      <c r="H28" s="452"/>
    </row>
    <row r="29" spans="1:8" ht="18" customHeight="1" x14ac:dyDescent="0.25">
      <c r="A29" s="435"/>
      <c r="B29" s="435"/>
      <c r="C29" s="435"/>
      <c r="E29" s="435"/>
      <c r="F29" s="435"/>
      <c r="G29" s="452"/>
      <c r="H29" s="452"/>
    </row>
    <row r="30" spans="1:8" ht="18" customHeight="1" x14ac:dyDescent="0.25">
      <c r="A30" s="435"/>
      <c r="B30" s="435"/>
      <c r="C30" s="435"/>
      <c r="E30" s="435"/>
      <c r="F30" s="435"/>
      <c r="G30" s="452"/>
      <c r="H30" s="452"/>
    </row>
    <row r="31" spans="1:8" ht="18" customHeight="1" x14ac:dyDescent="0.25">
      <c r="A31" s="435"/>
      <c r="B31" s="435"/>
      <c r="C31" s="435"/>
      <c r="E31" s="435"/>
      <c r="F31" s="435"/>
      <c r="G31" s="452"/>
      <c r="H31" s="452"/>
    </row>
    <row r="32" spans="1:8" ht="18" customHeight="1" x14ac:dyDescent="0.25">
      <c r="A32" s="435"/>
      <c r="B32" s="435"/>
      <c r="C32" s="435"/>
      <c r="E32" s="435"/>
      <c r="F32" s="435"/>
      <c r="G32" s="452"/>
      <c r="H32" s="452"/>
    </row>
    <row r="33" spans="1:8" ht="18" customHeight="1" x14ac:dyDescent="0.25">
      <c r="A33" s="435"/>
      <c r="B33" s="435"/>
      <c r="C33" s="435"/>
      <c r="E33" s="435"/>
      <c r="F33" s="435"/>
      <c r="G33" s="452"/>
      <c r="H33" s="452"/>
    </row>
    <row r="34" spans="1:8" ht="18" customHeight="1" x14ac:dyDescent="0.25">
      <c r="A34" s="435"/>
      <c r="B34" s="435"/>
      <c r="C34" s="435"/>
      <c r="E34" s="435"/>
      <c r="F34" s="435"/>
      <c r="G34" s="452"/>
      <c r="H34" s="452"/>
    </row>
    <row r="35" spans="1:8" ht="18" customHeight="1" x14ac:dyDescent="0.25">
      <c r="A35" s="435"/>
      <c r="B35" s="435"/>
      <c r="C35" s="435"/>
      <c r="E35" s="435"/>
      <c r="F35" s="435"/>
      <c r="G35" s="452"/>
      <c r="H35" s="452"/>
    </row>
    <row r="36" spans="1:8" ht="18" customHeight="1" x14ac:dyDescent="0.25">
      <c r="A36" s="435"/>
      <c r="B36" s="435"/>
      <c r="C36" s="435"/>
      <c r="E36" s="435"/>
      <c r="F36" s="435"/>
      <c r="G36" s="452"/>
      <c r="H36" s="452"/>
    </row>
    <row r="37" spans="1:8" ht="18" customHeight="1" x14ac:dyDescent="0.25">
      <c r="A37" s="435"/>
      <c r="B37" s="435"/>
      <c r="C37" s="435"/>
      <c r="E37" s="435"/>
      <c r="F37" s="435"/>
      <c r="G37" s="452"/>
      <c r="H37" s="452"/>
    </row>
    <row r="38" spans="1:8" ht="18" customHeight="1" x14ac:dyDescent="0.25">
      <c r="A38" s="435"/>
      <c r="B38" s="435"/>
      <c r="C38" s="435"/>
      <c r="E38" s="435"/>
      <c r="F38" s="435"/>
      <c r="G38" s="452"/>
      <c r="H38" s="452"/>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cp:lastPrinted>2026-04-02T10:40:50Z</cp:lastPrinted>
  <dcterms:created xsi:type="dcterms:W3CDTF">2002-07-09T10:21:12Z</dcterms:created>
  <dcterms:modified xsi:type="dcterms:W3CDTF">2026-06-17T09:56:22Z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