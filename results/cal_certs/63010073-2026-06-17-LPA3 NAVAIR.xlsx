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chartsheets/sheet1.xml" ContentType="application/vnd.openxmlformats-officedocument.spreadsheetml.chartsheet+xml"/>
  <Override PartName="/xl/chartsheets/sheet2.xml" ContentType="application/vnd.openxmlformats-officedocument.spreadsheetml.chart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queryTables/queryTable1.xml" ContentType="application/vnd.openxmlformats-officedocument.spreadsheetml.queryTable+xml"/>
  <Override PartName="/xl/queryTables/queryTable2.xml" ContentType="application/vnd.openxmlformats-officedocument.spreadsheetml.queryTable+xml"/>
  <Override PartName="/xl/queryTables/queryTable3.xml" ContentType="application/vnd.openxmlformats-officedocument.spreadsheetml.queryTable+xml"/>
  <Override PartName="/xl/drawings/drawing3.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20.xml" ContentType="application/vnd.ms-excel.controlproperties+xml"/>
  <Override PartName="/xl/comments1.xml" ContentType="application/vnd.openxmlformats-officedocument.spreadsheetml.comments+xml"/>
  <Override PartName="/xl/threadedComments/threadedComment1.xml" ContentType="application/vnd.ms-excel.threadedcomments+xml"/>
  <Override PartName="/xl/drawings/drawing4.xml" ContentType="application/vnd.openxmlformats-officedocument.drawing+xml"/>
  <Override PartName="/xl/ctrlProps/ctrlProp121.xml" ContentType="application/vnd.ms-excel.controlproperties+xml"/>
  <Override PartName="/xl/drawings/drawing5.xml" ContentType="application/vnd.openxmlformats-officedocument.drawing+xml"/>
  <Override PartName="/xl/ctrlProps/ctrlProp122.xml" ContentType="application/vnd.ms-excel.controlproperties+xml"/>
  <Override PartName="/xl/ctrlProps/ctrlProp123.xml" ContentType="application/vnd.ms-excel.controlproperties+xml"/>
  <Override PartName="/xl/ctrlProps/ctrlProp124.xml" ContentType="application/vnd.ms-excel.controlproperties+xml"/>
  <Override PartName="/xl/ctrlProps/ctrlProp125.xml" ContentType="application/vnd.ms-excel.controlproperties+xml"/>
  <Override PartName="/xl/ctrlProps/ctrlProp126.xml" ContentType="application/vnd.ms-excel.controlproperties+xml"/>
  <Override PartName="/xl/ctrlProps/ctrlProp127.xml" ContentType="application/vnd.ms-excel.controlproperties+xml"/>
  <Override PartName="/xl/ctrlProps/ctrlProp128.xml" ContentType="application/vnd.ms-excel.controlproperties+xml"/>
  <Override PartName="/xl/ctrlProps/ctrlProp129.xml" ContentType="application/vnd.ms-excel.controlproperties+xml"/>
  <Override PartName="/xl/ctrlProps/ctrlProp130.xml" ContentType="application/vnd.ms-excel.controlproperties+xml"/>
  <Override PartName="/xl/ctrlProps/ctrlProp131.xml" ContentType="application/vnd.ms-excel.controlproperties+xml"/>
  <Override PartName="/xl/ctrlProps/ctrlProp132.xml" ContentType="application/vnd.ms-excel.controlproperties+xml"/>
  <Override PartName="/xl/ctrlProps/ctrlProp133.xml" ContentType="application/vnd.ms-excel.controlproperties+xml"/>
  <Override PartName="/xl/ctrlProps/ctrlProp134.xml" ContentType="application/vnd.ms-excel.controlproperties+xml"/>
  <Override PartName="/xl/ctrlProps/ctrlProp135.xml" ContentType="application/vnd.ms-excel.controlproperties+xml"/>
  <Override PartName="/xl/ctrlProps/ctrlProp136.xml" ContentType="application/vnd.ms-excel.controlproperties+xml"/>
  <Override PartName="/xl/ctrlProps/ctrlProp137.xml" ContentType="application/vnd.ms-excel.controlproperties+xml"/>
  <Override PartName="/xl/ctrlProps/ctrlProp138.xml" ContentType="application/vnd.ms-excel.controlproperties+xml"/>
  <Override PartName="/xl/ctrlProps/ctrlProp139.xml" ContentType="application/vnd.ms-excel.controlproperties+xml"/>
  <Override PartName="/xl/ctrlProps/ctrlProp140.xml" ContentType="application/vnd.ms-excel.controlproperties+xml"/>
  <Override PartName="/xl/ctrlProps/ctrlProp141.xml" ContentType="application/vnd.ms-excel.controlproperties+xml"/>
  <Override PartName="/xl/ctrlProps/ctrlProp142.xml" ContentType="application/vnd.ms-excel.controlproperties+xml"/>
  <Override PartName="/xl/ctrlProps/ctrlProp143.xml" ContentType="application/vnd.ms-excel.controlproperties+xml"/>
  <Override PartName="/xl/ctrlProps/ctrlProp144.xml" ContentType="application/vnd.ms-excel.controlproperties+xml"/>
  <Override PartName="/xl/ctrlProps/ctrlProp145.xml" ContentType="application/vnd.ms-excel.controlproperties+xml"/>
  <Override PartName="/xl/ctrlProps/ctrlProp146.xml" ContentType="application/vnd.ms-excel.controlproperties+xml"/>
  <Override PartName="/xl/ctrlProps/ctrlProp147.xml" ContentType="application/vnd.ms-excel.controlproperties+xml"/>
  <Override PartName="/xl/ctrlProps/ctrlProp148.xml" ContentType="application/vnd.ms-excel.controlproperties+xml"/>
  <Override PartName="/xl/ctrlProps/ctrlProp149.xml" ContentType="application/vnd.ms-excel.controlproperties+xml"/>
  <Override PartName="/xl/ctrlProps/ctrlProp150.xml" ContentType="application/vnd.ms-excel.controlproperties+xml"/>
  <Override PartName="/xl/ctrlProps/ctrlProp151.xml" ContentType="application/vnd.ms-excel.controlproperties+xml"/>
  <Override PartName="/xl/ctrlProps/ctrlProp152.xml" ContentType="application/vnd.ms-excel.controlproperties+xml"/>
  <Override PartName="/xl/ctrlProps/ctrlProp153.xml" ContentType="application/vnd.ms-excel.controlproperties+xml"/>
  <Override PartName="/xl/ctrlProps/ctrlProp154.xml" ContentType="application/vnd.ms-excel.controlproperties+xml"/>
  <Override PartName="/xl/ctrlProps/ctrlProp155.xml" ContentType="application/vnd.ms-excel.controlproperties+xml"/>
  <Override PartName="/xl/ctrlProps/ctrlProp156.xml" ContentType="application/vnd.ms-excel.controlproperties+xml"/>
  <Override PartName="/xl/ctrlProps/ctrlProp157.xml" ContentType="application/vnd.ms-excel.controlproperties+xml"/>
  <Override PartName="/xl/ctrlProps/ctrlProp158.xml" ContentType="application/vnd.ms-excel.controlproperties+xml"/>
  <Override PartName="/xl/ctrlProps/ctrlProp159.xml" ContentType="application/vnd.ms-excel.controlproperties+xml"/>
  <Override PartName="/xl/ctrlProps/ctrlProp160.xml" ContentType="application/vnd.ms-excel.controlproperties+xml"/>
  <Override PartName="/xl/ctrlProps/ctrlProp161.xml" ContentType="application/vnd.ms-excel.controlproperties+xml"/>
  <Override PartName="/xl/ctrlProps/ctrlProp162.xml" ContentType="application/vnd.ms-excel.controlproperties+xml"/>
  <Override PartName="/xl/ctrlProps/ctrlProp163.xml" ContentType="application/vnd.ms-excel.controlproperties+xml"/>
  <Override PartName="/xl/ctrlProps/ctrlProp164.xml" ContentType="application/vnd.ms-excel.controlproperties+xml"/>
  <Override PartName="/xl/ctrlProps/ctrlProp165.xml" ContentType="application/vnd.ms-excel.controlproperties+xml"/>
  <Override PartName="/xl/ctrlProps/ctrlProp166.xml" ContentType="application/vnd.ms-excel.controlproperties+xml"/>
  <Override PartName="/xl/ctrlProps/ctrlProp167.xml" ContentType="application/vnd.ms-excel.controlproperties+xml"/>
  <Override PartName="/xl/ctrlProps/ctrlProp168.xml" ContentType="application/vnd.ms-excel.controlproperties+xml"/>
  <Override PartName="/xl/ctrlProps/ctrlProp169.xml" ContentType="application/vnd.ms-excel.controlproperties+xml"/>
  <Override PartName="/xl/ctrlProps/ctrlProp170.xml" ContentType="application/vnd.ms-excel.controlproperties+xml"/>
  <Override PartName="/xl/ctrlProps/ctrlProp171.xml" ContentType="application/vnd.ms-excel.controlproperties+xml"/>
  <Override PartName="/xl/ctrlProps/ctrlProp172.xml" ContentType="application/vnd.ms-excel.controlproperties+xml"/>
  <Override PartName="/xl/ctrlProps/ctrlProp173.xml" ContentType="application/vnd.ms-excel.controlproperties+xml"/>
  <Override PartName="/xl/ctrlProps/ctrlProp174.xml" ContentType="application/vnd.ms-excel.controlproperties+xml"/>
  <Override PartName="/xl/ctrlProps/ctrlProp175.xml" ContentType="application/vnd.ms-excel.controlproperties+xml"/>
  <Override PartName="/xl/ctrlProps/ctrlProp176.xml" ContentType="application/vnd.ms-excel.controlproperties+xml"/>
  <Override PartName="/xl/ctrlProps/ctrlProp177.xml" ContentType="application/vnd.ms-excel.controlproperties+xml"/>
  <Override PartName="/xl/ctrlProps/ctrlProp178.xml" ContentType="application/vnd.ms-excel.controlproperties+xml"/>
  <Override PartName="/xl/ctrlProps/ctrlProp179.xml" ContentType="application/vnd.ms-excel.controlproperties+xml"/>
  <Override PartName="/xl/ctrlProps/ctrlProp180.xml" ContentType="application/vnd.ms-excel.controlproperties+xml"/>
  <Override PartName="/xl/ctrlProps/ctrlProp181.xml" ContentType="application/vnd.ms-excel.controlproperties+xml"/>
  <Override PartName="/xl/ctrlProps/ctrlProp182.xml" ContentType="application/vnd.ms-excel.controlproperties+xml"/>
  <Override PartName="/xl/ctrlProps/ctrlProp183.xml" ContentType="application/vnd.ms-excel.controlproperties+xml"/>
  <Override PartName="/xl/ctrlProps/ctrlProp184.xml" ContentType="application/vnd.ms-excel.controlproperties+xml"/>
  <Override PartName="/xl/ctrlProps/ctrlProp185.xml" ContentType="application/vnd.ms-excel.controlproperties+xml"/>
  <Override PartName="/xl/ctrlProps/ctrlProp186.xml" ContentType="application/vnd.ms-excel.controlproperties+xml"/>
  <Override PartName="/xl/ctrlProps/ctrlProp187.xml" ContentType="application/vnd.ms-excel.controlproperties+xml"/>
  <Override PartName="/xl/ctrlProps/ctrlProp188.xml" ContentType="application/vnd.ms-excel.controlproperties+xml"/>
  <Override PartName="/xl/ctrlProps/ctrlProp189.xml" ContentType="application/vnd.ms-excel.controlproperties+xml"/>
  <Override PartName="/xl/ctrlProps/ctrlProp190.xml" ContentType="application/vnd.ms-excel.controlproperties+xml"/>
  <Override PartName="/xl/ctrlProps/ctrlProp191.xml" ContentType="application/vnd.ms-excel.controlproperties+xml"/>
  <Override PartName="/xl/ctrlProps/ctrlProp192.xml" ContentType="application/vnd.ms-excel.controlproperties+xml"/>
  <Override PartName="/xl/ctrlProps/ctrlProp193.xml" ContentType="application/vnd.ms-excel.controlproperties+xml"/>
  <Override PartName="/xl/ctrlProps/ctrlProp194.xml" ContentType="application/vnd.ms-excel.controlproperties+xml"/>
  <Override PartName="/xl/ctrlProps/ctrlProp195.xml" ContentType="application/vnd.ms-excel.controlproperties+xml"/>
  <Override PartName="/xl/ctrlProps/ctrlProp196.xml" ContentType="application/vnd.ms-excel.controlproperties+xml"/>
  <Override PartName="/xl/ctrlProps/ctrlProp197.xml" ContentType="application/vnd.ms-excel.controlproperties+xml"/>
  <Override PartName="/xl/ctrlProps/ctrlProp198.xml" ContentType="application/vnd.ms-excel.controlproperties+xml"/>
  <Override PartName="/xl/ctrlProps/ctrlProp199.xml" ContentType="application/vnd.ms-excel.controlproperties+xml"/>
  <Override PartName="/xl/ctrlProps/ctrlProp200.xml" ContentType="application/vnd.ms-excel.controlproperties+xml"/>
  <Override PartName="/xl/ctrlProps/ctrlProp201.xml" ContentType="application/vnd.ms-excel.controlproperties+xml"/>
  <Override PartName="/xl/ctrlProps/ctrlProp202.xml" ContentType="application/vnd.ms-excel.controlproperties+xml"/>
  <Override PartName="/xl/ctrlProps/ctrlProp203.xml" ContentType="application/vnd.ms-excel.controlproperties+xml"/>
  <Override PartName="/xl/ctrlProps/ctrlProp204.xml" ContentType="application/vnd.ms-excel.controlproperties+xml"/>
  <Override PartName="/xl/ctrlProps/ctrlProp205.xml" ContentType="application/vnd.ms-excel.controlproperties+xml"/>
  <Override PartName="/xl/ctrlProps/ctrlProp206.xml" ContentType="application/vnd.ms-excel.controlproperties+xml"/>
  <Override PartName="/xl/ctrlProps/ctrlProp207.xml" ContentType="application/vnd.ms-excel.controlproperties+xml"/>
  <Override PartName="/xl/ctrlProps/ctrlProp208.xml" ContentType="application/vnd.ms-excel.controlproperties+xml"/>
  <Override PartName="/xl/ctrlProps/ctrlProp209.xml" ContentType="application/vnd.ms-excel.controlproperties+xml"/>
  <Override PartName="/xl/ctrlProps/ctrlProp210.xml" ContentType="application/vnd.ms-excel.controlproperties+xml"/>
  <Override PartName="/xl/ctrlProps/ctrlProp211.xml" ContentType="application/vnd.ms-excel.controlproperties+xml"/>
  <Override PartName="/xl/ctrlProps/ctrlProp212.xml" ContentType="application/vnd.ms-excel.controlproperties+xml"/>
  <Override PartName="/xl/ctrlProps/ctrlProp213.xml" ContentType="application/vnd.ms-excel.controlproperties+xml"/>
  <Override PartName="/xl/ctrlProps/ctrlProp214.xml" ContentType="application/vnd.ms-excel.controlproperties+xml"/>
  <Override PartName="/xl/ctrlProps/ctrlProp215.xml" ContentType="application/vnd.ms-excel.controlproperties+xml"/>
  <Override PartName="/xl/ctrlProps/ctrlProp216.xml" ContentType="application/vnd.ms-excel.controlproperties+xml"/>
  <Override PartName="/xl/ctrlProps/ctrlProp217.xml" ContentType="application/vnd.ms-excel.controlproperties+xml"/>
  <Override PartName="/xl/ctrlProps/ctrlProp218.xml" ContentType="application/vnd.ms-excel.controlproperties+xml"/>
  <Override PartName="/xl/ctrlProps/ctrlProp219.xml" ContentType="application/vnd.ms-excel.controlproperties+xml"/>
  <Override PartName="/xl/ctrlProps/ctrlProp220.xml" ContentType="application/vnd.ms-excel.controlproperties+xml"/>
  <Override PartName="/xl/ctrlProps/ctrlProp221.xml" ContentType="application/vnd.ms-excel.controlproperties+xml"/>
  <Override PartName="/xl/ctrlProps/ctrlProp222.xml" ContentType="application/vnd.ms-excel.controlproperties+xml"/>
  <Override PartName="/xl/ctrlProps/ctrlProp223.xml" ContentType="application/vnd.ms-excel.controlproperties+xml"/>
  <Override PartName="/xl/ctrlProps/ctrlProp224.xml" ContentType="application/vnd.ms-excel.controlproperties+xml"/>
  <Override PartName="/xl/ctrlProps/ctrlProp225.xml" ContentType="application/vnd.ms-excel.controlproperties+xml"/>
  <Override PartName="/xl/ctrlProps/ctrlProp226.xml" ContentType="application/vnd.ms-excel.controlproperties+xml"/>
  <Override PartName="/xl/ctrlProps/ctrlProp227.xml" ContentType="application/vnd.ms-excel.controlproperties+xml"/>
  <Override PartName="/xl/ctrlProps/ctrlProp228.xml" ContentType="application/vnd.ms-excel.controlproperties+xml"/>
  <Override PartName="/xl/ctrlProps/ctrlProp229.xml" ContentType="application/vnd.ms-excel.controlproperties+xml"/>
  <Override PartName="/xl/ctrlProps/ctrlProp230.xml" ContentType="application/vnd.ms-excel.controlproperties+xml"/>
  <Override PartName="/xl/ctrlProps/ctrlProp231.xml" ContentType="application/vnd.ms-excel.controlproperties+xml"/>
  <Override PartName="/xl/ctrlProps/ctrlProp232.xml" ContentType="application/vnd.ms-excel.controlproperties+xml"/>
  <Override PartName="/xl/ctrlProps/ctrlProp233.xml" ContentType="application/vnd.ms-excel.controlproperties+xml"/>
  <Override PartName="/xl/ctrlProps/ctrlProp234.xml" ContentType="application/vnd.ms-excel.controlproperties+xml"/>
  <Override PartName="/xl/ctrlProps/ctrlProp235.xml" ContentType="application/vnd.ms-excel.controlproperties+xml"/>
  <Override PartName="/xl/ctrlProps/ctrlProp236.xml" ContentType="application/vnd.ms-excel.controlproperties+xml"/>
  <Override PartName="/xl/ctrlProps/ctrlProp237.xml" ContentType="application/vnd.ms-excel.controlproperties+xml"/>
  <Override PartName="/xl/ctrlProps/ctrlProp238.xml" ContentType="application/vnd.ms-excel.controlproperties+xml"/>
  <Override PartName="/xl/ctrlProps/ctrlProp239.xml" ContentType="application/vnd.ms-excel.controlproperties+xml"/>
  <Override PartName="/xl/ctrlProps/ctrlProp240.xml" ContentType="application/vnd.ms-excel.controlproperties+xml"/>
  <Override PartName="/xl/ctrlProps/ctrlProp241.xml" ContentType="application/vnd.ms-excel.controlproperties+xml"/>
  <Override PartName="/xl/ctrlProps/ctrlProp242.xml" ContentType="application/vnd.ms-excel.controlproperties+xml"/>
  <Override PartName="/xl/ctrlProps/ctrlProp243.xml" ContentType="application/vnd.ms-excel.controlproperties+xml"/>
  <Override PartName="/xl/ctrlProps/ctrlProp244.xml" ContentType="application/vnd.ms-excel.controlproperties+xml"/>
  <Override PartName="/xl/ctrlProps/ctrlProp245.xml" ContentType="application/vnd.ms-excel.controlproperties+xml"/>
  <Override PartName="/xl/ctrlProps/ctrlProp246.xml" ContentType="application/vnd.ms-excel.controlproperties+xml"/>
  <Override PartName="/xl/ctrlProps/ctrlProp247.xml" ContentType="application/vnd.ms-excel.controlproperties+xml"/>
  <Override PartName="/xl/ctrlProps/ctrlProp248.xml" ContentType="application/vnd.ms-excel.controlproperties+xml"/>
  <Override PartName="/xl/ctrlProps/ctrlProp249.xml" ContentType="application/vnd.ms-excel.controlproperties+xml"/>
  <Override PartName="/xl/ctrlProps/ctrlProp250.xml" ContentType="application/vnd.ms-excel.controlproperties+xml"/>
  <Override PartName="/xl/ctrlProps/ctrlProp251.xml" ContentType="application/vnd.ms-excel.controlproperties+xml"/>
  <Override PartName="/xl/ctrlProps/ctrlProp252.xml" ContentType="application/vnd.ms-excel.controlproperties+xml"/>
  <Override PartName="/xl/ctrlProps/ctrlProp253.xml" ContentType="application/vnd.ms-excel.controlproperties+xml"/>
  <Override PartName="/xl/ctrlProps/ctrlProp254.xml" ContentType="application/vnd.ms-excel.controlproperties+xml"/>
  <Override PartName="/xl/ctrlProps/ctrlProp255.xml" ContentType="application/vnd.ms-excel.controlproperties+xml"/>
  <Override PartName="/xl/ctrlProps/ctrlProp256.xml" ContentType="application/vnd.ms-excel.controlproperties+xml"/>
  <Override PartName="/xl/ctrlProps/ctrlProp257.xml" ContentType="application/vnd.ms-excel.controlproperties+xml"/>
  <Override PartName="/xl/ctrlProps/ctrlProp258.xml" ContentType="application/vnd.ms-excel.controlproperties+xml"/>
  <Override PartName="/xl/ctrlProps/ctrlProp259.xml" ContentType="application/vnd.ms-excel.controlproperties+xml"/>
  <Override PartName="/xl/ctrlProps/ctrlProp260.xml" ContentType="application/vnd.ms-excel.controlproperties+xml"/>
  <Override PartName="/xl/ctrlProps/ctrlProp261.xml" ContentType="application/vnd.ms-excel.controlproperties+xml"/>
  <Override PartName="/xl/ctrlProps/ctrlProp262.xml" ContentType="application/vnd.ms-excel.controlproperties+xml"/>
  <Override PartName="/xl/ctrlProps/ctrlProp263.xml" ContentType="application/vnd.ms-excel.controlproperties+xml"/>
  <Override PartName="/xl/ctrlProps/ctrlProp264.xml" ContentType="application/vnd.ms-excel.controlproperties+xml"/>
  <Override PartName="/xl/ctrlProps/ctrlProp265.xml" ContentType="application/vnd.ms-excel.controlproperties+xml"/>
  <Override PartName="/xl/ctrlProps/ctrlProp266.xml" ContentType="application/vnd.ms-excel.controlproperties+xml"/>
  <Override PartName="/xl/ctrlProps/ctrlProp267.xml" ContentType="application/vnd.ms-excel.controlproperties+xml"/>
  <Override PartName="/xl/ctrlProps/ctrlProp268.xml" ContentType="application/vnd.ms-excel.controlproperties+xml"/>
  <Override PartName="/xl/ctrlProps/ctrlProp269.xml" ContentType="application/vnd.ms-excel.controlproperties+xml"/>
  <Override PartName="/xl/ctrlProps/ctrlProp270.xml" ContentType="application/vnd.ms-excel.controlproperties+xml"/>
  <Override PartName="/xl/ctrlProps/ctrlProp271.xml" ContentType="application/vnd.ms-excel.controlproperties+xml"/>
  <Override PartName="/xl/ctrlProps/ctrlProp272.xml" ContentType="application/vnd.ms-excel.controlproperties+xml"/>
  <Override PartName="/xl/ctrlProps/ctrlProp273.xml" ContentType="application/vnd.ms-excel.controlproperties+xml"/>
  <Override PartName="/xl/ctrlProps/ctrlProp274.xml" ContentType="application/vnd.ms-excel.controlproperties+xml"/>
  <Override PartName="/xl/ctrlProps/ctrlProp275.xml" ContentType="application/vnd.ms-excel.controlproperties+xml"/>
  <Override PartName="/xl/ctrlProps/ctrlProp276.xml" ContentType="application/vnd.ms-excel.controlproperties+xml"/>
  <Override PartName="/xl/ctrlProps/ctrlProp277.xml" ContentType="application/vnd.ms-excel.controlproperties+xml"/>
  <Override PartName="/xl/ctrlProps/ctrlProp278.xml" ContentType="application/vnd.ms-excel.controlproperties+xml"/>
  <Override PartName="/xl/ctrlProps/ctrlProp279.xml" ContentType="application/vnd.ms-excel.controlproperties+xml"/>
  <Override PartName="/xl/ctrlProps/ctrlProp280.xml" ContentType="application/vnd.ms-excel.controlproperties+xml"/>
  <Override PartName="/xl/ctrlProps/ctrlProp281.xml" ContentType="application/vnd.ms-excel.controlproperties+xml"/>
  <Override PartName="/xl/ctrlProps/ctrlProp282.xml" ContentType="application/vnd.ms-excel.controlproperties+xml"/>
  <Override PartName="/xl/ctrlProps/ctrlProp283.xml" ContentType="application/vnd.ms-excel.controlproperties+xml"/>
  <Override PartName="/xl/ctrlProps/ctrlProp284.xml" ContentType="application/vnd.ms-excel.controlproperties+xml"/>
  <Override PartName="/xl/ctrlProps/ctrlProp285.xml" ContentType="application/vnd.ms-excel.controlproperties+xml"/>
  <Override PartName="/xl/ctrlProps/ctrlProp286.xml" ContentType="application/vnd.ms-excel.controlproperties+xml"/>
  <Override PartName="/xl/comments2.xml" ContentType="application/vnd.openxmlformats-officedocument.spreadsheetml.comments+xml"/>
  <Override PartName="/xl/threadedComments/threadedComment2.xml" ContentType="application/vnd.ms-excel.threadedcomments+xml"/>
  <Override PartName="/xl/drawings/drawing6.xml" ContentType="application/vnd.openxmlformats-officedocument.drawing+xml"/>
  <Override PartName="/xl/ctrlProps/ctrlProp287.xml" ContentType="application/vnd.ms-excel.controlproperties+xml"/>
  <Override PartName="/xl/ctrlProps/ctrlProp288.xml" ContentType="application/vnd.ms-excel.controlproperties+xml"/>
  <Override PartName="/xl/ctrlProps/ctrlProp289.xml" ContentType="application/vnd.ms-excel.controlproperties+xml"/>
  <Override PartName="/xl/ctrlProps/ctrlProp290.xml" ContentType="application/vnd.ms-excel.controlproperties+xml"/>
  <Override PartName="/xl/ctrlProps/ctrlProp291.xml" ContentType="application/vnd.ms-excel.controlproperties+xml"/>
  <Override PartName="/xl/ctrlProps/ctrlProp292.xml" ContentType="application/vnd.ms-excel.controlproperties+xml"/>
  <Override PartName="/xl/ctrlProps/ctrlProp293.xml" ContentType="application/vnd.ms-excel.controlproperties+xml"/>
  <Override PartName="/xl/ctrlProps/ctrlProp294.xml" ContentType="application/vnd.ms-excel.controlproperties+xml"/>
  <Override PartName="/xl/ctrlProps/ctrlProp295.xml" ContentType="application/vnd.ms-excel.controlproperties+xml"/>
  <Override PartName="/xl/ctrlProps/ctrlProp296.xml" ContentType="application/vnd.ms-excel.controlproperties+xml"/>
  <Override PartName="/xl/ctrlProps/ctrlProp297.xml" ContentType="application/vnd.ms-excel.controlproperties+xml"/>
  <Override PartName="/xl/ctrlProps/ctrlProp298.xml" ContentType="application/vnd.ms-excel.controlproperties+xml"/>
  <Override PartName="/xl/ctrlProps/ctrlProp299.xml" ContentType="application/vnd.ms-excel.controlproperties+xml"/>
  <Override PartName="/xl/ctrlProps/ctrlProp300.xml" ContentType="application/vnd.ms-excel.controlproperties+xml"/>
  <Override PartName="/xl/ctrlProps/ctrlProp301.xml" ContentType="application/vnd.ms-excel.controlproperties+xml"/>
  <Override PartName="/xl/ctrlProps/ctrlProp302.xml" ContentType="application/vnd.ms-excel.controlproperties+xml"/>
  <Override PartName="/xl/ctrlProps/ctrlProp303.xml" ContentType="application/vnd.ms-excel.controlproperties+xml"/>
  <Override PartName="/xl/ctrlProps/ctrlProp304.xml" ContentType="application/vnd.ms-excel.controlproperties+xml"/>
  <Override PartName="/xl/ctrlProps/ctrlProp305.xml" ContentType="application/vnd.ms-excel.controlproperties+xml"/>
  <Override PartName="/xl/ctrlProps/ctrlProp306.xml" ContentType="application/vnd.ms-excel.controlproperties+xml"/>
  <Override PartName="/xl/ctrlProps/ctrlProp307.xml" ContentType="application/vnd.ms-excel.controlproperties+xml"/>
  <Override PartName="/xl/ctrlProps/ctrlProp308.xml" ContentType="application/vnd.ms-excel.controlproperties+xml"/>
  <Override PartName="/xl/ctrlProps/ctrlProp309.xml" ContentType="application/vnd.ms-excel.controlproperties+xml"/>
  <Override PartName="/xl/ctrlProps/ctrlProp310.xml" ContentType="application/vnd.ms-excel.controlproperties+xml"/>
  <Override PartName="/xl/ctrlProps/ctrlProp311.xml" ContentType="application/vnd.ms-excel.controlproperties+xml"/>
  <Override PartName="/xl/ctrlProps/ctrlProp312.xml" ContentType="application/vnd.ms-excel.controlproperties+xml"/>
  <Override PartName="/xl/ctrlProps/ctrlProp313.xml" ContentType="application/vnd.ms-excel.controlproperties+xml"/>
  <Override PartName="/xl/ctrlProps/ctrlProp314.xml" ContentType="application/vnd.ms-excel.controlproperties+xml"/>
  <Override PartName="/xl/ctrlProps/ctrlProp315.xml" ContentType="application/vnd.ms-excel.controlproperties+xml"/>
  <Override PartName="/xl/ctrlProps/ctrlProp316.xml" ContentType="application/vnd.ms-excel.controlproperties+xml"/>
  <Override PartName="/xl/ctrlProps/ctrlProp317.xml" ContentType="application/vnd.ms-excel.controlproperties+xml"/>
  <Override PartName="/xl/ctrlProps/ctrlProp318.xml" ContentType="application/vnd.ms-excel.controlproperties+xml"/>
  <Override PartName="/xl/ctrlProps/ctrlProp319.xml" ContentType="application/vnd.ms-excel.controlproperties+xml"/>
  <Override PartName="/xl/ctrlProps/ctrlProp320.xml" ContentType="application/vnd.ms-excel.controlproperties+xml"/>
  <Override PartName="/xl/ctrlProps/ctrlProp321.xml" ContentType="application/vnd.ms-excel.controlproperties+xml"/>
  <Override PartName="/xl/ctrlProps/ctrlProp322.xml" ContentType="application/vnd.ms-excel.controlproperties+xml"/>
  <Override PartName="/xl/ctrlProps/ctrlProp323.xml" ContentType="application/vnd.ms-excel.controlproperties+xml"/>
  <Override PartName="/xl/ctrlProps/ctrlProp324.xml" ContentType="application/vnd.ms-excel.controlproperties+xml"/>
  <Override PartName="/xl/ctrlProps/ctrlProp325.xml" ContentType="application/vnd.ms-excel.controlproperties+xml"/>
  <Override PartName="/xl/ctrlProps/ctrlProp326.xml" ContentType="application/vnd.ms-excel.controlproperties+xml"/>
  <Override PartName="/xl/ctrlProps/ctrlProp327.xml" ContentType="application/vnd.ms-excel.controlproperties+xml"/>
  <Override PartName="/xl/ctrlProps/ctrlProp328.xml" ContentType="application/vnd.ms-excel.controlproperties+xml"/>
  <Override PartName="/xl/ctrlProps/ctrlProp329.xml" ContentType="application/vnd.ms-excel.controlproperties+xml"/>
  <Override PartName="/xl/ctrlProps/ctrlProp330.xml" ContentType="application/vnd.ms-excel.controlproperties+xml"/>
  <Override PartName="/xl/ctrlProps/ctrlProp331.xml" ContentType="application/vnd.ms-excel.controlproperties+xml"/>
  <Override PartName="/xl/ctrlProps/ctrlProp332.xml" ContentType="application/vnd.ms-excel.controlproperties+xml"/>
  <Override PartName="/xl/ctrlProps/ctrlProp333.xml" ContentType="application/vnd.ms-excel.controlproperties+xml"/>
  <Override PartName="/xl/ctrlProps/ctrlProp334.xml" ContentType="application/vnd.ms-excel.controlproperties+xml"/>
  <Override PartName="/xl/ctrlProps/ctrlProp335.xml" ContentType="application/vnd.ms-excel.controlproperties+xml"/>
  <Override PartName="/xl/ctrlProps/ctrlProp336.xml" ContentType="application/vnd.ms-excel.controlproperties+xml"/>
  <Override PartName="/xl/ctrlProps/ctrlProp337.xml" ContentType="application/vnd.ms-excel.controlproperties+xml"/>
  <Override PartName="/xl/ctrlProps/ctrlProp338.xml" ContentType="application/vnd.ms-excel.controlproperties+xml"/>
  <Override PartName="/xl/ctrlProps/ctrlProp339.xml" ContentType="application/vnd.ms-excel.controlproperties+xml"/>
  <Override PartName="/xl/ctrlProps/ctrlProp340.xml" ContentType="application/vnd.ms-excel.controlproperties+xml"/>
  <Override PartName="/xl/ctrlProps/ctrlProp341.xml" ContentType="application/vnd.ms-excel.controlproperties+xml"/>
  <Override PartName="/xl/ctrlProps/ctrlProp342.xml" ContentType="application/vnd.ms-excel.controlproperties+xml"/>
  <Override PartName="/xl/ctrlProps/ctrlProp343.xml" ContentType="application/vnd.ms-excel.controlproperties+xml"/>
  <Override PartName="/xl/ctrlProps/ctrlProp344.xml" ContentType="application/vnd.ms-excel.controlproperties+xml"/>
  <Override PartName="/xl/ctrlProps/ctrlProp345.xml" ContentType="application/vnd.ms-excel.controlproperties+xml"/>
  <Override PartName="/xl/ctrlProps/ctrlProp346.xml" ContentType="application/vnd.ms-excel.controlproperties+xml"/>
  <Override PartName="/xl/ctrlProps/ctrlProp347.xml" ContentType="application/vnd.ms-excel.controlproperties+xml"/>
  <Override PartName="/xl/ctrlProps/ctrlProp348.xml" ContentType="application/vnd.ms-excel.controlproperties+xml"/>
  <Override PartName="/xl/ctrlProps/ctrlProp349.xml" ContentType="application/vnd.ms-excel.controlproperties+xml"/>
  <Override PartName="/xl/ctrlProps/ctrlProp350.xml" ContentType="application/vnd.ms-excel.controlproperties+xml"/>
  <Override PartName="/xl/ctrlProps/ctrlProp351.xml" ContentType="application/vnd.ms-excel.controlproperties+xml"/>
  <Override PartName="/xl/ctrlProps/ctrlProp352.xml" ContentType="application/vnd.ms-excel.controlproperties+xml"/>
  <Override PartName="/xl/ctrlProps/ctrlProp353.xml" ContentType="application/vnd.ms-excel.controlproperties+xml"/>
  <Override PartName="/xl/ctrlProps/ctrlProp354.xml" ContentType="application/vnd.ms-excel.controlproperties+xml"/>
  <Override PartName="/xl/ctrlProps/ctrlProp355.xml" ContentType="application/vnd.ms-excel.controlproperties+xml"/>
  <Override PartName="/xl/ctrlProps/ctrlProp356.xml" ContentType="application/vnd.ms-excel.controlproperties+xml"/>
  <Override PartName="/xl/ctrlProps/ctrlProp357.xml" ContentType="application/vnd.ms-excel.controlproperties+xml"/>
  <Override PartName="/xl/ctrlProps/ctrlProp358.xml" ContentType="application/vnd.ms-excel.controlproperties+xml"/>
  <Override PartName="/xl/ctrlProps/ctrlProp359.xml" ContentType="application/vnd.ms-excel.controlproperties+xml"/>
  <Override PartName="/xl/ctrlProps/ctrlProp360.xml" ContentType="application/vnd.ms-excel.controlproperties+xml"/>
  <Override PartName="/xl/ctrlProps/ctrlProp361.xml" ContentType="application/vnd.ms-excel.controlproperties+xml"/>
  <Override PartName="/xl/ctrlProps/ctrlProp362.xml" ContentType="application/vnd.ms-excel.controlproperties+xml"/>
  <Override PartName="/xl/ctrlProps/ctrlProp363.xml" ContentType="application/vnd.ms-excel.controlproperties+xml"/>
  <Override PartName="/xl/drawings/drawing7.xml" ContentType="application/vnd.openxmlformats-officedocument.drawing+xml"/>
  <Override PartName="/xl/charts/chart3.xml" ContentType="application/vnd.openxmlformats-officedocument.drawingml.chart+xml"/>
  <Override PartName="/xl/drawings/drawing8.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charts/chart4.xml" ContentType="application/vnd.openxmlformats-officedocument.drawingml.chart+xml"/>
  <Override PartName="/xl/drawings/drawing9.xml" ContentType="application/vnd.openxmlformats-officedocument.drawing+xml"/>
  <Override PartName="/xl/drawings/drawing10.xml" ContentType="application/vnd.openxmlformats-officedocument.drawing+xml"/>
  <Override PartName="/xl/embeddings/oleObject3.bin" ContentType="application/vnd.openxmlformats-officedocument.oleObject"/>
  <Override PartName="/xl/charts/chart5.xml" ContentType="application/vnd.openxmlformats-officedocument.drawingml.chart+xml"/>
  <Override PartName="/xl/drawings/drawing11.xml" ContentType="application/vnd.openxmlformats-officedocument.drawing+xml"/>
  <Override PartName="/xl/charts/chart6.xml" ContentType="application/vnd.openxmlformats-officedocument.drawingml.chart+xml"/>
  <Override PartName="/xl/drawings/drawing12.xml" ContentType="application/vnd.openxmlformats-officedocument.drawing+xml"/>
  <Override PartName="/xl/charts/chart7.xml" ContentType="application/vnd.openxmlformats-officedocument.drawingml.chart+xml"/>
  <Override PartName="/xl/drawings/drawing13.xml" ContentType="application/vnd.openxmlformats-officedocument.drawing+xml"/>
  <Override PartName="/xl/embeddings/oleObject4.bin" ContentType="application/vnd.openxmlformats-officedocument.oleObject"/>
  <Override PartName="/xl/embeddings/oleObject5.bin" ContentType="application/vnd.openxmlformats-officedocument.oleObject"/>
  <Override PartName="/xl/charts/chart8.xml" ContentType="application/vnd.openxmlformats-officedocument.drawingml.chart+xml"/>
  <Override PartName="/xl/drawings/drawing14.xml" ContentType="application/vnd.openxmlformats-officedocument.drawing+xml"/>
  <Override PartName="/xl/charts/chart9.xml" ContentType="application/vnd.openxmlformats-officedocument.drawingml.chart+xml"/>
  <Override PartName="/xl/drawings/drawing15.xml" ContentType="application/vnd.openxmlformats-officedocument.drawing+xml"/>
  <Override PartName="/xl/embeddings/oleObject6.bin" ContentType="application/vnd.openxmlformats-officedocument.oleObject"/>
  <Override PartName="/xl/charts/chart10.xml" ContentType="application/vnd.openxmlformats-officedocument.drawingml.chart+xml"/>
  <Override PartName="/xl/drawings/drawing16.xml" ContentType="application/vnd.openxmlformats-officedocument.drawing+xml"/>
  <Override PartName="/xl/embeddings/oleObject7.bin" ContentType="application/vnd.openxmlformats-officedocument.oleObject"/>
  <Override PartName="/xl/embeddings/oleObject8.bin" ContentType="application/vnd.openxmlformats-officedocument.oleObject"/>
  <Override PartName="/xl/charts/chart11.xml" ContentType="application/vnd.openxmlformats-officedocument.drawingml.chart+xml"/>
  <Override PartName="/xl/drawings/drawing17.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mc:AlternateContent xmlns:mc="http://schemas.openxmlformats.org/markup-compatibility/2006">
    <mc:Choice Requires="x15">
      <x15ac:absPath xmlns:x15ac="http://schemas.microsoft.com/office/spreadsheetml/2010/11/ac" url="C:\navair\cal_certs\"/>
    </mc:Choice>
  </mc:AlternateContent>
  <xr:revisionPtr revIDLastSave="0" documentId="13_ncr:1_{94340EFC-0594-4B04-ADA6-16577AD5E195}" xr6:coauthVersionLast="47" xr6:coauthVersionMax="47" xr10:uidLastSave="{00000000-0000-0000-0000-000000000000}"/>
  <bookViews>
    <workbookView xWindow="-120" yWindow="-120" windowWidth="29040" windowHeight="15840" firstSheet="20" activeTab="20" xr2:uid="{00000000-000D-0000-FFFF-FFFF00000000}"/>
  </bookViews>
  <sheets>
    <sheet name="Chart1" sheetId="87" state="hidden" r:id="rId1"/>
    <sheet name="Chart2" sheetId="65" state="hidden" r:id="rId2"/>
    <sheet name="mtd" sheetId="1" state="hidden" r:id="rId3"/>
    <sheet name="AUTO" sheetId="99" r:id="rId4"/>
    <sheet name="Cover Service Sheet" sheetId="103" r:id="rId5"/>
    <sheet name="ss" sheetId="107" state="hidden" r:id="rId6"/>
    <sheet name="Sheet1" sheetId="106" state="hidden" r:id="rId7"/>
    <sheet name="DO NOT USE post cal" sheetId="102" state="hidden" r:id="rId8"/>
    <sheet name="Auto-Calibration record" sheetId="86" r:id="rId9"/>
    <sheet name="MP Calibration Certificate" sheetId="85" r:id="rId10"/>
    <sheet name="Packing Check List" sheetId="101" state="hidden" r:id="rId11"/>
    <sheet name="LasPaCII (Stauff) Cal Cert" sheetId="89" state="hidden" r:id="rId12"/>
    <sheet name="ACE Winches" sheetId="90" state="hidden" r:id="rId13"/>
    <sheet name="Solge" sheetId="91" state="hidden" r:id="rId14"/>
    <sheet name="PLPC (RMF) Cal Cert" sheetId="93" state="hidden" r:id="rId15"/>
    <sheet name="Dutch Holding Cal Cert" sheetId="94" state="hidden" r:id="rId16"/>
    <sheet name="Blank Cal Cert (EatonWearcheck)" sheetId="96" state="hidden" r:id="rId17"/>
    <sheet name="Trescal Cal Cert" sheetId="97" state="hidden" r:id="rId18"/>
    <sheet name="NAVAIR" sheetId="108" r:id="rId19"/>
    <sheet name="11171" sheetId="111" r:id="rId20"/>
    <sheet name="D2" sheetId="112" r:id="rId21"/>
  </sheets>
  <definedNames>
    <definedName name="_666.lpacal_1" localSheetId="3">AUTO!$A$1:$B$150</definedName>
    <definedName name="_666.lpacal_2" localSheetId="3">AUTO!$H$1:$I$144</definedName>
    <definedName name="_xlnm._FilterDatabase" localSheetId="12" hidden="1">'ACE Winches'!$D$21:$J$25</definedName>
    <definedName name="LPA1.lpacal_1" localSheetId="3">AUTO!$A$1:$B$89</definedName>
    <definedName name="_xlnm.Print_Area" localSheetId="12">'ACE Winches'!$A$1:$P$88</definedName>
    <definedName name="_xlnm.Print_Area" localSheetId="8">'Auto-Calibration record'!$B$3:$L$104</definedName>
    <definedName name="_xlnm.Print_Area" localSheetId="16">'Blank Cal Cert (EatonWearcheck)'!$A$1:$P$82</definedName>
    <definedName name="_xlnm.Print_Area" localSheetId="4">'Cover Service Sheet'!$A$1:$Q$199</definedName>
    <definedName name="_xlnm.Print_Area" localSheetId="15">'Dutch Holding Cal Cert'!$A$1:$P$82</definedName>
    <definedName name="_xlnm.Print_Area" localSheetId="11">'LasPaCII (Stauff) Cal Cert'!$A$1:$I$74</definedName>
    <definedName name="_xlnm.Print_Area" localSheetId="9">'MP Calibration Certificate'!$A$1:$P$154</definedName>
    <definedName name="_xlnm.Print_Area" localSheetId="2">mtd!$A$1:$N$93</definedName>
    <definedName name="_xlnm.Print_Area" localSheetId="18">NAVAIR!$A$1:$P$154</definedName>
    <definedName name="_xlnm.Print_Area" localSheetId="14">'PLPC (RMF) Cal Cert'!$A$1:$P$82</definedName>
    <definedName name="_xlnm.Print_Area" localSheetId="13">Solge!$A$1:$P$82</definedName>
    <definedName name="_xlnm.Print_Area" localSheetId="17">'Trescal Cal Cert'!$A$1:$P$81</definedName>
    <definedName name="solver_adj" localSheetId="2" hidden="1">mtd!$I$4:$N$4</definedName>
    <definedName name="solver_cvg" localSheetId="2" hidden="1">0.0001</definedName>
    <definedName name="solver_drv" localSheetId="2" hidden="1">1</definedName>
    <definedName name="solver_est" localSheetId="2" hidden="1">1</definedName>
    <definedName name="solver_itr" localSheetId="2" hidden="1">100</definedName>
    <definedName name="solver_lin" localSheetId="2" hidden="1">2</definedName>
    <definedName name="solver_neg" localSheetId="2" hidden="1">2</definedName>
    <definedName name="solver_num" localSheetId="2" hidden="1">0</definedName>
    <definedName name="solver_nwt" localSheetId="2" hidden="1">1</definedName>
    <definedName name="solver_opt" localSheetId="2" hidden="1">mtd!$H$55</definedName>
    <definedName name="solver_pre" localSheetId="2" hidden="1">0.000001</definedName>
    <definedName name="solver_scl" localSheetId="2" hidden="1">2</definedName>
    <definedName name="solver_sho" localSheetId="2" hidden="1">2</definedName>
    <definedName name="solver_tim" localSheetId="2" hidden="1">100</definedName>
    <definedName name="solver_tol" localSheetId="2" hidden="1">0.05</definedName>
    <definedName name="solver_typ" localSheetId="2" hidden="1">2</definedName>
    <definedName name="solver_val" localSheetId="2" hidden="1">0</definedName>
  </definedNames>
  <calcPr calcId="191028" calcMode="manual"/>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5" i="112" l="1"/>
  <c r="I35" i="112"/>
  <c r="J34" i="112"/>
  <c r="I34" i="112"/>
  <c r="J33" i="112"/>
  <c r="I33" i="112"/>
  <c r="J32" i="112"/>
  <c r="I32" i="112"/>
  <c r="J31" i="112"/>
  <c r="I31" i="112"/>
  <c r="J30" i="112"/>
  <c r="I30" i="112"/>
  <c r="J29" i="112"/>
  <c r="I29" i="112"/>
  <c r="J28" i="112"/>
  <c r="I28" i="112"/>
  <c r="J27" i="112"/>
  <c r="I27" i="112"/>
  <c r="D31" i="112"/>
  <c r="H31" i="112" s="1"/>
  <c r="D32" i="112"/>
  <c r="H32" i="112" s="1"/>
  <c r="D30" i="112"/>
  <c r="H30" i="112" s="1"/>
  <c r="D28" i="112"/>
  <c r="H28" i="112" s="1"/>
  <c r="D27" i="112"/>
  <c r="H27" i="112" s="1"/>
  <c r="D29" i="112"/>
  <c r="H29" i="112" s="1"/>
  <c r="C35" i="112"/>
  <c r="G35" i="112" s="1"/>
  <c r="C34" i="112"/>
  <c r="G34" i="112" s="1"/>
  <c r="C33" i="112"/>
  <c r="G33" i="112" s="1"/>
  <c r="C32" i="112"/>
  <c r="G32" i="112" s="1"/>
  <c r="C31" i="112"/>
  <c r="G31" i="112" s="1"/>
  <c r="C30" i="112"/>
  <c r="G30" i="112" s="1"/>
  <c r="C29" i="112"/>
  <c r="G29" i="112" s="1"/>
  <c r="C28" i="112"/>
  <c r="G28" i="112" s="1"/>
  <c r="C27" i="112"/>
  <c r="G27" i="112" s="1"/>
  <c r="E18" i="112"/>
  <c r="E17" i="112"/>
  <c r="E16" i="112"/>
  <c r="E15" i="112"/>
  <c r="E14" i="112"/>
  <c r="E13" i="112"/>
  <c r="E12" i="112"/>
  <c r="H35" i="112"/>
  <c r="E35" i="112"/>
  <c r="H34" i="112"/>
  <c r="E34" i="112"/>
  <c r="H33" i="112"/>
  <c r="E33" i="112"/>
  <c r="E32" i="112"/>
  <c r="E31" i="112"/>
  <c r="E30" i="112"/>
  <c r="E29" i="112"/>
  <c r="E28" i="112"/>
  <c r="E27" i="112"/>
  <c r="C68" i="86"/>
  <c r="I68" i="86" s="1"/>
  <c r="F27" i="111"/>
  <c r="F26" i="111"/>
  <c r="F25" i="111"/>
  <c r="F24" i="111"/>
  <c r="F23" i="111"/>
  <c r="F22" i="111"/>
  <c r="F21" i="111"/>
  <c r="F20" i="111"/>
  <c r="F19" i="111"/>
  <c r="B21" i="111"/>
  <c r="B27" i="111" l="1"/>
  <c r="B26" i="111"/>
  <c r="B25" i="111"/>
  <c r="B24" i="111"/>
  <c r="B23" i="111"/>
  <c r="B22" i="111"/>
  <c r="B20" i="111"/>
  <c r="B19" i="111"/>
  <c r="A27" i="111"/>
  <c r="A26" i="111"/>
  <c r="A25" i="111"/>
  <c r="A24" i="111"/>
  <c r="A23" i="111"/>
  <c r="A22" i="111"/>
  <c r="A21" i="111"/>
  <c r="A20" i="111"/>
  <c r="A19" i="111"/>
  <c r="G27" i="111"/>
  <c r="G26" i="111"/>
  <c r="G25" i="111"/>
  <c r="G24" i="111"/>
  <c r="G23" i="111"/>
  <c r="G22" i="111"/>
  <c r="G21" i="111"/>
  <c r="G20" i="111"/>
  <c r="G19" i="111"/>
  <c r="H27" i="111"/>
  <c r="H26" i="111"/>
  <c r="H25" i="111"/>
  <c r="H24" i="111"/>
  <c r="H23" i="111"/>
  <c r="H22" i="111"/>
  <c r="H21" i="111"/>
  <c r="H20" i="111"/>
  <c r="H19" i="111"/>
  <c r="E21" i="111"/>
  <c r="E27" i="111"/>
  <c r="E26" i="111"/>
  <c r="E25" i="111"/>
  <c r="E24" i="111"/>
  <c r="E22" i="111"/>
  <c r="E23" i="111"/>
  <c r="E20" i="111"/>
  <c r="E19" i="111"/>
  <c r="H3" i="111" l="1"/>
  <c r="C9" i="111"/>
  <c r="C8" i="111"/>
  <c r="C7" i="111"/>
  <c r="C6" i="111"/>
  <c r="C4" i="111"/>
  <c r="C5" i="111"/>
  <c r="C3" i="111"/>
  <c r="D152" i="108"/>
  <c r="D151" i="108"/>
  <c r="B137" i="108"/>
  <c r="B136" i="108"/>
  <c r="B135" i="108"/>
  <c r="B132" i="108"/>
  <c r="B131" i="108"/>
  <c r="B130" i="108"/>
  <c r="B127" i="108"/>
  <c r="B126" i="108"/>
  <c r="B122" i="108"/>
  <c r="B121" i="108"/>
  <c r="B120" i="108"/>
  <c r="B107" i="108"/>
  <c r="B103" i="108"/>
  <c r="B99" i="108"/>
  <c r="D76" i="108"/>
  <c r="O17" i="108"/>
  <c r="D17" i="108"/>
  <c r="C70" i="86"/>
  <c r="I70" i="86" s="1"/>
  <c r="B70" i="86"/>
  <c r="B76" i="86"/>
  <c r="H35" i="108" s="1"/>
  <c r="B75" i="86"/>
  <c r="H34" i="108" s="1"/>
  <c r="B74" i="86"/>
  <c r="H33" i="108" s="1"/>
  <c r="B73" i="86"/>
  <c r="H32" i="108" s="1"/>
  <c r="B72" i="86"/>
  <c r="H31" i="108" s="1"/>
  <c r="B71" i="86"/>
  <c r="H30" i="108" s="1"/>
  <c r="B69" i="86"/>
  <c r="H29" i="108" s="1"/>
  <c r="B68" i="86"/>
  <c r="H28" i="108" s="1"/>
  <c r="D17" i="103"/>
  <c r="D13" i="103"/>
  <c r="I65" i="86"/>
  <c r="F35" i="108" s="1"/>
  <c r="H65" i="86"/>
  <c r="F34" i="108" s="1"/>
  <c r="G65" i="86"/>
  <c r="F33" i="108" s="1"/>
  <c r="F65" i="86"/>
  <c r="F32" i="108" s="1"/>
  <c r="E65" i="86"/>
  <c r="F31" i="108" s="1"/>
  <c r="D65" i="86"/>
  <c r="F30" i="108" s="1"/>
  <c r="C65" i="86"/>
  <c r="F29" i="108" s="1"/>
  <c r="B65" i="86"/>
  <c r="F28" i="108" s="1"/>
  <c r="H21" i="86"/>
  <c r="C76" i="86"/>
  <c r="I76" i="86" s="1"/>
  <c r="C75" i="86"/>
  <c r="I75" i="86" s="1"/>
  <c r="C74" i="86"/>
  <c r="I74" i="86" s="1"/>
  <c r="C73" i="86"/>
  <c r="I73" i="86" s="1"/>
  <c r="C72" i="86"/>
  <c r="I72" i="86" s="1"/>
  <c r="C71" i="86"/>
  <c r="I71" i="86" s="1"/>
  <c r="C69" i="86"/>
  <c r="I69" i="86" s="1"/>
  <c r="H15" i="86"/>
  <c r="D5" i="103" s="1"/>
  <c r="H19" i="86"/>
  <c r="O19" i="108" s="1"/>
  <c r="H16" i="86"/>
  <c r="O18" i="108" s="1"/>
  <c r="B11" i="86"/>
  <c r="D40" i="85" s="1"/>
  <c r="B5" i="86"/>
  <c r="B12" i="86"/>
  <c r="D70" i="86" l="1"/>
  <c r="D40" i="108"/>
  <c r="G40" i="108" s="1"/>
  <c r="D18" i="108"/>
  <c r="D68" i="86"/>
  <c r="H17" i="86"/>
  <c r="D19" i="108" s="1"/>
  <c r="B5" i="103"/>
  <c r="B6" i="103" s="1"/>
  <c r="B7" i="103" s="1"/>
  <c r="B8" i="103" s="1"/>
  <c r="B9" i="103" s="1"/>
  <c r="B10" i="103" s="1"/>
  <c r="B11" i="103" s="1"/>
  <c r="B12" i="103" s="1"/>
  <c r="B13" i="103" s="1"/>
  <c r="B14" i="103" s="1"/>
  <c r="B15" i="103" s="1"/>
  <c r="B16" i="103" s="1"/>
  <c r="B17" i="103" s="1"/>
  <c r="B20" i="103" s="1"/>
  <c r="B21" i="103" s="1"/>
  <c r="B22" i="103" s="1"/>
  <c r="B23" i="103" s="1"/>
  <c r="B24" i="103" s="1"/>
  <c r="B25" i="103" s="1"/>
  <c r="B26" i="103" s="1"/>
  <c r="B27" i="103" s="1"/>
  <c r="B28" i="103" s="1"/>
  <c r="B29" i="103" s="1"/>
  <c r="D176" i="103"/>
  <c r="D152" i="85"/>
  <c r="D151" i="85"/>
  <c r="O17" i="85"/>
  <c r="Q162" i="103"/>
  <c r="Q154" i="103"/>
  <c r="Q148" i="103"/>
  <c r="Q130" i="103"/>
  <c r="Q116" i="103"/>
  <c r="Q100" i="103"/>
  <c r="B120" i="85"/>
  <c r="B138" i="85" l="1"/>
  <c r="B138" i="108"/>
  <c r="B142" i="85"/>
  <c r="B142" i="108"/>
  <c r="B143" i="85"/>
  <c r="B143" i="108"/>
  <c r="B144" i="85"/>
  <c r="B144" i="108"/>
  <c r="B146" i="85"/>
  <c r="B146" i="108"/>
  <c r="J70" i="86"/>
  <c r="C21" i="111"/>
  <c r="E40" i="108"/>
  <c r="B31" i="103"/>
  <c r="B32" i="103" s="1"/>
  <c r="B33" i="103" s="1"/>
  <c r="B34" i="103" s="1"/>
  <c r="B35" i="103" s="1"/>
  <c r="B36" i="103" s="1"/>
  <c r="B37" i="103" s="1"/>
  <c r="B38" i="103" s="1"/>
  <c r="Q7" i="103"/>
  <c r="Q157" i="103"/>
  <c r="Q108" i="103"/>
  <c r="B137" i="85"/>
  <c r="B135" i="85"/>
  <c r="Q97" i="103"/>
  <c r="Q95" i="103"/>
  <c r="C94" i="103"/>
  <c r="C93" i="103"/>
  <c r="B127" i="85"/>
  <c r="B136" i="85"/>
  <c r="B126" i="85"/>
  <c r="B133" i="85" l="1"/>
  <c r="B133" i="108"/>
  <c r="B134" i="85"/>
  <c r="B134" i="108"/>
  <c r="B141" i="85"/>
  <c r="B141" i="108"/>
  <c r="B145" i="85"/>
  <c r="B145" i="108"/>
  <c r="B112" i="85"/>
  <c r="B112" i="108"/>
  <c r="B122" i="85"/>
  <c r="Q77" i="103"/>
  <c r="B121" i="85"/>
  <c r="Q42" i="103"/>
  <c r="Q39" i="103"/>
  <c r="Q33" i="103"/>
  <c r="Q35" i="103"/>
  <c r="Q34" i="103"/>
  <c r="D135" i="103"/>
  <c r="D117" i="103"/>
  <c r="D118" i="103"/>
  <c r="D152" i="103"/>
  <c r="D144" i="103"/>
  <c r="D143" i="103"/>
  <c r="D145" i="103"/>
  <c r="D142" i="103"/>
  <c r="B115" i="85" l="1"/>
  <c r="B115" i="108"/>
  <c r="B116" i="85"/>
  <c r="B116" i="108"/>
  <c r="B114" i="85"/>
  <c r="B114" i="108"/>
  <c r="B117" i="85"/>
  <c r="B117" i="108"/>
  <c r="B118" i="85"/>
  <c r="B118" i="108"/>
  <c r="B123" i="85"/>
  <c r="B123" i="108"/>
  <c r="D140" i="103"/>
  <c r="D153" i="103"/>
  <c r="D138" i="103"/>
  <c r="D137" i="103"/>
  <c r="D154" i="103"/>
  <c r="D151" i="103" l="1"/>
  <c r="D123" i="103" l="1"/>
  <c r="D124" i="103" l="1"/>
  <c r="D157" i="103"/>
  <c r="D121" i="103"/>
  <c r="D120" i="103"/>
  <c r="S99" i="103" l="1"/>
  <c r="B132" i="85"/>
  <c r="B131" i="85"/>
  <c r="Q81" i="103"/>
  <c r="Q80" i="103"/>
  <c r="B124" i="85" l="1"/>
  <c r="B124" i="108"/>
  <c r="B125" i="85"/>
  <c r="B125" i="108"/>
  <c r="A99" i="103"/>
  <c r="R99" i="103" s="1"/>
  <c r="G31" i="103"/>
  <c r="G176" i="103"/>
  <c r="O175" i="103"/>
  <c r="O174" i="103"/>
  <c r="O169" i="103"/>
  <c r="O168" i="103"/>
  <c r="O150" i="103"/>
  <c r="Q124" i="103"/>
  <c r="F117" i="103"/>
  <c r="F118" i="103" s="1"/>
  <c r="F119" i="103" s="1"/>
  <c r="F120" i="103" s="1"/>
  <c r="F121" i="103" s="1"/>
  <c r="F122" i="103" s="1"/>
  <c r="F123" i="103" s="1"/>
  <c r="G107" i="103"/>
  <c r="G105" i="103"/>
  <c r="O96" i="103"/>
  <c r="B130" i="85"/>
  <c r="Q94" i="103"/>
  <c r="Q93" i="103"/>
  <c r="G92" i="103"/>
  <c r="Q71" i="103"/>
  <c r="B119" i="85" l="1"/>
  <c r="B119" i="108"/>
  <c r="D180" i="103"/>
  <c r="C194" i="103" s="1"/>
  <c r="B110" i="108" s="1"/>
  <c r="D112" i="103"/>
  <c r="B107" i="85"/>
  <c r="B103" i="85"/>
  <c r="B99" i="85"/>
  <c r="D18" i="85"/>
  <c r="H4" i="102" s="1"/>
  <c r="A11" i="102"/>
  <c r="A12" i="102" s="1"/>
  <c r="A13" i="102" s="1"/>
  <c r="A16" i="102" s="1"/>
  <c r="A17" i="102" s="1"/>
  <c r="A18" i="102" s="1"/>
  <c r="A19" i="102" s="1"/>
  <c r="A20" i="102" s="1"/>
  <c r="A21" i="102" s="1"/>
  <c r="A22" i="102" s="1"/>
  <c r="A23" i="102" s="1"/>
  <c r="A24" i="102" s="1"/>
  <c r="A25" i="102" s="1"/>
  <c r="A26" i="102" s="1"/>
  <c r="A27" i="102" s="1"/>
  <c r="A29" i="102" s="1"/>
  <c r="H27" i="102"/>
  <c r="H7" i="102"/>
  <c r="H6" i="102"/>
  <c r="H5" i="102"/>
  <c r="D119" i="103" l="1"/>
  <c r="C186" i="103"/>
  <c r="C190" i="103"/>
  <c r="C182" i="103"/>
  <c r="B110" i="85"/>
  <c r="A30" i="102"/>
  <c r="H121" i="103"/>
  <c r="H120" i="103"/>
  <c r="H119" i="103"/>
  <c r="B98" i="85" l="1"/>
  <c r="B98" i="108"/>
  <c r="B106" i="85"/>
  <c r="B106" i="108"/>
  <c r="B102" i="85"/>
  <c r="B102" i="108"/>
  <c r="A32" i="102"/>
  <c r="A33" i="102" s="1"/>
  <c r="A34" i="102" s="1"/>
  <c r="A35" i="102" s="1"/>
  <c r="A37" i="102" s="1"/>
  <c r="C1" i="107"/>
  <c r="P30" i="102"/>
  <c r="O30" i="102"/>
  <c r="N30" i="102"/>
  <c r="M30" i="102"/>
  <c r="L30" i="102"/>
  <c r="K30" i="102"/>
  <c r="J30" i="102"/>
  <c r="I30" i="102"/>
  <c r="I71" i="102"/>
  <c r="I45" i="102"/>
  <c r="D5" i="106"/>
  <c r="D4" i="106"/>
  <c r="O224" i="106"/>
  <c r="O223" i="106"/>
  <c r="O217" i="106"/>
  <c r="O216" i="106"/>
  <c r="O205" i="106"/>
  <c r="A197" i="106"/>
  <c r="O197" i="106"/>
  <c r="A196" i="106"/>
  <c r="O196" i="106"/>
  <c r="O140" i="106"/>
  <c r="I136" i="106"/>
  <c r="I132" i="106"/>
  <c r="O126" i="106"/>
  <c r="O125" i="106"/>
  <c r="O124" i="106"/>
  <c r="O123" i="106"/>
  <c r="O122" i="106"/>
  <c r="O121" i="106"/>
  <c r="O119" i="106"/>
  <c r="O118" i="106"/>
  <c r="O117" i="106"/>
  <c r="O116" i="106"/>
  <c r="O114" i="106"/>
  <c r="O113" i="106"/>
  <c r="O112" i="106"/>
  <c r="O110" i="106"/>
  <c r="O109" i="106"/>
  <c r="O108" i="106"/>
  <c r="O107" i="106"/>
  <c r="O104" i="106"/>
  <c r="O103" i="106"/>
  <c r="O102" i="106"/>
  <c r="O101" i="106"/>
  <c r="O100" i="106"/>
  <c r="O99" i="106"/>
  <c r="O98" i="106"/>
  <c r="O97" i="106"/>
  <c r="L96" i="106"/>
  <c r="I96" i="106"/>
  <c r="F96" i="106"/>
  <c r="E96" i="106"/>
  <c r="O94" i="106"/>
  <c r="O93" i="106"/>
  <c r="I89" i="106"/>
  <c r="O87" i="106"/>
  <c r="O86" i="106"/>
  <c r="O85" i="106"/>
  <c r="O84" i="106"/>
  <c r="O83" i="106"/>
  <c r="O82" i="106"/>
  <c r="O80" i="106"/>
  <c r="O79" i="106"/>
  <c r="O78" i="106"/>
  <c r="O77" i="106"/>
  <c r="O76" i="106"/>
  <c r="O73" i="106"/>
  <c r="O72" i="106"/>
  <c r="O71" i="106"/>
  <c r="O69" i="106"/>
  <c r="O64" i="106"/>
  <c r="O56" i="106"/>
  <c r="O54" i="106"/>
  <c r="C54" i="106"/>
  <c r="O27" i="106"/>
  <c r="O26" i="106"/>
  <c r="O25" i="106"/>
  <c r="O22" i="106"/>
  <c r="O21" i="106"/>
  <c r="O19" i="106"/>
  <c r="O18" i="106"/>
  <c r="O9" i="106"/>
  <c r="G91" i="106"/>
  <c r="B5" i="106"/>
  <c r="B6" i="106" s="1"/>
  <c r="B7" i="106" s="1"/>
  <c r="B8" i="106" s="1"/>
  <c r="B9" i="106" s="1"/>
  <c r="B10" i="106" s="1"/>
  <c r="B11" i="106" s="1"/>
  <c r="B12" i="106" s="1"/>
  <c r="B13" i="106" s="1"/>
  <c r="B15" i="106" s="1"/>
  <c r="B16" i="106" s="1"/>
  <c r="B18" i="106" s="1"/>
  <c r="B19" i="106" s="1"/>
  <c r="B20" i="106" s="1"/>
  <c r="B21" i="106" s="1"/>
  <c r="B22" i="106" s="1"/>
  <c r="B23" i="106" s="1"/>
  <c r="B24" i="106" s="1"/>
  <c r="B25" i="106" s="1"/>
  <c r="B26" i="106" s="1"/>
  <c r="B27" i="106" s="1"/>
  <c r="B28" i="106" s="1"/>
  <c r="B29" i="106" s="1"/>
  <c r="B30" i="106" s="1"/>
  <c r="B31" i="106" s="1"/>
  <c r="B32" i="106" s="1"/>
  <c r="B33" i="106" s="1"/>
  <c r="B34" i="106" s="1"/>
  <c r="B35" i="106" s="1"/>
  <c r="B36" i="106" s="1"/>
  <c r="B37" i="106" s="1"/>
  <c r="B38" i="106" s="1"/>
  <c r="B39" i="106" s="1"/>
  <c r="B40" i="106" s="1"/>
  <c r="B41" i="106" s="1"/>
  <c r="B42" i="106" s="1"/>
  <c r="B43" i="106" s="1"/>
  <c r="B44" i="106" s="1"/>
  <c r="B45" i="106" s="1"/>
  <c r="B46" i="106" s="1"/>
  <c r="B47" i="106" s="1"/>
  <c r="B48" i="106" s="1"/>
  <c r="B49" i="106" s="1"/>
  <c r="B50" i="106" s="1"/>
  <c r="B51" i="106" s="1"/>
  <c r="B52" i="106" s="1"/>
  <c r="B53" i="106" s="1"/>
  <c r="B54" i="106" s="1"/>
  <c r="B55" i="106" s="1"/>
  <c r="B56" i="106" s="1"/>
  <c r="B57" i="106" s="1"/>
  <c r="B58" i="106" s="1"/>
  <c r="B59" i="106" s="1"/>
  <c r="B60" i="106" s="1"/>
  <c r="B61" i="106" s="1"/>
  <c r="B62" i="106" s="1"/>
  <c r="B63" i="106" s="1"/>
  <c r="B64" i="106" s="1"/>
  <c r="B65" i="106" s="1"/>
  <c r="B66" i="106" s="1"/>
  <c r="B67" i="106" s="1"/>
  <c r="B68" i="106" s="1"/>
  <c r="B69" i="106" s="1"/>
  <c r="B71" i="106" s="1"/>
  <c r="B72" i="106" s="1"/>
  <c r="B73" i="106" s="1"/>
  <c r="B74" i="106" s="1"/>
  <c r="B75" i="106" s="1"/>
  <c r="B76" i="106" s="1"/>
  <c r="B77" i="106" s="1"/>
  <c r="B78" i="106" s="1"/>
  <c r="B79" i="106" s="1"/>
  <c r="B80" i="106" s="1"/>
  <c r="B82" i="106" s="1"/>
  <c r="B83" i="106" s="1"/>
  <c r="B84" i="106" s="1"/>
  <c r="B85" i="106" s="1"/>
  <c r="B86" i="106" s="1"/>
  <c r="B87" i="106" s="1"/>
  <c r="B88" i="106" s="1"/>
  <c r="B89" i="106" s="1"/>
  <c r="B91" i="106" s="1"/>
  <c r="B92" i="106" s="1"/>
  <c r="B93" i="106" s="1"/>
  <c r="B94" i="106" s="1"/>
  <c r="B95" i="106" s="1"/>
  <c r="B96" i="106" s="1"/>
  <c r="B97" i="106" s="1"/>
  <c r="B98" i="106" s="1"/>
  <c r="B99" i="106" s="1"/>
  <c r="B100" i="106" s="1"/>
  <c r="B101" i="106" s="1"/>
  <c r="B102" i="106" s="1"/>
  <c r="B103" i="106" s="1"/>
  <c r="B104" i="106" s="1"/>
  <c r="B105" i="106" s="1"/>
  <c r="B106" i="106" s="1"/>
  <c r="B107" i="106" s="1"/>
  <c r="B108" i="106" s="1"/>
  <c r="B109" i="106" s="1"/>
  <c r="B110" i="106" s="1"/>
  <c r="Q29" i="103"/>
  <c r="Q28" i="103"/>
  <c r="Q27" i="103"/>
  <c r="Q25" i="103"/>
  <c r="Q24" i="103"/>
  <c r="Q23" i="103"/>
  <c r="Q22" i="103"/>
  <c r="Q21" i="103"/>
  <c r="Q20" i="103"/>
  <c r="Q12" i="103"/>
  <c r="Q9" i="103"/>
  <c r="Q8" i="103"/>
  <c r="E5" i="103"/>
  <c r="E5" i="106" s="1"/>
  <c r="D76" i="85"/>
  <c r="F40" i="90"/>
  <c r="G165" i="106"/>
  <c r="G164" i="106"/>
  <c r="F30" i="85"/>
  <c r="F35" i="90"/>
  <c r="G166" i="106"/>
  <c r="G161" i="106"/>
  <c r="C26" i="111"/>
  <c r="D19" i="85"/>
  <c r="B14" i="86"/>
  <c r="B6" i="86"/>
  <c r="F13" i="89"/>
  <c r="E15" i="89" s="1"/>
  <c r="F42" i="89" s="1"/>
  <c r="O19" i="85"/>
  <c r="D18" i="94"/>
  <c r="D18" i="96"/>
  <c r="B30" i="86"/>
  <c r="B29" i="86"/>
  <c r="B28" i="86"/>
  <c r="B27" i="86"/>
  <c r="B26" i="86"/>
  <c r="B25" i="86"/>
  <c r="B24" i="86"/>
  <c r="B23" i="86"/>
  <c r="B8" i="86"/>
  <c r="B7" i="86"/>
  <c r="J40" i="97"/>
  <c r="D40" i="97"/>
  <c r="O19" i="97"/>
  <c r="O17" i="97"/>
  <c r="J40" i="96"/>
  <c r="D40" i="96"/>
  <c r="O19" i="96"/>
  <c r="O17" i="96"/>
  <c r="J40" i="94"/>
  <c r="D40" i="94"/>
  <c r="O19" i="94"/>
  <c r="O17" i="94"/>
  <c r="J40" i="93"/>
  <c r="D40" i="93"/>
  <c r="O19" i="93"/>
  <c r="O17" i="93"/>
  <c r="J40" i="91"/>
  <c r="D40" i="91"/>
  <c r="O19" i="91"/>
  <c r="O17" i="91"/>
  <c r="J46" i="90"/>
  <c r="D46" i="90"/>
  <c r="O19" i="90"/>
  <c r="O17" i="90"/>
  <c r="E45" i="89"/>
  <c r="E44" i="89"/>
  <c r="C67" i="89"/>
  <c r="C4" i="1"/>
  <c r="F4" i="1"/>
  <c r="C5" i="1"/>
  <c r="F5" i="1"/>
  <c r="C6" i="1"/>
  <c r="F6" i="1"/>
  <c r="C7" i="1"/>
  <c r="F7" i="1"/>
  <c r="C8" i="1"/>
  <c r="F8" i="1"/>
  <c r="C9" i="1"/>
  <c r="F9" i="1"/>
  <c r="I9" i="1"/>
  <c r="C10" i="1"/>
  <c r="F10" i="1"/>
  <c r="C11" i="1"/>
  <c r="F11" i="1"/>
  <c r="C12" i="1"/>
  <c r="F12" i="1"/>
  <c r="C13" i="1"/>
  <c r="F13" i="1"/>
  <c r="C14" i="1"/>
  <c r="F14" i="1"/>
  <c r="C15" i="1"/>
  <c r="F15" i="1"/>
  <c r="C16" i="1"/>
  <c r="F16" i="1"/>
  <c r="C17" i="1"/>
  <c r="C18" i="1"/>
  <c r="F18" i="1"/>
  <c r="C19" i="1"/>
  <c r="F19" i="1"/>
  <c r="C20" i="1"/>
  <c r="F20" i="1"/>
  <c r="C21" i="1"/>
  <c r="F21" i="1"/>
  <c r="C22" i="1"/>
  <c r="F22" i="1"/>
  <c r="C23" i="1"/>
  <c r="F23" i="1"/>
  <c r="C24" i="1"/>
  <c r="F24" i="1"/>
  <c r="C25" i="1"/>
  <c r="F25" i="1"/>
  <c r="C26" i="1"/>
  <c r="F26" i="1"/>
  <c r="C27" i="1"/>
  <c r="F27" i="1"/>
  <c r="C28" i="1"/>
  <c r="F28" i="1"/>
  <c r="C29" i="1"/>
  <c r="F29" i="1"/>
  <c r="C30" i="1"/>
  <c r="F30" i="1"/>
  <c r="C31" i="1"/>
  <c r="F31" i="1"/>
  <c r="C32" i="1"/>
  <c r="F32" i="1"/>
  <c r="C33" i="1"/>
  <c r="F33" i="1"/>
  <c r="C34" i="1"/>
  <c r="F34" i="1"/>
  <c r="C35" i="1"/>
  <c r="F35" i="1"/>
  <c r="C36" i="1"/>
  <c r="F36" i="1"/>
  <c r="C37" i="1"/>
  <c r="F37" i="1"/>
  <c r="C38" i="1"/>
  <c r="F38" i="1"/>
  <c r="C39" i="1"/>
  <c r="F39" i="1"/>
  <c r="C40" i="1"/>
  <c r="F40" i="1"/>
  <c r="C41" i="1"/>
  <c r="C42" i="1"/>
  <c r="F42" i="1"/>
  <c r="C43" i="1"/>
  <c r="F43" i="1"/>
  <c r="C44" i="1"/>
  <c r="F44" i="1"/>
  <c r="C45" i="1"/>
  <c r="F45" i="1"/>
  <c r="C46" i="1"/>
  <c r="F46" i="1"/>
  <c r="C47" i="1"/>
  <c r="F47" i="1"/>
  <c r="C48" i="1"/>
  <c r="F48" i="1"/>
  <c r="C49" i="1"/>
  <c r="F49" i="1"/>
  <c r="C50" i="1"/>
  <c r="F50" i="1"/>
  <c r="C51" i="1"/>
  <c r="F51" i="1"/>
  <c r="C52" i="1"/>
  <c r="F52" i="1"/>
  <c r="C53" i="1"/>
  <c r="B54" i="1"/>
  <c r="F54" i="1"/>
  <c r="B55" i="1"/>
  <c r="F55" i="1"/>
  <c r="B56" i="1"/>
  <c r="F56" i="1"/>
  <c r="B57" i="1"/>
  <c r="F57" i="1"/>
  <c r="B58" i="1"/>
  <c r="F58" i="1"/>
  <c r="B59" i="1"/>
  <c r="F59" i="1"/>
  <c r="B60" i="1"/>
  <c r="F60" i="1"/>
  <c r="B61" i="1"/>
  <c r="F61" i="1"/>
  <c r="B62" i="1"/>
  <c r="F62" i="1"/>
  <c r="B63" i="1"/>
  <c r="F63" i="1"/>
  <c r="B64" i="1"/>
  <c r="F64" i="1"/>
  <c r="B65" i="1"/>
  <c r="F65" i="1"/>
  <c r="B66" i="1"/>
  <c r="F66" i="1"/>
  <c r="B67" i="1"/>
  <c r="F67" i="1"/>
  <c r="B68" i="1"/>
  <c r="F68" i="1"/>
  <c r="B69" i="1"/>
  <c r="F69" i="1"/>
  <c r="B70" i="1"/>
  <c r="F70" i="1"/>
  <c r="B71" i="1"/>
  <c r="F71" i="1"/>
  <c r="B72" i="1"/>
  <c r="F72" i="1"/>
  <c r="B73" i="1"/>
  <c r="F73" i="1"/>
  <c r="B74" i="1"/>
  <c r="F74" i="1"/>
  <c r="B75" i="1"/>
  <c r="F75" i="1"/>
  <c r="B76" i="1"/>
  <c r="F76" i="1"/>
  <c r="B77" i="1"/>
  <c r="F77" i="1"/>
  <c r="B78" i="1"/>
  <c r="F78" i="1"/>
  <c r="B79" i="1"/>
  <c r="F79" i="1"/>
  <c r="B80" i="1"/>
  <c r="F80" i="1"/>
  <c r="B81" i="1"/>
  <c r="F81" i="1"/>
  <c r="B82" i="1"/>
  <c r="F82" i="1"/>
  <c r="B83" i="1"/>
  <c r="F83" i="1"/>
  <c r="B84" i="1"/>
  <c r="F84" i="1"/>
  <c r="B85" i="1"/>
  <c r="F85" i="1"/>
  <c r="B86" i="1"/>
  <c r="F86" i="1"/>
  <c r="B87" i="1"/>
  <c r="F87" i="1"/>
  <c r="B88" i="1"/>
  <c r="F88" i="1"/>
  <c r="B89" i="1"/>
  <c r="F89" i="1"/>
  <c r="B90" i="1"/>
  <c r="F90" i="1"/>
  <c r="B91" i="1"/>
  <c r="F91" i="1"/>
  <c r="B92" i="1"/>
  <c r="F92" i="1"/>
  <c r="B93" i="1"/>
  <c r="F93" i="1"/>
  <c r="O18" i="97"/>
  <c r="O18" i="90"/>
  <c r="D25" i="89"/>
  <c r="O18" i="93"/>
  <c r="O18" i="91"/>
  <c r="O18" i="85"/>
  <c r="O18" i="96"/>
  <c r="O18" i="94"/>
  <c r="E13" i="89"/>
  <c r="H35" i="90"/>
  <c r="H28" i="94"/>
  <c r="F53" i="1"/>
  <c r="F41" i="1"/>
  <c r="F17" i="1"/>
  <c r="H29" i="93"/>
  <c r="H29" i="96"/>
  <c r="H28" i="85"/>
  <c r="H34" i="90"/>
  <c r="D57" i="89"/>
  <c r="H28" i="93"/>
  <c r="H28" i="91"/>
  <c r="H28" i="96"/>
  <c r="H29" i="85"/>
  <c r="H28" i="97"/>
  <c r="H29" i="91"/>
  <c r="H29" i="97"/>
  <c r="H29" i="94"/>
  <c r="D58" i="89"/>
  <c r="D69" i="86"/>
  <c r="F34" i="90"/>
  <c r="G46" i="90" s="1"/>
  <c r="F28" i="97"/>
  <c r="G40" i="97" s="1"/>
  <c r="F28" i="91"/>
  <c r="E40" i="91" s="1"/>
  <c r="F28" i="94"/>
  <c r="F32" i="91"/>
  <c r="F32" i="97"/>
  <c r="F32" i="85"/>
  <c r="F32" i="94"/>
  <c r="F32" i="96"/>
  <c r="C61" i="89"/>
  <c r="F38" i="90"/>
  <c r="F32" i="93"/>
  <c r="F31" i="93"/>
  <c r="F31" i="97"/>
  <c r="C64" i="89"/>
  <c r="F35" i="93"/>
  <c r="F33" i="85"/>
  <c r="F39" i="90"/>
  <c r="F33" i="91"/>
  <c r="F33" i="97"/>
  <c r="C62" i="89"/>
  <c r="F33" i="96"/>
  <c r="F33" i="94"/>
  <c r="F33" i="93"/>
  <c r="B113" i="85" l="1"/>
  <c r="B113" i="108"/>
  <c r="J31" i="108"/>
  <c r="K31" i="108" s="1"/>
  <c r="L31" i="108" s="1"/>
  <c r="C23" i="111"/>
  <c r="J33" i="108"/>
  <c r="K33" i="108" s="1"/>
  <c r="L33" i="108" s="1"/>
  <c r="C25" i="111"/>
  <c r="J34" i="97"/>
  <c r="J34" i="108"/>
  <c r="K34" i="108" s="1"/>
  <c r="L34" i="108" s="1"/>
  <c r="G40" i="94"/>
  <c r="F34" i="91"/>
  <c r="C59" i="89"/>
  <c r="F29" i="85"/>
  <c r="F30" i="97"/>
  <c r="G162" i="106"/>
  <c r="L46" i="90"/>
  <c r="K46" i="90"/>
  <c r="G163" i="106"/>
  <c r="H118" i="103"/>
  <c r="F30" i="96"/>
  <c r="C19" i="111"/>
  <c r="F29" i="94"/>
  <c r="L40" i="94" s="1"/>
  <c r="H117" i="103"/>
  <c r="C58" i="89"/>
  <c r="F36" i="90"/>
  <c r="F29" i="97"/>
  <c r="L40" i="97" s="1"/>
  <c r="H31" i="96"/>
  <c r="C20" i="111"/>
  <c r="F30" i="93"/>
  <c r="G167" i="106"/>
  <c r="H122" i="103"/>
  <c r="H30" i="97"/>
  <c r="H32" i="91"/>
  <c r="F30" i="91"/>
  <c r="H34" i="96"/>
  <c r="F28" i="93"/>
  <c r="G40" i="93" s="1"/>
  <c r="H116" i="103"/>
  <c r="G168" i="106"/>
  <c r="H123" i="103"/>
  <c r="F30" i="94"/>
  <c r="D17" i="93"/>
  <c r="D17" i="85"/>
  <c r="H3" i="102" s="1"/>
  <c r="E40" i="97"/>
  <c r="H33" i="93"/>
  <c r="F63" i="89"/>
  <c r="H30" i="96"/>
  <c r="J34" i="85"/>
  <c r="J34" i="96" s="1"/>
  <c r="J34" i="94"/>
  <c r="J33" i="97"/>
  <c r="J33" i="91"/>
  <c r="J39" i="90"/>
  <c r="J31" i="97"/>
  <c r="J37" i="90"/>
  <c r="F60" i="89"/>
  <c r="F35" i="91"/>
  <c r="F35" i="97"/>
  <c r="F31" i="85"/>
  <c r="E40" i="94"/>
  <c r="F35" i="96"/>
  <c r="F35" i="94"/>
  <c r="C60" i="89"/>
  <c r="F37" i="90"/>
  <c r="C57" i="89"/>
  <c r="F28" i="96"/>
  <c r="F29" i="93"/>
  <c r="F29" i="91"/>
  <c r="J34" i="91"/>
  <c r="J40" i="90"/>
  <c r="C24" i="111"/>
  <c r="D18" i="90"/>
  <c r="D18" i="93"/>
  <c r="C27" i="111"/>
  <c r="C22" i="111"/>
  <c r="F31" i="91"/>
  <c r="F35" i="85"/>
  <c r="F41" i="90"/>
  <c r="F31" i="94"/>
  <c r="F31" i="96"/>
  <c r="F28" i="85"/>
  <c r="G40" i="85" s="1"/>
  <c r="F29" i="96"/>
  <c r="J34" i="93"/>
  <c r="D18" i="97"/>
  <c r="D18" i="91"/>
  <c r="D64" i="89"/>
  <c r="H41" i="90"/>
  <c r="D76" i="86"/>
  <c r="H35" i="93"/>
  <c r="H35" i="94"/>
  <c r="H35" i="91"/>
  <c r="H35" i="96"/>
  <c r="H35" i="97"/>
  <c r="H35" i="85"/>
  <c r="D19" i="90"/>
  <c r="J31" i="91"/>
  <c r="J31" i="93"/>
  <c r="J33" i="94"/>
  <c r="D19" i="91"/>
  <c r="E46" i="90"/>
  <c r="G40" i="91"/>
  <c r="C63" i="89"/>
  <c r="F34" i="85"/>
  <c r="F34" i="94"/>
  <c r="J31" i="94"/>
  <c r="J33" i="85"/>
  <c r="J33" i="93"/>
  <c r="F34" i="97"/>
  <c r="F34" i="96"/>
  <c r="F34" i="93"/>
  <c r="J31" i="85"/>
  <c r="F62" i="89"/>
  <c r="D19" i="97"/>
  <c r="D19" i="94"/>
  <c r="D19" i="96"/>
  <c r="D19" i="93"/>
  <c r="C60" i="106"/>
  <c r="D17" i="96"/>
  <c r="D17" i="97"/>
  <c r="D17" i="90"/>
  <c r="D144" i="106"/>
  <c r="D17" i="91"/>
  <c r="E41" i="89"/>
  <c r="D14" i="89"/>
  <c r="D17" i="94"/>
  <c r="D13" i="106"/>
  <c r="G236" i="106" s="1"/>
  <c r="B112" i="106"/>
  <c r="B113" i="106" s="1"/>
  <c r="B114" i="106" s="1"/>
  <c r="B115" i="106" s="1"/>
  <c r="B116" i="106" s="1"/>
  <c r="B117" i="106" s="1"/>
  <c r="B118" i="106" s="1"/>
  <c r="B119" i="106" s="1"/>
  <c r="B121" i="106" s="1"/>
  <c r="B122" i="106" s="1"/>
  <c r="B123" i="106" s="1"/>
  <c r="B124" i="106" s="1"/>
  <c r="B125" i="106" s="1"/>
  <c r="B126" i="106" s="1"/>
  <c r="B127" i="106" s="1"/>
  <c r="B128" i="106" s="1"/>
  <c r="B129" i="106" s="1"/>
  <c r="B130" i="106" s="1"/>
  <c r="B131" i="106" s="1"/>
  <c r="B132" i="106" s="1"/>
  <c r="B134" i="106" s="1"/>
  <c r="B135" i="106" s="1"/>
  <c r="B136" i="106" s="1"/>
  <c r="B137" i="106" s="1"/>
  <c r="B138" i="106" s="1"/>
  <c r="B139" i="106" s="1"/>
  <c r="B140" i="106" s="1"/>
  <c r="B142" i="106" s="1"/>
  <c r="B143" i="106" s="1"/>
  <c r="B144" i="106" s="1"/>
  <c r="B145" i="106" s="1"/>
  <c r="B147" i="106" s="1"/>
  <c r="B148" i="106" s="1"/>
  <c r="B149" i="106" s="1"/>
  <c r="B150" i="106" s="1"/>
  <c r="B151" i="106" s="1"/>
  <c r="B152" i="106" s="1"/>
  <c r="B153" i="106" s="1"/>
  <c r="B154" i="106" s="1"/>
  <c r="B155" i="106" s="1"/>
  <c r="B156" i="106" s="1"/>
  <c r="B157" i="106" s="1"/>
  <c r="B158" i="106" s="1"/>
  <c r="B159" i="106" s="1"/>
  <c r="B160" i="106" s="1"/>
  <c r="B161" i="106" s="1"/>
  <c r="B162" i="106" s="1"/>
  <c r="B163" i="106" s="1"/>
  <c r="B164" i="106" s="1"/>
  <c r="B165" i="106" s="1"/>
  <c r="B166" i="106" s="1"/>
  <c r="B167" i="106" s="1"/>
  <c r="B168" i="106" s="1"/>
  <c r="B169" i="106" s="1"/>
  <c r="B170" i="106" s="1"/>
  <c r="B171" i="106" s="1"/>
  <c r="B172" i="106" s="1"/>
  <c r="B174" i="106" s="1"/>
  <c r="B175" i="106" s="1"/>
  <c r="B176" i="106" s="1"/>
  <c r="B177" i="106" s="1"/>
  <c r="B178" i="106" s="1"/>
  <c r="B179" i="106" s="1"/>
  <c r="B180" i="106" s="1"/>
  <c r="B181" i="106" s="1"/>
  <c r="B182" i="106" s="1"/>
  <c r="B183" i="106" s="1"/>
  <c r="B184" i="106" s="1"/>
  <c r="B185" i="106" s="1"/>
  <c r="B186" i="106" s="1"/>
  <c r="B187" i="106" s="1"/>
  <c r="B188" i="106" s="1"/>
  <c r="B189" i="106" s="1"/>
  <c r="B190" i="106" s="1"/>
  <c r="B191" i="106" s="1"/>
  <c r="B192" i="106" s="1"/>
  <c r="B193" i="106" s="1"/>
  <c r="B194" i="106" s="1"/>
  <c r="B195" i="106" s="1"/>
  <c r="B196" i="106" s="1"/>
  <c r="B197" i="106" s="1"/>
  <c r="B198" i="106" s="1"/>
  <c r="B199" i="106" s="1"/>
  <c r="B201" i="106" s="1"/>
  <c r="B202" i="106" s="1"/>
  <c r="B203" i="106" s="1"/>
  <c r="B204" i="106" s="1"/>
  <c r="B205" i="106" s="1"/>
  <c r="B207" i="106" s="1"/>
  <c r="B208" i="106" s="1"/>
  <c r="B210" i="106" s="1"/>
  <c r="B211" i="106" s="1"/>
  <c r="B212" i="106" s="1"/>
  <c r="B213" i="106" s="1"/>
  <c r="B214" i="106" s="1"/>
  <c r="B216" i="106" s="1"/>
  <c r="B217" i="106" s="1"/>
  <c r="B218" i="106" s="1"/>
  <c r="B219" i="106" s="1"/>
  <c r="B220" i="106" s="1"/>
  <c r="B221" i="106" s="1"/>
  <c r="B222" i="106" s="1"/>
  <c r="B223" i="106" s="1"/>
  <c r="B224" i="106" s="1"/>
  <c r="B225" i="106" s="1"/>
  <c r="B226" i="106" s="1"/>
  <c r="B227" i="106" s="1"/>
  <c r="B111" i="106"/>
  <c r="D9" i="106"/>
  <c r="G15" i="106"/>
  <c r="J32" i="93" l="1"/>
  <c r="J32" i="108"/>
  <c r="K32" i="108" s="1"/>
  <c r="L32" i="108" s="1"/>
  <c r="J29" i="94"/>
  <c r="K29" i="94" s="1"/>
  <c r="L29" i="94" s="1"/>
  <c r="J29" i="108"/>
  <c r="K29" i="108" s="1"/>
  <c r="L29" i="108" s="1"/>
  <c r="J28" i="85"/>
  <c r="J28" i="96" s="1"/>
  <c r="K28" i="96" s="1"/>
  <c r="L28" i="96" s="1"/>
  <c r="J28" i="108"/>
  <c r="K28" i="108" s="1"/>
  <c r="L28" i="108" s="1"/>
  <c r="J30" i="97"/>
  <c r="K30" i="97" s="1"/>
  <c r="L30" i="97" s="1"/>
  <c r="J30" i="108"/>
  <c r="K30" i="108" s="1"/>
  <c r="L30" i="108" s="1"/>
  <c r="J35" i="93"/>
  <c r="J35" i="108"/>
  <c r="K35" i="108" s="1"/>
  <c r="L35" i="108" s="1"/>
  <c r="H32" i="85"/>
  <c r="H30" i="91"/>
  <c r="H32" i="93"/>
  <c r="K32" i="93" s="1"/>
  <c r="L32" i="93" s="1"/>
  <c r="H32" i="94"/>
  <c r="H32" i="96"/>
  <c r="H30" i="93"/>
  <c r="D71" i="86"/>
  <c r="D59" i="89"/>
  <c r="H38" i="90"/>
  <c r="H32" i="97"/>
  <c r="H31" i="94"/>
  <c r="K31" i="94" s="1"/>
  <c r="L31" i="94" s="1"/>
  <c r="D72" i="86"/>
  <c r="D73" i="86"/>
  <c r="H30" i="94"/>
  <c r="D61" i="89"/>
  <c r="J72" i="86"/>
  <c r="D63" i="89"/>
  <c r="J35" i="90"/>
  <c r="K35" i="90" s="1"/>
  <c r="L35" i="90" s="1"/>
  <c r="E40" i="93"/>
  <c r="H34" i="93"/>
  <c r="H34" i="91"/>
  <c r="H34" i="85"/>
  <c r="J28" i="97"/>
  <c r="K28" i="97" s="1"/>
  <c r="L28" i="97" s="1"/>
  <c r="F57" i="89"/>
  <c r="G57" i="89" s="1"/>
  <c r="H57" i="89" s="1"/>
  <c r="J28" i="94"/>
  <c r="K28" i="94" s="1"/>
  <c r="L28" i="94" s="1"/>
  <c r="D75" i="86"/>
  <c r="J28" i="91"/>
  <c r="K28" i="91" s="1"/>
  <c r="L28" i="91" s="1"/>
  <c r="J68" i="86"/>
  <c r="D60" i="89"/>
  <c r="G60" i="89" s="1"/>
  <c r="H60" i="89" s="1"/>
  <c r="J29" i="97"/>
  <c r="K29" i="97" s="1"/>
  <c r="L29" i="97" s="1"/>
  <c r="J29" i="93"/>
  <c r="K29" i="93" s="1"/>
  <c r="L29" i="93" s="1"/>
  <c r="K40" i="97"/>
  <c r="H37" i="90"/>
  <c r="K37" i="90" s="1"/>
  <c r="L37" i="90" s="1"/>
  <c r="J34" i="90"/>
  <c r="K34" i="90" s="1"/>
  <c r="L34" i="90" s="1"/>
  <c r="J28" i="93"/>
  <c r="K28" i="93" s="1"/>
  <c r="L28" i="93" s="1"/>
  <c r="J35" i="94"/>
  <c r="J29" i="91"/>
  <c r="K29" i="91" s="1"/>
  <c r="L29" i="91" s="1"/>
  <c r="J69" i="86"/>
  <c r="F58" i="89"/>
  <c r="G58" i="89" s="1"/>
  <c r="H58" i="89" s="1"/>
  <c r="J29" i="85"/>
  <c r="H40" i="90"/>
  <c r="H34" i="97"/>
  <c r="H34" i="94"/>
  <c r="H31" i="85"/>
  <c r="K31" i="85" s="1"/>
  <c r="L31" i="85" s="1"/>
  <c r="H31" i="97"/>
  <c r="K31" i="97" s="1"/>
  <c r="L31" i="97" s="1"/>
  <c r="J30" i="85"/>
  <c r="J30" i="96" s="1"/>
  <c r="K30" i="96" s="1"/>
  <c r="L30" i="96" s="1"/>
  <c r="K40" i="94"/>
  <c r="H31" i="93"/>
  <c r="K31" i="93" s="1"/>
  <c r="L31" i="93" s="1"/>
  <c r="J75" i="86"/>
  <c r="H31" i="91"/>
  <c r="K31" i="91" s="1"/>
  <c r="L31" i="91" s="1"/>
  <c r="H36" i="90"/>
  <c r="H30" i="85"/>
  <c r="K33" i="93"/>
  <c r="L33" i="93" s="1"/>
  <c r="J73" i="86"/>
  <c r="J32" i="94"/>
  <c r="H33" i="97"/>
  <c r="K33" i="97" s="1"/>
  <c r="L33" i="97" s="1"/>
  <c r="H39" i="90"/>
  <c r="K39" i="90" s="1"/>
  <c r="L39" i="90" s="1"/>
  <c r="H33" i="85"/>
  <c r="K33" i="85" s="1"/>
  <c r="L33" i="85" s="1"/>
  <c r="D62" i="89"/>
  <c r="G62" i="89" s="1"/>
  <c r="H62" i="89" s="1"/>
  <c r="D74" i="86"/>
  <c r="J32" i="85"/>
  <c r="J32" i="96" s="1"/>
  <c r="J74" i="86"/>
  <c r="H33" i="96"/>
  <c r="H33" i="91"/>
  <c r="K33" i="91" s="1"/>
  <c r="L33" i="91" s="1"/>
  <c r="H33" i="94"/>
  <c r="K33" i="94" s="1"/>
  <c r="L33" i="94" s="1"/>
  <c r="J35" i="85"/>
  <c r="J35" i="96" s="1"/>
  <c r="J35" i="91"/>
  <c r="J35" i="97"/>
  <c r="F64" i="89"/>
  <c r="J41" i="90"/>
  <c r="J76" i="86"/>
  <c r="J30" i="91"/>
  <c r="J30" i="93"/>
  <c r="J36" i="90"/>
  <c r="K40" i="96"/>
  <c r="L40" i="96"/>
  <c r="F59" i="89"/>
  <c r="J71" i="86"/>
  <c r="L40" i="93"/>
  <c r="K40" i="93"/>
  <c r="E40" i="85"/>
  <c r="J32" i="91"/>
  <c r="K32" i="91" s="1"/>
  <c r="L32" i="91" s="1"/>
  <c r="F61" i="89"/>
  <c r="J32" i="97"/>
  <c r="K40" i="91"/>
  <c r="L40" i="91"/>
  <c r="J38" i="90"/>
  <c r="J30" i="94"/>
  <c r="E40" i="96"/>
  <c r="G40" i="96"/>
  <c r="J31" i="96"/>
  <c r="K31" i="96" s="1"/>
  <c r="L31" i="96" s="1"/>
  <c r="J33" i="96"/>
  <c r="G134" i="106"/>
  <c r="G131" i="106"/>
  <c r="K32" i="94" l="1"/>
  <c r="L32" i="94" s="1"/>
  <c r="K28" i="85"/>
  <c r="L28" i="85" s="1"/>
  <c r="G61" i="89"/>
  <c r="H61" i="89" s="1"/>
  <c r="K32" i="96"/>
  <c r="L32" i="96" s="1"/>
  <c r="K30" i="94"/>
  <c r="L30" i="94" s="1"/>
  <c r="K30" i="91"/>
  <c r="L30" i="91" s="1"/>
  <c r="K30" i="93"/>
  <c r="L30" i="93" s="1"/>
  <c r="K32" i="97"/>
  <c r="L32" i="97" s="1"/>
  <c r="G59" i="89"/>
  <c r="H59" i="89" s="1"/>
  <c r="K38" i="90"/>
  <c r="L38" i="90" s="1"/>
  <c r="K36" i="90"/>
  <c r="L36" i="90" s="1"/>
  <c r="J29" i="96"/>
  <c r="K29" i="96" s="1"/>
  <c r="L29" i="96" s="1"/>
  <c r="K29" i="85"/>
  <c r="L29" i="85" s="1"/>
  <c r="K30" i="85"/>
  <c r="L30" i="85" s="1"/>
  <c r="B39" i="103"/>
  <c r="B40" i="103" s="1"/>
  <c r="B41" i="103" s="1"/>
  <c r="B42" i="103" s="1"/>
  <c r="B43" i="103" s="1"/>
  <c r="B44" i="103" s="1"/>
  <c r="B45" i="103" s="1"/>
  <c r="B46" i="103" s="1"/>
  <c r="B47" i="103" s="1"/>
  <c r="B48" i="103" s="1"/>
  <c r="B49" i="103" s="1"/>
  <c r="B50" i="103" s="1"/>
  <c r="B51" i="103" s="1"/>
  <c r="B52" i="103" s="1"/>
  <c r="B53" i="103" s="1"/>
  <c r="B54" i="103" s="1"/>
  <c r="B55" i="103" s="1"/>
  <c r="B56" i="103" s="1"/>
  <c r="B57" i="103" s="1"/>
  <c r="B58" i="103" s="1"/>
  <c r="B59" i="103" s="1"/>
  <c r="B60" i="103" s="1"/>
  <c r="B61" i="103" s="1"/>
  <c r="B62" i="103" s="1"/>
  <c r="B63" i="103" s="1"/>
  <c r="B64" i="103" s="1"/>
  <c r="B65" i="103" s="1"/>
  <c r="B66" i="103" s="1"/>
  <c r="B67" i="103" s="1"/>
  <c r="B68" i="103" s="1"/>
  <c r="B69" i="103" s="1"/>
  <c r="B70" i="103" s="1"/>
  <c r="B71" i="103" s="1"/>
  <c r="K32" i="85"/>
  <c r="L32" i="85" s="1"/>
  <c r="K33" i="96"/>
  <c r="L33" i="96" s="1"/>
  <c r="B72" i="103" l="1"/>
  <c r="B73" i="103" s="1"/>
  <c r="B74" i="103" s="1"/>
  <c r="B76" i="103" s="1"/>
  <c r="A38" i="102"/>
  <c r="A39" i="102" s="1"/>
  <c r="A40" i="102" s="1"/>
  <c r="A42" i="102" s="1"/>
  <c r="A43" i="102" s="1"/>
  <c r="A44" i="102" s="1"/>
  <c r="A45" i="102" s="1"/>
  <c r="A46" i="102" s="1"/>
  <c r="A47" i="102" s="1"/>
  <c r="A48" i="102" s="1"/>
  <c r="A49" i="102" s="1"/>
  <c r="A51" i="102" l="1"/>
  <c r="A52" i="102" s="1"/>
  <c r="A53" i="102" s="1"/>
  <c r="A54" i="102" s="1"/>
  <c r="A57" i="102" l="1"/>
  <c r="A58" i="102" s="1"/>
  <c r="A59" i="102" s="1"/>
  <c r="A60" i="102" s="1"/>
  <c r="A61" i="102" s="1"/>
  <c r="A63" i="102" s="1"/>
  <c r="A64" i="102" s="1"/>
  <c r="A65" i="102" s="1"/>
  <c r="A66" i="102" s="1"/>
  <c r="L26" i="1"/>
  <c r="L74" i="1"/>
  <c r="N84" i="1"/>
  <c r="L20" i="1"/>
  <c r="N19" i="1"/>
  <c r="L21" i="1"/>
  <c r="L63" i="1"/>
  <c r="N29" i="1"/>
  <c r="L14" i="1"/>
  <c r="N37" i="1"/>
  <c r="L51" i="1"/>
  <c r="L15" i="1"/>
  <c r="L78" i="1"/>
  <c r="L55" i="1"/>
  <c r="I4" i="1"/>
  <c r="N70" i="1"/>
  <c r="L70" i="1"/>
  <c r="L22" i="1"/>
  <c r="N9" i="1"/>
  <c r="L10" i="1"/>
  <c r="N15" i="1"/>
  <c r="N75" i="1"/>
  <c r="L30" i="1"/>
  <c r="N38" i="1"/>
  <c r="L27" i="1"/>
  <c r="L31" i="1"/>
  <c r="N44" i="1"/>
  <c r="L11" i="1"/>
  <c r="L83" i="1"/>
  <c r="L80" i="1"/>
  <c r="L61" i="1"/>
  <c r="N57" i="1"/>
  <c r="N23" i="1"/>
  <c r="N86" i="1"/>
  <c r="L38" i="1"/>
  <c r="N67" i="1"/>
  <c r="L29" i="1"/>
  <c r="L28" i="1"/>
  <c r="N87" i="1"/>
  <c r="L13" i="1"/>
  <c r="N65" i="1"/>
  <c r="L62" i="1"/>
  <c r="N26" i="1"/>
  <c r="L45" i="1"/>
  <c r="L8" i="1"/>
  <c r="N73" i="1"/>
  <c r="N81" i="1"/>
  <c r="N74" i="1"/>
  <c r="N72" i="1"/>
  <c r="L50" i="1"/>
  <c r="L16" i="1"/>
  <c r="N62" i="1"/>
  <c r="N39" i="1"/>
  <c r="N60" i="1"/>
  <c r="L34" i="1"/>
  <c r="L56" i="1"/>
  <c r="L67" i="1"/>
  <c r="L59" i="1"/>
  <c r="N79" i="1"/>
  <c r="L79" i="1"/>
  <c r="N53" i="1"/>
  <c r="L82" i="1"/>
  <c r="N12" i="1"/>
  <c r="N63" i="1"/>
  <c r="N33" i="1"/>
  <c r="N11" i="1"/>
  <c r="N18" i="1"/>
  <c r="N83" i="1"/>
  <c r="L23" i="1"/>
  <c r="N64" i="1"/>
  <c r="N50" i="1"/>
  <c r="N68" i="1"/>
  <c r="N32" i="1"/>
  <c r="L68" i="1"/>
  <c r="N56" i="1"/>
  <c r="L36" i="1"/>
  <c r="N88" i="1"/>
  <c r="N34" i="1"/>
  <c r="L75" i="1"/>
  <c r="L86" i="1"/>
  <c r="N49" i="1"/>
  <c r="N20" i="1"/>
  <c r="L46" i="1"/>
  <c r="I10" i="1"/>
  <c r="L25" i="1"/>
  <c r="N22" i="1"/>
  <c r="L76" i="1"/>
  <c r="L65" i="1"/>
  <c r="L48" i="1"/>
  <c r="N10" i="1"/>
  <c r="N71" i="1"/>
  <c r="L44" i="1"/>
  <c r="N16" i="1"/>
  <c r="L7" i="1"/>
  <c r="N69" i="1"/>
  <c r="L4" i="1"/>
  <c r="N76" i="1"/>
  <c r="L69" i="1"/>
  <c r="N30" i="1"/>
  <c r="N31" i="1"/>
  <c r="N5" i="1"/>
  <c r="L58" i="1"/>
  <c r="N58" i="1"/>
  <c r="N42" i="1"/>
  <c r="N90" i="1"/>
  <c r="N48" i="1"/>
  <c r="N85" i="1"/>
  <c r="H17" i="1"/>
  <c r="N13" i="1"/>
  <c r="L88" i="1"/>
  <c r="L73" i="1"/>
  <c r="L57" i="1"/>
  <c r="N78" i="1"/>
  <c r="N36" i="1"/>
  <c r="N17" i="1"/>
  <c r="L12" i="1"/>
  <c r="L37" i="1"/>
  <c r="L66" i="1"/>
  <c r="L77" i="1"/>
  <c r="L90" i="1"/>
  <c r="L92" i="1"/>
  <c r="N55" i="1"/>
  <c r="N51" i="1"/>
  <c r="L6" i="1"/>
  <c r="N54" i="1"/>
  <c r="L72" i="1"/>
  <c r="N89" i="1"/>
  <c r="L35" i="1"/>
  <c r="N43" i="1"/>
  <c r="I14" i="1"/>
  <c r="L64" i="1"/>
  <c r="L84" i="1"/>
  <c r="L42" i="1"/>
  <c r="L5" i="1"/>
  <c r="L24" i="1"/>
  <c r="N59" i="1"/>
  <c r="L85" i="1"/>
  <c r="L93" i="1"/>
  <c r="N21" i="1"/>
  <c r="L71" i="1"/>
  <c r="N47" i="1"/>
  <c r="L89" i="1"/>
  <c r="N61" i="1"/>
  <c r="L40" i="1"/>
  <c r="N66" i="1"/>
  <c r="N92" i="1"/>
  <c r="L41" i="1"/>
  <c r="L43" i="1"/>
  <c r="L32" i="1"/>
  <c r="N52" i="1"/>
  <c r="N28" i="1"/>
  <c r="N45" i="1"/>
  <c r="L19" i="1"/>
  <c r="N77" i="1"/>
  <c r="N24" i="1"/>
  <c r="N93" i="1"/>
  <c r="N40" i="1"/>
  <c r="L33" i="1"/>
  <c r="N8" i="1"/>
  <c r="L53" i="1"/>
  <c r="N82" i="1"/>
  <c r="L60" i="1"/>
  <c r="L17" i="1"/>
  <c r="L49" i="1"/>
  <c r="N35" i="1"/>
  <c r="L9" i="1"/>
  <c r="N27" i="1"/>
  <c r="L47" i="1"/>
  <c r="N6" i="1"/>
  <c r="L39" i="1"/>
  <c r="N91" i="1"/>
  <c r="L52" i="1"/>
  <c r="L54" i="1"/>
  <c r="N46" i="1"/>
  <c r="N41" i="1"/>
  <c r="N14" i="1"/>
  <c r="N4" i="1"/>
  <c r="N80" i="1"/>
  <c r="L18" i="1"/>
  <c r="N7" i="1"/>
  <c r="N25" i="1"/>
  <c r="L87" i="1"/>
  <c r="L81" i="1"/>
  <c r="L91" i="1"/>
  <c r="A67" i="102" l="1"/>
  <c r="A68" i="102" s="1"/>
  <c r="A69" i="102" s="1"/>
  <c r="A70" i="102" s="1"/>
  <c r="A71" i="102" s="1"/>
  <c r="A73" i="102" s="1"/>
  <c r="A74" i="102" s="1"/>
  <c r="A75" i="102" s="1"/>
  <c r="A76" i="102" s="1"/>
  <c r="B77" i="103" l="1"/>
  <c r="B78" i="103" s="1"/>
  <c r="B79" i="103" s="1"/>
  <c r="B80" i="103" s="1"/>
  <c r="B81" i="103" s="1"/>
  <c r="B89" i="103" s="1"/>
  <c r="B90" i="103" s="1"/>
  <c r="B92" i="103" s="1"/>
  <c r="B93" i="103" s="1"/>
  <c r="B94" i="103" s="1"/>
  <c r="B95" i="103" s="1"/>
  <c r="B96" i="103" s="1"/>
  <c r="B97" i="103" s="1"/>
  <c r="A78" i="102"/>
  <c r="A79" i="102" s="1"/>
  <c r="A80" i="102" s="1"/>
  <c r="A81" i="102" s="1"/>
  <c r="A82" i="102" s="1"/>
  <c r="A83" i="102" s="1"/>
  <c r="B99" i="103" l="1"/>
  <c r="B100" i="103" s="1"/>
  <c r="B101" i="103" s="1"/>
  <c r="B102" i="103" s="1"/>
  <c r="B103" i="103" s="1"/>
  <c r="B104" i="103" s="1"/>
  <c r="B105" i="103" s="1"/>
  <c r="A85" i="102"/>
  <c r="A86" i="102" s="1"/>
  <c r="A87" i="102" s="1"/>
  <c r="A88" i="102" s="1"/>
  <c r="A89" i="102" s="1"/>
  <c r="A90" i="102" s="1"/>
  <c r="A91" i="102" s="1"/>
  <c r="A92" i="102" s="1"/>
  <c r="A93" i="102" s="1"/>
  <c r="A95" i="102" l="1"/>
  <c r="A97" i="102" s="1"/>
  <c r="A98" i="102" s="1"/>
  <c r="B107" i="103" l="1"/>
  <c r="B108" i="103" l="1"/>
  <c r="B109" i="103" s="1"/>
  <c r="B111" i="103" s="1"/>
  <c r="B112" i="103" s="1"/>
  <c r="B113" i="103" s="1"/>
  <c r="B115" i="103" s="1"/>
  <c r="B116" i="103" s="1"/>
  <c r="B117" i="103" s="1"/>
  <c r="B118" i="103" s="1"/>
  <c r="B119" i="103" s="1"/>
  <c r="B120" i="103" s="1"/>
  <c r="B121" i="103" s="1"/>
  <c r="B122" i="103" s="1"/>
  <c r="B123" i="103" s="1"/>
  <c r="B157" i="103" s="1"/>
  <c r="B124" i="103" s="1"/>
  <c r="B125" i="103" s="1"/>
  <c r="B126" i="103" s="1"/>
  <c r="B127" i="103" s="1"/>
  <c r="B128" i="103" s="1"/>
  <c r="B129" i="103" s="1"/>
  <c r="B130" i="103" s="1"/>
  <c r="B132" i="103" s="1"/>
  <c r="B134" i="103" s="1"/>
  <c r="B135" i="103" l="1"/>
  <c r="B136" i="103" s="1"/>
  <c r="B137" i="103" s="1"/>
  <c r="B138" i="103" s="1"/>
  <c r="B139" i="103" s="1"/>
  <c r="B140" i="103" s="1"/>
  <c r="B141" i="103" s="1"/>
  <c r="B142" i="103" s="1"/>
  <c r="B143" i="103" s="1"/>
  <c r="B144" i="103" s="1"/>
  <c r="B145" i="103" s="1"/>
  <c r="B146" i="103" s="1"/>
  <c r="B147" i="103" s="1"/>
  <c r="B148" i="103" s="1"/>
  <c r="B149" i="103" s="1"/>
  <c r="B150" i="103" s="1"/>
  <c r="B151" i="103" s="1"/>
  <c r="B152" i="103" s="1"/>
  <c r="B153" i="103" s="1"/>
  <c r="B154" i="103" s="1"/>
  <c r="B156" i="103" s="1"/>
  <c r="B158" i="103" l="1"/>
  <c r="B159" i="103" s="1"/>
  <c r="B160" i="103" s="1"/>
  <c r="B162" i="103" s="1"/>
  <c r="B163" i="103" s="1"/>
  <c r="B164" i="103" s="1"/>
  <c r="B165" i="103" s="1"/>
  <c r="B166" i="103" s="1"/>
  <c r="B168" i="103" s="1"/>
  <c r="B169" i="103" s="1"/>
  <c r="B170" i="103" s="1"/>
  <c r="B171" i="103" s="1"/>
  <c r="B172" i="103" s="1"/>
  <c r="B173" i="103" s="1"/>
  <c r="B174" i="103" s="1"/>
  <c r="B175" i="103" s="1"/>
  <c r="B176" i="103" s="1"/>
  <c r="B177" i="103" s="1"/>
  <c r="B183" i="103" s="1"/>
  <c r="B187" i="103" s="1"/>
  <c r="B191" i="103" s="1"/>
  <c r="B195" i="103" s="1"/>
  <c r="B197" i="103" s="1"/>
  <c r="B198" i="10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Ben Brown</author>
    <author>tc={BC74D712-4BBA-40F2-B448-A10E7FB1FBD2}</author>
    <author>tc={4B24D107-2CB2-44F1-B33D-EFCAC3ED9174}</author>
    <author>tc={1A14CD2B-A904-4FEC-A324-52C1F1ADC759}</author>
    <author>tc={FA1466CB-070C-4260-9B97-BD3ADF909999}</author>
    <author>tc={AE1ABE23-9605-4AB3-8CA3-86E7C49EC511}</author>
    <author>tc={6BF3BCEA-D9E2-49E4-989F-20418EE85ED4}</author>
    <author>tc={57AE5F58-7BE5-44C6-9AC2-4DBE9A9B68F3}</author>
  </authors>
  <commentList>
    <comment ref="C4" authorId="0" shapeId="0" xr:uid="{0E25E784-59EC-4A62-8619-8CBDAFD14CC0}">
      <text>
        <r>
          <rPr>
            <sz val="9"/>
            <color indexed="81"/>
            <rFont val="Tahoma"/>
            <family val="2"/>
          </rPr>
          <t xml:space="preserve">
</t>
        </r>
      </text>
    </comment>
    <comment ref="D5" authorId="1" shapeId="0" xr:uid="{BC74D712-4BBA-40F2-B448-A10E7FB1FBD2}">
      <text>
        <t>[Threaded comment]
Your version of Excel allows you to read this threaded comment; however, any edits to it will get removed if the file is opened in a newer version of Excel. Learn more: https://go.microsoft.com/fwlink/?linkid=870924
Comment:
    Does this need a formula?
Reply:
    WILL SELF FILL FROM CAL RECORD</t>
      </text>
    </comment>
    <comment ref="C7" authorId="0" shapeId="0" xr:uid="{E662A764-250F-4C67-8959-4CFC36A47E61}">
      <text>
        <r>
          <rPr>
            <b/>
            <sz val="9"/>
            <color indexed="81"/>
            <rFont val="Tahoma"/>
            <family val="2"/>
          </rPr>
          <t>If the unit has a booking date on simplybook.me, enter "yes"</t>
        </r>
      </text>
    </comment>
    <comment ref="D10" authorId="2" shapeId="0" xr:uid="{4B24D107-2CB2-44F1-B33D-EFCAC3ED9174}">
      <text>
        <t>[Threaded comment]
Your version of Excel allows you to read this threaded comment; however, any edits to it will get removed if the file is opened in a newer version of Excel. Learn more: https://go.microsoft.com/fwlink/?linkid=870924
Comment:
    For production: type "NEW BUILD"
For service: type "dd/mm/yy" e.g. 10/02/22</t>
      </text>
    </comment>
    <comment ref="C11" authorId="3" shapeId="0" xr:uid="{1A14CD2B-A904-4FEC-A324-52C1F1ADC759}">
      <text>
        <t>[Threaded comment]
Your version of Excel allows you to read this threaded comment; however, any edits to it will get removed if the file is opened in a newer version of Excel. Learn more: https://go.microsoft.com/fwlink/?linkid=870924
Comment:
    Service "sheet"number?</t>
      </text>
    </comment>
    <comment ref="D14" authorId="4" shapeId="0" xr:uid="{FA1466CB-070C-4260-9B97-BD3ADF909999}">
      <text>
        <t>[Threaded comment]
Your version of Excel allows you to read this threaded comment; however, any edits to it will get removed if the file is opened in a newer version of Excel. Learn more: https://go.microsoft.com/fwlink/?linkid=870924
Comment:
    MP NCR #</t>
      </text>
    </comment>
    <comment ref="C33" authorId="0" shapeId="0" xr:uid="{8E9E9EC1-C141-441E-9805-48E87C52C88F}">
      <text>
        <r>
          <rPr>
            <b/>
            <sz val="9"/>
            <color indexed="81"/>
            <rFont val="Tahoma"/>
            <family val="2"/>
          </rPr>
          <t>Scratches and scuffs are acceptible, but any holes through the casing which will affect liquid proofing need to be addressed. Check for signs of customer damage to screen etc</t>
        </r>
      </text>
    </comment>
    <comment ref="C36" authorId="5" shapeId="0" xr:uid="{AE1ABE23-9605-4AB3-8CA3-86E7C49EC511}">
      <text>
        <t>[Threaded comment]
Your version of Excel allows you to read this threaded comment; however, any edits to it will get removed if the file is opened in a newer version of Excel. Learn more: https://go.microsoft.com/fwlink/?linkid=870924
Comment:
    No calibrated label
Reply:
    Needs checkbox</t>
      </text>
    </comment>
    <comment ref="C37" authorId="0" shapeId="0" xr:uid="{6E95F6E6-D8D7-493C-BFB2-357F5AE55765}">
      <text>
        <r>
          <rPr>
            <b/>
            <sz val="9"/>
            <color indexed="81"/>
            <rFont val="Tahoma"/>
            <family val="2"/>
          </rPr>
          <t>Connect to mains power, plug into unit, check charging light comes on the printer and screen lights up. If there seem to be power issues, go to step 38 and 39</t>
        </r>
      </text>
    </comment>
    <comment ref="C41" authorId="0" shapeId="0" xr:uid="{CF959057-391C-44AA-A682-FACAE1A86D15}">
      <text>
        <r>
          <rPr>
            <b/>
            <sz val="9"/>
            <color indexed="81"/>
            <rFont val="Tahoma"/>
            <family val="2"/>
          </rPr>
          <t>Just insert a USB stick into the slot on the left hand side of unit, wait til USB icon that appears on screen has a green tick</t>
        </r>
      </text>
    </comment>
    <comment ref="C43" authorId="0" shapeId="0" xr:uid="{535E4996-02F5-46E3-8CC5-95B631CAE414}">
      <text>
        <r>
          <rPr>
            <sz val="9"/>
            <color indexed="81"/>
            <rFont val="Tahoma"/>
            <family val="2"/>
          </rPr>
          <t>Double click the PDF link above for instructions on updating firmware. LPA3 Firmware can be found in CMP Documentation &gt; CMP Firmware</t>
        </r>
      </text>
    </comment>
    <comment ref="C45" authorId="6" shapeId="0" xr:uid="{6BF3BCEA-D9E2-49E4-989F-20418EE85ED4}">
      <text>
        <t>[Threaded comment]
Your version of Excel allows you to read this threaded comment; however, any edits to it will get removed if the file is opened in a newer version of Excel. Learn more: https://go.microsoft.com/fwlink/?linkid=870924
Comment:
    Add photos of settings page</t>
      </text>
    </comment>
    <comment ref="C51" authorId="0" shapeId="0" xr:uid="{0BD4C8B8-AF5E-4407-9C4D-1AC2F84924CA}">
      <text>
        <r>
          <rPr>
            <sz val="9"/>
            <color indexed="81"/>
            <rFont val="Tahoma"/>
            <family val="2"/>
          </rPr>
          <t xml:space="preserve">
</t>
        </r>
      </text>
    </comment>
    <comment ref="C53" authorId="0" shapeId="0" xr:uid="{74C64126-C98D-4B40-8DC5-23A02638A7BC}">
      <text/>
    </comment>
    <comment ref="C61" authorId="7" shapeId="0" xr:uid="{57AE5F58-7BE5-44C6-9AC2-4DBE9A9B68F3}">
      <text>
        <t>[Threaded comment]
Your version of Excel allows you to read this threaded comment; however, any edits to it will get removed if the file is opened in a newer version of Excel. Learn more: https://go.microsoft.com/fwlink/?linkid=870924
Comment:
    DROP DOWNS?</t>
      </text>
    </comment>
    <comment ref="C71" authorId="0" shapeId="0" xr:uid="{5F4BEF33-B280-46B4-AAD8-24A8DA1D8A56}">
      <text>
        <r>
          <rPr>
            <b/>
            <sz val="9"/>
            <color indexed="81"/>
            <rFont val="Tahoma"/>
            <family val="2"/>
          </rPr>
          <t>If the unit is pristine, with no leaks and no damage to boards or wiring cause by corrosion, fluids, or physical damage like the pump piston unwinding, then check the box yes. If there is any visible damage, leave the box unchecked</t>
        </r>
      </text>
    </comment>
    <comment ref="C72" authorId="0" shapeId="0" xr:uid="{FA60807D-F13C-4691-B8CA-631C16450B94}">
      <text>
        <r>
          <rPr>
            <b/>
            <sz val="9"/>
            <color indexed="81"/>
            <rFont val="Tahoma"/>
            <family val="2"/>
          </rPr>
          <t>Vent line is located under PRV to side of case. If this is filled with fluid, it indicates a PRV block leak, and needs to be investigated, particularly the NV assembly</t>
        </r>
      </text>
    </comment>
    <comment ref="C73" authorId="0" shapeId="0" xr:uid="{10736CC3-CFD4-4666-BFB9-0FB8022D8A22}">
      <text>
        <r>
          <rPr>
            <b/>
            <sz val="9"/>
            <color indexed="81"/>
            <rFont val="Tahoma"/>
            <family val="2"/>
          </rPr>
          <t>Make sure the cable is the new rounded design, old flat cables need to be replaced</t>
        </r>
      </text>
    </comment>
    <comment ref="C80" authorId="0" shapeId="0" xr:uid="{19FA1DEA-FD9F-483B-AC2A-EA50DF934881}">
      <text>
        <r>
          <rPr>
            <b/>
            <sz val="9"/>
            <color indexed="81"/>
            <rFont val="Tahoma"/>
            <family val="2"/>
          </rPr>
          <t>Check on LPA view calibration view</t>
        </r>
      </text>
    </comment>
    <comment ref="D84" authorId="0" shapeId="0" xr:uid="{B3C5D40F-8F58-4CA1-83B0-1B859AEE7A7B}">
      <text>
        <r>
          <rPr>
            <b/>
            <sz val="9"/>
            <color indexed="81"/>
            <rFont val="Tahoma"/>
            <family val="2"/>
          </rPr>
          <t>For this test, you need to run a test with the rig oil running. Make sure the optical switch pin (brass piece on top) ends the emptying cycle roughly in the centre of the sensor (black block on pump body). 
At the same time, check that the tacho is working when the cycle is running. This will be shown by a flashing diode on the bottom right corner of the board, as well as the graphic in the test box of the LPA3 screen. If the tacho is working, there should be a progress bar running as the test cycle runs.</t>
        </r>
      </text>
    </comment>
    <comment ref="D95" authorId="0" shapeId="0" xr:uid="{DAFDA187-8DBC-415C-9900-19C502F409FA}">
      <text>
        <r>
          <rPr>
            <b/>
            <sz val="9"/>
            <color indexed="81"/>
            <rFont val="Tahoma"/>
            <family val="2"/>
          </rPr>
          <t>The old DC battery cables used had ends which were too thick to fit in the terminals, and therefore some will stick out and occasionally bridge, shorting the unit. 
If the connectors are visibly too thick to fit into the terminals, and bare wire is visible, replace them with new connectors from Scott's bench and book out on whiteboard</t>
        </r>
        <r>
          <rPr>
            <sz val="9"/>
            <color indexed="81"/>
            <rFont val="Tahoma"/>
            <family val="2"/>
          </rPr>
          <t xml:space="preserve">
</t>
        </r>
      </text>
    </comment>
    <comment ref="D97" authorId="0" shapeId="0" xr:uid="{F1111F1B-24A7-4FAF-918A-D18E308FB053}">
      <text>
        <r>
          <rPr>
            <b/>
            <sz val="9"/>
            <color indexed="81"/>
            <rFont val="Tahoma"/>
            <family val="2"/>
          </rPr>
          <t>Wiggle the brackets to ensure the threaded inserts haven't pulled out of the plastic bracket bases</t>
        </r>
        <r>
          <rPr>
            <sz val="9"/>
            <color indexed="81"/>
            <rFont val="Tahoma"/>
            <family val="2"/>
          </rPr>
          <t xml:space="preserve">
</t>
        </r>
      </text>
    </comment>
    <comment ref="C113" authorId="0" shapeId="0" xr:uid="{9BD7C201-BF24-466A-A05D-8580A578DE7B}">
      <text/>
    </comment>
    <comment ref="C122" authorId="0" shapeId="0" xr:uid="{96BC5943-46F2-42D9-BB72-068594713300}">
      <text>
        <r>
          <rPr>
            <b/>
            <sz val="9"/>
            <color indexed="81"/>
            <rFont val="Tahoma"/>
            <family val="2"/>
          </rPr>
          <t>Sensing volume parameters should be set as below:
         68
         160
         400
         0</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tc={24AF978E-B775-457F-95A1-7D9DEBA8768C}</author>
    <author>tc={8F373F8B-2779-45E9-9B9B-D01FDB54C751}</author>
  </authors>
  <commentList>
    <comment ref="D10" authorId="0" shapeId="0" xr:uid="{24AF978E-B775-457F-95A1-7D9DEBA8768C}">
      <text>
        <t>[Threaded comment]
Your version of Excel allows you to read this threaded comment; however, any edits to it will get removed if the file is opened in a newer version of Excel. Learn more: https://go.microsoft.com/fwlink/?linkid=870924
Comment:
    customers NCR #</t>
      </text>
    </comment>
    <comment ref="E10" authorId="1" shapeId="0" xr:uid="{8F373F8B-2779-45E9-9B9B-D01FDB54C751}">
      <text>
        <t>[Threaded comment]
Your version of Excel allows you to read this threaded comment; however, any edits to it will get removed if the file is opened in a newer version of Excel. Learn more: https://go.microsoft.com/fwlink/?linkid=870924
Comment:
    MP's NCR #</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666" type="6" refreshedVersion="6" deleted="1" background="1" saveData="1">
    <textPr codePage="850" sourceFile="Z:\CMP Documentation\Product Records\Calibration\PC0021 090519.lpacal" comma="1">
      <textFields count="2">
        <textField/>
        <textField/>
      </textFields>
    </textPr>
  </connection>
  <connection id="2" xr16:uid="{00000000-0015-0000-FFFF-FFFF01000000}" name="6661" type="6" refreshedVersion="6" deleted="1" background="1" saveData="1">
    <textPr codePage="850" sourceFile="Z:\CMP Documentation\Product Records\Calibration\PC0021 090519.lpacal" comma="1">
      <textFields count="2">
        <textField/>
        <textField/>
      </textFields>
    </textPr>
  </connection>
  <connection id="3" xr16:uid="{00000000-0015-0000-FFFF-FFFF02000000}" name="LPA3" type="6" refreshedVersion="8" deleted="1" background="1" saveData="1">
    <textPr codePage="437" sourceFile="C:\Users\jamie.soule\MP Filtri S.p.A\MP Filtri - UK - General documentation\CMP Documentation\Product Records\Calibration\961010346-2026-04-02-CML4.lpacal" comma="1">
      <textFields count="2">
        <textField/>
        <textField/>
      </textFields>
    </textPr>
  </connection>
</connections>
</file>

<file path=xl/sharedStrings.xml><?xml version="1.0" encoding="utf-8"?>
<sst xmlns="http://schemas.openxmlformats.org/spreadsheetml/2006/main" count="12122" uniqueCount="1049">
  <si>
    <t>SRM2806 2.8mg MTD / ml</t>
  </si>
  <si>
    <t>Interpolation Order</t>
  </si>
  <si>
    <t>to 10 micron</t>
  </si>
  <si>
    <t>to 70 micron</t>
  </si>
  <si>
    <t>um</t>
  </si>
  <si>
    <t>n/ml</t>
  </si>
  <si>
    <t>n/mg/ml</t>
  </si>
  <si>
    <t>Expanded Uncertainty</t>
  </si>
  <si>
    <t>ln(n/mg/ml)</t>
  </si>
  <si>
    <t>x</t>
  </si>
  <si>
    <t>y</t>
  </si>
  <si>
    <t>n/mg/l</t>
  </si>
  <si>
    <t>ln(n/mg/l)</t>
  </si>
  <si>
    <t>(Testing area only)</t>
  </si>
  <si>
    <t>= Formulae</t>
  </si>
  <si>
    <t>= Reference Figures</t>
  </si>
  <si>
    <t>= Manual Input</t>
  </si>
  <si>
    <t>Doc. No: 200.XXX</t>
  </si>
  <si>
    <t>Sheet 3</t>
  </si>
  <si>
    <t>DCRXXXX</t>
  </si>
  <si>
    <t>Rev 0</t>
  </si>
  <si>
    <t>MP Values</t>
  </si>
  <si>
    <t>product</t>
  </si>
  <si>
    <t>LPA3 NAVAIR</t>
  </si>
  <si>
    <t xml:space="preserve">   LPA SETTINGS</t>
  </si>
  <si>
    <t>model_name</t>
  </si>
  <si>
    <t>serial_number</t>
  </si>
  <si>
    <t>option_bits</t>
  </si>
  <si>
    <t>x_option_bits</t>
  </si>
  <si>
    <t>test_reference</t>
  </si>
  <si>
    <t>threshold0</t>
  </si>
  <si>
    <t>threshold1</t>
  </si>
  <si>
    <t>threshold2</t>
  </si>
  <si>
    <t>threshold3</t>
  </si>
  <si>
    <t>threshold4</t>
  </si>
  <si>
    <t>threshold5</t>
  </si>
  <si>
    <t>threshold6</t>
  </si>
  <si>
    <t>threshold7</t>
  </si>
  <si>
    <t>effective_slit_width</t>
  </si>
  <si>
    <t>effective_slit_height</t>
  </si>
  <si>
    <t>channel_width</t>
  </si>
  <si>
    <t>divergence_milliradians</t>
  </si>
  <si>
    <t>channel_depth</t>
  </si>
  <si>
    <t>calibration_led_level_initial</t>
  </si>
  <si>
    <t>calibration_led_level_last</t>
  </si>
  <si>
    <t>calibration_led_level_alarm</t>
  </si>
  <si>
    <t>calibration_date_last</t>
  </si>
  <si>
    <t>calibration_date_next</t>
  </si>
  <si>
    <t>result_format</t>
  </si>
  <si>
    <t>test_mode</t>
  </si>
  <si>
    <t>wait_time_s</t>
  </si>
  <si>
    <t>test_number</t>
  </si>
  <si>
    <t>CycleCount</t>
  </si>
  <si>
    <t>last_download</t>
  </si>
  <si>
    <t>time_stamp</t>
  </si>
  <si>
    <t>source_drive</t>
  </si>
  <si>
    <t>continous_mode_confirm_target_n</t>
  </si>
  <si>
    <t>flush_time_s</t>
  </si>
  <si>
    <t>test_sequence</t>
  </si>
  <si>
    <t>sample_portions</t>
  </si>
  <si>
    <t>pump_target_flow_ml_min</t>
  </si>
  <si>
    <t>pump_flow_emptying_ml_min</t>
  </si>
  <si>
    <t>sample_volume_ml</t>
  </si>
  <si>
    <t>pump_flush_volume_ml</t>
  </si>
  <si>
    <t>pump_flow_flushing_ml_min</t>
  </si>
  <si>
    <t>cml4_online_flush_ml</t>
  </si>
  <si>
    <t>cml4_online_flush_ml_min</t>
  </si>
  <si>
    <t>cml4_online_sample_ml</t>
  </si>
  <si>
    <t>cml4_online_sample_ml_min</t>
  </si>
  <si>
    <t>cml4_offline_flush_ml</t>
  </si>
  <si>
    <t>cml4_offline_flush_ml_min</t>
  </si>
  <si>
    <t>cml4_offline_sample_ml</t>
  </si>
  <si>
    <t>cml4_offline_sample_ml_min</t>
  </si>
  <si>
    <t>cml4_pump_leakage_ml_min</t>
  </si>
  <si>
    <t>threshold32_0_value</t>
  </si>
  <si>
    <t>threshold32_1_value</t>
  </si>
  <si>
    <t>threshold32_2_value</t>
  </si>
  <si>
    <t>threshold32_3_value</t>
  </si>
  <si>
    <t>threshold32_4_value</t>
  </si>
  <si>
    <t>threshold32_5_value</t>
  </si>
  <si>
    <t>threshold32_6_value</t>
  </si>
  <si>
    <t>threshold32_7_value</t>
  </si>
  <si>
    <t>threshold32_8_value</t>
  </si>
  <si>
    <t>threshold32_9_value</t>
  </si>
  <si>
    <t>threshold32_10_value</t>
  </si>
  <si>
    <t>threshold32_11_value</t>
  </si>
  <si>
    <t>threshold32_12_value</t>
  </si>
  <si>
    <t>threshold32_13_value</t>
  </si>
  <si>
    <t>threshold32_14_value</t>
  </si>
  <si>
    <t>threshold32_15_value</t>
  </si>
  <si>
    <t>threshold32_16_value</t>
  </si>
  <si>
    <t>threshold32_17_value</t>
  </si>
  <si>
    <t>threshold32_18_value</t>
  </si>
  <si>
    <t>threshold32_19_value</t>
  </si>
  <si>
    <t>threshold32_20_value</t>
  </si>
  <si>
    <t>threshold32_21_value</t>
  </si>
  <si>
    <t>threshold32_22_value</t>
  </si>
  <si>
    <t>threshold32_23_value</t>
  </si>
  <si>
    <t>threshold32_24_value</t>
  </si>
  <si>
    <t>threshold32_25_value</t>
  </si>
  <si>
    <t>threshold32_26_value</t>
  </si>
  <si>
    <t>threshold32_27_value</t>
  </si>
  <si>
    <t>threshold32_28_value</t>
  </si>
  <si>
    <t>threshold32_29_value</t>
  </si>
  <si>
    <t>threshold32_30_value</t>
  </si>
  <si>
    <t>threshold32_31_value</t>
  </si>
  <si>
    <t>threshold32_0_sz</t>
  </si>
  <si>
    <t>threshold32_1_sz</t>
  </si>
  <si>
    <t>threshold32_2_sz</t>
  </si>
  <si>
    <t>threshold32_3_sz</t>
  </si>
  <si>
    <t>threshold32_4_sz</t>
  </si>
  <si>
    <t>threshold32_5_sz</t>
  </si>
  <si>
    <t>threshold32_6_sz</t>
  </si>
  <si>
    <t>threshold32_7_sz</t>
  </si>
  <si>
    <t>threshold32_8_sz</t>
  </si>
  <si>
    <t>threshold32_9_sz</t>
  </si>
  <si>
    <t>threshold32_10_sz</t>
  </si>
  <si>
    <t>threshold32_11_sz</t>
  </si>
  <si>
    <t>threshold32_12_sz</t>
  </si>
  <si>
    <t>threshold32_13_sz</t>
  </si>
  <si>
    <t>threshold32_14_sz</t>
  </si>
  <si>
    <t>threshold32_15_sz</t>
  </si>
  <si>
    <t>threshold32_16_sz</t>
  </si>
  <si>
    <t>threshold32_17_sz</t>
  </si>
  <si>
    <t>threshold32_18_sz</t>
  </si>
  <si>
    <t>threshold32_19_sz</t>
  </si>
  <si>
    <t>threshold32_20_sz</t>
  </si>
  <si>
    <t>threshold32_21_sz</t>
  </si>
  <si>
    <t>threshold32_22_sz</t>
  </si>
  <si>
    <t>threshold32_23_sz</t>
  </si>
  <si>
    <t>threshold32_24_sz</t>
  </si>
  <si>
    <t>threshold32_25_sz</t>
  </si>
  <si>
    <t>threshold32_26_sz</t>
  </si>
  <si>
    <t>threshold32_27_sz</t>
  </si>
  <si>
    <t>threshold32_28_sz</t>
  </si>
  <si>
    <t>threshold32_29_sz</t>
  </si>
  <si>
    <t>threshold32_30_sz</t>
  </si>
  <si>
    <t>threshold32_31_sz</t>
  </si>
  <si>
    <t>MEASURED PARAMETERS</t>
  </si>
  <si>
    <t>verification_count_1_0</t>
  </si>
  <si>
    <t>verification_count_1_1</t>
  </si>
  <si>
    <t>verification_count_1_2</t>
  </si>
  <si>
    <t>verification_count_1_3</t>
  </si>
  <si>
    <t>verification_count_1_4</t>
  </si>
  <si>
    <t>verification_count_1_5</t>
  </si>
  <si>
    <t>verification_count_1_6</t>
  </si>
  <si>
    <t>verification_count_1_7</t>
  </si>
  <si>
    <t>verification_count_2_0</t>
  </si>
  <si>
    <t>verification_count_2_1</t>
  </si>
  <si>
    <t>verification_count_2_2</t>
  </si>
  <si>
    <t>verification_count_2_3</t>
  </si>
  <si>
    <t>verification_count_2_4</t>
  </si>
  <si>
    <t>verification_count_2_5</t>
  </si>
  <si>
    <t>verification_count_2_6</t>
  </si>
  <si>
    <t>verification_count_2_7</t>
  </si>
  <si>
    <t>verification_count_3_0</t>
  </si>
  <si>
    <t>verification_count_3_1</t>
  </si>
  <si>
    <t>verification_count_3_2</t>
  </si>
  <si>
    <t>verification_count_3_3</t>
  </si>
  <si>
    <t>verification_count_3_4</t>
  </si>
  <si>
    <t>verification_count_3_5</t>
  </si>
  <si>
    <t>verification_count_3_6</t>
  </si>
  <si>
    <t>verification_count_3_7</t>
  </si>
  <si>
    <t>reference_count_0</t>
  </si>
  <si>
    <t>reference_count_1</t>
  </si>
  <si>
    <t>reference_count_2</t>
  </si>
  <si>
    <t>reference_count_3</t>
  </si>
  <si>
    <t>reference_count_4</t>
  </si>
  <si>
    <t>reference_count_5</t>
  </si>
  <si>
    <t>reference_count_6</t>
  </si>
  <si>
    <t>reference_count_7</t>
  </si>
  <si>
    <t>verification_count32_1_0</t>
  </si>
  <si>
    <t>verification_count32_1_1</t>
  </si>
  <si>
    <t>verification_count32_1_2</t>
  </si>
  <si>
    <t>verification_count32_1_3</t>
  </si>
  <si>
    <t>verification_count32_1_4</t>
  </si>
  <si>
    <t>verification_count32_1_5</t>
  </si>
  <si>
    <t>verification_count32_1_6</t>
  </si>
  <si>
    <t>verification_count32_1_7</t>
  </si>
  <si>
    <t>verification_count32_1_8</t>
  </si>
  <si>
    <t>verification_count32_1_9</t>
  </si>
  <si>
    <t>verification_count32_1_10</t>
  </si>
  <si>
    <t>verification_count32_1_11</t>
  </si>
  <si>
    <t>verification_count32_1_12</t>
  </si>
  <si>
    <t>verification_count32_1_13</t>
  </si>
  <si>
    <t>verification_count32_1_14</t>
  </si>
  <si>
    <t>verification_count32_1_15</t>
  </si>
  <si>
    <t>verification_count32_1_16</t>
  </si>
  <si>
    <t>verification_count32_1_17</t>
  </si>
  <si>
    <t>verification_count32_1_18</t>
  </si>
  <si>
    <t>verification_count32_1_19</t>
  </si>
  <si>
    <t>verification_count32_1_20</t>
  </si>
  <si>
    <t>verification_count32_1_21</t>
  </si>
  <si>
    <t>verification_count32_1_22</t>
  </si>
  <si>
    <t>verification_count32_1_23</t>
  </si>
  <si>
    <t>verification_count32_1_24</t>
  </si>
  <si>
    <t>verification_count32_1_25</t>
  </si>
  <si>
    <t>verification_count32_1_26</t>
  </si>
  <si>
    <t>verification_count32_1_27</t>
  </si>
  <si>
    <t>verification_count32_1_28</t>
  </si>
  <si>
    <t>verification_count32_1_29</t>
  </si>
  <si>
    <t>verification_count32_1_30</t>
  </si>
  <si>
    <t>verification_count32_1_31</t>
  </si>
  <si>
    <t>verification_count32_2_0</t>
  </si>
  <si>
    <t>verification_count32_2_1</t>
  </si>
  <si>
    <t>verification_count32_2_2</t>
  </si>
  <si>
    <t>verification_count32_2_3</t>
  </si>
  <si>
    <t>verification_count32_2_4</t>
  </si>
  <si>
    <t>verification_count32_2_5</t>
  </si>
  <si>
    <t>verification_count32_2_6</t>
  </si>
  <si>
    <t>verification_count32_2_7</t>
  </si>
  <si>
    <t>verification_count32_2_8</t>
  </si>
  <si>
    <t>verification_count32_2_9</t>
  </si>
  <si>
    <t>verification_count32_2_10</t>
  </si>
  <si>
    <t>verification_count32_2_11</t>
  </si>
  <si>
    <t>verification_count32_2_12</t>
  </si>
  <si>
    <t>verification_count32_2_13</t>
  </si>
  <si>
    <t>verification_count32_2_14</t>
  </si>
  <si>
    <t>verification_count32_2_15</t>
  </si>
  <si>
    <t>verification_count32_2_16</t>
  </si>
  <si>
    <t>verification_count32_2_17</t>
  </si>
  <si>
    <t>verification_count32_2_18</t>
  </si>
  <si>
    <t>verification_count32_2_19</t>
  </si>
  <si>
    <t>verification_count32_2_20</t>
  </si>
  <si>
    <t>verification_count32_2_21</t>
  </si>
  <si>
    <t>verification_count32_2_22</t>
  </si>
  <si>
    <t>verification_count32_2_23</t>
  </si>
  <si>
    <t>verification_count32_2_24</t>
  </si>
  <si>
    <t>verification_count32_2_25</t>
  </si>
  <si>
    <t>verification_count32_2_26</t>
  </si>
  <si>
    <t>verification_count32_2_27</t>
  </si>
  <si>
    <t>verification_count32_2_28</t>
  </si>
  <si>
    <t>verification_count32_2_29</t>
  </si>
  <si>
    <t>verification_count32_2_30</t>
  </si>
  <si>
    <t>verification_count32_2_31</t>
  </si>
  <si>
    <t>verification_count32_3_0</t>
  </si>
  <si>
    <t>verification_count32_3_1</t>
  </si>
  <si>
    <t>verification_count32_3_2</t>
  </si>
  <si>
    <t>verification_count32_3_3</t>
  </si>
  <si>
    <t>verification_count32_3_4</t>
  </si>
  <si>
    <t>verification_count32_3_5</t>
  </si>
  <si>
    <t>verification_count32_3_6</t>
  </si>
  <si>
    <t>verification_count32_3_7</t>
  </si>
  <si>
    <t>verification_count32_3_8</t>
  </si>
  <si>
    <t>verification_count32_3_9</t>
  </si>
  <si>
    <t>verification_count32_3_10</t>
  </si>
  <si>
    <t>verification_count32_3_11</t>
  </si>
  <si>
    <t>verification_count32_3_12</t>
  </si>
  <si>
    <t>verification_count32_3_13</t>
  </si>
  <si>
    <t>verification_count32_3_14</t>
  </si>
  <si>
    <t>verification_count32_3_15</t>
  </si>
  <si>
    <t>verification_count32_3_16</t>
  </si>
  <si>
    <t>verification_count32_3_17</t>
  </si>
  <si>
    <t>verification_count32_3_18</t>
  </si>
  <si>
    <t>verification_count32_3_19</t>
  </si>
  <si>
    <t>verification_count32_3_20</t>
  </si>
  <si>
    <t>verification_count32_3_21</t>
  </si>
  <si>
    <t>verification_count32_3_22</t>
  </si>
  <si>
    <t>verification_count32_3_23</t>
  </si>
  <si>
    <t>verification_count32_3_24</t>
  </si>
  <si>
    <t>verification_count32_3_25</t>
  </si>
  <si>
    <t>verification_count32_3_26</t>
  </si>
  <si>
    <t>verification_count32_3_27</t>
  </si>
  <si>
    <t>verification_count32_3_28</t>
  </si>
  <si>
    <t>verification_count32_3_29</t>
  </si>
  <si>
    <t>verification_count32_3_30</t>
  </si>
  <si>
    <t>verification_count32_3_31</t>
  </si>
  <si>
    <t>reference_count32_0</t>
  </si>
  <si>
    <t>reference_count32_1</t>
  </si>
  <si>
    <t>reference_count32_2</t>
  </si>
  <si>
    <t>reference_count32_3</t>
  </si>
  <si>
    <t>reference_count32_4</t>
  </si>
  <si>
    <t>reference_count32_5</t>
  </si>
  <si>
    <t>reference_count32_6</t>
  </si>
  <si>
    <t>reference_count32_7</t>
  </si>
  <si>
    <t>reference_count32_8</t>
  </si>
  <si>
    <t>reference_count32_9</t>
  </si>
  <si>
    <t>reference_count32_10</t>
  </si>
  <si>
    <t>reference_count32_11</t>
  </si>
  <si>
    <t>reference_count32_12</t>
  </si>
  <si>
    <t>reference_count32_13</t>
  </si>
  <si>
    <t>reference_count32_14</t>
  </si>
  <si>
    <t>reference_count32_15</t>
  </si>
  <si>
    <t>reference_count32_16</t>
  </si>
  <si>
    <t>reference_count32_17</t>
  </si>
  <si>
    <t>reference_count32_18</t>
  </si>
  <si>
    <t>reference_count32_19</t>
  </si>
  <si>
    <t>reference_count32_20</t>
  </si>
  <si>
    <t>reference_count32_21</t>
  </si>
  <si>
    <t>reference_count32_22</t>
  </si>
  <si>
    <t>reference_count32_23</t>
  </si>
  <si>
    <t>reference_count32_24</t>
  </si>
  <si>
    <t>reference_count32_25</t>
  </si>
  <si>
    <t>reference_count32_26</t>
  </si>
  <si>
    <t>reference_count32_27</t>
  </si>
  <si>
    <t>reference_count32_28</t>
  </si>
  <si>
    <t>reference_count32_29</t>
  </si>
  <si>
    <t>reference_count32_30</t>
  </si>
  <si>
    <t>reference_count32_31</t>
  </si>
  <si>
    <t>Measured Counter Data</t>
  </si>
  <si>
    <t>pump_current_sampling</t>
  </si>
  <si>
    <t>pump_current_emptying</t>
  </si>
  <si>
    <t>led_level</t>
  </si>
  <si>
    <t>no_noise_threshold</t>
  </si>
  <si>
    <t>CALIBRATION DOCUMENT VALUES</t>
  </si>
  <si>
    <t>date_</t>
  </si>
  <si>
    <t>serial_number_</t>
  </si>
  <si>
    <t xml:space="preserve">   RIG PARAMETERS</t>
  </si>
  <si>
    <t>meas_init_level</t>
  </si>
  <si>
    <t>calc_init_volume</t>
  </si>
  <si>
    <t>desired_concentration</t>
  </si>
  <si>
    <t>calc_qty_add</t>
  </si>
  <si>
    <t>meas_qty_add</t>
  </si>
  <si>
    <t>meas_final_level</t>
  </si>
  <si>
    <t>calc_volume</t>
  </si>
  <si>
    <t>calc_concentration</t>
  </si>
  <si>
    <t>rig_param_volume_mult</t>
  </si>
  <si>
    <t>rig_param_volume_constant</t>
  </si>
  <si>
    <t>rig_param_identifier</t>
  </si>
  <si>
    <t>rig_cleanliness_count</t>
  </si>
  <si>
    <t>Doc No. 202.041_04 CML4 Service and Calibration Sheet DCR 0678</t>
  </si>
  <si>
    <t>-</t>
  </si>
  <si>
    <t>A. Brown</t>
  </si>
  <si>
    <t>Op No.</t>
  </si>
  <si>
    <t>CML4 Cover Sheet</t>
  </si>
  <si>
    <t>R. Eden</t>
  </si>
  <si>
    <t>Product:</t>
  </si>
  <si>
    <t>W</t>
  </si>
  <si>
    <t>M</t>
  </si>
  <si>
    <t>SERVICE NOTES:</t>
  </si>
  <si>
    <t>A. Hayward</t>
  </si>
  <si>
    <t>Serial No.:</t>
  </si>
  <si>
    <t>J. Scarrott</t>
  </si>
  <si>
    <t>P</t>
  </si>
  <si>
    <t>Customer:</t>
  </si>
  <si>
    <t>Comments</t>
  </si>
  <si>
    <t>A. Mustoe</t>
  </si>
  <si>
    <t>N</t>
  </si>
  <si>
    <t>Online booking by customer</t>
  </si>
  <si>
    <t>Alex Buckley</t>
  </si>
  <si>
    <t>T</t>
  </si>
  <si>
    <t>S</t>
  </si>
  <si>
    <t>Accessories present?</t>
  </si>
  <si>
    <t>NOTE: Please complete table below</t>
  </si>
  <si>
    <t>Luke Harding</t>
  </si>
  <si>
    <t>COSHH SUPPLIED?</t>
  </si>
  <si>
    <t>Scott Mosson</t>
  </si>
  <si>
    <t>Booking Date:</t>
  </si>
  <si>
    <t>Jamie Soule</t>
  </si>
  <si>
    <t>Service sheet number:</t>
  </si>
  <si>
    <t>Trevor Whittle</t>
  </si>
  <si>
    <t>Warranty claim</t>
  </si>
  <si>
    <t>John Devereux</t>
  </si>
  <si>
    <r>
      <t>Date of Last Calibration (NB: CELL WILL SELF FILL</t>
    </r>
    <r>
      <rPr>
        <sz val="11"/>
        <rFont val="Calibri"/>
        <family val="2"/>
        <scheme val="minor"/>
      </rPr>
      <t>)</t>
    </r>
  </si>
  <si>
    <t>If yes to warranty - NCR number(s)</t>
  </si>
  <si>
    <t>SO number:</t>
  </si>
  <si>
    <t>WO number:</t>
  </si>
  <si>
    <t>Estimated Ship Date:</t>
  </si>
  <si>
    <t>Take this from the service tag if applicable</t>
  </si>
  <si>
    <t>Carry bag</t>
  </si>
  <si>
    <t>Waste bottle</t>
  </si>
  <si>
    <t>1500mm pressure hose</t>
  </si>
  <si>
    <t>600mm pressure hose</t>
  </si>
  <si>
    <t>2000mm waste hose</t>
  </si>
  <si>
    <t>Pouches</t>
  </si>
  <si>
    <t>Qty</t>
  </si>
  <si>
    <t>portable printer</t>
  </si>
  <si>
    <t>USB-Serial converter</t>
  </si>
  <si>
    <t>Serial cable</t>
  </si>
  <si>
    <t>Power adapter</t>
  </si>
  <si>
    <t>Initial checks</t>
  </si>
  <si>
    <t>Date initial inspection started:</t>
  </si>
  <si>
    <t>Status:</t>
  </si>
  <si>
    <t>Initial checked by:</t>
  </si>
  <si>
    <t>Acceptible outer case condition?</t>
  </si>
  <si>
    <t>Is there a cap on the INPUT test point?</t>
  </si>
  <si>
    <t>Is there a cap on the WASTE test point?</t>
  </si>
  <si>
    <t>Remove old cal cert/paperwork and recycle</t>
  </si>
  <si>
    <t>Check power connector is ok and functions</t>
  </si>
  <si>
    <t xml:space="preserve">Turn unit on </t>
  </si>
  <si>
    <t>Check screen operates</t>
  </si>
  <si>
    <t>Check all touch screen tabs operate</t>
  </si>
  <si>
    <t>Download history to USB stick</t>
  </si>
  <si>
    <t>Note current firmware version on screen</t>
  </si>
  <si>
    <t>Update firmware to latest live version Note version installed</t>
  </si>
  <si>
    <t>EN</t>
  </si>
  <si>
    <t>Serial number shown on screen</t>
  </si>
  <si>
    <t>IT</t>
  </si>
  <si>
    <t>Calibration due date as shown on screen</t>
  </si>
  <si>
    <t>FR</t>
  </si>
  <si>
    <t>Test simulation setting ON?</t>
  </si>
  <si>
    <t>DE</t>
  </si>
  <si>
    <t>If simulated test ON, turn OFF</t>
  </si>
  <si>
    <t>CN</t>
  </si>
  <si>
    <t>Enter test reference</t>
  </si>
  <si>
    <t>Select language set</t>
  </si>
  <si>
    <t>Open diagnostics screen</t>
  </si>
  <si>
    <t>Check power parameters, charging current, and rate of discharge</t>
  </si>
  <si>
    <t>Note cycle count</t>
  </si>
  <si>
    <t>Check printer operation and replace roll if necessary:</t>
  </si>
  <si>
    <t>Record the set reporting format</t>
  </si>
  <si>
    <t xml:space="preserve">If NOT set to ISO, switch to ISO </t>
  </si>
  <si>
    <t>ISO 4406:1999</t>
  </si>
  <si>
    <t>Print detailed counts ON?</t>
  </si>
  <si>
    <t>NAS 1638</t>
  </si>
  <si>
    <t>Print test reference ON?</t>
  </si>
  <si>
    <t>AS 4059E Table 2</t>
  </si>
  <si>
    <t>Auto print results ON?</t>
  </si>
  <si>
    <t>AS 4059E Table 1</t>
  </si>
  <si>
    <t>Set auto print to OFF</t>
  </si>
  <si>
    <t>ISO 11218</t>
  </si>
  <si>
    <t>Print space for notes ON?</t>
  </si>
  <si>
    <t>AS 4059F Table 2</t>
  </si>
  <si>
    <t>Record test type set</t>
  </si>
  <si>
    <t>AS 4095F Table 1</t>
  </si>
  <si>
    <t>Set test type to Online - Continuous</t>
  </si>
  <si>
    <t>GBT 14039</t>
  </si>
  <si>
    <t>Flush time (s):</t>
  </si>
  <si>
    <t>GJB 420 B</t>
  </si>
  <si>
    <t>Sample Volume (ml):</t>
  </si>
  <si>
    <t>Wait time (00:00:00):</t>
  </si>
  <si>
    <t>Repeat (x) Tests:</t>
  </si>
  <si>
    <t>Set to 30s Flush, 100mL sample</t>
  </si>
  <si>
    <t>Stop testing when clean:</t>
  </si>
  <si>
    <t>RH test (if applicable) ON?</t>
  </si>
  <si>
    <t>Remove faceplate screws</t>
  </si>
  <si>
    <t>Online</t>
  </si>
  <si>
    <t>Is the unit free from leaks and/or damage to boards or wiring?</t>
  </si>
  <si>
    <t>Online - Continuous</t>
  </si>
  <si>
    <t>Check vent line for fluid</t>
  </si>
  <si>
    <t>Offline</t>
  </si>
  <si>
    <t>Check RJ45 cable is current design</t>
  </si>
  <si>
    <t xml:space="preserve">Set test type to Online </t>
  </si>
  <si>
    <t>BOTTLE SAMPLER CHECKS/TESTS</t>
  </si>
  <si>
    <t>Unit flushed with Petroleum Ether (50ml)</t>
  </si>
  <si>
    <t>Does sensor block show signs of leakage?</t>
  </si>
  <si>
    <t>If Y to a leak, replace with refurb module</t>
  </si>
  <si>
    <t>Unit flushed with MIL5606 (25ml)</t>
  </si>
  <si>
    <t>If LEAKING, abandon further checks and repair unit</t>
  </si>
  <si>
    <t>LED power:</t>
  </si>
  <si>
    <t>Electrical noise level:</t>
  </si>
  <si>
    <t>Date initial inspection ended:</t>
  </si>
  <si>
    <t>Simplybook.me stage updated to "Ready for Service":</t>
  </si>
  <si>
    <t>SERVICE</t>
  </si>
  <si>
    <t>Date restarted:</t>
  </si>
  <si>
    <t>Sales Order been raised? (D15)</t>
  </si>
  <si>
    <t>Works Order been raised? (D16)</t>
  </si>
  <si>
    <t>Replaced battery cables (to thick)?</t>
  </si>
  <si>
    <t xml:space="preserve">Unit cleaned and hoovered? </t>
  </si>
  <si>
    <t>Battery secured in brackets?</t>
  </si>
  <si>
    <t>IF NO…..REPLACE</t>
  </si>
  <si>
    <t>TEST RIG CHECKS/TESTS</t>
  </si>
  <si>
    <t>HP Test (5mins Static &amp; Pulse) without leaks?</t>
  </si>
  <si>
    <t>Complete service sticker and attach to unit</t>
  </si>
  <si>
    <t>Test mode set to "Online"</t>
  </si>
  <si>
    <t>Signed:</t>
  </si>
  <si>
    <t>Simplybook.me stage updated to "Service complete":</t>
  </si>
  <si>
    <t>Date completed:</t>
  </si>
  <si>
    <t>CALIBRATION doc # 214.020</t>
  </si>
  <si>
    <t>Date started:</t>
  </si>
  <si>
    <t>Calibration COMPLETE</t>
  </si>
  <si>
    <t>Signed : Fill from dropdown box</t>
  </si>
  <si>
    <t>PRE DESPATCH FINAL CHECKS</t>
  </si>
  <si>
    <t>Serial Number plate matches record</t>
  </si>
  <si>
    <t>Re-Cal Log 202.038 updated</t>
  </si>
  <si>
    <t>locate file on sharepoint 202.038 and complete</t>
  </si>
  <si>
    <t>SERVICE MODE</t>
  </si>
  <si>
    <t>LED threshold level set correctly - see right</t>
  </si>
  <si>
    <t>Ch</t>
  </si>
  <si>
    <t>Thresh</t>
  </si>
  <si>
    <t>Check thresholds are correct on calibration certificate:</t>
  </si>
  <si>
    <t>If INPUT test point came with cap (ie green tick right), ensure it is with unit:</t>
  </si>
  <si>
    <t>If WASTE test point came with cap (ie green tick right), ensure it is with unit:</t>
  </si>
  <si>
    <t>Serial number programmed correctly:</t>
  </si>
  <si>
    <t>Restore test reference to received:</t>
  </si>
  <si>
    <t>Calibration due date as shown on screen:</t>
  </si>
  <si>
    <t>Sensing volume parameters set correctly:</t>
  </si>
  <si>
    <t xml:space="preserve">Check firmware is latest version: </t>
  </si>
  <si>
    <t>Cycle count value differs to original value as shown:</t>
  </si>
  <si>
    <t>Note cal Initial LED level:</t>
  </si>
  <si>
    <t>Last LED level %:</t>
  </si>
  <si>
    <t>Alarm LED level %:</t>
  </si>
  <si>
    <t>Bubble mitigation not ticked:</t>
  </si>
  <si>
    <t xml:space="preserve">Pressure switch ticked </t>
  </si>
  <si>
    <t>Reset battery parameters (only on NEW unit/if battery replaced)</t>
  </si>
  <si>
    <t>Ensure shipping tick box is engaged</t>
  </si>
  <si>
    <t>Keep diagnostics enabled:</t>
  </si>
  <si>
    <t>USER MODE</t>
  </si>
  <si>
    <t>Time &amp; date set</t>
  </si>
  <si>
    <t>Set to Reporting Format received:</t>
  </si>
  <si>
    <t>Simulated test off</t>
  </si>
  <si>
    <t>Print Detailed Counts - set to received:</t>
  </si>
  <si>
    <t>Print Test Reference - set to received:</t>
  </si>
  <si>
    <r>
      <t xml:space="preserve">Automatically Print Results - Set to </t>
    </r>
    <r>
      <rPr>
        <b/>
        <u/>
        <sz val="11"/>
        <rFont val="Calibri"/>
        <family val="2"/>
        <scheme val="minor"/>
      </rPr>
      <t>ON</t>
    </r>
    <r>
      <rPr>
        <b/>
        <sz val="11"/>
        <rFont val="Calibri"/>
        <family val="2"/>
        <scheme val="minor"/>
      </rPr>
      <t>:</t>
    </r>
  </si>
  <si>
    <t>Print Space for Notes - set to received:</t>
  </si>
  <si>
    <t>Set to Online - Continuous</t>
  </si>
  <si>
    <t>Flush/Sample  - set to received:</t>
  </si>
  <si>
    <t>Wait time (00:00:00) - set to received:</t>
  </si>
  <si>
    <t>Repeat (x) Tests - set to received:</t>
  </si>
  <si>
    <t>Stop Testing when clean -set to received:</t>
  </si>
  <si>
    <t>Identification should be: CML4 - S/N - Firmware</t>
  </si>
  <si>
    <t>RH Test to ON (if applicable)</t>
  </si>
  <si>
    <t>Run 1 Test; everything functioning as expected?</t>
  </si>
  <si>
    <t>RH % result</t>
  </si>
  <si>
    <t>Temperature oC result</t>
  </si>
  <si>
    <t>If W option is fitted - set to received:</t>
  </si>
  <si>
    <t>Test type - set to received</t>
  </si>
  <si>
    <t>Automatically Print Results - set to received:</t>
  </si>
  <si>
    <t xml:space="preserve">Simulated test - set to received: </t>
  </si>
  <si>
    <t>Service Mode</t>
  </si>
  <si>
    <t>Disable diagnostics mode in settings:</t>
  </si>
  <si>
    <t>Language set to received</t>
  </si>
  <si>
    <t>Switch Unit OFF then ON</t>
  </si>
  <si>
    <t>Check Unit starts in User Mode</t>
  </si>
  <si>
    <t>Turn unit off</t>
  </si>
  <si>
    <t>Final Checks</t>
  </si>
  <si>
    <t>Fit faceplate screws</t>
  </si>
  <si>
    <t>Update simplybook me to "Calibration Complete", and fill in whiteboard</t>
  </si>
  <si>
    <t>Print and save as PDF file (SN#_ddmmyy_CC_service#)</t>
  </si>
  <si>
    <t>Print 2 copies from PDF file</t>
  </si>
  <si>
    <t>Signed :</t>
  </si>
  <si>
    <t>Packing</t>
  </si>
  <si>
    <t>1 x Calibration Certificate in lid organiser</t>
  </si>
  <si>
    <t>1 x Customer Service Report in lid organiser</t>
  </si>
  <si>
    <t>Mineral Oil &amp; Battery Sheet</t>
  </si>
  <si>
    <t>Pack in Box</t>
  </si>
  <si>
    <t>1 x Calibration Certificate in Documents envelope.</t>
  </si>
  <si>
    <t>1 x Customer Service Report in Documents envelope</t>
  </si>
  <si>
    <t>Complete AX</t>
  </si>
  <si>
    <t>Update online booking</t>
  </si>
  <si>
    <t>To be completed for Service units only</t>
  </si>
  <si>
    <t>NEW BUILD?</t>
  </si>
  <si>
    <t>Reported Customer Fault or Initial Check Fault</t>
  </si>
  <si>
    <t xml:space="preserve">
</t>
  </si>
  <si>
    <t>Investigation Report</t>
  </si>
  <si>
    <t>Corrective action required</t>
  </si>
  <si>
    <t>Photos if required:</t>
  </si>
  <si>
    <t xml:space="preserve">Carried out by </t>
  </si>
  <si>
    <t>Date</t>
  </si>
  <si>
    <t>Service Sheet</t>
  </si>
  <si>
    <t>Outer Case Condition</t>
  </si>
  <si>
    <t>Caps on test points</t>
  </si>
  <si>
    <t>Software Version</t>
  </si>
  <si>
    <t>Serial Number</t>
  </si>
  <si>
    <t>Calibration due date</t>
  </si>
  <si>
    <t>Reference</t>
  </si>
  <si>
    <t>Language</t>
  </si>
  <si>
    <t>Open Diagnostics screen</t>
  </si>
  <si>
    <t>Cycle Count</t>
  </si>
  <si>
    <t>Battery Parameter</t>
  </si>
  <si>
    <t>Check Printer operation</t>
  </si>
  <si>
    <t>Visually check for leaks and damage to boards and wiring</t>
  </si>
  <si>
    <t>Replace Flush Valve</t>
  </si>
  <si>
    <t>Replace pipework.</t>
  </si>
  <si>
    <t>LPA3 SERVICE SHEET</t>
  </si>
  <si>
    <t>M Gibson</t>
  </si>
  <si>
    <t>L Harding</t>
  </si>
  <si>
    <t>T Welch</t>
  </si>
  <si>
    <t>J Scarrott</t>
  </si>
  <si>
    <t>S Mosson</t>
  </si>
  <si>
    <t>G Salf</t>
  </si>
  <si>
    <t>Service number:</t>
  </si>
  <si>
    <t>M Shurmer</t>
  </si>
  <si>
    <t>J Odom</t>
  </si>
  <si>
    <t>if yes to warranty - NCR number(s)</t>
  </si>
  <si>
    <t>A Mustoe</t>
  </si>
  <si>
    <t>Ship Date:</t>
  </si>
  <si>
    <t>INITIAL INSPECTION</t>
  </si>
  <si>
    <t>Time started:</t>
  </si>
  <si>
    <t>PRE-SERVICE</t>
  </si>
  <si>
    <t>COMMENTS</t>
  </si>
  <si>
    <t xml:space="preserve">Are both caps on test points? </t>
  </si>
  <si>
    <t xml:space="preserve">In good outer condition? </t>
  </si>
  <si>
    <t>Check presence &amp; condition of case latches</t>
  </si>
  <si>
    <t>Remove old cal cert/paperwork/calibrated label</t>
  </si>
  <si>
    <t>Remove faceplate screws and keep/store in box</t>
  </si>
  <si>
    <t>Plug in mains and RS232 - chk charge light OK</t>
  </si>
  <si>
    <t>Turn ON and note Software version:</t>
  </si>
  <si>
    <t>Log downloaded succesfully onto USB stick</t>
  </si>
  <si>
    <t>Note Test reference:</t>
  </si>
  <si>
    <t>Open Dignostic screen</t>
  </si>
  <si>
    <t xml:space="preserve"> on diagnostic screen Note Cycle count:</t>
  </si>
  <si>
    <t>note reporting format</t>
  </si>
  <si>
    <t>Print detailed counts</t>
  </si>
  <si>
    <t>Print test reference</t>
  </si>
  <si>
    <t>auto print results</t>
  </si>
  <si>
    <t>print space for notes</t>
  </si>
  <si>
    <t>Test type</t>
  </si>
  <si>
    <t>Set to continuous</t>
  </si>
  <si>
    <t>flush time  30 secs</t>
  </si>
  <si>
    <t>sample 100ml</t>
  </si>
  <si>
    <t xml:space="preserve"> wait 2mins</t>
  </si>
  <si>
    <t>Ensure Stop when Clean unticked</t>
  </si>
  <si>
    <t>RH test (if applicable)</t>
  </si>
  <si>
    <t>check printer light is on, print last test</t>
  </si>
  <si>
    <t>Serial no. set correctly</t>
  </si>
  <si>
    <t>Note Contrast No.</t>
  </si>
  <si>
    <t>Simulated test set to OFF</t>
  </si>
  <si>
    <t>Low battery voltage set to 595</t>
  </si>
  <si>
    <t xml:space="preserve">Open unit and check condition inside? </t>
  </si>
  <si>
    <t>Unit flushed with IPA (50ml)</t>
  </si>
  <si>
    <t>Does pump unit show signs of leakage</t>
  </si>
  <si>
    <t>If Y to pump leak, Warranty claim?</t>
  </si>
  <si>
    <t>If Y to warranty, replace with refurb module</t>
  </si>
  <si>
    <t>Pump Refurb required</t>
  </si>
  <si>
    <t>If LEAKING, abandon further checks</t>
  </si>
  <si>
    <t>Perform Initial NV test on test rig - OK</t>
  </si>
  <si>
    <t>bar</t>
  </si>
  <si>
    <t>Test run for piston rod rotation - OK</t>
  </si>
  <si>
    <t>Is Service Quote Required for any items?</t>
  </si>
  <si>
    <t>ADVISE SALES OFFICE IF NECESSARY</t>
  </si>
  <si>
    <t>SQ sent to Sales Office</t>
  </si>
  <si>
    <t>Date SQ request sent:</t>
  </si>
  <si>
    <t>Is Sales Order Required?</t>
  </si>
  <si>
    <t>SO request made to Sales Office</t>
  </si>
  <si>
    <t>Date SO request sent:</t>
  </si>
  <si>
    <t>Date Initial Inspection ended:</t>
  </si>
  <si>
    <t>Time Initial Inspection ended:</t>
  </si>
  <si>
    <t>Total time taken:</t>
  </si>
  <si>
    <t>Time restarted:</t>
  </si>
  <si>
    <t xml:space="preserve">Has a Sales Order been raised? </t>
  </si>
  <si>
    <t xml:space="preserve">Has a Works Order been raised? </t>
  </si>
  <si>
    <t>Does unit have white or black pump</t>
  </si>
  <si>
    <t>if fitted with black pump new white pump to be fitted FOC</t>
  </si>
  <si>
    <t xml:space="preserve">White pump required? </t>
  </si>
  <si>
    <t>Line laser power:</t>
  </si>
  <si>
    <t>Spot laser power:</t>
  </si>
  <si>
    <t>Line Noise:</t>
  </si>
  <si>
    <t>Spot Noise:</t>
  </si>
  <si>
    <t>DC connector works correctly?</t>
  </si>
  <si>
    <t>Clock battery replaced</t>
  </si>
  <si>
    <t>SET TIME/DATE TO CORRECT GMT</t>
  </si>
  <si>
    <t>Remove FV body</t>
  </si>
  <si>
    <t>Flush valve replaced with refurbished module</t>
  </si>
  <si>
    <t xml:space="preserve">Battery clamps in good condition? </t>
  </si>
  <si>
    <t>Batch number</t>
  </si>
  <si>
    <t>Moisture sensor readings</t>
  </si>
  <si>
    <t>% RH</t>
  </si>
  <si>
    <t>deg C</t>
  </si>
  <si>
    <t>Pipework replaced</t>
  </si>
  <si>
    <r>
      <t xml:space="preserve">Serviced fittings, </t>
    </r>
    <r>
      <rPr>
        <b/>
        <sz val="11"/>
        <color rgb="FFFF0000"/>
        <rFont val="Calibri"/>
        <family val="2"/>
        <scheme val="minor"/>
      </rPr>
      <t>note # of services:</t>
    </r>
  </si>
  <si>
    <t>If # of services = 3, replace all fittings</t>
  </si>
  <si>
    <t>Ribbon Cables secured to the PCB</t>
  </si>
  <si>
    <t xml:space="preserve">ESP test complete? </t>
  </si>
  <si>
    <t>FV pressure =</t>
  </si>
  <si>
    <t xml:space="preserve">NV pressure = </t>
  </si>
  <si>
    <t>HP Test (5mins Static &amp; Pulse)</t>
  </si>
  <si>
    <t>Test mode set to Normal</t>
  </si>
  <si>
    <t>Set ISO clean alarm to 0 (zero)</t>
  </si>
  <si>
    <t>Set pump volumes back to 8ml and 7ml</t>
  </si>
  <si>
    <t>Time completed:</t>
  </si>
  <si>
    <t>CALIBRATION</t>
  </si>
  <si>
    <t>Select applicable Certificate (MP/Stauff/RMF etc)</t>
  </si>
  <si>
    <t>pdf cal cert and save</t>
  </si>
  <si>
    <t>print 2 copies from pdf filr</t>
  </si>
  <si>
    <t>Re-Cal Log updated</t>
  </si>
  <si>
    <t>User Settings on LPA View</t>
  </si>
  <si>
    <t>Format Set to ISO4408</t>
  </si>
  <si>
    <t>If W option fitten, box is available to tick</t>
  </si>
  <si>
    <t>W Option is not selected</t>
  </si>
  <si>
    <t>Simulated test box not ticked</t>
  </si>
  <si>
    <t>Test Type : Normal</t>
  </si>
  <si>
    <t>Flush time : 30s</t>
  </si>
  <si>
    <t>Sample Volume: 100ml</t>
  </si>
  <si>
    <t>Identification: LPA3#serial number - Firmware version</t>
  </si>
  <si>
    <t>Set Current Time</t>
  </si>
  <si>
    <t>Calibrated date</t>
  </si>
  <si>
    <t>Calibration Due date</t>
  </si>
  <si>
    <t>System Settings on LPA View</t>
  </si>
  <si>
    <t>Check Thresholds are programmed on unit</t>
  </si>
  <si>
    <t>Check Thresholds are noted on calibration certificate</t>
  </si>
  <si>
    <t>Sensing Volume Parameters</t>
  </si>
  <si>
    <t>Effective Slit Width - 68</t>
  </si>
  <si>
    <t>Effective Slit Height - 160</t>
  </si>
  <si>
    <t>Effective Channel depth - 400</t>
  </si>
  <si>
    <t>Beam Divergence - 0</t>
  </si>
  <si>
    <t>Test Cycle Control</t>
  </si>
  <si>
    <t>Sampling flow Rate ml/min - 100</t>
  </si>
  <si>
    <t>Emptying Flow Rate - 100ml</t>
  </si>
  <si>
    <t>Sample Volume - 100ml</t>
  </si>
  <si>
    <t>Auto Flush - 30 seconds</t>
  </si>
  <si>
    <t>Test Number to Received</t>
  </si>
  <si>
    <t>Test Reference to received</t>
  </si>
  <si>
    <t>Current date and time correct</t>
  </si>
  <si>
    <t>Calibrated Due Date</t>
  </si>
  <si>
    <t>Cal Initial LED Level</t>
  </si>
  <si>
    <t>Last LED Level %</t>
  </si>
  <si>
    <t>Alarm LED Level</t>
  </si>
  <si>
    <t>Hardware Configuration</t>
  </si>
  <si>
    <t>Pressure Switch - Not Ticked</t>
  </si>
  <si>
    <t>If Water Sensor fitted - box ticked</t>
  </si>
  <si>
    <t>If Temp mode fitted - box ticked</t>
  </si>
  <si>
    <t>Physical Checks on unit</t>
  </si>
  <si>
    <t>Home Screen</t>
  </si>
  <si>
    <t>Test Reference - as received</t>
  </si>
  <si>
    <t>Test Format- as received</t>
  </si>
  <si>
    <t>Test Type - as received</t>
  </si>
  <si>
    <t>Diagnostics Page</t>
  </si>
  <si>
    <t>Use Pressure Switch - not ticked</t>
  </si>
  <si>
    <t>If Water Sensor fitted Use RH Sensor box ticked</t>
  </si>
  <si>
    <t>RH Sensor values seen bottom left of screen if RH Sensor box is ticked</t>
  </si>
  <si>
    <t>Clear Battery Parameters</t>
  </si>
  <si>
    <t>Settings Page</t>
  </si>
  <si>
    <t>Reference as received</t>
  </si>
  <si>
    <t>Result format as received</t>
  </si>
  <si>
    <t>Test type - Normal</t>
  </si>
  <si>
    <t>Flush set to 30s</t>
  </si>
  <si>
    <t>Sample Volume set to 100ml</t>
  </si>
  <si>
    <t>Test type - Continous</t>
  </si>
  <si>
    <t xml:space="preserve">Wait set to 2mins </t>
  </si>
  <si>
    <t>No Repeat</t>
  </si>
  <si>
    <t>Stop When Clean - not ticked</t>
  </si>
  <si>
    <t>Test Type - Normal</t>
  </si>
  <si>
    <t>If Water Sensor fitted Green Tick on Water Content  (RH)</t>
  </si>
  <si>
    <t>No Tick in Simulation Box</t>
  </si>
  <si>
    <t>Green Tick on Diagnostics box</t>
  </si>
  <si>
    <t>Language set to English</t>
  </si>
  <si>
    <t>Printer Options</t>
  </si>
  <si>
    <t>Print Detailed Counts On</t>
  </si>
  <si>
    <t>Print Test Reference On</t>
  </si>
  <si>
    <t>Print Automatically On</t>
  </si>
  <si>
    <t>Add Space for Notes OFF</t>
  </si>
  <si>
    <t>Home Page Final Tests</t>
  </si>
  <si>
    <t>Run 1 Normal Test. Note Values below</t>
  </si>
  <si>
    <t>ISO4406</t>
  </si>
  <si>
    <t/>
  </si>
  <si>
    <t>RH %</t>
  </si>
  <si>
    <t>Temp C</t>
  </si>
  <si>
    <t>Printer Operation</t>
  </si>
  <si>
    <t>Test USB Download</t>
  </si>
  <si>
    <t>Delete Log</t>
  </si>
  <si>
    <t>Print Automatically OFF</t>
  </si>
  <si>
    <t>Red Cross on Water Content if applicable</t>
  </si>
  <si>
    <t>Red Cross on Diagnostics</t>
  </si>
  <si>
    <t>Turn Oil Flow to rig OFF</t>
  </si>
  <si>
    <t>Operate Flush Valve for 10 seconds</t>
  </si>
  <si>
    <t>Switch Unit Off and remove mains lead</t>
  </si>
  <si>
    <t>Turn on unit on to check battery operation</t>
  </si>
  <si>
    <t>Switch Unit Off</t>
  </si>
  <si>
    <t>Final Fix</t>
  </si>
  <si>
    <t>Fit 10 x M4 washers and screws for faceplates</t>
  </si>
  <si>
    <t xml:space="preserve">Post Calibration Checks Carried out by </t>
  </si>
  <si>
    <t>Pump Rebuild</t>
  </si>
  <si>
    <t>YES</t>
  </si>
  <si>
    <t>PCB Replaced</t>
  </si>
  <si>
    <t>Post Calibration Checks</t>
  </si>
  <si>
    <t>Part Number</t>
  </si>
  <si>
    <t>Customer</t>
  </si>
  <si>
    <t>Sales Order</t>
  </si>
  <si>
    <t>Works Order</t>
  </si>
  <si>
    <t>Op Number</t>
  </si>
  <si>
    <t>Print 2 Calibration Certificates</t>
  </si>
  <si>
    <t>LPA3 Calibration sheet 202.038 updated</t>
  </si>
  <si>
    <t>Note LPA3 Firmware</t>
  </si>
  <si>
    <t>Check Label is fitted and details correct</t>
  </si>
  <si>
    <t>ON LPA VIEW</t>
  </si>
  <si>
    <t>User Settings</t>
  </si>
  <si>
    <t>Test number to 1</t>
  </si>
  <si>
    <t>Format set to ISO4406</t>
  </si>
  <si>
    <t>If W option fitted, box is available to tick</t>
  </si>
  <si>
    <t>W option not selected</t>
  </si>
  <si>
    <t>Test Type: Normal</t>
  </si>
  <si>
    <t>Flush time: 30s</t>
  </si>
  <si>
    <t>Sample volume: 100ml</t>
  </si>
  <si>
    <t>Identification: LPA3 - S/N - Firmware</t>
  </si>
  <si>
    <t>Calibrated - current date</t>
  </si>
  <si>
    <t xml:space="preserve">Calibration Due </t>
  </si>
  <si>
    <t>System Settings</t>
  </si>
  <si>
    <t xml:space="preserve">Check Thresholds are programmed on unit </t>
  </si>
  <si>
    <t xml:space="preserve">Check Thresholds are noted on calibration certificate </t>
  </si>
  <si>
    <t>Effective Channel Dept - 400</t>
  </si>
  <si>
    <t>Bean Divergence - 0</t>
  </si>
  <si>
    <t>Sampling Flow Rate ml/min - 100</t>
  </si>
  <si>
    <t>Sample volume - 100ml</t>
  </si>
  <si>
    <t>Auto Flush - 30 secs</t>
  </si>
  <si>
    <t>Experimental</t>
  </si>
  <si>
    <t>Bubble Mitigation not ticked</t>
  </si>
  <si>
    <t>Serial Number as shown</t>
  </si>
  <si>
    <t>Test number set to 1</t>
  </si>
  <si>
    <t>Test Ref - CERTIFIED for new build. As received for service</t>
  </si>
  <si>
    <t>Check time is correct</t>
  </si>
  <si>
    <t>Note Cal Initial LED level</t>
  </si>
  <si>
    <t>Note: Last LED level %</t>
  </si>
  <si>
    <t>Note: Alarm LED level %</t>
  </si>
  <si>
    <t>Pressure Switch not ticked</t>
  </si>
  <si>
    <t>If W option fitted, box is ticked</t>
  </si>
  <si>
    <t>T Mode not ticked</t>
  </si>
  <si>
    <t>If Printer is fitted box is ticked</t>
  </si>
  <si>
    <t>Physical checks on unit</t>
  </si>
  <si>
    <t>Use Presure Switch - not ticked</t>
  </si>
  <si>
    <t>Use RH Sensor - Ticked (if applicable)</t>
  </si>
  <si>
    <t>Check RH sensor values are seen (if applicable)</t>
  </si>
  <si>
    <t>Clear Counter Parameters (New Build Only)</t>
  </si>
  <si>
    <t>Home page settings</t>
  </si>
  <si>
    <t>Result Format reads ISO4406</t>
  </si>
  <si>
    <t>Green tick on Water Content (RH) (if applicable)</t>
  </si>
  <si>
    <t>Green tick on Diagnostics</t>
  </si>
  <si>
    <t>Language set to EN new build. As received for service</t>
  </si>
  <si>
    <t>Print Detailed Counts ON</t>
  </si>
  <si>
    <t>Print Test Reference ON</t>
  </si>
  <si>
    <t>Print Automatically ON</t>
  </si>
  <si>
    <t>Final Tests</t>
  </si>
  <si>
    <t>Run one Normal Test. Note values below</t>
  </si>
  <si>
    <t>RH% (if applicable)</t>
  </si>
  <si>
    <t>Temp C (if applicable)</t>
  </si>
  <si>
    <t>Printer operation</t>
  </si>
  <si>
    <t>Delete Log (new units only)</t>
  </si>
  <si>
    <t>Red Cross on Water Content</t>
  </si>
  <si>
    <t>Turn oil flow off rig</t>
  </si>
  <si>
    <t>Operate flush valve for 10 seconds</t>
  </si>
  <si>
    <t>Turn unit on to check battery operation</t>
  </si>
  <si>
    <t xml:space="preserve">Switch Unit Off </t>
  </si>
  <si>
    <t>Fit 10 x M4 washers and bolts for faceplates</t>
  </si>
  <si>
    <t>Checks Carried out by</t>
  </si>
  <si>
    <t>Pass unit to Logistics : LPA3 Packing Check List - New Build ONLY</t>
  </si>
  <si>
    <t>Pack of 5 paper rolls in lid organiser (63.08300)</t>
  </si>
  <si>
    <t>1 x USB A-B cable in lid organiser  (11.081)</t>
  </si>
  <si>
    <t>1 x USB stick in lid organiser (13.055001)</t>
  </si>
  <si>
    <t>1 x Fluid Handbook in lid organiser (200.059)</t>
  </si>
  <si>
    <t>1 x Battery certificate walleted in lid organiser</t>
  </si>
  <si>
    <t>1 x Calibration certificate walleted in lid organiser</t>
  </si>
  <si>
    <t xml:space="preserve">Mineral oil and battery charge sheet </t>
  </si>
  <si>
    <t>Square waste bottle</t>
  </si>
  <si>
    <t>1500mm pressure hose in pouch</t>
  </si>
  <si>
    <t>2000mm waste hose in pouch</t>
  </si>
  <si>
    <t>UK/EU/US/CN power chords</t>
  </si>
  <si>
    <t>LPA3 power adapter</t>
  </si>
  <si>
    <t>Box and foam assembled</t>
  </si>
  <si>
    <t xml:space="preserve"> 1 x Cal Cert/Battery/transport labels on outer box</t>
  </si>
  <si>
    <t>Paper work scanned</t>
  </si>
  <si>
    <t>Pump</t>
  </si>
  <si>
    <t>Units</t>
  </si>
  <si>
    <t>Contamination Monitoring Product Calibration Record - CML4/CML3</t>
  </si>
  <si>
    <t>ml/min</t>
  </si>
  <si>
    <t>Pump Flow Emptying</t>
  </si>
  <si>
    <t>Pump Flow Sampling</t>
  </si>
  <si>
    <t>mA</t>
  </si>
  <si>
    <t>Pump current when sampling (mA)</t>
  </si>
  <si>
    <t>Pump current when emptying (mA)</t>
  </si>
  <si>
    <t>= Key detail</t>
  </si>
  <si>
    <t>Doc. No: 200.041</t>
  </si>
  <si>
    <t>Sheet 1</t>
  </si>
  <si>
    <t>LED</t>
  </si>
  <si>
    <t>= Locked cells</t>
  </si>
  <si>
    <t>Sensor "no noise" threshold</t>
  </si>
  <si>
    <t>Rev XXX</t>
  </si>
  <si>
    <t>ml</t>
  </si>
  <si>
    <t>Sample Volume</t>
  </si>
  <si>
    <t>nA</t>
  </si>
  <si>
    <t>Photocurrent</t>
  </si>
  <si>
    <t>CMP type</t>
  </si>
  <si>
    <t>5.6mg/l RM8631b</t>
  </si>
  <si>
    <t>Cert No.</t>
  </si>
  <si>
    <t>RM Batch</t>
  </si>
  <si>
    <t>RM8631b</t>
  </si>
  <si>
    <t>Test Rig No.</t>
  </si>
  <si>
    <t>No noise count/100ml 
(must not exceed 500/100ml)</t>
  </si>
  <si>
    <t>Calibration Rig</t>
  </si>
  <si>
    <t>mm</t>
  </si>
  <si>
    <t>Initial Fluid Distance</t>
  </si>
  <si>
    <t>L</t>
  </si>
  <si>
    <t>Calculated Initial Fluid Volume</t>
  </si>
  <si>
    <t>mg/L</t>
  </si>
  <si>
    <t>Desired concentration</t>
  </si>
  <si>
    <t>mg</t>
  </si>
  <si>
    <t>Required Qty of MTD to add</t>
  </si>
  <si>
    <t>Calibrated by</t>
  </si>
  <si>
    <t>Actual qty MTD added</t>
  </si>
  <si>
    <t>Chkd/verified by</t>
  </si>
  <si>
    <t>Final Fluid Level</t>
  </si>
  <si>
    <t>Calculated Final Fluid Volume</t>
  </si>
  <si>
    <t>Calculated final concentration</t>
  </si>
  <si>
    <t>Final Recommended Threshold Settings</t>
  </si>
  <si>
    <t>Particle Size Required (µm)</t>
  </si>
  <si>
    <t>Combined Thresholds</t>
  </si>
  <si>
    <t>Test result</t>
  </si>
  <si>
    <t>Target</t>
  </si>
  <si>
    <t>% Deviation 1</t>
  </si>
  <si>
    <t>Average value</t>
  </si>
  <si>
    <t>MP Filtri UK Ltd</t>
  </si>
  <si>
    <t>Keep House, Conference Way, Vale Park,</t>
  </si>
  <si>
    <t>Evesham</t>
  </si>
  <si>
    <t>England</t>
  </si>
  <si>
    <t>WR11 1LB</t>
  </si>
  <si>
    <t>Tel: +44 (0) 1386 258500</t>
  </si>
  <si>
    <t>www.mpfiltri.co.uk</t>
  </si>
  <si>
    <t>CERTIFICATE OF CALIBRATION</t>
  </si>
  <si>
    <t xml:space="preserve">WE HEREBY CERTIFY THAT THE CONTAMINATION MONITORING PRODUCT DETAILED BELOW HAS BEEN FULLY CALIBRATED WITH ISO MEDIUM TEST DUST (MTD) BASED ON ISO 11171:2020 ON TEST EQUIPMENT CERTIFIED TO ISO 11943 BY I.F.T.S {Institut de la Filtration et des Techniques Séparatives}. </t>
  </si>
  <si>
    <t>We hereby confirm that the above mentioned measuring system was calibrated according to DIN ISO 9001, under the observation of a certified quality assurance system. The measuring installation used for calibration are regularly calibrated to national standards by I.F.T.S. Should no national standards exist, the measuring procedure corresponds with the technical regulations and norms valid at the time of the measurement</t>
  </si>
  <si>
    <t>PRODUCT TYPE</t>
  </si>
  <si>
    <t>REFERENCE MATERIAL BATCH NUMBER</t>
  </si>
  <si>
    <t>SERIAL NUMBER</t>
  </si>
  <si>
    <t>DATE OF CALIBRATION</t>
  </si>
  <si>
    <t>CERTIFICATE NUMBER</t>
  </si>
  <si>
    <t>CALIBRATION RIG NUMBER</t>
  </si>
  <si>
    <t>PARTICLE COUNT LIMITS AT 16mg/L CONCENTRATION</t>
  </si>
  <si>
    <t>(Suspension of ISO MTD in MIL-H-5606)</t>
  </si>
  <si>
    <t>No. particles reported per 100ml volume</t>
  </si>
  <si>
    <t>Particle Size</t>
  </si>
  <si>
    <t>Calibration Pulse Height</t>
  </si>
  <si>
    <t>Target Particle Count</t>
  </si>
  <si>
    <t>Actual Particle Count</t>
  </si>
  <si>
    <t>Deviation</t>
  </si>
  <si>
    <t>% Deviation
(+/- 10%)</t>
  </si>
  <si>
    <t>[microns (c)]</t>
  </si>
  <si>
    <t>[mV]</t>
  </si>
  <si>
    <t>[n]</t>
  </si>
  <si>
    <t>[%]</t>
  </si>
  <si>
    <t>&gt;4</t>
  </si>
  <si>
    <t>&gt;6</t>
  </si>
  <si>
    <t>&gt;14</t>
  </si>
  <si>
    <t>&gt;21</t>
  </si>
  <si>
    <t>&gt;25</t>
  </si>
  <si>
    <t>&gt;38</t>
  </si>
  <si>
    <t>&gt;**50</t>
  </si>
  <si>
    <t>&gt;**70</t>
  </si>
  <si>
    <t>**These particle sizes are not yet certified by NIST</t>
  </si>
  <si>
    <t>LS1 No Noise Threshold</t>
  </si>
  <si>
    <t>LS1 Threshold Sensitivity</t>
  </si>
  <si>
    <t>Sensitivity Threshold Ratio</t>
  </si>
  <si>
    <t>[-]</t>
  </si>
  <si>
    <t>CALIBRATION RESULT</t>
  </si>
  <si>
    <t>PASS</t>
  </si>
  <si>
    <t>PASS - VERIFIED</t>
  </si>
  <si>
    <t>RE-CALIBRATION DUE</t>
  </si>
  <si>
    <t>1 YEAR FROM FIRST USE</t>
  </si>
  <si>
    <t>CALIBRATED BY</t>
  </si>
  <si>
    <t>Position</t>
  </si>
  <si>
    <t>Calibration Lab Technician</t>
  </si>
  <si>
    <t>Newly purchased products are covered under warranty for 12 months from first use</t>
  </si>
  <si>
    <t>Products being returned for re-calibration are verified for accuracy for a further 12 months. This does not extend the warranty.</t>
  </si>
  <si>
    <t>Customers are responsible for managing the intervals between calibration's as defined within IS0 9001:2000</t>
  </si>
  <si>
    <t>Doc No. 200.XXX</t>
  </si>
  <si>
    <t>Bourton on the Water Industrial Park</t>
  </si>
  <si>
    <t>Gloucestershire</t>
  </si>
  <si>
    <t>GL54 2HQ</t>
  </si>
  <si>
    <t>Tel: +44 (0) 1451 822522</t>
  </si>
  <si>
    <t>Work carried out</t>
  </si>
  <si>
    <t>UNIT SERVICING</t>
  </si>
  <si>
    <t>CALIBRATION AND FINAL CHECKS</t>
  </si>
  <si>
    <t>Walter Stauffenberg</t>
  </si>
  <si>
    <t>GmbH &amp; Co. KG</t>
  </si>
  <si>
    <t>Im Ehrenfeld 4</t>
  </si>
  <si>
    <t>D-58791 Werdohl</t>
  </si>
  <si>
    <t>Telefon +49 (0) 2392 916-0</t>
  </si>
  <si>
    <t>CALIBRATION CERTIFICATE</t>
  </si>
  <si>
    <t>Carried out by:</t>
  </si>
  <si>
    <t>Walter Stauffenberg GmbH &amp; Co. KG</t>
  </si>
  <si>
    <t>58791 Werdohl</t>
  </si>
  <si>
    <t>Germany</t>
  </si>
  <si>
    <t>Certificate No.:</t>
  </si>
  <si>
    <t>20</t>
  </si>
  <si>
    <t>Description of probe:</t>
  </si>
  <si>
    <t>We hereby confirm that the above mentioned measuring system was calibrated according to DIN ISO 9001, under the observation of a certified quality assurance system. 
The measuring installation used for calibration are regularly calibrated and are based on the national standards ISO 11171:2010 and other national standards.</t>
  </si>
  <si>
    <t>Should no national standards exist, the measuring procedure corresponds with the technical regulations and norms valid at the time of the measurement.</t>
  </si>
  <si>
    <t>The documents established for this procedure are available for viewing. All the necessary measured data can be found on the following page of this calibration certificate.</t>
  </si>
  <si>
    <t>Special remarks</t>
  </si>
  <si>
    <t xml:space="preserve">Date of calibration:                  </t>
  </si>
  <si>
    <t>Processed by J Clay</t>
  </si>
  <si>
    <t>(Laboratory Engineer)</t>
  </si>
  <si>
    <r>
      <t>(The LasPaCII unit</t>
    </r>
    <r>
      <rPr>
        <vertAlign val="superscript"/>
        <sz val="9"/>
        <rFont val="Arial"/>
        <family val="2"/>
      </rPr>
      <t xml:space="preserve"> </t>
    </r>
    <r>
      <rPr>
        <sz val="9"/>
        <rFont val="Arial"/>
        <family val="2"/>
      </rPr>
      <t>is certified for 12 months after date of sale to end-customer from first use)</t>
    </r>
  </si>
  <si>
    <t>TESTING EQUIPMENT</t>
  </si>
  <si>
    <t>Particle Counter</t>
  </si>
  <si>
    <t>Ser.No.:</t>
  </si>
  <si>
    <t>Pressure Mode</t>
  </si>
  <si>
    <t>Low Pressure</t>
  </si>
  <si>
    <t>Noise (Laser1)</t>
  </si>
  <si>
    <t>Noise (Laser2)</t>
  </si>
  <si>
    <t>Size Range</t>
  </si>
  <si>
    <t xml:space="preserve">4 - 70um(c) </t>
  </si>
  <si>
    <t>Flow rate</t>
  </si>
  <si>
    <t>6ml/min</t>
  </si>
  <si>
    <t>The ISO MTD - Calibration was performaned with 16mg/l ISO MTD in MIL-H-5606 according to ISO 11171</t>
  </si>
  <si>
    <t>CALIBRATION PERFORMANCE</t>
  </si>
  <si>
    <t>Max. Deviation: ± 10%</t>
  </si>
  <si>
    <t>Nominal</t>
  </si>
  <si>
    <t>Actual</t>
  </si>
  <si>
    <t>[um (c)]</t>
  </si>
  <si>
    <t>[Particle / 16ml]</t>
  </si>
  <si>
    <t>*50</t>
  </si>
  <si>
    <t>*70</t>
  </si>
  <si>
    <t>*These particle sizes are not yet certified by NIST therefore the deviation values are not applicable</t>
  </si>
  <si>
    <t>Date:</t>
  </si>
  <si>
    <t>(The LasPaCII unit is certified for 12 months after date of sale)</t>
  </si>
  <si>
    <t xml:space="preserve">WE HEREBY CERTIFY THAT THE CONTAMINATION MONITORING PRODUCT DETAILED BELOW HAS BEEN FULLY CALIBRATED WITH ISO MEDIUM TEST DUST (MTD) BASED ON ISO 11171 ON TEST EQUIPMENT CERTIFIED TO ISO 11943 BY I.F.T.S {Institut de la Filtration et des Techniques Séparatives}. </t>
  </si>
  <si>
    <t>MEDIUM TEST DUST BATCH NUMBER</t>
  </si>
  <si>
    <t>ID NO.</t>
  </si>
  <si>
    <t>DESCRIPTION</t>
  </si>
  <si>
    <t>Manufacturer / Supplier</t>
  </si>
  <si>
    <t>Serial No.</t>
  </si>
  <si>
    <t>ACE 1999</t>
  </si>
  <si>
    <t>PARTICLE COUNTER</t>
  </si>
  <si>
    <t>MP FILTRI</t>
  </si>
  <si>
    <t>ACE 2048</t>
  </si>
  <si>
    <t>ACE 2625</t>
  </si>
  <si>
    <t>ACE 3614</t>
  </si>
  <si>
    <t>LS2 No Noise Threshold</t>
  </si>
  <si>
    <t>LS2 Threshold Sensitivity</t>
  </si>
  <si>
    <t>Page 1 of 1</t>
  </si>
  <si>
    <t xml:space="preserve">WE HEREBY CERTIFY THAT THE CONTAMINATION MONITORING PRODUCT DETAILED BELOW HAS BEEN FULLY CALIBRATED WITH ISO MEDIUM TEST DUST (MTD) BASED ON ISO 11171:2010 ON TEST EQUIPMENT CERTIFIED TO ISO 11943 BY I.F.T.S {Institut de la Filtration et des Techniques Séparatives}. </t>
  </si>
  <si>
    <t>MP Filtri Distributor:  Dutch Holding</t>
  </si>
  <si>
    <t>Asesorias Y Tecnologia Industrial S.A</t>
  </si>
  <si>
    <t xml:space="preserve">VDA Del Parque 4680A OF.401 </t>
  </si>
  <si>
    <t xml:space="preserve">Ciudad Empresarial Huechuraba </t>
  </si>
  <si>
    <t>Santiago - Chile</t>
  </si>
  <si>
    <t>For TRESCAL on behalf of AIRBUS OPERATIONS LTD (FILTON):BS99 7AR</t>
  </si>
  <si>
    <t>&gt;50</t>
  </si>
  <si>
    <t>&gt;70</t>
  </si>
  <si>
    <t>Table 4 — APC Calibration summary</t>
  </si>
  <si>
    <t>APC
Sensor</t>
  </si>
  <si>
    <t>Model</t>
  </si>
  <si>
    <t>Operator</t>
  </si>
  <si>
    <t>JMD</t>
  </si>
  <si>
    <t>Calibration type (primary or secondary)</t>
  </si>
  <si>
    <t>SECONDARY</t>
  </si>
  <si>
    <t>Calibration sample identification numbers</t>
  </si>
  <si>
    <t>RM8632b</t>
  </si>
  <si>
    <t>Noise level (Annex A)  [mV]</t>
  </si>
  <si>
    <t>Coincidence error limit (Annex B)</t>
  </si>
  <si>
    <t>particles/mL</t>
  </si>
  <si>
    <t>Sample volume (Annex A)  [mL]</t>
  </si>
  <si>
    <t>Working flow rate (Annex C)</t>
  </si>
  <si>
    <t>mL/min</t>
  </si>
  <si>
    <t>Cv, vol (Annex A)  [%]</t>
  </si>
  <si>
    <t>Flow rate range (Annex C)</t>
  </si>
  <si>
    <t>Resolution (Annex D)</t>
  </si>
  <si>
    <t>S_R</t>
  </si>
  <si>
    <t>µm</t>
  </si>
  <si>
    <t>R_R</t>
  </si>
  <si>
    <t>%</t>
  </si>
  <si>
    <t>S_L</t>
  </si>
  <si>
    <t>R_L</t>
  </si>
  <si>
    <t>d</t>
  </si>
  <si>
    <t>R</t>
  </si>
  <si>
    <t>Verification of Particle Counting Accuracy (Annex E)</t>
  </si>
  <si>
    <t>Particle Size Calibration Summary (Clause 6)</t>
  </si>
  <si>
    <t>Expected particle concentration</t>
  </si>
  <si>
    <t>Observed particle concentration</t>
  </si>
  <si>
    <t>Particle Concentration</t>
  </si>
  <si>
    <t>Threshold Setting</t>
  </si>
  <si>
    <t>µm(c)</t>
  </si>
  <si>
    <t>Particles/mL</t>
  </si>
  <si>
    <t>mV</t>
  </si>
  <si>
    <t>Keep House, Conference Way, Vale Park</t>
  </si>
  <si>
    <t>www.mpfiltri.com</t>
  </si>
  <si>
    <t>KAP</t>
  </si>
  <si>
    <t>S250602008 (35D)</t>
  </si>
  <si>
    <t xml:space="preserve">Method of calibration and traceability: 
This device was calibrated using PartiStan 2806 Secondary reference fluid, Sizes and particle concentrations determined on a primary calibrated instrument using NIST SRM 2806d. 
Particle sizes 38, 50, 70 microns calibrated using NIST traceable glass spheres in accordance with clause 6. </t>
  </si>
  <si>
    <t>NOT SET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</si>
</sst>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44" formatCode="_-&quot;£&quot;* #,##0.00_-;\-&quot;£&quot;* #,##0.00_-;_-&quot;£&quot;* &quot;-&quot;??_-;_-@_-"/>
    <numFmt numFmtId="164" formatCode="0.000"/>
    <numFmt numFmtId="165" formatCode="dd\ mm\ yy"/>
    <numFmt numFmtId="166" formatCode="ddmmyy"/>
    <numFmt numFmtId="167" formatCode="dd/mm/yy"/>
    <numFmt numFmtId="168" formatCode="0.000%"/>
    <numFmt numFmtId="169" formatCode="00##"/>
    <numFmt numFmtId="170" formatCode="0.0%"/>
    <numFmt numFmtId="171" formatCode="dd\ mm\ yyyy"/>
    <numFmt numFmtId="172" formatCode="[$-F800]dddd\,\ mmmm\ dd\,\ yyyy"/>
    <numFmt numFmtId="173" formatCode="[$-F400]h:mm:ss\ AM/PM"/>
    <numFmt numFmtId="174" formatCode="0.000000"/>
    <numFmt numFmtId="175" formatCode="\ ddmmyy"/>
    <numFmt numFmtId="176" formatCode=";;;"/>
    <numFmt numFmtId="177" formatCode="00###"/>
    <numFmt numFmtId="178" formatCode="00####"/>
  </numFmts>
  <fonts count="68" x14ac:knownFonts="1">
    <font>
      <sz val="10"/>
      <name val="Arial"/>
    </font>
    <font>
      <sz val="11"/>
      <color theme="1"/>
      <name val="Calibri"/>
      <family val="2"/>
      <scheme val="minor"/>
    </font>
    <font>
      <sz val="10"/>
      <name val="Arial"/>
      <family val="2"/>
    </font>
    <font>
      <b/>
      <sz val="10"/>
      <name val="Arial"/>
      <family val="2"/>
    </font>
    <font>
      <i/>
      <sz val="10"/>
      <name val="Arial"/>
      <family val="2"/>
    </font>
    <font>
      <sz val="10"/>
      <name val="Arial"/>
      <family val="2"/>
    </font>
    <font>
      <u/>
      <sz val="10"/>
      <color indexed="12"/>
      <name val="Arial"/>
      <family val="2"/>
    </font>
    <font>
      <sz val="9"/>
      <name val="Arial"/>
      <family val="2"/>
    </font>
    <font>
      <sz val="12"/>
      <name val="Arial"/>
      <family val="2"/>
    </font>
    <font>
      <b/>
      <sz val="22"/>
      <name val="Arial"/>
      <family val="2"/>
    </font>
    <font>
      <b/>
      <sz val="14"/>
      <name val="Arial"/>
      <family val="2"/>
    </font>
    <font>
      <sz val="8"/>
      <name val="Arial"/>
      <family val="2"/>
    </font>
    <font>
      <sz val="14"/>
      <name val="Arial"/>
      <family val="2"/>
    </font>
    <font>
      <sz val="8"/>
      <name val="Arial"/>
      <family val="2"/>
    </font>
    <font>
      <b/>
      <sz val="12"/>
      <name val="Arial"/>
      <family val="2"/>
    </font>
    <font>
      <b/>
      <sz val="16"/>
      <name val="Arial"/>
      <family val="2"/>
    </font>
    <font>
      <b/>
      <i/>
      <sz val="10"/>
      <color indexed="12"/>
      <name val="Arial"/>
      <family val="2"/>
    </font>
    <font>
      <i/>
      <sz val="10"/>
      <color indexed="12"/>
      <name val="Arial"/>
      <family val="2"/>
    </font>
    <font>
      <sz val="10"/>
      <color indexed="12"/>
      <name val="Arial"/>
      <family val="2"/>
    </font>
    <font>
      <b/>
      <sz val="10"/>
      <color indexed="10"/>
      <name val="Arial"/>
      <family val="2"/>
    </font>
    <font>
      <sz val="11"/>
      <name val="Arial"/>
      <family val="2"/>
    </font>
    <font>
      <u/>
      <sz val="11"/>
      <color indexed="12"/>
      <name val="Arial"/>
      <family val="2"/>
    </font>
    <font>
      <b/>
      <sz val="26"/>
      <color indexed="22"/>
      <name val="Arial"/>
      <family val="2"/>
    </font>
    <font>
      <b/>
      <sz val="16"/>
      <color indexed="63"/>
      <name val="Arial"/>
      <family val="2"/>
    </font>
    <font>
      <sz val="16"/>
      <color indexed="63"/>
      <name val="Arial"/>
      <family val="2"/>
    </font>
    <font>
      <sz val="16"/>
      <color indexed="23"/>
      <name val="Arial"/>
      <family val="2"/>
    </font>
    <font>
      <sz val="16"/>
      <name val="Arial"/>
      <family val="2"/>
    </font>
    <font>
      <i/>
      <sz val="14"/>
      <name val="Arial"/>
      <family val="2"/>
    </font>
    <font>
      <b/>
      <sz val="26"/>
      <name val="Arial"/>
      <family val="2"/>
    </font>
    <font>
      <b/>
      <sz val="20"/>
      <name val="Arial"/>
      <family val="2"/>
    </font>
    <font>
      <sz val="8"/>
      <color indexed="23"/>
      <name val="Arial"/>
      <family val="2"/>
    </font>
    <font>
      <b/>
      <sz val="18"/>
      <name val="Arial"/>
      <family val="2"/>
    </font>
    <font>
      <vertAlign val="superscript"/>
      <sz val="9"/>
      <name val="Arial"/>
      <family val="2"/>
    </font>
    <font>
      <sz val="14"/>
      <name val="Times New Roman"/>
      <family val="1"/>
    </font>
    <font>
      <sz val="10"/>
      <color indexed="63"/>
      <name val="Arial"/>
      <family val="2"/>
    </font>
    <font>
      <sz val="14"/>
      <color indexed="63"/>
      <name val="Arial"/>
      <family val="2"/>
    </font>
    <font>
      <sz val="14"/>
      <color theme="1"/>
      <name val="Arial"/>
      <family val="2"/>
    </font>
    <font>
      <b/>
      <sz val="10"/>
      <color theme="1"/>
      <name val="Arial"/>
      <family val="2"/>
    </font>
    <font>
      <sz val="12"/>
      <color rgb="FF000000"/>
      <name val="Arial"/>
      <family val="2"/>
    </font>
    <font>
      <sz val="10"/>
      <color rgb="FFFF0000"/>
      <name val="Arial"/>
      <family val="2"/>
    </font>
    <font>
      <sz val="10"/>
      <color rgb="FF000000"/>
      <name val="Times New Roman"/>
      <family val="1"/>
    </font>
    <font>
      <b/>
      <sz val="11"/>
      <color theme="1"/>
      <name val="Calibri"/>
      <family val="2"/>
      <scheme val="minor"/>
    </font>
    <font>
      <sz val="11"/>
      <color theme="0"/>
      <name val="Calibri"/>
      <family val="2"/>
      <scheme val="minor"/>
    </font>
    <font>
      <b/>
      <sz val="11"/>
      <name val="Calibri"/>
      <family val="2"/>
      <scheme val="minor"/>
    </font>
    <font>
      <sz val="11"/>
      <name val="Calibri"/>
      <family val="2"/>
      <scheme val="minor"/>
    </font>
    <font>
      <b/>
      <sz val="11"/>
      <color rgb="FFFF0000"/>
      <name val="Calibri"/>
      <family val="2"/>
      <scheme val="minor"/>
    </font>
    <font>
      <sz val="10"/>
      <name val="Calibri"/>
      <family val="2"/>
      <scheme val="minor"/>
    </font>
    <font>
      <b/>
      <sz val="11"/>
      <color theme="0"/>
      <name val="Calibri"/>
      <family val="2"/>
      <scheme val="minor"/>
    </font>
    <font>
      <i/>
      <sz val="11"/>
      <color rgb="FF7F7F7F"/>
      <name val="Calibri"/>
      <family val="2"/>
      <scheme val="minor"/>
    </font>
    <font>
      <b/>
      <sz val="12"/>
      <color theme="0"/>
      <name val="Calibri"/>
      <family val="2"/>
      <scheme val="minor"/>
    </font>
    <font>
      <b/>
      <sz val="10"/>
      <name val="Calibri"/>
      <family val="2"/>
      <scheme val="minor"/>
    </font>
    <font>
      <b/>
      <sz val="10"/>
      <color theme="1"/>
      <name val="Calibri"/>
      <family val="2"/>
      <scheme val="minor"/>
    </font>
    <font>
      <sz val="12"/>
      <color theme="0"/>
      <name val="Calibri"/>
      <family val="2"/>
      <scheme val="minor"/>
    </font>
    <font>
      <b/>
      <u/>
      <sz val="11"/>
      <name val="Calibri"/>
      <family val="2"/>
      <scheme val="minor"/>
    </font>
    <font>
      <b/>
      <sz val="12"/>
      <color rgb="FFFF0000"/>
      <name val="Arial"/>
      <family val="2"/>
    </font>
    <font>
      <b/>
      <sz val="10"/>
      <color theme="0"/>
      <name val="Arial"/>
      <family val="2"/>
    </font>
    <font>
      <sz val="9"/>
      <color indexed="81"/>
      <name val="Tahoma"/>
      <family val="2"/>
    </font>
    <font>
      <b/>
      <sz val="9"/>
      <color indexed="81"/>
      <name val="Tahoma"/>
      <family val="2"/>
    </font>
    <font>
      <sz val="10"/>
      <name val="Arial"/>
      <family val="2"/>
    </font>
    <font>
      <b/>
      <sz val="11"/>
      <name val="Calibri"/>
      <family val="2"/>
    </font>
    <font>
      <sz val="18"/>
      <name val="Arial"/>
      <family val="2"/>
    </font>
    <font>
      <sz val="10"/>
      <color theme="0"/>
      <name val="Arial"/>
      <family val="2"/>
    </font>
    <font>
      <sz val="10"/>
      <name val="Arial"/>
    </font>
    <font>
      <sz val="11"/>
      <color theme="1"/>
      <name val="Calibri"/>
      <family val="2"/>
      <charset val="1"/>
    </font>
    <font>
      <b/>
      <sz val="14"/>
      <name val="Calibri"/>
      <family val="2"/>
    </font>
    <font>
      <sz val="11"/>
      <name val="Calibri"/>
      <family val="2"/>
    </font>
    <font>
      <i/>
      <sz val="10"/>
      <name val="Calibri"/>
      <family val="2"/>
    </font>
    <font>
      <u/>
      <sz val="11"/>
      <color theme="10"/>
      <name val="Calibri"/>
      <family val="2"/>
      <scheme val="minor"/>
    </font>
  </fonts>
  <fills count="17">
    <fill>
      <patternFill patternType="none"/>
    </fill>
    <fill>
      <patternFill patternType="gray125"/>
    </fill>
    <fill>
      <patternFill patternType="solid">
        <fgColor indexed="9"/>
        <bgColor indexed="64"/>
      </patternFill>
    </fill>
    <fill>
      <patternFill patternType="solid">
        <fgColor indexed="44"/>
        <bgColor indexed="64"/>
      </patternFill>
    </fill>
    <fill>
      <patternFill patternType="solid">
        <fgColor indexed="47"/>
        <bgColor indexed="64"/>
      </patternFill>
    </fill>
    <fill>
      <patternFill patternType="solid">
        <fgColor indexed="9"/>
        <bgColor indexed="26"/>
      </patternFill>
    </fill>
    <fill>
      <patternFill patternType="solid">
        <fgColor theme="0"/>
        <bgColor indexed="64"/>
      </patternFill>
    </fill>
    <fill>
      <patternFill patternType="solid">
        <fgColor rgb="FFFFC000"/>
        <bgColor indexed="64"/>
      </patternFill>
    </fill>
    <fill>
      <patternFill patternType="solid">
        <fgColor rgb="FF92D050"/>
        <bgColor indexed="64"/>
      </patternFill>
    </fill>
    <fill>
      <patternFill patternType="solid">
        <fgColor rgb="FFCCCCFF"/>
        <bgColor indexed="64"/>
      </patternFill>
    </fill>
    <fill>
      <patternFill patternType="solid">
        <fgColor rgb="FFFFFF00"/>
        <bgColor indexed="64"/>
      </patternFill>
    </fill>
    <fill>
      <patternFill patternType="solid">
        <fgColor rgb="FF00FF00"/>
        <bgColor indexed="64"/>
      </patternFill>
    </fill>
    <fill>
      <patternFill patternType="solid">
        <fgColor rgb="FFFF0000"/>
        <bgColor indexed="64"/>
      </patternFill>
    </fill>
    <fill>
      <patternFill patternType="solid">
        <fgColor theme="5" tint="0.59999389629810485"/>
        <bgColor indexed="64"/>
      </patternFill>
    </fill>
    <fill>
      <patternFill patternType="solid">
        <fgColor rgb="FF0070C0"/>
        <bgColor indexed="64"/>
      </patternFill>
    </fill>
    <fill>
      <patternFill patternType="solid">
        <fgColor rgb="FFFFFDE7"/>
        <bgColor rgb="FFFFFFCC"/>
      </patternFill>
    </fill>
    <fill>
      <patternFill patternType="solid">
        <fgColor rgb="FFE8EAF6"/>
        <bgColor rgb="FFFFFDE7"/>
      </patternFill>
    </fill>
  </fills>
  <borders count="41">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thick">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auto="1"/>
      </left>
      <right style="thin">
        <color auto="1"/>
      </right>
      <top style="thin">
        <color auto="1"/>
      </top>
      <bottom style="thin">
        <color auto="1"/>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22"/>
      </left>
      <right style="thin">
        <color indexed="8"/>
      </right>
      <top style="thin">
        <color indexed="8"/>
      </top>
      <bottom style="thin">
        <color indexed="22"/>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22"/>
      </left>
      <right style="thin">
        <color indexed="22"/>
      </right>
      <top style="thin">
        <color indexed="22"/>
      </top>
      <bottom style="thin">
        <color indexed="22"/>
      </bottom>
      <diagonal/>
    </border>
    <border>
      <left/>
      <right/>
      <top style="thin">
        <color indexed="64"/>
      </top>
      <bottom style="thin">
        <color indexed="22"/>
      </bottom>
      <diagonal/>
    </border>
    <border>
      <left/>
      <right/>
      <top style="thin">
        <color indexed="22"/>
      </top>
      <bottom style="thin">
        <color indexed="22"/>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1">
    <xf numFmtId="0" fontId="0" fillId="0" borderId="0"/>
    <xf numFmtId="0" fontId="6" fillId="0" borderId="0" applyNumberFormat="0" applyFill="0" applyBorder="0" applyAlignment="0" applyProtection="0">
      <alignment vertical="top"/>
      <protection locked="0"/>
    </xf>
    <xf numFmtId="0" fontId="2" fillId="0" borderId="0"/>
    <xf numFmtId="0" fontId="48" fillId="0" borderId="0" applyNumberFormat="0" applyFill="0" applyBorder="0" applyAlignment="0" applyProtection="0"/>
    <xf numFmtId="44" fontId="58" fillId="0" borderId="0" applyFont="0" applyFill="0" applyBorder="0" applyAlignment="0" applyProtection="0"/>
    <xf numFmtId="9" fontId="62" fillId="0" borderId="0" applyFont="0" applyFill="0" applyBorder="0" applyAlignment="0" applyProtection="0"/>
    <xf numFmtId="0" fontId="63" fillId="0" borderId="0"/>
    <xf numFmtId="44" fontId="2" fillId="0" borderId="0" applyFont="0" applyFill="0" applyBorder="0" applyAlignment="0" applyProtection="0"/>
    <xf numFmtId="0" fontId="1" fillId="0" borderId="0"/>
    <xf numFmtId="0" fontId="67" fillId="0" borderId="0" applyNumberFormat="0" applyFill="0" applyBorder="0" applyAlignment="0" applyProtection="0"/>
    <xf numFmtId="9" fontId="1" fillId="0" borderId="0" applyFont="0" applyFill="0" applyBorder="0" applyAlignment="0" applyProtection="0"/>
  </cellStyleXfs>
  <cellXfs count="644">
    <xf numFmtId="0" fontId="0" fillId="0" borderId="0" xfId="0"/>
    <xf numFmtId="0" fontId="0" fillId="2" borderId="0" xfId="0" applyFill="1"/>
    <xf numFmtId="0" fontId="0" fillId="2" borderId="0" xfId="0" applyFill="1" applyAlignment="1">
      <alignment horizontal="center" vertical="center" wrapText="1"/>
    </xf>
    <xf numFmtId="0" fontId="0" fillId="2" borderId="0" xfId="0" applyFill="1" applyAlignment="1">
      <alignment horizontal="center"/>
    </xf>
    <xf numFmtId="2" fontId="0" fillId="2" borderId="0" xfId="0" applyNumberFormat="1" applyFill="1" applyAlignment="1">
      <alignment horizontal="center"/>
    </xf>
    <xf numFmtId="0" fontId="0" fillId="2" borderId="0" xfId="0" applyFill="1" applyAlignment="1">
      <alignment horizontal="left"/>
    </xf>
    <xf numFmtId="0" fontId="0" fillId="2" borderId="0" xfId="0" quotePrefix="1" applyFill="1"/>
    <xf numFmtId="0" fontId="4" fillId="2" borderId="3" xfId="0" applyFont="1" applyFill="1" applyBorder="1" applyAlignment="1">
      <alignment horizontal="center"/>
    </xf>
    <xf numFmtId="0" fontId="4" fillId="2" borderId="4" xfId="0" applyFont="1" applyFill="1" applyBorder="1" applyAlignment="1">
      <alignment horizontal="center"/>
    </xf>
    <xf numFmtId="0" fontId="14" fillId="2" borderId="0" xfId="0" applyFont="1" applyFill="1" applyAlignment="1">
      <alignment horizontal="left"/>
    </xf>
    <xf numFmtId="2" fontId="0" fillId="3" borderId="3" xfId="0" applyNumberFormat="1" applyFill="1" applyBorder="1" applyAlignment="1">
      <alignment horizontal="center"/>
    </xf>
    <xf numFmtId="2" fontId="0" fillId="3" borderId="4" xfId="0" applyNumberFormat="1" applyFill="1" applyBorder="1" applyAlignment="1">
      <alignment horizontal="center"/>
    </xf>
    <xf numFmtId="0" fontId="0" fillId="4" borderId="5" xfId="0" applyFill="1" applyBorder="1" applyAlignment="1">
      <alignment horizontal="center"/>
    </xf>
    <xf numFmtId="0" fontId="0" fillId="4" borderId="6" xfId="0" applyFill="1" applyBorder="1" applyAlignment="1">
      <alignment horizontal="center"/>
    </xf>
    <xf numFmtId="2" fontId="0" fillId="3" borderId="7" xfId="0" applyNumberFormat="1" applyFill="1" applyBorder="1" applyAlignment="1">
      <alignment horizontal="center"/>
    </xf>
    <xf numFmtId="2" fontId="0" fillId="3" borderId="8" xfId="0" applyNumberFormat="1" applyFill="1" applyBorder="1" applyAlignment="1">
      <alignment horizontal="center"/>
    </xf>
    <xf numFmtId="0" fontId="17" fillId="2" borderId="3" xfId="0" applyFont="1" applyFill="1" applyBorder="1" applyAlignment="1">
      <alignment horizontal="center"/>
    </xf>
    <xf numFmtId="0" fontId="17" fillId="2" borderId="4" xfId="0" applyFont="1" applyFill="1" applyBorder="1" applyAlignment="1">
      <alignment horizontal="center"/>
    </xf>
    <xf numFmtId="164" fontId="17" fillId="3" borderId="0" xfId="0" applyNumberFormat="1" applyFont="1" applyFill="1" applyAlignment="1">
      <alignment horizontal="center"/>
    </xf>
    <xf numFmtId="164" fontId="17" fillId="3" borderId="2" xfId="0" applyNumberFormat="1" applyFont="1" applyFill="1" applyBorder="1" applyAlignment="1">
      <alignment horizontal="center"/>
    </xf>
    <xf numFmtId="0" fontId="16" fillId="4" borderId="5" xfId="0" applyFont="1" applyFill="1" applyBorder="1" applyAlignment="1">
      <alignment horizontal="center"/>
    </xf>
    <xf numFmtId="0" fontId="18" fillId="4" borderId="5" xfId="0" applyFont="1" applyFill="1" applyBorder="1" applyAlignment="1">
      <alignment horizontal="center"/>
    </xf>
    <xf numFmtId="0" fontId="18" fillId="4" borderId="6" xfId="0" applyFont="1" applyFill="1" applyBorder="1" applyAlignment="1">
      <alignment horizontal="center"/>
    </xf>
    <xf numFmtId="2" fontId="16" fillId="4" borderId="0" xfId="0" applyNumberFormat="1" applyFont="1" applyFill="1" applyAlignment="1">
      <alignment horizontal="center"/>
    </xf>
    <xf numFmtId="2" fontId="18" fillId="4" borderId="0" xfId="0" applyNumberFormat="1" applyFont="1" applyFill="1" applyAlignment="1">
      <alignment horizontal="center"/>
    </xf>
    <xf numFmtId="2" fontId="18" fillId="4" borderId="2" xfId="0" applyNumberFormat="1" applyFont="1" applyFill="1" applyBorder="1" applyAlignment="1">
      <alignment horizontal="center"/>
    </xf>
    <xf numFmtId="2" fontId="3" fillId="3" borderId="0" xfId="0" applyNumberFormat="1" applyFont="1" applyFill="1" applyAlignment="1">
      <alignment horizontal="center"/>
    </xf>
    <xf numFmtId="2" fontId="3" fillId="3" borderId="2" xfId="0" applyNumberFormat="1" applyFont="1" applyFill="1" applyBorder="1" applyAlignment="1">
      <alignment horizontal="center"/>
    </xf>
    <xf numFmtId="0" fontId="3" fillId="4" borderId="5" xfId="0" applyFont="1" applyFill="1" applyBorder="1" applyAlignment="1">
      <alignment horizontal="center"/>
    </xf>
    <xf numFmtId="0" fontId="0" fillId="4" borderId="0" xfId="0" applyFill="1" applyAlignment="1">
      <alignment horizontal="center"/>
    </xf>
    <xf numFmtId="0" fontId="3" fillId="4" borderId="6" xfId="0" applyFont="1" applyFill="1" applyBorder="1" applyAlignment="1">
      <alignment horizontal="center"/>
    </xf>
    <xf numFmtId="0" fontId="0" fillId="4" borderId="2" xfId="0" applyFill="1" applyBorder="1" applyAlignment="1">
      <alignment horizontal="center"/>
    </xf>
    <xf numFmtId="0" fontId="4" fillId="4" borderId="3" xfId="0" applyFont="1" applyFill="1" applyBorder="1" applyAlignment="1">
      <alignment horizontal="center"/>
    </xf>
    <xf numFmtId="0" fontId="3" fillId="2" borderId="0" xfId="0" applyFont="1" applyFill="1" applyAlignment="1">
      <alignment horizontal="left" vertical="center"/>
    </xf>
    <xf numFmtId="0" fontId="21" fillId="2" borderId="0" xfId="1" applyFont="1" applyFill="1" applyAlignment="1" applyProtection="1"/>
    <xf numFmtId="0" fontId="37" fillId="2" borderId="0" xfId="0" applyFont="1" applyFill="1" applyAlignment="1">
      <alignment horizontal="left" vertical="center"/>
    </xf>
    <xf numFmtId="2" fontId="36" fillId="2" borderId="0" xfId="0" applyNumberFormat="1" applyFont="1" applyFill="1" applyAlignment="1" applyProtection="1">
      <alignment horizontal="center" vertical="center"/>
      <protection locked="0"/>
    </xf>
    <xf numFmtId="0" fontId="0" fillId="2" borderId="0" xfId="0" applyFill="1" applyAlignment="1">
      <alignment vertical="center"/>
    </xf>
    <xf numFmtId="0" fontId="29" fillId="2" borderId="0" xfId="0" applyFont="1" applyFill="1" applyAlignment="1">
      <alignment horizontal="left"/>
    </xf>
    <xf numFmtId="0" fontId="9" fillId="2" borderId="0" xfId="0" applyFont="1" applyFill="1"/>
    <xf numFmtId="0" fontId="10" fillId="2" borderId="0" xfId="0" applyFont="1" applyFill="1"/>
    <xf numFmtId="0" fontId="0" fillId="2" borderId="2" xfId="0" applyFill="1" applyBorder="1"/>
    <xf numFmtId="0" fontId="29" fillId="2" borderId="9" xfId="0" applyFont="1" applyFill="1" applyBorder="1" applyAlignment="1">
      <alignment horizontal="left"/>
    </xf>
    <xf numFmtId="0" fontId="31" fillId="2" borderId="9" xfId="0" applyFont="1" applyFill="1" applyBorder="1" applyAlignment="1">
      <alignment horizontal="left"/>
    </xf>
    <xf numFmtId="0" fontId="0" fillId="0" borderId="0" xfId="0" applyAlignment="1">
      <alignment horizontal="left"/>
    </xf>
    <xf numFmtId="0" fontId="8" fillId="0" borderId="0" xfId="0" applyFont="1" applyAlignment="1">
      <alignment horizontal="left" vertical="center"/>
    </xf>
    <xf numFmtId="0" fontId="7" fillId="0" borderId="0" xfId="0" applyFont="1" applyAlignment="1">
      <alignment horizontal="left" vertical="center"/>
    </xf>
    <xf numFmtId="0" fontId="12" fillId="2" borderId="9" xfId="0" applyFont="1" applyFill="1" applyBorder="1" applyAlignment="1">
      <alignment horizontal="center"/>
    </xf>
    <xf numFmtId="0" fontId="12" fillId="2" borderId="9" xfId="0" applyFont="1" applyFill="1" applyBorder="1" applyAlignment="1">
      <alignment horizontal="left" vertical="center"/>
    </xf>
    <xf numFmtId="0" fontId="0" fillId="2" borderId="20" xfId="0" applyFill="1" applyBorder="1" applyAlignment="1">
      <alignment vertical="center"/>
    </xf>
    <xf numFmtId="0" fontId="5" fillId="2" borderId="0" xfId="0" applyFont="1" applyFill="1" applyAlignment="1">
      <alignment vertical="center"/>
    </xf>
    <xf numFmtId="0" fontId="7" fillId="2" borderId="20" xfId="0" applyFont="1" applyFill="1" applyBorder="1" applyAlignment="1">
      <alignment vertical="center"/>
    </xf>
    <xf numFmtId="0" fontId="11" fillId="2" borderId="0" xfId="0" applyFont="1" applyFill="1" applyAlignment="1">
      <alignment horizontal="left" vertical="center"/>
    </xf>
    <xf numFmtId="0" fontId="0" fillId="2" borderId="10" xfId="0" applyFill="1" applyBorder="1" applyAlignment="1">
      <alignment horizontal="center" vertical="center" wrapText="1"/>
    </xf>
    <xf numFmtId="0" fontId="0" fillId="2" borderId="11" xfId="0" applyFill="1" applyBorder="1" applyAlignment="1">
      <alignment horizontal="center" vertical="center" wrapText="1"/>
    </xf>
    <xf numFmtId="0" fontId="0" fillId="2" borderId="12" xfId="0" applyFill="1" applyBorder="1" applyAlignment="1">
      <alignment horizontal="center" vertical="center" wrapText="1"/>
    </xf>
    <xf numFmtId="0" fontId="0" fillId="2" borderId="13" xfId="0" applyFill="1" applyBorder="1" applyAlignment="1">
      <alignment horizontal="center" vertical="center" wrapText="1"/>
    </xf>
    <xf numFmtId="0" fontId="0" fillId="2" borderId="14" xfId="0" applyFill="1" applyBorder="1" applyAlignment="1">
      <alignment horizontal="center" vertical="center" wrapText="1"/>
    </xf>
    <xf numFmtId="0" fontId="30" fillId="2" borderId="0" xfId="0" applyFont="1" applyFill="1" applyAlignment="1">
      <alignment horizontal="center"/>
    </xf>
    <xf numFmtId="168" fontId="0" fillId="2" borderId="0" xfId="0" applyNumberFormat="1" applyFill="1" applyAlignment="1">
      <alignment horizontal="center" vertical="center"/>
    </xf>
    <xf numFmtId="0" fontId="7" fillId="2" borderId="0" xfId="0" applyFont="1" applyFill="1"/>
    <xf numFmtId="0" fontId="0" fillId="2" borderId="21" xfId="0" applyFill="1" applyBorder="1" applyAlignment="1">
      <alignment horizontal="left" vertical="center"/>
    </xf>
    <xf numFmtId="0" fontId="7" fillId="2" borderId="21" xfId="0" applyFont="1" applyFill="1" applyBorder="1" applyAlignment="1">
      <alignment horizontal="left" vertical="center"/>
    </xf>
    <xf numFmtId="0" fontId="20" fillId="2" borderId="0" xfId="0" applyFont="1" applyFill="1"/>
    <xf numFmtId="0" fontId="8" fillId="2" borderId="0" xfId="0" applyFont="1" applyFill="1"/>
    <xf numFmtId="0" fontId="9" fillId="2" borderId="0" xfId="0" applyFont="1" applyFill="1" applyAlignment="1">
      <alignment horizontal="center"/>
    </xf>
    <xf numFmtId="0" fontId="10" fillId="5" borderId="0" xfId="0" applyFont="1" applyFill="1" applyAlignment="1">
      <alignment horizontal="center" vertical="center" wrapText="1"/>
    </xf>
    <xf numFmtId="0" fontId="10" fillId="5" borderId="0" xfId="0" applyFont="1" applyFill="1" applyAlignment="1">
      <alignment vertical="center" wrapText="1"/>
    </xf>
    <xf numFmtId="0" fontId="3" fillId="2" borderId="0" xfId="0" applyFont="1" applyFill="1" applyAlignment="1">
      <alignment horizontal="center" vertical="center"/>
    </xf>
    <xf numFmtId="0" fontId="3" fillId="2" borderId="0" xfId="0" applyFont="1" applyFill="1" applyAlignment="1">
      <alignment vertical="center" wrapText="1"/>
    </xf>
    <xf numFmtId="0" fontId="10" fillId="2" borderId="0" xfId="0" applyFont="1" applyFill="1" applyAlignment="1">
      <alignment vertical="center" wrapText="1"/>
    </xf>
    <xf numFmtId="0" fontId="10" fillId="2" borderId="0" xfId="0" applyFont="1" applyFill="1" applyAlignment="1">
      <alignment vertical="center"/>
    </xf>
    <xf numFmtId="0" fontId="12" fillId="2" borderId="0" xfId="0" applyFont="1" applyFill="1"/>
    <xf numFmtId="0" fontId="14" fillId="2" borderId="0" xfId="0" applyFont="1" applyFill="1"/>
    <xf numFmtId="0" fontId="7" fillId="0" borderId="0" xfId="0" applyFont="1" applyAlignment="1">
      <alignment horizontal="center"/>
    </xf>
    <xf numFmtId="0" fontId="3" fillId="2" borderId="0" xfId="0" applyFont="1" applyFill="1"/>
    <xf numFmtId="0" fontId="8" fillId="2" borderId="0" xfId="0" applyFont="1" applyFill="1" applyAlignment="1">
      <alignment horizontal="center" vertical="center" wrapText="1"/>
    </xf>
    <xf numFmtId="0" fontId="12" fillId="2" borderId="0" xfId="0" applyFont="1" applyFill="1" applyAlignment="1">
      <alignment horizontal="center" vertical="center" wrapText="1"/>
    </xf>
    <xf numFmtId="0" fontId="27" fillId="2" borderId="0" xfId="0" applyFont="1" applyFill="1"/>
    <xf numFmtId="0" fontId="26" fillId="2" borderId="0" xfId="0" applyFont="1" applyFill="1"/>
    <xf numFmtId="0" fontId="4" fillId="2" borderId="0" xfId="0" applyFont="1" applyFill="1"/>
    <xf numFmtId="0" fontId="26" fillId="2" borderId="0" xfId="0" applyFont="1" applyFill="1" applyAlignment="1">
      <alignment horizontal="center" vertical="center" wrapText="1"/>
    </xf>
    <xf numFmtId="0" fontId="4" fillId="2" borderId="9" xfId="0" applyFont="1" applyFill="1" applyBorder="1"/>
    <xf numFmtId="0" fontId="0" fillId="2" borderId="9" xfId="0" applyFill="1" applyBorder="1"/>
    <xf numFmtId="0" fontId="8" fillId="2" borderId="0" xfId="0" applyFont="1" applyFill="1" applyAlignment="1">
      <alignment horizontal="center" vertical="center"/>
    </xf>
    <xf numFmtId="0" fontId="11" fillId="2" borderId="0" xfId="0" applyFont="1" applyFill="1" applyAlignment="1">
      <alignment horizontal="right"/>
    </xf>
    <xf numFmtId="0" fontId="11" fillId="2" borderId="0" xfId="0" applyFont="1" applyFill="1" applyAlignment="1">
      <alignment horizontal="center"/>
    </xf>
    <xf numFmtId="1" fontId="36" fillId="2" borderId="0" xfId="0" applyNumberFormat="1" applyFont="1" applyFill="1" applyAlignment="1">
      <alignment horizontal="right" vertical="center"/>
    </xf>
    <xf numFmtId="166" fontId="36" fillId="2" borderId="0" xfId="0" applyNumberFormat="1" applyFont="1" applyFill="1" applyAlignment="1">
      <alignment horizontal="left" vertical="center"/>
    </xf>
    <xf numFmtId="2" fontId="36" fillId="2" borderId="0" xfId="0" applyNumberFormat="1" applyFont="1" applyFill="1" applyAlignment="1">
      <alignment horizontal="center" vertical="center"/>
    </xf>
    <xf numFmtId="1" fontId="12" fillId="2" borderId="0" xfId="0" applyNumberFormat="1" applyFont="1" applyFill="1" applyAlignment="1">
      <alignment horizontal="center" vertical="center"/>
    </xf>
    <xf numFmtId="0" fontId="33" fillId="0" borderId="0" xfId="0" applyFont="1" applyAlignment="1">
      <alignment vertical="center"/>
    </xf>
    <xf numFmtId="0" fontId="0" fillId="2" borderId="15" xfId="0" applyFill="1" applyBorder="1" applyAlignment="1">
      <alignment horizontal="center" vertical="center"/>
    </xf>
    <xf numFmtId="10" fontId="0" fillId="2" borderId="16" xfId="0" applyNumberFormat="1" applyFill="1" applyBorder="1" applyAlignment="1">
      <alignment horizontal="center" vertical="center"/>
    </xf>
    <xf numFmtId="0" fontId="0" fillId="2" borderId="17" xfId="0" applyFill="1" applyBorder="1" applyAlignment="1">
      <alignment horizontal="center" vertical="center"/>
    </xf>
    <xf numFmtId="1" fontId="0" fillId="2" borderId="18" xfId="0" applyNumberFormat="1" applyFill="1" applyBorder="1" applyAlignment="1">
      <alignment horizontal="center" vertical="center"/>
    </xf>
    <xf numFmtId="169" fontId="0" fillId="2" borderId="22" xfId="0" applyNumberFormat="1" applyFill="1" applyBorder="1" applyAlignment="1">
      <alignment horizontal="left" vertical="center"/>
    </xf>
    <xf numFmtId="2" fontId="0" fillId="2" borderId="0" xfId="0" applyNumberFormat="1" applyFill="1"/>
    <xf numFmtId="0" fontId="12" fillId="2" borderId="0" xfId="0" applyFont="1" applyFill="1" applyAlignment="1">
      <alignment horizontal="center"/>
    </xf>
    <xf numFmtId="49" fontId="0" fillId="0" borderId="0" xfId="0" applyNumberFormat="1"/>
    <xf numFmtId="49" fontId="0" fillId="0" borderId="0" xfId="0" applyNumberFormat="1" applyAlignment="1">
      <alignment horizontal="center"/>
    </xf>
    <xf numFmtId="11" fontId="0" fillId="0" borderId="0" xfId="0" applyNumberFormat="1"/>
    <xf numFmtId="1" fontId="2" fillId="6" borderId="18" xfId="0" applyNumberFormat="1" applyFont="1" applyFill="1" applyBorder="1" applyAlignment="1" applyProtection="1">
      <alignment horizontal="center" vertical="center"/>
      <protection locked="0"/>
    </xf>
    <xf numFmtId="49" fontId="2" fillId="0" borderId="0" xfId="0" applyNumberFormat="1" applyFont="1" applyAlignment="1">
      <alignment horizontal="right" vertical="center"/>
    </xf>
    <xf numFmtId="49" fontId="2" fillId="2" borderId="21" xfId="0" applyNumberFormat="1" applyFont="1" applyFill="1" applyBorder="1" applyAlignment="1">
      <alignment horizontal="right" vertical="center"/>
    </xf>
    <xf numFmtId="0" fontId="2" fillId="0" borderId="0" xfId="0" applyFont="1"/>
    <xf numFmtId="0" fontId="10" fillId="6" borderId="0" xfId="0" applyFont="1" applyFill="1" applyAlignment="1">
      <alignment horizontal="center" vertical="center" wrapText="1"/>
    </xf>
    <xf numFmtId="0" fontId="25" fillId="6" borderId="0" xfId="0" applyFont="1" applyFill="1" applyAlignment="1">
      <alignment horizontal="center" vertical="center" wrapText="1"/>
    </xf>
    <xf numFmtId="0" fontId="24" fillId="6" borderId="0" xfId="0" applyFont="1" applyFill="1" applyAlignment="1">
      <alignment horizontal="center" vertical="center" wrapText="1"/>
    </xf>
    <xf numFmtId="1" fontId="24" fillId="6" borderId="0" xfId="0" applyNumberFormat="1" applyFont="1" applyFill="1" applyAlignment="1">
      <alignment horizontal="center" vertical="center" wrapText="1"/>
    </xf>
    <xf numFmtId="2" fontId="24" fillId="6" borderId="0" xfId="0" applyNumberFormat="1" applyFont="1" applyFill="1" applyAlignment="1">
      <alignment horizontal="center" vertical="center" wrapText="1"/>
    </xf>
    <xf numFmtId="0" fontId="3" fillId="2" borderId="0" xfId="0" applyFont="1" applyFill="1" applyAlignment="1" applyProtection="1">
      <alignment vertical="center"/>
      <protection locked="0"/>
    </xf>
    <xf numFmtId="165" fontId="3" fillId="2" borderId="0" xfId="0" applyNumberFormat="1" applyFont="1" applyFill="1" applyAlignment="1" applyProtection="1">
      <alignment vertical="center"/>
      <protection locked="0"/>
    </xf>
    <xf numFmtId="0" fontId="3" fillId="2" borderId="2" xfId="0" applyFont="1" applyFill="1" applyBorder="1" applyAlignment="1">
      <alignment horizontal="center" vertical="center"/>
    </xf>
    <xf numFmtId="0" fontId="3" fillId="2" borderId="0" xfId="0" applyFont="1" applyFill="1" applyAlignment="1">
      <alignment vertical="center"/>
    </xf>
    <xf numFmtId="0" fontId="2" fillId="2" borderId="0" xfId="0" applyFont="1" applyFill="1" applyAlignment="1">
      <alignment horizontal="right" vertical="center"/>
    </xf>
    <xf numFmtId="0" fontId="3" fillId="6" borderId="2" xfId="0" applyFont="1" applyFill="1" applyBorder="1" applyAlignment="1">
      <alignment horizontal="center" vertical="center"/>
    </xf>
    <xf numFmtId="0" fontId="3" fillId="6" borderId="2" xfId="0" applyFont="1" applyFill="1" applyBorder="1" applyAlignment="1" applyProtection="1">
      <alignment horizontal="center" vertical="center"/>
      <protection locked="0"/>
    </xf>
    <xf numFmtId="0" fontId="2" fillId="2" borderId="0" xfId="0" applyFont="1" applyFill="1" applyAlignment="1">
      <alignment vertical="center"/>
    </xf>
    <xf numFmtId="0" fontId="3" fillId="0" borderId="0" xfId="0" applyFont="1" applyAlignment="1">
      <alignment vertical="center"/>
    </xf>
    <xf numFmtId="0" fontId="5" fillId="0" borderId="0" xfId="0" applyFont="1" applyAlignment="1">
      <alignment vertical="center"/>
    </xf>
    <xf numFmtId="0" fontId="3" fillId="0" borderId="0" xfId="0" applyFont="1" applyAlignment="1" applyProtection="1">
      <alignment horizontal="center" vertical="center"/>
      <protection locked="0"/>
    </xf>
    <xf numFmtId="2" fontId="3" fillId="0" borderId="0" xfId="0" applyNumberFormat="1" applyFont="1" applyAlignment="1">
      <alignment vertical="center"/>
    </xf>
    <xf numFmtId="1" fontId="3" fillId="0" borderId="0" xfId="0" applyNumberFormat="1" applyFont="1" applyAlignment="1">
      <alignment vertical="center"/>
    </xf>
    <xf numFmtId="1" fontId="5" fillId="0" borderId="0" xfId="0" applyNumberFormat="1" applyFont="1" applyAlignment="1">
      <alignment vertical="center"/>
    </xf>
    <xf numFmtId="1" fontId="39" fillId="0" borderId="0" xfId="0" applyNumberFormat="1" applyFont="1" applyAlignment="1">
      <alignment horizontal="center" vertical="center"/>
    </xf>
    <xf numFmtId="0" fontId="3" fillId="6" borderId="0" xfId="0" applyFont="1" applyFill="1" applyAlignment="1">
      <alignment vertical="center"/>
    </xf>
    <xf numFmtId="0" fontId="5" fillId="6" borderId="0" xfId="0" applyFont="1" applyFill="1" applyAlignment="1">
      <alignment vertical="center"/>
    </xf>
    <xf numFmtId="2" fontId="19" fillId="6" borderId="0" xfId="0" applyNumberFormat="1" applyFont="1" applyFill="1" applyAlignment="1">
      <alignment vertical="center"/>
    </xf>
    <xf numFmtId="0" fontId="37" fillId="2" borderId="0" xfId="0" applyFont="1" applyFill="1" applyAlignment="1">
      <alignment vertical="center"/>
    </xf>
    <xf numFmtId="0" fontId="3" fillId="0" borderId="0" xfId="2" applyFont="1" applyAlignment="1">
      <alignment vertical="center"/>
    </xf>
    <xf numFmtId="0" fontId="3" fillId="0" borderId="0" xfId="2" applyFont="1" applyAlignment="1">
      <alignment horizontal="left" vertical="center"/>
    </xf>
    <xf numFmtId="0" fontId="3" fillId="0" borderId="0" xfId="2" applyFont="1" applyAlignment="1">
      <alignment horizontal="center" vertical="center"/>
    </xf>
    <xf numFmtId="0" fontId="3" fillId="0" borderId="0" xfId="0" applyFont="1" applyAlignment="1">
      <alignment horizontal="left" vertical="center"/>
    </xf>
    <xf numFmtId="0" fontId="43" fillId="6" borderId="0" xfId="0" applyFont="1" applyFill="1" applyAlignment="1">
      <alignment horizontal="center" vertical="center"/>
    </xf>
    <xf numFmtId="0" fontId="44" fillId="0" borderId="0" xfId="0" applyFont="1" applyAlignment="1">
      <alignment horizontal="center" vertical="center"/>
    </xf>
    <xf numFmtId="0" fontId="43" fillId="6" borderId="0" xfId="0" applyFont="1" applyFill="1" applyAlignment="1">
      <alignment horizontal="left" vertical="center"/>
    </xf>
    <xf numFmtId="0" fontId="44" fillId="6" borderId="0" xfId="0" applyFont="1" applyFill="1" applyAlignment="1">
      <alignment horizontal="left" vertical="center"/>
    </xf>
    <xf numFmtId="0" fontId="44" fillId="0" borderId="0" xfId="0" applyFont="1" applyAlignment="1">
      <alignment horizontal="left" vertical="center"/>
    </xf>
    <xf numFmtId="0" fontId="44" fillId="0" borderId="0" xfId="0" applyFont="1" applyAlignment="1">
      <alignment vertical="center"/>
    </xf>
    <xf numFmtId="0" fontId="42" fillId="0" borderId="0" xfId="0" applyFont="1" applyAlignment="1">
      <alignment vertical="center"/>
    </xf>
    <xf numFmtId="0" fontId="0" fillId="10" borderId="0" xfId="0" applyFill="1" applyAlignment="1" applyProtection="1">
      <alignment vertical="center"/>
      <protection locked="0"/>
    </xf>
    <xf numFmtId="0" fontId="46" fillId="0" borderId="0" xfId="0" applyFont="1" applyAlignment="1">
      <alignment horizontal="center" vertical="center"/>
    </xf>
    <xf numFmtId="0" fontId="2" fillId="0" borderId="0" xfId="0" applyFont="1" applyAlignment="1">
      <alignment horizontal="center" vertical="center"/>
    </xf>
    <xf numFmtId="0" fontId="44" fillId="0" borderId="0" xfId="0" applyFont="1" applyAlignment="1" applyProtection="1">
      <alignment horizontal="center" vertical="center"/>
      <protection locked="0"/>
    </xf>
    <xf numFmtId="0" fontId="44" fillId="6" borderId="0" xfId="0" applyFont="1" applyFill="1" applyAlignment="1">
      <alignment vertical="center"/>
    </xf>
    <xf numFmtId="0" fontId="44" fillId="0" borderId="0" xfId="0" quotePrefix="1" applyFont="1" applyAlignment="1">
      <alignment horizontal="center" vertical="center"/>
    </xf>
    <xf numFmtId="0" fontId="45" fillId="6" borderId="0" xfId="0" applyFont="1" applyFill="1" applyAlignment="1">
      <alignment horizontal="center" vertical="center"/>
    </xf>
    <xf numFmtId="0" fontId="47" fillId="6" borderId="0" xfId="0" applyFont="1" applyFill="1" applyAlignment="1">
      <alignment horizontal="center" vertical="center"/>
    </xf>
    <xf numFmtId="0" fontId="44" fillId="6" borderId="0" xfId="0" applyFont="1" applyFill="1" applyAlignment="1" applyProtection="1">
      <alignment horizontal="center" vertical="center"/>
      <protection locked="0"/>
    </xf>
    <xf numFmtId="0" fontId="43" fillId="0" borderId="0" xfId="0" applyFont="1" applyAlignment="1">
      <alignment vertical="center"/>
    </xf>
    <xf numFmtId="173" fontId="44" fillId="6" borderId="0" xfId="0" applyNumberFormat="1" applyFont="1" applyFill="1" applyAlignment="1">
      <alignment vertical="center"/>
    </xf>
    <xf numFmtId="0" fontId="43" fillId="6" borderId="0" xfId="0" applyFont="1" applyFill="1" applyAlignment="1">
      <alignment vertical="center"/>
    </xf>
    <xf numFmtId="0" fontId="43" fillId="10" borderId="0" xfId="0" applyFont="1" applyFill="1" applyAlignment="1" applyProtection="1">
      <alignment horizontal="left" vertical="center"/>
      <protection locked="0"/>
    </xf>
    <xf numFmtId="0" fontId="43" fillId="6" borderId="8" xfId="0" applyFont="1" applyFill="1" applyBorder="1" applyAlignment="1">
      <alignment vertical="center"/>
    </xf>
    <xf numFmtId="0" fontId="43" fillId="6" borderId="8" xfId="0" applyFont="1" applyFill="1" applyBorder="1" applyAlignment="1">
      <alignment horizontal="left" vertical="center"/>
    </xf>
    <xf numFmtId="164" fontId="44" fillId="0" borderId="0" xfId="0" applyNumberFormat="1" applyFont="1" applyAlignment="1" applyProtection="1">
      <alignment horizontal="center" vertical="center"/>
      <protection locked="0"/>
    </xf>
    <xf numFmtId="0" fontId="44" fillId="6" borderId="0" xfId="0" applyFont="1" applyFill="1" applyAlignment="1">
      <alignment horizontal="center" vertical="center"/>
    </xf>
    <xf numFmtId="0" fontId="44" fillId="10" borderId="8" xfId="0" applyFont="1" applyFill="1" applyBorder="1" applyAlignment="1" applyProtection="1">
      <alignment horizontal="center" vertical="center"/>
      <protection locked="0"/>
    </xf>
    <xf numFmtId="0" fontId="43" fillId="10" borderId="0" xfId="0" applyFont="1" applyFill="1" applyAlignment="1" applyProtection="1">
      <alignment horizontal="right" vertical="center"/>
      <protection locked="0"/>
    </xf>
    <xf numFmtId="0" fontId="43" fillId="10" borderId="0" xfId="0" applyFont="1" applyFill="1" applyAlignment="1" applyProtection="1">
      <alignment vertical="center"/>
      <protection locked="0"/>
    </xf>
    <xf numFmtId="0" fontId="43" fillId="10" borderId="0" xfId="0" applyFont="1" applyFill="1" applyAlignment="1">
      <alignment horizontal="right" vertical="center"/>
    </xf>
    <xf numFmtId="0" fontId="43" fillId="10" borderId="0" xfId="0" applyFont="1" applyFill="1" applyAlignment="1">
      <alignment horizontal="left" vertical="center"/>
    </xf>
    <xf numFmtId="0" fontId="43" fillId="0" borderId="0" xfId="0" applyFont="1" applyAlignment="1">
      <alignment horizontal="left" vertical="center"/>
    </xf>
    <xf numFmtId="0" fontId="44" fillId="0" borderId="0" xfId="0" applyFont="1" applyAlignment="1" applyProtection="1">
      <alignment vertical="center"/>
      <protection locked="0"/>
    </xf>
    <xf numFmtId="0" fontId="43" fillId="0" borderId="0" xfId="2" applyFont="1" applyAlignment="1">
      <alignment vertical="center"/>
    </xf>
    <xf numFmtId="0" fontId="50" fillId="0" borderId="0" xfId="2" applyFont="1" applyAlignment="1">
      <alignment vertical="center"/>
    </xf>
    <xf numFmtId="0" fontId="41" fillId="0" borderId="0" xfId="2" applyFont="1" applyAlignment="1">
      <alignment horizontal="center" vertical="center"/>
    </xf>
    <xf numFmtId="0" fontId="43" fillId="6" borderId="0" xfId="0" applyFont="1" applyFill="1" applyAlignment="1" applyProtection="1">
      <alignment horizontal="left" vertical="center"/>
      <protection locked="0"/>
    </xf>
    <xf numFmtId="172" fontId="44" fillId="6" borderId="0" xfId="0" applyNumberFormat="1" applyFont="1" applyFill="1" applyAlignment="1">
      <alignment vertical="center"/>
    </xf>
    <xf numFmtId="0" fontId="53" fillId="10" borderId="0" xfId="0" applyFont="1" applyFill="1" applyAlignment="1" applyProtection="1">
      <alignment vertical="center"/>
      <protection locked="0"/>
    </xf>
    <xf numFmtId="0" fontId="41" fillId="10" borderId="7" xfId="2" applyFont="1" applyFill="1" applyBorder="1" applyAlignment="1" applyProtection="1">
      <alignment horizontal="center" vertical="center"/>
      <protection locked="0"/>
    </xf>
    <xf numFmtId="0" fontId="51" fillId="10" borderId="8" xfId="2" applyFont="1" applyFill="1" applyBorder="1" applyAlignment="1" applyProtection="1">
      <alignment horizontal="center" vertical="center"/>
      <protection locked="0"/>
    </xf>
    <xf numFmtId="0" fontId="43" fillId="10" borderId="0" xfId="0" applyFont="1" applyFill="1" applyAlignment="1" applyProtection="1">
      <alignment horizontal="center" vertical="center"/>
      <protection locked="0"/>
    </xf>
    <xf numFmtId="0" fontId="47" fillId="10" borderId="0" xfId="0" applyFont="1" applyFill="1" applyAlignment="1" applyProtection="1">
      <alignment horizontal="left" vertical="center"/>
      <protection locked="0"/>
    </xf>
    <xf numFmtId="0" fontId="47" fillId="6" borderId="0" xfId="0" applyFont="1" applyFill="1" applyAlignment="1">
      <alignment vertical="center"/>
    </xf>
    <xf numFmtId="0" fontId="45" fillId="6" borderId="0" xfId="0" applyFont="1" applyFill="1" applyAlignment="1">
      <alignment vertical="center"/>
    </xf>
    <xf numFmtId="0" fontId="46" fillId="0" borderId="0" xfId="0" applyFont="1" applyAlignment="1">
      <alignment vertical="center"/>
    </xf>
    <xf numFmtId="0" fontId="44" fillId="0" borderId="0" xfId="2" applyFont="1" applyAlignment="1">
      <alignment vertical="center"/>
    </xf>
    <xf numFmtId="0" fontId="47" fillId="12" borderId="0" xfId="0" applyFont="1" applyFill="1" applyAlignment="1">
      <alignment horizontal="center" vertical="center"/>
    </xf>
    <xf numFmtId="0" fontId="51" fillId="0" borderId="0" xfId="2" applyFont="1" applyAlignment="1">
      <alignment vertical="center"/>
    </xf>
    <xf numFmtId="0" fontId="51" fillId="0" borderId="0" xfId="2" applyFont="1" applyAlignment="1">
      <alignment horizontal="center" vertical="center"/>
    </xf>
    <xf numFmtId="0" fontId="43" fillId="0" borderId="0" xfId="2" applyFont="1" applyAlignment="1">
      <alignment horizontal="center" vertical="center"/>
    </xf>
    <xf numFmtId="0" fontId="44" fillId="0" borderId="0" xfId="2" applyFont="1" applyAlignment="1">
      <alignment horizontal="center" vertical="center"/>
    </xf>
    <xf numFmtId="0" fontId="43" fillId="0" borderId="0" xfId="0" applyFont="1" applyAlignment="1">
      <alignment horizontal="center" vertical="center"/>
    </xf>
    <xf numFmtId="1" fontId="44" fillId="0" borderId="0" xfId="0" applyNumberFormat="1" applyFont="1" applyAlignment="1">
      <alignment horizontal="center" vertical="center"/>
    </xf>
    <xf numFmtId="1" fontId="43" fillId="0" borderId="0" xfId="0" applyNumberFormat="1" applyFont="1" applyAlignment="1">
      <alignment horizontal="center" vertical="center"/>
    </xf>
    <xf numFmtId="0" fontId="43" fillId="0" borderId="0" xfId="0" applyFont="1" applyAlignment="1" applyProtection="1">
      <alignment horizontal="left" vertical="center"/>
      <protection locked="0"/>
    </xf>
    <xf numFmtId="0" fontId="3" fillId="0" borderId="0" xfId="0" applyFont="1"/>
    <xf numFmtId="0" fontId="3" fillId="0" borderId="2" xfId="0" applyFont="1" applyBorder="1" applyAlignment="1">
      <alignment horizontal="center" vertical="center"/>
    </xf>
    <xf numFmtId="0" fontId="20" fillId="0" borderId="0" xfId="0" applyFont="1"/>
    <xf numFmtId="0" fontId="20" fillId="0" borderId="0" xfId="2" applyFont="1" applyAlignment="1">
      <alignment vertical="center"/>
    </xf>
    <xf numFmtId="0" fontId="2" fillId="0" borderId="2" xfId="0" applyFont="1" applyBorder="1"/>
    <xf numFmtId="0" fontId="2" fillId="0" borderId="0" xfId="0" applyFont="1" applyAlignment="1">
      <alignment horizontal="left" vertical="center"/>
    </xf>
    <xf numFmtId="0" fontId="51" fillId="0" borderId="0" xfId="2" applyFont="1" applyAlignment="1">
      <alignment horizontal="left" vertical="center"/>
    </xf>
    <xf numFmtId="0" fontId="2" fillId="0" borderId="0" xfId="2" applyAlignment="1">
      <alignment horizontal="center" vertical="center"/>
    </xf>
    <xf numFmtId="0" fontId="2" fillId="0" borderId="0" xfId="2" applyAlignment="1">
      <alignment vertical="center"/>
    </xf>
    <xf numFmtId="0" fontId="2" fillId="0" borderId="6" xfId="0" quotePrefix="1" applyFont="1" applyBorder="1"/>
    <xf numFmtId="0" fontId="2" fillId="0" borderId="5" xfId="0" applyFont="1" applyBorder="1"/>
    <xf numFmtId="2" fontId="2" fillId="0" borderId="0" xfId="2" applyNumberFormat="1" applyAlignment="1">
      <alignment horizontal="center" vertical="center"/>
    </xf>
    <xf numFmtId="0" fontId="2" fillId="0" borderId="0" xfId="2" applyAlignment="1">
      <alignment horizontal="left" vertical="center"/>
    </xf>
    <xf numFmtId="167" fontId="2" fillId="0" borderId="0" xfId="2" applyNumberFormat="1" applyAlignment="1">
      <alignment horizontal="center" vertical="center"/>
    </xf>
    <xf numFmtId="0" fontId="0" fillId="0" borderId="0" xfId="0" applyProtection="1">
      <protection locked="0"/>
    </xf>
    <xf numFmtId="49" fontId="0" fillId="0" borderId="0" xfId="0" applyNumberFormat="1" applyAlignment="1">
      <alignment vertical="center"/>
    </xf>
    <xf numFmtId="0" fontId="3" fillId="10" borderId="0" xfId="0" applyFont="1" applyFill="1" applyAlignment="1" applyProtection="1">
      <alignment vertical="center"/>
      <protection locked="0"/>
    </xf>
    <xf numFmtId="0" fontId="14" fillId="0" borderId="0" xfId="0" applyFont="1"/>
    <xf numFmtId="0" fontId="0" fillId="0" borderId="0" xfId="0" applyAlignment="1">
      <alignment vertical="center"/>
    </xf>
    <xf numFmtId="0" fontId="0" fillId="6" borderId="0" xfId="0" applyFill="1" applyAlignment="1">
      <alignment vertical="center"/>
    </xf>
    <xf numFmtId="0" fontId="45" fillId="6" borderId="0" xfId="0" applyFont="1" applyFill="1" applyAlignment="1">
      <alignment horizontal="left" vertical="center"/>
    </xf>
    <xf numFmtId="49" fontId="44" fillId="0" borderId="0" xfId="0" applyNumberFormat="1" applyFont="1" applyAlignment="1">
      <alignment vertical="center"/>
    </xf>
    <xf numFmtId="0" fontId="46" fillId="6" borderId="0" xfId="0" applyFont="1" applyFill="1" applyAlignment="1">
      <alignment horizontal="center" vertical="center"/>
    </xf>
    <xf numFmtId="0" fontId="41" fillId="0" borderId="0" xfId="2" applyFont="1" applyAlignment="1">
      <alignment vertical="center"/>
    </xf>
    <xf numFmtId="0" fontId="44" fillId="0" borderId="5" xfId="0" applyFont="1" applyBorder="1" applyAlignment="1">
      <alignment horizontal="left" vertical="center"/>
    </xf>
    <xf numFmtId="0" fontId="2" fillId="0" borderId="0" xfId="0" applyFont="1" applyAlignment="1">
      <alignment vertical="center"/>
    </xf>
    <xf numFmtId="172" fontId="49" fillId="6" borderId="0" xfId="0" applyNumberFormat="1" applyFont="1" applyFill="1" applyAlignment="1">
      <alignment horizontal="center" vertical="center"/>
    </xf>
    <xf numFmtId="1" fontId="47" fillId="6" borderId="0" xfId="0" applyNumberFormat="1" applyFont="1" applyFill="1" applyAlignment="1">
      <alignment horizontal="center" vertical="center"/>
    </xf>
    <xf numFmtId="0" fontId="42" fillId="0" borderId="0" xfId="0" applyFont="1" applyAlignment="1">
      <alignment horizontal="center" vertical="center"/>
    </xf>
    <xf numFmtId="0" fontId="44" fillId="0" borderId="1" xfId="0" applyFont="1" applyBorder="1" applyAlignment="1">
      <alignment vertical="center"/>
    </xf>
    <xf numFmtId="0" fontId="0" fillId="0" borderId="0" xfId="0" applyAlignment="1">
      <alignment horizontal="center" vertical="center"/>
    </xf>
    <xf numFmtId="0" fontId="54" fillId="0" borderId="0" xfId="0" applyFont="1"/>
    <xf numFmtId="14" fontId="0" fillId="0" borderId="0" xfId="0" applyNumberFormat="1"/>
    <xf numFmtId="0" fontId="41" fillId="0" borderId="0" xfId="2" applyFont="1" applyAlignment="1" applyProtection="1">
      <alignment vertical="center"/>
      <protection locked="0"/>
    </xf>
    <xf numFmtId="0" fontId="3" fillId="10" borderId="0" xfId="0" applyFont="1" applyFill="1" applyProtection="1">
      <protection locked="0"/>
    </xf>
    <xf numFmtId="0" fontId="8" fillId="0" borderId="0" xfId="0" applyFont="1"/>
    <xf numFmtId="0" fontId="31" fillId="0" borderId="0" xfId="0" applyFont="1"/>
    <xf numFmtId="0" fontId="60" fillId="0" borderId="0" xfId="0" applyFont="1"/>
    <xf numFmtId="14" fontId="8" fillId="0" borderId="0" xfId="0" applyNumberFormat="1" applyFont="1"/>
    <xf numFmtId="0" fontId="61" fillId="2" borderId="0" xfId="0" applyFont="1" applyFill="1"/>
    <xf numFmtId="0" fontId="3" fillId="14" borderId="0" xfId="0" applyFont="1" applyFill="1" applyAlignment="1">
      <alignment vertical="center"/>
    </xf>
    <xf numFmtId="0" fontId="2" fillId="0" borderId="0" xfId="0" applyFont="1" applyAlignment="1">
      <alignment horizontal="left"/>
    </xf>
    <xf numFmtId="0" fontId="2" fillId="2" borderId="2" xfId="0" applyFont="1" applyFill="1" applyBorder="1" applyAlignment="1">
      <alignment vertical="center"/>
    </xf>
    <xf numFmtId="0" fontId="2" fillId="6" borderId="0" xfId="0" quotePrefix="1" applyFont="1" applyFill="1" applyAlignment="1">
      <alignment vertical="center"/>
    </xf>
    <xf numFmtId="0" fontId="2" fillId="0" borderId="0" xfId="0" applyFont="1" applyAlignment="1" applyProtection="1">
      <alignment horizontal="center" vertical="center"/>
      <protection locked="0"/>
    </xf>
    <xf numFmtId="0" fontId="2" fillId="2" borderId="0" xfId="0" applyFont="1" applyFill="1" applyAlignment="1">
      <alignment horizontal="center" vertical="center"/>
    </xf>
    <xf numFmtId="0" fontId="2" fillId="2" borderId="0" xfId="0" applyFont="1" applyFill="1" applyAlignment="1">
      <alignment horizontal="left" vertical="center"/>
    </xf>
    <xf numFmtId="0" fontId="2" fillId="2" borderId="2" xfId="0" applyFont="1" applyFill="1" applyBorder="1" applyAlignment="1">
      <alignment horizontal="left" vertical="center"/>
    </xf>
    <xf numFmtId="0" fontId="2" fillId="2" borderId="2" xfId="0" applyFont="1" applyFill="1" applyBorder="1" applyAlignment="1">
      <alignment horizontal="center" vertical="center"/>
    </xf>
    <xf numFmtId="0" fontId="2" fillId="2" borderId="0" xfId="0" quotePrefix="1" applyFont="1" applyFill="1" applyAlignment="1">
      <alignment vertical="center"/>
    </xf>
    <xf numFmtId="1" fontId="2" fillId="2" borderId="0" xfId="0" applyNumberFormat="1" applyFont="1" applyFill="1" applyAlignment="1">
      <alignment horizontal="center" vertical="center"/>
    </xf>
    <xf numFmtId="0" fontId="2" fillId="6" borderId="0" xfId="0" applyFont="1" applyFill="1" applyAlignment="1" applyProtection="1">
      <alignment horizontal="center" vertical="center"/>
      <protection locked="0"/>
    </xf>
    <xf numFmtId="2" fontId="2" fillId="0" borderId="0" xfId="0" applyNumberFormat="1" applyFont="1" applyAlignment="1">
      <alignment horizontal="center" vertical="center"/>
    </xf>
    <xf numFmtId="2" fontId="2" fillId="0" borderId="0" xfId="0" applyNumberFormat="1" applyFont="1" applyAlignment="1">
      <alignment vertical="center"/>
    </xf>
    <xf numFmtId="1" fontId="2" fillId="0" borderId="0" xfId="0" applyNumberFormat="1" applyFont="1" applyAlignment="1">
      <alignment horizontal="center" vertical="center"/>
    </xf>
    <xf numFmtId="0" fontId="2" fillId="6" borderId="0" xfId="0" applyFont="1" applyFill="1" applyAlignment="1">
      <alignment vertical="center"/>
    </xf>
    <xf numFmtId="0" fontId="2" fillId="2" borderId="0" xfId="0" applyFont="1" applyFill="1" applyAlignment="1" applyProtection="1">
      <alignment vertical="center"/>
      <protection locked="0"/>
    </xf>
    <xf numFmtId="1" fontId="2" fillId="2" borderId="0" xfId="0" applyNumberFormat="1" applyFont="1" applyFill="1" applyAlignment="1" applyProtection="1">
      <alignment vertical="center"/>
      <protection locked="0"/>
    </xf>
    <xf numFmtId="0" fontId="2" fillId="2" borderId="0" xfId="0" applyFont="1" applyFill="1"/>
    <xf numFmtId="0" fontId="2" fillId="2" borderId="0" xfId="0" applyFont="1" applyFill="1" applyAlignment="1">
      <alignment horizontal="left"/>
    </xf>
    <xf numFmtId="166" fontId="2" fillId="2" borderId="0" xfId="0" applyNumberFormat="1" applyFont="1" applyFill="1" applyAlignment="1">
      <alignment horizontal="center" vertical="center"/>
    </xf>
    <xf numFmtId="169" fontId="2" fillId="2" borderId="0" xfId="0" applyNumberFormat="1" applyFont="1" applyFill="1" applyAlignment="1">
      <alignment horizontal="left" vertical="center"/>
    </xf>
    <xf numFmtId="0" fontId="2" fillId="0" borderId="0" xfId="0" applyFont="1" applyAlignment="1">
      <alignment vertical="center" wrapText="1"/>
    </xf>
    <xf numFmtId="0" fontId="2" fillId="0" borderId="0" xfId="0" applyFont="1" applyAlignment="1">
      <alignment wrapText="1"/>
    </xf>
    <xf numFmtId="0" fontId="2" fillId="2" borderId="21" xfId="0" applyFont="1" applyFill="1" applyBorder="1" applyAlignment="1">
      <alignment horizontal="left" vertical="center"/>
    </xf>
    <xf numFmtId="0" fontId="2" fillId="2" borderId="20" xfId="0" applyFont="1" applyFill="1" applyBorder="1" applyAlignment="1">
      <alignment vertical="center"/>
    </xf>
    <xf numFmtId="10" fontId="2" fillId="2" borderId="16" xfId="0" applyNumberFormat="1" applyFont="1" applyFill="1" applyBorder="1" applyAlignment="1">
      <alignment horizontal="center" vertical="center"/>
    </xf>
    <xf numFmtId="1" fontId="2" fillId="2" borderId="18" xfId="0" applyNumberFormat="1" applyFont="1" applyFill="1" applyBorder="1" applyAlignment="1">
      <alignment horizontal="center" vertical="center"/>
    </xf>
    <xf numFmtId="10" fontId="2" fillId="2" borderId="19" xfId="0" applyNumberFormat="1" applyFont="1" applyFill="1" applyBorder="1" applyAlignment="1">
      <alignment horizontal="center" vertical="center"/>
    </xf>
    <xf numFmtId="0" fontId="63" fillId="0" borderId="0" xfId="6"/>
    <xf numFmtId="170" fontId="2" fillId="0" borderId="0" xfId="5" applyNumberFormat="1" applyFont="1"/>
    <xf numFmtId="0" fontId="1" fillId="0" borderId="24" xfId="8" applyBorder="1"/>
    <xf numFmtId="0" fontId="1" fillId="0" borderId="25" xfId="8" applyBorder="1"/>
    <xf numFmtId="0" fontId="1" fillId="0" borderId="26" xfId="8" applyBorder="1"/>
    <xf numFmtId="0" fontId="1" fillId="0" borderId="0" xfId="8"/>
    <xf numFmtId="0" fontId="1" fillId="0" borderId="5" xfId="8" applyBorder="1"/>
    <xf numFmtId="0" fontId="1" fillId="0" borderId="3" xfId="8" applyBorder="1"/>
    <xf numFmtId="0" fontId="67" fillId="0" borderId="0" xfId="9" applyBorder="1"/>
    <xf numFmtId="0" fontId="66" fillId="0" borderId="0" xfId="6" applyFont="1" applyAlignment="1">
      <alignment horizontal="center" vertical="center" wrapText="1"/>
    </xf>
    <xf numFmtId="2" fontId="65" fillId="0" borderId="0" xfId="6" applyNumberFormat="1" applyFont="1" applyAlignment="1">
      <alignment horizontal="left" vertical="center" wrapText="1"/>
    </xf>
    <xf numFmtId="0" fontId="1" fillId="0" borderId="6" xfId="8" applyBorder="1"/>
    <xf numFmtId="0" fontId="1" fillId="0" borderId="2" xfId="8" applyBorder="1"/>
    <xf numFmtId="0" fontId="1" fillId="0" borderId="4" xfId="8" applyBorder="1"/>
    <xf numFmtId="0" fontId="0" fillId="2" borderId="27" xfId="0" applyFill="1" applyBorder="1" applyAlignment="1">
      <alignment horizontal="center"/>
    </xf>
    <xf numFmtId="2" fontId="0" fillId="2" borderId="28" xfId="0" applyNumberFormat="1" applyFill="1" applyBorder="1" applyAlignment="1">
      <alignment horizontal="center"/>
    </xf>
    <xf numFmtId="0" fontId="3" fillId="2" borderId="23" xfId="0" applyFont="1" applyFill="1" applyBorder="1" applyAlignment="1">
      <alignment horizontal="center" vertical="center" wrapText="1"/>
    </xf>
    <xf numFmtId="0" fontId="4" fillId="2" borderId="23" xfId="0" applyFont="1" applyFill="1" applyBorder="1" applyAlignment="1">
      <alignment horizontal="center" vertical="center" wrapText="1"/>
    </xf>
    <xf numFmtId="2" fontId="0" fillId="2" borderId="23" xfId="0" applyNumberFormat="1" applyFill="1" applyBorder="1" applyAlignment="1">
      <alignment horizontal="center" vertical="center" wrapText="1"/>
    </xf>
    <xf numFmtId="0" fontId="0" fillId="2" borderId="23" xfId="0" applyFill="1" applyBorder="1" applyAlignment="1">
      <alignment horizontal="center" vertical="center" wrapText="1"/>
    </xf>
    <xf numFmtId="0" fontId="0" fillId="4" borderId="23" xfId="0" applyFill="1" applyBorder="1" applyAlignment="1">
      <alignment horizontal="center"/>
    </xf>
    <xf numFmtId="0" fontId="0" fillId="3" borderId="23" xfId="0" applyFill="1" applyBorder="1" applyAlignment="1">
      <alignment horizontal="center"/>
    </xf>
    <xf numFmtId="0" fontId="0" fillId="4" borderId="24" xfId="0" applyFill="1" applyBorder="1" applyAlignment="1">
      <alignment horizontal="center"/>
    </xf>
    <xf numFmtId="2" fontId="0" fillId="3" borderId="26" xfId="0" applyNumberFormat="1" applyFill="1" applyBorder="1" applyAlignment="1">
      <alignment horizontal="center"/>
    </xf>
    <xf numFmtId="0" fontId="0" fillId="2" borderId="23" xfId="0" applyFill="1" applyBorder="1" applyAlignment="1">
      <alignment horizontal="center"/>
    </xf>
    <xf numFmtId="11" fontId="0" fillId="4" borderId="23" xfId="0" applyNumberFormat="1" applyFill="1" applyBorder="1" applyAlignment="1">
      <alignment horizontal="center"/>
    </xf>
    <xf numFmtId="0" fontId="0" fillId="3" borderId="23" xfId="0" applyFill="1" applyBorder="1"/>
    <xf numFmtId="0" fontId="0" fillId="4" borderId="23" xfId="0" applyFill="1" applyBorder="1"/>
    <xf numFmtId="0" fontId="0" fillId="2" borderId="23" xfId="0" applyFill="1" applyBorder="1"/>
    <xf numFmtId="0" fontId="16" fillId="4" borderId="24" xfId="0" applyFont="1" applyFill="1" applyBorder="1" applyAlignment="1">
      <alignment horizontal="center"/>
    </xf>
    <xf numFmtId="164" fontId="17" fillId="3" borderId="25" xfId="0" applyNumberFormat="1" applyFont="1" applyFill="1" applyBorder="1" applyAlignment="1">
      <alignment horizontal="center"/>
    </xf>
    <xf numFmtId="2" fontId="16" fillId="4" borderId="25" xfId="0" applyNumberFormat="1" applyFont="1" applyFill="1" applyBorder="1" applyAlignment="1">
      <alignment horizontal="center"/>
    </xf>
    <xf numFmtId="0" fontId="17" fillId="2" borderId="26" xfId="0" applyFont="1" applyFill="1" applyBorder="1" applyAlignment="1">
      <alignment horizontal="center"/>
    </xf>
    <xf numFmtId="0" fontId="44" fillId="0" borderId="23" xfId="0" applyFont="1" applyBorder="1" applyAlignment="1">
      <alignment horizontal="right" vertical="center"/>
    </xf>
    <xf numFmtId="0" fontId="44" fillId="6" borderId="23" xfId="0" applyFont="1" applyFill="1" applyBorder="1" applyAlignment="1">
      <alignment horizontal="center" vertical="center"/>
    </xf>
    <xf numFmtId="0" fontId="44" fillId="10" borderId="23" xfId="0" applyFont="1" applyFill="1" applyBorder="1" applyAlignment="1" applyProtection="1">
      <alignment horizontal="center" vertical="center"/>
      <protection locked="0"/>
    </xf>
    <xf numFmtId="0" fontId="44" fillId="10" borderId="23" xfId="0" quotePrefix="1" applyFont="1" applyFill="1" applyBorder="1" applyAlignment="1" applyProtection="1">
      <alignment horizontal="center" vertical="center"/>
      <protection locked="0"/>
    </xf>
    <xf numFmtId="0" fontId="44" fillId="6" borderId="23" xfId="0" quotePrefix="1" applyFont="1" applyFill="1" applyBorder="1" applyAlignment="1">
      <alignment horizontal="center" vertical="center"/>
    </xf>
    <xf numFmtId="0" fontId="44" fillId="0" borderId="23" xfId="0" quotePrefix="1" applyFont="1" applyBorder="1" applyAlignment="1">
      <alignment horizontal="center" vertical="center"/>
    </xf>
    <xf numFmtId="0" fontId="44" fillId="10" borderId="23" xfId="0" applyFont="1" applyFill="1" applyBorder="1" applyAlignment="1">
      <alignment horizontal="center" vertical="center"/>
    </xf>
    <xf numFmtId="1" fontId="44" fillId="0" borderId="23" xfId="0" applyNumberFormat="1" applyFont="1" applyBorder="1" applyAlignment="1">
      <alignment horizontal="right" vertical="center"/>
    </xf>
    <xf numFmtId="0" fontId="44" fillId="10" borderId="23" xfId="0" applyFont="1" applyFill="1" applyBorder="1" applyAlignment="1" applyProtection="1">
      <alignment vertical="center"/>
      <protection locked="0"/>
    </xf>
    <xf numFmtId="14" fontId="44" fillId="10" borderId="23" xfId="0" applyNumberFormat="1" applyFont="1" applyFill="1" applyBorder="1" applyAlignment="1" applyProtection="1">
      <alignment horizontal="center" vertical="center"/>
      <protection locked="0"/>
    </xf>
    <xf numFmtId="175" fontId="44" fillId="0" borderId="23" xfId="0" applyNumberFormat="1" applyFont="1" applyBorder="1" applyAlignment="1">
      <alignment vertical="center"/>
    </xf>
    <xf numFmtId="14" fontId="44" fillId="6" borderId="23" xfId="0" applyNumberFormat="1" applyFont="1" applyFill="1" applyBorder="1" applyAlignment="1">
      <alignment vertical="center"/>
    </xf>
    <xf numFmtId="172" fontId="44" fillId="10" borderId="23" xfId="0" applyNumberFormat="1" applyFont="1" applyFill="1" applyBorder="1" applyAlignment="1" applyProtection="1">
      <alignment horizontal="center" vertical="center"/>
      <protection locked="0"/>
    </xf>
    <xf numFmtId="14" fontId="44" fillId="6" borderId="23" xfId="0" applyNumberFormat="1" applyFont="1" applyFill="1" applyBorder="1" applyAlignment="1">
      <alignment horizontal="center" vertical="center"/>
    </xf>
    <xf numFmtId="14" fontId="2" fillId="10" borderId="23" xfId="0" applyNumberFormat="1" applyFont="1" applyFill="1" applyBorder="1" applyAlignment="1" applyProtection="1">
      <alignment horizontal="center"/>
      <protection locked="0"/>
    </xf>
    <xf numFmtId="0" fontId="0" fillId="10" borderId="23" xfId="0" applyFill="1" applyBorder="1" applyProtection="1">
      <protection locked="0"/>
    </xf>
    <xf numFmtId="0" fontId="0" fillId="10" borderId="23" xfId="0" applyFill="1" applyBorder="1" applyAlignment="1" applyProtection="1">
      <alignment horizontal="center" vertical="center"/>
      <protection locked="0"/>
    </xf>
    <xf numFmtId="0" fontId="43" fillId="6" borderId="23" xfId="0" applyFont="1" applyFill="1" applyBorder="1" applyAlignment="1">
      <alignment horizontal="center" vertical="center"/>
    </xf>
    <xf numFmtId="49" fontId="0" fillId="10" borderId="23" xfId="0" applyNumberFormat="1" applyFill="1" applyBorder="1" applyAlignment="1" applyProtection="1">
      <alignment horizontal="center" vertical="center"/>
      <protection locked="0"/>
    </xf>
    <xf numFmtId="0" fontId="2" fillId="10" borderId="23" xfId="0" applyFont="1" applyFill="1" applyBorder="1" applyAlignment="1" applyProtection="1">
      <alignment horizontal="center" vertical="center"/>
      <protection locked="0"/>
    </xf>
    <xf numFmtId="0" fontId="2" fillId="10" borderId="29" xfId="0" applyFont="1" applyFill="1" applyBorder="1" applyAlignment="1" applyProtection="1">
      <alignment horizontal="center" vertical="center"/>
      <protection locked="0"/>
    </xf>
    <xf numFmtId="0" fontId="0" fillId="10" borderId="29" xfId="0" applyFill="1" applyBorder="1" applyAlignment="1" applyProtection="1">
      <alignment horizontal="center" vertical="center"/>
      <protection locked="0"/>
    </xf>
    <xf numFmtId="0" fontId="43" fillId="6" borderId="23" xfId="0" applyFont="1" applyFill="1" applyBorder="1" applyAlignment="1">
      <alignment horizontal="left" vertical="center"/>
    </xf>
    <xf numFmtId="0" fontId="43" fillId="6" borderId="23" xfId="0" applyFont="1" applyFill="1" applyBorder="1" applyAlignment="1">
      <alignment vertical="center"/>
    </xf>
    <xf numFmtId="0" fontId="43" fillId="10" borderId="23" xfId="0" applyFont="1" applyFill="1" applyBorder="1" applyAlignment="1" applyProtection="1">
      <alignment vertical="center"/>
      <protection locked="0"/>
    </xf>
    <xf numFmtId="176" fontId="43" fillId="10" borderId="23" xfId="0" applyNumberFormat="1" applyFont="1" applyFill="1" applyBorder="1" applyAlignment="1" applyProtection="1">
      <alignment vertical="center"/>
      <protection locked="0"/>
    </xf>
    <xf numFmtId="0" fontId="43" fillId="10" borderId="23" xfId="0" applyFont="1" applyFill="1" applyBorder="1" applyAlignment="1" applyProtection="1">
      <alignment horizontal="center" vertical="center"/>
      <protection locked="0"/>
    </xf>
    <xf numFmtId="0" fontId="43" fillId="10" borderId="23" xfId="0" applyFont="1" applyFill="1" applyBorder="1" applyAlignment="1" applyProtection="1">
      <alignment horizontal="left" vertical="center"/>
      <protection locked="0"/>
    </xf>
    <xf numFmtId="0" fontId="46" fillId="0" borderId="23" xfId="0" applyFont="1" applyBorder="1" applyAlignment="1">
      <alignment horizontal="left" vertical="center"/>
    </xf>
    <xf numFmtId="0" fontId="44" fillId="0" borderId="23" xfId="0" applyFont="1" applyBorder="1" applyAlignment="1">
      <alignment horizontal="center" vertical="center"/>
    </xf>
    <xf numFmtId="0" fontId="59" fillId="6" borderId="23" xfId="0" applyFont="1" applyFill="1" applyBorder="1" applyAlignment="1">
      <alignment horizontal="center" vertical="center"/>
    </xf>
    <xf numFmtId="1" fontId="43" fillId="10" borderId="23" xfId="0" applyNumberFormat="1" applyFont="1" applyFill="1" applyBorder="1" applyAlignment="1">
      <alignment horizontal="center" vertical="center"/>
    </xf>
    <xf numFmtId="176" fontId="43" fillId="10" borderId="23" xfId="0" applyNumberFormat="1" applyFont="1" applyFill="1" applyBorder="1" applyAlignment="1" applyProtection="1">
      <alignment horizontal="left" vertical="center"/>
      <protection locked="0"/>
    </xf>
    <xf numFmtId="176" fontId="43" fillId="10" borderId="23" xfId="4" applyNumberFormat="1" applyFont="1" applyFill="1" applyBorder="1" applyAlignment="1" applyProtection="1">
      <alignment horizontal="left" vertical="center"/>
      <protection locked="0"/>
    </xf>
    <xf numFmtId="1" fontId="43" fillId="10" borderId="23" xfId="0" applyNumberFormat="1" applyFont="1" applyFill="1" applyBorder="1" applyAlignment="1" applyProtection="1">
      <alignment horizontal="left" vertical="center"/>
      <protection locked="0"/>
    </xf>
    <xf numFmtId="49" fontId="43" fillId="10" borderId="23" xfId="0" applyNumberFormat="1" applyFont="1" applyFill="1" applyBorder="1" applyAlignment="1" applyProtection="1">
      <alignment horizontal="left" vertical="center"/>
      <protection locked="0"/>
    </xf>
    <xf numFmtId="14" fontId="43" fillId="10" borderId="23" xfId="0" applyNumberFormat="1" applyFont="1" applyFill="1" applyBorder="1" applyAlignment="1" applyProtection="1">
      <alignment horizontal="left" vertical="center"/>
      <protection locked="0"/>
    </xf>
    <xf numFmtId="49" fontId="43" fillId="10" borderId="23" xfId="4" applyNumberFormat="1" applyFont="1" applyFill="1" applyBorder="1" applyAlignment="1" applyProtection="1">
      <alignment horizontal="left" vertical="center"/>
      <protection locked="0"/>
    </xf>
    <xf numFmtId="0" fontId="43" fillId="10" borderId="29" xfId="0" applyFont="1" applyFill="1" applyBorder="1" applyAlignment="1" applyProtection="1">
      <alignment horizontal="left" vertical="center"/>
      <protection locked="0"/>
    </xf>
    <xf numFmtId="173" fontId="44" fillId="10" borderId="23" xfId="0" applyNumberFormat="1" applyFont="1" applyFill="1" applyBorder="1" applyAlignment="1" applyProtection="1">
      <alignment horizontal="center" vertical="center"/>
      <protection locked="0"/>
    </xf>
    <xf numFmtId="0" fontId="43" fillId="0" borderId="30" xfId="0" applyFont="1" applyBorder="1" applyAlignment="1">
      <alignment vertical="center"/>
    </xf>
    <xf numFmtId="0" fontId="43" fillId="6" borderId="25" xfId="0" applyFont="1" applyFill="1" applyBorder="1" applyAlignment="1">
      <alignment horizontal="left" vertical="center"/>
    </xf>
    <xf numFmtId="0" fontId="44" fillId="10" borderId="23" xfId="0" applyFont="1" applyFill="1" applyBorder="1" applyAlignment="1" applyProtection="1">
      <alignment horizontal="left" vertical="center"/>
      <protection locked="0"/>
    </xf>
    <xf numFmtId="0" fontId="2" fillId="0" borderId="23" xfId="0" applyFont="1" applyBorder="1" applyAlignment="1">
      <alignment horizontal="center" vertical="center"/>
    </xf>
    <xf numFmtId="0" fontId="0" fillId="0" borderId="23" xfId="0" applyBorder="1"/>
    <xf numFmtId="14" fontId="0" fillId="0" borderId="23" xfId="0" applyNumberFormat="1" applyBorder="1"/>
    <xf numFmtId="0" fontId="44" fillId="6" borderId="23" xfId="0" applyFont="1" applyFill="1" applyBorder="1" applyAlignment="1">
      <alignment horizontal="right" vertical="center"/>
    </xf>
    <xf numFmtId="172" fontId="44" fillId="6" borderId="23" xfId="0" applyNumberFormat="1" applyFont="1" applyFill="1" applyBorder="1" applyAlignment="1">
      <alignment horizontal="center" vertical="center"/>
    </xf>
    <xf numFmtId="1" fontId="44" fillId="6" borderId="23" xfId="0" applyNumberFormat="1" applyFont="1" applyFill="1" applyBorder="1" applyAlignment="1">
      <alignment horizontal="center" vertical="center"/>
    </xf>
    <xf numFmtId="164" fontId="44" fillId="10" borderId="23" xfId="0" applyNumberFormat="1" applyFont="1" applyFill="1" applyBorder="1" applyAlignment="1" applyProtection="1">
      <alignment horizontal="center" vertical="center"/>
      <protection locked="0"/>
    </xf>
    <xf numFmtId="0" fontId="43" fillId="0" borderId="23" xfId="0" applyFont="1" applyBorder="1" applyAlignment="1">
      <alignment horizontal="left" vertical="center"/>
    </xf>
    <xf numFmtId="0" fontId="43" fillId="0" borderId="23" xfId="0" applyFont="1" applyBorder="1" applyAlignment="1">
      <alignment vertical="center"/>
    </xf>
    <xf numFmtId="0" fontId="41" fillId="10" borderId="23" xfId="2" applyFont="1" applyFill="1" applyBorder="1" applyAlignment="1" applyProtection="1">
      <alignment horizontal="center" vertical="center"/>
      <protection locked="0"/>
    </xf>
    <xf numFmtId="0" fontId="51" fillId="10" borderId="23" xfId="2" applyFont="1" applyFill="1" applyBorder="1" applyAlignment="1" applyProtection="1">
      <alignment horizontal="center" vertical="center"/>
      <protection locked="0"/>
    </xf>
    <xf numFmtId="0" fontId="50" fillId="10" borderId="23" xfId="2" applyFont="1" applyFill="1" applyBorder="1" applyAlignment="1">
      <alignment vertical="center"/>
    </xf>
    <xf numFmtId="0" fontId="43" fillId="6" borderId="23" xfId="3" applyFont="1" applyFill="1" applyBorder="1" applyAlignment="1" applyProtection="1">
      <alignment vertical="center"/>
    </xf>
    <xf numFmtId="0" fontId="43" fillId="10" borderId="23" xfId="0" applyFont="1" applyFill="1" applyBorder="1" applyAlignment="1">
      <alignment vertical="center"/>
    </xf>
    <xf numFmtId="0" fontId="43" fillId="13" borderId="27" xfId="0" applyFont="1" applyFill="1" applyBorder="1" applyAlignment="1" applyProtection="1">
      <alignment horizontal="left" vertical="center"/>
      <protection locked="0"/>
    </xf>
    <xf numFmtId="0" fontId="43" fillId="10" borderId="27" xfId="0" applyFont="1" applyFill="1" applyBorder="1" applyAlignment="1" applyProtection="1">
      <alignment horizontal="left" vertical="center"/>
      <protection locked="0"/>
    </xf>
    <xf numFmtId="0" fontId="43" fillId="10" borderId="23" xfId="0" applyFont="1" applyFill="1" applyBorder="1" applyAlignment="1">
      <alignment horizontal="left" vertical="center"/>
    </xf>
    <xf numFmtId="0" fontId="44" fillId="10" borderId="23" xfId="0" applyFont="1" applyFill="1" applyBorder="1" applyAlignment="1">
      <alignment horizontal="left" vertical="center"/>
    </xf>
    <xf numFmtId="0" fontId="43" fillId="0" borderId="23" xfId="0" applyFont="1" applyBorder="1" applyAlignment="1" applyProtection="1">
      <alignment horizontal="left" vertical="center"/>
      <protection locked="0"/>
    </xf>
    <xf numFmtId="0" fontId="41" fillId="0" borderId="27" xfId="2" applyFont="1" applyBorder="1" applyAlignment="1">
      <alignment horizontal="center" vertical="center"/>
    </xf>
    <xf numFmtId="0" fontId="41" fillId="0" borderId="30" xfId="2" applyFont="1" applyBorder="1" applyAlignment="1">
      <alignment horizontal="left" vertical="center"/>
    </xf>
    <xf numFmtId="0" fontId="41" fillId="0" borderId="28" xfId="2" applyFont="1" applyBorder="1" applyAlignment="1">
      <alignment horizontal="center" vertical="center"/>
    </xf>
    <xf numFmtId="0" fontId="41" fillId="0" borderId="30" xfId="2" applyFont="1" applyBorder="1" applyAlignment="1">
      <alignment horizontal="center" vertical="center"/>
    </xf>
    <xf numFmtId="0" fontId="41" fillId="0" borderId="27" xfId="2" applyFont="1" applyBorder="1" applyAlignment="1">
      <alignment horizontal="left" vertical="center"/>
    </xf>
    <xf numFmtId="0" fontId="41" fillId="0" borderId="28" xfId="2" applyFont="1" applyBorder="1" applyAlignment="1">
      <alignment horizontal="left" vertical="center"/>
    </xf>
    <xf numFmtId="164" fontId="41" fillId="0" borderId="27" xfId="2" applyNumberFormat="1" applyFont="1" applyBorder="1" applyAlignment="1">
      <alignment horizontal="center" vertical="center"/>
    </xf>
    <xf numFmtId="164" fontId="41" fillId="0" borderId="30" xfId="2" applyNumberFormat="1" applyFont="1" applyBorder="1" applyAlignment="1">
      <alignment horizontal="center" vertical="center"/>
    </xf>
    <xf numFmtId="164" fontId="41" fillId="0" borderId="28" xfId="2" applyNumberFormat="1" applyFont="1" applyBorder="1" applyAlignment="1">
      <alignment horizontal="center" vertical="center"/>
    </xf>
    <xf numFmtId="174" fontId="41" fillId="0" borderId="27" xfId="2" applyNumberFormat="1" applyFont="1" applyBorder="1" applyAlignment="1">
      <alignment horizontal="center" vertical="center"/>
    </xf>
    <xf numFmtId="174" fontId="41" fillId="0" borderId="30" xfId="2" applyNumberFormat="1" applyFont="1" applyBorder="1" applyAlignment="1">
      <alignment horizontal="center" vertical="center"/>
    </xf>
    <xf numFmtId="174" fontId="41" fillId="0" borderId="28" xfId="2" applyNumberFormat="1" applyFont="1" applyBorder="1" applyAlignment="1">
      <alignment horizontal="center" vertical="center"/>
    </xf>
    <xf numFmtId="0" fontId="41" fillId="0" borderId="23" xfId="2" applyFont="1" applyBorder="1" applyAlignment="1">
      <alignment horizontal="center" vertical="center"/>
    </xf>
    <xf numFmtId="0" fontId="2" fillId="0" borderId="27" xfId="0" quotePrefix="1" applyFont="1" applyBorder="1"/>
    <xf numFmtId="0" fontId="2" fillId="0" borderId="27" xfId="0" applyFont="1" applyBorder="1"/>
    <xf numFmtId="0" fontId="2" fillId="0" borderId="24" xfId="0" quotePrefix="1" applyFont="1" applyBorder="1"/>
    <xf numFmtId="0" fontId="2" fillId="0" borderId="25" xfId="0" applyFont="1" applyBorder="1"/>
    <xf numFmtId="0" fontId="2" fillId="0" borderId="29" xfId="0" quotePrefix="1" applyFont="1" applyBorder="1"/>
    <xf numFmtId="0" fontId="2" fillId="0" borderId="23" xfId="0" quotePrefix="1" applyFont="1" applyBorder="1"/>
    <xf numFmtId="14" fontId="2" fillId="0" borderId="23" xfId="0" applyNumberFormat="1" applyFont="1" applyBorder="1" applyProtection="1">
      <protection locked="0"/>
    </xf>
    <xf numFmtId="14" fontId="2" fillId="0" borderId="23" xfId="0" applyNumberFormat="1" applyFont="1" applyBorder="1"/>
    <xf numFmtId="0" fontId="2" fillId="0" borderId="30" xfId="0" applyFont="1" applyBorder="1"/>
    <xf numFmtId="0" fontId="2" fillId="0" borderId="30" xfId="0" quotePrefix="1" applyFont="1" applyBorder="1"/>
    <xf numFmtId="0" fontId="2" fillId="0" borderId="23" xfId="0" applyFont="1" applyBorder="1"/>
    <xf numFmtId="0" fontId="2" fillId="0" borderId="23" xfId="0" applyFont="1" applyBorder="1" applyProtection="1">
      <protection locked="0"/>
    </xf>
    <xf numFmtId="49" fontId="2" fillId="0" borderId="23" xfId="0" applyNumberFormat="1" applyFont="1" applyBorder="1" applyProtection="1">
      <protection locked="0"/>
    </xf>
    <xf numFmtId="0" fontId="2" fillId="0" borderId="29" xfId="0" applyFont="1" applyBorder="1" applyProtection="1">
      <protection locked="0"/>
    </xf>
    <xf numFmtId="170" fontId="34" fillId="5" borderId="31" xfId="0" applyNumberFormat="1" applyFont="1" applyFill="1" applyBorder="1" applyAlignment="1">
      <alignment horizontal="center" vertical="center" wrapText="1"/>
    </xf>
    <xf numFmtId="0" fontId="10" fillId="2" borderId="24" xfId="0" applyFont="1" applyFill="1" applyBorder="1" applyAlignment="1">
      <alignment vertical="center"/>
    </xf>
    <xf numFmtId="0" fontId="12" fillId="2" borderId="25" xfId="0" applyFont="1" applyFill="1" applyBorder="1"/>
    <xf numFmtId="0" fontId="12" fillId="2" borderId="26" xfId="0" applyFont="1" applyFill="1" applyBorder="1"/>
    <xf numFmtId="10" fontId="35" fillId="5" borderId="31" xfId="0" applyNumberFormat="1" applyFont="1" applyFill="1" applyBorder="1" applyAlignment="1">
      <alignment horizontal="center" vertical="center" wrapText="1"/>
    </xf>
    <xf numFmtId="0" fontId="30" fillId="2" borderId="32" xfId="0" applyFont="1" applyFill="1" applyBorder="1" applyAlignment="1">
      <alignment horizontal="center"/>
    </xf>
    <xf numFmtId="0" fontId="30" fillId="2" borderId="24" xfId="0" applyFont="1" applyFill="1" applyBorder="1" applyAlignment="1">
      <alignment horizontal="center"/>
    </xf>
    <xf numFmtId="0" fontId="30" fillId="2" borderId="29" xfId="0" applyFont="1" applyFill="1" applyBorder="1" applyAlignment="1">
      <alignment horizontal="center"/>
    </xf>
    <xf numFmtId="0" fontId="30" fillId="2" borderId="26" xfId="0" applyFont="1" applyFill="1" applyBorder="1" applyAlignment="1">
      <alignment horizontal="center"/>
    </xf>
    <xf numFmtId="0" fontId="30" fillId="2" borderId="33" xfId="0" applyFont="1" applyFill="1" applyBorder="1" applyAlignment="1">
      <alignment horizontal="center"/>
    </xf>
    <xf numFmtId="0" fontId="0" fillId="2" borderId="34" xfId="0" applyFill="1" applyBorder="1" applyAlignment="1">
      <alignment horizontal="left" vertical="center"/>
    </xf>
    <xf numFmtId="15" fontId="0" fillId="2" borderId="34" xfId="0" applyNumberFormat="1" applyFill="1" applyBorder="1" applyAlignment="1">
      <alignment horizontal="center" vertical="center"/>
    </xf>
    <xf numFmtId="0" fontId="2" fillId="0" borderId="35" xfId="0" applyFont="1" applyBorder="1" applyAlignment="1">
      <alignment horizontal="center" vertical="center"/>
    </xf>
    <xf numFmtId="0" fontId="2" fillId="2" borderId="36" xfId="0" applyFont="1" applyFill="1" applyBorder="1" applyAlignment="1">
      <alignment horizontal="center" vertical="center"/>
    </xf>
    <xf numFmtId="0" fontId="2" fillId="2" borderId="36" xfId="0" applyFont="1" applyFill="1" applyBorder="1" applyAlignment="1">
      <alignment horizontal="left" vertical="center"/>
    </xf>
    <xf numFmtId="0" fontId="2" fillId="6" borderId="36" xfId="0" applyFont="1" applyFill="1" applyBorder="1" applyAlignment="1">
      <alignment horizontal="center" vertical="center"/>
    </xf>
    <xf numFmtId="0" fontId="2" fillId="6" borderId="36" xfId="0" applyFont="1" applyFill="1" applyBorder="1" applyAlignment="1">
      <alignment horizontal="left" vertical="center"/>
    </xf>
    <xf numFmtId="0" fontId="2" fillId="8" borderId="37" xfId="0" applyFont="1" applyFill="1" applyBorder="1" applyAlignment="1">
      <alignment vertical="center"/>
    </xf>
    <xf numFmtId="0" fontId="2" fillId="6" borderId="37" xfId="0" applyFont="1" applyFill="1" applyBorder="1" applyAlignment="1">
      <alignment vertical="center"/>
    </xf>
    <xf numFmtId="0" fontId="2" fillId="2" borderId="35" xfId="0" quotePrefix="1" applyFont="1" applyFill="1" applyBorder="1" applyAlignment="1">
      <alignment horizontal="center" vertical="center"/>
    </xf>
    <xf numFmtId="0" fontId="2" fillId="2" borderId="35" xfId="0" applyFont="1" applyFill="1" applyBorder="1" applyAlignment="1">
      <alignment horizontal="left" vertical="center"/>
    </xf>
    <xf numFmtId="0" fontId="2" fillId="2" borderId="35" xfId="0" applyFont="1" applyFill="1" applyBorder="1" applyAlignment="1">
      <alignment horizontal="center" vertical="center"/>
    </xf>
    <xf numFmtId="0" fontId="2" fillId="7" borderId="37" xfId="0" applyFont="1" applyFill="1" applyBorder="1" applyAlignment="1">
      <alignment vertical="center"/>
    </xf>
    <xf numFmtId="0" fontId="2" fillId="2" borderId="36" xfId="0" quotePrefix="1" applyFont="1" applyFill="1" applyBorder="1" applyAlignment="1">
      <alignment horizontal="center" vertical="center"/>
    </xf>
    <xf numFmtId="0" fontId="3" fillId="2" borderId="37" xfId="0" applyFont="1" applyFill="1" applyBorder="1" applyAlignment="1">
      <alignment horizontal="left" vertical="center"/>
    </xf>
    <xf numFmtId="0" fontId="2" fillId="2" borderId="37" xfId="0" applyFont="1" applyFill="1" applyBorder="1" applyAlignment="1">
      <alignment vertical="center"/>
    </xf>
    <xf numFmtId="2" fontId="2" fillId="0" borderId="35" xfId="0" applyNumberFormat="1" applyFont="1" applyBorder="1" applyAlignment="1">
      <alignment horizontal="center" vertical="center"/>
    </xf>
    <xf numFmtId="0" fontId="2" fillId="6" borderId="37" xfId="0" applyFont="1" applyFill="1" applyBorder="1" applyAlignment="1">
      <alignment horizontal="center" vertical="center"/>
    </xf>
    <xf numFmtId="1" fontId="37" fillId="8" borderId="37" xfId="0" applyNumberFormat="1" applyFont="1" applyFill="1" applyBorder="1" applyAlignment="1">
      <alignment horizontal="center" vertical="center"/>
    </xf>
    <xf numFmtId="0" fontId="3" fillId="2" borderId="37" xfId="0" applyFont="1" applyFill="1" applyBorder="1" applyAlignment="1">
      <alignment vertical="center"/>
    </xf>
    <xf numFmtId="0" fontId="3" fillId="2" borderId="37" xfId="0" applyFont="1" applyFill="1" applyBorder="1" applyAlignment="1">
      <alignment horizontal="center" vertical="center"/>
    </xf>
    <xf numFmtId="0" fontId="3" fillId="8" borderId="37" xfId="0" applyFont="1" applyFill="1" applyBorder="1" applyAlignment="1">
      <alignment horizontal="center" vertical="center"/>
    </xf>
    <xf numFmtId="1" fontId="34" fillId="0" borderId="37" xfId="0" applyNumberFormat="1" applyFont="1" applyBorder="1" applyAlignment="1">
      <alignment horizontal="center" vertical="center" wrapText="1"/>
    </xf>
    <xf numFmtId="1" fontId="3" fillId="0" borderId="37" xfId="0" applyNumberFormat="1" applyFont="1" applyBorder="1" applyAlignment="1">
      <alignment horizontal="center" vertical="center"/>
    </xf>
    <xf numFmtId="1" fontId="2" fillId="0" borderId="35" xfId="0" applyNumberFormat="1" applyFont="1" applyBorder="1" applyAlignment="1">
      <alignment horizontal="center" vertical="center"/>
    </xf>
    <xf numFmtId="0" fontId="10" fillId="2" borderId="37" xfId="0" applyFont="1" applyFill="1" applyBorder="1" applyAlignment="1">
      <alignment vertical="center"/>
    </xf>
    <xf numFmtId="0" fontId="0" fillId="2" borderId="37" xfId="0" applyFill="1" applyBorder="1"/>
    <xf numFmtId="0" fontId="10" fillId="2" borderId="38" xfId="0" applyFont="1" applyFill="1" applyBorder="1" applyAlignment="1">
      <alignment vertical="center"/>
    </xf>
    <xf numFmtId="0" fontId="12" fillId="2" borderId="39" xfId="0" applyFont="1" applyFill="1" applyBorder="1"/>
    <xf numFmtId="0" fontId="12" fillId="2" borderId="40" xfId="0" applyFont="1" applyFill="1" applyBorder="1"/>
    <xf numFmtId="0" fontId="36" fillId="2" borderId="37" xfId="0" applyFont="1" applyFill="1" applyBorder="1" applyAlignment="1">
      <alignment horizontal="center" vertical="center"/>
    </xf>
    <xf numFmtId="0" fontId="0" fillId="2" borderId="38" xfId="0" applyFill="1" applyBorder="1"/>
    <xf numFmtId="167" fontId="36" fillId="2" borderId="37" xfId="0" applyNumberFormat="1" applyFont="1" applyFill="1" applyBorder="1" applyAlignment="1">
      <alignment horizontal="center" vertical="center"/>
    </xf>
    <xf numFmtId="178" fontId="36" fillId="2" borderId="37" xfId="0" applyNumberFormat="1" applyFont="1" applyFill="1" applyBorder="1" applyAlignment="1">
      <alignment horizontal="center" vertical="center"/>
    </xf>
    <xf numFmtId="0" fontId="10" fillId="2" borderId="37" xfId="0" applyFont="1" applyFill="1" applyBorder="1" applyAlignment="1">
      <alignment horizontal="center" vertical="center" wrapText="1"/>
    </xf>
    <xf numFmtId="0" fontId="25" fillId="2" borderId="37" xfId="0" applyFont="1" applyFill="1" applyBorder="1" applyAlignment="1">
      <alignment horizontal="center" vertical="center" wrapText="1"/>
    </xf>
    <xf numFmtId="1" fontId="24" fillId="0" borderId="37" xfId="0" applyNumberFormat="1" applyFont="1" applyBorder="1" applyAlignment="1">
      <alignment horizontal="center" vertical="center" wrapText="1"/>
    </xf>
    <xf numFmtId="10" fontId="24" fillId="0" borderId="37" xfId="0" applyNumberFormat="1" applyFont="1" applyBorder="1" applyAlignment="1">
      <alignment horizontal="center" vertical="center" wrapText="1"/>
    </xf>
    <xf numFmtId="1" fontId="24" fillId="0" borderId="37" xfId="0" applyNumberFormat="1" applyFont="1" applyBorder="1" applyAlignment="1">
      <alignment horizontal="center" vertical="center"/>
    </xf>
    <xf numFmtId="0" fontId="24" fillId="2" borderId="37" xfId="0" applyFont="1" applyFill="1" applyBorder="1" applyAlignment="1">
      <alignment horizontal="center" vertical="center" wrapText="1"/>
    </xf>
    <xf numFmtId="2" fontId="24" fillId="2" borderId="37" xfId="0" applyNumberFormat="1" applyFont="1" applyFill="1" applyBorder="1" applyAlignment="1">
      <alignment horizontal="center" vertical="center" wrapText="1"/>
    </xf>
    <xf numFmtId="0" fontId="14" fillId="2" borderId="38" xfId="0" applyFont="1" applyFill="1" applyBorder="1" applyAlignment="1">
      <alignment vertical="center"/>
    </xf>
    <xf numFmtId="0" fontId="8" fillId="2" borderId="40" xfId="0" applyFont="1" applyFill="1" applyBorder="1"/>
    <xf numFmtId="0" fontId="14" fillId="2" borderId="37" xfId="0" applyFont="1" applyFill="1" applyBorder="1" applyAlignment="1">
      <alignment horizontal="center" vertical="center"/>
    </xf>
    <xf numFmtId="0" fontId="14" fillId="2" borderId="37" xfId="0" applyFont="1" applyFill="1" applyBorder="1" applyAlignment="1">
      <alignment vertical="center"/>
    </xf>
    <xf numFmtId="1" fontId="0" fillId="2" borderId="37" xfId="0" applyNumberFormat="1" applyFill="1" applyBorder="1" applyAlignment="1">
      <alignment horizontal="center" vertical="center"/>
    </xf>
    <xf numFmtId="1" fontId="2" fillId="6" borderId="37" xfId="0" applyNumberFormat="1" applyFont="1" applyFill="1" applyBorder="1" applyAlignment="1" applyProtection="1">
      <alignment horizontal="center" vertical="center"/>
      <protection locked="0"/>
    </xf>
    <xf numFmtId="1" fontId="2" fillId="2" borderId="37" xfId="0" applyNumberFormat="1" applyFont="1" applyFill="1" applyBorder="1" applyAlignment="1">
      <alignment horizontal="center" vertical="center"/>
    </xf>
    <xf numFmtId="0" fontId="36" fillId="2" borderId="37" xfId="0" applyFont="1" applyFill="1" applyBorder="1" applyAlignment="1" applyProtection="1">
      <alignment horizontal="center" vertical="center"/>
      <protection locked="0"/>
    </xf>
    <xf numFmtId="1" fontId="36" fillId="2" borderId="37" xfId="0" applyNumberFormat="1" applyFont="1" applyFill="1" applyBorder="1" applyAlignment="1" applyProtection="1">
      <alignment horizontal="center" vertical="center"/>
      <protection locked="0"/>
    </xf>
    <xf numFmtId="0" fontId="38" fillId="0" borderId="37" xfId="0" applyFont="1" applyBorder="1" applyAlignment="1" applyProtection="1">
      <alignment vertical="center" wrapText="1"/>
      <protection locked="0"/>
    </xf>
    <xf numFmtId="0" fontId="38" fillId="0" borderId="37" xfId="0" applyFont="1" applyBorder="1" applyAlignment="1">
      <alignment vertical="center" wrapText="1"/>
    </xf>
    <xf numFmtId="0" fontId="24" fillId="0" borderId="37" xfId="0" applyFont="1" applyBorder="1" applyAlignment="1">
      <alignment horizontal="center" vertical="center" wrapText="1"/>
    </xf>
    <xf numFmtId="1" fontId="24" fillId="0" borderId="37" xfId="0" applyNumberFormat="1" applyFont="1" applyBorder="1" applyAlignment="1" applyProtection="1">
      <alignment horizontal="center" vertical="center" wrapText="1"/>
      <protection locked="0"/>
    </xf>
    <xf numFmtId="10" fontId="24" fillId="2" borderId="37" xfId="0" applyNumberFormat="1" applyFont="1" applyFill="1" applyBorder="1" applyAlignment="1">
      <alignment horizontal="center" vertical="center" wrapText="1"/>
    </xf>
    <xf numFmtId="2" fontId="36" fillId="2" borderId="37" xfId="0" applyNumberFormat="1" applyFont="1" applyFill="1" applyBorder="1" applyAlignment="1" applyProtection="1">
      <alignment horizontal="center" vertical="center"/>
      <protection locked="0"/>
    </xf>
    <xf numFmtId="164" fontId="24" fillId="2" borderId="37" xfId="0" applyNumberFormat="1" applyFont="1" applyFill="1" applyBorder="1" applyAlignment="1">
      <alignment horizontal="center" vertical="center" wrapText="1"/>
    </xf>
    <xf numFmtId="0" fontId="65" fillId="0" borderId="37" xfId="6" applyFont="1" applyBorder="1" applyAlignment="1">
      <alignment horizontal="center" vertical="center" wrapText="1"/>
    </xf>
    <xf numFmtId="0" fontId="65" fillId="0" borderId="37" xfId="6" applyFont="1" applyBorder="1" applyAlignment="1">
      <alignment horizontal="left" vertical="center" wrapText="1"/>
    </xf>
    <xf numFmtId="0" fontId="65" fillId="15" borderId="37" xfId="6" applyFont="1" applyFill="1" applyBorder="1" applyAlignment="1">
      <alignment horizontal="left" vertical="center" wrapText="1"/>
    </xf>
    <xf numFmtId="0" fontId="63" fillId="0" borderId="37" xfId="6" applyBorder="1"/>
    <xf numFmtId="0" fontId="65" fillId="15" borderId="37" xfId="6" applyFont="1" applyFill="1" applyBorder="1" applyAlignment="1">
      <alignment vertical="center" wrapText="1"/>
    </xf>
    <xf numFmtId="14" fontId="65" fillId="15" borderId="37" xfId="6" applyNumberFormat="1" applyFont="1" applyFill="1" applyBorder="1" applyAlignment="1">
      <alignment horizontal="left" vertical="center" wrapText="1"/>
    </xf>
    <xf numFmtId="0" fontId="65" fillId="0" borderId="37" xfId="6" applyFont="1" applyBorder="1" applyAlignment="1">
      <alignment horizontal="left" vertical="center"/>
    </xf>
    <xf numFmtId="0" fontId="59" fillId="16" borderId="37" xfId="6" applyFont="1" applyFill="1" applyBorder="1" applyAlignment="1">
      <alignment horizontal="center" vertical="center" wrapText="1"/>
    </xf>
    <xf numFmtId="0" fontId="66" fillId="0" borderId="37" xfId="6" applyFont="1" applyBorder="1" applyAlignment="1">
      <alignment horizontal="center" vertical="center" wrapText="1"/>
    </xf>
    <xf numFmtId="1" fontId="65" fillId="15" borderId="37" xfId="6" applyNumberFormat="1" applyFont="1" applyFill="1" applyBorder="1" applyAlignment="1">
      <alignment horizontal="left" vertical="center" wrapText="1"/>
    </xf>
    <xf numFmtId="2" fontId="65" fillId="15" borderId="37" xfId="6" applyNumberFormat="1" applyFont="1" applyFill="1" applyBorder="1" applyAlignment="1">
      <alignment horizontal="left" vertical="center" wrapText="1"/>
    </xf>
    <xf numFmtId="0" fontId="65" fillId="15" borderId="37" xfId="6" applyFont="1" applyFill="1" applyBorder="1" applyAlignment="1">
      <alignment horizontal="left" vertical="center" wrapText="1"/>
    </xf>
    <xf numFmtId="0" fontId="1" fillId="0" borderId="37" xfId="8" applyBorder="1" applyAlignment="1">
      <alignment horizontal="center" vertical="center" wrapText="1"/>
    </xf>
    <xf numFmtId="0" fontId="1" fillId="0" borderId="37" xfId="8" applyBorder="1" applyAlignment="1">
      <alignment horizontal="center" vertical="center"/>
    </xf>
    <xf numFmtId="0" fontId="65" fillId="15" borderId="38" xfId="6" applyFont="1" applyFill="1" applyBorder="1" applyAlignment="1">
      <alignment horizontal="left" vertical="center" wrapText="1"/>
    </xf>
    <xf numFmtId="0" fontId="65" fillId="15" borderId="40" xfId="6" applyFont="1" applyFill="1" applyBorder="1" applyAlignment="1">
      <alignment horizontal="left" vertical="center" wrapText="1"/>
    </xf>
    <xf numFmtId="0" fontId="66" fillId="0" borderId="37" xfId="6" applyFont="1" applyBorder="1" applyAlignment="1">
      <alignment horizontal="center" vertical="center" wrapText="1"/>
    </xf>
    <xf numFmtId="0" fontId="65" fillId="15" borderId="37" xfId="8" applyFont="1" applyFill="1" applyBorder="1" applyAlignment="1">
      <alignment horizontal="left" vertical="center" wrapText="1"/>
    </xf>
    <xf numFmtId="0" fontId="65" fillId="0" borderId="0" xfId="6" applyFont="1" applyAlignment="1">
      <alignment horizontal="left" vertical="center" wrapText="1"/>
    </xf>
    <xf numFmtId="0" fontId="59" fillId="16" borderId="37" xfId="6" applyFont="1" applyFill="1" applyBorder="1" applyAlignment="1">
      <alignment horizontal="center" vertical="center" wrapText="1"/>
    </xf>
    <xf numFmtId="0" fontId="66" fillId="0" borderId="0" xfId="6" applyFont="1" applyAlignment="1">
      <alignment horizontal="center" vertical="center" wrapText="1"/>
    </xf>
    <xf numFmtId="0" fontId="65" fillId="0" borderId="37" xfId="6" applyFont="1" applyBorder="1" applyAlignment="1">
      <alignment horizontal="left" vertical="center" wrapText="1"/>
    </xf>
    <xf numFmtId="0" fontId="65" fillId="0" borderId="38" xfId="6" applyFont="1" applyBorder="1" applyAlignment="1">
      <alignment horizontal="left" vertical="center"/>
    </xf>
    <xf numFmtId="0" fontId="65" fillId="0" borderId="40" xfId="6" applyFont="1" applyBorder="1" applyAlignment="1">
      <alignment horizontal="left" vertical="center"/>
    </xf>
    <xf numFmtId="0" fontId="65" fillId="0" borderId="38" xfId="6" applyFont="1" applyBorder="1" applyAlignment="1">
      <alignment horizontal="left" vertical="center" wrapText="1"/>
    </xf>
    <xf numFmtId="0" fontId="65" fillId="0" borderId="40" xfId="6" applyFont="1" applyBorder="1" applyAlignment="1">
      <alignment horizontal="left" vertical="center" wrapText="1"/>
    </xf>
    <xf numFmtId="0" fontId="59" fillId="16" borderId="37" xfId="6" applyFont="1" applyFill="1" applyBorder="1" applyAlignment="1">
      <alignment horizontal="left" vertical="center" wrapText="1"/>
    </xf>
    <xf numFmtId="0" fontId="64" fillId="0" borderId="24" xfId="6" applyFont="1" applyBorder="1" applyAlignment="1">
      <alignment horizontal="center" vertical="center" wrapText="1"/>
    </xf>
    <xf numFmtId="0" fontId="64" fillId="0" borderId="25" xfId="6" applyFont="1" applyBorder="1" applyAlignment="1">
      <alignment horizontal="center" vertical="center" wrapText="1"/>
    </xf>
    <xf numFmtId="0" fontId="64" fillId="0" borderId="26" xfId="6" applyFont="1" applyBorder="1" applyAlignment="1">
      <alignment horizontal="center" vertical="center" wrapText="1"/>
    </xf>
    <xf numFmtId="0" fontId="64" fillId="0" borderId="6" xfId="6" applyFont="1" applyBorder="1" applyAlignment="1">
      <alignment horizontal="center" vertical="center" wrapText="1"/>
    </xf>
    <xf numFmtId="0" fontId="64" fillId="0" borderId="2" xfId="6" applyFont="1" applyBorder="1" applyAlignment="1">
      <alignment horizontal="center" vertical="center" wrapText="1"/>
    </xf>
    <xf numFmtId="0" fontId="64" fillId="0" borderId="4" xfId="6" applyFont="1" applyBorder="1" applyAlignment="1">
      <alignment horizontal="center" vertical="center" wrapText="1"/>
    </xf>
    <xf numFmtId="0" fontId="65" fillId="0" borderId="37" xfId="6" applyFont="1" applyBorder="1" applyAlignment="1">
      <alignment horizontal="center" vertical="center" wrapText="1"/>
    </xf>
    <xf numFmtId="14" fontId="65" fillId="15" borderId="38" xfId="6" applyNumberFormat="1" applyFont="1" applyFill="1" applyBorder="1" applyAlignment="1">
      <alignment horizontal="center" vertical="center" wrapText="1"/>
    </xf>
    <xf numFmtId="14" fontId="65" fillId="15" borderId="40" xfId="6" applyNumberFormat="1" applyFont="1" applyFill="1" applyBorder="1" applyAlignment="1">
      <alignment horizontal="center" vertical="center" wrapText="1"/>
    </xf>
    <xf numFmtId="0" fontId="65" fillId="15" borderId="38" xfId="6" applyFont="1" applyFill="1" applyBorder="1" applyAlignment="1">
      <alignment horizontal="center" vertical="center" wrapText="1"/>
    </xf>
    <xf numFmtId="0" fontId="65" fillId="15" borderId="40" xfId="6" applyFont="1" applyFill="1" applyBorder="1" applyAlignment="1">
      <alignment horizontal="center" vertical="center" wrapText="1"/>
    </xf>
    <xf numFmtId="0" fontId="55" fillId="12" borderId="0" xfId="0" applyFont="1" applyFill="1" applyAlignment="1">
      <alignment horizontal="center" vertical="center"/>
    </xf>
    <xf numFmtId="0" fontId="47" fillId="12" borderId="0" xfId="0" applyFont="1" applyFill="1" applyAlignment="1">
      <alignment horizontal="center" vertical="center"/>
    </xf>
    <xf numFmtId="0" fontId="44" fillId="6" borderId="0" xfId="0" applyFont="1" applyFill="1" applyAlignment="1">
      <alignment horizontal="center" vertical="center"/>
    </xf>
    <xf numFmtId="0" fontId="43" fillId="0" borderId="0" xfId="0" applyFont="1" applyAlignment="1">
      <alignment horizontal="left" vertical="center"/>
    </xf>
    <xf numFmtId="172" fontId="49" fillId="6" borderId="0" xfId="0" applyNumberFormat="1" applyFont="1" applyFill="1" applyAlignment="1">
      <alignment horizontal="center" vertical="center"/>
    </xf>
    <xf numFmtId="0" fontId="47" fillId="6" borderId="0" xfId="0" applyFont="1" applyFill="1" applyAlignment="1">
      <alignment horizontal="center" vertical="center"/>
    </xf>
    <xf numFmtId="0" fontId="44" fillId="11" borderId="0" xfId="0" applyFont="1" applyFill="1" applyAlignment="1">
      <alignment horizontal="center" vertical="center"/>
    </xf>
    <xf numFmtId="172" fontId="44" fillId="10" borderId="0" xfId="0" applyNumberFormat="1" applyFont="1" applyFill="1" applyAlignment="1">
      <alignment horizontal="center" vertical="center"/>
    </xf>
    <xf numFmtId="0" fontId="44" fillId="6" borderId="0" xfId="0" applyFont="1" applyFill="1" applyAlignment="1">
      <alignment horizontal="left" vertical="center"/>
    </xf>
    <xf numFmtId="0" fontId="3" fillId="0" borderId="0" xfId="0" applyFont="1"/>
    <xf numFmtId="0" fontId="2" fillId="10" borderId="23" xfId="0" applyFont="1" applyFill="1" applyBorder="1" applyAlignment="1" applyProtection="1">
      <alignment horizontal="center" wrapText="1"/>
      <protection locked="0"/>
    </xf>
    <xf numFmtId="0" fontId="2" fillId="10" borderId="23" xfId="0" applyFont="1" applyFill="1" applyBorder="1" applyAlignment="1" applyProtection="1">
      <alignment horizontal="center"/>
      <protection locked="0"/>
    </xf>
    <xf numFmtId="0" fontId="0" fillId="0" borderId="0" xfId="0"/>
    <xf numFmtId="0" fontId="2" fillId="10" borderId="27" xfId="0" applyFont="1" applyFill="1" applyBorder="1" applyAlignment="1" applyProtection="1">
      <alignment horizontal="center"/>
      <protection locked="0"/>
    </xf>
    <xf numFmtId="0" fontId="2" fillId="10" borderId="30" xfId="0" applyFont="1" applyFill="1" applyBorder="1" applyAlignment="1" applyProtection="1">
      <alignment horizontal="center"/>
      <protection locked="0"/>
    </xf>
    <xf numFmtId="0" fontId="2" fillId="10" borderId="28" xfId="0" applyFont="1" applyFill="1" applyBorder="1" applyAlignment="1" applyProtection="1">
      <alignment horizontal="center"/>
      <protection locked="0"/>
    </xf>
    <xf numFmtId="0" fontId="44" fillId="0" borderId="5" xfId="0" applyFont="1" applyBorder="1" applyAlignment="1">
      <alignment horizontal="left" vertical="center"/>
    </xf>
    <xf numFmtId="0" fontId="44" fillId="0" borderId="0" xfId="0" applyFont="1" applyAlignment="1">
      <alignment horizontal="left" vertical="center"/>
    </xf>
    <xf numFmtId="0" fontId="43" fillId="6" borderId="5" xfId="0" applyFont="1" applyFill="1" applyBorder="1" applyAlignment="1">
      <alignment horizontal="center" vertical="center"/>
    </xf>
    <xf numFmtId="0" fontId="43" fillId="6" borderId="0" xfId="0" applyFont="1" applyFill="1" applyAlignment="1">
      <alignment horizontal="center" vertical="center"/>
    </xf>
    <xf numFmtId="0" fontId="44" fillId="6" borderId="5" xfId="0" applyFont="1" applyFill="1" applyBorder="1" applyAlignment="1">
      <alignment horizontal="left" vertical="center"/>
    </xf>
    <xf numFmtId="0" fontId="44" fillId="11" borderId="5" xfId="0" applyFont="1" applyFill="1" applyBorder="1" applyAlignment="1">
      <alignment horizontal="left" vertical="center"/>
    </xf>
    <xf numFmtId="0" fontId="44" fillId="11" borderId="0" xfId="0" applyFont="1" applyFill="1" applyAlignment="1">
      <alignment horizontal="left" vertical="center"/>
    </xf>
    <xf numFmtId="0" fontId="44" fillId="0" borderId="6" xfId="0" applyFont="1" applyBorder="1" applyAlignment="1">
      <alignment horizontal="left" vertical="center"/>
    </xf>
    <xf numFmtId="0" fontId="44" fillId="0" borderId="2" xfId="0" applyFont="1" applyBorder="1" applyAlignment="1">
      <alignment horizontal="left" vertical="center"/>
    </xf>
    <xf numFmtId="0" fontId="44" fillId="10" borderId="5" xfId="0" applyFont="1" applyFill="1" applyBorder="1" applyAlignment="1" applyProtection="1">
      <alignment horizontal="center" vertical="center"/>
      <protection locked="0"/>
    </xf>
    <xf numFmtId="0" fontId="44" fillId="10" borderId="0" xfId="0" applyFont="1" applyFill="1" applyAlignment="1" applyProtection="1">
      <alignment horizontal="center" vertical="center"/>
      <protection locked="0"/>
    </xf>
    <xf numFmtId="0" fontId="45" fillId="6" borderId="0" xfId="0" applyFont="1" applyFill="1" applyAlignment="1">
      <alignment horizontal="center" vertical="center"/>
    </xf>
    <xf numFmtId="0" fontId="43" fillId="6" borderId="5" xfId="0" applyFont="1" applyFill="1" applyBorder="1" applyAlignment="1">
      <alignment vertical="center"/>
    </xf>
    <xf numFmtId="0" fontId="0" fillId="0" borderId="0" xfId="0" applyAlignment="1">
      <alignment vertical="center"/>
    </xf>
    <xf numFmtId="173" fontId="44" fillId="6" borderId="0" xfId="0" applyNumberFormat="1" applyFont="1" applyFill="1" applyAlignment="1">
      <alignment horizontal="center" vertical="center"/>
    </xf>
    <xf numFmtId="172" fontId="52" fillId="6" borderId="0" xfId="0" applyNumberFormat="1" applyFont="1" applyFill="1" applyAlignment="1">
      <alignment horizontal="center" vertical="center"/>
    </xf>
    <xf numFmtId="0" fontId="44" fillId="0" borderId="0" xfId="0" applyFont="1" applyAlignment="1">
      <alignment horizontal="center" vertical="center"/>
    </xf>
    <xf numFmtId="0" fontId="49" fillId="12" borderId="0" xfId="0" applyFont="1" applyFill="1" applyAlignment="1">
      <alignment horizontal="center" vertical="center"/>
    </xf>
    <xf numFmtId="0" fontId="44" fillId="0" borderId="5" xfId="0" applyFont="1" applyBorder="1" applyAlignment="1">
      <alignment vertical="center"/>
    </xf>
    <xf numFmtId="0" fontId="47" fillId="12" borderId="3" xfId="0" applyFont="1" applyFill="1" applyBorder="1" applyAlignment="1">
      <alignment horizontal="center" vertical="center"/>
    </xf>
    <xf numFmtId="0" fontId="2" fillId="0" borderId="0" xfId="0" applyFont="1"/>
    <xf numFmtId="0" fontId="44" fillId="6" borderId="23" xfId="0" applyFont="1" applyFill="1" applyBorder="1" applyAlignment="1">
      <alignment horizontal="left" vertical="center"/>
    </xf>
    <xf numFmtId="0" fontId="44" fillId="6" borderId="23" xfId="0" applyFont="1" applyFill="1" applyBorder="1" applyAlignment="1">
      <alignment horizontal="center" vertical="center"/>
    </xf>
    <xf numFmtId="164" fontId="44" fillId="6" borderId="0" xfId="0" applyNumberFormat="1" applyFont="1" applyFill="1" applyAlignment="1">
      <alignment horizontal="center" vertical="center"/>
    </xf>
    <xf numFmtId="0" fontId="8" fillId="0" borderId="0" xfId="2" applyFont="1" applyAlignment="1">
      <alignment vertical="center" wrapText="1"/>
    </xf>
    <xf numFmtId="0" fontId="8" fillId="0" borderId="3" xfId="2" applyFont="1" applyBorder="1" applyAlignment="1">
      <alignment vertical="center" wrapText="1"/>
    </xf>
    <xf numFmtId="172" fontId="44" fillId="10" borderId="0" xfId="0" applyNumberFormat="1" applyFont="1" applyFill="1" applyAlignment="1" applyProtection="1">
      <alignment horizontal="center" vertical="center"/>
      <protection locked="0"/>
    </xf>
    <xf numFmtId="0" fontId="44" fillId="10" borderId="28" xfId="0" applyFont="1" applyFill="1" applyBorder="1" applyAlignment="1" applyProtection="1">
      <alignment horizontal="center" vertical="center"/>
      <protection locked="0"/>
    </xf>
    <xf numFmtId="0" fontId="44" fillId="10" borderId="23" xfId="0" applyFont="1" applyFill="1" applyBorder="1" applyAlignment="1" applyProtection="1">
      <alignment horizontal="center" vertical="center"/>
      <protection locked="0"/>
    </xf>
    <xf numFmtId="0" fontId="44" fillId="6" borderId="5" xfId="0" applyFont="1" applyFill="1" applyBorder="1" applyAlignment="1">
      <alignment horizontal="center" vertical="center"/>
    </xf>
    <xf numFmtId="0" fontId="43" fillId="10" borderId="23" xfId="0" applyFont="1" applyFill="1" applyBorder="1" applyAlignment="1" applyProtection="1">
      <alignment horizontal="left" vertical="center"/>
      <protection locked="0"/>
    </xf>
    <xf numFmtId="1" fontId="43" fillId="10" borderId="23" xfId="0" applyNumberFormat="1" applyFont="1" applyFill="1" applyBorder="1" applyAlignment="1">
      <alignment horizontal="center" vertical="center"/>
    </xf>
    <xf numFmtId="0" fontId="43" fillId="10" borderId="23" xfId="0" applyFont="1" applyFill="1" applyBorder="1" applyAlignment="1">
      <alignment horizontal="center" vertical="center"/>
    </xf>
    <xf numFmtId="0" fontId="41" fillId="0" borderId="27" xfId="2" applyFont="1" applyBorder="1" applyAlignment="1">
      <alignment horizontal="center" vertical="center"/>
    </xf>
    <xf numFmtId="0" fontId="41" fillId="0" borderId="30" xfId="2" applyFont="1" applyBorder="1" applyAlignment="1">
      <alignment horizontal="center" vertical="center"/>
    </xf>
    <xf numFmtId="0" fontId="41" fillId="0" borderId="28" xfId="2" applyFont="1" applyBorder="1" applyAlignment="1">
      <alignment horizontal="center" vertical="center"/>
    </xf>
    <xf numFmtId="0" fontId="41" fillId="0" borderId="27" xfId="2" applyFont="1" applyBorder="1" applyAlignment="1">
      <alignment horizontal="left" vertical="center"/>
    </xf>
    <xf numFmtId="0" fontId="0" fillId="0" borderId="30" xfId="0" applyBorder="1" applyAlignment="1">
      <alignment horizontal="left" vertical="center"/>
    </xf>
    <xf numFmtId="0" fontId="41" fillId="0" borderId="0" xfId="2" applyFont="1" applyAlignment="1">
      <alignment horizontal="center" vertical="center"/>
    </xf>
    <xf numFmtId="174" fontId="41" fillId="0" borderId="27" xfId="2" applyNumberFormat="1" applyFont="1" applyBorder="1" applyAlignment="1">
      <alignment horizontal="center" vertical="center"/>
    </xf>
    <xf numFmtId="174" fontId="41" fillId="0" borderId="30" xfId="2" applyNumberFormat="1" applyFont="1" applyBorder="1" applyAlignment="1">
      <alignment horizontal="center" vertical="center"/>
    </xf>
    <xf numFmtId="174" fontId="41" fillId="0" borderId="28" xfId="2" applyNumberFormat="1" applyFont="1" applyBorder="1" applyAlignment="1">
      <alignment horizontal="center" vertical="center"/>
    </xf>
    <xf numFmtId="0" fontId="2" fillId="0" borderId="8" xfId="0" applyFont="1" applyBorder="1" applyAlignment="1">
      <alignment horizontal="left" vertical="center"/>
    </xf>
    <xf numFmtId="1" fontId="2" fillId="0" borderId="23" xfId="0" applyNumberFormat="1" applyFont="1" applyBorder="1" applyAlignment="1">
      <alignment horizontal="left" vertical="center"/>
    </xf>
    <xf numFmtId="0" fontId="2" fillId="0" borderId="23" xfId="0" applyFont="1" applyBorder="1" applyAlignment="1">
      <alignment horizontal="left" vertical="center"/>
    </xf>
    <xf numFmtId="0" fontId="2" fillId="0" borderId="23" xfId="0" quotePrefix="1" applyFont="1" applyBorder="1"/>
    <xf numFmtId="0" fontId="2" fillId="0" borderId="23" xfId="0" applyFont="1" applyBorder="1"/>
    <xf numFmtId="14" fontId="2" fillId="0" borderId="23" xfId="0" applyNumberFormat="1" applyFont="1" applyBorder="1" applyProtection="1">
      <protection locked="0"/>
    </xf>
    <xf numFmtId="0" fontId="2" fillId="0" borderId="23" xfId="0" applyFont="1" applyBorder="1" applyProtection="1">
      <protection locked="0"/>
    </xf>
    <xf numFmtId="0" fontId="3" fillId="0" borderId="0" xfId="0" applyFont="1" applyAlignment="1">
      <alignment horizontal="center"/>
    </xf>
    <xf numFmtId="0" fontId="2" fillId="0" borderId="0" xfId="0" applyFont="1" applyAlignment="1">
      <alignment horizontal="center"/>
    </xf>
    <xf numFmtId="0" fontId="3" fillId="0" borderId="0" xfId="0" applyFont="1" applyAlignment="1">
      <alignment horizontal="left"/>
    </xf>
    <xf numFmtId="0" fontId="2" fillId="0" borderId="0" xfId="0" applyFont="1" applyAlignment="1">
      <alignment horizontal="left"/>
    </xf>
    <xf numFmtId="0" fontId="2" fillId="0" borderId="3" xfId="0" applyFont="1" applyBorder="1"/>
    <xf numFmtId="0" fontId="2" fillId="11" borderId="5" xfId="0" applyFont="1" applyFill="1" applyBorder="1"/>
    <xf numFmtId="0" fontId="2" fillId="11" borderId="0" xfId="0" applyFont="1" applyFill="1"/>
    <xf numFmtId="0" fontId="2" fillId="0" borderId="37" xfId="0" quotePrefix="1" applyFont="1" applyBorder="1"/>
    <xf numFmtId="0" fontId="2" fillId="0" borderId="37" xfId="0" applyFont="1" applyBorder="1"/>
    <xf numFmtId="0" fontId="2" fillId="7" borderId="37" xfId="0" quotePrefix="1" applyFont="1" applyFill="1" applyBorder="1" applyProtection="1">
      <protection locked="0"/>
    </xf>
    <xf numFmtId="0" fontId="2" fillId="7" borderId="37" xfId="0" applyFont="1" applyFill="1" applyBorder="1" applyProtection="1">
      <protection locked="0"/>
    </xf>
    <xf numFmtId="14" fontId="2" fillId="2" borderId="37" xfId="0" applyNumberFormat="1" applyFont="1" applyFill="1" applyBorder="1" applyAlignment="1">
      <alignment horizontal="left" vertical="center" wrapText="1"/>
    </xf>
    <xf numFmtId="0" fontId="2" fillId="8" borderId="29" xfId="0" applyFont="1" applyFill="1" applyBorder="1" applyAlignment="1">
      <alignment horizontal="center" vertical="center"/>
    </xf>
    <xf numFmtId="0" fontId="2" fillId="8" borderId="7" xfId="0" applyFont="1" applyFill="1" applyBorder="1" applyAlignment="1">
      <alignment horizontal="center" vertical="center"/>
    </xf>
    <xf numFmtId="0" fontId="2" fillId="8" borderId="8" xfId="0" applyFont="1" applyFill="1" applyBorder="1" applyAlignment="1">
      <alignment horizontal="center" vertical="center"/>
    </xf>
    <xf numFmtId="0" fontId="15" fillId="2" borderId="0" xfId="0" applyFont="1" applyFill="1" applyAlignment="1">
      <alignment horizontal="center" vertical="center" wrapText="1"/>
    </xf>
    <xf numFmtId="171" fontId="2" fillId="0" borderId="38" xfId="0" applyNumberFormat="1" applyFont="1" applyBorder="1" applyAlignment="1">
      <alignment horizontal="center" vertical="center"/>
    </xf>
    <xf numFmtId="171" fontId="2" fillId="0" borderId="39" xfId="0" applyNumberFormat="1" applyFont="1" applyBorder="1" applyAlignment="1">
      <alignment horizontal="center" vertical="center"/>
    </xf>
    <xf numFmtId="171" fontId="2" fillId="0" borderId="40" xfId="0" applyNumberFormat="1" applyFont="1" applyBorder="1" applyAlignment="1">
      <alignment horizontal="center" vertical="center"/>
    </xf>
    <xf numFmtId="169" fontId="2" fillId="0" borderId="38" xfId="0" applyNumberFormat="1" applyFont="1" applyBorder="1" applyAlignment="1">
      <alignment horizontal="center" vertical="center"/>
    </xf>
    <xf numFmtId="169" fontId="2" fillId="0" borderId="39" xfId="0" applyNumberFormat="1" applyFont="1" applyBorder="1" applyAlignment="1">
      <alignment horizontal="center" vertical="center"/>
    </xf>
    <xf numFmtId="169" fontId="2" fillId="0" borderId="40" xfId="0" applyNumberFormat="1" applyFont="1" applyBorder="1" applyAlignment="1">
      <alignment horizontal="center" vertical="center"/>
    </xf>
    <xf numFmtId="177" fontId="2" fillId="0" borderId="38" xfId="0" applyNumberFormat="1" applyFont="1" applyBorder="1" applyAlignment="1">
      <alignment horizontal="center" vertical="center"/>
    </xf>
    <xf numFmtId="177" fontId="2" fillId="0" borderId="39" xfId="0" applyNumberFormat="1" applyFont="1" applyBorder="1" applyAlignment="1">
      <alignment horizontal="center" vertical="center"/>
    </xf>
    <xf numFmtId="177" fontId="2" fillId="0" borderId="40" xfId="0" applyNumberFormat="1" applyFont="1" applyBorder="1" applyAlignment="1">
      <alignment horizontal="center" vertical="center"/>
    </xf>
    <xf numFmtId="0" fontId="2" fillId="6" borderId="38" xfId="0" applyFont="1" applyFill="1" applyBorder="1" applyAlignment="1">
      <alignment horizontal="center" vertical="center"/>
    </xf>
    <xf numFmtId="0" fontId="2" fillId="6" borderId="39" xfId="0" applyFont="1" applyFill="1" applyBorder="1" applyAlignment="1">
      <alignment horizontal="center" vertical="center"/>
    </xf>
    <xf numFmtId="0" fontId="2" fillId="6" borderId="40" xfId="0" applyFont="1" applyFill="1" applyBorder="1" applyAlignment="1">
      <alignment horizontal="center" vertical="center"/>
    </xf>
    <xf numFmtId="0" fontId="2" fillId="0" borderId="38" xfId="0" applyFont="1" applyBorder="1" applyAlignment="1">
      <alignment horizontal="center" vertical="center"/>
    </xf>
    <xf numFmtId="0" fontId="2" fillId="0" borderId="39" xfId="0" applyFont="1" applyBorder="1" applyAlignment="1">
      <alignment horizontal="center" vertical="center"/>
    </xf>
    <xf numFmtId="0" fontId="28" fillId="2" borderId="0" xfId="0" applyFont="1" applyFill="1" applyAlignment="1">
      <alignment horizontal="center"/>
    </xf>
    <xf numFmtId="49" fontId="8" fillId="0" borderId="38" xfId="0" applyNumberFormat="1" applyFont="1" applyBorder="1" applyAlignment="1">
      <alignment horizontal="center" vertical="center" wrapText="1"/>
    </xf>
    <xf numFmtId="49" fontId="8" fillId="0" borderId="39" xfId="0" applyNumberFormat="1" applyFont="1" applyBorder="1" applyAlignment="1">
      <alignment horizontal="center" vertical="center" wrapText="1"/>
    </xf>
    <xf numFmtId="49" fontId="8" fillId="0" borderId="40" xfId="0" applyNumberFormat="1" applyFont="1" applyBorder="1" applyAlignment="1">
      <alignment horizontal="center" vertical="center" wrapText="1"/>
    </xf>
    <xf numFmtId="0" fontId="10" fillId="2" borderId="37" xfId="0" applyFont="1" applyFill="1" applyBorder="1" applyAlignment="1">
      <alignment horizontal="center" vertical="center" wrapText="1"/>
    </xf>
    <xf numFmtId="0" fontId="25" fillId="2" borderId="37" xfId="0" applyFont="1" applyFill="1" applyBorder="1" applyAlignment="1">
      <alignment horizontal="center" vertical="center" wrapText="1"/>
    </xf>
    <xf numFmtId="0" fontId="23" fillId="0" borderId="37" xfId="0" applyFont="1" applyBorder="1" applyAlignment="1">
      <alignment horizontal="center" vertical="center" wrapText="1"/>
    </xf>
    <xf numFmtId="0" fontId="22" fillId="2" borderId="24" xfId="0" applyFont="1" applyFill="1" applyBorder="1" applyAlignment="1">
      <alignment horizontal="center" vertical="center"/>
    </xf>
    <xf numFmtId="0" fontId="22" fillId="2" borderId="25" xfId="0" applyFont="1" applyFill="1" applyBorder="1" applyAlignment="1">
      <alignment horizontal="center" vertical="center"/>
    </xf>
    <xf numFmtId="0" fontId="22" fillId="2" borderId="26" xfId="0" applyFont="1" applyFill="1" applyBorder="1" applyAlignment="1">
      <alignment horizontal="center" vertical="center"/>
    </xf>
    <xf numFmtId="0" fontId="22" fillId="2" borderId="5" xfId="0" applyFont="1" applyFill="1" applyBorder="1" applyAlignment="1">
      <alignment horizontal="center" vertical="center"/>
    </xf>
    <xf numFmtId="0" fontId="22" fillId="2" borderId="0" xfId="0" applyFont="1" applyFill="1" applyAlignment="1">
      <alignment horizontal="center" vertical="center"/>
    </xf>
    <xf numFmtId="0" fontId="22" fillId="2" borderId="3" xfId="0" applyFont="1" applyFill="1" applyBorder="1" applyAlignment="1">
      <alignment horizontal="center" vertical="center"/>
    </xf>
    <xf numFmtId="0" fontId="22" fillId="2" borderId="6" xfId="0" applyFont="1" applyFill="1" applyBorder="1" applyAlignment="1">
      <alignment horizontal="center" vertical="center"/>
    </xf>
    <xf numFmtId="0" fontId="22" fillId="2" borderId="2" xfId="0" applyFont="1" applyFill="1" applyBorder="1" applyAlignment="1">
      <alignment horizontal="center" vertical="center"/>
    </xf>
    <xf numFmtId="0" fontId="22" fillId="2" borderId="4" xfId="0" applyFont="1" applyFill="1" applyBorder="1" applyAlignment="1">
      <alignment horizontal="center" vertical="center"/>
    </xf>
    <xf numFmtId="0" fontId="10" fillId="5" borderId="0" xfId="0" applyFont="1" applyFill="1" applyAlignment="1">
      <alignment horizontal="center" vertical="center" wrapText="1"/>
    </xf>
    <xf numFmtId="1" fontId="24" fillId="0" borderId="37" xfId="0" applyNumberFormat="1" applyFont="1" applyBorder="1" applyAlignment="1">
      <alignment horizontal="center" vertical="center" wrapText="1"/>
    </xf>
    <xf numFmtId="0" fontId="12" fillId="2" borderId="38" xfId="0" applyFont="1" applyFill="1" applyBorder="1" applyAlignment="1">
      <alignment horizontal="center" vertical="center"/>
    </xf>
    <xf numFmtId="0" fontId="12" fillId="2" borderId="39" xfId="0" applyFont="1" applyFill="1" applyBorder="1" applyAlignment="1">
      <alignment horizontal="center" vertical="center"/>
    </xf>
    <xf numFmtId="0" fontId="12" fillId="2" borderId="40" xfId="0" applyFont="1" applyFill="1" applyBorder="1" applyAlignment="1">
      <alignment horizontal="center" vertical="center"/>
    </xf>
    <xf numFmtId="1" fontId="24" fillId="2" borderId="37" xfId="0" applyNumberFormat="1" applyFont="1" applyFill="1" applyBorder="1" applyAlignment="1">
      <alignment horizontal="center" vertical="center" wrapText="1"/>
    </xf>
    <xf numFmtId="1" fontId="24" fillId="2" borderId="37" xfId="0" applyNumberFormat="1" applyFont="1" applyFill="1" applyBorder="1" applyAlignment="1">
      <alignment horizontal="center" vertical="center"/>
    </xf>
    <xf numFmtId="0" fontId="8" fillId="2" borderId="38" xfId="0" applyFont="1" applyFill="1" applyBorder="1" applyAlignment="1">
      <alignment horizontal="center" vertical="center"/>
    </xf>
    <xf numFmtId="0" fontId="8" fillId="2" borderId="39" xfId="0" applyFont="1" applyFill="1" applyBorder="1" applyAlignment="1">
      <alignment horizontal="center" vertical="center"/>
    </xf>
    <xf numFmtId="0" fontId="8" fillId="2" borderId="40" xfId="0" applyFont="1" applyFill="1" applyBorder="1" applyAlignment="1">
      <alignment horizontal="center" vertical="center"/>
    </xf>
    <xf numFmtId="0" fontId="60" fillId="0" borderId="0" xfId="0" applyFont="1" applyAlignment="1">
      <alignment horizontal="left" vertical="center"/>
    </xf>
    <xf numFmtId="0" fontId="36" fillId="2" borderId="29" xfId="0" applyFont="1" applyFill="1" applyBorder="1" applyAlignment="1">
      <alignment horizontal="center" vertical="center"/>
    </xf>
    <xf numFmtId="1" fontId="36" fillId="2" borderId="38" xfId="0" applyNumberFormat="1" applyFont="1" applyFill="1" applyBorder="1" applyAlignment="1">
      <alignment horizontal="center" vertical="center"/>
    </xf>
    <xf numFmtId="1" fontId="36" fillId="2" borderId="39" xfId="0" applyNumberFormat="1" applyFont="1" applyFill="1" applyBorder="1" applyAlignment="1">
      <alignment horizontal="center" vertical="center"/>
    </xf>
    <xf numFmtId="1" fontId="36" fillId="2" borderId="40" xfId="0" applyNumberFormat="1" applyFont="1" applyFill="1" applyBorder="1" applyAlignment="1">
      <alignment horizontal="center" vertical="center"/>
    </xf>
    <xf numFmtId="2" fontId="24" fillId="2" borderId="37" xfId="0" applyNumberFormat="1" applyFont="1" applyFill="1" applyBorder="1" applyAlignment="1">
      <alignment horizontal="center" vertical="center" wrapText="1"/>
    </xf>
    <xf numFmtId="0" fontId="2" fillId="0" borderId="0" xfId="0" applyFont="1" applyAlignment="1">
      <alignment horizontal="center" vertical="center"/>
    </xf>
    <xf numFmtId="0" fontId="2" fillId="0" borderId="0" xfId="0" applyFont="1" applyAlignment="1">
      <alignment horizontal="left" vertical="center" wrapText="1"/>
    </xf>
    <xf numFmtId="0" fontId="0" fillId="2" borderId="0" xfId="0" applyFill="1" applyAlignment="1">
      <alignment horizontal="center" vertical="center" wrapText="1"/>
    </xf>
    <xf numFmtId="1" fontId="0" fillId="2" borderId="37" xfId="0" applyNumberFormat="1" applyFill="1" applyBorder="1" applyAlignment="1">
      <alignment horizontal="center" vertical="center"/>
    </xf>
    <xf numFmtId="0" fontId="0" fillId="2" borderId="37" xfId="0" applyFill="1" applyBorder="1" applyAlignment="1">
      <alignment horizontal="center" vertical="center"/>
    </xf>
    <xf numFmtId="0" fontId="0" fillId="2" borderId="12" xfId="0" applyFill="1" applyBorder="1" applyAlignment="1">
      <alignment horizontal="center" vertical="center" wrapText="1"/>
    </xf>
    <xf numFmtId="0" fontId="30" fillId="2" borderId="29" xfId="0" applyFont="1" applyFill="1" applyBorder="1" applyAlignment="1">
      <alignment horizontal="center"/>
    </xf>
    <xf numFmtId="0" fontId="0" fillId="2" borderId="21" xfId="0" applyFill="1" applyBorder="1" applyAlignment="1">
      <alignment horizontal="center" vertical="center"/>
    </xf>
    <xf numFmtId="0" fontId="0" fillId="2" borderId="22" xfId="0" applyFill="1" applyBorder="1" applyAlignment="1">
      <alignment horizontal="center" vertical="center"/>
    </xf>
    <xf numFmtId="0" fontId="2" fillId="0" borderId="0" xfId="0" applyFont="1" applyAlignment="1">
      <alignment horizontal="center" vertical="center" wrapText="1"/>
    </xf>
    <xf numFmtId="0" fontId="2" fillId="2" borderId="21" xfId="0" applyFont="1" applyFill="1" applyBorder="1" applyAlignment="1">
      <alignment horizontal="center" vertical="center"/>
    </xf>
    <xf numFmtId="0" fontId="2" fillId="2" borderId="22" xfId="0" applyFont="1" applyFill="1" applyBorder="1" applyAlignment="1">
      <alignment horizontal="center" vertical="center"/>
    </xf>
    <xf numFmtId="14" fontId="0" fillId="2" borderId="0" xfId="0" applyNumberFormat="1" applyFill="1" applyAlignment="1">
      <alignment horizontal="center" vertical="center"/>
    </xf>
    <xf numFmtId="0" fontId="38" fillId="9" borderId="37" xfId="0" applyFont="1" applyFill="1" applyBorder="1" applyAlignment="1" applyProtection="1">
      <alignment horizontal="center" vertical="center" wrapText="1"/>
      <protection locked="0"/>
    </xf>
    <xf numFmtId="0" fontId="38" fillId="9" borderId="37" xfId="0" applyFont="1" applyFill="1" applyBorder="1" applyAlignment="1">
      <alignment horizontal="center" vertical="center" wrapText="1"/>
    </xf>
    <xf numFmtId="0" fontId="24" fillId="0" borderId="37" xfId="0" applyFont="1" applyBorder="1" applyAlignment="1">
      <alignment horizontal="center" vertical="center" wrapText="1"/>
    </xf>
    <xf numFmtId="49" fontId="8" fillId="0" borderId="38" xfId="0" applyNumberFormat="1" applyFont="1" applyBorder="1" applyAlignment="1" applyProtection="1">
      <alignment horizontal="center" vertical="center" wrapText="1"/>
      <protection locked="0"/>
    </xf>
    <xf numFmtId="49" fontId="8" fillId="0" borderId="39" xfId="0" applyNumberFormat="1" applyFont="1" applyBorder="1" applyAlignment="1" applyProtection="1">
      <alignment horizontal="center" vertical="center" wrapText="1"/>
      <protection locked="0"/>
    </xf>
    <xf numFmtId="49" fontId="8" fillId="0" borderId="40" xfId="0" applyNumberFormat="1" applyFont="1" applyBorder="1" applyAlignment="1" applyProtection="1">
      <alignment horizontal="center" vertical="center" wrapText="1"/>
      <protection locked="0"/>
    </xf>
    <xf numFmtId="0" fontId="40" fillId="0" borderId="24" xfId="0" applyFont="1" applyBorder="1" applyAlignment="1">
      <alignment horizontal="left" vertical="center" readingOrder="1"/>
    </xf>
    <xf numFmtId="0" fontId="40" fillId="0" borderId="25" xfId="0" applyFont="1" applyBorder="1" applyAlignment="1">
      <alignment horizontal="left" vertical="center" readingOrder="1"/>
    </xf>
    <xf numFmtId="0" fontId="40" fillId="0" borderId="26" xfId="0" applyFont="1" applyBorder="1" applyAlignment="1">
      <alignment horizontal="left" vertical="center" readingOrder="1"/>
    </xf>
    <xf numFmtId="0" fontId="40" fillId="0" borderId="5" xfId="0" applyFont="1" applyBorder="1" applyAlignment="1">
      <alignment horizontal="left" vertical="center" readingOrder="1"/>
    </xf>
    <xf numFmtId="0" fontId="40" fillId="0" borderId="0" xfId="0" applyFont="1" applyAlignment="1">
      <alignment horizontal="left" vertical="center" readingOrder="1"/>
    </xf>
    <xf numFmtId="0" fontId="40" fillId="0" borderId="3" xfId="0" applyFont="1" applyBorder="1" applyAlignment="1">
      <alignment horizontal="left" vertical="center" readingOrder="1"/>
    </xf>
    <xf numFmtId="0" fontId="40" fillId="0" borderId="6" xfId="0" applyFont="1" applyBorder="1" applyAlignment="1">
      <alignment horizontal="left" vertical="center" readingOrder="1"/>
    </xf>
    <xf numFmtId="0" fontId="40" fillId="0" borderId="2" xfId="0" applyFont="1" applyBorder="1" applyAlignment="1">
      <alignment horizontal="left" vertical="center" readingOrder="1"/>
    </xf>
    <xf numFmtId="0" fontId="40" fillId="0" borderId="4" xfId="0" applyFont="1" applyBorder="1" applyAlignment="1">
      <alignment horizontal="left" vertical="center" readingOrder="1"/>
    </xf>
    <xf numFmtId="164" fontId="24" fillId="2" borderId="37" xfId="0" applyNumberFormat="1" applyFont="1" applyFill="1" applyBorder="1" applyAlignment="1">
      <alignment horizontal="center" vertical="center" wrapText="1"/>
    </xf>
    <xf numFmtId="0" fontId="64" fillId="0" borderId="0" xfId="6" applyFont="1" applyAlignment="1">
      <alignment horizontal="center" vertical="center" wrapText="1"/>
    </xf>
    <xf numFmtId="0" fontId="65" fillId="15" borderId="37" xfId="0" applyFont="1" applyFill="1" applyBorder="1" applyAlignment="1">
      <alignment horizontal="left" vertical="center" wrapText="1"/>
    </xf>
    <xf numFmtId="0" fontId="0" fillId="0" borderId="0" xfId="0" applyNumberFormat="1"/>
    <xf numFmtId="0" fontId="2" fillId="0" borderId="0" xfId="0" applyNumberFormat="1" applyFont="1"/>
  </cellXfs>
  <cellStyles count="11">
    <cellStyle name="Currency" xfId="4" builtinId="4"/>
    <cellStyle name="Currency 2" xfId="7" xr:uid="{425ACE1C-CFEE-44DC-AE46-5E5C6B54EB1C}"/>
    <cellStyle name="Explanatory Text" xfId="3" builtinId="53"/>
    <cellStyle name="Hyperlink" xfId="1" builtinId="8"/>
    <cellStyle name="Hyperlink 2" xfId="9" xr:uid="{CB215843-ABA9-4C89-B975-BC7D81D3966A}"/>
    <cellStyle name="Normal" xfId="0" builtinId="0"/>
    <cellStyle name="Normal 2" xfId="2" xr:uid="{00000000-0005-0000-0000-000002000000}"/>
    <cellStyle name="Normal 3" xfId="6" xr:uid="{8F7B4F6F-6EC6-4412-91F6-E338FE3E56FE}"/>
    <cellStyle name="Normal 4" xfId="8" xr:uid="{F5433EC4-BEC4-4CA2-9166-33598D4D28A2}"/>
    <cellStyle name="Percent" xfId="5" builtinId="5"/>
    <cellStyle name="Percent 2" xfId="10" xr:uid="{2F8CC081-3050-459A-B796-32BB6C6548EF}"/>
  </cellStyles>
  <dxfs count="410">
    <dxf>
      <fill>
        <patternFill>
          <bgColor indexed="44"/>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ont>
        <color auto="1"/>
      </font>
      <fill>
        <patternFill>
          <bgColor rgb="FFFF0000"/>
        </patternFill>
      </fill>
    </dxf>
    <dxf>
      <font>
        <color auto="1"/>
      </font>
      <fill>
        <patternFill>
          <bgColor rgb="FFFF0000"/>
        </patternFill>
      </fill>
    </dxf>
    <dxf>
      <font>
        <color auto="1"/>
      </font>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ont>
        <b/>
        <i val="0"/>
        <condense val="0"/>
        <extend val="0"/>
        <color indexed="10"/>
      </font>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dxf>
    <dxf>
      <font>
        <color rgb="FFFF0000"/>
      </font>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00B050"/>
        </patternFill>
      </fill>
    </dxf>
    <dxf>
      <font>
        <color theme="0"/>
      </font>
      <fill>
        <patternFill>
          <bgColor rgb="FFFF0000"/>
        </patternFill>
      </fill>
    </dxf>
    <dxf>
      <font>
        <color theme="0"/>
      </font>
      <fill>
        <patternFill>
          <bgColor rgb="FFFFC00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FFC000"/>
        </patternFill>
      </fill>
    </dxf>
    <dxf>
      <font>
        <color theme="0"/>
      </font>
      <fill>
        <patternFill>
          <bgColor rgb="FF00B050"/>
        </patternFill>
      </fill>
    </dxf>
    <dxf>
      <font>
        <color theme="0"/>
      </font>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ont>
        <strike val="0"/>
        <color auto="1"/>
      </font>
      <fill>
        <patternFill>
          <bgColor rgb="FFFF0000"/>
        </patternFill>
      </fill>
    </dxf>
    <dxf>
      <font>
        <b/>
        <i val="0"/>
        <color rgb="FFFF0000"/>
      </font>
      <fill>
        <patternFill>
          <bgColor theme="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ont>
        <color auto="1"/>
      </font>
      <fill>
        <patternFill>
          <bgColor rgb="FF00B05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dxf>
    <dxf>
      <font>
        <color rgb="FFFF0000"/>
      </font>
    </dxf>
    <dxf>
      <font>
        <color rgb="FFFF0000"/>
      </font>
      <fill>
        <patternFill>
          <bgColor theme="0"/>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00B050"/>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00B05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ont>
        <color theme="1"/>
      </font>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s>
  <tableStyles count="0" defaultTableStyle="TableStyleMedium2"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worksheet" Target="worksheets/sheet11.xml"/><Relationship Id="rId18" Type="http://schemas.openxmlformats.org/officeDocument/2006/relationships/worksheet" Target="worksheets/sheet16.xml"/><Relationship Id="rId26" Type="http://schemas.microsoft.com/office/2017/10/relationships/person" Target="persons/person.xml"/><Relationship Id="rId3" Type="http://schemas.openxmlformats.org/officeDocument/2006/relationships/worksheet" Target="worksheets/sheet1.xml"/><Relationship Id="rId21" Type="http://schemas.openxmlformats.org/officeDocument/2006/relationships/worksheet" Target="worksheets/sheet19.xml"/><Relationship Id="rId7" Type="http://schemas.openxmlformats.org/officeDocument/2006/relationships/worksheet" Target="worksheets/sheet5.xml"/><Relationship Id="rId12" Type="http://schemas.openxmlformats.org/officeDocument/2006/relationships/worksheet" Target="worksheets/sheet10.xml"/><Relationship Id="rId17" Type="http://schemas.openxmlformats.org/officeDocument/2006/relationships/worksheet" Target="worksheets/sheet15.xml"/><Relationship Id="rId25" Type="http://schemas.openxmlformats.org/officeDocument/2006/relationships/sharedStrings" Target="sharedStrings.xml"/><Relationship Id="rId2" Type="http://schemas.openxmlformats.org/officeDocument/2006/relationships/chartsheet" Target="chartsheets/sheet2.xml"/><Relationship Id="rId16" Type="http://schemas.openxmlformats.org/officeDocument/2006/relationships/worksheet" Target="worksheets/sheet14.xml"/><Relationship Id="rId20" Type="http://schemas.openxmlformats.org/officeDocument/2006/relationships/worksheet" Target="worksheets/sheet18.xml"/><Relationship Id="rId29" Type="http://schemas.openxmlformats.org/officeDocument/2006/relationships/customXml" Target="../customXml/item2.xml"/><Relationship Id="rId1" Type="http://schemas.openxmlformats.org/officeDocument/2006/relationships/chartsheet" Target="chartsheets/sheet1.xml"/><Relationship Id="rId6" Type="http://schemas.openxmlformats.org/officeDocument/2006/relationships/worksheet" Target="worksheets/sheet4.xml"/><Relationship Id="rId11" Type="http://schemas.openxmlformats.org/officeDocument/2006/relationships/worksheet" Target="worksheets/sheet9.xml"/><Relationship Id="rId24" Type="http://schemas.openxmlformats.org/officeDocument/2006/relationships/styles" Target="styles.xml"/><Relationship Id="rId5" Type="http://schemas.openxmlformats.org/officeDocument/2006/relationships/worksheet" Target="worksheets/sheet3.xml"/><Relationship Id="rId15" Type="http://schemas.openxmlformats.org/officeDocument/2006/relationships/worksheet" Target="worksheets/sheet13.xml"/><Relationship Id="rId23" Type="http://schemas.openxmlformats.org/officeDocument/2006/relationships/connections" Target="connections.xml"/><Relationship Id="rId28" Type="http://schemas.openxmlformats.org/officeDocument/2006/relationships/customXml" Target="../customXml/item1.xml"/><Relationship Id="rId10" Type="http://schemas.openxmlformats.org/officeDocument/2006/relationships/worksheet" Target="worksheets/sheet8.xml"/><Relationship Id="rId19" Type="http://schemas.openxmlformats.org/officeDocument/2006/relationships/worksheet" Target="worksheets/sheet17.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worksheet" Target="worksheets/sheet12.xml"/><Relationship Id="rId22" Type="http://schemas.openxmlformats.org/officeDocument/2006/relationships/theme" Target="theme/theme1.xml"/><Relationship Id="rId27" Type="http://schemas.openxmlformats.org/officeDocument/2006/relationships/calcChain" Target="calcChain.xml"/><Relationship Id="rId30" Type="http://schemas.openxmlformats.org/officeDocument/2006/relationships/customXml" Target="../customXml/item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rotection>
    <c:chartObject val="0"/>
    <c:data val="0"/>
    <c:formatting val="0"/>
    <c:selection val="0"/>
    <c:userInterface val="0"/>
  </c:protection>
  <c:chart>
    <c:autoTitleDeleted val="0"/>
    <c:plotArea>
      <c:layout>
        <c:manualLayout>
          <c:layoutTarget val="inner"/>
          <c:xMode val="edge"/>
          <c:yMode val="edge"/>
          <c:x val="7.8801331853496109E-2"/>
          <c:y val="3.2626427406199018E-2"/>
          <c:w val="0.79578246392896779"/>
          <c:h val="0.90701468189233281"/>
        </c:manualLayout>
      </c:layout>
      <c:scatterChart>
        <c:scatterStyle val="smoothMarker"/>
        <c:varyColors val="0"/>
        <c:ser>
          <c:idx val="1"/>
          <c:order val="0"/>
          <c:tx>
            <c:strRef>
              <c:f>mtd!$F$3</c:f>
              <c:strCache>
                <c:ptCount val="1"/>
                <c:pt idx="0">
                  <c:v>ln(n/mg/ml)</c:v>
                </c:pt>
              </c:strCache>
            </c:strRef>
          </c:tx>
          <c:spPr>
            <a:ln w="28575">
              <a:noFill/>
            </a:ln>
          </c:spPr>
          <c:marker>
            <c:symbol val="square"/>
            <c:size val="5"/>
            <c:spPr>
              <a:solidFill>
                <a:srgbClr val="FF00FF"/>
              </a:solidFill>
              <a:ln>
                <a:solidFill>
                  <a:srgbClr val="FF00FF"/>
                </a:solidFill>
                <a:prstDash val="solid"/>
              </a:ln>
            </c:spPr>
          </c:marker>
          <c:xVal>
            <c:numRef>
              <c:f>mtd!$A$4:$A$13</c:f>
              <c:numCache>
                <c:formatCode>General</c:formatCode>
                <c:ptCount val="10"/>
                <c:pt idx="0">
                  <c:v>1</c:v>
                </c:pt>
                <c:pt idx="1">
                  <c:v>2</c:v>
                </c:pt>
                <c:pt idx="2">
                  <c:v>3</c:v>
                </c:pt>
                <c:pt idx="3">
                  <c:v>4</c:v>
                </c:pt>
                <c:pt idx="4">
                  <c:v>5</c:v>
                </c:pt>
                <c:pt idx="5">
                  <c:v>6</c:v>
                </c:pt>
                <c:pt idx="6">
                  <c:v>7</c:v>
                </c:pt>
                <c:pt idx="7">
                  <c:v>8</c:v>
                </c:pt>
                <c:pt idx="8">
                  <c:v>9</c:v>
                </c:pt>
                <c:pt idx="9">
                  <c:v>10</c:v>
                </c:pt>
              </c:numCache>
            </c:numRef>
          </c:xVal>
          <c:yVal>
            <c:numRef>
              <c:f>mtd!$C$4:$C$13</c:f>
              <c:numCache>
                <c:formatCode>0.00</c:formatCode>
                <c:ptCount val="10"/>
                <c:pt idx="0">
                  <c:v>38714.285714285717</c:v>
                </c:pt>
                <c:pt idx="1">
                  <c:v>9655.3571428571431</c:v>
                </c:pt>
                <c:pt idx="2">
                  <c:v>4003.2142857142858</c:v>
                </c:pt>
                <c:pt idx="3">
                  <c:v>2176.7857142857142</c:v>
                </c:pt>
                <c:pt idx="4">
                  <c:v>1334.6428571428573</c:v>
                </c:pt>
                <c:pt idx="5">
                  <c:v>855.35714285714289</c:v>
                </c:pt>
                <c:pt idx="6">
                  <c:v>561.78571428571433</c:v>
                </c:pt>
                <c:pt idx="7">
                  <c:v>376.78571428571433</c:v>
                </c:pt>
                <c:pt idx="8">
                  <c:v>259.21428571428572</c:v>
                </c:pt>
                <c:pt idx="9">
                  <c:v>183.46428571428575</c:v>
                </c:pt>
              </c:numCache>
            </c:numRef>
          </c:yVal>
          <c:smooth val="1"/>
          <c:extLst>
            <c:ext xmlns:c16="http://schemas.microsoft.com/office/drawing/2014/chart" uri="{C3380CC4-5D6E-409C-BE32-E72D297353CC}">
              <c16:uniqueId val="{00000000-3294-4840-A0C5-78883B8234FE}"/>
            </c:ext>
          </c:extLst>
        </c:ser>
        <c:ser>
          <c:idx val="3"/>
          <c:order val="1"/>
          <c:tx>
            <c:strRef>
              <c:f>mtd!$L$3</c:f>
              <c:strCache>
                <c:ptCount val="1"/>
                <c:pt idx="0">
                  <c:v>y</c:v>
                </c:pt>
              </c:strCache>
            </c:strRef>
          </c:tx>
          <c:spPr>
            <a:ln w="12700">
              <a:solidFill>
                <a:srgbClr val="00FFFF"/>
              </a:solidFill>
              <a:prstDash val="solid"/>
            </a:ln>
          </c:spPr>
          <c:marker>
            <c:symbol val="x"/>
            <c:size val="5"/>
            <c:spPr>
              <a:noFill/>
              <a:ln>
                <a:solidFill>
                  <a:srgbClr val="00FFFF"/>
                </a:solidFill>
                <a:prstDash val="solid"/>
              </a:ln>
            </c:spPr>
          </c:marker>
          <c:xVal>
            <c:numRef>
              <c:f>mtd!$K$4:$K$93</c:f>
              <c:numCache>
                <c:formatCode>General</c:formatCode>
                <c:ptCount val="90"/>
                <c:pt idx="0">
                  <c:v>1</c:v>
                </c:pt>
                <c:pt idx="1">
                  <c:v>1.1000000000000001</c:v>
                </c:pt>
                <c:pt idx="2">
                  <c:v>1.2</c:v>
                </c:pt>
                <c:pt idx="3">
                  <c:v>1.3</c:v>
                </c:pt>
                <c:pt idx="4">
                  <c:v>1.4</c:v>
                </c:pt>
                <c:pt idx="5">
                  <c:v>1.5</c:v>
                </c:pt>
                <c:pt idx="6">
                  <c:v>1.6</c:v>
                </c:pt>
                <c:pt idx="7">
                  <c:v>1.7</c:v>
                </c:pt>
                <c:pt idx="8">
                  <c:v>1.8</c:v>
                </c:pt>
                <c:pt idx="9">
                  <c:v>1.9</c:v>
                </c:pt>
                <c:pt idx="10">
                  <c:v>2</c:v>
                </c:pt>
                <c:pt idx="11">
                  <c:v>2.1</c:v>
                </c:pt>
                <c:pt idx="12">
                  <c:v>2.2000000000000002</c:v>
                </c:pt>
                <c:pt idx="13">
                  <c:v>2.2999999999999998</c:v>
                </c:pt>
                <c:pt idx="14">
                  <c:v>2.4</c:v>
                </c:pt>
                <c:pt idx="15">
                  <c:v>2.5</c:v>
                </c:pt>
                <c:pt idx="16">
                  <c:v>2.6</c:v>
                </c:pt>
                <c:pt idx="17">
                  <c:v>2.7</c:v>
                </c:pt>
                <c:pt idx="18">
                  <c:v>2.8</c:v>
                </c:pt>
                <c:pt idx="19">
                  <c:v>2.9</c:v>
                </c:pt>
                <c:pt idx="20">
                  <c:v>3</c:v>
                </c:pt>
                <c:pt idx="21">
                  <c:v>3.1</c:v>
                </c:pt>
                <c:pt idx="22">
                  <c:v>3.2</c:v>
                </c:pt>
                <c:pt idx="23">
                  <c:v>3.3</c:v>
                </c:pt>
                <c:pt idx="24">
                  <c:v>3.4</c:v>
                </c:pt>
                <c:pt idx="25">
                  <c:v>3.5</c:v>
                </c:pt>
                <c:pt idx="26">
                  <c:v>3.6</c:v>
                </c:pt>
                <c:pt idx="27">
                  <c:v>3.7</c:v>
                </c:pt>
                <c:pt idx="28">
                  <c:v>3.8</c:v>
                </c:pt>
                <c:pt idx="29">
                  <c:v>3.9</c:v>
                </c:pt>
                <c:pt idx="30">
                  <c:v>4</c:v>
                </c:pt>
                <c:pt idx="31">
                  <c:v>4.0999999999999996</c:v>
                </c:pt>
                <c:pt idx="32">
                  <c:v>4.2</c:v>
                </c:pt>
                <c:pt idx="33">
                  <c:v>4.3</c:v>
                </c:pt>
                <c:pt idx="34">
                  <c:v>4.4000000000000004</c:v>
                </c:pt>
                <c:pt idx="35">
                  <c:v>4.5</c:v>
                </c:pt>
                <c:pt idx="36">
                  <c:v>4.5999999999999996</c:v>
                </c:pt>
                <c:pt idx="37">
                  <c:v>4.7</c:v>
                </c:pt>
                <c:pt idx="38">
                  <c:v>4.8</c:v>
                </c:pt>
                <c:pt idx="39">
                  <c:v>4.9000000000000004</c:v>
                </c:pt>
                <c:pt idx="40">
                  <c:v>5</c:v>
                </c:pt>
                <c:pt idx="41">
                  <c:v>5.0999999999999996</c:v>
                </c:pt>
                <c:pt idx="42">
                  <c:v>5.2</c:v>
                </c:pt>
                <c:pt idx="43">
                  <c:v>5.3</c:v>
                </c:pt>
                <c:pt idx="44">
                  <c:v>5.4</c:v>
                </c:pt>
                <c:pt idx="45">
                  <c:v>5.5</c:v>
                </c:pt>
                <c:pt idx="46">
                  <c:v>5.6</c:v>
                </c:pt>
                <c:pt idx="47">
                  <c:v>5.7</c:v>
                </c:pt>
                <c:pt idx="48">
                  <c:v>5.8</c:v>
                </c:pt>
                <c:pt idx="49">
                  <c:v>5.9</c:v>
                </c:pt>
                <c:pt idx="50">
                  <c:v>6</c:v>
                </c:pt>
                <c:pt idx="51">
                  <c:v>6.1</c:v>
                </c:pt>
                <c:pt idx="52">
                  <c:v>6.2</c:v>
                </c:pt>
                <c:pt idx="53">
                  <c:v>6.3</c:v>
                </c:pt>
                <c:pt idx="54">
                  <c:v>6.4</c:v>
                </c:pt>
                <c:pt idx="55">
                  <c:v>6.5000000000000098</c:v>
                </c:pt>
                <c:pt idx="56">
                  <c:v>6.6</c:v>
                </c:pt>
                <c:pt idx="57">
                  <c:v>6.7</c:v>
                </c:pt>
                <c:pt idx="58">
                  <c:v>6.8000000000000096</c:v>
                </c:pt>
                <c:pt idx="59">
                  <c:v>6.9000000000000101</c:v>
                </c:pt>
                <c:pt idx="60">
                  <c:v>7.0000000000000098</c:v>
                </c:pt>
                <c:pt idx="61">
                  <c:v>7.1</c:v>
                </c:pt>
                <c:pt idx="62">
                  <c:v>7.2000000000000099</c:v>
                </c:pt>
                <c:pt idx="63">
                  <c:v>7.3000000000000096</c:v>
                </c:pt>
                <c:pt idx="64">
                  <c:v>7.4000000000000101</c:v>
                </c:pt>
                <c:pt idx="65">
                  <c:v>7.5000000000000098</c:v>
                </c:pt>
                <c:pt idx="66">
                  <c:v>7.6000000000000103</c:v>
                </c:pt>
                <c:pt idx="67">
                  <c:v>7.7000000000000099</c:v>
                </c:pt>
                <c:pt idx="68">
                  <c:v>7.8000000000000096</c:v>
                </c:pt>
                <c:pt idx="69">
                  <c:v>7.9000000000000101</c:v>
                </c:pt>
                <c:pt idx="70">
                  <c:v>8.0000000000000107</c:v>
                </c:pt>
                <c:pt idx="71">
                  <c:v>8.1000000000000103</c:v>
                </c:pt>
                <c:pt idx="72">
                  <c:v>8.2000000000000099</c:v>
                </c:pt>
                <c:pt idx="73">
                  <c:v>8.3000000000000096</c:v>
                </c:pt>
                <c:pt idx="74">
                  <c:v>8.4000000000000092</c:v>
                </c:pt>
                <c:pt idx="75">
                  <c:v>8.5000000000000107</c:v>
                </c:pt>
                <c:pt idx="76">
                  <c:v>8.6000000000000103</c:v>
                </c:pt>
                <c:pt idx="77">
                  <c:v>8.7000000000000099</c:v>
                </c:pt>
                <c:pt idx="78">
                  <c:v>8.8000000000000096</c:v>
                </c:pt>
                <c:pt idx="79">
                  <c:v>8.9000000000000092</c:v>
                </c:pt>
                <c:pt idx="80">
                  <c:v>9.0000000000000107</c:v>
                </c:pt>
                <c:pt idx="81">
                  <c:v>9.1000000000000103</c:v>
                </c:pt>
                <c:pt idx="82">
                  <c:v>9.2000000000000099</c:v>
                </c:pt>
                <c:pt idx="83">
                  <c:v>9.3000000000000096</c:v>
                </c:pt>
                <c:pt idx="84">
                  <c:v>9.4000000000000092</c:v>
                </c:pt>
                <c:pt idx="85">
                  <c:v>9.5000000000000107</c:v>
                </c:pt>
                <c:pt idx="86">
                  <c:v>9.6000000000000103</c:v>
                </c:pt>
                <c:pt idx="87">
                  <c:v>9.7000000000000099</c:v>
                </c:pt>
                <c:pt idx="88">
                  <c:v>9.8000000000000096</c:v>
                </c:pt>
                <c:pt idx="89">
                  <c:v>9.9000000000000092</c:v>
                </c:pt>
              </c:numCache>
            </c:numRef>
          </c:xVal>
          <c:yVal>
            <c:numRef>
              <c:f>mtd!$L$4:$L$93</c:f>
              <c:numCache>
                <c:formatCode>0.00</c:formatCode>
                <c:ptCount val="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numCache>
            </c:numRef>
          </c:yVal>
          <c:smooth val="0"/>
          <c:extLst>
            <c:ext xmlns:c16="http://schemas.microsoft.com/office/drawing/2014/chart" uri="{C3380CC4-5D6E-409C-BE32-E72D297353CC}">
              <c16:uniqueId val="{00000001-3294-4840-A0C5-78883B8234FE}"/>
            </c:ext>
          </c:extLst>
        </c:ser>
        <c:dLbls>
          <c:showLegendKey val="0"/>
          <c:showVal val="0"/>
          <c:showCatName val="0"/>
          <c:showSerName val="0"/>
          <c:showPercent val="0"/>
          <c:showBubbleSize val="0"/>
        </c:dLbls>
        <c:axId val="56718464"/>
        <c:axId val="144243712"/>
      </c:scatterChart>
      <c:valAx>
        <c:axId val="56718464"/>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144243712"/>
        <c:crosses val="autoZero"/>
        <c:crossBetween val="midCat"/>
      </c:valAx>
      <c:valAx>
        <c:axId val="144243712"/>
        <c:scaling>
          <c:logBase val="10"/>
          <c:orientation val="minMax"/>
        </c:scaling>
        <c:delete val="0"/>
        <c:axPos val="l"/>
        <c:majorGridlines>
          <c:spPr>
            <a:ln w="3175">
              <a:solidFill>
                <a:srgbClr val="000000"/>
              </a:solidFill>
              <a:prstDash val="solid"/>
            </a:ln>
          </c:spPr>
        </c:majorGridlines>
        <c:numFmt formatCode="0.00"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56718464"/>
        <c:crosses val="autoZero"/>
        <c:crossBetween val="midCat"/>
      </c:valAx>
      <c:spPr>
        <a:solidFill>
          <a:srgbClr val="C0C0C0"/>
        </a:solidFill>
        <a:ln w="12700">
          <a:solidFill>
            <a:srgbClr val="808080"/>
          </a:solidFill>
          <a:prstDash val="solid"/>
        </a:ln>
      </c:spPr>
    </c:plotArea>
    <c:legend>
      <c:legendPos val="r"/>
      <c:layout>
        <c:manualLayout>
          <c:xMode val="edge"/>
          <c:yMode val="edge"/>
          <c:x val="0.89567147613762488"/>
          <c:y val="0.45513866231647637"/>
          <c:w val="9.9889012208657091E-2"/>
          <c:h val="6.3621533442088096E-2"/>
        </c:manualLayout>
      </c:layout>
      <c:overlay val="0"/>
      <c:spPr>
        <a:solidFill>
          <a:srgbClr val="FFFFFF"/>
        </a:solidFill>
        <a:ln w="3175">
          <a:solidFill>
            <a:srgbClr val="000000"/>
          </a:solidFill>
          <a:prstDash val="solid"/>
        </a:ln>
      </c:spPr>
      <c:txPr>
        <a:bodyPr/>
        <a:lstStyle/>
        <a:p>
          <a:pPr>
            <a:defRPr sz="675"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800" b="0" i="0" u="none" strike="noStrike" baseline="0">
          <a:solidFill>
            <a:srgbClr val="000000"/>
          </a:solidFill>
          <a:latin typeface="Arial"/>
          <a:ea typeface="Arial"/>
          <a:cs typeface="Arial"/>
        </a:defRPr>
      </a:pPr>
      <a:endParaRPr lang="en-US"/>
    </a:p>
  </c:txPr>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25" b="1" i="0" u="none" strike="noStrike" baseline="0">
                <a:solidFill>
                  <a:srgbClr val="000000"/>
                </a:solidFill>
                <a:latin typeface="Arial"/>
                <a:ea typeface="Arial"/>
                <a:cs typeface="Arial"/>
              </a:defRPr>
            </a:pPr>
            <a:r>
              <a:rPr lang="en-GB"/>
              <a:t>MTD - up to 70 micron</a:t>
            </a:r>
          </a:p>
        </c:rich>
      </c:tx>
      <c:layout>
        <c:manualLayout>
          <c:xMode val="edge"/>
          <c:yMode val="edge"/>
          <c:x val="0.41176470588235292"/>
          <c:y val="1.9575856443719411E-2"/>
        </c:manualLayout>
      </c:layout>
      <c:overlay val="0"/>
      <c:spPr>
        <a:noFill/>
        <a:ln w="25400">
          <a:noFill/>
        </a:ln>
      </c:spPr>
    </c:title>
    <c:autoTitleDeleted val="0"/>
    <c:plotArea>
      <c:layout>
        <c:manualLayout>
          <c:layoutTarget val="inner"/>
          <c:xMode val="edge"/>
          <c:yMode val="edge"/>
          <c:x val="0.11542730299667037"/>
          <c:y val="0.12071778140293637"/>
          <c:w val="0.78690344062153161"/>
          <c:h val="0.80750407830342574"/>
        </c:manualLayout>
      </c:layout>
      <c:scatterChart>
        <c:scatterStyle val="smoothMarker"/>
        <c:varyColors val="0"/>
        <c:ser>
          <c:idx val="0"/>
          <c:order val="0"/>
          <c:tx>
            <c:strRef>
              <c:f>mtd!$N$3</c:f>
              <c:strCache>
                <c:ptCount val="1"/>
                <c:pt idx="0">
                  <c:v>y</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mtd!$M$4:$M$93</c:f>
              <c:numCache>
                <c:formatCode>General</c:formatCode>
                <c:ptCount val="9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numCache>
            </c:numRef>
          </c:xVal>
          <c:yVal>
            <c:numRef>
              <c:f>mtd!$N$4:$N$93</c:f>
              <c:numCache>
                <c:formatCode>0.00</c:formatCode>
                <c:ptCount val="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numCache>
            </c:numRef>
          </c:yVal>
          <c:smooth val="1"/>
          <c:extLst>
            <c:ext xmlns:c16="http://schemas.microsoft.com/office/drawing/2014/chart" uri="{C3380CC4-5D6E-409C-BE32-E72D297353CC}">
              <c16:uniqueId val="{00000000-19A1-46DB-8A83-0C810492467F}"/>
            </c:ext>
          </c:extLst>
        </c:ser>
        <c:ser>
          <c:idx val="1"/>
          <c:order val="1"/>
          <c:tx>
            <c:v>srm</c:v>
          </c:tx>
          <c:spPr>
            <a:ln w="12700">
              <a:solidFill>
                <a:srgbClr val="FF00FF"/>
              </a:solidFill>
              <a:prstDash val="solid"/>
            </a:ln>
          </c:spPr>
          <c:marker>
            <c:symbol val="square"/>
            <c:size val="5"/>
            <c:spPr>
              <a:solidFill>
                <a:srgbClr val="FF00FF"/>
              </a:solidFill>
              <a:ln>
                <a:solidFill>
                  <a:srgbClr val="FF00FF"/>
                </a:solidFill>
                <a:prstDash val="solid"/>
              </a:ln>
            </c:spPr>
          </c:marker>
          <c:xVal>
            <c:numRef>
              <c:f>mtd!$A$4:$A$93</c:f>
              <c:numCache>
                <c:formatCode>General</c:formatCode>
                <c:ptCount val="9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numCache>
            </c:numRef>
          </c:xVal>
          <c:yVal>
            <c:numRef>
              <c:f>mtd!$C$4:$C$93</c:f>
              <c:numCache>
                <c:formatCode>0.00</c:formatCode>
                <c:ptCount val="90"/>
                <c:pt idx="0">
                  <c:v>38714.285714285717</c:v>
                </c:pt>
                <c:pt idx="1">
                  <c:v>9655.3571428571431</c:v>
                </c:pt>
                <c:pt idx="2">
                  <c:v>4003.2142857142858</c:v>
                </c:pt>
                <c:pt idx="3">
                  <c:v>2176.7857142857142</c:v>
                </c:pt>
                <c:pt idx="4">
                  <c:v>1334.6428571428573</c:v>
                </c:pt>
                <c:pt idx="5">
                  <c:v>855.35714285714289</c:v>
                </c:pt>
                <c:pt idx="6">
                  <c:v>561.78571428571433</c:v>
                </c:pt>
                <c:pt idx="7">
                  <c:v>376.78571428571433</c:v>
                </c:pt>
                <c:pt idx="8">
                  <c:v>259.21428571428572</c:v>
                </c:pt>
                <c:pt idx="9">
                  <c:v>183.46428571428575</c:v>
                </c:pt>
                <c:pt idx="10">
                  <c:v>133.78571428571431</c:v>
                </c:pt>
                <c:pt idx="11">
                  <c:v>100.35714285714286</c:v>
                </c:pt>
                <c:pt idx="12">
                  <c:v>77.285714285714292</c:v>
                </c:pt>
                <c:pt idx="13">
                  <c:v>60.857142857142861</c:v>
                </c:pt>
                <c:pt idx="14">
                  <c:v>48.857142857142861</c:v>
                </c:pt>
                <c:pt idx="15">
                  <c:v>39.75</c:v>
                </c:pt>
                <c:pt idx="16">
                  <c:v>32.617857142857147</c:v>
                </c:pt>
                <c:pt idx="17">
                  <c:v>26.88928571428572</c:v>
                </c:pt>
                <c:pt idx="18">
                  <c:v>22.203571428571429</c:v>
                </c:pt>
                <c:pt idx="19">
                  <c:v>18.339285714285715</c:v>
                </c:pt>
                <c:pt idx="20">
                  <c:v>15.142857142857144</c:v>
                </c:pt>
                <c:pt idx="21">
                  <c:v>12.503571428571428</c:v>
                </c:pt>
                <c:pt idx="22">
                  <c:v>10.339285714285715</c:v>
                </c:pt>
                <c:pt idx="23">
                  <c:v>8.5678571428571431</c:v>
                </c:pt>
                <c:pt idx="24">
                  <c:v>7.125</c:v>
                </c:pt>
                <c:pt idx="25">
                  <c:v>5.95</c:v>
                </c:pt>
                <c:pt idx="26">
                  <c:v>4.9928571428571429</c:v>
                </c:pt>
                <c:pt idx="27">
                  <c:v>4.2142857142857144</c:v>
                </c:pt>
                <c:pt idx="28">
                  <c:v>3.5785714285714287</c:v>
                </c:pt>
                <c:pt idx="29">
                  <c:v>3.06</c:v>
                </c:pt>
                <c:pt idx="30">
                  <c:v>2.6357142857142857</c:v>
                </c:pt>
                <c:pt idx="31">
                  <c:v>2.2867857142857142</c:v>
                </c:pt>
                <c:pt idx="32">
                  <c:v>1.997857142857143</c:v>
                </c:pt>
                <c:pt idx="33">
                  <c:v>1.7575000000000003</c:v>
                </c:pt>
                <c:pt idx="34">
                  <c:v>1.5557142857142858</c:v>
                </c:pt>
                <c:pt idx="35">
                  <c:v>1.3857142857142857</c:v>
                </c:pt>
                <c:pt idx="36">
                  <c:v>1.2414285714285715</c:v>
                </c:pt>
                <c:pt idx="37">
                  <c:v>1.1182142857142856</c:v>
                </c:pt>
                <c:pt idx="38">
                  <c:v>1.0121428571428572</c:v>
                </c:pt>
                <c:pt idx="39">
                  <c:v>0.92035714285714287</c:v>
                </c:pt>
                <c:pt idx="40">
                  <c:v>0.84071428571428575</c:v>
                </c:pt>
                <c:pt idx="41">
                  <c:v>0.77107142857142852</c:v>
                </c:pt>
                <c:pt idx="42">
                  <c:v>0.71000000000000008</c:v>
                </c:pt>
                <c:pt idx="43">
                  <c:v>0.65571428571428581</c:v>
                </c:pt>
                <c:pt idx="44">
                  <c:v>0.60785714285714287</c:v>
                </c:pt>
                <c:pt idx="45">
                  <c:v>0.56464285714285711</c:v>
                </c:pt>
                <c:pt idx="46">
                  <c:v>0.52642857142857147</c:v>
                </c:pt>
                <c:pt idx="47">
                  <c:v>0.49178571428571433</c:v>
                </c:pt>
                <c:pt idx="48">
                  <c:v>0.46035714285714285</c:v>
                </c:pt>
                <c:pt idx="49">
                  <c:v>0.43178571428571433</c:v>
                </c:pt>
                <c:pt idx="50">
                  <c:v>0.4</c:v>
                </c:pt>
                <c:pt idx="51">
                  <c:v>0.38</c:v>
                </c:pt>
                <c:pt idx="52">
                  <c:v>0.36</c:v>
                </c:pt>
                <c:pt idx="53">
                  <c:v>0.34</c:v>
                </c:pt>
                <c:pt idx="54">
                  <c:v>0.32</c:v>
                </c:pt>
                <c:pt idx="55">
                  <c:v>0.3</c:v>
                </c:pt>
                <c:pt idx="56">
                  <c:v>0.28999999999999998</c:v>
                </c:pt>
                <c:pt idx="57">
                  <c:v>0.27</c:v>
                </c:pt>
                <c:pt idx="58">
                  <c:v>0.25</c:v>
                </c:pt>
                <c:pt idx="59">
                  <c:v>0.23</c:v>
                </c:pt>
                <c:pt idx="60">
                  <c:v>0.21</c:v>
                </c:pt>
                <c:pt idx="61">
                  <c:v>0.2</c:v>
                </c:pt>
                <c:pt idx="62">
                  <c:v>0.19</c:v>
                </c:pt>
                <c:pt idx="63">
                  <c:v>0.18</c:v>
                </c:pt>
                <c:pt idx="64">
                  <c:v>0.16</c:v>
                </c:pt>
                <c:pt idx="65">
                  <c:v>0.14000000000000001</c:v>
                </c:pt>
                <c:pt idx="66">
                  <c:v>0.13</c:v>
                </c:pt>
                <c:pt idx="67">
                  <c:v>0.12</c:v>
                </c:pt>
                <c:pt idx="68">
                  <c:v>0.11</c:v>
                </c:pt>
                <c:pt idx="69">
                  <c:v>0.1</c:v>
                </c:pt>
                <c:pt idx="70">
                  <c:v>0.09</c:v>
                </c:pt>
                <c:pt idx="71">
                  <c:v>0.08</c:v>
                </c:pt>
                <c:pt idx="72">
                  <c:v>7.0000000000000007E-2</c:v>
                </c:pt>
                <c:pt idx="73">
                  <c:v>6.7000000000000004E-2</c:v>
                </c:pt>
                <c:pt idx="74">
                  <c:v>6.4000000000000001E-2</c:v>
                </c:pt>
                <c:pt idx="75">
                  <c:v>6.0999999999999999E-2</c:v>
                </c:pt>
                <c:pt idx="76">
                  <c:v>5.8000000000000003E-2</c:v>
                </c:pt>
                <c:pt idx="77">
                  <c:v>5.5E-2</c:v>
                </c:pt>
                <c:pt idx="78">
                  <c:v>5.1999999999999998E-2</c:v>
                </c:pt>
                <c:pt idx="79">
                  <c:v>4.9000000000000002E-2</c:v>
                </c:pt>
                <c:pt idx="80">
                  <c:v>4.5999999999999999E-2</c:v>
                </c:pt>
                <c:pt idx="81">
                  <c:v>4.2999999999999997E-2</c:v>
                </c:pt>
                <c:pt idx="82">
                  <c:v>0.04</c:v>
                </c:pt>
                <c:pt idx="83">
                  <c:v>3.6999999999999998E-2</c:v>
                </c:pt>
                <c:pt idx="84">
                  <c:v>3.4000000000000002E-2</c:v>
                </c:pt>
                <c:pt idx="85">
                  <c:v>3.1E-2</c:v>
                </c:pt>
                <c:pt idx="86">
                  <c:v>2.8000000000000001E-2</c:v>
                </c:pt>
                <c:pt idx="87">
                  <c:v>2.5000000000000001E-2</c:v>
                </c:pt>
                <c:pt idx="88">
                  <c:v>2.1999999999999999E-2</c:v>
                </c:pt>
                <c:pt idx="89">
                  <c:v>0.02</c:v>
                </c:pt>
              </c:numCache>
            </c:numRef>
          </c:yVal>
          <c:smooth val="1"/>
          <c:extLst>
            <c:ext xmlns:c16="http://schemas.microsoft.com/office/drawing/2014/chart" uri="{C3380CC4-5D6E-409C-BE32-E72D297353CC}">
              <c16:uniqueId val="{00000001-19A1-46DB-8A83-0C810492467F}"/>
            </c:ext>
          </c:extLst>
        </c:ser>
        <c:dLbls>
          <c:showLegendKey val="0"/>
          <c:showVal val="0"/>
          <c:showCatName val="0"/>
          <c:showSerName val="0"/>
          <c:showPercent val="0"/>
          <c:showBubbleSize val="0"/>
        </c:dLbls>
        <c:axId val="56824576"/>
        <c:axId val="56852480"/>
      </c:scatterChart>
      <c:valAx>
        <c:axId val="56824576"/>
        <c:scaling>
          <c:orientation val="minMax"/>
        </c:scaling>
        <c:delete val="0"/>
        <c:axPos val="b"/>
        <c:title>
          <c:tx>
            <c:rich>
              <a:bodyPr/>
              <a:lstStyle/>
              <a:p>
                <a:pPr>
                  <a:defRPr sz="925" b="1" i="0" u="none" strike="noStrike" baseline="0">
                    <a:solidFill>
                      <a:srgbClr val="000000"/>
                    </a:solidFill>
                    <a:latin typeface="Arial"/>
                    <a:ea typeface="Arial"/>
                    <a:cs typeface="Arial"/>
                  </a:defRPr>
                </a:pPr>
                <a:r>
                  <a:rPr lang="en-GB"/>
                  <a:t>µm</a:t>
                </a:r>
              </a:p>
            </c:rich>
          </c:tx>
          <c:layout>
            <c:manualLayout>
              <c:xMode val="edge"/>
              <c:yMode val="edge"/>
              <c:x val="0.49611542730299668"/>
              <c:y val="0.9461663947797716"/>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925" b="0" i="0" u="none" strike="noStrike" baseline="0">
                <a:solidFill>
                  <a:srgbClr val="000000"/>
                </a:solidFill>
                <a:latin typeface="Arial"/>
                <a:ea typeface="Arial"/>
                <a:cs typeface="Arial"/>
              </a:defRPr>
            </a:pPr>
            <a:endParaRPr lang="en-US"/>
          </a:p>
        </c:txPr>
        <c:crossAx val="56852480"/>
        <c:crosses val="autoZero"/>
        <c:crossBetween val="midCat"/>
      </c:valAx>
      <c:valAx>
        <c:axId val="56852480"/>
        <c:scaling>
          <c:logBase val="10"/>
          <c:orientation val="minMax"/>
        </c:scaling>
        <c:delete val="0"/>
        <c:axPos val="l"/>
        <c:majorGridlines>
          <c:spPr>
            <a:ln w="3175">
              <a:solidFill>
                <a:srgbClr val="000000"/>
              </a:solidFill>
              <a:prstDash val="solid"/>
            </a:ln>
          </c:spPr>
        </c:majorGridlines>
        <c:title>
          <c:tx>
            <c:rich>
              <a:bodyPr/>
              <a:lstStyle/>
              <a:p>
                <a:pPr>
                  <a:defRPr sz="925" b="1" i="0" u="none" strike="noStrike" baseline="0">
                    <a:solidFill>
                      <a:srgbClr val="000000"/>
                    </a:solidFill>
                    <a:latin typeface="Arial"/>
                    <a:ea typeface="Arial"/>
                    <a:cs typeface="Arial"/>
                  </a:defRPr>
                </a:pPr>
                <a:r>
                  <a:rPr lang="en-GB"/>
                  <a:t>n/mg/ml</a:t>
                </a:r>
              </a:p>
            </c:rich>
          </c:tx>
          <c:layout>
            <c:manualLayout>
              <c:xMode val="edge"/>
              <c:yMode val="edge"/>
              <c:x val="1.2208657047724751E-2"/>
              <c:y val="0.48450244698205547"/>
            </c:manualLayout>
          </c:layout>
          <c:overlay val="0"/>
          <c:spPr>
            <a:noFill/>
            <a:ln w="25400">
              <a:noFill/>
            </a:ln>
          </c:spPr>
        </c:title>
        <c:numFmt formatCode="0.00" sourceLinked="1"/>
        <c:majorTickMark val="out"/>
        <c:minorTickMark val="none"/>
        <c:tickLblPos val="nextTo"/>
        <c:spPr>
          <a:ln w="3175">
            <a:solidFill>
              <a:srgbClr val="000000"/>
            </a:solidFill>
            <a:prstDash val="solid"/>
          </a:ln>
        </c:spPr>
        <c:txPr>
          <a:bodyPr rot="0" vert="horz"/>
          <a:lstStyle/>
          <a:p>
            <a:pPr>
              <a:defRPr sz="925" b="0" i="0" u="none" strike="noStrike" baseline="0">
                <a:solidFill>
                  <a:srgbClr val="000000"/>
                </a:solidFill>
                <a:latin typeface="Arial"/>
                <a:ea typeface="Arial"/>
                <a:cs typeface="Arial"/>
              </a:defRPr>
            </a:pPr>
            <a:endParaRPr lang="en-US"/>
          </a:p>
        </c:txPr>
        <c:crossAx val="56824576"/>
        <c:crosses val="autoZero"/>
        <c:crossBetween val="midCat"/>
      </c:valAx>
      <c:spPr>
        <a:solidFill>
          <a:srgbClr val="C0C0C0"/>
        </a:solidFill>
        <a:ln w="12700">
          <a:solidFill>
            <a:srgbClr val="808080"/>
          </a:solidFill>
          <a:prstDash val="solid"/>
        </a:ln>
      </c:spPr>
    </c:plotArea>
    <c:legend>
      <c:legendPos val="r"/>
      <c:layout>
        <c:manualLayout>
          <c:xMode val="edge"/>
          <c:yMode val="edge"/>
          <c:x val="0.92785793562708108"/>
          <c:y val="0.49102773246329529"/>
          <c:w val="6.7702552719200892E-2"/>
          <c:h val="6.6884176182707977E-2"/>
        </c:manualLayout>
      </c:layout>
      <c:overlay val="0"/>
      <c:spPr>
        <a:solidFill>
          <a:srgbClr val="FFFFFF"/>
        </a:solidFill>
        <a:ln w="3175">
          <a:solidFill>
            <a:srgbClr val="000000"/>
          </a:solidFill>
          <a:prstDash val="solid"/>
        </a:ln>
      </c:spPr>
      <c:txPr>
        <a:bodyPr/>
        <a:lstStyle/>
        <a:p>
          <a:pPr>
            <a:defRPr sz="78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925" b="0" i="0" u="none" strike="noStrike" baseline="0">
          <a:solidFill>
            <a:srgbClr val="000000"/>
          </a:solidFill>
          <a:latin typeface="Arial"/>
          <a:ea typeface="Arial"/>
          <a:cs typeface="Arial"/>
        </a:defRPr>
      </a:pPr>
      <a:endParaRPr lang="en-US"/>
    </a:p>
  </c:txPr>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00" b="1" i="0" u="none" strike="noStrike" baseline="0">
                <a:solidFill>
                  <a:srgbClr val="000000"/>
                </a:solidFill>
                <a:latin typeface="Arial"/>
                <a:ea typeface="Arial"/>
                <a:cs typeface="Arial"/>
              </a:defRPr>
            </a:pPr>
            <a:r>
              <a:rPr lang="en-GB"/>
              <a:t>Calibration Chart</a:t>
            </a:r>
          </a:p>
        </c:rich>
      </c:tx>
      <c:layout>
        <c:manualLayout>
          <c:xMode val="edge"/>
          <c:yMode val="edge"/>
          <c:x val="0.3625737133735476"/>
          <c:y val="4.1970778652668413E-2"/>
        </c:manualLayout>
      </c:layout>
      <c:overlay val="0"/>
      <c:spPr>
        <a:noFill/>
        <a:ln w="25400">
          <a:noFill/>
        </a:ln>
      </c:spPr>
    </c:title>
    <c:autoTitleDeleted val="0"/>
    <c:plotArea>
      <c:layout>
        <c:manualLayout>
          <c:layoutTarget val="inner"/>
          <c:xMode val="edge"/>
          <c:yMode val="edge"/>
          <c:x val="0.11500996552518412"/>
          <c:y val="0.1259124087591241"/>
          <c:w val="0.83041093752082096"/>
          <c:h val="0.71167883211678828"/>
        </c:manualLayout>
      </c:layout>
      <c:scatterChart>
        <c:scatterStyle val="smoothMarker"/>
        <c:varyColors val="0"/>
        <c:ser>
          <c:idx val="0"/>
          <c:order val="0"/>
          <c:tx>
            <c:v>Trial Run</c:v>
          </c:tx>
          <c:spPr>
            <a:ln w="12700">
              <a:solidFill>
                <a:srgbClr val="000080"/>
              </a:solidFill>
              <a:prstDash val="solid"/>
            </a:ln>
          </c:spPr>
          <c:marker>
            <c:symbol val="diamond"/>
            <c:size val="5"/>
            <c:spPr>
              <a:solidFill>
                <a:srgbClr val="000080"/>
              </a:solidFill>
              <a:ln>
                <a:solidFill>
                  <a:srgbClr val="000080"/>
                </a:solidFill>
                <a:prstDash val="solid"/>
              </a:ln>
            </c:spPr>
          </c:marker>
          <c:xVal>
            <c:numRef>
              <c:f>'Auto-Calibration record'!$B$34:$I$34</c:f>
            </c:numRef>
          </c:xVal>
          <c:yVal>
            <c:numRef>
              <c:f>'Auto-Calibration record'!$B$37:$I$37</c:f>
            </c:numRef>
          </c:yVal>
          <c:smooth val="1"/>
          <c:extLst>
            <c:ext xmlns:c16="http://schemas.microsoft.com/office/drawing/2014/chart" uri="{C3380CC4-5D6E-409C-BE32-E72D297353CC}">
              <c16:uniqueId val="{00000000-C0AE-4C3E-B4B2-E8088D029694}"/>
            </c:ext>
          </c:extLst>
        </c:ser>
        <c:ser>
          <c:idx val="1"/>
          <c:order val="1"/>
          <c:tx>
            <c:v>Final Calibration</c:v>
          </c:tx>
          <c:spPr>
            <a:ln w="12700">
              <a:solidFill>
                <a:srgbClr val="FF00FF"/>
              </a:solidFill>
              <a:prstDash val="solid"/>
            </a:ln>
          </c:spPr>
          <c:marker>
            <c:symbol val="square"/>
            <c:size val="5"/>
            <c:spPr>
              <a:solidFill>
                <a:srgbClr val="FF00FF"/>
              </a:solidFill>
              <a:ln>
                <a:solidFill>
                  <a:srgbClr val="FF00FF"/>
                </a:solidFill>
                <a:prstDash val="solid"/>
              </a:ln>
            </c:spPr>
          </c:marker>
          <c:xVal>
            <c:numRef>
              <c:f>'Auto-Calibration record'!$B$65:$I$65</c:f>
              <c:numCache>
                <c:formatCode>0</c:formatCode>
                <c:ptCount val="8"/>
                <c:pt idx="0">
                  <c:v>80</c:v>
                </c:pt>
                <c:pt idx="1">
                  <c:v>194</c:v>
                </c:pt>
                <c:pt idx="2">
                  <c:v>1032</c:v>
                </c:pt>
                <c:pt idx="3">
                  <c:v>2064</c:v>
                </c:pt>
                <c:pt idx="4">
                  <c:v>3012</c:v>
                </c:pt>
                <c:pt idx="5">
                  <c:v>10314</c:v>
                </c:pt>
                <c:pt idx="6">
                  <c:v>16352</c:v>
                </c:pt>
                <c:pt idx="7">
                  <c:v>25228</c:v>
                </c:pt>
              </c:numCache>
            </c:numRef>
          </c:xVal>
          <c:yVal>
            <c:numRef>
              <c:f>'Auto-Calibration record'!$B$64:$I$64</c:f>
              <c:numCache>
                <c:formatCode>General</c:formatCode>
                <c:ptCount val="8"/>
                <c:pt idx="0">
                  <c:v>4</c:v>
                </c:pt>
                <c:pt idx="1">
                  <c:v>6</c:v>
                </c:pt>
                <c:pt idx="2">
                  <c:v>14</c:v>
                </c:pt>
                <c:pt idx="3">
                  <c:v>21</c:v>
                </c:pt>
                <c:pt idx="4">
                  <c:v>25</c:v>
                </c:pt>
                <c:pt idx="5">
                  <c:v>38</c:v>
                </c:pt>
                <c:pt idx="6">
                  <c:v>50</c:v>
                </c:pt>
                <c:pt idx="7">
                  <c:v>70</c:v>
                </c:pt>
              </c:numCache>
            </c:numRef>
          </c:yVal>
          <c:smooth val="1"/>
          <c:extLst>
            <c:ext xmlns:c16="http://schemas.microsoft.com/office/drawing/2014/chart" uri="{C3380CC4-5D6E-409C-BE32-E72D297353CC}">
              <c16:uniqueId val="{00000001-C0AE-4C3E-B4B2-E8088D029694}"/>
            </c:ext>
          </c:extLst>
        </c:ser>
        <c:dLbls>
          <c:showLegendKey val="0"/>
          <c:showVal val="0"/>
          <c:showCatName val="0"/>
          <c:showSerName val="0"/>
          <c:showPercent val="0"/>
          <c:showBubbleSize val="0"/>
        </c:dLbls>
        <c:axId val="57280000"/>
        <c:axId val="57290752"/>
      </c:scatterChart>
      <c:valAx>
        <c:axId val="57280000"/>
        <c:scaling>
          <c:orientation val="minMax"/>
        </c:scaling>
        <c:delete val="0"/>
        <c:axPos val="b"/>
        <c:majorGridlines>
          <c:spPr>
            <a:ln w="3175">
              <a:solidFill>
                <a:srgbClr val="000000"/>
              </a:solidFill>
              <a:prstDash val="solid"/>
            </a:ln>
          </c:spPr>
        </c:majorGridlines>
        <c:title>
          <c:tx>
            <c:rich>
              <a:bodyPr/>
              <a:lstStyle/>
              <a:p>
                <a:pPr>
                  <a:defRPr sz="800" b="1" i="0" u="none" strike="noStrike" baseline="0">
                    <a:solidFill>
                      <a:srgbClr val="000000"/>
                    </a:solidFill>
                    <a:latin typeface="Arial"/>
                    <a:ea typeface="Arial"/>
                    <a:cs typeface="Arial"/>
                  </a:defRPr>
                </a:pPr>
                <a:r>
                  <a:rPr lang="en-GB"/>
                  <a:t>Threshold Setting</a:t>
                </a:r>
              </a:p>
            </c:rich>
          </c:tx>
          <c:layout>
            <c:manualLayout>
              <c:xMode val="edge"/>
              <c:yMode val="edge"/>
              <c:x val="0.43080003888402835"/>
              <c:y val="0.88686124234470687"/>
            </c:manualLayout>
          </c:layout>
          <c:overlay val="0"/>
          <c:spPr>
            <a:noFill/>
            <a:ln w="25400">
              <a:noFill/>
            </a:ln>
          </c:spPr>
        </c:title>
        <c:numFmt formatCode="0"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57290752"/>
        <c:crosses val="autoZero"/>
        <c:crossBetween val="midCat"/>
      </c:valAx>
      <c:valAx>
        <c:axId val="57290752"/>
        <c:scaling>
          <c:orientation val="minMax"/>
          <c:max val="74"/>
          <c:min val="0"/>
        </c:scaling>
        <c:delete val="0"/>
        <c:axPos val="l"/>
        <c:majorGridlines>
          <c:spPr>
            <a:ln w="3175">
              <a:solidFill>
                <a:srgbClr val="000000"/>
              </a:solidFill>
              <a:prstDash val="solid"/>
            </a:ln>
          </c:spPr>
        </c:majorGridlines>
        <c:title>
          <c:tx>
            <c:rich>
              <a:bodyPr/>
              <a:lstStyle/>
              <a:p>
                <a:pPr>
                  <a:defRPr sz="800" b="1" i="0" u="none" strike="noStrike" baseline="0">
                    <a:solidFill>
                      <a:srgbClr val="000000"/>
                    </a:solidFill>
                    <a:latin typeface="Arial"/>
                    <a:ea typeface="Arial"/>
                    <a:cs typeface="Arial"/>
                  </a:defRPr>
                </a:pPr>
                <a:r>
                  <a:rPr lang="en-GB"/>
                  <a:t>Particle Size</a:t>
                </a:r>
              </a:p>
            </c:rich>
          </c:tx>
          <c:layout>
            <c:manualLayout>
              <c:xMode val="edge"/>
              <c:yMode val="edge"/>
              <c:x val="3.1189083820662766E-2"/>
              <c:y val="0.41788311461067368"/>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57280000"/>
        <c:crosses val="autoZero"/>
        <c:crossBetween val="midCat"/>
      </c:valAx>
      <c:spPr>
        <a:solidFill>
          <a:srgbClr val="C0C0C0"/>
        </a:solidFill>
        <a:ln w="12700">
          <a:solidFill>
            <a:srgbClr val="808080"/>
          </a:solidFill>
          <a:prstDash val="solid"/>
        </a:ln>
      </c:spPr>
    </c:plotArea>
    <c:legend>
      <c:legendPos val="b"/>
      <c:layout>
        <c:manualLayout>
          <c:xMode val="edge"/>
          <c:yMode val="edge"/>
          <c:x val="0.34308053598563337"/>
          <c:y val="0.94708031496062994"/>
          <c:w val="0.37426961980629614"/>
          <c:h val="4.0145931758530207E-2"/>
        </c:manualLayout>
      </c:layout>
      <c:overlay val="0"/>
      <c:spPr>
        <a:solidFill>
          <a:srgbClr val="FFFFFF"/>
        </a:solidFill>
        <a:ln w="3175">
          <a:solidFill>
            <a:srgbClr val="000000"/>
          </a:solidFill>
          <a:prstDash val="solid"/>
        </a:ln>
      </c:spPr>
      <c:txPr>
        <a:bodyPr/>
        <a:lstStyle/>
        <a:p>
          <a:pPr>
            <a:defRPr sz="67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paperSize="9" orientation="landscape" horizontalDpi="-3" verticalDpi="0"/>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121833608004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1056340</c:v>
                </c:pt>
                <c:pt idx="1">
                  <c:v>459350</c:v>
                </c:pt>
                <c:pt idx="2">
                  <c:v>106950</c:v>
                </c:pt>
                <c:pt idx="3">
                  <c:v>36410</c:v>
                </c:pt>
                <c:pt idx="4">
                  <c:v>10940</c:v>
                </c:pt>
                <c:pt idx="5">
                  <c:v>5210</c:v>
                </c:pt>
                <c:pt idx="6">
                  <c:v>611.721</c:v>
                </c:pt>
                <c:pt idx="7">
                  <c:v>145.303</c:v>
                </c:pt>
                <c:pt idx="8">
                  <c:v>24.939</c:v>
                </c:pt>
              </c:numCache>
            </c:numRef>
          </c:val>
          <c:extLst>
            <c:ext xmlns:c16="http://schemas.microsoft.com/office/drawing/2014/chart" uri="{C3380CC4-5D6E-409C-BE32-E72D297353CC}">
              <c16:uniqueId val="{00000000-FE2A-40B6-A6BF-A253EEADBE15}"/>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1065116</c:v>
                </c:pt>
                <c:pt idx="1">
                  <c:v>459710</c:v>
                </c:pt>
                <c:pt idx="2">
                  <c:v>110894</c:v>
                </c:pt>
                <c:pt idx="3">
                  <c:v>37720</c:v>
                </c:pt>
                <c:pt idx="4">
                  <c:v>11889</c:v>
                </c:pt>
                <c:pt idx="5">
                  <c:v>5538</c:v>
                </c:pt>
                <c:pt idx="6">
                  <c:v>525</c:v>
                </c:pt>
                <c:pt idx="7">
                  <c:v>112</c:v>
                </c:pt>
                <c:pt idx="8">
                  <c:v>18</c:v>
                </c:pt>
              </c:numCache>
            </c:numRef>
          </c:val>
          <c:extLst>
            <c:ext xmlns:c16="http://schemas.microsoft.com/office/drawing/2014/chart" uri="{C3380CC4-5D6E-409C-BE32-E72D297353CC}">
              <c16:uniqueId val="{00000001-FE2A-40B6-A6BF-A253EEADBE15}"/>
            </c:ext>
          </c:extLst>
        </c:ser>
        <c:dLbls>
          <c:showLegendKey val="0"/>
          <c:showVal val="0"/>
          <c:showCatName val="0"/>
          <c:showSerName val="0"/>
          <c:showPercent val="0"/>
          <c:showBubbleSize val="0"/>
        </c:dLbls>
        <c:gapWidth val="150"/>
        <c:axId val="57404032"/>
        <c:axId val="57541376"/>
      </c:barChart>
      <c:catAx>
        <c:axId val="5740403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0555453834"/>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541376"/>
        <c:crosses val="autoZero"/>
        <c:auto val="1"/>
        <c:lblAlgn val="ctr"/>
        <c:lblOffset val="100"/>
        <c:tickLblSkip val="1"/>
        <c:tickMarkSkip val="1"/>
        <c:noMultiLvlLbl val="0"/>
      </c:catAx>
      <c:valAx>
        <c:axId val="57541376"/>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8932429957"/>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404032"/>
        <c:crosses val="autoZero"/>
        <c:crossBetween val="between"/>
      </c:valAx>
    </c:plotArea>
    <c:legend>
      <c:legendPos val="b"/>
      <c:layout>
        <c:manualLayout>
          <c:xMode val="edge"/>
          <c:yMode val="edge"/>
          <c:x val="0.36683935438302773"/>
          <c:y val="0.89743832020997372"/>
          <c:w val="0.29430053801414358"/>
          <c:h val="8.547054873954707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664354963"/>
          <c:y val="3.4187963346686924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1056340</c:v>
                </c:pt>
                <c:pt idx="1">
                  <c:v>459350</c:v>
                </c:pt>
                <c:pt idx="2">
                  <c:v>106950</c:v>
                </c:pt>
                <c:pt idx="3">
                  <c:v>36410</c:v>
                </c:pt>
                <c:pt idx="4">
                  <c:v>10940</c:v>
                </c:pt>
                <c:pt idx="5">
                  <c:v>5210</c:v>
                </c:pt>
                <c:pt idx="6">
                  <c:v>611.721</c:v>
                </c:pt>
                <c:pt idx="7">
                  <c:v>145.303</c:v>
                </c:pt>
                <c:pt idx="8">
                  <c:v>24.939</c:v>
                </c:pt>
              </c:numCache>
            </c:numRef>
          </c:val>
          <c:extLst>
            <c:ext xmlns:c16="http://schemas.microsoft.com/office/drawing/2014/chart" uri="{C3380CC4-5D6E-409C-BE32-E72D297353CC}">
              <c16:uniqueId val="{00000000-0A29-4E3C-B115-20F6D4295357}"/>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1065116</c:v>
                </c:pt>
                <c:pt idx="1">
                  <c:v>459710</c:v>
                </c:pt>
                <c:pt idx="2">
                  <c:v>110894</c:v>
                </c:pt>
                <c:pt idx="3">
                  <c:v>37720</c:v>
                </c:pt>
                <c:pt idx="4">
                  <c:v>11889</c:v>
                </c:pt>
                <c:pt idx="5">
                  <c:v>5538</c:v>
                </c:pt>
                <c:pt idx="6">
                  <c:v>525</c:v>
                </c:pt>
                <c:pt idx="7">
                  <c:v>112</c:v>
                </c:pt>
                <c:pt idx="8">
                  <c:v>18</c:v>
                </c:pt>
              </c:numCache>
            </c:numRef>
          </c:val>
          <c:extLst>
            <c:ext xmlns:c16="http://schemas.microsoft.com/office/drawing/2014/chart" uri="{C3380CC4-5D6E-409C-BE32-E72D297353CC}">
              <c16:uniqueId val="{00000001-0A29-4E3C-B115-20F6D4295357}"/>
            </c:ext>
          </c:extLst>
        </c:ser>
        <c:dLbls>
          <c:showLegendKey val="0"/>
          <c:showVal val="0"/>
          <c:showCatName val="0"/>
          <c:showSerName val="0"/>
          <c:showPercent val="0"/>
          <c:showBubbleSize val="0"/>
        </c:dLbls>
        <c:gapWidth val="150"/>
        <c:axId val="58089472"/>
        <c:axId val="58091392"/>
      </c:barChart>
      <c:catAx>
        <c:axId val="5808947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14041639104"/>
              <c:y val="0.79772321223005027"/>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091392"/>
        <c:crosses val="autoZero"/>
        <c:auto val="1"/>
        <c:lblAlgn val="ctr"/>
        <c:lblOffset val="100"/>
        <c:tickLblSkip val="1"/>
        <c:tickMarkSkip val="1"/>
        <c:noMultiLvlLbl val="0"/>
      </c:catAx>
      <c:valAx>
        <c:axId val="58091392"/>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606889585957E-2"/>
              <c:y val="0.373220288253442"/>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089472"/>
        <c:crosses val="autoZero"/>
        <c:crossBetween val="between"/>
      </c:valAx>
    </c:plotArea>
    <c:legend>
      <c:legendPos val="b"/>
      <c:layout>
        <c:manualLayout>
          <c:xMode val="edge"/>
          <c:yMode val="edge"/>
          <c:x val="0.36683936865615374"/>
          <c:y val="0.89743841230372523"/>
          <c:w val="0.29430054982964526"/>
          <c:h val="8.5470368835474542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6811496692"/>
          <c:y val="3.418778946338001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1056340</c:v>
                </c:pt>
                <c:pt idx="1">
                  <c:v>459350</c:v>
                </c:pt>
                <c:pt idx="2">
                  <c:v>106950</c:v>
                </c:pt>
                <c:pt idx="3">
                  <c:v>36410</c:v>
                </c:pt>
                <c:pt idx="4">
                  <c:v>10940</c:v>
                </c:pt>
                <c:pt idx="5">
                  <c:v>5210</c:v>
                </c:pt>
                <c:pt idx="6">
                  <c:v>611.721</c:v>
                </c:pt>
                <c:pt idx="7">
                  <c:v>145.303</c:v>
                </c:pt>
                <c:pt idx="8">
                  <c:v>24.939</c:v>
                </c:pt>
              </c:numCache>
            </c:numRef>
          </c:val>
          <c:extLst>
            <c:ext xmlns:c16="http://schemas.microsoft.com/office/drawing/2014/chart" uri="{C3380CC4-5D6E-409C-BE32-E72D297353CC}">
              <c16:uniqueId val="{00000000-E78D-4B5E-B638-C2ADC602E10C}"/>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1065116</c:v>
                </c:pt>
                <c:pt idx="1">
                  <c:v>459710</c:v>
                </c:pt>
                <c:pt idx="2">
                  <c:v>110894</c:v>
                </c:pt>
                <c:pt idx="3">
                  <c:v>37720</c:v>
                </c:pt>
                <c:pt idx="4">
                  <c:v>11889</c:v>
                </c:pt>
                <c:pt idx="5">
                  <c:v>5538</c:v>
                </c:pt>
                <c:pt idx="6">
                  <c:v>525</c:v>
                </c:pt>
                <c:pt idx="7">
                  <c:v>112</c:v>
                </c:pt>
                <c:pt idx="8">
                  <c:v>18</c:v>
                </c:pt>
              </c:numCache>
            </c:numRef>
          </c:val>
          <c:extLst>
            <c:ext xmlns:c16="http://schemas.microsoft.com/office/drawing/2014/chart" uri="{C3380CC4-5D6E-409C-BE32-E72D297353CC}">
              <c16:uniqueId val="{00000001-E78D-4B5E-B638-C2ADC602E10C}"/>
            </c:ext>
          </c:extLst>
        </c:ser>
        <c:dLbls>
          <c:showLegendKey val="0"/>
          <c:showVal val="0"/>
          <c:showCatName val="0"/>
          <c:showSerName val="0"/>
          <c:showPercent val="0"/>
          <c:showBubbleSize val="0"/>
        </c:dLbls>
        <c:gapWidth val="150"/>
        <c:axId val="58249600"/>
        <c:axId val="58251520"/>
      </c:barChart>
      <c:catAx>
        <c:axId val="58249600"/>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11059715673"/>
              <c:y val="0.79772332654222422"/>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251520"/>
        <c:crosses val="autoZero"/>
        <c:auto val="1"/>
        <c:lblAlgn val="ctr"/>
        <c:lblOffset val="100"/>
        <c:tickLblSkip val="1"/>
        <c:tickMarkSkip val="1"/>
        <c:noMultiLvlLbl val="0"/>
      </c:catAx>
      <c:valAx>
        <c:axId val="58251520"/>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80868980162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249600"/>
        <c:crosses val="autoZero"/>
        <c:crossBetween val="between"/>
      </c:valAx>
    </c:plotArea>
    <c:legend>
      <c:legendPos val="b"/>
      <c:layout>
        <c:manualLayout>
          <c:xMode val="edge"/>
          <c:yMode val="edge"/>
          <c:x val="0.36683935536095374"/>
          <c:y val="0.89743834468243922"/>
          <c:w val="0.29430050215685649"/>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1056340</c:v>
                </c:pt>
                <c:pt idx="1">
                  <c:v>459350</c:v>
                </c:pt>
                <c:pt idx="2">
                  <c:v>106950</c:v>
                </c:pt>
                <c:pt idx="3">
                  <c:v>36410</c:v>
                </c:pt>
                <c:pt idx="4">
                  <c:v>10940</c:v>
                </c:pt>
                <c:pt idx="5">
                  <c:v>5210</c:v>
                </c:pt>
                <c:pt idx="6">
                  <c:v>611.721</c:v>
                </c:pt>
                <c:pt idx="7">
                  <c:v>145.303</c:v>
                </c:pt>
                <c:pt idx="8">
                  <c:v>24.939</c:v>
                </c:pt>
              </c:numCache>
            </c:numRef>
          </c:val>
          <c:extLst>
            <c:ext xmlns:c16="http://schemas.microsoft.com/office/drawing/2014/chart" uri="{C3380CC4-5D6E-409C-BE32-E72D297353CC}">
              <c16:uniqueId val="{00000000-7E9E-4CF7-AC86-6E7F905C7F9C}"/>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1065116</c:v>
                </c:pt>
                <c:pt idx="1">
                  <c:v>459710</c:v>
                </c:pt>
                <c:pt idx="2">
                  <c:v>110894</c:v>
                </c:pt>
                <c:pt idx="3">
                  <c:v>37720</c:v>
                </c:pt>
                <c:pt idx="4">
                  <c:v>11889</c:v>
                </c:pt>
                <c:pt idx="5">
                  <c:v>5538</c:v>
                </c:pt>
                <c:pt idx="6">
                  <c:v>525</c:v>
                </c:pt>
                <c:pt idx="7">
                  <c:v>112</c:v>
                </c:pt>
                <c:pt idx="8">
                  <c:v>18</c:v>
                </c:pt>
              </c:numCache>
            </c:numRef>
          </c:val>
          <c:extLst>
            <c:ext xmlns:c16="http://schemas.microsoft.com/office/drawing/2014/chart" uri="{C3380CC4-5D6E-409C-BE32-E72D297353CC}">
              <c16:uniqueId val="{00000001-7E9E-4CF7-AC86-6E7F905C7F9C}"/>
            </c:ext>
          </c:extLst>
        </c:ser>
        <c:dLbls>
          <c:showLegendKey val="0"/>
          <c:showVal val="0"/>
          <c:showCatName val="0"/>
          <c:showSerName val="0"/>
          <c:showPercent val="0"/>
          <c:showBubbleSize val="0"/>
        </c:dLbls>
        <c:gapWidth val="150"/>
        <c:axId val="59507456"/>
        <c:axId val="59509376"/>
      </c:barChart>
      <c:catAx>
        <c:axId val="59507456"/>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509376"/>
        <c:crosses val="autoZero"/>
        <c:auto val="1"/>
        <c:lblAlgn val="ctr"/>
        <c:lblOffset val="100"/>
        <c:tickLblSkip val="1"/>
        <c:tickMarkSkip val="1"/>
        <c:noMultiLvlLbl val="0"/>
      </c:catAx>
      <c:valAx>
        <c:axId val="59509376"/>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507456"/>
        <c:crosses val="autoZero"/>
        <c:crossBetween val="between"/>
      </c:valAx>
    </c:plotArea>
    <c:legend>
      <c:legendPos val="b"/>
      <c:layout>
        <c:manualLayout>
          <c:xMode val="edge"/>
          <c:yMode val="edge"/>
          <c:x val="0.36683935438302773"/>
          <c:y val="0.89743834468243922"/>
          <c:w val="0.29430053801414358"/>
          <c:h val="8.5470330194739597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1056340</c:v>
                </c:pt>
                <c:pt idx="1">
                  <c:v>459350</c:v>
                </c:pt>
                <c:pt idx="2">
                  <c:v>106950</c:v>
                </c:pt>
                <c:pt idx="3">
                  <c:v>36410</c:v>
                </c:pt>
                <c:pt idx="4">
                  <c:v>10940</c:v>
                </c:pt>
                <c:pt idx="5">
                  <c:v>5210</c:v>
                </c:pt>
                <c:pt idx="6">
                  <c:v>611.721</c:v>
                </c:pt>
                <c:pt idx="7">
                  <c:v>145.303</c:v>
                </c:pt>
                <c:pt idx="8">
                  <c:v>24.939</c:v>
                </c:pt>
              </c:numCache>
            </c:numRef>
          </c:val>
          <c:extLst>
            <c:ext xmlns:c16="http://schemas.microsoft.com/office/drawing/2014/chart" uri="{C3380CC4-5D6E-409C-BE32-E72D297353CC}">
              <c16:uniqueId val="{00000000-E7F4-483E-B21C-A3E7F3EC576D}"/>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1065116</c:v>
                </c:pt>
                <c:pt idx="1">
                  <c:v>459710</c:v>
                </c:pt>
                <c:pt idx="2">
                  <c:v>110894</c:v>
                </c:pt>
                <c:pt idx="3">
                  <c:v>37720</c:v>
                </c:pt>
                <c:pt idx="4">
                  <c:v>11889</c:v>
                </c:pt>
                <c:pt idx="5">
                  <c:v>5538</c:v>
                </c:pt>
                <c:pt idx="6">
                  <c:v>525</c:v>
                </c:pt>
                <c:pt idx="7">
                  <c:v>112</c:v>
                </c:pt>
                <c:pt idx="8">
                  <c:v>18</c:v>
                </c:pt>
              </c:numCache>
            </c:numRef>
          </c:val>
          <c:extLst>
            <c:ext xmlns:c16="http://schemas.microsoft.com/office/drawing/2014/chart" uri="{C3380CC4-5D6E-409C-BE32-E72D297353CC}">
              <c16:uniqueId val="{00000001-E7F4-483E-B21C-A3E7F3EC576D}"/>
            </c:ext>
          </c:extLst>
        </c:ser>
        <c:dLbls>
          <c:showLegendKey val="0"/>
          <c:showVal val="0"/>
          <c:showCatName val="0"/>
          <c:showSerName val="0"/>
          <c:showPercent val="0"/>
          <c:showBubbleSize val="0"/>
        </c:dLbls>
        <c:gapWidth val="150"/>
        <c:axId val="57939072"/>
        <c:axId val="57940992"/>
      </c:barChart>
      <c:catAx>
        <c:axId val="5793907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940992"/>
        <c:crosses val="autoZero"/>
        <c:auto val="1"/>
        <c:lblAlgn val="ctr"/>
        <c:lblOffset val="100"/>
        <c:tickLblSkip val="1"/>
        <c:tickMarkSkip val="1"/>
        <c:noMultiLvlLbl val="0"/>
      </c:catAx>
      <c:valAx>
        <c:axId val="57940992"/>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939072"/>
        <c:crosses val="autoZero"/>
        <c:crossBetween val="between"/>
      </c:valAx>
    </c:plotArea>
    <c:legend>
      <c:legendPos val="b"/>
      <c:layout>
        <c:manualLayout>
          <c:xMode val="edge"/>
          <c:yMode val="edge"/>
          <c:x val="0.36683935438302773"/>
          <c:y val="0.89743834468243922"/>
          <c:w val="0.29430053801414358"/>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1056340</c:v>
                </c:pt>
                <c:pt idx="1">
                  <c:v>459350</c:v>
                </c:pt>
                <c:pt idx="2">
                  <c:v>106950</c:v>
                </c:pt>
                <c:pt idx="3">
                  <c:v>36410</c:v>
                </c:pt>
                <c:pt idx="4">
                  <c:v>10940</c:v>
                </c:pt>
                <c:pt idx="5">
                  <c:v>5210</c:v>
                </c:pt>
                <c:pt idx="6">
                  <c:v>611.721</c:v>
                </c:pt>
                <c:pt idx="7">
                  <c:v>145.303</c:v>
                </c:pt>
                <c:pt idx="8">
                  <c:v>24.939</c:v>
                </c:pt>
              </c:numCache>
            </c:numRef>
          </c:val>
          <c:extLst>
            <c:ext xmlns:c16="http://schemas.microsoft.com/office/drawing/2014/chart" uri="{C3380CC4-5D6E-409C-BE32-E72D297353CC}">
              <c16:uniqueId val="{00000000-5F0B-4D22-9FA5-A41BD843EC10}"/>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1065116</c:v>
                </c:pt>
                <c:pt idx="1">
                  <c:v>459710</c:v>
                </c:pt>
                <c:pt idx="2">
                  <c:v>110894</c:v>
                </c:pt>
                <c:pt idx="3">
                  <c:v>37720</c:v>
                </c:pt>
                <c:pt idx="4">
                  <c:v>11889</c:v>
                </c:pt>
                <c:pt idx="5">
                  <c:v>5538</c:v>
                </c:pt>
                <c:pt idx="6">
                  <c:v>525</c:v>
                </c:pt>
                <c:pt idx="7">
                  <c:v>112</c:v>
                </c:pt>
                <c:pt idx="8">
                  <c:v>18</c:v>
                </c:pt>
              </c:numCache>
            </c:numRef>
          </c:val>
          <c:extLst>
            <c:ext xmlns:c16="http://schemas.microsoft.com/office/drawing/2014/chart" uri="{C3380CC4-5D6E-409C-BE32-E72D297353CC}">
              <c16:uniqueId val="{00000001-5F0B-4D22-9FA5-A41BD843EC10}"/>
            </c:ext>
          </c:extLst>
        </c:ser>
        <c:dLbls>
          <c:showLegendKey val="0"/>
          <c:showVal val="0"/>
          <c:showCatName val="0"/>
          <c:showSerName val="0"/>
          <c:showPercent val="0"/>
          <c:showBubbleSize val="0"/>
        </c:dLbls>
        <c:gapWidth val="150"/>
        <c:axId val="59918208"/>
        <c:axId val="59920384"/>
      </c:barChart>
      <c:catAx>
        <c:axId val="59918208"/>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920384"/>
        <c:crosses val="autoZero"/>
        <c:auto val="1"/>
        <c:lblAlgn val="ctr"/>
        <c:lblOffset val="100"/>
        <c:tickLblSkip val="1"/>
        <c:tickMarkSkip val="1"/>
        <c:noMultiLvlLbl val="0"/>
      </c:catAx>
      <c:valAx>
        <c:axId val="59920384"/>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918208"/>
        <c:crosses val="autoZero"/>
        <c:crossBetween val="between"/>
      </c:valAx>
    </c:plotArea>
    <c:legend>
      <c:legendPos val="b"/>
      <c:layout>
        <c:manualLayout>
          <c:xMode val="edge"/>
          <c:yMode val="edge"/>
          <c:x val="0.36683935438302773"/>
          <c:y val="0.89743834468243922"/>
          <c:w val="0.29430053801414358"/>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1056340</c:v>
                </c:pt>
                <c:pt idx="1">
                  <c:v>459350</c:v>
                </c:pt>
                <c:pt idx="2">
                  <c:v>106950</c:v>
                </c:pt>
                <c:pt idx="3">
                  <c:v>36410</c:v>
                </c:pt>
                <c:pt idx="4">
                  <c:v>10940</c:v>
                </c:pt>
                <c:pt idx="5">
                  <c:v>5210</c:v>
                </c:pt>
                <c:pt idx="6">
                  <c:v>611.721</c:v>
                </c:pt>
                <c:pt idx="7">
                  <c:v>145.303</c:v>
                </c:pt>
                <c:pt idx="8">
                  <c:v>24.939</c:v>
                </c:pt>
              </c:numCache>
            </c:numRef>
          </c:val>
          <c:extLst>
            <c:ext xmlns:c16="http://schemas.microsoft.com/office/drawing/2014/chart" uri="{C3380CC4-5D6E-409C-BE32-E72D297353CC}">
              <c16:uniqueId val="{00000000-13F1-4824-BC15-9586C7A137A0}"/>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1065116</c:v>
                </c:pt>
                <c:pt idx="1">
                  <c:v>459710</c:v>
                </c:pt>
                <c:pt idx="2">
                  <c:v>110894</c:v>
                </c:pt>
                <c:pt idx="3">
                  <c:v>37720</c:v>
                </c:pt>
                <c:pt idx="4">
                  <c:v>11889</c:v>
                </c:pt>
                <c:pt idx="5">
                  <c:v>5538</c:v>
                </c:pt>
                <c:pt idx="6">
                  <c:v>525</c:v>
                </c:pt>
                <c:pt idx="7">
                  <c:v>112</c:v>
                </c:pt>
                <c:pt idx="8">
                  <c:v>18</c:v>
                </c:pt>
              </c:numCache>
            </c:numRef>
          </c:val>
          <c:extLst>
            <c:ext xmlns:c16="http://schemas.microsoft.com/office/drawing/2014/chart" uri="{C3380CC4-5D6E-409C-BE32-E72D297353CC}">
              <c16:uniqueId val="{00000001-13F1-4824-BC15-9586C7A137A0}"/>
            </c:ext>
          </c:extLst>
        </c:ser>
        <c:dLbls>
          <c:showLegendKey val="0"/>
          <c:showVal val="0"/>
          <c:showCatName val="0"/>
          <c:showSerName val="0"/>
          <c:showPercent val="0"/>
          <c:showBubbleSize val="0"/>
        </c:dLbls>
        <c:gapWidth val="150"/>
        <c:axId val="61602048"/>
        <c:axId val="61481344"/>
      </c:barChart>
      <c:catAx>
        <c:axId val="61602048"/>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61481344"/>
        <c:crosses val="autoZero"/>
        <c:auto val="1"/>
        <c:lblAlgn val="ctr"/>
        <c:lblOffset val="100"/>
        <c:tickLblSkip val="1"/>
        <c:tickMarkSkip val="1"/>
        <c:noMultiLvlLbl val="0"/>
      </c:catAx>
      <c:valAx>
        <c:axId val="61481344"/>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61602048"/>
        <c:crosses val="autoZero"/>
        <c:crossBetween val="between"/>
      </c:valAx>
    </c:plotArea>
    <c:legend>
      <c:legendPos val="b"/>
      <c:layout>
        <c:manualLayout>
          <c:xMode val="edge"/>
          <c:yMode val="edge"/>
          <c:x val="0.36683935438302773"/>
          <c:y val="0.89743834468243922"/>
          <c:w val="0.29430053801414358"/>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121833608004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NAVAIR!$D$28:$D$35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1056340</c:v>
                </c:pt>
                <c:pt idx="1">
                  <c:v>459350</c:v>
                </c:pt>
                <c:pt idx="2">
                  <c:v>106950</c:v>
                </c:pt>
                <c:pt idx="3">
                  <c:v>36410</c:v>
                </c:pt>
                <c:pt idx="4">
                  <c:v>10940</c:v>
                </c:pt>
                <c:pt idx="5">
                  <c:v>5210</c:v>
                </c:pt>
                <c:pt idx="6">
                  <c:v>611.721</c:v>
                </c:pt>
                <c:pt idx="7">
                  <c:v>145.303</c:v>
                </c:pt>
                <c:pt idx="8">
                  <c:v>24.939</c:v>
                </c:pt>
              </c:numCache>
            </c:numRef>
          </c:val>
          <c:extLst>
            <c:ext xmlns:c16="http://schemas.microsoft.com/office/drawing/2014/chart" uri="{C3380CC4-5D6E-409C-BE32-E72D297353CC}">
              <c16:uniqueId val="{00000000-F17D-4B89-8B19-A60DB0CBB1B2}"/>
            </c:ext>
          </c:extLst>
        </c:ser>
        <c:ser>
          <c:idx val="1"/>
          <c:order val="1"/>
          <c:tx>
            <c:v>Actual Particle Count</c:v>
          </c:tx>
          <c:spPr>
            <a:solidFill>
              <a:schemeClr val="bg1">
                <a:lumMod val="65000"/>
              </a:schemeClr>
            </a:solidFill>
            <a:ln>
              <a:solidFill>
                <a:schemeClr val="tx1"/>
              </a:solidFill>
            </a:ln>
          </c:spPr>
          <c:invertIfNegative val="0"/>
          <c:cat>
            <c:strRef>
              <c:f>NAVAIR!$D$28:$D$35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1065116</c:v>
                </c:pt>
                <c:pt idx="1">
                  <c:v>459710</c:v>
                </c:pt>
                <c:pt idx="2">
                  <c:v>110894</c:v>
                </c:pt>
                <c:pt idx="3">
                  <c:v>37720</c:v>
                </c:pt>
                <c:pt idx="4">
                  <c:v>11889</c:v>
                </c:pt>
                <c:pt idx="5">
                  <c:v>5538</c:v>
                </c:pt>
                <c:pt idx="6">
                  <c:v>525</c:v>
                </c:pt>
                <c:pt idx="7">
                  <c:v>112</c:v>
                </c:pt>
                <c:pt idx="8">
                  <c:v>18</c:v>
                </c:pt>
              </c:numCache>
            </c:numRef>
          </c:val>
          <c:extLst>
            <c:ext xmlns:c16="http://schemas.microsoft.com/office/drawing/2014/chart" uri="{C3380CC4-5D6E-409C-BE32-E72D297353CC}">
              <c16:uniqueId val="{00000001-F17D-4B89-8B19-A60DB0CBB1B2}"/>
            </c:ext>
          </c:extLst>
        </c:ser>
        <c:dLbls>
          <c:showLegendKey val="0"/>
          <c:showVal val="0"/>
          <c:showCatName val="0"/>
          <c:showSerName val="0"/>
          <c:showPercent val="0"/>
          <c:showBubbleSize val="0"/>
        </c:dLbls>
        <c:gapWidth val="150"/>
        <c:axId val="57404032"/>
        <c:axId val="57541376"/>
      </c:barChart>
      <c:catAx>
        <c:axId val="5740403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0555453834"/>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541376"/>
        <c:crosses val="autoZero"/>
        <c:auto val="1"/>
        <c:lblAlgn val="ctr"/>
        <c:lblOffset val="100"/>
        <c:tickLblSkip val="1"/>
        <c:tickMarkSkip val="1"/>
        <c:noMultiLvlLbl val="0"/>
      </c:catAx>
      <c:valAx>
        <c:axId val="57541376"/>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8932429957"/>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404032"/>
        <c:crosses val="autoZero"/>
        <c:crossBetween val="between"/>
      </c:valAx>
    </c:plotArea>
    <c:legend>
      <c:legendPos val="b"/>
      <c:layout>
        <c:manualLayout>
          <c:xMode val="edge"/>
          <c:yMode val="edge"/>
          <c:x val="0.36683935438302773"/>
          <c:y val="0.89743832020997372"/>
          <c:w val="0.29430053801414358"/>
          <c:h val="8.547054873954707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000-000000000000}">
  <sheetPr codeName="Chart5"/>
  <sheetViews>
    <sheetView workbookViewId="0"/>
  </sheetViews>
  <sheetProtection content="1" objects="1"/>
  <pageMargins left="0.75" right="0.75" top="1" bottom="1" header="0.5" footer="0.5"/>
  <headerFooter alignWithMargins="0"/>
  <drawing r:id="rId1"/>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100-000000000000}">
  <sheetPr codeName="Chart6"/>
  <sheetViews>
    <sheetView workbookViewId="0"/>
  </sheetViews>
  <pageMargins left="0.75" right="0.75" top="1" bottom="1" header="0.5" footer="0.5"/>
  <headerFooter alignWithMargins="0"/>
  <drawing r:id="rId1"/>
</chartsheet>
</file>

<file path=xl/ctrlProps/ctrlProp1.xml><?xml version="1.0" encoding="utf-8"?>
<formControlPr xmlns="http://schemas.microsoft.com/office/spreadsheetml/2009/9/main" objectType="CheckBox" fmlaLink="$A$7" noThreeD="1"/>
</file>

<file path=xl/ctrlProps/ctrlProp2.xml><?xml version="1.0" encoding="utf-8"?>
<formControlPr xmlns="http://schemas.microsoft.com/office/spreadsheetml/2009/9/main" objectType="CheckBox" fmlaLink="$A$20" lockText="1" noThreeD="1"/>
</file>

<file path=xl/ctrlProps/ctrlProp3.xml><?xml version="1.0" encoding="utf-8"?>
<formControlPr xmlns="http://schemas.microsoft.com/office/spreadsheetml/2009/9/main" objectType="CheckBox" fmlaLink="$A$21" lockText="1" noThreeD="1"/>
</file>

<file path=xl/ctrlProps/ctrlProp4.xml><?xml version="1.0" encoding="utf-8"?>
<formControlPr xmlns="http://schemas.microsoft.com/office/spreadsheetml/2009/9/main" objectType="CheckBox" fmlaLink="$A$22" lockText="1" noThreeD="1"/>
</file>

<file path=xl/ctrlProps/ctrlProp5.xml><?xml version="1.0" encoding="utf-8"?>
<formControlPr xmlns="http://schemas.microsoft.com/office/spreadsheetml/2009/9/main" objectType="CheckBox" fmlaLink="$A$23" lockText="1" noThreeD="1"/>
</file>

<file path=xl/ctrlProps/ctrlProp6.xml><?xml version="1.0" encoding="utf-8"?>
<formControlPr xmlns="http://schemas.microsoft.com/office/spreadsheetml/2009/9/main" objectType="CheckBox" fmlaLink="$A$24" lockText="1" noThreeD="1"/>
</file>

<file path=xl/ctrlProps/ctrlProp7.xml><?xml version="1.0" encoding="utf-8"?>
<formControlPr xmlns="http://schemas.microsoft.com/office/spreadsheetml/2009/9/main" objectType="CheckBox" fmlaLink="$A$25" lockText="1" noThreeD="1"/>
</file>

<file path=xl/ctrlProps/ctrlProp8.xml><?xml version="1.0" encoding="utf-8"?>
<formControlPr xmlns="http://schemas.microsoft.com/office/spreadsheetml/2009/9/main" objectType="CheckBox" fmlaLink="$A$27" lockText="1" noThreeD="1"/>
</file>

<file path=xl/ctrlProps/ctrlProp9.xml><?xml version="1.0" encoding="utf-8"?>
<formControlPr xmlns="http://schemas.microsoft.com/office/spreadsheetml/2009/9/main" objectType="CheckBox" fmlaLink="$A$28" lockText="1" noThreeD="1"/>
</file>

<file path=xl/ctrlProps/ctrlProp10.xml><?xml version="1.0" encoding="utf-8"?>
<formControlPr xmlns="http://schemas.microsoft.com/office/spreadsheetml/2009/9/main" objectType="CheckBox" fmlaLink="$A$29" lockText="1" noThreeD="1"/>
</file>

<file path=xl/ctrlProps/ctrlProp11.xml><?xml version="1.0" encoding="utf-8"?>
<formControlPr xmlns="http://schemas.microsoft.com/office/spreadsheetml/2009/9/main" objectType="CheckBox" fmlaLink="$A$8" lockText="1" noThreeD="1"/>
</file>

<file path=xl/ctrlProps/ctrlProp12.xml><?xml version="1.0" encoding="utf-8"?>
<formControlPr xmlns="http://schemas.microsoft.com/office/spreadsheetml/2009/9/main" objectType="CheckBox" fmlaLink="$A$9" lockText="1" noThreeD="1"/>
</file>

<file path=xl/ctrlProps/ctrlProp13.xml><?xml version="1.0" encoding="utf-8"?>
<formControlPr xmlns="http://schemas.microsoft.com/office/spreadsheetml/2009/9/main" objectType="CheckBox" fmlaLink="$A$12" lockText="1" noThreeD="1"/>
</file>

<file path=xl/ctrlProps/ctrlProp14.xml><?xml version="1.0" encoding="utf-8"?>
<formControlPr xmlns="http://schemas.microsoft.com/office/spreadsheetml/2009/9/main" objectType="CheckBox" fmlaLink="$A$34" lockText="1" noThreeD="1"/>
</file>

<file path=xl/ctrlProps/ctrlProp15.xml><?xml version="1.0" encoding="utf-8"?>
<formControlPr xmlns="http://schemas.microsoft.com/office/spreadsheetml/2009/9/main" objectType="CheckBox" fmlaLink="$A$38" lockText="1" noThreeD="1"/>
</file>

<file path=xl/ctrlProps/ctrlProp16.xml><?xml version="1.0" encoding="utf-8"?>
<formControlPr xmlns="http://schemas.microsoft.com/office/spreadsheetml/2009/9/main" objectType="CheckBox" fmlaLink="$A$40" lockText="1" noThreeD="1"/>
</file>

<file path=xl/ctrlProps/ctrlProp17.xml><?xml version="1.0" encoding="utf-8"?>
<formControlPr xmlns="http://schemas.microsoft.com/office/spreadsheetml/2009/9/main" objectType="CheckBox" fmlaLink="$A$50" lockText="1" noThreeD="1"/>
</file>

<file path=xl/ctrlProps/ctrlProp18.xml><?xml version="1.0" encoding="utf-8"?>
<formControlPr xmlns="http://schemas.microsoft.com/office/spreadsheetml/2009/9/main" objectType="CheckBox" fmlaLink="$A$53" lockText="1" noThreeD="1"/>
</file>

<file path=xl/ctrlProps/ctrlProp19.xml><?xml version="1.0" encoding="utf-8"?>
<formControlPr xmlns="http://schemas.microsoft.com/office/spreadsheetml/2009/9/main" objectType="CheckBox" fmlaLink="$A$71" lockText="1" noThreeD="1"/>
</file>

<file path=xl/ctrlProps/ctrlProp20.xml><?xml version="1.0" encoding="utf-8"?>
<formControlPr xmlns="http://schemas.microsoft.com/office/spreadsheetml/2009/9/main" objectType="CheckBox" fmlaLink="$A$37" lockText="1" noThreeD="1"/>
</file>

<file path=xl/ctrlProps/ctrlProp21.xml><?xml version="1.0" encoding="utf-8"?>
<formControlPr xmlns="http://schemas.microsoft.com/office/spreadsheetml/2009/9/main" objectType="CheckBox" fmlaLink="$A$39" lockText="1" noThreeD="1"/>
</file>

<file path=xl/ctrlProps/ctrlProp22.xml><?xml version="1.0" encoding="utf-8"?>
<formControlPr xmlns="http://schemas.microsoft.com/office/spreadsheetml/2009/9/main" objectType="CheckBox" fmlaLink="$A$41" lockText="1" noThreeD="1"/>
</file>

<file path=xl/ctrlProps/ctrlProp23.xml><?xml version="1.0" encoding="utf-8"?>
<formControlPr xmlns="http://schemas.microsoft.com/office/spreadsheetml/2009/9/main" objectType="CheckBox" fmlaLink="$A$70" lockText="1" noThreeD="1"/>
</file>

<file path=xl/ctrlProps/ctrlProp24.xml><?xml version="1.0" encoding="utf-8"?>
<formControlPr xmlns="http://schemas.microsoft.com/office/spreadsheetml/2009/9/main" objectType="CheckBox" fmlaLink="$A$33" lockText="1" noThreeD="1"/>
</file>

<file path=xl/ctrlProps/ctrlProp25.xml><?xml version="1.0" encoding="utf-8"?>
<formControlPr xmlns="http://schemas.microsoft.com/office/spreadsheetml/2009/9/main" objectType="CheckBox" fmlaLink="$A$62" noThreeD="1"/>
</file>

<file path=xl/ctrlProps/ctrlProp26.xml><?xml version="1.0" encoding="utf-8"?>
<formControlPr xmlns="http://schemas.microsoft.com/office/spreadsheetml/2009/9/main" objectType="CheckBox" fmlaLink="$A$55" lockText="1" noThreeD="1"/>
</file>

<file path=xl/ctrlProps/ctrlProp27.xml><?xml version="1.0" encoding="utf-8"?>
<formControlPr xmlns="http://schemas.microsoft.com/office/spreadsheetml/2009/9/main" objectType="CheckBox" fmlaLink="$A$59" lockText="1" noThreeD="1"/>
</file>

<file path=xl/ctrlProps/ctrlProp28.xml><?xml version="1.0" encoding="utf-8"?>
<formControlPr xmlns="http://schemas.microsoft.com/office/spreadsheetml/2009/9/main" objectType="CheckBox" fmlaLink="$A$79" noThreeD="1"/>
</file>

<file path=xl/ctrlProps/ctrlProp29.xml><?xml version="1.0" encoding="utf-8"?>
<formControlPr xmlns="http://schemas.microsoft.com/office/spreadsheetml/2009/9/main" objectType="CheckBox" fmlaLink="$A$76" lockText="1" noThreeD="1"/>
</file>

<file path=xl/ctrlProps/ctrlProp30.xml><?xml version="1.0" encoding="utf-8"?>
<formControlPr xmlns="http://schemas.microsoft.com/office/spreadsheetml/2009/9/main" objectType="CheckBox" fmlaLink="#REF!" noThreeD="1"/>
</file>

<file path=xl/ctrlProps/ctrlProp31.xml><?xml version="1.0" encoding="utf-8"?>
<formControlPr xmlns="http://schemas.microsoft.com/office/spreadsheetml/2009/9/main" objectType="CheckBox" fmlaLink="$A$78" noThreeD="1"/>
</file>

<file path=xl/ctrlProps/ctrlProp32.xml><?xml version="1.0" encoding="utf-8"?>
<formControlPr xmlns="http://schemas.microsoft.com/office/spreadsheetml/2009/9/main" objectType="CheckBox" fmlaLink="$A$77" noThreeD="1"/>
</file>

<file path=xl/ctrlProps/ctrlProp33.xml><?xml version="1.0" encoding="utf-8"?>
<formControlPr xmlns="http://schemas.microsoft.com/office/spreadsheetml/2009/9/main" objectType="CheckBox" fmlaLink="$A$94" lockText="1" noThreeD="1"/>
</file>

<file path=xl/ctrlProps/ctrlProp34.xml><?xml version="1.0" encoding="utf-8"?>
<formControlPr xmlns="http://schemas.microsoft.com/office/spreadsheetml/2009/9/main" objectType="CheckBox" fmlaLink="$A$95" lockText="1" noThreeD="1"/>
</file>

<file path=xl/ctrlProps/ctrlProp35.xml><?xml version="1.0" encoding="utf-8"?>
<formControlPr xmlns="http://schemas.microsoft.com/office/spreadsheetml/2009/9/main" objectType="CheckBox" fmlaLink="#REF!" lockText="1" noThreeD="1"/>
</file>

<file path=xl/ctrlProps/ctrlProp36.xml><?xml version="1.0" encoding="utf-8"?>
<formControlPr xmlns="http://schemas.microsoft.com/office/spreadsheetml/2009/9/main" objectType="CheckBox" fmlaLink="$A$97" lockText="1" noThreeD="1"/>
</file>

<file path=xl/ctrlProps/ctrlProp37.xml><?xml version="1.0" encoding="utf-8"?>
<formControlPr xmlns="http://schemas.microsoft.com/office/spreadsheetml/2009/9/main" objectType="CheckBox" fmlaLink="$A$96" lockText="1" noThreeD="1"/>
</file>

<file path=xl/ctrlProps/ctrlProp38.xml><?xml version="1.0" encoding="utf-8"?>
<formControlPr xmlns="http://schemas.microsoft.com/office/spreadsheetml/2009/9/main" objectType="CheckBox" fmlaLink="#REF!" lockText="1" noThreeD="1"/>
</file>

<file path=xl/ctrlProps/ctrlProp39.xml><?xml version="1.0" encoding="utf-8"?>
<formControlPr xmlns="http://schemas.microsoft.com/office/spreadsheetml/2009/9/main" objectType="CheckBox" fmlaLink="$A$93" lockText="1" noThreeD="1"/>
</file>

<file path=xl/ctrlProps/ctrlProp40.xml><?xml version="1.0" encoding="utf-8"?>
<formControlPr xmlns="http://schemas.microsoft.com/office/spreadsheetml/2009/9/main" objectType="CheckBox" fmlaLink="$A113" lockText="1" noThreeD="1"/>
</file>

<file path=xl/ctrlProps/ctrlProp41.xml><?xml version="1.0" encoding="utf-8"?>
<formControlPr xmlns="http://schemas.microsoft.com/office/spreadsheetml/2009/9/main" objectType="CheckBox" fmlaLink="$A$115" lockText="1" noThreeD="1"/>
</file>

<file path=xl/ctrlProps/ctrlProp42.xml><?xml version="1.0" encoding="utf-8"?>
<formControlPr xmlns="http://schemas.microsoft.com/office/spreadsheetml/2009/9/main" objectType="CheckBox" fmlaLink="$A$118" lockText="1" noThreeD="1"/>
</file>

<file path=xl/ctrlProps/ctrlProp43.xml><?xml version="1.0" encoding="utf-8"?>
<formControlPr xmlns="http://schemas.microsoft.com/office/spreadsheetml/2009/9/main" objectType="CheckBox" fmlaLink="$A$119" lockText="1" noThreeD="1"/>
</file>

<file path=xl/ctrlProps/ctrlProp44.xml><?xml version="1.0" encoding="utf-8"?>
<formControlPr xmlns="http://schemas.microsoft.com/office/spreadsheetml/2009/9/main" objectType="CheckBox" fmlaLink="$A$120" lockText="1" noThreeD="1"/>
</file>

<file path=xl/ctrlProps/ctrlProp45.xml><?xml version="1.0" encoding="utf-8"?>
<formControlPr xmlns="http://schemas.microsoft.com/office/spreadsheetml/2009/9/main" objectType="CheckBox" fmlaLink="$A$121" lockText="1" noThreeD="1"/>
</file>

<file path=xl/ctrlProps/ctrlProp46.xml><?xml version="1.0" encoding="utf-8"?>
<formControlPr xmlns="http://schemas.microsoft.com/office/spreadsheetml/2009/9/main" objectType="CheckBox" fmlaLink="$A$122" lockText="1" noThreeD="1"/>
</file>

<file path=xl/ctrlProps/ctrlProp47.xml><?xml version="1.0" encoding="utf-8"?>
<formControlPr xmlns="http://schemas.microsoft.com/office/spreadsheetml/2009/9/main" objectType="CheckBox" fmlaLink="$A$123" lockText="1" noThreeD="1"/>
</file>

<file path=xl/ctrlProps/ctrlProp48.xml><?xml version="1.0" encoding="utf-8"?>
<formControlPr xmlns="http://schemas.microsoft.com/office/spreadsheetml/2009/9/main" objectType="CheckBox" fmlaLink="#REF!" lockText="1" noThreeD="1"/>
</file>

<file path=xl/ctrlProps/ctrlProp49.xml><?xml version="1.0" encoding="utf-8"?>
<formControlPr xmlns="http://schemas.microsoft.com/office/spreadsheetml/2009/9/main" objectType="CheckBox" fmlaLink="$A$124" lockText="1" noThreeD="1"/>
</file>

<file path=xl/ctrlProps/ctrlProp50.xml><?xml version="1.0" encoding="utf-8"?>
<formControlPr xmlns="http://schemas.microsoft.com/office/spreadsheetml/2009/9/main" objectType="CheckBox" fmlaLink="$A$130" lockText="1" noThreeD="1"/>
</file>

<file path=xl/ctrlProps/ctrlProp51.xml><?xml version="1.0" encoding="utf-8"?>
<formControlPr xmlns="http://schemas.microsoft.com/office/spreadsheetml/2009/9/main" objectType="CheckBox" fmlaLink="$A$132" lockText="1" noThreeD="1"/>
</file>

<file path=xl/ctrlProps/ctrlProp52.xml><?xml version="1.0" encoding="utf-8"?>
<formControlPr xmlns="http://schemas.microsoft.com/office/spreadsheetml/2009/9/main" objectType="CheckBox" fmlaLink="$A134" lockText="1" noThreeD="1"/>
</file>

<file path=xl/ctrlProps/ctrlProp53.xml><?xml version="1.0" encoding="utf-8"?>
<formControlPr xmlns="http://schemas.microsoft.com/office/spreadsheetml/2009/9/main" objectType="CheckBox" fmlaLink="$A$152" lockText="1" noThreeD="1"/>
</file>

<file path=xl/ctrlProps/ctrlProp54.xml><?xml version="1.0" encoding="utf-8"?>
<formControlPr xmlns="http://schemas.microsoft.com/office/spreadsheetml/2009/9/main" objectType="CheckBox" fmlaLink="$A$112" lockText="1" noThreeD="1"/>
</file>

<file path=xl/ctrlProps/ctrlProp55.xml><?xml version="1.0" encoding="utf-8"?>
<formControlPr xmlns="http://schemas.microsoft.com/office/spreadsheetml/2009/9/main" objectType="CheckBox" fmlaLink="$A$135" lockText="1" noThreeD="1"/>
</file>

<file path=xl/ctrlProps/ctrlProp56.xml><?xml version="1.0" encoding="utf-8"?>
<formControlPr xmlns="http://schemas.microsoft.com/office/spreadsheetml/2009/9/main" objectType="CheckBox" fmlaLink="$A$147" lockText="1" noThreeD="1"/>
</file>

<file path=xl/ctrlProps/ctrlProp57.xml><?xml version="1.0" encoding="utf-8"?>
<formControlPr xmlns="http://schemas.microsoft.com/office/spreadsheetml/2009/9/main" objectType="CheckBox" fmlaLink="$A$148" lockText="1" noThreeD="1"/>
</file>

<file path=xl/ctrlProps/ctrlProp58.xml><?xml version="1.0" encoding="utf-8"?>
<formControlPr xmlns="http://schemas.microsoft.com/office/spreadsheetml/2009/9/main" objectType="CheckBox" fmlaLink="$A$156" lockText="1" noThreeD="1"/>
</file>

<file path=xl/ctrlProps/ctrlProp59.xml><?xml version="1.0" encoding="utf-8"?>
<formControlPr xmlns="http://schemas.microsoft.com/office/spreadsheetml/2009/9/main" objectType="CheckBox" fmlaLink="$A158" lockText="1" noThreeD="1"/>
</file>

<file path=xl/ctrlProps/ctrlProp60.xml><?xml version="1.0" encoding="utf-8"?>
<formControlPr xmlns="http://schemas.microsoft.com/office/spreadsheetml/2009/9/main" objectType="CheckBox" fmlaLink="$A159" lockText="1" noThreeD="1"/>
</file>

<file path=xl/ctrlProps/ctrlProp61.xml><?xml version="1.0" encoding="utf-8"?>
<formControlPr xmlns="http://schemas.microsoft.com/office/spreadsheetml/2009/9/main" objectType="CheckBox" fmlaLink="$A162" lockText="1" noThreeD="1"/>
</file>

<file path=xl/ctrlProps/ctrlProp62.xml><?xml version="1.0" encoding="utf-8"?>
<formControlPr xmlns="http://schemas.microsoft.com/office/spreadsheetml/2009/9/main" objectType="CheckBox" fmlaLink="$A$163" lockText="1" noThreeD="1"/>
</file>

<file path=xl/ctrlProps/ctrlProp63.xml><?xml version="1.0" encoding="utf-8"?>
<formControlPr xmlns="http://schemas.microsoft.com/office/spreadsheetml/2009/9/main" objectType="CheckBox" checked="Checked" fmlaLink="$A168" lockText="1" noThreeD="1"/>
</file>

<file path=xl/ctrlProps/ctrlProp64.xml><?xml version="1.0" encoding="utf-8"?>
<formControlPr xmlns="http://schemas.microsoft.com/office/spreadsheetml/2009/9/main" objectType="CheckBox" checked="Checked" fmlaLink="$A169" lockText="1" noThreeD="1"/>
</file>

<file path=xl/ctrlProps/ctrlProp65.xml><?xml version="1.0" encoding="utf-8"?>
<formControlPr xmlns="http://schemas.microsoft.com/office/spreadsheetml/2009/9/main" objectType="CheckBox" checked="Checked" fmlaLink="$A170" lockText="1" noThreeD="1"/>
</file>

<file path=xl/ctrlProps/ctrlProp66.xml><?xml version="1.0" encoding="utf-8"?>
<formControlPr xmlns="http://schemas.microsoft.com/office/spreadsheetml/2009/9/main" objectType="CheckBox" checked="Checked" fmlaLink="$A171" lockText="1" noThreeD="1"/>
</file>

<file path=xl/ctrlProps/ctrlProp67.xml><?xml version="1.0" encoding="utf-8"?>
<formControlPr xmlns="http://schemas.microsoft.com/office/spreadsheetml/2009/9/main" objectType="CheckBox" checked="Checked" fmlaLink="$A172" lockText="1" noThreeD="1"/>
</file>

<file path=xl/ctrlProps/ctrlProp68.xml><?xml version="1.0" encoding="utf-8"?>
<formControlPr xmlns="http://schemas.microsoft.com/office/spreadsheetml/2009/9/main" objectType="CheckBox" checked="Checked" fmlaLink="A$173" lockText="1" noThreeD="1"/>
</file>

<file path=xl/ctrlProps/ctrlProp69.xml><?xml version="1.0" encoding="utf-8"?>
<formControlPr xmlns="http://schemas.microsoft.com/office/spreadsheetml/2009/9/main" objectType="CheckBox" checked="Checked" fmlaLink="$A$174" lockText="1" noThreeD="1"/>
</file>

<file path=xl/ctrlProps/ctrlProp70.xml><?xml version="1.0" encoding="utf-8"?>
<formControlPr xmlns="http://schemas.microsoft.com/office/spreadsheetml/2009/9/main" objectType="CheckBox" checked="Checked" fmlaLink="A$175" lockText="1" noThreeD="1"/>
</file>

<file path=xl/ctrlProps/ctrlProp71.xml><?xml version="1.0" encoding="utf-8"?>
<formControlPr xmlns="http://schemas.microsoft.com/office/spreadsheetml/2009/9/main" objectType="CheckBox" fmlaLink="$A$141" lockText="1" noThreeD="1"/>
</file>

<file path=xl/ctrlProps/ctrlProp72.xml><?xml version="1.0" encoding="utf-8"?>
<formControlPr xmlns="http://schemas.microsoft.com/office/spreadsheetml/2009/9/main" objectType="CheckBox" fmlaLink="$A$142" lockText="1" noThreeD="1"/>
</file>

<file path=xl/ctrlProps/ctrlProp73.xml><?xml version="1.0" encoding="utf-8"?>
<formControlPr xmlns="http://schemas.microsoft.com/office/spreadsheetml/2009/9/main" objectType="CheckBox" fmlaLink="#REF!" lockText="1" noThreeD="1"/>
</file>

<file path=xl/ctrlProps/ctrlProp74.xml><?xml version="1.0" encoding="utf-8"?>
<formControlPr xmlns="http://schemas.microsoft.com/office/spreadsheetml/2009/9/main" objectType="CheckBox" fmlaLink="$A$145" lockText="1" noThreeD="1"/>
</file>

<file path=xl/ctrlProps/ctrlProp75.xml><?xml version="1.0" encoding="utf-8"?>
<formControlPr xmlns="http://schemas.microsoft.com/office/spreadsheetml/2009/9/main" objectType="CheckBox" fmlaLink="$A$102" noThreeD="1"/>
</file>

<file path=xl/ctrlProps/ctrlProp76.xml><?xml version="1.0" encoding="utf-8"?>
<formControlPr xmlns="http://schemas.microsoft.com/office/spreadsheetml/2009/9/main" objectType="CheckBox" fmlaLink="$A$144" lockText="1" noThreeD="1"/>
</file>

<file path=xl/ctrlProps/ctrlProp77.xml><?xml version="1.0" encoding="utf-8"?>
<formControlPr xmlns="http://schemas.microsoft.com/office/spreadsheetml/2009/9/main" objectType="CheckBox" fmlaLink="$A108" lockText="1" noThreeD="1"/>
</file>

<file path=xl/ctrlProps/ctrlProp78.xml><?xml version="1.0" encoding="utf-8"?>
<formControlPr xmlns="http://schemas.microsoft.com/office/spreadsheetml/2009/9/main" objectType="CheckBox" fmlaLink="$A164" lockText="1" noThreeD="1"/>
</file>

<file path=xl/ctrlProps/ctrlProp79.xml><?xml version="1.0" encoding="utf-8"?>
<formControlPr xmlns="http://schemas.microsoft.com/office/spreadsheetml/2009/9/main" objectType="CheckBox" fmlaLink="$A165" lockText="1" noThreeD="1"/>
</file>

<file path=xl/ctrlProps/ctrlProp80.xml><?xml version="1.0" encoding="utf-8"?>
<formControlPr xmlns="http://schemas.microsoft.com/office/spreadsheetml/2009/9/main" objectType="CheckBox" fmlaLink="#REF!" lockText="1" noThreeD="1"/>
</file>

<file path=xl/ctrlProps/ctrlProp81.xml><?xml version="1.0" encoding="utf-8"?>
<formControlPr xmlns="http://schemas.microsoft.com/office/spreadsheetml/2009/9/main" objectType="CheckBox" fmlaLink="$A$146" lockText="1" noThreeD="1"/>
</file>

<file path=xl/ctrlProps/ctrlProp82.xml><?xml version="1.0" encoding="utf-8"?>
<formControlPr xmlns="http://schemas.microsoft.com/office/spreadsheetml/2009/9/main" objectType="CheckBox" fmlaLink="#REF!" lockText="1" noThreeD="1"/>
</file>

<file path=xl/ctrlProps/ctrlProp83.xml><?xml version="1.0" encoding="utf-8"?>
<formControlPr xmlns="http://schemas.microsoft.com/office/spreadsheetml/2009/9/main" objectType="CheckBox" fmlaLink="#REF!" lockText="1" noThreeD="1"/>
</file>

<file path=xl/ctrlProps/ctrlProp84.xml><?xml version="1.0" encoding="utf-8"?>
<formControlPr xmlns="http://schemas.microsoft.com/office/spreadsheetml/2009/9/main" objectType="CheckBox" fmlaLink="#REF!" lockText="1" noThreeD="1"/>
</file>

<file path=xl/ctrlProps/ctrlProp85.xml><?xml version="1.0" encoding="utf-8"?>
<formControlPr xmlns="http://schemas.microsoft.com/office/spreadsheetml/2009/9/main" objectType="CheckBox" fmlaLink="#REF!" lockText="1" noThreeD="1"/>
</file>

<file path=xl/ctrlProps/ctrlProp86.xml><?xml version="1.0" encoding="utf-8"?>
<formControlPr xmlns="http://schemas.microsoft.com/office/spreadsheetml/2009/9/main" objectType="CheckBox" fmlaLink="$A$72" lockText="1" noThreeD="1"/>
</file>

<file path=xl/ctrlProps/ctrlProp87.xml><?xml version="1.0" encoding="utf-8"?>
<formControlPr xmlns="http://schemas.microsoft.com/office/spreadsheetml/2009/9/main" objectType="CheckBox" fmlaLink="$A$73" lockText="1" noThreeD="1"/>
</file>

<file path=xl/ctrlProps/ctrlProp88.xml><?xml version="1.0" encoding="utf-8"?>
<formControlPr xmlns="http://schemas.microsoft.com/office/spreadsheetml/2009/9/main" objectType="CheckBox" fmlaLink="$A$100" lockText="1" noThreeD="1"/>
</file>

<file path=xl/ctrlProps/ctrlProp89.xml><?xml version="1.0" encoding="utf-8"?>
<formControlPr xmlns="http://schemas.microsoft.com/office/spreadsheetml/2009/9/main" objectType="CheckBox" fmlaLink="#REF!" lockText="1" noThreeD="1"/>
</file>

<file path=xl/ctrlProps/ctrlProp90.xml><?xml version="1.0" encoding="utf-8"?>
<formControlPr xmlns="http://schemas.microsoft.com/office/spreadsheetml/2009/9/main" objectType="CheckBox" fmlaLink="$A$90" lockText="1" noThreeD="1"/>
</file>

<file path=xl/ctrlProps/ctrlProp91.xml><?xml version="1.0" encoding="utf-8"?>
<formControlPr xmlns="http://schemas.microsoft.com/office/spreadsheetml/2009/9/main" objectType="CheckBox" fmlaLink="$A$36" lockText="1" noThreeD="1"/>
</file>

<file path=xl/ctrlProps/ctrlProp92.xml><?xml version="1.0" encoding="utf-8"?>
<formControlPr xmlns="http://schemas.microsoft.com/office/spreadsheetml/2009/9/main" objectType="CheckBox" fmlaLink="$A$56" lockText="1" noThreeD="1"/>
</file>

<file path=xl/ctrlProps/ctrlProp93.xml><?xml version="1.0" encoding="utf-8"?>
<formControlPr xmlns="http://schemas.microsoft.com/office/spreadsheetml/2009/9/main" objectType="CheckBox" fmlaLink="$A$57" lockText="1" noThreeD="1"/>
</file>

<file path=xl/ctrlProps/ctrlProp94.xml><?xml version="1.0" encoding="utf-8"?>
<formControlPr xmlns="http://schemas.microsoft.com/office/spreadsheetml/2009/9/main" objectType="CheckBox" fmlaLink="$A$58" lockText="1" noThreeD="1"/>
</file>

<file path=xl/ctrlProps/ctrlProp95.xml><?xml version="1.0" encoding="utf-8"?>
<formControlPr xmlns="http://schemas.microsoft.com/office/spreadsheetml/2009/9/main" objectType="CheckBox" fmlaLink="$A$60" lockText="1" noThreeD="1"/>
</file>

<file path=xl/ctrlProps/ctrlProp96.xml><?xml version="1.0" encoding="utf-8"?>
<formControlPr xmlns="http://schemas.microsoft.com/office/spreadsheetml/2009/9/main" objectType="CheckBox" fmlaLink="$A$51" lockText="1" noThreeD="1"/>
</file>

<file path=xl/ctrlProps/ctrlProp97.xml><?xml version="1.0" encoding="utf-8"?>
<formControlPr xmlns="http://schemas.microsoft.com/office/spreadsheetml/2009/9/main" objectType="CheckBox" fmlaLink="$A$104" lockText="1" noThreeD="1"/>
</file>

<file path=xl/ctrlProps/ctrlProp98.xml><?xml version="1.0" encoding="utf-8"?>
<formControlPr xmlns="http://schemas.microsoft.com/office/spreadsheetml/2009/9/main" objectType="CheckBox" fmlaLink="$A$46" lockText="1" noThreeD="1"/>
</file>

<file path=xl/ctrlProps/ctrlProp99.xml><?xml version="1.0" encoding="utf-8"?>
<formControlPr xmlns="http://schemas.microsoft.com/office/spreadsheetml/2009/9/main" objectType="CheckBox" fmlaLink="$A$47" lockText="1" noThreeD="1"/>
</file>

<file path=xl/ctrlProps/ctrlProp100.xml><?xml version="1.0" encoding="utf-8"?>
<formControlPr xmlns="http://schemas.microsoft.com/office/spreadsheetml/2009/9/main" objectType="CheckBox" fmlaLink="$A$116" lockText="1" noThreeD="1"/>
</file>

<file path=xl/ctrlProps/ctrlProp101.xml><?xml version="1.0" encoding="utf-8"?>
<formControlPr xmlns="http://schemas.microsoft.com/office/spreadsheetml/2009/9/main" objectType="CheckBox" fmlaLink="$A$128" lockText="1" noThreeD="1"/>
</file>

<file path=xl/ctrlProps/ctrlProp102.xml><?xml version="1.0" encoding="utf-8"?>
<formControlPr xmlns="http://schemas.microsoft.com/office/spreadsheetml/2009/9/main" objectType="CheckBox" fmlaLink="$A$129" lockText="1" noThreeD="1"/>
</file>

<file path=xl/ctrlProps/ctrlProp103.xml><?xml version="1.0" encoding="utf-8"?>
<formControlPr xmlns="http://schemas.microsoft.com/office/spreadsheetml/2009/9/main" objectType="CheckBox" fmlaLink="#REF!" lockText="1" noThreeD="1"/>
</file>

<file path=xl/ctrlProps/ctrlProp104.xml><?xml version="1.0" encoding="utf-8"?>
<formControlPr xmlns="http://schemas.microsoft.com/office/spreadsheetml/2009/9/main" objectType="CheckBox" fmlaLink="$A$151" lockText="1" noThreeD="1"/>
</file>

<file path=xl/ctrlProps/ctrlProp105.xml><?xml version="1.0" encoding="utf-8"?>
<formControlPr xmlns="http://schemas.microsoft.com/office/spreadsheetml/2009/9/main" objectType="CheckBox" fmlaLink="$A$136" lockText="1" noThreeD="1"/>
</file>

<file path=xl/ctrlProps/ctrlProp106.xml><?xml version="1.0" encoding="utf-8"?>
<formControlPr xmlns="http://schemas.microsoft.com/office/spreadsheetml/2009/9/main" objectType="CheckBox" fmlaLink="$A$137" lockText="1" noThreeD="1"/>
</file>

<file path=xl/ctrlProps/ctrlProp107.xml><?xml version="1.0" encoding="utf-8"?>
<formControlPr xmlns="http://schemas.microsoft.com/office/spreadsheetml/2009/9/main" objectType="CheckBox" fmlaLink="$A$138" lockText="1" noThreeD="1"/>
</file>

<file path=xl/ctrlProps/ctrlProp108.xml><?xml version="1.0" encoding="utf-8"?>
<formControlPr xmlns="http://schemas.microsoft.com/office/spreadsheetml/2009/9/main" objectType="CheckBox" fmlaLink="$A$153" lockText="1" noThreeD="1"/>
</file>

<file path=xl/ctrlProps/ctrlProp109.xml><?xml version="1.0" encoding="utf-8"?>
<formControlPr xmlns="http://schemas.microsoft.com/office/spreadsheetml/2009/9/main" objectType="CheckBox" fmlaLink="$A$140" lockText="1" noThreeD="1"/>
</file>

<file path=xl/ctrlProps/ctrlProp110.xml><?xml version="1.0" encoding="utf-8"?>
<formControlPr xmlns="http://schemas.microsoft.com/office/spreadsheetml/2009/9/main" objectType="CheckBox" fmlaLink="$A$69" lockText="1" noThreeD="1"/>
</file>

<file path=xl/ctrlProps/ctrlProp111.xml><?xml version="1.0" encoding="utf-8"?>
<formControlPr xmlns="http://schemas.microsoft.com/office/spreadsheetml/2009/9/main" objectType="CheckBox" fmlaLink="$A$68" lockText="1" noThreeD="1"/>
</file>

<file path=xl/ctrlProps/ctrlProp112.xml><?xml version="1.0" encoding="utf-8"?>
<formControlPr xmlns="http://schemas.microsoft.com/office/spreadsheetml/2009/9/main" objectType="CheckBox" fmlaLink="$A$67" lockText="1" noThreeD="1"/>
</file>

<file path=xl/ctrlProps/ctrlProp113.xml><?xml version="1.0" encoding="utf-8"?>
<formControlPr xmlns="http://schemas.microsoft.com/office/spreadsheetml/2009/9/main" objectType="CheckBox" fmlaLink="$A$160" lockText="1" noThreeD="1"/>
</file>

<file path=xl/ctrlProps/ctrlProp114.xml><?xml version="1.0" encoding="utf-8"?>
<formControlPr xmlns="http://schemas.microsoft.com/office/spreadsheetml/2009/9/main" objectType="CheckBox" fmlaLink="$A$154" lockText="1" noThreeD="1"/>
</file>

<file path=xl/ctrlProps/ctrlProp115.xml><?xml version="1.0" encoding="utf-8"?>
<formControlPr xmlns="http://schemas.microsoft.com/office/spreadsheetml/2009/9/main" objectType="CheckBox" fmlaLink="$A$35" lockText="1" noThreeD="1"/>
</file>

<file path=xl/ctrlProps/ctrlProp116.xml><?xml version="1.0" encoding="utf-8"?>
<formControlPr xmlns="http://schemas.microsoft.com/office/spreadsheetml/2009/9/main" objectType="CheckBox" fmlaLink="$A$117" lockText="1" noThreeD="1"/>
</file>

<file path=xl/ctrlProps/ctrlProp117.xml><?xml version="1.0" encoding="utf-8"?>
<formControlPr xmlns="http://schemas.microsoft.com/office/spreadsheetml/2009/9/main" objectType="CheckBox" fmlaLink="$A$74" noThreeD="1"/>
</file>

<file path=xl/ctrlProps/ctrlProp118.xml><?xml version="1.0" encoding="utf-8"?>
<formControlPr xmlns="http://schemas.microsoft.com/office/spreadsheetml/2009/9/main" objectType="CheckBox" fmlaLink="$A$101" lockText="1" noThreeD="1"/>
</file>

<file path=xl/ctrlProps/ctrlProp119.xml><?xml version="1.0" encoding="utf-8"?>
<formControlPr xmlns="http://schemas.microsoft.com/office/spreadsheetml/2009/9/main" objectType="CheckBox" fmlaLink="$A$139" lockText="1" noThreeD="1"/>
</file>

<file path=xl/ctrlProps/ctrlProp120.xml><?xml version="1.0" encoding="utf-8"?>
<formControlPr xmlns="http://schemas.microsoft.com/office/spreadsheetml/2009/9/main" objectType="CheckBox" fmlaLink="$A$157" lockText="1" noThreeD="1"/>
</file>

<file path=xl/ctrlProps/ctrlProp121.xml><?xml version="1.0" encoding="utf-8"?>
<formControlPr xmlns="http://schemas.microsoft.com/office/spreadsheetml/2009/9/main" objectType="CheckBox" lockText="1" noThreeD="1"/>
</file>

<file path=xl/ctrlProps/ctrlProp122.xml><?xml version="1.0" encoding="utf-8"?>
<formControlPr xmlns="http://schemas.microsoft.com/office/spreadsheetml/2009/9/main" objectType="CheckBox" fmlaLink="$A$18" lockText="1" noThreeD="1"/>
</file>

<file path=xl/ctrlProps/ctrlProp123.xml><?xml version="1.0" encoding="utf-8"?>
<formControlPr xmlns="http://schemas.microsoft.com/office/spreadsheetml/2009/9/main" objectType="CheckBox" fmlaLink="$A$19" lockText="1" noThreeD="1"/>
</file>

<file path=xl/ctrlProps/ctrlProp124.xml><?xml version="1.0" encoding="utf-8"?>
<formControlPr xmlns="http://schemas.microsoft.com/office/spreadsheetml/2009/9/main" objectType="CheckBox" fmlaLink="$A$69" lockText="1" noThreeD="1"/>
</file>

<file path=xl/ctrlProps/ctrlProp125.xml><?xml version="1.0" encoding="utf-8"?>
<formControlPr xmlns="http://schemas.microsoft.com/office/spreadsheetml/2009/9/main" objectType="CheckBox" fmlaLink="$A$64" lockText="1" noThreeD="1"/>
</file>

<file path=xl/ctrlProps/ctrlProp126.xml><?xml version="1.0" encoding="utf-8"?>
<formControlPr xmlns="http://schemas.microsoft.com/office/spreadsheetml/2009/9/main" objectType="CheckBox" fmlaLink="$A$25" noThreeD="1"/>
</file>

<file path=xl/ctrlProps/ctrlProp127.xml><?xml version="1.0" encoding="utf-8"?>
<formControlPr xmlns="http://schemas.microsoft.com/office/spreadsheetml/2009/9/main" objectType="CheckBox" fmlaLink="$A$27" lockText="1" noThreeD="1"/>
</file>

<file path=xl/ctrlProps/ctrlProp128.xml><?xml version="1.0" encoding="utf-8"?>
<formControlPr xmlns="http://schemas.microsoft.com/office/spreadsheetml/2009/9/main" objectType="CheckBox" fmlaLink="$A$94" lockText="1" noThreeD="1"/>
</file>

<file path=xl/ctrlProps/ctrlProp129.xml><?xml version="1.0" encoding="utf-8"?>
<formControlPr xmlns="http://schemas.microsoft.com/office/spreadsheetml/2009/9/main" objectType="CheckBox" fmlaLink="$A$57" noThreeD="1"/>
</file>

<file path=xl/ctrlProps/ctrlProp130.xml><?xml version="1.0" encoding="utf-8"?>
<formControlPr xmlns="http://schemas.microsoft.com/office/spreadsheetml/2009/9/main" objectType="CheckBox" fmlaLink="$A$40" noThreeD="1"/>
</file>

<file path=xl/ctrlProps/ctrlProp131.xml><?xml version="1.0" encoding="utf-8"?>
<formControlPr xmlns="http://schemas.microsoft.com/office/spreadsheetml/2009/9/main" objectType="CheckBox" fmlaLink="$A$76" noThreeD="1"/>
</file>

<file path=xl/ctrlProps/ctrlProp132.xml><?xml version="1.0" encoding="utf-8"?>
<formControlPr xmlns="http://schemas.microsoft.com/office/spreadsheetml/2009/9/main" objectType="CheckBox" fmlaLink="$A$32" lockText="1" noThreeD="1"/>
</file>

<file path=xl/ctrlProps/ctrlProp133.xml><?xml version="1.0" encoding="utf-8"?>
<formControlPr xmlns="http://schemas.microsoft.com/office/spreadsheetml/2009/9/main" objectType="CheckBox" fmlaLink="$A$46" lockText="1" noThreeD="1"/>
</file>

<file path=xl/ctrlProps/ctrlProp134.xml><?xml version="1.0" encoding="utf-8"?>
<formControlPr xmlns="http://schemas.microsoft.com/office/spreadsheetml/2009/9/main" objectType="CheckBox" fmlaLink="$A$71" lockText="1" noThreeD="1"/>
</file>

<file path=xl/ctrlProps/ctrlProp135.xml><?xml version="1.0" encoding="utf-8"?>
<formControlPr xmlns="http://schemas.microsoft.com/office/spreadsheetml/2009/9/main" objectType="CheckBox" fmlaLink="$A$103" lockText="1" noThreeD="1"/>
</file>

<file path=xl/ctrlProps/ctrlProp136.xml><?xml version="1.0" encoding="utf-8"?>
<formControlPr xmlns="http://schemas.microsoft.com/office/spreadsheetml/2009/9/main" objectType="CheckBox" fmlaLink="$A$108" lockText="1" noThreeD="1"/>
</file>

<file path=xl/ctrlProps/ctrlProp137.xml><?xml version="1.0" encoding="utf-8"?>
<formControlPr xmlns="http://schemas.microsoft.com/office/spreadsheetml/2009/9/main" objectType="CheckBox" fmlaLink="$A$104" lockText="1" noThreeD="1"/>
</file>

<file path=xl/ctrlProps/ctrlProp138.xml><?xml version="1.0" encoding="utf-8"?>
<formControlPr xmlns="http://schemas.microsoft.com/office/spreadsheetml/2009/9/main" objectType="CheckBox" fmlaLink="$A$109" lockText="1" noThreeD="1"/>
</file>

<file path=xl/ctrlProps/ctrlProp139.xml><?xml version="1.0" encoding="utf-8"?>
<formControlPr xmlns="http://schemas.microsoft.com/office/spreadsheetml/2009/9/main" objectType="CheckBox" fmlaLink="$A$110" lockText="1" noThreeD="1"/>
</file>

<file path=xl/ctrlProps/ctrlProp140.xml><?xml version="1.0" encoding="utf-8"?>
<formControlPr xmlns="http://schemas.microsoft.com/office/spreadsheetml/2009/9/main" objectType="CheckBox" fmlaLink="$A$107" lockText="1" noThreeD="1"/>
</file>

<file path=xl/ctrlProps/ctrlProp141.xml><?xml version="1.0" encoding="utf-8"?>
<formControlPr xmlns="http://schemas.microsoft.com/office/spreadsheetml/2009/9/main" objectType="CheckBox" fmlaLink="$A$114" lockText="1" noThreeD="1"/>
</file>

<file path=xl/ctrlProps/ctrlProp142.xml><?xml version="1.0" encoding="utf-8"?>
<formControlPr xmlns="http://schemas.microsoft.com/office/spreadsheetml/2009/9/main" objectType="CheckBox" fmlaLink="$A$117" lockText="1" noThreeD="1"/>
</file>

<file path=xl/ctrlProps/ctrlProp143.xml><?xml version="1.0" encoding="utf-8"?>
<formControlPr xmlns="http://schemas.microsoft.com/office/spreadsheetml/2009/9/main" objectType="CheckBox" fmlaLink="$A$118" lockText="1" noThreeD="1"/>
</file>

<file path=xl/ctrlProps/ctrlProp144.xml><?xml version="1.0" encoding="utf-8"?>
<formControlPr xmlns="http://schemas.microsoft.com/office/spreadsheetml/2009/9/main" objectType="CheckBox" fmlaLink="$A$119" lockText="1" noThreeD="1"/>
</file>

<file path=xl/ctrlProps/ctrlProp145.xml><?xml version="1.0" encoding="utf-8"?>
<formControlPr xmlns="http://schemas.microsoft.com/office/spreadsheetml/2009/9/main" objectType="CheckBox" fmlaLink="$A$121" lockText="1" noThreeD="1"/>
</file>

<file path=xl/ctrlProps/ctrlProp146.xml><?xml version="1.0" encoding="utf-8"?>
<formControlPr xmlns="http://schemas.microsoft.com/office/spreadsheetml/2009/9/main" objectType="CheckBox" fmlaLink="$A$93" lockText="1" noThreeD="1"/>
</file>

<file path=xl/ctrlProps/ctrlProp147.xml><?xml version="1.0" encoding="utf-8"?>
<formControlPr xmlns="http://schemas.microsoft.com/office/spreadsheetml/2009/9/main" objectType="CheckBox" fmlaLink="$A$54" lockText="1" noThreeD="1"/>
</file>

<file path=xl/ctrlProps/ctrlProp148.xml><?xml version="1.0" encoding="utf-8"?>
<formControlPr xmlns="http://schemas.microsoft.com/office/spreadsheetml/2009/9/main" objectType="CheckBox" fmlaLink="$A$82" noThreeD="1"/>
</file>

<file path=xl/ctrlProps/ctrlProp149.xml><?xml version="1.0" encoding="utf-8"?>
<formControlPr xmlns="http://schemas.microsoft.com/office/spreadsheetml/2009/9/main" objectType="CheckBox" fmlaLink="$A$72" noThreeD="1"/>
</file>

<file path=xl/ctrlProps/ctrlProp150.xml><?xml version="1.0" encoding="utf-8"?>
<formControlPr xmlns="http://schemas.microsoft.com/office/spreadsheetml/2009/9/main" objectType="CheckBox" fmlaLink="$A$83" noThreeD="1"/>
</file>

<file path=xl/ctrlProps/ctrlProp151.xml><?xml version="1.0" encoding="utf-8"?>
<formControlPr xmlns="http://schemas.microsoft.com/office/spreadsheetml/2009/9/main" objectType="CheckBox" fmlaLink="$A$84" noThreeD="1"/>
</file>

<file path=xl/ctrlProps/ctrlProp152.xml><?xml version="1.0" encoding="utf-8"?>
<formControlPr xmlns="http://schemas.microsoft.com/office/spreadsheetml/2009/9/main" objectType="CheckBox" fmlaLink="$A$85" noThreeD="1"/>
</file>

<file path=xl/ctrlProps/ctrlProp153.xml><?xml version="1.0" encoding="utf-8"?>
<formControlPr xmlns="http://schemas.microsoft.com/office/spreadsheetml/2009/9/main" objectType="CheckBox" fmlaLink="$A$112" lockText="1" noThreeD="1"/>
</file>

<file path=xl/ctrlProps/ctrlProp154.xml><?xml version="1.0" encoding="utf-8"?>
<formControlPr xmlns="http://schemas.microsoft.com/office/spreadsheetml/2009/9/main" objectType="CheckBox" fmlaLink="$A$113" lockText="1" noThreeD="1"/>
</file>

<file path=xl/ctrlProps/ctrlProp155.xml><?xml version="1.0" encoding="utf-8"?>
<formControlPr xmlns="http://schemas.microsoft.com/office/spreadsheetml/2009/9/main" objectType="CheckBox" fmlaLink="$A$126" lockText="1" noThreeD="1"/>
</file>

<file path=xl/ctrlProps/ctrlProp156.xml><?xml version="1.0" encoding="utf-8"?>
<formControlPr xmlns="http://schemas.microsoft.com/office/spreadsheetml/2009/9/main" objectType="CheckBox" fmlaLink="$A$85" noThreeD="1"/>
</file>

<file path=xl/ctrlProps/ctrlProp157.xml><?xml version="1.0" encoding="utf-8"?>
<formControlPr xmlns="http://schemas.microsoft.com/office/spreadsheetml/2009/9/main" objectType="CheckBox" fmlaLink="$A$87" noThreeD="1"/>
</file>

<file path=xl/ctrlProps/ctrlProp158.xml><?xml version="1.0" encoding="utf-8"?>
<formControlPr xmlns="http://schemas.microsoft.com/office/spreadsheetml/2009/9/main" objectType="CheckBox" fmlaLink="$A$65" lockText="1" noThreeD="1"/>
</file>

<file path=xl/ctrlProps/ctrlProp159.xml><?xml version="1.0" encoding="utf-8"?>
<formControlPr xmlns="http://schemas.microsoft.com/office/spreadsheetml/2009/9/main" objectType="CheckBox" fmlaLink="$A$74" noThreeD="1"/>
</file>

<file path=xl/ctrlProps/ctrlProp160.xml><?xml version="1.0" encoding="utf-8"?>
<formControlPr xmlns="http://schemas.microsoft.com/office/spreadsheetml/2009/9/main" objectType="CheckBox" fmlaLink="$A$73" noThreeD="1"/>
</file>

<file path=xl/ctrlProps/ctrlProp161.xml><?xml version="1.0" encoding="utf-8"?>
<formControlPr xmlns="http://schemas.microsoft.com/office/spreadsheetml/2009/9/main" objectType="CheckBox" fmlaLink="$A$106" lockText="1" noThreeD="1"/>
</file>

<file path=xl/ctrlProps/ctrlProp162.xml><?xml version="1.0" encoding="utf-8"?>
<formControlPr xmlns="http://schemas.microsoft.com/office/spreadsheetml/2009/9/main" objectType="CheckBox" fmlaLink="$A$113" lockText="1" noThreeD="1"/>
</file>

<file path=xl/ctrlProps/ctrlProp163.xml><?xml version="1.0" encoding="utf-8"?>
<formControlPr xmlns="http://schemas.microsoft.com/office/spreadsheetml/2009/9/main" objectType="CheckBox" fmlaLink="$A$95" lockText="1" noThreeD="1"/>
</file>

<file path=xl/ctrlProps/ctrlProp164.xml><?xml version="1.0" encoding="utf-8"?>
<formControlPr xmlns="http://schemas.microsoft.com/office/spreadsheetml/2009/9/main" objectType="CheckBox" fmlaLink="$A$97" noThreeD="1"/>
</file>

<file path=xl/ctrlProps/ctrlProp165.xml><?xml version="1.0" encoding="utf-8"?>
<formControlPr xmlns="http://schemas.microsoft.com/office/spreadsheetml/2009/9/main" objectType="CheckBox" fmlaLink="$A$98" noThreeD="1"/>
</file>

<file path=xl/ctrlProps/ctrlProp166.xml><?xml version="1.0" encoding="utf-8"?>
<formControlPr xmlns="http://schemas.microsoft.com/office/spreadsheetml/2009/9/main" objectType="CheckBox" fmlaLink="$A145" lockText="1" noThreeD="1"/>
</file>

<file path=xl/ctrlProps/ctrlProp167.xml><?xml version="1.0" encoding="utf-8"?>
<formControlPr xmlns="http://schemas.microsoft.com/office/spreadsheetml/2009/9/main" objectType="CheckBox" fmlaLink="$A148" lockText="1" noThreeD="1"/>
</file>

<file path=xl/ctrlProps/ctrlProp168.xml><?xml version="1.0" encoding="utf-8"?>
<formControlPr xmlns="http://schemas.microsoft.com/office/spreadsheetml/2009/9/main" objectType="CheckBox" fmlaLink="$A149" lockText="1" noThreeD="1"/>
</file>

<file path=xl/ctrlProps/ctrlProp169.xml><?xml version="1.0" encoding="utf-8"?>
<formControlPr xmlns="http://schemas.microsoft.com/office/spreadsheetml/2009/9/main" objectType="CheckBox" fmlaLink="$A$150" lockText="1" noThreeD="1"/>
</file>

<file path=xl/ctrlProps/ctrlProp170.xml><?xml version="1.0" encoding="utf-8"?>
<formControlPr xmlns="http://schemas.microsoft.com/office/spreadsheetml/2009/9/main" objectType="CheckBox" fmlaLink="$A$151" lockText="1" noThreeD="1"/>
</file>

<file path=xl/ctrlProps/ctrlProp171.xml><?xml version="1.0" encoding="utf-8"?>
<formControlPr xmlns="http://schemas.microsoft.com/office/spreadsheetml/2009/9/main" objectType="CheckBox" fmlaLink="$A$152" lockText="1" noThreeD="1"/>
</file>

<file path=xl/ctrlProps/ctrlProp172.xml><?xml version="1.0" encoding="utf-8"?>
<formControlPr xmlns="http://schemas.microsoft.com/office/spreadsheetml/2009/9/main" objectType="CheckBox" fmlaLink="$A$153" lockText="1" noThreeD="1"/>
</file>

<file path=xl/ctrlProps/ctrlProp173.xml><?xml version="1.0" encoding="utf-8"?>
<formControlPr xmlns="http://schemas.microsoft.com/office/spreadsheetml/2009/9/main" objectType="CheckBox" fmlaLink="$A$154" lockText="1" noThreeD="1"/>
</file>

<file path=xl/ctrlProps/ctrlProp174.xml><?xml version="1.0" encoding="utf-8"?>
<formControlPr xmlns="http://schemas.microsoft.com/office/spreadsheetml/2009/9/main" objectType="CheckBox" fmlaLink="$A$155" lockText="1" noThreeD="1"/>
</file>

<file path=xl/ctrlProps/ctrlProp175.xml><?xml version="1.0" encoding="utf-8"?>
<formControlPr xmlns="http://schemas.microsoft.com/office/spreadsheetml/2009/9/main" objectType="CheckBox" fmlaLink="$A$156" lockText="1" noThreeD="1"/>
</file>

<file path=xl/ctrlProps/ctrlProp176.xml><?xml version="1.0" encoding="utf-8"?>
<formControlPr xmlns="http://schemas.microsoft.com/office/spreadsheetml/2009/9/main" objectType="CheckBox" fmlaLink="$A$159" lockText="1" noThreeD="1"/>
</file>

<file path=xl/ctrlProps/ctrlProp177.xml><?xml version="1.0" encoding="utf-8"?>
<formControlPr xmlns="http://schemas.microsoft.com/office/spreadsheetml/2009/9/main" objectType="CheckBox" fmlaLink="$A$160" lockText="1" noThreeD="1"/>
</file>

<file path=xl/ctrlProps/ctrlProp178.xml><?xml version="1.0" encoding="utf-8"?>
<formControlPr xmlns="http://schemas.microsoft.com/office/spreadsheetml/2009/9/main" objectType="CheckBox" fmlaLink="$A$161" lockText="1" noThreeD="1"/>
</file>

<file path=xl/ctrlProps/ctrlProp179.xml><?xml version="1.0" encoding="utf-8"?>
<formControlPr xmlns="http://schemas.microsoft.com/office/spreadsheetml/2009/9/main" objectType="CheckBox" fmlaLink="$A$162" lockText="1" noThreeD="1"/>
</file>

<file path=xl/ctrlProps/ctrlProp180.xml><?xml version="1.0" encoding="utf-8"?>
<formControlPr xmlns="http://schemas.microsoft.com/office/spreadsheetml/2009/9/main" objectType="CheckBox" fmlaLink="$A$163" lockText="1" noThreeD="1"/>
</file>

<file path=xl/ctrlProps/ctrlProp181.xml><?xml version="1.0" encoding="utf-8"?>
<formControlPr xmlns="http://schemas.microsoft.com/office/spreadsheetml/2009/9/main" objectType="CheckBox" fmlaLink="$A$164" lockText="1" noThreeD="1"/>
</file>

<file path=xl/ctrlProps/ctrlProp182.xml><?xml version="1.0" encoding="utf-8"?>
<formControlPr xmlns="http://schemas.microsoft.com/office/spreadsheetml/2009/9/main" objectType="CheckBox" fmlaLink="$A$165" lockText="1" noThreeD="1"/>
</file>

<file path=xl/ctrlProps/ctrlProp183.xml><?xml version="1.0" encoding="utf-8"?>
<formControlPr xmlns="http://schemas.microsoft.com/office/spreadsheetml/2009/9/main" objectType="CheckBox" fmlaLink="$A$166" lockText="1" noThreeD="1"/>
</file>

<file path=xl/ctrlProps/ctrlProp184.xml><?xml version="1.0" encoding="utf-8"?>
<formControlPr xmlns="http://schemas.microsoft.com/office/spreadsheetml/2009/9/main" objectType="CheckBox" fmlaLink="$A$167" lockText="1" noThreeD="1"/>
</file>

<file path=xl/ctrlProps/ctrlProp185.xml><?xml version="1.0" encoding="utf-8"?>
<formControlPr xmlns="http://schemas.microsoft.com/office/spreadsheetml/2009/9/main" objectType="CheckBox" fmlaLink="$A$168" lockText="1" noThreeD="1"/>
</file>

<file path=xl/ctrlProps/ctrlProp186.xml><?xml version="1.0" encoding="utf-8"?>
<formControlPr xmlns="http://schemas.microsoft.com/office/spreadsheetml/2009/9/main" objectType="CheckBox" fmlaLink="$A$169" lockText="1" noThreeD="1"/>
</file>

<file path=xl/ctrlProps/ctrlProp187.xml><?xml version="1.0" encoding="utf-8"?>
<formControlPr xmlns="http://schemas.microsoft.com/office/spreadsheetml/2009/9/main" objectType="CheckBox" fmlaLink="$A$170" lockText="1" noThreeD="1"/>
</file>

<file path=xl/ctrlProps/ctrlProp188.xml><?xml version="1.0" encoding="utf-8"?>
<formControlPr xmlns="http://schemas.microsoft.com/office/spreadsheetml/2009/9/main" objectType="CheckBox" fmlaLink="$A$171" lockText="1" noThreeD="1"/>
</file>

<file path=xl/ctrlProps/ctrlProp189.xml><?xml version="1.0" encoding="utf-8"?>
<formControlPr xmlns="http://schemas.microsoft.com/office/spreadsheetml/2009/9/main" objectType="CheckBox" fmlaLink="$A175" lockText="1" noThreeD="1"/>
</file>

<file path=xl/ctrlProps/ctrlProp190.xml><?xml version="1.0" encoding="utf-8"?>
<formControlPr xmlns="http://schemas.microsoft.com/office/spreadsheetml/2009/9/main" objectType="CheckBox" fmlaLink="$A$144" lockText="1" noThreeD="1"/>
</file>

<file path=xl/ctrlProps/ctrlProp191.xml><?xml version="1.0" encoding="utf-8"?>
<formControlPr xmlns="http://schemas.microsoft.com/office/spreadsheetml/2009/9/main" objectType="CheckBox" fmlaLink="$A$178" lockText="1" noThreeD="1"/>
</file>

<file path=xl/ctrlProps/ctrlProp192.xml><?xml version="1.0" encoding="utf-8"?>
<formControlPr xmlns="http://schemas.microsoft.com/office/spreadsheetml/2009/9/main" objectType="CheckBox" fmlaLink="$A$179" lockText="1" noThreeD="1"/>
</file>

<file path=xl/ctrlProps/ctrlProp193.xml><?xml version="1.0" encoding="utf-8"?>
<formControlPr xmlns="http://schemas.microsoft.com/office/spreadsheetml/2009/9/main" objectType="CheckBox" fmlaLink="$A$180" lockText="1" noThreeD="1"/>
</file>

<file path=xl/ctrlProps/ctrlProp194.xml><?xml version="1.0" encoding="utf-8"?>
<formControlPr xmlns="http://schemas.microsoft.com/office/spreadsheetml/2009/9/main" objectType="CheckBox" fmlaLink="#REF!" lockText="1" noThreeD="1"/>
</file>

<file path=xl/ctrlProps/ctrlProp195.xml><?xml version="1.0" encoding="utf-8"?>
<formControlPr xmlns="http://schemas.microsoft.com/office/spreadsheetml/2009/9/main" objectType="CheckBox" fmlaLink="$A$181" lockText="1" noThreeD="1"/>
</file>

<file path=xl/ctrlProps/ctrlProp196.xml><?xml version="1.0" encoding="utf-8"?>
<formControlPr xmlns="http://schemas.microsoft.com/office/spreadsheetml/2009/9/main" objectType="CheckBox" fmlaLink="$A$182" lockText="1" noThreeD="1"/>
</file>

<file path=xl/ctrlProps/ctrlProp197.xml><?xml version="1.0" encoding="utf-8"?>
<formControlPr xmlns="http://schemas.microsoft.com/office/spreadsheetml/2009/9/main" objectType="CheckBox" fmlaLink="$A$183" lockText="1" noThreeD="1"/>
</file>

<file path=xl/ctrlProps/ctrlProp198.xml><?xml version="1.0" encoding="utf-8"?>
<formControlPr xmlns="http://schemas.microsoft.com/office/spreadsheetml/2009/9/main" objectType="CheckBox" fmlaLink="$A$184" lockText="1" noThreeD="1"/>
</file>

<file path=xl/ctrlProps/ctrlProp199.xml><?xml version="1.0" encoding="utf-8"?>
<formControlPr xmlns="http://schemas.microsoft.com/office/spreadsheetml/2009/9/main" objectType="CheckBox" fmlaLink="$A$186" lockText="1" noThreeD="1"/>
</file>

<file path=xl/ctrlProps/ctrlProp200.xml><?xml version="1.0" encoding="utf-8"?>
<formControlPr xmlns="http://schemas.microsoft.com/office/spreadsheetml/2009/9/main" objectType="CheckBox" fmlaLink="$A$187" lockText="1" noThreeD="1"/>
</file>

<file path=xl/ctrlProps/ctrlProp201.xml><?xml version="1.0" encoding="utf-8"?>
<formControlPr xmlns="http://schemas.microsoft.com/office/spreadsheetml/2009/9/main" objectType="CheckBox" fmlaLink="$A$189" lockText="1" noThreeD="1"/>
</file>

<file path=xl/ctrlProps/ctrlProp202.xml><?xml version="1.0" encoding="utf-8"?>
<formControlPr xmlns="http://schemas.microsoft.com/office/spreadsheetml/2009/9/main" objectType="CheckBox" fmlaLink="$A$190" lockText="1" noThreeD="1"/>
</file>

<file path=xl/ctrlProps/ctrlProp203.xml><?xml version="1.0" encoding="utf-8"?>
<formControlPr xmlns="http://schemas.microsoft.com/office/spreadsheetml/2009/9/main" objectType="CheckBox" fmlaLink="$A$191" lockText="1" noThreeD="1"/>
</file>

<file path=xl/ctrlProps/ctrlProp204.xml><?xml version="1.0" encoding="utf-8"?>
<formControlPr xmlns="http://schemas.microsoft.com/office/spreadsheetml/2009/9/main" objectType="CheckBox" fmlaLink="$A$192" lockText="1" noThreeD="1"/>
</file>

<file path=xl/ctrlProps/ctrlProp205.xml><?xml version="1.0" encoding="utf-8"?>
<formControlPr xmlns="http://schemas.microsoft.com/office/spreadsheetml/2009/9/main" objectType="CheckBox" fmlaLink="$A$193" lockText="1" noThreeD="1"/>
</file>

<file path=xl/ctrlProps/ctrlProp206.xml><?xml version="1.0" encoding="utf-8"?>
<formControlPr xmlns="http://schemas.microsoft.com/office/spreadsheetml/2009/9/main" objectType="CheckBox" fmlaLink="#REF!" lockText="1" noThreeD="1"/>
</file>

<file path=xl/ctrlProps/ctrlProp207.xml><?xml version="1.0" encoding="utf-8"?>
<formControlPr xmlns="http://schemas.microsoft.com/office/spreadsheetml/2009/9/main" objectType="CheckBox" fmlaLink="$A$194" lockText="1" noThreeD="1"/>
</file>

<file path=xl/ctrlProps/ctrlProp208.xml><?xml version="1.0" encoding="utf-8"?>
<formControlPr xmlns="http://schemas.microsoft.com/office/spreadsheetml/2009/9/main" objectType="CheckBox" fmlaLink="$A$198" lockText="1" noThreeD="1"/>
</file>

<file path=xl/ctrlProps/ctrlProp209.xml><?xml version="1.0" encoding="utf-8"?>
<formControlPr xmlns="http://schemas.microsoft.com/office/spreadsheetml/2009/9/main" objectType="CheckBox" fmlaLink="$A201" lockText="1" noThreeD="1"/>
</file>

<file path=xl/ctrlProps/ctrlProp210.xml><?xml version="1.0" encoding="utf-8"?>
<formControlPr xmlns="http://schemas.microsoft.com/office/spreadsheetml/2009/9/main" objectType="CheckBox" fmlaLink="$A202" lockText="1" noThreeD="1"/>
</file>

<file path=xl/ctrlProps/ctrlProp211.xml><?xml version="1.0" encoding="utf-8"?>
<formControlPr xmlns="http://schemas.microsoft.com/office/spreadsheetml/2009/9/main" objectType="CheckBox" fmlaLink="$A203" lockText="1" noThreeD="1"/>
</file>

<file path=xl/ctrlProps/ctrlProp212.xml><?xml version="1.0" encoding="utf-8"?>
<formControlPr xmlns="http://schemas.microsoft.com/office/spreadsheetml/2009/9/main" objectType="CheckBox" fmlaLink="$A204" lockText="1" noThreeD="1"/>
</file>

<file path=xl/ctrlProps/ctrlProp213.xml><?xml version="1.0" encoding="utf-8"?>
<formControlPr xmlns="http://schemas.microsoft.com/office/spreadsheetml/2009/9/main" objectType="CheckBox" fmlaLink="$A205" lockText="1" noThreeD="1"/>
</file>

<file path=xl/ctrlProps/ctrlProp214.xml><?xml version="1.0" encoding="utf-8"?>
<formControlPr xmlns="http://schemas.microsoft.com/office/spreadsheetml/2009/9/main" objectType="CheckBox" fmlaLink="$A207" lockText="1" noThreeD="1"/>
</file>

<file path=xl/ctrlProps/ctrlProp215.xml><?xml version="1.0" encoding="utf-8"?>
<formControlPr xmlns="http://schemas.microsoft.com/office/spreadsheetml/2009/9/main" objectType="CheckBox" fmlaLink="$A210" lockText="1" noThreeD="1"/>
</file>

<file path=xl/ctrlProps/ctrlProp216.xml><?xml version="1.0" encoding="utf-8"?>
<formControlPr xmlns="http://schemas.microsoft.com/office/spreadsheetml/2009/9/main" objectType="CheckBox" fmlaLink="$A211" lockText="1" noThreeD="1"/>
</file>

<file path=xl/ctrlProps/ctrlProp217.xml><?xml version="1.0" encoding="utf-8"?>
<formControlPr xmlns="http://schemas.microsoft.com/office/spreadsheetml/2009/9/main" objectType="CheckBox" fmlaLink="$A213" lockText="1" noThreeD="1"/>
</file>

<file path=xl/ctrlProps/ctrlProp218.xml><?xml version="1.0" encoding="utf-8"?>
<formControlPr xmlns="http://schemas.microsoft.com/office/spreadsheetml/2009/9/main" objectType="CheckBox" fmlaLink="$A214" lockText="1" noThreeD="1"/>
</file>

<file path=xl/ctrlProps/ctrlProp219.xml><?xml version="1.0" encoding="utf-8"?>
<formControlPr xmlns="http://schemas.microsoft.com/office/spreadsheetml/2009/9/main" objectType="CheckBox" fmlaLink="$A216" lockText="1" noThreeD="1"/>
</file>

<file path=xl/ctrlProps/ctrlProp220.xml><?xml version="1.0" encoding="utf-8"?>
<formControlPr xmlns="http://schemas.microsoft.com/office/spreadsheetml/2009/9/main" objectType="CheckBox" checked="Checked" fmlaLink="#REF!" lockText="1" noThreeD="1"/>
</file>

<file path=xl/ctrlProps/ctrlProp221.xml><?xml version="1.0" encoding="utf-8"?>
<formControlPr xmlns="http://schemas.microsoft.com/office/spreadsheetml/2009/9/main" objectType="CheckBox" fmlaLink="$A219" lockText="1" noThreeD="1"/>
</file>

<file path=xl/ctrlProps/ctrlProp222.xml><?xml version="1.0" encoding="utf-8"?>
<formControlPr xmlns="http://schemas.microsoft.com/office/spreadsheetml/2009/9/main" objectType="CheckBox" fmlaLink="$A220" lockText="1" noThreeD="1"/>
</file>

<file path=xl/ctrlProps/ctrlProp223.xml><?xml version="1.0" encoding="utf-8"?>
<formControlPr xmlns="http://schemas.microsoft.com/office/spreadsheetml/2009/9/main" objectType="CheckBox" fmlaLink="$A221" lockText="1" noThreeD="1"/>
</file>

<file path=xl/ctrlProps/ctrlProp224.xml><?xml version="1.0" encoding="utf-8"?>
<formControlPr xmlns="http://schemas.microsoft.com/office/spreadsheetml/2009/9/main" objectType="CheckBox" fmlaLink="A$222" lockText="1" noThreeD="1"/>
</file>

<file path=xl/ctrlProps/ctrlProp225.xml><?xml version="1.0" encoding="utf-8"?>
<formControlPr xmlns="http://schemas.microsoft.com/office/spreadsheetml/2009/9/main" objectType="CheckBox" fmlaLink="A$223" lockText="1" noThreeD="1"/>
</file>

<file path=xl/ctrlProps/ctrlProp226.xml><?xml version="1.0" encoding="utf-8"?>
<formControlPr xmlns="http://schemas.microsoft.com/office/spreadsheetml/2009/9/main" objectType="CheckBox" fmlaLink="A$224" lockText="1" noThreeD="1"/>
</file>

<file path=xl/ctrlProps/ctrlProp227.xml><?xml version="1.0" encoding="utf-8"?>
<formControlPr xmlns="http://schemas.microsoft.com/office/spreadsheetml/2009/9/main" objectType="CheckBox" fmlaLink="$A$24" lockText="1" noThreeD="1"/>
</file>

<file path=xl/ctrlProps/ctrlProp228.xml><?xml version="1.0" encoding="utf-8"?>
<formControlPr xmlns="http://schemas.microsoft.com/office/spreadsheetml/2009/9/main" objectType="CheckBox" fmlaLink="$A$56" lockText="1" noThreeD="1"/>
</file>

<file path=xl/ctrlProps/ctrlProp229.xml><?xml version="1.0" encoding="utf-8"?>
<formControlPr xmlns="http://schemas.microsoft.com/office/spreadsheetml/2009/9/main" objectType="CheckBox" fmlaLink="$A$55" noThreeD="1"/>
</file>

<file path=xl/ctrlProps/ctrlProp230.xml><?xml version="1.0" encoding="utf-8"?>
<formControlPr xmlns="http://schemas.microsoft.com/office/spreadsheetml/2009/9/main" objectType="CheckBox" fmlaLink="$A$58" noThreeD="1"/>
</file>

<file path=xl/ctrlProps/ctrlProp231.xml><?xml version="1.0" encoding="utf-8"?>
<formControlPr xmlns="http://schemas.microsoft.com/office/spreadsheetml/2009/9/main" objectType="CheckBox" fmlaLink="$A$59" noThreeD="1"/>
</file>

<file path=xl/ctrlProps/ctrlProp232.xml><?xml version="1.0" encoding="utf-8"?>
<formControlPr xmlns="http://schemas.microsoft.com/office/spreadsheetml/2009/9/main" objectType="CheckBox" fmlaLink="$A$61" noThreeD="1"/>
</file>

<file path=xl/ctrlProps/ctrlProp233.xml><?xml version="1.0" encoding="utf-8"?>
<formControlPr xmlns="http://schemas.microsoft.com/office/spreadsheetml/2009/9/main" objectType="CheckBox" fmlaLink="$A$60" noThreeD="1"/>
</file>

<file path=xl/ctrlProps/ctrlProp234.xml><?xml version="1.0" encoding="utf-8"?>
<formControlPr xmlns="http://schemas.microsoft.com/office/spreadsheetml/2009/9/main" objectType="CheckBox" fmlaLink="$A$67" noThreeD="1"/>
</file>

<file path=xl/ctrlProps/ctrlProp235.xml><?xml version="1.0" encoding="utf-8"?>
<formControlPr xmlns="http://schemas.microsoft.com/office/spreadsheetml/2009/9/main" objectType="CheckBox" fmlaLink="$A$68" lockText="1" noThreeD="1"/>
</file>

<file path=xl/ctrlProps/ctrlProp236.xml><?xml version="1.0" encoding="utf-8"?>
<formControlPr xmlns="http://schemas.microsoft.com/office/spreadsheetml/2009/9/main" objectType="CheckBox" fmlaLink="$A$36" lockText="1" noThreeD="1"/>
</file>

<file path=xl/ctrlProps/ctrlProp237.xml><?xml version="1.0" encoding="utf-8"?>
<formControlPr xmlns="http://schemas.microsoft.com/office/spreadsheetml/2009/9/main" objectType="CheckBox" fmlaLink="$A$178" lockText="1" noThreeD="1"/>
</file>

<file path=xl/ctrlProps/ctrlProp238.xml><?xml version="1.0" encoding="utf-8"?>
<formControlPr xmlns="http://schemas.microsoft.com/office/spreadsheetml/2009/9/main" objectType="CheckBox" fmlaLink="$A$179" lockText="1" noThreeD="1"/>
</file>

<file path=xl/ctrlProps/ctrlProp239.xml><?xml version="1.0" encoding="utf-8"?>
<formControlPr xmlns="http://schemas.microsoft.com/office/spreadsheetml/2009/9/main" objectType="CheckBox" fmlaLink="$A$180" lockText="1" noThreeD="1"/>
</file>

<file path=xl/ctrlProps/ctrlProp240.xml><?xml version="1.0" encoding="utf-8"?>
<formControlPr xmlns="http://schemas.microsoft.com/office/spreadsheetml/2009/9/main" objectType="CheckBox" fmlaLink="$A$181" lockText="1" noThreeD="1"/>
</file>

<file path=xl/ctrlProps/ctrlProp241.xml><?xml version="1.0" encoding="utf-8"?>
<formControlPr xmlns="http://schemas.microsoft.com/office/spreadsheetml/2009/9/main" objectType="CheckBox" fmlaLink="$A$182" lockText="1" noThreeD="1"/>
</file>

<file path=xl/ctrlProps/ctrlProp242.xml><?xml version="1.0" encoding="utf-8"?>
<formControlPr xmlns="http://schemas.microsoft.com/office/spreadsheetml/2009/9/main" objectType="CheckBox" fmlaLink="$A$183" lockText="1" noThreeD="1"/>
</file>

<file path=xl/ctrlProps/ctrlProp243.xml><?xml version="1.0" encoding="utf-8"?>
<formControlPr xmlns="http://schemas.microsoft.com/office/spreadsheetml/2009/9/main" objectType="CheckBox" fmlaLink="$A$184" lockText="1" noThreeD="1"/>
</file>

<file path=xl/ctrlProps/ctrlProp244.xml><?xml version="1.0" encoding="utf-8"?>
<formControlPr xmlns="http://schemas.microsoft.com/office/spreadsheetml/2009/9/main" objectType="CheckBox" fmlaLink="$A$186" lockText="1" noThreeD="1"/>
</file>

<file path=xl/ctrlProps/ctrlProp245.xml><?xml version="1.0" encoding="utf-8"?>
<formControlPr xmlns="http://schemas.microsoft.com/office/spreadsheetml/2009/9/main" objectType="CheckBox" fmlaLink="$A$187" lockText="1" noThreeD="1"/>
</file>

<file path=xl/ctrlProps/ctrlProp246.xml><?xml version="1.0" encoding="utf-8"?>
<formControlPr xmlns="http://schemas.microsoft.com/office/spreadsheetml/2009/9/main" objectType="CheckBox" fmlaLink="$A$189" lockText="1" noThreeD="1"/>
</file>

<file path=xl/ctrlProps/ctrlProp247.xml><?xml version="1.0" encoding="utf-8"?>
<formControlPr xmlns="http://schemas.microsoft.com/office/spreadsheetml/2009/9/main" objectType="CheckBox" fmlaLink="$A$190" lockText="1" noThreeD="1"/>
</file>

<file path=xl/ctrlProps/ctrlProp248.xml><?xml version="1.0" encoding="utf-8"?>
<formControlPr xmlns="http://schemas.microsoft.com/office/spreadsheetml/2009/9/main" objectType="CheckBox" fmlaLink="$A$191" lockText="1" noThreeD="1"/>
</file>

<file path=xl/ctrlProps/ctrlProp249.xml><?xml version="1.0" encoding="utf-8"?>
<formControlPr xmlns="http://schemas.microsoft.com/office/spreadsheetml/2009/9/main" objectType="CheckBox" fmlaLink="$A$192" lockText="1" noThreeD="1"/>
</file>

<file path=xl/ctrlProps/ctrlProp250.xml><?xml version="1.0" encoding="utf-8"?>
<formControlPr xmlns="http://schemas.microsoft.com/office/spreadsheetml/2009/9/main" objectType="CheckBox" fmlaLink="$A$128" noThreeD="1"/>
</file>

<file path=xl/ctrlProps/ctrlProp251.xml><?xml version="1.0" encoding="utf-8"?>
<formControlPr xmlns="http://schemas.microsoft.com/office/spreadsheetml/2009/9/main" objectType="CheckBox" fmlaLink="$A$129" lockText="1" noThreeD="1"/>
</file>

<file path=xl/ctrlProps/ctrlProp252.xml><?xml version="1.0" encoding="utf-8"?>
<formControlPr xmlns="http://schemas.microsoft.com/office/spreadsheetml/2009/9/main" objectType="CheckBox" fmlaLink="$A$130" lockText="1" noThreeD="1"/>
</file>

<file path=xl/ctrlProps/ctrlProp253.xml><?xml version="1.0" encoding="utf-8"?>
<formControlPr xmlns="http://schemas.microsoft.com/office/spreadsheetml/2009/9/main" objectType="CheckBox" fmlaLink="$A$188" lockText="1" noThreeD="1"/>
</file>

<file path=xl/ctrlProps/ctrlProp254.xml><?xml version="1.0" encoding="utf-8"?>
<formControlPr xmlns="http://schemas.microsoft.com/office/spreadsheetml/2009/9/main" objectType="CheckBox" fmlaLink="$A140" lockText="1" noThreeD="1"/>
</file>

<file path=xl/ctrlProps/ctrlProp255.xml><?xml version="1.0" encoding="utf-8"?>
<formControlPr xmlns="http://schemas.microsoft.com/office/spreadsheetml/2009/9/main" objectType="CheckBox" fmlaLink="$A$199" lockText="1" noThreeD="1"/>
</file>

<file path=xl/ctrlProps/ctrlProp256.xml><?xml version="1.0" encoding="utf-8"?>
<formControlPr xmlns="http://schemas.microsoft.com/office/spreadsheetml/2009/9/main" objectType="CheckBox" fmlaLink="$A$44" lockText="1" noThreeD="1"/>
</file>

<file path=xl/ctrlProps/ctrlProp257.xml><?xml version="1.0" encoding="utf-8"?>
<formControlPr xmlns="http://schemas.microsoft.com/office/spreadsheetml/2009/9/main" objectType="CheckBox" fmlaLink="$A$110" lockText="1" noThreeD="1"/>
</file>

<file path=xl/ctrlProps/ctrlProp258.xml><?xml version="1.0" encoding="utf-8"?>
<formControlPr xmlns="http://schemas.microsoft.com/office/spreadsheetml/2009/9/main" objectType="CheckBox" fmlaLink="$A$111" lockText="1" noThreeD="1"/>
</file>

<file path=xl/ctrlProps/ctrlProp259.xml><?xml version="1.0" encoding="utf-8"?>
<formControlPr xmlns="http://schemas.microsoft.com/office/spreadsheetml/2009/9/main" objectType="CheckBox" fmlaLink="$A138" lockText="1" noThreeD="1"/>
</file>

<file path=xl/ctrlProps/ctrlProp260.xml><?xml version="1.0" encoding="utf-8"?>
<formControlPr xmlns="http://schemas.microsoft.com/office/spreadsheetml/2009/9/main" objectType="CheckBox" fmlaLink="$A139" lockText="1" noThreeD="1"/>
</file>

<file path=xl/ctrlProps/ctrlProp261.xml><?xml version="1.0" encoding="utf-8"?>
<formControlPr xmlns="http://schemas.microsoft.com/office/spreadsheetml/2009/9/main" objectType="CheckBox" fmlaLink="$A$115" lockText="1" noThreeD="1"/>
</file>

<file path=xl/ctrlProps/ctrlProp262.xml><?xml version="1.0" encoding="utf-8"?>
<formControlPr xmlns="http://schemas.microsoft.com/office/spreadsheetml/2009/9/main" objectType="CheckBox" fmlaLink="$A$114" lockText="1" noThreeD="1"/>
</file>

<file path=xl/ctrlProps/ctrlProp263.xml><?xml version="1.0" encoding="utf-8"?>
<formControlPr xmlns="http://schemas.microsoft.com/office/spreadsheetml/2009/9/main" objectType="CheckBox" fmlaLink="$A$114" lockText="1" noThreeD="1"/>
</file>

<file path=xl/ctrlProps/ctrlProp264.xml><?xml version="1.0" encoding="utf-8"?>
<formControlPr xmlns="http://schemas.microsoft.com/office/spreadsheetml/2009/9/main" objectType="CheckBox" fmlaLink="$A$116" lockText="1" noThreeD="1"/>
</file>

<file path=xl/ctrlProps/ctrlProp265.xml><?xml version="1.0" encoding="utf-8"?>
<formControlPr xmlns="http://schemas.microsoft.com/office/spreadsheetml/2009/9/main" objectType="CheckBox" fmlaLink="$A$115" lockText="1" noThreeD="1"/>
</file>

<file path=xl/ctrlProps/ctrlProp266.xml><?xml version="1.0" encoding="utf-8"?>
<formControlPr xmlns="http://schemas.microsoft.com/office/spreadsheetml/2009/9/main" objectType="CheckBox" fmlaLink="$A$85" noThreeD="1"/>
</file>

<file path=xl/ctrlProps/ctrlProp267.xml><?xml version="1.0" encoding="utf-8"?>
<formControlPr xmlns="http://schemas.microsoft.com/office/spreadsheetml/2009/9/main" objectType="CheckBox" fmlaLink="$A$85" noThreeD="1"/>
</file>

<file path=xl/ctrlProps/ctrlProp268.xml><?xml version="1.0" encoding="utf-8"?>
<formControlPr xmlns="http://schemas.microsoft.com/office/spreadsheetml/2009/9/main" objectType="CheckBox" fmlaLink="$A$86" noThreeD="1"/>
</file>

<file path=xl/ctrlProps/ctrlProp269.xml><?xml version="1.0" encoding="utf-8"?>
<formControlPr xmlns="http://schemas.microsoft.com/office/spreadsheetml/2009/9/main" objectType="CheckBox" fmlaLink="#REF!" lockText="1" noThreeD="1"/>
</file>

<file path=xl/ctrlProps/ctrlProp270.xml><?xml version="1.0" encoding="utf-8"?>
<formControlPr xmlns="http://schemas.microsoft.com/office/spreadsheetml/2009/9/main" objectType="CheckBox" fmlaLink="$A$181" lockText="1" noThreeD="1"/>
</file>

<file path=xl/ctrlProps/ctrlProp271.xml><?xml version="1.0" encoding="utf-8"?>
<formControlPr xmlns="http://schemas.microsoft.com/office/spreadsheetml/2009/9/main" objectType="CheckBox" fmlaLink="$A$185" lockText="1" noThreeD="1"/>
</file>

<file path=xl/ctrlProps/ctrlProp272.xml><?xml version="1.0" encoding="utf-8"?>
<formControlPr xmlns="http://schemas.microsoft.com/office/spreadsheetml/2009/9/main" objectType="CheckBox" fmlaLink="$A208" lockText="1" noThreeD="1"/>
</file>

<file path=xl/ctrlProps/ctrlProp273.xml><?xml version="1.0" encoding="utf-8"?>
<formControlPr xmlns="http://schemas.microsoft.com/office/spreadsheetml/2009/9/main" objectType="CheckBox" fmlaLink="$A$104" lockText="1" noThreeD="1"/>
</file>

<file path=xl/ctrlProps/ctrlProp274.xml><?xml version="1.0" encoding="utf-8"?>
<formControlPr xmlns="http://schemas.microsoft.com/office/spreadsheetml/2009/9/main" objectType="CheckBox" fmlaLink="$A$105" lockText="1" noThreeD="1"/>
</file>

<file path=xl/ctrlProps/ctrlProp275.xml><?xml version="1.0" encoding="utf-8"?>
<formControlPr xmlns="http://schemas.microsoft.com/office/spreadsheetml/2009/9/main" objectType="CheckBox" checked="Checked" fmlaLink="$A$23" lockText="1" noThreeD="1"/>
</file>

<file path=xl/ctrlProps/ctrlProp276.xml><?xml version="1.0" encoding="utf-8"?>
<formControlPr xmlns="http://schemas.microsoft.com/office/spreadsheetml/2009/9/main" objectType="CheckBox" checked="Checked" fmlaLink="$A$23" lockText="1" noThreeD="1"/>
</file>

<file path=xl/ctrlProps/ctrlProp277.xml><?xml version="1.0" encoding="utf-8"?>
<formControlPr xmlns="http://schemas.microsoft.com/office/spreadsheetml/2009/9/main" objectType="CheckBox" checked="Checked" fmlaLink="$A$23" lockText="1" noThreeD="1"/>
</file>

<file path=xl/ctrlProps/ctrlProp278.xml><?xml version="1.0" encoding="utf-8"?>
<formControlPr xmlns="http://schemas.microsoft.com/office/spreadsheetml/2009/9/main" objectType="CheckBox" fmlaLink="$A$21" lockText="1" noThreeD="1"/>
</file>

<file path=xl/ctrlProps/ctrlProp279.xml><?xml version="1.0" encoding="utf-8"?>
<formControlPr xmlns="http://schemas.microsoft.com/office/spreadsheetml/2009/9/main" objectType="CheckBox" checked="Checked" fmlaLink="$A$23" lockText="1" noThreeD="1"/>
</file>

<file path=xl/ctrlProps/ctrlProp280.xml><?xml version="1.0" encoding="utf-8"?>
<formControlPr xmlns="http://schemas.microsoft.com/office/spreadsheetml/2009/9/main" objectType="CheckBox" checked="Checked" fmlaLink="$A$23" lockText="1" noThreeD="1"/>
</file>

<file path=xl/ctrlProps/ctrlProp281.xml><?xml version="1.0" encoding="utf-8"?>
<formControlPr xmlns="http://schemas.microsoft.com/office/spreadsheetml/2009/9/main" objectType="CheckBox" checked="Checked" fmlaLink="$A$23" lockText="1" noThreeD="1"/>
</file>

<file path=xl/ctrlProps/ctrlProp282.xml><?xml version="1.0" encoding="utf-8"?>
<formControlPr xmlns="http://schemas.microsoft.com/office/spreadsheetml/2009/9/main" objectType="CheckBox" fmlaLink="$A$22" lockText="1" noThreeD="1"/>
</file>

<file path=xl/ctrlProps/ctrlProp283.xml><?xml version="1.0" encoding="utf-8"?>
<formControlPr xmlns="http://schemas.microsoft.com/office/spreadsheetml/2009/9/main" objectType="CheckBox" checked="Checked" fmlaLink="$A$23" lockText="1" noThreeD="1"/>
</file>

<file path=xl/ctrlProps/ctrlProp284.xml><?xml version="1.0" encoding="utf-8"?>
<formControlPr xmlns="http://schemas.microsoft.com/office/spreadsheetml/2009/9/main" objectType="CheckBox" checked="Checked" fmlaLink="$A$23" lockText="1" noThreeD="1"/>
</file>

<file path=xl/ctrlProps/ctrlProp285.xml><?xml version="1.0" encoding="utf-8"?>
<formControlPr xmlns="http://schemas.microsoft.com/office/spreadsheetml/2009/9/main" objectType="CheckBox" checked="Checked" fmlaLink="$A$23" lockText="1" noThreeD="1"/>
</file>

<file path=xl/ctrlProps/ctrlProp286.xml><?xml version="1.0" encoding="utf-8"?>
<formControlPr xmlns="http://schemas.microsoft.com/office/spreadsheetml/2009/9/main" objectType="CheckBox" checked="Checked" fmlaLink="$A$23" lockText="1" noThreeD="1"/>
</file>

<file path=xl/ctrlProps/ctrlProp287.xml><?xml version="1.0" encoding="utf-8"?>
<formControlPr xmlns="http://schemas.microsoft.com/office/spreadsheetml/2009/9/main" objectType="CheckBox" lockText="1" noThreeD="1"/>
</file>

<file path=xl/ctrlProps/ctrlProp288.xml><?xml version="1.0" encoding="utf-8"?>
<formControlPr xmlns="http://schemas.microsoft.com/office/spreadsheetml/2009/9/main" objectType="CheckBox" lockText="1" noThreeD="1"/>
</file>

<file path=xl/ctrlProps/ctrlProp289.xml><?xml version="1.0" encoding="utf-8"?>
<formControlPr xmlns="http://schemas.microsoft.com/office/spreadsheetml/2009/9/main" objectType="CheckBox" lockText="1" noThreeD="1"/>
</file>

<file path=xl/ctrlProps/ctrlProp290.xml><?xml version="1.0" encoding="utf-8"?>
<formControlPr xmlns="http://schemas.microsoft.com/office/spreadsheetml/2009/9/main" objectType="CheckBox" lockText="1" noThreeD="1"/>
</file>

<file path=xl/ctrlProps/ctrlProp291.xml><?xml version="1.0" encoding="utf-8"?>
<formControlPr xmlns="http://schemas.microsoft.com/office/spreadsheetml/2009/9/main" objectType="CheckBox" lockText="1" noThreeD="1"/>
</file>

<file path=xl/ctrlProps/ctrlProp292.xml><?xml version="1.0" encoding="utf-8"?>
<formControlPr xmlns="http://schemas.microsoft.com/office/spreadsheetml/2009/9/main" objectType="CheckBox" lockText="1" noThreeD="1"/>
</file>

<file path=xl/ctrlProps/ctrlProp293.xml><?xml version="1.0" encoding="utf-8"?>
<formControlPr xmlns="http://schemas.microsoft.com/office/spreadsheetml/2009/9/main" objectType="CheckBox" lockText="1" noThreeD="1"/>
</file>

<file path=xl/ctrlProps/ctrlProp294.xml><?xml version="1.0" encoding="utf-8"?>
<formControlPr xmlns="http://schemas.microsoft.com/office/spreadsheetml/2009/9/main" objectType="CheckBox" lockText="1" noThreeD="1"/>
</file>

<file path=xl/ctrlProps/ctrlProp295.xml><?xml version="1.0" encoding="utf-8"?>
<formControlPr xmlns="http://schemas.microsoft.com/office/spreadsheetml/2009/9/main" objectType="CheckBox" lockText="1" noThreeD="1"/>
</file>

<file path=xl/ctrlProps/ctrlProp296.xml><?xml version="1.0" encoding="utf-8"?>
<formControlPr xmlns="http://schemas.microsoft.com/office/spreadsheetml/2009/9/main" objectType="CheckBox" lockText="1" noThreeD="1"/>
</file>

<file path=xl/ctrlProps/ctrlProp297.xml><?xml version="1.0" encoding="utf-8"?>
<formControlPr xmlns="http://schemas.microsoft.com/office/spreadsheetml/2009/9/main" objectType="CheckBox" lockText="1" noThreeD="1"/>
</file>

<file path=xl/ctrlProps/ctrlProp298.xml><?xml version="1.0" encoding="utf-8"?>
<formControlPr xmlns="http://schemas.microsoft.com/office/spreadsheetml/2009/9/main" objectType="CheckBox" lockText="1" noThreeD="1"/>
</file>

<file path=xl/ctrlProps/ctrlProp299.xml><?xml version="1.0" encoding="utf-8"?>
<formControlPr xmlns="http://schemas.microsoft.com/office/spreadsheetml/2009/9/main" objectType="CheckBox" lockText="1" noThreeD="1"/>
</file>

<file path=xl/ctrlProps/ctrlProp300.xml><?xml version="1.0" encoding="utf-8"?>
<formControlPr xmlns="http://schemas.microsoft.com/office/spreadsheetml/2009/9/main" objectType="CheckBox" lockText="1" noThreeD="1"/>
</file>

<file path=xl/ctrlProps/ctrlProp301.xml><?xml version="1.0" encoding="utf-8"?>
<formControlPr xmlns="http://schemas.microsoft.com/office/spreadsheetml/2009/9/main" objectType="CheckBox" lockText="1" noThreeD="1"/>
</file>

<file path=xl/ctrlProps/ctrlProp302.xml><?xml version="1.0" encoding="utf-8"?>
<formControlPr xmlns="http://schemas.microsoft.com/office/spreadsheetml/2009/9/main" objectType="CheckBox" lockText="1" noThreeD="1"/>
</file>

<file path=xl/ctrlProps/ctrlProp303.xml><?xml version="1.0" encoding="utf-8"?>
<formControlPr xmlns="http://schemas.microsoft.com/office/spreadsheetml/2009/9/main" objectType="CheckBox" lockText="1" noThreeD="1"/>
</file>

<file path=xl/ctrlProps/ctrlProp304.xml><?xml version="1.0" encoding="utf-8"?>
<formControlPr xmlns="http://schemas.microsoft.com/office/spreadsheetml/2009/9/main" objectType="CheckBox" lockText="1" noThreeD="1"/>
</file>

<file path=xl/ctrlProps/ctrlProp305.xml><?xml version="1.0" encoding="utf-8"?>
<formControlPr xmlns="http://schemas.microsoft.com/office/spreadsheetml/2009/9/main" objectType="CheckBox" lockText="1" noThreeD="1"/>
</file>

<file path=xl/ctrlProps/ctrlProp306.xml><?xml version="1.0" encoding="utf-8"?>
<formControlPr xmlns="http://schemas.microsoft.com/office/spreadsheetml/2009/9/main" objectType="CheckBox" lockText="1" noThreeD="1"/>
</file>

<file path=xl/ctrlProps/ctrlProp307.xml><?xml version="1.0" encoding="utf-8"?>
<formControlPr xmlns="http://schemas.microsoft.com/office/spreadsheetml/2009/9/main" objectType="CheckBox" lockText="1" noThreeD="1"/>
</file>

<file path=xl/ctrlProps/ctrlProp308.xml><?xml version="1.0" encoding="utf-8"?>
<formControlPr xmlns="http://schemas.microsoft.com/office/spreadsheetml/2009/9/main" objectType="CheckBox" lockText="1" noThreeD="1"/>
</file>

<file path=xl/ctrlProps/ctrlProp309.xml><?xml version="1.0" encoding="utf-8"?>
<formControlPr xmlns="http://schemas.microsoft.com/office/spreadsheetml/2009/9/main" objectType="CheckBox" lockText="1" noThreeD="1"/>
</file>

<file path=xl/ctrlProps/ctrlProp310.xml><?xml version="1.0" encoding="utf-8"?>
<formControlPr xmlns="http://schemas.microsoft.com/office/spreadsheetml/2009/9/main" objectType="CheckBox" lockText="1" noThreeD="1"/>
</file>

<file path=xl/ctrlProps/ctrlProp311.xml><?xml version="1.0" encoding="utf-8"?>
<formControlPr xmlns="http://schemas.microsoft.com/office/spreadsheetml/2009/9/main" objectType="CheckBox" lockText="1" noThreeD="1"/>
</file>

<file path=xl/ctrlProps/ctrlProp312.xml><?xml version="1.0" encoding="utf-8"?>
<formControlPr xmlns="http://schemas.microsoft.com/office/spreadsheetml/2009/9/main" objectType="CheckBox" lockText="1" noThreeD="1"/>
</file>

<file path=xl/ctrlProps/ctrlProp313.xml><?xml version="1.0" encoding="utf-8"?>
<formControlPr xmlns="http://schemas.microsoft.com/office/spreadsheetml/2009/9/main" objectType="CheckBox" lockText="1" noThreeD="1"/>
</file>

<file path=xl/ctrlProps/ctrlProp314.xml><?xml version="1.0" encoding="utf-8"?>
<formControlPr xmlns="http://schemas.microsoft.com/office/spreadsheetml/2009/9/main" objectType="CheckBox" lockText="1" noThreeD="1"/>
</file>

<file path=xl/ctrlProps/ctrlProp315.xml><?xml version="1.0" encoding="utf-8"?>
<formControlPr xmlns="http://schemas.microsoft.com/office/spreadsheetml/2009/9/main" objectType="CheckBox" lockText="1" noThreeD="1"/>
</file>

<file path=xl/ctrlProps/ctrlProp316.xml><?xml version="1.0" encoding="utf-8"?>
<formControlPr xmlns="http://schemas.microsoft.com/office/spreadsheetml/2009/9/main" objectType="CheckBox" lockText="1" noThreeD="1"/>
</file>

<file path=xl/ctrlProps/ctrlProp317.xml><?xml version="1.0" encoding="utf-8"?>
<formControlPr xmlns="http://schemas.microsoft.com/office/spreadsheetml/2009/9/main" objectType="CheckBox" lockText="1" noThreeD="1"/>
</file>

<file path=xl/ctrlProps/ctrlProp318.xml><?xml version="1.0" encoding="utf-8"?>
<formControlPr xmlns="http://schemas.microsoft.com/office/spreadsheetml/2009/9/main" objectType="CheckBox" lockText="1" noThreeD="1"/>
</file>

<file path=xl/ctrlProps/ctrlProp319.xml><?xml version="1.0" encoding="utf-8"?>
<formControlPr xmlns="http://schemas.microsoft.com/office/spreadsheetml/2009/9/main" objectType="CheckBox" lockText="1" noThreeD="1"/>
</file>

<file path=xl/ctrlProps/ctrlProp320.xml><?xml version="1.0" encoding="utf-8"?>
<formControlPr xmlns="http://schemas.microsoft.com/office/spreadsheetml/2009/9/main" objectType="CheckBox" lockText="1" noThreeD="1"/>
</file>

<file path=xl/ctrlProps/ctrlProp321.xml><?xml version="1.0" encoding="utf-8"?>
<formControlPr xmlns="http://schemas.microsoft.com/office/spreadsheetml/2009/9/main" objectType="CheckBox" lockText="1" noThreeD="1"/>
</file>

<file path=xl/ctrlProps/ctrlProp322.xml><?xml version="1.0" encoding="utf-8"?>
<formControlPr xmlns="http://schemas.microsoft.com/office/spreadsheetml/2009/9/main" objectType="CheckBox" lockText="1" noThreeD="1"/>
</file>

<file path=xl/ctrlProps/ctrlProp323.xml><?xml version="1.0" encoding="utf-8"?>
<formControlPr xmlns="http://schemas.microsoft.com/office/spreadsheetml/2009/9/main" objectType="CheckBox" lockText="1" noThreeD="1"/>
</file>

<file path=xl/ctrlProps/ctrlProp324.xml><?xml version="1.0" encoding="utf-8"?>
<formControlPr xmlns="http://schemas.microsoft.com/office/spreadsheetml/2009/9/main" objectType="CheckBox" lockText="1" noThreeD="1"/>
</file>

<file path=xl/ctrlProps/ctrlProp325.xml><?xml version="1.0" encoding="utf-8"?>
<formControlPr xmlns="http://schemas.microsoft.com/office/spreadsheetml/2009/9/main" objectType="CheckBox" lockText="1" noThreeD="1"/>
</file>

<file path=xl/ctrlProps/ctrlProp326.xml><?xml version="1.0" encoding="utf-8"?>
<formControlPr xmlns="http://schemas.microsoft.com/office/spreadsheetml/2009/9/main" objectType="CheckBox" lockText="1" noThreeD="1"/>
</file>

<file path=xl/ctrlProps/ctrlProp327.xml><?xml version="1.0" encoding="utf-8"?>
<formControlPr xmlns="http://schemas.microsoft.com/office/spreadsheetml/2009/9/main" objectType="CheckBox" lockText="1" noThreeD="1"/>
</file>

<file path=xl/ctrlProps/ctrlProp328.xml><?xml version="1.0" encoding="utf-8"?>
<formControlPr xmlns="http://schemas.microsoft.com/office/spreadsheetml/2009/9/main" objectType="CheckBox" lockText="1" noThreeD="1"/>
</file>

<file path=xl/ctrlProps/ctrlProp329.xml><?xml version="1.0" encoding="utf-8"?>
<formControlPr xmlns="http://schemas.microsoft.com/office/spreadsheetml/2009/9/main" objectType="CheckBox" lockText="1" noThreeD="1"/>
</file>

<file path=xl/ctrlProps/ctrlProp330.xml><?xml version="1.0" encoding="utf-8"?>
<formControlPr xmlns="http://schemas.microsoft.com/office/spreadsheetml/2009/9/main" objectType="CheckBox" lockText="1" noThreeD="1"/>
</file>

<file path=xl/ctrlProps/ctrlProp331.xml><?xml version="1.0" encoding="utf-8"?>
<formControlPr xmlns="http://schemas.microsoft.com/office/spreadsheetml/2009/9/main" objectType="CheckBox" lockText="1" noThreeD="1"/>
</file>

<file path=xl/ctrlProps/ctrlProp332.xml><?xml version="1.0" encoding="utf-8"?>
<formControlPr xmlns="http://schemas.microsoft.com/office/spreadsheetml/2009/9/main" objectType="CheckBox" lockText="1" noThreeD="1"/>
</file>

<file path=xl/ctrlProps/ctrlProp333.xml><?xml version="1.0" encoding="utf-8"?>
<formControlPr xmlns="http://schemas.microsoft.com/office/spreadsheetml/2009/9/main" objectType="CheckBox" lockText="1" noThreeD="1"/>
</file>

<file path=xl/ctrlProps/ctrlProp334.xml><?xml version="1.0" encoding="utf-8"?>
<formControlPr xmlns="http://schemas.microsoft.com/office/spreadsheetml/2009/9/main" objectType="CheckBox" lockText="1" noThreeD="1"/>
</file>

<file path=xl/ctrlProps/ctrlProp335.xml><?xml version="1.0" encoding="utf-8"?>
<formControlPr xmlns="http://schemas.microsoft.com/office/spreadsheetml/2009/9/main" objectType="CheckBox" lockText="1" noThreeD="1"/>
</file>

<file path=xl/ctrlProps/ctrlProp336.xml><?xml version="1.0" encoding="utf-8"?>
<formControlPr xmlns="http://schemas.microsoft.com/office/spreadsheetml/2009/9/main" objectType="CheckBox" lockText="1" noThreeD="1"/>
</file>

<file path=xl/ctrlProps/ctrlProp337.xml><?xml version="1.0" encoding="utf-8"?>
<formControlPr xmlns="http://schemas.microsoft.com/office/spreadsheetml/2009/9/main" objectType="CheckBox" lockText="1" noThreeD="1"/>
</file>

<file path=xl/ctrlProps/ctrlProp338.xml><?xml version="1.0" encoding="utf-8"?>
<formControlPr xmlns="http://schemas.microsoft.com/office/spreadsheetml/2009/9/main" objectType="CheckBox" lockText="1" noThreeD="1"/>
</file>

<file path=xl/ctrlProps/ctrlProp339.xml><?xml version="1.0" encoding="utf-8"?>
<formControlPr xmlns="http://schemas.microsoft.com/office/spreadsheetml/2009/9/main" objectType="CheckBox" lockText="1" noThreeD="1"/>
</file>

<file path=xl/ctrlProps/ctrlProp340.xml><?xml version="1.0" encoding="utf-8"?>
<formControlPr xmlns="http://schemas.microsoft.com/office/spreadsheetml/2009/9/main" objectType="CheckBox" lockText="1" noThreeD="1"/>
</file>

<file path=xl/ctrlProps/ctrlProp341.xml><?xml version="1.0" encoding="utf-8"?>
<formControlPr xmlns="http://schemas.microsoft.com/office/spreadsheetml/2009/9/main" objectType="CheckBox" lockText="1" noThreeD="1"/>
</file>

<file path=xl/ctrlProps/ctrlProp342.xml><?xml version="1.0" encoding="utf-8"?>
<formControlPr xmlns="http://schemas.microsoft.com/office/spreadsheetml/2009/9/main" objectType="CheckBox" lockText="1" noThreeD="1"/>
</file>

<file path=xl/ctrlProps/ctrlProp343.xml><?xml version="1.0" encoding="utf-8"?>
<formControlPr xmlns="http://schemas.microsoft.com/office/spreadsheetml/2009/9/main" objectType="CheckBox" lockText="1" noThreeD="1"/>
</file>

<file path=xl/ctrlProps/ctrlProp344.xml><?xml version="1.0" encoding="utf-8"?>
<formControlPr xmlns="http://schemas.microsoft.com/office/spreadsheetml/2009/9/main" objectType="CheckBox" lockText="1" noThreeD="1"/>
</file>

<file path=xl/ctrlProps/ctrlProp345.xml><?xml version="1.0" encoding="utf-8"?>
<formControlPr xmlns="http://schemas.microsoft.com/office/spreadsheetml/2009/9/main" objectType="CheckBox" lockText="1" noThreeD="1"/>
</file>

<file path=xl/ctrlProps/ctrlProp346.xml><?xml version="1.0" encoding="utf-8"?>
<formControlPr xmlns="http://schemas.microsoft.com/office/spreadsheetml/2009/9/main" objectType="CheckBox" lockText="1" noThreeD="1"/>
</file>

<file path=xl/ctrlProps/ctrlProp347.xml><?xml version="1.0" encoding="utf-8"?>
<formControlPr xmlns="http://schemas.microsoft.com/office/spreadsheetml/2009/9/main" objectType="CheckBox" lockText="1" noThreeD="1"/>
</file>

<file path=xl/ctrlProps/ctrlProp348.xml><?xml version="1.0" encoding="utf-8"?>
<formControlPr xmlns="http://schemas.microsoft.com/office/spreadsheetml/2009/9/main" objectType="CheckBox" checked="Checked" lockText="1" noThreeD="1"/>
</file>

<file path=xl/ctrlProps/ctrlProp349.xml><?xml version="1.0" encoding="utf-8"?>
<formControlPr xmlns="http://schemas.microsoft.com/office/spreadsheetml/2009/9/main" objectType="CheckBox" checked="Checked" lockText="1" noThreeD="1"/>
</file>

<file path=xl/ctrlProps/ctrlProp350.xml><?xml version="1.0" encoding="utf-8"?>
<formControlPr xmlns="http://schemas.microsoft.com/office/spreadsheetml/2009/9/main" objectType="CheckBox" checked="Checked" lockText="1" noThreeD="1"/>
</file>

<file path=xl/ctrlProps/ctrlProp351.xml><?xml version="1.0" encoding="utf-8"?>
<formControlPr xmlns="http://schemas.microsoft.com/office/spreadsheetml/2009/9/main" objectType="CheckBox" checked="Checked" lockText="1" noThreeD="1"/>
</file>

<file path=xl/ctrlProps/ctrlProp352.xml><?xml version="1.0" encoding="utf-8"?>
<formControlPr xmlns="http://schemas.microsoft.com/office/spreadsheetml/2009/9/main" objectType="CheckBox" checked="Checked" lockText="1" noThreeD="1"/>
</file>

<file path=xl/ctrlProps/ctrlProp353.xml><?xml version="1.0" encoding="utf-8"?>
<formControlPr xmlns="http://schemas.microsoft.com/office/spreadsheetml/2009/9/main" objectType="CheckBox" checked="Checked" lockText="1" noThreeD="1"/>
</file>

<file path=xl/ctrlProps/ctrlProp354.xml><?xml version="1.0" encoding="utf-8"?>
<formControlPr xmlns="http://schemas.microsoft.com/office/spreadsheetml/2009/9/main" objectType="CheckBox" checked="Checked" lockText="1" noThreeD="1"/>
</file>

<file path=xl/ctrlProps/ctrlProp355.xml><?xml version="1.0" encoding="utf-8"?>
<formControlPr xmlns="http://schemas.microsoft.com/office/spreadsheetml/2009/9/main" objectType="CheckBox" checked="Checked" lockText="1" noThreeD="1"/>
</file>

<file path=xl/ctrlProps/ctrlProp356.xml><?xml version="1.0" encoding="utf-8"?>
<formControlPr xmlns="http://schemas.microsoft.com/office/spreadsheetml/2009/9/main" objectType="CheckBox" checked="Checked" lockText="1" noThreeD="1"/>
</file>

<file path=xl/ctrlProps/ctrlProp357.xml><?xml version="1.0" encoding="utf-8"?>
<formControlPr xmlns="http://schemas.microsoft.com/office/spreadsheetml/2009/9/main" objectType="CheckBox" checked="Checked" lockText="1" noThreeD="1"/>
</file>

<file path=xl/ctrlProps/ctrlProp358.xml><?xml version="1.0" encoding="utf-8"?>
<formControlPr xmlns="http://schemas.microsoft.com/office/spreadsheetml/2009/9/main" objectType="CheckBox" checked="Checked" lockText="1" noThreeD="1"/>
</file>

<file path=xl/ctrlProps/ctrlProp359.xml><?xml version="1.0" encoding="utf-8"?>
<formControlPr xmlns="http://schemas.microsoft.com/office/spreadsheetml/2009/9/main" objectType="CheckBox" checked="Checked" lockText="1" noThreeD="1"/>
</file>

<file path=xl/ctrlProps/ctrlProp360.xml><?xml version="1.0" encoding="utf-8"?>
<formControlPr xmlns="http://schemas.microsoft.com/office/spreadsheetml/2009/9/main" objectType="CheckBox" checked="Checked" lockText="1" noThreeD="1"/>
</file>

<file path=xl/ctrlProps/ctrlProp361.xml><?xml version="1.0" encoding="utf-8"?>
<formControlPr xmlns="http://schemas.microsoft.com/office/spreadsheetml/2009/9/main" objectType="CheckBox" checked="Checked" lockText="1" noThreeD="1"/>
</file>

<file path=xl/ctrlProps/ctrlProp362.xml><?xml version="1.0" encoding="utf-8"?>
<formControlPr xmlns="http://schemas.microsoft.com/office/spreadsheetml/2009/9/main" objectType="CheckBox" checked="Checked" lockText="1" noThreeD="1"/>
</file>

<file path=xl/ctrlProps/ctrlProp363.xml><?xml version="1.0" encoding="utf-8"?>
<formControlPr xmlns="http://schemas.microsoft.com/office/spreadsheetml/2009/9/main" objectType="CheckBox" checked="Checked" lockText="1" noThreeD="1"/>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7.xml.rels><?xml version="1.0" encoding="UTF-8" standalone="yes"?>
<Relationships xmlns="http://schemas.openxmlformats.org/package/2006/relationships"><Relationship Id="rId1" Type="http://schemas.openxmlformats.org/officeDocument/2006/relationships/chart" Target="../charts/chart3.xml"/></Relationships>
</file>

<file path=xl/drawings/_rels/drawing8.xml.rels><?xml version="1.0" encoding="UTF-8" standalone="yes"?>
<Relationships xmlns="http://schemas.openxmlformats.org/package/2006/relationships"><Relationship Id="rId1" Type="http://schemas.openxmlformats.org/officeDocument/2006/relationships/chart" Target="../charts/chart4.xml"/></Relationships>
</file>

<file path=xl/drawings/_rels/drawing9.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image" Target="../media/image5.jpeg"/></Relationships>
</file>

<file path=xl/drawings/_rels/drawing11.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image" Target="../media/image6.png"/><Relationship Id="rId1" Type="http://schemas.openxmlformats.org/officeDocument/2006/relationships/image" Target="../media/image5.jpeg"/></Relationships>
</file>

<file path=xl/drawings/_rels/drawing1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image" Target="../media/image5.jpeg"/><Relationship Id="rId1" Type="http://schemas.openxmlformats.org/officeDocument/2006/relationships/image" Target="../media/image7.png"/></Relationships>
</file>

<file path=xl/drawings/_rels/drawing13.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image" Target="../media/image5.jpeg"/></Relationships>
</file>

<file path=xl/drawings/_rels/drawing14.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image" Target="../media/image5.jpeg"/></Relationships>
</file>

<file path=xl/drawings/_rels/drawing15.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image" Target="../media/image5.jpeg"/></Relationships>
</file>

<file path=xl/drawings/_rels/drawing1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7.xml.rels><?xml version="1.0" encoding="UTF-8" standalone="yes"?>
<Relationships xmlns="http://schemas.openxmlformats.org/package/2006/relationships"><Relationship Id="rId1" Type="http://schemas.openxmlformats.org/officeDocument/2006/relationships/image" Target="../media/image9.jpg"/></Relationships>
</file>

<file path=xl/drawings/_rels/vmlDrawing5.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7.v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1.emf"/></Relationships>
</file>

<file path=xl/drawings/_rels/vmlDrawing8.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9.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absoluteAnchor>
    <xdr:pos x="0" y="0"/>
    <xdr:ext cx="8667750" cy="6296025"/>
    <xdr:graphicFrame macro="">
      <xdr:nvGraphicFramePr>
        <xdr:cNvPr id="2" name="Chart 1">
          <a:extLst>
            <a:ext uri="{FF2B5EF4-FFF2-40B4-BE49-F238E27FC236}">
              <a16:creationId xmlns:a16="http://schemas.microsoft.com/office/drawing/2014/main" id="{00000000-0008-0000-00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absoluteAnchor>
    <xdr:pos x="0" y="0"/>
    <xdr:ext cx="8582025" cy="5619750"/>
    <xdr:graphicFrame macro="">
      <xdr:nvGraphicFramePr>
        <xdr:cNvPr id="2" name="Chart 1">
          <a:extLst>
            <a:ext uri="{FF2B5EF4-FFF2-40B4-BE49-F238E27FC236}">
              <a16:creationId xmlns:a16="http://schemas.microsoft.com/office/drawing/2014/main" id="{00000000-0008-0000-01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1400175</xdr:colOff>
          <xdr:row>5</xdr:row>
          <xdr:rowOff>171450</xdr:rowOff>
        </xdr:from>
        <xdr:to>
          <xdr:col>3</xdr:col>
          <xdr:colOff>1790700</xdr:colOff>
          <xdr:row>7</xdr:row>
          <xdr:rowOff>19050</xdr:rowOff>
        </xdr:to>
        <xdr:sp macro="" textlink="">
          <xdr:nvSpPr>
            <xdr:cNvPr id="263169" name="Check Box 1" hidden="1">
              <a:extLst>
                <a:ext uri="{63B3BB69-23CF-44E3-9099-C40C66FF867C}">
                  <a14:compatExt spid="_x0000_s263169"/>
                </a:ext>
                <a:ext uri="{FF2B5EF4-FFF2-40B4-BE49-F238E27FC236}">
                  <a16:creationId xmlns:a16="http://schemas.microsoft.com/office/drawing/2014/main" id="{00000000-0008-0000-0400-00000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19</xdr:row>
          <xdr:rowOff>0</xdr:rowOff>
        </xdr:from>
        <xdr:to>
          <xdr:col>3</xdr:col>
          <xdr:colOff>1743075</xdr:colOff>
          <xdr:row>30</xdr:row>
          <xdr:rowOff>0</xdr:rowOff>
        </xdr:to>
        <xdr:sp macro="" textlink="">
          <xdr:nvSpPr>
            <xdr:cNvPr id="263177" name="Check Box 9" hidden="1">
              <a:extLst>
                <a:ext uri="{63B3BB69-23CF-44E3-9099-C40C66FF867C}">
                  <a14:compatExt spid="_x0000_s263177"/>
                </a:ext>
                <a:ext uri="{FF2B5EF4-FFF2-40B4-BE49-F238E27FC236}">
                  <a16:creationId xmlns:a16="http://schemas.microsoft.com/office/drawing/2014/main" id="{00000000-0008-0000-0400-00000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20</xdr:row>
          <xdr:rowOff>9525</xdr:rowOff>
        </xdr:from>
        <xdr:to>
          <xdr:col>3</xdr:col>
          <xdr:colOff>1628775</xdr:colOff>
          <xdr:row>30</xdr:row>
          <xdr:rowOff>0</xdr:rowOff>
        </xdr:to>
        <xdr:sp macro="" textlink="">
          <xdr:nvSpPr>
            <xdr:cNvPr id="263178" name="Check Box 10" hidden="1">
              <a:extLst>
                <a:ext uri="{63B3BB69-23CF-44E3-9099-C40C66FF867C}">
                  <a14:compatExt spid="_x0000_s263178"/>
                </a:ext>
                <a:ext uri="{FF2B5EF4-FFF2-40B4-BE49-F238E27FC236}">
                  <a16:creationId xmlns:a16="http://schemas.microsoft.com/office/drawing/2014/main" id="{00000000-0008-0000-0400-00000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20</xdr:row>
          <xdr:rowOff>171450</xdr:rowOff>
        </xdr:from>
        <xdr:to>
          <xdr:col>3</xdr:col>
          <xdr:colOff>1714500</xdr:colOff>
          <xdr:row>30</xdr:row>
          <xdr:rowOff>28575</xdr:rowOff>
        </xdr:to>
        <xdr:sp macro="" textlink="">
          <xdr:nvSpPr>
            <xdr:cNvPr id="263179" name="Check Box 11" hidden="1">
              <a:extLst>
                <a:ext uri="{63B3BB69-23CF-44E3-9099-C40C66FF867C}">
                  <a14:compatExt spid="_x0000_s263179"/>
                </a:ext>
                <a:ext uri="{FF2B5EF4-FFF2-40B4-BE49-F238E27FC236}">
                  <a16:creationId xmlns:a16="http://schemas.microsoft.com/office/drawing/2014/main" id="{00000000-0008-0000-0400-00000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21</xdr:row>
          <xdr:rowOff>180975</xdr:rowOff>
        </xdr:from>
        <xdr:to>
          <xdr:col>3</xdr:col>
          <xdr:colOff>1638300</xdr:colOff>
          <xdr:row>29</xdr:row>
          <xdr:rowOff>180975</xdr:rowOff>
        </xdr:to>
        <xdr:sp macro="" textlink="">
          <xdr:nvSpPr>
            <xdr:cNvPr id="263180" name="Check Box 12" hidden="1">
              <a:extLst>
                <a:ext uri="{63B3BB69-23CF-44E3-9099-C40C66FF867C}">
                  <a14:compatExt spid="_x0000_s263180"/>
                </a:ext>
                <a:ext uri="{FF2B5EF4-FFF2-40B4-BE49-F238E27FC236}">
                  <a16:creationId xmlns:a16="http://schemas.microsoft.com/office/drawing/2014/main" id="{00000000-0008-0000-0400-00000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22</xdr:row>
          <xdr:rowOff>171450</xdr:rowOff>
        </xdr:from>
        <xdr:to>
          <xdr:col>3</xdr:col>
          <xdr:colOff>1647825</xdr:colOff>
          <xdr:row>30</xdr:row>
          <xdr:rowOff>28575</xdr:rowOff>
        </xdr:to>
        <xdr:sp macro="" textlink="">
          <xdr:nvSpPr>
            <xdr:cNvPr id="263181" name="Check Box 13" hidden="1">
              <a:extLst>
                <a:ext uri="{63B3BB69-23CF-44E3-9099-C40C66FF867C}">
                  <a14:compatExt spid="_x0000_s263181"/>
                </a:ext>
                <a:ext uri="{FF2B5EF4-FFF2-40B4-BE49-F238E27FC236}">
                  <a16:creationId xmlns:a16="http://schemas.microsoft.com/office/drawing/2014/main" id="{00000000-0008-0000-0400-00000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24</xdr:row>
          <xdr:rowOff>9525</xdr:rowOff>
        </xdr:from>
        <xdr:to>
          <xdr:col>3</xdr:col>
          <xdr:colOff>1714500</xdr:colOff>
          <xdr:row>29</xdr:row>
          <xdr:rowOff>171450</xdr:rowOff>
        </xdr:to>
        <xdr:sp macro="" textlink="">
          <xdr:nvSpPr>
            <xdr:cNvPr id="263182" name="Check Box 14" hidden="1">
              <a:extLst>
                <a:ext uri="{63B3BB69-23CF-44E3-9099-C40C66FF867C}">
                  <a14:compatExt spid="_x0000_s263182"/>
                </a:ext>
                <a:ext uri="{FF2B5EF4-FFF2-40B4-BE49-F238E27FC236}">
                  <a16:creationId xmlns:a16="http://schemas.microsoft.com/office/drawing/2014/main" id="{00000000-0008-0000-0400-00000E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24</xdr:row>
          <xdr:rowOff>180975</xdr:rowOff>
        </xdr:from>
        <xdr:to>
          <xdr:col>3</xdr:col>
          <xdr:colOff>1657350</xdr:colOff>
          <xdr:row>30</xdr:row>
          <xdr:rowOff>19050</xdr:rowOff>
        </xdr:to>
        <xdr:sp macro="" textlink="">
          <xdr:nvSpPr>
            <xdr:cNvPr id="263183" name="Check Box 15" hidden="1">
              <a:extLst>
                <a:ext uri="{63B3BB69-23CF-44E3-9099-C40C66FF867C}">
                  <a14:compatExt spid="_x0000_s263183"/>
                </a:ext>
                <a:ext uri="{FF2B5EF4-FFF2-40B4-BE49-F238E27FC236}">
                  <a16:creationId xmlns:a16="http://schemas.microsoft.com/office/drawing/2014/main" id="{00000000-0008-0000-0400-00000F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26</xdr:row>
          <xdr:rowOff>180975</xdr:rowOff>
        </xdr:from>
        <xdr:to>
          <xdr:col>3</xdr:col>
          <xdr:colOff>1657350</xdr:colOff>
          <xdr:row>30</xdr:row>
          <xdr:rowOff>0</xdr:rowOff>
        </xdr:to>
        <xdr:sp macro="" textlink="">
          <xdr:nvSpPr>
            <xdr:cNvPr id="263184" name="Check Box 16" hidden="1">
              <a:extLst>
                <a:ext uri="{63B3BB69-23CF-44E3-9099-C40C66FF867C}">
                  <a14:compatExt spid="_x0000_s263184"/>
                </a:ext>
                <a:ext uri="{FF2B5EF4-FFF2-40B4-BE49-F238E27FC236}">
                  <a16:creationId xmlns:a16="http://schemas.microsoft.com/office/drawing/2014/main" id="{00000000-0008-0000-0400-00001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27</xdr:row>
          <xdr:rowOff>171450</xdr:rowOff>
        </xdr:from>
        <xdr:to>
          <xdr:col>3</xdr:col>
          <xdr:colOff>1676400</xdr:colOff>
          <xdr:row>30</xdr:row>
          <xdr:rowOff>38100</xdr:rowOff>
        </xdr:to>
        <xdr:sp macro="" textlink="">
          <xdr:nvSpPr>
            <xdr:cNvPr id="263185" name="Check Box 17" hidden="1">
              <a:extLst>
                <a:ext uri="{63B3BB69-23CF-44E3-9099-C40C66FF867C}">
                  <a14:compatExt spid="_x0000_s263185"/>
                </a:ext>
                <a:ext uri="{FF2B5EF4-FFF2-40B4-BE49-F238E27FC236}">
                  <a16:creationId xmlns:a16="http://schemas.microsoft.com/office/drawing/2014/main" id="{00000000-0008-0000-0400-00001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6</xdr:row>
          <xdr:rowOff>171450</xdr:rowOff>
        </xdr:from>
        <xdr:to>
          <xdr:col>3</xdr:col>
          <xdr:colOff>1790700</xdr:colOff>
          <xdr:row>8</xdr:row>
          <xdr:rowOff>19050</xdr:rowOff>
        </xdr:to>
        <xdr:sp macro="" textlink="">
          <xdr:nvSpPr>
            <xdr:cNvPr id="263189" name="Check Box 21" hidden="1">
              <a:extLst>
                <a:ext uri="{63B3BB69-23CF-44E3-9099-C40C66FF867C}">
                  <a14:compatExt spid="_x0000_s263189"/>
                </a:ext>
                <a:ext uri="{FF2B5EF4-FFF2-40B4-BE49-F238E27FC236}">
                  <a16:creationId xmlns:a16="http://schemas.microsoft.com/office/drawing/2014/main" id="{00000000-0008-0000-0400-00001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7</xdr:row>
          <xdr:rowOff>171450</xdr:rowOff>
        </xdr:from>
        <xdr:to>
          <xdr:col>3</xdr:col>
          <xdr:colOff>1790700</xdr:colOff>
          <xdr:row>9</xdr:row>
          <xdr:rowOff>19050</xdr:rowOff>
        </xdr:to>
        <xdr:sp macro="" textlink="">
          <xdr:nvSpPr>
            <xdr:cNvPr id="263190" name="Check Box 22" hidden="1">
              <a:extLst>
                <a:ext uri="{63B3BB69-23CF-44E3-9099-C40C66FF867C}">
                  <a14:compatExt spid="_x0000_s263190"/>
                </a:ext>
                <a:ext uri="{FF2B5EF4-FFF2-40B4-BE49-F238E27FC236}">
                  <a16:creationId xmlns:a16="http://schemas.microsoft.com/office/drawing/2014/main" id="{00000000-0008-0000-0400-000016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10</xdr:row>
          <xdr:rowOff>161925</xdr:rowOff>
        </xdr:from>
        <xdr:to>
          <xdr:col>3</xdr:col>
          <xdr:colOff>1800225</xdr:colOff>
          <xdr:row>12</xdr:row>
          <xdr:rowOff>38100</xdr:rowOff>
        </xdr:to>
        <xdr:sp macro="" textlink="">
          <xdr:nvSpPr>
            <xdr:cNvPr id="263196" name="Check Box 28" hidden="1">
              <a:extLst>
                <a:ext uri="{63B3BB69-23CF-44E3-9099-C40C66FF867C}">
                  <a14:compatExt spid="_x0000_s263196"/>
                </a:ext>
                <a:ext uri="{FF2B5EF4-FFF2-40B4-BE49-F238E27FC236}">
                  <a16:creationId xmlns:a16="http://schemas.microsoft.com/office/drawing/2014/main" id="{00000000-0008-0000-0400-00001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523875</xdr:colOff>
          <xdr:row>32</xdr:row>
          <xdr:rowOff>180975</xdr:rowOff>
        </xdr:from>
        <xdr:to>
          <xdr:col>3</xdr:col>
          <xdr:colOff>781050</xdr:colOff>
          <xdr:row>34</xdr:row>
          <xdr:rowOff>0</xdr:rowOff>
        </xdr:to>
        <xdr:sp macro="" textlink="">
          <xdr:nvSpPr>
            <xdr:cNvPr id="263201" name="Check Box 33" hidden="1">
              <a:extLst>
                <a:ext uri="{63B3BB69-23CF-44E3-9099-C40C66FF867C}">
                  <a14:compatExt spid="_x0000_s263201"/>
                </a:ext>
                <a:ext uri="{FF2B5EF4-FFF2-40B4-BE49-F238E27FC236}">
                  <a16:creationId xmlns:a16="http://schemas.microsoft.com/office/drawing/2014/main" id="{00000000-0008-0000-0400-00002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37</xdr:row>
          <xdr:rowOff>0</xdr:rowOff>
        </xdr:from>
        <xdr:to>
          <xdr:col>3</xdr:col>
          <xdr:colOff>1657350</xdr:colOff>
          <xdr:row>38</xdr:row>
          <xdr:rowOff>19050</xdr:rowOff>
        </xdr:to>
        <xdr:sp macro="" textlink="">
          <xdr:nvSpPr>
            <xdr:cNvPr id="263214" name="Check Box 46" hidden="1">
              <a:extLst>
                <a:ext uri="{63B3BB69-23CF-44E3-9099-C40C66FF867C}">
                  <a14:compatExt spid="_x0000_s263214"/>
                </a:ext>
                <a:ext uri="{FF2B5EF4-FFF2-40B4-BE49-F238E27FC236}">
                  <a16:creationId xmlns:a16="http://schemas.microsoft.com/office/drawing/2014/main" id="{00000000-0008-0000-0400-00002E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39</xdr:row>
          <xdr:rowOff>0</xdr:rowOff>
        </xdr:from>
        <xdr:to>
          <xdr:col>3</xdr:col>
          <xdr:colOff>1657350</xdr:colOff>
          <xdr:row>40</xdr:row>
          <xdr:rowOff>19050</xdr:rowOff>
        </xdr:to>
        <xdr:sp macro="" textlink="">
          <xdr:nvSpPr>
            <xdr:cNvPr id="263216" name="Check Box 48" hidden="1">
              <a:extLst>
                <a:ext uri="{63B3BB69-23CF-44E3-9099-C40C66FF867C}">
                  <a14:compatExt spid="_x0000_s263216"/>
                </a:ext>
                <a:ext uri="{FF2B5EF4-FFF2-40B4-BE49-F238E27FC236}">
                  <a16:creationId xmlns:a16="http://schemas.microsoft.com/office/drawing/2014/main" id="{00000000-0008-0000-0400-00003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48</xdr:row>
          <xdr:rowOff>171450</xdr:rowOff>
        </xdr:from>
        <xdr:to>
          <xdr:col>3</xdr:col>
          <xdr:colOff>1657350</xdr:colOff>
          <xdr:row>49</xdr:row>
          <xdr:rowOff>180975</xdr:rowOff>
        </xdr:to>
        <xdr:sp macro="" textlink="">
          <xdr:nvSpPr>
            <xdr:cNvPr id="263220" name="Check Box 52" hidden="1">
              <a:extLst>
                <a:ext uri="{63B3BB69-23CF-44E3-9099-C40C66FF867C}">
                  <a14:compatExt spid="_x0000_s263220"/>
                </a:ext>
                <a:ext uri="{FF2B5EF4-FFF2-40B4-BE49-F238E27FC236}">
                  <a16:creationId xmlns:a16="http://schemas.microsoft.com/office/drawing/2014/main" id="{00000000-0008-0000-0400-000034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51</xdr:row>
          <xdr:rowOff>171450</xdr:rowOff>
        </xdr:from>
        <xdr:to>
          <xdr:col>3</xdr:col>
          <xdr:colOff>1657350</xdr:colOff>
          <xdr:row>52</xdr:row>
          <xdr:rowOff>180975</xdr:rowOff>
        </xdr:to>
        <xdr:sp macro="" textlink="">
          <xdr:nvSpPr>
            <xdr:cNvPr id="263221" name="Check Box 53" hidden="1">
              <a:extLst>
                <a:ext uri="{63B3BB69-23CF-44E3-9099-C40C66FF867C}">
                  <a14:compatExt spid="_x0000_s263221"/>
                </a:ext>
                <a:ext uri="{FF2B5EF4-FFF2-40B4-BE49-F238E27FC236}">
                  <a16:creationId xmlns:a16="http://schemas.microsoft.com/office/drawing/2014/main" id="{00000000-0008-0000-0400-00003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69</xdr:row>
          <xdr:rowOff>171450</xdr:rowOff>
        </xdr:from>
        <xdr:to>
          <xdr:col>3</xdr:col>
          <xdr:colOff>1695450</xdr:colOff>
          <xdr:row>70</xdr:row>
          <xdr:rowOff>180975</xdr:rowOff>
        </xdr:to>
        <xdr:sp macro="" textlink="">
          <xdr:nvSpPr>
            <xdr:cNvPr id="263223" name="Check Box 55" hidden="1">
              <a:extLst>
                <a:ext uri="{63B3BB69-23CF-44E3-9099-C40C66FF867C}">
                  <a14:compatExt spid="_x0000_s263223"/>
                </a:ext>
                <a:ext uri="{FF2B5EF4-FFF2-40B4-BE49-F238E27FC236}">
                  <a16:creationId xmlns:a16="http://schemas.microsoft.com/office/drawing/2014/main" id="{00000000-0008-0000-0400-00003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36</xdr:row>
          <xdr:rowOff>0</xdr:rowOff>
        </xdr:from>
        <xdr:to>
          <xdr:col>3</xdr:col>
          <xdr:colOff>1657350</xdr:colOff>
          <xdr:row>37</xdr:row>
          <xdr:rowOff>19050</xdr:rowOff>
        </xdr:to>
        <xdr:sp macro="" textlink="">
          <xdr:nvSpPr>
            <xdr:cNvPr id="263226" name="Check Box 58" hidden="1">
              <a:extLst>
                <a:ext uri="{63B3BB69-23CF-44E3-9099-C40C66FF867C}">
                  <a14:compatExt spid="_x0000_s263226"/>
                </a:ext>
                <a:ext uri="{FF2B5EF4-FFF2-40B4-BE49-F238E27FC236}">
                  <a16:creationId xmlns:a16="http://schemas.microsoft.com/office/drawing/2014/main" id="{00000000-0008-0000-0400-00003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38</xdr:row>
          <xdr:rowOff>0</xdr:rowOff>
        </xdr:from>
        <xdr:to>
          <xdr:col>3</xdr:col>
          <xdr:colOff>1657350</xdr:colOff>
          <xdr:row>39</xdr:row>
          <xdr:rowOff>19050</xdr:rowOff>
        </xdr:to>
        <xdr:sp macro="" textlink="">
          <xdr:nvSpPr>
            <xdr:cNvPr id="263228" name="Check Box 60" hidden="1">
              <a:extLst>
                <a:ext uri="{63B3BB69-23CF-44E3-9099-C40C66FF867C}">
                  <a14:compatExt spid="_x0000_s263228"/>
                </a:ext>
                <a:ext uri="{FF2B5EF4-FFF2-40B4-BE49-F238E27FC236}">
                  <a16:creationId xmlns:a16="http://schemas.microsoft.com/office/drawing/2014/main" id="{00000000-0008-0000-0400-00003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40</xdr:row>
          <xdr:rowOff>0</xdr:rowOff>
        </xdr:from>
        <xdr:to>
          <xdr:col>3</xdr:col>
          <xdr:colOff>1657350</xdr:colOff>
          <xdr:row>41</xdr:row>
          <xdr:rowOff>19050</xdr:rowOff>
        </xdr:to>
        <xdr:sp macro="" textlink="">
          <xdr:nvSpPr>
            <xdr:cNvPr id="263229" name="Check Box 61" hidden="1">
              <a:extLst>
                <a:ext uri="{63B3BB69-23CF-44E3-9099-C40C66FF867C}">
                  <a14:compatExt spid="_x0000_s263229"/>
                </a:ext>
                <a:ext uri="{FF2B5EF4-FFF2-40B4-BE49-F238E27FC236}">
                  <a16:creationId xmlns:a16="http://schemas.microsoft.com/office/drawing/2014/main" id="{00000000-0008-0000-0400-00003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1428750</xdr:colOff>
          <xdr:row>68</xdr:row>
          <xdr:rowOff>190500</xdr:rowOff>
        </xdr:from>
        <xdr:to>
          <xdr:col>3</xdr:col>
          <xdr:colOff>1695450</xdr:colOff>
          <xdr:row>70</xdr:row>
          <xdr:rowOff>0</xdr:rowOff>
        </xdr:to>
        <xdr:sp macro="" textlink="">
          <xdr:nvSpPr>
            <xdr:cNvPr id="263238" name="Check Box 70" hidden="1">
              <a:extLst>
                <a:ext uri="{63B3BB69-23CF-44E3-9099-C40C66FF867C}">
                  <a14:compatExt spid="_x0000_s263238"/>
                </a:ext>
                <a:ext uri="{FF2B5EF4-FFF2-40B4-BE49-F238E27FC236}">
                  <a16:creationId xmlns:a16="http://schemas.microsoft.com/office/drawing/2014/main" id="{00000000-0008-0000-0400-000046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1371600</xdr:colOff>
          <xdr:row>31</xdr:row>
          <xdr:rowOff>152400</xdr:rowOff>
        </xdr:from>
        <xdr:to>
          <xdr:col>3</xdr:col>
          <xdr:colOff>1647825</xdr:colOff>
          <xdr:row>33</xdr:row>
          <xdr:rowOff>19050</xdr:rowOff>
        </xdr:to>
        <xdr:sp macro="" textlink="">
          <xdr:nvSpPr>
            <xdr:cNvPr id="263239" name="Check Box 71" hidden="1">
              <a:extLst>
                <a:ext uri="{63B3BB69-23CF-44E3-9099-C40C66FF867C}">
                  <a14:compatExt spid="_x0000_s263239"/>
                </a:ext>
                <a:ext uri="{FF2B5EF4-FFF2-40B4-BE49-F238E27FC236}">
                  <a16:creationId xmlns:a16="http://schemas.microsoft.com/office/drawing/2014/main" id="{00000000-0008-0000-0400-00004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60</xdr:row>
          <xdr:rowOff>180975</xdr:rowOff>
        </xdr:from>
        <xdr:to>
          <xdr:col>2</xdr:col>
          <xdr:colOff>942975</xdr:colOff>
          <xdr:row>62</xdr:row>
          <xdr:rowOff>28575</xdr:rowOff>
        </xdr:to>
        <xdr:sp macro="" textlink="">
          <xdr:nvSpPr>
            <xdr:cNvPr id="263241" name="Check Box 73" hidden="1">
              <a:extLst>
                <a:ext uri="{63B3BB69-23CF-44E3-9099-C40C66FF867C}">
                  <a14:compatExt spid="_x0000_s263241"/>
                </a:ext>
                <a:ext uri="{FF2B5EF4-FFF2-40B4-BE49-F238E27FC236}">
                  <a16:creationId xmlns:a16="http://schemas.microsoft.com/office/drawing/2014/main" id="{00000000-0008-0000-0400-00004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53</xdr:row>
          <xdr:rowOff>190500</xdr:rowOff>
        </xdr:from>
        <xdr:to>
          <xdr:col>2</xdr:col>
          <xdr:colOff>1019175</xdr:colOff>
          <xdr:row>55</xdr:row>
          <xdr:rowOff>28575</xdr:rowOff>
        </xdr:to>
        <xdr:sp macro="" textlink="">
          <xdr:nvSpPr>
            <xdr:cNvPr id="263242" name="Check Box 74" hidden="1">
              <a:extLst>
                <a:ext uri="{63B3BB69-23CF-44E3-9099-C40C66FF867C}">
                  <a14:compatExt spid="_x0000_s263242"/>
                </a:ext>
                <a:ext uri="{FF2B5EF4-FFF2-40B4-BE49-F238E27FC236}">
                  <a16:creationId xmlns:a16="http://schemas.microsoft.com/office/drawing/2014/main" id="{00000000-0008-0000-0400-00004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57</xdr:row>
          <xdr:rowOff>190500</xdr:rowOff>
        </xdr:from>
        <xdr:to>
          <xdr:col>2</xdr:col>
          <xdr:colOff>1019175</xdr:colOff>
          <xdr:row>59</xdr:row>
          <xdr:rowOff>28575</xdr:rowOff>
        </xdr:to>
        <xdr:sp macro="" textlink="">
          <xdr:nvSpPr>
            <xdr:cNvPr id="263251" name="Check Box 83" hidden="1">
              <a:extLst>
                <a:ext uri="{63B3BB69-23CF-44E3-9099-C40C66FF867C}">
                  <a14:compatExt spid="_x0000_s263251"/>
                </a:ext>
                <a:ext uri="{FF2B5EF4-FFF2-40B4-BE49-F238E27FC236}">
                  <a16:creationId xmlns:a16="http://schemas.microsoft.com/office/drawing/2014/main" id="{00000000-0008-0000-0400-00005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78</xdr:row>
          <xdr:rowOff>0</xdr:rowOff>
        </xdr:from>
        <xdr:to>
          <xdr:col>2</xdr:col>
          <xdr:colOff>962025</xdr:colOff>
          <xdr:row>79</xdr:row>
          <xdr:rowOff>19050</xdr:rowOff>
        </xdr:to>
        <xdr:sp macro="" textlink="">
          <xdr:nvSpPr>
            <xdr:cNvPr id="263256" name="Check Box 88" hidden="1">
              <a:extLst>
                <a:ext uri="{63B3BB69-23CF-44E3-9099-C40C66FF867C}">
                  <a14:compatExt spid="_x0000_s263256"/>
                </a:ext>
                <a:ext uri="{FF2B5EF4-FFF2-40B4-BE49-F238E27FC236}">
                  <a16:creationId xmlns:a16="http://schemas.microsoft.com/office/drawing/2014/main" id="{00000000-0008-0000-0400-00005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74</xdr:row>
          <xdr:rowOff>257175</xdr:rowOff>
        </xdr:from>
        <xdr:to>
          <xdr:col>2</xdr:col>
          <xdr:colOff>1038225</xdr:colOff>
          <xdr:row>76</xdr:row>
          <xdr:rowOff>38100</xdr:rowOff>
        </xdr:to>
        <xdr:sp macro="" textlink="">
          <xdr:nvSpPr>
            <xdr:cNvPr id="263257" name="Check Box 89" hidden="1">
              <a:extLst>
                <a:ext uri="{63B3BB69-23CF-44E3-9099-C40C66FF867C}">
                  <a14:compatExt spid="_x0000_s263257"/>
                </a:ext>
                <a:ext uri="{FF2B5EF4-FFF2-40B4-BE49-F238E27FC236}">
                  <a16:creationId xmlns:a16="http://schemas.microsoft.com/office/drawing/2014/main" id="{00000000-0008-0000-0400-00005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75</xdr:row>
          <xdr:rowOff>180975</xdr:rowOff>
        </xdr:from>
        <xdr:to>
          <xdr:col>2</xdr:col>
          <xdr:colOff>962025</xdr:colOff>
          <xdr:row>77</xdr:row>
          <xdr:rowOff>38100</xdr:rowOff>
        </xdr:to>
        <xdr:sp macro="" textlink="">
          <xdr:nvSpPr>
            <xdr:cNvPr id="263259" name="Check Box 91" hidden="1">
              <a:extLst>
                <a:ext uri="{63B3BB69-23CF-44E3-9099-C40C66FF867C}">
                  <a14:compatExt spid="_x0000_s263259"/>
                </a:ext>
                <a:ext uri="{FF2B5EF4-FFF2-40B4-BE49-F238E27FC236}">
                  <a16:creationId xmlns:a16="http://schemas.microsoft.com/office/drawing/2014/main" id="{00000000-0008-0000-0400-00005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76</xdr:row>
          <xdr:rowOff>171450</xdr:rowOff>
        </xdr:from>
        <xdr:to>
          <xdr:col>2</xdr:col>
          <xdr:colOff>962025</xdr:colOff>
          <xdr:row>78</xdr:row>
          <xdr:rowOff>38100</xdr:rowOff>
        </xdr:to>
        <xdr:sp macro="" textlink="">
          <xdr:nvSpPr>
            <xdr:cNvPr id="263265" name="Check Box 97" hidden="1">
              <a:extLst>
                <a:ext uri="{63B3BB69-23CF-44E3-9099-C40C66FF867C}">
                  <a14:compatExt spid="_x0000_s263265"/>
                </a:ext>
                <a:ext uri="{FF2B5EF4-FFF2-40B4-BE49-F238E27FC236}">
                  <a16:creationId xmlns:a16="http://schemas.microsoft.com/office/drawing/2014/main" id="{00000000-0008-0000-0400-00006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76</xdr:row>
          <xdr:rowOff>0</xdr:rowOff>
        </xdr:from>
        <xdr:to>
          <xdr:col>2</xdr:col>
          <xdr:colOff>962025</xdr:colOff>
          <xdr:row>77</xdr:row>
          <xdr:rowOff>47625</xdr:rowOff>
        </xdr:to>
        <xdr:sp macro="" textlink="">
          <xdr:nvSpPr>
            <xdr:cNvPr id="263266" name="Check Box 98" hidden="1">
              <a:extLst>
                <a:ext uri="{63B3BB69-23CF-44E3-9099-C40C66FF867C}">
                  <a14:compatExt spid="_x0000_s263266"/>
                </a:ext>
                <a:ext uri="{FF2B5EF4-FFF2-40B4-BE49-F238E27FC236}">
                  <a16:creationId xmlns:a16="http://schemas.microsoft.com/office/drawing/2014/main" id="{00000000-0008-0000-0400-00006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93</xdr:row>
          <xdr:rowOff>28575</xdr:rowOff>
        </xdr:from>
        <xdr:to>
          <xdr:col>2</xdr:col>
          <xdr:colOff>914400</xdr:colOff>
          <xdr:row>94</xdr:row>
          <xdr:rowOff>9525</xdr:rowOff>
        </xdr:to>
        <xdr:sp macro="" textlink="">
          <xdr:nvSpPr>
            <xdr:cNvPr id="263271" name="Check Box 103" hidden="1">
              <a:extLst>
                <a:ext uri="{63B3BB69-23CF-44E3-9099-C40C66FF867C}">
                  <a14:compatExt spid="_x0000_s263271"/>
                </a:ext>
                <a:ext uri="{FF2B5EF4-FFF2-40B4-BE49-F238E27FC236}">
                  <a16:creationId xmlns:a16="http://schemas.microsoft.com/office/drawing/2014/main" id="{00000000-0008-0000-0400-00006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94</xdr:row>
          <xdr:rowOff>28575</xdr:rowOff>
        </xdr:from>
        <xdr:to>
          <xdr:col>2</xdr:col>
          <xdr:colOff>914400</xdr:colOff>
          <xdr:row>95</xdr:row>
          <xdr:rowOff>9525</xdr:rowOff>
        </xdr:to>
        <xdr:sp macro="" textlink="">
          <xdr:nvSpPr>
            <xdr:cNvPr id="263272" name="Check Box 104" hidden="1">
              <a:extLst>
                <a:ext uri="{63B3BB69-23CF-44E3-9099-C40C66FF867C}">
                  <a14:compatExt spid="_x0000_s263272"/>
                </a:ext>
                <a:ext uri="{FF2B5EF4-FFF2-40B4-BE49-F238E27FC236}">
                  <a16:creationId xmlns:a16="http://schemas.microsoft.com/office/drawing/2014/main" id="{00000000-0008-0000-0400-00006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96</xdr:row>
          <xdr:rowOff>0</xdr:rowOff>
        </xdr:from>
        <xdr:to>
          <xdr:col>2</xdr:col>
          <xdr:colOff>914400</xdr:colOff>
          <xdr:row>96</xdr:row>
          <xdr:rowOff>171450</xdr:rowOff>
        </xdr:to>
        <xdr:sp macro="" textlink="">
          <xdr:nvSpPr>
            <xdr:cNvPr id="263273" name="Check Box 105" hidden="1">
              <a:extLst>
                <a:ext uri="{63B3BB69-23CF-44E3-9099-C40C66FF867C}">
                  <a14:compatExt spid="_x0000_s263273"/>
                </a:ext>
                <a:ext uri="{FF2B5EF4-FFF2-40B4-BE49-F238E27FC236}">
                  <a16:creationId xmlns:a16="http://schemas.microsoft.com/office/drawing/2014/main" id="{00000000-0008-0000-0400-00006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96</xdr:row>
          <xdr:rowOff>28575</xdr:rowOff>
        </xdr:from>
        <xdr:to>
          <xdr:col>2</xdr:col>
          <xdr:colOff>914400</xdr:colOff>
          <xdr:row>97</xdr:row>
          <xdr:rowOff>9525</xdr:rowOff>
        </xdr:to>
        <xdr:sp macro="" textlink="">
          <xdr:nvSpPr>
            <xdr:cNvPr id="263275" name="Check Box 107" hidden="1">
              <a:extLst>
                <a:ext uri="{63B3BB69-23CF-44E3-9099-C40C66FF867C}">
                  <a14:compatExt spid="_x0000_s263275"/>
                </a:ext>
                <a:ext uri="{FF2B5EF4-FFF2-40B4-BE49-F238E27FC236}">
                  <a16:creationId xmlns:a16="http://schemas.microsoft.com/office/drawing/2014/main" id="{00000000-0008-0000-0400-00006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95</xdr:row>
          <xdr:rowOff>28575</xdr:rowOff>
        </xdr:from>
        <xdr:to>
          <xdr:col>2</xdr:col>
          <xdr:colOff>914400</xdr:colOff>
          <xdr:row>96</xdr:row>
          <xdr:rowOff>9525</xdr:rowOff>
        </xdr:to>
        <xdr:sp macro="" textlink="">
          <xdr:nvSpPr>
            <xdr:cNvPr id="263277" name="Check Box 109" hidden="1">
              <a:extLst>
                <a:ext uri="{63B3BB69-23CF-44E3-9099-C40C66FF867C}">
                  <a14:compatExt spid="_x0000_s263277"/>
                </a:ext>
                <a:ext uri="{FF2B5EF4-FFF2-40B4-BE49-F238E27FC236}">
                  <a16:creationId xmlns:a16="http://schemas.microsoft.com/office/drawing/2014/main" id="{00000000-0008-0000-0400-00006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98</xdr:row>
          <xdr:rowOff>0</xdr:rowOff>
        </xdr:from>
        <xdr:to>
          <xdr:col>2</xdr:col>
          <xdr:colOff>942975</xdr:colOff>
          <xdr:row>99</xdr:row>
          <xdr:rowOff>0</xdr:rowOff>
        </xdr:to>
        <xdr:sp macro="" textlink="">
          <xdr:nvSpPr>
            <xdr:cNvPr id="263282" name="Check Box 114" hidden="1">
              <a:extLst>
                <a:ext uri="{63B3BB69-23CF-44E3-9099-C40C66FF867C}">
                  <a14:compatExt spid="_x0000_s263282"/>
                </a:ext>
                <a:ext uri="{FF2B5EF4-FFF2-40B4-BE49-F238E27FC236}">
                  <a16:creationId xmlns:a16="http://schemas.microsoft.com/office/drawing/2014/main" id="{00000000-0008-0000-0400-00007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92</xdr:row>
          <xdr:rowOff>28575</xdr:rowOff>
        </xdr:from>
        <xdr:to>
          <xdr:col>2</xdr:col>
          <xdr:colOff>914400</xdr:colOff>
          <xdr:row>93</xdr:row>
          <xdr:rowOff>9525</xdr:rowOff>
        </xdr:to>
        <xdr:sp macro="" textlink="">
          <xdr:nvSpPr>
            <xdr:cNvPr id="263283" name="Check Box 115" hidden="1">
              <a:extLst>
                <a:ext uri="{63B3BB69-23CF-44E3-9099-C40C66FF867C}">
                  <a14:compatExt spid="_x0000_s263283"/>
                </a:ext>
                <a:ext uri="{FF2B5EF4-FFF2-40B4-BE49-F238E27FC236}">
                  <a16:creationId xmlns:a16="http://schemas.microsoft.com/office/drawing/2014/main" id="{00000000-0008-0000-0400-00007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112</xdr:row>
          <xdr:rowOff>9525</xdr:rowOff>
        </xdr:from>
        <xdr:to>
          <xdr:col>3</xdr:col>
          <xdr:colOff>1790700</xdr:colOff>
          <xdr:row>113</xdr:row>
          <xdr:rowOff>9525</xdr:rowOff>
        </xdr:to>
        <xdr:sp macro="" textlink="">
          <xdr:nvSpPr>
            <xdr:cNvPr id="263292" name="Check Box 124" hidden="1">
              <a:extLst>
                <a:ext uri="{63B3BB69-23CF-44E3-9099-C40C66FF867C}">
                  <a14:compatExt spid="_x0000_s263292"/>
                </a:ext>
                <a:ext uri="{FF2B5EF4-FFF2-40B4-BE49-F238E27FC236}">
                  <a16:creationId xmlns:a16="http://schemas.microsoft.com/office/drawing/2014/main" id="{00000000-0008-0000-0400-00007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114</xdr:row>
          <xdr:rowOff>9525</xdr:rowOff>
        </xdr:from>
        <xdr:to>
          <xdr:col>3</xdr:col>
          <xdr:colOff>1790700</xdr:colOff>
          <xdr:row>115</xdr:row>
          <xdr:rowOff>9525</xdr:rowOff>
        </xdr:to>
        <xdr:sp macro="" textlink="">
          <xdr:nvSpPr>
            <xdr:cNvPr id="263293" name="Check Box 125" hidden="1">
              <a:extLst>
                <a:ext uri="{63B3BB69-23CF-44E3-9099-C40C66FF867C}">
                  <a14:compatExt spid="_x0000_s263293"/>
                </a:ext>
                <a:ext uri="{FF2B5EF4-FFF2-40B4-BE49-F238E27FC236}">
                  <a16:creationId xmlns:a16="http://schemas.microsoft.com/office/drawing/2014/main" id="{00000000-0008-0000-0400-00007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117</xdr:row>
          <xdr:rowOff>9525</xdr:rowOff>
        </xdr:from>
        <xdr:to>
          <xdr:col>3</xdr:col>
          <xdr:colOff>1790700</xdr:colOff>
          <xdr:row>118</xdr:row>
          <xdr:rowOff>9525</xdr:rowOff>
        </xdr:to>
        <xdr:sp macro="" textlink="">
          <xdr:nvSpPr>
            <xdr:cNvPr id="263297" name="Check Box 129" hidden="1">
              <a:extLst>
                <a:ext uri="{63B3BB69-23CF-44E3-9099-C40C66FF867C}">
                  <a14:compatExt spid="_x0000_s263297"/>
                </a:ext>
                <a:ext uri="{FF2B5EF4-FFF2-40B4-BE49-F238E27FC236}">
                  <a16:creationId xmlns:a16="http://schemas.microsoft.com/office/drawing/2014/main" id="{00000000-0008-0000-0400-00008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118</xdr:row>
          <xdr:rowOff>9525</xdr:rowOff>
        </xdr:from>
        <xdr:to>
          <xdr:col>3</xdr:col>
          <xdr:colOff>1790700</xdr:colOff>
          <xdr:row>119</xdr:row>
          <xdr:rowOff>9525</xdr:rowOff>
        </xdr:to>
        <xdr:sp macro="" textlink="">
          <xdr:nvSpPr>
            <xdr:cNvPr id="263298" name="Check Box 130" hidden="1">
              <a:extLst>
                <a:ext uri="{63B3BB69-23CF-44E3-9099-C40C66FF867C}">
                  <a14:compatExt spid="_x0000_s263298"/>
                </a:ext>
                <a:ext uri="{FF2B5EF4-FFF2-40B4-BE49-F238E27FC236}">
                  <a16:creationId xmlns:a16="http://schemas.microsoft.com/office/drawing/2014/main" id="{00000000-0008-0000-0400-00008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119</xdr:row>
          <xdr:rowOff>9525</xdr:rowOff>
        </xdr:from>
        <xdr:to>
          <xdr:col>3</xdr:col>
          <xdr:colOff>1790700</xdr:colOff>
          <xdr:row>120</xdr:row>
          <xdr:rowOff>9525</xdr:rowOff>
        </xdr:to>
        <xdr:sp macro="" textlink="">
          <xdr:nvSpPr>
            <xdr:cNvPr id="263299" name="Check Box 131" hidden="1">
              <a:extLst>
                <a:ext uri="{63B3BB69-23CF-44E3-9099-C40C66FF867C}">
                  <a14:compatExt spid="_x0000_s263299"/>
                </a:ext>
                <a:ext uri="{FF2B5EF4-FFF2-40B4-BE49-F238E27FC236}">
                  <a16:creationId xmlns:a16="http://schemas.microsoft.com/office/drawing/2014/main" id="{00000000-0008-0000-0400-00008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120</xdr:row>
          <xdr:rowOff>9525</xdr:rowOff>
        </xdr:from>
        <xdr:to>
          <xdr:col>3</xdr:col>
          <xdr:colOff>1790700</xdr:colOff>
          <xdr:row>121</xdr:row>
          <xdr:rowOff>9525</xdr:rowOff>
        </xdr:to>
        <xdr:sp macro="" textlink="">
          <xdr:nvSpPr>
            <xdr:cNvPr id="263300" name="Check Box 132" hidden="1">
              <a:extLst>
                <a:ext uri="{63B3BB69-23CF-44E3-9099-C40C66FF867C}">
                  <a14:compatExt spid="_x0000_s263300"/>
                </a:ext>
                <a:ext uri="{FF2B5EF4-FFF2-40B4-BE49-F238E27FC236}">
                  <a16:creationId xmlns:a16="http://schemas.microsoft.com/office/drawing/2014/main" id="{00000000-0008-0000-0400-000084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121</xdr:row>
          <xdr:rowOff>9525</xdr:rowOff>
        </xdr:from>
        <xdr:to>
          <xdr:col>3</xdr:col>
          <xdr:colOff>1790700</xdr:colOff>
          <xdr:row>122</xdr:row>
          <xdr:rowOff>9525</xdr:rowOff>
        </xdr:to>
        <xdr:sp macro="" textlink="">
          <xdr:nvSpPr>
            <xdr:cNvPr id="263301" name="Check Box 133" hidden="1">
              <a:extLst>
                <a:ext uri="{63B3BB69-23CF-44E3-9099-C40C66FF867C}">
                  <a14:compatExt spid="_x0000_s263301"/>
                </a:ext>
                <a:ext uri="{FF2B5EF4-FFF2-40B4-BE49-F238E27FC236}">
                  <a16:creationId xmlns:a16="http://schemas.microsoft.com/office/drawing/2014/main" id="{00000000-0008-0000-0400-00008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122</xdr:row>
          <xdr:rowOff>9525</xdr:rowOff>
        </xdr:from>
        <xdr:to>
          <xdr:col>3</xdr:col>
          <xdr:colOff>1790700</xdr:colOff>
          <xdr:row>123</xdr:row>
          <xdr:rowOff>9525</xdr:rowOff>
        </xdr:to>
        <xdr:sp macro="" textlink="">
          <xdr:nvSpPr>
            <xdr:cNvPr id="263306" name="Check Box 138" hidden="1">
              <a:extLst>
                <a:ext uri="{63B3BB69-23CF-44E3-9099-C40C66FF867C}">
                  <a14:compatExt spid="_x0000_s263306"/>
                </a:ext>
                <a:ext uri="{FF2B5EF4-FFF2-40B4-BE49-F238E27FC236}">
                  <a16:creationId xmlns:a16="http://schemas.microsoft.com/office/drawing/2014/main" id="{00000000-0008-0000-0400-00008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123</xdr:row>
          <xdr:rowOff>0</xdr:rowOff>
        </xdr:from>
        <xdr:to>
          <xdr:col>3</xdr:col>
          <xdr:colOff>1790700</xdr:colOff>
          <xdr:row>124</xdr:row>
          <xdr:rowOff>0</xdr:rowOff>
        </xdr:to>
        <xdr:sp macro="" textlink="">
          <xdr:nvSpPr>
            <xdr:cNvPr id="263307" name="Check Box 139" hidden="1">
              <a:extLst>
                <a:ext uri="{63B3BB69-23CF-44E3-9099-C40C66FF867C}">
                  <a14:compatExt spid="_x0000_s263307"/>
                </a:ext>
                <a:ext uri="{FF2B5EF4-FFF2-40B4-BE49-F238E27FC236}">
                  <a16:creationId xmlns:a16="http://schemas.microsoft.com/office/drawing/2014/main" id="{00000000-0008-0000-0400-00008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123</xdr:row>
          <xdr:rowOff>9525</xdr:rowOff>
        </xdr:from>
        <xdr:to>
          <xdr:col>3</xdr:col>
          <xdr:colOff>1800225</xdr:colOff>
          <xdr:row>124</xdr:row>
          <xdr:rowOff>9525</xdr:rowOff>
        </xdr:to>
        <xdr:sp macro="" textlink="">
          <xdr:nvSpPr>
            <xdr:cNvPr id="263312" name="Check Box 144" hidden="1">
              <a:extLst>
                <a:ext uri="{63B3BB69-23CF-44E3-9099-C40C66FF867C}">
                  <a14:compatExt spid="_x0000_s263312"/>
                </a:ext>
                <a:ext uri="{FF2B5EF4-FFF2-40B4-BE49-F238E27FC236}">
                  <a16:creationId xmlns:a16="http://schemas.microsoft.com/office/drawing/2014/main" id="{00000000-0008-0000-0400-00009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129</xdr:row>
          <xdr:rowOff>9525</xdr:rowOff>
        </xdr:from>
        <xdr:to>
          <xdr:col>3</xdr:col>
          <xdr:colOff>1781175</xdr:colOff>
          <xdr:row>130</xdr:row>
          <xdr:rowOff>9525</xdr:rowOff>
        </xdr:to>
        <xdr:sp macro="" textlink="">
          <xdr:nvSpPr>
            <xdr:cNvPr id="263314" name="Check Box 146" hidden="1">
              <a:extLst>
                <a:ext uri="{63B3BB69-23CF-44E3-9099-C40C66FF867C}">
                  <a14:compatExt spid="_x0000_s263314"/>
                </a:ext>
                <a:ext uri="{FF2B5EF4-FFF2-40B4-BE49-F238E27FC236}">
                  <a16:creationId xmlns:a16="http://schemas.microsoft.com/office/drawing/2014/main" id="{00000000-0008-0000-0400-00009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131</xdr:row>
          <xdr:rowOff>9525</xdr:rowOff>
        </xdr:from>
        <xdr:to>
          <xdr:col>3</xdr:col>
          <xdr:colOff>1781175</xdr:colOff>
          <xdr:row>132</xdr:row>
          <xdr:rowOff>9525</xdr:rowOff>
        </xdr:to>
        <xdr:sp macro="" textlink="">
          <xdr:nvSpPr>
            <xdr:cNvPr id="263315" name="Check Box 147" hidden="1">
              <a:extLst>
                <a:ext uri="{63B3BB69-23CF-44E3-9099-C40C66FF867C}">
                  <a14:compatExt spid="_x0000_s263315"/>
                </a:ext>
                <a:ext uri="{FF2B5EF4-FFF2-40B4-BE49-F238E27FC236}">
                  <a16:creationId xmlns:a16="http://schemas.microsoft.com/office/drawing/2014/main" id="{00000000-0008-0000-0400-00009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133</xdr:row>
          <xdr:rowOff>9525</xdr:rowOff>
        </xdr:from>
        <xdr:to>
          <xdr:col>3</xdr:col>
          <xdr:colOff>1781175</xdr:colOff>
          <xdr:row>134</xdr:row>
          <xdr:rowOff>9525</xdr:rowOff>
        </xdr:to>
        <xdr:sp macro="" textlink="">
          <xdr:nvSpPr>
            <xdr:cNvPr id="263319" name="Check Box 151" hidden="1">
              <a:extLst>
                <a:ext uri="{63B3BB69-23CF-44E3-9099-C40C66FF867C}">
                  <a14:compatExt spid="_x0000_s263319"/>
                </a:ext>
                <a:ext uri="{FF2B5EF4-FFF2-40B4-BE49-F238E27FC236}">
                  <a16:creationId xmlns:a16="http://schemas.microsoft.com/office/drawing/2014/main" id="{00000000-0008-0000-0400-00009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151</xdr:row>
          <xdr:rowOff>9525</xdr:rowOff>
        </xdr:from>
        <xdr:to>
          <xdr:col>3</xdr:col>
          <xdr:colOff>1781175</xdr:colOff>
          <xdr:row>152</xdr:row>
          <xdr:rowOff>9525</xdr:rowOff>
        </xdr:to>
        <xdr:sp macro="" textlink="">
          <xdr:nvSpPr>
            <xdr:cNvPr id="263320" name="Check Box 152" hidden="1">
              <a:extLst>
                <a:ext uri="{63B3BB69-23CF-44E3-9099-C40C66FF867C}">
                  <a14:compatExt spid="_x0000_s263320"/>
                </a:ext>
                <a:ext uri="{FF2B5EF4-FFF2-40B4-BE49-F238E27FC236}">
                  <a16:creationId xmlns:a16="http://schemas.microsoft.com/office/drawing/2014/main" id="{00000000-0008-0000-0400-00009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111</xdr:row>
          <xdr:rowOff>9525</xdr:rowOff>
        </xdr:from>
        <xdr:to>
          <xdr:col>3</xdr:col>
          <xdr:colOff>1790700</xdr:colOff>
          <xdr:row>112</xdr:row>
          <xdr:rowOff>9525</xdr:rowOff>
        </xdr:to>
        <xdr:sp macro="" textlink="">
          <xdr:nvSpPr>
            <xdr:cNvPr id="263321" name="Check Box 153" hidden="1">
              <a:extLst>
                <a:ext uri="{63B3BB69-23CF-44E3-9099-C40C66FF867C}">
                  <a14:compatExt spid="_x0000_s263321"/>
                </a:ext>
                <a:ext uri="{FF2B5EF4-FFF2-40B4-BE49-F238E27FC236}">
                  <a16:creationId xmlns:a16="http://schemas.microsoft.com/office/drawing/2014/main" id="{00000000-0008-0000-0400-00009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134</xdr:row>
          <xdr:rowOff>9525</xdr:rowOff>
        </xdr:from>
        <xdr:to>
          <xdr:col>3</xdr:col>
          <xdr:colOff>1781175</xdr:colOff>
          <xdr:row>135</xdr:row>
          <xdr:rowOff>9525</xdr:rowOff>
        </xdr:to>
        <xdr:sp macro="" textlink="">
          <xdr:nvSpPr>
            <xdr:cNvPr id="263322" name="Check Box 154" hidden="1">
              <a:extLst>
                <a:ext uri="{63B3BB69-23CF-44E3-9099-C40C66FF867C}">
                  <a14:compatExt spid="_x0000_s263322"/>
                </a:ext>
                <a:ext uri="{FF2B5EF4-FFF2-40B4-BE49-F238E27FC236}">
                  <a16:creationId xmlns:a16="http://schemas.microsoft.com/office/drawing/2014/main" id="{00000000-0008-0000-0400-00009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146</xdr:row>
          <xdr:rowOff>9525</xdr:rowOff>
        </xdr:from>
        <xdr:to>
          <xdr:col>3</xdr:col>
          <xdr:colOff>1781175</xdr:colOff>
          <xdr:row>147</xdr:row>
          <xdr:rowOff>9525</xdr:rowOff>
        </xdr:to>
        <xdr:sp macro="" textlink="">
          <xdr:nvSpPr>
            <xdr:cNvPr id="263340" name="Check Box 172" hidden="1">
              <a:extLst>
                <a:ext uri="{63B3BB69-23CF-44E3-9099-C40C66FF867C}">
                  <a14:compatExt spid="_x0000_s263340"/>
                </a:ext>
                <a:ext uri="{FF2B5EF4-FFF2-40B4-BE49-F238E27FC236}">
                  <a16:creationId xmlns:a16="http://schemas.microsoft.com/office/drawing/2014/main" id="{00000000-0008-0000-0400-0000A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147</xdr:row>
          <xdr:rowOff>9525</xdr:rowOff>
        </xdr:from>
        <xdr:to>
          <xdr:col>3</xdr:col>
          <xdr:colOff>1781175</xdr:colOff>
          <xdr:row>148</xdr:row>
          <xdr:rowOff>9525</xdr:rowOff>
        </xdr:to>
        <xdr:sp macro="" textlink="">
          <xdr:nvSpPr>
            <xdr:cNvPr id="263341" name="Check Box 173" hidden="1">
              <a:extLst>
                <a:ext uri="{63B3BB69-23CF-44E3-9099-C40C66FF867C}">
                  <a14:compatExt spid="_x0000_s263341"/>
                </a:ext>
                <a:ext uri="{FF2B5EF4-FFF2-40B4-BE49-F238E27FC236}">
                  <a16:creationId xmlns:a16="http://schemas.microsoft.com/office/drawing/2014/main" id="{00000000-0008-0000-0400-0000A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154</xdr:row>
          <xdr:rowOff>180975</xdr:rowOff>
        </xdr:from>
        <xdr:to>
          <xdr:col>3</xdr:col>
          <xdr:colOff>1790700</xdr:colOff>
          <xdr:row>156</xdr:row>
          <xdr:rowOff>0</xdr:rowOff>
        </xdr:to>
        <xdr:sp macro="" textlink="">
          <xdr:nvSpPr>
            <xdr:cNvPr id="263344" name="Check Box 176" hidden="1">
              <a:extLst>
                <a:ext uri="{63B3BB69-23CF-44E3-9099-C40C66FF867C}">
                  <a14:compatExt spid="_x0000_s263344"/>
                </a:ext>
                <a:ext uri="{FF2B5EF4-FFF2-40B4-BE49-F238E27FC236}">
                  <a16:creationId xmlns:a16="http://schemas.microsoft.com/office/drawing/2014/main" id="{00000000-0008-0000-0400-0000B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157</xdr:row>
          <xdr:rowOff>0</xdr:rowOff>
        </xdr:from>
        <xdr:to>
          <xdr:col>3</xdr:col>
          <xdr:colOff>1800225</xdr:colOff>
          <xdr:row>158</xdr:row>
          <xdr:rowOff>0</xdr:rowOff>
        </xdr:to>
        <xdr:sp macro="" textlink="">
          <xdr:nvSpPr>
            <xdr:cNvPr id="263345" name="Check Box 177" hidden="1">
              <a:extLst>
                <a:ext uri="{63B3BB69-23CF-44E3-9099-C40C66FF867C}">
                  <a14:compatExt spid="_x0000_s263345"/>
                </a:ext>
                <a:ext uri="{FF2B5EF4-FFF2-40B4-BE49-F238E27FC236}">
                  <a16:creationId xmlns:a16="http://schemas.microsoft.com/office/drawing/2014/main" id="{00000000-0008-0000-0400-0000B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158</xdr:row>
          <xdr:rowOff>0</xdr:rowOff>
        </xdr:from>
        <xdr:to>
          <xdr:col>3</xdr:col>
          <xdr:colOff>1800225</xdr:colOff>
          <xdr:row>159</xdr:row>
          <xdr:rowOff>0</xdr:rowOff>
        </xdr:to>
        <xdr:sp macro="" textlink="">
          <xdr:nvSpPr>
            <xdr:cNvPr id="263346" name="Check Box 178" hidden="1">
              <a:extLst>
                <a:ext uri="{63B3BB69-23CF-44E3-9099-C40C66FF867C}">
                  <a14:compatExt spid="_x0000_s263346"/>
                </a:ext>
                <a:ext uri="{FF2B5EF4-FFF2-40B4-BE49-F238E27FC236}">
                  <a16:creationId xmlns:a16="http://schemas.microsoft.com/office/drawing/2014/main" id="{00000000-0008-0000-0400-0000B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161</xdr:row>
          <xdr:rowOff>0</xdr:rowOff>
        </xdr:from>
        <xdr:to>
          <xdr:col>3</xdr:col>
          <xdr:colOff>1800225</xdr:colOff>
          <xdr:row>162</xdr:row>
          <xdr:rowOff>0</xdr:rowOff>
        </xdr:to>
        <xdr:sp macro="" textlink="">
          <xdr:nvSpPr>
            <xdr:cNvPr id="263351" name="Check Box 183" hidden="1">
              <a:extLst>
                <a:ext uri="{63B3BB69-23CF-44E3-9099-C40C66FF867C}">
                  <a14:compatExt spid="_x0000_s263351"/>
                </a:ext>
                <a:ext uri="{FF2B5EF4-FFF2-40B4-BE49-F238E27FC236}">
                  <a16:creationId xmlns:a16="http://schemas.microsoft.com/office/drawing/2014/main" id="{00000000-0008-0000-0400-0000B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162</xdr:row>
          <xdr:rowOff>0</xdr:rowOff>
        </xdr:from>
        <xdr:to>
          <xdr:col>3</xdr:col>
          <xdr:colOff>1800225</xdr:colOff>
          <xdr:row>163</xdr:row>
          <xdr:rowOff>0</xdr:rowOff>
        </xdr:to>
        <xdr:sp macro="" textlink="">
          <xdr:nvSpPr>
            <xdr:cNvPr id="263352" name="Check Box 184" hidden="1">
              <a:extLst>
                <a:ext uri="{63B3BB69-23CF-44E3-9099-C40C66FF867C}">
                  <a14:compatExt spid="_x0000_s263352"/>
                </a:ext>
                <a:ext uri="{FF2B5EF4-FFF2-40B4-BE49-F238E27FC236}">
                  <a16:creationId xmlns:a16="http://schemas.microsoft.com/office/drawing/2014/main" id="{00000000-0008-0000-0400-0000B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167</xdr:row>
          <xdr:rowOff>0</xdr:rowOff>
        </xdr:from>
        <xdr:to>
          <xdr:col>3</xdr:col>
          <xdr:colOff>1800225</xdr:colOff>
          <xdr:row>168</xdr:row>
          <xdr:rowOff>0</xdr:rowOff>
        </xdr:to>
        <xdr:sp macro="" textlink="">
          <xdr:nvSpPr>
            <xdr:cNvPr id="263354" name="Check Box 186" hidden="1">
              <a:extLst>
                <a:ext uri="{63B3BB69-23CF-44E3-9099-C40C66FF867C}">
                  <a14:compatExt spid="_x0000_s263354"/>
                </a:ext>
                <a:ext uri="{FF2B5EF4-FFF2-40B4-BE49-F238E27FC236}">
                  <a16:creationId xmlns:a16="http://schemas.microsoft.com/office/drawing/2014/main" id="{00000000-0008-0000-0400-0000B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168</xdr:row>
          <xdr:rowOff>0</xdr:rowOff>
        </xdr:from>
        <xdr:to>
          <xdr:col>3</xdr:col>
          <xdr:colOff>1800225</xdr:colOff>
          <xdr:row>169</xdr:row>
          <xdr:rowOff>0</xdr:rowOff>
        </xdr:to>
        <xdr:sp macro="" textlink="">
          <xdr:nvSpPr>
            <xdr:cNvPr id="263355" name="Check Box 187" hidden="1">
              <a:extLst>
                <a:ext uri="{63B3BB69-23CF-44E3-9099-C40C66FF867C}">
                  <a14:compatExt spid="_x0000_s263355"/>
                </a:ext>
                <a:ext uri="{FF2B5EF4-FFF2-40B4-BE49-F238E27FC236}">
                  <a16:creationId xmlns:a16="http://schemas.microsoft.com/office/drawing/2014/main" id="{00000000-0008-0000-0400-0000B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169</xdr:row>
          <xdr:rowOff>0</xdr:rowOff>
        </xdr:from>
        <xdr:to>
          <xdr:col>3</xdr:col>
          <xdr:colOff>1800225</xdr:colOff>
          <xdr:row>170</xdr:row>
          <xdr:rowOff>0</xdr:rowOff>
        </xdr:to>
        <xdr:sp macro="" textlink="">
          <xdr:nvSpPr>
            <xdr:cNvPr id="263356" name="Check Box 188" hidden="1">
              <a:extLst>
                <a:ext uri="{63B3BB69-23CF-44E3-9099-C40C66FF867C}">
                  <a14:compatExt spid="_x0000_s263356"/>
                </a:ext>
                <a:ext uri="{FF2B5EF4-FFF2-40B4-BE49-F238E27FC236}">
                  <a16:creationId xmlns:a16="http://schemas.microsoft.com/office/drawing/2014/main" id="{00000000-0008-0000-0400-0000B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170</xdr:row>
          <xdr:rowOff>0</xdr:rowOff>
        </xdr:from>
        <xdr:to>
          <xdr:col>3</xdr:col>
          <xdr:colOff>1800225</xdr:colOff>
          <xdr:row>171</xdr:row>
          <xdr:rowOff>0</xdr:rowOff>
        </xdr:to>
        <xdr:sp macro="" textlink="">
          <xdr:nvSpPr>
            <xdr:cNvPr id="263359" name="Check Box 191" hidden="1">
              <a:extLst>
                <a:ext uri="{63B3BB69-23CF-44E3-9099-C40C66FF867C}">
                  <a14:compatExt spid="_x0000_s263359"/>
                </a:ext>
                <a:ext uri="{FF2B5EF4-FFF2-40B4-BE49-F238E27FC236}">
                  <a16:creationId xmlns:a16="http://schemas.microsoft.com/office/drawing/2014/main" id="{00000000-0008-0000-0400-0000BF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171</xdr:row>
          <xdr:rowOff>0</xdr:rowOff>
        </xdr:from>
        <xdr:to>
          <xdr:col>3</xdr:col>
          <xdr:colOff>1800225</xdr:colOff>
          <xdr:row>172</xdr:row>
          <xdr:rowOff>0</xdr:rowOff>
        </xdr:to>
        <xdr:sp macro="" textlink="">
          <xdr:nvSpPr>
            <xdr:cNvPr id="263360" name="Check Box 192" hidden="1">
              <a:extLst>
                <a:ext uri="{63B3BB69-23CF-44E3-9099-C40C66FF867C}">
                  <a14:compatExt spid="_x0000_s263360"/>
                </a:ext>
                <a:ext uri="{FF2B5EF4-FFF2-40B4-BE49-F238E27FC236}">
                  <a16:creationId xmlns:a16="http://schemas.microsoft.com/office/drawing/2014/main" id="{00000000-0008-0000-0400-0000C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172</xdr:row>
          <xdr:rowOff>0</xdr:rowOff>
        </xdr:from>
        <xdr:to>
          <xdr:col>3</xdr:col>
          <xdr:colOff>1800225</xdr:colOff>
          <xdr:row>173</xdr:row>
          <xdr:rowOff>0</xdr:rowOff>
        </xdr:to>
        <xdr:sp macro="" textlink="">
          <xdr:nvSpPr>
            <xdr:cNvPr id="263361" name="Check Box 193" hidden="1">
              <a:extLst>
                <a:ext uri="{63B3BB69-23CF-44E3-9099-C40C66FF867C}">
                  <a14:compatExt spid="_x0000_s263361"/>
                </a:ext>
                <a:ext uri="{FF2B5EF4-FFF2-40B4-BE49-F238E27FC236}">
                  <a16:creationId xmlns:a16="http://schemas.microsoft.com/office/drawing/2014/main" id="{00000000-0008-0000-0400-0000C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173</xdr:row>
          <xdr:rowOff>0</xdr:rowOff>
        </xdr:from>
        <xdr:to>
          <xdr:col>3</xdr:col>
          <xdr:colOff>1800225</xdr:colOff>
          <xdr:row>174</xdr:row>
          <xdr:rowOff>0</xdr:rowOff>
        </xdr:to>
        <xdr:sp macro="" textlink="">
          <xdr:nvSpPr>
            <xdr:cNvPr id="263362" name="Check Box 194" hidden="1">
              <a:extLst>
                <a:ext uri="{63B3BB69-23CF-44E3-9099-C40C66FF867C}">
                  <a14:compatExt spid="_x0000_s263362"/>
                </a:ext>
                <a:ext uri="{FF2B5EF4-FFF2-40B4-BE49-F238E27FC236}">
                  <a16:creationId xmlns:a16="http://schemas.microsoft.com/office/drawing/2014/main" id="{00000000-0008-0000-0400-0000C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174</xdr:row>
          <xdr:rowOff>0</xdr:rowOff>
        </xdr:from>
        <xdr:to>
          <xdr:col>3</xdr:col>
          <xdr:colOff>1800225</xdr:colOff>
          <xdr:row>175</xdr:row>
          <xdr:rowOff>0</xdr:rowOff>
        </xdr:to>
        <xdr:sp macro="" textlink="">
          <xdr:nvSpPr>
            <xdr:cNvPr id="263363" name="Check Box 195" hidden="1">
              <a:extLst>
                <a:ext uri="{63B3BB69-23CF-44E3-9099-C40C66FF867C}">
                  <a14:compatExt spid="_x0000_s263363"/>
                </a:ext>
                <a:ext uri="{FF2B5EF4-FFF2-40B4-BE49-F238E27FC236}">
                  <a16:creationId xmlns:a16="http://schemas.microsoft.com/office/drawing/2014/main" id="{00000000-0008-0000-0400-0000C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140</xdr:row>
          <xdr:rowOff>9525</xdr:rowOff>
        </xdr:from>
        <xdr:to>
          <xdr:col>3</xdr:col>
          <xdr:colOff>1781175</xdr:colOff>
          <xdr:row>141</xdr:row>
          <xdr:rowOff>9525</xdr:rowOff>
        </xdr:to>
        <xdr:sp macro="" textlink="">
          <xdr:nvSpPr>
            <xdr:cNvPr id="263367" name="Check Box 199" hidden="1">
              <a:extLst>
                <a:ext uri="{63B3BB69-23CF-44E3-9099-C40C66FF867C}">
                  <a14:compatExt spid="_x0000_s263367"/>
                </a:ext>
                <a:ext uri="{FF2B5EF4-FFF2-40B4-BE49-F238E27FC236}">
                  <a16:creationId xmlns:a16="http://schemas.microsoft.com/office/drawing/2014/main" id="{00000000-0008-0000-0400-0000C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141</xdr:row>
          <xdr:rowOff>9525</xdr:rowOff>
        </xdr:from>
        <xdr:to>
          <xdr:col>3</xdr:col>
          <xdr:colOff>1781175</xdr:colOff>
          <xdr:row>142</xdr:row>
          <xdr:rowOff>9525</xdr:rowOff>
        </xdr:to>
        <xdr:sp macro="" textlink="">
          <xdr:nvSpPr>
            <xdr:cNvPr id="263368" name="Check Box 200" hidden="1">
              <a:extLst>
                <a:ext uri="{63B3BB69-23CF-44E3-9099-C40C66FF867C}">
                  <a14:compatExt spid="_x0000_s263368"/>
                </a:ext>
                <a:ext uri="{FF2B5EF4-FFF2-40B4-BE49-F238E27FC236}">
                  <a16:creationId xmlns:a16="http://schemas.microsoft.com/office/drawing/2014/main" id="{00000000-0008-0000-0400-0000C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142</xdr:row>
          <xdr:rowOff>0</xdr:rowOff>
        </xdr:from>
        <xdr:to>
          <xdr:col>3</xdr:col>
          <xdr:colOff>1781175</xdr:colOff>
          <xdr:row>143</xdr:row>
          <xdr:rowOff>0</xdr:rowOff>
        </xdr:to>
        <xdr:sp macro="" textlink="">
          <xdr:nvSpPr>
            <xdr:cNvPr id="263371" name="Check Box 203" hidden="1">
              <a:extLst>
                <a:ext uri="{63B3BB69-23CF-44E3-9099-C40C66FF867C}">
                  <a14:compatExt spid="_x0000_s263371"/>
                </a:ext>
                <a:ext uri="{FF2B5EF4-FFF2-40B4-BE49-F238E27FC236}">
                  <a16:creationId xmlns:a16="http://schemas.microsoft.com/office/drawing/2014/main" id="{00000000-0008-0000-0400-0000C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144</xdr:row>
          <xdr:rowOff>9525</xdr:rowOff>
        </xdr:from>
        <xdr:to>
          <xdr:col>3</xdr:col>
          <xdr:colOff>1781175</xdr:colOff>
          <xdr:row>145</xdr:row>
          <xdr:rowOff>9525</xdr:rowOff>
        </xdr:to>
        <xdr:sp macro="" textlink="">
          <xdr:nvSpPr>
            <xdr:cNvPr id="263373" name="Check Box 205" hidden="1">
              <a:extLst>
                <a:ext uri="{63B3BB69-23CF-44E3-9099-C40C66FF867C}">
                  <a14:compatExt spid="_x0000_s263373"/>
                </a:ext>
                <a:ext uri="{FF2B5EF4-FFF2-40B4-BE49-F238E27FC236}">
                  <a16:creationId xmlns:a16="http://schemas.microsoft.com/office/drawing/2014/main" id="{00000000-0008-0000-0400-0000C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101</xdr:row>
          <xdr:rowOff>9525</xdr:rowOff>
        </xdr:from>
        <xdr:to>
          <xdr:col>2</xdr:col>
          <xdr:colOff>942975</xdr:colOff>
          <xdr:row>102</xdr:row>
          <xdr:rowOff>0</xdr:rowOff>
        </xdr:to>
        <xdr:sp macro="" textlink="">
          <xdr:nvSpPr>
            <xdr:cNvPr id="263377" name="Check Box 209" hidden="1">
              <a:extLst>
                <a:ext uri="{63B3BB69-23CF-44E3-9099-C40C66FF867C}">
                  <a14:compatExt spid="_x0000_s263377"/>
                </a:ext>
                <a:ext uri="{FF2B5EF4-FFF2-40B4-BE49-F238E27FC236}">
                  <a16:creationId xmlns:a16="http://schemas.microsoft.com/office/drawing/2014/main" id="{00000000-0008-0000-0400-0000D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143</xdr:row>
          <xdr:rowOff>9525</xdr:rowOff>
        </xdr:from>
        <xdr:to>
          <xdr:col>3</xdr:col>
          <xdr:colOff>1781175</xdr:colOff>
          <xdr:row>144</xdr:row>
          <xdr:rowOff>9525</xdr:rowOff>
        </xdr:to>
        <xdr:sp macro="" textlink="">
          <xdr:nvSpPr>
            <xdr:cNvPr id="263380" name="Check Box 212" hidden="1">
              <a:extLst>
                <a:ext uri="{63B3BB69-23CF-44E3-9099-C40C66FF867C}">
                  <a14:compatExt spid="_x0000_s263380"/>
                </a:ext>
                <a:ext uri="{FF2B5EF4-FFF2-40B4-BE49-F238E27FC236}">
                  <a16:creationId xmlns:a16="http://schemas.microsoft.com/office/drawing/2014/main" id="{00000000-0008-0000-0400-0000D4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107</xdr:row>
          <xdr:rowOff>9525</xdr:rowOff>
        </xdr:from>
        <xdr:to>
          <xdr:col>3</xdr:col>
          <xdr:colOff>1790700</xdr:colOff>
          <xdr:row>108</xdr:row>
          <xdr:rowOff>9525</xdr:rowOff>
        </xdr:to>
        <xdr:sp macro="" textlink="">
          <xdr:nvSpPr>
            <xdr:cNvPr id="263381" name="Check Box 213" hidden="1">
              <a:extLst>
                <a:ext uri="{63B3BB69-23CF-44E3-9099-C40C66FF867C}">
                  <a14:compatExt spid="_x0000_s263381"/>
                </a:ext>
                <a:ext uri="{FF2B5EF4-FFF2-40B4-BE49-F238E27FC236}">
                  <a16:creationId xmlns:a16="http://schemas.microsoft.com/office/drawing/2014/main" id="{00000000-0008-0000-0400-0000D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163</xdr:row>
          <xdr:rowOff>0</xdr:rowOff>
        </xdr:from>
        <xdr:to>
          <xdr:col>3</xdr:col>
          <xdr:colOff>1800225</xdr:colOff>
          <xdr:row>164</xdr:row>
          <xdr:rowOff>0</xdr:rowOff>
        </xdr:to>
        <xdr:sp macro="" textlink="">
          <xdr:nvSpPr>
            <xdr:cNvPr id="263385" name="Check Box 217" hidden="1">
              <a:extLst>
                <a:ext uri="{63B3BB69-23CF-44E3-9099-C40C66FF867C}">
                  <a14:compatExt spid="_x0000_s263385"/>
                </a:ext>
                <a:ext uri="{FF2B5EF4-FFF2-40B4-BE49-F238E27FC236}">
                  <a16:creationId xmlns:a16="http://schemas.microsoft.com/office/drawing/2014/main" id="{00000000-0008-0000-0400-0000D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164</xdr:row>
          <xdr:rowOff>0</xdr:rowOff>
        </xdr:from>
        <xdr:to>
          <xdr:col>3</xdr:col>
          <xdr:colOff>1800225</xdr:colOff>
          <xdr:row>165</xdr:row>
          <xdr:rowOff>0</xdr:rowOff>
        </xdr:to>
        <xdr:sp macro="" textlink="">
          <xdr:nvSpPr>
            <xdr:cNvPr id="263386" name="Check Box 218" hidden="1">
              <a:extLst>
                <a:ext uri="{63B3BB69-23CF-44E3-9099-C40C66FF867C}">
                  <a14:compatExt spid="_x0000_s263386"/>
                </a:ext>
                <a:ext uri="{FF2B5EF4-FFF2-40B4-BE49-F238E27FC236}">
                  <a16:creationId xmlns:a16="http://schemas.microsoft.com/office/drawing/2014/main" id="{00000000-0008-0000-0400-0000D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97</xdr:row>
          <xdr:rowOff>0</xdr:rowOff>
        </xdr:from>
        <xdr:to>
          <xdr:col>2</xdr:col>
          <xdr:colOff>914400</xdr:colOff>
          <xdr:row>97</xdr:row>
          <xdr:rowOff>171450</xdr:rowOff>
        </xdr:to>
        <xdr:sp macro="" textlink="">
          <xdr:nvSpPr>
            <xdr:cNvPr id="263388" name="Check Box 220" hidden="1">
              <a:extLst>
                <a:ext uri="{63B3BB69-23CF-44E3-9099-C40C66FF867C}">
                  <a14:compatExt spid="_x0000_s263388"/>
                </a:ext>
                <a:ext uri="{FF2B5EF4-FFF2-40B4-BE49-F238E27FC236}">
                  <a16:creationId xmlns:a16="http://schemas.microsoft.com/office/drawing/2014/main" id="{00000000-0008-0000-0400-0000D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145</xdr:row>
          <xdr:rowOff>9525</xdr:rowOff>
        </xdr:from>
        <xdr:to>
          <xdr:col>3</xdr:col>
          <xdr:colOff>1781175</xdr:colOff>
          <xdr:row>146</xdr:row>
          <xdr:rowOff>9525</xdr:rowOff>
        </xdr:to>
        <xdr:sp macro="" textlink="">
          <xdr:nvSpPr>
            <xdr:cNvPr id="263394" name="Check Box 226" hidden="1">
              <a:extLst>
                <a:ext uri="{63B3BB69-23CF-44E3-9099-C40C66FF867C}">
                  <a14:compatExt spid="_x0000_s263394"/>
                </a:ext>
                <a:ext uri="{FF2B5EF4-FFF2-40B4-BE49-F238E27FC236}">
                  <a16:creationId xmlns:a16="http://schemas.microsoft.com/office/drawing/2014/main" id="{00000000-0008-0000-0400-0000E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0</xdr:rowOff>
        </xdr:to>
        <xdr:sp macro="" textlink="">
          <xdr:nvSpPr>
            <xdr:cNvPr id="263400" name="Check Box 232" hidden="1">
              <a:extLst>
                <a:ext uri="{63B3BB69-23CF-44E3-9099-C40C66FF867C}">
                  <a14:compatExt spid="_x0000_s263400"/>
                </a:ext>
                <a:ext uri="{FF2B5EF4-FFF2-40B4-BE49-F238E27FC236}">
                  <a16:creationId xmlns:a16="http://schemas.microsoft.com/office/drawing/2014/main" id="{00000000-0008-0000-0400-0000E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19050</xdr:rowOff>
        </xdr:to>
        <xdr:sp macro="" textlink="">
          <xdr:nvSpPr>
            <xdr:cNvPr id="263401" name="Check Box 233" hidden="1">
              <a:extLst>
                <a:ext uri="{63B3BB69-23CF-44E3-9099-C40C66FF867C}">
                  <a14:compatExt spid="_x0000_s263401"/>
                </a:ext>
                <a:ext uri="{FF2B5EF4-FFF2-40B4-BE49-F238E27FC236}">
                  <a16:creationId xmlns:a16="http://schemas.microsoft.com/office/drawing/2014/main" id="{00000000-0008-0000-0400-0000E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0</xdr:rowOff>
        </xdr:to>
        <xdr:sp macro="" textlink="">
          <xdr:nvSpPr>
            <xdr:cNvPr id="263403" name="Check Box 235" hidden="1">
              <a:extLst>
                <a:ext uri="{63B3BB69-23CF-44E3-9099-C40C66FF867C}">
                  <a14:compatExt spid="_x0000_s263403"/>
                </a:ext>
                <a:ext uri="{FF2B5EF4-FFF2-40B4-BE49-F238E27FC236}">
                  <a16:creationId xmlns:a16="http://schemas.microsoft.com/office/drawing/2014/main" id="{00000000-0008-0000-0400-0000E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19050</xdr:rowOff>
        </xdr:to>
        <xdr:sp macro="" textlink="">
          <xdr:nvSpPr>
            <xdr:cNvPr id="263404" name="Check Box 236" hidden="1">
              <a:extLst>
                <a:ext uri="{63B3BB69-23CF-44E3-9099-C40C66FF867C}">
                  <a14:compatExt spid="_x0000_s263404"/>
                </a:ext>
                <a:ext uri="{FF2B5EF4-FFF2-40B4-BE49-F238E27FC236}">
                  <a16:creationId xmlns:a16="http://schemas.microsoft.com/office/drawing/2014/main" id="{00000000-0008-0000-0400-0000E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0</xdr:rowOff>
        </xdr:to>
        <xdr:sp macro="" textlink="">
          <xdr:nvSpPr>
            <xdr:cNvPr id="263406" name="Check Box 238" hidden="1">
              <a:extLst>
                <a:ext uri="{63B3BB69-23CF-44E3-9099-C40C66FF867C}">
                  <a14:compatExt spid="_x0000_s263406"/>
                </a:ext>
                <a:ext uri="{FF2B5EF4-FFF2-40B4-BE49-F238E27FC236}">
                  <a16:creationId xmlns:a16="http://schemas.microsoft.com/office/drawing/2014/main" id="{00000000-0008-0000-0400-0000EE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171450</xdr:rowOff>
        </xdr:from>
        <xdr:to>
          <xdr:col>3</xdr:col>
          <xdr:colOff>1695450</xdr:colOff>
          <xdr:row>72</xdr:row>
          <xdr:rowOff>171450</xdr:rowOff>
        </xdr:to>
        <xdr:sp macro="" textlink="">
          <xdr:nvSpPr>
            <xdr:cNvPr id="263407" name="Check Box 239" hidden="1">
              <a:extLst>
                <a:ext uri="{63B3BB69-23CF-44E3-9099-C40C66FF867C}">
                  <a14:compatExt spid="_x0000_s263407"/>
                </a:ext>
                <a:ext uri="{FF2B5EF4-FFF2-40B4-BE49-F238E27FC236}">
                  <a16:creationId xmlns:a16="http://schemas.microsoft.com/office/drawing/2014/main" id="{00000000-0008-0000-0400-0000EF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99</xdr:row>
          <xdr:rowOff>9525</xdr:rowOff>
        </xdr:from>
        <xdr:to>
          <xdr:col>2</xdr:col>
          <xdr:colOff>942975</xdr:colOff>
          <xdr:row>100</xdr:row>
          <xdr:rowOff>0</xdr:rowOff>
        </xdr:to>
        <xdr:sp macro="" textlink="">
          <xdr:nvSpPr>
            <xdr:cNvPr id="263411" name="Check Box 243" hidden="1">
              <a:extLst>
                <a:ext uri="{63B3BB69-23CF-44E3-9099-C40C66FF867C}">
                  <a14:compatExt spid="_x0000_s263411"/>
                </a:ext>
                <a:ext uri="{FF2B5EF4-FFF2-40B4-BE49-F238E27FC236}">
                  <a16:creationId xmlns:a16="http://schemas.microsoft.com/office/drawing/2014/main" id="{00000000-0008-0000-0400-0000F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72</xdr:row>
          <xdr:rowOff>171450</xdr:rowOff>
        </xdr:from>
        <xdr:to>
          <xdr:col>3</xdr:col>
          <xdr:colOff>1695450</xdr:colOff>
          <xdr:row>73</xdr:row>
          <xdr:rowOff>171450</xdr:rowOff>
        </xdr:to>
        <xdr:sp macro="" textlink="">
          <xdr:nvSpPr>
            <xdr:cNvPr id="263418" name="Check Box 250" hidden="1">
              <a:extLst>
                <a:ext uri="{63B3BB69-23CF-44E3-9099-C40C66FF867C}">
                  <a14:compatExt spid="_x0000_s263418"/>
                </a:ext>
                <a:ext uri="{FF2B5EF4-FFF2-40B4-BE49-F238E27FC236}">
                  <a16:creationId xmlns:a16="http://schemas.microsoft.com/office/drawing/2014/main" id="{00000000-0008-0000-0400-0000F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88</xdr:row>
          <xdr:rowOff>171450</xdr:rowOff>
        </xdr:from>
        <xdr:to>
          <xdr:col>3</xdr:col>
          <xdr:colOff>1657350</xdr:colOff>
          <xdr:row>90</xdr:row>
          <xdr:rowOff>28575</xdr:rowOff>
        </xdr:to>
        <xdr:sp macro="" textlink="">
          <xdr:nvSpPr>
            <xdr:cNvPr id="263429" name="Check Box 261" hidden="1">
              <a:extLst>
                <a:ext uri="{63B3BB69-23CF-44E3-9099-C40C66FF867C}">
                  <a14:compatExt spid="_x0000_s263429"/>
                </a:ext>
                <a:ext uri="{FF2B5EF4-FFF2-40B4-BE49-F238E27FC236}">
                  <a16:creationId xmlns:a16="http://schemas.microsoft.com/office/drawing/2014/main" id="{00000000-0008-0000-0400-00000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34</xdr:row>
          <xdr:rowOff>161925</xdr:rowOff>
        </xdr:from>
        <xdr:to>
          <xdr:col>3</xdr:col>
          <xdr:colOff>1695450</xdr:colOff>
          <xdr:row>36</xdr:row>
          <xdr:rowOff>9525</xdr:rowOff>
        </xdr:to>
        <xdr:sp macro="" textlink="">
          <xdr:nvSpPr>
            <xdr:cNvPr id="263437" name="Check Box 269" hidden="1">
              <a:extLst>
                <a:ext uri="{63B3BB69-23CF-44E3-9099-C40C66FF867C}">
                  <a14:compatExt spid="_x0000_s263437"/>
                </a:ext>
                <a:ext uri="{FF2B5EF4-FFF2-40B4-BE49-F238E27FC236}">
                  <a16:creationId xmlns:a16="http://schemas.microsoft.com/office/drawing/2014/main" id="{00000000-0008-0000-0400-00000D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54</xdr:row>
          <xdr:rowOff>180975</xdr:rowOff>
        </xdr:from>
        <xdr:to>
          <xdr:col>3</xdr:col>
          <xdr:colOff>876300</xdr:colOff>
          <xdr:row>56</xdr:row>
          <xdr:rowOff>9525</xdr:rowOff>
        </xdr:to>
        <xdr:sp macro="" textlink="">
          <xdr:nvSpPr>
            <xdr:cNvPr id="263445" name="Check Box 277" hidden="1">
              <a:extLst>
                <a:ext uri="{63B3BB69-23CF-44E3-9099-C40C66FF867C}">
                  <a14:compatExt spid="_x0000_s263445"/>
                </a:ext>
                <a:ext uri="{FF2B5EF4-FFF2-40B4-BE49-F238E27FC236}">
                  <a16:creationId xmlns:a16="http://schemas.microsoft.com/office/drawing/2014/main" id="{00000000-0008-0000-0400-00001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55</xdr:row>
          <xdr:rowOff>180975</xdr:rowOff>
        </xdr:from>
        <xdr:to>
          <xdr:col>3</xdr:col>
          <xdr:colOff>885825</xdr:colOff>
          <xdr:row>57</xdr:row>
          <xdr:rowOff>28575</xdr:rowOff>
        </xdr:to>
        <xdr:sp macro="" textlink="">
          <xdr:nvSpPr>
            <xdr:cNvPr id="263446" name="Check Box 278" hidden="1">
              <a:extLst>
                <a:ext uri="{63B3BB69-23CF-44E3-9099-C40C66FF867C}">
                  <a14:compatExt spid="_x0000_s263446"/>
                </a:ext>
                <a:ext uri="{FF2B5EF4-FFF2-40B4-BE49-F238E27FC236}">
                  <a16:creationId xmlns:a16="http://schemas.microsoft.com/office/drawing/2014/main" id="{00000000-0008-0000-0400-000016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56</xdr:row>
          <xdr:rowOff>190500</xdr:rowOff>
        </xdr:from>
        <xdr:to>
          <xdr:col>3</xdr:col>
          <xdr:colOff>876300</xdr:colOff>
          <xdr:row>58</xdr:row>
          <xdr:rowOff>19050</xdr:rowOff>
        </xdr:to>
        <xdr:sp macro="" textlink="">
          <xdr:nvSpPr>
            <xdr:cNvPr id="263447" name="Check Box 279" hidden="1">
              <a:extLst>
                <a:ext uri="{63B3BB69-23CF-44E3-9099-C40C66FF867C}">
                  <a14:compatExt spid="_x0000_s263447"/>
                </a:ext>
                <a:ext uri="{FF2B5EF4-FFF2-40B4-BE49-F238E27FC236}">
                  <a16:creationId xmlns:a16="http://schemas.microsoft.com/office/drawing/2014/main" id="{00000000-0008-0000-0400-000017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58</xdr:row>
          <xdr:rowOff>180975</xdr:rowOff>
        </xdr:from>
        <xdr:to>
          <xdr:col>3</xdr:col>
          <xdr:colOff>866775</xdr:colOff>
          <xdr:row>60</xdr:row>
          <xdr:rowOff>9525</xdr:rowOff>
        </xdr:to>
        <xdr:sp macro="" textlink="">
          <xdr:nvSpPr>
            <xdr:cNvPr id="263448" name="Check Box 280" hidden="1">
              <a:extLst>
                <a:ext uri="{63B3BB69-23CF-44E3-9099-C40C66FF867C}">
                  <a14:compatExt spid="_x0000_s263448"/>
                </a:ext>
                <a:ext uri="{FF2B5EF4-FFF2-40B4-BE49-F238E27FC236}">
                  <a16:creationId xmlns:a16="http://schemas.microsoft.com/office/drawing/2014/main" id="{00000000-0008-0000-0400-00001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50</xdr:row>
          <xdr:rowOff>0</xdr:rowOff>
        </xdr:from>
        <xdr:to>
          <xdr:col>3</xdr:col>
          <xdr:colOff>1571625</xdr:colOff>
          <xdr:row>50</xdr:row>
          <xdr:rowOff>171450</xdr:rowOff>
        </xdr:to>
        <xdr:sp macro="" textlink="">
          <xdr:nvSpPr>
            <xdr:cNvPr id="263464" name="Check Box 296" hidden="1">
              <a:extLst>
                <a:ext uri="{63B3BB69-23CF-44E3-9099-C40C66FF867C}">
                  <a14:compatExt spid="_x0000_s263464"/>
                </a:ext>
                <a:ext uri="{FF2B5EF4-FFF2-40B4-BE49-F238E27FC236}">
                  <a16:creationId xmlns:a16="http://schemas.microsoft.com/office/drawing/2014/main" id="{00000000-0008-0000-0400-00002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102</xdr:row>
          <xdr:rowOff>171450</xdr:rowOff>
        </xdr:from>
        <xdr:to>
          <xdr:col>3</xdr:col>
          <xdr:colOff>1647825</xdr:colOff>
          <xdr:row>104</xdr:row>
          <xdr:rowOff>19050</xdr:rowOff>
        </xdr:to>
        <xdr:sp macro="" textlink="">
          <xdr:nvSpPr>
            <xdr:cNvPr id="263480" name="Check Box 312" hidden="1">
              <a:extLst>
                <a:ext uri="{63B3BB69-23CF-44E3-9099-C40C66FF867C}">
                  <a14:compatExt spid="_x0000_s263480"/>
                </a:ext>
                <a:ext uri="{FF2B5EF4-FFF2-40B4-BE49-F238E27FC236}">
                  <a16:creationId xmlns:a16="http://schemas.microsoft.com/office/drawing/2014/main" id="{00000000-0008-0000-0400-00003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571500</xdr:colOff>
          <xdr:row>44</xdr:row>
          <xdr:rowOff>171450</xdr:rowOff>
        </xdr:from>
        <xdr:to>
          <xdr:col>3</xdr:col>
          <xdr:colOff>876300</xdr:colOff>
          <xdr:row>46</xdr:row>
          <xdr:rowOff>9525</xdr:rowOff>
        </xdr:to>
        <xdr:sp macro="" textlink="">
          <xdr:nvSpPr>
            <xdr:cNvPr id="263482" name="Check Box 314" hidden="1">
              <a:extLst>
                <a:ext uri="{63B3BB69-23CF-44E3-9099-C40C66FF867C}">
                  <a14:compatExt spid="_x0000_s263482"/>
                </a:ext>
                <a:ext uri="{FF2B5EF4-FFF2-40B4-BE49-F238E27FC236}">
                  <a16:creationId xmlns:a16="http://schemas.microsoft.com/office/drawing/2014/main" id="{00000000-0008-0000-0400-00003A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495300</xdr:colOff>
          <xdr:row>45</xdr:row>
          <xdr:rowOff>180975</xdr:rowOff>
        </xdr:from>
        <xdr:to>
          <xdr:col>2</xdr:col>
          <xdr:colOff>809625</xdr:colOff>
          <xdr:row>47</xdr:row>
          <xdr:rowOff>19050</xdr:rowOff>
        </xdr:to>
        <xdr:sp macro="" textlink="">
          <xdr:nvSpPr>
            <xdr:cNvPr id="263483" name="Check Box 315" hidden="1">
              <a:extLst>
                <a:ext uri="{63B3BB69-23CF-44E3-9099-C40C66FF867C}">
                  <a14:compatExt spid="_x0000_s263483"/>
                </a:ext>
                <a:ext uri="{FF2B5EF4-FFF2-40B4-BE49-F238E27FC236}">
                  <a16:creationId xmlns:a16="http://schemas.microsoft.com/office/drawing/2014/main" id="{00000000-0008-0000-0400-00003B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114</xdr:row>
          <xdr:rowOff>161925</xdr:rowOff>
        </xdr:from>
        <xdr:to>
          <xdr:col>3</xdr:col>
          <xdr:colOff>1752600</xdr:colOff>
          <xdr:row>116</xdr:row>
          <xdr:rowOff>19050</xdr:rowOff>
        </xdr:to>
        <xdr:sp macro="" textlink="">
          <xdr:nvSpPr>
            <xdr:cNvPr id="263498" name="Check Box 330" hidden="1">
              <a:extLst>
                <a:ext uri="{63B3BB69-23CF-44E3-9099-C40C66FF867C}">
                  <a14:compatExt spid="_x0000_s263498"/>
                </a:ext>
                <a:ext uri="{FF2B5EF4-FFF2-40B4-BE49-F238E27FC236}">
                  <a16:creationId xmlns:a16="http://schemas.microsoft.com/office/drawing/2014/main" id="{00000000-0008-0000-0400-00004A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126</xdr:row>
          <xdr:rowOff>161925</xdr:rowOff>
        </xdr:from>
        <xdr:to>
          <xdr:col>3</xdr:col>
          <xdr:colOff>1752600</xdr:colOff>
          <xdr:row>128</xdr:row>
          <xdr:rowOff>28575</xdr:rowOff>
        </xdr:to>
        <xdr:sp macro="" textlink="">
          <xdr:nvSpPr>
            <xdr:cNvPr id="263499" name="Check Box 331" hidden="1">
              <a:extLst>
                <a:ext uri="{63B3BB69-23CF-44E3-9099-C40C66FF867C}">
                  <a14:compatExt spid="_x0000_s263499"/>
                </a:ext>
                <a:ext uri="{FF2B5EF4-FFF2-40B4-BE49-F238E27FC236}">
                  <a16:creationId xmlns:a16="http://schemas.microsoft.com/office/drawing/2014/main" id="{00000000-0008-0000-0400-00004B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127</xdr:row>
          <xdr:rowOff>142875</xdr:rowOff>
        </xdr:from>
        <xdr:to>
          <xdr:col>3</xdr:col>
          <xdr:colOff>1724025</xdr:colOff>
          <xdr:row>129</xdr:row>
          <xdr:rowOff>28575</xdr:rowOff>
        </xdr:to>
        <xdr:sp macro="" textlink="">
          <xdr:nvSpPr>
            <xdr:cNvPr id="263500" name="Check Box 332" hidden="1">
              <a:extLst>
                <a:ext uri="{63B3BB69-23CF-44E3-9099-C40C66FF867C}">
                  <a14:compatExt spid="_x0000_s263500"/>
                </a:ext>
                <a:ext uri="{FF2B5EF4-FFF2-40B4-BE49-F238E27FC236}">
                  <a16:creationId xmlns:a16="http://schemas.microsoft.com/office/drawing/2014/main" id="{00000000-0008-0000-0400-00004C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129</xdr:row>
          <xdr:rowOff>0</xdr:rowOff>
        </xdr:from>
        <xdr:to>
          <xdr:col>3</xdr:col>
          <xdr:colOff>1724025</xdr:colOff>
          <xdr:row>130</xdr:row>
          <xdr:rowOff>38100</xdr:rowOff>
        </xdr:to>
        <xdr:sp macro="" textlink="">
          <xdr:nvSpPr>
            <xdr:cNvPr id="263501" name="Check Box 333" hidden="1">
              <a:extLst>
                <a:ext uri="{63B3BB69-23CF-44E3-9099-C40C66FF867C}">
                  <a14:compatExt spid="_x0000_s263501"/>
                </a:ext>
                <a:ext uri="{FF2B5EF4-FFF2-40B4-BE49-F238E27FC236}">
                  <a16:creationId xmlns:a16="http://schemas.microsoft.com/office/drawing/2014/main" id="{00000000-0008-0000-0400-00004D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149</xdr:row>
          <xdr:rowOff>180975</xdr:rowOff>
        </xdr:from>
        <xdr:to>
          <xdr:col>3</xdr:col>
          <xdr:colOff>1800225</xdr:colOff>
          <xdr:row>151</xdr:row>
          <xdr:rowOff>19050</xdr:rowOff>
        </xdr:to>
        <xdr:sp macro="" textlink="">
          <xdr:nvSpPr>
            <xdr:cNvPr id="263503" name="Check Box 335" hidden="1">
              <a:extLst>
                <a:ext uri="{63B3BB69-23CF-44E3-9099-C40C66FF867C}">
                  <a14:compatExt spid="_x0000_s263503"/>
                </a:ext>
                <a:ext uri="{FF2B5EF4-FFF2-40B4-BE49-F238E27FC236}">
                  <a16:creationId xmlns:a16="http://schemas.microsoft.com/office/drawing/2014/main" id="{00000000-0008-0000-0400-00004F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134</xdr:row>
          <xdr:rowOff>171450</xdr:rowOff>
        </xdr:from>
        <xdr:to>
          <xdr:col>3</xdr:col>
          <xdr:colOff>1704975</xdr:colOff>
          <xdr:row>136</xdr:row>
          <xdr:rowOff>9525</xdr:rowOff>
        </xdr:to>
        <xdr:sp macro="" textlink="">
          <xdr:nvSpPr>
            <xdr:cNvPr id="263506" name="Check Box 338" hidden="1">
              <a:extLst>
                <a:ext uri="{63B3BB69-23CF-44E3-9099-C40C66FF867C}">
                  <a14:compatExt spid="_x0000_s263506"/>
                </a:ext>
                <a:ext uri="{FF2B5EF4-FFF2-40B4-BE49-F238E27FC236}">
                  <a16:creationId xmlns:a16="http://schemas.microsoft.com/office/drawing/2014/main" id="{00000000-0008-0000-0400-000052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135</xdr:row>
          <xdr:rowOff>171450</xdr:rowOff>
        </xdr:from>
        <xdr:to>
          <xdr:col>3</xdr:col>
          <xdr:colOff>1800225</xdr:colOff>
          <xdr:row>137</xdr:row>
          <xdr:rowOff>9525</xdr:rowOff>
        </xdr:to>
        <xdr:sp macro="" textlink="">
          <xdr:nvSpPr>
            <xdr:cNvPr id="263507" name="Check Box 339" hidden="1">
              <a:extLst>
                <a:ext uri="{63B3BB69-23CF-44E3-9099-C40C66FF867C}">
                  <a14:compatExt spid="_x0000_s263507"/>
                </a:ext>
                <a:ext uri="{FF2B5EF4-FFF2-40B4-BE49-F238E27FC236}">
                  <a16:creationId xmlns:a16="http://schemas.microsoft.com/office/drawing/2014/main" id="{00000000-0008-0000-0400-000053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136</xdr:row>
          <xdr:rowOff>171450</xdr:rowOff>
        </xdr:from>
        <xdr:to>
          <xdr:col>3</xdr:col>
          <xdr:colOff>1781175</xdr:colOff>
          <xdr:row>138</xdr:row>
          <xdr:rowOff>9525</xdr:rowOff>
        </xdr:to>
        <xdr:sp macro="" textlink="">
          <xdr:nvSpPr>
            <xdr:cNvPr id="263508" name="Check Box 340" hidden="1">
              <a:extLst>
                <a:ext uri="{63B3BB69-23CF-44E3-9099-C40C66FF867C}">
                  <a14:compatExt spid="_x0000_s263508"/>
                </a:ext>
                <a:ext uri="{FF2B5EF4-FFF2-40B4-BE49-F238E27FC236}">
                  <a16:creationId xmlns:a16="http://schemas.microsoft.com/office/drawing/2014/main" id="{00000000-0008-0000-0400-000054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151</xdr:row>
          <xdr:rowOff>180975</xdr:rowOff>
        </xdr:from>
        <xdr:to>
          <xdr:col>3</xdr:col>
          <xdr:colOff>1790700</xdr:colOff>
          <xdr:row>153</xdr:row>
          <xdr:rowOff>19050</xdr:rowOff>
        </xdr:to>
        <xdr:sp macro="" textlink="">
          <xdr:nvSpPr>
            <xdr:cNvPr id="263509" name="Check Box 341" hidden="1">
              <a:extLst>
                <a:ext uri="{63B3BB69-23CF-44E3-9099-C40C66FF867C}">
                  <a14:compatExt spid="_x0000_s263509"/>
                </a:ext>
                <a:ext uri="{FF2B5EF4-FFF2-40B4-BE49-F238E27FC236}">
                  <a16:creationId xmlns:a16="http://schemas.microsoft.com/office/drawing/2014/main" id="{00000000-0008-0000-0400-00005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139</xdr:row>
          <xdr:rowOff>0</xdr:rowOff>
        </xdr:from>
        <xdr:to>
          <xdr:col>3</xdr:col>
          <xdr:colOff>1781175</xdr:colOff>
          <xdr:row>140</xdr:row>
          <xdr:rowOff>28575</xdr:rowOff>
        </xdr:to>
        <xdr:sp macro="" textlink="">
          <xdr:nvSpPr>
            <xdr:cNvPr id="263510" name="Check Box 342" hidden="1">
              <a:extLst>
                <a:ext uri="{63B3BB69-23CF-44E3-9099-C40C66FF867C}">
                  <a14:compatExt spid="_x0000_s263510"/>
                </a:ext>
                <a:ext uri="{FF2B5EF4-FFF2-40B4-BE49-F238E27FC236}">
                  <a16:creationId xmlns:a16="http://schemas.microsoft.com/office/drawing/2014/main" id="{00000000-0008-0000-0400-000056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619125</xdr:colOff>
          <xdr:row>67</xdr:row>
          <xdr:rowOff>180975</xdr:rowOff>
        </xdr:from>
        <xdr:to>
          <xdr:col>3</xdr:col>
          <xdr:colOff>923925</xdr:colOff>
          <xdr:row>69</xdr:row>
          <xdr:rowOff>0</xdr:rowOff>
        </xdr:to>
        <xdr:sp macro="" textlink="">
          <xdr:nvSpPr>
            <xdr:cNvPr id="263512" name="Check Box 344" hidden="1">
              <a:extLst>
                <a:ext uri="{63B3BB69-23CF-44E3-9099-C40C66FF867C}">
                  <a14:compatExt spid="_x0000_s263512"/>
                </a:ext>
                <a:ext uri="{FF2B5EF4-FFF2-40B4-BE49-F238E27FC236}">
                  <a16:creationId xmlns:a16="http://schemas.microsoft.com/office/drawing/2014/main" id="{00000000-0008-0000-0400-00005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619125</xdr:colOff>
          <xdr:row>67</xdr:row>
          <xdr:rowOff>9525</xdr:rowOff>
        </xdr:from>
        <xdr:to>
          <xdr:col>3</xdr:col>
          <xdr:colOff>923925</xdr:colOff>
          <xdr:row>68</xdr:row>
          <xdr:rowOff>0</xdr:rowOff>
        </xdr:to>
        <xdr:sp macro="" textlink="">
          <xdr:nvSpPr>
            <xdr:cNvPr id="263515" name="Check Box 347" hidden="1">
              <a:extLst>
                <a:ext uri="{63B3BB69-23CF-44E3-9099-C40C66FF867C}">
                  <a14:compatExt spid="_x0000_s263515"/>
                </a:ext>
                <a:ext uri="{FF2B5EF4-FFF2-40B4-BE49-F238E27FC236}">
                  <a16:creationId xmlns:a16="http://schemas.microsoft.com/office/drawing/2014/main" id="{00000000-0008-0000-0400-00005B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1428750</xdr:colOff>
          <xdr:row>65</xdr:row>
          <xdr:rowOff>190500</xdr:rowOff>
        </xdr:from>
        <xdr:to>
          <xdr:col>3</xdr:col>
          <xdr:colOff>1695450</xdr:colOff>
          <xdr:row>66</xdr:row>
          <xdr:rowOff>190500</xdr:rowOff>
        </xdr:to>
        <xdr:sp macro="" textlink="">
          <xdr:nvSpPr>
            <xdr:cNvPr id="263517" name="Check Box 349" hidden="1">
              <a:extLst>
                <a:ext uri="{63B3BB69-23CF-44E3-9099-C40C66FF867C}">
                  <a14:compatExt spid="_x0000_s263517"/>
                </a:ext>
                <a:ext uri="{FF2B5EF4-FFF2-40B4-BE49-F238E27FC236}">
                  <a16:creationId xmlns:a16="http://schemas.microsoft.com/office/drawing/2014/main" id="{00000000-0008-0000-0400-00005D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158</xdr:row>
          <xdr:rowOff>171450</xdr:rowOff>
        </xdr:from>
        <xdr:to>
          <xdr:col>3</xdr:col>
          <xdr:colOff>1657350</xdr:colOff>
          <xdr:row>160</xdr:row>
          <xdr:rowOff>19050</xdr:rowOff>
        </xdr:to>
        <xdr:sp macro="" textlink="">
          <xdr:nvSpPr>
            <xdr:cNvPr id="263520" name="Check Box 352" hidden="1">
              <a:extLst>
                <a:ext uri="{63B3BB69-23CF-44E3-9099-C40C66FF867C}">
                  <a14:compatExt spid="_x0000_s263520"/>
                </a:ext>
                <a:ext uri="{FF2B5EF4-FFF2-40B4-BE49-F238E27FC236}">
                  <a16:creationId xmlns:a16="http://schemas.microsoft.com/office/drawing/2014/main" id="{00000000-0008-0000-0400-000060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153</xdr:row>
          <xdr:rowOff>0</xdr:rowOff>
        </xdr:from>
        <xdr:to>
          <xdr:col>3</xdr:col>
          <xdr:colOff>1619250</xdr:colOff>
          <xdr:row>154</xdr:row>
          <xdr:rowOff>19050</xdr:rowOff>
        </xdr:to>
        <xdr:sp macro="" textlink="">
          <xdr:nvSpPr>
            <xdr:cNvPr id="263523" name="Check Box 355" hidden="1">
              <a:extLst>
                <a:ext uri="{63B3BB69-23CF-44E3-9099-C40C66FF867C}">
                  <a14:compatExt spid="_x0000_s263523"/>
                </a:ext>
                <a:ext uri="{FF2B5EF4-FFF2-40B4-BE49-F238E27FC236}">
                  <a16:creationId xmlns:a16="http://schemas.microsoft.com/office/drawing/2014/main" id="{00000000-0008-0000-0400-000063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523875</xdr:colOff>
          <xdr:row>33</xdr:row>
          <xdr:rowOff>161925</xdr:rowOff>
        </xdr:from>
        <xdr:to>
          <xdr:col>3</xdr:col>
          <xdr:colOff>771525</xdr:colOff>
          <xdr:row>35</xdr:row>
          <xdr:rowOff>19050</xdr:rowOff>
        </xdr:to>
        <xdr:sp macro="" textlink="">
          <xdr:nvSpPr>
            <xdr:cNvPr id="263524" name="Check Box 356" hidden="1">
              <a:extLst>
                <a:ext uri="{63B3BB69-23CF-44E3-9099-C40C66FF867C}">
                  <a14:compatExt spid="_x0000_s263524"/>
                </a:ext>
                <a:ext uri="{FF2B5EF4-FFF2-40B4-BE49-F238E27FC236}">
                  <a16:creationId xmlns:a16="http://schemas.microsoft.com/office/drawing/2014/main" id="{00000000-0008-0000-0400-000064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115</xdr:row>
          <xdr:rowOff>161925</xdr:rowOff>
        </xdr:from>
        <xdr:to>
          <xdr:col>3</xdr:col>
          <xdr:colOff>1657350</xdr:colOff>
          <xdr:row>117</xdr:row>
          <xdr:rowOff>19050</xdr:rowOff>
        </xdr:to>
        <xdr:sp macro="" textlink="">
          <xdr:nvSpPr>
            <xdr:cNvPr id="263525" name="Check Box 357" hidden="1">
              <a:extLst>
                <a:ext uri="{63B3BB69-23CF-44E3-9099-C40C66FF867C}">
                  <a14:compatExt spid="_x0000_s263525"/>
                </a:ext>
                <a:ext uri="{FF2B5EF4-FFF2-40B4-BE49-F238E27FC236}">
                  <a16:creationId xmlns:a16="http://schemas.microsoft.com/office/drawing/2014/main" id="{00000000-0008-0000-0400-00006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73</xdr:row>
          <xdr:rowOff>0</xdr:rowOff>
        </xdr:from>
        <xdr:to>
          <xdr:col>2</xdr:col>
          <xdr:colOff>952500</xdr:colOff>
          <xdr:row>74</xdr:row>
          <xdr:rowOff>57150</xdr:rowOff>
        </xdr:to>
        <xdr:sp macro="" textlink="">
          <xdr:nvSpPr>
            <xdr:cNvPr id="263527" name="Check Box 359" hidden="1">
              <a:extLst>
                <a:ext uri="{63B3BB69-23CF-44E3-9099-C40C66FF867C}">
                  <a14:compatExt spid="_x0000_s263527"/>
                </a:ext>
                <a:ext uri="{FF2B5EF4-FFF2-40B4-BE49-F238E27FC236}">
                  <a16:creationId xmlns:a16="http://schemas.microsoft.com/office/drawing/2014/main" id="{00000000-0008-0000-0400-000067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99</xdr:row>
          <xdr:rowOff>171450</xdr:rowOff>
        </xdr:from>
        <xdr:to>
          <xdr:col>2</xdr:col>
          <xdr:colOff>866775</xdr:colOff>
          <xdr:row>101</xdr:row>
          <xdr:rowOff>9525</xdr:rowOff>
        </xdr:to>
        <xdr:sp macro="" textlink="">
          <xdr:nvSpPr>
            <xdr:cNvPr id="263528" name="Check Box 360" hidden="1">
              <a:extLst>
                <a:ext uri="{63B3BB69-23CF-44E3-9099-C40C66FF867C}">
                  <a14:compatExt spid="_x0000_s263528"/>
                </a:ext>
                <a:ext uri="{FF2B5EF4-FFF2-40B4-BE49-F238E27FC236}">
                  <a16:creationId xmlns:a16="http://schemas.microsoft.com/office/drawing/2014/main" id="{00000000-0008-0000-0400-00006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137</xdr:row>
          <xdr:rowOff>161925</xdr:rowOff>
        </xdr:from>
        <xdr:to>
          <xdr:col>3</xdr:col>
          <xdr:colOff>1695450</xdr:colOff>
          <xdr:row>139</xdr:row>
          <xdr:rowOff>0</xdr:rowOff>
        </xdr:to>
        <xdr:sp macro="" textlink="">
          <xdr:nvSpPr>
            <xdr:cNvPr id="263529" name="Check Box 361" hidden="1">
              <a:extLst>
                <a:ext uri="{63B3BB69-23CF-44E3-9099-C40C66FF867C}">
                  <a14:compatExt spid="_x0000_s263529"/>
                </a:ext>
                <a:ext uri="{FF2B5EF4-FFF2-40B4-BE49-F238E27FC236}">
                  <a16:creationId xmlns:a16="http://schemas.microsoft.com/office/drawing/2014/main" id="{00000000-0008-0000-0400-000069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155</xdr:row>
          <xdr:rowOff>171450</xdr:rowOff>
        </xdr:from>
        <xdr:to>
          <xdr:col>3</xdr:col>
          <xdr:colOff>1733550</xdr:colOff>
          <xdr:row>157</xdr:row>
          <xdr:rowOff>38100</xdr:rowOff>
        </xdr:to>
        <xdr:sp macro="" textlink="">
          <xdr:nvSpPr>
            <xdr:cNvPr id="263532" name="Check Box 364" hidden="1">
              <a:extLst>
                <a:ext uri="{63B3BB69-23CF-44E3-9099-C40C66FF867C}">
                  <a14:compatExt spid="_x0000_s263532"/>
                </a:ext>
                <a:ext uri="{FF2B5EF4-FFF2-40B4-BE49-F238E27FC236}">
                  <a16:creationId xmlns:a16="http://schemas.microsoft.com/office/drawing/2014/main" id="{00000000-0008-0000-0400-00006C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247650</xdr:colOff>
          <xdr:row>2</xdr:row>
          <xdr:rowOff>142875</xdr:rowOff>
        </xdr:from>
        <xdr:to>
          <xdr:col>7</xdr:col>
          <xdr:colOff>209550</xdr:colOff>
          <xdr:row>4</xdr:row>
          <xdr:rowOff>19050</xdr:rowOff>
        </xdr:to>
        <xdr:sp macro="" textlink="">
          <xdr:nvSpPr>
            <xdr:cNvPr id="290817" name="Check Box 1" hidden="1">
              <a:extLst>
                <a:ext uri="{63B3BB69-23CF-44E3-9099-C40C66FF867C}">
                  <a14:compatExt spid="_x0000_s290817"/>
                </a:ext>
                <a:ext uri="{FF2B5EF4-FFF2-40B4-BE49-F238E27FC236}">
                  <a16:creationId xmlns:a16="http://schemas.microsoft.com/office/drawing/2014/main" id="{00000000-0008-0000-0500-0000017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523875</xdr:colOff>
          <xdr:row>17</xdr:row>
          <xdr:rowOff>0</xdr:rowOff>
        </xdr:from>
        <xdr:to>
          <xdr:col>2</xdr:col>
          <xdr:colOff>914400</xdr:colOff>
          <xdr:row>18</xdr:row>
          <xdr:rowOff>85725</xdr:rowOff>
        </xdr:to>
        <xdr:sp macro="" textlink="">
          <xdr:nvSpPr>
            <xdr:cNvPr id="277505" name="Check Box 1" hidden="1">
              <a:extLst>
                <a:ext uri="{63B3BB69-23CF-44E3-9099-C40C66FF867C}">
                  <a14:compatExt spid="_x0000_s277505"/>
                </a:ext>
                <a:ext uri="{FF2B5EF4-FFF2-40B4-BE49-F238E27FC236}">
                  <a16:creationId xmlns:a16="http://schemas.microsoft.com/office/drawing/2014/main" id="{00000000-0008-0000-0600-00000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17</xdr:row>
          <xdr:rowOff>190500</xdr:rowOff>
        </xdr:from>
        <xdr:to>
          <xdr:col>2</xdr:col>
          <xdr:colOff>914400</xdr:colOff>
          <xdr:row>19</xdr:row>
          <xdr:rowOff>38100</xdr:rowOff>
        </xdr:to>
        <xdr:sp macro="" textlink="">
          <xdr:nvSpPr>
            <xdr:cNvPr id="277506" name="Check Box 2" hidden="1">
              <a:extLst>
                <a:ext uri="{63B3BB69-23CF-44E3-9099-C40C66FF867C}">
                  <a14:compatExt spid="_x0000_s277506"/>
                </a:ext>
                <a:ext uri="{FF2B5EF4-FFF2-40B4-BE49-F238E27FC236}">
                  <a16:creationId xmlns:a16="http://schemas.microsoft.com/office/drawing/2014/main" id="{00000000-0008-0000-0600-00000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68</xdr:row>
          <xdr:rowOff>0</xdr:rowOff>
        </xdr:from>
        <xdr:to>
          <xdr:col>2</xdr:col>
          <xdr:colOff>914400</xdr:colOff>
          <xdr:row>69</xdr:row>
          <xdr:rowOff>38100</xdr:rowOff>
        </xdr:to>
        <xdr:sp macro="" textlink="">
          <xdr:nvSpPr>
            <xdr:cNvPr id="277507" name="Check Box 3" hidden="1">
              <a:extLst>
                <a:ext uri="{63B3BB69-23CF-44E3-9099-C40C66FF867C}">
                  <a14:compatExt spid="_x0000_s277507"/>
                </a:ext>
                <a:ext uri="{FF2B5EF4-FFF2-40B4-BE49-F238E27FC236}">
                  <a16:creationId xmlns:a16="http://schemas.microsoft.com/office/drawing/2014/main" id="{00000000-0008-0000-0600-00000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62</xdr:row>
          <xdr:rowOff>190500</xdr:rowOff>
        </xdr:from>
        <xdr:to>
          <xdr:col>2</xdr:col>
          <xdr:colOff>914400</xdr:colOff>
          <xdr:row>64</xdr:row>
          <xdr:rowOff>47625</xdr:rowOff>
        </xdr:to>
        <xdr:sp macro="" textlink="">
          <xdr:nvSpPr>
            <xdr:cNvPr id="277508" name="Check Box 4" hidden="1">
              <a:extLst>
                <a:ext uri="{63B3BB69-23CF-44E3-9099-C40C66FF867C}">
                  <a14:compatExt spid="_x0000_s277508"/>
                </a:ext>
                <a:ext uri="{FF2B5EF4-FFF2-40B4-BE49-F238E27FC236}">
                  <a16:creationId xmlns:a16="http://schemas.microsoft.com/office/drawing/2014/main" id="{00000000-0008-0000-0600-00000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23</xdr:row>
          <xdr:rowOff>161925</xdr:rowOff>
        </xdr:from>
        <xdr:to>
          <xdr:col>2</xdr:col>
          <xdr:colOff>942975</xdr:colOff>
          <xdr:row>25</xdr:row>
          <xdr:rowOff>66675</xdr:rowOff>
        </xdr:to>
        <xdr:sp macro="" textlink="">
          <xdr:nvSpPr>
            <xdr:cNvPr id="277509" name="Check Box 5" hidden="1">
              <a:extLst>
                <a:ext uri="{63B3BB69-23CF-44E3-9099-C40C66FF867C}">
                  <a14:compatExt spid="_x0000_s277509"/>
                </a:ext>
                <a:ext uri="{FF2B5EF4-FFF2-40B4-BE49-F238E27FC236}">
                  <a16:creationId xmlns:a16="http://schemas.microsoft.com/office/drawing/2014/main" id="{00000000-0008-0000-0600-00000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25</xdr:row>
          <xdr:rowOff>152400</xdr:rowOff>
        </xdr:from>
        <xdr:to>
          <xdr:col>2</xdr:col>
          <xdr:colOff>1019175</xdr:colOff>
          <xdr:row>27</xdr:row>
          <xdr:rowOff>114300</xdr:rowOff>
        </xdr:to>
        <xdr:sp macro="" textlink="">
          <xdr:nvSpPr>
            <xdr:cNvPr id="277510" name="Check Box 6" hidden="1">
              <a:extLst>
                <a:ext uri="{63B3BB69-23CF-44E3-9099-C40C66FF867C}">
                  <a14:compatExt spid="_x0000_s277510"/>
                </a:ext>
                <a:ext uri="{FF2B5EF4-FFF2-40B4-BE49-F238E27FC236}">
                  <a16:creationId xmlns:a16="http://schemas.microsoft.com/office/drawing/2014/main" id="{00000000-0008-0000-0600-00000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93</xdr:row>
          <xdr:rowOff>19050</xdr:rowOff>
        </xdr:from>
        <xdr:to>
          <xdr:col>2</xdr:col>
          <xdr:colOff>914400</xdr:colOff>
          <xdr:row>94</xdr:row>
          <xdr:rowOff>38100</xdr:rowOff>
        </xdr:to>
        <xdr:sp macro="" textlink="">
          <xdr:nvSpPr>
            <xdr:cNvPr id="277511" name="Check Box 7" hidden="1">
              <a:extLst>
                <a:ext uri="{63B3BB69-23CF-44E3-9099-C40C66FF867C}">
                  <a14:compatExt spid="_x0000_s277511"/>
                </a:ext>
                <a:ext uri="{FF2B5EF4-FFF2-40B4-BE49-F238E27FC236}">
                  <a16:creationId xmlns:a16="http://schemas.microsoft.com/office/drawing/2014/main" id="{00000000-0008-0000-0600-00000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55</xdr:row>
          <xdr:rowOff>152400</xdr:rowOff>
        </xdr:from>
        <xdr:to>
          <xdr:col>2</xdr:col>
          <xdr:colOff>942975</xdr:colOff>
          <xdr:row>57</xdr:row>
          <xdr:rowOff>85725</xdr:rowOff>
        </xdr:to>
        <xdr:sp macro="" textlink="">
          <xdr:nvSpPr>
            <xdr:cNvPr id="277512" name="Check Box 8" hidden="1">
              <a:extLst>
                <a:ext uri="{63B3BB69-23CF-44E3-9099-C40C66FF867C}">
                  <a14:compatExt spid="_x0000_s277512"/>
                </a:ext>
                <a:ext uri="{FF2B5EF4-FFF2-40B4-BE49-F238E27FC236}">
                  <a16:creationId xmlns:a16="http://schemas.microsoft.com/office/drawing/2014/main" id="{00000000-0008-0000-0600-00000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38</xdr:row>
          <xdr:rowOff>180975</xdr:rowOff>
        </xdr:from>
        <xdr:to>
          <xdr:col>2</xdr:col>
          <xdr:colOff>942975</xdr:colOff>
          <xdr:row>40</xdr:row>
          <xdr:rowOff>76200</xdr:rowOff>
        </xdr:to>
        <xdr:sp macro="" textlink="">
          <xdr:nvSpPr>
            <xdr:cNvPr id="277513" name="Check Box 9" hidden="1">
              <a:extLst>
                <a:ext uri="{63B3BB69-23CF-44E3-9099-C40C66FF867C}">
                  <a14:compatExt spid="_x0000_s277513"/>
                </a:ext>
                <a:ext uri="{FF2B5EF4-FFF2-40B4-BE49-F238E27FC236}">
                  <a16:creationId xmlns:a16="http://schemas.microsoft.com/office/drawing/2014/main" id="{00000000-0008-0000-0600-00000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74</xdr:row>
          <xdr:rowOff>171450</xdr:rowOff>
        </xdr:from>
        <xdr:to>
          <xdr:col>2</xdr:col>
          <xdr:colOff>962025</xdr:colOff>
          <xdr:row>76</xdr:row>
          <xdr:rowOff>57150</xdr:rowOff>
        </xdr:to>
        <xdr:sp macro="" textlink="">
          <xdr:nvSpPr>
            <xdr:cNvPr id="277514" name="Check Box 10" hidden="1">
              <a:extLst>
                <a:ext uri="{63B3BB69-23CF-44E3-9099-C40C66FF867C}">
                  <a14:compatExt spid="_x0000_s277514"/>
                </a:ext>
                <a:ext uri="{FF2B5EF4-FFF2-40B4-BE49-F238E27FC236}">
                  <a16:creationId xmlns:a16="http://schemas.microsoft.com/office/drawing/2014/main" id="{00000000-0008-0000-0600-00000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30</xdr:row>
          <xdr:rowOff>190500</xdr:rowOff>
        </xdr:from>
        <xdr:to>
          <xdr:col>2</xdr:col>
          <xdr:colOff>1019175</xdr:colOff>
          <xdr:row>32</xdr:row>
          <xdr:rowOff>66675</xdr:rowOff>
        </xdr:to>
        <xdr:sp macro="" textlink="">
          <xdr:nvSpPr>
            <xdr:cNvPr id="277515" name="Check Box 11" hidden="1">
              <a:extLst>
                <a:ext uri="{63B3BB69-23CF-44E3-9099-C40C66FF867C}">
                  <a14:compatExt spid="_x0000_s277515"/>
                </a:ext>
                <a:ext uri="{FF2B5EF4-FFF2-40B4-BE49-F238E27FC236}">
                  <a16:creationId xmlns:a16="http://schemas.microsoft.com/office/drawing/2014/main" id="{00000000-0008-0000-0600-00000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44</xdr:row>
          <xdr:rowOff>171450</xdr:rowOff>
        </xdr:from>
        <xdr:to>
          <xdr:col>2</xdr:col>
          <xdr:colOff>1019175</xdr:colOff>
          <xdr:row>46</xdr:row>
          <xdr:rowOff>57150</xdr:rowOff>
        </xdr:to>
        <xdr:sp macro="" textlink="">
          <xdr:nvSpPr>
            <xdr:cNvPr id="277516" name="Check Box 12" hidden="1">
              <a:extLst>
                <a:ext uri="{63B3BB69-23CF-44E3-9099-C40C66FF867C}">
                  <a14:compatExt spid="_x0000_s277516"/>
                </a:ext>
                <a:ext uri="{FF2B5EF4-FFF2-40B4-BE49-F238E27FC236}">
                  <a16:creationId xmlns:a16="http://schemas.microsoft.com/office/drawing/2014/main" id="{00000000-0008-0000-0600-00000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69</xdr:row>
          <xdr:rowOff>247650</xdr:rowOff>
        </xdr:from>
        <xdr:to>
          <xdr:col>2</xdr:col>
          <xdr:colOff>1038225</xdr:colOff>
          <xdr:row>71</xdr:row>
          <xdr:rowOff>66675</xdr:rowOff>
        </xdr:to>
        <xdr:sp macro="" textlink="">
          <xdr:nvSpPr>
            <xdr:cNvPr id="277517" name="Check Box 13" hidden="1">
              <a:extLst>
                <a:ext uri="{63B3BB69-23CF-44E3-9099-C40C66FF867C}">
                  <a14:compatExt spid="_x0000_s277517"/>
                </a:ext>
                <a:ext uri="{FF2B5EF4-FFF2-40B4-BE49-F238E27FC236}">
                  <a16:creationId xmlns:a16="http://schemas.microsoft.com/office/drawing/2014/main" id="{00000000-0008-0000-0600-00000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102</xdr:row>
          <xdr:rowOff>19050</xdr:rowOff>
        </xdr:from>
        <xdr:to>
          <xdr:col>2</xdr:col>
          <xdr:colOff>914400</xdr:colOff>
          <xdr:row>103</xdr:row>
          <xdr:rowOff>38100</xdr:rowOff>
        </xdr:to>
        <xdr:sp macro="" textlink="">
          <xdr:nvSpPr>
            <xdr:cNvPr id="277518" name="Check Box 14" hidden="1">
              <a:extLst>
                <a:ext uri="{63B3BB69-23CF-44E3-9099-C40C66FF867C}">
                  <a14:compatExt spid="_x0000_s277518"/>
                </a:ext>
                <a:ext uri="{FF2B5EF4-FFF2-40B4-BE49-F238E27FC236}">
                  <a16:creationId xmlns:a16="http://schemas.microsoft.com/office/drawing/2014/main" id="{00000000-0008-0000-0600-00000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107</xdr:row>
          <xdr:rowOff>19050</xdr:rowOff>
        </xdr:from>
        <xdr:to>
          <xdr:col>2</xdr:col>
          <xdr:colOff>914400</xdr:colOff>
          <xdr:row>108</xdr:row>
          <xdr:rowOff>38100</xdr:rowOff>
        </xdr:to>
        <xdr:sp macro="" textlink="">
          <xdr:nvSpPr>
            <xdr:cNvPr id="277519" name="Check Box 15" hidden="1">
              <a:extLst>
                <a:ext uri="{63B3BB69-23CF-44E3-9099-C40C66FF867C}">
                  <a14:compatExt spid="_x0000_s277519"/>
                </a:ext>
                <a:ext uri="{FF2B5EF4-FFF2-40B4-BE49-F238E27FC236}">
                  <a16:creationId xmlns:a16="http://schemas.microsoft.com/office/drawing/2014/main" id="{00000000-0008-0000-0600-00000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103</xdr:row>
          <xdr:rowOff>19050</xdr:rowOff>
        </xdr:from>
        <xdr:to>
          <xdr:col>2</xdr:col>
          <xdr:colOff>914400</xdr:colOff>
          <xdr:row>104</xdr:row>
          <xdr:rowOff>38100</xdr:rowOff>
        </xdr:to>
        <xdr:sp macro="" textlink="">
          <xdr:nvSpPr>
            <xdr:cNvPr id="277520" name="Check Box 16" hidden="1">
              <a:extLst>
                <a:ext uri="{63B3BB69-23CF-44E3-9099-C40C66FF867C}">
                  <a14:compatExt spid="_x0000_s277520"/>
                </a:ext>
                <a:ext uri="{FF2B5EF4-FFF2-40B4-BE49-F238E27FC236}">
                  <a16:creationId xmlns:a16="http://schemas.microsoft.com/office/drawing/2014/main" id="{00000000-0008-0000-0600-00001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108</xdr:row>
          <xdr:rowOff>19050</xdr:rowOff>
        </xdr:from>
        <xdr:to>
          <xdr:col>2</xdr:col>
          <xdr:colOff>914400</xdr:colOff>
          <xdr:row>109</xdr:row>
          <xdr:rowOff>38100</xdr:rowOff>
        </xdr:to>
        <xdr:sp macro="" textlink="">
          <xdr:nvSpPr>
            <xdr:cNvPr id="277521" name="Check Box 17" hidden="1">
              <a:extLst>
                <a:ext uri="{63B3BB69-23CF-44E3-9099-C40C66FF867C}">
                  <a14:compatExt spid="_x0000_s277521"/>
                </a:ext>
                <a:ext uri="{FF2B5EF4-FFF2-40B4-BE49-F238E27FC236}">
                  <a16:creationId xmlns:a16="http://schemas.microsoft.com/office/drawing/2014/main" id="{00000000-0008-0000-0600-00001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109</xdr:row>
          <xdr:rowOff>28575</xdr:rowOff>
        </xdr:from>
        <xdr:to>
          <xdr:col>2</xdr:col>
          <xdr:colOff>914400</xdr:colOff>
          <xdr:row>110</xdr:row>
          <xdr:rowOff>38100</xdr:rowOff>
        </xdr:to>
        <xdr:sp macro="" textlink="">
          <xdr:nvSpPr>
            <xdr:cNvPr id="277522" name="Check Box 18" hidden="1">
              <a:extLst>
                <a:ext uri="{63B3BB69-23CF-44E3-9099-C40C66FF867C}">
                  <a14:compatExt spid="_x0000_s277522"/>
                </a:ext>
                <a:ext uri="{FF2B5EF4-FFF2-40B4-BE49-F238E27FC236}">
                  <a16:creationId xmlns:a16="http://schemas.microsoft.com/office/drawing/2014/main" id="{00000000-0008-0000-0600-00001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106</xdr:row>
          <xdr:rowOff>19050</xdr:rowOff>
        </xdr:from>
        <xdr:to>
          <xdr:col>2</xdr:col>
          <xdr:colOff>914400</xdr:colOff>
          <xdr:row>107</xdr:row>
          <xdr:rowOff>38100</xdr:rowOff>
        </xdr:to>
        <xdr:sp macro="" textlink="">
          <xdr:nvSpPr>
            <xdr:cNvPr id="277523" name="Check Box 19" hidden="1">
              <a:extLst>
                <a:ext uri="{63B3BB69-23CF-44E3-9099-C40C66FF867C}">
                  <a14:compatExt spid="_x0000_s277523"/>
                </a:ext>
                <a:ext uri="{FF2B5EF4-FFF2-40B4-BE49-F238E27FC236}">
                  <a16:creationId xmlns:a16="http://schemas.microsoft.com/office/drawing/2014/main" id="{00000000-0008-0000-0600-00001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113</xdr:row>
          <xdr:rowOff>19050</xdr:rowOff>
        </xdr:from>
        <xdr:to>
          <xdr:col>2</xdr:col>
          <xdr:colOff>914400</xdr:colOff>
          <xdr:row>114</xdr:row>
          <xdr:rowOff>38100</xdr:rowOff>
        </xdr:to>
        <xdr:sp macro="" textlink="">
          <xdr:nvSpPr>
            <xdr:cNvPr id="277524" name="Check Box 20" hidden="1">
              <a:extLst>
                <a:ext uri="{63B3BB69-23CF-44E3-9099-C40C66FF867C}">
                  <a14:compatExt spid="_x0000_s277524"/>
                </a:ext>
                <a:ext uri="{FF2B5EF4-FFF2-40B4-BE49-F238E27FC236}">
                  <a16:creationId xmlns:a16="http://schemas.microsoft.com/office/drawing/2014/main" id="{00000000-0008-0000-0600-00001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116</xdr:row>
          <xdr:rowOff>28575</xdr:rowOff>
        </xdr:from>
        <xdr:to>
          <xdr:col>2</xdr:col>
          <xdr:colOff>914400</xdr:colOff>
          <xdr:row>117</xdr:row>
          <xdr:rowOff>38100</xdr:rowOff>
        </xdr:to>
        <xdr:sp macro="" textlink="">
          <xdr:nvSpPr>
            <xdr:cNvPr id="277525" name="Check Box 21" hidden="1">
              <a:extLst>
                <a:ext uri="{63B3BB69-23CF-44E3-9099-C40C66FF867C}">
                  <a14:compatExt spid="_x0000_s277525"/>
                </a:ext>
                <a:ext uri="{FF2B5EF4-FFF2-40B4-BE49-F238E27FC236}">
                  <a16:creationId xmlns:a16="http://schemas.microsoft.com/office/drawing/2014/main" id="{00000000-0008-0000-0600-00001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117</xdr:row>
          <xdr:rowOff>28575</xdr:rowOff>
        </xdr:from>
        <xdr:to>
          <xdr:col>2</xdr:col>
          <xdr:colOff>914400</xdr:colOff>
          <xdr:row>118</xdr:row>
          <xdr:rowOff>38100</xdr:rowOff>
        </xdr:to>
        <xdr:sp macro="" textlink="">
          <xdr:nvSpPr>
            <xdr:cNvPr id="277526" name="Check Box 22" hidden="1">
              <a:extLst>
                <a:ext uri="{63B3BB69-23CF-44E3-9099-C40C66FF867C}">
                  <a14:compatExt spid="_x0000_s277526"/>
                </a:ext>
                <a:ext uri="{FF2B5EF4-FFF2-40B4-BE49-F238E27FC236}">
                  <a16:creationId xmlns:a16="http://schemas.microsoft.com/office/drawing/2014/main" id="{00000000-0008-0000-0600-00001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118</xdr:row>
          <xdr:rowOff>28575</xdr:rowOff>
        </xdr:from>
        <xdr:to>
          <xdr:col>2</xdr:col>
          <xdr:colOff>914400</xdr:colOff>
          <xdr:row>119</xdr:row>
          <xdr:rowOff>38100</xdr:rowOff>
        </xdr:to>
        <xdr:sp macro="" textlink="">
          <xdr:nvSpPr>
            <xdr:cNvPr id="277527" name="Check Box 23" hidden="1">
              <a:extLst>
                <a:ext uri="{63B3BB69-23CF-44E3-9099-C40C66FF867C}">
                  <a14:compatExt spid="_x0000_s277527"/>
                </a:ext>
                <a:ext uri="{FF2B5EF4-FFF2-40B4-BE49-F238E27FC236}">
                  <a16:creationId xmlns:a16="http://schemas.microsoft.com/office/drawing/2014/main" id="{00000000-0008-0000-0600-00001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120</xdr:row>
          <xdr:rowOff>9525</xdr:rowOff>
        </xdr:from>
        <xdr:to>
          <xdr:col>2</xdr:col>
          <xdr:colOff>942975</xdr:colOff>
          <xdr:row>121</xdr:row>
          <xdr:rowOff>28575</xdr:rowOff>
        </xdr:to>
        <xdr:sp macro="" textlink="">
          <xdr:nvSpPr>
            <xdr:cNvPr id="277528" name="Check Box 24" hidden="1">
              <a:extLst>
                <a:ext uri="{63B3BB69-23CF-44E3-9099-C40C66FF867C}">
                  <a14:compatExt spid="_x0000_s277528"/>
                </a:ext>
                <a:ext uri="{FF2B5EF4-FFF2-40B4-BE49-F238E27FC236}">
                  <a16:creationId xmlns:a16="http://schemas.microsoft.com/office/drawing/2014/main" id="{00000000-0008-0000-0600-00001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92</xdr:row>
          <xdr:rowOff>19050</xdr:rowOff>
        </xdr:from>
        <xdr:to>
          <xdr:col>2</xdr:col>
          <xdr:colOff>914400</xdr:colOff>
          <xdr:row>93</xdr:row>
          <xdr:rowOff>38100</xdr:rowOff>
        </xdr:to>
        <xdr:sp macro="" textlink="">
          <xdr:nvSpPr>
            <xdr:cNvPr id="277529" name="Check Box 25" hidden="1">
              <a:extLst>
                <a:ext uri="{63B3BB69-23CF-44E3-9099-C40C66FF867C}">
                  <a14:compatExt spid="_x0000_s277529"/>
                </a:ext>
                <a:ext uri="{FF2B5EF4-FFF2-40B4-BE49-F238E27FC236}">
                  <a16:creationId xmlns:a16="http://schemas.microsoft.com/office/drawing/2014/main" id="{00000000-0008-0000-0600-00001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52</xdr:row>
          <xdr:rowOff>161925</xdr:rowOff>
        </xdr:from>
        <xdr:to>
          <xdr:col>2</xdr:col>
          <xdr:colOff>923925</xdr:colOff>
          <xdr:row>54</xdr:row>
          <xdr:rowOff>76200</xdr:rowOff>
        </xdr:to>
        <xdr:sp macro="" textlink="">
          <xdr:nvSpPr>
            <xdr:cNvPr id="277530" name="Check Box 26" hidden="1">
              <a:extLst>
                <a:ext uri="{63B3BB69-23CF-44E3-9099-C40C66FF867C}">
                  <a14:compatExt spid="_x0000_s277530"/>
                </a:ext>
                <a:ext uri="{FF2B5EF4-FFF2-40B4-BE49-F238E27FC236}">
                  <a16:creationId xmlns:a16="http://schemas.microsoft.com/office/drawing/2014/main" id="{00000000-0008-0000-0600-00001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80</xdr:row>
          <xdr:rowOff>238125</xdr:rowOff>
        </xdr:from>
        <xdr:to>
          <xdr:col>2</xdr:col>
          <xdr:colOff>962025</xdr:colOff>
          <xdr:row>82</xdr:row>
          <xdr:rowOff>66675</xdr:rowOff>
        </xdr:to>
        <xdr:sp macro="" textlink="">
          <xdr:nvSpPr>
            <xdr:cNvPr id="277531" name="Check Box 27" hidden="1">
              <a:extLst>
                <a:ext uri="{63B3BB69-23CF-44E3-9099-C40C66FF867C}">
                  <a14:compatExt spid="_x0000_s277531"/>
                </a:ext>
                <a:ext uri="{FF2B5EF4-FFF2-40B4-BE49-F238E27FC236}">
                  <a16:creationId xmlns:a16="http://schemas.microsoft.com/office/drawing/2014/main" id="{00000000-0008-0000-0600-00001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70</xdr:row>
          <xdr:rowOff>180975</xdr:rowOff>
        </xdr:from>
        <xdr:to>
          <xdr:col>2</xdr:col>
          <xdr:colOff>962025</xdr:colOff>
          <xdr:row>72</xdr:row>
          <xdr:rowOff>76200</xdr:rowOff>
        </xdr:to>
        <xdr:sp macro="" textlink="">
          <xdr:nvSpPr>
            <xdr:cNvPr id="277532" name="Check Box 28" hidden="1">
              <a:extLst>
                <a:ext uri="{63B3BB69-23CF-44E3-9099-C40C66FF867C}">
                  <a14:compatExt spid="_x0000_s277532"/>
                </a:ext>
                <a:ext uri="{FF2B5EF4-FFF2-40B4-BE49-F238E27FC236}">
                  <a16:creationId xmlns:a16="http://schemas.microsoft.com/office/drawing/2014/main" id="{00000000-0008-0000-0600-00001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81</xdr:row>
          <xdr:rowOff>180975</xdr:rowOff>
        </xdr:from>
        <xdr:to>
          <xdr:col>2</xdr:col>
          <xdr:colOff>962025</xdr:colOff>
          <xdr:row>83</xdr:row>
          <xdr:rowOff>76200</xdr:rowOff>
        </xdr:to>
        <xdr:sp macro="" textlink="">
          <xdr:nvSpPr>
            <xdr:cNvPr id="277533" name="Check Box 29" hidden="1">
              <a:extLst>
                <a:ext uri="{63B3BB69-23CF-44E3-9099-C40C66FF867C}">
                  <a14:compatExt spid="_x0000_s277533"/>
                </a:ext>
                <a:ext uri="{FF2B5EF4-FFF2-40B4-BE49-F238E27FC236}">
                  <a16:creationId xmlns:a16="http://schemas.microsoft.com/office/drawing/2014/main" id="{00000000-0008-0000-0600-00001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83</xdr:row>
          <xdr:rowOff>0</xdr:rowOff>
        </xdr:from>
        <xdr:to>
          <xdr:col>2</xdr:col>
          <xdr:colOff>962025</xdr:colOff>
          <xdr:row>84</xdr:row>
          <xdr:rowOff>66675</xdr:rowOff>
        </xdr:to>
        <xdr:sp macro="" textlink="">
          <xdr:nvSpPr>
            <xdr:cNvPr id="277534" name="Check Box 30" hidden="1">
              <a:extLst>
                <a:ext uri="{63B3BB69-23CF-44E3-9099-C40C66FF867C}">
                  <a14:compatExt spid="_x0000_s277534"/>
                </a:ext>
                <a:ext uri="{FF2B5EF4-FFF2-40B4-BE49-F238E27FC236}">
                  <a16:creationId xmlns:a16="http://schemas.microsoft.com/office/drawing/2014/main" id="{00000000-0008-0000-0600-00001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84</xdr:row>
          <xdr:rowOff>0</xdr:rowOff>
        </xdr:from>
        <xdr:to>
          <xdr:col>2</xdr:col>
          <xdr:colOff>962025</xdr:colOff>
          <xdr:row>85</xdr:row>
          <xdr:rowOff>66675</xdr:rowOff>
        </xdr:to>
        <xdr:sp macro="" textlink="">
          <xdr:nvSpPr>
            <xdr:cNvPr id="277535" name="Check Box 31" hidden="1">
              <a:extLst>
                <a:ext uri="{63B3BB69-23CF-44E3-9099-C40C66FF867C}">
                  <a14:compatExt spid="_x0000_s277535"/>
                </a:ext>
                <a:ext uri="{FF2B5EF4-FFF2-40B4-BE49-F238E27FC236}">
                  <a16:creationId xmlns:a16="http://schemas.microsoft.com/office/drawing/2014/main" id="{00000000-0008-0000-0600-00001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111</xdr:row>
          <xdr:rowOff>9525</xdr:rowOff>
        </xdr:from>
        <xdr:to>
          <xdr:col>2</xdr:col>
          <xdr:colOff>904875</xdr:colOff>
          <xdr:row>112</xdr:row>
          <xdr:rowOff>28575</xdr:rowOff>
        </xdr:to>
        <xdr:sp macro="" textlink="">
          <xdr:nvSpPr>
            <xdr:cNvPr id="277536" name="Check Box 32" hidden="1">
              <a:extLst>
                <a:ext uri="{63B3BB69-23CF-44E3-9099-C40C66FF867C}">
                  <a14:compatExt spid="_x0000_s277536"/>
                </a:ext>
                <a:ext uri="{FF2B5EF4-FFF2-40B4-BE49-F238E27FC236}">
                  <a16:creationId xmlns:a16="http://schemas.microsoft.com/office/drawing/2014/main" id="{00000000-0008-0000-0600-00002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105</xdr:row>
          <xdr:rowOff>19050</xdr:rowOff>
        </xdr:from>
        <xdr:to>
          <xdr:col>2</xdr:col>
          <xdr:colOff>914400</xdr:colOff>
          <xdr:row>106</xdr:row>
          <xdr:rowOff>38100</xdr:rowOff>
        </xdr:to>
        <xdr:sp macro="" textlink="">
          <xdr:nvSpPr>
            <xdr:cNvPr id="277537" name="Check Box 33" hidden="1">
              <a:extLst>
                <a:ext uri="{63B3BB69-23CF-44E3-9099-C40C66FF867C}">
                  <a14:compatExt spid="_x0000_s277537"/>
                </a:ext>
                <a:ext uri="{FF2B5EF4-FFF2-40B4-BE49-F238E27FC236}">
                  <a16:creationId xmlns:a16="http://schemas.microsoft.com/office/drawing/2014/main" id="{00000000-0008-0000-0600-00002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125</xdr:row>
          <xdr:rowOff>9525</xdr:rowOff>
        </xdr:from>
        <xdr:to>
          <xdr:col>2</xdr:col>
          <xdr:colOff>942975</xdr:colOff>
          <xdr:row>126</xdr:row>
          <xdr:rowOff>57150</xdr:rowOff>
        </xdr:to>
        <xdr:sp macro="" textlink="">
          <xdr:nvSpPr>
            <xdr:cNvPr id="277538" name="Check Box 34" hidden="1">
              <a:extLst>
                <a:ext uri="{63B3BB69-23CF-44E3-9099-C40C66FF867C}">
                  <a14:compatExt spid="_x0000_s277538"/>
                </a:ext>
                <a:ext uri="{FF2B5EF4-FFF2-40B4-BE49-F238E27FC236}">
                  <a16:creationId xmlns:a16="http://schemas.microsoft.com/office/drawing/2014/main" id="{00000000-0008-0000-0600-00002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84</xdr:row>
          <xdr:rowOff>0</xdr:rowOff>
        </xdr:from>
        <xdr:to>
          <xdr:col>2</xdr:col>
          <xdr:colOff>962025</xdr:colOff>
          <xdr:row>85</xdr:row>
          <xdr:rowOff>66675</xdr:rowOff>
        </xdr:to>
        <xdr:sp macro="" textlink="">
          <xdr:nvSpPr>
            <xdr:cNvPr id="277539" name="Check Box 35" hidden="1">
              <a:extLst>
                <a:ext uri="{63B3BB69-23CF-44E3-9099-C40C66FF867C}">
                  <a14:compatExt spid="_x0000_s277539"/>
                </a:ext>
                <a:ext uri="{FF2B5EF4-FFF2-40B4-BE49-F238E27FC236}">
                  <a16:creationId xmlns:a16="http://schemas.microsoft.com/office/drawing/2014/main" id="{00000000-0008-0000-0600-00002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86</xdr:row>
          <xdr:rowOff>0</xdr:rowOff>
        </xdr:from>
        <xdr:to>
          <xdr:col>2</xdr:col>
          <xdr:colOff>962025</xdr:colOff>
          <xdr:row>87</xdr:row>
          <xdr:rowOff>66675</xdr:rowOff>
        </xdr:to>
        <xdr:sp macro="" textlink="">
          <xdr:nvSpPr>
            <xdr:cNvPr id="277540" name="Check Box 36" hidden="1">
              <a:extLst>
                <a:ext uri="{63B3BB69-23CF-44E3-9099-C40C66FF867C}">
                  <a14:compatExt spid="_x0000_s277540"/>
                </a:ext>
                <a:ext uri="{FF2B5EF4-FFF2-40B4-BE49-F238E27FC236}">
                  <a16:creationId xmlns:a16="http://schemas.microsoft.com/office/drawing/2014/main" id="{00000000-0008-0000-0600-00002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63</xdr:row>
          <xdr:rowOff>180975</xdr:rowOff>
        </xdr:from>
        <xdr:to>
          <xdr:col>2</xdr:col>
          <xdr:colOff>923925</xdr:colOff>
          <xdr:row>65</xdr:row>
          <xdr:rowOff>47625</xdr:rowOff>
        </xdr:to>
        <xdr:sp macro="" textlink="">
          <xdr:nvSpPr>
            <xdr:cNvPr id="277541" name="Check Box 37" hidden="1">
              <a:extLst>
                <a:ext uri="{63B3BB69-23CF-44E3-9099-C40C66FF867C}">
                  <a14:compatExt spid="_x0000_s277541"/>
                </a:ext>
                <a:ext uri="{FF2B5EF4-FFF2-40B4-BE49-F238E27FC236}">
                  <a16:creationId xmlns:a16="http://schemas.microsoft.com/office/drawing/2014/main" id="{00000000-0008-0000-0600-00002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72</xdr:row>
          <xdr:rowOff>180975</xdr:rowOff>
        </xdr:from>
        <xdr:to>
          <xdr:col>2</xdr:col>
          <xdr:colOff>962025</xdr:colOff>
          <xdr:row>74</xdr:row>
          <xdr:rowOff>76200</xdr:rowOff>
        </xdr:to>
        <xdr:sp macro="" textlink="">
          <xdr:nvSpPr>
            <xdr:cNvPr id="277542" name="Check Box 38" hidden="1">
              <a:extLst>
                <a:ext uri="{63B3BB69-23CF-44E3-9099-C40C66FF867C}">
                  <a14:compatExt spid="_x0000_s277542"/>
                </a:ext>
                <a:ext uri="{FF2B5EF4-FFF2-40B4-BE49-F238E27FC236}">
                  <a16:creationId xmlns:a16="http://schemas.microsoft.com/office/drawing/2014/main" id="{00000000-0008-0000-0600-00002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71</xdr:row>
          <xdr:rowOff>180975</xdr:rowOff>
        </xdr:from>
        <xdr:to>
          <xdr:col>2</xdr:col>
          <xdr:colOff>962025</xdr:colOff>
          <xdr:row>73</xdr:row>
          <xdr:rowOff>76200</xdr:rowOff>
        </xdr:to>
        <xdr:sp macro="" textlink="">
          <xdr:nvSpPr>
            <xdr:cNvPr id="277543" name="Check Box 39" hidden="1">
              <a:extLst>
                <a:ext uri="{63B3BB69-23CF-44E3-9099-C40C66FF867C}">
                  <a14:compatExt spid="_x0000_s277543"/>
                </a:ext>
                <a:ext uri="{FF2B5EF4-FFF2-40B4-BE49-F238E27FC236}">
                  <a16:creationId xmlns:a16="http://schemas.microsoft.com/office/drawing/2014/main" id="{00000000-0008-0000-0600-00002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105</xdr:row>
          <xdr:rowOff>19050</xdr:rowOff>
        </xdr:from>
        <xdr:to>
          <xdr:col>2</xdr:col>
          <xdr:colOff>914400</xdr:colOff>
          <xdr:row>106</xdr:row>
          <xdr:rowOff>38100</xdr:rowOff>
        </xdr:to>
        <xdr:sp macro="" textlink="">
          <xdr:nvSpPr>
            <xdr:cNvPr id="277544" name="Check Box 40" hidden="1">
              <a:extLst>
                <a:ext uri="{63B3BB69-23CF-44E3-9099-C40C66FF867C}">
                  <a14:compatExt spid="_x0000_s277544"/>
                </a:ext>
                <a:ext uri="{FF2B5EF4-FFF2-40B4-BE49-F238E27FC236}">
                  <a16:creationId xmlns:a16="http://schemas.microsoft.com/office/drawing/2014/main" id="{00000000-0008-0000-0600-00002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112</xdr:row>
          <xdr:rowOff>28575</xdr:rowOff>
        </xdr:from>
        <xdr:to>
          <xdr:col>2</xdr:col>
          <xdr:colOff>914400</xdr:colOff>
          <xdr:row>113</xdr:row>
          <xdr:rowOff>38100</xdr:rowOff>
        </xdr:to>
        <xdr:sp macro="" textlink="">
          <xdr:nvSpPr>
            <xdr:cNvPr id="277545" name="Check Box 41" hidden="1">
              <a:extLst>
                <a:ext uri="{63B3BB69-23CF-44E3-9099-C40C66FF867C}">
                  <a14:compatExt spid="_x0000_s277545"/>
                </a:ext>
                <a:ext uri="{FF2B5EF4-FFF2-40B4-BE49-F238E27FC236}">
                  <a16:creationId xmlns:a16="http://schemas.microsoft.com/office/drawing/2014/main" id="{00000000-0008-0000-0600-00002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94</xdr:row>
          <xdr:rowOff>19050</xdr:rowOff>
        </xdr:from>
        <xdr:to>
          <xdr:col>2</xdr:col>
          <xdr:colOff>914400</xdr:colOff>
          <xdr:row>95</xdr:row>
          <xdr:rowOff>38100</xdr:rowOff>
        </xdr:to>
        <xdr:sp macro="" textlink="">
          <xdr:nvSpPr>
            <xdr:cNvPr id="277546" name="Check Box 42" hidden="1">
              <a:extLst>
                <a:ext uri="{63B3BB69-23CF-44E3-9099-C40C66FF867C}">
                  <a14:compatExt spid="_x0000_s277546"/>
                </a:ext>
                <a:ext uri="{FF2B5EF4-FFF2-40B4-BE49-F238E27FC236}">
                  <a16:creationId xmlns:a16="http://schemas.microsoft.com/office/drawing/2014/main" id="{00000000-0008-0000-0600-00002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95</xdr:row>
          <xdr:rowOff>238125</xdr:rowOff>
        </xdr:from>
        <xdr:to>
          <xdr:col>2</xdr:col>
          <xdr:colOff>962025</xdr:colOff>
          <xdr:row>97</xdr:row>
          <xdr:rowOff>66675</xdr:rowOff>
        </xdr:to>
        <xdr:sp macro="" textlink="">
          <xdr:nvSpPr>
            <xdr:cNvPr id="277547" name="Check Box 43" hidden="1">
              <a:extLst>
                <a:ext uri="{63B3BB69-23CF-44E3-9099-C40C66FF867C}">
                  <a14:compatExt spid="_x0000_s277547"/>
                </a:ext>
                <a:ext uri="{FF2B5EF4-FFF2-40B4-BE49-F238E27FC236}">
                  <a16:creationId xmlns:a16="http://schemas.microsoft.com/office/drawing/2014/main" id="{00000000-0008-0000-0600-00002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96</xdr:row>
          <xdr:rowOff>180975</xdr:rowOff>
        </xdr:from>
        <xdr:to>
          <xdr:col>2</xdr:col>
          <xdr:colOff>962025</xdr:colOff>
          <xdr:row>98</xdr:row>
          <xdr:rowOff>76200</xdr:rowOff>
        </xdr:to>
        <xdr:sp macro="" textlink="">
          <xdr:nvSpPr>
            <xdr:cNvPr id="277548" name="Check Box 44" hidden="1">
              <a:extLst>
                <a:ext uri="{63B3BB69-23CF-44E3-9099-C40C66FF867C}">
                  <a14:compatExt spid="_x0000_s277548"/>
                </a:ext>
                <a:ext uri="{FF2B5EF4-FFF2-40B4-BE49-F238E27FC236}">
                  <a16:creationId xmlns:a16="http://schemas.microsoft.com/office/drawing/2014/main" id="{00000000-0008-0000-0600-00002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144</xdr:row>
          <xdr:rowOff>0</xdr:rowOff>
        </xdr:from>
        <xdr:to>
          <xdr:col>3</xdr:col>
          <xdr:colOff>1733550</xdr:colOff>
          <xdr:row>145</xdr:row>
          <xdr:rowOff>19050</xdr:rowOff>
        </xdr:to>
        <xdr:sp macro="" textlink="">
          <xdr:nvSpPr>
            <xdr:cNvPr id="277549" name="Check Box 45" hidden="1">
              <a:extLst>
                <a:ext uri="{63B3BB69-23CF-44E3-9099-C40C66FF867C}">
                  <a14:compatExt spid="_x0000_s277549"/>
                </a:ext>
                <a:ext uri="{FF2B5EF4-FFF2-40B4-BE49-F238E27FC236}">
                  <a16:creationId xmlns:a16="http://schemas.microsoft.com/office/drawing/2014/main" id="{00000000-0008-0000-0600-00002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147</xdr:row>
          <xdr:rowOff>0</xdr:rowOff>
        </xdr:from>
        <xdr:to>
          <xdr:col>3</xdr:col>
          <xdr:colOff>1733550</xdr:colOff>
          <xdr:row>148</xdr:row>
          <xdr:rowOff>19050</xdr:rowOff>
        </xdr:to>
        <xdr:sp macro="" textlink="">
          <xdr:nvSpPr>
            <xdr:cNvPr id="277551" name="Check Box 47" hidden="1">
              <a:extLst>
                <a:ext uri="{63B3BB69-23CF-44E3-9099-C40C66FF867C}">
                  <a14:compatExt spid="_x0000_s277551"/>
                </a:ext>
                <a:ext uri="{FF2B5EF4-FFF2-40B4-BE49-F238E27FC236}">
                  <a16:creationId xmlns:a16="http://schemas.microsoft.com/office/drawing/2014/main" id="{00000000-0008-0000-0600-00002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148</xdr:row>
          <xdr:rowOff>0</xdr:rowOff>
        </xdr:from>
        <xdr:to>
          <xdr:col>3</xdr:col>
          <xdr:colOff>1733550</xdr:colOff>
          <xdr:row>149</xdr:row>
          <xdr:rowOff>19050</xdr:rowOff>
        </xdr:to>
        <xdr:sp macro="" textlink="">
          <xdr:nvSpPr>
            <xdr:cNvPr id="277552" name="Check Box 48" hidden="1">
              <a:extLst>
                <a:ext uri="{63B3BB69-23CF-44E3-9099-C40C66FF867C}">
                  <a14:compatExt spid="_x0000_s277552"/>
                </a:ext>
                <a:ext uri="{FF2B5EF4-FFF2-40B4-BE49-F238E27FC236}">
                  <a16:creationId xmlns:a16="http://schemas.microsoft.com/office/drawing/2014/main" id="{00000000-0008-0000-0600-00003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149</xdr:row>
          <xdr:rowOff>0</xdr:rowOff>
        </xdr:from>
        <xdr:to>
          <xdr:col>3</xdr:col>
          <xdr:colOff>1733550</xdr:colOff>
          <xdr:row>150</xdr:row>
          <xdr:rowOff>19050</xdr:rowOff>
        </xdr:to>
        <xdr:sp macro="" textlink="">
          <xdr:nvSpPr>
            <xdr:cNvPr id="277553" name="Check Box 49" hidden="1">
              <a:extLst>
                <a:ext uri="{63B3BB69-23CF-44E3-9099-C40C66FF867C}">
                  <a14:compatExt spid="_x0000_s277553"/>
                </a:ext>
                <a:ext uri="{FF2B5EF4-FFF2-40B4-BE49-F238E27FC236}">
                  <a16:creationId xmlns:a16="http://schemas.microsoft.com/office/drawing/2014/main" id="{00000000-0008-0000-0600-00003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150</xdr:row>
          <xdr:rowOff>0</xdr:rowOff>
        </xdr:from>
        <xdr:to>
          <xdr:col>3</xdr:col>
          <xdr:colOff>1733550</xdr:colOff>
          <xdr:row>151</xdr:row>
          <xdr:rowOff>19050</xdr:rowOff>
        </xdr:to>
        <xdr:sp macro="" textlink="">
          <xdr:nvSpPr>
            <xdr:cNvPr id="277554" name="Check Box 50" hidden="1">
              <a:extLst>
                <a:ext uri="{63B3BB69-23CF-44E3-9099-C40C66FF867C}">
                  <a14:compatExt spid="_x0000_s277554"/>
                </a:ext>
                <a:ext uri="{FF2B5EF4-FFF2-40B4-BE49-F238E27FC236}">
                  <a16:creationId xmlns:a16="http://schemas.microsoft.com/office/drawing/2014/main" id="{00000000-0008-0000-0600-00003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151</xdr:row>
          <xdr:rowOff>0</xdr:rowOff>
        </xdr:from>
        <xdr:to>
          <xdr:col>3</xdr:col>
          <xdr:colOff>1733550</xdr:colOff>
          <xdr:row>152</xdr:row>
          <xdr:rowOff>19050</xdr:rowOff>
        </xdr:to>
        <xdr:sp macro="" textlink="">
          <xdr:nvSpPr>
            <xdr:cNvPr id="277555" name="Check Box 51" hidden="1">
              <a:extLst>
                <a:ext uri="{63B3BB69-23CF-44E3-9099-C40C66FF867C}">
                  <a14:compatExt spid="_x0000_s277555"/>
                </a:ext>
                <a:ext uri="{FF2B5EF4-FFF2-40B4-BE49-F238E27FC236}">
                  <a16:creationId xmlns:a16="http://schemas.microsoft.com/office/drawing/2014/main" id="{00000000-0008-0000-0600-00003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152</xdr:row>
          <xdr:rowOff>0</xdr:rowOff>
        </xdr:from>
        <xdr:to>
          <xdr:col>3</xdr:col>
          <xdr:colOff>1733550</xdr:colOff>
          <xdr:row>153</xdr:row>
          <xdr:rowOff>19050</xdr:rowOff>
        </xdr:to>
        <xdr:sp macro="" textlink="">
          <xdr:nvSpPr>
            <xdr:cNvPr id="277556" name="Check Box 52" hidden="1">
              <a:extLst>
                <a:ext uri="{63B3BB69-23CF-44E3-9099-C40C66FF867C}">
                  <a14:compatExt spid="_x0000_s277556"/>
                </a:ext>
                <a:ext uri="{FF2B5EF4-FFF2-40B4-BE49-F238E27FC236}">
                  <a16:creationId xmlns:a16="http://schemas.microsoft.com/office/drawing/2014/main" id="{00000000-0008-0000-0600-00003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153</xdr:row>
          <xdr:rowOff>0</xdr:rowOff>
        </xdr:from>
        <xdr:to>
          <xdr:col>3</xdr:col>
          <xdr:colOff>1733550</xdr:colOff>
          <xdr:row>154</xdr:row>
          <xdr:rowOff>19050</xdr:rowOff>
        </xdr:to>
        <xdr:sp macro="" textlink="">
          <xdr:nvSpPr>
            <xdr:cNvPr id="277557" name="Check Box 53" hidden="1">
              <a:extLst>
                <a:ext uri="{63B3BB69-23CF-44E3-9099-C40C66FF867C}">
                  <a14:compatExt spid="_x0000_s277557"/>
                </a:ext>
                <a:ext uri="{FF2B5EF4-FFF2-40B4-BE49-F238E27FC236}">
                  <a16:creationId xmlns:a16="http://schemas.microsoft.com/office/drawing/2014/main" id="{00000000-0008-0000-0600-00003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154</xdr:row>
          <xdr:rowOff>0</xdr:rowOff>
        </xdr:from>
        <xdr:to>
          <xdr:col>3</xdr:col>
          <xdr:colOff>1733550</xdr:colOff>
          <xdr:row>155</xdr:row>
          <xdr:rowOff>19050</xdr:rowOff>
        </xdr:to>
        <xdr:sp macro="" textlink="">
          <xdr:nvSpPr>
            <xdr:cNvPr id="277558" name="Check Box 54" hidden="1">
              <a:extLst>
                <a:ext uri="{63B3BB69-23CF-44E3-9099-C40C66FF867C}">
                  <a14:compatExt spid="_x0000_s277558"/>
                </a:ext>
                <a:ext uri="{FF2B5EF4-FFF2-40B4-BE49-F238E27FC236}">
                  <a16:creationId xmlns:a16="http://schemas.microsoft.com/office/drawing/2014/main" id="{00000000-0008-0000-0600-00003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155</xdr:row>
          <xdr:rowOff>0</xdr:rowOff>
        </xdr:from>
        <xdr:to>
          <xdr:col>3</xdr:col>
          <xdr:colOff>1733550</xdr:colOff>
          <xdr:row>156</xdr:row>
          <xdr:rowOff>19050</xdr:rowOff>
        </xdr:to>
        <xdr:sp macro="" textlink="">
          <xdr:nvSpPr>
            <xdr:cNvPr id="277559" name="Check Box 55" hidden="1">
              <a:extLst>
                <a:ext uri="{63B3BB69-23CF-44E3-9099-C40C66FF867C}">
                  <a14:compatExt spid="_x0000_s277559"/>
                </a:ext>
                <a:ext uri="{FF2B5EF4-FFF2-40B4-BE49-F238E27FC236}">
                  <a16:creationId xmlns:a16="http://schemas.microsoft.com/office/drawing/2014/main" id="{00000000-0008-0000-0600-00003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158</xdr:row>
          <xdr:rowOff>0</xdr:rowOff>
        </xdr:from>
        <xdr:to>
          <xdr:col>3</xdr:col>
          <xdr:colOff>1733550</xdr:colOff>
          <xdr:row>159</xdr:row>
          <xdr:rowOff>19050</xdr:rowOff>
        </xdr:to>
        <xdr:sp macro="" textlink="">
          <xdr:nvSpPr>
            <xdr:cNvPr id="277562" name="Check Box 58" hidden="1">
              <a:extLst>
                <a:ext uri="{63B3BB69-23CF-44E3-9099-C40C66FF867C}">
                  <a14:compatExt spid="_x0000_s277562"/>
                </a:ext>
                <a:ext uri="{FF2B5EF4-FFF2-40B4-BE49-F238E27FC236}">
                  <a16:creationId xmlns:a16="http://schemas.microsoft.com/office/drawing/2014/main" id="{00000000-0008-0000-0600-00003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159</xdr:row>
          <xdr:rowOff>0</xdr:rowOff>
        </xdr:from>
        <xdr:to>
          <xdr:col>3</xdr:col>
          <xdr:colOff>1733550</xdr:colOff>
          <xdr:row>160</xdr:row>
          <xdr:rowOff>19050</xdr:rowOff>
        </xdr:to>
        <xdr:sp macro="" textlink="">
          <xdr:nvSpPr>
            <xdr:cNvPr id="277563" name="Check Box 59" hidden="1">
              <a:extLst>
                <a:ext uri="{63B3BB69-23CF-44E3-9099-C40C66FF867C}">
                  <a14:compatExt spid="_x0000_s277563"/>
                </a:ext>
                <a:ext uri="{FF2B5EF4-FFF2-40B4-BE49-F238E27FC236}">
                  <a16:creationId xmlns:a16="http://schemas.microsoft.com/office/drawing/2014/main" id="{00000000-0008-0000-0600-00003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160</xdr:row>
          <xdr:rowOff>0</xdr:rowOff>
        </xdr:from>
        <xdr:to>
          <xdr:col>3</xdr:col>
          <xdr:colOff>1733550</xdr:colOff>
          <xdr:row>161</xdr:row>
          <xdr:rowOff>19050</xdr:rowOff>
        </xdr:to>
        <xdr:sp macro="" textlink="">
          <xdr:nvSpPr>
            <xdr:cNvPr id="277564" name="Check Box 60" hidden="1">
              <a:extLst>
                <a:ext uri="{63B3BB69-23CF-44E3-9099-C40C66FF867C}">
                  <a14:compatExt spid="_x0000_s277564"/>
                </a:ext>
                <a:ext uri="{FF2B5EF4-FFF2-40B4-BE49-F238E27FC236}">
                  <a16:creationId xmlns:a16="http://schemas.microsoft.com/office/drawing/2014/main" id="{00000000-0008-0000-0600-00003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161</xdr:row>
          <xdr:rowOff>0</xdr:rowOff>
        </xdr:from>
        <xdr:to>
          <xdr:col>3</xdr:col>
          <xdr:colOff>1733550</xdr:colOff>
          <xdr:row>162</xdr:row>
          <xdr:rowOff>19050</xdr:rowOff>
        </xdr:to>
        <xdr:sp macro="" textlink="">
          <xdr:nvSpPr>
            <xdr:cNvPr id="277565" name="Check Box 61" hidden="1">
              <a:extLst>
                <a:ext uri="{63B3BB69-23CF-44E3-9099-C40C66FF867C}">
                  <a14:compatExt spid="_x0000_s277565"/>
                </a:ext>
                <a:ext uri="{FF2B5EF4-FFF2-40B4-BE49-F238E27FC236}">
                  <a16:creationId xmlns:a16="http://schemas.microsoft.com/office/drawing/2014/main" id="{00000000-0008-0000-0600-00003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162</xdr:row>
          <xdr:rowOff>0</xdr:rowOff>
        </xdr:from>
        <xdr:to>
          <xdr:col>3</xdr:col>
          <xdr:colOff>1733550</xdr:colOff>
          <xdr:row>163</xdr:row>
          <xdr:rowOff>19050</xdr:rowOff>
        </xdr:to>
        <xdr:sp macro="" textlink="">
          <xdr:nvSpPr>
            <xdr:cNvPr id="277566" name="Check Box 62" hidden="1">
              <a:extLst>
                <a:ext uri="{63B3BB69-23CF-44E3-9099-C40C66FF867C}">
                  <a14:compatExt spid="_x0000_s277566"/>
                </a:ext>
                <a:ext uri="{FF2B5EF4-FFF2-40B4-BE49-F238E27FC236}">
                  <a16:creationId xmlns:a16="http://schemas.microsoft.com/office/drawing/2014/main" id="{00000000-0008-0000-0600-00003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163</xdr:row>
          <xdr:rowOff>0</xdr:rowOff>
        </xdr:from>
        <xdr:to>
          <xdr:col>3</xdr:col>
          <xdr:colOff>1733550</xdr:colOff>
          <xdr:row>164</xdr:row>
          <xdr:rowOff>19050</xdr:rowOff>
        </xdr:to>
        <xdr:sp macro="" textlink="">
          <xdr:nvSpPr>
            <xdr:cNvPr id="277567" name="Check Box 63" hidden="1">
              <a:extLst>
                <a:ext uri="{63B3BB69-23CF-44E3-9099-C40C66FF867C}">
                  <a14:compatExt spid="_x0000_s277567"/>
                </a:ext>
                <a:ext uri="{FF2B5EF4-FFF2-40B4-BE49-F238E27FC236}">
                  <a16:creationId xmlns:a16="http://schemas.microsoft.com/office/drawing/2014/main" id="{00000000-0008-0000-0600-00003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164</xdr:row>
          <xdr:rowOff>0</xdr:rowOff>
        </xdr:from>
        <xdr:to>
          <xdr:col>3</xdr:col>
          <xdr:colOff>1733550</xdr:colOff>
          <xdr:row>165</xdr:row>
          <xdr:rowOff>19050</xdr:rowOff>
        </xdr:to>
        <xdr:sp macro="" textlink="">
          <xdr:nvSpPr>
            <xdr:cNvPr id="277568" name="Check Box 64" hidden="1">
              <a:extLst>
                <a:ext uri="{63B3BB69-23CF-44E3-9099-C40C66FF867C}">
                  <a14:compatExt spid="_x0000_s277568"/>
                </a:ext>
                <a:ext uri="{FF2B5EF4-FFF2-40B4-BE49-F238E27FC236}">
                  <a16:creationId xmlns:a16="http://schemas.microsoft.com/office/drawing/2014/main" id="{00000000-0008-0000-0600-00004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165</xdr:row>
          <xdr:rowOff>0</xdr:rowOff>
        </xdr:from>
        <xdr:to>
          <xdr:col>3</xdr:col>
          <xdr:colOff>1733550</xdr:colOff>
          <xdr:row>166</xdr:row>
          <xdr:rowOff>19050</xdr:rowOff>
        </xdr:to>
        <xdr:sp macro="" textlink="">
          <xdr:nvSpPr>
            <xdr:cNvPr id="277569" name="Check Box 65" hidden="1">
              <a:extLst>
                <a:ext uri="{63B3BB69-23CF-44E3-9099-C40C66FF867C}">
                  <a14:compatExt spid="_x0000_s277569"/>
                </a:ext>
                <a:ext uri="{FF2B5EF4-FFF2-40B4-BE49-F238E27FC236}">
                  <a16:creationId xmlns:a16="http://schemas.microsoft.com/office/drawing/2014/main" id="{00000000-0008-0000-0600-00004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166</xdr:row>
          <xdr:rowOff>0</xdr:rowOff>
        </xdr:from>
        <xdr:to>
          <xdr:col>3</xdr:col>
          <xdr:colOff>1733550</xdr:colOff>
          <xdr:row>167</xdr:row>
          <xdr:rowOff>19050</xdr:rowOff>
        </xdr:to>
        <xdr:sp macro="" textlink="">
          <xdr:nvSpPr>
            <xdr:cNvPr id="277570" name="Check Box 66" hidden="1">
              <a:extLst>
                <a:ext uri="{63B3BB69-23CF-44E3-9099-C40C66FF867C}">
                  <a14:compatExt spid="_x0000_s277570"/>
                </a:ext>
                <a:ext uri="{FF2B5EF4-FFF2-40B4-BE49-F238E27FC236}">
                  <a16:creationId xmlns:a16="http://schemas.microsoft.com/office/drawing/2014/main" id="{00000000-0008-0000-0600-00004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167</xdr:row>
          <xdr:rowOff>0</xdr:rowOff>
        </xdr:from>
        <xdr:to>
          <xdr:col>3</xdr:col>
          <xdr:colOff>1733550</xdr:colOff>
          <xdr:row>168</xdr:row>
          <xdr:rowOff>19050</xdr:rowOff>
        </xdr:to>
        <xdr:sp macro="" textlink="">
          <xdr:nvSpPr>
            <xdr:cNvPr id="277571" name="Check Box 67" hidden="1">
              <a:extLst>
                <a:ext uri="{63B3BB69-23CF-44E3-9099-C40C66FF867C}">
                  <a14:compatExt spid="_x0000_s277571"/>
                </a:ext>
                <a:ext uri="{FF2B5EF4-FFF2-40B4-BE49-F238E27FC236}">
                  <a16:creationId xmlns:a16="http://schemas.microsoft.com/office/drawing/2014/main" id="{00000000-0008-0000-0600-00004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168</xdr:row>
          <xdr:rowOff>0</xdr:rowOff>
        </xdr:from>
        <xdr:to>
          <xdr:col>3</xdr:col>
          <xdr:colOff>1733550</xdr:colOff>
          <xdr:row>169</xdr:row>
          <xdr:rowOff>19050</xdr:rowOff>
        </xdr:to>
        <xdr:sp macro="" textlink="">
          <xdr:nvSpPr>
            <xdr:cNvPr id="277572" name="Check Box 68" hidden="1">
              <a:extLst>
                <a:ext uri="{63B3BB69-23CF-44E3-9099-C40C66FF867C}">
                  <a14:compatExt spid="_x0000_s277572"/>
                </a:ext>
                <a:ext uri="{FF2B5EF4-FFF2-40B4-BE49-F238E27FC236}">
                  <a16:creationId xmlns:a16="http://schemas.microsoft.com/office/drawing/2014/main" id="{00000000-0008-0000-0600-00004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169</xdr:row>
          <xdr:rowOff>0</xdr:rowOff>
        </xdr:from>
        <xdr:to>
          <xdr:col>3</xdr:col>
          <xdr:colOff>1733550</xdr:colOff>
          <xdr:row>170</xdr:row>
          <xdr:rowOff>19050</xdr:rowOff>
        </xdr:to>
        <xdr:sp macro="" textlink="">
          <xdr:nvSpPr>
            <xdr:cNvPr id="277573" name="Check Box 69" hidden="1">
              <a:extLst>
                <a:ext uri="{63B3BB69-23CF-44E3-9099-C40C66FF867C}">
                  <a14:compatExt spid="_x0000_s277573"/>
                </a:ext>
                <a:ext uri="{FF2B5EF4-FFF2-40B4-BE49-F238E27FC236}">
                  <a16:creationId xmlns:a16="http://schemas.microsoft.com/office/drawing/2014/main" id="{00000000-0008-0000-0600-00004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170</xdr:row>
          <xdr:rowOff>0</xdr:rowOff>
        </xdr:from>
        <xdr:to>
          <xdr:col>3</xdr:col>
          <xdr:colOff>1733550</xdr:colOff>
          <xdr:row>171</xdr:row>
          <xdr:rowOff>19050</xdr:rowOff>
        </xdr:to>
        <xdr:sp macro="" textlink="">
          <xdr:nvSpPr>
            <xdr:cNvPr id="277574" name="Check Box 70" hidden="1">
              <a:extLst>
                <a:ext uri="{63B3BB69-23CF-44E3-9099-C40C66FF867C}">
                  <a14:compatExt spid="_x0000_s277574"/>
                </a:ext>
                <a:ext uri="{FF2B5EF4-FFF2-40B4-BE49-F238E27FC236}">
                  <a16:creationId xmlns:a16="http://schemas.microsoft.com/office/drawing/2014/main" id="{00000000-0008-0000-0600-00004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174</xdr:row>
          <xdr:rowOff>0</xdr:rowOff>
        </xdr:from>
        <xdr:to>
          <xdr:col>3</xdr:col>
          <xdr:colOff>1733550</xdr:colOff>
          <xdr:row>175</xdr:row>
          <xdr:rowOff>19050</xdr:rowOff>
        </xdr:to>
        <xdr:sp macro="" textlink="">
          <xdr:nvSpPr>
            <xdr:cNvPr id="277576" name="Check Box 72" hidden="1">
              <a:extLst>
                <a:ext uri="{63B3BB69-23CF-44E3-9099-C40C66FF867C}">
                  <a14:compatExt spid="_x0000_s277576"/>
                </a:ext>
                <a:ext uri="{FF2B5EF4-FFF2-40B4-BE49-F238E27FC236}">
                  <a16:creationId xmlns:a16="http://schemas.microsoft.com/office/drawing/2014/main" id="{00000000-0008-0000-0600-00004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143</xdr:row>
          <xdr:rowOff>0</xdr:rowOff>
        </xdr:from>
        <xdr:to>
          <xdr:col>3</xdr:col>
          <xdr:colOff>1733550</xdr:colOff>
          <xdr:row>144</xdr:row>
          <xdr:rowOff>19050</xdr:rowOff>
        </xdr:to>
        <xdr:sp macro="" textlink="">
          <xdr:nvSpPr>
            <xdr:cNvPr id="277578" name="Check Box 74" hidden="1">
              <a:extLst>
                <a:ext uri="{63B3BB69-23CF-44E3-9099-C40C66FF867C}">
                  <a14:compatExt spid="_x0000_s277578"/>
                </a:ext>
                <a:ext uri="{FF2B5EF4-FFF2-40B4-BE49-F238E27FC236}">
                  <a16:creationId xmlns:a16="http://schemas.microsoft.com/office/drawing/2014/main" id="{00000000-0008-0000-0600-00004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177</xdr:row>
          <xdr:rowOff>0</xdr:rowOff>
        </xdr:from>
        <xdr:to>
          <xdr:col>3</xdr:col>
          <xdr:colOff>1733550</xdr:colOff>
          <xdr:row>178</xdr:row>
          <xdr:rowOff>19050</xdr:rowOff>
        </xdr:to>
        <xdr:sp macro="" textlink="">
          <xdr:nvSpPr>
            <xdr:cNvPr id="277581" name="Check Box 77" hidden="1">
              <a:extLst>
                <a:ext uri="{63B3BB69-23CF-44E3-9099-C40C66FF867C}">
                  <a14:compatExt spid="_x0000_s277581"/>
                </a:ext>
                <a:ext uri="{FF2B5EF4-FFF2-40B4-BE49-F238E27FC236}">
                  <a16:creationId xmlns:a16="http://schemas.microsoft.com/office/drawing/2014/main" id="{00000000-0008-0000-0600-00004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178</xdr:row>
          <xdr:rowOff>0</xdr:rowOff>
        </xdr:from>
        <xdr:to>
          <xdr:col>3</xdr:col>
          <xdr:colOff>1733550</xdr:colOff>
          <xdr:row>179</xdr:row>
          <xdr:rowOff>19050</xdr:rowOff>
        </xdr:to>
        <xdr:sp macro="" textlink="">
          <xdr:nvSpPr>
            <xdr:cNvPr id="277582" name="Check Box 78" hidden="1">
              <a:extLst>
                <a:ext uri="{63B3BB69-23CF-44E3-9099-C40C66FF867C}">
                  <a14:compatExt spid="_x0000_s277582"/>
                </a:ext>
                <a:ext uri="{FF2B5EF4-FFF2-40B4-BE49-F238E27FC236}">
                  <a16:creationId xmlns:a16="http://schemas.microsoft.com/office/drawing/2014/main" id="{00000000-0008-0000-0600-00004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179</xdr:row>
          <xdr:rowOff>0</xdr:rowOff>
        </xdr:from>
        <xdr:to>
          <xdr:col>3</xdr:col>
          <xdr:colOff>1733550</xdr:colOff>
          <xdr:row>180</xdr:row>
          <xdr:rowOff>19050</xdr:rowOff>
        </xdr:to>
        <xdr:sp macro="" textlink="">
          <xdr:nvSpPr>
            <xdr:cNvPr id="277583" name="Check Box 79" hidden="1">
              <a:extLst>
                <a:ext uri="{63B3BB69-23CF-44E3-9099-C40C66FF867C}">
                  <a14:compatExt spid="_x0000_s277583"/>
                </a:ext>
                <a:ext uri="{FF2B5EF4-FFF2-40B4-BE49-F238E27FC236}">
                  <a16:creationId xmlns:a16="http://schemas.microsoft.com/office/drawing/2014/main" id="{00000000-0008-0000-0600-00004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180</xdr:row>
          <xdr:rowOff>0</xdr:rowOff>
        </xdr:from>
        <xdr:to>
          <xdr:col>3</xdr:col>
          <xdr:colOff>1733550</xdr:colOff>
          <xdr:row>181</xdr:row>
          <xdr:rowOff>19050</xdr:rowOff>
        </xdr:to>
        <xdr:sp macro="" textlink="">
          <xdr:nvSpPr>
            <xdr:cNvPr id="277584" name="Check Box 80" hidden="1">
              <a:extLst>
                <a:ext uri="{63B3BB69-23CF-44E3-9099-C40C66FF867C}">
                  <a14:compatExt spid="_x0000_s277584"/>
                </a:ext>
                <a:ext uri="{FF2B5EF4-FFF2-40B4-BE49-F238E27FC236}">
                  <a16:creationId xmlns:a16="http://schemas.microsoft.com/office/drawing/2014/main" id="{00000000-0008-0000-0600-00005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180</xdr:row>
          <xdr:rowOff>0</xdr:rowOff>
        </xdr:from>
        <xdr:to>
          <xdr:col>3</xdr:col>
          <xdr:colOff>1733550</xdr:colOff>
          <xdr:row>181</xdr:row>
          <xdr:rowOff>19050</xdr:rowOff>
        </xdr:to>
        <xdr:sp macro="" textlink="">
          <xdr:nvSpPr>
            <xdr:cNvPr id="277585" name="Check Box 81" hidden="1">
              <a:extLst>
                <a:ext uri="{63B3BB69-23CF-44E3-9099-C40C66FF867C}">
                  <a14:compatExt spid="_x0000_s277585"/>
                </a:ext>
                <a:ext uri="{FF2B5EF4-FFF2-40B4-BE49-F238E27FC236}">
                  <a16:creationId xmlns:a16="http://schemas.microsoft.com/office/drawing/2014/main" id="{00000000-0008-0000-0600-00005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181</xdr:row>
          <xdr:rowOff>0</xdr:rowOff>
        </xdr:from>
        <xdr:to>
          <xdr:col>3</xdr:col>
          <xdr:colOff>1733550</xdr:colOff>
          <xdr:row>182</xdr:row>
          <xdr:rowOff>19050</xdr:rowOff>
        </xdr:to>
        <xdr:sp macro="" textlink="">
          <xdr:nvSpPr>
            <xdr:cNvPr id="277586" name="Check Box 82" hidden="1">
              <a:extLst>
                <a:ext uri="{63B3BB69-23CF-44E3-9099-C40C66FF867C}">
                  <a14:compatExt spid="_x0000_s277586"/>
                </a:ext>
                <a:ext uri="{FF2B5EF4-FFF2-40B4-BE49-F238E27FC236}">
                  <a16:creationId xmlns:a16="http://schemas.microsoft.com/office/drawing/2014/main" id="{00000000-0008-0000-0600-00005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182</xdr:row>
          <xdr:rowOff>0</xdr:rowOff>
        </xdr:from>
        <xdr:to>
          <xdr:col>3</xdr:col>
          <xdr:colOff>1733550</xdr:colOff>
          <xdr:row>183</xdr:row>
          <xdr:rowOff>19050</xdr:rowOff>
        </xdr:to>
        <xdr:sp macro="" textlink="">
          <xdr:nvSpPr>
            <xdr:cNvPr id="277587" name="Check Box 83" hidden="1">
              <a:extLst>
                <a:ext uri="{63B3BB69-23CF-44E3-9099-C40C66FF867C}">
                  <a14:compatExt spid="_x0000_s277587"/>
                </a:ext>
                <a:ext uri="{FF2B5EF4-FFF2-40B4-BE49-F238E27FC236}">
                  <a16:creationId xmlns:a16="http://schemas.microsoft.com/office/drawing/2014/main" id="{00000000-0008-0000-0600-00005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183</xdr:row>
          <xdr:rowOff>0</xdr:rowOff>
        </xdr:from>
        <xdr:to>
          <xdr:col>3</xdr:col>
          <xdr:colOff>1733550</xdr:colOff>
          <xdr:row>184</xdr:row>
          <xdr:rowOff>19050</xdr:rowOff>
        </xdr:to>
        <xdr:sp macro="" textlink="">
          <xdr:nvSpPr>
            <xdr:cNvPr id="277588" name="Check Box 84" hidden="1">
              <a:extLst>
                <a:ext uri="{63B3BB69-23CF-44E3-9099-C40C66FF867C}">
                  <a14:compatExt spid="_x0000_s277588"/>
                </a:ext>
                <a:ext uri="{FF2B5EF4-FFF2-40B4-BE49-F238E27FC236}">
                  <a16:creationId xmlns:a16="http://schemas.microsoft.com/office/drawing/2014/main" id="{00000000-0008-0000-0600-00005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185</xdr:row>
          <xdr:rowOff>0</xdr:rowOff>
        </xdr:from>
        <xdr:to>
          <xdr:col>3</xdr:col>
          <xdr:colOff>1733550</xdr:colOff>
          <xdr:row>186</xdr:row>
          <xdr:rowOff>19050</xdr:rowOff>
        </xdr:to>
        <xdr:sp macro="" textlink="">
          <xdr:nvSpPr>
            <xdr:cNvPr id="277589" name="Check Box 85" hidden="1">
              <a:extLst>
                <a:ext uri="{63B3BB69-23CF-44E3-9099-C40C66FF867C}">
                  <a14:compatExt spid="_x0000_s277589"/>
                </a:ext>
                <a:ext uri="{FF2B5EF4-FFF2-40B4-BE49-F238E27FC236}">
                  <a16:creationId xmlns:a16="http://schemas.microsoft.com/office/drawing/2014/main" id="{00000000-0008-0000-0600-00005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186</xdr:row>
          <xdr:rowOff>0</xdr:rowOff>
        </xdr:from>
        <xdr:to>
          <xdr:col>3</xdr:col>
          <xdr:colOff>1733550</xdr:colOff>
          <xdr:row>187</xdr:row>
          <xdr:rowOff>19050</xdr:rowOff>
        </xdr:to>
        <xdr:sp macro="" textlink="">
          <xdr:nvSpPr>
            <xdr:cNvPr id="277590" name="Check Box 86" hidden="1">
              <a:extLst>
                <a:ext uri="{63B3BB69-23CF-44E3-9099-C40C66FF867C}">
                  <a14:compatExt spid="_x0000_s277590"/>
                </a:ext>
                <a:ext uri="{FF2B5EF4-FFF2-40B4-BE49-F238E27FC236}">
                  <a16:creationId xmlns:a16="http://schemas.microsoft.com/office/drawing/2014/main" id="{00000000-0008-0000-0600-00005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188</xdr:row>
          <xdr:rowOff>0</xdr:rowOff>
        </xdr:from>
        <xdr:to>
          <xdr:col>3</xdr:col>
          <xdr:colOff>1733550</xdr:colOff>
          <xdr:row>189</xdr:row>
          <xdr:rowOff>19050</xdr:rowOff>
        </xdr:to>
        <xdr:sp macro="" textlink="">
          <xdr:nvSpPr>
            <xdr:cNvPr id="277591" name="Check Box 87" hidden="1">
              <a:extLst>
                <a:ext uri="{63B3BB69-23CF-44E3-9099-C40C66FF867C}">
                  <a14:compatExt spid="_x0000_s277591"/>
                </a:ext>
                <a:ext uri="{FF2B5EF4-FFF2-40B4-BE49-F238E27FC236}">
                  <a16:creationId xmlns:a16="http://schemas.microsoft.com/office/drawing/2014/main" id="{00000000-0008-0000-0600-00005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189</xdr:row>
          <xdr:rowOff>0</xdr:rowOff>
        </xdr:from>
        <xdr:to>
          <xdr:col>3</xdr:col>
          <xdr:colOff>1733550</xdr:colOff>
          <xdr:row>190</xdr:row>
          <xdr:rowOff>19050</xdr:rowOff>
        </xdr:to>
        <xdr:sp macro="" textlink="">
          <xdr:nvSpPr>
            <xdr:cNvPr id="277592" name="Check Box 88" hidden="1">
              <a:extLst>
                <a:ext uri="{63B3BB69-23CF-44E3-9099-C40C66FF867C}">
                  <a14:compatExt spid="_x0000_s277592"/>
                </a:ext>
                <a:ext uri="{FF2B5EF4-FFF2-40B4-BE49-F238E27FC236}">
                  <a16:creationId xmlns:a16="http://schemas.microsoft.com/office/drawing/2014/main" id="{00000000-0008-0000-0600-00005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190</xdr:row>
          <xdr:rowOff>0</xdr:rowOff>
        </xdr:from>
        <xdr:to>
          <xdr:col>3</xdr:col>
          <xdr:colOff>1733550</xdr:colOff>
          <xdr:row>191</xdr:row>
          <xdr:rowOff>19050</xdr:rowOff>
        </xdr:to>
        <xdr:sp macro="" textlink="">
          <xdr:nvSpPr>
            <xdr:cNvPr id="277593" name="Check Box 89" hidden="1">
              <a:extLst>
                <a:ext uri="{63B3BB69-23CF-44E3-9099-C40C66FF867C}">
                  <a14:compatExt spid="_x0000_s277593"/>
                </a:ext>
                <a:ext uri="{FF2B5EF4-FFF2-40B4-BE49-F238E27FC236}">
                  <a16:creationId xmlns:a16="http://schemas.microsoft.com/office/drawing/2014/main" id="{00000000-0008-0000-0600-00005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191</xdr:row>
          <xdr:rowOff>0</xdr:rowOff>
        </xdr:from>
        <xdr:to>
          <xdr:col>3</xdr:col>
          <xdr:colOff>1733550</xdr:colOff>
          <xdr:row>192</xdr:row>
          <xdr:rowOff>19050</xdr:rowOff>
        </xdr:to>
        <xdr:sp macro="" textlink="">
          <xdr:nvSpPr>
            <xdr:cNvPr id="277594" name="Check Box 90" hidden="1">
              <a:extLst>
                <a:ext uri="{63B3BB69-23CF-44E3-9099-C40C66FF867C}">
                  <a14:compatExt spid="_x0000_s277594"/>
                </a:ext>
                <a:ext uri="{FF2B5EF4-FFF2-40B4-BE49-F238E27FC236}">
                  <a16:creationId xmlns:a16="http://schemas.microsoft.com/office/drawing/2014/main" id="{00000000-0008-0000-0600-00005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192</xdr:row>
          <xdr:rowOff>0</xdr:rowOff>
        </xdr:from>
        <xdr:to>
          <xdr:col>3</xdr:col>
          <xdr:colOff>1733550</xdr:colOff>
          <xdr:row>193</xdr:row>
          <xdr:rowOff>19050</xdr:rowOff>
        </xdr:to>
        <xdr:sp macro="" textlink="">
          <xdr:nvSpPr>
            <xdr:cNvPr id="277595" name="Check Box 91" hidden="1">
              <a:extLst>
                <a:ext uri="{63B3BB69-23CF-44E3-9099-C40C66FF867C}">
                  <a14:compatExt spid="_x0000_s277595"/>
                </a:ext>
                <a:ext uri="{FF2B5EF4-FFF2-40B4-BE49-F238E27FC236}">
                  <a16:creationId xmlns:a16="http://schemas.microsoft.com/office/drawing/2014/main" id="{00000000-0008-0000-0600-00005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193</xdr:row>
          <xdr:rowOff>0</xdr:rowOff>
        </xdr:from>
        <xdr:to>
          <xdr:col>3</xdr:col>
          <xdr:colOff>1733550</xdr:colOff>
          <xdr:row>194</xdr:row>
          <xdr:rowOff>19050</xdr:rowOff>
        </xdr:to>
        <xdr:sp macro="" textlink="">
          <xdr:nvSpPr>
            <xdr:cNvPr id="277596" name="Check Box 92" hidden="1">
              <a:extLst>
                <a:ext uri="{63B3BB69-23CF-44E3-9099-C40C66FF867C}">
                  <a14:compatExt spid="_x0000_s277596"/>
                </a:ext>
                <a:ext uri="{FF2B5EF4-FFF2-40B4-BE49-F238E27FC236}">
                  <a16:creationId xmlns:a16="http://schemas.microsoft.com/office/drawing/2014/main" id="{00000000-0008-0000-0600-00005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193</xdr:row>
          <xdr:rowOff>0</xdr:rowOff>
        </xdr:from>
        <xdr:to>
          <xdr:col>3</xdr:col>
          <xdr:colOff>1733550</xdr:colOff>
          <xdr:row>194</xdr:row>
          <xdr:rowOff>19050</xdr:rowOff>
        </xdr:to>
        <xdr:sp macro="" textlink="">
          <xdr:nvSpPr>
            <xdr:cNvPr id="277597" name="Check Box 93" hidden="1">
              <a:extLst>
                <a:ext uri="{63B3BB69-23CF-44E3-9099-C40C66FF867C}">
                  <a14:compatExt spid="_x0000_s277597"/>
                </a:ext>
                <a:ext uri="{FF2B5EF4-FFF2-40B4-BE49-F238E27FC236}">
                  <a16:creationId xmlns:a16="http://schemas.microsoft.com/office/drawing/2014/main" id="{00000000-0008-0000-0600-00005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197</xdr:row>
          <xdr:rowOff>0</xdr:rowOff>
        </xdr:from>
        <xdr:to>
          <xdr:col>3</xdr:col>
          <xdr:colOff>1733550</xdr:colOff>
          <xdr:row>198</xdr:row>
          <xdr:rowOff>19050</xdr:rowOff>
        </xdr:to>
        <xdr:sp macro="" textlink="">
          <xdr:nvSpPr>
            <xdr:cNvPr id="277599" name="Check Box 95" hidden="1">
              <a:extLst>
                <a:ext uri="{63B3BB69-23CF-44E3-9099-C40C66FF867C}">
                  <a14:compatExt spid="_x0000_s277599"/>
                </a:ext>
                <a:ext uri="{FF2B5EF4-FFF2-40B4-BE49-F238E27FC236}">
                  <a16:creationId xmlns:a16="http://schemas.microsoft.com/office/drawing/2014/main" id="{00000000-0008-0000-0600-00005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200</xdr:row>
          <xdr:rowOff>0</xdr:rowOff>
        </xdr:from>
        <xdr:to>
          <xdr:col>3</xdr:col>
          <xdr:colOff>1733550</xdr:colOff>
          <xdr:row>201</xdr:row>
          <xdr:rowOff>19050</xdr:rowOff>
        </xdr:to>
        <xdr:sp macro="" textlink="">
          <xdr:nvSpPr>
            <xdr:cNvPr id="277600" name="Check Box 96" hidden="1">
              <a:extLst>
                <a:ext uri="{63B3BB69-23CF-44E3-9099-C40C66FF867C}">
                  <a14:compatExt spid="_x0000_s277600"/>
                </a:ext>
                <a:ext uri="{FF2B5EF4-FFF2-40B4-BE49-F238E27FC236}">
                  <a16:creationId xmlns:a16="http://schemas.microsoft.com/office/drawing/2014/main" id="{00000000-0008-0000-0600-00006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201</xdr:row>
          <xdr:rowOff>0</xdr:rowOff>
        </xdr:from>
        <xdr:to>
          <xdr:col>3</xdr:col>
          <xdr:colOff>1733550</xdr:colOff>
          <xdr:row>202</xdr:row>
          <xdr:rowOff>19050</xdr:rowOff>
        </xdr:to>
        <xdr:sp macro="" textlink="">
          <xdr:nvSpPr>
            <xdr:cNvPr id="277601" name="Check Box 97" hidden="1">
              <a:extLst>
                <a:ext uri="{63B3BB69-23CF-44E3-9099-C40C66FF867C}">
                  <a14:compatExt spid="_x0000_s277601"/>
                </a:ext>
                <a:ext uri="{FF2B5EF4-FFF2-40B4-BE49-F238E27FC236}">
                  <a16:creationId xmlns:a16="http://schemas.microsoft.com/office/drawing/2014/main" id="{00000000-0008-0000-0600-00006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202</xdr:row>
          <xdr:rowOff>0</xdr:rowOff>
        </xdr:from>
        <xdr:to>
          <xdr:col>3</xdr:col>
          <xdr:colOff>1733550</xdr:colOff>
          <xdr:row>203</xdr:row>
          <xdr:rowOff>19050</xdr:rowOff>
        </xdr:to>
        <xdr:sp macro="" textlink="">
          <xdr:nvSpPr>
            <xdr:cNvPr id="277602" name="Check Box 98" hidden="1">
              <a:extLst>
                <a:ext uri="{63B3BB69-23CF-44E3-9099-C40C66FF867C}">
                  <a14:compatExt spid="_x0000_s277602"/>
                </a:ext>
                <a:ext uri="{FF2B5EF4-FFF2-40B4-BE49-F238E27FC236}">
                  <a16:creationId xmlns:a16="http://schemas.microsoft.com/office/drawing/2014/main" id="{00000000-0008-0000-0600-00006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203</xdr:row>
          <xdr:rowOff>0</xdr:rowOff>
        </xdr:from>
        <xdr:to>
          <xdr:col>3</xdr:col>
          <xdr:colOff>1733550</xdr:colOff>
          <xdr:row>204</xdr:row>
          <xdr:rowOff>19050</xdr:rowOff>
        </xdr:to>
        <xdr:sp macro="" textlink="">
          <xdr:nvSpPr>
            <xdr:cNvPr id="277603" name="Check Box 99" hidden="1">
              <a:extLst>
                <a:ext uri="{63B3BB69-23CF-44E3-9099-C40C66FF867C}">
                  <a14:compatExt spid="_x0000_s277603"/>
                </a:ext>
                <a:ext uri="{FF2B5EF4-FFF2-40B4-BE49-F238E27FC236}">
                  <a16:creationId xmlns:a16="http://schemas.microsoft.com/office/drawing/2014/main" id="{00000000-0008-0000-0600-00006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204</xdr:row>
          <xdr:rowOff>0</xdr:rowOff>
        </xdr:from>
        <xdr:to>
          <xdr:col>3</xdr:col>
          <xdr:colOff>1733550</xdr:colOff>
          <xdr:row>205</xdr:row>
          <xdr:rowOff>19050</xdr:rowOff>
        </xdr:to>
        <xdr:sp macro="" textlink="">
          <xdr:nvSpPr>
            <xdr:cNvPr id="277604" name="Check Box 100" hidden="1">
              <a:extLst>
                <a:ext uri="{63B3BB69-23CF-44E3-9099-C40C66FF867C}">
                  <a14:compatExt spid="_x0000_s277604"/>
                </a:ext>
                <a:ext uri="{FF2B5EF4-FFF2-40B4-BE49-F238E27FC236}">
                  <a16:creationId xmlns:a16="http://schemas.microsoft.com/office/drawing/2014/main" id="{00000000-0008-0000-0600-00006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206</xdr:row>
          <xdr:rowOff>0</xdr:rowOff>
        </xdr:from>
        <xdr:to>
          <xdr:col>3</xdr:col>
          <xdr:colOff>1733550</xdr:colOff>
          <xdr:row>207</xdr:row>
          <xdr:rowOff>19050</xdr:rowOff>
        </xdr:to>
        <xdr:sp macro="" textlink="">
          <xdr:nvSpPr>
            <xdr:cNvPr id="277605" name="Check Box 101" hidden="1">
              <a:extLst>
                <a:ext uri="{63B3BB69-23CF-44E3-9099-C40C66FF867C}">
                  <a14:compatExt spid="_x0000_s277605"/>
                </a:ext>
                <a:ext uri="{FF2B5EF4-FFF2-40B4-BE49-F238E27FC236}">
                  <a16:creationId xmlns:a16="http://schemas.microsoft.com/office/drawing/2014/main" id="{00000000-0008-0000-0600-00006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209</xdr:row>
          <xdr:rowOff>0</xdr:rowOff>
        </xdr:from>
        <xdr:to>
          <xdr:col>3</xdr:col>
          <xdr:colOff>1733550</xdr:colOff>
          <xdr:row>210</xdr:row>
          <xdr:rowOff>19050</xdr:rowOff>
        </xdr:to>
        <xdr:sp macro="" textlink="">
          <xdr:nvSpPr>
            <xdr:cNvPr id="277606" name="Check Box 102" hidden="1">
              <a:extLst>
                <a:ext uri="{63B3BB69-23CF-44E3-9099-C40C66FF867C}">
                  <a14:compatExt spid="_x0000_s277606"/>
                </a:ext>
                <a:ext uri="{FF2B5EF4-FFF2-40B4-BE49-F238E27FC236}">
                  <a16:creationId xmlns:a16="http://schemas.microsoft.com/office/drawing/2014/main" id="{00000000-0008-0000-0600-00006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210</xdr:row>
          <xdr:rowOff>0</xdr:rowOff>
        </xdr:from>
        <xdr:to>
          <xdr:col>3</xdr:col>
          <xdr:colOff>1733550</xdr:colOff>
          <xdr:row>211</xdr:row>
          <xdr:rowOff>19050</xdr:rowOff>
        </xdr:to>
        <xdr:sp macro="" textlink="">
          <xdr:nvSpPr>
            <xdr:cNvPr id="277607" name="Check Box 103" hidden="1">
              <a:extLst>
                <a:ext uri="{63B3BB69-23CF-44E3-9099-C40C66FF867C}">
                  <a14:compatExt spid="_x0000_s277607"/>
                </a:ext>
                <a:ext uri="{FF2B5EF4-FFF2-40B4-BE49-F238E27FC236}">
                  <a16:creationId xmlns:a16="http://schemas.microsoft.com/office/drawing/2014/main" id="{00000000-0008-0000-0600-00006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212</xdr:row>
          <xdr:rowOff>0</xdr:rowOff>
        </xdr:from>
        <xdr:to>
          <xdr:col>3</xdr:col>
          <xdr:colOff>1733550</xdr:colOff>
          <xdr:row>213</xdr:row>
          <xdr:rowOff>19050</xdr:rowOff>
        </xdr:to>
        <xdr:sp macro="" textlink="">
          <xdr:nvSpPr>
            <xdr:cNvPr id="277609" name="Check Box 105" hidden="1">
              <a:extLst>
                <a:ext uri="{63B3BB69-23CF-44E3-9099-C40C66FF867C}">
                  <a14:compatExt spid="_x0000_s277609"/>
                </a:ext>
                <a:ext uri="{FF2B5EF4-FFF2-40B4-BE49-F238E27FC236}">
                  <a16:creationId xmlns:a16="http://schemas.microsoft.com/office/drawing/2014/main" id="{00000000-0008-0000-0600-00006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213</xdr:row>
          <xdr:rowOff>0</xdr:rowOff>
        </xdr:from>
        <xdr:to>
          <xdr:col>3</xdr:col>
          <xdr:colOff>1733550</xdr:colOff>
          <xdr:row>214</xdr:row>
          <xdr:rowOff>19050</xdr:rowOff>
        </xdr:to>
        <xdr:sp macro="" textlink="">
          <xdr:nvSpPr>
            <xdr:cNvPr id="277610" name="Check Box 106" hidden="1">
              <a:extLst>
                <a:ext uri="{63B3BB69-23CF-44E3-9099-C40C66FF867C}">
                  <a14:compatExt spid="_x0000_s277610"/>
                </a:ext>
                <a:ext uri="{FF2B5EF4-FFF2-40B4-BE49-F238E27FC236}">
                  <a16:creationId xmlns:a16="http://schemas.microsoft.com/office/drawing/2014/main" id="{00000000-0008-0000-0600-00006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215</xdr:row>
          <xdr:rowOff>0</xdr:rowOff>
        </xdr:from>
        <xdr:to>
          <xdr:col>3</xdr:col>
          <xdr:colOff>1733550</xdr:colOff>
          <xdr:row>216</xdr:row>
          <xdr:rowOff>19050</xdr:rowOff>
        </xdr:to>
        <xdr:sp macro="" textlink="">
          <xdr:nvSpPr>
            <xdr:cNvPr id="277611" name="Check Box 107" hidden="1">
              <a:extLst>
                <a:ext uri="{63B3BB69-23CF-44E3-9099-C40C66FF867C}">
                  <a14:compatExt spid="_x0000_s277611"/>
                </a:ext>
                <a:ext uri="{FF2B5EF4-FFF2-40B4-BE49-F238E27FC236}">
                  <a16:creationId xmlns:a16="http://schemas.microsoft.com/office/drawing/2014/main" id="{00000000-0008-0000-0600-00006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218</xdr:row>
          <xdr:rowOff>0</xdr:rowOff>
        </xdr:from>
        <xdr:to>
          <xdr:col>3</xdr:col>
          <xdr:colOff>1733550</xdr:colOff>
          <xdr:row>219</xdr:row>
          <xdr:rowOff>19050</xdr:rowOff>
        </xdr:to>
        <xdr:sp macro="" textlink="">
          <xdr:nvSpPr>
            <xdr:cNvPr id="277614" name="Check Box 110" hidden="1">
              <a:extLst>
                <a:ext uri="{63B3BB69-23CF-44E3-9099-C40C66FF867C}">
                  <a14:compatExt spid="_x0000_s277614"/>
                </a:ext>
                <a:ext uri="{FF2B5EF4-FFF2-40B4-BE49-F238E27FC236}">
                  <a16:creationId xmlns:a16="http://schemas.microsoft.com/office/drawing/2014/main" id="{00000000-0008-0000-0600-00006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218</xdr:row>
          <xdr:rowOff>0</xdr:rowOff>
        </xdr:from>
        <xdr:to>
          <xdr:col>3</xdr:col>
          <xdr:colOff>1733550</xdr:colOff>
          <xdr:row>219</xdr:row>
          <xdr:rowOff>19050</xdr:rowOff>
        </xdr:to>
        <xdr:sp macro="" textlink="">
          <xdr:nvSpPr>
            <xdr:cNvPr id="277615" name="Check Box 111" hidden="1">
              <a:extLst>
                <a:ext uri="{63B3BB69-23CF-44E3-9099-C40C66FF867C}">
                  <a14:compatExt spid="_x0000_s277615"/>
                </a:ext>
                <a:ext uri="{FF2B5EF4-FFF2-40B4-BE49-F238E27FC236}">
                  <a16:creationId xmlns:a16="http://schemas.microsoft.com/office/drawing/2014/main" id="{00000000-0008-0000-0600-00006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219</xdr:row>
          <xdr:rowOff>0</xdr:rowOff>
        </xdr:from>
        <xdr:to>
          <xdr:col>3</xdr:col>
          <xdr:colOff>1733550</xdr:colOff>
          <xdr:row>220</xdr:row>
          <xdr:rowOff>19050</xdr:rowOff>
        </xdr:to>
        <xdr:sp macro="" textlink="">
          <xdr:nvSpPr>
            <xdr:cNvPr id="277616" name="Check Box 112" hidden="1">
              <a:extLst>
                <a:ext uri="{63B3BB69-23CF-44E3-9099-C40C66FF867C}">
                  <a14:compatExt spid="_x0000_s277616"/>
                </a:ext>
                <a:ext uri="{FF2B5EF4-FFF2-40B4-BE49-F238E27FC236}">
                  <a16:creationId xmlns:a16="http://schemas.microsoft.com/office/drawing/2014/main" id="{00000000-0008-0000-0600-00007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220</xdr:row>
          <xdr:rowOff>0</xdr:rowOff>
        </xdr:from>
        <xdr:to>
          <xdr:col>3</xdr:col>
          <xdr:colOff>1733550</xdr:colOff>
          <xdr:row>221</xdr:row>
          <xdr:rowOff>19050</xdr:rowOff>
        </xdr:to>
        <xdr:sp macro="" textlink="">
          <xdr:nvSpPr>
            <xdr:cNvPr id="277617" name="Check Box 113" hidden="1">
              <a:extLst>
                <a:ext uri="{63B3BB69-23CF-44E3-9099-C40C66FF867C}">
                  <a14:compatExt spid="_x0000_s277617"/>
                </a:ext>
                <a:ext uri="{FF2B5EF4-FFF2-40B4-BE49-F238E27FC236}">
                  <a16:creationId xmlns:a16="http://schemas.microsoft.com/office/drawing/2014/main" id="{00000000-0008-0000-0600-00007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221</xdr:row>
          <xdr:rowOff>0</xdr:rowOff>
        </xdr:from>
        <xdr:to>
          <xdr:col>3</xdr:col>
          <xdr:colOff>1733550</xdr:colOff>
          <xdr:row>222</xdr:row>
          <xdr:rowOff>19050</xdr:rowOff>
        </xdr:to>
        <xdr:sp macro="" textlink="">
          <xdr:nvSpPr>
            <xdr:cNvPr id="277618" name="Check Box 114" hidden="1">
              <a:extLst>
                <a:ext uri="{63B3BB69-23CF-44E3-9099-C40C66FF867C}">
                  <a14:compatExt spid="_x0000_s277618"/>
                </a:ext>
                <a:ext uri="{FF2B5EF4-FFF2-40B4-BE49-F238E27FC236}">
                  <a16:creationId xmlns:a16="http://schemas.microsoft.com/office/drawing/2014/main" id="{00000000-0008-0000-0600-00007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222</xdr:row>
          <xdr:rowOff>0</xdr:rowOff>
        </xdr:from>
        <xdr:to>
          <xdr:col>3</xdr:col>
          <xdr:colOff>1733550</xdr:colOff>
          <xdr:row>223</xdr:row>
          <xdr:rowOff>19050</xdr:rowOff>
        </xdr:to>
        <xdr:sp macro="" textlink="">
          <xdr:nvSpPr>
            <xdr:cNvPr id="277619" name="Check Box 115" hidden="1">
              <a:extLst>
                <a:ext uri="{63B3BB69-23CF-44E3-9099-C40C66FF867C}">
                  <a14:compatExt spid="_x0000_s277619"/>
                </a:ext>
                <a:ext uri="{FF2B5EF4-FFF2-40B4-BE49-F238E27FC236}">
                  <a16:creationId xmlns:a16="http://schemas.microsoft.com/office/drawing/2014/main" id="{00000000-0008-0000-0600-00007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223</xdr:row>
          <xdr:rowOff>0</xdr:rowOff>
        </xdr:from>
        <xdr:to>
          <xdr:col>3</xdr:col>
          <xdr:colOff>1733550</xdr:colOff>
          <xdr:row>224</xdr:row>
          <xdr:rowOff>19050</xdr:rowOff>
        </xdr:to>
        <xdr:sp macro="" textlink="">
          <xdr:nvSpPr>
            <xdr:cNvPr id="277620" name="Check Box 116" hidden="1">
              <a:extLst>
                <a:ext uri="{63B3BB69-23CF-44E3-9099-C40C66FF867C}">
                  <a14:compatExt spid="_x0000_s277620"/>
                </a:ext>
                <a:ext uri="{FF2B5EF4-FFF2-40B4-BE49-F238E27FC236}">
                  <a16:creationId xmlns:a16="http://schemas.microsoft.com/office/drawing/2014/main" id="{00000000-0008-0000-0600-00007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22</xdr:row>
          <xdr:rowOff>190500</xdr:rowOff>
        </xdr:from>
        <xdr:to>
          <xdr:col>2</xdr:col>
          <xdr:colOff>914400</xdr:colOff>
          <xdr:row>24</xdr:row>
          <xdr:rowOff>47625</xdr:rowOff>
        </xdr:to>
        <xdr:sp macro="" textlink="">
          <xdr:nvSpPr>
            <xdr:cNvPr id="277622" name="Check Box 118" hidden="1">
              <a:extLst>
                <a:ext uri="{63B3BB69-23CF-44E3-9099-C40C66FF867C}">
                  <a14:compatExt spid="_x0000_s277622"/>
                </a:ext>
                <a:ext uri="{FF2B5EF4-FFF2-40B4-BE49-F238E27FC236}">
                  <a16:creationId xmlns:a16="http://schemas.microsoft.com/office/drawing/2014/main" id="{00000000-0008-0000-0600-00007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54</xdr:row>
          <xdr:rowOff>190500</xdr:rowOff>
        </xdr:from>
        <xdr:to>
          <xdr:col>2</xdr:col>
          <xdr:colOff>923925</xdr:colOff>
          <xdr:row>56</xdr:row>
          <xdr:rowOff>76200</xdr:rowOff>
        </xdr:to>
        <xdr:sp macro="" textlink="">
          <xdr:nvSpPr>
            <xdr:cNvPr id="277623" name="Check Box 119" hidden="1">
              <a:extLst>
                <a:ext uri="{63B3BB69-23CF-44E3-9099-C40C66FF867C}">
                  <a14:compatExt spid="_x0000_s277623"/>
                </a:ext>
                <a:ext uri="{FF2B5EF4-FFF2-40B4-BE49-F238E27FC236}">
                  <a16:creationId xmlns:a16="http://schemas.microsoft.com/office/drawing/2014/main" id="{00000000-0008-0000-0600-00007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53</xdr:row>
          <xdr:rowOff>190500</xdr:rowOff>
        </xdr:from>
        <xdr:to>
          <xdr:col>2</xdr:col>
          <xdr:colOff>923925</xdr:colOff>
          <xdr:row>55</xdr:row>
          <xdr:rowOff>76200</xdr:rowOff>
        </xdr:to>
        <xdr:sp macro="" textlink="">
          <xdr:nvSpPr>
            <xdr:cNvPr id="277624" name="Check Box 120" hidden="1">
              <a:extLst>
                <a:ext uri="{63B3BB69-23CF-44E3-9099-C40C66FF867C}">
                  <a14:compatExt spid="_x0000_s277624"/>
                </a:ext>
                <a:ext uri="{FF2B5EF4-FFF2-40B4-BE49-F238E27FC236}">
                  <a16:creationId xmlns:a16="http://schemas.microsoft.com/office/drawing/2014/main" id="{00000000-0008-0000-0600-00007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56</xdr:row>
          <xdr:rowOff>161925</xdr:rowOff>
        </xdr:from>
        <xdr:to>
          <xdr:col>2</xdr:col>
          <xdr:colOff>933450</xdr:colOff>
          <xdr:row>58</xdr:row>
          <xdr:rowOff>85725</xdr:rowOff>
        </xdr:to>
        <xdr:sp macro="" textlink="">
          <xdr:nvSpPr>
            <xdr:cNvPr id="277625" name="Check Box 121" hidden="1">
              <a:extLst>
                <a:ext uri="{63B3BB69-23CF-44E3-9099-C40C66FF867C}">
                  <a14:compatExt spid="_x0000_s277625"/>
                </a:ext>
                <a:ext uri="{FF2B5EF4-FFF2-40B4-BE49-F238E27FC236}">
                  <a16:creationId xmlns:a16="http://schemas.microsoft.com/office/drawing/2014/main" id="{00000000-0008-0000-0600-00007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57</xdr:row>
          <xdr:rowOff>161925</xdr:rowOff>
        </xdr:from>
        <xdr:to>
          <xdr:col>2</xdr:col>
          <xdr:colOff>933450</xdr:colOff>
          <xdr:row>59</xdr:row>
          <xdr:rowOff>85725</xdr:rowOff>
        </xdr:to>
        <xdr:sp macro="" textlink="">
          <xdr:nvSpPr>
            <xdr:cNvPr id="277626" name="Check Box 122" hidden="1">
              <a:extLst>
                <a:ext uri="{63B3BB69-23CF-44E3-9099-C40C66FF867C}">
                  <a14:compatExt spid="_x0000_s277626"/>
                </a:ext>
                <a:ext uri="{FF2B5EF4-FFF2-40B4-BE49-F238E27FC236}">
                  <a16:creationId xmlns:a16="http://schemas.microsoft.com/office/drawing/2014/main" id="{00000000-0008-0000-0600-00007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59</xdr:row>
          <xdr:rowOff>161925</xdr:rowOff>
        </xdr:from>
        <xdr:to>
          <xdr:col>2</xdr:col>
          <xdr:colOff>933450</xdr:colOff>
          <xdr:row>61</xdr:row>
          <xdr:rowOff>85725</xdr:rowOff>
        </xdr:to>
        <xdr:sp macro="" textlink="">
          <xdr:nvSpPr>
            <xdr:cNvPr id="277627" name="Check Box 123" hidden="1">
              <a:extLst>
                <a:ext uri="{63B3BB69-23CF-44E3-9099-C40C66FF867C}">
                  <a14:compatExt spid="_x0000_s277627"/>
                </a:ext>
                <a:ext uri="{FF2B5EF4-FFF2-40B4-BE49-F238E27FC236}">
                  <a16:creationId xmlns:a16="http://schemas.microsoft.com/office/drawing/2014/main" id="{00000000-0008-0000-0600-00007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58</xdr:row>
          <xdr:rowOff>161925</xdr:rowOff>
        </xdr:from>
        <xdr:to>
          <xdr:col>2</xdr:col>
          <xdr:colOff>933450</xdr:colOff>
          <xdr:row>60</xdr:row>
          <xdr:rowOff>85725</xdr:rowOff>
        </xdr:to>
        <xdr:sp macro="" textlink="">
          <xdr:nvSpPr>
            <xdr:cNvPr id="277628" name="Check Box 124" hidden="1">
              <a:extLst>
                <a:ext uri="{63B3BB69-23CF-44E3-9099-C40C66FF867C}">
                  <a14:compatExt spid="_x0000_s277628"/>
                </a:ext>
                <a:ext uri="{FF2B5EF4-FFF2-40B4-BE49-F238E27FC236}">
                  <a16:creationId xmlns:a16="http://schemas.microsoft.com/office/drawing/2014/main" id="{00000000-0008-0000-0600-00007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65</xdr:row>
          <xdr:rowOff>180975</xdr:rowOff>
        </xdr:from>
        <xdr:to>
          <xdr:col>2</xdr:col>
          <xdr:colOff>933450</xdr:colOff>
          <xdr:row>67</xdr:row>
          <xdr:rowOff>47625</xdr:rowOff>
        </xdr:to>
        <xdr:sp macro="" textlink="">
          <xdr:nvSpPr>
            <xdr:cNvPr id="277629" name="Check Box 125" hidden="1">
              <a:extLst>
                <a:ext uri="{63B3BB69-23CF-44E3-9099-C40C66FF867C}">
                  <a14:compatExt spid="_x0000_s277629"/>
                </a:ext>
                <a:ext uri="{FF2B5EF4-FFF2-40B4-BE49-F238E27FC236}">
                  <a16:creationId xmlns:a16="http://schemas.microsoft.com/office/drawing/2014/main" id="{00000000-0008-0000-0600-00007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66</xdr:row>
          <xdr:rowOff>180975</xdr:rowOff>
        </xdr:from>
        <xdr:to>
          <xdr:col>2</xdr:col>
          <xdr:colOff>933450</xdr:colOff>
          <xdr:row>68</xdr:row>
          <xdr:rowOff>47625</xdr:rowOff>
        </xdr:to>
        <xdr:sp macro="" textlink="">
          <xdr:nvSpPr>
            <xdr:cNvPr id="277630" name="Check Box 126" hidden="1">
              <a:extLst>
                <a:ext uri="{63B3BB69-23CF-44E3-9099-C40C66FF867C}">
                  <a14:compatExt spid="_x0000_s277630"/>
                </a:ext>
                <a:ext uri="{FF2B5EF4-FFF2-40B4-BE49-F238E27FC236}">
                  <a16:creationId xmlns:a16="http://schemas.microsoft.com/office/drawing/2014/main" id="{00000000-0008-0000-0600-00007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34</xdr:row>
          <xdr:rowOff>190500</xdr:rowOff>
        </xdr:from>
        <xdr:to>
          <xdr:col>2</xdr:col>
          <xdr:colOff>1019175</xdr:colOff>
          <xdr:row>36</xdr:row>
          <xdr:rowOff>66675</xdr:rowOff>
        </xdr:to>
        <xdr:sp macro="" textlink="">
          <xdr:nvSpPr>
            <xdr:cNvPr id="277631" name="Check Box 127" hidden="1">
              <a:extLst>
                <a:ext uri="{63B3BB69-23CF-44E3-9099-C40C66FF867C}">
                  <a14:compatExt spid="_x0000_s277631"/>
                </a:ext>
                <a:ext uri="{FF2B5EF4-FFF2-40B4-BE49-F238E27FC236}">
                  <a16:creationId xmlns:a16="http://schemas.microsoft.com/office/drawing/2014/main" id="{00000000-0008-0000-0600-00007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177</xdr:row>
          <xdr:rowOff>0</xdr:rowOff>
        </xdr:from>
        <xdr:to>
          <xdr:col>3</xdr:col>
          <xdr:colOff>1733550</xdr:colOff>
          <xdr:row>178</xdr:row>
          <xdr:rowOff>19050</xdr:rowOff>
        </xdr:to>
        <xdr:sp macro="" textlink="">
          <xdr:nvSpPr>
            <xdr:cNvPr id="277632" name="Check Box 128" hidden="1">
              <a:extLst>
                <a:ext uri="{63B3BB69-23CF-44E3-9099-C40C66FF867C}">
                  <a14:compatExt spid="_x0000_s277632"/>
                </a:ext>
                <a:ext uri="{FF2B5EF4-FFF2-40B4-BE49-F238E27FC236}">
                  <a16:creationId xmlns:a16="http://schemas.microsoft.com/office/drawing/2014/main" id="{00000000-0008-0000-0600-00008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178</xdr:row>
          <xdr:rowOff>0</xdr:rowOff>
        </xdr:from>
        <xdr:to>
          <xdr:col>3</xdr:col>
          <xdr:colOff>1733550</xdr:colOff>
          <xdr:row>179</xdr:row>
          <xdr:rowOff>19050</xdr:rowOff>
        </xdr:to>
        <xdr:sp macro="" textlink="">
          <xdr:nvSpPr>
            <xdr:cNvPr id="277633" name="Check Box 129" hidden="1">
              <a:extLst>
                <a:ext uri="{63B3BB69-23CF-44E3-9099-C40C66FF867C}">
                  <a14:compatExt spid="_x0000_s277633"/>
                </a:ext>
                <a:ext uri="{FF2B5EF4-FFF2-40B4-BE49-F238E27FC236}">
                  <a16:creationId xmlns:a16="http://schemas.microsoft.com/office/drawing/2014/main" id="{00000000-0008-0000-0600-00008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179</xdr:row>
          <xdr:rowOff>0</xdr:rowOff>
        </xdr:from>
        <xdr:to>
          <xdr:col>3</xdr:col>
          <xdr:colOff>1733550</xdr:colOff>
          <xdr:row>180</xdr:row>
          <xdr:rowOff>19050</xdr:rowOff>
        </xdr:to>
        <xdr:sp macro="" textlink="">
          <xdr:nvSpPr>
            <xdr:cNvPr id="277634" name="Check Box 130" hidden="1">
              <a:extLst>
                <a:ext uri="{63B3BB69-23CF-44E3-9099-C40C66FF867C}">
                  <a14:compatExt spid="_x0000_s277634"/>
                </a:ext>
                <a:ext uri="{FF2B5EF4-FFF2-40B4-BE49-F238E27FC236}">
                  <a16:creationId xmlns:a16="http://schemas.microsoft.com/office/drawing/2014/main" id="{00000000-0008-0000-0600-00008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180</xdr:row>
          <xdr:rowOff>0</xdr:rowOff>
        </xdr:from>
        <xdr:to>
          <xdr:col>3</xdr:col>
          <xdr:colOff>1733550</xdr:colOff>
          <xdr:row>181</xdr:row>
          <xdr:rowOff>19050</xdr:rowOff>
        </xdr:to>
        <xdr:sp macro="" textlink="">
          <xdr:nvSpPr>
            <xdr:cNvPr id="277635" name="Check Box 131" hidden="1">
              <a:extLst>
                <a:ext uri="{63B3BB69-23CF-44E3-9099-C40C66FF867C}">
                  <a14:compatExt spid="_x0000_s277635"/>
                </a:ext>
                <a:ext uri="{FF2B5EF4-FFF2-40B4-BE49-F238E27FC236}">
                  <a16:creationId xmlns:a16="http://schemas.microsoft.com/office/drawing/2014/main" id="{00000000-0008-0000-0600-00008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181</xdr:row>
          <xdr:rowOff>0</xdr:rowOff>
        </xdr:from>
        <xdr:to>
          <xdr:col>3</xdr:col>
          <xdr:colOff>1733550</xdr:colOff>
          <xdr:row>182</xdr:row>
          <xdr:rowOff>19050</xdr:rowOff>
        </xdr:to>
        <xdr:sp macro="" textlink="">
          <xdr:nvSpPr>
            <xdr:cNvPr id="277636" name="Check Box 132" hidden="1">
              <a:extLst>
                <a:ext uri="{63B3BB69-23CF-44E3-9099-C40C66FF867C}">
                  <a14:compatExt spid="_x0000_s277636"/>
                </a:ext>
                <a:ext uri="{FF2B5EF4-FFF2-40B4-BE49-F238E27FC236}">
                  <a16:creationId xmlns:a16="http://schemas.microsoft.com/office/drawing/2014/main" id="{00000000-0008-0000-0600-00008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182</xdr:row>
          <xdr:rowOff>0</xdr:rowOff>
        </xdr:from>
        <xdr:to>
          <xdr:col>3</xdr:col>
          <xdr:colOff>1733550</xdr:colOff>
          <xdr:row>183</xdr:row>
          <xdr:rowOff>19050</xdr:rowOff>
        </xdr:to>
        <xdr:sp macro="" textlink="">
          <xdr:nvSpPr>
            <xdr:cNvPr id="277637" name="Check Box 133" hidden="1">
              <a:extLst>
                <a:ext uri="{63B3BB69-23CF-44E3-9099-C40C66FF867C}">
                  <a14:compatExt spid="_x0000_s277637"/>
                </a:ext>
                <a:ext uri="{FF2B5EF4-FFF2-40B4-BE49-F238E27FC236}">
                  <a16:creationId xmlns:a16="http://schemas.microsoft.com/office/drawing/2014/main" id="{00000000-0008-0000-0600-00008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183</xdr:row>
          <xdr:rowOff>0</xdr:rowOff>
        </xdr:from>
        <xdr:to>
          <xdr:col>3</xdr:col>
          <xdr:colOff>1733550</xdr:colOff>
          <xdr:row>184</xdr:row>
          <xdr:rowOff>19050</xdr:rowOff>
        </xdr:to>
        <xdr:sp macro="" textlink="">
          <xdr:nvSpPr>
            <xdr:cNvPr id="277638" name="Check Box 134" hidden="1">
              <a:extLst>
                <a:ext uri="{63B3BB69-23CF-44E3-9099-C40C66FF867C}">
                  <a14:compatExt spid="_x0000_s277638"/>
                </a:ext>
                <a:ext uri="{FF2B5EF4-FFF2-40B4-BE49-F238E27FC236}">
                  <a16:creationId xmlns:a16="http://schemas.microsoft.com/office/drawing/2014/main" id="{00000000-0008-0000-0600-00008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185</xdr:row>
          <xdr:rowOff>0</xdr:rowOff>
        </xdr:from>
        <xdr:to>
          <xdr:col>3</xdr:col>
          <xdr:colOff>1733550</xdr:colOff>
          <xdr:row>186</xdr:row>
          <xdr:rowOff>19050</xdr:rowOff>
        </xdr:to>
        <xdr:sp macro="" textlink="">
          <xdr:nvSpPr>
            <xdr:cNvPr id="277639" name="Check Box 135" hidden="1">
              <a:extLst>
                <a:ext uri="{63B3BB69-23CF-44E3-9099-C40C66FF867C}">
                  <a14:compatExt spid="_x0000_s277639"/>
                </a:ext>
                <a:ext uri="{FF2B5EF4-FFF2-40B4-BE49-F238E27FC236}">
                  <a16:creationId xmlns:a16="http://schemas.microsoft.com/office/drawing/2014/main" id="{00000000-0008-0000-0600-00008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186</xdr:row>
          <xdr:rowOff>0</xdr:rowOff>
        </xdr:from>
        <xdr:to>
          <xdr:col>3</xdr:col>
          <xdr:colOff>1733550</xdr:colOff>
          <xdr:row>187</xdr:row>
          <xdr:rowOff>19050</xdr:rowOff>
        </xdr:to>
        <xdr:sp macro="" textlink="">
          <xdr:nvSpPr>
            <xdr:cNvPr id="277640" name="Check Box 136" hidden="1">
              <a:extLst>
                <a:ext uri="{63B3BB69-23CF-44E3-9099-C40C66FF867C}">
                  <a14:compatExt spid="_x0000_s277640"/>
                </a:ext>
                <a:ext uri="{FF2B5EF4-FFF2-40B4-BE49-F238E27FC236}">
                  <a16:creationId xmlns:a16="http://schemas.microsoft.com/office/drawing/2014/main" id="{00000000-0008-0000-0600-00008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188</xdr:row>
          <xdr:rowOff>0</xdr:rowOff>
        </xdr:from>
        <xdr:to>
          <xdr:col>3</xdr:col>
          <xdr:colOff>1733550</xdr:colOff>
          <xdr:row>189</xdr:row>
          <xdr:rowOff>19050</xdr:rowOff>
        </xdr:to>
        <xdr:sp macro="" textlink="">
          <xdr:nvSpPr>
            <xdr:cNvPr id="277641" name="Check Box 137" hidden="1">
              <a:extLst>
                <a:ext uri="{63B3BB69-23CF-44E3-9099-C40C66FF867C}">
                  <a14:compatExt spid="_x0000_s277641"/>
                </a:ext>
                <a:ext uri="{FF2B5EF4-FFF2-40B4-BE49-F238E27FC236}">
                  <a16:creationId xmlns:a16="http://schemas.microsoft.com/office/drawing/2014/main" id="{00000000-0008-0000-0600-00008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189</xdr:row>
          <xdr:rowOff>0</xdr:rowOff>
        </xdr:from>
        <xdr:to>
          <xdr:col>3</xdr:col>
          <xdr:colOff>1733550</xdr:colOff>
          <xdr:row>190</xdr:row>
          <xdr:rowOff>19050</xdr:rowOff>
        </xdr:to>
        <xdr:sp macro="" textlink="">
          <xdr:nvSpPr>
            <xdr:cNvPr id="277642" name="Check Box 138" hidden="1">
              <a:extLst>
                <a:ext uri="{63B3BB69-23CF-44E3-9099-C40C66FF867C}">
                  <a14:compatExt spid="_x0000_s277642"/>
                </a:ext>
                <a:ext uri="{FF2B5EF4-FFF2-40B4-BE49-F238E27FC236}">
                  <a16:creationId xmlns:a16="http://schemas.microsoft.com/office/drawing/2014/main" id="{00000000-0008-0000-0600-00008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190</xdr:row>
          <xdr:rowOff>0</xdr:rowOff>
        </xdr:from>
        <xdr:to>
          <xdr:col>3</xdr:col>
          <xdr:colOff>1733550</xdr:colOff>
          <xdr:row>191</xdr:row>
          <xdr:rowOff>19050</xdr:rowOff>
        </xdr:to>
        <xdr:sp macro="" textlink="">
          <xdr:nvSpPr>
            <xdr:cNvPr id="277643" name="Check Box 139" hidden="1">
              <a:extLst>
                <a:ext uri="{63B3BB69-23CF-44E3-9099-C40C66FF867C}">
                  <a14:compatExt spid="_x0000_s277643"/>
                </a:ext>
                <a:ext uri="{FF2B5EF4-FFF2-40B4-BE49-F238E27FC236}">
                  <a16:creationId xmlns:a16="http://schemas.microsoft.com/office/drawing/2014/main" id="{00000000-0008-0000-0600-00008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191</xdr:row>
          <xdr:rowOff>0</xdr:rowOff>
        </xdr:from>
        <xdr:to>
          <xdr:col>3</xdr:col>
          <xdr:colOff>1733550</xdr:colOff>
          <xdr:row>192</xdr:row>
          <xdr:rowOff>19050</xdr:rowOff>
        </xdr:to>
        <xdr:sp macro="" textlink="">
          <xdr:nvSpPr>
            <xdr:cNvPr id="277644" name="Check Box 140" hidden="1">
              <a:extLst>
                <a:ext uri="{63B3BB69-23CF-44E3-9099-C40C66FF867C}">
                  <a14:compatExt spid="_x0000_s277644"/>
                </a:ext>
                <a:ext uri="{FF2B5EF4-FFF2-40B4-BE49-F238E27FC236}">
                  <a16:creationId xmlns:a16="http://schemas.microsoft.com/office/drawing/2014/main" id="{00000000-0008-0000-0600-00008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127</xdr:row>
          <xdr:rowOff>9525</xdr:rowOff>
        </xdr:from>
        <xdr:to>
          <xdr:col>2</xdr:col>
          <xdr:colOff>942975</xdr:colOff>
          <xdr:row>128</xdr:row>
          <xdr:rowOff>28575</xdr:rowOff>
        </xdr:to>
        <xdr:sp macro="" textlink="">
          <xdr:nvSpPr>
            <xdr:cNvPr id="277645" name="Check Box 141" hidden="1">
              <a:extLst>
                <a:ext uri="{63B3BB69-23CF-44E3-9099-C40C66FF867C}">
                  <a14:compatExt spid="_x0000_s277645"/>
                </a:ext>
                <a:ext uri="{FF2B5EF4-FFF2-40B4-BE49-F238E27FC236}">
                  <a16:creationId xmlns:a16="http://schemas.microsoft.com/office/drawing/2014/main" id="{00000000-0008-0000-0600-00008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128</xdr:row>
          <xdr:rowOff>9525</xdr:rowOff>
        </xdr:from>
        <xdr:to>
          <xdr:col>2</xdr:col>
          <xdr:colOff>942975</xdr:colOff>
          <xdr:row>129</xdr:row>
          <xdr:rowOff>28575</xdr:rowOff>
        </xdr:to>
        <xdr:sp macro="" textlink="">
          <xdr:nvSpPr>
            <xdr:cNvPr id="277646" name="Check Box 142" hidden="1">
              <a:extLst>
                <a:ext uri="{63B3BB69-23CF-44E3-9099-C40C66FF867C}">
                  <a14:compatExt spid="_x0000_s277646"/>
                </a:ext>
                <a:ext uri="{FF2B5EF4-FFF2-40B4-BE49-F238E27FC236}">
                  <a16:creationId xmlns:a16="http://schemas.microsoft.com/office/drawing/2014/main" id="{00000000-0008-0000-0600-00008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129</xdr:row>
          <xdr:rowOff>9525</xdr:rowOff>
        </xdr:from>
        <xdr:to>
          <xdr:col>2</xdr:col>
          <xdr:colOff>942975</xdr:colOff>
          <xdr:row>130</xdr:row>
          <xdr:rowOff>28575</xdr:rowOff>
        </xdr:to>
        <xdr:sp macro="" textlink="">
          <xdr:nvSpPr>
            <xdr:cNvPr id="277647" name="Check Box 143" hidden="1">
              <a:extLst>
                <a:ext uri="{63B3BB69-23CF-44E3-9099-C40C66FF867C}">
                  <a14:compatExt spid="_x0000_s277647"/>
                </a:ext>
                <a:ext uri="{FF2B5EF4-FFF2-40B4-BE49-F238E27FC236}">
                  <a16:creationId xmlns:a16="http://schemas.microsoft.com/office/drawing/2014/main" id="{00000000-0008-0000-0600-00008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187</xdr:row>
          <xdr:rowOff>0</xdr:rowOff>
        </xdr:from>
        <xdr:to>
          <xdr:col>3</xdr:col>
          <xdr:colOff>1733550</xdr:colOff>
          <xdr:row>188</xdr:row>
          <xdr:rowOff>19050</xdr:rowOff>
        </xdr:to>
        <xdr:sp macro="" textlink="">
          <xdr:nvSpPr>
            <xdr:cNvPr id="277648" name="Check Box 144" hidden="1">
              <a:extLst>
                <a:ext uri="{63B3BB69-23CF-44E3-9099-C40C66FF867C}">
                  <a14:compatExt spid="_x0000_s277648"/>
                </a:ext>
                <a:ext uri="{FF2B5EF4-FFF2-40B4-BE49-F238E27FC236}">
                  <a16:creationId xmlns:a16="http://schemas.microsoft.com/office/drawing/2014/main" id="{00000000-0008-0000-0600-00009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139</xdr:row>
          <xdr:rowOff>0</xdr:rowOff>
        </xdr:from>
        <xdr:to>
          <xdr:col>3</xdr:col>
          <xdr:colOff>1733550</xdr:colOff>
          <xdr:row>140</xdr:row>
          <xdr:rowOff>19050</xdr:rowOff>
        </xdr:to>
        <xdr:sp macro="" textlink="">
          <xdr:nvSpPr>
            <xdr:cNvPr id="277649" name="Check Box 145" hidden="1">
              <a:extLst>
                <a:ext uri="{63B3BB69-23CF-44E3-9099-C40C66FF867C}">
                  <a14:compatExt spid="_x0000_s277649"/>
                </a:ext>
                <a:ext uri="{FF2B5EF4-FFF2-40B4-BE49-F238E27FC236}">
                  <a16:creationId xmlns:a16="http://schemas.microsoft.com/office/drawing/2014/main" id="{00000000-0008-0000-0600-00009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198</xdr:row>
          <xdr:rowOff>0</xdr:rowOff>
        </xdr:from>
        <xdr:to>
          <xdr:col>3</xdr:col>
          <xdr:colOff>1733550</xdr:colOff>
          <xdr:row>199</xdr:row>
          <xdr:rowOff>19050</xdr:rowOff>
        </xdr:to>
        <xdr:sp macro="" textlink="">
          <xdr:nvSpPr>
            <xdr:cNvPr id="277650" name="Check Box 146" hidden="1">
              <a:extLst>
                <a:ext uri="{63B3BB69-23CF-44E3-9099-C40C66FF867C}">
                  <a14:compatExt spid="_x0000_s277650"/>
                </a:ext>
                <a:ext uri="{FF2B5EF4-FFF2-40B4-BE49-F238E27FC236}">
                  <a16:creationId xmlns:a16="http://schemas.microsoft.com/office/drawing/2014/main" id="{00000000-0008-0000-0600-00009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42</xdr:row>
          <xdr:rowOff>171450</xdr:rowOff>
        </xdr:from>
        <xdr:to>
          <xdr:col>2</xdr:col>
          <xdr:colOff>1019175</xdr:colOff>
          <xdr:row>44</xdr:row>
          <xdr:rowOff>57150</xdr:rowOff>
        </xdr:to>
        <xdr:sp macro="" textlink="">
          <xdr:nvSpPr>
            <xdr:cNvPr id="277651" name="Check Box 147" hidden="1">
              <a:extLst>
                <a:ext uri="{63B3BB69-23CF-44E3-9099-C40C66FF867C}">
                  <a14:compatExt spid="_x0000_s277651"/>
                </a:ext>
                <a:ext uri="{FF2B5EF4-FFF2-40B4-BE49-F238E27FC236}">
                  <a16:creationId xmlns:a16="http://schemas.microsoft.com/office/drawing/2014/main" id="{00000000-0008-0000-0600-00009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109</xdr:row>
          <xdr:rowOff>19050</xdr:rowOff>
        </xdr:from>
        <xdr:to>
          <xdr:col>2</xdr:col>
          <xdr:colOff>914400</xdr:colOff>
          <xdr:row>110</xdr:row>
          <xdr:rowOff>38100</xdr:rowOff>
        </xdr:to>
        <xdr:sp macro="" textlink="">
          <xdr:nvSpPr>
            <xdr:cNvPr id="277652" name="Check Box 148" hidden="1">
              <a:extLst>
                <a:ext uri="{63B3BB69-23CF-44E3-9099-C40C66FF867C}">
                  <a14:compatExt spid="_x0000_s277652"/>
                </a:ext>
                <a:ext uri="{FF2B5EF4-FFF2-40B4-BE49-F238E27FC236}">
                  <a16:creationId xmlns:a16="http://schemas.microsoft.com/office/drawing/2014/main" id="{00000000-0008-0000-0600-00009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110</xdr:row>
          <xdr:rowOff>28575</xdr:rowOff>
        </xdr:from>
        <xdr:to>
          <xdr:col>2</xdr:col>
          <xdr:colOff>914400</xdr:colOff>
          <xdr:row>111</xdr:row>
          <xdr:rowOff>38100</xdr:rowOff>
        </xdr:to>
        <xdr:sp macro="" textlink="">
          <xdr:nvSpPr>
            <xdr:cNvPr id="277653" name="Check Box 149" hidden="1">
              <a:extLst>
                <a:ext uri="{63B3BB69-23CF-44E3-9099-C40C66FF867C}">
                  <a14:compatExt spid="_x0000_s277653"/>
                </a:ext>
                <a:ext uri="{FF2B5EF4-FFF2-40B4-BE49-F238E27FC236}">
                  <a16:creationId xmlns:a16="http://schemas.microsoft.com/office/drawing/2014/main" id="{00000000-0008-0000-0600-00009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137</xdr:row>
          <xdr:rowOff>0</xdr:rowOff>
        </xdr:from>
        <xdr:to>
          <xdr:col>3</xdr:col>
          <xdr:colOff>1733550</xdr:colOff>
          <xdr:row>138</xdr:row>
          <xdr:rowOff>19050</xdr:rowOff>
        </xdr:to>
        <xdr:sp macro="" textlink="">
          <xdr:nvSpPr>
            <xdr:cNvPr id="277654" name="Check Box 150" hidden="1">
              <a:extLst>
                <a:ext uri="{63B3BB69-23CF-44E3-9099-C40C66FF867C}">
                  <a14:compatExt spid="_x0000_s277654"/>
                </a:ext>
                <a:ext uri="{FF2B5EF4-FFF2-40B4-BE49-F238E27FC236}">
                  <a16:creationId xmlns:a16="http://schemas.microsoft.com/office/drawing/2014/main" id="{00000000-0008-0000-0600-00009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138</xdr:row>
          <xdr:rowOff>0</xdr:rowOff>
        </xdr:from>
        <xdr:to>
          <xdr:col>3</xdr:col>
          <xdr:colOff>1733550</xdr:colOff>
          <xdr:row>139</xdr:row>
          <xdr:rowOff>19050</xdr:rowOff>
        </xdr:to>
        <xdr:sp macro="" textlink="">
          <xdr:nvSpPr>
            <xdr:cNvPr id="277655" name="Check Box 151" hidden="1">
              <a:extLst>
                <a:ext uri="{63B3BB69-23CF-44E3-9099-C40C66FF867C}">
                  <a14:compatExt spid="_x0000_s277655"/>
                </a:ext>
                <a:ext uri="{FF2B5EF4-FFF2-40B4-BE49-F238E27FC236}">
                  <a16:creationId xmlns:a16="http://schemas.microsoft.com/office/drawing/2014/main" id="{00000000-0008-0000-0600-00009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114</xdr:row>
          <xdr:rowOff>19050</xdr:rowOff>
        </xdr:from>
        <xdr:to>
          <xdr:col>2</xdr:col>
          <xdr:colOff>914400</xdr:colOff>
          <xdr:row>115</xdr:row>
          <xdr:rowOff>38100</xdr:rowOff>
        </xdr:to>
        <xdr:sp macro="" textlink="">
          <xdr:nvSpPr>
            <xdr:cNvPr id="277656" name="Check Box 152" hidden="1">
              <a:extLst>
                <a:ext uri="{63B3BB69-23CF-44E3-9099-C40C66FF867C}">
                  <a14:compatExt spid="_x0000_s277656"/>
                </a:ext>
                <a:ext uri="{FF2B5EF4-FFF2-40B4-BE49-F238E27FC236}">
                  <a16:creationId xmlns:a16="http://schemas.microsoft.com/office/drawing/2014/main" id="{00000000-0008-0000-0600-00009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113</xdr:row>
          <xdr:rowOff>28575</xdr:rowOff>
        </xdr:from>
        <xdr:to>
          <xdr:col>2</xdr:col>
          <xdr:colOff>914400</xdr:colOff>
          <xdr:row>114</xdr:row>
          <xdr:rowOff>38100</xdr:rowOff>
        </xdr:to>
        <xdr:sp macro="" textlink="">
          <xdr:nvSpPr>
            <xdr:cNvPr id="277657" name="Check Box 153" hidden="1">
              <a:extLst>
                <a:ext uri="{63B3BB69-23CF-44E3-9099-C40C66FF867C}">
                  <a14:compatExt spid="_x0000_s277657"/>
                </a:ext>
                <a:ext uri="{FF2B5EF4-FFF2-40B4-BE49-F238E27FC236}">
                  <a16:creationId xmlns:a16="http://schemas.microsoft.com/office/drawing/2014/main" id="{00000000-0008-0000-0600-00009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114</xdr:row>
          <xdr:rowOff>19050</xdr:rowOff>
        </xdr:from>
        <xdr:to>
          <xdr:col>2</xdr:col>
          <xdr:colOff>914400</xdr:colOff>
          <xdr:row>115</xdr:row>
          <xdr:rowOff>38100</xdr:rowOff>
        </xdr:to>
        <xdr:sp macro="" textlink="">
          <xdr:nvSpPr>
            <xdr:cNvPr id="277658" name="Check Box 154" hidden="1">
              <a:extLst>
                <a:ext uri="{63B3BB69-23CF-44E3-9099-C40C66FF867C}">
                  <a14:compatExt spid="_x0000_s277658"/>
                </a:ext>
                <a:ext uri="{FF2B5EF4-FFF2-40B4-BE49-F238E27FC236}">
                  <a16:creationId xmlns:a16="http://schemas.microsoft.com/office/drawing/2014/main" id="{00000000-0008-0000-0600-00009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115</xdr:row>
          <xdr:rowOff>19050</xdr:rowOff>
        </xdr:from>
        <xdr:to>
          <xdr:col>2</xdr:col>
          <xdr:colOff>914400</xdr:colOff>
          <xdr:row>116</xdr:row>
          <xdr:rowOff>38100</xdr:rowOff>
        </xdr:to>
        <xdr:sp macro="" textlink="">
          <xdr:nvSpPr>
            <xdr:cNvPr id="277659" name="Check Box 155" hidden="1">
              <a:extLst>
                <a:ext uri="{63B3BB69-23CF-44E3-9099-C40C66FF867C}">
                  <a14:compatExt spid="_x0000_s277659"/>
                </a:ext>
                <a:ext uri="{FF2B5EF4-FFF2-40B4-BE49-F238E27FC236}">
                  <a16:creationId xmlns:a16="http://schemas.microsoft.com/office/drawing/2014/main" id="{00000000-0008-0000-0600-00009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114</xdr:row>
          <xdr:rowOff>28575</xdr:rowOff>
        </xdr:from>
        <xdr:to>
          <xdr:col>2</xdr:col>
          <xdr:colOff>914400</xdr:colOff>
          <xdr:row>115</xdr:row>
          <xdr:rowOff>38100</xdr:rowOff>
        </xdr:to>
        <xdr:sp macro="" textlink="">
          <xdr:nvSpPr>
            <xdr:cNvPr id="277660" name="Check Box 156" hidden="1">
              <a:extLst>
                <a:ext uri="{63B3BB69-23CF-44E3-9099-C40C66FF867C}">
                  <a14:compatExt spid="_x0000_s277660"/>
                </a:ext>
                <a:ext uri="{FF2B5EF4-FFF2-40B4-BE49-F238E27FC236}">
                  <a16:creationId xmlns:a16="http://schemas.microsoft.com/office/drawing/2014/main" id="{00000000-0008-0000-0600-00009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84</xdr:row>
          <xdr:rowOff>0</xdr:rowOff>
        </xdr:from>
        <xdr:to>
          <xdr:col>2</xdr:col>
          <xdr:colOff>962025</xdr:colOff>
          <xdr:row>85</xdr:row>
          <xdr:rowOff>66675</xdr:rowOff>
        </xdr:to>
        <xdr:sp macro="" textlink="">
          <xdr:nvSpPr>
            <xdr:cNvPr id="277661" name="Check Box 157" hidden="1">
              <a:extLst>
                <a:ext uri="{63B3BB69-23CF-44E3-9099-C40C66FF867C}">
                  <a14:compatExt spid="_x0000_s277661"/>
                </a:ext>
                <a:ext uri="{FF2B5EF4-FFF2-40B4-BE49-F238E27FC236}">
                  <a16:creationId xmlns:a16="http://schemas.microsoft.com/office/drawing/2014/main" id="{00000000-0008-0000-0600-00009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85</xdr:row>
          <xdr:rowOff>0</xdr:rowOff>
        </xdr:from>
        <xdr:to>
          <xdr:col>2</xdr:col>
          <xdr:colOff>962025</xdr:colOff>
          <xdr:row>86</xdr:row>
          <xdr:rowOff>66675</xdr:rowOff>
        </xdr:to>
        <xdr:sp macro="" textlink="">
          <xdr:nvSpPr>
            <xdr:cNvPr id="277662" name="Check Box 158" hidden="1">
              <a:extLst>
                <a:ext uri="{63B3BB69-23CF-44E3-9099-C40C66FF867C}">
                  <a14:compatExt spid="_x0000_s277662"/>
                </a:ext>
                <a:ext uri="{FF2B5EF4-FFF2-40B4-BE49-F238E27FC236}">
                  <a16:creationId xmlns:a16="http://schemas.microsoft.com/office/drawing/2014/main" id="{00000000-0008-0000-0600-00009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85</xdr:row>
          <xdr:rowOff>0</xdr:rowOff>
        </xdr:from>
        <xdr:to>
          <xdr:col>2</xdr:col>
          <xdr:colOff>962025</xdr:colOff>
          <xdr:row>86</xdr:row>
          <xdr:rowOff>66675</xdr:rowOff>
        </xdr:to>
        <xdr:sp macro="" textlink="">
          <xdr:nvSpPr>
            <xdr:cNvPr id="277663" name="Check Box 159" hidden="1">
              <a:extLst>
                <a:ext uri="{63B3BB69-23CF-44E3-9099-C40C66FF867C}">
                  <a14:compatExt spid="_x0000_s277663"/>
                </a:ext>
                <a:ext uri="{FF2B5EF4-FFF2-40B4-BE49-F238E27FC236}">
                  <a16:creationId xmlns:a16="http://schemas.microsoft.com/office/drawing/2014/main" id="{00000000-0008-0000-0600-00009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184</xdr:row>
          <xdr:rowOff>0</xdr:rowOff>
        </xdr:from>
        <xdr:to>
          <xdr:col>3</xdr:col>
          <xdr:colOff>1733550</xdr:colOff>
          <xdr:row>185</xdr:row>
          <xdr:rowOff>19050</xdr:rowOff>
        </xdr:to>
        <xdr:sp macro="" textlink="">
          <xdr:nvSpPr>
            <xdr:cNvPr id="277664" name="Check Box 160" hidden="1">
              <a:extLst>
                <a:ext uri="{63B3BB69-23CF-44E3-9099-C40C66FF867C}">
                  <a14:compatExt spid="_x0000_s277664"/>
                </a:ext>
                <a:ext uri="{FF2B5EF4-FFF2-40B4-BE49-F238E27FC236}">
                  <a16:creationId xmlns:a16="http://schemas.microsoft.com/office/drawing/2014/main" id="{00000000-0008-0000-0600-0000A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184</xdr:row>
          <xdr:rowOff>0</xdr:rowOff>
        </xdr:from>
        <xdr:to>
          <xdr:col>3</xdr:col>
          <xdr:colOff>1733550</xdr:colOff>
          <xdr:row>185</xdr:row>
          <xdr:rowOff>19050</xdr:rowOff>
        </xdr:to>
        <xdr:sp macro="" textlink="">
          <xdr:nvSpPr>
            <xdr:cNvPr id="277665" name="Check Box 161" hidden="1">
              <a:extLst>
                <a:ext uri="{63B3BB69-23CF-44E3-9099-C40C66FF867C}">
                  <a14:compatExt spid="_x0000_s277665"/>
                </a:ext>
                <a:ext uri="{FF2B5EF4-FFF2-40B4-BE49-F238E27FC236}">
                  <a16:creationId xmlns:a16="http://schemas.microsoft.com/office/drawing/2014/main" id="{00000000-0008-0000-0600-0000A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184</xdr:row>
          <xdr:rowOff>0</xdr:rowOff>
        </xdr:from>
        <xdr:to>
          <xdr:col>3</xdr:col>
          <xdr:colOff>1733550</xdr:colOff>
          <xdr:row>185</xdr:row>
          <xdr:rowOff>19050</xdr:rowOff>
        </xdr:to>
        <xdr:sp macro="" textlink="">
          <xdr:nvSpPr>
            <xdr:cNvPr id="277666" name="Check Box 162" hidden="1">
              <a:extLst>
                <a:ext uri="{63B3BB69-23CF-44E3-9099-C40C66FF867C}">
                  <a14:compatExt spid="_x0000_s277666"/>
                </a:ext>
                <a:ext uri="{FF2B5EF4-FFF2-40B4-BE49-F238E27FC236}">
                  <a16:creationId xmlns:a16="http://schemas.microsoft.com/office/drawing/2014/main" id="{00000000-0008-0000-0600-0000A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207</xdr:row>
          <xdr:rowOff>0</xdr:rowOff>
        </xdr:from>
        <xdr:to>
          <xdr:col>3</xdr:col>
          <xdr:colOff>1733550</xdr:colOff>
          <xdr:row>208</xdr:row>
          <xdr:rowOff>19050</xdr:rowOff>
        </xdr:to>
        <xdr:sp macro="" textlink="">
          <xdr:nvSpPr>
            <xdr:cNvPr id="277667" name="Check Box 163" hidden="1">
              <a:extLst>
                <a:ext uri="{63B3BB69-23CF-44E3-9099-C40C66FF867C}">
                  <a14:compatExt spid="_x0000_s277667"/>
                </a:ext>
                <a:ext uri="{FF2B5EF4-FFF2-40B4-BE49-F238E27FC236}">
                  <a16:creationId xmlns:a16="http://schemas.microsoft.com/office/drawing/2014/main" id="{00000000-0008-0000-0600-0000A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103</xdr:row>
          <xdr:rowOff>19050</xdr:rowOff>
        </xdr:from>
        <xdr:to>
          <xdr:col>2</xdr:col>
          <xdr:colOff>914400</xdr:colOff>
          <xdr:row>104</xdr:row>
          <xdr:rowOff>38100</xdr:rowOff>
        </xdr:to>
        <xdr:sp macro="" textlink="">
          <xdr:nvSpPr>
            <xdr:cNvPr id="277668" name="Check Box 164" hidden="1">
              <a:extLst>
                <a:ext uri="{63B3BB69-23CF-44E3-9099-C40C66FF867C}">
                  <a14:compatExt spid="_x0000_s277668"/>
                </a:ext>
                <a:ext uri="{FF2B5EF4-FFF2-40B4-BE49-F238E27FC236}">
                  <a16:creationId xmlns:a16="http://schemas.microsoft.com/office/drawing/2014/main" id="{00000000-0008-0000-0600-0000A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104</xdr:row>
          <xdr:rowOff>19050</xdr:rowOff>
        </xdr:from>
        <xdr:to>
          <xdr:col>2</xdr:col>
          <xdr:colOff>914400</xdr:colOff>
          <xdr:row>105</xdr:row>
          <xdr:rowOff>38100</xdr:rowOff>
        </xdr:to>
        <xdr:sp macro="" textlink="">
          <xdr:nvSpPr>
            <xdr:cNvPr id="277669" name="Check Box 165" hidden="1">
              <a:extLst>
                <a:ext uri="{63B3BB69-23CF-44E3-9099-C40C66FF867C}">
                  <a14:compatExt spid="_x0000_s277669"/>
                </a:ext>
                <a:ext uri="{FF2B5EF4-FFF2-40B4-BE49-F238E27FC236}">
                  <a16:creationId xmlns:a16="http://schemas.microsoft.com/office/drawing/2014/main" id="{00000000-0008-0000-0600-0000A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4" name="Check Box 170" hidden="1">
              <a:extLst>
                <a:ext uri="{63B3BB69-23CF-44E3-9099-C40C66FF867C}">
                  <a14:compatExt spid="_x0000_s277674"/>
                </a:ext>
                <a:ext uri="{FF2B5EF4-FFF2-40B4-BE49-F238E27FC236}">
                  <a16:creationId xmlns:a16="http://schemas.microsoft.com/office/drawing/2014/main" id="{00000000-0008-0000-0600-0000A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5" name="Check Box 171" hidden="1">
              <a:extLst>
                <a:ext uri="{63B3BB69-23CF-44E3-9099-C40C66FF867C}">
                  <a14:compatExt spid="_x0000_s277675"/>
                </a:ext>
                <a:ext uri="{FF2B5EF4-FFF2-40B4-BE49-F238E27FC236}">
                  <a16:creationId xmlns:a16="http://schemas.microsoft.com/office/drawing/2014/main" id="{00000000-0008-0000-0600-0000A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6" name="Check Box 172" hidden="1">
              <a:extLst>
                <a:ext uri="{63B3BB69-23CF-44E3-9099-C40C66FF867C}">
                  <a14:compatExt spid="_x0000_s277676"/>
                </a:ext>
                <a:ext uri="{FF2B5EF4-FFF2-40B4-BE49-F238E27FC236}">
                  <a16:creationId xmlns:a16="http://schemas.microsoft.com/office/drawing/2014/main" id="{00000000-0008-0000-0600-0000A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38100</xdr:rowOff>
        </xdr:to>
        <xdr:sp macro="" textlink="">
          <xdr:nvSpPr>
            <xdr:cNvPr id="277677" name="Check Box 173" hidden="1">
              <a:extLst>
                <a:ext uri="{63B3BB69-23CF-44E3-9099-C40C66FF867C}">
                  <a14:compatExt spid="_x0000_s277677"/>
                </a:ext>
                <a:ext uri="{FF2B5EF4-FFF2-40B4-BE49-F238E27FC236}">
                  <a16:creationId xmlns:a16="http://schemas.microsoft.com/office/drawing/2014/main" id="{00000000-0008-0000-0600-0000A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78" name="Check Box 174" hidden="1">
              <a:extLst>
                <a:ext uri="{63B3BB69-23CF-44E3-9099-C40C66FF867C}">
                  <a14:compatExt spid="_x0000_s277678"/>
                </a:ext>
                <a:ext uri="{FF2B5EF4-FFF2-40B4-BE49-F238E27FC236}">
                  <a16:creationId xmlns:a16="http://schemas.microsoft.com/office/drawing/2014/main" id="{00000000-0008-0000-0600-0000A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9" name="Check Box 175" hidden="1">
              <a:extLst>
                <a:ext uri="{63B3BB69-23CF-44E3-9099-C40C66FF867C}">
                  <a14:compatExt spid="_x0000_s277679"/>
                </a:ext>
                <a:ext uri="{FF2B5EF4-FFF2-40B4-BE49-F238E27FC236}">
                  <a16:creationId xmlns:a16="http://schemas.microsoft.com/office/drawing/2014/main" id="{00000000-0008-0000-0600-0000A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80" name="Check Box 176" hidden="1">
              <a:extLst>
                <a:ext uri="{63B3BB69-23CF-44E3-9099-C40C66FF867C}">
                  <a14:compatExt spid="_x0000_s277680"/>
                </a:ext>
                <a:ext uri="{FF2B5EF4-FFF2-40B4-BE49-F238E27FC236}">
                  <a16:creationId xmlns:a16="http://schemas.microsoft.com/office/drawing/2014/main" id="{00000000-0008-0000-0600-0000B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38100</xdr:rowOff>
        </xdr:to>
        <xdr:sp macro="" textlink="">
          <xdr:nvSpPr>
            <xdr:cNvPr id="277681" name="Check Box 177" hidden="1">
              <a:extLst>
                <a:ext uri="{63B3BB69-23CF-44E3-9099-C40C66FF867C}">
                  <a14:compatExt spid="_x0000_s277681"/>
                </a:ext>
                <a:ext uri="{FF2B5EF4-FFF2-40B4-BE49-F238E27FC236}">
                  <a16:creationId xmlns:a16="http://schemas.microsoft.com/office/drawing/2014/main" id="{00000000-0008-0000-0600-0000B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82" name="Check Box 178" hidden="1">
              <a:extLst>
                <a:ext uri="{63B3BB69-23CF-44E3-9099-C40C66FF867C}">
                  <a14:compatExt spid="_x0000_s277682"/>
                </a:ext>
                <a:ext uri="{FF2B5EF4-FFF2-40B4-BE49-F238E27FC236}">
                  <a16:creationId xmlns:a16="http://schemas.microsoft.com/office/drawing/2014/main" id="{00000000-0008-0000-0600-0000B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83" name="Check Box 179" hidden="1">
              <a:extLst>
                <a:ext uri="{63B3BB69-23CF-44E3-9099-C40C66FF867C}">
                  <a14:compatExt spid="_x0000_s277683"/>
                </a:ext>
                <a:ext uri="{FF2B5EF4-FFF2-40B4-BE49-F238E27FC236}">
                  <a16:creationId xmlns:a16="http://schemas.microsoft.com/office/drawing/2014/main" id="{00000000-0008-0000-0600-0000B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84" name="Check Box 180" hidden="1">
              <a:extLst>
                <a:ext uri="{63B3BB69-23CF-44E3-9099-C40C66FF867C}">
                  <a14:compatExt spid="_x0000_s277684"/>
                </a:ext>
                <a:ext uri="{FF2B5EF4-FFF2-40B4-BE49-F238E27FC236}">
                  <a16:creationId xmlns:a16="http://schemas.microsoft.com/office/drawing/2014/main" id="{00000000-0008-0000-0600-0000B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38100</xdr:rowOff>
        </xdr:to>
        <xdr:sp macro="" textlink="">
          <xdr:nvSpPr>
            <xdr:cNvPr id="277685" name="Check Box 181" hidden="1">
              <a:extLst>
                <a:ext uri="{63B3BB69-23CF-44E3-9099-C40C66FF867C}">
                  <a14:compatExt spid="_x0000_s277685"/>
                </a:ext>
                <a:ext uri="{FF2B5EF4-FFF2-40B4-BE49-F238E27FC236}">
                  <a16:creationId xmlns:a16="http://schemas.microsoft.com/office/drawing/2014/main" id="{00000000-0008-0000-0600-0000B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7</xdr:col>
          <xdr:colOff>171450</xdr:colOff>
          <xdr:row>8</xdr:row>
          <xdr:rowOff>133350</xdr:rowOff>
        </xdr:from>
        <xdr:to>
          <xdr:col>8</xdr:col>
          <xdr:colOff>57150</xdr:colOff>
          <xdr:row>10</xdr:row>
          <xdr:rowOff>19050</xdr:rowOff>
        </xdr:to>
        <xdr:sp macro="" textlink="">
          <xdr:nvSpPr>
            <xdr:cNvPr id="237579" name="Check Box 11" hidden="1">
              <a:extLst>
                <a:ext uri="{63B3BB69-23CF-44E3-9099-C40C66FF867C}">
                  <a14:compatExt spid="_x0000_s237579"/>
                </a:ext>
                <a:ext uri="{FF2B5EF4-FFF2-40B4-BE49-F238E27FC236}">
                  <a16:creationId xmlns:a16="http://schemas.microsoft.com/office/drawing/2014/main" id="{00000000-0008-0000-0700-00000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171450</xdr:colOff>
          <xdr:row>9</xdr:row>
          <xdr:rowOff>142875</xdr:rowOff>
        </xdr:from>
        <xdr:to>
          <xdr:col>8</xdr:col>
          <xdr:colOff>47625</xdr:colOff>
          <xdr:row>11</xdr:row>
          <xdr:rowOff>19050</xdr:rowOff>
        </xdr:to>
        <xdr:sp macro="" textlink="">
          <xdr:nvSpPr>
            <xdr:cNvPr id="237580" name="Check Box 12" hidden="1">
              <a:extLst>
                <a:ext uri="{63B3BB69-23CF-44E3-9099-C40C66FF867C}">
                  <a14:compatExt spid="_x0000_s237580"/>
                </a:ext>
                <a:ext uri="{FF2B5EF4-FFF2-40B4-BE49-F238E27FC236}">
                  <a16:creationId xmlns:a16="http://schemas.microsoft.com/office/drawing/2014/main" id="{00000000-0008-0000-0700-00000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11</xdr:row>
          <xdr:rowOff>133350</xdr:rowOff>
        </xdr:from>
        <xdr:to>
          <xdr:col>8</xdr:col>
          <xdr:colOff>57150</xdr:colOff>
          <xdr:row>13</xdr:row>
          <xdr:rowOff>19050</xdr:rowOff>
        </xdr:to>
        <xdr:sp macro="" textlink="">
          <xdr:nvSpPr>
            <xdr:cNvPr id="237581" name="Check Box 13" hidden="1">
              <a:extLst>
                <a:ext uri="{63B3BB69-23CF-44E3-9099-C40C66FF867C}">
                  <a14:compatExt spid="_x0000_s237581"/>
                </a:ext>
                <a:ext uri="{FF2B5EF4-FFF2-40B4-BE49-F238E27FC236}">
                  <a16:creationId xmlns:a16="http://schemas.microsoft.com/office/drawing/2014/main" id="{00000000-0008-0000-0700-00000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14</xdr:row>
          <xdr:rowOff>133350</xdr:rowOff>
        </xdr:from>
        <xdr:to>
          <xdr:col>8</xdr:col>
          <xdr:colOff>57150</xdr:colOff>
          <xdr:row>16</xdr:row>
          <xdr:rowOff>19050</xdr:rowOff>
        </xdr:to>
        <xdr:sp macro="" textlink="">
          <xdr:nvSpPr>
            <xdr:cNvPr id="237582" name="Check Box 14" hidden="1">
              <a:extLst>
                <a:ext uri="{63B3BB69-23CF-44E3-9099-C40C66FF867C}">
                  <a14:compatExt spid="_x0000_s237582"/>
                </a:ext>
                <a:ext uri="{FF2B5EF4-FFF2-40B4-BE49-F238E27FC236}">
                  <a16:creationId xmlns:a16="http://schemas.microsoft.com/office/drawing/2014/main" id="{00000000-0008-0000-0700-00000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15</xdr:row>
          <xdr:rowOff>133350</xdr:rowOff>
        </xdr:from>
        <xdr:to>
          <xdr:col>8</xdr:col>
          <xdr:colOff>57150</xdr:colOff>
          <xdr:row>17</xdr:row>
          <xdr:rowOff>19050</xdr:rowOff>
        </xdr:to>
        <xdr:sp macro="" textlink="">
          <xdr:nvSpPr>
            <xdr:cNvPr id="237583" name="Check Box 15" hidden="1">
              <a:extLst>
                <a:ext uri="{63B3BB69-23CF-44E3-9099-C40C66FF867C}">
                  <a14:compatExt spid="_x0000_s237583"/>
                </a:ext>
                <a:ext uri="{FF2B5EF4-FFF2-40B4-BE49-F238E27FC236}">
                  <a16:creationId xmlns:a16="http://schemas.microsoft.com/office/drawing/2014/main" id="{00000000-0008-0000-0700-00000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16</xdr:row>
          <xdr:rowOff>133350</xdr:rowOff>
        </xdr:from>
        <xdr:to>
          <xdr:col>8</xdr:col>
          <xdr:colOff>57150</xdr:colOff>
          <xdr:row>18</xdr:row>
          <xdr:rowOff>19050</xdr:rowOff>
        </xdr:to>
        <xdr:sp macro="" textlink="">
          <xdr:nvSpPr>
            <xdr:cNvPr id="237584" name="Check Box 16" hidden="1">
              <a:extLst>
                <a:ext uri="{63B3BB69-23CF-44E3-9099-C40C66FF867C}">
                  <a14:compatExt spid="_x0000_s237584"/>
                </a:ext>
                <a:ext uri="{FF2B5EF4-FFF2-40B4-BE49-F238E27FC236}">
                  <a16:creationId xmlns:a16="http://schemas.microsoft.com/office/drawing/2014/main" id="{00000000-0008-0000-0700-00001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17</xdr:row>
          <xdr:rowOff>133350</xdr:rowOff>
        </xdr:from>
        <xdr:to>
          <xdr:col>8</xdr:col>
          <xdr:colOff>57150</xdr:colOff>
          <xdr:row>19</xdr:row>
          <xdr:rowOff>19050</xdr:rowOff>
        </xdr:to>
        <xdr:sp macro="" textlink="">
          <xdr:nvSpPr>
            <xdr:cNvPr id="237585" name="Check Box 17" hidden="1">
              <a:extLst>
                <a:ext uri="{63B3BB69-23CF-44E3-9099-C40C66FF867C}">
                  <a14:compatExt spid="_x0000_s237585"/>
                </a:ext>
                <a:ext uri="{FF2B5EF4-FFF2-40B4-BE49-F238E27FC236}">
                  <a16:creationId xmlns:a16="http://schemas.microsoft.com/office/drawing/2014/main" id="{00000000-0008-0000-0700-00001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18</xdr:row>
          <xdr:rowOff>133350</xdr:rowOff>
        </xdr:from>
        <xdr:to>
          <xdr:col>8</xdr:col>
          <xdr:colOff>57150</xdr:colOff>
          <xdr:row>20</xdr:row>
          <xdr:rowOff>19050</xdr:rowOff>
        </xdr:to>
        <xdr:sp macro="" textlink="">
          <xdr:nvSpPr>
            <xdr:cNvPr id="237586" name="Check Box 18" hidden="1">
              <a:extLst>
                <a:ext uri="{63B3BB69-23CF-44E3-9099-C40C66FF867C}">
                  <a14:compatExt spid="_x0000_s237586"/>
                </a:ext>
                <a:ext uri="{FF2B5EF4-FFF2-40B4-BE49-F238E27FC236}">
                  <a16:creationId xmlns:a16="http://schemas.microsoft.com/office/drawing/2014/main" id="{00000000-0008-0000-0700-00001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19</xdr:row>
          <xdr:rowOff>133350</xdr:rowOff>
        </xdr:from>
        <xdr:to>
          <xdr:col>8</xdr:col>
          <xdr:colOff>57150</xdr:colOff>
          <xdr:row>21</xdr:row>
          <xdr:rowOff>19050</xdr:rowOff>
        </xdr:to>
        <xdr:sp macro="" textlink="">
          <xdr:nvSpPr>
            <xdr:cNvPr id="237587" name="Check Box 19" hidden="1">
              <a:extLst>
                <a:ext uri="{63B3BB69-23CF-44E3-9099-C40C66FF867C}">
                  <a14:compatExt spid="_x0000_s237587"/>
                </a:ext>
                <a:ext uri="{FF2B5EF4-FFF2-40B4-BE49-F238E27FC236}">
                  <a16:creationId xmlns:a16="http://schemas.microsoft.com/office/drawing/2014/main" id="{00000000-0008-0000-0700-00001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20</xdr:row>
          <xdr:rowOff>133350</xdr:rowOff>
        </xdr:from>
        <xdr:to>
          <xdr:col>8</xdr:col>
          <xdr:colOff>57150</xdr:colOff>
          <xdr:row>22</xdr:row>
          <xdr:rowOff>19050</xdr:rowOff>
        </xdr:to>
        <xdr:sp macro="" textlink="">
          <xdr:nvSpPr>
            <xdr:cNvPr id="237588" name="Check Box 20" hidden="1">
              <a:extLst>
                <a:ext uri="{63B3BB69-23CF-44E3-9099-C40C66FF867C}">
                  <a14:compatExt spid="_x0000_s237588"/>
                </a:ext>
                <a:ext uri="{FF2B5EF4-FFF2-40B4-BE49-F238E27FC236}">
                  <a16:creationId xmlns:a16="http://schemas.microsoft.com/office/drawing/2014/main" id="{00000000-0008-0000-0700-00001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21</xdr:row>
          <xdr:rowOff>133350</xdr:rowOff>
        </xdr:from>
        <xdr:to>
          <xdr:col>8</xdr:col>
          <xdr:colOff>57150</xdr:colOff>
          <xdr:row>23</xdr:row>
          <xdr:rowOff>19050</xdr:rowOff>
        </xdr:to>
        <xdr:sp macro="" textlink="">
          <xdr:nvSpPr>
            <xdr:cNvPr id="237589" name="Check Box 21" hidden="1">
              <a:extLst>
                <a:ext uri="{63B3BB69-23CF-44E3-9099-C40C66FF867C}">
                  <a14:compatExt spid="_x0000_s237589"/>
                </a:ext>
                <a:ext uri="{FF2B5EF4-FFF2-40B4-BE49-F238E27FC236}">
                  <a16:creationId xmlns:a16="http://schemas.microsoft.com/office/drawing/2014/main" id="{00000000-0008-0000-0700-00001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22</xdr:row>
          <xdr:rowOff>133350</xdr:rowOff>
        </xdr:from>
        <xdr:to>
          <xdr:col>8</xdr:col>
          <xdr:colOff>57150</xdr:colOff>
          <xdr:row>24</xdr:row>
          <xdr:rowOff>19050</xdr:rowOff>
        </xdr:to>
        <xdr:sp macro="" textlink="">
          <xdr:nvSpPr>
            <xdr:cNvPr id="237590" name="Check Box 22" hidden="1">
              <a:extLst>
                <a:ext uri="{63B3BB69-23CF-44E3-9099-C40C66FF867C}">
                  <a14:compatExt spid="_x0000_s237590"/>
                </a:ext>
                <a:ext uri="{FF2B5EF4-FFF2-40B4-BE49-F238E27FC236}">
                  <a16:creationId xmlns:a16="http://schemas.microsoft.com/office/drawing/2014/main" id="{00000000-0008-0000-0700-00001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23</xdr:row>
          <xdr:rowOff>133350</xdr:rowOff>
        </xdr:from>
        <xdr:to>
          <xdr:col>8</xdr:col>
          <xdr:colOff>57150</xdr:colOff>
          <xdr:row>25</xdr:row>
          <xdr:rowOff>19050</xdr:rowOff>
        </xdr:to>
        <xdr:sp macro="" textlink="">
          <xdr:nvSpPr>
            <xdr:cNvPr id="237591" name="Check Box 23" hidden="1">
              <a:extLst>
                <a:ext uri="{63B3BB69-23CF-44E3-9099-C40C66FF867C}">
                  <a14:compatExt spid="_x0000_s237591"/>
                </a:ext>
                <a:ext uri="{FF2B5EF4-FFF2-40B4-BE49-F238E27FC236}">
                  <a16:creationId xmlns:a16="http://schemas.microsoft.com/office/drawing/2014/main" id="{00000000-0008-0000-0700-00001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27</xdr:row>
          <xdr:rowOff>133350</xdr:rowOff>
        </xdr:from>
        <xdr:to>
          <xdr:col>8</xdr:col>
          <xdr:colOff>57150</xdr:colOff>
          <xdr:row>29</xdr:row>
          <xdr:rowOff>19050</xdr:rowOff>
        </xdr:to>
        <xdr:sp macro="" textlink="">
          <xdr:nvSpPr>
            <xdr:cNvPr id="237592" name="Check Box 24" hidden="1">
              <a:extLst>
                <a:ext uri="{63B3BB69-23CF-44E3-9099-C40C66FF867C}">
                  <a14:compatExt spid="_x0000_s237592"/>
                </a:ext>
                <a:ext uri="{FF2B5EF4-FFF2-40B4-BE49-F238E27FC236}">
                  <a16:creationId xmlns:a16="http://schemas.microsoft.com/office/drawing/2014/main" id="{00000000-0008-0000-0700-000018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28</xdr:row>
          <xdr:rowOff>133350</xdr:rowOff>
        </xdr:from>
        <xdr:to>
          <xdr:col>8</xdr:col>
          <xdr:colOff>57150</xdr:colOff>
          <xdr:row>30</xdr:row>
          <xdr:rowOff>19050</xdr:rowOff>
        </xdr:to>
        <xdr:sp macro="" textlink="">
          <xdr:nvSpPr>
            <xdr:cNvPr id="237593" name="Check Box 25" hidden="1">
              <a:extLst>
                <a:ext uri="{63B3BB69-23CF-44E3-9099-C40C66FF867C}">
                  <a14:compatExt spid="_x0000_s237593"/>
                </a:ext>
                <a:ext uri="{FF2B5EF4-FFF2-40B4-BE49-F238E27FC236}">
                  <a16:creationId xmlns:a16="http://schemas.microsoft.com/office/drawing/2014/main" id="{00000000-0008-0000-0700-000019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30</xdr:row>
          <xdr:rowOff>133350</xdr:rowOff>
        </xdr:from>
        <xdr:to>
          <xdr:col>8</xdr:col>
          <xdr:colOff>57150</xdr:colOff>
          <xdr:row>32</xdr:row>
          <xdr:rowOff>19050</xdr:rowOff>
        </xdr:to>
        <xdr:sp macro="" textlink="">
          <xdr:nvSpPr>
            <xdr:cNvPr id="237594" name="Check Box 26" hidden="1">
              <a:extLst>
                <a:ext uri="{63B3BB69-23CF-44E3-9099-C40C66FF867C}">
                  <a14:compatExt spid="_x0000_s237594"/>
                </a:ext>
                <a:ext uri="{FF2B5EF4-FFF2-40B4-BE49-F238E27FC236}">
                  <a16:creationId xmlns:a16="http://schemas.microsoft.com/office/drawing/2014/main" id="{00000000-0008-0000-0700-00001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31</xdr:row>
          <xdr:rowOff>133350</xdr:rowOff>
        </xdr:from>
        <xdr:to>
          <xdr:col>8</xdr:col>
          <xdr:colOff>57150</xdr:colOff>
          <xdr:row>33</xdr:row>
          <xdr:rowOff>0</xdr:rowOff>
        </xdr:to>
        <xdr:sp macro="" textlink="">
          <xdr:nvSpPr>
            <xdr:cNvPr id="237595" name="Check Box 27" hidden="1">
              <a:extLst>
                <a:ext uri="{63B3BB69-23CF-44E3-9099-C40C66FF867C}">
                  <a14:compatExt spid="_x0000_s237595"/>
                </a:ext>
                <a:ext uri="{FF2B5EF4-FFF2-40B4-BE49-F238E27FC236}">
                  <a16:creationId xmlns:a16="http://schemas.microsoft.com/office/drawing/2014/main" id="{00000000-0008-0000-0700-00001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32</xdr:row>
          <xdr:rowOff>133350</xdr:rowOff>
        </xdr:from>
        <xdr:to>
          <xdr:col>8</xdr:col>
          <xdr:colOff>57150</xdr:colOff>
          <xdr:row>34</xdr:row>
          <xdr:rowOff>0</xdr:rowOff>
        </xdr:to>
        <xdr:sp macro="" textlink="">
          <xdr:nvSpPr>
            <xdr:cNvPr id="237596" name="Check Box 28" hidden="1">
              <a:extLst>
                <a:ext uri="{63B3BB69-23CF-44E3-9099-C40C66FF867C}">
                  <a14:compatExt spid="_x0000_s237596"/>
                </a:ext>
                <a:ext uri="{FF2B5EF4-FFF2-40B4-BE49-F238E27FC236}">
                  <a16:creationId xmlns:a16="http://schemas.microsoft.com/office/drawing/2014/main" id="{00000000-0008-0000-0700-00001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33</xdr:row>
          <xdr:rowOff>133350</xdr:rowOff>
        </xdr:from>
        <xdr:to>
          <xdr:col>8</xdr:col>
          <xdr:colOff>57150</xdr:colOff>
          <xdr:row>35</xdr:row>
          <xdr:rowOff>19050</xdr:rowOff>
        </xdr:to>
        <xdr:sp macro="" textlink="">
          <xdr:nvSpPr>
            <xdr:cNvPr id="237597" name="Check Box 29" hidden="1">
              <a:extLst>
                <a:ext uri="{63B3BB69-23CF-44E3-9099-C40C66FF867C}">
                  <a14:compatExt spid="_x0000_s237597"/>
                </a:ext>
                <a:ext uri="{FF2B5EF4-FFF2-40B4-BE49-F238E27FC236}">
                  <a16:creationId xmlns:a16="http://schemas.microsoft.com/office/drawing/2014/main" id="{00000000-0008-0000-0700-00001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35</xdr:row>
          <xdr:rowOff>133350</xdr:rowOff>
        </xdr:from>
        <xdr:to>
          <xdr:col>8</xdr:col>
          <xdr:colOff>57150</xdr:colOff>
          <xdr:row>37</xdr:row>
          <xdr:rowOff>19050</xdr:rowOff>
        </xdr:to>
        <xdr:sp macro="" textlink="">
          <xdr:nvSpPr>
            <xdr:cNvPr id="237598" name="Check Box 30" hidden="1">
              <a:extLst>
                <a:ext uri="{63B3BB69-23CF-44E3-9099-C40C66FF867C}">
                  <a14:compatExt spid="_x0000_s237598"/>
                </a:ext>
                <a:ext uri="{FF2B5EF4-FFF2-40B4-BE49-F238E27FC236}">
                  <a16:creationId xmlns:a16="http://schemas.microsoft.com/office/drawing/2014/main" id="{00000000-0008-0000-0700-00001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36</xdr:row>
          <xdr:rowOff>133350</xdr:rowOff>
        </xdr:from>
        <xdr:to>
          <xdr:col>8</xdr:col>
          <xdr:colOff>57150</xdr:colOff>
          <xdr:row>38</xdr:row>
          <xdr:rowOff>19050</xdr:rowOff>
        </xdr:to>
        <xdr:sp macro="" textlink="">
          <xdr:nvSpPr>
            <xdr:cNvPr id="237599" name="Check Box 31" hidden="1">
              <a:extLst>
                <a:ext uri="{63B3BB69-23CF-44E3-9099-C40C66FF867C}">
                  <a14:compatExt spid="_x0000_s237599"/>
                </a:ext>
                <a:ext uri="{FF2B5EF4-FFF2-40B4-BE49-F238E27FC236}">
                  <a16:creationId xmlns:a16="http://schemas.microsoft.com/office/drawing/2014/main" id="{00000000-0008-0000-0700-00001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37</xdr:row>
          <xdr:rowOff>133350</xdr:rowOff>
        </xdr:from>
        <xdr:to>
          <xdr:col>8</xdr:col>
          <xdr:colOff>57150</xdr:colOff>
          <xdr:row>39</xdr:row>
          <xdr:rowOff>19050</xdr:rowOff>
        </xdr:to>
        <xdr:sp macro="" textlink="">
          <xdr:nvSpPr>
            <xdr:cNvPr id="237600" name="Check Box 32" hidden="1">
              <a:extLst>
                <a:ext uri="{63B3BB69-23CF-44E3-9099-C40C66FF867C}">
                  <a14:compatExt spid="_x0000_s237600"/>
                </a:ext>
                <a:ext uri="{FF2B5EF4-FFF2-40B4-BE49-F238E27FC236}">
                  <a16:creationId xmlns:a16="http://schemas.microsoft.com/office/drawing/2014/main" id="{00000000-0008-0000-0700-00002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38</xdr:row>
          <xdr:rowOff>133350</xdr:rowOff>
        </xdr:from>
        <xdr:to>
          <xdr:col>8</xdr:col>
          <xdr:colOff>57150</xdr:colOff>
          <xdr:row>40</xdr:row>
          <xdr:rowOff>19050</xdr:rowOff>
        </xdr:to>
        <xdr:sp macro="" textlink="">
          <xdr:nvSpPr>
            <xdr:cNvPr id="237601" name="Check Box 33" hidden="1">
              <a:extLst>
                <a:ext uri="{63B3BB69-23CF-44E3-9099-C40C66FF867C}">
                  <a14:compatExt spid="_x0000_s237601"/>
                </a:ext>
                <a:ext uri="{FF2B5EF4-FFF2-40B4-BE49-F238E27FC236}">
                  <a16:creationId xmlns:a16="http://schemas.microsoft.com/office/drawing/2014/main" id="{00000000-0008-0000-0700-00002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49</xdr:row>
          <xdr:rowOff>133350</xdr:rowOff>
        </xdr:from>
        <xdr:to>
          <xdr:col>8</xdr:col>
          <xdr:colOff>57150</xdr:colOff>
          <xdr:row>51</xdr:row>
          <xdr:rowOff>19050</xdr:rowOff>
        </xdr:to>
        <xdr:sp macro="" textlink="">
          <xdr:nvSpPr>
            <xdr:cNvPr id="237602" name="Check Box 34" hidden="1">
              <a:extLst>
                <a:ext uri="{63B3BB69-23CF-44E3-9099-C40C66FF867C}">
                  <a14:compatExt spid="_x0000_s237602"/>
                </a:ext>
                <a:ext uri="{FF2B5EF4-FFF2-40B4-BE49-F238E27FC236}">
                  <a16:creationId xmlns:a16="http://schemas.microsoft.com/office/drawing/2014/main" id="{00000000-0008-0000-0700-00002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51</xdr:row>
          <xdr:rowOff>133350</xdr:rowOff>
        </xdr:from>
        <xdr:to>
          <xdr:col>8</xdr:col>
          <xdr:colOff>57150</xdr:colOff>
          <xdr:row>53</xdr:row>
          <xdr:rowOff>19050</xdr:rowOff>
        </xdr:to>
        <xdr:sp macro="" textlink="">
          <xdr:nvSpPr>
            <xdr:cNvPr id="237603" name="Check Box 35" hidden="1">
              <a:extLst>
                <a:ext uri="{63B3BB69-23CF-44E3-9099-C40C66FF867C}">
                  <a14:compatExt spid="_x0000_s237603"/>
                </a:ext>
                <a:ext uri="{FF2B5EF4-FFF2-40B4-BE49-F238E27FC236}">
                  <a16:creationId xmlns:a16="http://schemas.microsoft.com/office/drawing/2014/main" id="{00000000-0008-0000-0700-00002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42</xdr:row>
          <xdr:rowOff>133350</xdr:rowOff>
        </xdr:from>
        <xdr:to>
          <xdr:col>8</xdr:col>
          <xdr:colOff>57150</xdr:colOff>
          <xdr:row>44</xdr:row>
          <xdr:rowOff>19050</xdr:rowOff>
        </xdr:to>
        <xdr:sp macro="" textlink="">
          <xdr:nvSpPr>
            <xdr:cNvPr id="237604" name="Check Box 36" hidden="1">
              <a:extLst>
                <a:ext uri="{63B3BB69-23CF-44E3-9099-C40C66FF867C}">
                  <a14:compatExt spid="_x0000_s237604"/>
                </a:ext>
                <a:ext uri="{FF2B5EF4-FFF2-40B4-BE49-F238E27FC236}">
                  <a16:creationId xmlns:a16="http://schemas.microsoft.com/office/drawing/2014/main" id="{00000000-0008-0000-0700-00002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43</xdr:row>
          <xdr:rowOff>133350</xdr:rowOff>
        </xdr:from>
        <xdr:to>
          <xdr:col>8</xdr:col>
          <xdr:colOff>57150</xdr:colOff>
          <xdr:row>45</xdr:row>
          <xdr:rowOff>19050</xdr:rowOff>
        </xdr:to>
        <xdr:sp macro="" textlink="">
          <xdr:nvSpPr>
            <xdr:cNvPr id="237605" name="Check Box 37" hidden="1">
              <a:extLst>
                <a:ext uri="{63B3BB69-23CF-44E3-9099-C40C66FF867C}">
                  <a14:compatExt spid="_x0000_s237605"/>
                </a:ext>
                <a:ext uri="{FF2B5EF4-FFF2-40B4-BE49-F238E27FC236}">
                  <a16:creationId xmlns:a16="http://schemas.microsoft.com/office/drawing/2014/main" id="{00000000-0008-0000-0700-00002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44</xdr:row>
          <xdr:rowOff>133350</xdr:rowOff>
        </xdr:from>
        <xdr:to>
          <xdr:col>8</xdr:col>
          <xdr:colOff>57150</xdr:colOff>
          <xdr:row>46</xdr:row>
          <xdr:rowOff>19050</xdr:rowOff>
        </xdr:to>
        <xdr:sp macro="" textlink="">
          <xdr:nvSpPr>
            <xdr:cNvPr id="237606" name="Check Box 38" hidden="1">
              <a:extLst>
                <a:ext uri="{63B3BB69-23CF-44E3-9099-C40C66FF867C}">
                  <a14:compatExt spid="_x0000_s237606"/>
                </a:ext>
                <a:ext uri="{FF2B5EF4-FFF2-40B4-BE49-F238E27FC236}">
                  <a16:creationId xmlns:a16="http://schemas.microsoft.com/office/drawing/2014/main" id="{00000000-0008-0000-0700-00002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55</xdr:row>
          <xdr:rowOff>133350</xdr:rowOff>
        </xdr:from>
        <xdr:to>
          <xdr:col>8</xdr:col>
          <xdr:colOff>57150</xdr:colOff>
          <xdr:row>57</xdr:row>
          <xdr:rowOff>19050</xdr:rowOff>
        </xdr:to>
        <xdr:sp macro="" textlink="">
          <xdr:nvSpPr>
            <xdr:cNvPr id="237610" name="Check Box 42" hidden="1">
              <a:extLst>
                <a:ext uri="{63B3BB69-23CF-44E3-9099-C40C66FF867C}">
                  <a14:compatExt spid="_x0000_s237610"/>
                </a:ext>
                <a:ext uri="{FF2B5EF4-FFF2-40B4-BE49-F238E27FC236}">
                  <a16:creationId xmlns:a16="http://schemas.microsoft.com/office/drawing/2014/main" id="{00000000-0008-0000-0700-00002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56</xdr:row>
          <xdr:rowOff>133350</xdr:rowOff>
        </xdr:from>
        <xdr:to>
          <xdr:col>8</xdr:col>
          <xdr:colOff>57150</xdr:colOff>
          <xdr:row>58</xdr:row>
          <xdr:rowOff>19050</xdr:rowOff>
        </xdr:to>
        <xdr:sp macro="" textlink="">
          <xdr:nvSpPr>
            <xdr:cNvPr id="237611" name="Check Box 43" hidden="1">
              <a:extLst>
                <a:ext uri="{63B3BB69-23CF-44E3-9099-C40C66FF867C}">
                  <a14:compatExt spid="_x0000_s237611"/>
                </a:ext>
                <a:ext uri="{FF2B5EF4-FFF2-40B4-BE49-F238E27FC236}">
                  <a16:creationId xmlns:a16="http://schemas.microsoft.com/office/drawing/2014/main" id="{00000000-0008-0000-0700-00002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57</xdr:row>
          <xdr:rowOff>133350</xdr:rowOff>
        </xdr:from>
        <xdr:to>
          <xdr:col>8</xdr:col>
          <xdr:colOff>57150</xdr:colOff>
          <xdr:row>59</xdr:row>
          <xdr:rowOff>19050</xdr:rowOff>
        </xdr:to>
        <xdr:sp macro="" textlink="">
          <xdr:nvSpPr>
            <xdr:cNvPr id="237612" name="Check Box 44" hidden="1">
              <a:extLst>
                <a:ext uri="{63B3BB69-23CF-44E3-9099-C40C66FF867C}">
                  <a14:compatExt spid="_x0000_s237612"/>
                </a:ext>
                <a:ext uri="{FF2B5EF4-FFF2-40B4-BE49-F238E27FC236}">
                  <a16:creationId xmlns:a16="http://schemas.microsoft.com/office/drawing/2014/main" id="{00000000-0008-0000-0700-00002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58</xdr:row>
          <xdr:rowOff>133350</xdr:rowOff>
        </xdr:from>
        <xdr:to>
          <xdr:col>8</xdr:col>
          <xdr:colOff>57150</xdr:colOff>
          <xdr:row>60</xdr:row>
          <xdr:rowOff>19050</xdr:rowOff>
        </xdr:to>
        <xdr:sp macro="" textlink="">
          <xdr:nvSpPr>
            <xdr:cNvPr id="237613" name="Check Box 45" hidden="1">
              <a:extLst>
                <a:ext uri="{63B3BB69-23CF-44E3-9099-C40C66FF867C}">
                  <a14:compatExt spid="_x0000_s237613"/>
                </a:ext>
                <a:ext uri="{FF2B5EF4-FFF2-40B4-BE49-F238E27FC236}">
                  <a16:creationId xmlns:a16="http://schemas.microsoft.com/office/drawing/2014/main" id="{00000000-0008-0000-0700-00002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59</xdr:row>
          <xdr:rowOff>133350</xdr:rowOff>
        </xdr:from>
        <xdr:to>
          <xdr:col>8</xdr:col>
          <xdr:colOff>57150</xdr:colOff>
          <xdr:row>61</xdr:row>
          <xdr:rowOff>19050</xdr:rowOff>
        </xdr:to>
        <xdr:sp macro="" textlink="">
          <xdr:nvSpPr>
            <xdr:cNvPr id="237614" name="Check Box 46" hidden="1">
              <a:extLst>
                <a:ext uri="{63B3BB69-23CF-44E3-9099-C40C66FF867C}">
                  <a14:compatExt spid="_x0000_s237614"/>
                </a:ext>
                <a:ext uri="{FF2B5EF4-FFF2-40B4-BE49-F238E27FC236}">
                  <a16:creationId xmlns:a16="http://schemas.microsoft.com/office/drawing/2014/main" id="{00000000-0008-0000-0700-00002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61</xdr:row>
          <xdr:rowOff>133350</xdr:rowOff>
        </xdr:from>
        <xdr:to>
          <xdr:col>8</xdr:col>
          <xdr:colOff>57150</xdr:colOff>
          <xdr:row>63</xdr:row>
          <xdr:rowOff>19050</xdr:rowOff>
        </xdr:to>
        <xdr:sp macro="" textlink="">
          <xdr:nvSpPr>
            <xdr:cNvPr id="237615" name="Check Box 47" hidden="1">
              <a:extLst>
                <a:ext uri="{63B3BB69-23CF-44E3-9099-C40C66FF867C}">
                  <a14:compatExt spid="_x0000_s237615"/>
                </a:ext>
                <a:ext uri="{FF2B5EF4-FFF2-40B4-BE49-F238E27FC236}">
                  <a16:creationId xmlns:a16="http://schemas.microsoft.com/office/drawing/2014/main" id="{00000000-0008-0000-0700-00002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62</xdr:row>
          <xdr:rowOff>133350</xdr:rowOff>
        </xdr:from>
        <xdr:to>
          <xdr:col>8</xdr:col>
          <xdr:colOff>57150</xdr:colOff>
          <xdr:row>64</xdr:row>
          <xdr:rowOff>19050</xdr:rowOff>
        </xdr:to>
        <xdr:sp macro="" textlink="">
          <xdr:nvSpPr>
            <xdr:cNvPr id="237617" name="Check Box 49" hidden="1">
              <a:extLst>
                <a:ext uri="{63B3BB69-23CF-44E3-9099-C40C66FF867C}">
                  <a14:compatExt spid="_x0000_s237617"/>
                </a:ext>
                <a:ext uri="{FF2B5EF4-FFF2-40B4-BE49-F238E27FC236}">
                  <a16:creationId xmlns:a16="http://schemas.microsoft.com/office/drawing/2014/main" id="{00000000-0008-0000-0700-00003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63</xdr:row>
          <xdr:rowOff>133350</xdr:rowOff>
        </xdr:from>
        <xdr:to>
          <xdr:col>8</xdr:col>
          <xdr:colOff>57150</xdr:colOff>
          <xdr:row>65</xdr:row>
          <xdr:rowOff>19050</xdr:rowOff>
        </xdr:to>
        <xdr:sp macro="" textlink="">
          <xdr:nvSpPr>
            <xdr:cNvPr id="237618" name="Check Box 50" hidden="1">
              <a:extLst>
                <a:ext uri="{63B3BB69-23CF-44E3-9099-C40C66FF867C}">
                  <a14:compatExt spid="_x0000_s237618"/>
                </a:ext>
                <a:ext uri="{FF2B5EF4-FFF2-40B4-BE49-F238E27FC236}">
                  <a16:creationId xmlns:a16="http://schemas.microsoft.com/office/drawing/2014/main" id="{00000000-0008-0000-0700-00003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64</xdr:row>
          <xdr:rowOff>133350</xdr:rowOff>
        </xdr:from>
        <xdr:to>
          <xdr:col>8</xdr:col>
          <xdr:colOff>57150</xdr:colOff>
          <xdr:row>66</xdr:row>
          <xdr:rowOff>19050</xdr:rowOff>
        </xdr:to>
        <xdr:sp macro="" textlink="">
          <xdr:nvSpPr>
            <xdr:cNvPr id="237619" name="Check Box 51" hidden="1">
              <a:extLst>
                <a:ext uri="{63B3BB69-23CF-44E3-9099-C40C66FF867C}">
                  <a14:compatExt spid="_x0000_s237619"/>
                </a:ext>
                <a:ext uri="{FF2B5EF4-FFF2-40B4-BE49-F238E27FC236}">
                  <a16:creationId xmlns:a16="http://schemas.microsoft.com/office/drawing/2014/main" id="{00000000-0008-0000-0700-00003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65</xdr:row>
          <xdr:rowOff>133350</xdr:rowOff>
        </xdr:from>
        <xdr:to>
          <xdr:col>8</xdr:col>
          <xdr:colOff>57150</xdr:colOff>
          <xdr:row>67</xdr:row>
          <xdr:rowOff>19050</xdr:rowOff>
        </xdr:to>
        <xdr:sp macro="" textlink="">
          <xdr:nvSpPr>
            <xdr:cNvPr id="237620" name="Check Box 52" hidden="1">
              <a:extLst>
                <a:ext uri="{63B3BB69-23CF-44E3-9099-C40C66FF867C}">
                  <a14:compatExt spid="_x0000_s237620"/>
                </a:ext>
                <a:ext uri="{FF2B5EF4-FFF2-40B4-BE49-F238E27FC236}">
                  <a16:creationId xmlns:a16="http://schemas.microsoft.com/office/drawing/2014/main" id="{00000000-0008-0000-0700-00003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66</xdr:row>
          <xdr:rowOff>133350</xdr:rowOff>
        </xdr:from>
        <xdr:to>
          <xdr:col>8</xdr:col>
          <xdr:colOff>57150</xdr:colOff>
          <xdr:row>68</xdr:row>
          <xdr:rowOff>19050</xdr:rowOff>
        </xdr:to>
        <xdr:sp macro="" textlink="">
          <xdr:nvSpPr>
            <xdr:cNvPr id="237622" name="Check Box 54" hidden="1">
              <a:extLst>
                <a:ext uri="{63B3BB69-23CF-44E3-9099-C40C66FF867C}">
                  <a14:compatExt spid="_x0000_s237622"/>
                </a:ext>
                <a:ext uri="{FF2B5EF4-FFF2-40B4-BE49-F238E27FC236}">
                  <a16:creationId xmlns:a16="http://schemas.microsoft.com/office/drawing/2014/main" id="{00000000-0008-0000-0700-00003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190500</xdr:colOff>
          <xdr:row>67</xdr:row>
          <xdr:rowOff>133350</xdr:rowOff>
        </xdr:from>
        <xdr:to>
          <xdr:col>8</xdr:col>
          <xdr:colOff>66675</xdr:colOff>
          <xdr:row>69</xdr:row>
          <xdr:rowOff>19050</xdr:rowOff>
        </xdr:to>
        <xdr:sp macro="" textlink="">
          <xdr:nvSpPr>
            <xdr:cNvPr id="237623" name="Check Box 55" hidden="1">
              <a:extLst>
                <a:ext uri="{63B3BB69-23CF-44E3-9099-C40C66FF867C}">
                  <a14:compatExt spid="_x0000_s237623"/>
                </a:ext>
                <a:ext uri="{FF2B5EF4-FFF2-40B4-BE49-F238E27FC236}">
                  <a16:creationId xmlns:a16="http://schemas.microsoft.com/office/drawing/2014/main" id="{00000000-0008-0000-0700-00003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68</xdr:row>
          <xdr:rowOff>133350</xdr:rowOff>
        </xdr:from>
        <xdr:to>
          <xdr:col>8</xdr:col>
          <xdr:colOff>57150</xdr:colOff>
          <xdr:row>70</xdr:row>
          <xdr:rowOff>19050</xdr:rowOff>
        </xdr:to>
        <xdr:sp macro="" textlink="">
          <xdr:nvSpPr>
            <xdr:cNvPr id="237628" name="Check Box 60" hidden="1">
              <a:extLst>
                <a:ext uri="{63B3BB69-23CF-44E3-9099-C40C66FF867C}">
                  <a14:compatExt spid="_x0000_s237628"/>
                </a:ext>
                <a:ext uri="{FF2B5EF4-FFF2-40B4-BE49-F238E27FC236}">
                  <a16:creationId xmlns:a16="http://schemas.microsoft.com/office/drawing/2014/main" id="{00000000-0008-0000-0700-00003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69</xdr:row>
          <xdr:rowOff>133350</xdr:rowOff>
        </xdr:from>
        <xdr:to>
          <xdr:col>8</xdr:col>
          <xdr:colOff>57150</xdr:colOff>
          <xdr:row>71</xdr:row>
          <xdr:rowOff>19050</xdr:rowOff>
        </xdr:to>
        <xdr:sp macro="" textlink="">
          <xdr:nvSpPr>
            <xdr:cNvPr id="237629" name="Check Box 61" hidden="1">
              <a:extLst>
                <a:ext uri="{63B3BB69-23CF-44E3-9099-C40C66FF867C}">
                  <a14:compatExt spid="_x0000_s237629"/>
                </a:ext>
                <a:ext uri="{FF2B5EF4-FFF2-40B4-BE49-F238E27FC236}">
                  <a16:creationId xmlns:a16="http://schemas.microsoft.com/office/drawing/2014/main" id="{00000000-0008-0000-0700-00003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71</xdr:row>
          <xdr:rowOff>133350</xdr:rowOff>
        </xdr:from>
        <xdr:to>
          <xdr:col>8</xdr:col>
          <xdr:colOff>57150</xdr:colOff>
          <xdr:row>73</xdr:row>
          <xdr:rowOff>19050</xdr:rowOff>
        </xdr:to>
        <xdr:sp macro="" textlink="">
          <xdr:nvSpPr>
            <xdr:cNvPr id="237630" name="Check Box 62" hidden="1">
              <a:extLst>
                <a:ext uri="{63B3BB69-23CF-44E3-9099-C40C66FF867C}">
                  <a14:compatExt spid="_x0000_s237630"/>
                </a:ext>
                <a:ext uri="{FF2B5EF4-FFF2-40B4-BE49-F238E27FC236}">
                  <a16:creationId xmlns:a16="http://schemas.microsoft.com/office/drawing/2014/main" id="{00000000-0008-0000-0700-00003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72</xdr:row>
          <xdr:rowOff>133350</xdr:rowOff>
        </xdr:from>
        <xdr:to>
          <xdr:col>8</xdr:col>
          <xdr:colOff>57150</xdr:colOff>
          <xdr:row>74</xdr:row>
          <xdr:rowOff>19050</xdr:rowOff>
        </xdr:to>
        <xdr:sp macro="" textlink="">
          <xdr:nvSpPr>
            <xdr:cNvPr id="237631" name="Check Box 63" hidden="1">
              <a:extLst>
                <a:ext uri="{63B3BB69-23CF-44E3-9099-C40C66FF867C}">
                  <a14:compatExt spid="_x0000_s237631"/>
                </a:ext>
                <a:ext uri="{FF2B5EF4-FFF2-40B4-BE49-F238E27FC236}">
                  <a16:creationId xmlns:a16="http://schemas.microsoft.com/office/drawing/2014/main" id="{00000000-0008-0000-0700-00003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73</xdr:row>
          <xdr:rowOff>133350</xdr:rowOff>
        </xdr:from>
        <xdr:to>
          <xdr:col>8</xdr:col>
          <xdr:colOff>57150</xdr:colOff>
          <xdr:row>75</xdr:row>
          <xdr:rowOff>19050</xdr:rowOff>
        </xdr:to>
        <xdr:sp macro="" textlink="">
          <xdr:nvSpPr>
            <xdr:cNvPr id="237632" name="Check Box 64" hidden="1">
              <a:extLst>
                <a:ext uri="{63B3BB69-23CF-44E3-9099-C40C66FF867C}">
                  <a14:compatExt spid="_x0000_s237632"/>
                </a:ext>
                <a:ext uri="{FF2B5EF4-FFF2-40B4-BE49-F238E27FC236}">
                  <a16:creationId xmlns:a16="http://schemas.microsoft.com/office/drawing/2014/main" id="{00000000-0008-0000-0700-00004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74</xdr:row>
          <xdr:rowOff>133350</xdr:rowOff>
        </xdr:from>
        <xdr:to>
          <xdr:col>8</xdr:col>
          <xdr:colOff>57150</xdr:colOff>
          <xdr:row>76</xdr:row>
          <xdr:rowOff>19050</xdr:rowOff>
        </xdr:to>
        <xdr:sp macro="" textlink="">
          <xdr:nvSpPr>
            <xdr:cNvPr id="237633" name="Check Box 65" hidden="1">
              <a:extLst>
                <a:ext uri="{63B3BB69-23CF-44E3-9099-C40C66FF867C}">
                  <a14:compatExt spid="_x0000_s237633"/>
                </a:ext>
                <a:ext uri="{FF2B5EF4-FFF2-40B4-BE49-F238E27FC236}">
                  <a16:creationId xmlns:a16="http://schemas.microsoft.com/office/drawing/2014/main" id="{00000000-0008-0000-0700-00004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80</xdr:row>
          <xdr:rowOff>133350</xdr:rowOff>
        </xdr:from>
        <xdr:to>
          <xdr:col>8</xdr:col>
          <xdr:colOff>57150</xdr:colOff>
          <xdr:row>82</xdr:row>
          <xdr:rowOff>19050</xdr:rowOff>
        </xdr:to>
        <xdr:sp macro="" textlink="">
          <xdr:nvSpPr>
            <xdr:cNvPr id="237634" name="Check Box 66" hidden="1">
              <a:extLst>
                <a:ext uri="{63B3BB69-23CF-44E3-9099-C40C66FF867C}">
                  <a14:compatExt spid="_x0000_s237634"/>
                </a:ext>
                <a:ext uri="{FF2B5EF4-FFF2-40B4-BE49-F238E27FC236}">
                  <a16:creationId xmlns:a16="http://schemas.microsoft.com/office/drawing/2014/main" id="{00000000-0008-0000-0700-00004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81</xdr:row>
          <xdr:rowOff>133350</xdr:rowOff>
        </xdr:from>
        <xdr:to>
          <xdr:col>8</xdr:col>
          <xdr:colOff>57150</xdr:colOff>
          <xdr:row>83</xdr:row>
          <xdr:rowOff>19050</xdr:rowOff>
        </xdr:to>
        <xdr:sp macro="" textlink="">
          <xdr:nvSpPr>
            <xdr:cNvPr id="237635" name="Check Box 67" hidden="1">
              <a:extLst>
                <a:ext uri="{63B3BB69-23CF-44E3-9099-C40C66FF867C}">
                  <a14:compatExt spid="_x0000_s237635"/>
                </a:ext>
                <a:ext uri="{FF2B5EF4-FFF2-40B4-BE49-F238E27FC236}">
                  <a16:creationId xmlns:a16="http://schemas.microsoft.com/office/drawing/2014/main" id="{00000000-0008-0000-0700-00004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83</xdr:row>
          <xdr:rowOff>133350</xdr:rowOff>
        </xdr:from>
        <xdr:to>
          <xdr:col>8</xdr:col>
          <xdr:colOff>57150</xdr:colOff>
          <xdr:row>85</xdr:row>
          <xdr:rowOff>19050</xdr:rowOff>
        </xdr:to>
        <xdr:sp macro="" textlink="">
          <xdr:nvSpPr>
            <xdr:cNvPr id="237636" name="Check Box 68" hidden="1">
              <a:extLst>
                <a:ext uri="{63B3BB69-23CF-44E3-9099-C40C66FF867C}">
                  <a14:compatExt spid="_x0000_s237636"/>
                </a:ext>
                <a:ext uri="{FF2B5EF4-FFF2-40B4-BE49-F238E27FC236}">
                  <a16:creationId xmlns:a16="http://schemas.microsoft.com/office/drawing/2014/main" id="{00000000-0008-0000-0700-00004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84</xdr:row>
          <xdr:rowOff>133350</xdr:rowOff>
        </xdr:from>
        <xdr:to>
          <xdr:col>8</xdr:col>
          <xdr:colOff>57150</xdr:colOff>
          <xdr:row>86</xdr:row>
          <xdr:rowOff>19050</xdr:rowOff>
        </xdr:to>
        <xdr:sp macro="" textlink="">
          <xdr:nvSpPr>
            <xdr:cNvPr id="237637" name="Check Box 69" hidden="1">
              <a:extLst>
                <a:ext uri="{63B3BB69-23CF-44E3-9099-C40C66FF867C}">
                  <a14:compatExt spid="_x0000_s237637"/>
                </a:ext>
                <a:ext uri="{FF2B5EF4-FFF2-40B4-BE49-F238E27FC236}">
                  <a16:creationId xmlns:a16="http://schemas.microsoft.com/office/drawing/2014/main" id="{00000000-0008-0000-0700-00004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85</xdr:row>
          <xdr:rowOff>133350</xdr:rowOff>
        </xdr:from>
        <xdr:to>
          <xdr:col>8</xdr:col>
          <xdr:colOff>57150</xdr:colOff>
          <xdr:row>87</xdr:row>
          <xdr:rowOff>19050</xdr:rowOff>
        </xdr:to>
        <xdr:sp macro="" textlink="">
          <xdr:nvSpPr>
            <xdr:cNvPr id="237638" name="Check Box 70" hidden="1">
              <a:extLst>
                <a:ext uri="{63B3BB69-23CF-44E3-9099-C40C66FF867C}">
                  <a14:compatExt spid="_x0000_s237638"/>
                </a:ext>
                <a:ext uri="{FF2B5EF4-FFF2-40B4-BE49-F238E27FC236}">
                  <a16:creationId xmlns:a16="http://schemas.microsoft.com/office/drawing/2014/main" id="{00000000-0008-0000-0700-00004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86</xdr:row>
          <xdr:rowOff>133350</xdr:rowOff>
        </xdr:from>
        <xdr:to>
          <xdr:col>8</xdr:col>
          <xdr:colOff>57150</xdr:colOff>
          <xdr:row>88</xdr:row>
          <xdr:rowOff>19050</xdr:rowOff>
        </xdr:to>
        <xdr:sp macro="" textlink="">
          <xdr:nvSpPr>
            <xdr:cNvPr id="237639" name="Check Box 71" hidden="1">
              <a:extLst>
                <a:ext uri="{63B3BB69-23CF-44E3-9099-C40C66FF867C}">
                  <a14:compatExt spid="_x0000_s237639"/>
                </a:ext>
                <a:ext uri="{FF2B5EF4-FFF2-40B4-BE49-F238E27FC236}">
                  <a16:creationId xmlns:a16="http://schemas.microsoft.com/office/drawing/2014/main" id="{00000000-0008-0000-0700-00004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87</xdr:row>
          <xdr:rowOff>133350</xdr:rowOff>
        </xdr:from>
        <xdr:to>
          <xdr:col>8</xdr:col>
          <xdr:colOff>57150</xdr:colOff>
          <xdr:row>89</xdr:row>
          <xdr:rowOff>19050</xdr:rowOff>
        </xdr:to>
        <xdr:sp macro="" textlink="">
          <xdr:nvSpPr>
            <xdr:cNvPr id="237640" name="Check Box 72" hidden="1">
              <a:extLst>
                <a:ext uri="{63B3BB69-23CF-44E3-9099-C40C66FF867C}">
                  <a14:compatExt spid="_x0000_s237640"/>
                </a:ext>
                <a:ext uri="{FF2B5EF4-FFF2-40B4-BE49-F238E27FC236}">
                  <a16:creationId xmlns:a16="http://schemas.microsoft.com/office/drawing/2014/main" id="{00000000-0008-0000-0700-000048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88</xdr:row>
          <xdr:rowOff>133350</xdr:rowOff>
        </xdr:from>
        <xdr:to>
          <xdr:col>8</xdr:col>
          <xdr:colOff>57150</xdr:colOff>
          <xdr:row>90</xdr:row>
          <xdr:rowOff>19050</xdr:rowOff>
        </xdr:to>
        <xdr:sp macro="" textlink="">
          <xdr:nvSpPr>
            <xdr:cNvPr id="237641" name="Check Box 73" hidden="1">
              <a:extLst>
                <a:ext uri="{63B3BB69-23CF-44E3-9099-C40C66FF867C}">
                  <a14:compatExt spid="_x0000_s237641"/>
                </a:ext>
                <a:ext uri="{FF2B5EF4-FFF2-40B4-BE49-F238E27FC236}">
                  <a16:creationId xmlns:a16="http://schemas.microsoft.com/office/drawing/2014/main" id="{00000000-0008-0000-0700-000049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89</xdr:row>
          <xdr:rowOff>133350</xdr:rowOff>
        </xdr:from>
        <xdr:to>
          <xdr:col>8</xdr:col>
          <xdr:colOff>57150</xdr:colOff>
          <xdr:row>91</xdr:row>
          <xdr:rowOff>19050</xdr:rowOff>
        </xdr:to>
        <xdr:sp macro="" textlink="">
          <xdr:nvSpPr>
            <xdr:cNvPr id="237642" name="Check Box 74" hidden="1">
              <a:extLst>
                <a:ext uri="{63B3BB69-23CF-44E3-9099-C40C66FF867C}">
                  <a14:compatExt spid="_x0000_s237642"/>
                </a:ext>
                <a:ext uri="{FF2B5EF4-FFF2-40B4-BE49-F238E27FC236}">
                  <a16:creationId xmlns:a16="http://schemas.microsoft.com/office/drawing/2014/main" id="{00000000-0008-0000-0700-00004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90</xdr:row>
          <xdr:rowOff>133350</xdr:rowOff>
        </xdr:from>
        <xdr:to>
          <xdr:col>8</xdr:col>
          <xdr:colOff>57150</xdr:colOff>
          <xdr:row>92</xdr:row>
          <xdr:rowOff>19050</xdr:rowOff>
        </xdr:to>
        <xdr:sp macro="" textlink="">
          <xdr:nvSpPr>
            <xdr:cNvPr id="237643" name="Check Box 75" hidden="1">
              <a:extLst>
                <a:ext uri="{63B3BB69-23CF-44E3-9099-C40C66FF867C}">
                  <a14:compatExt spid="_x0000_s237643"/>
                </a:ext>
                <a:ext uri="{FF2B5EF4-FFF2-40B4-BE49-F238E27FC236}">
                  <a16:creationId xmlns:a16="http://schemas.microsoft.com/office/drawing/2014/main" id="{00000000-0008-0000-0700-00004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91</xdr:row>
          <xdr:rowOff>133350</xdr:rowOff>
        </xdr:from>
        <xdr:to>
          <xdr:col>8</xdr:col>
          <xdr:colOff>57150</xdr:colOff>
          <xdr:row>93</xdr:row>
          <xdr:rowOff>19050</xdr:rowOff>
        </xdr:to>
        <xdr:sp macro="" textlink="">
          <xdr:nvSpPr>
            <xdr:cNvPr id="237644" name="Check Box 76" hidden="1">
              <a:extLst>
                <a:ext uri="{63B3BB69-23CF-44E3-9099-C40C66FF867C}">
                  <a14:compatExt spid="_x0000_s237644"/>
                </a:ext>
                <a:ext uri="{FF2B5EF4-FFF2-40B4-BE49-F238E27FC236}">
                  <a16:creationId xmlns:a16="http://schemas.microsoft.com/office/drawing/2014/main" id="{00000000-0008-0000-0700-00004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93</xdr:row>
          <xdr:rowOff>133350</xdr:rowOff>
        </xdr:from>
        <xdr:to>
          <xdr:col>8</xdr:col>
          <xdr:colOff>57150</xdr:colOff>
          <xdr:row>95</xdr:row>
          <xdr:rowOff>19050</xdr:rowOff>
        </xdr:to>
        <xdr:sp macro="" textlink="">
          <xdr:nvSpPr>
            <xdr:cNvPr id="237645" name="Check Box 77" hidden="1">
              <a:extLst>
                <a:ext uri="{63B3BB69-23CF-44E3-9099-C40C66FF867C}">
                  <a14:compatExt spid="_x0000_s237645"/>
                </a:ext>
                <a:ext uri="{FF2B5EF4-FFF2-40B4-BE49-F238E27FC236}">
                  <a16:creationId xmlns:a16="http://schemas.microsoft.com/office/drawing/2014/main" id="{00000000-0008-0000-0700-00004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40</xdr:row>
          <xdr:rowOff>133350</xdr:rowOff>
        </xdr:from>
        <xdr:to>
          <xdr:col>8</xdr:col>
          <xdr:colOff>57150</xdr:colOff>
          <xdr:row>42</xdr:row>
          <xdr:rowOff>19050</xdr:rowOff>
        </xdr:to>
        <xdr:sp macro="" textlink="">
          <xdr:nvSpPr>
            <xdr:cNvPr id="237648" name="Check Box 80" hidden="1">
              <a:extLst>
                <a:ext uri="{63B3BB69-23CF-44E3-9099-C40C66FF867C}">
                  <a14:compatExt spid="_x0000_s237648"/>
                </a:ext>
                <a:ext uri="{FF2B5EF4-FFF2-40B4-BE49-F238E27FC236}">
                  <a16:creationId xmlns:a16="http://schemas.microsoft.com/office/drawing/2014/main" id="{00000000-0008-0000-0700-00005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50</xdr:row>
          <xdr:rowOff>133350</xdr:rowOff>
        </xdr:from>
        <xdr:to>
          <xdr:col>8</xdr:col>
          <xdr:colOff>47625</xdr:colOff>
          <xdr:row>52</xdr:row>
          <xdr:rowOff>19050</xdr:rowOff>
        </xdr:to>
        <xdr:sp macro="" textlink="">
          <xdr:nvSpPr>
            <xdr:cNvPr id="237649" name="Check Box 81" hidden="1">
              <a:extLst>
                <a:ext uri="{63B3BB69-23CF-44E3-9099-C40C66FF867C}">
                  <a14:compatExt spid="_x0000_s237649"/>
                </a:ext>
                <a:ext uri="{FF2B5EF4-FFF2-40B4-BE49-F238E27FC236}">
                  <a16:creationId xmlns:a16="http://schemas.microsoft.com/office/drawing/2014/main" id="{00000000-0008-0000-0700-00005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52</xdr:row>
          <xdr:rowOff>133350</xdr:rowOff>
        </xdr:from>
        <xdr:to>
          <xdr:col>8</xdr:col>
          <xdr:colOff>47625</xdr:colOff>
          <xdr:row>54</xdr:row>
          <xdr:rowOff>19050</xdr:rowOff>
        </xdr:to>
        <xdr:sp macro="" textlink="">
          <xdr:nvSpPr>
            <xdr:cNvPr id="237650" name="Check Box 82" hidden="1">
              <a:extLst>
                <a:ext uri="{63B3BB69-23CF-44E3-9099-C40C66FF867C}">
                  <a14:compatExt spid="_x0000_s237650"/>
                </a:ext>
                <a:ext uri="{FF2B5EF4-FFF2-40B4-BE49-F238E27FC236}">
                  <a16:creationId xmlns:a16="http://schemas.microsoft.com/office/drawing/2014/main" id="{00000000-0008-0000-0700-00005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100</xdr:row>
          <xdr:rowOff>0</xdr:rowOff>
        </xdr:from>
        <xdr:to>
          <xdr:col>7</xdr:col>
          <xdr:colOff>285750</xdr:colOff>
          <xdr:row>101</xdr:row>
          <xdr:rowOff>19050</xdr:rowOff>
        </xdr:to>
        <xdr:sp macro="" textlink="">
          <xdr:nvSpPr>
            <xdr:cNvPr id="237654" name="Check Box 86" hidden="1">
              <a:extLst>
                <a:ext uri="{63B3BB69-23CF-44E3-9099-C40C66FF867C}">
                  <a14:compatExt spid="_x0000_s237654"/>
                </a:ext>
                <a:ext uri="{FF2B5EF4-FFF2-40B4-BE49-F238E27FC236}">
                  <a16:creationId xmlns:a16="http://schemas.microsoft.com/office/drawing/2014/main" id="{00000000-0008-0000-0700-00005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100</xdr:row>
          <xdr:rowOff>171450</xdr:rowOff>
        </xdr:from>
        <xdr:to>
          <xdr:col>7</xdr:col>
          <xdr:colOff>285750</xdr:colOff>
          <xdr:row>102</xdr:row>
          <xdr:rowOff>9525</xdr:rowOff>
        </xdr:to>
        <xdr:sp macro="" textlink="">
          <xdr:nvSpPr>
            <xdr:cNvPr id="237655" name="Check Box 87" hidden="1">
              <a:extLst>
                <a:ext uri="{63B3BB69-23CF-44E3-9099-C40C66FF867C}">
                  <a14:compatExt spid="_x0000_s237655"/>
                </a:ext>
                <a:ext uri="{FF2B5EF4-FFF2-40B4-BE49-F238E27FC236}">
                  <a16:creationId xmlns:a16="http://schemas.microsoft.com/office/drawing/2014/main" id="{00000000-0008-0000-0700-00005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101</xdr:row>
          <xdr:rowOff>171450</xdr:rowOff>
        </xdr:from>
        <xdr:to>
          <xdr:col>7</xdr:col>
          <xdr:colOff>285750</xdr:colOff>
          <xdr:row>103</xdr:row>
          <xdr:rowOff>9525</xdr:rowOff>
        </xdr:to>
        <xdr:sp macro="" textlink="">
          <xdr:nvSpPr>
            <xdr:cNvPr id="237656" name="Check Box 88" hidden="1">
              <a:extLst>
                <a:ext uri="{63B3BB69-23CF-44E3-9099-C40C66FF867C}">
                  <a14:compatExt spid="_x0000_s237656"/>
                </a:ext>
                <a:ext uri="{FF2B5EF4-FFF2-40B4-BE49-F238E27FC236}">
                  <a16:creationId xmlns:a16="http://schemas.microsoft.com/office/drawing/2014/main" id="{00000000-0008-0000-0700-000058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102</xdr:row>
          <xdr:rowOff>171450</xdr:rowOff>
        </xdr:from>
        <xdr:to>
          <xdr:col>7</xdr:col>
          <xdr:colOff>285750</xdr:colOff>
          <xdr:row>104</xdr:row>
          <xdr:rowOff>9525</xdr:rowOff>
        </xdr:to>
        <xdr:sp macro="" textlink="">
          <xdr:nvSpPr>
            <xdr:cNvPr id="237657" name="Check Box 89" hidden="1">
              <a:extLst>
                <a:ext uri="{63B3BB69-23CF-44E3-9099-C40C66FF867C}">
                  <a14:compatExt spid="_x0000_s237657"/>
                </a:ext>
                <a:ext uri="{FF2B5EF4-FFF2-40B4-BE49-F238E27FC236}">
                  <a16:creationId xmlns:a16="http://schemas.microsoft.com/office/drawing/2014/main" id="{00000000-0008-0000-0700-000059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103</xdr:row>
          <xdr:rowOff>171450</xdr:rowOff>
        </xdr:from>
        <xdr:to>
          <xdr:col>7</xdr:col>
          <xdr:colOff>285750</xdr:colOff>
          <xdr:row>105</xdr:row>
          <xdr:rowOff>9525</xdr:rowOff>
        </xdr:to>
        <xdr:sp macro="" textlink="">
          <xdr:nvSpPr>
            <xdr:cNvPr id="237658" name="Check Box 90" hidden="1">
              <a:extLst>
                <a:ext uri="{63B3BB69-23CF-44E3-9099-C40C66FF867C}">
                  <a14:compatExt spid="_x0000_s237658"/>
                </a:ext>
                <a:ext uri="{FF2B5EF4-FFF2-40B4-BE49-F238E27FC236}">
                  <a16:creationId xmlns:a16="http://schemas.microsoft.com/office/drawing/2014/main" id="{00000000-0008-0000-0700-00005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104</xdr:row>
          <xdr:rowOff>171450</xdr:rowOff>
        </xdr:from>
        <xdr:to>
          <xdr:col>7</xdr:col>
          <xdr:colOff>285750</xdr:colOff>
          <xdr:row>106</xdr:row>
          <xdr:rowOff>9525</xdr:rowOff>
        </xdr:to>
        <xdr:sp macro="" textlink="">
          <xdr:nvSpPr>
            <xdr:cNvPr id="237659" name="Check Box 91" hidden="1">
              <a:extLst>
                <a:ext uri="{63B3BB69-23CF-44E3-9099-C40C66FF867C}">
                  <a14:compatExt spid="_x0000_s237659"/>
                </a:ext>
                <a:ext uri="{FF2B5EF4-FFF2-40B4-BE49-F238E27FC236}">
                  <a16:creationId xmlns:a16="http://schemas.microsoft.com/office/drawing/2014/main" id="{00000000-0008-0000-0700-00005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105</xdr:row>
          <xdr:rowOff>171450</xdr:rowOff>
        </xdr:from>
        <xdr:to>
          <xdr:col>7</xdr:col>
          <xdr:colOff>285750</xdr:colOff>
          <xdr:row>107</xdr:row>
          <xdr:rowOff>9525</xdr:rowOff>
        </xdr:to>
        <xdr:sp macro="" textlink="">
          <xdr:nvSpPr>
            <xdr:cNvPr id="237660" name="Check Box 92" hidden="1">
              <a:extLst>
                <a:ext uri="{63B3BB69-23CF-44E3-9099-C40C66FF867C}">
                  <a14:compatExt spid="_x0000_s237660"/>
                </a:ext>
                <a:ext uri="{FF2B5EF4-FFF2-40B4-BE49-F238E27FC236}">
                  <a16:creationId xmlns:a16="http://schemas.microsoft.com/office/drawing/2014/main" id="{00000000-0008-0000-0700-00005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106</xdr:row>
          <xdr:rowOff>171450</xdr:rowOff>
        </xdr:from>
        <xdr:to>
          <xdr:col>7</xdr:col>
          <xdr:colOff>285750</xdr:colOff>
          <xdr:row>108</xdr:row>
          <xdr:rowOff>9525</xdr:rowOff>
        </xdr:to>
        <xdr:sp macro="" textlink="">
          <xdr:nvSpPr>
            <xdr:cNvPr id="237661" name="Check Box 93" hidden="1">
              <a:extLst>
                <a:ext uri="{63B3BB69-23CF-44E3-9099-C40C66FF867C}">
                  <a14:compatExt spid="_x0000_s237661"/>
                </a:ext>
                <a:ext uri="{FF2B5EF4-FFF2-40B4-BE49-F238E27FC236}">
                  <a16:creationId xmlns:a16="http://schemas.microsoft.com/office/drawing/2014/main" id="{00000000-0008-0000-0700-00005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107</xdr:row>
          <xdr:rowOff>171450</xdr:rowOff>
        </xdr:from>
        <xdr:to>
          <xdr:col>7</xdr:col>
          <xdr:colOff>285750</xdr:colOff>
          <xdr:row>109</xdr:row>
          <xdr:rowOff>9525</xdr:rowOff>
        </xdr:to>
        <xdr:sp macro="" textlink="">
          <xdr:nvSpPr>
            <xdr:cNvPr id="237662" name="Check Box 94" hidden="1">
              <a:extLst>
                <a:ext uri="{63B3BB69-23CF-44E3-9099-C40C66FF867C}">
                  <a14:compatExt spid="_x0000_s237662"/>
                </a:ext>
                <a:ext uri="{FF2B5EF4-FFF2-40B4-BE49-F238E27FC236}">
                  <a16:creationId xmlns:a16="http://schemas.microsoft.com/office/drawing/2014/main" id="{00000000-0008-0000-0700-00005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108</xdr:row>
          <xdr:rowOff>171450</xdr:rowOff>
        </xdr:from>
        <xdr:to>
          <xdr:col>7</xdr:col>
          <xdr:colOff>285750</xdr:colOff>
          <xdr:row>110</xdr:row>
          <xdr:rowOff>9525</xdr:rowOff>
        </xdr:to>
        <xdr:sp macro="" textlink="">
          <xdr:nvSpPr>
            <xdr:cNvPr id="237663" name="Check Box 95" hidden="1">
              <a:extLst>
                <a:ext uri="{63B3BB69-23CF-44E3-9099-C40C66FF867C}">
                  <a14:compatExt spid="_x0000_s237663"/>
                </a:ext>
                <a:ext uri="{FF2B5EF4-FFF2-40B4-BE49-F238E27FC236}">
                  <a16:creationId xmlns:a16="http://schemas.microsoft.com/office/drawing/2014/main" id="{00000000-0008-0000-0700-00005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109</xdr:row>
          <xdr:rowOff>171450</xdr:rowOff>
        </xdr:from>
        <xdr:to>
          <xdr:col>7</xdr:col>
          <xdr:colOff>285750</xdr:colOff>
          <xdr:row>111</xdr:row>
          <xdr:rowOff>9525</xdr:rowOff>
        </xdr:to>
        <xdr:sp macro="" textlink="">
          <xdr:nvSpPr>
            <xdr:cNvPr id="237664" name="Check Box 96" hidden="1">
              <a:extLst>
                <a:ext uri="{63B3BB69-23CF-44E3-9099-C40C66FF867C}">
                  <a14:compatExt spid="_x0000_s237664"/>
                </a:ext>
                <a:ext uri="{FF2B5EF4-FFF2-40B4-BE49-F238E27FC236}">
                  <a16:creationId xmlns:a16="http://schemas.microsoft.com/office/drawing/2014/main" id="{00000000-0008-0000-0700-00006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110</xdr:row>
          <xdr:rowOff>171450</xdr:rowOff>
        </xdr:from>
        <xdr:to>
          <xdr:col>7</xdr:col>
          <xdr:colOff>285750</xdr:colOff>
          <xdr:row>112</xdr:row>
          <xdr:rowOff>9525</xdr:rowOff>
        </xdr:to>
        <xdr:sp macro="" textlink="">
          <xdr:nvSpPr>
            <xdr:cNvPr id="237665" name="Check Box 97" hidden="1">
              <a:extLst>
                <a:ext uri="{63B3BB69-23CF-44E3-9099-C40C66FF867C}">
                  <a14:compatExt spid="_x0000_s237665"/>
                </a:ext>
                <a:ext uri="{FF2B5EF4-FFF2-40B4-BE49-F238E27FC236}">
                  <a16:creationId xmlns:a16="http://schemas.microsoft.com/office/drawing/2014/main" id="{00000000-0008-0000-0700-00006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111</xdr:row>
          <xdr:rowOff>171450</xdr:rowOff>
        </xdr:from>
        <xdr:to>
          <xdr:col>7</xdr:col>
          <xdr:colOff>285750</xdr:colOff>
          <xdr:row>113</xdr:row>
          <xdr:rowOff>9525</xdr:rowOff>
        </xdr:to>
        <xdr:sp macro="" textlink="">
          <xdr:nvSpPr>
            <xdr:cNvPr id="237666" name="Check Box 98" hidden="1">
              <a:extLst>
                <a:ext uri="{63B3BB69-23CF-44E3-9099-C40C66FF867C}">
                  <a14:compatExt spid="_x0000_s237666"/>
                </a:ext>
                <a:ext uri="{FF2B5EF4-FFF2-40B4-BE49-F238E27FC236}">
                  <a16:creationId xmlns:a16="http://schemas.microsoft.com/office/drawing/2014/main" id="{00000000-0008-0000-0700-00006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112</xdr:row>
          <xdr:rowOff>171450</xdr:rowOff>
        </xdr:from>
        <xdr:to>
          <xdr:col>7</xdr:col>
          <xdr:colOff>285750</xdr:colOff>
          <xdr:row>114</xdr:row>
          <xdr:rowOff>9525</xdr:rowOff>
        </xdr:to>
        <xdr:sp macro="" textlink="">
          <xdr:nvSpPr>
            <xdr:cNvPr id="237667" name="Check Box 99" hidden="1">
              <a:extLst>
                <a:ext uri="{63B3BB69-23CF-44E3-9099-C40C66FF867C}">
                  <a14:compatExt spid="_x0000_s237667"/>
                </a:ext>
                <a:ext uri="{FF2B5EF4-FFF2-40B4-BE49-F238E27FC236}">
                  <a16:creationId xmlns:a16="http://schemas.microsoft.com/office/drawing/2014/main" id="{00000000-0008-0000-0700-00006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113</xdr:row>
          <xdr:rowOff>171450</xdr:rowOff>
        </xdr:from>
        <xdr:to>
          <xdr:col>7</xdr:col>
          <xdr:colOff>285750</xdr:colOff>
          <xdr:row>115</xdr:row>
          <xdr:rowOff>9525</xdr:rowOff>
        </xdr:to>
        <xdr:sp macro="" textlink="">
          <xdr:nvSpPr>
            <xdr:cNvPr id="237668" name="Check Box 100" hidden="1">
              <a:extLst>
                <a:ext uri="{63B3BB69-23CF-44E3-9099-C40C66FF867C}">
                  <a14:compatExt spid="_x0000_s237668"/>
                </a:ext>
                <a:ext uri="{FF2B5EF4-FFF2-40B4-BE49-F238E27FC236}">
                  <a16:creationId xmlns:a16="http://schemas.microsoft.com/office/drawing/2014/main" id="{00000000-0008-0000-0700-00006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114</xdr:row>
          <xdr:rowOff>171450</xdr:rowOff>
        </xdr:from>
        <xdr:to>
          <xdr:col>7</xdr:col>
          <xdr:colOff>285750</xdr:colOff>
          <xdr:row>116</xdr:row>
          <xdr:rowOff>9525</xdr:rowOff>
        </xdr:to>
        <xdr:sp macro="" textlink="">
          <xdr:nvSpPr>
            <xdr:cNvPr id="237669" name="Check Box 101" hidden="1">
              <a:extLst>
                <a:ext uri="{63B3BB69-23CF-44E3-9099-C40C66FF867C}">
                  <a14:compatExt spid="_x0000_s237669"/>
                </a:ext>
                <a:ext uri="{FF2B5EF4-FFF2-40B4-BE49-F238E27FC236}">
                  <a16:creationId xmlns:a16="http://schemas.microsoft.com/office/drawing/2014/main" id="{00000000-0008-0000-0700-00006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xdr:twoCellAnchor>
    <xdr:from>
      <xdr:col>1</xdr:col>
      <xdr:colOff>66675</xdr:colOff>
      <xdr:row>76</xdr:row>
      <xdr:rowOff>142875</xdr:rowOff>
    </xdr:from>
    <xdr:to>
      <xdr:col>5</xdr:col>
      <xdr:colOff>304800</xdr:colOff>
      <xdr:row>112</xdr:row>
      <xdr:rowOff>28575</xdr:rowOff>
    </xdr:to>
    <xdr:graphicFrame macro="">
      <xdr:nvGraphicFramePr>
        <xdr:cNvPr id="1333" name="Chart 10">
          <a:extLst>
            <a:ext uri="{FF2B5EF4-FFF2-40B4-BE49-F238E27FC236}">
              <a16:creationId xmlns:a16="http://schemas.microsoft.com/office/drawing/2014/main" id="{00000000-0008-0000-0800-00003505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xdr:col>
      <xdr:colOff>19050</xdr:colOff>
      <xdr:row>41</xdr:row>
      <xdr:rowOff>95250</xdr:rowOff>
    </xdr:from>
    <xdr:to>
      <xdr:col>14</xdr:col>
      <xdr:colOff>1266825</xdr:colOff>
      <xdr:row>66</xdr:row>
      <xdr:rowOff>142875</xdr:rowOff>
    </xdr:to>
    <xdr:graphicFrame macro="">
      <xdr:nvGraphicFramePr>
        <xdr:cNvPr id="2351" name="Chart 1">
          <a:extLst>
            <a:ext uri="{FF2B5EF4-FFF2-40B4-BE49-F238E27FC236}">
              <a16:creationId xmlns:a16="http://schemas.microsoft.com/office/drawing/2014/main" id="{00000000-0008-0000-0900-00002F09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11</xdr:col>
          <xdr:colOff>1076325</xdr:colOff>
          <xdr:row>1</xdr:row>
          <xdr:rowOff>76200</xdr:rowOff>
        </xdr:from>
        <xdr:to>
          <xdr:col>15</xdr:col>
          <xdr:colOff>161925</xdr:colOff>
          <xdr:row>7</xdr:row>
          <xdr:rowOff>19050</xdr:rowOff>
        </xdr:to>
        <xdr:sp macro="" textlink="">
          <xdr:nvSpPr>
            <xdr:cNvPr id="2050" name="Object 2" hidden="1">
              <a:extLst>
                <a:ext uri="{63B3BB69-23CF-44E3-9099-C40C66FF867C}">
                  <a14:compatExt spid="_x0000_s2050"/>
                </a:ext>
                <a:ext uri="{FF2B5EF4-FFF2-40B4-BE49-F238E27FC236}">
                  <a16:creationId xmlns:a16="http://schemas.microsoft.com/office/drawing/2014/main" id="{00000000-0008-0000-0900-0000020800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1076325</xdr:colOff>
          <xdr:row>89</xdr:row>
          <xdr:rowOff>76200</xdr:rowOff>
        </xdr:from>
        <xdr:to>
          <xdr:col>15</xdr:col>
          <xdr:colOff>161925</xdr:colOff>
          <xdr:row>95</xdr:row>
          <xdr:rowOff>57150</xdr:rowOff>
        </xdr:to>
        <xdr:sp macro="" textlink="">
          <xdr:nvSpPr>
            <xdr:cNvPr id="2051" name="Object 3" hidden="1">
              <a:extLst>
                <a:ext uri="{63B3BB69-23CF-44E3-9099-C40C66FF867C}">
                  <a14:compatExt spid="_x0000_s2051"/>
                </a:ext>
                <a:ext uri="{FF2B5EF4-FFF2-40B4-BE49-F238E27FC236}">
                  <a16:creationId xmlns:a16="http://schemas.microsoft.com/office/drawing/2014/main" id="{00000000-0008-0000-0900-0000030800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wsDr>
</file>

<file path=xl/drawings/drawing9.xml><?xml version="1.0" encoding="utf-8"?>
<xdr:wsDr xmlns:xdr="http://schemas.openxmlformats.org/drawingml/2006/spreadsheetDrawing" xmlns:a="http://schemas.openxmlformats.org/drawingml/2006/main">
  <xdr:twoCellAnchor>
    <xdr:from>
      <xdr:col>5</xdr:col>
      <xdr:colOff>333375</xdr:colOff>
      <xdr:row>0</xdr:row>
      <xdr:rowOff>123825</xdr:rowOff>
    </xdr:from>
    <xdr:to>
      <xdr:col>8</xdr:col>
      <xdr:colOff>552450</xdr:colOff>
      <xdr:row>2</xdr:row>
      <xdr:rowOff>114300</xdr:rowOff>
    </xdr:to>
    <xdr:pic>
      <xdr:nvPicPr>
        <xdr:cNvPr id="55795" name="Picture 6" descr="STAUFF-LOGO2">
          <a:extLst>
            <a:ext uri="{FF2B5EF4-FFF2-40B4-BE49-F238E27FC236}">
              <a16:creationId xmlns:a16="http://schemas.microsoft.com/office/drawing/2014/main" id="{00000000-0008-0000-0B00-0000F3D90000}"/>
            </a:ext>
          </a:extLst>
        </xdr:cNvPr>
        <xdr:cNvPicPr>
          <a:picLocks noChangeAspect="1" noChangeArrowheads="1"/>
        </xdr:cNvPicPr>
      </xdr:nvPicPr>
      <xdr:blipFill>
        <a:blip xmlns:r="http://schemas.openxmlformats.org/officeDocument/2006/relationships" r:embed="rId1">
          <a:grayscl/>
          <a:biLevel thresh="50000"/>
          <a:extLst>
            <a:ext uri="{28A0092B-C50C-407E-A947-70E740481C1C}">
              <a14:useLocalDpi xmlns:a14="http://schemas.microsoft.com/office/drawing/2010/main" val="0"/>
            </a:ext>
          </a:extLst>
        </a:blip>
        <a:srcRect/>
        <a:stretch>
          <a:fillRect/>
        </a:stretch>
      </xdr:blipFill>
      <xdr:spPr bwMode="auto">
        <a:xfrm>
          <a:off x="2886075" y="123825"/>
          <a:ext cx="2257425" cy="504825"/>
        </a:xfrm>
        <a:prstGeom prst="rect">
          <a:avLst/>
        </a:prstGeom>
        <a:solidFill>
          <a:srgbClr val="FF6600"/>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0</xdr:colOff>
      <xdr:row>25</xdr:row>
      <xdr:rowOff>0</xdr:rowOff>
    </xdr:from>
    <xdr:to>
      <xdr:col>7</xdr:col>
      <xdr:colOff>657225</xdr:colOff>
      <xdr:row>28</xdr:row>
      <xdr:rowOff>0</xdr:rowOff>
    </xdr:to>
    <xdr:pic>
      <xdr:nvPicPr>
        <xdr:cNvPr id="55796" name="Picture 7" descr="Stauff Sig">
          <a:extLst>
            <a:ext uri="{FF2B5EF4-FFF2-40B4-BE49-F238E27FC236}">
              <a16:creationId xmlns:a16="http://schemas.microsoft.com/office/drawing/2014/main" id="{00000000-0008-0000-0B00-0000F4D9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76600" y="5638800"/>
          <a:ext cx="1314450" cy="542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9525</xdr:colOff>
      <xdr:row>67</xdr:row>
      <xdr:rowOff>104775</xdr:rowOff>
    </xdr:from>
    <xdr:to>
      <xdr:col>6</xdr:col>
      <xdr:colOff>514350</xdr:colOff>
      <xdr:row>71</xdr:row>
      <xdr:rowOff>9525</xdr:rowOff>
    </xdr:to>
    <xdr:pic>
      <xdr:nvPicPr>
        <xdr:cNvPr id="55797" name="Picture 7" descr="Stauff Sig">
          <a:extLst>
            <a:ext uri="{FF2B5EF4-FFF2-40B4-BE49-F238E27FC236}">
              <a16:creationId xmlns:a16="http://schemas.microsoft.com/office/drawing/2014/main" id="{00000000-0008-0000-0B00-0000F5D9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562225" y="13896975"/>
          <a:ext cx="122872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314325</xdr:colOff>
      <xdr:row>30</xdr:row>
      <xdr:rowOff>133350</xdr:rowOff>
    </xdr:from>
    <xdr:to>
      <xdr:col>8</xdr:col>
      <xdr:colOff>533400</xdr:colOff>
      <xdr:row>32</xdr:row>
      <xdr:rowOff>123825</xdr:rowOff>
    </xdr:to>
    <xdr:pic>
      <xdr:nvPicPr>
        <xdr:cNvPr id="55798" name="Picture 6" descr="STAUFF-LOGO2">
          <a:extLst>
            <a:ext uri="{FF2B5EF4-FFF2-40B4-BE49-F238E27FC236}">
              <a16:creationId xmlns:a16="http://schemas.microsoft.com/office/drawing/2014/main" id="{00000000-0008-0000-0B00-0000F6D90000}"/>
            </a:ext>
          </a:extLst>
        </xdr:cNvPr>
        <xdr:cNvPicPr>
          <a:picLocks noChangeAspect="1" noChangeArrowheads="1"/>
        </xdr:cNvPicPr>
      </xdr:nvPicPr>
      <xdr:blipFill>
        <a:blip xmlns:r="http://schemas.openxmlformats.org/officeDocument/2006/relationships" r:embed="rId1">
          <a:grayscl/>
          <a:biLevel thresh="50000"/>
          <a:extLst>
            <a:ext uri="{28A0092B-C50C-407E-A947-70E740481C1C}">
              <a14:useLocalDpi xmlns:a14="http://schemas.microsoft.com/office/drawing/2010/main" val="0"/>
            </a:ext>
          </a:extLst>
        </a:blip>
        <a:srcRect/>
        <a:stretch>
          <a:fillRect/>
        </a:stretch>
      </xdr:blipFill>
      <xdr:spPr bwMode="auto">
        <a:xfrm>
          <a:off x="2867025" y="6648450"/>
          <a:ext cx="2257425" cy="504825"/>
        </a:xfrm>
        <a:prstGeom prst="rect">
          <a:avLst/>
        </a:prstGeom>
        <a:solidFill>
          <a:srgbClr val="FF6600"/>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1085850</xdr:colOff>
          <xdr:row>1</xdr:row>
          <xdr:rowOff>76200</xdr:rowOff>
        </xdr:from>
        <xdr:to>
          <xdr:col>15</xdr:col>
          <xdr:colOff>161925</xdr:colOff>
          <xdr:row>7</xdr:row>
          <xdr:rowOff>66675</xdr:rowOff>
        </xdr:to>
        <xdr:sp macro="" textlink="">
          <xdr:nvSpPr>
            <xdr:cNvPr id="117761" name="Object 1" hidden="1">
              <a:extLst>
                <a:ext uri="{63B3BB69-23CF-44E3-9099-C40C66FF867C}">
                  <a14:compatExt spid="_x0000_s117761"/>
                </a:ext>
                <a:ext uri="{FF2B5EF4-FFF2-40B4-BE49-F238E27FC236}">
                  <a16:creationId xmlns:a16="http://schemas.microsoft.com/office/drawing/2014/main" id="{00000000-0008-0000-0C00-000001CC01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twoCellAnchor editAs="oneCell">
    <xdr:from>
      <xdr:col>3</xdr:col>
      <xdr:colOff>971550</xdr:colOff>
      <xdr:row>81</xdr:row>
      <xdr:rowOff>19050</xdr:rowOff>
    </xdr:from>
    <xdr:to>
      <xdr:col>5</xdr:col>
      <xdr:colOff>114300</xdr:colOff>
      <xdr:row>82</xdr:row>
      <xdr:rowOff>0</xdr:rowOff>
    </xdr:to>
    <xdr:pic>
      <xdr:nvPicPr>
        <xdr:cNvPr id="117979" name="Picture 1">
          <a:extLst>
            <a:ext uri="{FF2B5EF4-FFF2-40B4-BE49-F238E27FC236}">
              <a16:creationId xmlns:a16="http://schemas.microsoft.com/office/drawing/2014/main" id="{00000000-0008-0000-0C00-0000DBCC01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20840700"/>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190500</xdr:colOff>
      <xdr:row>47</xdr:row>
      <xdr:rowOff>66675</xdr:rowOff>
    </xdr:from>
    <xdr:to>
      <xdr:col>14</xdr:col>
      <xdr:colOff>1162050</xdr:colOff>
      <xdr:row>74</xdr:row>
      <xdr:rowOff>38100</xdr:rowOff>
    </xdr:to>
    <xdr:graphicFrame macro="">
      <xdr:nvGraphicFramePr>
        <xdr:cNvPr id="117980" name="Chart 1">
          <a:extLst>
            <a:ext uri="{FF2B5EF4-FFF2-40B4-BE49-F238E27FC236}">
              <a16:creationId xmlns:a16="http://schemas.microsoft.com/office/drawing/2014/main" id="{00000000-0008-0000-0C00-0000DCCC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editAs="oneCell">
    <xdr:from>
      <xdr:col>3</xdr:col>
      <xdr:colOff>971550</xdr:colOff>
      <xdr:row>75</xdr:row>
      <xdr:rowOff>19050</xdr:rowOff>
    </xdr:from>
    <xdr:to>
      <xdr:col>5</xdr:col>
      <xdr:colOff>114300</xdr:colOff>
      <xdr:row>76</xdr:row>
      <xdr:rowOff>0</xdr:rowOff>
    </xdr:to>
    <xdr:pic>
      <xdr:nvPicPr>
        <xdr:cNvPr id="119100" name="Picture 1">
          <a:extLst>
            <a:ext uri="{FF2B5EF4-FFF2-40B4-BE49-F238E27FC236}">
              <a16:creationId xmlns:a16="http://schemas.microsoft.com/office/drawing/2014/main" id="{00000000-0008-0000-0D00-00003CD101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1114425</xdr:colOff>
      <xdr:row>1</xdr:row>
      <xdr:rowOff>114300</xdr:rowOff>
    </xdr:from>
    <xdr:to>
      <xdr:col>15</xdr:col>
      <xdr:colOff>238125</xdr:colOff>
      <xdr:row>7</xdr:row>
      <xdr:rowOff>161925</xdr:rowOff>
    </xdr:to>
    <xdr:pic>
      <xdr:nvPicPr>
        <xdr:cNvPr id="119101" name="Picture 3" descr="Y:\CMP Documentation\ICM\ICM Production\solge logo.gif">
          <a:extLst>
            <a:ext uri="{FF2B5EF4-FFF2-40B4-BE49-F238E27FC236}">
              <a16:creationId xmlns:a16="http://schemas.microsoft.com/office/drawing/2014/main" id="{00000000-0008-0000-0D00-00003DD101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725275" y="276225"/>
          <a:ext cx="3286125" cy="1143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66675</xdr:colOff>
      <xdr:row>42</xdr:row>
      <xdr:rowOff>19050</xdr:rowOff>
    </xdr:from>
    <xdr:to>
      <xdr:col>14</xdr:col>
      <xdr:colOff>1247775</xdr:colOff>
      <xdr:row>67</xdr:row>
      <xdr:rowOff>57150</xdr:rowOff>
    </xdr:to>
    <xdr:graphicFrame macro="">
      <xdr:nvGraphicFramePr>
        <xdr:cNvPr id="119102" name="Chart 1">
          <a:extLst>
            <a:ext uri="{FF2B5EF4-FFF2-40B4-BE49-F238E27FC236}">
              <a16:creationId xmlns:a16="http://schemas.microsoft.com/office/drawing/2014/main" id="{00000000-0008-0000-0D00-00003ED1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22</xdr:col>
      <xdr:colOff>0</xdr:colOff>
      <xdr:row>10</xdr:row>
      <xdr:rowOff>0</xdr:rowOff>
    </xdr:from>
    <xdr:to>
      <xdr:col>26</xdr:col>
      <xdr:colOff>0</xdr:colOff>
      <xdr:row>17</xdr:row>
      <xdr:rowOff>66675</xdr:rowOff>
    </xdr:to>
    <xdr:pic>
      <xdr:nvPicPr>
        <xdr:cNvPr id="136602" name="Graphics 1">
          <a:extLst>
            <a:ext uri="{FF2B5EF4-FFF2-40B4-BE49-F238E27FC236}">
              <a16:creationId xmlns:a16="http://schemas.microsoft.com/office/drawing/2014/main" id="{00000000-0008-0000-0E00-00009A1502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173325" y="2095500"/>
          <a:ext cx="0" cy="30099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F"/>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3</xdr:col>
      <xdr:colOff>971550</xdr:colOff>
      <xdr:row>75</xdr:row>
      <xdr:rowOff>19050</xdr:rowOff>
    </xdr:from>
    <xdr:to>
      <xdr:col>5</xdr:col>
      <xdr:colOff>114300</xdr:colOff>
      <xdr:row>76</xdr:row>
      <xdr:rowOff>0</xdr:rowOff>
    </xdr:to>
    <xdr:pic>
      <xdr:nvPicPr>
        <xdr:cNvPr id="136603" name="Picture 1">
          <a:extLst>
            <a:ext uri="{FF2B5EF4-FFF2-40B4-BE49-F238E27FC236}">
              <a16:creationId xmlns:a16="http://schemas.microsoft.com/office/drawing/2014/main" id="{00000000-0008-0000-0E00-00009B1502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314325</xdr:colOff>
      <xdr:row>1</xdr:row>
      <xdr:rowOff>38100</xdr:rowOff>
    </xdr:from>
    <xdr:to>
      <xdr:col>9</xdr:col>
      <xdr:colOff>1543050</xdr:colOff>
      <xdr:row>9</xdr:row>
      <xdr:rowOff>0</xdr:rowOff>
    </xdr:to>
    <xdr:pic>
      <xdr:nvPicPr>
        <xdr:cNvPr id="136604" name="Graphics 1">
          <a:extLst>
            <a:ext uri="{FF2B5EF4-FFF2-40B4-BE49-F238E27FC236}">
              <a16:creationId xmlns:a16="http://schemas.microsoft.com/office/drawing/2014/main" id="{00000000-0008-0000-0E00-00009C1502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581775" y="200025"/>
          <a:ext cx="2609850" cy="1419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F"/>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1</xdr:col>
      <xdr:colOff>0</xdr:colOff>
      <xdr:row>44</xdr:row>
      <xdr:rowOff>0</xdr:rowOff>
    </xdr:from>
    <xdr:to>
      <xdr:col>14</xdr:col>
      <xdr:colOff>1247775</xdr:colOff>
      <xdr:row>69</xdr:row>
      <xdr:rowOff>28575</xdr:rowOff>
    </xdr:to>
    <xdr:graphicFrame macro="">
      <xdr:nvGraphicFramePr>
        <xdr:cNvPr id="136605" name="Chart 1">
          <a:extLst>
            <a:ext uri="{FF2B5EF4-FFF2-40B4-BE49-F238E27FC236}">
              <a16:creationId xmlns:a16="http://schemas.microsoft.com/office/drawing/2014/main" id="{00000000-0008-0000-0E00-00009D1502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1076325</xdr:colOff>
          <xdr:row>1</xdr:row>
          <xdr:rowOff>76200</xdr:rowOff>
        </xdr:from>
        <xdr:to>
          <xdr:col>15</xdr:col>
          <xdr:colOff>161925</xdr:colOff>
          <xdr:row>7</xdr:row>
          <xdr:rowOff>19050</xdr:rowOff>
        </xdr:to>
        <xdr:sp macro="" textlink="">
          <xdr:nvSpPr>
            <xdr:cNvPr id="199681" name="Object 1" hidden="1">
              <a:extLst>
                <a:ext uri="{63B3BB69-23CF-44E3-9099-C40C66FF867C}">
                  <a14:compatExt spid="_x0000_s199681"/>
                </a:ext>
                <a:ext uri="{FF2B5EF4-FFF2-40B4-BE49-F238E27FC236}">
                  <a16:creationId xmlns:a16="http://schemas.microsoft.com/office/drawing/2014/main" id="{00000000-0008-0000-0F00-0000010C03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twoCellAnchor editAs="oneCell">
    <xdr:from>
      <xdr:col>3</xdr:col>
      <xdr:colOff>971550</xdr:colOff>
      <xdr:row>75</xdr:row>
      <xdr:rowOff>19050</xdr:rowOff>
    </xdr:from>
    <xdr:to>
      <xdr:col>5</xdr:col>
      <xdr:colOff>114300</xdr:colOff>
      <xdr:row>76</xdr:row>
      <xdr:rowOff>0</xdr:rowOff>
    </xdr:to>
    <xdr:pic>
      <xdr:nvPicPr>
        <xdr:cNvPr id="199868" name="Picture 1">
          <a:extLst>
            <a:ext uri="{FF2B5EF4-FFF2-40B4-BE49-F238E27FC236}">
              <a16:creationId xmlns:a16="http://schemas.microsoft.com/office/drawing/2014/main" id="{00000000-0008-0000-0F00-0000BC0C03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mc:AlternateContent xmlns:mc="http://schemas.openxmlformats.org/markup-compatibility/2006">
    <mc:Choice xmlns:a14="http://schemas.microsoft.com/office/drawing/2010/main" Requires="a14">
      <xdr:twoCellAnchor>
        <xdr:from>
          <xdr:col>11</xdr:col>
          <xdr:colOff>257175</xdr:colOff>
          <xdr:row>76</xdr:row>
          <xdr:rowOff>266700</xdr:rowOff>
        </xdr:from>
        <xdr:to>
          <xdr:col>11</xdr:col>
          <xdr:colOff>876300</xdr:colOff>
          <xdr:row>78</xdr:row>
          <xdr:rowOff>161925</xdr:rowOff>
        </xdr:to>
        <xdr:sp macro="" textlink="">
          <xdr:nvSpPr>
            <xdr:cNvPr id="199682" name="Object 2" hidden="1">
              <a:extLst>
                <a:ext uri="{63B3BB69-23CF-44E3-9099-C40C66FF867C}">
                  <a14:compatExt spid="_x0000_s199682"/>
                </a:ext>
                <a:ext uri="{FF2B5EF4-FFF2-40B4-BE49-F238E27FC236}">
                  <a16:creationId xmlns:a16="http://schemas.microsoft.com/office/drawing/2014/main" id="{00000000-0008-0000-0F00-0000020C03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0</xdr:colOff>
      <xdr:row>43</xdr:row>
      <xdr:rowOff>0</xdr:rowOff>
    </xdr:from>
    <xdr:to>
      <xdr:col>14</xdr:col>
      <xdr:colOff>1247775</xdr:colOff>
      <xdr:row>68</xdr:row>
      <xdr:rowOff>38100</xdr:rowOff>
    </xdr:to>
    <xdr:graphicFrame macro="">
      <xdr:nvGraphicFramePr>
        <xdr:cNvPr id="199869" name="Chart 1">
          <a:extLst>
            <a:ext uri="{FF2B5EF4-FFF2-40B4-BE49-F238E27FC236}">
              <a16:creationId xmlns:a16="http://schemas.microsoft.com/office/drawing/2014/main" id="{00000000-0008-0000-0F00-0000BD0C0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editAs="oneCell">
    <xdr:from>
      <xdr:col>3</xdr:col>
      <xdr:colOff>971550</xdr:colOff>
      <xdr:row>75</xdr:row>
      <xdr:rowOff>19050</xdr:rowOff>
    </xdr:from>
    <xdr:to>
      <xdr:col>5</xdr:col>
      <xdr:colOff>114300</xdr:colOff>
      <xdr:row>76</xdr:row>
      <xdr:rowOff>0</xdr:rowOff>
    </xdr:to>
    <xdr:pic>
      <xdr:nvPicPr>
        <xdr:cNvPr id="215222" name="Picture 1">
          <a:extLst>
            <a:ext uri="{FF2B5EF4-FFF2-40B4-BE49-F238E27FC236}">
              <a16:creationId xmlns:a16="http://schemas.microsoft.com/office/drawing/2014/main" id="{00000000-0008-0000-1000-0000B64803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0404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43</xdr:row>
      <xdr:rowOff>0</xdr:rowOff>
    </xdr:from>
    <xdr:to>
      <xdr:col>14</xdr:col>
      <xdr:colOff>1247775</xdr:colOff>
      <xdr:row>68</xdr:row>
      <xdr:rowOff>38100</xdr:rowOff>
    </xdr:to>
    <xdr:graphicFrame macro="">
      <xdr:nvGraphicFramePr>
        <xdr:cNvPr id="215223" name="Chart 1">
          <a:extLst>
            <a:ext uri="{FF2B5EF4-FFF2-40B4-BE49-F238E27FC236}">
              <a16:creationId xmlns:a16="http://schemas.microsoft.com/office/drawing/2014/main" id="{00000000-0008-0000-1000-0000B7480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1085850</xdr:colOff>
          <xdr:row>1</xdr:row>
          <xdr:rowOff>76200</xdr:rowOff>
        </xdr:from>
        <xdr:to>
          <xdr:col>15</xdr:col>
          <xdr:colOff>161925</xdr:colOff>
          <xdr:row>7</xdr:row>
          <xdr:rowOff>66675</xdr:rowOff>
        </xdr:to>
        <xdr:sp macro="" textlink="">
          <xdr:nvSpPr>
            <xdr:cNvPr id="232449" name="Object 1" hidden="1">
              <a:extLst>
                <a:ext uri="{63B3BB69-23CF-44E3-9099-C40C66FF867C}">
                  <a14:compatExt spid="_x0000_s232449"/>
                </a:ext>
                <a:ext uri="{FF2B5EF4-FFF2-40B4-BE49-F238E27FC236}">
                  <a16:creationId xmlns:a16="http://schemas.microsoft.com/office/drawing/2014/main" id="{00000000-0008-0000-1100-0000018C03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twoCellAnchor editAs="oneCell">
    <xdr:from>
      <xdr:col>3</xdr:col>
      <xdr:colOff>971550</xdr:colOff>
      <xdr:row>75</xdr:row>
      <xdr:rowOff>19050</xdr:rowOff>
    </xdr:from>
    <xdr:to>
      <xdr:col>5</xdr:col>
      <xdr:colOff>114300</xdr:colOff>
      <xdr:row>76</xdr:row>
      <xdr:rowOff>0</xdr:rowOff>
    </xdr:to>
    <xdr:pic>
      <xdr:nvPicPr>
        <xdr:cNvPr id="232626" name="Picture 1">
          <a:extLst>
            <a:ext uri="{FF2B5EF4-FFF2-40B4-BE49-F238E27FC236}">
              <a16:creationId xmlns:a16="http://schemas.microsoft.com/office/drawing/2014/main" id="{00000000-0008-0000-1100-0000B28C03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43</xdr:row>
      <xdr:rowOff>0</xdr:rowOff>
    </xdr:from>
    <xdr:to>
      <xdr:col>14</xdr:col>
      <xdr:colOff>1247775</xdr:colOff>
      <xdr:row>68</xdr:row>
      <xdr:rowOff>38100</xdr:rowOff>
    </xdr:to>
    <xdr:graphicFrame macro="">
      <xdr:nvGraphicFramePr>
        <xdr:cNvPr id="232627" name="Chart 1">
          <a:extLst>
            <a:ext uri="{FF2B5EF4-FFF2-40B4-BE49-F238E27FC236}">
              <a16:creationId xmlns:a16="http://schemas.microsoft.com/office/drawing/2014/main" id="{00000000-0008-0000-1100-0000B38C0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1</xdr:col>
      <xdr:colOff>19050</xdr:colOff>
      <xdr:row>41</xdr:row>
      <xdr:rowOff>95250</xdr:rowOff>
    </xdr:from>
    <xdr:to>
      <xdr:col>14</xdr:col>
      <xdr:colOff>1266825</xdr:colOff>
      <xdr:row>66</xdr:row>
      <xdr:rowOff>142875</xdr:rowOff>
    </xdr:to>
    <xdr:graphicFrame macro="">
      <xdr:nvGraphicFramePr>
        <xdr:cNvPr id="2" name="Chart 1">
          <a:extLst>
            <a:ext uri="{FF2B5EF4-FFF2-40B4-BE49-F238E27FC236}">
              <a16:creationId xmlns:a16="http://schemas.microsoft.com/office/drawing/2014/main" id="{00000000-0008-0000-1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11</xdr:col>
          <xdr:colOff>1076325</xdr:colOff>
          <xdr:row>1</xdr:row>
          <xdr:rowOff>76200</xdr:rowOff>
        </xdr:from>
        <xdr:to>
          <xdr:col>15</xdr:col>
          <xdr:colOff>171450</xdr:colOff>
          <xdr:row>7</xdr:row>
          <xdr:rowOff>19050</xdr:rowOff>
        </xdr:to>
        <xdr:sp macro="" textlink="">
          <xdr:nvSpPr>
            <xdr:cNvPr id="307201" name="Object 1" hidden="1">
              <a:extLst>
                <a:ext uri="{63B3BB69-23CF-44E3-9099-C40C66FF867C}">
                  <a14:compatExt spid="_x0000_s307201"/>
                </a:ext>
                <a:ext uri="{FF2B5EF4-FFF2-40B4-BE49-F238E27FC236}">
                  <a16:creationId xmlns:a16="http://schemas.microsoft.com/office/drawing/2014/main" id="{00000000-0008-0000-1200-000001B004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1076325</xdr:colOff>
          <xdr:row>89</xdr:row>
          <xdr:rowOff>76200</xdr:rowOff>
        </xdr:from>
        <xdr:to>
          <xdr:col>15</xdr:col>
          <xdr:colOff>171450</xdr:colOff>
          <xdr:row>95</xdr:row>
          <xdr:rowOff>66675</xdr:rowOff>
        </xdr:to>
        <xdr:sp macro="" textlink="">
          <xdr:nvSpPr>
            <xdr:cNvPr id="307202" name="Object 2" hidden="1">
              <a:extLst>
                <a:ext uri="{63B3BB69-23CF-44E3-9099-C40C66FF867C}">
                  <a14:compatExt spid="_x0000_s307202"/>
                </a:ext>
                <a:ext uri="{FF2B5EF4-FFF2-40B4-BE49-F238E27FC236}">
                  <a16:creationId xmlns:a16="http://schemas.microsoft.com/office/drawing/2014/main" id="{00000000-0008-0000-1200-000002B004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wsDr>
</file>

<file path=xl/drawings/drawing17.xml><?xml version="1.0" encoding="utf-8"?>
<xdr:wsDr xmlns:xdr="http://schemas.openxmlformats.org/drawingml/2006/spreadsheetDrawing" xmlns:a="http://schemas.openxmlformats.org/drawingml/2006/main">
  <xdr:twoCellAnchor editAs="oneCell">
    <xdr:from>
      <xdr:col>5</xdr:col>
      <xdr:colOff>169334</xdr:colOff>
      <xdr:row>2</xdr:row>
      <xdr:rowOff>42333</xdr:rowOff>
    </xdr:from>
    <xdr:to>
      <xdr:col>10</xdr:col>
      <xdr:colOff>4387</xdr:colOff>
      <xdr:row>8</xdr:row>
      <xdr:rowOff>7744</xdr:rowOff>
    </xdr:to>
    <xdr:pic>
      <xdr:nvPicPr>
        <xdr:cNvPr id="2" name="Picture 1">
          <a:extLst>
            <a:ext uri="{FF2B5EF4-FFF2-40B4-BE49-F238E27FC236}">
              <a16:creationId xmlns:a16="http://schemas.microsoft.com/office/drawing/2014/main" id="{233C5F11-DD59-4829-BA18-9669B804A831}"/>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551" t="1465" r="63036" b="82599"/>
        <a:stretch>
          <a:fillRect/>
        </a:stretch>
      </xdr:blipFill>
      <xdr:spPr>
        <a:xfrm>
          <a:off x="4407959" y="404283"/>
          <a:ext cx="4173691" cy="1051261"/>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ndrew Mustoe" id="{11D8095A-B2E6-4A15-8D0E-AE4DCCC68A9A}" userId="Andrew Mustoe" providerId="None"/>
  <person displayName="Ben Brown" id="{20B2C93A-C5FC-4DD8-9AD2-8A7D0B0C11AD}" userId="S::bbrown@mpfiltri.co.uk::0f4df510-ad5e-4849-85d8-78861a676d33" providerId="AD"/>
  <person displayName="Andrew Mustoe" id="{DD7E289E-11DB-4158-B0B1-28F647DF03E7}" userId="S::amustoe@mpfiltri.co.uk::ccad4001-39ed-47b8-bea1-57cc6ff441ba" providerId="AD"/>
  <person displayName="Andrew Mustoe" id="{D7AD2BA4-BEBE-407B-A229-548784DCD6AC}" userId="S::andrew.mustoe@mpfiltri.com::ccad4001-39ed-47b8-bea1-57cc6ff441ba" providerId="AD"/>
</personList>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666.lpacal_1" connectionId="1" xr16:uid="{00000000-0016-0000-0300-000000000000}" autoFormatId="16" applyNumberFormats="0" applyBorderFormats="0" applyFontFormats="1" applyPatternFormats="1" applyAlignmentFormats="0" applyWidthHeightFormats="0"/>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LPA1.lpacal_1" connectionId="3" xr16:uid="{00000000-0016-0000-0300-000002000000}" autoFormatId="16" applyNumberFormats="0" applyBorderFormats="0" applyFontFormats="1" applyPatternFormats="1" applyAlignmentFormats="0" applyWidthHeightFormats="0"/>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666.lpacal_2" connectionId="2" xr16:uid="{00000000-0016-0000-0300-000001000000}"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5" dT="2022-05-18T15:46:07.59" personId="{20B2C93A-C5FC-4DD8-9AD2-8A7D0B0C11AD}" id="{BC74D712-4BBA-40F2-B448-A10E7FB1FBD2}">
    <text>Does this need a formula?</text>
  </threadedComment>
  <threadedComment ref="D5" dT="2025-04-24T12:14:43.38" personId="{D7AD2BA4-BEBE-407B-A229-548784DCD6AC}" id="{CDEA4083-A4D2-46A5-9765-17EB66033774}" parentId="{BC74D712-4BBA-40F2-B448-A10E7FB1FBD2}">
    <text>WILL SELF FILL FROM CAL RECORD</text>
  </threadedComment>
  <threadedComment ref="D10" dT="2022-02-16T13:09:11.84" personId="{DD7E289E-11DB-4158-B0B1-28F647DF03E7}" id="{4B24D107-2CB2-44F1-B33D-EFCAC3ED9174}">
    <text>For production: type "NEW BUILD"
For service: type "dd/mm/yy" e.g. 10/02/22</text>
  </threadedComment>
  <threadedComment ref="C11" dT="2022-05-18T15:46:46.47" personId="{20B2C93A-C5FC-4DD8-9AD2-8A7D0B0C11AD}" id="{1A14CD2B-A904-4FEC-A324-52C1F1ADC759}">
    <text>Service "sheet"number?</text>
  </threadedComment>
  <threadedComment ref="D14" dT="2020-07-06T14:03:54.45" personId="{11D8095A-B2E6-4A15-8D0E-AE4DCCC68A9A}" id="{FA1466CB-070C-4260-9B97-BD3ADF909999}">
    <text>MP NCR #</text>
  </threadedComment>
  <threadedComment ref="C36" dT="2022-05-18T09:52:09.42" personId="{20B2C93A-C5FC-4DD8-9AD2-8A7D0B0C11AD}" id="{AE1ABE23-9605-4AB3-8CA3-86E7C49EC511}">
    <text>No calibrated label</text>
  </threadedComment>
  <threadedComment ref="C36" dT="2022-05-18T09:59:24.37" personId="{20B2C93A-C5FC-4DD8-9AD2-8A7D0B0C11AD}" id="{92296090-5114-46D4-9694-CD0C6D39F5E3}" parentId="{AE1ABE23-9605-4AB3-8CA3-86E7C49EC511}">
    <text>Needs checkbox</text>
  </threadedComment>
  <threadedComment ref="C45" dT="2022-05-24T10:19:36.73" personId="{20B2C93A-C5FC-4DD8-9AD2-8A7D0B0C11AD}" id="{6BF3BCEA-D9E2-49E4-989F-20418EE85ED4}">
    <text>Add photos of settings page</text>
  </threadedComment>
  <threadedComment ref="C61" dT="2022-05-18T10:20:38.21" personId="{20B2C93A-C5FC-4DD8-9AD2-8A7D0B0C11AD}" id="{57AE5F58-7BE5-44C6-9AC2-4DBE9A9B68F3}">
    <text>DROP DOWNS?</text>
  </threadedComment>
</ThreadedComments>
</file>

<file path=xl/threadedComments/threadedComment2.xml><?xml version="1.0" encoding="utf-8"?>
<ThreadedComments xmlns="http://schemas.microsoft.com/office/spreadsheetml/2018/threadedcomments" xmlns:x="http://schemas.openxmlformats.org/spreadsheetml/2006/main">
  <threadedComment ref="D10" dT="2020-07-06T14:03:54.45" personId="{11D8095A-B2E6-4A15-8D0E-AE4DCCC68A9A}" id="{24AF978E-B775-457F-95A1-7D9DEBA8768C}">
    <text>customers NCR #</text>
  </threadedComment>
  <threadedComment ref="E10" dT="2020-07-06T14:04:06.31" personId="{11D8095A-B2E6-4A15-8D0E-AE4DCCC68A9A}" id="{8F373F8B-2779-45E9-9B9B-D01FDB54C751}">
    <text>MP's NCR #</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queryTable" Target="../queryTables/queryTable3.xml"/><Relationship Id="rId2" Type="http://schemas.openxmlformats.org/officeDocument/2006/relationships/queryTable" Target="../queryTables/queryTable2.xml"/><Relationship Id="rId1" Type="http://schemas.openxmlformats.org/officeDocument/2006/relationships/queryTable" Target="../queryTables/queryTable1.xml"/></Relationships>
</file>

<file path=xl/worksheets/_rels/sheet3.xml.rels><?xml version="1.0" encoding="UTF-8" standalone="yes"?>
<Relationships xmlns="http://schemas.openxmlformats.org/package/2006/relationships"><Relationship Id="rId26" Type="http://schemas.openxmlformats.org/officeDocument/2006/relationships/ctrlProp" Target="../ctrlProps/ctrlProp24.xml"/><Relationship Id="rId117" Type="http://schemas.openxmlformats.org/officeDocument/2006/relationships/ctrlProp" Target="../ctrlProps/ctrlProp115.xml"/><Relationship Id="rId21" Type="http://schemas.openxmlformats.org/officeDocument/2006/relationships/ctrlProp" Target="../ctrlProps/ctrlProp19.xml"/><Relationship Id="rId42" Type="http://schemas.openxmlformats.org/officeDocument/2006/relationships/ctrlProp" Target="../ctrlProps/ctrlProp40.xml"/><Relationship Id="rId47" Type="http://schemas.openxmlformats.org/officeDocument/2006/relationships/ctrlProp" Target="../ctrlProps/ctrlProp45.xml"/><Relationship Id="rId63" Type="http://schemas.openxmlformats.org/officeDocument/2006/relationships/ctrlProp" Target="../ctrlProps/ctrlProp61.xml"/><Relationship Id="rId68" Type="http://schemas.openxmlformats.org/officeDocument/2006/relationships/ctrlProp" Target="../ctrlProps/ctrlProp66.xml"/><Relationship Id="rId84" Type="http://schemas.openxmlformats.org/officeDocument/2006/relationships/ctrlProp" Target="../ctrlProps/ctrlProp82.xml"/><Relationship Id="rId89" Type="http://schemas.openxmlformats.org/officeDocument/2006/relationships/ctrlProp" Target="../ctrlProps/ctrlProp87.xml"/><Relationship Id="rId112" Type="http://schemas.openxmlformats.org/officeDocument/2006/relationships/ctrlProp" Target="../ctrlProps/ctrlProp110.xml"/><Relationship Id="rId16" Type="http://schemas.openxmlformats.org/officeDocument/2006/relationships/ctrlProp" Target="../ctrlProps/ctrlProp14.xml"/><Relationship Id="rId107" Type="http://schemas.openxmlformats.org/officeDocument/2006/relationships/ctrlProp" Target="../ctrlProps/ctrlProp105.xml"/><Relationship Id="rId11" Type="http://schemas.openxmlformats.org/officeDocument/2006/relationships/ctrlProp" Target="../ctrlProps/ctrlProp9.xml"/><Relationship Id="rId32" Type="http://schemas.openxmlformats.org/officeDocument/2006/relationships/ctrlProp" Target="../ctrlProps/ctrlProp30.xml"/><Relationship Id="rId37" Type="http://schemas.openxmlformats.org/officeDocument/2006/relationships/ctrlProp" Target="../ctrlProps/ctrlProp35.xml"/><Relationship Id="rId53" Type="http://schemas.openxmlformats.org/officeDocument/2006/relationships/ctrlProp" Target="../ctrlProps/ctrlProp51.xml"/><Relationship Id="rId58" Type="http://schemas.openxmlformats.org/officeDocument/2006/relationships/ctrlProp" Target="../ctrlProps/ctrlProp56.xml"/><Relationship Id="rId74" Type="http://schemas.openxmlformats.org/officeDocument/2006/relationships/ctrlProp" Target="../ctrlProps/ctrlProp72.xml"/><Relationship Id="rId79" Type="http://schemas.openxmlformats.org/officeDocument/2006/relationships/ctrlProp" Target="../ctrlProps/ctrlProp77.xml"/><Relationship Id="rId102" Type="http://schemas.openxmlformats.org/officeDocument/2006/relationships/ctrlProp" Target="../ctrlProps/ctrlProp100.xml"/><Relationship Id="rId123" Type="http://schemas.openxmlformats.org/officeDocument/2006/relationships/comments" Target="../comments1.xml"/><Relationship Id="rId5" Type="http://schemas.openxmlformats.org/officeDocument/2006/relationships/ctrlProp" Target="../ctrlProps/ctrlProp3.xml"/><Relationship Id="rId90" Type="http://schemas.openxmlformats.org/officeDocument/2006/relationships/ctrlProp" Target="../ctrlProps/ctrlProp88.xml"/><Relationship Id="rId95" Type="http://schemas.openxmlformats.org/officeDocument/2006/relationships/ctrlProp" Target="../ctrlProps/ctrlProp93.xml"/><Relationship Id="rId22" Type="http://schemas.openxmlformats.org/officeDocument/2006/relationships/ctrlProp" Target="../ctrlProps/ctrlProp20.xml"/><Relationship Id="rId27" Type="http://schemas.openxmlformats.org/officeDocument/2006/relationships/ctrlProp" Target="../ctrlProps/ctrlProp25.xml"/><Relationship Id="rId43" Type="http://schemas.openxmlformats.org/officeDocument/2006/relationships/ctrlProp" Target="../ctrlProps/ctrlProp41.xml"/><Relationship Id="rId48" Type="http://schemas.openxmlformats.org/officeDocument/2006/relationships/ctrlProp" Target="../ctrlProps/ctrlProp46.xml"/><Relationship Id="rId64" Type="http://schemas.openxmlformats.org/officeDocument/2006/relationships/ctrlProp" Target="../ctrlProps/ctrlProp62.xml"/><Relationship Id="rId69" Type="http://schemas.openxmlformats.org/officeDocument/2006/relationships/ctrlProp" Target="../ctrlProps/ctrlProp67.xml"/><Relationship Id="rId113" Type="http://schemas.openxmlformats.org/officeDocument/2006/relationships/ctrlProp" Target="../ctrlProps/ctrlProp111.xml"/><Relationship Id="rId118" Type="http://schemas.openxmlformats.org/officeDocument/2006/relationships/ctrlProp" Target="../ctrlProps/ctrlProp116.xml"/><Relationship Id="rId80" Type="http://schemas.openxmlformats.org/officeDocument/2006/relationships/ctrlProp" Target="../ctrlProps/ctrlProp78.xml"/><Relationship Id="rId85" Type="http://schemas.openxmlformats.org/officeDocument/2006/relationships/ctrlProp" Target="../ctrlProps/ctrlProp83.xml"/><Relationship Id="rId12" Type="http://schemas.openxmlformats.org/officeDocument/2006/relationships/ctrlProp" Target="../ctrlProps/ctrlProp10.xml"/><Relationship Id="rId17" Type="http://schemas.openxmlformats.org/officeDocument/2006/relationships/ctrlProp" Target="../ctrlProps/ctrlProp15.xml"/><Relationship Id="rId33" Type="http://schemas.openxmlformats.org/officeDocument/2006/relationships/ctrlProp" Target="../ctrlProps/ctrlProp31.xml"/><Relationship Id="rId38" Type="http://schemas.openxmlformats.org/officeDocument/2006/relationships/ctrlProp" Target="../ctrlProps/ctrlProp36.xml"/><Relationship Id="rId59" Type="http://schemas.openxmlformats.org/officeDocument/2006/relationships/ctrlProp" Target="../ctrlProps/ctrlProp57.xml"/><Relationship Id="rId103" Type="http://schemas.openxmlformats.org/officeDocument/2006/relationships/ctrlProp" Target="../ctrlProps/ctrlProp101.xml"/><Relationship Id="rId108" Type="http://schemas.openxmlformats.org/officeDocument/2006/relationships/ctrlProp" Target="../ctrlProps/ctrlProp106.xml"/><Relationship Id="rId124" Type="http://schemas.microsoft.com/office/2017/10/relationships/threadedComment" Target="../threadedComments/threadedComment1.xml"/><Relationship Id="rId54" Type="http://schemas.openxmlformats.org/officeDocument/2006/relationships/ctrlProp" Target="../ctrlProps/ctrlProp52.xml"/><Relationship Id="rId70" Type="http://schemas.openxmlformats.org/officeDocument/2006/relationships/ctrlProp" Target="../ctrlProps/ctrlProp68.xml"/><Relationship Id="rId75" Type="http://schemas.openxmlformats.org/officeDocument/2006/relationships/ctrlProp" Target="../ctrlProps/ctrlProp73.xml"/><Relationship Id="rId91" Type="http://schemas.openxmlformats.org/officeDocument/2006/relationships/ctrlProp" Target="../ctrlProps/ctrlProp89.xml"/><Relationship Id="rId96" Type="http://schemas.openxmlformats.org/officeDocument/2006/relationships/ctrlProp" Target="../ctrlProps/ctrlProp94.xml"/><Relationship Id="rId1" Type="http://schemas.openxmlformats.org/officeDocument/2006/relationships/drawing" Target="../drawings/drawing3.xml"/><Relationship Id="rId6" Type="http://schemas.openxmlformats.org/officeDocument/2006/relationships/ctrlProp" Target="../ctrlProps/ctrlProp4.xml"/><Relationship Id="rId23" Type="http://schemas.openxmlformats.org/officeDocument/2006/relationships/ctrlProp" Target="../ctrlProps/ctrlProp21.xml"/><Relationship Id="rId28" Type="http://schemas.openxmlformats.org/officeDocument/2006/relationships/ctrlProp" Target="../ctrlProps/ctrlProp26.xml"/><Relationship Id="rId49" Type="http://schemas.openxmlformats.org/officeDocument/2006/relationships/ctrlProp" Target="../ctrlProps/ctrlProp47.xml"/><Relationship Id="rId114" Type="http://schemas.openxmlformats.org/officeDocument/2006/relationships/ctrlProp" Target="../ctrlProps/ctrlProp112.xml"/><Relationship Id="rId119" Type="http://schemas.openxmlformats.org/officeDocument/2006/relationships/ctrlProp" Target="../ctrlProps/ctrlProp117.xml"/><Relationship Id="rId44" Type="http://schemas.openxmlformats.org/officeDocument/2006/relationships/ctrlProp" Target="../ctrlProps/ctrlProp42.xml"/><Relationship Id="rId60" Type="http://schemas.openxmlformats.org/officeDocument/2006/relationships/ctrlProp" Target="../ctrlProps/ctrlProp58.xml"/><Relationship Id="rId65" Type="http://schemas.openxmlformats.org/officeDocument/2006/relationships/ctrlProp" Target="../ctrlProps/ctrlProp63.xml"/><Relationship Id="rId81" Type="http://schemas.openxmlformats.org/officeDocument/2006/relationships/ctrlProp" Target="../ctrlProps/ctrlProp79.xml"/><Relationship Id="rId86" Type="http://schemas.openxmlformats.org/officeDocument/2006/relationships/ctrlProp" Target="../ctrlProps/ctrlProp84.xml"/><Relationship Id="rId4" Type="http://schemas.openxmlformats.org/officeDocument/2006/relationships/ctrlProp" Target="../ctrlProps/ctrlProp2.xml"/><Relationship Id="rId9" Type="http://schemas.openxmlformats.org/officeDocument/2006/relationships/ctrlProp" Target="../ctrlProps/ctrlProp7.xml"/><Relationship Id="rId13" Type="http://schemas.openxmlformats.org/officeDocument/2006/relationships/ctrlProp" Target="../ctrlProps/ctrlProp11.xml"/><Relationship Id="rId18" Type="http://schemas.openxmlformats.org/officeDocument/2006/relationships/ctrlProp" Target="../ctrlProps/ctrlProp16.xml"/><Relationship Id="rId39" Type="http://schemas.openxmlformats.org/officeDocument/2006/relationships/ctrlProp" Target="../ctrlProps/ctrlProp37.xml"/><Relationship Id="rId109" Type="http://schemas.openxmlformats.org/officeDocument/2006/relationships/ctrlProp" Target="../ctrlProps/ctrlProp107.xml"/><Relationship Id="rId34" Type="http://schemas.openxmlformats.org/officeDocument/2006/relationships/ctrlProp" Target="../ctrlProps/ctrlProp32.xml"/><Relationship Id="rId50" Type="http://schemas.openxmlformats.org/officeDocument/2006/relationships/ctrlProp" Target="../ctrlProps/ctrlProp48.xml"/><Relationship Id="rId55" Type="http://schemas.openxmlformats.org/officeDocument/2006/relationships/ctrlProp" Target="../ctrlProps/ctrlProp53.xml"/><Relationship Id="rId76" Type="http://schemas.openxmlformats.org/officeDocument/2006/relationships/ctrlProp" Target="../ctrlProps/ctrlProp74.xml"/><Relationship Id="rId97" Type="http://schemas.openxmlformats.org/officeDocument/2006/relationships/ctrlProp" Target="../ctrlProps/ctrlProp95.xml"/><Relationship Id="rId104" Type="http://schemas.openxmlformats.org/officeDocument/2006/relationships/ctrlProp" Target="../ctrlProps/ctrlProp102.xml"/><Relationship Id="rId120" Type="http://schemas.openxmlformats.org/officeDocument/2006/relationships/ctrlProp" Target="../ctrlProps/ctrlProp118.xml"/><Relationship Id="rId7" Type="http://schemas.openxmlformats.org/officeDocument/2006/relationships/ctrlProp" Target="../ctrlProps/ctrlProp5.xml"/><Relationship Id="rId71" Type="http://schemas.openxmlformats.org/officeDocument/2006/relationships/ctrlProp" Target="../ctrlProps/ctrlProp69.xml"/><Relationship Id="rId92" Type="http://schemas.openxmlformats.org/officeDocument/2006/relationships/ctrlProp" Target="../ctrlProps/ctrlProp90.xml"/><Relationship Id="rId2" Type="http://schemas.openxmlformats.org/officeDocument/2006/relationships/vmlDrawing" Target="../drawings/vmlDrawing1.vml"/><Relationship Id="rId29" Type="http://schemas.openxmlformats.org/officeDocument/2006/relationships/ctrlProp" Target="../ctrlProps/ctrlProp27.xml"/><Relationship Id="rId24" Type="http://schemas.openxmlformats.org/officeDocument/2006/relationships/ctrlProp" Target="../ctrlProps/ctrlProp22.xml"/><Relationship Id="rId40" Type="http://schemas.openxmlformats.org/officeDocument/2006/relationships/ctrlProp" Target="../ctrlProps/ctrlProp38.xml"/><Relationship Id="rId45" Type="http://schemas.openxmlformats.org/officeDocument/2006/relationships/ctrlProp" Target="../ctrlProps/ctrlProp43.xml"/><Relationship Id="rId66" Type="http://schemas.openxmlformats.org/officeDocument/2006/relationships/ctrlProp" Target="../ctrlProps/ctrlProp64.xml"/><Relationship Id="rId87" Type="http://schemas.openxmlformats.org/officeDocument/2006/relationships/ctrlProp" Target="../ctrlProps/ctrlProp85.xml"/><Relationship Id="rId110" Type="http://schemas.openxmlformats.org/officeDocument/2006/relationships/ctrlProp" Target="../ctrlProps/ctrlProp108.xml"/><Relationship Id="rId115" Type="http://schemas.openxmlformats.org/officeDocument/2006/relationships/ctrlProp" Target="../ctrlProps/ctrlProp113.xml"/><Relationship Id="rId61" Type="http://schemas.openxmlformats.org/officeDocument/2006/relationships/ctrlProp" Target="../ctrlProps/ctrlProp59.xml"/><Relationship Id="rId82" Type="http://schemas.openxmlformats.org/officeDocument/2006/relationships/ctrlProp" Target="../ctrlProps/ctrlProp80.xml"/><Relationship Id="rId19" Type="http://schemas.openxmlformats.org/officeDocument/2006/relationships/ctrlProp" Target="../ctrlProps/ctrlProp17.xml"/><Relationship Id="rId14" Type="http://schemas.openxmlformats.org/officeDocument/2006/relationships/ctrlProp" Target="../ctrlProps/ctrlProp12.xml"/><Relationship Id="rId30" Type="http://schemas.openxmlformats.org/officeDocument/2006/relationships/ctrlProp" Target="../ctrlProps/ctrlProp28.xml"/><Relationship Id="rId35" Type="http://schemas.openxmlformats.org/officeDocument/2006/relationships/ctrlProp" Target="../ctrlProps/ctrlProp33.xml"/><Relationship Id="rId56" Type="http://schemas.openxmlformats.org/officeDocument/2006/relationships/ctrlProp" Target="../ctrlProps/ctrlProp54.xml"/><Relationship Id="rId77" Type="http://schemas.openxmlformats.org/officeDocument/2006/relationships/ctrlProp" Target="../ctrlProps/ctrlProp75.xml"/><Relationship Id="rId100" Type="http://schemas.openxmlformats.org/officeDocument/2006/relationships/ctrlProp" Target="../ctrlProps/ctrlProp98.xml"/><Relationship Id="rId105" Type="http://schemas.openxmlformats.org/officeDocument/2006/relationships/ctrlProp" Target="../ctrlProps/ctrlProp103.xml"/><Relationship Id="rId8" Type="http://schemas.openxmlformats.org/officeDocument/2006/relationships/ctrlProp" Target="../ctrlProps/ctrlProp6.xml"/><Relationship Id="rId51" Type="http://schemas.openxmlformats.org/officeDocument/2006/relationships/ctrlProp" Target="../ctrlProps/ctrlProp49.xml"/><Relationship Id="rId72" Type="http://schemas.openxmlformats.org/officeDocument/2006/relationships/ctrlProp" Target="../ctrlProps/ctrlProp70.xml"/><Relationship Id="rId93" Type="http://schemas.openxmlformats.org/officeDocument/2006/relationships/ctrlProp" Target="../ctrlProps/ctrlProp91.xml"/><Relationship Id="rId98" Type="http://schemas.openxmlformats.org/officeDocument/2006/relationships/ctrlProp" Target="../ctrlProps/ctrlProp96.xml"/><Relationship Id="rId121" Type="http://schemas.openxmlformats.org/officeDocument/2006/relationships/ctrlProp" Target="../ctrlProps/ctrlProp119.xml"/><Relationship Id="rId3" Type="http://schemas.openxmlformats.org/officeDocument/2006/relationships/ctrlProp" Target="../ctrlProps/ctrlProp1.xml"/><Relationship Id="rId25" Type="http://schemas.openxmlformats.org/officeDocument/2006/relationships/ctrlProp" Target="../ctrlProps/ctrlProp23.xml"/><Relationship Id="rId46" Type="http://schemas.openxmlformats.org/officeDocument/2006/relationships/ctrlProp" Target="../ctrlProps/ctrlProp44.xml"/><Relationship Id="rId67" Type="http://schemas.openxmlformats.org/officeDocument/2006/relationships/ctrlProp" Target="../ctrlProps/ctrlProp65.xml"/><Relationship Id="rId116" Type="http://schemas.openxmlformats.org/officeDocument/2006/relationships/ctrlProp" Target="../ctrlProps/ctrlProp114.xml"/><Relationship Id="rId20" Type="http://schemas.openxmlformats.org/officeDocument/2006/relationships/ctrlProp" Target="../ctrlProps/ctrlProp18.xml"/><Relationship Id="rId41" Type="http://schemas.openxmlformats.org/officeDocument/2006/relationships/ctrlProp" Target="../ctrlProps/ctrlProp39.xml"/><Relationship Id="rId62" Type="http://schemas.openxmlformats.org/officeDocument/2006/relationships/ctrlProp" Target="../ctrlProps/ctrlProp60.xml"/><Relationship Id="rId83" Type="http://schemas.openxmlformats.org/officeDocument/2006/relationships/ctrlProp" Target="../ctrlProps/ctrlProp81.xml"/><Relationship Id="rId88" Type="http://schemas.openxmlformats.org/officeDocument/2006/relationships/ctrlProp" Target="../ctrlProps/ctrlProp86.xml"/><Relationship Id="rId111" Type="http://schemas.openxmlformats.org/officeDocument/2006/relationships/ctrlProp" Target="../ctrlProps/ctrlProp109.xml"/><Relationship Id="rId15" Type="http://schemas.openxmlformats.org/officeDocument/2006/relationships/ctrlProp" Target="../ctrlProps/ctrlProp13.xml"/><Relationship Id="rId36" Type="http://schemas.openxmlformats.org/officeDocument/2006/relationships/ctrlProp" Target="../ctrlProps/ctrlProp34.xml"/><Relationship Id="rId57" Type="http://schemas.openxmlformats.org/officeDocument/2006/relationships/ctrlProp" Target="../ctrlProps/ctrlProp55.xml"/><Relationship Id="rId106" Type="http://schemas.openxmlformats.org/officeDocument/2006/relationships/ctrlProp" Target="../ctrlProps/ctrlProp104.xml"/><Relationship Id="rId10" Type="http://schemas.openxmlformats.org/officeDocument/2006/relationships/ctrlProp" Target="../ctrlProps/ctrlProp8.xml"/><Relationship Id="rId31" Type="http://schemas.openxmlformats.org/officeDocument/2006/relationships/ctrlProp" Target="../ctrlProps/ctrlProp29.xml"/><Relationship Id="rId52" Type="http://schemas.openxmlformats.org/officeDocument/2006/relationships/ctrlProp" Target="../ctrlProps/ctrlProp50.xml"/><Relationship Id="rId73" Type="http://schemas.openxmlformats.org/officeDocument/2006/relationships/ctrlProp" Target="../ctrlProps/ctrlProp71.xml"/><Relationship Id="rId78" Type="http://schemas.openxmlformats.org/officeDocument/2006/relationships/ctrlProp" Target="../ctrlProps/ctrlProp76.xml"/><Relationship Id="rId94" Type="http://schemas.openxmlformats.org/officeDocument/2006/relationships/ctrlProp" Target="../ctrlProps/ctrlProp92.xml"/><Relationship Id="rId99" Type="http://schemas.openxmlformats.org/officeDocument/2006/relationships/ctrlProp" Target="../ctrlProps/ctrlProp97.xml"/><Relationship Id="rId101" Type="http://schemas.openxmlformats.org/officeDocument/2006/relationships/ctrlProp" Target="../ctrlProps/ctrlProp99.xml"/><Relationship Id="rId122" Type="http://schemas.openxmlformats.org/officeDocument/2006/relationships/ctrlProp" Target="../ctrlProps/ctrlProp120.xml"/></Relationships>
</file>

<file path=xl/worksheets/_rels/sheet4.xml.rels><?xml version="1.0" encoding="UTF-8" standalone="yes"?>
<Relationships xmlns="http://schemas.openxmlformats.org/package/2006/relationships"><Relationship Id="rId3" Type="http://schemas.openxmlformats.org/officeDocument/2006/relationships/ctrlProp" Target="../ctrlProps/ctrlProp121.xml"/><Relationship Id="rId2" Type="http://schemas.openxmlformats.org/officeDocument/2006/relationships/vmlDrawing" Target="../drawings/vmlDrawing2.v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17" Type="http://schemas.openxmlformats.org/officeDocument/2006/relationships/ctrlProp" Target="../ctrlProps/ctrlProp236.xml"/><Relationship Id="rId21" Type="http://schemas.openxmlformats.org/officeDocument/2006/relationships/ctrlProp" Target="../ctrlProps/ctrlProp140.xml"/><Relationship Id="rId42" Type="http://schemas.openxmlformats.org/officeDocument/2006/relationships/ctrlProp" Target="../ctrlProps/ctrlProp161.xml"/><Relationship Id="rId63" Type="http://schemas.openxmlformats.org/officeDocument/2006/relationships/ctrlProp" Target="../ctrlProps/ctrlProp182.xml"/><Relationship Id="rId84" Type="http://schemas.openxmlformats.org/officeDocument/2006/relationships/ctrlProp" Target="../ctrlProps/ctrlProp203.xml"/><Relationship Id="rId138" Type="http://schemas.openxmlformats.org/officeDocument/2006/relationships/ctrlProp" Target="../ctrlProps/ctrlProp257.xml"/><Relationship Id="rId159" Type="http://schemas.openxmlformats.org/officeDocument/2006/relationships/ctrlProp" Target="../ctrlProps/ctrlProp278.xml"/><Relationship Id="rId107" Type="http://schemas.openxmlformats.org/officeDocument/2006/relationships/ctrlProp" Target="../ctrlProps/ctrlProp226.xml"/><Relationship Id="rId11" Type="http://schemas.openxmlformats.org/officeDocument/2006/relationships/ctrlProp" Target="../ctrlProps/ctrlProp130.xml"/><Relationship Id="rId32" Type="http://schemas.openxmlformats.org/officeDocument/2006/relationships/ctrlProp" Target="../ctrlProps/ctrlProp151.xml"/><Relationship Id="rId53" Type="http://schemas.openxmlformats.org/officeDocument/2006/relationships/ctrlProp" Target="../ctrlProps/ctrlProp172.xml"/><Relationship Id="rId74" Type="http://schemas.openxmlformats.org/officeDocument/2006/relationships/ctrlProp" Target="../ctrlProps/ctrlProp193.xml"/><Relationship Id="rId128" Type="http://schemas.openxmlformats.org/officeDocument/2006/relationships/ctrlProp" Target="../ctrlProps/ctrlProp247.xml"/><Relationship Id="rId149" Type="http://schemas.openxmlformats.org/officeDocument/2006/relationships/ctrlProp" Target="../ctrlProps/ctrlProp268.xml"/><Relationship Id="rId5" Type="http://schemas.openxmlformats.org/officeDocument/2006/relationships/ctrlProp" Target="../ctrlProps/ctrlProp124.xml"/><Relationship Id="rId95" Type="http://schemas.openxmlformats.org/officeDocument/2006/relationships/ctrlProp" Target="../ctrlProps/ctrlProp214.xml"/><Relationship Id="rId160" Type="http://schemas.openxmlformats.org/officeDocument/2006/relationships/ctrlProp" Target="../ctrlProps/ctrlProp279.xml"/><Relationship Id="rId22" Type="http://schemas.openxmlformats.org/officeDocument/2006/relationships/ctrlProp" Target="../ctrlProps/ctrlProp141.xml"/><Relationship Id="rId43" Type="http://schemas.openxmlformats.org/officeDocument/2006/relationships/ctrlProp" Target="../ctrlProps/ctrlProp162.xml"/><Relationship Id="rId64" Type="http://schemas.openxmlformats.org/officeDocument/2006/relationships/ctrlProp" Target="../ctrlProps/ctrlProp183.xml"/><Relationship Id="rId118" Type="http://schemas.openxmlformats.org/officeDocument/2006/relationships/ctrlProp" Target="../ctrlProps/ctrlProp237.xml"/><Relationship Id="rId139" Type="http://schemas.openxmlformats.org/officeDocument/2006/relationships/ctrlProp" Target="../ctrlProps/ctrlProp258.xml"/><Relationship Id="rId85" Type="http://schemas.openxmlformats.org/officeDocument/2006/relationships/ctrlProp" Target="../ctrlProps/ctrlProp204.xml"/><Relationship Id="rId150" Type="http://schemas.openxmlformats.org/officeDocument/2006/relationships/ctrlProp" Target="../ctrlProps/ctrlProp269.xml"/><Relationship Id="rId12" Type="http://schemas.openxmlformats.org/officeDocument/2006/relationships/ctrlProp" Target="../ctrlProps/ctrlProp131.xml"/><Relationship Id="rId33" Type="http://schemas.openxmlformats.org/officeDocument/2006/relationships/ctrlProp" Target="../ctrlProps/ctrlProp152.xml"/><Relationship Id="rId108" Type="http://schemas.openxmlformats.org/officeDocument/2006/relationships/ctrlProp" Target="../ctrlProps/ctrlProp227.xml"/><Relationship Id="rId129" Type="http://schemas.openxmlformats.org/officeDocument/2006/relationships/ctrlProp" Target="../ctrlProps/ctrlProp248.xml"/><Relationship Id="rId54" Type="http://schemas.openxmlformats.org/officeDocument/2006/relationships/ctrlProp" Target="../ctrlProps/ctrlProp173.xml"/><Relationship Id="rId70" Type="http://schemas.openxmlformats.org/officeDocument/2006/relationships/ctrlProp" Target="../ctrlProps/ctrlProp189.xml"/><Relationship Id="rId75" Type="http://schemas.openxmlformats.org/officeDocument/2006/relationships/ctrlProp" Target="../ctrlProps/ctrlProp194.xml"/><Relationship Id="rId91" Type="http://schemas.openxmlformats.org/officeDocument/2006/relationships/ctrlProp" Target="../ctrlProps/ctrlProp210.xml"/><Relationship Id="rId96" Type="http://schemas.openxmlformats.org/officeDocument/2006/relationships/ctrlProp" Target="../ctrlProps/ctrlProp215.xml"/><Relationship Id="rId140" Type="http://schemas.openxmlformats.org/officeDocument/2006/relationships/ctrlProp" Target="../ctrlProps/ctrlProp259.xml"/><Relationship Id="rId145" Type="http://schemas.openxmlformats.org/officeDocument/2006/relationships/ctrlProp" Target="../ctrlProps/ctrlProp264.xml"/><Relationship Id="rId161" Type="http://schemas.openxmlformats.org/officeDocument/2006/relationships/ctrlProp" Target="../ctrlProps/ctrlProp280.xml"/><Relationship Id="rId166" Type="http://schemas.openxmlformats.org/officeDocument/2006/relationships/ctrlProp" Target="../ctrlProps/ctrlProp285.xml"/><Relationship Id="rId1" Type="http://schemas.openxmlformats.org/officeDocument/2006/relationships/drawing" Target="../drawings/drawing5.xml"/><Relationship Id="rId6" Type="http://schemas.openxmlformats.org/officeDocument/2006/relationships/ctrlProp" Target="../ctrlProps/ctrlProp125.xml"/><Relationship Id="rId23" Type="http://schemas.openxmlformats.org/officeDocument/2006/relationships/ctrlProp" Target="../ctrlProps/ctrlProp142.xml"/><Relationship Id="rId28" Type="http://schemas.openxmlformats.org/officeDocument/2006/relationships/ctrlProp" Target="../ctrlProps/ctrlProp147.xml"/><Relationship Id="rId49" Type="http://schemas.openxmlformats.org/officeDocument/2006/relationships/ctrlProp" Target="../ctrlProps/ctrlProp168.xml"/><Relationship Id="rId114" Type="http://schemas.openxmlformats.org/officeDocument/2006/relationships/ctrlProp" Target="../ctrlProps/ctrlProp233.xml"/><Relationship Id="rId119" Type="http://schemas.openxmlformats.org/officeDocument/2006/relationships/ctrlProp" Target="../ctrlProps/ctrlProp238.xml"/><Relationship Id="rId44" Type="http://schemas.openxmlformats.org/officeDocument/2006/relationships/ctrlProp" Target="../ctrlProps/ctrlProp163.xml"/><Relationship Id="rId60" Type="http://schemas.openxmlformats.org/officeDocument/2006/relationships/ctrlProp" Target="../ctrlProps/ctrlProp179.xml"/><Relationship Id="rId65" Type="http://schemas.openxmlformats.org/officeDocument/2006/relationships/ctrlProp" Target="../ctrlProps/ctrlProp184.xml"/><Relationship Id="rId81" Type="http://schemas.openxmlformats.org/officeDocument/2006/relationships/ctrlProp" Target="../ctrlProps/ctrlProp200.xml"/><Relationship Id="rId86" Type="http://schemas.openxmlformats.org/officeDocument/2006/relationships/ctrlProp" Target="../ctrlProps/ctrlProp205.xml"/><Relationship Id="rId130" Type="http://schemas.openxmlformats.org/officeDocument/2006/relationships/ctrlProp" Target="../ctrlProps/ctrlProp249.xml"/><Relationship Id="rId135" Type="http://schemas.openxmlformats.org/officeDocument/2006/relationships/ctrlProp" Target="../ctrlProps/ctrlProp254.xml"/><Relationship Id="rId151" Type="http://schemas.openxmlformats.org/officeDocument/2006/relationships/ctrlProp" Target="../ctrlProps/ctrlProp270.xml"/><Relationship Id="rId156" Type="http://schemas.openxmlformats.org/officeDocument/2006/relationships/ctrlProp" Target="../ctrlProps/ctrlProp275.xml"/><Relationship Id="rId13" Type="http://schemas.openxmlformats.org/officeDocument/2006/relationships/ctrlProp" Target="../ctrlProps/ctrlProp132.xml"/><Relationship Id="rId18" Type="http://schemas.openxmlformats.org/officeDocument/2006/relationships/ctrlProp" Target="../ctrlProps/ctrlProp137.xml"/><Relationship Id="rId39" Type="http://schemas.openxmlformats.org/officeDocument/2006/relationships/ctrlProp" Target="../ctrlProps/ctrlProp158.xml"/><Relationship Id="rId109" Type="http://schemas.openxmlformats.org/officeDocument/2006/relationships/ctrlProp" Target="../ctrlProps/ctrlProp228.xml"/><Relationship Id="rId34" Type="http://schemas.openxmlformats.org/officeDocument/2006/relationships/ctrlProp" Target="../ctrlProps/ctrlProp153.xml"/><Relationship Id="rId50" Type="http://schemas.openxmlformats.org/officeDocument/2006/relationships/ctrlProp" Target="../ctrlProps/ctrlProp169.xml"/><Relationship Id="rId55" Type="http://schemas.openxmlformats.org/officeDocument/2006/relationships/ctrlProp" Target="../ctrlProps/ctrlProp174.xml"/><Relationship Id="rId76" Type="http://schemas.openxmlformats.org/officeDocument/2006/relationships/ctrlProp" Target="../ctrlProps/ctrlProp195.xml"/><Relationship Id="rId97" Type="http://schemas.openxmlformats.org/officeDocument/2006/relationships/ctrlProp" Target="../ctrlProps/ctrlProp216.xml"/><Relationship Id="rId104" Type="http://schemas.openxmlformats.org/officeDocument/2006/relationships/ctrlProp" Target="../ctrlProps/ctrlProp223.xml"/><Relationship Id="rId120" Type="http://schemas.openxmlformats.org/officeDocument/2006/relationships/ctrlProp" Target="../ctrlProps/ctrlProp239.xml"/><Relationship Id="rId125" Type="http://schemas.openxmlformats.org/officeDocument/2006/relationships/ctrlProp" Target="../ctrlProps/ctrlProp244.xml"/><Relationship Id="rId141" Type="http://schemas.openxmlformats.org/officeDocument/2006/relationships/ctrlProp" Target="../ctrlProps/ctrlProp260.xml"/><Relationship Id="rId146" Type="http://schemas.openxmlformats.org/officeDocument/2006/relationships/ctrlProp" Target="../ctrlProps/ctrlProp265.xml"/><Relationship Id="rId167" Type="http://schemas.openxmlformats.org/officeDocument/2006/relationships/ctrlProp" Target="../ctrlProps/ctrlProp286.xml"/><Relationship Id="rId7" Type="http://schemas.openxmlformats.org/officeDocument/2006/relationships/ctrlProp" Target="../ctrlProps/ctrlProp126.xml"/><Relationship Id="rId71" Type="http://schemas.openxmlformats.org/officeDocument/2006/relationships/ctrlProp" Target="../ctrlProps/ctrlProp190.xml"/><Relationship Id="rId92" Type="http://schemas.openxmlformats.org/officeDocument/2006/relationships/ctrlProp" Target="../ctrlProps/ctrlProp211.xml"/><Relationship Id="rId162" Type="http://schemas.openxmlformats.org/officeDocument/2006/relationships/ctrlProp" Target="../ctrlProps/ctrlProp281.xml"/><Relationship Id="rId2" Type="http://schemas.openxmlformats.org/officeDocument/2006/relationships/vmlDrawing" Target="../drawings/vmlDrawing3.vml"/><Relationship Id="rId29" Type="http://schemas.openxmlformats.org/officeDocument/2006/relationships/ctrlProp" Target="../ctrlProps/ctrlProp148.xml"/><Relationship Id="rId24" Type="http://schemas.openxmlformats.org/officeDocument/2006/relationships/ctrlProp" Target="../ctrlProps/ctrlProp143.xml"/><Relationship Id="rId40" Type="http://schemas.openxmlformats.org/officeDocument/2006/relationships/ctrlProp" Target="../ctrlProps/ctrlProp159.xml"/><Relationship Id="rId45" Type="http://schemas.openxmlformats.org/officeDocument/2006/relationships/ctrlProp" Target="../ctrlProps/ctrlProp164.xml"/><Relationship Id="rId66" Type="http://schemas.openxmlformats.org/officeDocument/2006/relationships/ctrlProp" Target="../ctrlProps/ctrlProp185.xml"/><Relationship Id="rId87" Type="http://schemas.openxmlformats.org/officeDocument/2006/relationships/ctrlProp" Target="../ctrlProps/ctrlProp206.xml"/><Relationship Id="rId110" Type="http://schemas.openxmlformats.org/officeDocument/2006/relationships/ctrlProp" Target="../ctrlProps/ctrlProp229.xml"/><Relationship Id="rId115" Type="http://schemas.openxmlformats.org/officeDocument/2006/relationships/ctrlProp" Target="../ctrlProps/ctrlProp234.xml"/><Relationship Id="rId131" Type="http://schemas.openxmlformats.org/officeDocument/2006/relationships/ctrlProp" Target="../ctrlProps/ctrlProp250.xml"/><Relationship Id="rId136" Type="http://schemas.openxmlformats.org/officeDocument/2006/relationships/ctrlProp" Target="../ctrlProps/ctrlProp255.xml"/><Relationship Id="rId157" Type="http://schemas.openxmlformats.org/officeDocument/2006/relationships/ctrlProp" Target="../ctrlProps/ctrlProp276.xml"/><Relationship Id="rId61" Type="http://schemas.openxmlformats.org/officeDocument/2006/relationships/ctrlProp" Target="../ctrlProps/ctrlProp180.xml"/><Relationship Id="rId82" Type="http://schemas.openxmlformats.org/officeDocument/2006/relationships/ctrlProp" Target="../ctrlProps/ctrlProp201.xml"/><Relationship Id="rId152" Type="http://schemas.openxmlformats.org/officeDocument/2006/relationships/ctrlProp" Target="../ctrlProps/ctrlProp271.xml"/><Relationship Id="rId19" Type="http://schemas.openxmlformats.org/officeDocument/2006/relationships/ctrlProp" Target="../ctrlProps/ctrlProp138.xml"/><Relationship Id="rId14" Type="http://schemas.openxmlformats.org/officeDocument/2006/relationships/ctrlProp" Target="../ctrlProps/ctrlProp133.xml"/><Relationship Id="rId30" Type="http://schemas.openxmlformats.org/officeDocument/2006/relationships/ctrlProp" Target="../ctrlProps/ctrlProp149.xml"/><Relationship Id="rId35" Type="http://schemas.openxmlformats.org/officeDocument/2006/relationships/ctrlProp" Target="../ctrlProps/ctrlProp154.xml"/><Relationship Id="rId56" Type="http://schemas.openxmlformats.org/officeDocument/2006/relationships/ctrlProp" Target="../ctrlProps/ctrlProp175.xml"/><Relationship Id="rId77" Type="http://schemas.openxmlformats.org/officeDocument/2006/relationships/ctrlProp" Target="../ctrlProps/ctrlProp196.xml"/><Relationship Id="rId100" Type="http://schemas.openxmlformats.org/officeDocument/2006/relationships/ctrlProp" Target="../ctrlProps/ctrlProp219.xml"/><Relationship Id="rId105" Type="http://schemas.openxmlformats.org/officeDocument/2006/relationships/ctrlProp" Target="../ctrlProps/ctrlProp224.xml"/><Relationship Id="rId126" Type="http://schemas.openxmlformats.org/officeDocument/2006/relationships/ctrlProp" Target="../ctrlProps/ctrlProp245.xml"/><Relationship Id="rId147" Type="http://schemas.openxmlformats.org/officeDocument/2006/relationships/ctrlProp" Target="../ctrlProps/ctrlProp266.xml"/><Relationship Id="rId168" Type="http://schemas.openxmlformats.org/officeDocument/2006/relationships/comments" Target="../comments2.xml"/><Relationship Id="rId8" Type="http://schemas.openxmlformats.org/officeDocument/2006/relationships/ctrlProp" Target="../ctrlProps/ctrlProp127.xml"/><Relationship Id="rId51" Type="http://schemas.openxmlformats.org/officeDocument/2006/relationships/ctrlProp" Target="../ctrlProps/ctrlProp170.xml"/><Relationship Id="rId72" Type="http://schemas.openxmlformats.org/officeDocument/2006/relationships/ctrlProp" Target="../ctrlProps/ctrlProp191.xml"/><Relationship Id="rId93" Type="http://schemas.openxmlformats.org/officeDocument/2006/relationships/ctrlProp" Target="../ctrlProps/ctrlProp212.xml"/><Relationship Id="rId98" Type="http://schemas.openxmlformats.org/officeDocument/2006/relationships/ctrlProp" Target="../ctrlProps/ctrlProp217.xml"/><Relationship Id="rId121" Type="http://schemas.openxmlformats.org/officeDocument/2006/relationships/ctrlProp" Target="../ctrlProps/ctrlProp240.xml"/><Relationship Id="rId142" Type="http://schemas.openxmlformats.org/officeDocument/2006/relationships/ctrlProp" Target="../ctrlProps/ctrlProp261.xml"/><Relationship Id="rId163" Type="http://schemas.openxmlformats.org/officeDocument/2006/relationships/ctrlProp" Target="../ctrlProps/ctrlProp282.xml"/><Relationship Id="rId3" Type="http://schemas.openxmlformats.org/officeDocument/2006/relationships/ctrlProp" Target="../ctrlProps/ctrlProp122.xml"/><Relationship Id="rId25" Type="http://schemas.openxmlformats.org/officeDocument/2006/relationships/ctrlProp" Target="../ctrlProps/ctrlProp144.xml"/><Relationship Id="rId46" Type="http://schemas.openxmlformats.org/officeDocument/2006/relationships/ctrlProp" Target="../ctrlProps/ctrlProp165.xml"/><Relationship Id="rId67" Type="http://schemas.openxmlformats.org/officeDocument/2006/relationships/ctrlProp" Target="../ctrlProps/ctrlProp186.xml"/><Relationship Id="rId116" Type="http://schemas.openxmlformats.org/officeDocument/2006/relationships/ctrlProp" Target="../ctrlProps/ctrlProp235.xml"/><Relationship Id="rId137" Type="http://schemas.openxmlformats.org/officeDocument/2006/relationships/ctrlProp" Target="../ctrlProps/ctrlProp256.xml"/><Relationship Id="rId158" Type="http://schemas.openxmlformats.org/officeDocument/2006/relationships/ctrlProp" Target="../ctrlProps/ctrlProp277.xml"/><Relationship Id="rId20" Type="http://schemas.openxmlformats.org/officeDocument/2006/relationships/ctrlProp" Target="../ctrlProps/ctrlProp139.xml"/><Relationship Id="rId41" Type="http://schemas.openxmlformats.org/officeDocument/2006/relationships/ctrlProp" Target="../ctrlProps/ctrlProp160.xml"/><Relationship Id="rId62" Type="http://schemas.openxmlformats.org/officeDocument/2006/relationships/ctrlProp" Target="../ctrlProps/ctrlProp181.xml"/><Relationship Id="rId83" Type="http://schemas.openxmlformats.org/officeDocument/2006/relationships/ctrlProp" Target="../ctrlProps/ctrlProp202.xml"/><Relationship Id="rId88" Type="http://schemas.openxmlformats.org/officeDocument/2006/relationships/ctrlProp" Target="../ctrlProps/ctrlProp207.xml"/><Relationship Id="rId111" Type="http://schemas.openxmlformats.org/officeDocument/2006/relationships/ctrlProp" Target="../ctrlProps/ctrlProp230.xml"/><Relationship Id="rId132" Type="http://schemas.openxmlformats.org/officeDocument/2006/relationships/ctrlProp" Target="../ctrlProps/ctrlProp251.xml"/><Relationship Id="rId153" Type="http://schemas.openxmlformats.org/officeDocument/2006/relationships/ctrlProp" Target="../ctrlProps/ctrlProp272.xml"/><Relationship Id="rId15" Type="http://schemas.openxmlformats.org/officeDocument/2006/relationships/ctrlProp" Target="../ctrlProps/ctrlProp134.xml"/><Relationship Id="rId36" Type="http://schemas.openxmlformats.org/officeDocument/2006/relationships/ctrlProp" Target="../ctrlProps/ctrlProp155.xml"/><Relationship Id="rId57" Type="http://schemas.openxmlformats.org/officeDocument/2006/relationships/ctrlProp" Target="../ctrlProps/ctrlProp176.xml"/><Relationship Id="rId106" Type="http://schemas.openxmlformats.org/officeDocument/2006/relationships/ctrlProp" Target="../ctrlProps/ctrlProp225.xml"/><Relationship Id="rId127" Type="http://schemas.openxmlformats.org/officeDocument/2006/relationships/ctrlProp" Target="../ctrlProps/ctrlProp246.xml"/><Relationship Id="rId10" Type="http://schemas.openxmlformats.org/officeDocument/2006/relationships/ctrlProp" Target="../ctrlProps/ctrlProp129.xml"/><Relationship Id="rId31" Type="http://schemas.openxmlformats.org/officeDocument/2006/relationships/ctrlProp" Target="../ctrlProps/ctrlProp150.xml"/><Relationship Id="rId52" Type="http://schemas.openxmlformats.org/officeDocument/2006/relationships/ctrlProp" Target="../ctrlProps/ctrlProp171.xml"/><Relationship Id="rId73" Type="http://schemas.openxmlformats.org/officeDocument/2006/relationships/ctrlProp" Target="../ctrlProps/ctrlProp192.xml"/><Relationship Id="rId78" Type="http://schemas.openxmlformats.org/officeDocument/2006/relationships/ctrlProp" Target="../ctrlProps/ctrlProp197.xml"/><Relationship Id="rId94" Type="http://schemas.openxmlformats.org/officeDocument/2006/relationships/ctrlProp" Target="../ctrlProps/ctrlProp213.xml"/><Relationship Id="rId99" Type="http://schemas.openxmlformats.org/officeDocument/2006/relationships/ctrlProp" Target="../ctrlProps/ctrlProp218.xml"/><Relationship Id="rId101" Type="http://schemas.openxmlformats.org/officeDocument/2006/relationships/ctrlProp" Target="../ctrlProps/ctrlProp220.xml"/><Relationship Id="rId122" Type="http://schemas.openxmlformats.org/officeDocument/2006/relationships/ctrlProp" Target="../ctrlProps/ctrlProp241.xml"/><Relationship Id="rId143" Type="http://schemas.openxmlformats.org/officeDocument/2006/relationships/ctrlProp" Target="../ctrlProps/ctrlProp262.xml"/><Relationship Id="rId148" Type="http://schemas.openxmlformats.org/officeDocument/2006/relationships/ctrlProp" Target="../ctrlProps/ctrlProp267.xml"/><Relationship Id="rId164" Type="http://schemas.openxmlformats.org/officeDocument/2006/relationships/ctrlProp" Target="../ctrlProps/ctrlProp283.xml"/><Relationship Id="rId169" Type="http://schemas.microsoft.com/office/2017/10/relationships/threadedComment" Target="../threadedComments/threadedComment2.xml"/><Relationship Id="rId4" Type="http://schemas.openxmlformats.org/officeDocument/2006/relationships/ctrlProp" Target="../ctrlProps/ctrlProp123.xml"/><Relationship Id="rId9" Type="http://schemas.openxmlformats.org/officeDocument/2006/relationships/ctrlProp" Target="../ctrlProps/ctrlProp128.xml"/><Relationship Id="rId26" Type="http://schemas.openxmlformats.org/officeDocument/2006/relationships/ctrlProp" Target="../ctrlProps/ctrlProp145.xml"/><Relationship Id="rId47" Type="http://schemas.openxmlformats.org/officeDocument/2006/relationships/ctrlProp" Target="../ctrlProps/ctrlProp166.xml"/><Relationship Id="rId68" Type="http://schemas.openxmlformats.org/officeDocument/2006/relationships/ctrlProp" Target="../ctrlProps/ctrlProp187.xml"/><Relationship Id="rId89" Type="http://schemas.openxmlformats.org/officeDocument/2006/relationships/ctrlProp" Target="../ctrlProps/ctrlProp208.xml"/><Relationship Id="rId112" Type="http://schemas.openxmlformats.org/officeDocument/2006/relationships/ctrlProp" Target="../ctrlProps/ctrlProp231.xml"/><Relationship Id="rId133" Type="http://schemas.openxmlformats.org/officeDocument/2006/relationships/ctrlProp" Target="../ctrlProps/ctrlProp252.xml"/><Relationship Id="rId154" Type="http://schemas.openxmlformats.org/officeDocument/2006/relationships/ctrlProp" Target="../ctrlProps/ctrlProp273.xml"/><Relationship Id="rId16" Type="http://schemas.openxmlformats.org/officeDocument/2006/relationships/ctrlProp" Target="../ctrlProps/ctrlProp135.xml"/><Relationship Id="rId37" Type="http://schemas.openxmlformats.org/officeDocument/2006/relationships/ctrlProp" Target="../ctrlProps/ctrlProp156.xml"/><Relationship Id="rId58" Type="http://schemas.openxmlformats.org/officeDocument/2006/relationships/ctrlProp" Target="../ctrlProps/ctrlProp177.xml"/><Relationship Id="rId79" Type="http://schemas.openxmlformats.org/officeDocument/2006/relationships/ctrlProp" Target="../ctrlProps/ctrlProp198.xml"/><Relationship Id="rId102" Type="http://schemas.openxmlformats.org/officeDocument/2006/relationships/ctrlProp" Target="../ctrlProps/ctrlProp221.xml"/><Relationship Id="rId123" Type="http://schemas.openxmlformats.org/officeDocument/2006/relationships/ctrlProp" Target="../ctrlProps/ctrlProp242.xml"/><Relationship Id="rId144" Type="http://schemas.openxmlformats.org/officeDocument/2006/relationships/ctrlProp" Target="../ctrlProps/ctrlProp263.xml"/><Relationship Id="rId90" Type="http://schemas.openxmlformats.org/officeDocument/2006/relationships/ctrlProp" Target="../ctrlProps/ctrlProp209.xml"/><Relationship Id="rId165" Type="http://schemas.openxmlformats.org/officeDocument/2006/relationships/ctrlProp" Target="../ctrlProps/ctrlProp284.xml"/><Relationship Id="rId27" Type="http://schemas.openxmlformats.org/officeDocument/2006/relationships/ctrlProp" Target="../ctrlProps/ctrlProp146.xml"/><Relationship Id="rId48" Type="http://schemas.openxmlformats.org/officeDocument/2006/relationships/ctrlProp" Target="../ctrlProps/ctrlProp167.xml"/><Relationship Id="rId69" Type="http://schemas.openxmlformats.org/officeDocument/2006/relationships/ctrlProp" Target="../ctrlProps/ctrlProp188.xml"/><Relationship Id="rId113" Type="http://schemas.openxmlformats.org/officeDocument/2006/relationships/ctrlProp" Target="../ctrlProps/ctrlProp232.xml"/><Relationship Id="rId134" Type="http://schemas.openxmlformats.org/officeDocument/2006/relationships/ctrlProp" Target="../ctrlProps/ctrlProp253.xml"/><Relationship Id="rId80" Type="http://schemas.openxmlformats.org/officeDocument/2006/relationships/ctrlProp" Target="../ctrlProps/ctrlProp199.xml"/><Relationship Id="rId155" Type="http://schemas.openxmlformats.org/officeDocument/2006/relationships/ctrlProp" Target="../ctrlProps/ctrlProp274.xml"/><Relationship Id="rId17" Type="http://schemas.openxmlformats.org/officeDocument/2006/relationships/ctrlProp" Target="../ctrlProps/ctrlProp136.xml"/><Relationship Id="rId38" Type="http://schemas.openxmlformats.org/officeDocument/2006/relationships/ctrlProp" Target="../ctrlProps/ctrlProp157.xml"/><Relationship Id="rId59" Type="http://schemas.openxmlformats.org/officeDocument/2006/relationships/ctrlProp" Target="../ctrlProps/ctrlProp178.xml"/><Relationship Id="rId103" Type="http://schemas.openxmlformats.org/officeDocument/2006/relationships/ctrlProp" Target="../ctrlProps/ctrlProp222.xml"/><Relationship Id="rId124" Type="http://schemas.openxmlformats.org/officeDocument/2006/relationships/ctrlProp" Target="../ctrlProps/ctrlProp243.xml"/></Relationships>
</file>

<file path=xl/worksheets/_rels/sheet6.xml.rels><?xml version="1.0" encoding="UTF-8" standalone="yes"?>
<Relationships xmlns="http://schemas.openxmlformats.org/package/2006/relationships"><Relationship Id="rId26" Type="http://schemas.openxmlformats.org/officeDocument/2006/relationships/ctrlProp" Target="../ctrlProps/ctrlProp309.xml"/><Relationship Id="rId21" Type="http://schemas.openxmlformats.org/officeDocument/2006/relationships/ctrlProp" Target="../ctrlProps/ctrlProp304.xml"/><Relationship Id="rId42" Type="http://schemas.openxmlformats.org/officeDocument/2006/relationships/ctrlProp" Target="../ctrlProps/ctrlProp325.xml"/><Relationship Id="rId47" Type="http://schemas.openxmlformats.org/officeDocument/2006/relationships/ctrlProp" Target="../ctrlProps/ctrlProp330.xml"/><Relationship Id="rId63" Type="http://schemas.openxmlformats.org/officeDocument/2006/relationships/ctrlProp" Target="../ctrlProps/ctrlProp346.xml"/><Relationship Id="rId68" Type="http://schemas.openxmlformats.org/officeDocument/2006/relationships/ctrlProp" Target="../ctrlProps/ctrlProp351.xml"/><Relationship Id="rId16" Type="http://schemas.openxmlformats.org/officeDocument/2006/relationships/ctrlProp" Target="../ctrlProps/ctrlProp299.xml"/><Relationship Id="rId11" Type="http://schemas.openxmlformats.org/officeDocument/2006/relationships/ctrlProp" Target="../ctrlProps/ctrlProp294.xml"/><Relationship Id="rId24" Type="http://schemas.openxmlformats.org/officeDocument/2006/relationships/ctrlProp" Target="../ctrlProps/ctrlProp307.xml"/><Relationship Id="rId32" Type="http://schemas.openxmlformats.org/officeDocument/2006/relationships/ctrlProp" Target="../ctrlProps/ctrlProp315.xml"/><Relationship Id="rId37" Type="http://schemas.openxmlformats.org/officeDocument/2006/relationships/ctrlProp" Target="../ctrlProps/ctrlProp320.xml"/><Relationship Id="rId40" Type="http://schemas.openxmlformats.org/officeDocument/2006/relationships/ctrlProp" Target="../ctrlProps/ctrlProp323.xml"/><Relationship Id="rId45" Type="http://schemas.openxmlformats.org/officeDocument/2006/relationships/ctrlProp" Target="../ctrlProps/ctrlProp328.xml"/><Relationship Id="rId53" Type="http://schemas.openxmlformats.org/officeDocument/2006/relationships/ctrlProp" Target="../ctrlProps/ctrlProp336.xml"/><Relationship Id="rId58" Type="http://schemas.openxmlformats.org/officeDocument/2006/relationships/ctrlProp" Target="../ctrlProps/ctrlProp341.xml"/><Relationship Id="rId66" Type="http://schemas.openxmlformats.org/officeDocument/2006/relationships/ctrlProp" Target="../ctrlProps/ctrlProp349.xml"/><Relationship Id="rId74" Type="http://schemas.openxmlformats.org/officeDocument/2006/relationships/ctrlProp" Target="../ctrlProps/ctrlProp357.xml"/><Relationship Id="rId79" Type="http://schemas.openxmlformats.org/officeDocument/2006/relationships/ctrlProp" Target="../ctrlProps/ctrlProp362.xml"/><Relationship Id="rId5" Type="http://schemas.openxmlformats.org/officeDocument/2006/relationships/ctrlProp" Target="../ctrlProps/ctrlProp288.xml"/><Relationship Id="rId61" Type="http://schemas.openxmlformats.org/officeDocument/2006/relationships/ctrlProp" Target="../ctrlProps/ctrlProp344.xml"/><Relationship Id="rId19" Type="http://schemas.openxmlformats.org/officeDocument/2006/relationships/ctrlProp" Target="../ctrlProps/ctrlProp302.xml"/><Relationship Id="rId14" Type="http://schemas.openxmlformats.org/officeDocument/2006/relationships/ctrlProp" Target="../ctrlProps/ctrlProp297.xml"/><Relationship Id="rId22" Type="http://schemas.openxmlformats.org/officeDocument/2006/relationships/ctrlProp" Target="../ctrlProps/ctrlProp305.xml"/><Relationship Id="rId27" Type="http://schemas.openxmlformats.org/officeDocument/2006/relationships/ctrlProp" Target="../ctrlProps/ctrlProp310.xml"/><Relationship Id="rId30" Type="http://schemas.openxmlformats.org/officeDocument/2006/relationships/ctrlProp" Target="../ctrlProps/ctrlProp313.xml"/><Relationship Id="rId35" Type="http://schemas.openxmlformats.org/officeDocument/2006/relationships/ctrlProp" Target="../ctrlProps/ctrlProp318.xml"/><Relationship Id="rId43" Type="http://schemas.openxmlformats.org/officeDocument/2006/relationships/ctrlProp" Target="../ctrlProps/ctrlProp326.xml"/><Relationship Id="rId48" Type="http://schemas.openxmlformats.org/officeDocument/2006/relationships/ctrlProp" Target="../ctrlProps/ctrlProp331.xml"/><Relationship Id="rId56" Type="http://schemas.openxmlformats.org/officeDocument/2006/relationships/ctrlProp" Target="../ctrlProps/ctrlProp339.xml"/><Relationship Id="rId64" Type="http://schemas.openxmlformats.org/officeDocument/2006/relationships/ctrlProp" Target="../ctrlProps/ctrlProp347.xml"/><Relationship Id="rId69" Type="http://schemas.openxmlformats.org/officeDocument/2006/relationships/ctrlProp" Target="../ctrlProps/ctrlProp352.xml"/><Relationship Id="rId77" Type="http://schemas.openxmlformats.org/officeDocument/2006/relationships/ctrlProp" Target="../ctrlProps/ctrlProp360.xml"/><Relationship Id="rId8" Type="http://schemas.openxmlformats.org/officeDocument/2006/relationships/ctrlProp" Target="../ctrlProps/ctrlProp291.xml"/><Relationship Id="rId51" Type="http://schemas.openxmlformats.org/officeDocument/2006/relationships/ctrlProp" Target="../ctrlProps/ctrlProp334.xml"/><Relationship Id="rId72" Type="http://schemas.openxmlformats.org/officeDocument/2006/relationships/ctrlProp" Target="../ctrlProps/ctrlProp355.xml"/><Relationship Id="rId80" Type="http://schemas.openxmlformats.org/officeDocument/2006/relationships/ctrlProp" Target="../ctrlProps/ctrlProp363.xml"/><Relationship Id="rId3" Type="http://schemas.openxmlformats.org/officeDocument/2006/relationships/vmlDrawing" Target="../drawings/vmlDrawing4.vml"/><Relationship Id="rId12" Type="http://schemas.openxmlformats.org/officeDocument/2006/relationships/ctrlProp" Target="../ctrlProps/ctrlProp295.xml"/><Relationship Id="rId17" Type="http://schemas.openxmlformats.org/officeDocument/2006/relationships/ctrlProp" Target="../ctrlProps/ctrlProp300.xml"/><Relationship Id="rId25" Type="http://schemas.openxmlformats.org/officeDocument/2006/relationships/ctrlProp" Target="../ctrlProps/ctrlProp308.xml"/><Relationship Id="rId33" Type="http://schemas.openxmlformats.org/officeDocument/2006/relationships/ctrlProp" Target="../ctrlProps/ctrlProp316.xml"/><Relationship Id="rId38" Type="http://schemas.openxmlformats.org/officeDocument/2006/relationships/ctrlProp" Target="../ctrlProps/ctrlProp321.xml"/><Relationship Id="rId46" Type="http://schemas.openxmlformats.org/officeDocument/2006/relationships/ctrlProp" Target="../ctrlProps/ctrlProp329.xml"/><Relationship Id="rId59" Type="http://schemas.openxmlformats.org/officeDocument/2006/relationships/ctrlProp" Target="../ctrlProps/ctrlProp342.xml"/><Relationship Id="rId67" Type="http://schemas.openxmlformats.org/officeDocument/2006/relationships/ctrlProp" Target="../ctrlProps/ctrlProp350.xml"/><Relationship Id="rId20" Type="http://schemas.openxmlformats.org/officeDocument/2006/relationships/ctrlProp" Target="../ctrlProps/ctrlProp303.xml"/><Relationship Id="rId41" Type="http://schemas.openxmlformats.org/officeDocument/2006/relationships/ctrlProp" Target="../ctrlProps/ctrlProp324.xml"/><Relationship Id="rId54" Type="http://schemas.openxmlformats.org/officeDocument/2006/relationships/ctrlProp" Target="../ctrlProps/ctrlProp337.xml"/><Relationship Id="rId62" Type="http://schemas.openxmlformats.org/officeDocument/2006/relationships/ctrlProp" Target="../ctrlProps/ctrlProp345.xml"/><Relationship Id="rId70" Type="http://schemas.openxmlformats.org/officeDocument/2006/relationships/ctrlProp" Target="../ctrlProps/ctrlProp353.xml"/><Relationship Id="rId75" Type="http://schemas.openxmlformats.org/officeDocument/2006/relationships/ctrlProp" Target="../ctrlProps/ctrlProp358.xml"/><Relationship Id="rId1" Type="http://schemas.openxmlformats.org/officeDocument/2006/relationships/printerSettings" Target="../printerSettings/printerSettings2.bin"/><Relationship Id="rId6" Type="http://schemas.openxmlformats.org/officeDocument/2006/relationships/ctrlProp" Target="../ctrlProps/ctrlProp289.xml"/><Relationship Id="rId15" Type="http://schemas.openxmlformats.org/officeDocument/2006/relationships/ctrlProp" Target="../ctrlProps/ctrlProp298.xml"/><Relationship Id="rId23" Type="http://schemas.openxmlformats.org/officeDocument/2006/relationships/ctrlProp" Target="../ctrlProps/ctrlProp306.xml"/><Relationship Id="rId28" Type="http://schemas.openxmlformats.org/officeDocument/2006/relationships/ctrlProp" Target="../ctrlProps/ctrlProp311.xml"/><Relationship Id="rId36" Type="http://schemas.openxmlformats.org/officeDocument/2006/relationships/ctrlProp" Target="../ctrlProps/ctrlProp319.xml"/><Relationship Id="rId49" Type="http://schemas.openxmlformats.org/officeDocument/2006/relationships/ctrlProp" Target="../ctrlProps/ctrlProp332.xml"/><Relationship Id="rId57" Type="http://schemas.openxmlformats.org/officeDocument/2006/relationships/ctrlProp" Target="../ctrlProps/ctrlProp340.xml"/><Relationship Id="rId10" Type="http://schemas.openxmlformats.org/officeDocument/2006/relationships/ctrlProp" Target="../ctrlProps/ctrlProp293.xml"/><Relationship Id="rId31" Type="http://schemas.openxmlformats.org/officeDocument/2006/relationships/ctrlProp" Target="../ctrlProps/ctrlProp314.xml"/><Relationship Id="rId44" Type="http://schemas.openxmlformats.org/officeDocument/2006/relationships/ctrlProp" Target="../ctrlProps/ctrlProp327.xml"/><Relationship Id="rId52" Type="http://schemas.openxmlformats.org/officeDocument/2006/relationships/ctrlProp" Target="../ctrlProps/ctrlProp335.xml"/><Relationship Id="rId60" Type="http://schemas.openxmlformats.org/officeDocument/2006/relationships/ctrlProp" Target="../ctrlProps/ctrlProp343.xml"/><Relationship Id="rId65" Type="http://schemas.openxmlformats.org/officeDocument/2006/relationships/ctrlProp" Target="../ctrlProps/ctrlProp348.xml"/><Relationship Id="rId73" Type="http://schemas.openxmlformats.org/officeDocument/2006/relationships/ctrlProp" Target="../ctrlProps/ctrlProp356.xml"/><Relationship Id="rId78" Type="http://schemas.openxmlformats.org/officeDocument/2006/relationships/ctrlProp" Target="../ctrlProps/ctrlProp361.xml"/><Relationship Id="rId4" Type="http://schemas.openxmlformats.org/officeDocument/2006/relationships/ctrlProp" Target="../ctrlProps/ctrlProp287.xml"/><Relationship Id="rId9" Type="http://schemas.openxmlformats.org/officeDocument/2006/relationships/ctrlProp" Target="../ctrlProps/ctrlProp292.xml"/><Relationship Id="rId13" Type="http://schemas.openxmlformats.org/officeDocument/2006/relationships/ctrlProp" Target="../ctrlProps/ctrlProp296.xml"/><Relationship Id="rId18" Type="http://schemas.openxmlformats.org/officeDocument/2006/relationships/ctrlProp" Target="../ctrlProps/ctrlProp301.xml"/><Relationship Id="rId39" Type="http://schemas.openxmlformats.org/officeDocument/2006/relationships/ctrlProp" Target="../ctrlProps/ctrlProp322.xml"/><Relationship Id="rId34" Type="http://schemas.openxmlformats.org/officeDocument/2006/relationships/ctrlProp" Target="../ctrlProps/ctrlProp317.xml"/><Relationship Id="rId50" Type="http://schemas.openxmlformats.org/officeDocument/2006/relationships/ctrlProp" Target="../ctrlProps/ctrlProp333.xml"/><Relationship Id="rId55" Type="http://schemas.openxmlformats.org/officeDocument/2006/relationships/ctrlProp" Target="../ctrlProps/ctrlProp338.xml"/><Relationship Id="rId76" Type="http://schemas.openxmlformats.org/officeDocument/2006/relationships/ctrlProp" Target="../ctrlProps/ctrlProp359.xml"/><Relationship Id="rId7" Type="http://schemas.openxmlformats.org/officeDocument/2006/relationships/ctrlProp" Target="../ctrlProps/ctrlProp290.xml"/><Relationship Id="rId71" Type="http://schemas.openxmlformats.org/officeDocument/2006/relationships/ctrlProp" Target="../ctrlProps/ctrlProp354.xml"/><Relationship Id="rId2" Type="http://schemas.openxmlformats.org/officeDocument/2006/relationships/drawing" Target="../drawings/drawing6.xml"/><Relationship Id="rId29" Type="http://schemas.openxmlformats.org/officeDocument/2006/relationships/ctrlProp" Target="../ctrlProps/ctrlProp31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1" Type="http://schemas.openxmlformats.org/officeDocument/2006/relationships/hyperlink" Target="http://www.mpfiltri.co.uk/" TargetMode="External"/><Relationship Id="rId170" Type="http://schemas.openxmlformats.org/officeDocument/2006/relationships/hyperlink" Target="http://www.mpfiltri.co.uk/" TargetMode="External"/><Relationship Id="rId836" Type="http://schemas.openxmlformats.org/officeDocument/2006/relationships/hyperlink" Target="http://www.mpfiltri.co.uk/" TargetMode="External"/><Relationship Id="rId1021" Type="http://schemas.openxmlformats.org/officeDocument/2006/relationships/hyperlink" Target="http://www.mpfiltri.co.uk/" TargetMode="External"/><Relationship Id="rId268" Type="http://schemas.openxmlformats.org/officeDocument/2006/relationships/hyperlink" Target="http://www.mpfiltri.co.uk/" TargetMode="External"/><Relationship Id="rId475" Type="http://schemas.openxmlformats.org/officeDocument/2006/relationships/hyperlink" Target="http://www.mpfiltri.co.uk/" TargetMode="External"/><Relationship Id="rId682" Type="http://schemas.openxmlformats.org/officeDocument/2006/relationships/hyperlink" Target="http://www.mpfiltri.co.uk/" TargetMode="External"/><Relationship Id="rId903" Type="http://schemas.openxmlformats.org/officeDocument/2006/relationships/hyperlink" Target="http://www.mpfiltri.co.uk/" TargetMode="External"/><Relationship Id="rId32" Type="http://schemas.openxmlformats.org/officeDocument/2006/relationships/hyperlink" Target="http://www.mpfiltri.co.uk/" TargetMode="External"/><Relationship Id="rId128" Type="http://schemas.openxmlformats.org/officeDocument/2006/relationships/hyperlink" Target="http://www.mpfiltri.co.uk/" TargetMode="External"/><Relationship Id="rId335" Type="http://schemas.openxmlformats.org/officeDocument/2006/relationships/hyperlink" Target="http://www.mpfiltri.co.uk/" TargetMode="External"/><Relationship Id="rId542" Type="http://schemas.openxmlformats.org/officeDocument/2006/relationships/hyperlink" Target="http://www.mpfiltri.co.uk/" TargetMode="External"/><Relationship Id="rId987" Type="http://schemas.openxmlformats.org/officeDocument/2006/relationships/hyperlink" Target="http://www.mpfiltri.co.uk/" TargetMode="External"/><Relationship Id="rId181" Type="http://schemas.openxmlformats.org/officeDocument/2006/relationships/hyperlink" Target="http://www.mpfiltri.co.uk/" TargetMode="External"/><Relationship Id="rId402" Type="http://schemas.openxmlformats.org/officeDocument/2006/relationships/hyperlink" Target="http://www.mpfiltri.co.uk/" TargetMode="External"/><Relationship Id="rId847" Type="http://schemas.openxmlformats.org/officeDocument/2006/relationships/hyperlink" Target="http://www.mpfiltri.co.uk/" TargetMode="External"/><Relationship Id="rId279" Type="http://schemas.openxmlformats.org/officeDocument/2006/relationships/hyperlink" Target="http://www.mpfiltri.co.uk/" TargetMode="External"/><Relationship Id="rId486" Type="http://schemas.openxmlformats.org/officeDocument/2006/relationships/hyperlink" Target="http://www.mpfiltri.co.uk/" TargetMode="External"/><Relationship Id="rId693" Type="http://schemas.openxmlformats.org/officeDocument/2006/relationships/hyperlink" Target="http://www.mpfiltri.co.uk/" TargetMode="External"/><Relationship Id="rId707" Type="http://schemas.openxmlformats.org/officeDocument/2006/relationships/hyperlink" Target="http://www.mpfiltri.co.uk/" TargetMode="External"/><Relationship Id="rId914" Type="http://schemas.openxmlformats.org/officeDocument/2006/relationships/hyperlink" Target="http://www.mpfiltri.co.uk/" TargetMode="External"/><Relationship Id="rId43" Type="http://schemas.openxmlformats.org/officeDocument/2006/relationships/hyperlink" Target="http://www.mpfiltri.co.uk/" TargetMode="External"/><Relationship Id="rId139" Type="http://schemas.openxmlformats.org/officeDocument/2006/relationships/hyperlink" Target="http://www.mpfiltri.co.uk/" TargetMode="External"/><Relationship Id="rId346" Type="http://schemas.openxmlformats.org/officeDocument/2006/relationships/hyperlink" Target="http://www.mpfiltri.co.uk/" TargetMode="External"/><Relationship Id="rId553" Type="http://schemas.openxmlformats.org/officeDocument/2006/relationships/hyperlink" Target="http://www.mpfiltri.co.uk/" TargetMode="External"/><Relationship Id="rId760" Type="http://schemas.openxmlformats.org/officeDocument/2006/relationships/hyperlink" Target="http://www.mpfiltri.co.uk/" TargetMode="External"/><Relationship Id="rId998" Type="http://schemas.openxmlformats.org/officeDocument/2006/relationships/hyperlink" Target="http://www.mpfiltri.co.uk/" TargetMode="External"/><Relationship Id="rId192" Type="http://schemas.openxmlformats.org/officeDocument/2006/relationships/hyperlink" Target="http://www.mpfiltri.co.uk/" TargetMode="External"/><Relationship Id="rId206" Type="http://schemas.openxmlformats.org/officeDocument/2006/relationships/hyperlink" Target="http://www.mpfiltri.co.uk/" TargetMode="External"/><Relationship Id="rId413" Type="http://schemas.openxmlformats.org/officeDocument/2006/relationships/hyperlink" Target="http://www.mpfiltri.co.uk/" TargetMode="External"/><Relationship Id="rId858" Type="http://schemas.openxmlformats.org/officeDocument/2006/relationships/hyperlink" Target="http://www.mpfiltri.co.uk/" TargetMode="External"/><Relationship Id="rId497" Type="http://schemas.openxmlformats.org/officeDocument/2006/relationships/hyperlink" Target="http://www.mpfiltri.co.uk/" TargetMode="External"/><Relationship Id="rId620" Type="http://schemas.openxmlformats.org/officeDocument/2006/relationships/hyperlink" Target="http://www.mpfiltri.co.uk/" TargetMode="External"/><Relationship Id="rId718" Type="http://schemas.openxmlformats.org/officeDocument/2006/relationships/hyperlink" Target="http://www.mpfiltri.co.uk/" TargetMode="External"/><Relationship Id="rId925" Type="http://schemas.openxmlformats.org/officeDocument/2006/relationships/hyperlink" Target="http://www.mpfiltri.co.uk/" TargetMode="External"/><Relationship Id="rId357" Type="http://schemas.openxmlformats.org/officeDocument/2006/relationships/hyperlink" Target="http://www.mpfiltri.co.uk/" TargetMode="External"/><Relationship Id="rId54" Type="http://schemas.openxmlformats.org/officeDocument/2006/relationships/hyperlink" Target="http://www.mpfiltri.co.uk/" TargetMode="External"/><Relationship Id="rId217" Type="http://schemas.openxmlformats.org/officeDocument/2006/relationships/hyperlink" Target="http://www.mpfiltri.co.uk/" TargetMode="External"/><Relationship Id="rId564" Type="http://schemas.openxmlformats.org/officeDocument/2006/relationships/hyperlink" Target="http://www.mpfiltri.co.uk/" TargetMode="External"/><Relationship Id="rId771" Type="http://schemas.openxmlformats.org/officeDocument/2006/relationships/hyperlink" Target="http://www.mpfiltri.co.uk/" TargetMode="External"/><Relationship Id="rId869" Type="http://schemas.openxmlformats.org/officeDocument/2006/relationships/hyperlink" Target="http://www.mpfiltri.co.uk/" TargetMode="External"/><Relationship Id="rId424" Type="http://schemas.openxmlformats.org/officeDocument/2006/relationships/hyperlink" Target="http://www.mpfiltri.co.uk/" TargetMode="External"/><Relationship Id="rId631" Type="http://schemas.openxmlformats.org/officeDocument/2006/relationships/hyperlink" Target="http://www.mpfiltri.co.uk/" TargetMode="External"/><Relationship Id="rId729" Type="http://schemas.openxmlformats.org/officeDocument/2006/relationships/hyperlink" Target="http://www.mpfiltri.co.uk/" TargetMode="External"/><Relationship Id="rId270" Type="http://schemas.openxmlformats.org/officeDocument/2006/relationships/hyperlink" Target="http://www.mpfiltri.co.uk/" TargetMode="External"/><Relationship Id="rId936" Type="http://schemas.openxmlformats.org/officeDocument/2006/relationships/hyperlink" Target="http://www.mpfiltri.co.uk/" TargetMode="External"/><Relationship Id="rId65" Type="http://schemas.openxmlformats.org/officeDocument/2006/relationships/hyperlink" Target="http://www.mpfiltri.co.uk/" TargetMode="External"/><Relationship Id="rId130" Type="http://schemas.openxmlformats.org/officeDocument/2006/relationships/hyperlink" Target="http://www.mpfiltri.co.uk/" TargetMode="External"/><Relationship Id="rId368" Type="http://schemas.openxmlformats.org/officeDocument/2006/relationships/hyperlink" Target="http://www.mpfiltri.co.uk/" TargetMode="External"/><Relationship Id="rId575" Type="http://schemas.openxmlformats.org/officeDocument/2006/relationships/hyperlink" Target="http://www.mpfiltri.co.uk/" TargetMode="External"/><Relationship Id="rId782" Type="http://schemas.openxmlformats.org/officeDocument/2006/relationships/hyperlink" Target="http://www.mpfiltri.co.uk/" TargetMode="External"/><Relationship Id="rId228" Type="http://schemas.openxmlformats.org/officeDocument/2006/relationships/hyperlink" Target="http://www.mpfiltri.co.uk/" TargetMode="External"/><Relationship Id="rId435" Type="http://schemas.openxmlformats.org/officeDocument/2006/relationships/hyperlink" Target="http://www.mpfiltri.co.uk/" TargetMode="External"/><Relationship Id="rId642" Type="http://schemas.openxmlformats.org/officeDocument/2006/relationships/hyperlink" Target="http://www.mpfiltri.co.uk/" TargetMode="External"/><Relationship Id="rId281" Type="http://schemas.openxmlformats.org/officeDocument/2006/relationships/hyperlink" Target="http://www.mpfiltri.co.uk/" TargetMode="External"/><Relationship Id="rId502" Type="http://schemas.openxmlformats.org/officeDocument/2006/relationships/hyperlink" Target="http://www.mpfiltri.co.uk/" TargetMode="External"/><Relationship Id="rId947" Type="http://schemas.openxmlformats.org/officeDocument/2006/relationships/hyperlink" Target="http://www.mpfiltri.co.uk/" TargetMode="External"/><Relationship Id="rId76" Type="http://schemas.openxmlformats.org/officeDocument/2006/relationships/hyperlink" Target="http://www.mpfiltri.co.uk/" TargetMode="External"/><Relationship Id="rId141" Type="http://schemas.openxmlformats.org/officeDocument/2006/relationships/hyperlink" Target="http://www.mpfiltri.co.uk/" TargetMode="External"/><Relationship Id="rId379" Type="http://schemas.openxmlformats.org/officeDocument/2006/relationships/hyperlink" Target="http://www.mpfiltri.co.uk/" TargetMode="External"/><Relationship Id="rId586" Type="http://schemas.openxmlformats.org/officeDocument/2006/relationships/hyperlink" Target="http://www.mpfiltri.co.uk/" TargetMode="External"/><Relationship Id="rId793" Type="http://schemas.openxmlformats.org/officeDocument/2006/relationships/hyperlink" Target="http://www.mpfiltri.co.uk/" TargetMode="External"/><Relationship Id="rId807" Type="http://schemas.openxmlformats.org/officeDocument/2006/relationships/hyperlink" Target="http://www.mpfiltri.co.uk/" TargetMode="External"/><Relationship Id="rId7" Type="http://schemas.openxmlformats.org/officeDocument/2006/relationships/hyperlink" Target="http://www.mpfiltri.co.uk/" TargetMode="External"/><Relationship Id="rId239" Type="http://schemas.openxmlformats.org/officeDocument/2006/relationships/hyperlink" Target="http://www.mpfiltri.co.uk/" TargetMode="External"/><Relationship Id="rId446" Type="http://schemas.openxmlformats.org/officeDocument/2006/relationships/hyperlink" Target="http://www.mpfiltri.co.uk/" TargetMode="External"/><Relationship Id="rId653" Type="http://schemas.openxmlformats.org/officeDocument/2006/relationships/hyperlink" Target="http://www.mpfiltri.co.uk/" TargetMode="External"/><Relationship Id="rId292" Type="http://schemas.openxmlformats.org/officeDocument/2006/relationships/hyperlink" Target="http://www.mpfiltri.co.uk/" TargetMode="External"/><Relationship Id="rId306" Type="http://schemas.openxmlformats.org/officeDocument/2006/relationships/hyperlink" Target="http://www.mpfiltri.co.uk/" TargetMode="External"/><Relationship Id="rId860" Type="http://schemas.openxmlformats.org/officeDocument/2006/relationships/hyperlink" Target="http://www.mpfiltri.co.uk/" TargetMode="External"/><Relationship Id="rId958" Type="http://schemas.openxmlformats.org/officeDocument/2006/relationships/hyperlink" Target="http://www.mpfiltri.co.uk/" TargetMode="External"/><Relationship Id="rId87" Type="http://schemas.openxmlformats.org/officeDocument/2006/relationships/hyperlink" Target="http://www.mpfiltri.co.uk/" TargetMode="External"/><Relationship Id="rId513" Type="http://schemas.openxmlformats.org/officeDocument/2006/relationships/hyperlink" Target="http://www.mpfiltri.co.uk/" TargetMode="External"/><Relationship Id="rId597" Type="http://schemas.openxmlformats.org/officeDocument/2006/relationships/hyperlink" Target="http://www.mpfiltri.co.uk/" TargetMode="External"/><Relationship Id="rId720" Type="http://schemas.openxmlformats.org/officeDocument/2006/relationships/hyperlink" Target="http://www.mpfiltri.co.uk/" TargetMode="External"/><Relationship Id="rId818" Type="http://schemas.openxmlformats.org/officeDocument/2006/relationships/hyperlink" Target="http://www.mpfiltri.co.uk/" TargetMode="External"/><Relationship Id="rId152" Type="http://schemas.openxmlformats.org/officeDocument/2006/relationships/hyperlink" Target="http://www.mpfiltri.co.uk/" TargetMode="External"/><Relationship Id="rId457" Type="http://schemas.openxmlformats.org/officeDocument/2006/relationships/hyperlink" Target="http://www.mpfiltri.co.uk/" TargetMode="External"/><Relationship Id="rId1003" Type="http://schemas.openxmlformats.org/officeDocument/2006/relationships/hyperlink" Target="http://www.mpfiltri.co.uk/" TargetMode="External"/><Relationship Id="rId664" Type="http://schemas.openxmlformats.org/officeDocument/2006/relationships/hyperlink" Target="http://www.mpfiltri.co.uk/" TargetMode="External"/><Relationship Id="rId871" Type="http://schemas.openxmlformats.org/officeDocument/2006/relationships/hyperlink" Target="http://www.mpfiltri.co.uk/" TargetMode="External"/><Relationship Id="rId969" Type="http://schemas.openxmlformats.org/officeDocument/2006/relationships/hyperlink" Target="http://www.mpfiltri.co.uk/" TargetMode="External"/><Relationship Id="rId14" Type="http://schemas.openxmlformats.org/officeDocument/2006/relationships/hyperlink" Target="http://www.mpfiltri.co.uk/" TargetMode="External"/><Relationship Id="rId317" Type="http://schemas.openxmlformats.org/officeDocument/2006/relationships/hyperlink" Target="http://www.mpfiltri.co.uk/" TargetMode="External"/><Relationship Id="rId524" Type="http://schemas.openxmlformats.org/officeDocument/2006/relationships/hyperlink" Target="http://www.mpfiltri.co.uk/" TargetMode="External"/><Relationship Id="rId731" Type="http://schemas.openxmlformats.org/officeDocument/2006/relationships/hyperlink" Target="http://www.mpfiltri.co.uk/" TargetMode="External"/><Relationship Id="rId98" Type="http://schemas.openxmlformats.org/officeDocument/2006/relationships/hyperlink" Target="http://www.mpfiltri.co.uk/" TargetMode="External"/><Relationship Id="rId163" Type="http://schemas.openxmlformats.org/officeDocument/2006/relationships/hyperlink" Target="http://www.mpfiltri.co.uk/" TargetMode="External"/><Relationship Id="rId370" Type="http://schemas.openxmlformats.org/officeDocument/2006/relationships/hyperlink" Target="http://www.mpfiltri.co.uk/" TargetMode="External"/><Relationship Id="rId829" Type="http://schemas.openxmlformats.org/officeDocument/2006/relationships/hyperlink" Target="http://www.mpfiltri.co.uk/" TargetMode="External"/><Relationship Id="rId1014" Type="http://schemas.openxmlformats.org/officeDocument/2006/relationships/hyperlink" Target="http://www.mpfiltri.co.uk/" TargetMode="External"/><Relationship Id="rId230" Type="http://schemas.openxmlformats.org/officeDocument/2006/relationships/hyperlink" Target="http://www.mpfiltri.co.uk/" TargetMode="External"/><Relationship Id="rId468" Type="http://schemas.openxmlformats.org/officeDocument/2006/relationships/hyperlink" Target="http://www.mpfiltri.co.uk/" TargetMode="External"/><Relationship Id="rId675" Type="http://schemas.openxmlformats.org/officeDocument/2006/relationships/hyperlink" Target="http://www.mpfiltri.co.uk/" TargetMode="External"/><Relationship Id="rId882" Type="http://schemas.openxmlformats.org/officeDocument/2006/relationships/hyperlink" Target="http://www.mpfiltri.co.uk/" TargetMode="External"/><Relationship Id="rId25" Type="http://schemas.openxmlformats.org/officeDocument/2006/relationships/hyperlink" Target="http://www.mpfiltri.co.uk/" TargetMode="External"/><Relationship Id="rId328" Type="http://schemas.openxmlformats.org/officeDocument/2006/relationships/hyperlink" Target="http://www.mpfiltri.co.uk/" TargetMode="External"/><Relationship Id="rId535" Type="http://schemas.openxmlformats.org/officeDocument/2006/relationships/hyperlink" Target="http://www.mpfiltri.co.uk/" TargetMode="External"/><Relationship Id="rId742" Type="http://schemas.openxmlformats.org/officeDocument/2006/relationships/hyperlink" Target="http://www.mpfiltri.co.uk/" TargetMode="External"/><Relationship Id="rId174" Type="http://schemas.openxmlformats.org/officeDocument/2006/relationships/hyperlink" Target="http://www.mpfiltri.co.uk/" TargetMode="External"/><Relationship Id="rId381" Type="http://schemas.openxmlformats.org/officeDocument/2006/relationships/hyperlink" Target="http://www.mpfiltri.co.uk/" TargetMode="External"/><Relationship Id="rId602" Type="http://schemas.openxmlformats.org/officeDocument/2006/relationships/hyperlink" Target="http://www.mpfiltri.co.uk/" TargetMode="External"/><Relationship Id="rId1025" Type="http://schemas.openxmlformats.org/officeDocument/2006/relationships/hyperlink" Target="http://www.mpfiltri.co.uk/" TargetMode="External"/><Relationship Id="rId241" Type="http://schemas.openxmlformats.org/officeDocument/2006/relationships/hyperlink" Target="http://www.mpfiltri.co.uk/" TargetMode="External"/><Relationship Id="rId479" Type="http://schemas.openxmlformats.org/officeDocument/2006/relationships/hyperlink" Target="http://www.mpfiltri.co.uk/" TargetMode="External"/><Relationship Id="rId686" Type="http://schemas.openxmlformats.org/officeDocument/2006/relationships/hyperlink" Target="http://www.mpfiltri.co.uk/" TargetMode="External"/><Relationship Id="rId893" Type="http://schemas.openxmlformats.org/officeDocument/2006/relationships/hyperlink" Target="http://www.mpfiltri.co.uk/" TargetMode="External"/><Relationship Id="rId907" Type="http://schemas.openxmlformats.org/officeDocument/2006/relationships/hyperlink" Target="http://www.mpfiltri.co.uk/" TargetMode="External"/><Relationship Id="rId36" Type="http://schemas.openxmlformats.org/officeDocument/2006/relationships/hyperlink" Target="http://www.mpfiltri.co.uk/" TargetMode="External"/><Relationship Id="rId339" Type="http://schemas.openxmlformats.org/officeDocument/2006/relationships/hyperlink" Target="http://www.mpfiltri.co.uk/" TargetMode="External"/><Relationship Id="rId546" Type="http://schemas.openxmlformats.org/officeDocument/2006/relationships/hyperlink" Target="http://www.mpfiltri.co.uk/" TargetMode="External"/><Relationship Id="rId753" Type="http://schemas.openxmlformats.org/officeDocument/2006/relationships/hyperlink" Target="http://www.mpfiltri.co.uk/" TargetMode="External"/><Relationship Id="rId101" Type="http://schemas.openxmlformats.org/officeDocument/2006/relationships/hyperlink" Target="http://www.mpfiltri.co.uk/" TargetMode="External"/><Relationship Id="rId185" Type="http://schemas.openxmlformats.org/officeDocument/2006/relationships/hyperlink" Target="http://www.mpfiltri.co.uk/" TargetMode="External"/><Relationship Id="rId406" Type="http://schemas.openxmlformats.org/officeDocument/2006/relationships/hyperlink" Target="http://www.mpfiltri.co.uk/" TargetMode="External"/><Relationship Id="rId960" Type="http://schemas.openxmlformats.org/officeDocument/2006/relationships/hyperlink" Target="http://www.mpfiltri.co.uk/" TargetMode="External"/><Relationship Id="rId392" Type="http://schemas.openxmlformats.org/officeDocument/2006/relationships/hyperlink" Target="http://www.mpfiltri.co.uk/" TargetMode="External"/><Relationship Id="rId613" Type="http://schemas.openxmlformats.org/officeDocument/2006/relationships/hyperlink" Target="http://www.mpfiltri.co.uk/" TargetMode="External"/><Relationship Id="rId697" Type="http://schemas.openxmlformats.org/officeDocument/2006/relationships/hyperlink" Target="http://www.mpfiltri.co.uk/" TargetMode="External"/><Relationship Id="rId820" Type="http://schemas.openxmlformats.org/officeDocument/2006/relationships/hyperlink" Target="http://www.mpfiltri.co.uk/" TargetMode="External"/><Relationship Id="rId918" Type="http://schemas.openxmlformats.org/officeDocument/2006/relationships/hyperlink" Target="http://www.mpfiltri.co.uk/" TargetMode="External"/><Relationship Id="rId252" Type="http://schemas.openxmlformats.org/officeDocument/2006/relationships/hyperlink" Target="http://www.mpfiltri.co.uk/" TargetMode="External"/><Relationship Id="rId47" Type="http://schemas.openxmlformats.org/officeDocument/2006/relationships/hyperlink" Target="http://www.mpfiltri.co.uk/" TargetMode="External"/><Relationship Id="rId112" Type="http://schemas.openxmlformats.org/officeDocument/2006/relationships/hyperlink" Target="http://www.mpfiltri.co.uk/" TargetMode="External"/><Relationship Id="rId557" Type="http://schemas.openxmlformats.org/officeDocument/2006/relationships/hyperlink" Target="http://www.mpfiltri.co.uk/" TargetMode="External"/><Relationship Id="rId764" Type="http://schemas.openxmlformats.org/officeDocument/2006/relationships/hyperlink" Target="http://www.mpfiltri.co.uk/" TargetMode="External"/><Relationship Id="rId971" Type="http://schemas.openxmlformats.org/officeDocument/2006/relationships/hyperlink" Target="http://www.mpfiltri.co.uk/" TargetMode="External"/><Relationship Id="rId196" Type="http://schemas.openxmlformats.org/officeDocument/2006/relationships/hyperlink" Target="http://www.mpfiltri.co.uk/" TargetMode="External"/><Relationship Id="rId417" Type="http://schemas.openxmlformats.org/officeDocument/2006/relationships/hyperlink" Target="http://www.mpfiltri.co.uk/" TargetMode="External"/><Relationship Id="rId624" Type="http://schemas.openxmlformats.org/officeDocument/2006/relationships/hyperlink" Target="http://www.mpfiltri.co.uk/" TargetMode="External"/><Relationship Id="rId831" Type="http://schemas.openxmlformats.org/officeDocument/2006/relationships/hyperlink" Target="http://www.mpfiltri.co.uk/" TargetMode="External"/><Relationship Id="rId263" Type="http://schemas.openxmlformats.org/officeDocument/2006/relationships/hyperlink" Target="http://www.mpfiltri.co.uk/" TargetMode="External"/><Relationship Id="rId470" Type="http://schemas.openxmlformats.org/officeDocument/2006/relationships/hyperlink" Target="http://www.mpfiltri.co.uk/" TargetMode="External"/><Relationship Id="rId929" Type="http://schemas.openxmlformats.org/officeDocument/2006/relationships/hyperlink" Target="http://www.mpfiltri.co.uk/" TargetMode="External"/><Relationship Id="rId58" Type="http://schemas.openxmlformats.org/officeDocument/2006/relationships/hyperlink" Target="http://www.mpfiltri.co.uk/" TargetMode="External"/><Relationship Id="rId123" Type="http://schemas.openxmlformats.org/officeDocument/2006/relationships/hyperlink" Target="http://www.mpfiltri.co.uk/" TargetMode="External"/><Relationship Id="rId330" Type="http://schemas.openxmlformats.org/officeDocument/2006/relationships/hyperlink" Target="http://www.mpfiltri.co.uk/" TargetMode="External"/><Relationship Id="rId568" Type="http://schemas.openxmlformats.org/officeDocument/2006/relationships/hyperlink" Target="http://www.mpfiltri.co.uk/" TargetMode="External"/><Relationship Id="rId775" Type="http://schemas.openxmlformats.org/officeDocument/2006/relationships/hyperlink" Target="http://www.mpfiltri.co.uk/" TargetMode="External"/><Relationship Id="rId982" Type="http://schemas.openxmlformats.org/officeDocument/2006/relationships/hyperlink" Target="http://www.mpfiltri.co.uk/" TargetMode="External"/><Relationship Id="rId428" Type="http://schemas.openxmlformats.org/officeDocument/2006/relationships/hyperlink" Target="http://www.mpfiltri.co.uk/" TargetMode="External"/><Relationship Id="rId635" Type="http://schemas.openxmlformats.org/officeDocument/2006/relationships/hyperlink" Target="http://www.mpfiltri.co.uk/" TargetMode="External"/><Relationship Id="rId842" Type="http://schemas.openxmlformats.org/officeDocument/2006/relationships/hyperlink" Target="http://www.mpfiltri.co.uk/" TargetMode="External"/><Relationship Id="rId274" Type="http://schemas.openxmlformats.org/officeDocument/2006/relationships/hyperlink" Target="http://www.mpfiltri.co.uk/" TargetMode="External"/><Relationship Id="rId481" Type="http://schemas.openxmlformats.org/officeDocument/2006/relationships/hyperlink" Target="http://www.mpfiltri.co.uk/" TargetMode="External"/><Relationship Id="rId702" Type="http://schemas.openxmlformats.org/officeDocument/2006/relationships/hyperlink" Target="http://www.mpfiltri.co.uk/" TargetMode="External"/><Relationship Id="rId69" Type="http://schemas.openxmlformats.org/officeDocument/2006/relationships/hyperlink" Target="http://www.mpfiltri.co.uk/" TargetMode="External"/><Relationship Id="rId134" Type="http://schemas.openxmlformats.org/officeDocument/2006/relationships/hyperlink" Target="http://www.mpfiltri.co.uk/" TargetMode="External"/><Relationship Id="rId579" Type="http://schemas.openxmlformats.org/officeDocument/2006/relationships/hyperlink" Target="http://www.mpfiltri.co.uk/" TargetMode="External"/><Relationship Id="rId786" Type="http://schemas.openxmlformats.org/officeDocument/2006/relationships/hyperlink" Target="http://www.mpfiltri.co.uk/" TargetMode="External"/><Relationship Id="rId993" Type="http://schemas.openxmlformats.org/officeDocument/2006/relationships/hyperlink" Target="http://www.mpfiltri.co.uk/" TargetMode="External"/><Relationship Id="rId341" Type="http://schemas.openxmlformats.org/officeDocument/2006/relationships/hyperlink" Target="http://www.mpfiltri.co.uk/" TargetMode="External"/><Relationship Id="rId439" Type="http://schemas.openxmlformats.org/officeDocument/2006/relationships/hyperlink" Target="http://www.mpfiltri.co.uk/" TargetMode="External"/><Relationship Id="rId646" Type="http://schemas.openxmlformats.org/officeDocument/2006/relationships/hyperlink" Target="http://www.mpfiltri.co.uk/" TargetMode="External"/><Relationship Id="rId201" Type="http://schemas.openxmlformats.org/officeDocument/2006/relationships/hyperlink" Target="http://www.mpfiltri.co.uk/" TargetMode="External"/><Relationship Id="rId285" Type="http://schemas.openxmlformats.org/officeDocument/2006/relationships/hyperlink" Target="http://www.mpfiltri.co.uk/" TargetMode="External"/><Relationship Id="rId506" Type="http://schemas.openxmlformats.org/officeDocument/2006/relationships/hyperlink" Target="http://www.mpfiltri.co.uk/" TargetMode="External"/><Relationship Id="rId853" Type="http://schemas.openxmlformats.org/officeDocument/2006/relationships/hyperlink" Target="http://www.mpfiltri.co.uk/" TargetMode="External"/><Relationship Id="rId492" Type="http://schemas.openxmlformats.org/officeDocument/2006/relationships/hyperlink" Target="http://www.mpfiltri.co.uk/" TargetMode="External"/><Relationship Id="rId713" Type="http://schemas.openxmlformats.org/officeDocument/2006/relationships/hyperlink" Target="http://www.mpfiltri.co.uk/" TargetMode="External"/><Relationship Id="rId797" Type="http://schemas.openxmlformats.org/officeDocument/2006/relationships/hyperlink" Target="http://www.mpfiltri.co.uk/" TargetMode="External"/><Relationship Id="rId920" Type="http://schemas.openxmlformats.org/officeDocument/2006/relationships/hyperlink" Target="http://www.mpfiltri.co.uk/" TargetMode="External"/><Relationship Id="rId145" Type="http://schemas.openxmlformats.org/officeDocument/2006/relationships/hyperlink" Target="http://www.mpfiltri.co.uk/" TargetMode="External"/><Relationship Id="rId352" Type="http://schemas.openxmlformats.org/officeDocument/2006/relationships/hyperlink" Target="http://www.mpfiltri.co.uk/" TargetMode="External"/><Relationship Id="rId212" Type="http://schemas.openxmlformats.org/officeDocument/2006/relationships/hyperlink" Target="http://www.mpfiltri.co.uk/" TargetMode="External"/><Relationship Id="rId657" Type="http://schemas.openxmlformats.org/officeDocument/2006/relationships/hyperlink" Target="http://www.mpfiltri.co.uk/" TargetMode="External"/><Relationship Id="rId864" Type="http://schemas.openxmlformats.org/officeDocument/2006/relationships/hyperlink" Target="http://www.mpfiltri.co.uk/" TargetMode="External"/><Relationship Id="rId296" Type="http://schemas.openxmlformats.org/officeDocument/2006/relationships/hyperlink" Target="http://www.mpfiltri.co.uk/" TargetMode="External"/><Relationship Id="rId517" Type="http://schemas.openxmlformats.org/officeDocument/2006/relationships/hyperlink" Target="http://www.mpfiltri.co.uk/" TargetMode="External"/><Relationship Id="rId724" Type="http://schemas.openxmlformats.org/officeDocument/2006/relationships/hyperlink" Target="http://www.mpfiltri.co.uk/" TargetMode="External"/><Relationship Id="rId931" Type="http://schemas.openxmlformats.org/officeDocument/2006/relationships/hyperlink" Target="http://www.mpfiltri.co.uk/" TargetMode="External"/><Relationship Id="rId60" Type="http://schemas.openxmlformats.org/officeDocument/2006/relationships/hyperlink" Target="http://www.mpfiltri.co.uk/" TargetMode="External"/><Relationship Id="rId156" Type="http://schemas.openxmlformats.org/officeDocument/2006/relationships/hyperlink" Target="http://www.mpfiltri.co.uk/" TargetMode="External"/><Relationship Id="rId363" Type="http://schemas.openxmlformats.org/officeDocument/2006/relationships/hyperlink" Target="http://www.mpfiltri.co.uk/" TargetMode="External"/><Relationship Id="rId570" Type="http://schemas.openxmlformats.org/officeDocument/2006/relationships/hyperlink" Target="http://www.mpfiltri.co.uk/" TargetMode="External"/><Relationship Id="rId1007" Type="http://schemas.openxmlformats.org/officeDocument/2006/relationships/hyperlink" Target="http://www.mpfiltri.co.uk/" TargetMode="External"/><Relationship Id="rId223" Type="http://schemas.openxmlformats.org/officeDocument/2006/relationships/hyperlink" Target="http://www.mpfiltri.co.uk/" TargetMode="External"/><Relationship Id="rId430" Type="http://schemas.openxmlformats.org/officeDocument/2006/relationships/hyperlink" Target="http://www.mpfiltri.co.uk/" TargetMode="External"/><Relationship Id="rId668" Type="http://schemas.openxmlformats.org/officeDocument/2006/relationships/hyperlink" Target="http://www.mpfiltri.co.uk/" TargetMode="External"/><Relationship Id="rId875" Type="http://schemas.openxmlformats.org/officeDocument/2006/relationships/hyperlink" Target="http://www.mpfiltri.co.uk/" TargetMode="External"/><Relationship Id="rId18" Type="http://schemas.openxmlformats.org/officeDocument/2006/relationships/hyperlink" Target="http://www.mpfiltri.co.uk/" TargetMode="External"/><Relationship Id="rId528" Type="http://schemas.openxmlformats.org/officeDocument/2006/relationships/hyperlink" Target="http://www.mpfiltri.co.uk/" TargetMode="External"/><Relationship Id="rId735" Type="http://schemas.openxmlformats.org/officeDocument/2006/relationships/hyperlink" Target="http://www.mpfiltri.co.uk/" TargetMode="External"/><Relationship Id="rId942" Type="http://schemas.openxmlformats.org/officeDocument/2006/relationships/hyperlink" Target="http://www.mpfiltri.co.uk/" TargetMode="External"/><Relationship Id="rId167" Type="http://schemas.openxmlformats.org/officeDocument/2006/relationships/hyperlink" Target="http://www.mpfiltri.co.uk/" TargetMode="External"/><Relationship Id="rId374" Type="http://schemas.openxmlformats.org/officeDocument/2006/relationships/hyperlink" Target="http://www.mpfiltri.co.uk/" TargetMode="External"/><Relationship Id="rId581" Type="http://schemas.openxmlformats.org/officeDocument/2006/relationships/hyperlink" Target="http://www.mpfiltri.co.uk/" TargetMode="External"/><Relationship Id="rId1018" Type="http://schemas.openxmlformats.org/officeDocument/2006/relationships/hyperlink" Target="http://www.mpfiltri.co.uk/" TargetMode="External"/><Relationship Id="rId71" Type="http://schemas.openxmlformats.org/officeDocument/2006/relationships/hyperlink" Target="http://www.mpfiltri.co.uk/" TargetMode="External"/><Relationship Id="rId234" Type="http://schemas.openxmlformats.org/officeDocument/2006/relationships/hyperlink" Target="http://www.mpfiltri.co.uk/" TargetMode="External"/><Relationship Id="rId679" Type="http://schemas.openxmlformats.org/officeDocument/2006/relationships/hyperlink" Target="http://www.mpfiltri.co.uk/" TargetMode="External"/><Relationship Id="rId802" Type="http://schemas.openxmlformats.org/officeDocument/2006/relationships/hyperlink" Target="http://www.mpfiltri.co.uk/" TargetMode="External"/><Relationship Id="rId886" Type="http://schemas.openxmlformats.org/officeDocument/2006/relationships/hyperlink" Target="http://www.mpfiltri.co.uk/" TargetMode="External"/><Relationship Id="rId2" Type="http://schemas.openxmlformats.org/officeDocument/2006/relationships/hyperlink" Target="http://www.mpfiltri.co.uk/" TargetMode="External"/><Relationship Id="rId29" Type="http://schemas.openxmlformats.org/officeDocument/2006/relationships/hyperlink" Target="http://www.mpfiltri.co.uk/" TargetMode="External"/><Relationship Id="rId441" Type="http://schemas.openxmlformats.org/officeDocument/2006/relationships/hyperlink" Target="http://www.mpfiltri.co.uk/" TargetMode="External"/><Relationship Id="rId539" Type="http://schemas.openxmlformats.org/officeDocument/2006/relationships/hyperlink" Target="http://www.mpfiltri.co.uk/" TargetMode="External"/><Relationship Id="rId746" Type="http://schemas.openxmlformats.org/officeDocument/2006/relationships/hyperlink" Target="http://www.mpfiltri.co.uk/" TargetMode="External"/><Relationship Id="rId178" Type="http://schemas.openxmlformats.org/officeDocument/2006/relationships/hyperlink" Target="http://www.mpfiltri.co.uk/" TargetMode="External"/><Relationship Id="rId301" Type="http://schemas.openxmlformats.org/officeDocument/2006/relationships/hyperlink" Target="http://www.mpfiltri.co.uk/" TargetMode="External"/><Relationship Id="rId953" Type="http://schemas.openxmlformats.org/officeDocument/2006/relationships/hyperlink" Target="http://www.mpfiltri.co.uk/" TargetMode="External"/><Relationship Id="rId1029" Type="http://schemas.openxmlformats.org/officeDocument/2006/relationships/oleObject" Target="../embeddings/oleObject1.bin"/><Relationship Id="rId82" Type="http://schemas.openxmlformats.org/officeDocument/2006/relationships/hyperlink" Target="http://www.mpfiltri.co.uk/" TargetMode="External"/><Relationship Id="rId385" Type="http://schemas.openxmlformats.org/officeDocument/2006/relationships/hyperlink" Target="http://www.mpfiltri.co.uk/" TargetMode="External"/><Relationship Id="rId592" Type="http://schemas.openxmlformats.org/officeDocument/2006/relationships/hyperlink" Target="http://www.mpfiltri.co.uk/" TargetMode="External"/><Relationship Id="rId606" Type="http://schemas.openxmlformats.org/officeDocument/2006/relationships/hyperlink" Target="http://www.mpfiltri.co.uk/" TargetMode="External"/><Relationship Id="rId813" Type="http://schemas.openxmlformats.org/officeDocument/2006/relationships/hyperlink" Target="http://www.mpfiltri.co.uk/" TargetMode="External"/><Relationship Id="rId245" Type="http://schemas.openxmlformats.org/officeDocument/2006/relationships/hyperlink" Target="http://www.mpfiltri.co.uk/" TargetMode="External"/><Relationship Id="rId452" Type="http://schemas.openxmlformats.org/officeDocument/2006/relationships/hyperlink" Target="http://www.mpfiltri.co.uk/" TargetMode="External"/><Relationship Id="rId897" Type="http://schemas.openxmlformats.org/officeDocument/2006/relationships/hyperlink" Target="http://www.mpfiltri.co.uk/" TargetMode="External"/><Relationship Id="rId105" Type="http://schemas.openxmlformats.org/officeDocument/2006/relationships/hyperlink" Target="http://www.mpfiltri.co.uk/" TargetMode="External"/><Relationship Id="rId312" Type="http://schemas.openxmlformats.org/officeDocument/2006/relationships/hyperlink" Target="http://www.mpfiltri.co.uk/" TargetMode="External"/><Relationship Id="rId757" Type="http://schemas.openxmlformats.org/officeDocument/2006/relationships/hyperlink" Target="http://www.mpfiltri.co.uk/" TargetMode="External"/><Relationship Id="rId964" Type="http://schemas.openxmlformats.org/officeDocument/2006/relationships/hyperlink" Target="http://www.mpfiltri.co.uk/" TargetMode="External"/><Relationship Id="rId93" Type="http://schemas.openxmlformats.org/officeDocument/2006/relationships/hyperlink" Target="http://www.mpfiltri.co.uk/" TargetMode="External"/><Relationship Id="rId189" Type="http://schemas.openxmlformats.org/officeDocument/2006/relationships/hyperlink" Target="http://www.mpfiltri.co.uk/" TargetMode="External"/><Relationship Id="rId396" Type="http://schemas.openxmlformats.org/officeDocument/2006/relationships/hyperlink" Target="http://www.mpfiltri.co.uk/" TargetMode="External"/><Relationship Id="rId617" Type="http://schemas.openxmlformats.org/officeDocument/2006/relationships/hyperlink" Target="http://www.mpfiltri.co.uk/" TargetMode="External"/><Relationship Id="rId824" Type="http://schemas.openxmlformats.org/officeDocument/2006/relationships/hyperlink" Target="http://www.mpfiltri.co.uk/" TargetMode="External"/><Relationship Id="rId256" Type="http://schemas.openxmlformats.org/officeDocument/2006/relationships/hyperlink" Target="http://www.mpfiltri.co.uk/" TargetMode="External"/><Relationship Id="rId463" Type="http://schemas.openxmlformats.org/officeDocument/2006/relationships/hyperlink" Target="http://www.mpfiltri.co.uk/" TargetMode="External"/><Relationship Id="rId670" Type="http://schemas.openxmlformats.org/officeDocument/2006/relationships/hyperlink" Target="http://www.mpfiltri.co.uk/" TargetMode="External"/><Relationship Id="rId116" Type="http://schemas.openxmlformats.org/officeDocument/2006/relationships/hyperlink" Target="http://www.mpfiltri.co.uk/" TargetMode="External"/><Relationship Id="rId323" Type="http://schemas.openxmlformats.org/officeDocument/2006/relationships/hyperlink" Target="http://www.mpfiltri.co.uk/" TargetMode="External"/><Relationship Id="rId530" Type="http://schemas.openxmlformats.org/officeDocument/2006/relationships/hyperlink" Target="http://www.mpfiltri.co.uk/" TargetMode="External"/><Relationship Id="rId768" Type="http://schemas.openxmlformats.org/officeDocument/2006/relationships/hyperlink" Target="http://www.mpfiltri.co.uk/" TargetMode="External"/><Relationship Id="rId975" Type="http://schemas.openxmlformats.org/officeDocument/2006/relationships/hyperlink" Target="http://www.mpfiltri.co.uk/" TargetMode="External"/><Relationship Id="rId20" Type="http://schemas.openxmlformats.org/officeDocument/2006/relationships/hyperlink" Target="http://www.mpfiltri.co.uk/" TargetMode="External"/><Relationship Id="rId628" Type="http://schemas.openxmlformats.org/officeDocument/2006/relationships/hyperlink" Target="http://www.mpfiltri.co.uk/" TargetMode="External"/><Relationship Id="rId835" Type="http://schemas.openxmlformats.org/officeDocument/2006/relationships/hyperlink" Target="http://www.mpfiltri.co.uk/" TargetMode="External"/><Relationship Id="rId267" Type="http://schemas.openxmlformats.org/officeDocument/2006/relationships/hyperlink" Target="http://www.mpfiltri.co.uk/" TargetMode="External"/><Relationship Id="rId474" Type="http://schemas.openxmlformats.org/officeDocument/2006/relationships/hyperlink" Target="http://www.mpfiltri.co.uk/" TargetMode="External"/><Relationship Id="rId1020" Type="http://schemas.openxmlformats.org/officeDocument/2006/relationships/hyperlink" Target="http://www.mpfiltri.co.uk/" TargetMode="External"/><Relationship Id="rId127" Type="http://schemas.openxmlformats.org/officeDocument/2006/relationships/hyperlink" Target="http://www.mpfiltri.co.uk/" TargetMode="External"/><Relationship Id="rId681" Type="http://schemas.openxmlformats.org/officeDocument/2006/relationships/hyperlink" Target="http://www.mpfiltri.co.uk/" TargetMode="External"/><Relationship Id="rId779" Type="http://schemas.openxmlformats.org/officeDocument/2006/relationships/hyperlink" Target="http://www.mpfiltri.co.uk/" TargetMode="External"/><Relationship Id="rId902" Type="http://schemas.openxmlformats.org/officeDocument/2006/relationships/hyperlink" Target="http://www.mpfiltri.co.uk/" TargetMode="External"/><Relationship Id="rId986" Type="http://schemas.openxmlformats.org/officeDocument/2006/relationships/hyperlink" Target="http://www.mpfiltri.co.uk/" TargetMode="External"/><Relationship Id="rId31" Type="http://schemas.openxmlformats.org/officeDocument/2006/relationships/hyperlink" Target="http://www.mpfiltri.co.uk/" TargetMode="External"/><Relationship Id="rId334" Type="http://schemas.openxmlformats.org/officeDocument/2006/relationships/hyperlink" Target="http://www.mpfiltri.co.uk/" TargetMode="External"/><Relationship Id="rId541" Type="http://schemas.openxmlformats.org/officeDocument/2006/relationships/hyperlink" Target="http://www.mpfiltri.co.uk/" TargetMode="External"/><Relationship Id="rId639" Type="http://schemas.openxmlformats.org/officeDocument/2006/relationships/hyperlink" Target="http://www.mpfiltri.co.uk/" TargetMode="External"/><Relationship Id="rId180" Type="http://schemas.openxmlformats.org/officeDocument/2006/relationships/hyperlink" Target="http://www.mpfiltri.co.uk/" TargetMode="External"/><Relationship Id="rId278" Type="http://schemas.openxmlformats.org/officeDocument/2006/relationships/hyperlink" Target="http://www.mpfiltri.co.uk/" TargetMode="External"/><Relationship Id="rId401" Type="http://schemas.openxmlformats.org/officeDocument/2006/relationships/hyperlink" Target="http://www.mpfiltri.co.uk/" TargetMode="External"/><Relationship Id="rId846" Type="http://schemas.openxmlformats.org/officeDocument/2006/relationships/hyperlink" Target="http://www.mpfiltri.co.uk/" TargetMode="External"/><Relationship Id="rId1031" Type="http://schemas.openxmlformats.org/officeDocument/2006/relationships/oleObject" Target="../embeddings/oleObject2.bin"/><Relationship Id="rId485" Type="http://schemas.openxmlformats.org/officeDocument/2006/relationships/hyperlink" Target="http://www.mpfiltri.co.uk/" TargetMode="External"/><Relationship Id="rId692" Type="http://schemas.openxmlformats.org/officeDocument/2006/relationships/hyperlink" Target="http://www.mpfiltri.co.uk/" TargetMode="External"/><Relationship Id="rId706" Type="http://schemas.openxmlformats.org/officeDocument/2006/relationships/hyperlink" Target="http://www.mpfiltri.co.uk/" TargetMode="External"/><Relationship Id="rId913" Type="http://schemas.openxmlformats.org/officeDocument/2006/relationships/hyperlink" Target="http://www.mpfiltri.co.uk/" TargetMode="External"/><Relationship Id="rId42" Type="http://schemas.openxmlformats.org/officeDocument/2006/relationships/hyperlink" Target="http://www.mpfiltri.co.uk/" TargetMode="External"/><Relationship Id="rId138" Type="http://schemas.openxmlformats.org/officeDocument/2006/relationships/hyperlink" Target="http://www.mpfiltri.co.uk/" TargetMode="External"/><Relationship Id="rId345" Type="http://schemas.openxmlformats.org/officeDocument/2006/relationships/hyperlink" Target="http://www.mpfiltri.co.uk/" TargetMode="External"/><Relationship Id="rId552" Type="http://schemas.openxmlformats.org/officeDocument/2006/relationships/hyperlink" Target="http://www.mpfiltri.co.uk/" TargetMode="External"/><Relationship Id="rId997" Type="http://schemas.openxmlformats.org/officeDocument/2006/relationships/hyperlink" Target="http://www.mpfiltri.co.uk/" TargetMode="External"/><Relationship Id="rId191" Type="http://schemas.openxmlformats.org/officeDocument/2006/relationships/hyperlink" Target="http://www.mpfiltri.co.uk/" TargetMode="External"/><Relationship Id="rId205" Type="http://schemas.openxmlformats.org/officeDocument/2006/relationships/hyperlink" Target="http://www.mpfiltri.co.uk/" TargetMode="External"/><Relationship Id="rId412" Type="http://schemas.openxmlformats.org/officeDocument/2006/relationships/hyperlink" Target="http://www.mpfiltri.co.uk/" TargetMode="External"/><Relationship Id="rId857" Type="http://schemas.openxmlformats.org/officeDocument/2006/relationships/hyperlink" Target="http://www.mpfiltri.co.uk/" TargetMode="External"/><Relationship Id="rId289" Type="http://schemas.openxmlformats.org/officeDocument/2006/relationships/hyperlink" Target="http://www.mpfiltri.co.uk/" TargetMode="External"/><Relationship Id="rId496" Type="http://schemas.openxmlformats.org/officeDocument/2006/relationships/hyperlink" Target="http://www.mpfiltri.co.uk/" TargetMode="External"/><Relationship Id="rId717" Type="http://schemas.openxmlformats.org/officeDocument/2006/relationships/hyperlink" Target="http://www.mpfiltri.co.uk/" TargetMode="External"/><Relationship Id="rId924" Type="http://schemas.openxmlformats.org/officeDocument/2006/relationships/hyperlink" Target="http://www.mpfiltri.co.uk/" TargetMode="External"/><Relationship Id="rId53" Type="http://schemas.openxmlformats.org/officeDocument/2006/relationships/hyperlink" Target="http://www.mpfiltri.co.uk/" TargetMode="External"/><Relationship Id="rId149" Type="http://schemas.openxmlformats.org/officeDocument/2006/relationships/hyperlink" Target="http://www.mpfiltri.co.uk/" TargetMode="External"/><Relationship Id="rId356" Type="http://schemas.openxmlformats.org/officeDocument/2006/relationships/hyperlink" Target="http://www.mpfiltri.co.uk/" TargetMode="External"/><Relationship Id="rId563" Type="http://schemas.openxmlformats.org/officeDocument/2006/relationships/hyperlink" Target="http://www.mpfiltri.co.uk/" TargetMode="External"/><Relationship Id="rId770" Type="http://schemas.openxmlformats.org/officeDocument/2006/relationships/hyperlink" Target="http://www.mpfiltri.co.uk/" TargetMode="External"/><Relationship Id="rId216" Type="http://schemas.openxmlformats.org/officeDocument/2006/relationships/hyperlink" Target="http://www.mpfiltri.co.uk/" TargetMode="External"/><Relationship Id="rId423" Type="http://schemas.openxmlformats.org/officeDocument/2006/relationships/hyperlink" Target="http://www.mpfiltri.co.uk/" TargetMode="External"/><Relationship Id="rId868" Type="http://schemas.openxmlformats.org/officeDocument/2006/relationships/hyperlink" Target="http://www.mpfiltri.co.uk/" TargetMode="External"/><Relationship Id="rId630" Type="http://schemas.openxmlformats.org/officeDocument/2006/relationships/hyperlink" Target="http://www.mpfiltri.co.uk/" TargetMode="External"/><Relationship Id="rId728" Type="http://schemas.openxmlformats.org/officeDocument/2006/relationships/hyperlink" Target="http://www.mpfiltri.co.uk/" TargetMode="External"/><Relationship Id="rId935" Type="http://schemas.openxmlformats.org/officeDocument/2006/relationships/hyperlink" Target="http://www.mpfiltri.co.uk/" TargetMode="External"/><Relationship Id="rId64" Type="http://schemas.openxmlformats.org/officeDocument/2006/relationships/hyperlink" Target="http://www.mpfiltri.co.uk/" TargetMode="External"/><Relationship Id="rId367" Type="http://schemas.openxmlformats.org/officeDocument/2006/relationships/hyperlink" Target="http://www.mpfiltri.co.uk/" TargetMode="External"/><Relationship Id="rId574" Type="http://schemas.openxmlformats.org/officeDocument/2006/relationships/hyperlink" Target="http://www.mpfiltri.co.uk/" TargetMode="External"/><Relationship Id="rId227" Type="http://schemas.openxmlformats.org/officeDocument/2006/relationships/hyperlink" Target="http://www.mpfiltri.co.uk/" TargetMode="External"/><Relationship Id="rId781" Type="http://schemas.openxmlformats.org/officeDocument/2006/relationships/hyperlink" Target="http://www.mpfiltri.co.uk/" TargetMode="External"/><Relationship Id="rId879" Type="http://schemas.openxmlformats.org/officeDocument/2006/relationships/hyperlink" Target="http://www.mpfiltri.co.uk/" TargetMode="External"/><Relationship Id="rId434" Type="http://schemas.openxmlformats.org/officeDocument/2006/relationships/hyperlink" Target="http://www.mpfiltri.co.uk/" TargetMode="External"/><Relationship Id="rId641" Type="http://schemas.openxmlformats.org/officeDocument/2006/relationships/hyperlink" Target="http://www.mpfiltri.co.uk/" TargetMode="External"/><Relationship Id="rId739" Type="http://schemas.openxmlformats.org/officeDocument/2006/relationships/hyperlink" Target="http://www.mpfiltri.co.uk/" TargetMode="External"/><Relationship Id="rId280" Type="http://schemas.openxmlformats.org/officeDocument/2006/relationships/hyperlink" Target="http://www.mpfiltri.co.uk/" TargetMode="External"/><Relationship Id="rId501" Type="http://schemas.openxmlformats.org/officeDocument/2006/relationships/hyperlink" Target="http://www.mpfiltri.co.uk/" TargetMode="External"/><Relationship Id="rId946" Type="http://schemas.openxmlformats.org/officeDocument/2006/relationships/hyperlink" Target="http://www.mpfiltri.co.uk/" TargetMode="External"/><Relationship Id="rId75" Type="http://schemas.openxmlformats.org/officeDocument/2006/relationships/hyperlink" Target="http://www.mpfiltri.co.uk/" TargetMode="External"/><Relationship Id="rId140" Type="http://schemas.openxmlformats.org/officeDocument/2006/relationships/hyperlink" Target="http://www.mpfiltri.co.uk/" TargetMode="External"/><Relationship Id="rId378" Type="http://schemas.openxmlformats.org/officeDocument/2006/relationships/hyperlink" Target="http://www.mpfiltri.co.uk/" TargetMode="External"/><Relationship Id="rId585" Type="http://schemas.openxmlformats.org/officeDocument/2006/relationships/hyperlink" Target="http://www.mpfiltri.co.uk/" TargetMode="External"/><Relationship Id="rId792" Type="http://schemas.openxmlformats.org/officeDocument/2006/relationships/hyperlink" Target="http://www.mpfiltri.co.uk/" TargetMode="External"/><Relationship Id="rId806" Type="http://schemas.openxmlformats.org/officeDocument/2006/relationships/hyperlink" Target="http://www.mpfiltri.co.uk/" TargetMode="External"/><Relationship Id="rId6" Type="http://schemas.openxmlformats.org/officeDocument/2006/relationships/hyperlink" Target="http://www.mpfiltri.co.uk/" TargetMode="External"/><Relationship Id="rId238" Type="http://schemas.openxmlformats.org/officeDocument/2006/relationships/hyperlink" Target="http://www.mpfiltri.co.uk/" TargetMode="External"/><Relationship Id="rId445" Type="http://schemas.openxmlformats.org/officeDocument/2006/relationships/hyperlink" Target="http://www.mpfiltri.co.uk/" TargetMode="External"/><Relationship Id="rId652" Type="http://schemas.openxmlformats.org/officeDocument/2006/relationships/hyperlink" Target="http://www.mpfiltri.co.uk/" TargetMode="External"/><Relationship Id="rId291" Type="http://schemas.openxmlformats.org/officeDocument/2006/relationships/hyperlink" Target="http://www.mpfiltri.co.uk/" TargetMode="External"/><Relationship Id="rId305" Type="http://schemas.openxmlformats.org/officeDocument/2006/relationships/hyperlink" Target="http://www.mpfiltri.co.uk/" TargetMode="External"/><Relationship Id="rId512" Type="http://schemas.openxmlformats.org/officeDocument/2006/relationships/hyperlink" Target="http://www.mpfiltri.co.uk/" TargetMode="External"/><Relationship Id="rId957" Type="http://schemas.openxmlformats.org/officeDocument/2006/relationships/hyperlink" Target="http://www.mpfiltri.co.uk/" TargetMode="External"/><Relationship Id="rId86" Type="http://schemas.openxmlformats.org/officeDocument/2006/relationships/hyperlink" Target="http://www.mpfiltri.co.uk/" TargetMode="External"/><Relationship Id="rId151" Type="http://schemas.openxmlformats.org/officeDocument/2006/relationships/hyperlink" Target="http://www.mpfiltri.co.uk/" TargetMode="External"/><Relationship Id="rId389" Type="http://schemas.openxmlformats.org/officeDocument/2006/relationships/hyperlink" Target="http://www.mpfiltri.co.uk/" TargetMode="External"/><Relationship Id="rId596" Type="http://schemas.openxmlformats.org/officeDocument/2006/relationships/hyperlink" Target="http://www.mpfiltri.co.uk/" TargetMode="External"/><Relationship Id="rId817" Type="http://schemas.openxmlformats.org/officeDocument/2006/relationships/hyperlink" Target="http://www.mpfiltri.co.uk/" TargetMode="External"/><Relationship Id="rId1002" Type="http://schemas.openxmlformats.org/officeDocument/2006/relationships/hyperlink" Target="http://www.mpfiltri.co.uk/" TargetMode="External"/><Relationship Id="rId249" Type="http://schemas.openxmlformats.org/officeDocument/2006/relationships/hyperlink" Target="http://www.mpfiltri.co.uk/" TargetMode="External"/><Relationship Id="rId456" Type="http://schemas.openxmlformats.org/officeDocument/2006/relationships/hyperlink" Target="http://www.mpfiltri.co.uk/" TargetMode="External"/><Relationship Id="rId663" Type="http://schemas.openxmlformats.org/officeDocument/2006/relationships/hyperlink" Target="http://www.mpfiltri.co.uk/" TargetMode="External"/><Relationship Id="rId870" Type="http://schemas.openxmlformats.org/officeDocument/2006/relationships/hyperlink" Target="http://www.mpfiltri.co.uk/" TargetMode="External"/><Relationship Id="rId13" Type="http://schemas.openxmlformats.org/officeDocument/2006/relationships/hyperlink" Target="http://www.mpfiltri.co.uk/" TargetMode="External"/><Relationship Id="rId109" Type="http://schemas.openxmlformats.org/officeDocument/2006/relationships/hyperlink" Target="http://www.mpfiltri.co.uk/" TargetMode="External"/><Relationship Id="rId316" Type="http://schemas.openxmlformats.org/officeDocument/2006/relationships/hyperlink" Target="http://www.mpfiltri.co.uk/" TargetMode="External"/><Relationship Id="rId523" Type="http://schemas.openxmlformats.org/officeDocument/2006/relationships/hyperlink" Target="http://www.mpfiltri.co.uk/" TargetMode="External"/><Relationship Id="rId968" Type="http://schemas.openxmlformats.org/officeDocument/2006/relationships/hyperlink" Target="http://www.mpfiltri.co.uk/" TargetMode="External"/><Relationship Id="rId97" Type="http://schemas.openxmlformats.org/officeDocument/2006/relationships/hyperlink" Target="http://www.mpfiltri.co.uk/" TargetMode="External"/><Relationship Id="rId730" Type="http://schemas.openxmlformats.org/officeDocument/2006/relationships/hyperlink" Target="http://www.mpfiltri.co.uk/" TargetMode="External"/><Relationship Id="rId828" Type="http://schemas.openxmlformats.org/officeDocument/2006/relationships/hyperlink" Target="http://www.mpfiltri.co.uk/" TargetMode="External"/><Relationship Id="rId1013" Type="http://schemas.openxmlformats.org/officeDocument/2006/relationships/hyperlink" Target="http://www.mpfiltri.co.uk/" TargetMode="External"/><Relationship Id="rId162" Type="http://schemas.openxmlformats.org/officeDocument/2006/relationships/hyperlink" Target="http://www.mpfiltri.co.uk/" TargetMode="External"/><Relationship Id="rId467" Type="http://schemas.openxmlformats.org/officeDocument/2006/relationships/hyperlink" Target="http://www.mpfiltri.co.uk/" TargetMode="External"/><Relationship Id="rId674" Type="http://schemas.openxmlformats.org/officeDocument/2006/relationships/hyperlink" Target="http://www.mpfiltri.co.uk/" TargetMode="External"/><Relationship Id="rId881" Type="http://schemas.openxmlformats.org/officeDocument/2006/relationships/hyperlink" Target="http://www.mpfiltri.co.uk/" TargetMode="External"/><Relationship Id="rId979" Type="http://schemas.openxmlformats.org/officeDocument/2006/relationships/hyperlink" Target="http://www.mpfiltri.co.uk/" TargetMode="External"/><Relationship Id="rId24" Type="http://schemas.openxmlformats.org/officeDocument/2006/relationships/hyperlink" Target="http://www.mpfiltri.co.uk/" TargetMode="External"/><Relationship Id="rId327" Type="http://schemas.openxmlformats.org/officeDocument/2006/relationships/hyperlink" Target="http://www.mpfiltri.co.uk/" TargetMode="External"/><Relationship Id="rId534" Type="http://schemas.openxmlformats.org/officeDocument/2006/relationships/hyperlink" Target="http://www.mpfiltri.co.uk/" TargetMode="External"/><Relationship Id="rId741" Type="http://schemas.openxmlformats.org/officeDocument/2006/relationships/hyperlink" Target="http://www.mpfiltri.co.uk/" TargetMode="External"/><Relationship Id="rId839" Type="http://schemas.openxmlformats.org/officeDocument/2006/relationships/hyperlink" Target="http://www.mpfiltri.co.uk/" TargetMode="External"/><Relationship Id="rId173" Type="http://schemas.openxmlformats.org/officeDocument/2006/relationships/hyperlink" Target="http://www.mpfiltri.co.uk/" TargetMode="External"/><Relationship Id="rId380" Type="http://schemas.openxmlformats.org/officeDocument/2006/relationships/hyperlink" Target="http://www.mpfiltri.co.uk/" TargetMode="External"/><Relationship Id="rId601" Type="http://schemas.openxmlformats.org/officeDocument/2006/relationships/hyperlink" Target="http://www.mpfiltri.co.uk/" TargetMode="External"/><Relationship Id="rId1024" Type="http://schemas.openxmlformats.org/officeDocument/2006/relationships/hyperlink" Target="http://www.mpfiltri.co.uk/" TargetMode="External"/><Relationship Id="rId240" Type="http://schemas.openxmlformats.org/officeDocument/2006/relationships/hyperlink" Target="http://www.mpfiltri.co.uk/" TargetMode="External"/><Relationship Id="rId478" Type="http://schemas.openxmlformats.org/officeDocument/2006/relationships/hyperlink" Target="http://www.mpfiltri.co.uk/" TargetMode="External"/><Relationship Id="rId685" Type="http://schemas.openxmlformats.org/officeDocument/2006/relationships/hyperlink" Target="http://www.mpfiltri.co.uk/" TargetMode="External"/><Relationship Id="rId892" Type="http://schemas.openxmlformats.org/officeDocument/2006/relationships/hyperlink" Target="http://www.mpfiltri.co.uk/" TargetMode="External"/><Relationship Id="rId906" Type="http://schemas.openxmlformats.org/officeDocument/2006/relationships/hyperlink" Target="http://www.mpfiltri.co.uk/" TargetMode="External"/><Relationship Id="rId35" Type="http://schemas.openxmlformats.org/officeDocument/2006/relationships/hyperlink" Target="http://www.mpfiltri.co.uk/" TargetMode="External"/><Relationship Id="rId100" Type="http://schemas.openxmlformats.org/officeDocument/2006/relationships/hyperlink" Target="http://www.mpfiltri.co.uk/" TargetMode="External"/><Relationship Id="rId338" Type="http://schemas.openxmlformats.org/officeDocument/2006/relationships/hyperlink" Target="http://www.mpfiltri.co.uk/" TargetMode="External"/><Relationship Id="rId545" Type="http://schemas.openxmlformats.org/officeDocument/2006/relationships/hyperlink" Target="http://www.mpfiltri.co.uk/" TargetMode="External"/><Relationship Id="rId752" Type="http://schemas.openxmlformats.org/officeDocument/2006/relationships/hyperlink" Target="http://www.mpfiltri.co.uk/" TargetMode="External"/><Relationship Id="rId184" Type="http://schemas.openxmlformats.org/officeDocument/2006/relationships/hyperlink" Target="http://www.mpfiltri.co.uk/" TargetMode="External"/><Relationship Id="rId391" Type="http://schemas.openxmlformats.org/officeDocument/2006/relationships/hyperlink" Target="http://www.mpfiltri.co.uk/" TargetMode="External"/><Relationship Id="rId405" Type="http://schemas.openxmlformats.org/officeDocument/2006/relationships/hyperlink" Target="http://www.mpfiltri.co.uk/" TargetMode="External"/><Relationship Id="rId612" Type="http://schemas.openxmlformats.org/officeDocument/2006/relationships/hyperlink" Target="http://www.mpfiltri.co.uk/" TargetMode="External"/><Relationship Id="rId251" Type="http://schemas.openxmlformats.org/officeDocument/2006/relationships/hyperlink" Target="http://www.mpfiltri.co.uk/" TargetMode="External"/><Relationship Id="rId489" Type="http://schemas.openxmlformats.org/officeDocument/2006/relationships/hyperlink" Target="http://www.mpfiltri.co.uk/" TargetMode="External"/><Relationship Id="rId696" Type="http://schemas.openxmlformats.org/officeDocument/2006/relationships/hyperlink" Target="http://www.mpfiltri.co.uk/" TargetMode="External"/><Relationship Id="rId917" Type="http://schemas.openxmlformats.org/officeDocument/2006/relationships/hyperlink" Target="http://www.mpfiltri.co.uk/" TargetMode="External"/><Relationship Id="rId46" Type="http://schemas.openxmlformats.org/officeDocument/2006/relationships/hyperlink" Target="http://www.mpfiltri.co.uk/" TargetMode="External"/><Relationship Id="rId349" Type="http://schemas.openxmlformats.org/officeDocument/2006/relationships/hyperlink" Target="http://www.mpfiltri.co.uk/" TargetMode="External"/><Relationship Id="rId556" Type="http://schemas.openxmlformats.org/officeDocument/2006/relationships/hyperlink" Target="http://www.mpfiltri.co.uk/" TargetMode="External"/><Relationship Id="rId763" Type="http://schemas.openxmlformats.org/officeDocument/2006/relationships/hyperlink" Target="http://www.mpfiltri.co.uk/" TargetMode="External"/><Relationship Id="rId111" Type="http://schemas.openxmlformats.org/officeDocument/2006/relationships/hyperlink" Target="http://www.mpfiltri.co.uk/" TargetMode="External"/><Relationship Id="rId195" Type="http://schemas.openxmlformats.org/officeDocument/2006/relationships/hyperlink" Target="http://www.mpfiltri.co.uk/" TargetMode="External"/><Relationship Id="rId209" Type="http://schemas.openxmlformats.org/officeDocument/2006/relationships/hyperlink" Target="http://www.mpfiltri.co.uk/" TargetMode="External"/><Relationship Id="rId416" Type="http://schemas.openxmlformats.org/officeDocument/2006/relationships/hyperlink" Target="http://www.mpfiltri.co.uk/" TargetMode="External"/><Relationship Id="rId970" Type="http://schemas.openxmlformats.org/officeDocument/2006/relationships/hyperlink" Target="http://www.mpfiltri.co.uk/" TargetMode="External"/><Relationship Id="rId623" Type="http://schemas.openxmlformats.org/officeDocument/2006/relationships/hyperlink" Target="http://www.mpfiltri.co.uk/" TargetMode="External"/><Relationship Id="rId830" Type="http://schemas.openxmlformats.org/officeDocument/2006/relationships/hyperlink" Target="http://www.mpfiltri.co.uk/" TargetMode="External"/><Relationship Id="rId928" Type="http://schemas.openxmlformats.org/officeDocument/2006/relationships/hyperlink" Target="http://www.mpfiltri.co.uk/" TargetMode="External"/><Relationship Id="rId57" Type="http://schemas.openxmlformats.org/officeDocument/2006/relationships/hyperlink" Target="http://www.mpfiltri.co.uk/" TargetMode="External"/><Relationship Id="rId262" Type="http://schemas.openxmlformats.org/officeDocument/2006/relationships/hyperlink" Target="http://www.mpfiltri.co.uk/" TargetMode="External"/><Relationship Id="rId567" Type="http://schemas.openxmlformats.org/officeDocument/2006/relationships/hyperlink" Target="http://www.mpfiltri.co.uk/" TargetMode="External"/><Relationship Id="rId122" Type="http://schemas.openxmlformats.org/officeDocument/2006/relationships/hyperlink" Target="http://www.mpfiltri.co.uk/" TargetMode="External"/><Relationship Id="rId774" Type="http://schemas.openxmlformats.org/officeDocument/2006/relationships/hyperlink" Target="http://www.mpfiltri.co.uk/" TargetMode="External"/><Relationship Id="rId981" Type="http://schemas.openxmlformats.org/officeDocument/2006/relationships/hyperlink" Target="http://www.mpfiltri.co.uk/" TargetMode="External"/><Relationship Id="rId427" Type="http://schemas.openxmlformats.org/officeDocument/2006/relationships/hyperlink" Target="http://www.mpfiltri.co.uk/" TargetMode="External"/><Relationship Id="rId634" Type="http://schemas.openxmlformats.org/officeDocument/2006/relationships/hyperlink" Target="http://www.mpfiltri.co.uk/" TargetMode="External"/><Relationship Id="rId841" Type="http://schemas.openxmlformats.org/officeDocument/2006/relationships/hyperlink" Target="http://www.mpfiltri.co.uk/" TargetMode="External"/><Relationship Id="rId273" Type="http://schemas.openxmlformats.org/officeDocument/2006/relationships/hyperlink" Target="http://www.mpfiltri.co.uk/" TargetMode="External"/><Relationship Id="rId480" Type="http://schemas.openxmlformats.org/officeDocument/2006/relationships/hyperlink" Target="http://www.mpfiltri.co.uk/" TargetMode="External"/><Relationship Id="rId701" Type="http://schemas.openxmlformats.org/officeDocument/2006/relationships/hyperlink" Target="http://www.mpfiltri.co.uk/" TargetMode="External"/><Relationship Id="rId939" Type="http://schemas.openxmlformats.org/officeDocument/2006/relationships/hyperlink" Target="http://www.mpfiltri.co.uk/" TargetMode="External"/><Relationship Id="rId68" Type="http://schemas.openxmlformats.org/officeDocument/2006/relationships/hyperlink" Target="http://www.mpfiltri.co.uk/" TargetMode="External"/><Relationship Id="rId133" Type="http://schemas.openxmlformats.org/officeDocument/2006/relationships/hyperlink" Target="http://www.mpfiltri.co.uk/" TargetMode="External"/><Relationship Id="rId340" Type="http://schemas.openxmlformats.org/officeDocument/2006/relationships/hyperlink" Target="http://www.mpfiltri.co.uk/" TargetMode="External"/><Relationship Id="rId578" Type="http://schemas.openxmlformats.org/officeDocument/2006/relationships/hyperlink" Target="http://www.mpfiltri.co.uk/" TargetMode="External"/><Relationship Id="rId785" Type="http://schemas.openxmlformats.org/officeDocument/2006/relationships/hyperlink" Target="http://www.mpfiltri.co.uk/" TargetMode="External"/><Relationship Id="rId992" Type="http://schemas.openxmlformats.org/officeDocument/2006/relationships/hyperlink" Target="http://www.mpfiltri.co.uk/" TargetMode="External"/><Relationship Id="rId200" Type="http://schemas.openxmlformats.org/officeDocument/2006/relationships/hyperlink" Target="http://www.mpfiltri.co.uk/" TargetMode="External"/><Relationship Id="rId438" Type="http://schemas.openxmlformats.org/officeDocument/2006/relationships/hyperlink" Target="http://www.mpfiltri.co.uk/" TargetMode="External"/><Relationship Id="rId645" Type="http://schemas.openxmlformats.org/officeDocument/2006/relationships/hyperlink" Target="http://www.mpfiltri.co.uk/" TargetMode="External"/><Relationship Id="rId852" Type="http://schemas.openxmlformats.org/officeDocument/2006/relationships/hyperlink" Target="http://www.mpfiltri.co.uk/" TargetMode="External"/><Relationship Id="rId284" Type="http://schemas.openxmlformats.org/officeDocument/2006/relationships/hyperlink" Target="http://www.mpfiltri.co.uk/" TargetMode="External"/><Relationship Id="rId491" Type="http://schemas.openxmlformats.org/officeDocument/2006/relationships/hyperlink" Target="http://www.mpfiltri.co.uk/" TargetMode="External"/><Relationship Id="rId505" Type="http://schemas.openxmlformats.org/officeDocument/2006/relationships/hyperlink" Target="http://www.mpfiltri.co.uk/" TargetMode="External"/><Relationship Id="rId712" Type="http://schemas.openxmlformats.org/officeDocument/2006/relationships/hyperlink" Target="http://www.mpfiltri.co.uk/" TargetMode="External"/><Relationship Id="rId79" Type="http://schemas.openxmlformats.org/officeDocument/2006/relationships/hyperlink" Target="http://www.mpfiltri.co.uk/" TargetMode="External"/><Relationship Id="rId144" Type="http://schemas.openxmlformats.org/officeDocument/2006/relationships/hyperlink" Target="http://www.mpfiltri.co.uk/" TargetMode="External"/><Relationship Id="rId589" Type="http://schemas.openxmlformats.org/officeDocument/2006/relationships/hyperlink" Target="http://www.mpfiltri.co.uk/" TargetMode="External"/><Relationship Id="rId796" Type="http://schemas.openxmlformats.org/officeDocument/2006/relationships/hyperlink" Target="http://www.mpfiltri.co.uk/" TargetMode="External"/><Relationship Id="rId351" Type="http://schemas.openxmlformats.org/officeDocument/2006/relationships/hyperlink" Target="http://www.mpfiltri.co.uk/" TargetMode="External"/><Relationship Id="rId449" Type="http://schemas.openxmlformats.org/officeDocument/2006/relationships/hyperlink" Target="http://www.mpfiltri.co.uk/" TargetMode="External"/><Relationship Id="rId656" Type="http://schemas.openxmlformats.org/officeDocument/2006/relationships/hyperlink" Target="http://www.mpfiltri.co.uk/" TargetMode="External"/><Relationship Id="rId863" Type="http://schemas.openxmlformats.org/officeDocument/2006/relationships/hyperlink" Target="http://www.mpfiltri.co.uk/" TargetMode="External"/><Relationship Id="rId211" Type="http://schemas.openxmlformats.org/officeDocument/2006/relationships/hyperlink" Target="http://www.mpfiltri.co.uk/" TargetMode="External"/><Relationship Id="rId295" Type="http://schemas.openxmlformats.org/officeDocument/2006/relationships/hyperlink" Target="http://www.mpfiltri.co.uk/" TargetMode="External"/><Relationship Id="rId309" Type="http://schemas.openxmlformats.org/officeDocument/2006/relationships/hyperlink" Target="http://www.mpfiltri.co.uk/" TargetMode="External"/><Relationship Id="rId516" Type="http://schemas.openxmlformats.org/officeDocument/2006/relationships/hyperlink" Target="http://www.mpfiltri.co.uk/" TargetMode="External"/><Relationship Id="rId723" Type="http://schemas.openxmlformats.org/officeDocument/2006/relationships/hyperlink" Target="http://www.mpfiltri.co.uk/" TargetMode="External"/><Relationship Id="rId930" Type="http://schemas.openxmlformats.org/officeDocument/2006/relationships/hyperlink" Target="http://www.mpfiltri.co.uk/" TargetMode="External"/><Relationship Id="rId1006" Type="http://schemas.openxmlformats.org/officeDocument/2006/relationships/hyperlink" Target="http://www.mpfiltri.co.uk/" TargetMode="External"/><Relationship Id="rId155" Type="http://schemas.openxmlformats.org/officeDocument/2006/relationships/hyperlink" Target="http://www.mpfiltri.co.uk/" TargetMode="External"/><Relationship Id="rId362" Type="http://schemas.openxmlformats.org/officeDocument/2006/relationships/hyperlink" Target="http://www.mpfiltri.co.uk/" TargetMode="External"/><Relationship Id="rId222" Type="http://schemas.openxmlformats.org/officeDocument/2006/relationships/hyperlink" Target="http://www.mpfiltri.co.uk/" TargetMode="External"/><Relationship Id="rId667" Type="http://schemas.openxmlformats.org/officeDocument/2006/relationships/hyperlink" Target="http://www.mpfiltri.co.uk/" TargetMode="External"/><Relationship Id="rId874" Type="http://schemas.openxmlformats.org/officeDocument/2006/relationships/hyperlink" Target="http://www.mpfiltri.co.uk/" TargetMode="External"/><Relationship Id="rId17" Type="http://schemas.openxmlformats.org/officeDocument/2006/relationships/hyperlink" Target="http://www.mpfiltri.co.uk/" TargetMode="External"/><Relationship Id="rId527" Type="http://schemas.openxmlformats.org/officeDocument/2006/relationships/hyperlink" Target="http://www.mpfiltri.co.uk/" TargetMode="External"/><Relationship Id="rId734" Type="http://schemas.openxmlformats.org/officeDocument/2006/relationships/hyperlink" Target="http://www.mpfiltri.co.uk/" TargetMode="External"/><Relationship Id="rId941" Type="http://schemas.openxmlformats.org/officeDocument/2006/relationships/hyperlink" Target="http://www.mpfiltri.co.uk/" TargetMode="External"/><Relationship Id="rId70" Type="http://schemas.openxmlformats.org/officeDocument/2006/relationships/hyperlink" Target="http://www.mpfiltri.co.uk/" TargetMode="External"/><Relationship Id="rId166" Type="http://schemas.openxmlformats.org/officeDocument/2006/relationships/hyperlink" Target="http://www.mpfiltri.co.uk/" TargetMode="External"/><Relationship Id="rId373" Type="http://schemas.openxmlformats.org/officeDocument/2006/relationships/hyperlink" Target="http://www.mpfiltri.co.uk/" TargetMode="External"/><Relationship Id="rId580" Type="http://schemas.openxmlformats.org/officeDocument/2006/relationships/hyperlink" Target="http://www.mpfiltri.co.uk/" TargetMode="External"/><Relationship Id="rId801" Type="http://schemas.openxmlformats.org/officeDocument/2006/relationships/hyperlink" Target="http://www.mpfiltri.co.uk/" TargetMode="External"/><Relationship Id="rId1017" Type="http://schemas.openxmlformats.org/officeDocument/2006/relationships/hyperlink" Target="http://www.mpfiltri.co.uk/" TargetMode="External"/><Relationship Id="rId1" Type="http://schemas.openxmlformats.org/officeDocument/2006/relationships/hyperlink" Target="http://www.mpfiltri.co.uk/" TargetMode="External"/><Relationship Id="rId233" Type="http://schemas.openxmlformats.org/officeDocument/2006/relationships/hyperlink" Target="http://www.mpfiltri.co.uk/" TargetMode="External"/><Relationship Id="rId440" Type="http://schemas.openxmlformats.org/officeDocument/2006/relationships/hyperlink" Target="http://www.mpfiltri.co.uk/" TargetMode="External"/><Relationship Id="rId678" Type="http://schemas.openxmlformats.org/officeDocument/2006/relationships/hyperlink" Target="http://www.mpfiltri.co.uk/" TargetMode="External"/><Relationship Id="rId885" Type="http://schemas.openxmlformats.org/officeDocument/2006/relationships/hyperlink" Target="http://www.mpfiltri.co.uk/" TargetMode="External"/><Relationship Id="rId28" Type="http://schemas.openxmlformats.org/officeDocument/2006/relationships/hyperlink" Target="http://www.mpfiltri.co.uk/" TargetMode="External"/><Relationship Id="rId300" Type="http://schemas.openxmlformats.org/officeDocument/2006/relationships/hyperlink" Target="http://www.mpfiltri.co.uk/" TargetMode="External"/><Relationship Id="rId538" Type="http://schemas.openxmlformats.org/officeDocument/2006/relationships/hyperlink" Target="http://www.mpfiltri.co.uk/" TargetMode="External"/><Relationship Id="rId745" Type="http://schemas.openxmlformats.org/officeDocument/2006/relationships/hyperlink" Target="http://www.mpfiltri.co.uk/" TargetMode="External"/><Relationship Id="rId952" Type="http://schemas.openxmlformats.org/officeDocument/2006/relationships/hyperlink" Target="http://www.mpfiltri.co.uk/" TargetMode="External"/><Relationship Id="rId81" Type="http://schemas.openxmlformats.org/officeDocument/2006/relationships/hyperlink" Target="http://www.mpfiltri.co.uk/" TargetMode="External"/><Relationship Id="rId177" Type="http://schemas.openxmlformats.org/officeDocument/2006/relationships/hyperlink" Target="http://www.mpfiltri.co.uk/" TargetMode="External"/><Relationship Id="rId384" Type="http://schemas.openxmlformats.org/officeDocument/2006/relationships/hyperlink" Target="http://www.mpfiltri.co.uk/" TargetMode="External"/><Relationship Id="rId591" Type="http://schemas.openxmlformats.org/officeDocument/2006/relationships/hyperlink" Target="http://www.mpfiltri.co.uk/" TargetMode="External"/><Relationship Id="rId605" Type="http://schemas.openxmlformats.org/officeDocument/2006/relationships/hyperlink" Target="http://www.mpfiltri.co.uk/" TargetMode="External"/><Relationship Id="rId812" Type="http://schemas.openxmlformats.org/officeDocument/2006/relationships/hyperlink" Target="http://www.mpfiltri.co.uk/" TargetMode="External"/><Relationship Id="rId1028" Type="http://schemas.openxmlformats.org/officeDocument/2006/relationships/vmlDrawing" Target="../drawings/vmlDrawing5.vml"/><Relationship Id="rId244" Type="http://schemas.openxmlformats.org/officeDocument/2006/relationships/hyperlink" Target="http://www.mpfiltri.co.uk/" TargetMode="External"/><Relationship Id="rId689" Type="http://schemas.openxmlformats.org/officeDocument/2006/relationships/hyperlink" Target="http://www.mpfiltri.co.uk/" TargetMode="External"/><Relationship Id="rId896" Type="http://schemas.openxmlformats.org/officeDocument/2006/relationships/hyperlink" Target="http://www.mpfiltri.co.uk/" TargetMode="External"/><Relationship Id="rId39" Type="http://schemas.openxmlformats.org/officeDocument/2006/relationships/hyperlink" Target="http://www.mpfiltri.co.uk/" TargetMode="External"/><Relationship Id="rId451" Type="http://schemas.openxmlformats.org/officeDocument/2006/relationships/hyperlink" Target="http://www.mpfiltri.co.uk/" TargetMode="External"/><Relationship Id="rId549" Type="http://schemas.openxmlformats.org/officeDocument/2006/relationships/hyperlink" Target="http://www.mpfiltri.co.uk/" TargetMode="External"/><Relationship Id="rId756" Type="http://schemas.openxmlformats.org/officeDocument/2006/relationships/hyperlink" Target="http://www.mpfiltri.co.uk/" TargetMode="External"/><Relationship Id="rId104" Type="http://schemas.openxmlformats.org/officeDocument/2006/relationships/hyperlink" Target="http://www.mpfiltri.co.uk/" TargetMode="External"/><Relationship Id="rId188" Type="http://schemas.openxmlformats.org/officeDocument/2006/relationships/hyperlink" Target="http://www.mpfiltri.co.uk/" TargetMode="External"/><Relationship Id="rId311" Type="http://schemas.openxmlformats.org/officeDocument/2006/relationships/hyperlink" Target="http://www.mpfiltri.co.uk/" TargetMode="External"/><Relationship Id="rId395" Type="http://schemas.openxmlformats.org/officeDocument/2006/relationships/hyperlink" Target="http://www.mpfiltri.co.uk/" TargetMode="External"/><Relationship Id="rId409" Type="http://schemas.openxmlformats.org/officeDocument/2006/relationships/hyperlink" Target="http://www.mpfiltri.co.uk/" TargetMode="External"/><Relationship Id="rId963" Type="http://schemas.openxmlformats.org/officeDocument/2006/relationships/hyperlink" Target="http://www.mpfiltri.co.uk/" TargetMode="External"/><Relationship Id="rId92" Type="http://schemas.openxmlformats.org/officeDocument/2006/relationships/hyperlink" Target="http://www.mpfiltri.co.uk/" TargetMode="External"/><Relationship Id="rId616" Type="http://schemas.openxmlformats.org/officeDocument/2006/relationships/hyperlink" Target="http://www.mpfiltri.co.uk/" TargetMode="External"/><Relationship Id="rId823" Type="http://schemas.openxmlformats.org/officeDocument/2006/relationships/hyperlink" Target="http://www.mpfiltri.co.uk/" TargetMode="External"/><Relationship Id="rId255" Type="http://schemas.openxmlformats.org/officeDocument/2006/relationships/hyperlink" Target="http://www.mpfiltri.co.uk/" TargetMode="External"/><Relationship Id="rId462" Type="http://schemas.openxmlformats.org/officeDocument/2006/relationships/hyperlink" Target="http://www.mpfiltri.co.uk/" TargetMode="External"/><Relationship Id="rId115" Type="http://schemas.openxmlformats.org/officeDocument/2006/relationships/hyperlink" Target="http://www.mpfiltri.co.uk/" TargetMode="External"/><Relationship Id="rId322" Type="http://schemas.openxmlformats.org/officeDocument/2006/relationships/hyperlink" Target="http://www.mpfiltri.co.uk/" TargetMode="External"/><Relationship Id="rId767" Type="http://schemas.openxmlformats.org/officeDocument/2006/relationships/hyperlink" Target="http://www.mpfiltri.co.uk/" TargetMode="External"/><Relationship Id="rId974" Type="http://schemas.openxmlformats.org/officeDocument/2006/relationships/hyperlink" Target="http://www.mpfiltri.co.uk/" TargetMode="External"/><Relationship Id="rId199" Type="http://schemas.openxmlformats.org/officeDocument/2006/relationships/hyperlink" Target="http://www.mpfiltri.co.uk/" TargetMode="External"/><Relationship Id="rId627" Type="http://schemas.openxmlformats.org/officeDocument/2006/relationships/hyperlink" Target="http://www.mpfiltri.co.uk/" TargetMode="External"/><Relationship Id="rId834" Type="http://schemas.openxmlformats.org/officeDocument/2006/relationships/hyperlink" Target="http://www.mpfiltri.co.uk/" TargetMode="External"/><Relationship Id="rId266" Type="http://schemas.openxmlformats.org/officeDocument/2006/relationships/hyperlink" Target="http://www.mpfiltri.co.uk/" TargetMode="External"/><Relationship Id="rId473" Type="http://schemas.openxmlformats.org/officeDocument/2006/relationships/hyperlink" Target="http://www.mpfiltri.co.uk/" TargetMode="External"/><Relationship Id="rId680" Type="http://schemas.openxmlformats.org/officeDocument/2006/relationships/hyperlink" Target="http://www.mpfiltri.co.uk/" TargetMode="External"/><Relationship Id="rId901" Type="http://schemas.openxmlformats.org/officeDocument/2006/relationships/hyperlink" Target="http://www.mpfiltri.co.uk/" TargetMode="External"/><Relationship Id="rId30" Type="http://schemas.openxmlformats.org/officeDocument/2006/relationships/hyperlink" Target="http://www.mpfiltri.co.uk/" TargetMode="External"/><Relationship Id="rId126" Type="http://schemas.openxmlformats.org/officeDocument/2006/relationships/hyperlink" Target="http://www.mpfiltri.co.uk/" TargetMode="External"/><Relationship Id="rId333" Type="http://schemas.openxmlformats.org/officeDocument/2006/relationships/hyperlink" Target="http://www.mpfiltri.co.uk/" TargetMode="External"/><Relationship Id="rId540" Type="http://schemas.openxmlformats.org/officeDocument/2006/relationships/hyperlink" Target="http://www.mpfiltri.co.uk/" TargetMode="External"/><Relationship Id="rId778" Type="http://schemas.openxmlformats.org/officeDocument/2006/relationships/hyperlink" Target="http://www.mpfiltri.co.uk/" TargetMode="External"/><Relationship Id="rId985" Type="http://schemas.openxmlformats.org/officeDocument/2006/relationships/hyperlink" Target="http://www.mpfiltri.co.uk/" TargetMode="External"/><Relationship Id="rId638" Type="http://schemas.openxmlformats.org/officeDocument/2006/relationships/hyperlink" Target="http://www.mpfiltri.co.uk/" TargetMode="External"/><Relationship Id="rId845" Type="http://schemas.openxmlformats.org/officeDocument/2006/relationships/hyperlink" Target="http://www.mpfiltri.co.uk/" TargetMode="External"/><Relationship Id="rId1030" Type="http://schemas.openxmlformats.org/officeDocument/2006/relationships/image" Target="../media/image1.emf"/><Relationship Id="rId277" Type="http://schemas.openxmlformats.org/officeDocument/2006/relationships/hyperlink" Target="http://www.mpfiltri.co.uk/" TargetMode="External"/><Relationship Id="rId400" Type="http://schemas.openxmlformats.org/officeDocument/2006/relationships/hyperlink" Target="http://www.mpfiltri.co.uk/" TargetMode="External"/><Relationship Id="rId484" Type="http://schemas.openxmlformats.org/officeDocument/2006/relationships/hyperlink" Target="http://www.mpfiltri.co.uk/" TargetMode="External"/><Relationship Id="rId705" Type="http://schemas.openxmlformats.org/officeDocument/2006/relationships/hyperlink" Target="http://www.mpfiltri.co.uk/" TargetMode="External"/><Relationship Id="rId137" Type="http://schemas.openxmlformats.org/officeDocument/2006/relationships/hyperlink" Target="http://www.mpfiltri.co.uk/" TargetMode="External"/><Relationship Id="rId344" Type="http://schemas.openxmlformats.org/officeDocument/2006/relationships/hyperlink" Target="http://www.mpfiltri.co.uk/" TargetMode="External"/><Relationship Id="rId691" Type="http://schemas.openxmlformats.org/officeDocument/2006/relationships/hyperlink" Target="http://www.mpfiltri.co.uk/" TargetMode="External"/><Relationship Id="rId789" Type="http://schemas.openxmlformats.org/officeDocument/2006/relationships/hyperlink" Target="http://www.mpfiltri.co.uk/" TargetMode="External"/><Relationship Id="rId912" Type="http://schemas.openxmlformats.org/officeDocument/2006/relationships/hyperlink" Target="http://www.mpfiltri.co.uk/" TargetMode="External"/><Relationship Id="rId996" Type="http://schemas.openxmlformats.org/officeDocument/2006/relationships/hyperlink" Target="http://www.mpfiltri.co.uk/" TargetMode="External"/><Relationship Id="rId41" Type="http://schemas.openxmlformats.org/officeDocument/2006/relationships/hyperlink" Target="http://www.mpfiltri.co.uk/" TargetMode="External"/><Relationship Id="rId551" Type="http://schemas.openxmlformats.org/officeDocument/2006/relationships/hyperlink" Target="http://www.mpfiltri.co.uk/" TargetMode="External"/><Relationship Id="rId649" Type="http://schemas.openxmlformats.org/officeDocument/2006/relationships/hyperlink" Target="http://www.mpfiltri.co.uk/" TargetMode="External"/><Relationship Id="rId856" Type="http://schemas.openxmlformats.org/officeDocument/2006/relationships/hyperlink" Target="http://www.mpfiltri.co.uk/" TargetMode="External"/><Relationship Id="rId190" Type="http://schemas.openxmlformats.org/officeDocument/2006/relationships/hyperlink" Target="http://www.mpfiltri.co.uk/" TargetMode="External"/><Relationship Id="rId204" Type="http://schemas.openxmlformats.org/officeDocument/2006/relationships/hyperlink" Target="http://www.mpfiltri.co.uk/" TargetMode="External"/><Relationship Id="rId288" Type="http://schemas.openxmlformats.org/officeDocument/2006/relationships/hyperlink" Target="http://www.mpfiltri.co.uk/" TargetMode="External"/><Relationship Id="rId411" Type="http://schemas.openxmlformats.org/officeDocument/2006/relationships/hyperlink" Target="http://www.mpfiltri.co.uk/" TargetMode="External"/><Relationship Id="rId509" Type="http://schemas.openxmlformats.org/officeDocument/2006/relationships/hyperlink" Target="http://www.mpfiltri.co.uk/" TargetMode="External"/><Relationship Id="rId495" Type="http://schemas.openxmlformats.org/officeDocument/2006/relationships/hyperlink" Target="http://www.mpfiltri.co.uk/" TargetMode="External"/><Relationship Id="rId716" Type="http://schemas.openxmlformats.org/officeDocument/2006/relationships/hyperlink" Target="http://www.mpfiltri.co.uk/" TargetMode="External"/><Relationship Id="rId923" Type="http://schemas.openxmlformats.org/officeDocument/2006/relationships/hyperlink" Target="http://www.mpfiltri.co.uk/" TargetMode="External"/><Relationship Id="rId52" Type="http://schemas.openxmlformats.org/officeDocument/2006/relationships/hyperlink" Target="http://www.mpfiltri.co.uk/" TargetMode="External"/><Relationship Id="rId148" Type="http://schemas.openxmlformats.org/officeDocument/2006/relationships/hyperlink" Target="http://www.mpfiltri.co.uk/" TargetMode="External"/><Relationship Id="rId355" Type="http://schemas.openxmlformats.org/officeDocument/2006/relationships/hyperlink" Target="http://www.mpfiltri.co.uk/" TargetMode="External"/><Relationship Id="rId562" Type="http://schemas.openxmlformats.org/officeDocument/2006/relationships/hyperlink" Target="http://www.mpfiltri.co.uk/" TargetMode="External"/><Relationship Id="rId215" Type="http://schemas.openxmlformats.org/officeDocument/2006/relationships/hyperlink" Target="http://www.mpfiltri.co.uk/" TargetMode="External"/><Relationship Id="rId422" Type="http://schemas.openxmlformats.org/officeDocument/2006/relationships/hyperlink" Target="http://www.mpfiltri.co.uk/" TargetMode="External"/><Relationship Id="rId867" Type="http://schemas.openxmlformats.org/officeDocument/2006/relationships/hyperlink" Target="http://www.mpfiltri.co.uk/" TargetMode="External"/><Relationship Id="rId299" Type="http://schemas.openxmlformats.org/officeDocument/2006/relationships/hyperlink" Target="http://www.mpfiltri.co.uk/" TargetMode="External"/><Relationship Id="rId727" Type="http://schemas.openxmlformats.org/officeDocument/2006/relationships/hyperlink" Target="http://www.mpfiltri.co.uk/" TargetMode="External"/><Relationship Id="rId934" Type="http://schemas.openxmlformats.org/officeDocument/2006/relationships/hyperlink" Target="http://www.mpfiltri.co.uk/" TargetMode="External"/><Relationship Id="rId63" Type="http://schemas.openxmlformats.org/officeDocument/2006/relationships/hyperlink" Target="http://www.mpfiltri.co.uk/" TargetMode="External"/><Relationship Id="rId159" Type="http://schemas.openxmlformats.org/officeDocument/2006/relationships/hyperlink" Target="http://www.mpfiltri.co.uk/" TargetMode="External"/><Relationship Id="rId366" Type="http://schemas.openxmlformats.org/officeDocument/2006/relationships/hyperlink" Target="http://www.mpfiltri.co.uk/" TargetMode="External"/><Relationship Id="rId573" Type="http://schemas.openxmlformats.org/officeDocument/2006/relationships/hyperlink" Target="http://www.mpfiltri.co.uk/" TargetMode="External"/><Relationship Id="rId780" Type="http://schemas.openxmlformats.org/officeDocument/2006/relationships/hyperlink" Target="http://www.mpfiltri.co.uk/" TargetMode="External"/><Relationship Id="rId226" Type="http://schemas.openxmlformats.org/officeDocument/2006/relationships/hyperlink" Target="http://www.mpfiltri.co.uk/" TargetMode="External"/><Relationship Id="rId433" Type="http://schemas.openxmlformats.org/officeDocument/2006/relationships/hyperlink" Target="http://www.mpfiltri.co.uk/" TargetMode="External"/><Relationship Id="rId878" Type="http://schemas.openxmlformats.org/officeDocument/2006/relationships/hyperlink" Target="http://www.mpfiltri.co.uk/" TargetMode="External"/><Relationship Id="rId640" Type="http://schemas.openxmlformats.org/officeDocument/2006/relationships/hyperlink" Target="http://www.mpfiltri.co.uk/" TargetMode="External"/><Relationship Id="rId738" Type="http://schemas.openxmlformats.org/officeDocument/2006/relationships/hyperlink" Target="http://www.mpfiltri.co.uk/" TargetMode="External"/><Relationship Id="rId945" Type="http://schemas.openxmlformats.org/officeDocument/2006/relationships/hyperlink" Target="http://www.mpfiltri.co.uk/" TargetMode="External"/><Relationship Id="rId74" Type="http://schemas.openxmlformats.org/officeDocument/2006/relationships/hyperlink" Target="http://www.mpfiltri.co.uk/" TargetMode="External"/><Relationship Id="rId377" Type="http://schemas.openxmlformats.org/officeDocument/2006/relationships/hyperlink" Target="http://www.mpfiltri.co.uk/" TargetMode="External"/><Relationship Id="rId500" Type="http://schemas.openxmlformats.org/officeDocument/2006/relationships/hyperlink" Target="http://www.mpfiltri.co.uk/" TargetMode="External"/><Relationship Id="rId584" Type="http://schemas.openxmlformats.org/officeDocument/2006/relationships/hyperlink" Target="http://www.mpfiltri.co.uk/" TargetMode="External"/><Relationship Id="rId805" Type="http://schemas.openxmlformats.org/officeDocument/2006/relationships/hyperlink" Target="http://www.mpfiltri.co.uk/" TargetMode="External"/><Relationship Id="rId5" Type="http://schemas.openxmlformats.org/officeDocument/2006/relationships/hyperlink" Target="http://www.mpfiltri.co.uk/" TargetMode="External"/><Relationship Id="rId237" Type="http://schemas.openxmlformats.org/officeDocument/2006/relationships/hyperlink" Target="http://www.mpfiltri.co.uk/" TargetMode="External"/><Relationship Id="rId791" Type="http://schemas.openxmlformats.org/officeDocument/2006/relationships/hyperlink" Target="http://www.mpfiltri.co.uk/" TargetMode="External"/><Relationship Id="rId889" Type="http://schemas.openxmlformats.org/officeDocument/2006/relationships/hyperlink" Target="http://www.mpfiltri.co.uk/" TargetMode="External"/><Relationship Id="rId444" Type="http://schemas.openxmlformats.org/officeDocument/2006/relationships/hyperlink" Target="http://www.mpfiltri.co.uk/" TargetMode="External"/><Relationship Id="rId651" Type="http://schemas.openxmlformats.org/officeDocument/2006/relationships/hyperlink" Target="http://www.mpfiltri.co.uk/" TargetMode="External"/><Relationship Id="rId749" Type="http://schemas.openxmlformats.org/officeDocument/2006/relationships/hyperlink" Target="http://www.mpfiltri.co.uk/" TargetMode="External"/><Relationship Id="rId290" Type="http://schemas.openxmlformats.org/officeDocument/2006/relationships/hyperlink" Target="http://www.mpfiltri.co.uk/" TargetMode="External"/><Relationship Id="rId304" Type="http://schemas.openxmlformats.org/officeDocument/2006/relationships/hyperlink" Target="http://www.mpfiltri.co.uk/" TargetMode="External"/><Relationship Id="rId388" Type="http://schemas.openxmlformats.org/officeDocument/2006/relationships/hyperlink" Target="http://www.mpfiltri.co.uk/" TargetMode="External"/><Relationship Id="rId511" Type="http://schemas.openxmlformats.org/officeDocument/2006/relationships/hyperlink" Target="http://www.mpfiltri.co.uk/" TargetMode="External"/><Relationship Id="rId609" Type="http://schemas.openxmlformats.org/officeDocument/2006/relationships/hyperlink" Target="http://www.mpfiltri.co.uk/" TargetMode="External"/><Relationship Id="rId956" Type="http://schemas.openxmlformats.org/officeDocument/2006/relationships/hyperlink" Target="http://www.mpfiltri.co.uk/" TargetMode="External"/><Relationship Id="rId85" Type="http://schemas.openxmlformats.org/officeDocument/2006/relationships/hyperlink" Target="http://www.mpfiltri.co.uk/" TargetMode="External"/><Relationship Id="rId150" Type="http://schemas.openxmlformats.org/officeDocument/2006/relationships/hyperlink" Target="http://www.mpfiltri.co.uk/" TargetMode="External"/><Relationship Id="rId595" Type="http://schemas.openxmlformats.org/officeDocument/2006/relationships/hyperlink" Target="http://www.mpfiltri.co.uk/" TargetMode="External"/><Relationship Id="rId816" Type="http://schemas.openxmlformats.org/officeDocument/2006/relationships/hyperlink" Target="http://www.mpfiltri.co.uk/" TargetMode="External"/><Relationship Id="rId1001" Type="http://schemas.openxmlformats.org/officeDocument/2006/relationships/hyperlink" Target="http://www.mpfiltri.co.uk/" TargetMode="External"/><Relationship Id="rId248" Type="http://schemas.openxmlformats.org/officeDocument/2006/relationships/hyperlink" Target="http://www.mpfiltri.co.uk/" TargetMode="External"/><Relationship Id="rId455" Type="http://schemas.openxmlformats.org/officeDocument/2006/relationships/hyperlink" Target="http://www.mpfiltri.co.uk/" TargetMode="External"/><Relationship Id="rId662" Type="http://schemas.openxmlformats.org/officeDocument/2006/relationships/hyperlink" Target="http://www.mpfiltri.co.uk/" TargetMode="External"/><Relationship Id="rId12" Type="http://schemas.openxmlformats.org/officeDocument/2006/relationships/hyperlink" Target="http://www.mpfiltri.co.uk/" TargetMode="External"/><Relationship Id="rId108" Type="http://schemas.openxmlformats.org/officeDocument/2006/relationships/hyperlink" Target="http://www.mpfiltri.co.uk/" TargetMode="External"/><Relationship Id="rId315" Type="http://schemas.openxmlformats.org/officeDocument/2006/relationships/hyperlink" Target="http://www.mpfiltri.co.uk/" TargetMode="External"/><Relationship Id="rId522" Type="http://schemas.openxmlformats.org/officeDocument/2006/relationships/hyperlink" Target="http://www.mpfiltri.co.uk/" TargetMode="External"/><Relationship Id="rId967" Type="http://schemas.openxmlformats.org/officeDocument/2006/relationships/hyperlink" Target="http://www.mpfiltri.co.uk/" TargetMode="External"/><Relationship Id="rId96" Type="http://schemas.openxmlformats.org/officeDocument/2006/relationships/hyperlink" Target="http://www.mpfiltri.co.uk/" TargetMode="External"/><Relationship Id="rId161" Type="http://schemas.openxmlformats.org/officeDocument/2006/relationships/hyperlink" Target="http://www.mpfiltri.co.uk/" TargetMode="External"/><Relationship Id="rId399" Type="http://schemas.openxmlformats.org/officeDocument/2006/relationships/hyperlink" Target="http://www.mpfiltri.co.uk/" TargetMode="External"/><Relationship Id="rId827" Type="http://schemas.openxmlformats.org/officeDocument/2006/relationships/hyperlink" Target="http://www.mpfiltri.co.uk/" TargetMode="External"/><Relationship Id="rId1012" Type="http://schemas.openxmlformats.org/officeDocument/2006/relationships/hyperlink" Target="http://www.mpfiltri.co.uk/" TargetMode="External"/><Relationship Id="rId259" Type="http://schemas.openxmlformats.org/officeDocument/2006/relationships/hyperlink" Target="http://www.mpfiltri.co.uk/" TargetMode="External"/><Relationship Id="rId466" Type="http://schemas.openxmlformats.org/officeDocument/2006/relationships/hyperlink" Target="http://www.mpfiltri.co.uk/" TargetMode="External"/><Relationship Id="rId673" Type="http://schemas.openxmlformats.org/officeDocument/2006/relationships/hyperlink" Target="http://www.mpfiltri.co.uk/" TargetMode="External"/><Relationship Id="rId880" Type="http://schemas.openxmlformats.org/officeDocument/2006/relationships/hyperlink" Target="http://www.mpfiltri.co.uk/" TargetMode="External"/><Relationship Id="rId23" Type="http://schemas.openxmlformats.org/officeDocument/2006/relationships/hyperlink" Target="http://www.mpfiltri.co.uk/" TargetMode="External"/><Relationship Id="rId119" Type="http://schemas.openxmlformats.org/officeDocument/2006/relationships/hyperlink" Target="http://www.mpfiltri.co.uk/" TargetMode="External"/><Relationship Id="rId326" Type="http://schemas.openxmlformats.org/officeDocument/2006/relationships/hyperlink" Target="http://www.mpfiltri.co.uk/" TargetMode="External"/><Relationship Id="rId533" Type="http://schemas.openxmlformats.org/officeDocument/2006/relationships/hyperlink" Target="http://www.mpfiltri.co.uk/" TargetMode="External"/><Relationship Id="rId978" Type="http://schemas.openxmlformats.org/officeDocument/2006/relationships/hyperlink" Target="http://www.mpfiltri.co.uk/" TargetMode="External"/><Relationship Id="rId740" Type="http://schemas.openxmlformats.org/officeDocument/2006/relationships/hyperlink" Target="http://www.mpfiltri.co.uk/" TargetMode="External"/><Relationship Id="rId838" Type="http://schemas.openxmlformats.org/officeDocument/2006/relationships/hyperlink" Target="http://www.mpfiltri.co.uk/" TargetMode="External"/><Relationship Id="rId1023" Type="http://schemas.openxmlformats.org/officeDocument/2006/relationships/hyperlink" Target="http://www.mpfiltri.co.uk/" TargetMode="External"/><Relationship Id="rId172" Type="http://schemas.openxmlformats.org/officeDocument/2006/relationships/hyperlink" Target="http://www.mpfiltri.co.uk/" TargetMode="External"/><Relationship Id="rId477" Type="http://schemas.openxmlformats.org/officeDocument/2006/relationships/hyperlink" Target="http://www.mpfiltri.co.uk/" TargetMode="External"/><Relationship Id="rId600" Type="http://schemas.openxmlformats.org/officeDocument/2006/relationships/hyperlink" Target="http://www.mpfiltri.co.uk/" TargetMode="External"/><Relationship Id="rId684" Type="http://schemas.openxmlformats.org/officeDocument/2006/relationships/hyperlink" Target="http://www.mpfiltri.co.uk/" TargetMode="External"/><Relationship Id="rId337" Type="http://schemas.openxmlformats.org/officeDocument/2006/relationships/hyperlink" Target="http://www.mpfiltri.co.uk/" TargetMode="External"/><Relationship Id="rId891" Type="http://schemas.openxmlformats.org/officeDocument/2006/relationships/hyperlink" Target="http://www.mpfiltri.co.uk/" TargetMode="External"/><Relationship Id="rId905" Type="http://schemas.openxmlformats.org/officeDocument/2006/relationships/hyperlink" Target="http://www.mpfiltri.co.uk/" TargetMode="External"/><Relationship Id="rId989" Type="http://schemas.openxmlformats.org/officeDocument/2006/relationships/hyperlink" Target="http://www.mpfiltri.co.uk/" TargetMode="External"/><Relationship Id="rId34" Type="http://schemas.openxmlformats.org/officeDocument/2006/relationships/hyperlink" Target="http://www.mpfiltri.co.uk/" TargetMode="External"/><Relationship Id="rId544" Type="http://schemas.openxmlformats.org/officeDocument/2006/relationships/hyperlink" Target="http://www.mpfiltri.co.uk/" TargetMode="External"/><Relationship Id="rId751" Type="http://schemas.openxmlformats.org/officeDocument/2006/relationships/hyperlink" Target="http://www.mpfiltri.co.uk/" TargetMode="External"/><Relationship Id="rId849" Type="http://schemas.openxmlformats.org/officeDocument/2006/relationships/hyperlink" Target="http://www.mpfiltri.co.uk/" TargetMode="External"/><Relationship Id="rId183" Type="http://schemas.openxmlformats.org/officeDocument/2006/relationships/hyperlink" Target="http://www.mpfiltri.co.uk/" TargetMode="External"/><Relationship Id="rId390" Type="http://schemas.openxmlformats.org/officeDocument/2006/relationships/hyperlink" Target="http://www.mpfiltri.co.uk/" TargetMode="External"/><Relationship Id="rId404" Type="http://schemas.openxmlformats.org/officeDocument/2006/relationships/hyperlink" Target="http://www.mpfiltri.co.uk/" TargetMode="External"/><Relationship Id="rId611" Type="http://schemas.openxmlformats.org/officeDocument/2006/relationships/hyperlink" Target="http://www.mpfiltri.co.uk/" TargetMode="External"/><Relationship Id="rId250" Type="http://schemas.openxmlformats.org/officeDocument/2006/relationships/hyperlink" Target="http://www.mpfiltri.co.uk/" TargetMode="External"/><Relationship Id="rId488" Type="http://schemas.openxmlformats.org/officeDocument/2006/relationships/hyperlink" Target="http://www.mpfiltri.co.uk/" TargetMode="External"/><Relationship Id="rId695" Type="http://schemas.openxmlformats.org/officeDocument/2006/relationships/hyperlink" Target="http://www.mpfiltri.co.uk/" TargetMode="External"/><Relationship Id="rId709" Type="http://schemas.openxmlformats.org/officeDocument/2006/relationships/hyperlink" Target="http://www.mpfiltri.co.uk/" TargetMode="External"/><Relationship Id="rId916" Type="http://schemas.openxmlformats.org/officeDocument/2006/relationships/hyperlink" Target="http://www.mpfiltri.co.uk/" TargetMode="External"/><Relationship Id="rId45" Type="http://schemas.openxmlformats.org/officeDocument/2006/relationships/hyperlink" Target="http://www.mpfiltri.co.uk/" TargetMode="External"/><Relationship Id="rId110" Type="http://schemas.openxmlformats.org/officeDocument/2006/relationships/hyperlink" Target="http://www.mpfiltri.co.uk/" TargetMode="External"/><Relationship Id="rId348" Type="http://schemas.openxmlformats.org/officeDocument/2006/relationships/hyperlink" Target="http://www.mpfiltri.co.uk/" TargetMode="External"/><Relationship Id="rId555" Type="http://schemas.openxmlformats.org/officeDocument/2006/relationships/hyperlink" Target="http://www.mpfiltri.co.uk/" TargetMode="External"/><Relationship Id="rId762" Type="http://schemas.openxmlformats.org/officeDocument/2006/relationships/hyperlink" Target="http://www.mpfiltri.co.uk/" TargetMode="External"/><Relationship Id="rId194" Type="http://schemas.openxmlformats.org/officeDocument/2006/relationships/hyperlink" Target="http://www.mpfiltri.co.uk/" TargetMode="External"/><Relationship Id="rId208" Type="http://schemas.openxmlformats.org/officeDocument/2006/relationships/hyperlink" Target="http://www.mpfiltri.co.uk/" TargetMode="External"/><Relationship Id="rId415" Type="http://schemas.openxmlformats.org/officeDocument/2006/relationships/hyperlink" Target="http://www.mpfiltri.co.uk/" TargetMode="External"/><Relationship Id="rId622" Type="http://schemas.openxmlformats.org/officeDocument/2006/relationships/hyperlink" Target="http://www.mpfiltri.co.uk/" TargetMode="External"/><Relationship Id="rId261" Type="http://schemas.openxmlformats.org/officeDocument/2006/relationships/hyperlink" Target="http://www.mpfiltri.co.uk/" TargetMode="External"/><Relationship Id="rId499" Type="http://schemas.openxmlformats.org/officeDocument/2006/relationships/hyperlink" Target="http://www.mpfiltri.co.uk/" TargetMode="External"/><Relationship Id="rId927" Type="http://schemas.openxmlformats.org/officeDocument/2006/relationships/hyperlink" Target="http://www.mpfiltri.co.uk/" TargetMode="External"/><Relationship Id="rId56" Type="http://schemas.openxmlformats.org/officeDocument/2006/relationships/hyperlink" Target="http://www.mpfiltri.co.uk/" TargetMode="External"/><Relationship Id="rId359" Type="http://schemas.openxmlformats.org/officeDocument/2006/relationships/hyperlink" Target="http://www.mpfiltri.co.uk/" TargetMode="External"/><Relationship Id="rId566" Type="http://schemas.openxmlformats.org/officeDocument/2006/relationships/hyperlink" Target="http://www.mpfiltri.co.uk/" TargetMode="External"/><Relationship Id="rId773" Type="http://schemas.openxmlformats.org/officeDocument/2006/relationships/hyperlink" Target="http://www.mpfiltri.co.uk/" TargetMode="External"/><Relationship Id="rId121" Type="http://schemas.openxmlformats.org/officeDocument/2006/relationships/hyperlink" Target="http://www.mpfiltri.co.uk/" TargetMode="External"/><Relationship Id="rId219" Type="http://schemas.openxmlformats.org/officeDocument/2006/relationships/hyperlink" Target="http://www.mpfiltri.co.uk/" TargetMode="External"/><Relationship Id="rId426" Type="http://schemas.openxmlformats.org/officeDocument/2006/relationships/hyperlink" Target="http://www.mpfiltri.co.uk/" TargetMode="External"/><Relationship Id="rId633" Type="http://schemas.openxmlformats.org/officeDocument/2006/relationships/hyperlink" Target="http://www.mpfiltri.co.uk/" TargetMode="External"/><Relationship Id="rId980" Type="http://schemas.openxmlformats.org/officeDocument/2006/relationships/hyperlink" Target="http://www.mpfiltri.co.uk/" TargetMode="External"/><Relationship Id="rId840" Type="http://schemas.openxmlformats.org/officeDocument/2006/relationships/hyperlink" Target="http://www.mpfiltri.co.uk/" TargetMode="External"/><Relationship Id="rId938" Type="http://schemas.openxmlformats.org/officeDocument/2006/relationships/hyperlink" Target="http://www.mpfiltri.co.uk/" TargetMode="External"/><Relationship Id="rId67" Type="http://schemas.openxmlformats.org/officeDocument/2006/relationships/hyperlink" Target="http://www.mpfiltri.co.uk/" TargetMode="External"/><Relationship Id="rId272" Type="http://schemas.openxmlformats.org/officeDocument/2006/relationships/hyperlink" Target="http://www.mpfiltri.co.uk/" TargetMode="External"/><Relationship Id="rId577" Type="http://schemas.openxmlformats.org/officeDocument/2006/relationships/hyperlink" Target="http://www.mpfiltri.co.uk/" TargetMode="External"/><Relationship Id="rId700" Type="http://schemas.openxmlformats.org/officeDocument/2006/relationships/hyperlink" Target="http://www.mpfiltri.co.uk/" TargetMode="External"/><Relationship Id="rId132" Type="http://schemas.openxmlformats.org/officeDocument/2006/relationships/hyperlink" Target="http://www.mpfiltri.co.uk/" TargetMode="External"/><Relationship Id="rId784" Type="http://schemas.openxmlformats.org/officeDocument/2006/relationships/hyperlink" Target="http://www.mpfiltri.co.uk/" TargetMode="External"/><Relationship Id="rId991" Type="http://schemas.openxmlformats.org/officeDocument/2006/relationships/hyperlink" Target="http://www.mpfiltri.co.uk/" TargetMode="External"/><Relationship Id="rId437" Type="http://schemas.openxmlformats.org/officeDocument/2006/relationships/hyperlink" Target="http://www.mpfiltri.co.uk/" TargetMode="External"/><Relationship Id="rId644" Type="http://schemas.openxmlformats.org/officeDocument/2006/relationships/hyperlink" Target="http://www.mpfiltri.co.uk/" TargetMode="External"/><Relationship Id="rId851" Type="http://schemas.openxmlformats.org/officeDocument/2006/relationships/hyperlink" Target="http://www.mpfiltri.co.uk/" TargetMode="External"/><Relationship Id="rId283" Type="http://schemas.openxmlformats.org/officeDocument/2006/relationships/hyperlink" Target="http://www.mpfiltri.co.uk/" TargetMode="External"/><Relationship Id="rId490" Type="http://schemas.openxmlformats.org/officeDocument/2006/relationships/hyperlink" Target="http://www.mpfiltri.co.uk/" TargetMode="External"/><Relationship Id="rId504" Type="http://schemas.openxmlformats.org/officeDocument/2006/relationships/hyperlink" Target="http://www.mpfiltri.co.uk/" TargetMode="External"/><Relationship Id="rId711" Type="http://schemas.openxmlformats.org/officeDocument/2006/relationships/hyperlink" Target="http://www.mpfiltri.co.uk/" TargetMode="External"/><Relationship Id="rId949" Type="http://schemas.openxmlformats.org/officeDocument/2006/relationships/hyperlink" Target="http://www.mpfiltri.co.uk/" TargetMode="External"/><Relationship Id="rId78" Type="http://schemas.openxmlformats.org/officeDocument/2006/relationships/hyperlink" Target="http://www.mpfiltri.co.uk/" TargetMode="External"/><Relationship Id="rId143" Type="http://schemas.openxmlformats.org/officeDocument/2006/relationships/hyperlink" Target="http://www.mpfiltri.co.uk/" TargetMode="External"/><Relationship Id="rId350" Type="http://schemas.openxmlformats.org/officeDocument/2006/relationships/hyperlink" Target="http://www.mpfiltri.co.uk/" TargetMode="External"/><Relationship Id="rId588" Type="http://schemas.openxmlformats.org/officeDocument/2006/relationships/hyperlink" Target="http://www.mpfiltri.co.uk/" TargetMode="External"/><Relationship Id="rId795" Type="http://schemas.openxmlformats.org/officeDocument/2006/relationships/hyperlink" Target="http://www.mpfiltri.co.uk/" TargetMode="External"/><Relationship Id="rId809" Type="http://schemas.openxmlformats.org/officeDocument/2006/relationships/hyperlink" Target="http://www.mpfiltri.co.uk/" TargetMode="External"/><Relationship Id="rId9" Type="http://schemas.openxmlformats.org/officeDocument/2006/relationships/hyperlink" Target="http://www.mpfiltri.co.uk/" TargetMode="External"/><Relationship Id="rId210" Type="http://schemas.openxmlformats.org/officeDocument/2006/relationships/hyperlink" Target="http://www.mpfiltri.co.uk/" TargetMode="External"/><Relationship Id="rId448" Type="http://schemas.openxmlformats.org/officeDocument/2006/relationships/hyperlink" Target="http://www.mpfiltri.co.uk/" TargetMode="External"/><Relationship Id="rId655" Type="http://schemas.openxmlformats.org/officeDocument/2006/relationships/hyperlink" Target="http://www.mpfiltri.co.uk/" TargetMode="External"/><Relationship Id="rId862" Type="http://schemas.openxmlformats.org/officeDocument/2006/relationships/hyperlink" Target="http://www.mpfiltri.co.uk/" TargetMode="External"/><Relationship Id="rId294" Type="http://schemas.openxmlformats.org/officeDocument/2006/relationships/hyperlink" Target="http://www.mpfiltri.co.uk/" TargetMode="External"/><Relationship Id="rId308" Type="http://schemas.openxmlformats.org/officeDocument/2006/relationships/hyperlink" Target="http://www.mpfiltri.co.uk/" TargetMode="External"/><Relationship Id="rId515" Type="http://schemas.openxmlformats.org/officeDocument/2006/relationships/hyperlink" Target="http://www.mpfiltri.co.uk/" TargetMode="External"/><Relationship Id="rId722" Type="http://schemas.openxmlformats.org/officeDocument/2006/relationships/hyperlink" Target="http://www.mpfiltri.co.uk/" TargetMode="External"/><Relationship Id="rId89" Type="http://schemas.openxmlformats.org/officeDocument/2006/relationships/hyperlink" Target="http://www.mpfiltri.co.uk/" TargetMode="External"/><Relationship Id="rId154" Type="http://schemas.openxmlformats.org/officeDocument/2006/relationships/hyperlink" Target="http://www.mpfiltri.co.uk/" TargetMode="External"/><Relationship Id="rId361" Type="http://schemas.openxmlformats.org/officeDocument/2006/relationships/hyperlink" Target="http://www.mpfiltri.co.uk/" TargetMode="External"/><Relationship Id="rId599" Type="http://schemas.openxmlformats.org/officeDocument/2006/relationships/hyperlink" Target="http://www.mpfiltri.co.uk/" TargetMode="External"/><Relationship Id="rId1005" Type="http://schemas.openxmlformats.org/officeDocument/2006/relationships/hyperlink" Target="http://www.mpfiltri.co.uk/" TargetMode="External"/><Relationship Id="rId459" Type="http://schemas.openxmlformats.org/officeDocument/2006/relationships/hyperlink" Target="http://www.mpfiltri.co.uk/" TargetMode="External"/><Relationship Id="rId666" Type="http://schemas.openxmlformats.org/officeDocument/2006/relationships/hyperlink" Target="http://www.mpfiltri.co.uk/" TargetMode="External"/><Relationship Id="rId873" Type="http://schemas.openxmlformats.org/officeDocument/2006/relationships/hyperlink" Target="http://www.mpfiltri.co.uk/" TargetMode="External"/><Relationship Id="rId16" Type="http://schemas.openxmlformats.org/officeDocument/2006/relationships/hyperlink" Target="http://www.mpfiltri.co.uk/" TargetMode="External"/><Relationship Id="rId221" Type="http://schemas.openxmlformats.org/officeDocument/2006/relationships/hyperlink" Target="http://www.mpfiltri.co.uk/" TargetMode="External"/><Relationship Id="rId319" Type="http://schemas.openxmlformats.org/officeDocument/2006/relationships/hyperlink" Target="http://www.mpfiltri.co.uk/" TargetMode="External"/><Relationship Id="rId526" Type="http://schemas.openxmlformats.org/officeDocument/2006/relationships/hyperlink" Target="http://www.mpfiltri.co.uk/" TargetMode="External"/><Relationship Id="rId733" Type="http://schemas.openxmlformats.org/officeDocument/2006/relationships/hyperlink" Target="http://www.mpfiltri.co.uk/" TargetMode="External"/><Relationship Id="rId940" Type="http://schemas.openxmlformats.org/officeDocument/2006/relationships/hyperlink" Target="http://www.mpfiltri.co.uk/" TargetMode="External"/><Relationship Id="rId1016" Type="http://schemas.openxmlformats.org/officeDocument/2006/relationships/hyperlink" Target="http://www.mpfiltri.co.uk/" TargetMode="External"/><Relationship Id="rId165" Type="http://schemas.openxmlformats.org/officeDocument/2006/relationships/hyperlink" Target="http://www.mpfiltri.co.uk/" TargetMode="External"/><Relationship Id="rId372" Type="http://schemas.openxmlformats.org/officeDocument/2006/relationships/hyperlink" Target="http://www.mpfiltri.co.uk/" TargetMode="External"/><Relationship Id="rId677" Type="http://schemas.openxmlformats.org/officeDocument/2006/relationships/hyperlink" Target="http://www.mpfiltri.co.uk/" TargetMode="External"/><Relationship Id="rId800" Type="http://schemas.openxmlformats.org/officeDocument/2006/relationships/hyperlink" Target="http://www.mpfiltri.co.uk/" TargetMode="External"/><Relationship Id="rId232" Type="http://schemas.openxmlformats.org/officeDocument/2006/relationships/hyperlink" Target="http://www.mpfiltri.co.uk/" TargetMode="External"/><Relationship Id="rId884" Type="http://schemas.openxmlformats.org/officeDocument/2006/relationships/hyperlink" Target="http://www.mpfiltri.co.uk/" TargetMode="External"/><Relationship Id="rId27" Type="http://schemas.openxmlformats.org/officeDocument/2006/relationships/hyperlink" Target="http://www.mpfiltri.co.uk/" TargetMode="External"/><Relationship Id="rId537" Type="http://schemas.openxmlformats.org/officeDocument/2006/relationships/hyperlink" Target="http://www.mpfiltri.co.uk/" TargetMode="External"/><Relationship Id="rId744" Type="http://schemas.openxmlformats.org/officeDocument/2006/relationships/hyperlink" Target="http://www.mpfiltri.co.uk/" TargetMode="External"/><Relationship Id="rId951" Type="http://schemas.openxmlformats.org/officeDocument/2006/relationships/hyperlink" Target="http://www.mpfiltri.co.uk/" TargetMode="External"/><Relationship Id="rId80" Type="http://schemas.openxmlformats.org/officeDocument/2006/relationships/hyperlink" Target="http://www.mpfiltri.co.uk/" TargetMode="External"/><Relationship Id="rId176" Type="http://schemas.openxmlformats.org/officeDocument/2006/relationships/hyperlink" Target="http://www.mpfiltri.co.uk/" TargetMode="External"/><Relationship Id="rId383" Type="http://schemas.openxmlformats.org/officeDocument/2006/relationships/hyperlink" Target="http://www.mpfiltri.co.uk/" TargetMode="External"/><Relationship Id="rId590" Type="http://schemas.openxmlformats.org/officeDocument/2006/relationships/hyperlink" Target="http://www.mpfiltri.co.uk/" TargetMode="External"/><Relationship Id="rId604" Type="http://schemas.openxmlformats.org/officeDocument/2006/relationships/hyperlink" Target="http://www.mpfiltri.co.uk/" TargetMode="External"/><Relationship Id="rId811" Type="http://schemas.openxmlformats.org/officeDocument/2006/relationships/hyperlink" Target="http://www.mpfiltri.co.uk/" TargetMode="External"/><Relationship Id="rId1027" Type="http://schemas.openxmlformats.org/officeDocument/2006/relationships/drawing" Target="../drawings/drawing8.xml"/><Relationship Id="rId243" Type="http://schemas.openxmlformats.org/officeDocument/2006/relationships/hyperlink" Target="http://www.mpfiltri.co.uk/" TargetMode="External"/><Relationship Id="rId450" Type="http://schemas.openxmlformats.org/officeDocument/2006/relationships/hyperlink" Target="http://www.mpfiltri.co.uk/" TargetMode="External"/><Relationship Id="rId688" Type="http://schemas.openxmlformats.org/officeDocument/2006/relationships/hyperlink" Target="http://www.mpfiltri.co.uk/" TargetMode="External"/><Relationship Id="rId895" Type="http://schemas.openxmlformats.org/officeDocument/2006/relationships/hyperlink" Target="http://www.mpfiltri.co.uk/" TargetMode="External"/><Relationship Id="rId909" Type="http://schemas.openxmlformats.org/officeDocument/2006/relationships/hyperlink" Target="http://www.mpfiltri.co.uk/" TargetMode="External"/><Relationship Id="rId38" Type="http://schemas.openxmlformats.org/officeDocument/2006/relationships/hyperlink" Target="http://www.mpfiltri.co.uk/" TargetMode="External"/><Relationship Id="rId103" Type="http://schemas.openxmlformats.org/officeDocument/2006/relationships/hyperlink" Target="http://www.mpfiltri.co.uk/" TargetMode="External"/><Relationship Id="rId310" Type="http://schemas.openxmlformats.org/officeDocument/2006/relationships/hyperlink" Target="http://www.mpfiltri.co.uk/" TargetMode="External"/><Relationship Id="rId548" Type="http://schemas.openxmlformats.org/officeDocument/2006/relationships/hyperlink" Target="http://www.mpfiltri.co.uk/" TargetMode="External"/><Relationship Id="rId755" Type="http://schemas.openxmlformats.org/officeDocument/2006/relationships/hyperlink" Target="http://www.mpfiltri.co.uk/" TargetMode="External"/><Relationship Id="rId962" Type="http://schemas.openxmlformats.org/officeDocument/2006/relationships/hyperlink" Target="http://www.mpfiltri.co.uk/" TargetMode="External"/><Relationship Id="rId91" Type="http://schemas.openxmlformats.org/officeDocument/2006/relationships/hyperlink" Target="http://www.mpfiltri.co.uk/" TargetMode="External"/><Relationship Id="rId187" Type="http://schemas.openxmlformats.org/officeDocument/2006/relationships/hyperlink" Target="http://www.mpfiltri.co.uk/" TargetMode="External"/><Relationship Id="rId394" Type="http://schemas.openxmlformats.org/officeDocument/2006/relationships/hyperlink" Target="http://www.mpfiltri.co.uk/" TargetMode="External"/><Relationship Id="rId408" Type="http://schemas.openxmlformats.org/officeDocument/2006/relationships/hyperlink" Target="http://www.mpfiltri.co.uk/" TargetMode="External"/><Relationship Id="rId615" Type="http://schemas.openxmlformats.org/officeDocument/2006/relationships/hyperlink" Target="http://www.mpfiltri.co.uk/" TargetMode="External"/><Relationship Id="rId822" Type="http://schemas.openxmlformats.org/officeDocument/2006/relationships/hyperlink" Target="http://www.mpfiltri.co.uk/" TargetMode="External"/><Relationship Id="rId254" Type="http://schemas.openxmlformats.org/officeDocument/2006/relationships/hyperlink" Target="http://www.mpfiltri.co.uk/" TargetMode="External"/><Relationship Id="rId699" Type="http://schemas.openxmlformats.org/officeDocument/2006/relationships/hyperlink" Target="http://www.mpfiltri.co.uk/" TargetMode="External"/><Relationship Id="rId49" Type="http://schemas.openxmlformats.org/officeDocument/2006/relationships/hyperlink" Target="http://www.mpfiltri.co.uk/" TargetMode="External"/><Relationship Id="rId114" Type="http://schemas.openxmlformats.org/officeDocument/2006/relationships/hyperlink" Target="http://www.mpfiltri.co.uk/" TargetMode="External"/><Relationship Id="rId461" Type="http://schemas.openxmlformats.org/officeDocument/2006/relationships/hyperlink" Target="http://www.mpfiltri.co.uk/" TargetMode="External"/><Relationship Id="rId559" Type="http://schemas.openxmlformats.org/officeDocument/2006/relationships/hyperlink" Target="http://www.mpfiltri.co.uk/" TargetMode="External"/><Relationship Id="rId766" Type="http://schemas.openxmlformats.org/officeDocument/2006/relationships/hyperlink" Target="http://www.mpfiltri.co.uk/" TargetMode="External"/><Relationship Id="rId198" Type="http://schemas.openxmlformats.org/officeDocument/2006/relationships/hyperlink" Target="http://www.mpfiltri.co.uk/" TargetMode="External"/><Relationship Id="rId321" Type="http://schemas.openxmlformats.org/officeDocument/2006/relationships/hyperlink" Target="http://www.mpfiltri.co.uk/" TargetMode="External"/><Relationship Id="rId419" Type="http://schemas.openxmlformats.org/officeDocument/2006/relationships/hyperlink" Target="http://www.mpfiltri.co.uk/" TargetMode="External"/><Relationship Id="rId626" Type="http://schemas.openxmlformats.org/officeDocument/2006/relationships/hyperlink" Target="http://www.mpfiltri.co.uk/" TargetMode="External"/><Relationship Id="rId973" Type="http://schemas.openxmlformats.org/officeDocument/2006/relationships/hyperlink" Target="http://www.mpfiltri.co.uk/" TargetMode="External"/><Relationship Id="rId833" Type="http://schemas.openxmlformats.org/officeDocument/2006/relationships/hyperlink" Target="http://www.mpfiltri.co.uk/" TargetMode="External"/><Relationship Id="rId265" Type="http://schemas.openxmlformats.org/officeDocument/2006/relationships/hyperlink" Target="http://www.mpfiltri.co.uk/" TargetMode="External"/><Relationship Id="rId472" Type="http://schemas.openxmlformats.org/officeDocument/2006/relationships/hyperlink" Target="http://www.mpfiltri.co.uk/" TargetMode="External"/><Relationship Id="rId900" Type="http://schemas.openxmlformats.org/officeDocument/2006/relationships/hyperlink" Target="http://www.mpfiltri.co.uk/" TargetMode="External"/><Relationship Id="rId125" Type="http://schemas.openxmlformats.org/officeDocument/2006/relationships/hyperlink" Target="http://www.mpfiltri.co.uk/" TargetMode="External"/><Relationship Id="rId332" Type="http://schemas.openxmlformats.org/officeDocument/2006/relationships/hyperlink" Target="http://www.mpfiltri.co.uk/" TargetMode="External"/><Relationship Id="rId777" Type="http://schemas.openxmlformats.org/officeDocument/2006/relationships/hyperlink" Target="http://www.mpfiltri.co.uk/" TargetMode="External"/><Relationship Id="rId984" Type="http://schemas.openxmlformats.org/officeDocument/2006/relationships/hyperlink" Target="http://www.mpfiltri.co.uk/" TargetMode="External"/><Relationship Id="rId637" Type="http://schemas.openxmlformats.org/officeDocument/2006/relationships/hyperlink" Target="http://www.mpfiltri.co.uk/" TargetMode="External"/><Relationship Id="rId844" Type="http://schemas.openxmlformats.org/officeDocument/2006/relationships/hyperlink" Target="http://www.mpfiltri.co.uk/" TargetMode="External"/><Relationship Id="rId276" Type="http://schemas.openxmlformats.org/officeDocument/2006/relationships/hyperlink" Target="http://www.mpfiltri.co.uk/" TargetMode="External"/><Relationship Id="rId483" Type="http://schemas.openxmlformats.org/officeDocument/2006/relationships/hyperlink" Target="http://www.mpfiltri.co.uk/" TargetMode="External"/><Relationship Id="rId690" Type="http://schemas.openxmlformats.org/officeDocument/2006/relationships/hyperlink" Target="http://www.mpfiltri.co.uk/" TargetMode="External"/><Relationship Id="rId704" Type="http://schemas.openxmlformats.org/officeDocument/2006/relationships/hyperlink" Target="http://www.mpfiltri.co.uk/" TargetMode="External"/><Relationship Id="rId911" Type="http://schemas.openxmlformats.org/officeDocument/2006/relationships/hyperlink" Target="http://www.mpfiltri.co.uk/" TargetMode="External"/><Relationship Id="rId40" Type="http://schemas.openxmlformats.org/officeDocument/2006/relationships/hyperlink" Target="http://www.mpfiltri.co.uk/" TargetMode="External"/><Relationship Id="rId136" Type="http://schemas.openxmlformats.org/officeDocument/2006/relationships/hyperlink" Target="http://www.mpfiltri.co.uk/" TargetMode="External"/><Relationship Id="rId343" Type="http://schemas.openxmlformats.org/officeDocument/2006/relationships/hyperlink" Target="http://www.mpfiltri.co.uk/" TargetMode="External"/><Relationship Id="rId550" Type="http://schemas.openxmlformats.org/officeDocument/2006/relationships/hyperlink" Target="http://www.mpfiltri.co.uk/" TargetMode="External"/><Relationship Id="rId788" Type="http://schemas.openxmlformats.org/officeDocument/2006/relationships/hyperlink" Target="http://www.mpfiltri.co.uk/" TargetMode="External"/><Relationship Id="rId995" Type="http://schemas.openxmlformats.org/officeDocument/2006/relationships/hyperlink" Target="http://www.mpfiltri.co.uk/" TargetMode="External"/><Relationship Id="rId203" Type="http://schemas.openxmlformats.org/officeDocument/2006/relationships/hyperlink" Target="http://www.mpfiltri.co.uk/" TargetMode="External"/><Relationship Id="rId648" Type="http://schemas.openxmlformats.org/officeDocument/2006/relationships/hyperlink" Target="http://www.mpfiltri.co.uk/" TargetMode="External"/><Relationship Id="rId855" Type="http://schemas.openxmlformats.org/officeDocument/2006/relationships/hyperlink" Target="http://www.mpfiltri.co.uk/" TargetMode="External"/><Relationship Id="rId287" Type="http://schemas.openxmlformats.org/officeDocument/2006/relationships/hyperlink" Target="http://www.mpfiltri.co.uk/" TargetMode="External"/><Relationship Id="rId410" Type="http://schemas.openxmlformats.org/officeDocument/2006/relationships/hyperlink" Target="http://www.mpfiltri.co.uk/" TargetMode="External"/><Relationship Id="rId494" Type="http://schemas.openxmlformats.org/officeDocument/2006/relationships/hyperlink" Target="http://www.mpfiltri.co.uk/" TargetMode="External"/><Relationship Id="rId508" Type="http://schemas.openxmlformats.org/officeDocument/2006/relationships/hyperlink" Target="http://www.mpfiltri.co.uk/" TargetMode="External"/><Relationship Id="rId715" Type="http://schemas.openxmlformats.org/officeDocument/2006/relationships/hyperlink" Target="http://www.mpfiltri.co.uk/" TargetMode="External"/><Relationship Id="rId922" Type="http://schemas.openxmlformats.org/officeDocument/2006/relationships/hyperlink" Target="http://www.mpfiltri.co.uk/" TargetMode="External"/><Relationship Id="rId147" Type="http://schemas.openxmlformats.org/officeDocument/2006/relationships/hyperlink" Target="http://www.mpfiltri.co.uk/" TargetMode="External"/><Relationship Id="rId354" Type="http://schemas.openxmlformats.org/officeDocument/2006/relationships/hyperlink" Target="http://www.mpfiltri.co.uk/" TargetMode="External"/><Relationship Id="rId799" Type="http://schemas.openxmlformats.org/officeDocument/2006/relationships/hyperlink" Target="http://www.mpfiltri.co.uk/" TargetMode="External"/><Relationship Id="rId51" Type="http://schemas.openxmlformats.org/officeDocument/2006/relationships/hyperlink" Target="http://www.mpfiltri.co.uk/" TargetMode="External"/><Relationship Id="rId561" Type="http://schemas.openxmlformats.org/officeDocument/2006/relationships/hyperlink" Target="http://www.mpfiltri.co.uk/" TargetMode="External"/><Relationship Id="rId659" Type="http://schemas.openxmlformats.org/officeDocument/2006/relationships/hyperlink" Target="http://www.mpfiltri.co.uk/" TargetMode="External"/><Relationship Id="rId866" Type="http://schemas.openxmlformats.org/officeDocument/2006/relationships/hyperlink" Target="http://www.mpfiltri.co.uk/" TargetMode="External"/><Relationship Id="rId214" Type="http://schemas.openxmlformats.org/officeDocument/2006/relationships/hyperlink" Target="http://www.mpfiltri.co.uk/" TargetMode="External"/><Relationship Id="rId298" Type="http://schemas.openxmlformats.org/officeDocument/2006/relationships/hyperlink" Target="http://www.mpfiltri.co.uk/" TargetMode="External"/><Relationship Id="rId421" Type="http://schemas.openxmlformats.org/officeDocument/2006/relationships/hyperlink" Target="http://www.mpfiltri.co.uk/" TargetMode="External"/><Relationship Id="rId519" Type="http://schemas.openxmlformats.org/officeDocument/2006/relationships/hyperlink" Target="http://www.mpfiltri.co.uk/" TargetMode="External"/><Relationship Id="rId158" Type="http://schemas.openxmlformats.org/officeDocument/2006/relationships/hyperlink" Target="http://www.mpfiltri.co.uk/" TargetMode="External"/><Relationship Id="rId726" Type="http://schemas.openxmlformats.org/officeDocument/2006/relationships/hyperlink" Target="http://www.mpfiltri.co.uk/" TargetMode="External"/><Relationship Id="rId933" Type="http://schemas.openxmlformats.org/officeDocument/2006/relationships/hyperlink" Target="http://www.mpfiltri.co.uk/" TargetMode="External"/><Relationship Id="rId1009" Type="http://schemas.openxmlformats.org/officeDocument/2006/relationships/hyperlink" Target="http://www.mpfiltri.co.uk/" TargetMode="External"/><Relationship Id="rId62" Type="http://schemas.openxmlformats.org/officeDocument/2006/relationships/hyperlink" Target="http://www.mpfiltri.co.uk/" TargetMode="External"/><Relationship Id="rId365" Type="http://schemas.openxmlformats.org/officeDocument/2006/relationships/hyperlink" Target="http://www.mpfiltri.co.uk/" TargetMode="External"/><Relationship Id="rId572" Type="http://schemas.openxmlformats.org/officeDocument/2006/relationships/hyperlink" Target="http://www.mpfiltri.co.uk/" TargetMode="External"/><Relationship Id="rId225" Type="http://schemas.openxmlformats.org/officeDocument/2006/relationships/hyperlink" Target="http://www.mpfiltri.co.uk/" TargetMode="External"/><Relationship Id="rId432" Type="http://schemas.openxmlformats.org/officeDocument/2006/relationships/hyperlink" Target="http://www.mpfiltri.co.uk/" TargetMode="External"/><Relationship Id="rId877" Type="http://schemas.openxmlformats.org/officeDocument/2006/relationships/hyperlink" Target="http://www.mpfiltri.co.uk/" TargetMode="External"/><Relationship Id="rId737" Type="http://schemas.openxmlformats.org/officeDocument/2006/relationships/hyperlink" Target="http://www.mpfiltri.co.uk/" TargetMode="External"/><Relationship Id="rId944" Type="http://schemas.openxmlformats.org/officeDocument/2006/relationships/hyperlink" Target="http://www.mpfiltri.co.uk/" TargetMode="External"/><Relationship Id="rId73" Type="http://schemas.openxmlformats.org/officeDocument/2006/relationships/hyperlink" Target="http://www.mpfiltri.co.uk/" TargetMode="External"/><Relationship Id="rId169" Type="http://schemas.openxmlformats.org/officeDocument/2006/relationships/hyperlink" Target="http://www.mpfiltri.co.uk/" TargetMode="External"/><Relationship Id="rId376" Type="http://schemas.openxmlformats.org/officeDocument/2006/relationships/hyperlink" Target="http://www.mpfiltri.co.uk/" TargetMode="External"/><Relationship Id="rId583" Type="http://schemas.openxmlformats.org/officeDocument/2006/relationships/hyperlink" Target="http://www.mpfiltri.co.uk/" TargetMode="External"/><Relationship Id="rId790" Type="http://schemas.openxmlformats.org/officeDocument/2006/relationships/hyperlink" Target="http://www.mpfiltri.co.uk/" TargetMode="External"/><Relationship Id="rId804" Type="http://schemas.openxmlformats.org/officeDocument/2006/relationships/hyperlink" Target="http://www.mpfiltri.co.uk/" TargetMode="External"/><Relationship Id="rId4" Type="http://schemas.openxmlformats.org/officeDocument/2006/relationships/hyperlink" Target="http://www.mpfiltri.co.uk/" TargetMode="External"/><Relationship Id="rId236" Type="http://schemas.openxmlformats.org/officeDocument/2006/relationships/hyperlink" Target="http://www.mpfiltri.co.uk/" TargetMode="External"/><Relationship Id="rId443" Type="http://schemas.openxmlformats.org/officeDocument/2006/relationships/hyperlink" Target="http://www.mpfiltri.co.uk/" TargetMode="External"/><Relationship Id="rId650" Type="http://schemas.openxmlformats.org/officeDocument/2006/relationships/hyperlink" Target="http://www.mpfiltri.co.uk/" TargetMode="External"/><Relationship Id="rId888" Type="http://schemas.openxmlformats.org/officeDocument/2006/relationships/hyperlink" Target="http://www.mpfiltri.co.uk/" TargetMode="External"/><Relationship Id="rId303" Type="http://schemas.openxmlformats.org/officeDocument/2006/relationships/hyperlink" Target="http://www.mpfiltri.co.uk/" TargetMode="External"/><Relationship Id="rId748" Type="http://schemas.openxmlformats.org/officeDocument/2006/relationships/hyperlink" Target="http://www.mpfiltri.co.uk/" TargetMode="External"/><Relationship Id="rId955" Type="http://schemas.openxmlformats.org/officeDocument/2006/relationships/hyperlink" Target="http://www.mpfiltri.co.uk/" TargetMode="External"/><Relationship Id="rId84" Type="http://schemas.openxmlformats.org/officeDocument/2006/relationships/hyperlink" Target="http://www.mpfiltri.co.uk/" TargetMode="External"/><Relationship Id="rId387" Type="http://schemas.openxmlformats.org/officeDocument/2006/relationships/hyperlink" Target="http://www.mpfiltri.co.uk/" TargetMode="External"/><Relationship Id="rId510" Type="http://schemas.openxmlformats.org/officeDocument/2006/relationships/hyperlink" Target="http://www.mpfiltri.co.uk/" TargetMode="External"/><Relationship Id="rId594" Type="http://schemas.openxmlformats.org/officeDocument/2006/relationships/hyperlink" Target="http://www.mpfiltri.co.uk/" TargetMode="External"/><Relationship Id="rId608" Type="http://schemas.openxmlformats.org/officeDocument/2006/relationships/hyperlink" Target="http://www.mpfiltri.co.uk/" TargetMode="External"/><Relationship Id="rId815" Type="http://schemas.openxmlformats.org/officeDocument/2006/relationships/hyperlink" Target="http://www.mpfiltri.co.uk/" TargetMode="External"/><Relationship Id="rId247" Type="http://schemas.openxmlformats.org/officeDocument/2006/relationships/hyperlink" Target="http://www.mpfiltri.co.uk/" TargetMode="External"/><Relationship Id="rId899" Type="http://schemas.openxmlformats.org/officeDocument/2006/relationships/hyperlink" Target="http://www.mpfiltri.co.uk/" TargetMode="External"/><Relationship Id="rId1000" Type="http://schemas.openxmlformats.org/officeDocument/2006/relationships/hyperlink" Target="http://www.mpfiltri.co.uk/" TargetMode="External"/><Relationship Id="rId107" Type="http://schemas.openxmlformats.org/officeDocument/2006/relationships/hyperlink" Target="http://www.mpfiltri.co.uk/" TargetMode="External"/><Relationship Id="rId454" Type="http://schemas.openxmlformats.org/officeDocument/2006/relationships/hyperlink" Target="http://www.mpfiltri.co.uk/" TargetMode="External"/><Relationship Id="rId661" Type="http://schemas.openxmlformats.org/officeDocument/2006/relationships/hyperlink" Target="http://www.mpfiltri.co.uk/" TargetMode="External"/><Relationship Id="rId759" Type="http://schemas.openxmlformats.org/officeDocument/2006/relationships/hyperlink" Target="http://www.mpfiltri.co.uk/" TargetMode="External"/><Relationship Id="rId966" Type="http://schemas.openxmlformats.org/officeDocument/2006/relationships/hyperlink" Target="http://www.mpfiltri.co.uk/" TargetMode="External"/><Relationship Id="rId11" Type="http://schemas.openxmlformats.org/officeDocument/2006/relationships/hyperlink" Target="http://www.mpfiltri.co.uk/" TargetMode="External"/><Relationship Id="rId314" Type="http://schemas.openxmlformats.org/officeDocument/2006/relationships/hyperlink" Target="http://www.mpfiltri.co.uk/" TargetMode="External"/><Relationship Id="rId398" Type="http://schemas.openxmlformats.org/officeDocument/2006/relationships/hyperlink" Target="http://www.mpfiltri.co.uk/" TargetMode="External"/><Relationship Id="rId521" Type="http://schemas.openxmlformats.org/officeDocument/2006/relationships/hyperlink" Target="http://www.mpfiltri.co.uk/" TargetMode="External"/><Relationship Id="rId619" Type="http://schemas.openxmlformats.org/officeDocument/2006/relationships/hyperlink" Target="http://www.mpfiltri.co.uk/" TargetMode="External"/><Relationship Id="rId95" Type="http://schemas.openxmlformats.org/officeDocument/2006/relationships/hyperlink" Target="http://www.mpfiltri.co.uk/" TargetMode="External"/><Relationship Id="rId160" Type="http://schemas.openxmlformats.org/officeDocument/2006/relationships/hyperlink" Target="http://www.mpfiltri.co.uk/" TargetMode="External"/><Relationship Id="rId826" Type="http://schemas.openxmlformats.org/officeDocument/2006/relationships/hyperlink" Target="http://www.mpfiltri.co.uk/" TargetMode="External"/><Relationship Id="rId1011" Type="http://schemas.openxmlformats.org/officeDocument/2006/relationships/hyperlink" Target="http://www.mpfiltri.co.uk/" TargetMode="External"/><Relationship Id="rId258" Type="http://schemas.openxmlformats.org/officeDocument/2006/relationships/hyperlink" Target="http://www.mpfiltri.co.uk/" TargetMode="External"/><Relationship Id="rId465" Type="http://schemas.openxmlformats.org/officeDocument/2006/relationships/hyperlink" Target="http://www.mpfiltri.co.uk/" TargetMode="External"/><Relationship Id="rId672" Type="http://schemas.openxmlformats.org/officeDocument/2006/relationships/hyperlink" Target="http://www.mpfiltri.co.uk/" TargetMode="External"/><Relationship Id="rId22" Type="http://schemas.openxmlformats.org/officeDocument/2006/relationships/hyperlink" Target="http://www.mpfiltri.co.uk/" TargetMode="External"/><Relationship Id="rId118" Type="http://schemas.openxmlformats.org/officeDocument/2006/relationships/hyperlink" Target="http://www.mpfiltri.co.uk/" TargetMode="External"/><Relationship Id="rId325" Type="http://schemas.openxmlformats.org/officeDocument/2006/relationships/hyperlink" Target="http://www.mpfiltri.co.uk/" TargetMode="External"/><Relationship Id="rId532" Type="http://schemas.openxmlformats.org/officeDocument/2006/relationships/hyperlink" Target="http://www.mpfiltri.co.uk/" TargetMode="External"/><Relationship Id="rId977" Type="http://schemas.openxmlformats.org/officeDocument/2006/relationships/hyperlink" Target="http://www.mpfiltri.co.uk/" TargetMode="External"/><Relationship Id="rId171" Type="http://schemas.openxmlformats.org/officeDocument/2006/relationships/hyperlink" Target="http://www.mpfiltri.co.uk/" TargetMode="External"/><Relationship Id="rId837" Type="http://schemas.openxmlformats.org/officeDocument/2006/relationships/hyperlink" Target="http://www.mpfiltri.co.uk/" TargetMode="External"/><Relationship Id="rId1022" Type="http://schemas.openxmlformats.org/officeDocument/2006/relationships/hyperlink" Target="http://www.mpfiltri.co.uk/" TargetMode="External"/><Relationship Id="rId269" Type="http://schemas.openxmlformats.org/officeDocument/2006/relationships/hyperlink" Target="http://www.mpfiltri.co.uk/" TargetMode="External"/><Relationship Id="rId476" Type="http://schemas.openxmlformats.org/officeDocument/2006/relationships/hyperlink" Target="http://www.mpfiltri.co.uk/" TargetMode="External"/><Relationship Id="rId683" Type="http://schemas.openxmlformats.org/officeDocument/2006/relationships/hyperlink" Target="http://www.mpfiltri.co.uk/" TargetMode="External"/><Relationship Id="rId890" Type="http://schemas.openxmlformats.org/officeDocument/2006/relationships/hyperlink" Target="http://www.mpfiltri.co.uk/" TargetMode="External"/><Relationship Id="rId904" Type="http://schemas.openxmlformats.org/officeDocument/2006/relationships/hyperlink" Target="http://www.mpfiltri.co.uk/" TargetMode="External"/><Relationship Id="rId33" Type="http://schemas.openxmlformats.org/officeDocument/2006/relationships/hyperlink" Target="http://www.mpfiltri.co.uk/" TargetMode="External"/><Relationship Id="rId129" Type="http://schemas.openxmlformats.org/officeDocument/2006/relationships/hyperlink" Target="http://www.mpfiltri.co.uk/" TargetMode="External"/><Relationship Id="rId336" Type="http://schemas.openxmlformats.org/officeDocument/2006/relationships/hyperlink" Target="http://www.mpfiltri.co.uk/" TargetMode="External"/><Relationship Id="rId543" Type="http://schemas.openxmlformats.org/officeDocument/2006/relationships/hyperlink" Target="http://www.mpfiltri.co.uk/" TargetMode="External"/><Relationship Id="rId988" Type="http://schemas.openxmlformats.org/officeDocument/2006/relationships/hyperlink" Target="http://www.mpfiltri.co.uk/" TargetMode="External"/><Relationship Id="rId182" Type="http://schemas.openxmlformats.org/officeDocument/2006/relationships/hyperlink" Target="http://www.mpfiltri.co.uk/" TargetMode="External"/><Relationship Id="rId403" Type="http://schemas.openxmlformats.org/officeDocument/2006/relationships/hyperlink" Target="http://www.mpfiltri.co.uk/" TargetMode="External"/><Relationship Id="rId750" Type="http://schemas.openxmlformats.org/officeDocument/2006/relationships/hyperlink" Target="http://www.mpfiltri.co.uk/" TargetMode="External"/><Relationship Id="rId848" Type="http://schemas.openxmlformats.org/officeDocument/2006/relationships/hyperlink" Target="http://www.mpfiltri.co.uk/" TargetMode="External"/><Relationship Id="rId487" Type="http://schemas.openxmlformats.org/officeDocument/2006/relationships/hyperlink" Target="http://www.mpfiltri.co.uk/" TargetMode="External"/><Relationship Id="rId610" Type="http://schemas.openxmlformats.org/officeDocument/2006/relationships/hyperlink" Target="http://www.mpfiltri.co.uk/" TargetMode="External"/><Relationship Id="rId694" Type="http://schemas.openxmlformats.org/officeDocument/2006/relationships/hyperlink" Target="http://www.mpfiltri.co.uk/" TargetMode="External"/><Relationship Id="rId708" Type="http://schemas.openxmlformats.org/officeDocument/2006/relationships/hyperlink" Target="http://www.mpfiltri.co.uk/" TargetMode="External"/><Relationship Id="rId915" Type="http://schemas.openxmlformats.org/officeDocument/2006/relationships/hyperlink" Target="http://www.mpfiltri.co.uk/" TargetMode="External"/><Relationship Id="rId347" Type="http://schemas.openxmlformats.org/officeDocument/2006/relationships/hyperlink" Target="http://www.mpfiltri.co.uk/" TargetMode="External"/><Relationship Id="rId999" Type="http://schemas.openxmlformats.org/officeDocument/2006/relationships/hyperlink" Target="http://www.mpfiltri.co.uk/" TargetMode="External"/><Relationship Id="rId44" Type="http://schemas.openxmlformats.org/officeDocument/2006/relationships/hyperlink" Target="http://www.mpfiltri.co.uk/" TargetMode="External"/><Relationship Id="rId554" Type="http://schemas.openxmlformats.org/officeDocument/2006/relationships/hyperlink" Target="http://www.mpfiltri.co.uk/" TargetMode="External"/><Relationship Id="rId761" Type="http://schemas.openxmlformats.org/officeDocument/2006/relationships/hyperlink" Target="http://www.mpfiltri.co.uk/" TargetMode="External"/><Relationship Id="rId859" Type="http://schemas.openxmlformats.org/officeDocument/2006/relationships/hyperlink" Target="http://www.mpfiltri.co.uk/" TargetMode="External"/><Relationship Id="rId193" Type="http://schemas.openxmlformats.org/officeDocument/2006/relationships/hyperlink" Target="http://www.mpfiltri.co.uk/" TargetMode="External"/><Relationship Id="rId207" Type="http://schemas.openxmlformats.org/officeDocument/2006/relationships/hyperlink" Target="http://www.mpfiltri.co.uk/" TargetMode="External"/><Relationship Id="rId414" Type="http://schemas.openxmlformats.org/officeDocument/2006/relationships/hyperlink" Target="http://www.mpfiltri.co.uk/" TargetMode="External"/><Relationship Id="rId498" Type="http://schemas.openxmlformats.org/officeDocument/2006/relationships/hyperlink" Target="http://www.mpfiltri.co.uk/" TargetMode="External"/><Relationship Id="rId621" Type="http://schemas.openxmlformats.org/officeDocument/2006/relationships/hyperlink" Target="http://www.mpfiltri.co.uk/" TargetMode="External"/><Relationship Id="rId260" Type="http://schemas.openxmlformats.org/officeDocument/2006/relationships/hyperlink" Target="http://www.mpfiltri.co.uk/" TargetMode="External"/><Relationship Id="rId719" Type="http://schemas.openxmlformats.org/officeDocument/2006/relationships/hyperlink" Target="http://www.mpfiltri.co.uk/" TargetMode="External"/><Relationship Id="rId926" Type="http://schemas.openxmlformats.org/officeDocument/2006/relationships/hyperlink" Target="http://www.mpfiltri.co.uk/" TargetMode="External"/><Relationship Id="rId55" Type="http://schemas.openxmlformats.org/officeDocument/2006/relationships/hyperlink" Target="http://www.mpfiltri.co.uk/" TargetMode="External"/><Relationship Id="rId120" Type="http://schemas.openxmlformats.org/officeDocument/2006/relationships/hyperlink" Target="http://www.mpfiltri.co.uk/" TargetMode="External"/><Relationship Id="rId358" Type="http://schemas.openxmlformats.org/officeDocument/2006/relationships/hyperlink" Target="http://www.mpfiltri.co.uk/" TargetMode="External"/><Relationship Id="rId565" Type="http://schemas.openxmlformats.org/officeDocument/2006/relationships/hyperlink" Target="http://www.mpfiltri.co.uk/" TargetMode="External"/><Relationship Id="rId772" Type="http://schemas.openxmlformats.org/officeDocument/2006/relationships/hyperlink" Target="http://www.mpfiltri.co.uk/" TargetMode="External"/><Relationship Id="rId218" Type="http://schemas.openxmlformats.org/officeDocument/2006/relationships/hyperlink" Target="http://www.mpfiltri.co.uk/" TargetMode="External"/><Relationship Id="rId425" Type="http://schemas.openxmlformats.org/officeDocument/2006/relationships/hyperlink" Target="http://www.mpfiltri.co.uk/" TargetMode="External"/><Relationship Id="rId632" Type="http://schemas.openxmlformats.org/officeDocument/2006/relationships/hyperlink" Target="http://www.mpfiltri.co.uk/" TargetMode="External"/><Relationship Id="rId271" Type="http://schemas.openxmlformats.org/officeDocument/2006/relationships/hyperlink" Target="http://www.mpfiltri.co.uk/" TargetMode="External"/><Relationship Id="rId937" Type="http://schemas.openxmlformats.org/officeDocument/2006/relationships/hyperlink" Target="http://www.mpfiltri.co.uk/" TargetMode="External"/><Relationship Id="rId66" Type="http://schemas.openxmlformats.org/officeDocument/2006/relationships/hyperlink" Target="http://www.mpfiltri.co.uk/" TargetMode="External"/><Relationship Id="rId131" Type="http://schemas.openxmlformats.org/officeDocument/2006/relationships/hyperlink" Target="http://www.mpfiltri.co.uk/" TargetMode="External"/><Relationship Id="rId369" Type="http://schemas.openxmlformats.org/officeDocument/2006/relationships/hyperlink" Target="http://www.mpfiltri.co.uk/" TargetMode="External"/><Relationship Id="rId576" Type="http://schemas.openxmlformats.org/officeDocument/2006/relationships/hyperlink" Target="http://www.mpfiltri.co.uk/" TargetMode="External"/><Relationship Id="rId783" Type="http://schemas.openxmlformats.org/officeDocument/2006/relationships/hyperlink" Target="http://www.mpfiltri.co.uk/" TargetMode="External"/><Relationship Id="rId990" Type="http://schemas.openxmlformats.org/officeDocument/2006/relationships/hyperlink" Target="http://www.mpfiltri.co.uk/" TargetMode="External"/><Relationship Id="rId229" Type="http://schemas.openxmlformats.org/officeDocument/2006/relationships/hyperlink" Target="http://www.mpfiltri.co.uk/" TargetMode="External"/><Relationship Id="rId436" Type="http://schemas.openxmlformats.org/officeDocument/2006/relationships/hyperlink" Target="http://www.mpfiltri.co.uk/" TargetMode="External"/><Relationship Id="rId643" Type="http://schemas.openxmlformats.org/officeDocument/2006/relationships/hyperlink" Target="http://www.mpfiltri.co.uk/" TargetMode="External"/><Relationship Id="rId850" Type="http://schemas.openxmlformats.org/officeDocument/2006/relationships/hyperlink" Target="http://www.mpfiltri.co.uk/" TargetMode="External"/><Relationship Id="rId948" Type="http://schemas.openxmlformats.org/officeDocument/2006/relationships/hyperlink" Target="http://www.mpfiltri.co.uk/" TargetMode="External"/><Relationship Id="rId77" Type="http://schemas.openxmlformats.org/officeDocument/2006/relationships/hyperlink" Target="http://www.mpfiltri.co.uk/" TargetMode="External"/><Relationship Id="rId282" Type="http://schemas.openxmlformats.org/officeDocument/2006/relationships/hyperlink" Target="http://www.mpfiltri.co.uk/" TargetMode="External"/><Relationship Id="rId503" Type="http://schemas.openxmlformats.org/officeDocument/2006/relationships/hyperlink" Target="http://www.mpfiltri.co.uk/" TargetMode="External"/><Relationship Id="rId587" Type="http://schemas.openxmlformats.org/officeDocument/2006/relationships/hyperlink" Target="http://www.mpfiltri.co.uk/" TargetMode="External"/><Relationship Id="rId710" Type="http://schemas.openxmlformats.org/officeDocument/2006/relationships/hyperlink" Target="http://www.mpfiltri.co.uk/" TargetMode="External"/><Relationship Id="rId808" Type="http://schemas.openxmlformats.org/officeDocument/2006/relationships/hyperlink" Target="http://www.mpfiltri.co.uk/" TargetMode="External"/><Relationship Id="rId8" Type="http://schemas.openxmlformats.org/officeDocument/2006/relationships/hyperlink" Target="http://www.mpfiltri.co.uk/" TargetMode="External"/><Relationship Id="rId142" Type="http://schemas.openxmlformats.org/officeDocument/2006/relationships/hyperlink" Target="http://www.mpfiltri.co.uk/" TargetMode="External"/><Relationship Id="rId447" Type="http://schemas.openxmlformats.org/officeDocument/2006/relationships/hyperlink" Target="http://www.mpfiltri.co.uk/" TargetMode="External"/><Relationship Id="rId794" Type="http://schemas.openxmlformats.org/officeDocument/2006/relationships/hyperlink" Target="http://www.mpfiltri.co.uk/" TargetMode="External"/><Relationship Id="rId654" Type="http://schemas.openxmlformats.org/officeDocument/2006/relationships/hyperlink" Target="http://www.mpfiltri.co.uk/" TargetMode="External"/><Relationship Id="rId861" Type="http://schemas.openxmlformats.org/officeDocument/2006/relationships/hyperlink" Target="http://www.mpfiltri.co.uk/" TargetMode="External"/><Relationship Id="rId959" Type="http://schemas.openxmlformats.org/officeDocument/2006/relationships/hyperlink" Target="http://www.mpfiltri.co.uk/" TargetMode="External"/><Relationship Id="rId293" Type="http://schemas.openxmlformats.org/officeDocument/2006/relationships/hyperlink" Target="http://www.mpfiltri.co.uk/" TargetMode="External"/><Relationship Id="rId307" Type="http://schemas.openxmlformats.org/officeDocument/2006/relationships/hyperlink" Target="http://www.mpfiltri.co.uk/" TargetMode="External"/><Relationship Id="rId514" Type="http://schemas.openxmlformats.org/officeDocument/2006/relationships/hyperlink" Target="http://www.mpfiltri.co.uk/" TargetMode="External"/><Relationship Id="rId721" Type="http://schemas.openxmlformats.org/officeDocument/2006/relationships/hyperlink" Target="http://www.mpfiltri.co.uk/" TargetMode="External"/><Relationship Id="rId88" Type="http://schemas.openxmlformats.org/officeDocument/2006/relationships/hyperlink" Target="http://www.mpfiltri.co.uk/" TargetMode="External"/><Relationship Id="rId153" Type="http://schemas.openxmlformats.org/officeDocument/2006/relationships/hyperlink" Target="http://www.mpfiltri.co.uk/" TargetMode="External"/><Relationship Id="rId360" Type="http://schemas.openxmlformats.org/officeDocument/2006/relationships/hyperlink" Target="http://www.mpfiltri.co.uk/" TargetMode="External"/><Relationship Id="rId598" Type="http://schemas.openxmlformats.org/officeDocument/2006/relationships/hyperlink" Target="http://www.mpfiltri.co.uk/" TargetMode="External"/><Relationship Id="rId819" Type="http://schemas.openxmlformats.org/officeDocument/2006/relationships/hyperlink" Target="http://www.mpfiltri.co.uk/" TargetMode="External"/><Relationship Id="rId1004" Type="http://schemas.openxmlformats.org/officeDocument/2006/relationships/hyperlink" Target="http://www.mpfiltri.co.uk/" TargetMode="External"/><Relationship Id="rId220" Type="http://schemas.openxmlformats.org/officeDocument/2006/relationships/hyperlink" Target="http://www.mpfiltri.co.uk/" TargetMode="External"/><Relationship Id="rId458" Type="http://schemas.openxmlformats.org/officeDocument/2006/relationships/hyperlink" Target="http://www.mpfiltri.co.uk/" TargetMode="External"/><Relationship Id="rId665" Type="http://schemas.openxmlformats.org/officeDocument/2006/relationships/hyperlink" Target="http://www.mpfiltri.co.uk/" TargetMode="External"/><Relationship Id="rId872" Type="http://schemas.openxmlformats.org/officeDocument/2006/relationships/hyperlink" Target="http://www.mpfiltri.co.uk/" TargetMode="External"/><Relationship Id="rId15" Type="http://schemas.openxmlformats.org/officeDocument/2006/relationships/hyperlink" Target="http://www.mpfiltri.co.uk/" TargetMode="External"/><Relationship Id="rId318" Type="http://schemas.openxmlformats.org/officeDocument/2006/relationships/hyperlink" Target="http://www.mpfiltri.co.uk/" TargetMode="External"/><Relationship Id="rId525" Type="http://schemas.openxmlformats.org/officeDocument/2006/relationships/hyperlink" Target="http://www.mpfiltri.co.uk/" TargetMode="External"/><Relationship Id="rId732" Type="http://schemas.openxmlformats.org/officeDocument/2006/relationships/hyperlink" Target="http://www.mpfiltri.co.uk/" TargetMode="External"/><Relationship Id="rId99" Type="http://schemas.openxmlformats.org/officeDocument/2006/relationships/hyperlink" Target="http://www.mpfiltri.co.uk/" TargetMode="External"/><Relationship Id="rId164" Type="http://schemas.openxmlformats.org/officeDocument/2006/relationships/hyperlink" Target="http://www.mpfiltri.co.uk/" TargetMode="External"/><Relationship Id="rId371" Type="http://schemas.openxmlformats.org/officeDocument/2006/relationships/hyperlink" Target="http://www.mpfiltri.co.uk/" TargetMode="External"/><Relationship Id="rId1015" Type="http://schemas.openxmlformats.org/officeDocument/2006/relationships/hyperlink" Target="http://www.mpfiltri.co.uk/" TargetMode="External"/><Relationship Id="rId469" Type="http://schemas.openxmlformats.org/officeDocument/2006/relationships/hyperlink" Target="http://www.mpfiltri.co.uk/" TargetMode="External"/><Relationship Id="rId676" Type="http://schemas.openxmlformats.org/officeDocument/2006/relationships/hyperlink" Target="http://www.mpfiltri.co.uk/" TargetMode="External"/><Relationship Id="rId883" Type="http://schemas.openxmlformats.org/officeDocument/2006/relationships/hyperlink" Target="http://www.mpfiltri.co.uk/" TargetMode="External"/><Relationship Id="rId26" Type="http://schemas.openxmlformats.org/officeDocument/2006/relationships/hyperlink" Target="http://www.mpfiltri.co.uk/" TargetMode="External"/><Relationship Id="rId231" Type="http://schemas.openxmlformats.org/officeDocument/2006/relationships/hyperlink" Target="http://www.mpfiltri.co.uk/" TargetMode="External"/><Relationship Id="rId329" Type="http://schemas.openxmlformats.org/officeDocument/2006/relationships/hyperlink" Target="http://www.mpfiltri.co.uk/" TargetMode="External"/><Relationship Id="rId536" Type="http://schemas.openxmlformats.org/officeDocument/2006/relationships/hyperlink" Target="http://www.mpfiltri.co.uk/" TargetMode="External"/><Relationship Id="rId175" Type="http://schemas.openxmlformats.org/officeDocument/2006/relationships/hyperlink" Target="http://www.mpfiltri.co.uk/" TargetMode="External"/><Relationship Id="rId743" Type="http://schemas.openxmlformats.org/officeDocument/2006/relationships/hyperlink" Target="http://www.mpfiltri.co.uk/" TargetMode="External"/><Relationship Id="rId950" Type="http://schemas.openxmlformats.org/officeDocument/2006/relationships/hyperlink" Target="http://www.mpfiltri.co.uk/" TargetMode="External"/><Relationship Id="rId1026" Type="http://schemas.openxmlformats.org/officeDocument/2006/relationships/printerSettings" Target="../printerSettings/printerSettings4.bin"/><Relationship Id="rId382" Type="http://schemas.openxmlformats.org/officeDocument/2006/relationships/hyperlink" Target="http://www.mpfiltri.co.uk/" TargetMode="External"/><Relationship Id="rId603" Type="http://schemas.openxmlformats.org/officeDocument/2006/relationships/hyperlink" Target="http://www.mpfiltri.co.uk/" TargetMode="External"/><Relationship Id="rId687" Type="http://schemas.openxmlformats.org/officeDocument/2006/relationships/hyperlink" Target="http://www.mpfiltri.co.uk/" TargetMode="External"/><Relationship Id="rId810" Type="http://schemas.openxmlformats.org/officeDocument/2006/relationships/hyperlink" Target="http://www.mpfiltri.co.uk/" TargetMode="External"/><Relationship Id="rId908" Type="http://schemas.openxmlformats.org/officeDocument/2006/relationships/hyperlink" Target="http://www.mpfiltri.co.uk/" TargetMode="External"/><Relationship Id="rId242" Type="http://schemas.openxmlformats.org/officeDocument/2006/relationships/hyperlink" Target="http://www.mpfiltri.co.uk/" TargetMode="External"/><Relationship Id="rId894" Type="http://schemas.openxmlformats.org/officeDocument/2006/relationships/hyperlink" Target="http://www.mpfiltri.co.uk/" TargetMode="External"/><Relationship Id="rId37" Type="http://schemas.openxmlformats.org/officeDocument/2006/relationships/hyperlink" Target="http://www.mpfiltri.co.uk/" TargetMode="External"/><Relationship Id="rId102" Type="http://schemas.openxmlformats.org/officeDocument/2006/relationships/hyperlink" Target="http://www.mpfiltri.co.uk/" TargetMode="External"/><Relationship Id="rId547" Type="http://schemas.openxmlformats.org/officeDocument/2006/relationships/hyperlink" Target="http://www.mpfiltri.co.uk/" TargetMode="External"/><Relationship Id="rId754" Type="http://schemas.openxmlformats.org/officeDocument/2006/relationships/hyperlink" Target="http://www.mpfiltri.co.uk/" TargetMode="External"/><Relationship Id="rId961" Type="http://schemas.openxmlformats.org/officeDocument/2006/relationships/hyperlink" Target="http://www.mpfiltri.co.uk/" TargetMode="External"/><Relationship Id="rId90" Type="http://schemas.openxmlformats.org/officeDocument/2006/relationships/hyperlink" Target="http://www.mpfiltri.co.uk/" TargetMode="External"/><Relationship Id="rId186" Type="http://schemas.openxmlformats.org/officeDocument/2006/relationships/hyperlink" Target="http://www.mpfiltri.co.uk/" TargetMode="External"/><Relationship Id="rId393" Type="http://schemas.openxmlformats.org/officeDocument/2006/relationships/hyperlink" Target="http://www.mpfiltri.co.uk/" TargetMode="External"/><Relationship Id="rId407" Type="http://schemas.openxmlformats.org/officeDocument/2006/relationships/hyperlink" Target="http://www.mpfiltri.co.uk/" TargetMode="External"/><Relationship Id="rId614" Type="http://schemas.openxmlformats.org/officeDocument/2006/relationships/hyperlink" Target="http://www.mpfiltri.co.uk/" TargetMode="External"/><Relationship Id="rId821" Type="http://schemas.openxmlformats.org/officeDocument/2006/relationships/hyperlink" Target="http://www.mpfiltri.co.uk/" TargetMode="External"/><Relationship Id="rId253" Type="http://schemas.openxmlformats.org/officeDocument/2006/relationships/hyperlink" Target="http://www.mpfiltri.co.uk/" TargetMode="External"/><Relationship Id="rId460" Type="http://schemas.openxmlformats.org/officeDocument/2006/relationships/hyperlink" Target="http://www.mpfiltri.co.uk/" TargetMode="External"/><Relationship Id="rId698" Type="http://schemas.openxmlformats.org/officeDocument/2006/relationships/hyperlink" Target="http://www.mpfiltri.co.uk/" TargetMode="External"/><Relationship Id="rId919" Type="http://schemas.openxmlformats.org/officeDocument/2006/relationships/hyperlink" Target="http://www.mpfiltri.co.uk/" TargetMode="External"/><Relationship Id="rId48" Type="http://schemas.openxmlformats.org/officeDocument/2006/relationships/hyperlink" Target="http://www.mpfiltri.co.uk/" TargetMode="External"/><Relationship Id="rId113" Type="http://schemas.openxmlformats.org/officeDocument/2006/relationships/hyperlink" Target="http://www.mpfiltri.co.uk/" TargetMode="External"/><Relationship Id="rId320" Type="http://schemas.openxmlformats.org/officeDocument/2006/relationships/hyperlink" Target="http://www.mpfiltri.co.uk/" TargetMode="External"/><Relationship Id="rId558" Type="http://schemas.openxmlformats.org/officeDocument/2006/relationships/hyperlink" Target="http://www.mpfiltri.co.uk/" TargetMode="External"/><Relationship Id="rId765" Type="http://schemas.openxmlformats.org/officeDocument/2006/relationships/hyperlink" Target="http://www.mpfiltri.co.uk/" TargetMode="External"/><Relationship Id="rId972" Type="http://schemas.openxmlformats.org/officeDocument/2006/relationships/hyperlink" Target="http://www.mpfiltri.co.uk/" TargetMode="External"/><Relationship Id="rId197" Type="http://schemas.openxmlformats.org/officeDocument/2006/relationships/hyperlink" Target="http://www.mpfiltri.co.uk/" TargetMode="External"/><Relationship Id="rId418" Type="http://schemas.openxmlformats.org/officeDocument/2006/relationships/hyperlink" Target="http://www.mpfiltri.co.uk/" TargetMode="External"/><Relationship Id="rId625" Type="http://schemas.openxmlformats.org/officeDocument/2006/relationships/hyperlink" Target="http://www.mpfiltri.co.uk/" TargetMode="External"/><Relationship Id="rId832" Type="http://schemas.openxmlformats.org/officeDocument/2006/relationships/hyperlink" Target="http://www.mpfiltri.co.uk/" TargetMode="External"/><Relationship Id="rId264" Type="http://schemas.openxmlformats.org/officeDocument/2006/relationships/hyperlink" Target="http://www.mpfiltri.co.uk/" TargetMode="External"/><Relationship Id="rId471" Type="http://schemas.openxmlformats.org/officeDocument/2006/relationships/hyperlink" Target="http://www.mpfiltri.co.uk/" TargetMode="External"/><Relationship Id="rId59" Type="http://schemas.openxmlformats.org/officeDocument/2006/relationships/hyperlink" Target="http://www.mpfiltri.co.uk/" TargetMode="External"/><Relationship Id="rId124" Type="http://schemas.openxmlformats.org/officeDocument/2006/relationships/hyperlink" Target="http://www.mpfiltri.co.uk/" TargetMode="External"/><Relationship Id="rId569" Type="http://schemas.openxmlformats.org/officeDocument/2006/relationships/hyperlink" Target="http://www.mpfiltri.co.uk/" TargetMode="External"/><Relationship Id="rId776" Type="http://schemas.openxmlformats.org/officeDocument/2006/relationships/hyperlink" Target="http://www.mpfiltri.co.uk/" TargetMode="External"/><Relationship Id="rId983" Type="http://schemas.openxmlformats.org/officeDocument/2006/relationships/hyperlink" Target="http://www.mpfiltri.co.uk/" TargetMode="External"/><Relationship Id="rId331" Type="http://schemas.openxmlformats.org/officeDocument/2006/relationships/hyperlink" Target="http://www.mpfiltri.co.uk/" TargetMode="External"/><Relationship Id="rId429" Type="http://schemas.openxmlformats.org/officeDocument/2006/relationships/hyperlink" Target="http://www.mpfiltri.co.uk/" TargetMode="External"/><Relationship Id="rId636" Type="http://schemas.openxmlformats.org/officeDocument/2006/relationships/hyperlink" Target="http://www.mpfiltri.co.uk/" TargetMode="External"/><Relationship Id="rId843" Type="http://schemas.openxmlformats.org/officeDocument/2006/relationships/hyperlink" Target="http://www.mpfiltri.co.uk/" TargetMode="External"/><Relationship Id="rId275" Type="http://schemas.openxmlformats.org/officeDocument/2006/relationships/hyperlink" Target="http://www.mpfiltri.co.uk/" TargetMode="External"/><Relationship Id="rId482" Type="http://schemas.openxmlformats.org/officeDocument/2006/relationships/hyperlink" Target="http://www.mpfiltri.co.uk/" TargetMode="External"/><Relationship Id="rId703" Type="http://schemas.openxmlformats.org/officeDocument/2006/relationships/hyperlink" Target="http://www.mpfiltri.co.uk/" TargetMode="External"/><Relationship Id="rId910" Type="http://schemas.openxmlformats.org/officeDocument/2006/relationships/hyperlink" Target="http://www.mpfiltri.co.uk/" TargetMode="External"/><Relationship Id="rId135" Type="http://schemas.openxmlformats.org/officeDocument/2006/relationships/hyperlink" Target="http://www.mpfiltri.co.uk/" TargetMode="External"/><Relationship Id="rId342" Type="http://schemas.openxmlformats.org/officeDocument/2006/relationships/hyperlink" Target="http://www.mpfiltri.co.uk/" TargetMode="External"/><Relationship Id="rId787" Type="http://schemas.openxmlformats.org/officeDocument/2006/relationships/hyperlink" Target="http://www.mpfiltri.co.uk/" TargetMode="External"/><Relationship Id="rId994" Type="http://schemas.openxmlformats.org/officeDocument/2006/relationships/hyperlink" Target="http://www.mpfiltri.co.uk/" TargetMode="External"/><Relationship Id="rId202" Type="http://schemas.openxmlformats.org/officeDocument/2006/relationships/hyperlink" Target="http://www.mpfiltri.co.uk/" TargetMode="External"/><Relationship Id="rId647" Type="http://schemas.openxmlformats.org/officeDocument/2006/relationships/hyperlink" Target="http://www.mpfiltri.co.uk/" TargetMode="External"/><Relationship Id="rId854" Type="http://schemas.openxmlformats.org/officeDocument/2006/relationships/hyperlink" Target="http://www.mpfiltri.co.uk/" TargetMode="External"/><Relationship Id="rId286" Type="http://schemas.openxmlformats.org/officeDocument/2006/relationships/hyperlink" Target="http://www.mpfiltri.co.uk/" TargetMode="External"/><Relationship Id="rId493" Type="http://schemas.openxmlformats.org/officeDocument/2006/relationships/hyperlink" Target="http://www.mpfiltri.co.uk/" TargetMode="External"/><Relationship Id="rId507" Type="http://schemas.openxmlformats.org/officeDocument/2006/relationships/hyperlink" Target="http://www.mpfiltri.co.uk/" TargetMode="External"/><Relationship Id="rId714" Type="http://schemas.openxmlformats.org/officeDocument/2006/relationships/hyperlink" Target="http://www.mpfiltri.co.uk/" TargetMode="External"/><Relationship Id="rId921" Type="http://schemas.openxmlformats.org/officeDocument/2006/relationships/hyperlink" Target="http://www.mpfiltri.co.uk/" TargetMode="External"/><Relationship Id="rId50" Type="http://schemas.openxmlformats.org/officeDocument/2006/relationships/hyperlink" Target="http://www.mpfiltri.co.uk/" TargetMode="External"/><Relationship Id="rId146" Type="http://schemas.openxmlformats.org/officeDocument/2006/relationships/hyperlink" Target="http://www.mpfiltri.co.uk/" TargetMode="External"/><Relationship Id="rId353" Type="http://schemas.openxmlformats.org/officeDocument/2006/relationships/hyperlink" Target="http://www.mpfiltri.co.uk/" TargetMode="External"/><Relationship Id="rId560" Type="http://schemas.openxmlformats.org/officeDocument/2006/relationships/hyperlink" Target="http://www.mpfiltri.co.uk/" TargetMode="External"/><Relationship Id="rId798" Type="http://schemas.openxmlformats.org/officeDocument/2006/relationships/hyperlink" Target="http://www.mpfiltri.co.uk/" TargetMode="External"/><Relationship Id="rId213" Type="http://schemas.openxmlformats.org/officeDocument/2006/relationships/hyperlink" Target="http://www.mpfiltri.co.uk/" TargetMode="External"/><Relationship Id="rId420" Type="http://schemas.openxmlformats.org/officeDocument/2006/relationships/hyperlink" Target="http://www.mpfiltri.co.uk/" TargetMode="External"/><Relationship Id="rId658" Type="http://schemas.openxmlformats.org/officeDocument/2006/relationships/hyperlink" Target="http://www.mpfiltri.co.uk/" TargetMode="External"/><Relationship Id="rId865" Type="http://schemas.openxmlformats.org/officeDocument/2006/relationships/hyperlink" Target="http://www.mpfiltri.co.uk/" TargetMode="External"/><Relationship Id="rId297" Type="http://schemas.openxmlformats.org/officeDocument/2006/relationships/hyperlink" Target="http://www.mpfiltri.co.uk/" TargetMode="External"/><Relationship Id="rId518" Type="http://schemas.openxmlformats.org/officeDocument/2006/relationships/hyperlink" Target="http://www.mpfiltri.co.uk/" TargetMode="External"/><Relationship Id="rId725" Type="http://schemas.openxmlformats.org/officeDocument/2006/relationships/hyperlink" Target="http://www.mpfiltri.co.uk/" TargetMode="External"/><Relationship Id="rId932" Type="http://schemas.openxmlformats.org/officeDocument/2006/relationships/hyperlink" Target="http://www.mpfiltri.co.uk/" TargetMode="External"/><Relationship Id="rId157" Type="http://schemas.openxmlformats.org/officeDocument/2006/relationships/hyperlink" Target="http://www.mpfiltri.co.uk/" TargetMode="External"/><Relationship Id="rId364" Type="http://schemas.openxmlformats.org/officeDocument/2006/relationships/hyperlink" Target="http://www.mpfiltri.co.uk/" TargetMode="External"/><Relationship Id="rId1008" Type="http://schemas.openxmlformats.org/officeDocument/2006/relationships/hyperlink" Target="http://www.mpfiltri.co.uk/" TargetMode="External"/><Relationship Id="rId61" Type="http://schemas.openxmlformats.org/officeDocument/2006/relationships/hyperlink" Target="http://www.mpfiltri.co.uk/" TargetMode="External"/><Relationship Id="rId571" Type="http://schemas.openxmlformats.org/officeDocument/2006/relationships/hyperlink" Target="http://www.mpfiltri.co.uk/" TargetMode="External"/><Relationship Id="rId669" Type="http://schemas.openxmlformats.org/officeDocument/2006/relationships/hyperlink" Target="http://www.mpfiltri.co.uk/" TargetMode="External"/><Relationship Id="rId876" Type="http://schemas.openxmlformats.org/officeDocument/2006/relationships/hyperlink" Target="http://www.mpfiltri.co.uk/" TargetMode="External"/><Relationship Id="rId19" Type="http://schemas.openxmlformats.org/officeDocument/2006/relationships/hyperlink" Target="http://www.mpfiltri.co.uk/" TargetMode="External"/><Relationship Id="rId224" Type="http://schemas.openxmlformats.org/officeDocument/2006/relationships/hyperlink" Target="http://www.mpfiltri.co.uk/" TargetMode="External"/><Relationship Id="rId431" Type="http://schemas.openxmlformats.org/officeDocument/2006/relationships/hyperlink" Target="http://www.mpfiltri.co.uk/" TargetMode="External"/><Relationship Id="rId529" Type="http://schemas.openxmlformats.org/officeDocument/2006/relationships/hyperlink" Target="http://www.mpfiltri.co.uk/" TargetMode="External"/><Relationship Id="rId736" Type="http://schemas.openxmlformats.org/officeDocument/2006/relationships/hyperlink" Target="http://www.mpfiltri.co.uk/" TargetMode="External"/><Relationship Id="rId168" Type="http://schemas.openxmlformats.org/officeDocument/2006/relationships/hyperlink" Target="http://www.mpfiltri.co.uk/" TargetMode="External"/><Relationship Id="rId943" Type="http://schemas.openxmlformats.org/officeDocument/2006/relationships/hyperlink" Target="http://www.mpfiltri.co.uk/" TargetMode="External"/><Relationship Id="rId1019" Type="http://schemas.openxmlformats.org/officeDocument/2006/relationships/hyperlink" Target="http://www.mpfiltri.co.uk/" TargetMode="External"/><Relationship Id="rId72" Type="http://schemas.openxmlformats.org/officeDocument/2006/relationships/hyperlink" Target="http://www.mpfiltri.co.uk/" TargetMode="External"/><Relationship Id="rId375" Type="http://schemas.openxmlformats.org/officeDocument/2006/relationships/hyperlink" Target="http://www.mpfiltri.co.uk/" TargetMode="External"/><Relationship Id="rId582" Type="http://schemas.openxmlformats.org/officeDocument/2006/relationships/hyperlink" Target="http://www.mpfiltri.co.uk/" TargetMode="External"/><Relationship Id="rId803" Type="http://schemas.openxmlformats.org/officeDocument/2006/relationships/hyperlink" Target="http://www.mpfiltri.co.uk/" TargetMode="External"/><Relationship Id="rId3" Type="http://schemas.openxmlformats.org/officeDocument/2006/relationships/hyperlink" Target="http://www.mpfiltri.co.uk/" TargetMode="External"/><Relationship Id="rId235" Type="http://schemas.openxmlformats.org/officeDocument/2006/relationships/hyperlink" Target="http://www.mpfiltri.co.uk/" TargetMode="External"/><Relationship Id="rId442" Type="http://schemas.openxmlformats.org/officeDocument/2006/relationships/hyperlink" Target="http://www.mpfiltri.co.uk/" TargetMode="External"/><Relationship Id="rId887" Type="http://schemas.openxmlformats.org/officeDocument/2006/relationships/hyperlink" Target="http://www.mpfiltri.co.uk/" TargetMode="External"/><Relationship Id="rId302" Type="http://schemas.openxmlformats.org/officeDocument/2006/relationships/hyperlink" Target="http://www.mpfiltri.co.uk/" TargetMode="External"/><Relationship Id="rId747" Type="http://schemas.openxmlformats.org/officeDocument/2006/relationships/hyperlink" Target="http://www.mpfiltri.co.uk/" TargetMode="External"/><Relationship Id="rId954" Type="http://schemas.openxmlformats.org/officeDocument/2006/relationships/hyperlink" Target="http://www.mpfiltri.co.uk/" TargetMode="External"/><Relationship Id="rId83" Type="http://schemas.openxmlformats.org/officeDocument/2006/relationships/hyperlink" Target="http://www.mpfiltri.co.uk/" TargetMode="External"/><Relationship Id="rId179" Type="http://schemas.openxmlformats.org/officeDocument/2006/relationships/hyperlink" Target="http://www.mpfiltri.co.uk/" TargetMode="External"/><Relationship Id="rId386" Type="http://schemas.openxmlformats.org/officeDocument/2006/relationships/hyperlink" Target="http://www.mpfiltri.co.uk/" TargetMode="External"/><Relationship Id="rId593" Type="http://schemas.openxmlformats.org/officeDocument/2006/relationships/hyperlink" Target="http://www.mpfiltri.co.uk/" TargetMode="External"/><Relationship Id="rId607" Type="http://schemas.openxmlformats.org/officeDocument/2006/relationships/hyperlink" Target="http://www.mpfiltri.co.uk/" TargetMode="External"/><Relationship Id="rId814" Type="http://schemas.openxmlformats.org/officeDocument/2006/relationships/hyperlink" Target="http://www.mpfiltri.co.uk/" TargetMode="External"/><Relationship Id="rId246" Type="http://schemas.openxmlformats.org/officeDocument/2006/relationships/hyperlink" Target="http://www.mpfiltri.co.uk/" TargetMode="External"/><Relationship Id="rId453" Type="http://schemas.openxmlformats.org/officeDocument/2006/relationships/hyperlink" Target="http://www.mpfiltri.co.uk/" TargetMode="External"/><Relationship Id="rId660" Type="http://schemas.openxmlformats.org/officeDocument/2006/relationships/hyperlink" Target="http://www.mpfiltri.co.uk/" TargetMode="External"/><Relationship Id="rId898" Type="http://schemas.openxmlformats.org/officeDocument/2006/relationships/hyperlink" Target="http://www.mpfiltri.co.uk/" TargetMode="External"/><Relationship Id="rId106" Type="http://schemas.openxmlformats.org/officeDocument/2006/relationships/hyperlink" Target="http://www.mpfiltri.co.uk/" TargetMode="External"/><Relationship Id="rId313" Type="http://schemas.openxmlformats.org/officeDocument/2006/relationships/hyperlink" Target="http://www.mpfiltri.co.uk/" TargetMode="External"/><Relationship Id="rId758" Type="http://schemas.openxmlformats.org/officeDocument/2006/relationships/hyperlink" Target="http://www.mpfiltri.co.uk/" TargetMode="External"/><Relationship Id="rId965" Type="http://schemas.openxmlformats.org/officeDocument/2006/relationships/hyperlink" Target="http://www.mpfiltri.co.uk/" TargetMode="External"/><Relationship Id="rId10" Type="http://schemas.openxmlformats.org/officeDocument/2006/relationships/hyperlink" Target="http://www.mpfiltri.co.uk/" TargetMode="External"/><Relationship Id="rId94" Type="http://schemas.openxmlformats.org/officeDocument/2006/relationships/hyperlink" Target="http://www.mpfiltri.co.uk/" TargetMode="External"/><Relationship Id="rId397" Type="http://schemas.openxmlformats.org/officeDocument/2006/relationships/hyperlink" Target="http://www.mpfiltri.co.uk/" TargetMode="External"/><Relationship Id="rId520" Type="http://schemas.openxmlformats.org/officeDocument/2006/relationships/hyperlink" Target="http://www.mpfiltri.co.uk/" TargetMode="External"/><Relationship Id="rId618" Type="http://schemas.openxmlformats.org/officeDocument/2006/relationships/hyperlink" Target="http://www.mpfiltri.co.uk/" TargetMode="External"/><Relationship Id="rId825" Type="http://schemas.openxmlformats.org/officeDocument/2006/relationships/hyperlink" Target="http://www.mpfiltri.co.uk/" TargetMode="External"/><Relationship Id="rId257" Type="http://schemas.openxmlformats.org/officeDocument/2006/relationships/hyperlink" Target="http://www.mpfiltri.co.uk/" TargetMode="External"/><Relationship Id="rId464" Type="http://schemas.openxmlformats.org/officeDocument/2006/relationships/hyperlink" Target="http://www.mpfiltri.co.uk/" TargetMode="External"/><Relationship Id="rId1010" Type="http://schemas.openxmlformats.org/officeDocument/2006/relationships/hyperlink" Target="http://www.mpfiltri.co.uk/" TargetMode="External"/><Relationship Id="rId117" Type="http://schemas.openxmlformats.org/officeDocument/2006/relationships/hyperlink" Target="http://www.mpfiltri.co.uk/" TargetMode="External"/><Relationship Id="rId671" Type="http://schemas.openxmlformats.org/officeDocument/2006/relationships/hyperlink" Target="http://www.mpfiltri.co.uk/" TargetMode="External"/><Relationship Id="rId769" Type="http://schemas.openxmlformats.org/officeDocument/2006/relationships/hyperlink" Target="http://www.mpfiltri.co.uk/" TargetMode="External"/><Relationship Id="rId976" Type="http://schemas.openxmlformats.org/officeDocument/2006/relationships/hyperlink" Target="http://www.mpfiltri.co.uk/" TargetMode="External"/><Relationship Id="rId324" Type="http://schemas.openxmlformats.org/officeDocument/2006/relationships/hyperlink" Target="http://www.mpfiltri.co.uk/" TargetMode="External"/><Relationship Id="rId531" Type="http://schemas.openxmlformats.org/officeDocument/2006/relationships/hyperlink" Target="http://www.mpfiltri.co.uk/" TargetMode="External"/><Relationship Id="rId629" Type="http://schemas.openxmlformats.org/officeDocument/2006/relationships/hyperlink" Target="http://www.mpfiltri.co.uk/" TargetMode="Externa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6.bin"/><Relationship Id="rId1" Type="http://schemas.openxmlformats.org/officeDocument/2006/relationships/hyperlink" Target="http://www.mpfiltri.co.uk/" TargetMode="External"/><Relationship Id="rId6" Type="http://schemas.openxmlformats.org/officeDocument/2006/relationships/image" Target="../media/image1.emf"/><Relationship Id="rId5" Type="http://schemas.openxmlformats.org/officeDocument/2006/relationships/oleObject" Target="../embeddings/oleObject3.bin"/><Relationship Id="rId4" Type="http://schemas.openxmlformats.org/officeDocument/2006/relationships/vmlDrawing" Target="../drawings/vmlDrawing6.vm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7.bin"/><Relationship Id="rId1" Type="http://schemas.openxmlformats.org/officeDocument/2006/relationships/hyperlink" Target="http://www.mpfiltri.co.uk/" TargetMode="Externa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drawing" Target="../drawings/drawing13.xml"/><Relationship Id="rId7" Type="http://schemas.openxmlformats.org/officeDocument/2006/relationships/oleObject" Target="../embeddings/oleObject5.bin"/><Relationship Id="rId2" Type="http://schemas.openxmlformats.org/officeDocument/2006/relationships/printerSettings" Target="../printerSettings/printerSettings9.bin"/><Relationship Id="rId1" Type="http://schemas.openxmlformats.org/officeDocument/2006/relationships/hyperlink" Target="http://www.mpfiltri.co.uk/" TargetMode="External"/><Relationship Id="rId6" Type="http://schemas.openxmlformats.org/officeDocument/2006/relationships/image" Target="../media/image1.emf"/><Relationship Id="rId5" Type="http://schemas.openxmlformats.org/officeDocument/2006/relationships/oleObject" Target="../embeddings/oleObject4.bin"/><Relationship Id="rId4" Type="http://schemas.openxmlformats.org/officeDocument/2006/relationships/vmlDrawing" Target="../drawings/vmlDrawing7.v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0.bin"/></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15.xml"/><Relationship Id="rId2" Type="http://schemas.openxmlformats.org/officeDocument/2006/relationships/printerSettings" Target="../printerSettings/printerSettings11.bin"/><Relationship Id="rId1" Type="http://schemas.openxmlformats.org/officeDocument/2006/relationships/hyperlink" Target="http://www.mpfiltri.co.uk/" TargetMode="External"/><Relationship Id="rId6" Type="http://schemas.openxmlformats.org/officeDocument/2006/relationships/image" Target="../media/image1.emf"/><Relationship Id="rId5" Type="http://schemas.openxmlformats.org/officeDocument/2006/relationships/oleObject" Target="../embeddings/oleObject6.bin"/><Relationship Id="rId4" Type="http://schemas.openxmlformats.org/officeDocument/2006/relationships/vmlDrawing" Target="../drawings/vmlDrawing8.vml"/></Relationships>
</file>

<file path=xl/worksheets/_rels/sheet17.xml.rels><?xml version="1.0" encoding="UTF-8" standalone="yes"?>
<Relationships xmlns="http://schemas.openxmlformats.org/package/2006/relationships"><Relationship Id="rId21" Type="http://schemas.openxmlformats.org/officeDocument/2006/relationships/hyperlink" Target="http://www.mpfiltri.co.uk/" TargetMode="External"/><Relationship Id="rId170" Type="http://schemas.openxmlformats.org/officeDocument/2006/relationships/hyperlink" Target="http://www.mpfiltri.co.uk/" TargetMode="External"/><Relationship Id="rId836" Type="http://schemas.openxmlformats.org/officeDocument/2006/relationships/hyperlink" Target="http://www.mpfiltri.co.uk/" TargetMode="External"/><Relationship Id="rId1021" Type="http://schemas.openxmlformats.org/officeDocument/2006/relationships/hyperlink" Target="http://www.mpfiltri.co.uk/" TargetMode="External"/><Relationship Id="rId268" Type="http://schemas.openxmlformats.org/officeDocument/2006/relationships/hyperlink" Target="http://www.mpfiltri.co.uk/" TargetMode="External"/><Relationship Id="rId475" Type="http://schemas.openxmlformats.org/officeDocument/2006/relationships/hyperlink" Target="http://www.mpfiltri.co.uk/" TargetMode="External"/><Relationship Id="rId682" Type="http://schemas.openxmlformats.org/officeDocument/2006/relationships/hyperlink" Target="http://www.mpfiltri.co.uk/" TargetMode="External"/><Relationship Id="rId903" Type="http://schemas.openxmlformats.org/officeDocument/2006/relationships/hyperlink" Target="http://www.mpfiltri.co.uk/" TargetMode="External"/><Relationship Id="rId32" Type="http://schemas.openxmlformats.org/officeDocument/2006/relationships/hyperlink" Target="http://www.mpfiltri.co.uk/" TargetMode="External"/><Relationship Id="rId128" Type="http://schemas.openxmlformats.org/officeDocument/2006/relationships/hyperlink" Target="http://www.mpfiltri.co.uk/" TargetMode="External"/><Relationship Id="rId335" Type="http://schemas.openxmlformats.org/officeDocument/2006/relationships/hyperlink" Target="http://www.mpfiltri.co.uk/" TargetMode="External"/><Relationship Id="rId542" Type="http://schemas.openxmlformats.org/officeDocument/2006/relationships/hyperlink" Target="http://www.mpfiltri.co.uk/" TargetMode="External"/><Relationship Id="rId987" Type="http://schemas.openxmlformats.org/officeDocument/2006/relationships/hyperlink" Target="http://www.mpfiltri.co.uk/" TargetMode="External"/><Relationship Id="rId181" Type="http://schemas.openxmlformats.org/officeDocument/2006/relationships/hyperlink" Target="http://www.mpfiltri.co.uk/" TargetMode="External"/><Relationship Id="rId402" Type="http://schemas.openxmlformats.org/officeDocument/2006/relationships/hyperlink" Target="http://www.mpfiltri.co.uk/" TargetMode="External"/><Relationship Id="rId847" Type="http://schemas.openxmlformats.org/officeDocument/2006/relationships/hyperlink" Target="http://www.mpfiltri.co.uk/" TargetMode="External"/><Relationship Id="rId279" Type="http://schemas.openxmlformats.org/officeDocument/2006/relationships/hyperlink" Target="http://www.mpfiltri.co.uk/" TargetMode="External"/><Relationship Id="rId486" Type="http://schemas.openxmlformats.org/officeDocument/2006/relationships/hyperlink" Target="http://www.mpfiltri.co.uk/" TargetMode="External"/><Relationship Id="rId693" Type="http://schemas.openxmlformats.org/officeDocument/2006/relationships/hyperlink" Target="http://www.mpfiltri.co.uk/" TargetMode="External"/><Relationship Id="rId707" Type="http://schemas.openxmlformats.org/officeDocument/2006/relationships/hyperlink" Target="http://www.mpfiltri.co.uk/" TargetMode="External"/><Relationship Id="rId914" Type="http://schemas.openxmlformats.org/officeDocument/2006/relationships/hyperlink" Target="http://www.mpfiltri.co.uk/" TargetMode="External"/><Relationship Id="rId43" Type="http://schemas.openxmlformats.org/officeDocument/2006/relationships/hyperlink" Target="http://www.mpfiltri.co.uk/" TargetMode="External"/><Relationship Id="rId139" Type="http://schemas.openxmlformats.org/officeDocument/2006/relationships/hyperlink" Target="http://www.mpfiltri.co.uk/" TargetMode="External"/><Relationship Id="rId346" Type="http://schemas.openxmlformats.org/officeDocument/2006/relationships/hyperlink" Target="http://www.mpfiltri.co.uk/" TargetMode="External"/><Relationship Id="rId553" Type="http://schemas.openxmlformats.org/officeDocument/2006/relationships/hyperlink" Target="http://www.mpfiltri.co.uk/" TargetMode="External"/><Relationship Id="rId760" Type="http://schemas.openxmlformats.org/officeDocument/2006/relationships/hyperlink" Target="http://www.mpfiltri.co.uk/" TargetMode="External"/><Relationship Id="rId998" Type="http://schemas.openxmlformats.org/officeDocument/2006/relationships/hyperlink" Target="http://www.mpfiltri.co.uk/" TargetMode="External"/><Relationship Id="rId192" Type="http://schemas.openxmlformats.org/officeDocument/2006/relationships/hyperlink" Target="http://www.mpfiltri.co.uk/" TargetMode="External"/><Relationship Id="rId206" Type="http://schemas.openxmlformats.org/officeDocument/2006/relationships/hyperlink" Target="http://www.mpfiltri.co.uk/" TargetMode="External"/><Relationship Id="rId413" Type="http://schemas.openxmlformats.org/officeDocument/2006/relationships/hyperlink" Target="http://www.mpfiltri.co.uk/" TargetMode="External"/><Relationship Id="rId858" Type="http://schemas.openxmlformats.org/officeDocument/2006/relationships/hyperlink" Target="http://www.mpfiltri.co.uk/" TargetMode="External"/><Relationship Id="rId497" Type="http://schemas.openxmlformats.org/officeDocument/2006/relationships/hyperlink" Target="http://www.mpfiltri.co.uk/" TargetMode="External"/><Relationship Id="rId620" Type="http://schemas.openxmlformats.org/officeDocument/2006/relationships/hyperlink" Target="http://www.mpfiltri.co.uk/" TargetMode="External"/><Relationship Id="rId718" Type="http://schemas.openxmlformats.org/officeDocument/2006/relationships/hyperlink" Target="http://www.mpfiltri.co.uk/" TargetMode="External"/><Relationship Id="rId925" Type="http://schemas.openxmlformats.org/officeDocument/2006/relationships/hyperlink" Target="http://www.mpfiltri.co.uk/" TargetMode="External"/><Relationship Id="rId357" Type="http://schemas.openxmlformats.org/officeDocument/2006/relationships/hyperlink" Target="http://www.mpfiltri.co.uk/" TargetMode="External"/><Relationship Id="rId54" Type="http://schemas.openxmlformats.org/officeDocument/2006/relationships/hyperlink" Target="http://www.mpfiltri.co.uk/" TargetMode="External"/><Relationship Id="rId217" Type="http://schemas.openxmlformats.org/officeDocument/2006/relationships/hyperlink" Target="http://www.mpfiltri.co.uk/" TargetMode="External"/><Relationship Id="rId564" Type="http://schemas.openxmlformats.org/officeDocument/2006/relationships/hyperlink" Target="http://www.mpfiltri.co.uk/" TargetMode="External"/><Relationship Id="rId771" Type="http://schemas.openxmlformats.org/officeDocument/2006/relationships/hyperlink" Target="http://www.mpfiltri.co.uk/" TargetMode="External"/><Relationship Id="rId869" Type="http://schemas.openxmlformats.org/officeDocument/2006/relationships/hyperlink" Target="http://www.mpfiltri.co.uk/" TargetMode="External"/><Relationship Id="rId424" Type="http://schemas.openxmlformats.org/officeDocument/2006/relationships/hyperlink" Target="http://www.mpfiltri.co.uk/" TargetMode="External"/><Relationship Id="rId631" Type="http://schemas.openxmlformats.org/officeDocument/2006/relationships/hyperlink" Target="http://www.mpfiltri.co.uk/" TargetMode="External"/><Relationship Id="rId729" Type="http://schemas.openxmlformats.org/officeDocument/2006/relationships/hyperlink" Target="http://www.mpfiltri.co.uk/" TargetMode="External"/><Relationship Id="rId270" Type="http://schemas.openxmlformats.org/officeDocument/2006/relationships/hyperlink" Target="http://www.mpfiltri.co.uk/" TargetMode="External"/><Relationship Id="rId936" Type="http://schemas.openxmlformats.org/officeDocument/2006/relationships/hyperlink" Target="http://www.mpfiltri.co.uk/" TargetMode="External"/><Relationship Id="rId65" Type="http://schemas.openxmlformats.org/officeDocument/2006/relationships/hyperlink" Target="http://www.mpfiltri.co.uk/" TargetMode="External"/><Relationship Id="rId130" Type="http://schemas.openxmlformats.org/officeDocument/2006/relationships/hyperlink" Target="http://www.mpfiltri.co.uk/" TargetMode="External"/><Relationship Id="rId368" Type="http://schemas.openxmlformats.org/officeDocument/2006/relationships/hyperlink" Target="http://www.mpfiltri.co.uk/" TargetMode="External"/><Relationship Id="rId575" Type="http://schemas.openxmlformats.org/officeDocument/2006/relationships/hyperlink" Target="http://www.mpfiltri.co.uk/" TargetMode="External"/><Relationship Id="rId782" Type="http://schemas.openxmlformats.org/officeDocument/2006/relationships/hyperlink" Target="http://www.mpfiltri.co.uk/" TargetMode="External"/><Relationship Id="rId228" Type="http://schemas.openxmlformats.org/officeDocument/2006/relationships/hyperlink" Target="http://www.mpfiltri.co.uk/" TargetMode="External"/><Relationship Id="rId435" Type="http://schemas.openxmlformats.org/officeDocument/2006/relationships/hyperlink" Target="http://www.mpfiltri.co.uk/" TargetMode="External"/><Relationship Id="rId642" Type="http://schemas.openxmlformats.org/officeDocument/2006/relationships/hyperlink" Target="http://www.mpfiltri.co.uk/" TargetMode="External"/><Relationship Id="rId281" Type="http://schemas.openxmlformats.org/officeDocument/2006/relationships/hyperlink" Target="http://www.mpfiltri.co.uk/" TargetMode="External"/><Relationship Id="rId502" Type="http://schemas.openxmlformats.org/officeDocument/2006/relationships/hyperlink" Target="http://www.mpfiltri.co.uk/" TargetMode="External"/><Relationship Id="rId947" Type="http://schemas.openxmlformats.org/officeDocument/2006/relationships/hyperlink" Target="http://www.mpfiltri.co.uk/" TargetMode="External"/><Relationship Id="rId76" Type="http://schemas.openxmlformats.org/officeDocument/2006/relationships/hyperlink" Target="http://www.mpfiltri.co.uk/" TargetMode="External"/><Relationship Id="rId141" Type="http://schemas.openxmlformats.org/officeDocument/2006/relationships/hyperlink" Target="http://www.mpfiltri.co.uk/" TargetMode="External"/><Relationship Id="rId379" Type="http://schemas.openxmlformats.org/officeDocument/2006/relationships/hyperlink" Target="http://www.mpfiltri.co.uk/" TargetMode="External"/><Relationship Id="rId586" Type="http://schemas.openxmlformats.org/officeDocument/2006/relationships/hyperlink" Target="http://www.mpfiltri.co.uk/" TargetMode="External"/><Relationship Id="rId793" Type="http://schemas.openxmlformats.org/officeDocument/2006/relationships/hyperlink" Target="http://www.mpfiltri.co.uk/" TargetMode="External"/><Relationship Id="rId807" Type="http://schemas.openxmlformats.org/officeDocument/2006/relationships/hyperlink" Target="http://www.mpfiltri.co.uk/" TargetMode="External"/><Relationship Id="rId7" Type="http://schemas.openxmlformats.org/officeDocument/2006/relationships/hyperlink" Target="http://www.mpfiltri.co.uk/" TargetMode="External"/><Relationship Id="rId239" Type="http://schemas.openxmlformats.org/officeDocument/2006/relationships/hyperlink" Target="http://www.mpfiltri.co.uk/" TargetMode="External"/><Relationship Id="rId446" Type="http://schemas.openxmlformats.org/officeDocument/2006/relationships/hyperlink" Target="http://www.mpfiltri.co.uk/" TargetMode="External"/><Relationship Id="rId653" Type="http://schemas.openxmlformats.org/officeDocument/2006/relationships/hyperlink" Target="http://www.mpfiltri.co.uk/" TargetMode="External"/><Relationship Id="rId292" Type="http://schemas.openxmlformats.org/officeDocument/2006/relationships/hyperlink" Target="http://www.mpfiltri.co.uk/" TargetMode="External"/><Relationship Id="rId306" Type="http://schemas.openxmlformats.org/officeDocument/2006/relationships/hyperlink" Target="http://www.mpfiltri.co.uk/" TargetMode="External"/><Relationship Id="rId860" Type="http://schemas.openxmlformats.org/officeDocument/2006/relationships/hyperlink" Target="http://www.mpfiltri.co.uk/" TargetMode="External"/><Relationship Id="rId958" Type="http://schemas.openxmlformats.org/officeDocument/2006/relationships/hyperlink" Target="http://www.mpfiltri.co.uk/" TargetMode="External"/><Relationship Id="rId87" Type="http://schemas.openxmlformats.org/officeDocument/2006/relationships/hyperlink" Target="http://www.mpfiltri.co.uk/" TargetMode="External"/><Relationship Id="rId513" Type="http://schemas.openxmlformats.org/officeDocument/2006/relationships/hyperlink" Target="http://www.mpfiltri.co.uk/" TargetMode="External"/><Relationship Id="rId597" Type="http://schemas.openxmlformats.org/officeDocument/2006/relationships/hyperlink" Target="http://www.mpfiltri.co.uk/" TargetMode="External"/><Relationship Id="rId720" Type="http://schemas.openxmlformats.org/officeDocument/2006/relationships/hyperlink" Target="http://www.mpfiltri.co.uk/" TargetMode="External"/><Relationship Id="rId818" Type="http://schemas.openxmlformats.org/officeDocument/2006/relationships/hyperlink" Target="http://www.mpfiltri.co.uk/" TargetMode="External"/><Relationship Id="rId152" Type="http://schemas.openxmlformats.org/officeDocument/2006/relationships/hyperlink" Target="http://www.mpfiltri.co.uk/" TargetMode="External"/><Relationship Id="rId457" Type="http://schemas.openxmlformats.org/officeDocument/2006/relationships/hyperlink" Target="http://www.mpfiltri.co.uk/" TargetMode="External"/><Relationship Id="rId1003" Type="http://schemas.openxmlformats.org/officeDocument/2006/relationships/hyperlink" Target="http://www.mpfiltri.co.uk/" TargetMode="External"/><Relationship Id="rId664" Type="http://schemas.openxmlformats.org/officeDocument/2006/relationships/hyperlink" Target="http://www.mpfiltri.co.uk/" TargetMode="External"/><Relationship Id="rId871" Type="http://schemas.openxmlformats.org/officeDocument/2006/relationships/hyperlink" Target="http://www.mpfiltri.co.uk/" TargetMode="External"/><Relationship Id="rId969" Type="http://schemas.openxmlformats.org/officeDocument/2006/relationships/hyperlink" Target="http://www.mpfiltri.co.uk/" TargetMode="External"/><Relationship Id="rId14" Type="http://schemas.openxmlformats.org/officeDocument/2006/relationships/hyperlink" Target="http://www.mpfiltri.co.uk/" TargetMode="External"/><Relationship Id="rId317" Type="http://schemas.openxmlformats.org/officeDocument/2006/relationships/hyperlink" Target="http://www.mpfiltri.co.uk/" TargetMode="External"/><Relationship Id="rId524" Type="http://schemas.openxmlformats.org/officeDocument/2006/relationships/hyperlink" Target="http://www.mpfiltri.co.uk/" TargetMode="External"/><Relationship Id="rId731" Type="http://schemas.openxmlformats.org/officeDocument/2006/relationships/hyperlink" Target="http://www.mpfiltri.co.uk/" TargetMode="External"/><Relationship Id="rId98" Type="http://schemas.openxmlformats.org/officeDocument/2006/relationships/hyperlink" Target="http://www.mpfiltri.co.uk/" TargetMode="External"/><Relationship Id="rId163" Type="http://schemas.openxmlformats.org/officeDocument/2006/relationships/hyperlink" Target="http://www.mpfiltri.co.uk/" TargetMode="External"/><Relationship Id="rId370" Type="http://schemas.openxmlformats.org/officeDocument/2006/relationships/hyperlink" Target="http://www.mpfiltri.co.uk/" TargetMode="External"/><Relationship Id="rId829" Type="http://schemas.openxmlformats.org/officeDocument/2006/relationships/hyperlink" Target="http://www.mpfiltri.co.uk/" TargetMode="External"/><Relationship Id="rId1014" Type="http://schemas.openxmlformats.org/officeDocument/2006/relationships/hyperlink" Target="http://www.mpfiltri.co.uk/" TargetMode="External"/><Relationship Id="rId230" Type="http://schemas.openxmlformats.org/officeDocument/2006/relationships/hyperlink" Target="http://www.mpfiltri.co.uk/" TargetMode="External"/><Relationship Id="rId468" Type="http://schemas.openxmlformats.org/officeDocument/2006/relationships/hyperlink" Target="http://www.mpfiltri.co.uk/" TargetMode="External"/><Relationship Id="rId675" Type="http://schemas.openxmlformats.org/officeDocument/2006/relationships/hyperlink" Target="http://www.mpfiltri.co.uk/" TargetMode="External"/><Relationship Id="rId882" Type="http://schemas.openxmlformats.org/officeDocument/2006/relationships/hyperlink" Target="http://www.mpfiltri.co.uk/" TargetMode="External"/><Relationship Id="rId25" Type="http://schemas.openxmlformats.org/officeDocument/2006/relationships/hyperlink" Target="http://www.mpfiltri.co.uk/" TargetMode="External"/><Relationship Id="rId328" Type="http://schemas.openxmlformats.org/officeDocument/2006/relationships/hyperlink" Target="http://www.mpfiltri.co.uk/" TargetMode="External"/><Relationship Id="rId535" Type="http://schemas.openxmlformats.org/officeDocument/2006/relationships/hyperlink" Target="http://www.mpfiltri.co.uk/" TargetMode="External"/><Relationship Id="rId742" Type="http://schemas.openxmlformats.org/officeDocument/2006/relationships/hyperlink" Target="http://www.mpfiltri.co.uk/" TargetMode="External"/><Relationship Id="rId174" Type="http://schemas.openxmlformats.org/officeDocument/2006/relationships/hyperlink" Target="http://www.mpfiltri.co.uk/" TargetMode="External"/><Relationship Id="rId381" Type="http://schemas.openxmlformats.org/officeDocument/2006/relationships/hyperlink" Target="http://www.mpfiltri.co.uk/" TargetMode="External"/><Relationship Id="rId602" Type="http://schemas.openxmlformats.org/officeDocument/2006/relationships/hyperlink" Target="http://www.mpfiltri.co.uk/" TargetMode="External"/><Relationship Id="rId1025" Type="http://schemas.openxmlformats.org/officeDocument/2006/relationships/hyperlink" Target="http://www.mpfiltri.co.uk/" TargetMode="External"/><Relationship Id="rId241" Type="http://schemas.openxmlformats.org/officeDocument/2006/relationships/hyperlink" Target="http://www.mpfiltri.co.uk/" TargetMode="External"/><Relationship Id="rId479" Type="http://schemas.openxmlformats.org/officeDocument/2006/relationships/hyperlink" Target="http://www.mpfiltri.co.uk/" TargetMode="External"/><Relationship Id="rId686" Type="http://schemas.openxmlformats.org/officeDocument/2006/relationships/hyperlink" Target="http://www.mpfiltri.co.uk/" TargetMode="External"/><Relationship Id="rId893" Type="http://schemas.openxmlformats.org/officeDocument/2006/relationships/hyperlink" Target="http://www.mpfiltri.co.uk/" TargetMode="External"/><Relationship Id="rId907" Type="http://schemas.openxmlformats.org/officeDocument/2006/relationships/hyperlink" Target="http://www.mpfiltri.co.uk/" TargetMode="External"/><Relationship Id="rId36" Type="http://schemas.openxmlformats.org/officeDocument/2006/relationships/hyperlink" Target="http://www.mpfiltri.co.uk/" TargetMode="External"/><Relationship Id="rId339" Type="http://schemas.openxmlformats.org/officeDocument/2006/relationships/hyperlink" Target="http://www.mpfiltri.co.uk/" TargetMode="External"/><Relationship Id="rId546" Type="http://schemas.openxmlformats.org/officeDocument/2006/relationships/hyperlink" Target="http://www.mpfiltri.co.uk/" TargetMode="External"/><Relationship Id="rId753" Type="http://schemas.openxmlformats.org/officeDocument/2006/relationships/hyperlink" Target="http://www.mpfiltri.co.uk/" TargetMode="External"/><Relationship Id="rId101" Type="http://schemas.openxmlformats.org/officeDocument/2006/relationships/hyperlink" Target="http://www.mpfiltri.co.uk/" TargetMode="External"/><Relationship Id="rId185" Type="http://schemas.openxmlformats.org/officeDocument/2006/relationships/hyperlink" Target="http://www.mpfiltri.co.uk/" TargetMode="External"/><Relationship Id="rId406" Type="http://schemas.openxmlformats.org/officeDocument/2006/relationships/hyperlink" Target="http://www.mpfiltri.co.uk/" TargetMode="External"/><Relationship Id="rId960" Type="http://schemas.openxmlformats.org/officeDocument/2006/relationships/hyperlink" Target="http://www.mpfiltri.co.uk/" TargetMode="External"/><Relationship Id="rId392" Type="http://schemas.openxmlformats.org/officeDocument/2006/relationships/hyperlink" Target="http://www.mpfiltri.co.uk/" TargetMode="External"/><Relationship Id="rId613" Type="http://schemas.openxmlformats.org/officeDocument/2006/relationships/hyperlink" Target="http://www.mpfiltri.co.uk/" TargetMode="External"/><Relationship Id="rId697" Type="http://schemas.openxmlformats.org/officeDocument/2006/relationships/hyperlink" Target="http://www.mpfiltri.co.uk/" TargetMode="External"/><Relationship Id="rId820" Type="http://schemas.openxmlformats.org/officeDocument/2006/relationships/hyperlink" Target="http://www.mpfiltri.co.uk/" TargetMode="External"/><Relationship Id="rId918" Type="http://schemas.openxmlformats.org/officeDocument/2006/relationships/hyperlink" Target="http://www.mpfiltri.co.uk/" TargetMode="External"/><Relationship Id="rId252" Type="http://schemas.openxmlformats.org/officeDocument/2006/relationships/hyperlink" Target="http://www.mpfiltri.co.uk/" TargetMode="External"/><Relationship Id="rId47" Type="http://schemas.openxmlformats.org/officeDocument/2006/relationships/hyperlink" Target="http://www.mpfiltri.co.uk/" TargetMode="External"/><Relationship Id="rId112" Type="http://schemas.openxmlformats.org/officeDocument/2006/relationships/hyperlink" Target="http://www.mpfiltri.co.uk/" TargetMode="External"/><Relationship Id="rId557" Type="http://schemas.openxmlformats.org/officeDocument/2006/relationships/hyperlink" Target="http://www.mpfiltri.co.uk/" TargetMode="External"/><Relationship Id="rId764" Type="http://schemas.openxmlformats.org/officeDocument/2006/relationships/hyperlink" Target="http://www.mpfiltri.co.uk/" TargetMode="External"/><Relationship Id="rId971" Type="http://schemas.openxmlformats.org/officeDocument/2006/relationships/hyperlink" Target="http://www.mpfiltri.co.uk/" TargetMode="External"/><Relationship Id="rId196" Type="http://schemas.openxmlformats.org/officeDocument/2006/relationships/hyperlink" Target="http://www.mpfiltri.co.uk/" TargetMode="External"/><Relationship Id="rId417" Type="http://schemas.openxmlformats.org/officeDocument/2006/relationships/hyperlink" Target="http://www.mpfiltri.co.uk/" TargetMode="External"/><Relationship Id="rId624" Type="http://schemas.openxmlformats.org/officeDocument/2006/relationships/hyperlink" Target="http://www.mpfiltri.co.uk/" TargetMode="External"/><Relationship Id="rId831" Type="http://schemas.openxmlformats.org/officeDocument/2006/relationships/hyperlink" Target="http://www.mpfiltri.co.uk/" TargetMode="External"/><Relationship Id="rId263" Type="http://schemas.openxmlformats.org/officeDocument/2006/relationships/hyperlink" Target="http://www.mpfiltri.co.uk/" TargetMode="External"/><Relationship Id="rId470" Type="http://schemas.openxmlformats.org/officeDocument/2006/relationships/hyperlink" Target="http://www.mpfiltri.co.uk/" TargetMode="External"/><Relationship Id="rId929" Type="http://schemas.openxmlformats.org/officeDocument/2006/relationships/hyperlink" Target="http://www.mpfiltri.co.uk/" TargetMode="External"/><Relationship Id="rId58" Type="http://schemas.openxmlformats.org/officeDocument/2006/relationships/hyperlink" Target="http://www.mpfiltri.co.uk/" TargetMode="External"/><Relationship Id="rId123" Type="http://schemas.openxmlformats.org/officeDocument/2006/relationships/hyperlink" Target="http://www.mpfiltri.co.uk/" TargetMode="External"/><Relationship Id="rId330" Type="http://schemas.openxmlformats.org/officeDocument/2006/relationships/hyperlink" Target="http://www.mpfiltri.co.uk/" TargetMode="External"/><Relationship Id="rId568" Type="http://schemas.openxmlformats.org/officeDocument/2006/relationships/hyperlink" Target="http://www.mpfiltri.co.uk/" TargetMode="External"/><Relationship Id="rId775" Type="http://schemas.openxmlformats.org/officeDocument/2006/relationships/hyperlink" Target="http://www.mpfiltri.co.uk/" TargetMode="External"/><Relationship Id="rId982" Type="http://schemas.openxmlformats.org/officeDocument/2006/relationships/hyperlink" Target="http://www.mpfiltri.co.uk/" TargetMode="External"/><Relationship Id="rId428" Type="http://schemas.openxmlformats.org/officeDocument/2006/relationships/hyperlink" Target="http://www.mpfiltri.co.uk/" TargetMode="External"/><Relationship Id="rId635" Type="http://schemas.openxmlformats.org/officeDocument/2006/relationships/hyperlink" Target="http://www.mpfiltri.co.uk/" TargetMode="External"/><Relationship Id="rId842" Type="http://schemas.openxmlformats.org/officeDocument/2006/relationships/hyperlink" Target="http://www.mpfiltri.co.uk/" TargetMode="External"/><Relationship Id="rId274" Type="http://schemas.openxmlformats.org/officeDocument/2006/relationships/hyperlink" Target="http://www.mpfiltri.co.uk/" TargetMode="External"/><Relationship Id="rId481" Type="http://schemas.openxmlformats.org/officeDocument/2006/relationships/hyperlink" Target="http://www.mpfiltri.co.uk/" TargetMode="External"/><Relationship Id="rId702" Type="http://schemas.openxmlformats.org/officeDocument/2006/relationships/hyperlink" Target="http://www.mpfiltri.co.uk/" TargetMode="External"/><Relationship Id="rId69" Type="http://schemas.openxmlformats.org/officeDocument/2006/relationships/hyperlink" Target="http://www.mpfiltri.co.uk/" TargetMode="External"/><Relationship Id="rId134" Type="http://schemas.openxmlformats.org/officeDocument/2006/relationships/hyperlink" Target="http://www.mpfiltri.co.uk/" TargetMode="External"/><Relationship Id="rId579" Type="http://schemas.openxmlformats.org/officeDocument/2006/relationships/hyperlink" Target="http://www.mpfiltri.co.uk/" TargetMode="External"/><Relationship Id="rId786" Type="http://schemas.openxmlformats.org/officeDocument/2006/relationships/hyperlink" Target="http://www.mpfiltri.co.uk/" TargetMode="External"/><Relationship Id="rId993" Type="http://schemas.openxmlformats.org/officeDocument/2006/relationships/hyperlink" Target="http://www.mpfiltri.co.uk/" TargetMode="External"/><Relationship Id="rId341" Type="http://schemas.openxmlformats.org/officeDocument/2006/relationships/hyperlink" Target="http://www.mpfiltri.co.uk/" TargetMode="External"/><Relationship Id="rId439" Type="http://schemas.openxmlformats.org/officeDocument/2006/relationships/hyperlink" Target="http://www.mpfiltri.co.uk/" TargetMode="External"/><Relationship Id="rId646" Type="http://schemas.openxmlformats.org/officeDocument/2006/relationships/hyperlink" Target="http://www.mpfiltri.co.uk/" TargetMode="External"/><Relationship Id="rId201" Type="http://schemas.openxmlformats.org/officeDocument/2006/relationships/hyperlink" Target="http://www.mpfiltri.co.uk/" TargetMode="External"/><Relationship Id="rId285" Type="http://schemas.openxmlformats.org/officeDocument/2006/relationships/hyperlink" Target="http://www.mpfiltri.co.uk/" TargetMode="External"/><Relationship Id="rId506" Type="http://schemas.openxmlformats.org/officeDocument/2006/relationships/hyperlink" Target="http://www.mpfiltri.co.uk/" TargetMode="External"/><Relationship Id="rId853" Type="http://schemas.openxmlformats.org/officeDocument/2006/relationships/hyperlink" Target="http://www.mpfiltri.co.uk/" TargetMode="External"/><Relationship Id="rId492" Type="http://schemas.openxmlformats.org/officeDocument/2006/relationships/hyperlink" Target="http://www.mpfiltri.co.uk/" TargetMode="External"/><Relationship Id="rId713" Type="http://schemas.openxmlformats.org/officeDocument/2006/relationships/hyperlink" Target="http://www.mpfiltri.co.uk/" TargetMode="External"/><Relationship Id="rId797" Type="http://schemas.openxmlformats.org/officeDocument/2006/relationships/hyperlink" Target="http://www.mpfiltri.co.uk/" TargetMode="External"/><Relationship Id="rId920" Type="http://schemas.openxmlformats.org/officeDocument/2006/relationships/hyperlink" Target="http://www.mpfiltri.co.uk/" TargetMode="External"/><Relationship Id="rId145" Type="http://schemas.openxmlformats.org/officeDocument/2006/relationships/hyperlink" Target="http://www.mpfiltri.co.uk/" TargetMode="External"/><Relationship Id="rId352" Type="http://schemas.openxmlformats.org/officeDocument/2006/relationships/hyperlink" Target="http://www.mpfiltri.co.uk/" TargetMode="External"/><Relationship Id="rId212" Type="http://schemas.openxmlformats.org/officeDocument/2006/relationships/hyperlink" Target="http://www.mpfiltri.co.uk/" TargetMode="External"/><Relationship Id="rId657" Type="http://schemas.openxmlformats.org/officeDocument/2006/relationships/hyperlink" Target="http://www.mpfiltri.co.uk/" TargetMode="External"/><Relationship Id="rId864" Type="http://schemas.openxmlformats.org/officeDocument/2006/relationships/hyperlink" Target="http://www.mpfiltri.co.uk/" TargetMode="External"/><Relationship Id="rId296" Type="http://schemas.openxmlformats.org/officeDocument/2006/relationships/hyperlink" Target="http://www.mpfiltri.co.uk/" TargetMode="External"/><Relationship Id="rId517" Type="http://schemas.openxmlformats.org/officeDocument/2006/relationships/hyperlink" Target="http://www.mpfiltri.co.uk/" TargetMode="External"/><Relationship Id="rId724" Type="http://schemas.openxmlformats.org/officeDocument/2006/relationships/hyperlink" Target="http://www.mpfiltri.co.uk/" TargetMode="External"/><Relationship Id="rId931" Type="http://schemas.openxmlformats.org/officeDocument/2006/relationships/hyperlink" Target="http://www.mpfiltri.co.uk/" TargetMode="External"/><Relationship Id="rId60" Type="http://schemas.openxmlformats.org/officeDocument/2006/relationships/hyperlink" Target="http://www.mpfiltri.co.uk/" TargetMode="External"/><Relationship Id="rId156" Type="http://schemas.openxmlformats.org/officeDocument/2006/relationships/hyperlink" Target="http://www.mpfiltri.co.uk/" TargetMode="External"/><Relationship Id="rId363" Type="http://schemas.openxmlformats.org/officeDocument/2006/relationships/hyperlink" Target="http://www.mpfiltri.co.uk/" TargetMode="External"/><Relationship Id="rId570" Type="http://schemas.openxmlformats.org/officeDocument/2006/relationships/hyperlink" Target="http://www.mpfiltri.co.uk/" TargetMode="External"/><Relationship Id="rId1007" Type="http://schemas.openxmlformats.org/officeDocument/2006/relationships/hyperlink" Target="http://www.mpfiltri.co.uk/" TargetMode="External"/><Relationship Id="rId223" Type="http://schemas.openxmlformats.org/officeDocument/2006/relationships/hyperlink" Target="http://www.mpfiltri.co.uk/" TargetMode="External"/><Relationship Id="rId430" Type="http://schemas.openxmlformats.org/officeDocument/2006/relationships/hyperlink" Target="http://www.mpfiltri.co.uk/" TargetMode="External"/><Relationship Id="rId668" Type="http://schemas.openxmlformats.org/officeDocument/2006/relationships/hyperlink" Target="http://www.mpfiltri.co.uk/" TargetMode="External"/><Relationship Id="rId875" Type="http://schemas.openxmlformats.org/officeDocument/2006/relationships/hyperlink" Target="http://www.mpfiltri.co.uk/" TargetMode="External"/><Relationship Id="rId18" Type="http://schemas.openxmlformats.org/officeDocument/2006/relationships/hyperlink" Target="http://www.mpfiltri.co.uk/" TargetMode="External"/><Relationship Id="rId528" Type="http://schemas.openxmlformats.org/officeDocument/2006/relationships/hyperlink" Target="http://www.mpfiltri.co.uk/" TargetMode="External"/><Relationship Id="rId735" Type="http://schemas.openxmlformats.org/officeDocument/2006/relationships/hyperlink" Target="http://www.mpfiltri.co.uk/" TargetMode="External"/><Relationship Id="rId942" Type="http://schemas.openxmlformats.org/officeDocument/2006/relationships/hyperlink" Target="http://www.mpfiltri.co.uk/" TargetMode="External"/><Relationship Id="rId167" Type="http://schemas.openxmlformats.org/officeDocument/2006/relationships/hyperlink" Target="http://www.mpfiltri.co.uk/" TargetMode="External"/><Relationship Id="rId374" Type="http://schemas.openxmlformats.org/officeDocument/2006/relationships/hyperlink" Target="http://www.mpfiltri.co.uk/" TargetMode="External"/><Relationship Id="rId581" Type="http://schemas.openxmlformats.org/officeDocument/2006/relationships/hyperlink" Target="http://www.mpfiltri.co.uk/" TargetMode="External"/><Relationship Id="rId1018" Type="http://schemas.openxmlformats.org/officeDocument/2006/relationships/hyperlink" Target="http://www.mpfiltri.co.uk/" TargetMode="External"/><Relationship Id="rId71" Type="http://schemas.openxmlformats.org/officeDocument/2006/relationships/hyperlink" Target="http://www.mpfiltri.co.uk/" TargetMode="External"/><Relationship Id="rId234" Type="http://schemas.openxmlformats.org/officeDocument/2006/relationships/hyperlink" Target="http://www.mpfiltri.co.uk/" TargetMode="External"/><Relationship Id="rId679" Type="http://schemas.openxmlformats.org/officeDocument/2006/relationships/hyperlink" Target="http://www.mpfiltri.co.uk/" TargetMode="External"/><Relationship Id="rId802" Type="http://schemas.openxmlformats.org/officeDocument/2006/relationships/hyperlink" Target="http://www.mpfiltri.co.uk/" TargetMode="External"/><Relationship Id="rId886" Type="http://schemas.openxmlformats.org/officeDocument/2006/relationships/hyperlink" Target="http://www.mpfiltri.co.uk/" TargetMode="External"/><Relationship Id="rId2" Type="http://schemas.openxmlformats.org/officeDocument/2006/relationships/hyperlink" Target="http://www.mpfiltri.co.uk/" TargetMode="External"/><Relationship Id="rId29" Type="http://schemas.openxmlformats.org/officeDocument/2006/relationships/hyperlink" Target="http://www.mpfiltri.co.uk/" TargetMode="External"/><Relationship Id="rId441" Type="http://schemas.openxmlformats.org/officeDocument/2006/relationships/hyperlink" Target="http://www.mpfiltri.co.uk/" TargetMode="External"/><Relationship Id="rId539" Type="http://schemas.openxmlformats.org/officeDocument/2006/relationships/hyperlink" Target="http://www.mpfiltri.co.uk/" TargetMode="External"/><Relationship Id="rId746" Type="http://schemas.openxmlformats.org/officeDocument/2006/relationships/hyperlink" Target="http://www.mpfiltri.co.uk/" TargetMode="External"/><Relationship Id="rId178" Type="http://schemas.openxmlformats.org/officeDocument/2006/relationships/hyperlink" Target="http://www.mpfiltri.co.uk/" TargetMode="External"/><Relationship Id="rId301" Type="http://schemas.openxmlformats.org/officeDocument/2006/relationships/hyperlink" Target="http://www.mpfiltri.co.uk/" TargetMode="External"/><Relationship Id="rId953" Type="http://schemas.openxmlformats.org/officeDocument/2006/relationships/hyperlink" Target="http://www.mpfiltri.co.uk/" TargetMode="External"/><Relationship Id="rId1029" Type="http://schemas.openxmlformats.org/officeDocument/2006/relationships/oleObject" Target="../embeddings/oleObject7.bin"/><Relationship Id="rId82" Type="http://schemas.openxmlformats.org/officeDocument/2006/relationships/hyperlink" Target="http://www.mpfiltri.co.uk/" TargetMode="External"/><Relationship Id="rId385" Type="http://schemas.openxmlformats.org/officeDocument/2006/relationships/hyperlink" Target="http://www.mpfiltri.co.uk/" TargetMode="External"/><Relationship Id="rId592" Type="http://schemas.openxmlformats.org/officeDocument/2006/relationships/hyperlink" Target="http://www.mpfiltri.co.uk/" TargetMode="External"/><Relationship Id="rId606" Type="http://schemas.openxmlformats.org/officeDocument/2006/relationships/hyperlink" Target="http://www.mpfiltri.co.uk/" TargetMode="External"/><Relationship Id="rId813" Type="http://schemas.openxmlformats.org/officeDocument/2006/relationships/hyperlink" Target="http://www.mpfiltri.co.uk/" TargetMode="External"/><Relationship Id="rId245" Type="http://schemas.openxmlformats.org/officeDocument/2006/relationships/hyperlink" Target="http://www.mpfiltri.co.uk/" TargetMode="External"/><Relationship Id="rId452" Type="http://schemas.openxmlformats.org/officeDocument/2006/relationships/hyperlink" Target="http://www.mpfiltri.co.uk/" TargetMode="External"/><Relationship Id="rId897" Type="http://schemas.openxmlformats.org/officeDocument/2006/relationships/hyperlink" Target="http://www.mpfiltri.co.uk/" TargetMode="External"/><Relationship Id="rId105" Type="http://schemas.openxmlformats.org/officeDocument/2006/relationships/hyperlink" Target="http://www.mpfiltri.co.uk/" TargetMode="External"/><Relationship Id="rId312" Type="http://schemas.openxmlformats.org/officeDocument/2006/relationships/hyperlink" Target="http://www.mpfiltri.co.uk/" TargetMode="External"/><Relationship Id="rId757" Type="http://schemas.openxmlformats.org/officeDocument/2006/relationships/hyperlink" Target="http://www.mpfiltri.co.uk/" TargetMode="External"/><Relationship Id="rId964" Type="http://schemas.openxmlformats.org/officeDocument/2006/relationships/hyperlink" Target="http://www.mpfiltri.co.uk/" TargetMode="External"/><Relationship Id="rId93" Type="http://schemas.openxmlformats.org/officeDocument/2006/relationships/hyperlink" Target="http://www.mpfiltri.co.uk/" TargetMode="External"/><Relationship Id="rId189" Type="http://schemas.openxmlformats.org/officeDocument/2006/relationships/hyperlink" Target="http://www.mpfiltri.co.uk/" TargetMode="External"/><Relationship Id="rId396" Type="http://schemas.openxmlformats.org/officeDocument/2006/relationships/hyperlink" Target="http://www.mpfiltri.co.uk/" TargetMode="External"/><Relationship Id="rId617" Type="http://schemas.openxmlformats.org/officeDocument/2006/relationships/hyperlink" Target="http://www.mpfiltri.co.uk/" TargetMode="External"/><Relationship Id="rId824" Type="http://schemas.openxmlformats.org/officeDocument/2006/relationships/hyperlink" Target="http://www.mpfiltri.co.uk/" TargetMode="External"/><Relationship Id="rId256" Type="http://schemas.openxmlformats.org/officeDocument/2006/relationships/hyperlink" Target="http://www.mpfiltri.co.uk/" TargetMode="External"/><Relationship Id="rId463" Type="http://schemas.openxmlformats.org/officeDocument/2006/relationships/hyperlink" Target="http://www.mpfiltri.co.uk/" TargetMode="External"/><Relationship Id="rId670" Type="http://schemas.openxmlformats.org/officeDocument/2006/relationships/hyperlink" Target="http://www.mpfiltri.co.uk/" TargetMode="External"/><Relationship Id="rId116" Type="http://schemas.openxmlformats.org/officeDocument/2006/relationships/hyperlink" Target="http://www.mpfiltri.co.uk/" TargetMode="External"/><Relationship Id="rId323" Type="http://schemas.openxmlformats.org/officeDocument/2006/relationships/hyperlink" Target="http://www.mpfiltri.co.uk/" TargetMode="External"/><Relationship Id="rId530" Type="http://schemas.openxmlformats.org/officeDocument/2006/relationships/hyperlink" Target="http://www.mpfiltri.co.uk/" TargetMode="External"/><Relationship Id="rId768" Type="http://schemas.openxmlformats.org/officeDocument/2006/relationships/hyperlink" Target="http://www.mpfiltri.co.uk/" TargetMode="External"/><Relationship Id="rId975" Type="http://schemas.openxmlformats.org/officeDocument/2006/relationships/hyperlink" Target="http://www.mpfiltri.co.uk/" TargetMode="External"/><Relationship Id="rId20" Type="http://schemas.openxmlformats.org/officeDocument/2006/relationships/hyperlink" Target="http://www.mpfiltri.co.uk/" TargetMode="External"/><Relationship Id="rId628" Type="http://schemas.openxmlformats.org/officeDocument/2006/relationships/hyperlink" Target="http://www.mpfiltri.co.uk/" TargetMode="External"/><Relationship Id="rId835" Type="http://schemas.openxmlformats.org/officeDocument/2006/relationships/hyperlink" Target="http://www.mpfiltri.co.uk/" TargetMode="External"/><Relationship Id="rId267" Type="http://schemas.openxmlformats.org/officeDocument/2006/relationships/hyperlink" Target="http://www.mpfiltri.co.uk/" TargetMode="External"/><Relationship Id="rId474" Type="http://schemas.openxmlformats.org/officeDocument/2006/relationships/hyperlink" Target="http://www.mpfiltri.co.uk/" TargetMode="External"/><Relationship Id="rId1020" Type="http://schemas.openxmlformats.org/officeDocument/2006/relationships/hyperlink" Target="http://www.mpfiltri.co.uk/" TargetMode="External"/><Relationship Id="rId127" Type="http://schemas.openxmlformats.org/officeDocument/2006/relationships/hyperlink" Target="http://www.mpfiltri.co.uk/" TargetMode="External"/><Relationship Id="rId681" Type="http://schemas.openxmlformats.org/officeDocument/2006/relationships/hyperlink" Target="http://www.mpfiltri.co.uk/" TargetMode="External"/><Relationship Id="rId779" Type="http://schemas.openxmlformats.org/officeDocument/2006/relationships/hyperlink" Target="http://www.mpfiltri.co.uk/" TargetMode="External"/><Relationship Id="rId902" Type="http://schemas.openxmlformats.org/officeDocument/2006/relationships/hyperlink" Target="http://www.mpfiltri.co.uk/" TargetMode="External"/><Relationship Id="rId986" Type="http://schemas.openxmlformats.org/officeDocument/2006/relationships/hyperlink" Target="http://www.mpfiltri.co.uk/" TargetMode="External"/><Relationship Id="rId31" Type="http://schemas.openxmlformats.org/officeDocument/2006/relationships/hyperlink" Target="http://www.mpfiltri.co.uk/" TargetMode="External"/><Relationship Id="rId334" Type="http://schemas.openxmlformats.org/officeDocument/2006/relationships/hyperlink" Target="http://www.mpfiltri.co.uk/" TargetMode="External"/><Relationship Id="rId541" Type="http://schemas.openxmlformats.org/officeDocument/2006/relationships/hyperlink" Target="http://www.mpfiltri.co.uk/" TargetMode="External"/><Relationship Id="rId639" Type="http://schemas.openxmlformats.org/officeDocument/2006/relationships/hyperlink" Target="http://www.mpfiltri.co.uk/" TargetMode="External"/><Relationship Id="rId180" Type="http://schemas.openxmlformats.org/officeDocument/2006/relationships/hyperlink" Target="http://www.mpfiltri.co.uk/" TargetMode="External"/><Relationship Id="rId278" Type="http://schemas.openxmlformats.org/officeDocument/2006/relationships/hyperlink" Target="http://www.mpfiltri.co.uk/" TargetMode="External"/><Relationship Id="rId401" Type="http://schemas.openxmlformats.org/officeDocument/2006/relationships/hyperlink" Target="http://www.mpfiltri.co.uk/" TargetMode="External"/><Relationship Id="rId846" Type="http://schemas.openxmlformats.org/officeDocument/2006/relationships/hyperlink" Target="http://www.mpfiltri.co.uk/" TargetMode="External"/><Relationship Id="rId1031" Type="http://schemas.openxmlformats.org/officeDocument/2006/relationships/oleObject" Target="../embeddings/oleObject8.bin"/><Relationship Id="rId485" Type="http://schemas.openxmlformats.org/officeDocument/2006/relationships/hyperlink" Target="http://www.mpfiltri.co.uk/" TargetMode="External"/><Relationship Id="rId692" Type="http://schemas.openxmlformats.org/officeDocument/2006/relationships/hyperlink" Target="http://www.mpfiltri.co.uk/" TargetMode="External"/><Relationship Id="rId706" Type="http://schemas.openxmlformats.org/officeDocument/2006/relationships/hyperlink" Target="http://www.mpfiltri.co.uk/" TargetMode="External"/><Relationship Id="rId913" Type="http://schemas.openxmlformats.org/officeDocument/2006/relationships/hyperlink" Target="http://www.mpfiltri.co.uk/" TargetMode="External"/><Relationship Id="rId42" Type="http://schemas.openxmlformats.org/officeDocument/2006/relationships/hyperlink" Target="http://www.mpfiltri.co.uk/" TargetMode="External"/><Relationship Id="rId138" Type="http://schemas.openxmlformats.org/officeDocument/2006/relationships/hyperlink" Target="http://www.mpfiltri.co.uk/" TargetMode="External"/><Relationship Id="rId345" Type="http://schemas.openxmlformats.org/officeDocument/2006/relationships/hyperlink" Target="http://www.mpfiltri.co.uk/" TargetMode="External"/><Relationship Id="rId552" Type="http://schemas.openxmlformats.org/officeDocument/2006/relationships/hyperlink" Target="http://www.mpfiltri.co.uk/" TargetMode="External"/><Relationship Id="rId997" Type="http://schemas.openxmlformats.org/officeDocument/2006/relationships/hyperlink" Target="http://www.mpfiltri.co.uk/" TargetMode="External"/><Relationship Id="rId191" Type="http://schemas.openxmlformats.org/officeDocument/2006/relationships/hyperlink" Target="http://www.mpfiltri.co.uk/" TargetMode="External"/><Relationship Id="rId205" Type="http://schemas.openxmlformats.org/officeDocument/2006/relationships/hyperlink" Target="http://www.mpfiltri.co.uk/" TargetMode="External"/><Relationship Id="rId412" Type="http://schemas.openxmlformats.org/officeDocument/2006/relationships/hyperlink" Target="http://www.mpfiltri.co.uk/" TargetMode="External"/><Relationship Id="rId857" Type="http://schemas.openxmlformats.org/officeDocument/2006/relationships/hyperlink" Target="http://www.mpfiltri.co.uk/" TargetMode="External"/><Relationship Id="rId289" Type="http://schemas.openxmlformats.org/officeDocument/2006/relationships/hyperlink" Target="http://www.mpfiltri.co.uk/" TargetMode="External"/><Relationship Id="rId496" Type="http://schemas.openxmlformats.org/officeDocument/2006/relationships/hyperlink" Target="http://www.mpfiltri.co.uk/" TargetMode="External"/><Relationship Id="rId717" Type="http://schemas.openxmlformats.org/officeDocument/2006/relationships/hyperlink" Target="http://www.mpfiltri.co.uk/" TargetMode="External"/><Relationship Id="rId924" Type="http://schemas.openxmlformats.org/officeDocument/2006/relationships/hyperlink" Target="http://www.mpfiltri.co.uk/" TargetMode="External"/><Relationship Id="rId53" Type="http://schemas.openxmlformats.org/officeDocument/2006/relationships/hyperlink" Target="http://www.mpfiltri.co.uk/" TargetMode="External"/><Relationship Id="rId149" Type="http://schemas.openxmlformats.org/officeDocument/2006/relationships/hyperlink" Target="http://www.mpfiltri.co.uk/" TargetMode="External"/><Relationship Id="rId356" Type="http://schemas.openxmlformats.org/officeDocument/2006/relationships/hyperlink" Target="http://www.mpfiltri.co.uk/" TargetMode="External"/><Relationship Id="rId563" Type="http://schemas.openxmlformats.org/officeDocument/2006/relationships/hyperlink" Target="http://www.mpfiltri.co.uk/" TargetMode="External"/><Relationship Id="rId770" Type="http://schemas.openxmlformats.org/officeDocument/2006/relationships/hyperlink" Target="http://www.mpfiltri.co.uk/" TargetMode="External"/><Relationship Id="rId216" Type="http://schemas.openxmlformats.org/officeDocument/2006/relationships/hyperlink" Target="http://www.mpfiltri.co.uk/" TargetMode="External"/><Relationship Id="rId423" Type="http://schemas.openxmlformats.org/officeDocument/2006/relationships/hyperlink" Target="http://www.mpfiltri.co.uk/" TargetMode="External"/><Relationship Id="rId868" Type="http://schemas.openxmlformats.org/officeDocument/2006/relationships/hyperlink" Target="http://www.mpfiltri.co.uk/" TargetMode="External"/><Relationship Id="rId630" Type="http://schemas.openxmlformats.org/officeDocument/2006/relationships/hyperlink" Target="http://www.mpfiltri.co.uk/" TargetMode="External"/><Relationship Id="rId728" Type="http://schemas.openxmlformats.org/officeDocument/2006/relationships/hyperlink" Target="http://www.mpfiltri.co.uk/" TargetMode="External"/><Relationship Id="rId935" Type="http://schemas.openxmlformats.org/officeDocument/2006/relationships/hyperlink" Target="http://www.mpfiltri.co.uk/" TargetMode="External"/><Relationship Id="rId64" Type="http://schemas.openxmlformats.org/officeDocument/2006/relationships/hyperlink" Target="http://www.mpfiltri.co.uk/" TargetMode="External"/><Relationship Id="rId367" Type="http://schemas.openxmlformats.org/officeDocument/2006/relationships/hyperlink" Target="http://www.mpfiltri.co.uk/" TargetMode="External"/><Relationship Id="rId574" Type="http://schemas.openxmlformats.org/officeDocument/2006/relationships/hyperlink" Target="http://www.mpfiltri.co.uk/" TargetMode="External"/><Relationship Id="rId227" Type="http://schemas.openxmlformats.org/officeDocument/2006/relationships/hyperlink" Target="http://www.mpfiltri.co.uk/" TargetMode="External"/><Relationship Id="rId781" Type="http://schemas.openxmlformats.org/officeDocument/2006/relationships/hyperlink" Target="http://www.mpfiltri.co.uk/" TargetMode="External"/><Relationship Id="rId879" Type="http://schemas.openxmlformats.org/officeDocument/2006/relationships/hyperlink" Target="http://www.mpfiltri.co.uk/" TargetMode="External"/><Relationship Id="rId434" Type="http://schemas.openxmlformats.org/officeDocument/2006/relationships/hyperlink" Target="http://www.mpfiltri.co.uk/" TargetMode="External"/><Relationship Id="rId641" Type="http://schemas.openxmlformats.org/officeDocument/2006/relationships/hyperlink" Target="http://www.mpfiltri.co.uk/" TargetMode="External"/><Relationship Id="rId739" Type="http://schemas.openxmlformats.org/officeDocument/2006/relationships/hyperlink" Target="http://www.mpfiltri.co.uk/" TargetMode="External"/><Relationship Id="rId280" Type="http://schemas.openxmlformats.org/officeDocument/2006/relationships/hyperlink" Target="http://www.mpfiltri.co.uk/" TargetMode="External"/><Relationship Id="rId501" Type="http://schemas.openxmlformats.org/officeDocument/2006/relationships/hyperlink" Target="http://www.mpfiltri.co.uk/" TargetMode="External"/><Relationship Id="rId946" Type="http://schemas.openxmlformats.org/officeDocument/2006/relationships/hyperlink" Target="http://www.mpfiltri.co.uk/" TargetMode="External"/><Relationship Id="rId75" Type="http://schemas.openxmlformats.org/officeDocument/2006/relationships/hyperlink" Target="http://www.mpfiltri.co.uk/" TargetMode="External"/><Relationship Id="rId140" Type="http://schemas.openxmlformats.org/officeDocument/2006/relationships/hyperlink" Target="http://www.mpfiltri.co.uk/" TargetMode="External"/><Relationship Id="rId378" Type="http://schemas.openxmlformats.org/officeDocument/2006/relationships/hyperlink" Target="http://www.mpfiltri.co.uk/" TargetMode="External"/><Relationship Id="rId585" Type="http://schemas.openxmlformats.org/officeDocument/2006/relationships/hyperlink" Target="http://www.mpfiltri.co.uk/" TargetMode="External"/><Relationship Id="rId792" Type="http://schemas.openxmlformats.org/officeDocument/2006/relationships/hyperlink" Target="http://www.mpfiltri.co.uk/" TargetMode="External"/><Relationship Id="rId806" Type="http://schemas.openxmlformats.org/officeDocument/2006/relationships/hyperlink" Target="http://www.mpfiltri.co.uk/" TargetMode="External"/><Relationship Id="rId6" Type="http://schemas.openxmlformats.org/officeDocument/2006/relationships/hyperlink" Target="http://www.mpfiltri.co.uk/" TargetMode="External"/><Relationship Id="rId238" Type="http://schemas.openxmlformats.org/officeDocument/2006/relationships/hyperlink" Target="http://www.mpfiltri.co.uk/" TargetMode="External"/><Relationship Id="rId445" Type="http://schemas.openxmlformats.org/officeDocument/2006/relationships/hyperlink" Target="http://www.mpfiltri.co.uk/" TargetMode="External"/><Relationship Id="rId652" Type="http://schemas.openxmlformats.org/officeDocument/2006/relationships/hyperlink" Target="http://www.mpfiltri.co.uk/" TargetMode="External"/><Relationship Id="rId291" Type="http://schemas.openxmlformats.org/officeDocument/2006/relationships/hyperlink" Target="http://www.mpfiltri.co.uk/" TargetMode="External"/><Relationship Id="rId305" Type="http://schemas.openxmlformats.org/officeDocument/2006/relationships/hyperlink" Target="http://www.mpfiltri.co.uk/" TargetMode="External"/><Relationship Id="rId512" Type="http://schemas.openxmlformats.org/officeDocument/2006/relationships/hyperlink" Target="http://www.mpfiltri.co.uk/" TargetMode="External"/><Relationship Id="rId957" Type="http://schemas.openxmlformats.org/officeDocument/2006/relationships/hyperlink" Target="http://www.mpfiltri.co.uk/" TargetMode="External"/><Relationship Id="rId86" Type="http://schemas.openxmlformats.org/officeDocument/2006/relationships/hyperlink" Target="http://www.mpfiltri.co.uk/" TargetMode="External"/><Relationship Id="rId151" Type="http://schemas.openxmlformats.org/officeDocument/2006/relationships/hyperlink" Target="http://www.mpfiltri.co.uk/" TargetMode="External"/><Relationship Id="rId389" Type="http://schemas.openxmlformats.org/officeDocument/2006/relationships/hyperlink" Target="http://www.mpfiltri.co.uk/" TargetMode="External"/><Relationship Id="rId596" Type="http://schemas.openxmlformats.org/officeDocument/2006/relationships/hyperlink" Target="http://www.mpfiltri.co.uk/" TargetMode="External"/><Relationship Id="rId817" Type="http://schemas.openxmlformats.org/officeDocument/2006/relationships/hyperlink" Target="http://www.mpfiltri.co.uk/" TargetMode="External"/><Relationship Id="rId1002" Type="http://schemas.openxmlformats.org/officeDocument/2006/relationships/hyperlink" Target="http://www.mpfiltri.co.uk/" TargetMode="External"/><Relationship Id="rId249" Type="http://schemas.openxmlformats.org/officeDocument/2006/relationships/hyperlink" Target="http://www.mpfiltri.co.uk/" TargetMode="External"/><Relationship Id="rId456" Type="http://schemas.openxmlformats.org/officeDocument/2006/relationships/hyperlink" Target="http://www.mpfiltri.co.uk/" TargetMode="External"/><Relationship Id="rId663" Type="http://schemas.openxmlformats.org/officeDocument/2006/relationships/hyperlink" Target="http://www.mpfiltri.co.uk/" TargetMode="External"/><Relationship Id="rId870" Type="http://schemas.openxmlformats.org/officeDocument/2006/relationships/hyperlink" Target="http://www.mpfiltri.co.uk/" TargetMode="External"/><Relationship Id="rId13" Type="http://schemas.openxmlformats.org/officeDocument/2006/relationships/hyperlink" Target="http://www.mpfiltri.co.uk/" TargetMode="External"/><Relationship Id="rId109" Type="http://schemas.openxmlformats.org/officeDocument/2006/relationships/hyperlink" Target="http://www.mpfiltri.co.uk/" TargetMode="External"/><Relationship Id="rId316" Type="http://schemas.openxmlformats.org/officeDocument/2006/relationships/hyperlink" Target="http://www.mpfiltri.co.uk/" TargetMode="External"/><Relationship Id="rId523" Type="http://schemas.openxmlformats.org/officeDocument/2006/relationships/hyperlink" Target="http://www.mpfiltri.co.uk/" TargetMode="External"/><Relationship Id="rId968" Type="http://schemas.openxmlformats.org/officeDocument/2006/relationships/hyperlink" Target="http://www.mpfiltri.co.uk/" TargetMode="External"/><Relationship Id="rId97" Type="http://schemas.openxmlformats.org/officeDocument/2006/relationships/hyperlink" Target="http://www.mpfiltri.co.uk/" TargetMode="External"/><Relationship Id="rId730" Type="http://schemas.openxmlformats.org/officeDocument/2006/relationships/hyperlink" Target="http://www.mpfiltri.co.uk/" TargetMode="External"/><Relationship Id="rId828" Type="http://schemas.openxmlformats.org/officeDocument/2006/relationships/hyperlink" Target="http://www.mpfiltri.co.uk/" TargetMode="External"/><Relationship Id="rId1013" Type="http://schemas.openxmlformats.org/officeDocument/2006/relationships/hyperlink" Target="http://www.mpfiltri.co.uk/" TargetMode="External"/><Relationship Id="rId162" Type="http://schemas.openxmlformats.org/officeDocument/2006/relationships/hyperlink" Target="http://www.mpfiltri.co.uk/" TargetMode="External"/><Relationship Id="rId467" Type="http://schemas.openxmlformats.org/officeDocument/2006/relationships/hyperlink" Target="http://www.mpfiltri.co.uk/" TargetMode="External"/><Relationship Id="rId674" Type="http://schemas.openxmlformats.org/officeDocument/2006/relationships/hyperlink" Target="http://www.mpfiltri.co.uk/" TargetMode="External"/><Relationship Id="rId881" Type="http://schemas.openxmlformats.org/officeDocument/2006/relationships/hyperlink" Target="http://www.mpfiltri.co.uk/" TargetMode="External"/><Relationship Id="rId979" Type="http://schemas.openxmlformats.org/officeDocument/2006/relationships/hyperlink" Target="http://www.mpfiltri.co.uk/" TargetMode="External"/><Relationship Id="rId24" Type="http://schemas.openxmlformats.org/officeDocument/2006/relationships/hyperlink" Target="http://www.mpfiltri.co.uk/" TargetMode="External"/><Relationship Id="rId327" Type="http://schemas.openxmlformats.org/officeDocument/2006/relationships/hyperlink" Target="http://www.mpfiltri.co.uk/" TargetMode="External"/><Relationship Id="rId534" Type="http://schemas.openxmlformats.org/officeDocument/2006/relationships/hyperlink" Target="http://www.mpfiltri.co.uk/" TargetMode="External"/><Relationship Id="rId741" Type="http://schemas.openxmlformats.org/officeDocument/2006/relationships/hyperlink" Target="http://www.mpfiltri.co.uk/" TargetMode="External"/><Relationship Id="rId839" Type="http://schemas.openxmlformats.org/officeDocument/2006/relationships/hyperlink" Target="http://www.mpfiltri.co.uk/" TargetMode="External"/><Relationship Id="rId173" Type="http://schemas.openxmlformats.org/officeDocument/2006/relationships/hyperlink" Target="http://www.mpfiltri.co.uk/" TargetMode="External"/><Relationship Id="rId380" Type="http://schemas.openxmlformats.org/officeDocument/2006/relationships/hyperlink" Target="http://www.mpfiltri.co.uk/" TargetMode="External"/><Relationship Id="rId601" Type="http://schemas.openxmlformats.org/officeDocument/2006/relationships/hyperlink" Target="http://www.mpfiltri.co.uk/" TargetMode="External"/><Relationship Id="rId1024" Type="http://schemas.openxmlformats.org/officeDocument/2006/relationships/hyperlink" Target="http://www.mpfiltri.co.uk/" TargetMode="External"/><Relationship Id="rId240" Type="http://schemas.openxmlformats.org/officeDocument/2006/relationships/hyperlink" Target="http://www.mpfiltri.co.uk/" TargetMode="External"/><Relationship Id="rId478" Type="http://schemas.openxmlformats.org/officeDocument/2006/relationships/hyperlink" Target="http://www.mpfiltri.co.uk/" TargetMode="External"/><Relationship Id="rId685" Type="http://schemas.openxmlformats.org/officeDocument/2006/relationships/hyperlink" Target="http://www.mpfiltri.co.uk/" TargetMode="External"/><Relationship Id="rId892" Type="http://schemas.openxmlformats.org/officeDocument/2006/relationships/hyperlink" Target="http://www.mpfiltri.co.uk/" TargetMode="External"/><Relationship Id="rId906" Type="http://schemas.openxmlformats.org/officeDocument/2006/relationships/hyperlink" Target="http://www.mpfiltri.co.uk/" TargetMode="External"/><Relationship Id="rId35" Type="http://schemas.openxmlformats.org/officeDocument/2006/relationships/hyperlink" Target="http://www.mpfiltri.co.uk/" TargetMode="External"/><Relationship Id="rId100" Type="http://schemas.openxmlformats.org/officeDocument/2006/relationships/hyperlink" Target="http://www.mpfiltri.co.uk/" TargetMode="External"/><Relationship Id="rId338" Type="http://schemas.openxmlformats.org/officeDocument/2006/relationships/hyperlink" Target="http://www.mpfiltri.co.uk/" TargetMode="External"/><Relationship Id="rId545" Type="http://schemas.openxmlformats.org/officeDocument/2006/relationships/hyperlink" Target="http://www.mpfiltri.co.uk/" TargetMode="External"/><Relationship Id="rId752" Type="http://schemas.openxmlformats.org/officeDocument/2006/relationships/hyperlink" Target="http://www.mpfiltri.co.uk/" TargetMode="External"/><Relationship Id="rId184" Type="http://schemas.openxmlformats.org/officeDocument/2006/relationships/hyperlink" Target="http://www.mpfiltri.co.uk/" TargetMode="External"/><Relationship Id="rId391" Type="http://schemas.openxmlformats.org/officeDocument/2006/relationships/hyperlink" Target="http://www.mpfiltri.co.uk/" TargetMode="External"/><Relationship Id="rId405" Type="http://schemas.openxmlformats.org/officeDocument/2006/relationships/hyperlink" Target="http://www.mpfiltri.co.uk/" TargetMode="External"/><Relationship Id="rId612" Type="http://schemas.openxmlformats.org/officeDocument/2006/relationships/hyperlink" Target="http://www.mpfiltri.co.uk/" TargetMode="External"/><Relationship Id="rId251" Type="http://schemas.openxmlformats.org/officeDocument/2006/relationships/hyperlink" Target="http://www.mpfiltri.co.uk/" TargetMode="External"/><Relationship Id="rId489" Type="http://schemas.openxmlformats.org/officeDocument/2006/relationships/hyperlink" Target="http://www.mpfiltri.co.uk/" TargetMode="External"/><Relationship Id="rId696" Type="http://schemas.openxmlformats.org/officeDocument/2006/relationships/hyperlink" Target="http://www.mpfiltri.co.uk/" TargetMode="External"/><Relationship Id="rId917" Type="http://schemas.openxmlformats.org/officeDocument/2006/relationships/hyperlink" Target="http://www.mpfiltri.co.uk/" TargetMode="External"/><Relationship Id="rId46" Type="http://schemas.openxmlformats.org/officeDocument/2006/relationships/hyperlink" Target="http://www.mpfiltri.co.uk/" TargetMode="External"/><Relationship Id="rId349" Type="http://schemas.openxmlformats.org/officeDocument/2006/relationships/hyperlink" Target="http://www.mpfiltri.co.uk/" TargetMode="External"/><Relationship Id="rId556" Type="http://schemas.openxmlformats.org/officeDocument/2006/relationships/hyperlink" Target="http://www.mpfiltri.co.uk/" TargetMode="External"/><Relationship Id="rId763" Type="http://schemas.openxmlformats.org/officeDocument/2006/relationships/hyperlink" Target="http://www.mpfiltri.co.uk/" TargetMode="External"/><Relationship Id="rId111" Type="http://schemas.openxmlformats.org/officeDocument/2006/relationships/hyperlink" Target="http://www.mpfiltri.co.uk/" TargetMode="External"/><Relationship Id="rId195" Type="http://schemas.openxmlformats.org/officeDocument/2006/relationships/hyperlink" Target="http://www.mpfiltri.co.uk/" TargetMode="External"/><Relationship Id="rId209" Type="http://schemas.openxmlformats.org/officeDocument/2006/relationships/hyperlink" Target="http://www.mpfiltri.co.uk/" TargetMode="External"/><Relationship Id="rId416" Type="http://schemas.openxmlformats.org/officeDocument/2006/relationships/hyperlink" Target="http://www.mpfiltri.co.uk/" TargetMode="External"/><Relationship Id="rId970" Type="http://schemas.openxmlformats.org/officeDocument/2006/relationships/hyperlink" Target="http://www.mpfiltri.co.uk/" TargetMode="External"/><Relationship Id="rId623" Type="http://schemas.openxmlformats.org/officeDocument/2006/relationships/hyperlink" Target="http://www.mpfiltri.co.uk/" TargetMode="External"/><Relationship Id="rId830" Type="http://schemas.openxmlformats.org/officeDocument/2006/relationships/hyperlink" Target="http://www.mpfiltri.co.uk/" TargetMode="External"/><Relationship Id="rId928" Type="http://schemas.openxmlformats.org/officeDocument/2006/relationships/hyperlink" Target="http://www.mpfiltri.co.uk/" TargetMode="External"/><Relationship Id="rId57" Type="http://schemas.openxmlformats.org/officeDocument/2006/relationships/hyperlink" Target="http://www.mpfiltri.co.uk/" TargetMode="External"/><Relationship Id="rId262" Type="http://schemas.openxmlformats.org/officeDocument/2006/relationships/hyperlink" Target="http://www.mpfiltri.co.uk/" TargetMode="External"/><Relationship Id="rId567" Type="http://schemas.openxmlformats.org/officeDocument/2006/relationships/hyperlink" Target="http://www.mpfiltri.co.uk/" TargetMode="External"/><Relationship Id="rId122" Type="http://schemas.openxmlformats.org/officeDocument/2006/relationships/hyperlink" Target="http://www.mpfiltri.co.uk/" TargetMode="External"/><Relationship Id="rId774" Type="http://schemas.openxmlformats.org/officeDocument/2006/relationships/hyperlink" Target="http://www.mpfiltri.co.uk/" TargetMode="External"/><Relationship Id="rId981" Type="http://schemas.openxmlformats.org/officeDocument/2006/relationships/hyperlink" Target="http://www.mpfiltri.co.uk/" TargetMode="External"/><Relationship Id="rId427" Type="http://schemas.openxmlformats.org/officeDocument/2006/relationships/hyperlink" Target="http://www.mpfiltri.co.uk/" TargetMode="External"/><Relationship Id="rId634" Type="http://schemas.openxmlformats.org/officeDocument/2006/relationships/hyperlink" Target="http://www.mpfiltri.co.uk/" TargetMode="External"/><Relationship Id="rId841" Type="http://schemas.openxmlformats.org/officeDocument/2006/relationships/hyperlink" Target="http://www.mpfiltri.co.uk/" TargetMode="External"/><Relationship Id="rId273" Type="http://schemas.openxmlformats.org/officeDocument/2006/relationships/hyperlink" Target="http://www.mpfiltri.co.uk/" TargetMode="External"/><Relationship Id="rId480" Type="http://schemas.openxmlformats.org/officeDocument/2006/relationships/hyperlink" Target="http://www.mpfiltri.co.uk/" TargetMode="External"/><Relationship Id="rId701" Type="http://schemas.openxmlformats.org/officeDocument/2006/relationships/hyperlink" Target="http://www.mpfiltri.co.uk/" TargetMode="External"/><Relationship Id="rId939" Type="http://schemas.openxmlformats.org/officeDocument/2006/relationships/hyperlink" Target="http://www.mpfiltri.co.uk/" TargetMode="External"/><Relationship Id="rId68" Type="http://schemas.openxmlformats.org/officeDocument/2006/relationships/hyperlink" Target="http://www.mpfiltri.co.uk/" TargetMode="External"/><Relationship Id="rId133" Type="http://schemas.openxmlformats.org/officeDocument/2006/relationships/hyperlink" Target="http://www.mpfiltri.co.uk/" TargetMode="External"/><Relationship Id="rId340" Type="http://schemas.openxmlformats.org/officeDocument/2006/relationships/hyperlink" Target="http://www.mpfiltri.co.uk/" TargetMode="External"/><Relationship Id="rId578" Type="http://schemas.openxmlformats.org/officeDocument/2006/relationships/hyperlink" Target="http://www.mpfiltri.co.uk/" TargetMode="External"/><Relationship Id="rId785" Type="http://schemas.openxmlformats.org/officeDocument/2006/relationships/hyperlink" Target="http://www.mpfiltri.co.uk/" TargetMode="External"/><Relationship Id="rId992" Type="http://schemas.openxmlformats.org/officeDocument/2006/relationships/hyperlink" Target="http://www.mpfiltri.co.uk/" TargetMode="External"/><Relationship Id="rId200" Type="http://schemas.openxmlformats.org/officeDocument/2006/relationships/hyperlink" Target="http://www.mpfiltri.co.uk/" TargetMode="External"/><Relationship Id="rId438" Type="http://schemas.openxmlformats.org/officeDocument/2006/relationships/hyperlink" Target="http://www.mpfiltri.co.uk/" TargetMode="External"/><Relationship Id="rId645" Type="http://schemas.openxmlformats.org/officeDocument/2006/relationships/hyperlink" Target="http://www.mpfiltri.co.uk/" TargetMode="External"/><Relationship Id="rId852" Type="http://schemas.openxmlformats.org/officeDocument/2006/relationships/hyperlink" Target="http://www.mpfiltri.co.uk/" TargetMode="External"/><Relationship Id="rId284" Type="http://schemas.openxmlformats.org/officeDocument/2006/relationships/hyperlink" Target="http://www.mpfiltri.co.uk/" TargetMode="External"/><Relationship Id="rId491" Type="http://schemas.openxmlformats.org/officeDocument/2006/relationships/hyperlink" Target="http://www.mpfiltri.co.uk/" TargetMode="External"/><Relationship Id="rId505" Type="http://schemas.openxmlformats.org/officeDocument/2006/relationships/hyperlink" Target="http://www.mpfiltri.co.uk/" TargetMode="External"/><Relationship Id="rId712" Type="http://schemas.openxmlformats.org/officeDocument/2006/relationships/hyperlink" Target="http://www.mpfiltri.co.uk/" TargetMode="External"/><Relationship Id="rId79" Type="http://schemas.openxmlformats.org/officeDocument/2006/relationships/hyperlink" Target="http://www.mpfiltri.co.uk/" TargetMode="External"/><Relationship Id="rId144" Type="http://schemas.openxmlformats.org/officeDocument/2006/relationships/hyperlink" Target="http://www.mpfiltri.co.uk/" TargetMode="External"/><Relationship Id="rId589" Type="http://schemas.openxmlformats.org/officeDocument/2006/relationships/hyperlink" Target="http://www.mpfiltri.co.uk/" TargetMode="External"/><Relationship Id="rId796" Type="http://schemas.openxmlformats.org/officeDocument/2006/relationships/hyperlink" Target="http://www.mpfiltri.co.uk/" TargetMode="External"/><Relationship Id="rId351" Type="http://schemas.openxmlformats.org/officeDocument/2006/relationships/hyperlink" Target="http://www.mpfiltri.co.uk/" TargetMode="External"/><Relationship Id="rId449" Type="http://schemas.openxmlformats.org/officeDocument/2006/relationships/hyperlink" Target="http://www.mpfiltri.co.uk/" TargetMode="External"/><Relationship Id="rId656" Type="http://schemas.openxmlformats.org/officeDocument/2006/relationships/hyperlink" Target="http://www.mpfiltri.co.uk/" TargetMode="External"/><Relationship Id="rId863" Type="http://schemas.openxmlformats.org/officeDocument/2006/relationships/hyperlink" Target="http://www.mpfiltri.co.uk/" TargetMode="External"/><Relationship Id="rId211" Type="http://schemas.openxmlformats.org/officeDocument/2006/relationships/hyperlink" Target="http://www.mpfiltri.co.uk/" TargetMode="External"/><Relationship Id="rId295" Type="http://schemas.openxmlformats.org/officeDocument/2006/relationships/hyperlink" Target="http://www.mpfiltri.co.uk/" TargetMode="External"/><Relationship Id="rId309" Type="http://schemas.openxmlformats.org/officeDocument/2006/relationships/hyperlink" Target="http://www.mpfiltri.co.uk/" TargetMode="External"/><Relationship Id="rId516" Type="http://schemas.openxmlformats.org/officeDocument/2006/relationships/hyperlink" Target="http://www.mpfiltri.co.uk/" TargetMode="External"/><Relationship Id="rId723" Type="http://schemas.openxmlformats.org/officeDocument/2006/relationships/hyperlink" Target="http://www.mpfiltri.co.uk/" TargetMode="External"/><Relationship Id="rId930" Type="http://schemas.openxmlformats.org/officeDocument/2006/relationships/hyperlink" Target="http://www.mpfiltri.co.uk/" TargetMode="External"/><Relationship Id="rId1006" Type="http://schemas.openxmlformats.org/officeDocument/2006/relationships/hyperlink" Target="http://www.mpfiltri.co.uk/" TargetMode="External"/><Relationship Id="rId155" Type="http://schemas.openxmlformats.org/officeDocument/2006/relationships/hyperlink" Target="http://www.mpfiltri.co.uk/" TargetMode="External"/><Relationship Id="rId362" Type="http://schemas.openxmlformats.org/officeDocument/2006/relationships/hyperlink" Target="http://www.mpfiltri.co.uk/" TargetMode="External"/><Relationship Id="rId222" Type="http://schemas.openxmlformats.org/officeDocument/2006/relationships/hyperlink" Target="http://www.mpfiltri.co.uk/" TargetMode="External"/><Relationship Id="rId667" Type="http://schemas.openxmlformats.org/officeDocument/2006/relationships/hyperlink" Target="http://www.mpfiltri.co.uk/" TargetMode="External"/><Relationship Id="rId874" Type="http://schemas.openxmlformats.org/officeDocument/2006/relationships/hyperlink" Target="http://www.mpfiltri.co.uk/" TargetMode="External"/><Relationship Id="rId17" Type="http://schemas.openxmlformats.org/officeDocument/2006/relationships/hyperlink" Target="http://www.mpfiltri.co.uk/" TargetMode="External"/><Relationship Id="rId527" Type="http://schemas.openxmlformats.org/officeDocument/2006/relationships/hyperlink" Target="http://www.mpfiltri.co.uk/" TargetMode="External"/><Relationship Id="rId734" Type="http://schemas.openxmlformats.org/officeDocument/2006/relationships/hyperlink" Target="http://www.mpfiltri.co.uk/" TargetMode="External"/><Relationship Id="rId941" Type="http://schemas.openxmlformats.org/officeDocument/2006/relationships/hyperlink" Target="http://www.mpfiltri.co.uk/" TargetMode="External"/><Relationship Id="rId70" Type="http://schemas.openxmlformats.org/officeDocument/2006/relationships/hyperlink" Target="http://www.mpfiltri.co.uk/" TargetMode="External"/><Relationship Id="rId166" Type="http://schemas.openxmlformats.org/officeDocument/2006/relationships/hyperlink" Target="http://www.mpfiltri.co.uk/" TargetMode="External"/><Relationship Id="rId373" Type="http://schemas.openxmlformats.org/officeDocument/2006/relationships/hyperlink" Target="http://www.mpfiltri.co.uk/" TargetMode="External"/><Relationship Id="rId580" Type="http://schemas.openxmlformats.org/officeDocument/2006/relationships/hyperlink" Target="http://www.mpfiltri.co.uk/" TargetMode="External"/><Relationship Id="rId801" Type="http://schemas.openxmlformats.org/officeDocument/2006/relationships/hyperlink" Target="http://www.mpfiltri.co.uk/" TargetMode="External"/><Relationship Id="rId1017" Type="http://schemas.openxmlformats.org/officeDocument/2006/relationships/hyperlink" Target="http://www.mpfiltri.co.uk/" TargetMode="External"/><Relationship Id="rId1" Type="http://schemas.openxmlformats.org/officeDocument/2006/relationships/hyperlink" Target="http://www.mpfiltri.co.uk/" TargetMode="External"/><Relationship Id="rId233" Type="http://schemas.openxmlformats.org/officeDocument/2006/relationships/hyperlink" Target="http://www.mpfiltri.co.uk/" TargetMode="External"/><Relationship Id="rId440" Type="http://schemas.openxmlformats.org/officeDocument/2006/relationships/hyperlink" Target="http://www.mpfiltri.co.uk/" TargetMode="External"/><Relationship Id="rId678" Type="http://schemas.openxmlformats.org/officeDocument/2006/relationships/hyperlink" Target="http://www.mpfiltri.co.uk/" TargetMode="External"/><Relationship Id="rId885" Type="http://schemas.openxmlformats.org/officeDocument/2006/relationships/hyperlink" Target="http://www.mpfiltri.co.uk/" TargetMode="External"/><Relationship Id="rId28" Type="http://schemas.openxmlformats.org/officeDocument/2006/relationships/hyperlink" Target="http://www.mpfiltri.co.uk/" TargetMode="External"/><Relationship Id="rId300" Type="http://schemas.openxmlformats.org/officeDocument/2006/relationships/hyperlink" Target="http://www.mpfiltri.co.uk/" TargetMode="External"/><Relationship Id="rId538" Type="http://schemas.openxmlformats.org/officeDocument/2006/relationships/hyperlink" Target="http://www.mpfiltri.co.uk/" TargetMode="External"/><Relationship Id="rId745" Type="http://schemas.openxmlformats.org/officeDocument/2006/relationships/hyperlink" Target="http://www.mpfiltri.co.uk/" TargetMode="External"/><Relationship Id="rId952" Type="http://schemas.openxmlformats.org/officeDocument/2006/relationships/hyperlink" Target="http://www.mpfiltri.co.uk/" TargetMode="External"/><Relationship Id="rId81" Type="http://schemas.openxmlformats.org/officeDocument/2006/relationships/hyperlink" Target="http://www.mpfiltri.co.uk/" TargetMode="External"/><Relationship Id="rId177" Type="http://schemas.openxmlformats.org/officeDocument/2006/relationships/hyperlink" Target="http://www.mpfiltri.co.uk/" TargetMode="External"/><Relationship Id="rId384" Type="http://schemas.openxmlformats.org/officeDocument/2006/relationships/hyperlink" Target="http://www.mpfiltri.co.uk/" TargetMode="External"/><Relationship Id="rId591" Type="http://schemas.openxmlformats.org/officeDocument/2006/relationships/hyperlink" Target="http://www.mpfiltri.co.uk/" TargetMode="External"/><Relationship Id="rId605" Type="http://schemas.openxmlformats.org/officeDocument/2006/relationships/hyperlink" Target="http://www.mpfiltri.co.uk/" TargetMode="External"/><Relationship Id="rId812" Type="http://schemas.openxmlformats.org/officeDocument/2006/relationships/hyperlink" Target="http://www.mpfiltri.co.uk/" TargetMode="External"/><Relationship Id="rId1028" Type="http://schemas.openxmlformats.org/officeDocument/2006/relationships/vmlDrawing" Target="../drawings/vmlDrawing9.vml"/><Relationship Id="rId244" Type="http://schemas.openxmlformats.org/officeDocument/2006/relationships/hyperlink" Target="http://www.mpfiltri.co.uk/" TargetMode="External"/><Relationship Id="rId689" Type="http://schemas.openxmlformats.org/officeDocument/2006/relationships/hyperlink" Target="http://www.mpfiltri.co.uk/" TargetMode="External"/><Relationship Id="rId896" Type="http://schemas.openxmlformats.org/officeDocument/2006/relationships/hyperlink" Target="http://www.mpfiltri.co.uk/" TargetMode="External"/><Relationship Id="rId39" Type="http://schemas.openxmlformats.org/officeDocument/2006/relationships/hyperlink" Target="http://www.mpfiltri.co.uk/" TargetMode="External"/><Relationship Id="rId451" Type="http://schemas.openxmlformats.org/officeDocument/2006/relationships/hyperlink" Target="http://www.mpfiltri.co.uk/" TargetMode="External"/><Relationship Id="rId549" Type="http://schemas.openxmlformats.org/officeDocument/2006/relationships/hyperlink" Target="http://www.mpfiltri.co.uk/" TargetMode="External"/><Relationship Id="rId756" Type="http://schemas.openxmlformats.org/officeDocument/2006/relationships/hyperlink" Target="http://www.mpfiltri.co.uk/" TargetMode="External"/><Relationship Id="rId104" Type="http://schemas.openxmlformats.org/officeDocument/2006/relationships/hyperlink" Target="http://www.mpfiltri.co.uk/" TargetMode="External"/><Relationship Id="rId188" Type="http://schemas.openxmlformats.org/officeDocument/2006/relationships/hyperlink" Target="http://www.mpfiltri.co.uk/" TargetMode="External"/><Relationship Id="rId311" Type="http://schemas.openxmlformats.org/officeDocument/2006/relationships/hyperlink" Target="http://www.mpfiltri.co.uk/" TargetMode="External"/><Relationship Id="rId395" Type="http://schemas.openxmlformats.org/officeDocument/2006/relationships/hyperlink" Target="http://www.mpfiltri.co.uk/" TargetMode="External"/><Relationship Id="rId409" Type="http://schemas.openxmlformats.org/officeDocument/2006/relationships/hyperlink" Target="http://www.mpfiltri.co.uk/" TargetMode="External"/><Relationship Id="rId963" Type="http://schemas.openxmlformats.org/officeDocument/2006/relationships/hyperlink" Target="http://www.mpfiltri.co.uk/" TargetMode="External"/><Relationship Id="rId92" Type="http://schemas.openxmlformats.org/officeDocument/2006/relationships/hyperlink" Target="http://www.mpfiltri.co.uk/" TargetMode="External"/><Relationship Id="rId616" Type="http://schemas.openxmlformats.org/officeDocument/2006/relationships/hyperlink" Target="http://www.mpfiltri.co.uk/" TargetMode="External"/><Relationship Id="rId823" Type="http://schemas.openxmlformats.org/officeDocument/2006/relationships/hyperlink" Target="http://www.mpfiltri.co.uk/" TargetMode="External"/><Relationship Id="rId255" Type="http://schemas.openxmlformats.org/officeDocument/2006/relationships/hyperlink" Target="http://www.mpfiltri.co.uk/" TargetMode="External"/><Relationship Id="rId462" Type="http://schemas.openxmlformats.org/officeDocument/2006/relationships/hyperlink" Target="http://www.mpfiltri.co.uk/" TargetMode="External"/><Relationship Id="rId115" Type="http://schemas.openxmlformats.org/officeDocument/2006/relationships/hyperlink" Target="http://www.mpfiltri.co.uk/" TargetMode="External"/><Relationship Id="rId322" Type="http://schemas.openxmlformats.org/officeDocument/2006/relationships/hyperlink" Target="http://www.mpfiltri.co.uk/" TargetMode="External"/><Relationship Id="rId767" Type="http://schemas.openxmlformats.org/officeDocument/2006/relationships/hyperlink" Target="http://www.mpfiltri.co.uk/" TargetMode="External"/><Relationship Id="rId974" Type="http://schemas.openxmlformats.org/officeDocument/2006/relationships/hyperlink" Target="http://www.mpfiltri.co.uk/" TargetMode="External"/><Relationship Id="rId199" Type="http://schemas.openxmlformats.org/officeDocument/2006/relationships/hyperlink" Target="http://www.mpfiltri.co.uk/" TargetMode="External"/><Relationship Id="rId627" Type="http://schemas.openxmlformats.org/officeDocument/2006/relationships/hyperlink" Target="http://www.mpfiltri.co.uk/" TargetMode="External"/><Relationship Id="rId834" Type="http://schemas.openxmlformats.org/officeDocument/2006/relationships/hyperlink" Target="http://www.mpfiltri.co.uk/" TargetMode="External"/><Relationship Id="rId266" Type="http://schemas.openxmlformats.org/officeDocument/2006/relationships/hyperlink" Target="http://www.mpfiltri.co.uk/" TargetMode="External"/><Relationship Id="rId473" Type="http://schemas.openxmlformats.org/officeDocument/2006/relationships/hyperlink" Target="http://www.mpfiltri.co.uk/" TargetMode="External"/><Relationship Id="rId680" Type="http://schemas.openxmlformats.org/officeDocument/2006/relationships/hyperlink" Target="http://www.mpfiltri.co.uk/" TargetMode="External"/><Relationship Id="rId901" Type="http://schemas.openxmlformats.org/officeDocument/2006/relationships/hyperlink" Target="http://www.mpfiltri.co.uk/" TargetMode="External"/><Relationship Id="rId30" Type="http://schemas.openxmlformats.org/officeDocument/2006/relationships/hyperlink" Target="http://www.mpfiltri.co.uk/" TargetMode="External"/><Relationship Id="rId126" Type="http://schemas.openxmlformats.org/officeDocument/2006/relationships/hyperlink" Target="http://www.mpfiltri.co.uk/" TargetMode="External"/><Relationship Id="rId333" Type="http://schemas.openxmlformats.org/officeDocument/2006/relationships/hyperlink" Target="http://www.mpfiltri.co.uk/" TargetMode="External"/><Relationship Id="rId540" Type="http://schemas.openxmlformats.org/officeDocument/2006/relationships/hyperlink" Target="http://www.mpfiltri.co.uk/" TargetMode="External"/><Relationship Id="rId778" Type="http://schemas.openxmlformats.org/officeDocument/2006/relationships/hyperlink" Target="http://www.mpfiltri.co.uk/" TargetMode="External"/><Relationship Id="rId985" Type="http://schemas.openxmlformats.org/officeDocument/2006/relationships/hyperlink" Target="http://www.mpfiltri.co.uk/" TargetMode="External"/><Relationship Id="rId638" Type="http://schemas.openxmlformats.org/officeDocument/2006/relationships/hyperlink" Target="http://www.mpfiltri.co.uk/" TargetMode="External"/><Relationship Id="rId845" Type="http://schemas.openxmlformats.org/officeDocument/2006/relationships/hyperlink" Target="http://www.mpfiltri.co.uk/" TargetMode="External"/><Relationship Id="rId1030" Type="http://schemas.openxmlformats.org/officeDocument/2006/relationships/image" Target="../media/image1.emf"/><Relationship Id="rId277" Type="http://schemas.openxmlformats.org/officeDocument/2006/relationships/hyperlink" Target="http://www.mpfiltri.co.uk/" TargetMode="External"/><Relationship Id="rId400" Type="http://schemas.openxmlformats.org/officeDocument/2006/relationships/hyperlink" Target="http://www.mpfiltri.co.uk/" TargetMode="External"/><Relationship Id="rId484" Type="http://schemas.openxmlformats.org/officeDocument/2006/relationships/hyperlink" Target="http://www.mpfiltri.co.uk/" TargetMode="External"/><Relationship Id="rId705" Type="http://schemas.openxmlformats.org/officeDocument/2006/relationships/hyperlink" Target="http://www.mpfiltri.co.uk/" TargetMode="External"/><Relationship Id="rId137" Type="http://schemas.openxmlformats.org/officeDocument/2006/relationships/hyperlink" Target="http://www.mpfiltri.co.uk/" TargetMode="External"/><Relationship Id="rId344" Type="http://schemas.openxmlformats.org/officeDocument/2006/relationships/hyperlink" Target="http://www.mpfiltri.co.uk/" TargetMode="External"/><Relationship Id="rId691" Type="http://schemas.openxmlformats.org/officeDocument/2006/relationships/hyperlink" Target="http://www.mpfiltri.co.uk/" TargetMode="External"/><Relationship Id="rId789" Type="http://schemas.openxmlformats.org/officeDocument/2006/relationships/hyperlink" Target="http://www.mpfiltri.co.uk/" TargetMode="External"/><Relationship Id="rId912" Type="http://schemas.openxmlformats.org/officeDocument/2006/relationships/hyperlink" Target="http://www.mpfiltri.co.uk/" TargetMode="External"/><Relationship Id="rId996" Type="http://schemas.openxmlformats.org/officeDocument/2006/relationships/hyperlink" Target="http://www.mpfiltri.co.uk/" TargetMode="External"/><Relationship Id="rId41" Type="http://schemas.openxmlformats.org/officeDocument/2006/relationships/hyperlink" Target="http://www.mpfiltri.co.uk/" TargetMode="External"/><Relationship Id="rId551" Type="http://schemas.openxmlformats.org/officeDocument/2006/relationships/hyperlink" Target="http://www.mpfiltri.co.uk/" TargetMode="External"/><Relationship Id="rId649" Type="http://schemas.openxmlformats.org/officeDocument/2006/relationships/hyperlink" Target="http://www.mpfiltri.co.uk/" TargetMode="External"/><Relationship Id="rId856" Type="http://schemas.openxmlformats.org/officeDocument/2006/relationships/hyperlink" Target="http://www.mpfiltri.co.uk/" TargetMode="External"/><Relationship Id="rId190" Type="http://schemas.openxmlformats.org/officeDocument/2006/relationships/hyperlink" Target="http://www.mpfiltri.co.uk/" TargetMode="External"/><Relationship Id="rId204" Type="http://schemas.openxmlformats.org/officeDocument/2006/relationships/hyperlink" Target="http://www.mpfiltri.co.uk/" TargetMode="External"/><Relationship Id="rId288" Type="http://schemas.openxmlformats.org/officeDocument/2006/relationships/hyperlink" Target="http://www.mpfiltri.co.uk/" TargetMode="External"/><Relationship Id="rId411" Type="http://schemas.openxmlformats.org/officeDocument/2006/relationships/hyperlink" Target="http://www.mpfiltri.co.uk/" TargetMode="External"/><Relationship Id="rId509" Type="http://schemas.openxmlformats.org/officeDocument/2006/relationships/hyperlink" Target="http://www.mpfiltri.co.uk/" TargetMode="External"/><Relationship Id="rId495" Type="http://schemas.openxmlformats.org/officeDocument/2006/relationships/hyperlink" Target="http://www.mpfiltri.co.uk/" TargetMode="External"/><Relationship Id="rId716" Type="http://schemas.openxmlformats.org/officeDocument/2006/relationships/hyperlink" Target="http://www.mpfiltri.co.uk/" TargetMode="External"/><Relationship Id="rId923" Type="http://schemas.openxmlformats.org/officeDocument/2006/relationships/hyperlink" Target="http://www.mpfiltri.co.uk/" TargetMode="External"/><Relationship Id="rId52" Type="http://schemas.openxmlformats.org/officeDocument/2006/relationships/hyperlink" Target="http://www.mpfiltri.co.uk/" TargetMode="External"/><Relationship Id="rId148" Type="http://schemas.openxmlformats.org/officeDocument/2006/relationships/hyperlink" Target="http://www.mpfiltri.co.uk/" TargetMode="External"/><Relationship Id="rId355" Type="http://schemas.openxmlformats.org/officeDocument/2006/relationships/hyperlink" Target="http://www.mpfiltri.co.uk/" TargetMode="External"/><Relationship Id="rId562" Type="http://schemas.openxmlformats.org/officeDocument/2006/relationships/hyperlink" Target="http://www.mpfiltri.co.uk/" TargetMode="External"/><Relationship Id="rId215" Type="http://schemas.openxmlformats.org/officeDocument/2006/relationships/hyperlink" Target="http://www.mpfiltri.co.uk/" TargetMode="External"/><Relationship Id="rId422" Type="http://schemas.openxmlformats.org/officeDocument/2006/relationships/hyperlink" Target="http://www.mpfiltri.co.uk/" TargetMode="External"/><Relationship Id="rId867" Type="http://schemas.openxmlformats.org/officeDocument/2006/relationships/hyperlink" Target="http://www.mpfiltri.co.uk/" TargetMode="External"/><Relationship Id="rId299" Type="http://schemas.openxmlformats.org/officeDocument/2006/relationships/hyperlink" Target="http://www.mpfiltri.co.uk/" TargetMode="External"/><Relationship Id="rId727" Type="http://schemas.openxmlformats.org/officeDocument/2006/relationships/hyperlink" Target="http://www.mpfiltri.co.uk/" TargetMode="External"/><Relationship Id="rId934" Type="http://schemas.openxmlformats.org/officeDocument/2006/relationships/hyperlink" Target="http://www.mpfiltri.co.uk/" TargetMode="External"/><Relationship Id="rId63" Type="http://schemas.openxmlformats.org/officeDocument/2006/relationships/hyperlink" Target="http://www.mpfiltri.co.uk/" TargetMode="External"/><Relationship Id="rId159" Type="http://schemas.openxmlformats.org/officeDocument/2006/relationships/hyperlink" Target="http://www.mpfiltri.co.uk/" TargetMode="External"/><Relationship Id="rId366" Type="http://schemas.openxmlformats.org/officeDocument/2006/relationships/hyperlink" Target="http://www.mpfiltri.co.uk/" TargetMode="External"/><Relationship Id="rId573" Type="http://schemas.openxmlformats.org/officeDocument/2006/relationships/hyperlink" Target="http://www.mpfiltri.co.uk/" TargetMode="External"/><Relationship Id="rId780" Type="http://schemas.openxmlformats.org/officeDocument/2006/relationships/hyperlink" Target="http://www.mpfiltri.co.uk/" TargetMode="External"/><Relationship Id="rId226" Type="http://schemas.openxmlformats.org/officeDocument/2006/relationships/hyperlink" Target="http://www.mpfiltri.co.uk/" TargetMode="External"/><Relationship Id="rId433" Type="http://schemas.openxmlformats.org/officeDocument/2006/relationships/hyperlink" Target="http://www.mpfiltri.co.uk/" TargetMode="External"/><Relationship Id="rId878" Type="http://schemas.openxmlformats.org/officeDocument/2006/relationships/hyperlink" Target="http://www.mpfiltri.co.uk/" TargetMode="External"/><Relationship Id="rId640" Type="http://schemas.openxmlformats.org/officeDocument/2006/relationships/hyperlink" Target="http://www.mpfiltri.co.uk/" TargetMode="External"/><Relationship Id="rId738" Type="http://schemas.openxmlformats.org/officeDocument/2006/relationships/hyperlink" Target="http://www.mpfiltri.co.uk/" TargetMode="External"/><Relationship Id="rId945" Type="http://schemas.openxmlformats.org/officeDocument/2006/relationships/hyperlink" Target="http://www.mpfiltri.co.uk/" TargetMode="External"/><Relationship Id="rId74" Type="http://schemas.openxmlformats.org/officeDocument/2006/relationships/hyperlink" Target="http://www.mpfiltri.co.uk/" TargetMode="External"/><Relationship Id="rId377" Type="http://schemas.openxmlformats.org/officeDocument/2006/relationships/hyperlink" Target="http://www.mpfiltri.co.uk/" TargetMode="External"/><Relationship Id="rId500" Type="http://schemas.openxmlformats.org/officeDocument/2006/relationships/hyperlink" Target="http://www.mpfiltri.co.uk/" TargetMode="External"/><Relationship Id="rId584" Type="http://schemas.openxmlformats.org/officeDocument/2006/relationships/hyperlink" Target="http://www.mpfiltri.co.uk/" TargetMode="External"/><Relationship Id="rId805" Type="http://schemas.openxmlformats.org/officeDocument/2006/relationships/hyperlink" Target="http://www.mpfiltri.co.uk/" TargetMode="External"/><Relationship Id="rId5" Type="http://schemas.openxmlformats.org/officeDocument/2006/relationships/hyperlink" Target="http://www.mpfiltri.co.uk/" TargetMode="External"/><Relationship Id="rId237" Type="http://schemas.openxmlformats.org/officeDocument/2006/relationships/hyperlink" Target="http://www.mpfiltri.co.uk/" TargetMode="External"/><Relationship Id="rId791" Type="http://schemas.openxmlformats.org/officeDocument/2006/relationships/hyperlink" Target="http://www.mpfiltri.co.uk/" TargetMode="External"/><Relationship Id="rId889" Type="http://schemas.openxmlformats.org/officeDocument/2006/relationships/hyperlink" Target="http://www.mpfiltri.co.uk/" TargetMode="External"/><Relationship Id="rId444" Type="http://schemas.openxmlformats.org/officeDocument/2006/relationships/hyperlink" Target="http://www.mpfiltri.co.uk/" TargetMode="External"/><Relationship Id="rId651" Type="http://schemas.openxmlformats.org/officeDocument/2006/relationships/hyperlink" Target="http://www.mpfiltri.co.uk/" TargetMode="External"/><Relationship Id="rId749" Type="http://schemas.openxmlformats.org/officeDocument/2006/relationships/hyperlink" Target="http://www.mpfiltri.co.uk/" TargetMode="External"/><Relationship Id="rId290" Type="http://schemas.openxmlformats.org/officeDocument/2006/relationships/hyperlink" Target="http://www.mpfiltri.co.uk/" TargetMode="External"/><Relationship Id="rId304" Type="http://schemas.openxmlformats.org/officeDocument/2006/relationships/hyperlink" Target="http://www.mpfiltri.co.uk/" TargetMode="External"/><Relationship Id="rId388" Type="http://schemas.openxmlformats.org/officeDocument/2006/relationships/hyperlink" Target="http://www.mpfiltri.co.uk/" TargetMode="External"/><Relationship Id="rId511" Type="http://schemas.openxmlformats.org/officeDocument/2006/relationships/hyperlink" Target="http://www.mpfiltri.co.uk/" TargetMode="External"/><Relationship Id="rId609" Type="http://schemas.openxmlformats.org/officeDocument/2006/relationships/hyperlink" Target="http://www.mpfiltri.co.uk/" TargetMode="External"/><Relationship Id="rId956" Type="http://schemas.openxmlformats.org/officeDocument/2006/relationships/hyperlink" Target="http://www.mpfiltri.co.uk/" TargetMode="External"/><Relationship Id="rId85" Type="http://schemas.openxmlformats.org/officeDocument/2006/relationships/hyperlink" Target="http://www.mpfiltri.co.uk/" TargetMode="External"/><Relationship Id="rId150" Type="http://schemas.openxmlformats.org/officeDocument/2006/relationships/hyperlink" Target="http://www.mpfiltri.co.uk/" TargetMode="External"/><Relationship Id="rId595" Type="http://schemas.openxmlformats.org/officeDocument/2006/relationships/hyperlink" Target="http://www.mpfiltri.co.uk/" TargetMode="External"/><Relationship Id="rId816" Type="http://schemas.openxmlformats.org/officeDocument/2006/relationships/hyperlink" Target="http://www.mpfiltri.co.uk/" TargetMode="External"/><Relationship Id="rId1001" Type="http://schemas.openxmlformats.org/officeDocument/2006/relationships/hyperlink" Target="http://www.mpfiltri.co.uk/" TargetMode="External"/><Relationship Id="rId248" Type="http://schemas.openxmlformats.org/officeDocument/2006/relationships/hyperlink" Target="http://www.mpfiltri.co.uk/" TargetMode="External"/><Relationship Id="rId455" Type="http://schemas.openxmlformats.org/officeDocument/2006/relationships/hyperlink" Target="http://www.mpfiltri.co.uk/" TargetMode="External"/><Relationship Id="rId662" Type="http://schemas.openxmlformats.org/officeDocument/2006/relationships/hyperlink" Target="http://www.mpfiltri.co.uk/" TargetMode="External"/><Relationship Id="rId12" Type="http://schemas.openxmlformats.org/officeDocument/2006/relationships/hyperlink" Target="http://www.mpfiltri.co.uk/" TargetMode="External"/><Relationship Id="rId108" Type="http://schemas.openxmlformats.org/officeDocument/2006/relationships/hyperlink" Target="http://www.mpfiltri.co.uk/" TargetMode="External"/><Relationship Id="rId315" Type="http://schemas.openxmlformats.org/officeDocument/2006/relationships/hyperlink" Target="http://www.mpfiltri.co.uk/" TargetMode="External"/><Relationship Id="rId522" Type="http://schemas.openxmlformats.org/officeDocument/2006/relationships/hyperlink" Target="http://www.mpfiltri.co.uk/" TargetMode="External"/><Relationship Id="rId967" Type="http://schemas.openxmlformats.org/officeDocument/2006/relationships/hyperlink" Target="http://www.mpfiltri.co.uk/" TargetMode="External"/><Relationship Id="rId96" Type="http://schemas.openxmlformats.org/officeDocument/2006/relationships/hyperlink" Target="http://www.mpfiltri.co.uk/" TargetMode="External"/><Relationship Id="rId161" Type="http://schemas.openxmlformats.org/officeDocument/2006/relationships/hyperlink" Target="http://www.mpfiltri.co.uk/" TargetMode="External"/><Relationship Id="rId399" Type="http://schemas.openxmlformats.org/officeDocument/2006/relationships/hyperlink" Target="http://www.mpfiltri.co.uk/" TargetMode="External"/><Relationship Id="rId827" Type="http://schemas.openxmlformats.org/officeDocument/2006/relationships/hyperlink" Target="http://www.mpfiltri.co.uk/" TargetMode="External"/><Relationship Id="rId1012" Type="http://schemas.openxmlformats.org/officeDocument/2006/relationships/hyperlink" Target="http://www.mpfiltri.co.uk/" TargetMode="External"/><Relationship Id="rId259" Type="http://schemas.openxmlformats.org/officeDocument/2006/relationships/hyperlink" Target="http://www.mpfiltri.co.uk/" TargetMode="External"/><Relationship Id="rId466" Type="http://schemas.openxmlformats.org/officeDocument/2006/relationships/hyperlink" Target="http://www.mpfiltri.co.uk/" TargetMode="External"/><Relationship Id="rId673" Type="http://schemas.openxmlformats.org/officeDocument/2006/relationships/hyperlink" Target="http://www.mpfiltri.co.uk/" TargetMode="External"/><Relationship Id="rId880" Type="http://schemas.openxmlformats.org/officeDocument/2006/relationships/hyperlink" Target="http://www.mpfiltri.co.uk/" TargetMode="External"/><Relationship Id="rId23" Type="http://schemas.openxmlformats.org/officeDocument/2006/relationships/hyperlink" Target="http://www.mpfiltri.co.uk/" TargetMode="External"/><Relationship Id="rId119" Type="http://schemas.openxmlformats.org/officeDocument/2006/relationships/hyperlink" Target="http://www.mpfiltri.co.uk/" TargetMode="External"/><Relationship Id="rId326" Type="http://schemas.openxmlformats.org/officeDocument/2006/relationships/hyperlink" Target="http://www.mpfiltri.co.uk/" TargetMode="External"/><Relationship Id="rId533" Type="http://schemas.openxmlformats.org/officeDocument/2006/relationships/hyperlink" Target="http://www.mpfiltri.co.uk/" TargetMode="External"/><Relationship Id="rId978" Type="http://schemas.openxmlformats.org/officeDocument/2006/relationships/hyperlink" Target="http://www.mpfiltri.co.uk/" TargetMode="External"/><Relationship Id="rId740" Type="http://schemas.openxmlformats.org/officeDocument/2006/relationships/hyperlink" Target="http://www.mpfiltri.co.uk/" TargetMode="External"/><Relationship Id="rId838" Type="http://schemas.openxmlformats.org/officeDocument/2006/relationships/hyperlink" Target="http://www.mpfiltri.co.uk/" TargetMode="External"/><Relationship Id="rId1023" Type="http://schemas.openxmlformats.org/officeDocument/2006/relationships/hyperlink" Target="http://www.mpfiltri.co.uk/" TargetMode="External"/><Relationship Id="rId172" Type="http://schemas.openxmlformats.org/officeDocument/2006/relationships/hyperlink" Target="http://www.mpfiltri.co.uk/" TargetMode="External"/><Relationship Id="rId477" Type="http://schemas.openxmlformats.org/officeDocument/2006/relationships/hyperlink" Target="http://www.mpfiltri.co.uk/" TargetMode="External"/><Relationship Id="rId600" Type="http://schemas.openxmlformats.org/officeDocument/2006/relationships/hyperlink" Target="http://www.mpfiltri.co.uk/" TargetMode="External"/><Relationship Id="rId684" Type="http://schemas.openxmlformats.org/officeDocument/2006/relationships/hyperlink" Target="http://www.mpfiltri.co.uk/" TargetMode="External"/><Relationship Id="rId337" Type="http://schemas.openxmlformats.org/officeDocument/2006/relationships/hyperlink" Target="http://www.mpfiltri.co.uk/" TargetMode="External"/><Relationship Id="rId891" Type="http://schemas.openxmlformats.org/officeDocument/2006/relationships/hyperlink" Target="http://www.mpfiltri.co.uk/" TargetMode="External"/><Relationship Id="rId905" Type="http://schemas.openxmlformats.org/officeDocument/2006/relationships/hyperlink" Target="http://www.mpfiltri.co.uk/" TargetMode="External"/><Relationship Id="rId989" Type="http://schemas.openxmlformats.org/officeDocument/2006/relationships/hyperlink" Target="http://www.mpfiltri.co.uk/" TargetMode="External"/><Relationship Id="rId34" Type="http://schemas.openxmlformats.org/officeDocument/2006/relationships/hyperlink" Target="http://www.mpfiltri.co.uk/" TargetMode="External"/><Relationship Id="rId544" Type="http://schemas.openxmlformats.org/officeDocument/2006/relationships/hyperlink" Target="http://www.mpfiltri.co.uk/" TargetMode="External"/><Relationship Id="rId751" Type="http://schemas.openxmlformats.org/officeDocument/2006/relationships/hyperlink" Target="http://www.mpfiltri.co.uk/" TargetMode="External"/><Relationship Id="rId849" Type="http://schemas.openxmlformats.org/officeDocument/2006/relationships/hyperlink" Target="http://www.mpfiltri.co.uk/" TargetMode="External"/><Relationship Id="rId183" Type="http://schemas.openxmlformats.org/officeDocument/2006/relationships/hyperlink" Target="http://www.mpfiltri.co.uk/" TargetMode="External"/><Relationship Id="rId390" Type="http://schemas.openxmlformats.org/officeDocument/2006/relationships/hyperlink" Target="http://www.mpfiltri.co.uk/" TargetMode="External"/><Relationship Id="rId404" Type="http://schemas.openxmlformats.org/officeDocument/2006/relationships/hyperlink" Target="http://www.mpfiltri.co.uk/" TargetMode="External"/><Relationship Id="rId611" Type="http://schemas.openxmlformats.org/officeDocument/2006/relationships/hyperlink" Target="http://www.mpfiltri.co.uk/" TargetMode="External"/><Relationship Id="rId250" Type="http://schemas.openxmlformats.org/officeDocument/2006/relationships/hyperlink" Target="http://www.mpfiltri.co.uk/" TargetMode="External"/><Relationship Id="rId488" Type="http://schemas.openxmlformats.org/officeDocument/2006/relationships/hyperlink" Target="http://www.mpfiltri.co.uk/" TargetMode="External"/><Relationship Id="rId695" Type="http://schemas.openxmlformats.org/officeDocument/2006/relationships/hyperlink" Target="http://www.mpfiltri.co.uk/" TargetMode="External"/><Relationship Id="rId709" Type="http://schemas.openxmlformats.org/officeDocument/2006/relationships/hyperlink" Target="http://www.mpfiltri.co.uk/" TargetMode="External"/><Relationship Id="rId916" Type="http://schemas.openxmlformats.org/officeDocument/2006/relationships/hyperlink" Target="http://www.mpfiltri.co.uk/" TargetMode="External"/><Relationship Id="rId45" Type="http://schemas.openxmlformats.org/officeDocument/2006/relationships/hyperlink" Target="http://www.mpfiltri.co.uk/" TargetMode="External"/><Relationship Id="rId110" Type="http://schemas.openxmlformats.org/officeDocument/2006/relationships/hyperlink" Target="http://www.mpfiltri.co.uk/" TargetMode="External"/><Relationship Id="rId348" Type="http://schemas.openxmlformats.org/officeDocument/2006/relationships/hyperlink" Target="http://www.mpfiltri.co.uk/" TargetMode="External"/><Relationship Id="rId555" Type="http://schemas.openxmlformats.org/officeDocument/2006/relationships/hyperlink" Target="http://www.mpfiltri.co.uk/" TargetMode="External"/><Relationship Id="rId762" Type="http://schemas.openxmlformats.org/officeDocument/2006/relationships/hyperlink" Target="http://www.mpfiltri.co.uk/" TargetMode="External"/><Relationship Id="rId194" Type="http://schemas.openxmlformats.org/officeDocument/2006/relationships/hyperlink" Target="http://www.mpfiltri.co.uk/" TargetMode="External"/><Relationship Id="rId208" Type="http://schemas.openxmlformats.org/officeDocument/2006/relationships/hyperlink" Target="http://www.mpfiltri.co.uk/" TargetMode="External"/><Relationship Id="rId415" Type="http://schemas.openxmlformats.org/officeDocument/2006/relationships/hyperlink" Target="http://www.mpfiltri.co.uk/" TargetMode="External"/><Relationship Id="rId622" Type="http://schemas.openxmlformats.org/officeDocument/2006/relationships/hyperlink" Target="http://www.mpfiltri.co.uk/" TargetMode="External"/><Relationship Id="rId261" Type="http://schemas.openxmlformats.org/officeDocument/2006/relationships/hyperlink" Target="http://www.mpfiltri.co.uk/" TargetMode="External"/><Relationship Id="rId499" Type="http://schemas.openxmlformats.org/officeDocument/2006/relationships/hyperlink" Target="http://www.mpfiltri.co.uk/" TargetMode="External"/><Relationship Id="rId927" Type="http://schemas.openxmlformats.org/officeDocument/2006/relationships/hyperlink" Target="http://www.mpfiltri.co.uk/" TargetMode="External"/><Relationship Id="rId56" Type="http://schemas.openxmlformats.org/officeDocument/2006/relationships/hyperlink" Target="http://www.mpfiltri.co.uk/" TargetMode="External"/><Relationship Id="rId359" Type="http://schemas.openxmlformats.org/officeDocument/2006/relationships/hyperlink" Target="http://www.mpfiltri.co.uk/" TargetMode="External"/><Relationship Id="rId566" Type="http://schemas.openxmlformats.org/officeDocument/2006/relationships/hyperlink" Target="http://www.mpfiltri.co.uk/" TargetMode="External"/><Relationship Id="rId773" Type="http://schemas.openxmlformats.org/officeDocument/2006/relationships/hyperlink" Target="http://www.mpfiltri.co.uk/" TargetMode="External"/><Relationship Id="rId121" Type="http://schemas.openxmlformats.org/officeDocument/2006/relationships/hyperlink" Target="http://www.mpfiltri.co.uk/" TargetMode="External"/><Relationship Id="rId219" Type="http://schemas.openxmlformats.org/officeDocument/2006/relationships/hyperlink" Target="http://www.mpfiltri.co.uk/" TargetMode="External"/><Relationship Id="rId426" Type="http://schemas.openxmlformats.org/officeDocument/2006/relationships/hyperlink" Target="http://www.mpfiltri.co.uk/" TargetMode="External"/><Relationship Id="rId633" Type="http://schemas.openxmlformats.org/officeDocument/2006/relationships/hyperlink" Target="http://www.mpfiltri.co.uk/" TargetMode="External"/><Relationship Id="rId980" Type="http://schemas.openxmlformats.org/officeDocument/2006/relationships/hyperlink" Target="http://www.mpfiltri.co.uk/" TargetMode="External"/><Relationship Id="rId840" Type="http://schemas.openxmlformats.org/officeDocument/2006/relationships/hyperlink" Target="http://www.mpfiltri.co.uk/" TargetMode="External"/><Relationship Id="rId938" Type="http://schemas.openxmlformats.org/officeDocument/2006/relationships/hyperlink" Target="http://www.mpfiltri.co.uk/" TargetMode="External"/><Relationship Id="rId67" Type="http://schemas.openxmlformats.org/officeDocument/2006/relationships/hyperlink" Target="http://www.mpfiltri.co.uk/" TargetMode="External"/><Relationship Id="rId272" Type="http://schemas.openxmlformats.org/officeDocument/2006/relationships/hyperlink" Target="http://www.mpfiltri.co.uk/" TargetMode="External"/><Relationship Id="rId577" Type="http://schemas.openxmlformats.org/officeDocument/2006/relationships/hyperlink" Target="http://www.mpfiltri.co.uk/" TargetMode="External"/><Relationship Id="rId700" Type="http://schemas.openxmlformats.org/officeDocument/2006/relationships/hyperlink" Target="http://www.mpfiltri.co.uk/" TargetMode="External"/><Relationship Id="rId132" Type="http://schemas.openxmlformats.org/officeDocument/2006/relationships/hyperlink" Target="http://www.mpfiltri.co.uk/" TargetMode="External"/><Relationship Id="rId784" Type="http://schemas.openxmlformats.org/officeDocument/2006/relationships/hyperlink" Target="http://www.mpfiltri.co.uk/" TargetMode="External"/><Relationship Id="rId991" Type="http://schemas.openxmlformats.org/officeDocument/2006/relationships/hyperlink" Target="http://www.mpfiltri.co.uk/" TargetMode="External"/><Relationship Id="rId437" Type="http://schemas.openxmlformats.org/officeDocument/2006/relationships/hyperlink" Target="http://www.mpfiltri.co.uk/" TargetMode="External"/><Relationship Id="rId644" Type="http://schemas.openxmlformats.org/officeDocument/2006/relationships/hyperlink" Target="http://www.mpfiltri.co.uk/" TargetMode="External"/><Relationship Id="rId851" Type="http://schemas.openxmlformats.org/officeDocument/2006/relationships/hyperlink" Target="http://www.mpfiltri.co.uk/" TargetMode="External"/><Relationship Id="rId283" Type="http://schemas.openxmlformats.org/officeDocument/2006/relationships/hyperlink" Target="http://www.mpfiltri.co.uk/" TargetMode="External"/><Relationship Id="rId490" Type="http://schemas.openxmlformats.org/officeDocument/2006/relationships/hyperlink" Target="http://www.mpfiltri.co.uk/" TargetMode="External"/><Relationship Id="rId504" Type="http://schemas.openxmlformats.org/officeDocument/2006/relationships/hyperlink" Target="http://www.mpfiltri.co.uk/" TargetMode="External"/><Relationship Id="rId711" Type="http://schemas.openxmlformats.org/officeDocument/2006/relationships/hyperlink" Target="http://www.mpfiltri.co.uk/" TargetMode="External"/><Relationship Id="rId949" Type="http://schemas.openxmlformats.org/officeDocument/2006/relationships/hyperlink" Target="http://www.mpfiltri.co.uk/" TargetMode="External"/><Relationship Id="rId78" Type="http://schemas.openxmlformats.org/officeDocument/2006/relationships/hyperlink" Target="http://www.mpfiltri.co.uk/" TargetMode="External"/><Relationship Id="rId143" Type="http://schemas.openxmlformats.org/officeDocument/2006/relationships/hyperlink" Target="http://www.mpfiltri.co.uk/" TargetMode="External"/><Relationship Id="rId350" Type="http://schemas.openxmlformats.org/officeDocument/2006/relationships/hyperlink" Target="http://www.mpfiltri.co.uk/" TargetMode="External"/><Relationship Id="rId588" Type="http://schemas.openxmlformats.org/officeDocument/2006/relationships/hyperlink" Target="http://www.mpfiltri.co.uk/" TargetMode="External"/><Relationship Id="rId795" Type="http://schemas.openxmlformats.org/officeDocument/2006/relationships/hyperlink" Target="http://www.mpfiltri.co.uk/" TargetMode="External"/><Relationship Id="rId809" Type="http://schemas.openxmlformats.org/officeDocument/2006/relationships/hyperlink" Target="http://www.mpfiltri.co.uk/" TargetMode="External"/><Relationship Id="rId9" Type="http://schemas.openxmlformats.org/officeDocument/2006/relationships/hyperlink" Target="http://www.mpfiltri.co.uk/" TargetMode="External"/><Relationship Id="rId210" Type="http://schemas.openxmlformats.org/officeDocument/2006/relationships/hyperlink" Target="http://www.mpfiltri.co.uk/" TargetMode="External"/><Relationship Id="rId448" Type="http://schemas.openxmlformats.org/officeDocument/2006/relationships/hyperlink" Target="http://www.mpfiltri.co.uk/" TargetMode="External"/><Relationship Id="rId655" Type="http://schemas.openxmlformats.org/officeDocument/2006/relationships/hyperlink" Target="http://www.mpfiltri.co.uk/" TargetMode="External"/><Relationship Id="rId862" Type="http://schemas.openxmlformats.org/officeDocument/2006/relationships/hyperlink" Target="http://www.mpfiltri.co.uk/" TargetMode="External"/><Relationship Id="rId294" Type="http://schemas.openxmlformats.org/officeDocument/2006/relationships/hyperlink" Target="http://www.mpfiltri.co.uk/" TargetMode="External"/><Relationship Id="rId308" Type="http://schemas.openxmlformats.org/officeDocument/2006/relationships/hyperlink" Target="http://www.mpfiltri.co.uk/" TargetMode="External"/><Relationship Id="rId515" Type="http://schemas.openxmlformats.org/officeDocument/2006/relationships/hyperlink" Target="http://www.mpfiltri.co.uk/" TargetMode="External"/><Relationship Id="rId722" Type="http://schemas.openxmlformats.org/officeDocument/2006/relationships/hyperlink" Target="http://www.mpfiltri.co.uk/" TargetMode="External"/><Relationship Id="rId89" Type="http://schemas.openxmlformats.org/officeDocument/2006/relationships/hyperlink" Target="http://www.mpfiltri.co.uk/" TargetMode="External"/><Relationship Id="rId154" Type="http://schemas.openxmlformats.org/officeDocument/2006/relationships/hyperlink" Target="http://www.mpfiltri.co.uk/" TargetMode="External"/><Relationship Id="rId361" Type="http://schemas.openxmlformats.org/officeDocument/2006/relationships/hyperlink" Target="http://www.mpfiltri.co.uk/" TargetMode="External"/><Relationship Id="rId599" Type="http://schemas.openxmlformats.org/officeDocument/2006/relationships/hyperlink" Target="http://www.mpfiltri.co.uk/" TargetMode="External"/><Relationship Id="rId1005" Type="http://schemas.openxmlformats.org/officeDocument/2006/relationships/hyperlink" Target="http://www.mpfiltri.co.uk/" TargetMode="External"/><Relationship Id="rId459" Type="http://schemas.openxmlformats.org/officeDocument/2006/relationships/hyperlink" Target="http://www.mpfiltri.co.uk/" TargetMode="External"/><Relationship Id="rId666" Type="http://schemas.openxmlformats.org/officeDocument/2006/relationships/hyperlink" Target="http://www.mpfiltri.co.uk/" TargetMode="External"/><Relationship Id="rId873" Type="http://schemas.openxmlformats.org/officeDocument/2006/relationships/hyperlink" Target="http://www.mpfiltri.co.uk/" TargetMode="External"/><Relationship Id="rId16" Type="http://schemas.openxmlformats.org/officeDocument/2006/relationships/hyperlink" Target="http://www.mpfiltri.co.uk/" TargetMode="External"/><Relationship Id="rId221" Type="http://schemas.openxmlformats.org/officeDocument/2006/relationships/hyperlink" Target="http://www.mpfiltri.co.uk/" TargetMode="External"/><Relationship Id="rId319" Type="http://schemas.openxmlformats.org/officeDocument/2006/relationships/hyperlink" Target="http://www.mpfiltri.co.uk/" TargetMode="External"/><Relationship Id="rId526" Type="http://schemas.openxmlformats.org/officeDocument/2006/relationships/hyperlink" Target="http://www.mpfiltri.co.uk/" TargetMode="External"/><Relationship Id="rId733" Type="http://schemas.openxmlformats.org/officeDocument/2006/relationships/hyperlink" Target="http://www.mpfiltri.co.uk/" TargetMode="External"/><Relationship Id="rId940" Type="http://schemas.openxmlformats.org/officeDocument/2006/relationships/hyperlink" Target="http://www.mpfiltri.co.uk/" TargetMode="External"/><Relationship Id="rId1016" Type="http://schemas.openxmlformats.org/officeDocument/2006/relationships/hyperlink" Target="http://www.mpfiltri.co.uk/" TargetMode="External"/><Relationship Id="rId165" Type="http://schemas.openxmlformats.org/officeDocument/2006/relationships/hyperlink" Target="http://www.mpfiltri.co.uk/" TargetMode="External"/><Relationship Id="rId372" Type="http://schemas.openxmlformats.org/officeDocument/2006/relationships/hyperlink" Target="http://www.mpfiltri.co.uk/" TargetMode="External"/><Relationship Id="rId677" Type="http://schemas.openxmlformats.org/officeDocument/2006/relationships/hyperlink" Target="http://www.mpfiltri.co.uk/" TargetMode="External"/><Relationship Id="rId800" Type="http://schemas.openxmlformats.org/officeDocument/2006/relationships/hyperlink" Target="http://www.mpfiltri.co.uk/" TargetMode="External"/><Relationship Id="rId232" Type="http://schemas.openxmlformats.org/officeDocument/2006/relationships/hyperlink" Target="http://www.mpfiltri.co.uk/" TargetMode="External"/><Relationship Id="rId884" Type="http://schemas.openxmlformats.org/officeDocument/2006/relationships/hyperlink" Target="http://www.mpfiltri.co.uk/" TargetMode="External"/><Relationship Id="rId27" Type="http://schemas.openxmlformats.org/officeDocument/2006/relationships/hyperlink" Target="http://www.mpfiltri.co.uk/" TargetMode="External"/><Relationship Id="rId537" Type="http://schemas.openxmlformats.org/officeDocument/2006/relationships/hyperlink" Target="http://www.mpfiltri.co.uk/" TargetMode="External"/><Relationship Id="rId744" Type="http://schemas.openxmlformats.org/officeDocument/2006/relationships/hyperlink" Target="http://www.mpfiltri.co.uk/" TargetMode="External"/><Relationship Id="rId951" Type="http://schemas.openxmlformats.org/officeDocument/2006/relationships/hyperlink" Target="http://www.mpfiltri.co.uk/" TargetMode="External"/><Relationship Id="rId80" Type="http://schemas.openxmlformats.org/officeDocument/2006/relationships/hyperlink" Target="http://www.mpfiltri.co.uk/" TargetMode="External"/><Relationship Id="rId176" Type="http://schemas.openxmlformats.org/officeDocument/2006/relationships/hyperlink" Target="http://www.mpfiltri.co.uk/" TargetMode="External"/><Relationship Id="rId383" Type="http://schemas.openxmlformats.org/officeDocument/2006/relationships/hyperlink" Target="http://www.mpfiltri.co.uk/" TargetMode="External"/><Relationship Id="rId590" Type="http://schemas.openxmlformats.org/officeDocument/2006/relationships/hyperlink" Target="http://www.mpfiltri.co.uk/" TargetMode="External"/><Relationship Id="rId604" Type="http://schemas.openxmlformats.org/officeDocument/2006/relationships/hyperlink" Target="http://www.mpfiltri.co.uk/" TargetMode="External"/><Relationship Id="rId811" Type="http://schemas.openxmlformats.org/officeDocument/2006/relationships/hyperlink" Target="http://www.mpfiltri.co.uk/" TargetMode="External"/><Relationship Id="rId1027" Type="http://schemas.openxmlformats.org/officeDocument/2006/relationships/drawing" Target="../drawings/drawing16.xml"/><Relationship Id="rId243" Type="http://schemas.openxmlformats.org/officeDocument/2006/relationships/hyperlink" Target="http://www.mpfiltri.co.uk/" TargetMode="External"/><Relationship Id="rId450" Type="http://schemas.openxmlformats.org/officeDocument/2006/relationships/hyperlink" Target="http://www.mpfiltri.co.uk/" TargetMode="External"/><Relationship Id="rId688" Type="http://schemas.openxmlformats.org/officeDocument/2006/relationships/hyperlink" Target="http://www.mpfiltri.co.uk/" TargetMode="External"/><Relationship Id="rId895" Type="http://schemas.openxmlformats.org/officeDocument/2006/relationships/hyperlink" Target="http://www.mpfiltri.co.uk/" TargetMode="External"/><Relationship Id="rId909" Type="http://schemas.openxmlformats.org/officeDocument/2006/relationships/hyperlink" Target="http://www.mpfiltri.co.uk/" TargetMode="External"/><Relationship Id="rId38" Type="http://schemas.openxmlformats.org/officeDocument/2006/relationships/hyperlink" Target="http://www.mpfiltri.co.uk/" TargetMode="External"/><Relationship Id="rId103" Type="http://schemas.openxmlformats.org/officeDocument/2006/relationships/hyperlink" Target="http://www.mpfiltri.co.uk/" TargetMode="External"/><Relationship Id="rId310" Type="http://schemas.openxmlformats.org/officeDocument/2006/relationships/hyperlink" Target="http://www.mpfiltri.co.uk/" TargetMode="External"/><Relationship Id="rId548" Type="http://schemas.openxmlformats.org/officeDocument/2006/relationships/hyperlink" Target="http://www.mpfiltri.co.uk/" TargetMode="External"/><Relationship Id="rId755" Type="http://schemas.openxmlformats.org/officeDocument/2006/relationships/hyperlink" Target="http://www.mpfiltri.co.uk/" TargetMode="External"/><Relationship Id="rId962" Type="http://schemas.openxmlformats.org/officeDocument/2006/relationships/hyperlink" Target="http://www.mpfiltri.co.uk/" TargetMode="External"/><Relationship Id="rId91" Type="http://schemas.openxmlformats.org/officeDocument/2006/relationships/hyperlink" Target="http://www.mpfiltri.co.uk/" TargetMode="External"/><Relationship Id="rId187" Type="http://schemas.openxmlformats.org/officeDocument/2006/relationships/hyperlink" Target="http://www.mpfiltri.co.uk/" TargetMode="External"/><Relationship Id="rId394" Type="http://schemas.openxmlformats.org/officeDocument/2006/relationships/hyperlink" Target="http://www.mpfiltri.co.uk/" TargetMode="External"/><Relationship Id="rId408" Type="http://schemas.openxmlformats.org/officeDocument/2006/relationships/hyperlink" Target="http://www.mpfiltri.co.uk/" TargetMode="External"/><Relationship Id="rId615" Type="http://schemas.openxmlformats.org/officeDocument/2006/relationships/hyperlink" Target="http://www.mpfiltri.co.uk/" TargetMode="External"/><Relationship Id="rId822" Type="http://schemas.openxmlformats.org/officeDocument/2006/relationships/hyperlink" Target="http://www.mpfiltri.co.uk/" TargetMode="External"/><Relationship Id="rId254" Type="http://schemas.openxmlformats.org/officeDocument/2006/relationships/hyperlink" Target="http://www.mpfiltri.co.uk/" TargetMode="External"/><Relationship Id="rId699" Type="http://schemas.openxmlformats.org/officeDocument/2006/relationships/hyperlink" Target="http://www.mpfiltri.co.uk/" TargetMode="External"/><Relationship Id="rId49" Type="http://schemas.openxmlformats.org/officeDocument/2006/relationships/hyperlink" Target="http://www.mpfiltri.co.uk/" TargetMode="External"/><Relationship Id="rId114" Type="http://schemas.openxmlformats.org/officeDocument/2006/relationships/hyperlink" Target="http://www.mpfiltri.co.uk/" TargetMode="External"/><Relationship Id="rId461" Type="http://schemas.openxmlformats.org/officeDocument/2006/relationships/hyperlink" Target="http://www.mpfiltri.co.uk/" TargetMode="External"/><Relationship Id="rId559" Type="http://schemas.openxmlformats.org/officeDocument/2006/relationships/hyperlink" Target="http://www.mpfiltri.co.uk/" TargetMode="External"/><Relationship Id="rId766" Type="http://schemas.openxmlformats.org/officeDocument/2006/relationships/hyperlink" Target="http://www.mpfiltri.co.uk/" TargetMode="External"/><Relationship Id="rId198" Type="http://schemas.openxmlformats.org/officeDocument/2006/relationships/hyperlink" Target="http://www.mpfiltri.co.uk/" TargetMode="External"/><Relationship Id="rId321" Type="http://schemas.openxmlformats.org/officeDocument/2006/relationships/hyperlink" Target="http://www.mpfiltri.co.uk/" TargetMode="External"/><Relationship Id="rId419" Type="http://schemas.openxmlformats.org/officeDocument/2006/relationships/hyperlink" Target="http://www.mpfiltri.co.uk/" TargetMode="External"/><Relationship Id="rId626" Type="http://schemas.openxmlformats.org/officeDocument/2006/relationships/hyperlink" Target="http://www.mpfiltri.co.uk/" TargetMode="External"/><Relationship Id="rId973" Type="http://schemas.openxmlformats.org/officeDocument/2006/relationships/hyperlink" Target="http://www.mpfiltri.co.uk/" TargetMode="External"/><Relationship Id="rId833" Type="http://schemas.openxmlformats.org/officeDocument/2006/relationships/hyperlink" Target="http://www.mpfiltri.co.uk/" TargetMode="External"/><Relationship Id="rId265" Type="http://schemas.openxmlformats.org/officeDocument/2006/relationships/hyperlink" Target="http://www.mpfiltri.co.uk/" TargetMode="External"/><Relationship Id="rId472" Type="http://schemas.openxmlformats.org/officeDocument/2006/relationships/hyperlink" Target="http://www.mpfiltri.co.uk/" TargetMode="External"/><Relationship Id="rId900" Type="http://schemas.openxmlformats.org/officeDocument/2006/relationships/hyperlink" Target="http://www.mpfiltri.co.uk/" TargetMode="External"/><Relationship Id="rId125" Type="http://schemas.openxmlformats.org/officeDocument/2006/relationships/hyperlink" Target="http://www.mpfiltri.co.uk/" TargetMode="External"/><Relationship Id="rId332" Type="http://schemas.openxmlformats.org/officeDocument/2006/relationships/hyperlink" Target="http://www.mpfiltri.co.uk/" TargetMode="External"/><Relationship Id="rId777" Type="http://schemas.openxmlformats.org/officeDocument/2006/relationships/hyperlink" Target="http://www.mpfiltri.co.uk/" TargetMode="External"/><Relationship Id="rId984" Type="http://schemas.openxmlformats.org/officeDocument/2006/relationships/hyperlink" Target="http://www.mpfiltri.co.uk/" TargetMode="External"/><Relationship Id="rId637" Type="http://schemas.openxmlformats.org/officeDocument/2006/relationships/hyperlink" Target="http://www.mpfiltri.co.uk/" TargetMode="External"/><Relationship Id="rId844" Type="http://schemas.openxmlformats.org/officeDocument/2006/relationships/hyperlink" Target="http://www.mpfiltri.co.uk/" TargetMode="External"/><Relationship Id="rId276" Type="http://schemas.openxmlformats.org/officeDocument/2006/relationships/hyperlink" Target="http://www.mpfiltri.co.uk/" TargetMode="External"/><Relationship Id="rId483" Type="http://schemas.openxmlformats.org/officeDocument/2006/relationships/hyperlink" Target="http://www.mpfiltri.co.uk/" TargetMode="External"/><Relationship Id="rId690" Type="http://schemas.openxmlformats.org/officeDocument/2006/relationships/hyperlink" Target="http://www.mpfiltri.co.uk/" TargetMode="External"/><Relationship Id="rId704" Type="http://schemas.openxmlformats.org/officeDocument/2006/relationships/hyperlink" Target="http://www.mpfiltri.co.uk/" TargetMode="External"/><Relationship Id="rId911" Type="http://schemas.openxmlformats.org/officeDocument/2006/relationships/hyperlink" Target="http://www.mpfiltri.co.uk/" TargetMode="External"/><Relationship Id="rId40" Type="http://schemas.openxmlformats.org/officeDocument/2006/relationships/hyperlink" Target="http://www.mpfiltri.co.uk/" TargetMode="External"/><Relationship Id="rId136" Type="http://schemas.openxmlformats.org/officeDocument/2006/relationships/hyperlink" Target="http://www.mpfiltri.co.uk/" TargetMode="External"/><Relationship Id="rId343" Type="http://schemas.openxmlformats.org/officeDocument/2006/relationships/hyperlink" Target="http://www.mpfiltri.co.uk/" TargetMode="External"/><Relationship Id="rId550" Type="http://schemas.openxmlformats.org/officeDocument/2006/relationships/hyperlink" Target="http://www.mpfiltri.co.uk/" TargetMode="External"/><Relationship Id="rId788" Type="http://schemas.openxmlformats.org/officeDocument/2006/relationships/hyperlink" Target="http://www.mpfiltri.co.uk/" TargetMode="External"/><Relationship Id="rId995" Type="http://schemas.openxmlformats.org/officeDocument/2006/relationships/hyperlink" Target="http://www.mpfiltri.co.uk/" TargetMode="External"/><Relationship Id="rId203" Type="http://schemas.openxmlformats.org/officeDocument/2006/relationships/hyperlink" Target="http://www.mpfiltri.co.uk/" TargetMode="External"/><Relationship Id="rId648" Type="http://schemas.openxmlformats.org/officeDocument/2006/relationships/hyperlink" Target="http://www.mpfiltri.co.uk/" TargetMode="External"/><Relationship Id="rId855" Type="http://schemas.openxmlformats.org/officeDocument/2006/relationships/hyperlink" Target="http://www.mpfiltri.co.uk/" TargetMode="External"/><Relationship Id="rId287" Type="http://schemas.openxmlformats.org/officeDocument/2006/relationships/hyperlink" Target="http://www.mpfiltri.co.uk/" TargetMode="External"/><Relationship Id="rId410" Type="http://schemas.openxmlformats.org/officeDocument/2006/relationships/hyperlink" Target="http://www.mpfiltri.co.uk/" TargetMode="External"/><Relationship Id="rId494" Type="http://schemas.openxmlformats.org/officeDocument/2006/relationships/hyperlink" Target="http://www.mpfiltri.co.uk/" TargetMode="External"/><Relationship Id="rId508" Type="http://schemas.openxmlformats.org/officeDocument/2006/relationships/hyperlink" Target="http://www.mpfiltri.co.uk/" TargetMode="External"/><Relationship Id="rId715" Type="http://schemas.openxmlformats.org/officeDocument/2006/relationships/hyperlink" Target="http://www.mpfiltri.co.uk/" TargetMode="External"/><Relationship Id="rId922" Type="http://schemas.openxmlformats.org/officeDocument/2006/relationships/hyperlink" Target="http://www.mpfiltri.co.uk/" TargetMode="External"/><Relationship Id="rId147" Type="http://schemas.openxmlformats.org/officeDocument/2006/relationships/hyperlink" Target="http://www.mpfiltri.co.uk/" TargetMode="External"/><Relationship Id="rId354" Type="http://schemas.openxmlformats.org/officeDocument/2006/relationships/hyperlink" Target="http://www.mpfiltri.co.uk/" TargetMode="External"/><Relationship Id="rId799" Type="http://schemas.openxmlformats.org/officeDocument/2006/relationships/hyperlink" Target="http://www.mpfiltri.co.uk/" TargetMode="External"/><Relationship Id="rId51" Type="http://schemas.openxmlformats.org/officeDocument/2006/relationships/hyperlink" Target="http://www.mpfiltri.co.uk/" TargetMode="External"/><Relationship Id="rId561" Type="http://schemas.openxmlformats.org/officeDocument/2006/relationships/hyperlink" Target="http://www.mpfiltri.co.uk/" TargetMode="External"/><Relationship Id="rId659" Type="http://schemas.openxmlformats.org/officeDocument/2006/relationships/hyperlink" Target="http://www.mpfiltri.co.uk/" TargetMode="External"/><Relationship Id="rId866" Type="http://schemas.openxmlformats.org/officeDocument/2006/relationships/hyperlink" Target="http://www.mpfiltri.co.uk/" TargetMode="External"/><Relationship Id="rId214" Type="http://schemas.openxmlformats.org/officeDocument/2006/relationships/hyperlink" Target="http://www.mpfiltri.co.uk/" TargetMode="External"/><Relationship Id="rId298" Type="http://schemas.openxmlformats.org/officeDocument/2006/relationships/hyperlink" Target="http://www.mpfiltri.co.uk/" TargetMode="External"/><Relationship Id="rId421" Type="http://schemas.openxmlformats.org/officeDocument/2006/relationships/hyperlink" Target="http://www.mpfiltri.co.uk/" TargetMode="External"/><Relationship Id="rId519" Type="http://schemas.openxmlformats.org/officeDocument/2006/relationships/hyperlink" Target="http://www.mpfiltri.co.uk/" TargetMode="External"/><Relationship Id="rId158" Type="http://schemas.openxmlformats.org/officeDocument/2006/relationships/hyperlink" Target="http://www.mpfiltri.co.uk/" TargetMode="External"/><Relationship Id="rId726" Type="http://schemas.openxmlformats.org/officeDocument/2006/relationships/hyperlink" Target="http://www.mpfiltri.co.uk/" TargetMode="External"/><Relationship Id="rId933" Type="http://schemas.openxmlformats.org/officeDocument/2006/relationships/hyperlink" Target="http://www.mpfiltri.co.uk/" TargetMode="External"/><Relationship Id="rId1009" Type="http://schemas.openxmlformats.org/officeDocument/2006/relationships/hyperlink" Target="http://www.mpfiltri.co.uk/" TargetMode="External"/><Relationship Id="rId62" Type="http://schemas.openxmlformats.org/officeDocument/2006/relationships/hyperlink" Target="http://www.mpfiltri.co.uk/" TargetMode="External"/><Relationship Id="rId365" Type="http://schemas.openxmlformats.org/officeDocument/2006/relationships/hyperlink" Target="http://www.mpfiltri.co.uk/" TargetMode="External"/><Relationship Id="rId572" Type="http://schemas.openxmlformats.org/officeDocument/2006/relationships/hyperlink" Target="http://www.mpfiltri.co.uk/" TargetMode="External"/><Relationship Id="rId225" Type="http://schemas.openxmlformats.org/officeDocument/2006/relationships/hyperlink" Target="http://www.mpfiltri.co.uk/" TargetMode="External"/><Relationship Id="rId432" Type="http://schemas.openxmlformats.org/officeDocument/2006/relationships/hyperlink" Target="http://www.mpfiltri.co.uk/" TargetMode="External"/><Relationship Id="rId877" Type="http://schemas.openxmlformats.org/officeDocument/2006/relationships/hyperlink" Target="http://www.mpfiltri.co.uk/" TargetMode="External"/><Relationship Id="rId737" Type="http://schemas.openxmlformats.org/officeDocument/2006/relationships/hyperlink" Target="http://www.mpfiltri.co.uk/" TargetMode="External"/><Relationship Id="rId944" Type="http://schemas.openxmlformats.org/officeDocument/2006/relationships/hyperlink" Target="http://www.mpfiltri.co.uk/" TargetMode="External"/><Relationship Id="rId73" Type="http://schemas.openxmlformats.org/officeDocument/2006/relationships/hyperlink" Target="http://www.mpfiltri.co.uk/" TargetMode="External"/><Relationship Id="rId169" Type="http://schemas.openxmlformats.org/officeDocument/2006/relationships/hyperlink" Target="http://www.mpfiltri.co.uk/" TargetMode="External"/><Relationship Id="rId376" Type="http://schemas.openxmlformats.org/officeDocument/2006/relationships/hyperlink" Target="http://www.mpfiltri.co.uk/" TargetMode="External"/><Relationship Id="rId583" Type="http://schemas.openxmlformats.org/officeDocument/2006/relationships/hyperlink" Target="http://www.mpfiltri.co.uk/" TargetMode="External"/><Relationship Id="rId790" Type="http://schemas.openxmlformats.org/officeDocument/2006/relationships/hyperlink" Target="http://www.mpfiltri.co.uk/" TargetMode="External"/><Relationship Id="rId804" Type="http://schemas.openxmlformats.org/officeDocument/2006/relationships/hyperlink" Target="http://www.mpfiltri.co.uk/" TargetMode="External"/><Relationship Id="rId4" Type="http://schemas.openxmlformats.org/officeDocument/2006/relationships/hyperlink" Target="http://www.mpfiltri.co.uk/" TargetMode="External"/><Relationship Id="rId236" Type="http://schemas.openxmlformats.org/officeDocument/2006/relationships/hyperlink" Target="http://www.mpfiltri.co.uk/" TargetMode="External"/><Relationship Id="rId443" Type="http://schemas.openxmlformats.org/officeDocument/2006/relationships/hyperlink" Target="http://www.mpfiltri.co.uk/" TargetMode="External"/><Relationship Id="rId650" Type="http://schemas.openxmlformats.org/officeDocument/2006/relationships/hyperlink" Target="http://www.mpfiltri.co.uk/" TargetMode="External"/><Relationship Id="rId888" Type="http://schemas.openxmlformats.org/officeDocument/2006/relationships/hyperlink" Target="http://www.mpfiltri.co.uk/" TargetMode="External"/><Relationship Id="rId303" Type="http://schemas.openxmlformats.org/officeDocument/2006/relationships/hyperlink" Target="http://www.mpfiltri.co.uk/" TargetMode="External"/><Relationship Id="rId748" Type="http://schemas.openxmlformats.org/officeDocument/2006/relationships/hyperlink" Target="http://www.mpfiltri.co.uk/" TargetMode="External"/><Relationship Id="rId955" Type="http://schemas.openxmlformats.org/officeDocument/2006/relationships/hyperlink" Target="http://www.mpfiltri.co.uk/" TargetMode="External"/><Relationship Id="rId84" Type="http://schemas.openxmlformats.org/officeDocument/2006/relationships/hyperlink" Target="http://www.mpfiltri.co.uk/" TargetMode="External"/><Relationship Id="rId387" Type="http://schemas.openxmlformats.org/officeDocument/2006/relationships/hyperlink" Target="http://www.mpfiltri.co.uk/" TargetMode="External"/><Relationship Id="rId510" Type="http://schemas.openxmlformats.org/officeDocument/2006/relationships/hyperlink" Target="http://www.mpfiltri.co.uk/" TargetMode="External"/><Relationship Id="rId594" Type="http://schemas.openxmlformats.org/officeDocument/2006/relationships/hyperlink" Target="http://www.mpfiltri.co.uk/" TargetMode="External"/><Relationship Id="rId608" Type="http://schemas.openxmlformats.org/officeDocument/2006/relationships/hyperlink" Target="http://www.mpfiltri.co.uk/" TargetMode="External"/><Relationship Id="rId815" Type="http://schemas.openxmlformats.org/officeDocument/2006/relationships/hyperlink" Target="http://www.mpfiltri.co.uk/" TargetMode="External"/><Relationship Id="rId247" Type="http://schemas.openxmlformats.org/officeDocument/2006/relationships/hyperlink" Target="http://www.mpfiltri.co.uk/" TargetMode="External"/><Relationship Id="rId899" Type="http://schemas.openxmlformats.org/officeDocument/2006/relationships/hyperlink" Target="http://www.mpfiltri.co.uk/" TargetMode="External"/><Relationship Id="rId1000" Type="http://schemas.openxmlformats.org/officeDocument/2006/relationships/hyperlink" Target="http://www.mpfiltri.co.uk/" TargetMode="External"/><Relationship Id="rId107" Type="http://schemas.openxmlformats.org/officeDocument/2006/relationships/hyperlink" Target="http://www.mpfiltri.co.uk/" TargetMode="External"/><Relationship Id="rId454" Type="http://schemas.openxmlformats.org/officeDocument/2006/relationships/hyperlink" Target="http://www.mpfiltri.co.uk/" TargetMode="External"/><Relationship Id="rId661" Type="http://schemas.openxmlformats.org/officeDocument/2006/relationships/hyperlink" Target="http://www.mpfiltri.co.uk/" TargetMode="External"/><Relationship Id="rId759" Type="http://schemas.openxmlformats.org/officeDocument/2006/relationships/hyperlink" Target="http://www.mpfiltri.co.uk/" TargetMode="External"/><Relationship Id="rId966" Type="http://schemas.openxmlformats.org/officeDocument/2006/relationships/hyperlink" Target="http://www.mpfiltri.co.uk/" TargetMode="External"/><Relationship Id="rId11" Type="http://schemas.openxmlformats.org/officeDocument/2006/relationships/hyperlink" Target="http://www.mpfiltri.co.uk/" TargetMode="External"/><Relationship Id="rId314" Type="http://schemas.openxmlformats.org/officeDocument/2006/relationships/hyperlink" Target="http://www.mpfiltri.co.uk/" TargetMode="External"/><Relationship Id="rId398" Type="http://schemas.openxmlformats.org/officeDocument/2006/relationships/hyperlink" Target="http://www.mpfiltri.co.uk/" TargetMode="External"/><Relationship Id="rId521" Type="http://schemas.openxmlformats.org/officeDocument/2006/relationships/hyperlink" Target="http://www.mpfiltri.co.uk/" TargetMode="External"/><Relationship Id="rId619" Type="http://schemas.openxmlformats.org/officeDocument/2006/relationships/hyperlink" Target="http://www.mpfiltri.co.uk/" TargetMode="External"/><Relationship Id="rId95" Type="http://schemas.openxmlformats.org/officeDocument/2006/relationships/hyperlink" Target="http://www.mpfiltri.co.uk/" TargetMode="External"/><Relationship Id="rId160" Type="http://schemas.openxmlformats.org/officeDocument/2006/relationships/hyperlink" Target="http://www.mpfiltri.co.uk/" TargetMode="External"/><Relationship Id="rId826" Type="http://schemas.openxmlformats.org/officeDocument/2006/relationships/hyperlink" Target="http://www.mpfiltri.co.uk/" TargetMode="External"/><Relationship Id="rId1011" Type="http://schemas.openxmlformats.org/officeDocument/2006/relationships/hyperlink" Target="http://www.mpfiltri.co.uk/" TargetMode="External"/><Relationship Id="rId258" Type="http://schemas.openxmlformats.org/officeDocument/2006/relationships/hyperlink" Target="http://www.mpfiltri.co.uk/" TargetMode="External"/><Relationship Id="rId465" Type="http://schemas.openxmlformats.org/officeDocument/2006/relationships/hyperlink" Target="http://www.mpfiltri.co.uk/" TargetMode="External"/><Relationship Id="rId672" Type="http://schemas.openxmlformats.org/officeDocument/2006/relationships/hyperlink" Target="http://www.mpfiltri.co.uk/" TargetMode="External"/><Relationship Id="rId22" Type="http://schemas.openxmlformats.org/officeDocument/2006/relationships/hyperlink" Target="http://www.mpfiltri.co.uk/" TargetMode="External"/><Relationship Id="rId118" Type="http://schemas.openxmlformats.org/officeDocument/2006/relationships/hyperlink" Target="http://www.mpfiltri.co.uk/" TargetMode="External"/><Relationship Id="rId325" Type="http://schemas.openxmlformats.org/officeDocument/2006/relationships/hyperlink" Target="http://www.mpfiltri.co.uk/" TargetMode="External"/><Relationship Id="rId532" Type="http://schemas.openxmlformats.org/officeDocument/2006/relationships/hyperlink" Target="http://www.mpfiltri.co.uk/" TargetMode="External"/><Relationship Id="rId977" Type="http://schemas.openxmlformats.org/officeDocument/2006/relationships/hyperlink" Target="http://www.mpfiltri.co.uk/" TargetMode="External"/><Relationship Id="rId171" Type="http://schemas.openxmlformats.org/officeDocument/2006/relationships/hyperlink" Target="http://www.mpfiltri.co.uk/" TargetMode="External"/><Relationship Id="rId837" Type="http://schemas.openxmlformats.org/officeDocument/2006/relationships/hyperlink" Target="http://www.mpfiltri.co.uk/" TargetMode="External"/><Relationship Id="rId1022" Type="http://schemas.openxmlformats.org/officeDocument/2006/relationships/hyperlink" Target="http://www.mpfiltri.co.uk/" TargetMode="External"/><Relationship Id="rId269" Type="http://schemas.openxmlformats.org/officeDocument/2006/relationships/hyperlink" Target="http://www.mpfiltri.co.uk/" TargetMode="External"/><Relationship Id="rId476" Type="http://schemas.openxmlformats.org/officeDocument/2006/relationships/hyperlink" Target="http://www.mpfiltri.co.uk/" TargetMode="External"/><Relationship Id="rId683" Type="http://schemas.openxmlformats.org/officeDocument/2006/relationships/hyperlink" Target="http://www.mpfiltri.co.uk/" TargetMode="External"/><Relationship Id="rId890" Type="http://schemas.openxmlformats.org/officeDocument/2006/relationships/hyperlink" Target="http://www.mpfiltri.co.uk/" TargetMode="External"/><Relationship Id="rId904" Type="http://schemas.openxmlformats.org/officeDocument/2006/relationships/hyperlink" Target="http://www.mpfiltri.co.uk/" TargetMode="External"/><Relationship Id="rId33" Type="http://schemas.openxmlformats.org/officeDocument/2006/relationships/hyperlink" Target="http://www.mpfiltri.co.uk/" TargetMode="External"/><Relationship Id="rId129" Type="http://schemas.openxmlformats.org/officeDocument/2006/relationships/hyperlink" Target="http://www.mpfiltri.co.uk/" TargetMode="External"/><Relationship Id="rId336" Type="http://schemas.openxmlformats.org/officeDocument/2006/relationships/hyperlink" Target="http://www.mpfiltri.co.uk/" TargetMode="External"/><Relationship Id="rId543" Type="http://schemas.openxmlformats.org/officeDocument/2006/relationships/hyperlink" Target="http://www.mpfiltri.co.uk/" TargetMode="External"/><Relationship Id="rId988" Type="http://schemas.openxmlformats.org/officeDocument/2006/relationships/hyperlink" Target="http://www.mpfiltri.co.uk/" TargetMode="External"/><Relationship Id="rId182" Type="http://schemas.openxmlformats.org/officeDocument/2006/relationships/hyperlink" Target="http://www.mpfiltri.co.uk/" TargetMode="External"/><Relationship Id="rId403" Type="http://schemas.openxmlformats.org/officeDocument/2006/relationships/hyperlink" Target="http://www.mpfiltri.co.uk/" TargetMode="External"/><Relationship Id="rId750" Type="http://schemas.openxmlformats.org/officeDocument/2006/relationships/hyperlink" Target="http://www.mpfiltri.co.uk/" TargetMode="External"/><Relationship Id="rId848" Type="http://schemas.openxmlformats.org/officeDocument/2006/relationships/hyperlink" Target="http://www.mpfiltri.co.uk/" TargetMode="External"/><Relationship Id="rId487" Type="http://schemas.openxmlformats.org/officeDocument/2006/relationships/hyperlink" Target="http://www.mpfiltri.co.uk/" TargetMode="External"/><Relationship Id="rId610" Type="http://schemas.openxmlformats.org/officeDocument/2006/relationships/hyperlink" Target="http://www.mpfiltri.co.uk/" TargetMode="External"/><Relationship Id="rId694" Type="http://schemas.openxmlformats.org/officeDocument/2006/relationships/hyperlink" Target="http://www.mpfiltri.co.uk/" TargetMode="External"/><Relationship Id="rId708" Type="http://schemas.openxmlformats.org/officeDocument/2006/relationships/hyperlink" Target="http://www.mpfiltri.co.uk/" TargetMode="External"/><Relationship Id="rId915" Type="http://schemas.openxmlformats.org/officeDocument/2006/relationships/hyperlink" Target="http://www.mpfiltri.co.uk/" TargetMode="External"/><Relationship Id="rId347" Type="http://schemas.openxmlformats.org/officeDocument/2006/relationships/hyperlink" Target="http://www.mpfiltri.co.uk/" TargetMode="External"/><Relationship Id="rId999" Type="http://schemas.openxmlformats.org/officeDocument/2006/relationships/hyperlink" Target="http://www.mpfiltri.co.uk/" TargetMode="External"/><Relationship Id="rId44" Type="http://schemas.openxmlformats.org/officeDocument/2006/relationships/hyperlink" Target="http://www.mpfiltri.co.uk/" TargetMode="External"/><Relationship Id="rId554" Type="http://schemas.openxmlformats.org/officeDocument/2006/relationships/hyperlink" Target="http://www.mpfiltri.co.uk/" TargetMode="External"/><Relationship Id="rId761" Type="http://schemas.openxmlformats.org/officeDocument/2006/relationships/hyperlink" Target="http://www.mpfiltri.co.uk/" TargetMode="External"/><Relationship Id="rId859" Type="http://schemas.openxmlformats.org/officeDocument/2006/relationships/hyperlink" Target="http://www.mpfiltri.co.uk/" TargetMode="External"/><Relationship Id="rId193" Type="http://schemas.openxmlformats.org/officeDocument/2006/relationships/hyperlink" Target="http://www.mpfiltri.co.uk/" TargetMode="External"/><Relationship Id="rId207" Type="http://schemas.openxmlformats.org/officeDocument/2006/relationships/hyperlink" Target="http://www.mpfiltri.co.uk/" TargetMode="External"/><Relationship Id="rId414" Type="http://schemas.openxmlformats.org/officeDocument/2006/relationships/hyperlink" Target="http://www.mpfiltri.co.uk/" TargetMode="External"/><Relationship Id="rId498" Type="http://schemas.openxmlformats.org/officeDocument/2006/relationships/hyperlink" Target="http://www.mpfiltri.co.uk/" TargetMode="External"/><Relationship Id="rId621" Type="http://schemas.openxmlformats.org/officeDocument/2006/relationships/hyperlink" Target="http://www.mpfiltri.co.uk/" TargetMode="External"/><Relationship Id="rId260" Type="http://schemas.openxmlformats.org/officeDocument/2006/relationships/hyperlink" Target="http://www.mpfiltri.co.uk/" TargetMode="External"/><Relationship Id="rId719" Type="http://schemas.openxmlformats.org/officeDocument/2006/relationships/hyperlink" Target="http://www.mpfiltri.co.uk/" TargetMode="External"/><Relationship Id="rId926" Type="http://schemas.openxmlformats.org/officeDocument/2006/relationships/hyperlink" Target="http://www.mpfiltri.co.uk/" TargetMode="External"/><Relationship Id="rId55" Type="http://schemas.openxmlformats.org/officeDocument/2006/relationships/hyperlink" Target="http://www.mpfiltri.co.uk/" TargetMode="External"/><Relationship Id="rId120" Type="http://schemas.openxmlformats.org/officeDocument/2006/relationships/hyperlink" Target="http://www.mpfiltri.co.uk/" TargetMode="External"/><Relationship Id="rId358" Type="http://schemas.openxmlformats.org/officeDocument/2006/relationships/hyperlink" Target="http://www.mpfiltri.co.uk/" TargetMode="External"/><Relationship Id="rId565" Type="http://schemas.openxmlformats.org/officeDocument/2006/relationships/hyperlink" Target="http://www.mpfiltri.co.uk/" TargetMode="External"/><Relationship Id="rId772" Type="http://schemas.openxmlformats.org/officeDocument/2006/relationships/hyperlink" Target="http://www.mpfiltri.co.uk/" TargetMode="External"/><Relationship Id="rId218" Type="http://schemas.openxmlformats.org/officeDocument/2006/relationships/hyperlink" Target="http://www.mpfiltri.co.uk/" TargetMode="External"/><Relationship Id="rId425" Type="http://schemas.openxmlformats.org/officeDocument/2006/relationships/hyperlink" Target="http://www.mpfiltri.co.uk/" TargetMode="External"/><Relationship Id="rId632" Type="http://schemas.openxmlformats.org/officeDocument/2006/relationships/hyperlink" Target="http://www.mpfiltri.co.uk/" TargetMode="External"/><Relationship Id="rId271" Type="http://schemas.openxmlformats.org/officeDocument/2006/relationships/hyperlink" Target="http://www.mpfiltri.co.uk/" TargetMode="External"/><Relationship Id="rId937" Type="http://schemas.openxmlformats.org/officeDocument/2006/relationships/hyperlink" Target="http://www.mpfiltri.co.uk/" TargetMode="External"/><Relationship Id="rId66" Type="http://schemas.openxmlformats.org/officeDocument/2006/relationships/hyperlink" Target="http://www.mpfiltri.co.uk/" TargetMode="External"/><Relationship Id="rId131" Type="http://schemas.openxmlformats.org/officeDocument/2006/relationships/hyperlink" Target="http://www.mpfiltri.co.uk/" TargetMode="External"/><Relationship Id="rId369" Type="http://schemas.openxmlformats.org/officeDocument/2006/relationships/hyperlink" Target="http://www.mpfiltri.co.uk/" TargetMode="External"/><Relationship Id="rId576" Type="http://schemas.openxmlformats.org/officeDocument/2006/relationships/hyperlink" Target="http://www.mpfiltri.co.uk/" TargetMode="External"/><Relationship Id="rId783" Type="http://schemas.openxmlformats.org/officeDocument/2006/relationships/hyperlink" Target="http://www.mpfiltri.co.uk/" TargetMode="External"/><Relationship Id="rId990" Type="http://schemas.openxmlformats.org/officeDocument/2006/relationships/hyperlink" Target="http://www.mpfiltri.co.uk/" TargetMode="External"/><Relationship Id="rId229" Type="http://schemas.openxmlformats.org/officeDocument/2006/relationships/hyperlink" Target="http://www.mpfiltri.co.uk/" TargetMode="External"/><Relationship Id="rId436" Type="http://schemas.openxmlformats.org/officeDocument/2006/relationships/hyperlink" Target="http://www.mpfiltri.co.uk/" TargetMode="External"/><Relationship Id="rId643" Type="http://schemas.openxmlformats.org/officeDocument/2006/relationships/hyperlink" Target="http://www.mpfiltri.co.uk/" TargetMode="External"/><Relationship Id="rId850" Type="http://schemas.openxmlformats.org/officeDocument/2006/relationships/hyperlink" Target="http://www.mpfiltri.co.uk/" TargetMode="External"/><Relationship Id="rId948" Type="http://schemas.openxmlformats.org/officeDocument/2006/relationships/hyperlink" Target="http://www.mpfiltri.co.uk/" TargetMode="External"/><Relationship Id="rId77" Type="http://schemas.openxmlformats.org/officeDocument/2006/relationships/hyperlink" Target="http://www.mpfiltri.co.uk/" TargetMode="External"/><Relationship Id="rId282" Type="http://schemas.openxmlformats.org/officeDocument/2006/relationships/hyperlink" Target="http://www.mpfiltri.co.uk/" TargetMode="External"/><Relationship Id="rId503" Type="http://schemas.openxmlformats.org/officeDocument/2006/relationships/hyperlink" Target="http://www.mpfiltri.co.uk/" TargetMode="External"/><Relationship Id="rId587" Type="http://schemas.openxmlformats.org/officeDocument/2006/relationships/hyperlink" Target="http://www.mpfiltri.co.uk/" TargetMode="External"/><Relationship Id="rId710" Type="http://schemas.openxmlformats.org/officeDocument/2006/relationships/hyperlink" Target="http://www.mpfiltri.co.uk/" TargetMode="External"/><Relationship Id="rId808" Type="http://schemas.openxmlformats.org/officeDocument/2006/relationships/hyperlink" Target="http://www.mpfiltri.co.uk/" TargetMode="External"/><Relationship Id="rId8" Type="http://schemas.openxmlformats.org/officeDocument/2006/relationships/hyperlink" Target="http://www.mpfiltri.co.uk/" TargetMode="External"/><Relationship Id="rId142" Type="http://schemas.openxmlformats.org/officeDocument/2006/relationships/hyperlink" Target="http://www.mpfiltri.co.uk/" TargetMode="External"/><Relationship Id="rId447" Type="http://schemas.openxmlformats.org/officeDocument/2006/relationships/hyperlink" Target="http://www.mpfiltri.co.uk/" TargetMode="External"/><Relationship Id="rId794" Type="http://schemas.openxmlformats.org/officeDocument/2006/relationships/hyperlink" Target="http://www.mpfiltri.co.uk/" TargetMode="External"/><Relationship Id="rId654" Type="http://schemas.openxmlformats.org/officeDocument/2006/relationships/hyperlink" Target="http://www.mpfiltri.co.uk/" TargetMode="External"/><Relationship Id="rId861" Type="http://schemas.openxmlformats.org/officeDocument/2006/relationships/hyperlink" Target="http://www.mpfiltri.co.uk/" TargetMode="External"/><Relationship Id="rId959" Type="http://schemas.openxmlformats.org/officeDocument/2006/relationships/hyperlink" Target="http://www.mpfiltri.co.uk/" TargetMode="External"/><Relationship Id="rId293" Type="http://schemas.openxmlformats.org/officeDocument/2006/relationships/hyperlink" Target="http://www.mpfiltri.co.uk/" TargetMode="External"/><Relationship Id="rId307" Type="http://schemas.openxmlformats.org/officeDocument/2006/relationships/hyperlink" Target="http://www.mpfiltri.co.uk/" TargetMode="External"/><Relationship Id="rId514" Type="http://schemas.openxmlformats.org/officeDocument/2006/relationships/hyperlink" Target="http://www.mpfiltri.co.uk/" TargetMode="External"/><Relationship Id="rId721" Type="http://schemas.openxmlformats.org/officeDocument/2006/relationships/hyperlink" Target="http://www.mpfiltri.co.uk/" TargetMode="External"/><Relationship Id="rId88" Type="http://schemas.openxmlformats.org/officeDocument/2006/relationships/hyperlink" Target="http://www.mpfiltri.co.uk/" TargetMode="External"/><Relationship Id="rId153" Type="http://schemas.openxmlformats.org/officeDocument/2006/relationships/hyperlink" Target="http://www.mpfiltri.co.uk/" TargetMode="External"/><Relationship Id="rId360" Type="http://schemas.openxmlformats.org/officeDocument/2006/relationships/hyperlink" Target="http://www.mpfiltri.co.uk/" TargetMode="External"/><Relationship Id="rId598" Type="http://schemas.openxmlformats.org/officeDocument/2006/relationships/hyperlink" Target="http://www.mpfiltri.co.uk/" TargetMode="External"/><Relationship Id="rId819" Type="http://schemas.openxmlformats.org/officeDocument/2006/relationships/hyperlink" Target="http://www.mpfiltri.co.uk/" TargetMode="External"/><Relationship Id="rId1004" Type="http://schemas.openxmlformats.org/officeDocument/2006/relationships/hyperlink" Target="http://www.mpfiltri.co.uk/" TargetMode="External"/><Relationship Id="rId220" Type="http://schemas.openxmlformats.org/officeDocument/2006/relationships/hyperlink" Target="http://www.mpfiltri.co.uk/" TargetMode="External"/><Relationship Id="rId458" Type="http://schemas.openxmlformats.org/officeDocument/2006/relationships/hyperlink" Target="http://www.mpfiltri.co.uk/" TargetMode="External"/><Relationship Id="rId665" Type="http://schemas.openxmlformats.org/officeDocument/2006/relationships/hyperlink" Target="http://www.mpfiltri.co.uk/" TargetMode="External"/><Relationship Id="rId872" Type="http://schemas.openxmlformats.org/officeDocument/2006/relationships/hyperlink" Target="http://www.mpfiltri.co.uk/" TargetMode="External"/><Relationship Id="rId15" Type="http://schemas.openxmlformats.org/officeDocument/2006/relationships/hyperlink" Target="http://www.mpfiltri.co.uk/" TargetMode="External"/><Relationship Id="rId318" Type="http://schemas.openxmlformats.org/officeDocument/2006/relationships/hyperlink" Target="http://www.mpfiltri.co.uk/" TargetMode="External"/><Relationship Id="rId525" Type="http://schemas.openxmlformats.org/officeDocument/2006/relationships/hyperlink" Target="http://www.mpfiltri.co.uk/" TargetMode="External"/><Relationship Id="rId732" Type="http://schemas.openxmlformats.org/officeDocument/2006/relationships/hyperlink" Target="http://www.mpfiltri.co.uk/" TargetMode="External"/><Relationship Id="rId99" Type="http://schemas.openxmlformats.org/officeDocument/2006/relationships/hyperlink" Target="http://www.mpfiltri.co.uk/" TargetMode="External"/><Relationship Id="rId164" Type="http://schemas.openxmlformats.org/officeDocument/2006/relationships/hyperlink" Target="http://www.mpfiltri.co.uk/" TargetMode="External"/><Relationship Id="rId371" Type="http://schemas.openxmlformats.org/officeDocument/2006/relationships/hyperlink" Target="http://www.mpfiltri.co.uk/" TargetMode="External"/><Relationship Id="rId1015" Type="http://schemas.openxmlformats.org/officeDocument/2006/relationships/hyperlink" Target="http://www.mpfiltri.co.uk/" TargetMode="External"/><Relationship Id="rId469" Type="http://schemas.openxmlformats.org/officeDocument/2006/relationships/hyperlink" Target="http://www.mpfiltri.co.uk/" TargetMode="External"/><Relationship Id="rId676" Type="http://schemas.openxmlformats.org/officeDocument/2006/relationships/hyperlink" Target="http://www.mpfiltri.co.uk/" TargetMode="External"/><Relationship Id="rId883" Type="http://schemas.openxmlformats.org/officeDocument/2006/relationships/hyperlink" Target="http://www.mpfiltri.co.uk/" TargetMode="External"/><Relationship Id="rId26" Type="http://schemas.openxmlformats.org/officeDocument/2006/relationships/hyperlink" Target="http://www.mpfiltri.co.uk/" TargetMode="External"/><Relationship Id="rId231" Type="http://schemas.openxmlformats.org/officeDocument/2006/relationships/hyperlink" Target="http://www.mpfiltri.co.uk/" TargetMode="External"/><Relationship Id="rId329" Type="http://schemas.openxmlformats.org/officeDocument/2006/relationships/hyperlink" Target="http://www.mpfiltri.co.uk/" TargetMode="External"/><Relationship Id="rId536" Type="http://schemas.openxmlformats.org/officeDocument/2006/relationships/hyperlink" Target="http://www.mpfiltri.co.uk/" TargetMode="External"/><Relationship Id="rId175" Type="http://schemas.openxmlformats.org/officeDocument/2006/relationships/hyperlink" Target="http://www.mpfiltri.co.uk/" TargetMode="External"/><Relationship Id="rId743" Type="http://schemas.openxmlformats.org/officeDocument/2006/relationships/hyperlink" Target="http://www.mpfiltri.co.uk/" TargetMode="External"/><Relationship Id="rId950" Type="http://schemas.openxmlformats.org/officeDocument/2006/relationships/hyperlink" Target="http://www.mpfiltri.co.uk/" TargetMode="External"/><Relationship Id="rId1026" Type="http://schemas.openxmlformats.org/officeDocument/2006/relationships/printerSettings" Target="../printerSettings/printerSettings12.bin"/><Relationship Id="rId382" Type="http://schemas.openxmlformats.org/officeDocument/2006/relationships/hyperlink" Target="http://www.mpfiltri.co.uk/" TargetMode="External"/><Relationship Id="rId603" Type="http://schemas.openxmlformats.org/officeDocument/2006/relationships/hyperlink" Target="http://www.mpfiltri.co.uk/" TargetMode="External"/><Relationship Id="rId687" Type="http://schemas.openxmlformats.org/officeDocument/2006/relationships/hyperlink" Target="http://www.mpfiltri.co.uk/" TargetMode="External"/><Relationship Id="rId810" Type="http://schemas.openxmlformats.org/officeDocument/2006/relationships/hyperlink" Target="http://www.mpfiltri.co.uk/" TargetMode="External"/><Relationship Id="rId908" Type="http://schemas.openxmlformats.org/officeDocument/2006/relationships/hyperlink" Target="http://www.mpfiltri.co.uk/" TargetMode="External"/><Relationship Id="rId242" Type="http://schemas.openxmlformats.org/officeDocument/2006/relationships/hyperlink" Target="http://www.mpfiltri.co.uk/" TargetMode="External"/><Relationship Id="rId894" Type="http://schemas.openxmlformats.org/officeDocument/2006/relationships/hyperlink" Target="http://www.mpfiltri.co.uk/" TargetMode="External"/><Relationship Id="rId37" Type="http://schemas.openxmlformats.org/officeDocument/2006/relationships/hyperlink" Target="http://www.mpfiltri.co.uk/" TargetMode="External"/><Relationship Id="rId102" Type="http://schemas.openxmlformats.org/officeDocument/2006/relationships/hyperlink" Target="http://www.mpfiltri.co.uk/" TargetMode="External"/><Relationship Id="rId547" Type="http://schemas.openxmlformats.org/officeDocument/2006/relationships/hyperlink" Target="http://www.mpfiltri.co.uk/" TargetMode="External"/><Relationship Id="rId754" Type="http://schemas.openxmlformats.org/officeDocument/2006/relationships/hyperlink" Target="http://www.mpfiltri.co.uk/" TargetMode="External"/><Relationship Id="rId961" Type="http://schemas.openxmlformats.org/officeDocument/2006/relationships/hyperlink" Target="http://www.mpfiltri.co.uk/" TargetMode="External"/><Relationship Id="rId90" Type="http://schemas.openxmlformats.org/officeDocument/2006/relationships/hyperlink" Target="http://www.mpfiltri.co.uk/" TargetMode="External"/><Relationship Id="rId186" Type="http://schemas.openxmlformats.org/officeDocument/2006/relationships/hyperlink" Target="http://www.mpfiltri.co.uk/" TargetMode="External"/><Relationship Id="rId393" Type="http://schemas.openxmlformats.org/officeDocument/2006/relationships/hyperlink" Target="http://www.mpfiltri.co.uk/" TargetMode="External"/><Relationship Id="rId407" Type="http://schemas.openxmlformats.org/officeDocument/2006/relationships/hyperlink" Target="http://www.mpfiltri.co.uk/" TargetMode="External"/><Relationship Id="rId614" Type="http://schemas.openxmlformats.org/officeDocument/2006/relationships/hyperlink" Target="http://www.mpfiltri.co.uk/" TargetMode="External"/><Relationship Id="rId821" Type="http://schemas.openxmlformats.org/officeDocument/2006/relationships/hyperlink" Target="http://www.mpfiltri.co.uk/" TargetMode="External"/><Relationship Id="rId253" Type="http://schemas.openxmlformats.org/officeDocument/2006/relationships/hyperlink" Target="http://www.mpfiltri.co.uk/" TargetMode="External"/><Relationship Id="rId460" Type="http://schemas.openxmlformats.org/officeDocument/2006/relationships/hyperlink" Target="http://www.mpfiltri.co.uk/" TargetMode="External"/><Relationship Id="rId698" Type="http://schemas.openxmlformats.org/officeDocument/2006/relationships/hyperlink" Target="http://www.mpfiltri.co.uk/" TargetMode="External"/><Relationship Id="rId919" Type="http://schemas.openxmlformats.org/officeDocument/2006/relationships/hyperlink" Target="http://www.mpfiltri.co.uk/" TargetMode="External"/><Relationship Id="rId48" Type="http://schemas.openxmlformats.org/officeDocument/2006/relationships/hyperlink" Target="http://www.mpfiltri.co.uk/" TargetMode="External"/><Relationship Id="rId113" Type="http://schemas.openxmlformats.org/officeDocument/2006/relationships/hyperlink" Target="http://www.mpfiltri.co.uk/" TargetMode="External"/><Relationship Id="rId320" Type="http://schemas.openxmlformats.org/officeDocument/2006/relationships/hyperlink" Target="http://www.mpfiltri.co.uk/" TargetMode="External"/><Relationship Id="rId558" Type="http://schemas.openxmlformats.org/officeDocument/2006/relationships/hyperlink" Target="http://www.mpfiltri.co.uk/" TargetMode="External"/><Relationship Id="rId765" Type="http://schemas.openxmlformats.org/officeDocument/2006/relationships/hyperlink" Target="http://www.mpfiltri.co.uk/" TargetMode="External"/><Relationship Id="rId972" Type="http://schemas.openxmlformats.org/officeDocument/2006/relationships/hyperlink" Target="http://www.mpfiltri.co.uk/" TargetMode="External"/><Relationship Id="rId197" Type="http://schemas.openxmlformats.org/officeDocument/2006/relationships/hyperlink" Target="http://www.mpfiltri.co.uk/" TargetMode="External"/><Relationship Id="rId418" Type="http://schemas.openxmlformats.org/officeDocument/2006/relationships/hyperlink" Target="http://www.mpfiltri.co.uk/" TargetMode="External"/><Relationship Id="rId625" Type="http://schemas.openxmlformats.org/officeDocument/2006/relationships/hyperlink" Target="http://www.mpfiltri.co.uk/" TargetMode="External"/><Relationship Id="rId832" Type="http://schemas.openxmlformats.org/officeDocument/2006/relationships/hyperlink" Target="http://www.mpfiltri.co.uk/" TargetMode="External"/><Relationship Id="rId264" Type="http://schemas.openxmlformats.org/officeDocument/2006/relationships/hyperlink" Target="http://www.mpfiltri.co.uk/" TargetMode="External"/><Relationship Id="rId471" Type="http://schemas.openxmlformats.org/officeDocument/2006/relationships/hyperlink" Target="http://www.mpfiltri.co.uk/" TargetMode="External"/><Relationship Id="rId59" Type="http://schemas.openxmlformats.org/officeDocument/2006/relationships/hyperlink" Target="http://www.mpfiltri.co.uk/" TargetMode="External"/><Relationship Id="rId124" Type="http://schemas.openxmlformats.org/officeDocument/2006/relationships/hyperlink" Target="http://www.mpfiltri.co.uk/" TargetMode="External"/><Relationship Id="rId569" Type="http://schemas.openxmlformats.org/officeDocument/2006/relationships/hyperlink" Target="http://www.mpfiltri.co.uk/" TargetMode="External"/><Relationship Id="rId776" Type="http://schemas.openxmlformats.org/officeDocument/2006/relationships/hyperlink" Target="http://www.mpfiltri.co.uk/" TargetMode="External"/><Relationship Id="rId983" Type="http://schemas.openxmlformats.org/officeDocument/2006/relationships/hyperlink" Target="http://www.mpfiltri.co.uk/" TargetMode="External"/><Relationship Id="rId331" Type="http://schemas.openxmlformats.org/officeDocument/2006/relationships/hyperlink" Target="http://www.mpfiltri.co.uk/" TargetMode="External"/><Relationship Id="rId429" Type="http://schemas.openxmlformats.org/officeDocument/2006/relationships/hyperlink" Target="http://www.mpfiltri.co.uk/" TargetMode="External"/><Relationship Id="rId636" Type="http://schemas.openxmlformats.org/officeDocument/2006/relationships/hyperlink" Target="http://www.mpfiltri.co.uk/" TargetMode="External"/><Relationship Id="rId843" Type="http://schemas.openxmlformats.org/officeDocument/2006/relationships/hyperlink" Target="http://www.mpfiltri.co.uk/" TargetMode="External"/><Relationship Id="rId275" Type="http://schemas.openxmlformats.org/officeDocument/2006/relationships/hyperlink" Target="http://www.mpfiltri.co.uk/" TargetMode="External"/><Relationship Id="rId482" Type="http://schemas.openxmlformats.org/officeDocument/2006/relationships/hyperlink" Target="http://www.mpfiltri.co.uk/" TargetMode="External"/><Relationship Id="rId703" Type="http://schemas.openxmlformats.org/officeDocument/2006/relationships/hyperlink" Target="http://www.mpfiltri.co.uk/" TargetMode="External"/><Relationship Id="rId910" Type="http://schemas.openxmlformats.org/officeDocument/2006/relationships/hyperlink" Target="http://www.mpfiltri.co.uk/" TargetMode="External"/><Relationship Id="rId135" Type="http://schemas.openxmlformats.org/officeDocument/2006/relationships/hyperlink" Target="http://www.mpfiltri.co.uk/" TargetMode="External"/><Relationship Id="rId342" Type="http://schemas.openxmlformats.org/officeDocument/2006/relationships/hyperlink" Target="http://www.mpfiltri.co.uk/" TargetMode="External"/><Relationship Id="rId787" Type="http://schemas.openxmlformats.org/officeDocument/2006/relationships/hyperlink" Target="http://www.mpfiltri.co.uk/" TargetMode="External"/><Relationship Id="rId994" Type="http://schemas.openxmlformats.org/officeDocument/2006/relationships/hyperlink" Target="http://www.mpfiltri.co.uk/" TargetMode="External"/><Relationship Id="rId202" Type="http://schemas.openxmlformats.org/officeDocument/2006/relationships/hyperlink" Target="http://www.mpfiltri.co.uk/" TargetMode="External"/><Relationship Id="rId647" Type="http://schemas.openxmlformats.org/officeDocument/2006/relationships/hyperlink" Target="http://www.mpfiltri.co.uk/" TargetMode="External"/><Relationship Id="rId854" Type="http://schemas.openxmlformats.org/officeDocument/2006/relationships/hyperlink" Target="http://www.mpfiltri.co.uk/" TargetMode="External"/><Relationship Id="rId286" Type="http://schemas.openxmlformats.org/officeDocument/2006/relationships/hyperlink" Target="http://www.mpfiltri.co.uk/" TargetMode="External"/><Relationship Id="rId493" Type="http://schemas.openxmlformats.org/officeDocument/2006/relationships/hyperlink" Target="http://www.mpfiltri.co.uk/" TargetMode="External"/><Relationship Id="rId507" Type="http://schemas.openxmlformats.org/officeDocument/2006/relationships/hyperlink" Target="http://www.mpfiltri.co.uk/" TargetMode="External"/><Relationship Id="rId714" Type="http://schemas.openxmlformats.org/officeDocument/2006/relationships/hyperlink" Target="http://www.mpfiltri.co.uk/" TargetMode="External"/><Relationship Id="rId921" Type="http://schemas.openxmlformats.org/officeDocument/2006/relationships/hyperlink" Target="http://www.mpfiltri.co.uk/" TargetMode="External"/><Relationship Id="rId50" Type="http://schemas.openxmlformats.org/officeDocument/2006/relationships/hyperlink" Target="http://www.mpfiltri.co.uk/" TargetMode="External"/><Relationship Id="rId146" Type="http://schemas.openxmlformats.org/officeDocument/2006/relationships/hyperlink" Target="http://www.mpfiltri.co.uk/" TargetMode="External"/><Relationship Id="rId353" Type="http://schemas.openxmlformats.org/officeDocument/2006/relationships/hyperlink" Target="http://www.mpfiltri.co.uk/" TargetMode="External"/><Relationship Id="rId560" Type="http://schemas.openxmlformats.org/officeDocument/2006/relationships/hyperlink" Target="http://www.mpfiltri.co.uk/" TargetMode="External"/><Relationship Id="rId798" Type="http://schemas.openxmlformats.org/officeDocument/2006/relationships/hyperlink" Target="http://www.mpfiltri.co.uk/" TargetMode="External"/><Relationship Id="rId213" Type="http://schemas.openxmlformats.org/officeDocument/2006/relationships/hyperlink" Target="http://www.mpfiltri.co.uk/" TargetMode="External"/><Relationship Id="rId420" Type="http://schemas.openxmlformats.org/officeDocument/2006/relationships/hyperlink" Target="http://www.mpfiltri.co.uk/" TargetMode="External"/><Relationship Id="rId658" Type="http://schemas.openxmlformats.org/officeDocument/2006/relationships/hyperlink" Target="http://www.mpfiltri.co.uk/" TargetMode="External"/><Relationship Id="rId865" Type="http://schemas.openxmlformats.org/officeDocument/2006/relationships/hyperlink" Target="http://www.mpfiltri.co.uk/" TargetMode="External"/><Relationship Id="rId297" Type="http://schemas.openxmlformats.org/officeDocument/2006/relationships/hyperlink" Target="http://www.mpfiltri.co.uk/" TargetMode="External"/><Relationship Id="rId518" Type="http://schemas.openxmlformats.org/officeDocument/2006/relationships/hyperlink" Target="http://www.mpfiltri.co.uk/" TargetMode="External"/><Relationship Id="rId725" Type="http://schemas.openxmlformats.org/officeDocument/2006/relationships/hyperlink" Target="http://www.mpfiltri.co.uk/" TargetMode="External"/><Relationship Id="rId932" Type="http://schemas.openxmlformats.org/officeDocument/2006/relationships/hyperlink" Target="http://www.mpfiltri.co.uk/" TargetMode="External"/><Relationship Id="rId157" Type="http://schemas.openxmlformats.org/officeDocument/2006/relationships/hyperlink" Target="http://www.mpfiltri.co.uk/" TargetMode="External"/><Relationship Id="rId364" Type="http://schemas.openxmlformats.org/officeDocument/2006/relationships/hyperlink" Target="http://www.mpfiltri.co.uk/" TargetMode="External"/><Relationship Id="rId1008" Type="http://schemas.openxmlformats.org/officeDocument/2006/relationships/hyperlink" Target="http://www.mpfiltri.co.uk/" TargetMode="External"/><Relationship Id="rId61" Type="http://schemas.openxmlformats.org/officeDocument/2006/relationships/hyperlink" Target="http://www.mpfiltri.co.uk/" TargetMode="External"/><Relationship Id="rId571" Type="http://schemas.openxmlformats.org/officeDocument/2006/relationships/hyperlink" Target="http://www.mpfiltri.co.uk/" TargetMode="External"/><Relationship Id="rId669" Type="http://schemas.openxmlformats.org/officeDocument/2006/relationships/hyperlink" Target="http://www.mpfiltri.co.uk/" TargetMode="External"/><Relationship Id="rId876" Type="http://schemas.openxmlformats.org/officeDocument/2006/relationships/hyperlink" Target="http://www.mpfiltri.co.uk/" TargetMode="External"/><Relationship Id="rId19" Type="http://schemas.openxmlformats.org/officeDocument/2006/relationships/hyperlink" Target="http://www.mpfiltri.co.uk/" TargetMode="External"/><Relationship Id="rId224" Type="http://schemas.openxmlformats.org/officeDocument/2006/relationships/hyperlink" Target="http://www.mpfiltri.co.uk/" TargetMode="External"/><Relationship Id="rId431" Type="http://schemas.openxmlformats.org/officeDocument/2006/relationships/hyperlink" Target="http://www.mpfiltri.co.uk/" TargetMode="External"/><Relationship Id="rId529" Type="http://schemas.openxmlformats.org/officeDocument/2006/relationships/hyperlink" Target="http://www.mpfiltri.co.uk/" TargetMode="External"/><Relationship Id="rId736" Type="http://schemas.openxmlformats.org/officeDocument/2006/relationships/hyperlink" Target="http://www.mpfiltri.co.uk/" TargetMode="External"/><Relationship Id="rId168" Type="http://schemas.openxmlformats.org/officeDocument/2006/relationships/hyperlink" Target="http://www.mpfiltri.co.uk/" TargetMode="External"/><Relationship Id="rId943" Type="http://schemas.openxmlformats.org/officeDocument/2006/relationships/hyperlink" Target="http://www.mpfiltri.co.uk/" TargetMode="External"/><Relationship Id="rId1019" Type="http://schemas.openxmlformats.org/officeDocument/2006/relationships/hyperlink" Target="http://www.mpfiltri.co.uk/" TargetMode="External"/><Relationship Id="rId72" Type="http://schemas.openxmlformats.org/officeDocument/2006/relationships/hyperlink" Target="http://www.mpfiltri.co.uk/" TargetMode="External"/><Relationship Id="rId375" Type="http://schemas.openxmlformats.org/officeDocument/2006/relationships/hyperlink" Target="http://www.mpfiltri.co.uk/" TargetMode="External"/><Relationship Id="rId582" Type="http://schemas.openxmlformats.org/officeDocument/2006/relationships/hyperlink" Target="http://www.mpfiltri.co.uk/" TargetMode="External"/><Relationship Id="rId803" Type="http://schemas.openxmlformats.org/officeDocument/2006/relationships/hyperlink" Target="http://www.mpfiltri.co.uk/" TargetMode="External"/><Relationship Id="rId3" Type="http://schemas.openxmlformats.org/officeDocument/2006/relationships/hyperlink" Target="http://www.mpfiltri.co.uk/" TargetMode="External"/><Relationship Id="rId235" Type="http://schemas.openxmlformats.org/officeDocument/2006/relationships/hyperlink" Target="http://www.mpfiltri.co.uk/" TargetMode="External"/><Relationship Id="rId442" Type="http://schemas.openxmlformats.org/officeDocument/2006/relationships/hyperlink" Target="http://www.mpfiltri.co.uk/" TargetMode="External"/><Relationship Id="rId887" Type="http://schemas.openxmlformats.org/officeDocument/2006/relationships/hyperlink" Target="http://www.mpfiltri.co.uk/" TargetMode="External"/><Relationship Id="rId302" Type="http://schemas.openxmlformats.org/officeDocument/2006/relationships/hyperlink" Target="http://www.mpfiltri.co.uk/" TargetMode="External"/><Relationship Id="rId747" Type="http://schemas.openxmlformats.org/officeDocument/2006/relationships/hyperlink" Target="http://www.mpfiltri.co.uk/" TargetMode="External"/><Relationship Id="rId954" Type="http://schemas.openxmlformats.org/officeDocument/2006/relationships/hyperlink" Target="http://www.mpfiltri.co.uk/" TargetMode="External"/><Relationship Id="rId83" Type="http://schemas.openxmlformats.org/officeDocument/2006/relationships/hyperlink" Target="http://www.mpfiltri.co.uk/" TargetMode="External"/><Relationship Id="rId179" Type="http://schemas.openxmlformats.org/officeDocument/2006/relationships/hyperlink" Target="http://www.mpfiltri.co.uk/" TargetMode="External"/><Relationship Id="rId386" Type="http://schemas.openxmlformats.org/officeDocument/2006/relationships/hyperlink" Target="http://www.mpfiltri.co.uk/" TargetMode="External"/><Relationship Id="rId593" Type="http://schemas.openxmlformats.org/officeDocument/2006/relationships/hyperlink" Target="http://www.mpfiltri.co.uk/" TargetMode="External"/><Relationship Id="rId607" Type="http://schemas.openxmlformats.org/officeDocument/2006/relationships/hyperlink" Target="http://www.mpfiltri.co.uk/" TargetMode="External"/><Relationship Id="rId814" Type="http://schemas.openxmlformats.org/officeDocument/2006/relationships/hyperlink" Target="http://www.mpfiltri.co.uk/" TargetMode="External"/><Relationship Id="rId246" Type="http://schemas.openxmlformats.org/officeDocument/2006/relationships/hyperlink" Target="http://www.mpfiltri.co.uk/" TargetMode="External"/><Relationship Id="rId453" Type="http://schemas.openxmlformats.org/officeDocument/2006/relationships/hyperlink" Target="http://www.mpfiltri.co.uk/" TargetMode="External"/><Relationship Id="rId660" Type="http://schemas.openxmlformats.org/officeDocument/2006/relationships/hyperlink" Target="http://www.mpfiltri.co.uk/" TargetMode="External"/><Relationship Id="rId898" Type="http://schemas.openxmlformats.org/officeDocument/2006/relationships/hyperlink" Target="http://www.mpfiltri.co.uk/" TargetMode="External"/><Relationship Id="rId106" Type="http://schemas.openxmlformats.org/officeDocument/2006/relationships/hyperlink" Target="http://www.mpfiltri.co.uk/" TargetMode="External"/><Relationship Id="rId313" Type="http://schemas.openxmlformats.org/officeDocument/2006/relationships/hyperlink" Target="http://www.mpfiltri.co.uk/" TargetMode="External"/><Relationship Id="rId758" Type="http://schemas.openxmlformats.org/officeDocument/2006/relationships/hyperlink" Target="http://www.mpfiltri.co.uk/" TargetMode="External"/><Relationship Id="rId965" Type="http://schemas.openxmlformats.org/officeDocument/2006/relationships/hyperlink" Target="http://www.mpfiltri.co.uk/" TargetMode="External"/><Relationship Id="rId10" Type="http://schemas.openxmlformats.org/officeDocument/2006/relationships/hyperlink" Target="http://www.mpfiltri.co.uk/" TargetMode="External"/><Relationship Id="rId94" Type="http://schemas.openxmlformats.org/officeDocument/2006/relationships/hyperlink" Target="http://www.mpfiltri.co.uk/" TargetMode="External"/><Relationship Id="rId397" Type="http://schemas.openxmlformats.org/officeDocument/2006/relationships/hyperlink" Target="http://www.mpfiltri.co.uk/" TargetMode="External"/><Relationship Id="rId520" Type="http://schemas.openxmlformats.org/officeDocument/2006/relationships/hyperlink" Target="http://www.mpfiltri.co.uk/" TargetMode="External"/><Relationship Id="rId618" Type="http://schemas.openxmlformats.org/officeDocument/2006/relationships/hyperlink" Target="http://www.mpfiltri.co.uk/" TargetMode="External"/><Relationship Id="rId825" Type="http://schemas.openxmlformats.org/officeDocument/2006/relationships/hyperlink" Target="http://www.mpfiltri.co.uk/" TargetMode="External"/><Relationship Id="rId257" Type="http://schemas.openxmlformats.org/officeDocument/2006/relationships/hyperlink" Target="http://www.mpfiltri.co.uk/" TargetMode="External"/><Relationship Id="rId464" Type="http://schemas.openxmlformats.org/officeDocument/2006/relationships/hyperlink" Target="http://www.mpfiltri.co.uk/" TargetMode="External"/><Relationship Id="rId1010" Type="http://schemas.openxmlformats.org/officeDocument/2006/relationships/hyperlink" Target="http://www.mpfiltri.co.uk/" TargetMode="External"/><Relationship Id="rId117" Type="http://schemas.openxmlformats.org/officeDocument/2006/relationships/hyperlink" Target="http://www.mpfiltri.co.uk/" TargetMode="External"/><Relationship Id="rId671" Type="http://schemas.openxmlformats.org/officeDocument/2006/relationships/hyperlink" Target="http://www.mpfiltri.co.uk/" TargetMode="External"/><Relationship Id="rId769" Type="http://schemas.openxmlformats.org/officeDocument/2006/relationships/hyperlink" Target="http://www.mpfiltri.co.uk/" TargetMode="External"/><Relationship Id="rId976" Type="http://schemas.openxmlformats.org/officeDocument/2006/relationships/hyperlink" Target="http://www.mpfiltri.co.uk/" TargetMode="External"/><Relationship Id="rId324" Type="http://schemas.openxmlformats.org/officeDocument/2006/relationships/hyperlink" Target="http://www.mpfiltri.co.uk/" TargetMode="External"/><Relationship Id="rId531" Type="http://schemas.openxmlformats.org/officeDocument/2006/relationships/hyperlink" Target="http://www.mpfiltri.co.uk/" TargetMode="External"/><Relationship Id="rId629" Type="http://schemas.openxmlformats.org/officeDocument/2006/relationships/hyperlink" Target="http://www.mpfiltri.co.uk/" TargetMode="Externa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9.xml.rels><?xml version="1.0" encoding="UTF-8" standalone="yes"?>
<Relationships xmlns="http://schemas.openxmlformats.org/package/2006/relationships"><Relationship Id="rId3" Type="http://schemas.openxmlformats.org/officeDocument/2006/relationships/drawing" Target="../drawings/drawing17.xml"/><Relationship Id="rId2" Type="http://schemas.openxmlformats.org/officeDocument/2006/relationships/printerSettings" Target="../printerSettings/printerSettings14.bin"/><Relationship Id="rId1" Type="http://schemas.openxmlformats.org/officeDocument/2006/relationships/hyperlink" Target="http://www.mpfiltri.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pageSetUpPr fitToPage="1"/>
  </sheetPr>
  <dimension ref="A1:N93"/>
  <sheetViews>
    <sheetView workbookViewId="0">
      <selection activeCell="O19" sqref="O19"/>
    </sheetView>
  </sheetViews>
  <sheetFormatPr defaultColWidth="9.140625" defaultRowHeight="12.75" x14ac:dyDescent="0.2"/>
  <cols>
    <col min="1" max="1" width="8.28515625" style="3" customWidth="1"/>
    <col min="2" max="2" width="9.5703125" style="3" bestFit="1" customWidth="1"/>
    <col min="3" max="3" width="10.140625" style="3" bestFit="1" customWidth="1"/>
    <col min="4" max="4" width="10.28515625" style="3" customWidth="1"/>
    <col min="5" max="5" width="6.42578125" style="3" customWidth="1"/>
    <col min="6" max="6" width="13.140625" style="4" customWidth="1"/>
    <col min="7" max="7" width="6.42578125" style="3" customWidth="1"/>
    <col min="8" max="9" width="12.42578125" style="3" bestFit="1" customWidth="1"/>
    <col min="10" max="10" width="6.42578125" style="3" customWidth="1"/>
    <col min="11" max="11" width="12.85546875" style="3" customWidth="1"/>
    <col min="12" max="12" width="12.85546875" style="4" customWidth="1"/>
    <col min="13" max="13" width="12.85546875" style="3" customWidth="1"/>
    <col min="14" max="14" width="12.85546875" style="4" customWidth="1"/>
    <col min="15" max="16384" width="9.140625" style="1"/>
  </cols>
  <sheetData>
    <row r="1" spans="1:14" ht="15.75" x14ac:dyDescent="0.25">
      <c r="A1" s="9" t="s">
        <v>0</v>
      </c>
      <c r="H1" s="9" t="s">
        <v>1</v>
      </c>
    </row>
    <row r="2" spans="1:14" x14ac:dyDescent="0.2">
      <c r="H2" s="3">
        <v>4</v>
      </c>
      <c r="K2" s="271" t="s">
        <v>2</v>
      </c>
      <c r="L2" s="272"/>
      <c r="M2" s="271" t="s">
        <v>3</v>
      </c>
      <c r="N2" s="272"/>
    </row>
    <row r="3" spans="1:14" s="2" customFormat="1" ht="27" customHeight="1" x14ac:dyDescent="0.2">
      <c r="A3" s="273" t="s">
        <v>4</v>
      </c>
      <c r="B3" s="273" t="s">
        <v>5</v>
      </c>
      <c r="C3" s="273" t="s">
        <v>6</v>
      </c>
      <c r="D3" s="274" t="s">
        <v>7</v>
      </c>
      <c r="F3" s="275" t="s">
        <v>8</v>
      </c>
      <c r="H3" s="276" t="s">
        <v>4</v>
      </c>
      <c r="I3" s="276" t="s">
        <v>6</v>
      </c>
      <c r="K3" s="276" t="s">
        <v>9</v>
      </c>
      <c r="L3" s="275" t="s">
        <v>10</v>
      </c>
      <c r="M3" s="276" t="s">
        <v>9</v>
      </c>
      <c r="N3" s="275" t="s">
        <v>10</v>
      </c>
    </row>
    <row r="4" spans="1:14" x14ac:dyDescent="0.2">
      <c r="A4" s="28">
        <v>1</v>
      </c>
      <c r="B4" s="29">
        <v>108400</v>
      </c>
      <c r="C4" s="26">
        <f>B4/2.8</f>
        <v>38714.285714285717</v>
      </c>
      <c r="D4" s="32">
        <v>0.27400000000000002</v>
      </c>
      <c r="F4" s="14">
        <f>LN(C4)</f>
        <v>10.563963950806524</v>
      </c>
      <c r="H4" s="277">
        <v>50</v>
      </c>
      <c r="I4" s="278" t="e">
        <f ca="1">EXP(interpolate($A$4:$A$93, $F$4:$F$93, $H4,$H$2,FALSE))</f>
        <v>#NAME?</v>
      </c>
      <c r="K4" s="279">
        <v>1</v>
      </c>
      <c r="L4" s="280" t="e">
        <f ca="1">EXP(interpolate($A$4:$A$92, $F$4:$F$92, $K4,$H$2,TRUE))</f>
        <v>#NAME?</v>
      </c>
      <c r="M4" s="279">
        <v>1</v>
      </c>
      <c r="N4" s="280" t="e">
        <f ca="1">EXP(interpolate($A$4:$A$93, $F$4:$F$93, M4,$H$2,TRUE))</f>
        <v>#NAME?</v>
      </c>
    </row>
    <row r="5" spans="1:14" x14ac:dyDescent="0.2">
      <c r="A5" s="28">
        <v>2</v>
      </c>
      <c r="B5" s="29">
        <v>27035</v>
      </c>
      <c r="C5" s="26">
        <f t="shared" ref="C5:C53" si="0">B5/2.8</f>
        <v>9655.3571428571431</v>
      </c>
      <c r="D5" s="32">
        <v>0.26500000000000001</v>
      </c>
      <c r="F5" s="14">
        <f t="shared" ref="F5:F53" si="1">LN(C5)</f>
        <v>9.1752681846349464</v>
      </c>
      <c r="K5" s="12">
        <v>1.1000000000000001</v>
      </c>
      <c r="L5" s="10" t="e">
        <f t="shared" ref="L5:L68" ca="1" si="2">EXP(interpolate($A$4:$A$92, $F$4:$F$92, $K5,$H$2,TRUE))</f>
        <v>#NAME?</v>
      </c>
      <c r="M5" s="12">
        <v>2</v>
      </c>
      <c r="N5" s="10" t="e">
        <f t="shared" ref="N5:N68" ca="1" si="3">EXP(interpolate($A$4:$A$93, $F$4:$F$93, M5,$H$2,TRUE))</f>
        <v>#NAME?</v>
      </c>
    </row>
    <row r="6" spans="1:14" x14ac:dyDescent="0.2">
      <c r="A6" s="28">
        <v>3</v>
      </c>
      <c r="B6" s="29">
        <v>11209</v>
      </c>
      <c r="C6" s="26">
        <f t="shared" si="0"/>
        <v>4003.2142857142858</v>
      </c>
      <c r="D6" s="32">
        <v>0.27200000000000002</v>
      </c>
      <c r="F6" s="14">
        <f t="shared" si="1"/>
        <v>8.2948528888399373</v>
      </c>
      <c r="K6" s="12">
        <v>1.2</v>
      </c>
      <c r="L6" s="10" t="e">
        <f t="shared" ca="1" si="2"/>
        <v>#NAME?</v>
      </c>
      <c r="M6" s="12">
        <v>3</v>
      </c>
      <c r="N6" s="10" t="e">
        <f t="shared" ca="1" si="3"/>
        <v>#NAME?</v>
      </c>
    </row>
    <row r="7" spans="1:14" x14ac:dyDescent="0.2">
      <c r="A7" s="28">
        <v>4</v>
      </c>
      <c r="B7" s="29">
        <v>6095</v>
      </c>
      <c r="C7" s="26">
        <f t="shared" si="0"/>
        <v>2176.7857142857142</v>
      </c>
      <c r="D7" s="32">
        <v>0.308</v>
      </c>
      <c r="F7" s="14">
        <f t="shared" si="1"/>
        <v>7.6856046247342134</v>
      </c>
      <c r="K7" s="12">
        <v>1.3</v>
      </c>
      <c r="L7" s="10" t="e">
        <f t="shared" ca="1" si="2"/>
        <v>#NAME?</v>
      </c>
      <c r="M7" s="12">
        <v>4</v>
      </c>
      <c r="N7" s="10" t="e">
        <f t="shared" ca="1" si="3"/>
        <v>#NAME?</v>
      </c>
    </row>
    <row r="8" spans="1:14" x14ac:dyDescent="0.2">
      <c r="A8" s="28">
        <v>5</v>
      </c>
      <c r="B8" s="29">
        <v>3737</v>
      </c>
      <c r="C8" s="26">
        <f t="shared" si="0"/>
        <v>1334.6428571428573</v>
      </c>
      <c r="D8" s="32">
        <v>0.41399999999999998</v>
      </c>
      <c r="F8" s="14">
        <f t="shared" si="1"/>
        <v>7.1964190123043261</v>
      </c>
      <c r="H8" s="281" t="s">
        <v>11</v>
      </c>
      <c r="I8" s="282">
        <v>10000</v>
      </c>
      <c r="K8" s="12">
        <v>1.4</v>
      </c>
      <c r="L8" s="10" t="e">
        <f t="shared" ca="1" si="2"/>
        <v>#NAME?</v>
      </c>
      <c r="M8" s="12">
        <v>5</v>
      </c>
      <c r="N8" s="10" t="e">
        <f t="shared" ca="1" si="3"/>
        <v>#NAME?</v>
      </c>
    </row>
    <row r="9" spans="1:14" x14ac:dyDescent="0.2">
      <c r="A9" s="28">
        <v>6</v>
      </c>
      <c r="B9" s="29">
        <v>2395</v>
      </c>
      <c r="C9" s="26">
        <f t="shared" si="0"/>
        <v>855.35714285714289</v>
      </c>
      <c r="D9" s="32">
        <v>0.56000000000000005</v>
      </c>
      <c r="F9" s="14">
        <f t="shared" si="1"/>
        <v>6.7515190926638571</v>
      </c>
      <c r="H9" s="281" t="s">
        <v>12</v>
      </c>
      <c r="I9" s="278">
        <f>LN(I8)</f>
        <v>9.2103403719761836</v>
      </c>
      <c r="K9" s="12">
        <v>1.5</v>
      </c>
      <c r="L9" s="10" t="e">
        <f t="shared" ca="1" si="2"/>
        <v>#NAME?</v>
      </c>
      <c r="M9" s="12">
        <v>6</v>
      </c>
      <c r="N9" s="10" t="e">
        <f t="shared" ca="1" si="3"/>
        <v>#NAME?</v>
      </c>
    </row>
    <row r="10" spans="1:14" x14ac:dyDescent="0.2">
      <c r="A10" s="28">
        <v>7</v>
      </c>
      <c r="B10" s="29">
        <v>1573</v>
      </c>
      <c r="C10" s="26">
        <f t="shared" si="0"/>
        <v>561.78571428571433</v>
      </c>
      <c r="D10" s="32">
        <v>0.54200000000000004</v>
      </c>
      <c r="F10" s="14">
        <f t="shared" si="1"/>
        <v>6.3311204858771193</v>
      </c>
      <c r="H10" s="281" t="s">
        <v>4</v>
      </c>
      <c r="I10" s="278" t="e">
        <f ca="1">interpolate($F$4:$F$93, $A$4:$A$93, $I9,$H$2,FALSE)</f>
        <v>#NAME?</v>
      </c>
      <c r="K10" s="12">
        <v>1.6</v>
      </c>
      <c r="L10" s="10" t="e">
        <f t="shared" ca="1" si="2"/>
        <v>#NAME?</v>
      </c>
      <c r="M10" s="12">
        <v>7</v>
      </c>
      <c r="N10" s="10" t="e">
        <f t="shared" ca="1" si="3"/>
        <v>#NAME?</v>
      </c>
    </row>
    <row r="11" spans="1:14" x14ac:dyDescent="0.2">
      <c r="A11" s="28">
        <v>8</v>
      </c>
      <c r="B11" s="29">
        <v>1055</v>
      </c>
      <c r="C11" s="26">
        <f t="shared" si="0"/>
        <v>376.78571428571433</v>
      </c>
      <c r="D11" s="32">
        <v>0.499</v>
      </c>
      <c r="F11" s="14">
        <f t="shared" si="1"/>
        <v>5.9316766287290088</v>
      </c>
      <c r="K11" s="12">
        <v>1.7</v>
      </c>
      <c r="L11" s="10" t="e">
        <f t="shared" ca="1" si="2"/>
        <v>#NAME?</v>
      </c>
      <c r="M11" s="12">
        <v>8</v>
      </c>
      <c r="N11" s="10" t="e">
        <f t="shared" ca="1" si="3"/>
        <v>#NAME?</v>
      </c>
    </row>
    <row r="12" spans="1:14" x14ac:dyDescent="0.2">
      <c r="A12" s="28">
        <v>9</v>
      </c>
      <c r="B12" s="29">
        <v>725.8</v>
      </c>
      <c r="C12" s="26">
        <f t="shared" si="0"/>
        <v>259.21428571428572</v>
      </c>
      <c r="D12" s="32">
        <v>0.54400000000000004</v>
      </c>
      <c r="F12" s="14">
        <f t="shared" si="1"/>
        <v>5.5576550775978122</v>
      </c>
      <c r="K12" s="12">
        <v>1.8</v>
      </c>
      <c r="L12" s="10" t="e">
        <f t="shared" ca="1" si="2"/>
        <v>#NAME?</v>
      </c>
      <c r="M12" s="12">
        <v>9</v>
      </c>
      <c r="N12" s="10" t="e">
        <f t="shared" ca="1" si="3"/>
        <v>#NAME?</v>
      </c>
    </row>
    <row r="13" spans="1:14" x14ac:dyDescent="0.2">
      <c r="A13" s="28">
        <v>10</v>
      </c>
      <c r="B13" s="29">
        <v>513.70000000000005</v>
      </c>
      <c r="C13" s="26">
        <f t="shared" si="0"/>
        <v>183.46428571428575</v>
      </c>
      <c r="D13" s="32">
        <v>0.64300000000000002</v>
      </c>
      <c r="F13" s="14">
        <f t="shared" si="1"/>
        <v>5.2120200202920639</v>
      </c>
      <c r="K13" s="12">
        <v>1.9</v>
      </c>
      <c r="L13" s="10" t="e">
        <f t="shared" ca="1" si="2"/>
        <v>#NAME?</v>
      </c>
      <c r="M13" s="12">
        <v>10</v>
      </c>
      <c r="N13" s="10" t="e">
        <f t="shared" ca="1" si="3"/>
        <v>#NAME?</v>
      </c>
    </row>
    <row r="14" spans="1:14" x14ac:dyDescent="0.2">
      <c r="A14" s="28">
        <v>11</v>
      </c>
      <c r="B14" s="29">
        <v>374.6</v>
      </c>
      <c r="C14" s="26">
        <f t="shared" si="0"/>
        <v>133.78571428571431</v>
      </c>
      <c r="D14" s="32">
        <v>0.75900000000000001</v>
      </c>
      <c r="F14" s="14">
        <f t="shared" si="1"/>
        <v>4.8962393728288305</v>
      </c>
      <c r="H14" s="281">
        <v>2</v>
      </c>
      <c r="I14" s="278" t="e">
        <f ca="1">mtd($H$14)</f>
        <v>#NAME?</v>
      </c>
      <c r="K14" s="12">
        <v>2</v>
      </c>
      <c r="L14" s="10" t="e">
        <f t="shared" ca="1" si="2"/>
        <v>#NAME?</v>
      </c>
      <c r="M14" s="12">
        <v>11</v>
      </c>
      <c r="N14" s="10" t="e">
        <f t="shared" ca="1" si="3"/>
        <v>#NAME?</v>
      </c>
    </row>
    <row r="15" spans="1:14" x14ac:dyDescent="0.2">
      <c r="A15" s="28">
        <v>12</v>
      </c>
      <c r="B15" s="29">
        <v>281</v>
      </c>
      <c r="C15" s="26">
        <f t="shared" si="0"/>
        <v>100.35714285714286</v>
      </c>
      <c r="D15" s="32">
        <v>0.98099999999999998</v>
      </c>
      <c r="F15" s="14">
        <f t="shared" si="1"/>
        <v>4.6087352521525879</v>
      </c>
      <c r="K15" s="12">
        <v>2.1</v>
      </c>
      <c r="L15" s="10" t="e">
        <f t="shared" ca="1" si="2"/>
        <v>#NAME?</v>
      </c>
      <c r="M15" s="12">
        <v>12</v>
      </c>
      <c r="N15" s="10" t="e">
        <f t="shared" ca="1" si="3"/>
        <v>#NAME?</v>
      </c>
    </row>
    <row r="16" spans="1:14" x14ac:dyDescent="0.2">
      <c r="A16" s="28">
        <v>13</v>
      </c>
      <c r="B16" s="29">
        <v>216.4</v>
      </c>
      <c r="C16" s="26">
        <f t="shared" si="0"/>
        <v>77.285714285714292</v>
      </c>
      <c r="D16" s="32">
        <v>1.2729999999999999</v>
      </c>
      <c r="F16" s="14">
        <f t="shared" si="1"/>
        <v>4.3475091297911685</v>
      </c>
      <c r="K16" s="12">
        <v>2.2000000000000002</v>
      </c>
      <c r="L16" s="10" t="e">
        <f t="shared" ca="1" si="2"/>
        <v>#NAME?</v>
      </c>
      <c r="M16" s="12">
        <v>13</v>
      </c>
      <c r="N16" s="10" t="e">
        <f t="shared" ca="1" si="3"/>
        <v>#NAME?</v>
      </c>
    </row>
    <row r="17" spans="1:14" x14ac:dyDescent="0.2">
      <c r="A17" s="28">
        <v>14</v>
      </c>
      <c r="B17" s="29">
        <v>170.4</v>
      </c>
      <c r="C17" s="26">
        <f t="shared" si="0"/>
        <v>60.857142857142861</v>
      </c>
      <c r="D17" s="32">
        <v>1.655</v>
      </c>
      <c r="F17" s="14">
        <f t="shared" si="1"/>
        <v>4.1085291972140574</v>
      </c>
      <c r="H17" s="278" t="e">
        <f ca="1">mtd(1.7575)</f>
        <v>#NAME?</v>
      </c>
      <c r="K17" s="12">
        <v>2.2999999999999998</v>
      </c>
      <c r="L17" s="10" t="e">
        <f t="shared" ca="1" si="2"/>
        <v>#NAME?</v>
      </c>
      <c r="M17" s="12">
        <v>14</v>
      </c>
      <c r="N17" s="10" t="e">
        <f t="shared" ca="1" si="3"/>
        <v>#NAME?</v>
      </c>
    </row>
    <row r="18" spans="1:14" x14ac:dyDescent="0.2">
      <c r="A18" s="28">
        <v>15</v>
      </c>
      <c r="B18" s="29">
        <v>136.80000000000001</v>
      </c>
      <c r="C18" s="26">
        <f t="shared" si="0"/>
        <v>48.857142857142861</v>
      </c>
      <c r="D18" s="32">
        <v>2.2109999999999999</v>
      </c>
      <c r="F18" s="14">
        <f t="shared" si="1"/>
        <v>3.8889005880072918</v>
      </c>
      <c r="K18" s="12">
        <v>2.4</v>
      </c>
      <c r="L18" s="10" t="e">
        <f t="shared" ca="1" si="2"/>
        <v>#NAME?</v>
      </c>
      <c r="M18" s="12">
        <v>15</v>
      </c>
      <c r="N18" s="10" t="e">
        <f t="shared" ca="1" si="3"/>
        <v>#NAME?</v>
      </c>
    </row>
    <row r="19" spans="1:14" x14ac:dyDescent="0.2">
      <c r="A19" s="28">
        <v>16</v>
      </c>
      <c r="B19" s="29">
        <v>111.3</v>
      </c>
      <c r="C19" s="26">
        <f t="shared" si="0"/>
        <v>39.75</v>
      </c>
      <c r="D19" s="32">
        <v>2.4140000000000001</v>
      </c>
      <c r="F19" s="14">
        <f t="shared" si="1"/>
        <v>3.6826098411003407</v>
      </c>
      <c r="H19" s="3" t="s">
        <v>13</v>
      </c>
      <c r="K19" s="12">
        <v>2.5</v>
      </c>
      <c r="L19" s="10" t="e">
        <f t="shared" ca="1" si="2"/>
        <v>#NAME?</v>
      </c>
      <c r="M19" s="12">
        <v>16</v>
      </c>
      <c r="N19" s="10" t="e">
        <f t="shared" ca="1" si="3"/>
        <v>#NAME?</v>
      </c>
    </row>
    <row r="20" spans="1:14" x14ac:dyDescent="0.2">
      <c r="A20" s="28">
        <v>17</v>
      </c>
      <c r="B20" s="29">
        <v>91.33</v>
      </c>
      <c r="C20" s="26">
        <f t="shared" si="0"/>
        <v>32.617857142857147</v>
      </c>
      <c r="D20" s="32">
        <v>2.91</v>
      </c>
      <c r="F20" s="14">
        <f t="shared" si="1"/>
        <v>3.4848599035224295</v>
      </c>
      <c r="K20" s="12">
        <v>2.6</v>
      </c>
      <c r="L20" s="10" t="e">
        <f t="shared" ca="1" si="2"/>
        <v>#NAME?</v>
      </c>
      <c r="M20" s="12">
        <v>17</v>
      </c>
      <c r="N20" s="10" t="e">
        <f t="shared" ca="1" si="3"/>
        <v>#NAME?</v>
      </c>
    </row>
    <row r="21" spans="1:14" x14ac:dyDescent="0.2">
      <c r="A21" s="28">
        <v>18</v>
      </c>
      <c r="B21" s="29">
        <v>75.290000000000006</v>
      </c>
      <c r="C21" s="26">
        <f t="shared" si="0"/>
        <v>26.88928571428572</v>
      </c>
      <c r="D21" s="32">
        <v>3.444</v>
      </c>
      <c r="F21" s="14">
        <f t="shared" si="1"/>
        <v>3.2917279066808729</v>
      </c>
      <c r="K21" s="12">
        <v>2.7</v>
      </c>
      <c r="L21" s="10" t="e">
        <f t="shared" ca="1" si="2"/>
        <v>#NAME?</v>
      </c>
      <c r="M21" s="12">
        <v>18</v>
      </c>
      <c r="N21" s="10" t="e">
        <f t="shared" ca="1" si="3"/>
        <v>#NAME?</v>
      </c>
    </row>
    <row r="22" spans="1:14" x14ac:dyDescent="0.2">
      <c r="A22" s="28">
        <v>19</v>
      </c>
      <c r="B22" s="29">
        <v>62.17</v>
      </c>
      <c r="C22" s="26">
        <f t="shared" si="0"/>
        <v>22.203571428571429</v>
      </c>
      <c r="D22" s="32">
        <v>4.101</v>
      </c>
      <c r="F22" s="14">
        <f t="shared" si="1"/>
        <v>3.1002531511000879</v>
      </c>
      <c r="H22" s="283"/>
      <c r="I22" s="6" t="s">
        <v>14</v>
      </c>
      <c r="K22" s="12">
        <v>2.8</v>
      </c>
      <c r="L22" s="10" t="e">
        <f t="shared" ca="1" si="2"/>
        <v>#NAME?</v>
      </c>
      <c r="M22" s="12">
        <v>19</v>
      </c>
      <c r="N22" s="10" t="e">
        <f t="shared" ca="1" si="3"/>
        <v>#NAME?</v>
      </c>
    </row>
    <row r="23" spans="1:14" x14ac:dyDescent="0.2">
      <c r="A23" s="28">
        <v>20</v>
      </c>
      <c r="B23" s="29">
        <v>51.35</v>
      </c>
      <c r="C23" s="26">
        <f t="shared" si="0"/>
        <v>18.339285714285715</v>
      </c>
      <c r="D23" s="32">
        <v>5.0449999999999999</v>
      </c>
      <c r="F23" s="14">
        <f t="shared" si="1"/>
        <v>2.909045519193409</v>
      </c>
      <c r="H23" s="1"/>
      <c r="I23" s="1"/>
      <c r="K23" s="12">
        <v>2.9</v>
      </c>
      <c r="L23" s="10" t="e">
        <f t="shared" ca="1" si="2"/>
        <v>#NAME?</v>
      </c>
      <c r="M23" s="12">
        <v>20</v>
      </c>
      <c r="N23" s="10" t="e">
        <f t="shared" ca="1" si="3"/>
        <v>#NAME?</v>
      </c>
    </row>
    <row r="24" spans="1:14" x14ac:dyDescent="0.2">
      <c r="A24" s="28">
        <v>21</v>
      </c>
      <c r="B24" s="29">
        <v>42.4</v>
      </c>
      <c r="C24" s="26">
        <f t="shared" si="0"/>
        <v>15.142857142857144</v>
      </c>
      <c r="D24" s="32">
        <v>4.976</v>
      </c>
      <c r="F24" s="14">
        <f t="shared" si="1"/>
        <v>2.7175289450567539</v>
      </c>
      <c r="H24" s="284"/>
      <c r="I24" s="6" t="s">
        <v>15</v>
      </c>
      <c r="K24" s="12">
        <v>3</v>
      </c>
      <c r="L24" s="10" t="e">
        <f t="shared" ca="1" si="2"/>
        <v>#NAME?</v>
      </c>
      <c r="M24" s="12">
        <v>21</v>
      </c>
      <c r="N24" s="10" t="e">
        <f t="shared" ca="1" si="3"/>
        <v>#NAME?</v>
      </c>
    </row>
    <row r="25" spans="1:14" x14ac:dyDescent="0.2">
      <c r="A25" s="28">
        <v>22</v>
      </c>
      <c r="B25" s="29">
        <v>35.01</v>
      </c>
      <c r="C25" s="26">
        <f t="shared" si="0"/>
        <v>12.503571428571428</v>
      </c>
      <c r="D25" s="32">
        <v>5.508</v>
      </c>
      <c r="F25" s="14">
        <f t="shared" si="1"/>
        <v>2.5260143177854162</v>
      </c>
      <c r="H25" s="1"/>
      <c r="I25" s="1"/>
      <c r="K25" s="12">
        <v>3.1</v>
      </c>
      <c r="L25" s="10" t="e">
        <f t="shared" ca="1" si="2"/>
        <v>#NAME?</v>
      </c>
      <c r="M25" s="12">
        <v>22</v>
      </c>
      <c r="N25" s="10" t="e">
        <f t="shared" ca="1" si="3"/>
        <v>#NAME?</v>
      </c>
    </row>
    <row r="26" spans="1:14" x14ac:dyDescent="0.2">
      <c r="A26" s="28">
        <v>23</v>
      </c>
      <c r="B26" s="29">
        <v>28.95</v>
      </c>
      <c r="C26" s="26">
        <f t="shared" si="0"/>
        <v>10.339285714285715</v>
      </c>
      <c r="D26" s="32">
        <v>5.9409999999999998</v>
      </c>
      <c r="F26" s="14">
        <f t="shared" si="1"/>
        <v>2.335950786837846</v>
      </c>
      <c r="H26" s="285"/>
      <c r="I26" s="6" t="s">
        <v>16</v>
      </c>
      <c r="K26" s="12">
        <v>3.2</v>
      </c>
      <c r="L26" s="10" t="e">
        <f t="shared" ca="1" si="2"/>
        <v>#NAME?</v>
      </c>
      <c r="M26" s="12">
        <v>23</v>
      </c>
      <c r="N26" s="10" t="e">
        <f t="shared" ca="1" si="3"/>
        <v>#NAME?</v>
      </c>
    </row>
    <row r="27" spans="1:14" x14ac:dyDescent="0.2">
      <c r="A27" s="28">
        <v>24</v>
      </c>
      <c r="B27" s="29">
        <v>23.99</v>
      </c>
      <c r="C27" s="26">
        <f t="shared" si="0"/>
        <v>8.5678571428571431</v>
      </c>
      <c r="D27" s="32">
        <v>6.5730000000000004</v>
      </c>
      <c r="F27" s="14">
        <f t="shared" si="1"/>
        <v>2.1480176596704448</v>
      </c>
      <c r="K27" s="12">
        <v>3.3</v>
      </c>
      <c r="L27" s="10" t="e">
        <f t="shared" ca="1" si="2"/>
        <v>#NAME?</v>
      </c>
      <c r="M27" s="12">
        <v>24</v>
      </c>
      <c r="N27" s="10" t="e">
        <f t="shared" ca="1" si="3"/>
        <v>#NAME?</v>
      </c>
    </row>
    <row r="28" spans="1:14" x14ac:dyDescent="0.2">
      <c r="A28" s="28">
        <v>25</v>
      </c>
      <c r="B28" s="29">
        <v>19.95</v>
      </c>
      <c r="C28" s="26">
        <f t="shared" si="0"/>
        <v>7.125</v>
      </c>
      <c r="D28" s="32">
        <v>6.9450000000000003</v>
      </c>
      <c r="F28" s="14">
        <f t="shared" si="1"/>
        <v>1.9636097261547143</v>
      </c>
      <c r="H28" s="5" t="s">
        <v>17</v>
      </c>
      <c r="K28" s="12">
        <v>3.4</v>
      </c>
      <c r="L28" s="10" t="e">
        <f t="shared" ca="1" si="2"/>
        <v>#NAME?</v>
      </c>
      <c r="M28" s="12">
        <v>25</v>
      </c>
      <c r="N28" s="10" t="e">
        <f t="shared" ca="1" si="3"/>
        <v>#NAME?</v>
      </c>
    </row>
    <row r="29" spans="1:14" x14ac:dyDescent="0.2">
      <c r="A29" s="28">
        <v>26</v>
      </c>
      <c r="B29" s="29">
        <v>16.66</v>
      </c>
      <c r="C29" s="26">
        <f t="shared" si="0"/>
        <v>5.95</v>
      </c>
      <c r="D29" s="32">
        <v>7.2610000000000001</v>
      </c>
      <c r="F29" s="14">
        <f t="shared" si="1"/>
        <v>1.7833912195575383</v>
      </c>
      <c r="H29" s="5" t="s">
        <v>18</v>
      </c>
      <c r="K29" s="12">
        <v>3.5</v>
      </c>
      <c r="L29" s="10" t="e">
        <f t="shared" ca="1" si="2"/>
        <v>#NAME?</v>
      </c>
      <c r="M29" s="12">
        <v>26</v>
      </c>
      <c r="N29" s="10" t="e">
        <f t="shared" ca="1" si="3"/>
        <v>#NAME?</v>
      </c>
    </row>
    <row r="30" spans="1:14" x14ac:dyDescent="0.2">
      <c r="A30" s="28">
        <v>27</v>
      </c>
      <c r="B30" s="29">
        <v>13.98</v>
      </c>
      <c r="C30" s="26">
        <f t="shared" si="0"/>
        <v>4.9928571428571429</v>
      </c>
      <c r="D30" s="32">
        <v>8.0299999999999994</v>
      </c>
      <c r="F30" s="14">
        <f t="shared" si="1"/>
        <v>1.6080083196245059</v>
      </c>
      <c r="H30" s="5" t="s">
        <v>19</v>
      </c>
      <c r="K30" s="12">
        <v>3.6</v>
      </c>
      <c r="L30" s="10" t="e">
        <f t="shared" ca="1" si="2"/>
        <v>#NAME?</v>
      </c>
      <c r="M30" s="12">
        <v>27</v>
      </c>
      <c r="N30" s="10" t="e">
        <f t="shared" ca="1" si="3"/>
        <v>#NAME?</v>
      </c>
    </row>
    <row r="31" spans="1:14" x14ac:dyDescent="0.2">
      <c r="A31" s="28">
        <v>28</v>
      </c>
      <c r="B31" s="29">
        <v>11.8</v>
      </c>
      <c r="C31" s="26">
        <f t="shared" si="0"/>
        <v>4.2142857142857144</v>
      </c>
      <c r="D31" s="32">
        <v>8.3689999999999998</v>
      </c>
      <c r="F31" s="14">
        <f t="shared" si="1"/>
        <v>1.4384801142904609</v>
      </c>
      <c r="H31" s="5" t="s">
        <v>20</v>
      </c>
      <c r="K31" s="12">
        <v>3.7</v>
      </c>
      <c r="L31" s="10" t="e">
        <f t="shared" ca="1" si="2"/>
        <v>#NAME?</v>
      </c>
      <c r="M31" s="12">
        <v>28</v>
      </c>
      <c r="N31" s="10" t="e">
        <f t="shared" ca="1" si="3"/>
        <v>#NAME?</v>
      </c>
    </row>
    <row r="32" spans="1:14" x14ac:dyDescent="0.2">
      <c r="A32" s="28">
        <v>29</v>
      </c>
      <c r="B32" s="29">
        <v>10.02</v>
      </c>
      <c r="C32" s="26">
        <f t="shared" si="0"/>
        <v>3.5785714285714287</v>
      </c>
      <c r="D32" s="32">
        <v>8.5950000000000006</v>
      </c>
      <c r="F32" s="14">
        <f t="shared" si="1"/>
        <v>1.2749636784755605</v>
      </c>
      <c r="K32" s="12">
        <v>3.8</v>
      </c>
      <c r="L32" s="10" t="e">
        <f t="shared" ca="1" si="2"/>
        <v>#NAME?</v>
      </c>
      <c r="M32" s="12">
        <v>29</v>
      </c>
      <c r="N32" s="10" t="e">
        <f t="shared" ca="1" si="3"/>
        <v>#NAME?</v>
      </c>
    </row>
    <row r="33" spans="1:14" x14ac:dyDescent="0.2">
      <c r="A33" s="28">
        <v>30</v>
      </c>
      <c r="B33" s="29">
        <v>8.5679999999999996</v>
      </c>
      <c r="C33" s="26">
        <f t="shared" si="0"/>
        <v>3.06</v>
      </c>
      <c r="D33" s="32">
        <v>9.9429999999999996</v>
      </c>
      <c r="F33" s="14">
        <f t="shared" si="1"/>
        <v>1.1184149159642893</v>
      </c>
      <c r="K33" s="12">
        <v>3.9</v>
      </c>
      <c r="L33" s="10" t="e">
        <f t="shared" ca="1" si="2"/>
        <v>#NAME?</v>
      </c>
      <c r="M33" s="12">
        <v>30</v>
      </c>
      <c r="N33" s="10" t="e">
        <f t="shared" ca="1" si="3"/>
        <v>#NAME?</v>
      </c>
    </row>
    <row r="34" spans="1:14" x14ac:dyDescent="0.2">
      <c r="A34" s="28">
        <v>31</v>
      </c>
      <c r="B34" s="29">
        <v>7.38</v>
      </c>
      <c r="C34" s="26">
        <f t="shared" si="0"/>
        <v>2.6357142857142857</v>
      </c>
      <c r="D34" s="7"/>
      <c r="F34" s="14">
        <f t="shared" si="1"/>
        <v>0.96915422143122287</v>
      </c>
      <c r="K34" s="12">
        <v>4</v>
      </c>
      <c r="L34" s="10" t="e">
        <f t="shared" ca="1" si="2"/>
        <v>#NAME?</v>
      </c>
      <c r="M34" s="12">
        <v>31</v>
      </c>
      <c r="N34" s="10" t="e">
        <f t="shared" ca="1" si="3"/>
        <v>#NAME?</v>
      </c>
    </row>
    <row r="35" spans="1:14" x14ac:dyDescent="0.2">
      <c r="A35" s="28">
        <v>32</v>
      </c>
      <c r="B35" s="29">
        <v>6.4029999999999996</v>
      </c>
      <c r="C35" s="26">
        <f t="shared" si="0"/>
        <v>2.2867857142857142</v>
      </c>
      <c r="D35" s="7"/>
      <c r="F35" s="14">
        <f t="shared" si="1"/>
        <v>0.82714721335550689</v>
      </c>
      <c r="K35" s="12">
        <v>4.0999999999999996</v>
      </c>
      <c r="L35" s="10" t="e">
        <f t="shared" ca="1" si="2"/>
        <v>#NAME?</v>
      </c>
      <c r="M35" s="12">
        <v>32</v>
      </c>
      <c r="N35" s="10" t="e">
        <f t="shared" ca="1" si="3"/>
        <v>#NAME?</v>
      </c>
    </row>
    <row r="36" spans="1:14" x14ac:dyDescent="0.2">
      <c r="A36" s="28">
        <v>33</v>
      </c>
      <c r="B36" s="29">
        <v>5.5940000000000003</v>
      </c>
      <c r="C36" s="26">
        <f t="shared" si="0"/>
        <v>1.997857142857143</v>
      </c>
      <c r="D36" s="7"/>
      <c r="F36" s="14">
        <f t="shared" si="1"/>
        <v>0.69207517759860981</v>
      </c>
      <c r="K36" s="12">
        <v>4.2</v>
      </c>
      <c r="L36" s="10" t="e">
        <f t="shared" ca="1" si="2"/>
        <v>#NAME?</v>
      </c>
      <c r="M36" s="12">
        <v>33</v>
      </c>
      <c r="N36" s="10" t="e">
        <f t="shared" ca="1" si="3"/>
        <v>#NAME?</v>
      </c>
    </row>
    <row r="37" spans="1:14" x14ac:dyDescent="0.2">
      <c r="A37" s="28">
        <v>34</v>
      </c>
      <c r="B37" s="29">
        <v>4.9210000000000003</v>
      </c>
      <c r="C37" s="26">
        <f t="shared" si="0"/>
        <v>1.7575000000000003</v>
      </c>
      <c r="D37" s="7"/>
      <c r="F37" s="14">
        <f t="shared" si="1"/>
        <v>0.56389234470268312</v>
      </c>
      <c r="K37" s="12">
        <v>4.3</v>
      </c>
      <c r="L37" s="10" t="e">
        <f t="shared" ca="1" si="2"/>
        <v>#NAME?</v>
      </c>
      <c r="M37" s="12">
        <v>34</v>
      </c>
      <c r="N37" s="10" t="e">
        <f t="shared" ca="1" si="3"/>
        <v>#NAME?</v>
      </c>
    </row>
    <row r="38" spans="1:14" x14ac:dyDescent="0.2">
      <c r="A38" s="28">
        <v>35</v>
      </c>
      <c r="B38" s="29">
        <v>4.3559999999999999</v>
      </c>
      <c r="C38" s="26">
        <f t="shared" si="0"/>
        <v>1.5557142857142858</v>
      </c>
      <c r="D38" s="7"/>
      <c r="F38" s="14">
        <f t="shared" si="1"/>
        <v>0.44193478788955587</v>
      </c>
      <c r="K38" s="12">
        <v>4.4000000000000004</v>
      </c>
      <c r="L38" s="10" t="e">
        <f t="shared" ca="1" si="2"/>
        <v>#NAME?</v>
      </c>
      <c r="M38" s="12">
        <v>35</v>
      </c>
      <c r="N38" s="10" t="e">
        <f t="shared" ca="1" si="3"/>
        <v>#NAME?</v>
      </c>
    </row>
    <row r="39" spans="1:14" x14ac:dyDescent="0.2">
      <c r="A39" s="28">
        <v>36</v>
      </c>
      <c r="B39" s="29">
        <v>3.88</v>
      </c>
      <c r="C39" s="26">
        <f t="shared" si="0"/>
        <v>1.3857142857142857</v>
      </c>
      <c r="D39" s="7"/>
      <c r="F39" s="14">
        <f t="shared" si="1"/>
        <v>0.3262157364540238</v>
      </c>
      <c r="K39" s="12">
        <v>4.5</v>
      </c>
      <c r="L39" s="10" t="e">
        <f t="shared" ca="1" si="2"/>
        <v>#NAME?</v>
      </c>
      <c r="M39" s="12">
        <v>36</v>
      </c>
      <c r="N39" s="10" t="e">
        <f t="shared" ca="1" si="3"/>
        <v>#NAME?</v>
      </c>
    </row>
    <row r="40" spans="1:14" x14ac:dyDescent="0.2">
      <c r="A40" s="28">
        <v>37</v>
      </c>
      <c r="B40" s="29">
        <v>3.476</v>
      </c>
      <c r="C40" s="26">
        <f t="shared" si="0"/>
        <v>1.2414285714285715</v>
      </c>
      <c r="D40" s="7"/>
      <c r="F40" s="14">
        <f t="shared" si="1"/>
        <v>0.21626279022198747</v>
      </c>
      <c r="K40" s="12">
        <v>4.5999999999999996</v>
      </c>
      <c r="L40" s="10" t="e">
        <f t="shared" ca="1" si="2"/>
        <v>#NAME?</v>
      </c>
      <c r="M40" s="12">
        <v>37</v>
      </c>
      <c r="N40" s="10" t="e">
        <f t="shared" ca="1" si="3"/>
        <v>#NAME?</v>
      </c>
    </row>
    <row r="41" spans="1:14" x14ac:dyDescent="0.2">
      <c r="A41" s="28">
        <v>38</v>
      </c>
      <c r="B41" s="29">
        <v>3.1309999999999998</v>
      </c>
      <c r="C41" s="26">
        <f t="shared" si="0"/>
        <v>1.1182142857142856</v>
      </c>
      <c r="D41" s="7"/>
      <c r="F41" s="14">
        <f t="shared" si="1"/>
        <v>0.1117330251631103</v>
      </c>
      <c r="K41" s="12">
        <v>4.7</v>
      </c>
      <c r="L41" s="10" t="e">
        <f t="shared" ca="1" si="2"/>
        <v>#NAME?</v>
      </c>
      <c r="M41" s="12">
        <v>38</v>
      </c>
      <c r="N41" s="10" t="e">
        <f t="shared" ca="1" si="3"/>
        <v>#NAME?</v>
      </c>
    </row>
    <row r="42" spans="1:14" x14ac:dyDescent="0.2">
      <c r="A42" s="28">
        <v>39</v>
      </c>
      <c r="B42" s="29">
        <v>2.8340000000000001</v>
      </c>
      <c r="C42" s="26">
        <f t="shared" si="0"/>
        <v>1.0121428571428572</v>
      </c>
      <c r="D42" s="7"/>
      <c r="F42" s="14">
        <f t="shared" si="1"/>
        <v>1.2069724087330543E-2</v>
      </c>
      <c r="K42" s="12">
        <v>4.8</v>
      </c>
      <c r="L42" s="10" t="e">
        <f t="shared" ca="1" si="2"/>
        <v>#NAME?</v>
      </c>
      <c r="M42" s="12">
        <v>39</v>
      </c>
      <c r="N42" s="10" t="e">
        <f t="shared" ca="1" si="3"/>
        <v>#NAME?</v>
      </c>
    </row>
    <row r="43" spans="1:14" x14ac:dyDescent="0.2">
      <c r="A43" s="28">
        <v>40</v>
      </c>
      <c r="B43" s="29">
        <v>2.577</v>
      </c>
      <c r="C43" s="26">
        <f t="shared" si="0"/>
        <v>0.92035714285714287</v>
      </c>
      <c r="D43" s="7"/>
      <c r="F43" s="14">
        <f t="shared" si="1"/>
        <v>-8.2993485510930207E-2</v>
      </c>
      <c r="K43" s="12">
        <v>4.9000000000000004</v>
      </c>
      <c r="L43" s="10" t="e">
        <f t="shared" ca="1" si="2"/>
        <v>#NAME?</v>
      </c>
      <c r="M43" s="12">
        <v>40</v>
      </c>
      <c r="N43" s="10" t="e">
        <f t="shared" ca="1" si="3"/>
        <v>#NAME?</v>
      </c>
    </row>
    <row r="44" spans="1:14" x14ac:dyDescent="0.2">
      <c r="A44" s="28">
        <v>41</v>
      </c>
      <c r="B44" s="29">
        <v>2.3540000000000001</v>
      </c>
      <c r="C44" s="26">
        <f t="shared" si="0"/>
        <v>0.84071428571428575</v>
      </c>
      <c r="D44" s="7"/>
      <c r="F44" s="14">
        <f t="shared" si="1"/>
        <v>-0.17350340834307323</v>
      </c>
      <c r="K44" s="12">
        <v>5</v>
      </c>
      <c r="L44" s="10" t="e">
        <f t="shared" ca="1" si="2"/>
        <v>#NAME?</v>
      </c>
      <c r="M44" s="12">
        <v>41</v>
      </c>
      <c r="N44" s="10" t="e">
        <f t="shared" ca="1" si="3"/>
        <v>#NAME?</v>
      </c>
    </row>
    <row r="45" spans="1:14" x14ac:dyDescent="0.2">
      <c r="A45" s="28">
        <v>42</v>
      </c>
      <c r="B45" s="29">
        <v>2.1589999999999998</v>
      </c>
      <c r="C45" s="26">
        <f t="shared" si="0"/>
        <v>0.77107142857142852</v>
      </c>
      <c r="D45" s="7"/>
      <c r="F45" s="14">
        <f t="shared" si="1"/>
        <v>-0.25997426564848802</v>
      </c>
      <c r="K45" s="12">
        <v>5.0999999999999996</v>
      </c>
      <c r="L45" s="10" t="e">
        <f t="shared" ca="1" si="2"/>
        <v>#NAME?</v>
      </c>
      <c r="M45" s="12">
        <v>42</v>
      </c>
      <c r="N45" s="10" t="e">
        <f t="shared" ca="1" si="3"/>
        <v>#NAME?</v>
      </c>
    </row>
    <row r="46" spans="1:14" x14ac:dyDescent="0.2">
      <c r="A46" s="28">
        <v>43</v>
      </c>
      <c r="B46" s="29">
        <v>1.988</v>
      </c>
      <c r="C46" s="26">
        <f t="shared" si="0"/>
        <v>0.71000000000000008</v>
      </c>
      <c r="D46" s="7"/>
      <c r="F46" s="14">
        <f t="shared" si="1"/>
        <v>-0.34249030894677585</v>
      </c>
      <c r="K46" s="12">
        <v>5.2</v>
      </c>
      <c r="L46" s="10" t="e">
        <f t="shared" ca="1" si="2"/>
        <v>#NAME?</v>
      </c>
      <c r="M46" s="12">
        <v>43</v>
      </c>
      <c r="N46" s="10" t="e">
        <f t="shared" ca="1" si="3"/>
        <v>#NAME?</v>
      </c>
    </row>
    <row r="47" spans="1:14" x14ac:dyDescent="0.2">
      <c r="A47" s="28">
        <v>44</v>
      </c>
      <c r="B47" s="29">
        <v>1.8360000000000001</v>
      </c>
      <c r="C47" s="26">
        <f t="shared" si="0"/>
        <v>0.65571428571428581</v>
      </c>
      <c r="D47" s="7"/>
      <c r="F47" s="14">
        <f t="shared" si="1"/>
        <v>-0.42203012498285936</v>
      </c>
      <c r="K47" s="12">
        <v>5.3</v>
      </c>
      <c r="L47" s="10" t="e">
        <f t="shared" ca="1" si="2"/>
        <v>#NAME?</v>
      </c>
      <c r="M47" s="12">
        <v>44</v>
      </c>
      <c r="N47" s="10" t="e">
        <f t="shared" ca="1" si="3"/>
        <v>#NAME?</v>
      </c>
    </row>
    <row r="48" spans="1:14" x14ac:dyDescent="0.2">
      <c r="A48" s="28">
        <v>45</v>
      </c>
      <c r="B48" s="29">
        <v>1.702</v>
      </c>
      <c r="C48" s="26">
        <f t="shared" si="0"/>
        <v>0.60785714285714287</v>
      </c>
      <c r="D48" s="7"/>
      <c r="F48" s="14">
        <f t="shared" si="1"/>
        <v>-0.4978153870299758</v>
      </c>
      <c r="K48" s="12">
        <v>5.4</v>
      </c>
      <c r="L48" s="10" t="e">
        <f t="shared" ca="1" si="2"/>
        <v>#NAME?</v>
      </c>
      <c r="M48" s="12">
        <v>45</v>
      </c>
      <c r="N48" s="10" t="e">
        <f t="shared" ca="1" si="3"/>
        <v>#NAME?</v>
      </c>
    </row>
    <row r="49" spans="1:14" x14ac:dyDescent="0.2">
      <c r="A49" s="28">
        <v>46</v>
      </c>
      <c r="B49" s="29">
        <v>1.581</v>
      </c>
      <c r="C49" s="26">
        <f t="shared" si="0"/>
        <v>0.56464285714285711</v>
      </c>
      <c r="D49" s="7"/>
      <c r="F49" s="14">
        <f t="shared" si="1"/>
        <v>-0.57156185895382328</v>
      </c>
      <c r="K49" s="12">
        <v>5.5</v>
      </c>
      <c r="L49" s="10" t="e">
        <f t="shared" ca="1" si="2"/>
        <v>#NAME?</v>
      </c>
      <c r="M49" s="12">
        <v>46</v>
      </c>
      <c r="N49" s="10" t="e">
        <f t="shared" ca="1" si="3"/>
        <v>#NAME?</v>
      </c>
    </row>
    <row r="50" spans="1:14" x14ac:dyDescent="0.2">
      <c r="A50" s="28">
        <v>47</v>
      </c>
      <c r="B50" s="29">
        <v>1.474</v>
      </c>
      <c r="C50" s="26">
        <f t="shared" si="0"/>
        <v>0.52642857142857147</v>
      </c>
      <c r="D50" s="7"/>
      <c r="F50" s="14">
        <f t="shared" si="1"/>
        <v>-0.64163962341401326</v>
      </c>
      <c r="K50" s="12">
        <v>5.6</v>
      </c>
      <c r="L50" s="10" t="e">
        <f t="shared" ca="1" si="2"/>
        <v>#NAME?</v>
      </c>
      <c r="M50" s="12">
        <v>47</v>
      </c>
      <c r="N50" s="10" t="e">
        <f t="shared" ca="1" si="3"/>
        <v>#NAME?</v>
      </c>
    </row>
    <row r="51" spans="1:14" x14ac:dyDescent="0.2">
      <c r="A51" s="28">
        <v>48</v>
      </c>
      <c r="B51" s="29">
        <v>1.377</v>
      </c>
      <c r="C51" s="26">
        <f t="shared" si="0"/>
        <v>0.49178571428571433</v>
      </c>
      <c r="D51" s="7"/>
      <c r="F51" s="14">
        <f t="shared" si="1"/>
        <v>-0.70971219743464031</v>
      </c>
      <c r="K51" s="12">
        <v>5.7</v>
      </c>
      <c r="L51" s="10" t="e">
        <f t="shared" ca="1" si="2"/>
        <v>#NAME?</v>
      </c>
      <c r="M51" s="12">
        <v>48</v>
      </c>
      <c r="N51" s="10" t="e">
        <f t="shared" ca="1" si="3"/>
        <v>#NAME?</v>
      </c>
    </row>
    <row r="52" spans="1:14" x14ac:dyDescent="0.2">
      <c r="A52" s="28">
        <v>49</v>
      </c>
      <c r="B52" s="29">
        <v>1.2889999999999999</v>
      </c>
      <c r="C52" s="26">
        <f t="shared" si="0"/>
        <v>0.46035714285714285</v>
      </c>
      <c r="D52" s="7"/>
      <c r="F52" s="14">
        <f t="shared" si="1"/>
        <v>-0.77575269322410789</v>
      </c>
      <c r="K52" s="12">
        <v>5.8</v>
      </c>
      <c r="L52" s="10" t="e">
        <f t="shared" ca="1" si="2"/>
        <v>#NAME?</v>
      </c>
      <c r="M52" s="12">
        <v>49</v>
      </c>
      <c r="N52" s="10" t="e">
        <f t="shared" ca="1" si="3"/>
        <v>#NAME?</v>
      </c>
    </row>
    <row r="53" spans="1:14" x14ac:dyDescent="0.2">
      <c r="A53" s="30">
        <v>50</v>
      </c>
      <c r="B53" s="31">
        <v>1.2090000000000001</v>
      </c>
      <c r="C53" s="27">
        <f t="shared" si="0"/>
        <v>0.43178571428571433</v>
      </c>
      <c r="D53" s="8"/>
      <c r="F53" s="14">
        <f t="shared" si="1"/>
        <v>-0.83982584554850248</v>
      </c>
      <c r="K53" s="12">
        <v>5.9</v>
      </c>
      <c r="L53" s="10" t="e">
        <f t="shared" ca="1" si="2"/>
        <v>#NAME?</v>
      </c>
      <c r="M53" s="12">
        <v>50</v>
      </c>
      <c r="N53" s="10" t="e">
        <f t="shared" ca="1" si="3"/>
        <v>#NAME?</v>
      </c>
    </row>
    <row r="54" spans="1:14" x14ac:dyDescent="0.2">
      <c r="A54" s="286">
        <v>51</v>
      </c>
      <c r="B54" s="287">
        <f>C54*2.8</f>
        <v>1.1199999999999999</v>
      </c>
      <c r="C54" s="288">
        <v>0.4</v>
      </c>
      <c r="D54" s="289" t="s">
        <v>21</v>
      </c>
      <c r="F54" s="14">
        <f>LN(C54)</f>
        <v>-0.916290731874155</v>
      </c>
      <c r="K54" s="12">
        <v>6</v>
      </c>
      <c r="L54" s="10" t="e">
        <f t="shared" ca="1" si="2"/>
        <v>#NAME?</v>
      </c>
      <c r="M54" s="12">
        <v>51</v>
      </c>
      <c r="N54" s="10" t="e">
        <f t="shared" ca="1" si="3"/>
        <v>#NAME?</v>
      </c>
    </row>
    <row r="55" spans="1:14" x14ac:dyDescent="0.2">
      <c r="A55" s="20">
        <v>52</v>
      </c>
      <c r="B55" s="18">
        <f t="shared" ref="B55:B93" si="4">C55*2.8</f>
        <v>1.0639999999999998</v>
      </c>
      <c r="C55" s="23">
        <v>0.38</v>
      </c>
      <c r="D55" s="16" t="s">
        <v>21</v>
      </c>
      <c r="F55" s="14">
        <f>LN(C55)</f>
        <v>-0.96758402626170559</v>
      </c>
      <c r="K55" s="12">
        <v>6.1</v>
      </c>
      <c r="L55" s="10" t="e">
        <f t="shared" ca="1" si="2"/>
        <v>#NAME?</v>
      </c>
      <c r="M55" s="12">
        <v>52</v>
      </c>
      <c r="N55" s="10" t="e">
        <f t="shared" ca="1" si="3"/>
        <v>#NAME?</v>
      </c>
    </row>
    <row r="56" spans="1:14" x14ac:dyDescent="0.2">
      <c r="A56" s="20">
        <v>53</v>
      </c>
      <c r="B56" s="18">
        <f t="shared" si="4"/>
        <v>1.008</v>
      </c>
      <c r="C56" s="23">
        <v>0.36</v>
      </c>
      <c r="D56" s="16" t="s">
        <v>21</v>
      </c>
      <c r="F56" s="14">
        <f>LN(C56)</f>
        <v>-1.0216512475319814</v>
      </c>
      <c r="K56" s="12">
        <v>6.2</v>
      </c>
      <c r="L56" s="10" t="e">
        <f t="shared" ca="1" si="2"/>
        <v>#NAME?</v>
      </c>
      <c r="M56" s="12">
        <v>53</v>
      </c>
      <c r="N56" s="10" t="e">
        <f t="shared" ca="1" si="3"/>
        <v>#NAME?</v>
      </c>
    </row>
    <row r="57" spans="1:14" x14ac:dyDescent="0.2">
      <c r="A57" s="20">
        <v>54</v>
      </c>
      <c r="B57" s="18">
        <f t="shared" si="4"/>
        <v>0.95199999999999996</v>
      </c>
      <c r="C57" s="23">
        <v>0.34</v>
      </c>
      <c r="D57" s="16" t="s">
        <v>21</v>
      </c>
      <c r="F57" s="14">
        <f>LN(C57)</f>
        <v>-1.0788096613719298</v>
      </c>
      <c r="K57" s="12">
        <v>6.3</v>
      </c>
      <c r="L57" s="10" t="e">
        <f t="shared" ca="1" si="2"/>
        <v>#NAME?</v>
      </c>
      <c r="M57" s="12">
        <v>54</v>
      </c>
      <c r="N57" s="10" t="e">
        <f t="shared" ca="1" si="3"/>
        <v>#NAME?</v>
      </c>
    </row>
    <row r="58" spans="1:14" x14ac:dyDescent="0.2">
      <c r="A58" s="20">
        <v>55</v>
      </c>
      <c r="B58" s="18">
        <f t="shared" si="4"/>
        <v>0.89599999999999991</v>
      </c>
      <c r="C58" s="23">
        <v>0.32</v>
      </c>
      <c r="D58" s="16" t="s">
        <v>21</v>
      </c>
      <c r="F58" s="14">
        <f>LN(C58)</f>
        <v>-1.1394342831883648</v>
      </c>
      <c r="K58" s="12">
        <v>6.4</v>
      </c>
      <c r="L58" s="10" t="e">
        <f t="shared" ca="1" si="2"/>
        <v>#NAME?</v>
      </c>
      <c r="M58" s="12">
        <v>55</v>
      </c>
      <c r="N58" s="10" t="e">
        <f t="shared" ca="1" si="3"/>
        <v>#NAME?</v>
      </c>
    </row>
    <row r="59" spans="1:14" x14ac:dyDescent="0.2">
      <c r="A59" s="21">
        <v>56</v>
      </c>
      <c r="B59" s="18">
        <f t="shared" si="4"/>
        <v>0.84</v>
      </c>
      <c r="C59" s="24">
        <v>0.3</v>
      </c>
      <c r="D59" s="16" t="s">
        <v>21</v>
      </c>
      <c r="F59" s="14">
        <f t="shared" ref="F59:F93" si="5">LN(C59)</f>
        <v>-1.2039728043259361</v>
      </c>
      <c r="K59" s="12">
        <v>6.5000000000000098</v>
      </c>
      <c r="L59" s="10" t="e">
        <f t="shared" ca="1" si="2"/>
        <v>#NAME?</v>
      </c>
      <c r="M59" s="12">
        <v>56</v>
      </c>
      <c r="N59" s="10" t="e">
        <f t="shared" ca="1" si="3"/>
        <v>#NAME?</v>
      </c>
    </row>
    <row r="60" spans="1:14" x14ac:dyDescent="0.2">
      <c r="A60" s="21">
        <v>57</v>
      </c>
      <c r="B60" s="18">
        <f t="shared" si="4"/>
        <v>0.81199999999999994</v>
      </c>
      <c r="C60" s="24">
        <v>0.28999999999999998</v>
      </c>
      <c r="D60" s="16" t="s">
        <v>21</v>
      </c>
      <c r="F60" s="14">
        <f t="shared" si="5"/>
        <v>-1.2378743560016174</v>
      </c>
      <c r="K60" s="12">
        <v>6.6</v>
      </c>
      <c r="L60" s="10" t="e">
        <f t="shared" ca="1" si="2"/>
        <v>#NAME?</v>
      </c>
      <c r="M60" s="12">
        <v>57</v>
      </c>
      <c r="N60" s="10" t="e">
        <f t="shared" ca="1" si="3"/>
        <v>#NAME?</v>
      </c>
    </row>
    <row r="61" spans="1:14" x14ac:dyDescent="0.2">
      <c r="A61" s="21">
        <v>58</v>
      </c>
      <c r="B61" s="18">
        <f t="shared" si="4"/>
        <v>0.75600000000000001</v>
      </c>
      <c r="C61" s="24">
        <v>0.27</v>
      </c>
      <c r="D61" s="16" t="s">
        <v>21</v>
      </c>
      <c r="F61" s="14">
        <f t="shared" si="5"/>
        <v>-1.3093333199837622</v>
      </c>
      <c r="K61" s="12">
        <v>6.7</v>
      </c>
      <c r="L61" s="10" t="e">
        <f t="shared" ca="1" si="2"/>
        <v>#NAME?</v>
      </c>
      <c r="M61" s="12">
        <v>58</v>
      </c>
      <c r="N61" s="10" t="e">
        <f t="shared" ca="1" si="3"/>
        <v>#NAME?</v>
      </c>
    </row>
    <row r="62" spans="1:14" x14ac:dyDescent="0.2">
      <c r="A62" s="21">
        <v>59</v>
      </c>
      <c r="B62" s="18">
        <f t="shared" si="4"/>
        <v>0.7</v>
      </c>
      <c r="C62" s="24">
        <v>0.25</v>
      </c>
      <c r="D62" s="16" t="s">
        <v>21</v>
      </c>
      <c r="F62" s="14">
        <f t="shared" si="5"/>
        <v>-1.3862943611198906</v>
      </c>
      <c r="K62" s="12">
        <v>6.8000000000000096</v>
      </c>
      <c r="L62" s="10" t="e">
        <f t="shared" ca="1" si="2"/>
        <v>#NAME?</v>
      </c>
      <c r="M62" s="12">
        <v>59</v>
      </c>
      <c r="N62" s="10" t="e">
        <f t="shared" ca="1" si="3"/>
        <v>#NAME?</v>
      </c>
    </row>
    <row r="63" spans="1:14" x14ac:dyDescent="0.2">
      <c r="A63" s="21">
        <v>60</v>
      </c>
      <c r="B63" s="18">
        <f t="shared" si="4"/>
        <v>0.64400000000000002</v>
      </c>
      <c r="C63" s="24">
        <v>0.23</v>
      </c>
      <c r="D63" s="16" t="s">
        <v>21</v>
      </c>
      <c r="F63" s="14">
        <f t="shared" si="5"/>
        <v>-1.4696759700589417</v>
      </c>
      <c r="K63" s="12">
        <v>6.9000000000000101</v>
      </c>
      <c r="L63" s="10" t="e">
        <f t="shared" ca="1" si="2"/>
        <v>#NAME?</v>
      </c>
      <c r="M63" s="12">
        <v>60</v>
      </c>
      <c r="N63" s="10" t="e">
        <f t="shared" ca="1" si="3"/>
        <v>#NAME?</v>
      </c>
    </row>
    <row r="64" spans="1:14" x14ac:dyDescent="0.2">
      <c r="A64" s="21">
        <v>61</v>
      </c>
      <c r="B64" s="18">
        <f t="shared" si="4"/>
        <v>0.58799999999999997</v>
      </c>
      <c r="C64" s="24">
        <v>0.21</v>
      </c>
      <c r="D64" s="16" t="s">
        <v>21</v>
      </c>
      <c r="F64" s="14">
        <f t="shared" si="5"/>
        <v>-1.5606477482646683</v>
      </c>
      <c r="K64" s="12">
        <v>7.0000000000000098</v>
      </c>
      <c r="L64" s="10" t="e">
        <f t="shared" ca="1" si="2"/>
        <v>#NAME?</v>
      </c>
      <c r="M64" s="12">
        <v>61</v>
      </c>
      <c r="N64" s="10" t="e">
        <f t="shared" ca="1" si="3"/>
        <v>#NAME?</v>
      </c>
    </row>
    <row r="65" spans="1:14" x14ac:dyDescent="0.2">
      <c r="A65" s="21">
        <v>62</v>
      </c>
      <c r="B65" s="18">
        <f t="shared" si="4"/>
        <v>0.55999999999999994</v>
      </c>
      <c r="C65" s="24">
        <v>0.2</v>
      </c>
      <c r="D65" s="16" t="s">
        <v>21</v>
      </c>
      <c r="F65" s="14">
        <f t="shared" si="5"/>
        <v>-1.6094379124341003</v>
      </c>
      <c r="K65" s="12">
        <v>7.1</v>
      </c>
      <c r="L65" s="10" t="e">
        <f t="shared" ca="1" si="2"/>
        <v>#NAME?</v>
      </c>
      <c r="M65" s="12">
        <v>62</v>
      </c>
      <c r="N65" s="10" t="e">
        <f t="shared" ca="1" si="3"/>
        <v>#NAME?</v>
      </c>
    </row>
    <row r="66" spans="1:14" x14ac:dyDescent="0.2">
      <c r="A66" s="21">
        <v>63</v>
      </c>
      <c r="B66" s="18">
        <f t="shared" si="4"/>
        <v>0.53199999999999992</v>
      </c>
      <c r="C66" s="24">
        <v>0.19</v>
      </c>
      <c r="D66" s="16" t="s">
        <v>21</v>
      </c>
      <c r="F66" s="14">
        <f t="shared" si="5"/>
        <v>-1.6607312068216509</v>
      </c>
      <c r="K66" s="12">
        <v>7.2000000000000099</v>
      </c>
      <c r="L66" s="10" t="e">
        <f t="shared" ca="1" si="2"/>
        <v>#NAME?</v>
      </c>
      <c r="M66" s="12">
        <v>63</v>
      </c>
      <c r="N66" s="10" t="e">
        <f t="shared" ca="1" si="3"/>
        <v>#NAME?</v>
      </c>
    </row>
    <row r="67" spans="1:14" x14ac:dyDescent="0.2">
      <c r="A67" s="21">
        <v>64</v>
      </c>
      <c r="B67" s="18">
        <f t="shared" si="4"/>
        <v>0.504</v>
      </c>
      <c r="C67" s="24">
        <v>0.18</v>
      </c>
      <c r="D67" s="16" t="s">
        <v>21</v>
      </c>
      <c r="F67" s="14">
        <f t="shared" si="5"/>
        <v>-1.7147984280919266</v>
      </c>
      <c r="K67" s="12">
        <v>7.3000000000000096</v>
      </c>
      <c r="L67" s="10" t="e">
        <f t="shared" ca="1" si="2"/>
        <v>#NAME?</v>
      </c>
      <c r="M67" s="12">
        <v>64</v>
      </c>
      <c r="N67" s="10" t="e">
        <f t="shared" ca="1" si="3"/>
        <v>#NAME?</v>
      </c>
    </row>
    <row r="68" spans="1:14" x14ac:dyDescent="0.2">
      <c r="A68" s="21">
        <v>65</v>
      </c>
      <c r="B68" s="18">
        <f t="shared" si="4"/>
        <v>0.44799999999999995</v>
      </c>
      <c r="C68" s="24">
        <v>0.16</v>
      </c>
      <c r="D68" s="16" t="s">
        <v>21</v>
      </c>
      <c r="F68" s="14">
        <f t="shared" si="5"/>
        <v>-1.8325814637483102</v>
      </c>
      <c r="K68" s="12">
        <v>7.4000000000000101</v>
      </c>
      <c r="L68" s="10" t="e">
        <f t="shared" ca="1" si="2"/>
        <v>#NAME?</v>
      </c>
      <c r="M68" s="12">
        <v>65</v>
      </c>
      <c r="N68" s="10" t="e">
        <f t="shared" ca="1" si="3"/>
        <v>#NAME?</v>
      </c>
    </row>
    <row r="69" spans="1:14" x14ac:dyDescent="0.2">
      <c r="A69" s="21">
        <v>66</v>
      </c>
      <c r="B69" s="18">
        <f t="shared" si="4"/>
        <v>0.39200000000000002</v>
      </c>
      <c r="C69" s="24">
        <v>0.14000000000000001</v>
      </c>
      <c r="D69" s="16" t="s">
        <v>21</v>
      </c>
      <c r="F69" s="14">
        <f t="shared" si="5"/>
        <v>-1.9661128563728327</v>
      </c>
      <c r="K69" s="12">
        <v>7.5000000000000098</v>
      </c>
      <c r="L69" s="10" t="e">
        <f t="shared" ref="L69:L93" ca="1" si="6">EXP(interpolate($A$4:$A$92, $F$4:$F$92, $K69,$H$2,TRUE))</f>
        <v>#NAME?</v>
      </c>
      <c r="M69" s="12">
        <v>66</v>
      </c>
      <c r="N69" s="10" t="e">
        <f t="shared" ref="N69:N93" ca="1" si="7">EXP(interpolate($A$4:$A$93, $F$4:$F$93, M69,$H$2,TRUE))</f>
        <v>#NAME?</v>
      </c>
    </row>
    <row r="70" spans="1:14" x14ac:dyDescent="0.2">
      <c r="A70" s="21">
        <v>67</v>
      </c>
      <c r="B70" s="18">
        <f t="shared" si="4"/>
        <v>0.36399999999999999</v>
      </c>
      <c r="C70" s="24">
        <v>0.13</v>
      </c>
      <c r="D70" s="16" t="s">
        <v>21</v>
      </c>
      <c r="F70" s="14">
        <f t="shared" si="5"/>
        <v>-2.0402208285265546</v>
      </c>
      <c r="K70" s="12">
        <v>7.6000000000000103</v>
      </c>
      <c r="L70" s="10" t="e">
        <f t="shared" ca="1" si="6"/>
        <v>#NAME?</v>
      </c>
      <c r="M70" s="12">
        <v>67</v>
      </c>
      <c r="N70" s="10" t="e">
        <f t="shared" ca="1" si="7"/>
        <v>#NAME?</v>
      </c>
    </row>
    <row r="71" spans="1:14" x14ac:dyDescent="0.2">
      <c r="A71" s="21">
        <v>68</v>
      </c>
      <c r="B71" s="18">
        <f t="shared" si="4"/>
        <v>0.33599999999999997</v>
      </c>
      <c r="C71" s="24">
        <v>0.12</v>
      </c>
      <c r="D71" s="16" t="s">
        <v>21</v>
      </c>
      <c r="F71" s="14">
        <f t="shared" si="5"/>
        <v>-2.120263536200091</v>
      </c>
      <c r="K71" s="12">
        <v>7.7000000000000099</v>
      </c>
      <c r="L71" s="10" t="e">
        <f t="shared" ca="1" si="6"/>
        <v>#NAME?</v>
      </c>
      <c r="M71" s="12">
        <v>68</v>
      </c>
      <c r="N71" s="10" t="e">
        <f t="shared" ca="1" si="7"/>
        <v>#NAME?</v>
      </c>
    </row>
    <row r="72" spans="1:14" x14ac:dyDescent="0.2">
      <c r="A72" s="21">
        <v>69</v>
      </c>
      <c r="B72" s="18">
        <f t="shared" si="4"/>
        <v>0.308</v>
      </c>
      <c r="C72" s="24">
        <v>0.11</v>
      </c>
      <c r="D72" s="16" t="s">
        <v>21</v>
      </c>
      <c r="F72" s="14">
        <f t="shared" si="5"/>
        <v>-2.2072749131897207</v>
      </c>
      <c r="K72" s="12">
        <v>7.8000000000000096</v>
      </c>
      <c r="L72" s="10" t="e">
        <f t="shared" ca="1" si="6"/>
        <v>#NAME?</v>
      </c>
      <c r="M72" s="12">
        <v>69</v>
      </c>
      <c r="N72" s="10" t="e">
        <f t="shared" ca="1" si="7"/>
        <v>#NAME?</v>
      </c>
    </row>
    <row r="73" spans="1:14" x14ac:dyDescent="0.2">
      <c r="A73" s="21">
        <v>70</v>
      </c>
      <c r="B73" s="18">
        <f t="shared" si="4"/>
        <v>0.27999999999999997</v>
      </c>
      <c r="C73" s="24">
        <v>0.1</v>
      </c>
      <c r="D73" s="16" t="s">
        <v>21</v>
      </c>
      <c r="F73" s="14">
        <f t="shared" si="5"/>
        <v>-2.3025850929940455</v>
      </c>
      <c r="K73" s="12">
        <v>7.9000000000000101</v>
      </c>
      <c r="L73" s="10" t="e">
        <f t="shared" ca="1" si="6"/>
        <v>#NAME?</v>
      </c>
      <c r="M73" s="12">
        <v>70</v>
      </c>
      <c r="N73" s="10" t="e">
        <f t="shared" ca="1" si="7"/>
        <v>#NAME?</v>
      </c>
    </row>
    <row r="74" spans="1:14" x14ac:dyDescent="0.2">
      <c r="A74" s="21">
        <v>71</v>
      </c>
      <c r="B74" s="18">
        <f t="shared" si="4"/>
        <v>0.252</v>
      </c>
      <c r="C74" s="24">
        <v>0.09</v>
      </c>
      <c r="D74" s="16" t="s">
        <v>21</v>
      </c>
      <c r="F74" s="14">
        <f t="shared" si="5"/>
        <v>-2.4079456086518722</v>
      </c>
      <c r="K74" s="12">
        <v>8.0000000000000107</v>
      </c>
      <c r="L74" s="10" t="e">
        <f t="shared" ca="1" si="6"/>
        <v>#NAME?</v>
      </c>
      <c r="M74" s="12">
        <v>71</v>
      </c>
      <c r="N74" s="10" t="e">
        <f t="shared" ca="1" si="7"/>
        <v>#NAME?</v>
      </c>
    </row>
    <row r="75" spans="1:14" x14ac:dyDescent="0.2">
      <c r="A75" s="21">
        <v>72</v>
      </c>
      <c r="B75" s="18">
        <f t="shared" si="4"/>
        <v>0.22399999999999998</v>
      </c>
      <c r="C75" s="24">
        <v>0.08</v>
      </c>
      <c r="D75" s="16" t="s">
        <v>21</v>
      </c>
      <c r="F75" s="14">
        <f t="shared" si="5"/>
        <v>-2.5257286443082556</v>
      </c>
      <c r="K75" s="12">
        <v>8.1000000000000103</v>
      </c>
      <c r="L75" s="10" t="e">
        <f t="shared" ca="1" si="6"/>
        <v>#NAME?</v>
      </c>
      <c r="M75" s="12">
        <v>72</v>
      </c>
      <c r="N75" s="10" t="e">
        <f t="shared" ca="1" si="7"/>
        <v>#NAME?</v>
      </c>
    </row>
    <row r="76" spans="1:14" x14ac:dyDescent="0.2">
      <c r="A76" s="21">
        <v>73</v>
      </c>
      <c r="B76" s="18">
        <f t="shared" si="4"/>
        <v>0.19600000000000001</v>
      </c>
      <c r="C76" s="24">
        <v>7.0000000000000007E-2</v>
      </c>
      <c r="D76" s="16" t="s">
        <v>21</v>
      </c>
      <c r="F76" s="14">
        <f t="shared" si="5"/>
        <v>-2.6592600369327779</v>
      </c>
      <c r="K76" s="12">
        <v>8.2000000000000099</v>
      </c>
      <c r="L76" s="10" t="e">
        <f t="shared" ca="1" si="6"/>
        <v>#NAME?</v>
      </c>
      <c r="M76" s="12">
        <v>73</v>
      </c>
      <c r="N76" s="10" t="e">
        <f t="shared" ca="1" si="7"/>
        <v>#NAME?</v>
      </c>
    </row>
    <row r="77" spans="1:14" x14ac:dyDescent="0.2">
      <c r="A77" s="21">
        <v>74</v>
      </c>
      <c r="B77" s="18">
        <f t="shared" si="4"/>
        <v>0.18759999999999999</v>
      </c>
      <c r="C77" s="24">
        <v>6.7000000000000004E-2</v>
      </c>
      <c r="D77" s="16" t="s">
        <v>21</v>
      </c>
      <c r="F77" s="14">
        <f t="shared" si="5"/>
        <v>-2.7030626595911711</v>
      </c>
      <c r="K77" s="12">
        <v>8.3000000000000096</v>
      </c>
      <c r="L77" s="10" t="e">
        <f t="shared" ca="1" si="6"/>
        <v>#NAME?</v>
      </c>
      <c r="M77" s="12">
        <v>74</v>
      </c>
      <c r="N77" s="10" t="e">
        <f t="shared" ca="1" si="7"/>
        <v>#NAME?</v>
      </c>
    </row>
    <row r="78" spans="1:14" x14ac:dyDescent="0.2">
      <c r="A78" s="21">
        <v>75</v>
      </c>
      <c r="B78" s="18">
        <f t="shared" si="4"/>
        <v>0.1792</v>
      </c>
      <c r="C78" s="24">
        <v>6.4000000000000001E-2</v>
      </c>
      <c r="D78" s="16" t="s">
        <v>21</v>
      </c>
      <c r="F78" s="14">
        <f t="shared" si="5"/>
        <v>-2.7488721956224653</v>
      </c>
      <c r="K78" s="12">
        <v>8.4000000000000092</v>
      </c>
      <c r="L78" s="10" t="e">
        <f t="shared" ca="1" si="6"/>
        <v>#NAME?</v>
      </c>
      <c r="M78" s="12">
        <v>75</v>
      </c>
      <c r="N78" s="10" t="e">
        <f t="shared" ca="1" si="7"/>
        <v>#NAME?</v>
      </c>
    </row>
    <row r="79" spans="1:14" x14ac:dyDescent="0.2">
      <c r="A79" s="21">
        <v>76</v>
      </c>
      <c r="B79" s="18">
        <f t="shared" si="4"/>
        <v>0.17079999999999998</v>
      </c>
      <c r="C79" s="24">
        <v>6.0999999999999999E-2</v>
      </c>
      <c r="D79" s="16" t="s">
        <v>21</v>
      </c>
      <c r="F79" s="14">
        <f t="shared" si="5"/>
        <v>-2.7968814148088259</v>
      </c>
      <c r="K79" s="12">
        <v>8.5000000000000107</v>
      </c>
      <c r="L79" s="10" t="e">
        <f t="shared" ca="1" si="6"/>
        <v>#NAME?</v>
      </c>
      <c r="M79" s="12">
        <v>76</v>
      </c>
      <c r="N79" s="10" t="e">
        <f t="shared" ca="1" si="7"/>
        <v>#NAME?</v>
      </c>
    </row>
    <row r="80" spans="1:14" x14ac:dyDescent="0.2">
      <c r="A80" s="21">
        <v>77</v>
      </c>
      <c r="B80" s="18">
        <f t="shared" si="4"/>
        <v>0.16239999999999999</v>
      </c>
      <c r="C80" s="24">
        <v>5.8000000000000003E-2</v>
      </c>
      <c r="D80" s="16" t="s">
        <v>21</v>
      </c>
      <c r="F80" s="14">
        <f t="shared" si="5"/>
        <v>-2.8473122684357177</v>
      </c>
      <c r="K80" s="12">
        <v>8.6000000000000103</v>
      </c>
      <c r="L80" s="10" t="e">
        <f t="shared" ca="1" si="6"/>
        <v>#NAME?</v>
      </c>
      <c r="M80" s="12">
        <v>77</v>
      </c>
      <c r="N80" s="10" t="e">
        <f t="shared" ca="1" si="7"/>
        <v>#NAME?</v>
      </c>
    </row>
    <row r="81" spans="1:14" x14ac:dyDescent="0.2">
      <c r="A81" s="21">
        <v>78</v>
      </c>
      <c r="B81" s="18">
        <f t="shared" si="4"/>
        <v>0.154</v>
      </c>
      <c r="C81" s="24">
        <v>5.5E-2</v>
      </c>
      <c r="D81" s="16" t="s">
        <v>21</v>
      </c>
      <c r="F81" s="14">
        <f t="shared" si="5"/>
        <v>-2.9004220937496661</v>
      </c>
      <c r="K81" s="12">
        <v>8.7000000000000099</v>
      </c>
      <c r="L81" s="10" t="e">
        <f t="shared" ca="1" si="6"/>
        <v>#NAME?</v>
      </c>
      <c r="M81" s="12">
        <v>78</v>
      </c>
      <c r="N81" s="10" t="e">
        <f t="shared" ca="1" si="7"/>
        <v>#NAME?</v>
      </c>
    </row>
    <row r="82" spans="1:14" x14ac:dyDescent="0.2">
      <c r="A82" s="21">
        <v>79</v>
      </c>
      <c r="B82" s="18">
        <f t="shared" si="4"/>
        <v>0.14559999999999998</v>
      </c>
      <c r="C82" s="24">
        <v>5.1999999999999998E-2</v>
      </c>
      <c r="D82" s="16" t="s">
        <v>21</v>
      </c>
      <c r="F82" s="14">
        <f t="shared" si="5"/>
        <v>-2.9565115604007097</v>
      </c>
      <c r="K82" s="12">
        <v>8.8000000000000096</v>
      </c>
      <c r="L82" s="10" t="e">
        <f t="shared" ca="1" si="6"/>
        <v>#NAME?</v>
      </c>
      <c r="M82" s="12">
        <v>79</v>
      </c>
      <c r="N82" s="10" t="e">
        <f t="shared" ca="1" si="7"/>
        <v>#NAME?</v>
      </c>
    </row>
    <row r="83" spans="1:14" x14ac:dyDescent="0.2">
      <c r="A83" s="21">
        <v>80</v>
      </c>
      <c r="B83" s="18">
        <f t="shared" si="4"/>
        <v>0.13719999999999999</v>
      </c>
      <c r="C83" s="24">
        <v>4.9000000000000002E-2</v>
      </c>
      <c r="D83" s="16" t="s">
        <v>21</v>
      </c>
      <c r="F83" s="14">
        <f t="shared" si="5"/>
        <v>-3.0159349808715104</v>
      </c>
      <c r="K83" s="12">
        <v>8.9000000000000092</v>
      </c>
      <c r="L83" s="10" t="e">
        <f t="shared" ca="1" si="6"/>
        <v>#NAME?</v>
      </c>
      <c r="M83" s="12">
        <v>80</v>
      </c>
      <c r="N83" s="10" t="e">
        <f t="shared" ca="1" si="7"/>
        <v>#NAME?</v>
      </c>
    </row>
    <row r="84" spans="1:14" x14ac:dyDescent="0.2">
      <c r="A84" s="21">
        <v>81</v>
      </c>
      <c r="B84" s="18">
        <f t="shared" si="4"/>
        <v>0.1288</v>
      </c>
      <c r="C84" s="24">
        <v>4.5999999999999999E-2</v>
      </c>
      <c r="D84" s="16" t="s">
        <v>21</v>
      </c>
      <c r="F84" s="14">
        <f t="shared" si="5"/>
        <v>-3.0791138824930422</v>
      </c>
      <c r="K84" s="12">
        <v>9.0000000000000107</v>
      </c>
      <c r="L84" s="10" t="e">
        <f t="shared" ca="1" si="6"/>
        <v>#NAME?</v>
      </c>
      <c r="M84" s="12">
        <v>81</v>
      </c>
      <c r="N84" s="10" t="e">
        <f t="shared" ca="1" si="7"/>
        <v>#NAME?</v>
      </c>
    </row>
    <row r="85" spans="1:14" x14ac:dyDescent="0.2">
      <c r="A85" s="21">
        <v>82</v>
      </c>
      <c r="B85" s="18">
        <f t="shared" si="4"/>
        <v>0.12039999999999998</v>
      </c>
      <c r="C85" s="24">
        <v>4.2999999999999997E-2</v>
      </c>
      <c r="D85" s="16" t="s">
        <v>21</v>
      </c>
      <c r="F85" s="14">
        <f t="shared" si="5"/>
        <v>-3.1465551632885749</v>
      </c>
      <c r="K85" s="12">
        <v>9.1000000000000103</v>
      </c>
      <c r="L85" s="10" t="e">
        <f t="shared" ca="1" si="6"/>
        <v>#NAME?</v>
      </c>
      <c r="M85" s="12">
        <v>82</v>
      </c>
      <c r="N85" s="10" t="e">
        <f t="shared" ca="1" si="7"/>
        <v>#NAME?</v>
      </c>
    </row>
    <row r="86" spans="1:14" x14ac:dyDescent="0.2">
      <c r="A86" s="21">
        <v>83</v>
      </c>
      <c r="B86" s="18">
        <f t="shared" si="4"/>
        <v>0.11199999999999999</v>
      </c>
      <c r="C86" s="24">
        <v>0.04</v>
      </c>
      <c r="D86" s="16" t="s">
        <v>21</v>
      </c>
      <c r="F86" s="14">
        <f t="shared" si="5"/>
        <v>-3.2188758248682006</v>
      </c>
      <c r="K86" s="12">
        <v>9.2000000000000099</v>
      </c>
      <c r="L86" s="10" t="e">
        <f t="shared" ca="1" si="6"/>
        <v>#NAME?</v>
      </c>
      <c r="M86" s="12">
        <v>83</v>
      </c>
      <c r="N86" s="10" t="e">
        <f t="shared" ca="1" si="7"/>
        <v>#NAME?</v>
      </c>
    </row>
    <row r="87" spans="1:14" x14ac:dyDescent="0.2">
      <c r="A87" s="21">
        <v>84</v>
      </c>
      <c r="B87" s="18">
        <f t="shared" si="4"/>
        <v>0.10359999999999998</v>
      </c>
      <c r="C87" s="24">
        <v>3.6999999999999998E-2</v>
      </c>
      <c r="D87" s="16" t="s">
        <v>21</v>
      </c>
      <c r="F87" s="14">
        <f t="shared" si="5"/>
        <v>-3.2968373663379125</v>
      </c>
      <c r="K87" s="12">
        <v>9.3000000000000096</v>
      </c>
      <c r="L87" s="10" t="e">
        <f t="shared" ca="1" si="6"/>
        <v>#NAME?</v>
      </c>
      <c r="M87" s="12">
        <v>84</v>
      </c>
      <c r="N87" s="10" t="e">
        <f t="shared" ca="1" si="7"/>
        <v>#NAME?</v>
      </c>
    </row>
    <row r="88" spans="1:14" x14ac:dyDescent="0.2">
      <c r="A88" s="21">
        <v>85</v>
      </c>
      <c r="B88" s="18">
        <f t="shared" si="4"/>
        <v>9.5200000000000007E-2</v>
      </c>
      <c r="C88" s="24">
        <v>3.4000000000000002E-2</v>
      </c>
      <c r="D88" s="16" t="s">
        <v>21</v>
      </c>
      <c r="F88" s="14">
        <f t="shared" si="5"/>
        <v>-3.3813947543659757</v>
      </c>
      <c r="K88" s="12">
        <v>9.4000000000000092</v>
      </c>
      <c r="L88" s="10" t="e">
        <f t="shared" ca="1" si="6"/>
        <v>#NAME?</v>
      </c>
      <c r="M88" s="12">
        <v>85</v>
      </c>
      <c r="N88" s="10" t="e">
        <f t="shared" ca="1" si="7"/>
        <v>#NAME?</v>
      </c>
    </row>
    <row r="89" spans="1:14" x14ac:dyDescent="0.2">
      <c r="A89" s="21">
        <v>86</v>
      </c>
      <c r="B89" s="18">
        <f t="shared" si="4"/>
        <v>8.6799999999999988E-2</v>
      </c>
      <c r="C89" s="24">
        <v>3.1E-2</v>
      </c>
      <c r="D89" s="16" t="s">
        <v>21</v>
      </c>
      <c r="F89" s="14">
        <f t="shared" si="5"/>
        <v>-3.473768074496991</v>
      </c>
      <c r="K89" s="12">
        <v>9.5000000000000107</v>
      </c>
      <c r="L89" s="10" t="e">
        <f t="shared" ca="1" si="6"/>
        <v>#NAME?</v>
      </c>
      <c r="M89" s="12">
        <v>86</v>
      </c>
      <c r="N89" s="10" t="e">
        <f t="shared" ca="1" si="7"/>
        <v>#NAME?</v>
      </c>
    </row>
    <row r="90" spans="1:14" x14ac:dyDescent="0.2">
      <c r="A90" s="21">
        <v>87</v>
      </c>
      <c r="B90" s="18">
        <f t="shared" si="4"/>
        <v>7.8399999999999997E-2</v>
      </c>
      <c r="C90" s="24">
        <v>2.8000000000000001E-2</v>
      </c>
      <c r="D90" s="16" t="s">
        <v>21</v>
      </c>
      <c r="F90" s="14">
        <f t="shared" si="5"/>
        <v>-3.575550768806933</v>
      </c>
      <c r="K90" s="12">
        <v>9.6000000000000103</v>
      </c>
      <c r="L90" s="10" t="e">
        <f t="shared" ca="1" si="6"/>
        <v>#NAME?</v>
      </c>
      <c r="M90" s="12">
        <v>87</v>
      </c>
      <c r="N90" s="10" t="e">
        <f t="shared" ca="1" si="7"/>
        <v>#NAME?</v>
      </c>
    </row>
    <row r="91" spans="1:14" x14ac:dyDescent="0.2">
      <c r="A91" s="21">
        <v>88</v>
      </c>
      <c r="B91" s="18">
        <f t="shared" si="4"/>
        <v>6.9999999999999993E-2</v>
      </c>
      <c r="C91" s="24">
        <v>2.5000000000000001E-2</v>
      </c>
      <c r="D91" s="16" t="s">
        <v>21</v>
      </c>
      <c r="F91" s="14">
        <f t="shared" si="5"/>
        <v>-3.6888794541139363</v>
      </c>
      <c r="K91" s="12">
        <v>9.7000000000000099</v>
      </c>
      <c r="L91" s="10" t="e">
        <f t="shared" ca="1" si="6"/>
        <v>#NAME?</v>
      </c>
      <c r="M91" s="12">
        <v>88</v>
      </c>
      <c r="N91" s="10" t="e">
        <f t="shared" ca="1" si="7"/>
        <v>#NAME?</v>
      </c>
    </row>
    <row r="92" spans="1:14" x14ac:dyDescent="0.2">
      <c r="A92" s="21">
        <v>89</v>
      </c>
      <c r="B92" s="18">
        <f t="shared" si="4"/>
        <v>6.1599999999999995E-2</v>
      </c>
      <c r="C92" s="24">
        <v>2.1999999999999999E-2</v>
      </c>
      <c r="D92" s="16" t="s">
        <v>21</v>
      </c>
      <c r="F92" s="14">
        <f t="shared" si="5"/>
        <v>-3.8167128256238212</v>
      </c>
      <c r="K92" s="12">
        <v>9.8000000000000096</v>
      </c>
      <c r="L92" s="10" t="e">
        <f t="shared" ca="1" si="6"/>
        <v>#NAME?</v>
      </c>
      <c r="M92" s="12">
        <v>89</v>
      </c>
      <c r="N92" s="10" t="e">
        <f t="shared" ca="1" si="7"/>
        <v>#NAME?</v>
      </c>
    </row>
    <row r="93" spans="1:14" x14ac:dyDescent="0.2">
      <c r="A93" s="22">
        <v>90</v>
      </c>
      <c r="B93" s="19">
        <f t="shared" si="4"/>
        <v>5.5999999999999994E-2</v>
      </c>
      <c r="C93" s="25">
        <v>0.02</v>
      </c>
      <c r="D93" s="17" t="s">
        <v>21</v>
      </c>
      <c r="F93" s="15">
        <f t="shared" si="5"/>
        <v>-3.912023005428146</v>
      </c>
      <c r="K93" s="13">
        <v>9.9000000000000092</v>
      </c>
      <c r="L93" s="11" t="e">
        <f t="shared" ca="1" si="6"/>
        <v>#NAME?</v>
      </c>
      <c r="M93" s="13">
        <v>90</v>
      </c>
      <c r="N93" s="11" t="e">
        <f t="shared" ca="1" si="7"/>
        <v>#NAME?</v>
      </c>
    </row>
  </sheetData>
  <sheetProtection password="DCDE" sheet="1" objects="1" scenarios="1"/>
  <phoneticPr fontId="0" type="noConversion"/>
  <pageMargins left="0.51" right="0.24" top="0.81" bottom="0.28000000000000003" header="0.5" footer="0.17"/>
  <pageSetup paperSize="9" scale="65" orientation="portrait" r:id="rId1"/>
  <headerFooter alignWithMargins="0">
    <oddHeader>&amp;C&amp;"Arial,Bold"&amp;14Contamination Monitoring Product Calibration - Twin Light Source 30-1 Look Up Tables</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I297"/>
  <sheetViews>
    <sheetView topLeftCell="A127" workbookViewId="0">
      <selection activeCell="B144" sqref="B144"/>
    </sheetView>
  </sheetViews>
  <sheetFormatPr defaultRowHeight="12.75" x14ac:dyDescent="0.2"/>
  <cols>
    <col min="1" max="1" width="32.7109375" bestFit="1" customWidth="1"/>
    <col min="2" max="2" width="12.42578125" bestFit="1" customWidth="1"/>
    <col min="5" max="5" width="32.7109375" bestFit="1" customWidth="1"/>
    <col min="6" max="6" width="15.140625" bestFit="1" customWidth="1"/>
    <col min="8" max="8" width="32.7109375" bestFit="1" customWidth="1"/>
    <col min="9" max="9" width="9.5703125" bestFit="1" customWidth="1"/>
  </cols>
  <sheetData>
    <row r="1" spans="1:9" x14ac:dyDescent="0.2">
      <c r="A1" s="642" t="s">
        <v>22</v>
      </c>
      <c r="B1" s="642" t="s">
        <v>23</v>
      </c>
      <c r="H1" s="99"/>
    </row>
    <row r="2" spans="1:9" x14ac:dyDescent="0.2">
      <c r="A2" s="642" t="s">
        <v>24</v>
      </c>
      <c r="B2" s="642"/>
      <c r="H2" s="99"/>
      <c r="I2" s="99"/>
    </row>
    <row r="3" spans="1:9" x14ac:dyDescent="0.2">
      <c r="A3" s="642" t="s">
        <v>25</v>
      </c>
      <c r="B3" s="642" t="s">
        <v>23</v>
      </c>
      <c r="H3" s="99"/>
      <c r="I3" s="99"/>
    </row>
    <row r="4" spans="1:9" x14ac:dyDescent="0.2">
      <c r="A4" s="643" t="s">
        <v>26</v>
      </c>
      <c r="B4" s="642">
        <v>63010073</v>
      </c>
      <c r="H4" s="99"/>
    </row>
    <row r="5" spans="1:9" x14ac:dyDescent="0.2">
      <c r="A5" s="642" t="s">
        <v>27</v>
      </c>
      <c r="B5" s="642">
        <v>1024</v>
      </c>
      <c r="H5" s="99"/>
      <c r="I5" s="99"/>
    </row>
    <row r="6" spans="1:9" x14ac:dyDescent="0.2">
      <c r="A6" s="642" t="s">
        <v>28</v>
      </c>
      <c r="B6" s="642">
        <v>0</v>
      </c>
      <c r="H6" s="99"/>
      <c r="I6" s="99"/>
    </row>
    <row r="7" spans="1:9" x14ac:dyDescent="0.2">
      <c r="A7" s="642" t="s">
        <v>29</v>
      </c>
      <c r="B7" s="642" t="s">
        <v>23</v>
      </c>
      <c r="H7" s="99"/>
      <c r="I7" s="99"/>
    </row>
    <row r="8" spans="1:9" x14ac:dyDescent="0.2">
      <c r="A8" s="642" t="s">
        <v>30</v>
      </c>
      <c r="B8" s="642">
        <v>80</v>
      </c>
      <c r="H8" s="99"/>
      <c r="I8" s="99"/>
    </row>
    <row r="9" spans="1:9" x14ac:dyDescent="0.2">
      <c r="A9" s="642" t="s">
        <v>31</v>
      </c>
      <c r="B9" s="642">
        <v>194</v>
      </c>
      <c r="H9" s="99"/>
      <c r="I9" s="99"/>
    </row>
    <row r="10" spans="1:9" x14ac:dyDescent="0.2">
      <c r="A10" s="642" t="s">
        <v>32</v>
      </c>
      <c r="B10" s="642">
        <v>1032</v>
      </c>
      <c r="H10" s="99"/>
      <c r="I10" s="99"/>
    </row>
    <row r="11" spans="1:9" x14ac:dyDescent="0.2">
      <c r="A11" s="642" t="s">
        <v>33</v>
      </c>
      <c r="B11" s="642">
        <v>2064</v>
      </c>
      <c r="H11" s="99"/>
      <c r="I11" s="99"/>
    </row>
    <row r="12" spans="1:9" x14ac:dyDescent="0.2">
      <c r="A12" s="642" t="s">
        <v>34</v>
      </c>
      <c r="B12" s="642">
        <v>3012</v>
      </c>
      <c r="H12" s="99"/>
      <c r="I12" s="99"/>
    </row>
    <row r="13" spans="1:9" x14ac:dyDescent="0.2">
      <c r="A13" s="642" t="s">
        <v>35</v>
      </c>
      <c r="B13" s="642">
        <v>10314</v>
      </c>
      <c r="H13" s="99"/>
      <c r="I13" s="99"/>
    </row>
    <row r="14" spans="1:9" x14ac:dyDescent="0.2">
      <c r="A14" s="642" t="s">
        <v>36</v>
      </c>
      <c r="B14" s="642">
        <v>16352</v>
      </c>
      <c r="H14" s="99"/>
      <c r="I14" s="99"/>
    </row>
    <row r="15" spans="1:9" x14ac:dyDescent="0.2">
      <c r="A15" s="642" t="s">
        <v>37</v>
      </c>
      <c r="B15" s="642">
        <v>25228</v>
      </c>
      <c r="H15" s="99"/>
      <c r="I15" s="99"/>
    </row>
    <row r="16" spans="1:9" x14ac:dyDescent="0.2">
      <c r="A16" s="642" t="s">
        <v>38</v>
      </c>
      <c r="B16" s="642">
        <v>60</v>
      </c>
      <c r="H16" s="99"/>
      <c r="I16" s="99"/>
    </row>
    <row r="17" spans="1:9" x14ac:dyDescent="0.2">
      <c r="A17" s="642" t="s">
        <v>39</v>
      </c>
      <c r="B17" s="642">
        <v>300</v>
      </c>
      <c r="H17" s="99"/>
      <c r="I17" s="99"/>
    </row>
    <row r="18" spans="1:9" x14ac:dyDescent="0.2">
      <c r="A18" s="642" t="s">
        <v>40</v>
      </c>
      <c r="B18" s="642">
        <v>750</v>
      </c>
      <c r="H18" s="99"/>
      <c r="I18" s="99"/>
    </row>
    <row r="19" spans="1:9" x14ac:dyDescent="0.2">
      <c r="A19" s="642" t="s">
        <v>41</v>
      </c>
      <c r="B19" s="642">
        <v>200</v>
      </c>
      <c r="H19" s="99"/>
      <c r="I19" s="99"/>
    </row>
    <row r="20" spans="1:9" x14ac:dyDescent="0.2">
      <c r="A20" s="642" t="s">
        <v>42</v>
      </c>
      <c r="B20" s="642">
        <v>500</v>
      </c>
      <c r="H20" s="99"/>
      <c r="I20" s="99"/>
    </row>
    <row r="21" spans="1:9" x14ac:dyDescent="0.2">
      <c r="A21" s="642" t="s">
        <v>43</v>
      </c>
      <c r="B21" s="642">
        <v>13905</v>
      </c>
      <c r="H21" s="99"/>
      <c r="I21" s="99"/>
    </row>
    <row r="22" spans="1:9" x14ac:dyDescent="0.2">
      <c r="A22" s="642" t="s">
        <v>44</v>
      </c>
      <c r="B22" s="642">
        <v>0</v>
      </c>
      <c r="H22" s="99"/>
      <c r="I22" s="99"/>
    </row>
    <row r="23" spans="1:9" x14ac:dyDescent="0.2">
      <c r="A23" s="642" t="s">
        <v>45</v>
      </c>
      <c r="B23" s="642">
        <v>50</v>
      </c>
      <c r="H23" s="99"/>
      <c r="I23" s="99"/>
    </row>
    <row r="24" spans="1:9" x14ac:dyDescent="0.2">
      <c r="A24" s="642" t="s">
        <v>46</v>
      </c>
      <c r="B24" s="642">
        <v>2147483648</v>
      </c>
      <c r="H24" s="99"/>
      <c r="I24" s="99"/>
    </row>
    <row r="25" spans="1:9" x14ac:dyDescent="0.2">
      <c r="A25" s="642" t="s">
        <v>47</v>
      </c>
      <c r="B25" s="642">
        <v>2147483648</v>
      </c>
      <c r="H25" s="99"/>
      <c r="I25" s="99"/>
    </row>
    <row r="26" spans="1:9" x14ac:dyDescent="0.2">
      <c r="A26" s="642" t="s">
        <v>48</v>
      </c>
      <c r="B26" s="642">
        <v>0</v>
      </c>
      <c r="H26" s="99"/>
      <c r="I26" s="99"/>
    </row>
    <row r="27" spans="1:9" x14ac:dyDescent="0.2">
      <c r="A27" s="642" t="s">
        <v>49</v>
      </c>
      <c r="B27" s="642">
        <v>0</v>
      </c>
      <c r="H27" s="99"/>
      <c r="I27" s="99"/>
    </row>
    <row r="28" spans="1:9" x14ac:dyDescent="0.2">
      <c r="A28" s="642" t="s">
        <v>50</v>
      </c>
      <c r="B28" s="642">
        <v>0</v>
      </c>
      <c r="H28" s="99"/>
      <c r="I28" s="99"/>
    </row>
    <row r="29" spans="1:9" x14ac:dyDescent="0.2">
      <c r="A29" s="642" t="s">
        <v>51</v>
      </c>
      <c r="B29" s="642">
        <v>7</v>
      </c>
      <c r="H29" s="99"/>
      <c r="I29" s="99"/>
    </row>
    <row r="30" spans="1:9" x14ac:dyDescent="0.2">
      <c r="A30" s="642" t="s">
        <v>52</v>
      </c>
      <c r="B30" s="642">
        <v>0</v>
      </c>
      <c r="H30" s="99"/>
      <c r="I30" s="99"/>
    </row>
    <row r="31" spans="1:9" x14ac:dyDescent="0.2">
      <c r="A31" s="642" t="s">
        <v>53</v>
      </c>
      <c r="B31" s="642">
        <v>2147483648</v>
      </c>
      <c r="H31" s="99"/>
      <c r="I31" s="99"/>
    </row>
    <row r="32" spans="1:9" x14ac:dyDescent="0.2">
      <c r="A32" s="642" t="s">
        <v>54</v>
      </c>
      <c r="B32" s="642">
        <v>0</v>
      </c>
      <c r="H32" s="99"/>
      <c r="I32" s="99"/>
    </row>
    <row r="33" spans="1:9" x14ac:dyDescent="0.2">
      <c r="A33" s="642" t="s">
        <v>55</v>
      </c>
      <c r="B33" s="642">
        <v>4095</v>
      </c>
      <c r="H33" s="99"/>
      <c r="I33" s="99"/>
    </row>
    <row r="34" spans="1:9" x14ac:dyDescent="0.2">
      <c r="A34" s="642" t="s">
        <v>56</v>
      </c>
      <c r="B34" s="642">
        <v>0</v>
      </c>
      <c r="H34" s="99"/>
      <c r="I34" s="99"/>
    </row>
    <row r="35" spans="1:9" x14ac:dyDescent="0.2">
      <c r="A35" s="642" t="s">
        <v>57</v>
      </c>
      <c r="B35" s="642">
        <v>30</v>
      </c>
      <c r="H35" s="99"/>
      <c r="I35" s="99"/>
    </row>
    <row r="36" spans="1:9" x14ac:dyDescent="0.2">
      <c r="A36" s="642" t="s">
        <v>58</v>
      </c>
      <c r="B36" s="642">
        <v>2</v>
      </c>
      <c r="H36" s="99"/>
      <c r="I36" s="99"/>
    </row>
    <row r="37" spans="1:9" x14ac:dyDescent="0.2">
      <c r="A37" s="642" t="s">
        <v>59</v>
      </c>
      <c r="B37" s="642">
        <v>1</v>
      </c>
      <c r="H37" s="99"/>
      <c r="I37" s="99"/>
    </row>
    <row r="38" spans="1:9" x14ac:dyDescent="0.2">
      <c r="A38" s="642" t="s">
        <v>60</v>
      </c>
      <c r="B38" s="642">
        <v>30</v>
      </c>
      <c r="H38" s="99"/>
      <c r="I38" s="99"/>
    </row>
    <row r="39" spans="1:9" x14ac:dyDescent="0.2">
      <c r="A39" s="642" t="s">
        <v>61</v>
      </c>
      <c r="B39" s="642">
        <v>150</v>
      </c>
      <c r="H39" s="99"/>
      <c r="I39" s="99"/>
    </row>
    <row r="40" spans="1:9" x14ac:dyDescent="0.2">
      <c r="A40" s="642" t="s">
        <v>62</v>
      </c>
      <c r="B40" s="642">
        <v>50</v>
      </c>
      <c r="H40" s="99"/>
      <c r="I40" s="99"/>
    </row>
    <row r="41" spans="1:9" x14ac:dyDescent="0.2">
      <c r="A41" s="642" t="s">
        <v>63</v>
      </c>
      <c r="B41" s="642">
        <v>20</v>
      </c>
      <c r="H41" s="99"/>
      <c r="I41" s="99"/>
    </row>
    <row r="42" spans="1:9" x14ac:dyDescent="0.2">
      <c r="A42" s="642" t="s">
        <v>64</v>
      </c>
      <c r="B42" s="642">
        <v>100</v>
      </c>
      <c r="H42" s="99"/>
      <c r="I42" s="99"/>
    </row>
    <row r="43" spans="1:9" x14ac:dyDescent="0.2">
      <c r="A43" s="642" t="s">
        <v>65</v>
      </c>
      <c r="B43" s="642">
        <v>90</v>
      </c>
      <c r="H43" s="99"/>
      <c r="I43" s="99"/>
    </row>
    <row r="44" spans="1:9" x14ac:dyDescent="0.2">
      <c r="A44" s="642" t="s">
        <v>66</v>
      </c>
      <c r="B44" s="642">
        <v>50</v>
      </c>
      <c r="H44" s="99"/>
      <c r="I44" s="99"/>
    </row>
    <row r="45" spans="1:9" x14ac:dyDescent="0.2">
      <c r="A45" s="642" t="s">
        <v>67</v>
      </c>
      <c r="B45" s="642">
        <v>50</v>
      </c>
      <c r="H45" s="99"/>
      <c r="I45" s="99"/>
    </row>
    <row r="46" spans="1:9" x14ac:dyDescent="0.2">
      <c r="A46" s="642" t="s">
        <v>68</v>
      </c>
      <c r="B46" s="642">
        <v>50</v>
      </c>
      <c r="H46" s="99"/>
      <c r="I46" s="99"/>
    </row>
    <row r="47" spans="1:9" x14ac:dyDescent="0.2">
      <c r="A47" s="642" t="s">
        <v>69</v>
      </c>
      <c r="B47" s="642">
        <v>40</v>
      </c>
      <c r="H47" s="99"/>
      <c r="I47" s="99"/>
    </row>
    <row r="48" spans="1:9" x14ac:dyDescent="0.2">
      <c r="A48" s="642" t="s">
        <v>70</v>
      </c>
      <c r="B48" s="642">
        <v>20</v>
      </c>
      <c r="H48" s="99"/>
      <c r="I48" s="99"/>
    </row>
    <row r="49" spans="1:9" x14ac:dyDescent="0.2">
      <c r="A49" s="642" t="s">
        <v>71</v>
      </c>
      <c r="B49" s="642">
        <v>40</v>
      </c>
      <c r="H49" s="99"/>
      <c r="I49" s="99"/>
    </row>
    <row r="50" spans="1:9" x14ac:dyDescent="0.2">
      <c r="A50" s="642" t="s">
        <v>72</v>
      </c>
      <c r="B50" s="642">
        <v>20</v>
      </c>
      <c r="H50" s="99"/>
      <c r="I50" s="99"/>
    </row>
    <row r="51" spans="1:9" x14ac:dyDescent="0.2">
      <c r="A51" s="642" t="s">
        <v>73</v>
      </c>
      <c r="B51" s="642">
        <v>0</v>
      </c>
      <c r="H51" s="99"/>
      <c r="I51" s="99"/>
    </row>
    <row r="52" spans="1:9" x14ac:dyDescent="0.2">
      <c r="A52" s="643" t="s">
        <v>74</v>
      </c>
      <c r="B52" s="642">
        <v>80</v>
      </c>
      <c r="H52" s="99"/>
      <c r="I52" s="99"/>
    </row>
    <row r="53" spans="1:9" x14ac:dyDescent="0.2">
      <c r="A53" s="642" t="s">
        <v>75</v>
      </c>
      <c r="B53" s="642">
        <v>130</v>
      </c>
      <c r="H53" s="99"/>
      <c r="I53" s="99"/>
    </row>
    <row r="54" spans="1:9" x14ac:dyDescent="0.2">
      <c r="A54" s="642" t="s">
        <v>76</v>
      </c>
      <c r="B54" s="642">
        <v>194</v>
      </c>
      <c r="H54" s="99"/>
      <c r="I54" s="99"/>
    </row>
    <row r="55" spans="1:9" x14ac:dyDescent="0.2">
      <c r="A55" s="642" t="s">
        <v>77</v>
      </c>
      <c r="B55" s="642">
        <v>260</v>
      </c>
      <c r="H55" s="99"/>
      <c r="I55" s="99"/>
    </row>
    <row r="56" spans="1:9" x14ac:dyDescent="0.2">
      <c r="A56" s="642" t="s">
        <v>78</v>
      </c>
      <c r="B56" s="642">
        <v>342</v>
      </c>
      <c r="H56" s="99"/>
      <c r="I56" s="99"/>
    </row>
    <row r="57" spans="1:9" x14ac:dyDescent="0.2">
      <c r="A57" s="642" t="s">
        <v>79</v>
      </c>
      <c r="B57" s="642">
        <v>436</v>
      </c>
      <c r="H57" s="99"/>
      <c r="I57" s="99"/>
    </row>
    <row r="58" spans="1:9" x14ac:dyDescent="0.2">
      <c r="A58" s="642" t="s">
        <v>80</v>
      </c>
      <c r="B58" s="642">
        <v>536</v>
      </c>
      <c r="H58" s="99"/>
    </row>
    <row r="59" spans="1:9" x14ac:dyDescent="0.2">
      <c r="A59" s="642" t="s">
        <v>81</v>
      </c>
      <c r="B59" s="642">
        <v>650</v>
      </c>
      <c r="H59" s="99"/>
      <c r="I59" s="99"/>
    </row>
    <row r="60" spans="1:9" x14ac:dyDescent="0.2">
      <c r="A60" s="642" t="s">
        <v>82</v>
      </c>
      <c r="B60" s="642">
        <v>776</v>
      </c>
      <c r="H60" s="99"/>
      <c r="I60" s="99"/>
    </row>
    <row r="61" spans="1:9" x14ac:dyDescent="0.2">
      <c r="A61" s="642" t="s">
        <v>83</v>
      </c>
      <c r="B61" s="642">
        <v>904</v>
      </c>
      <c r="H61" s="99"/>
      <c r="I61" s="99"/>
    </row>
    <row r="62" spans="1:9" x14ac:dyDescent="0.2">
      <c r="A62" s="642" t="s">
        <v>84</v>
      </c>
      <c r="B62" s="642">
        <v>1032</v>
      </c>
      <c r="H62" s="99"/>
      <c r="I62" s="99"/>
    </row>
    <row r="63" spans="1:9" x14ac:dyDescent="0.2">
      <c r="A63" s="642" t="s">
        <v>85</v>
      </c>
      <c r="B63" s="642">
        <v>1174</v>
      </c>
      <c r="H63" s="99"/>
      <c r="I63" s="99"/>
    </row>
    <row r="64" spans="1:9" x14ac:dyDescent="0.2">
      <c r="A64" s="642" t="s">
        <v>86</v>
      </c>
      <c r="B64" s="642">
        <v>1308</v>
      </c>
      <c r="H64" s="99"/>
      <c r="I64" s="99"/>
    </row>
    <row r="65" spans="1:9" x14ac:dyDescent="0.2">
      <c r="A65" s="642" t="s">
        <v>87</v>
      </c>
      <c r="B65" s="642">
        <v>1444</v>
      </c>
      <c r="H65" s="99"/>
      <c r="I65" s="99"/>
    </row>
    <row r="66" spans="1:9" x14ac:dyDescent="0.2">
      <c r="A66" s="642" t="s">
        <v>88</v>
      </c>
      <c r="B66" s="642">
        <v>1578</v>
      </c>
      <c r="H66" s="99"/>
      <c r="I66" s="99"/>
    </row>
    <row r="67" spans="1:9" x14ac:dyDescent="0.2">
      <c r="A67" s="642" t="s">
        <v>89</v>
      </c>
      <c r="B67" s="642">
        <v>1730</v>
      </c>
      <c r="H67" s="99"/>
      <c r="I67" s="99"/>
    </row>
    <row r="68" spans="1:9" x14ac:dyDescent="0.2">
      <c r="A68" s="642" t="s">
        <v>90</v>
      </c>
      <c r="B68" s="642">
        <v>1884</v>
      </c>
      <c r="H68" s="99"/>
      <c r="I68" s="99"/>
    </row>
    <row r="69" spans="1:9" x14ac:dyDescent="0.2">
      <c r="A69" s="642" t="s">
        <v>91</v>
      </c>
      <c r="B69" s="642">
        <v>2064</v>
      </c>
      <c r="H69" s="99"/>
      <c r="I69" s="99"/>
    </row>
    <row r="70" spans="1:9" x14ac:dyDescent="0.2">
      <c r="A70" s="642" t="s">
        <v>92</v>
      </c>
      <c r="B70" s="642">
        <v>2276</v>
      </c>
      <c r="H70" s="99"/>
      <c r="I70" s="99"/>
    </row>
    <row r="71" spans="1:9" x14ac:dyDescent="0.2">
      <c r="A71" s="642" t="s">
        <v>93</v>
      </c>
      <c r="B71" s="642">
        <v>2508</v>
      </c>
      <c r="H71" s="99"/>
      <c r="I71" s="99"/>
    </row>
    <row r="72" spans="1:9" x14ac:dyDescent="0.2">
      <c r="A72" s="642" t="s">
        <v>94</v>
      </c>
      <c r="B72" s="642">
        <v>2760</v>
      </c>
      <c r="H72" s="99"/>
      <c r="I72" s="99"/>
    </row>
    <row r="73" spans="1:9" x14ac:dyDescent="0.2">
      <c r="A73" s="642" t="s">
        <v>95</v>
      </c>
      <c r="B73" s="642">
        <v>3012</v>
      </c>
      <c r="H73" s="99"/>
      <c r="I73" s="99"/>
    </row>
    <row r="74" spans="1:9" x14ac:dyDescent="0.2">
      <c r="A74" s="642" t="s">
        <v>96</v>
      </c>
      <c r="B74" s="642">
        <v>3324</v>
      </c>
      <c r="H74" s="99"/>
      <c r="I74" s="99"/>
    </row>
    <row r="75" spans="1:9" x14ac:dyDescent="0.2">
      <c r="A75" s="642" t="s">
        <v>97</v>
      </c>
      <c r="B75" s="642">
        <v>3610</v>
      </c>
      <c r="H75" s="99"/>
    </row>
    <row r="76" spans="1:9" x14ac:dyDescent="0.2">
      <c r="A76" s="642" t="s">
        <v>98</v>
      </c>
      <c r="B76" s="642">
        <v>3902</v>
      </c>
      <c r="H76" s="99"/>
      <c r="I76" s="99"/>
    </row>
    <row r="77" spans="1:9" x14ac:dyDescent="0.2">
      <c r="A77" s="642" t="s">
        <v>99</v>
      </c>
      <c r="B77" s="642">
        <v>4164</v>
      </c>
      <c r="H77" s="99"/>
    </row>
    <row r="78" spans="1:9" x14ac:dyDescent="0.2">
      <c r="A78" s="642" t="s">
        <v>100</v>
      </c>
      <c r="B78" s="642">
        <v>4568</v>
      </c>
      <c r="H78" s="99"/>
      <c r="I78" s="99"/>
    </row>
    <row r="79" spans="1:9" x14ac:dyDescent="0.2">
      <c r="A79" s="642" t="s">
        <v>101</v>
      </c>
      <c r="B79" s="642">
        <v>10314</v>
      </c>
      <c r="H79" s="99"/>
      <c r="I79" s="99"/>
    </row>
    <row r="80" spans="1:9" x14ac:dyDescent="0.2">
      <c r="A80" s="642" t="s">
        <v>102</v>
      </c>
      <c r="B80" s="642">
        <v>16352</v>
      </c>
      <c r="H80" s="99"/>
      <c r="I80" s="99"/>
    </row>
    <row r="81" spans="1:9" x14ac:dyDescent="0.2">
      <c r="A81" s="642" t="s">
        <v>103</v>
      </c>
      <c r="B81" s="642">
        <v>25228</v>
      </c>
      <c r="H81" s="99"/>
      <c r="I81" s="99"/>
    </row>
    <row r="82" spans="1:9" x14ac:dyDescent="0.2">
      <c r="A82" s="642" t="s">
        <v>104</v>
      </c>
      <c r="B82" s="642">
        <v>22206</v>
      </c>
      <c r="H82" s="99"/>
      <c r="I82" s="99"/>
    </row>
    <row r="83" spans="1:9" x14ac:dyDescent="0.2">
      <c r="A83" s="642" t="s">
        <v>105</v>
      </c>
      <c r="B83" s="642">
        <v>22206</v>
      </c>
      <c r="H83" s="99"/>
      <c r="I83" s="99"/>
    </row>
    <row r="84" spans="1:9" x14ac:dyDescent="0.2">
      <c r="A84" s="642" t="s">
        <v>106</v>
      </c>
      <c r="B84" s="642">
        <v>4</v>
      </c>
      <c r="H84" s="99"/>
    </row>
    <row r="85" spans="1:9" x14ac:dyDescent="0.2">
      <c r="A85" s="642" t="s">
        <v>107</v>
      </c>
      <c r="B85" s="642">
        <v>5</v>
      </c>
      <c r="H85" s="99"/>
      <c r="I85" s="99"/>
    </row>
    <row r="86" spans="1:9" x14ac:dyDescent="0.2">
      <c r="A86" s="642" t="s">
        <v>108</v>
      </c>
      <c r="B86" s="642">
        <v>6</v>
      </c>
      <c r="H86" s="99"/>
      <c r="I86" s="99"/>
    </row>
    <row r="87" spans="1:9" x14ac:dyDescent="0.2">
      <c r="A87" s="642" t="s">
        <v>109</v>
      </c>
      <c r="B87" s="642">
        <v>7</v>
      </c>
      <c r="H87" s="99"/>
    </row>
    <row r="88" spans="1:9" x14ac:dyDescent="0.2">
      <c r="A88" s="642" t="s">
        <v>110</v>
      </c>
      <c r="B88" s="642">
        <v>8</v>
      </c>
      <c r="H88" s="99"/>
      <c r="I88" s="99"/>
    </row>
    <row r="89" spans="1:9" x14ac:dyDescent="0.2">
      <c r="A89" s="642" t="s">
        <v>111</v>
      </c>
      <c r="B89" s="642">
        <v>9</v>
      </c>
      <c r="H89" s="99"/>
      <c r="I89" s="99"/>
    </row>
    <row r="90" spans="1:9" x14ac:dyDescent="0.2">
      <c r="A90" s="642" t="s">
        <v>112</v>
      </c>
      <c r="B90" s="642">
        <v>10</v>
      </c>
      <c r="H90" s="99"/>
      <c r="I90" s="99"/>
    </row>
    <row r="91" spans="1:9" x14ac:dyDescent="0.2">
      <c r="A91" s="642" t="s">
        <v>113</v>
      </c>
      <c r="B91" s="642">
        <v>11</v>
      </c>
      <c r="H91" s="99"/>
      <c r="I91" s="99"/>
    </row>
    <row r="92" spans="1:9" x14ac:dyDescent="0.2">
      <c r="A92" s="642" t="s">
        <v>114</v>
      </c>
      <c r="B92" s="642">
        <v>12</v>
      </c>
      <c r="H92" s="99"/>
      <c r="I92" s="99"/>
    </row>
    <row r="93" spans="1:9" x14ac:dyDescent="0.2">
      <c r="A93" s="642" t="s">
        <v>115</v>
      </c>
      <c r="B93" s="642">
        <v>13</v>
      </c>
      <c r="H93" s="99"/>
      <c r="I93" s="99"/>
    </row>
    <row r="94" spans="1:9" x14ac:dyDescent="0.2">
      <c r="A94" s="642" t="s">
        <v>116</v>
      </c>
      <c r="B94" s="642">
        <v>14</v>
      </c>
      <c r="H94" s="99"/>
      <c r="I94" s="99"/>
    </row>
    <row r="95" spans="1:9" x14ac:dyDescent="0.2">
      <c r="A95" s="642" t="s">
        <v>117</v>
      </c>
      <c r="B95" s="642">
        <v>15</v>
      </c>
      <c r="H95" s="99"/>
      <c r="I95" s="99"/>
    </row>
    <row r="96" spans="1:9" x14ac:dyDescent="0.2">
      <c r="A96" s="642" t="s">
        <v>118</v>
      </c>
      <c r="B96" s="642">
        <v>16</v>
      </c>
      <c r="H96" s="99"/>
      <c r="I96" s="99"/>
    </row>
    <row r="97" spans="1:9" x14ac:dyDescent="0.2">
      <c r="A97" s="642" t="s">
        <v>119</v>
      </c>
      <c r="B97" s="642">
        <v>17</v>
      </c>
      <c r="H97" s="99"/>
      <c r="I97" s="99"/>
    </row>
    <row r="98" spans="1:9" x14ac:dyDescent="0.2">
      <c r="A98" s="642" t="s">
        <v>120</v>
      </c>
      <c r="B98" s="642">
        <v>18</v>
      </c>
      <c r="H98" s="99"/>
      <c r="I98" s="99"/>
    </row>
    <row r="99" spans="1:9" x14ac:dyDescent="0.2">
      <c r="A99" s="642" t="s">
        <v>121</v>
      </c>
      <c r="B99" s="642">
        <v>19</v>
      </c>
      <c r="H99" s="99"/>
      <c r="I99" s="99"/>
    </row>
    <row r="100" spans="1:9" x14ac:dyDescent="0.2">
      <c r="A100" s="642" t="s">
        <v>122</v>
      </c>
      <c r="B100" s="642">
        <v>20</v>
      </c>
      <c r="H100" s="99"/>
      <c r="I100" s="99"/>
    </row>
    <row r="101" spans="1:9" x14ac:dyDescent="0.2">
      <c r="A101" s="642" t="s">
        <v>123</v>
      </c>
      <c r="B101" s="642">
        <v>21</v>
      </c>
      <c r="H101" s="99"/>
      <c r="I101" s="99"/>
    </row>
    <row r="102" spans="1:9" x14ac:dyDescent="0.2">
      <c r="A102" s="642" t="s">
        <v>124</v>
      </c>
      <c r="B102" s="642">
        <v>22</v>
      </c>
      <c r="H102" s="99"/>
      <c r="I102" s="99"/>
    </row>
    <row r="103" spans="1:9" x14ac:dyDescent="0.2">
      <c r="A103" s="642" t="s">
        <v>125</v>
      </c>
      <c r="B103" s="642">
        <v>23</v>
      </c>
      <c r="H103" s="99"/>
      <c r="I103" s="99"/>
    </row>
    <row r="104" spans="1:9" x14ac:dyDescent="0.2">
      <c r="A104" s="642" t="s">
        <v>126</v>
      </c>
      <c r="B104" s="642">
        <v>24</v>
      </c>
      <c r="H104" s="99"/>
      <c r="I104" s="99"/>
    </row>
    <row r="105" spans="1:9" x14ac:dyDescent="0.2">
      <c r="A105" s="642" t="s">
        <v>127</v>
      </c>
      <c r="B105" s="642">
        <v>25</v>
      </c>
      <c r="H105" s="99"/>
      <c r="I105" s="99"/>
    </row>
    <row r="106" spans="1:9" x14ac:dyDescent="0.2">
      <c r="A106" s="642" t="s">
        <v>128</v>
      </c>
      <c r="B106" s="642">
        <v>26</v>
      </c>
      <c r="H106" s="99"/>
      <c r="I106" s="99"/>
    </row>
    <row r="107" spans="1:9" x14ac:dyDescent="0.2">
      <c r="A107" s="642" t="s">
        <v>129</v>
      </c>
      <c r="B107" s="642">
        <v>27</v>
      </c>
      <c r="H107" s="99"/>
      <c r="I107" s="99"/>
    </row>
    <row r="108" spans="1:9" x14ac:dyDescent="0.2">
      <c r="A108" s="642" t="s">
        <v>130</v>
      </c>
      <c r="B108" s="642">
        <v>28</v>
      </c>
      <c r="H108" s="99"/>
      <c r="I108" s="99"/>
    </row>
    <row r="109" spans="1:9" x14ac:dyDescent="0.2">
      <c r="A109" s="642" t="s">
        <v>131</v>
      </c>
      <c r="B109" s="642">
        <v>29</v>
      </c>
      <c r="H109" s="99"/>
      <c r="I109" s="99"/>
    </row>
    <row r="110" spans="1:9" x14ac:dyDescent="0.2">
      <c r="A110" s="642" t="s">
        <v>132</v>
      </c>
      <c r="B110" s="642">
        <v>30</v>
      </c>
      <c r="H110" s="99"/>
      <c r="I110" s="99"/>
    </row>
    <row r="111" spans="1:9" x14ac:dyDescent="0.2">
      <c r="A111" s="642" t="s">
        <v>133</v>
      </c>
      <c r="B111" s="642">
        <v>38</v>
      </c>
      <c r="H111" s="99"/>
      <c r="I111" s="99"/>
    </row>
    <row r="112" spans="1:9" x14ac:dyDescent="0.2">
      <c r="A112" s="642" t="s">
        <v>134</v>
      </c>
      <c r="B112" s="642">
        <v>50</v>
      </c>
      <c r="H112" s="99"/>
      <c r="I112" s="99"/>
    </row>
    <row r="113" spans="1:9" x14ac:dyDescent="0.2">
      <c r="A113" s="642" t="s">
        <v>135</v>
      </c>
      <c r="B113" s="642">
        <v>70</v>
      </c>
      <c r="H113" s="99"/>
      <c r="I113" s="99"/>
    </row>
    <row r="114" spans="1:9" x14ac:dyDescent="0.2">
      <c r="A114" s="642" t="s">
        <v>136</v>
      </c>
      <c r="B114" s="642">
        <v>70</v>
      </c>
      <c r="H114" s="99"/>
      <c r="I114" s="99"/>
    </row>
    <row r="115" spans="1:9" x14ac:dyDescent="0.2">
      <c r="A115" s="642" t="s">
        <v>137</v>
      </c>
      <c r="B115" s="642">
        <v>70</v>
      </c>
      <c r="H115" s="99"/>
      <c r="I115" s="99"/>
    </row>
    <row r="116" spans="1:9" x14ac:dyDescent="0.2">
      <c r="A116" s="642" t="s">
        <v>138</v>
      </c>
      <c r="B116" s="642"/>
      <c r="H116" s="99"/>
      <c r="I116" s="99"/>
    </row>
    <row r="117" spans="1:9" x14ac:dyDescent="0.2">
      <c r="A117" s="642" t="s">
        <v>139</v>
      </c>
      <c r="B117" s="642">
        <v>1065116</v>
      </c>
      <c r="H117" s="99"/>
      <c r="I117" s="99"/>
    </row>
    <row r="118" spans="1:9" x14ac:dyDescent="0.2">
      <c r="A118" s="642" t="s">
        <v>140</v>
      </c>
      <c r="B118" s="642">
        <v>459710</v>
      </c>
      <c r="H118" s="99"/>
      <c r="I118" s="99"/>
    </row>
    <row r="119" spans="1:9" x14ac:dyDescent="0.2">
      <c r="A119" s="642" t="s">
        <v>141</v>
      </c>
      <c r="B119" s="642">
        <v>37720</v>
      </c>
      <c r="H119" s="99"/>
      <c r="I119" s="99"/>
    </row>
    <row r="120" spans="1:9" x14ac:dyDescent="0.2">
      <c r="A120" s="642" t="s">
        <v>142</v>
      </c>
      <c r="B120" s="642">
        <v>11889</v>
      </c>
      <c r="H120" s="99"/>
      <c r="I120" s="99"/>
    </row>
    <row r="121" spans="1:9" x14ac:dyDescent="0.2">
      <c r="A121" s="642" t="s">
        <v>143</v>
      </c>
      <c r="B121" s="642">
        <v>5538</v>
      </c>
      <c r="H121" s="99"/>
      <c r="I121" s="99"/>
    </row>
    <row r="122" spans="1:9" x14ac:dyDescent="0.2">
      <c r="A122" s="642" t="s">
        <v>144</v>
      </c>
      <c r="B122" s="642">
        <v>525</v>
      </c>
      <c r="H122" s="99"/>
      <c r="I122" s="99"/>
    </row>
    <row r="123" spans="1:9" x14ac:dyDescent="0.2">
      <c r="A123" s="642" t="s">
        <v>145</v>
      </c>
      <c r="B123" s="642">
        <v>112</v>
      </c>
      <c r="H123" s="99"/>
      <c r="I123" s="99"/>
    </row>
    <row r="124" spans="1:9" x14ac:dyDescent="0.2">
      <c r="A124" s="642" t="s">
        <v>146</v>
      </c>
      <c r="B124" s="642">
        <v>18</v>
      </c>
      <c r="H124" s="99"/>
      <c r="I124" s="99"/>
    </row>
    <row r="125" spans="1:9" x14ac:dyDescent="0.2">
      <c r="A125" s="642" t="s">
        <v>147</v>
      </c>
      <c r="B125" s="642">
        <v>1065116</v>
      </c>
      <c r="H125" s="99"/>
      <c r="I125" s="99"/>
    </row>
    <row r="126" spans="1:9" x14ac:dyDescent="0.2">
      <c r="A126" s="642" t="s">
        <v>148</v>
      </c>
      <c r="B126" s="642">
        <v>459710</v>
      </c>
      <c r="H126" s="99"/>
      <c r="I126" s="99"/>
    </row>
    <row r="127" spans="1:9" x14ac:dyDescent="0.2">
      <c r="A127" s="642" t="s">
        <v>149</v>
      </c>
      <c r="B127" s="642">
        <v>37720</v>
      </c>
      <c r="H127" s="99"/>
      <c r="I127" s="99"/>
    </row>
    <row r="128" spans="1:9" x14ac:dyDescent="0.2">
      <c r="A128" s="642" t="s">
        <v>150</v>
      </c>
      <c r="B128" s="642">
        <v>11889</v>
      </c>
      <c r="H128" s="99"/>
      <c r="I128" s="99"/>
    </row>
    <row r="129" spans="1:9" x14ac:dyDescent="0.2">
      <c r="A129" s="642" t="s">
        <v>151</v>
      </c>
      <c r="B129" s="642">
        <v>5538</v>
      </c>
      <c r="H129" s="99"/>
      <c r="I129" s="99"/>
    </row>
    <row r="130" spans="1:9" x14ac:dyDescent="0.2">
      <c r="A130" s="642" t="s">
        <v>152</v>
      </c>
      <c r="B130" s="642">
        <v>525</v>
      </c>
      <c r="H130" s="99"/>
      <c r="I130" s="100"/>
    </row>
    <row r="131" spans="1:9" x14ac:dyDescent="0.2">
      <c r="A131" s="642" t="s">
        <v>153</v>
      </c>
      <c r="B131" s="642">
        <v>112</v>
      </c>
      <c r="H131" s="99"/>
      <c r="I131" s="99"/>
    </row>
    <row r="132" spans="1:9" x14ac:dyDescent="0.2">
      <c r="A132" s="642" t="s">
        <v>154</v>
      </c>
      <c r="B132" s="642">
        <v>18</v>
      </c>
      <c r="H132" s="99"/>
      <c r="I132" s="99"/>
    </row>
    <row r="133" spans="1:9" x14ac:dyDescent="0.2">
      <c r="A133" s="642" t="s">
        <v>155</v>
      </c>
      <c r="B133" s="642">
        <v>1065116</v>
      </c>
      <c r="H133" s="99"/>
      <c r="I133" s="99"/>
    </row>
    <row r="134" spans="1:9" x14ac:dyDescent="0.2">
      <c r="A134" s="642" t="s">
        <v>156</v>
      </c>
      <c r="B134" s="642">
        <v>459710</v>
      </c>
      <c r="H134" s="99"/>
      <c r="I134" s="99"/>
    </row>
    <row r="135" spans="1:9" x14ac:dyDescent="0.2">
      <c r="A135" s="642" t="s">
        <v>157</v>
      </c>
      <c r="B135" s="642">
        <v>37720</v>
      </c>
      <c r="H135" s="99"/>
      <c r="I135" s="99"/>
    </row>
    <row r="136" spans="1:9" x14ac:dyDescent="0.2">
      <c r="A136" s="642" t="s">
        <v>158</v>
      </c>
      <c r="B136" s="642">
        <v>11889</v>
      </c>
      <c r="H136" s="99"/>
      <c r="I136" s="99"/>
    </row>
    <row r="137" spans="1:9" x14ac:dyDescent="0.2">
      <c r="A137" s="642" t="s">
        <v>159</v>
      </c>
      <c r="B137" s="642">
        <v>5538</v>
      </c>
      <c r="H137" s="99"/>
      <c r="I137" s="99"/>
    </row>
    <row r="138" spans="1:9" x14ac:dyDescent="0.2">
      <c r="A138" s="642" t="s">
        <v>160</v>
      </c>
      <c r="B138" s="642">
        <v>525</v>
      </c>
      <c r="H138" s="99"/>
      <c r="I138" s="99"/>
    </row>
    <row r="139" spans="1:9" x14ac:dyDescent="0.2">
      <c r="A139" s="642" t="s">
        <v>161</v>
      </c>
      <c r="B139" s="642">
        <v>112</v>
      </c>
      <c r="H139" s="99"/>
      <c r="I139" s="99"/>
    </row>
    <row r="140" spans="1:9" x14ac:dyDescent="0.2">
      <c r="A140" s="642" t="s">
        <v>162</v>
      </c>
      <c r="B140" s="642">
        <v>18</v>
      </c>
      <c r="H140" s="99"/>
      <c r="I140" s="99"/>
    </row>
    <row r="141" spans="1:9" x14ac:dyDescent="0.2">
      <c r="A141" s="642" t="s">
        <v>163</v>
      </c>
      <c r="B141" s="642">
        <v>1056340</v>
      </c>
      <c r="H141" s="99"/>
      <c r="I141" s="99"/>
    </row>
    <row r="142" spans="1:9" x14ac:dyDescent="0.2">
      <c r="A142" s="642" t="s">
        <v>164</v>
      </c>
      <c r="B142" s="642">
        <v>459350</v>
      </c>
      <c r="H142" s="99"/>
      <c r="I142" s="99"/>
    </row>
    <row r="143" spans="1:9" x14ac:dyDescent="0.2">
      <c r="A143" s="642" t="s">
        <v>165</v>
      </c>
      <c r="B143" s="642">
        <v>36410</v>
      </c>
      <c r="H143" s="99"/>
      <c r="I143" s="99"/>
    </row>
    <row r="144" spans="1:9" x14ac:dyDescent="0.2">
      <c r="A144" s="642" t="s">
        <v>166</v>
      </c>
      <c r="B144" s="642">
        <v>10940</v>
      </c>
      <c r="H144" s="99"/>
      <c r="I144" s="101"/>
    </row>
    <row r="145" spans="1:2" x14ac:dyDescent="0.2">
      <c r="A145" s="642" t="s">
        <v>167</v>
      </c>
      <c r="B145" s="642">
        <v>5210</v>
      </c>
    </row>
    <row r="146" spans="1:2" x14ac:dyDescent="0.2">
      <c r="A146" s="642" t="s">
        <v>168</v>
      </c>
      <c r="B146" s="642">
        <v>611.721</v>
      </c>
    </row>
    <row r="147" spans="1:2" x14ac:dyDescent="0.2">
      <c r="A147" s="642" t="s">
        <v>169</v>
      </c>
      <c r="B147" s="642">
        <v>145.303</v>
      </c>
    </row>
    <row r="148" spans="1:2" x14ac:dyDescent="0.2">
      <c r="A148" s="642" t="s">
        <v>170</v>
      </c>
      <c r="B148" s="642">
        <v>24.939</v>
      </c>
    </row>
    <row r="149" spans="1:2" x14ac:dyDescent="0.2">
      <c r="A149" s="643" t="s">
        <v>171</v>
      </c>
      <c r="B149" s="642">
        <v>10651.2</v>
      </c>
    </row>
    <row r="150" spans="1:2" x14ac:dyDescent="0.2">
      <c r="A150" s="642" t="s">
        <v>172</v>
      </c>
      <c r="B150" s="642">
        <v>6924.5</v>
      </c>
    </row>
    <row r="151" spans="1:2" x14ac:dyDescent="0.2">
      <c r="A151" s="642" t="s">
        <v>173</v>
      </c>
      <c r="B151" s="642">
        <v>4597.1000000000004</v>
      </c>
    </row>
    <row r="152" spans="1:2" x14ac:dyDescent="0.2">
      <c r="A152" s="642" t="s">
        <v>174</v>
      </c>
      <c r="B152" s="642">
        <v>3241.03</v>
      </c>
    </row>
    <row r="153" spans="1:2" x14ac:dyDescent="0.2">
      <c r="A153" s="642" t="s">
        <v>175</v>
      </c>
      <c r="B153" s="642">
        <v>2233.75</v>
      </c>
    </row>
    <row r="154" spans="1:2" x14ac:dyDescent="0.2">
      <c r="A154" s="642" t="s">
        <v>176</v>
      </c>
      <c r="B154" s="642">
        <v>1541.26</v>
      </c>
    </row>
    <row r="155" spans="1:2" x14ac:dyDescent="0.2">
      <c r="A155" s="642" t="s">
        <v>177</v>
      </c>
      <c r="B155" s="642">
        <v>1108.94</v>
      </c>
    </row>
    <row r="156" spans="1:2" x14ac:dyDescent="0.2">
      <c r="A156" s="642" t="s">
        <v>178</v>
      </c>
      <c r="B156" s="642">
        <v>802.94500000000005</v>
      </c>
    </row>
    <row r="157" spans="1:2" x14ac:dyDescent="0.2">
      <c r="A157" s="642" t="s">
        <v>179</v>
      </c>
      <c r="B157" s="642">
        <v>598.99400000000003</v>
      </c>
    </row>
    <row r="158" spans="1:2" x14ac:dyDescent="0.2">
      <c r="A158" s="642" t="s">
        <v>180</v>
      </c>
      <c r="B158" s="642">
        <v>468.87799999999999</v>
      </c>
    </row>
    <row r="159" spans="1:2" x14ac:dyDescent="0.2">
      <c r="A159" s="642" t="s">
        <v>181</v>
      </c>
      <c r="B159" s="642">
        <v>377.20499999999998</v>
      </c>
    </row>
    <row r="160" spans="1:2" x14ac:dyDescent="0.2">
      <c r="A160" s="642" t="s">
        <v>182</v>
      </c>
      <c r="B160" s="642">
        <v>306.27999999999997</v>
      </c>
    </row>
    <row r="161" spans="1:2" x14ac:dyDescent="0.2">
      <c r="A161" s="642" t="s">
        <v>183</v>
      </c>
      <c r="B161" s="642">
        <v>257.51</v>
      </c>
    </row>
    <row r="162" spans="1:2" x14ac:dyDescent="0.2">
      <c r="A162" s="642" t="s">
        <v>184</v>
      </c>
      <c r="B162" s="642">
        <v>220.28700000000001</v>
      </c>
    </row>
    <row r="163" spans="1:2" x14ac:dyDescent="0.2">
      <c r="A163" s="642" t="s">
        <v>185</v>
      </c>
      <c r="B163" s="642">
        <v>188.274</v>
      </c>
    </row>
    <row r="164" spans="1:2" x14ac:dyDescent="0.2">
      <c r="A164" s="642" t="s">
        <v>186</v>
      </c>
      <c r="B164" s="642">
        <v>161.84700000000001</v>
      </c>
    </row>
    <row r="165" spans="1:2" x14ac:dyDescent="0.2">
      <c r="A165" s="642" t="s">
        <v>187</v>
      </c>
      <c r="B165" s="642">
        <v>140.06700000000001</v>
      </c>
    </row>
    <row r="166" spans="1:2" x14ac:dyDescent="0.2">
      <c r="A166" s="642" t="s">
        <v>188</v>
      </c>
      <c r="B166" s="642">
        <v>118.898</v>
      </c>
    </row>
    <row r="167" spans="1:2" x14ac:dyDescent="0.2">
      <c r="A167" s="642" t="s">
        <v>189</v>
      </c>
      <c r="B167" s="642">
        <v>99.135999999999996</v>
      </c>
    </row>
    <row r="168" spans="1:2" x14ac:dyDescent="0.2">
      <c r="A168" s="642" t="s">
        <v>190</v>
      </c>
      <c r="B168" s="642">
        <v>81.017399999999995</v>
      </c>
    </row>
    <row r="169" spans="1:2" x14ac:dyDescent="0.2">
      <c r="A169" s="642" t="s">
        <v>191</v>
      </c>
      <c r="B169" s="642">
        <v>67.358000000000004</v>
      </c>
    </row>
    <row r="170" spans="1:2" x14ac:dyDescent="0.2">
      <c r="A170" s="642" t="s">
        <v>192</v>
      </c>
      <c r="B170" s="642">
        <v>55.388500000000001</v>
      </c>
    </row>
    <row r="171" spans="1:2" x14ac:dyDescent="0.2">
      <c r="A171" s="642" t="s">
        <v>193</v>
      </c>
      <c r="B171" s="642">
        <v>45.671999999999997</v>
      </c>
    </row>
    <row r="172" spans="1:2" x14ac:dyDescent="0.2">
      <c r="A172" s="642" t="s">
        <v>194</v>
      </c>
      <c r="B172" s="642">
        <v>38.349499999999999</v>
      </c>
    </row>
    <row r="173" spans="1:2" x14ac:dyDescent="0.2">
      <c r="A173" s="642" t="s">
        <v>195</v>
      </c>
      <c r="B173" s="642">
        <v>32.059600000000003</v>
      </c>
    </row>
    <row r="174" spans="1:2" x14ac:dyDescent="0.2">
      <c r="A174" s="642" t="s">
        <v>196</v>
      </c>
      <c r="B174" s="642">
        <v>27.7881</v>
      </c>
    </row>
    <row r="175" spans="1:2" x14ac:dyDescent="0.2">
      <c r="A175" s="642" t="s">
        <v>197</v>
      </c>
      <c r="B175" s="642">
        <v>21.779900000000001</v>
      </c>
    </row>
    <row r="176" spans="1:2" x14ac:dyDescent="0.2">
      <c r="A176" s="642" t="s">
        <v>198</v>
      </c>
      <c r="B176" s="642">
        <v>5.2572099999999997</v>
      </c>
    </row>
    <row r="177" spans="1:2" x14ac:dyDescent="0.2">
      <c r="A177" s="642" t="s">
        <v>199</v>
      </c>
      <c r="B177" s="642">
        <v>1.1265499999999999</v>
      </c>
    </row>
    <row r="178" spans="1:2" x14ac:dyDescent="0.2">
      <c r="A178" s="642" t="s">
        <v>200</v>
      </c>
      <c r="B178" s="642">
        <v>0.18775800000000001</v>
      </c>
    </row>
    <row r="179" spans="1:2" x14ac:dyDescent="0.2">
      <c r="A179" s="642" t="s">
        <v>201</v>
      </c>
      <c r="B179" s="642">
        <v>0.18775800000000001</v>
      </c>
    </row>
    <row r="180" spans="1:2" x14ac:dyDescent="0.2">
      <c r="A180" s="642" t="s">
        <v>202</v>
      </c>
      <c r="B180" s="642">
        <v>0.18775800000000001</v>
      </c>
    </row>
    <row r="181" spans="1:2" x14ac:dyDescent="0.2">
      <c r="A181" s="642" t="s">
        <v>203</v>
      </c>
      <c r="B181" s="642">
        <v>10651.2</v>
      </c>
    </row>
    <row r="182" spans="1:2" x14ac:dyDescent="0.2">
      <c r="A182" s="642" t="s">
        <v>204</v>
      </c>
      <c r="B182" s="642">
        <v>6924.5</v>
      </c>
    </row>
    <row r="183" spans="1:2" x14ac:dyDescent="0.2">
      <c r="A183" s="642" t="s">
        <v>205</v>
      </c>
      <c r="B183" s="642">
        <v>4597.1000000000004</v>
      </c>
    </row>
    <row r="184" spans="1:2" x14ac:dyDescent="0.2">
      <c r="A184" s="642" t="s">
        <v>206</v>
      </c>
      <c r="B184" s="642">
        <v>3241.03</v>
      </c>
    </row>
    <row r="185" spans="1:2" x14ac:dyDescent="0.2">
      <c r="A185" s="642" t="s">
        <v>207</v>
      </c>
      <c r="B185" s="642">
        <v>2233.75</v>
      </c>
    </row>
    <row r="186" spans="1:2" x14ac:dyDescent="0.2">
      <c r="A186" s="642" t="s">
        <v>208</v>
      </c>
      <c r="B186" s="642">
        <v>1541.26</v>
      </c>
    </row>
    <row r="187" spans="1:2" x14ac:dyDescent="0.2">
      <c r="A187" s="642" t="s">
        <v>209</v>
      </c>
      <c r="B187" s="642">
        <v>1108.94</v>
      </c>
    </row>
    <row r="188" spans="1:2" x14ac:dyDescent="0.2">
      <c r="A188" s="642" t="s">
        <v>210</v>
      </c>
      <c r="B188" s="642">
        <v>802.94500000000005</v>
      </c>
    </row>
    <row r="189" spans="1:2" x14ac:dyDescent="0.2">
      <c r="A189" s="642" t="s">
        <v>211</v>
      </c>
      <c r="B189" s="642">
        <v>598.99400000000003</v>
      </c>
    </row>
    <row r="190" spans="1:2" x14ac:dyDescent="0.2">
      <c r="A190" s="642" t="s">
        <v>212</v>
      </c>
      <c r="B190" s="642">
        <v>468.87799999999999</v>
      </c>
    </row>
    <row r="191" spans="1:2" x14ac:dyDescent="0.2">
      <c r="A191" s="642" t="s">
        <v>213</v>
      </c>
      <c r="B191" s="642">
        <v>377.20499999999998</v>
      </c>
    </row>
    <row r="192" spans="1:2" x14ac:dyDescent="0.2">
      <c r="A192" s="642" t="s">
        <v>214</v>
      </c>
      <c r="B192" s="642">
        <v>306.27999999999997</v>
      </c>
    </row>
    <row r="193" spans="1:2" x14ac:dyDescent="0.2">
      <c r="A193" s="642" t="s">
        <v>215</v>
      </c>
      <c r="B193" s="642">
        <v>257.51</v>
      </c>
    </row>
    <row r="194" spans="1:2" x14ac:dyDescent="0.2">
      <c r="A194" s="642" t="s">
        <v>216</v>
      </c>
      <c r="B194" s="642">
        <v>220.28700000000001</v>
      </c>
    </row>
    <row r="195" spans="1:2" x14ac:dyDescent="0.2">
      <c r="A195" s="642" t="s">
        <v>217</v>
      </c>
      <c r="B195" s="642">
        <v>188.274</v>
      </c>
    </row>
    <row r="196" spans="1:2" x14ac:dyDescent="0.2">
      <c r="A196" s="642" t="s">
        <v>218</v>
      </c>
      <c r="B196" s="642">
        <v>161.84700000000001</v>
      </c>
    </row>
    <row r="197" spans="1:2" x14ac:dyDescent="0.2">
      <c r="A197" s="642" t="s">
        <v>219</v>
      </c>
      <c r="B197" s="642">
        <v>140.06700000000001</v>
      </c>
    </row>
    <row r="198" spans="1:2" x14ac:dyDescent="0.2">
      <c r="A198" s="642" t="s">
        <v>220</v>
      </c>
      <c r="B198" s="642">
        <v>118.898</v>
      </c>
    </row>
    <row r="199" spans="1:2" x14ac:dyDescent="0.2">
      <c r="A199" s="642" t="s">
        <v>221</v>
      </c>
      <c r="B199" s="642">
        <v>99.135999999999996</v>
      </c>
    </row>
    <row r="200" spans="1:2" x14ac:dyDescent="0.2">
      <c r="A200" s="642" t="s">
        <v>222</v>
      </c>
      <c r="B200" s="642">
        <v>81.017399999999995</v>
      </c>
    </row>
    <row r="201" spans="1:2" x14ac:dyDescent="0.2">
      <c r="A201" s="642" t="s">
        <v>223</v>
      </c>
      <c r="B201" s="642">
        <v>67.358000000000004</v>
      </c>
    </row>
    <row r="202" spans="1:2" x14ac:dyDescent="0.2">
      <c r="A202" s="642" t="s">
        <v>224</v>
      </c>
      <c r="B202" s="642">
        <v>55.388500000000001</v>
      </c>
    </row>
    <row r="203" spans="1:2" x14ac:dyDescent="0.2">
      <c r="A203" s="642" t="s">
        <v>225</v>
      </c>
      <c r="B203" s="642">
        <v>45.671999999999997</v>
      </c>
    </row>
    <row r="204" spans="1:2" x14ac:dyDescent="0.2">
      <c r="A204" s="642" t="s">
        <v>226</v>
      </c>
      <c r="B204" s="642">
        <v>38.349499999999999</v>
      </c>
    </row>
    <row r="205" spans="1:2" x14ac:dyDescent="0.2">
      <c r="A205" s="642" t="s">
        <v>227</v>
      </c>
      <c r="B205" s="642">
        <v>32.059600000000003</v>
      </c>
    </row>
    <row r="206" spans="1:2" x14ac:dyDescent="0.2">
      <c r="A206" s="642" t="s">
        <v>228</v>
      </c>
      <c r="B206" s="642">
        <v>27.7881</v>
      </c>
    </row>
    <row r="207" spans="1:2" x14ac:dyDescent="0.2">
      <c r="A207" s="642" t="s">
        <v>229</v>
      </c>
      <c r="B207" s="642">
        <v>21.779900000000001</v>
      </c>
    </row>
    <row r="208" spans="1:2" x14ac:dyDescent="0.2">
      <c r="A208" s="642" t="s">
        <v>230</v>
      </c>
      <c r="B208" s="642">
        <v>5.2572099999999997</v>
      </c>
    </row>
    <row r="209" spans="1:2" x14ac:dyDescent="0.2">
      <c r="A209" s="642" t="s">
        <v>231</v>
      </c>
      <c r="B209" s="642">
        <v>1.1265499999999999</v>
      </c>
    </row>
    <row r="210" spans="1:2" x14ac:dyDescent="0.2">
      <c r="A210" s="642" t="s">
        <v>232</v>
      </c>
      <c r="B210" s="642">
        <v>0.18775800000000001</v>
      </c>
    </row>
    <row r="211" spans="1:2" x14ac:dyDescent="0.2">
      <c r="A211" s="642" t="s">
        <v>233</v>
      </c>
      <c r="B211" s="642">
        <v>0.18775800000000001</v>
      </c>
    </row>
    <row r="212" spans="1:2" x14ac:dyDescent="0.2">
      <c r="A212" s="642" t="s">
        <v>234</v>
      </c>
      <c r="B212" s="642">
        <v>0.18775800000000001</v>
      </c>
    </row>
    <row r="213" spans="1:2" x14ac:dyDescent="0.2">
      <c r="A213" s="642" t="s">
        <v>235</v>
      </c>
      <c r="B213" s="642">
        <v>10651.2</v>
      </c>
    </row>
    <row r="214" spans="1:2" x14ac:dyDescent="0.2">
      <c r="A214" s="642" t="s">
        <v>236</v>
      </c>
      <c r="B214" s="642">
        <v>6924.5</v>
      </c>
    </row>
    <row r="215" spans="1:2" x14ac:dyDescent="0.2">
      <c r="A215" s="642" t="s">
        <v>237</v>
      </c>
      <c r="B215" s="642">
        <v>4597.1000000000004</v>
      </c>
    </row>
    <row r="216" spans="1:2" x14ac:dyDescent="0.2">
      <c r="A216" s="642" t="s">
        <v>238</v>
      </c>
      <c r="B216" s="642">
        <v>3241.03</v>
      </c>
    </row>
    <row r="217" spans="1:2" x14ac:dyDescent="0.2">
      <c r="A217" s="642" t="s">
        <v>239</v>
      </c>
      <c r="B217" s="642">
        <v>2233.75</v>
      </c>
    </row>
    <row r="218" spans="1:2" x14ac:dyDescent="0.2">
      <c r="A218" s="642" t="s">
        <v>240</v>
      </c>
      <c r="B218" s="642">
        <v>1541.26</v>
      </c>
    </row>
    <row r="219" spans="1:2" x14ac:dyDescent="0.2">
      <c r="A219" s="642" t="s">
        <v>241</v>
      </c>
      <c r="B219" s="642">
        <v>1108.94</v>
      </c>
    </row>
    <row r="220" spans="1:2" x14ac:dyDescent="0.2">
      <c r="A220" s="642" t="s">
        <v>242</v>
      </c>
      <c r="B220" s="642">
        <v>802.94500000000005</v>
      </c>
    </row>
    <row r="221" spans="1:2" x14ac:dyDescent="0.2">
      <c r="A221" s="642" t="s">
        <v>243</v>
      </c>
      <c r="B221" s="642">
        <v>598.99400000000003</v>
      </c>
    </row>
    <row r="222" spans="1:2" x14ac:dyDescent="0.2">
      <c r="A222" s="642" t="s">
        <v>244</v>
      </c>
      <c r="B222" s="642">
        <v>468.87799999999999</v>
      </c>
    </row>
    <row r="223" spans="1:2" x14ac:dyDescent="0.2">
      <c r="A223" s="642" t="s">
        <v>245</v>
      </c>
      <c r="B223" s="642">
        <v>377.20499999999998</v>
      </c>
    </row>
    <row r="224" spans="1:2" x14ac:dyDescent="0.2">
      <c r="A224" s="642" t="s">
        <v>246</v>
      </c>
      <c r="B224" s="642">
        <v>306.27999999999997</v>
      </c>
    </row>
    <row r="225" spans="1:2" x14ac:dyDescent="0.2">
      <c r="A225" s="642" t="s">
        <v>247</v>
      </c>
      <c r="B225" s="642">
        <v>257.51</v>
      </c>
    </row>
    <row r="226" spans="1:2" x14ac:dyDescent="0.2">
      <c r="A226" s="642" t="s">
        <v>248</v>
      </c>
      <c r="B226" s="642">
        <v>220.28700000000001</v>
      </c>
    </row>
    <row r="227" spans="1:2" x14ac:dyDescent="0.2">
      <c r="A227" s="642" t="s">
        <v>249</v>
      </c>
      <c r="B227" s="642">
        <v>188.274</v>
      </c>
    </row>
    <row r="228" spans="1:2" x14ac:dyDescent="0.2">
      <c r="A228" s="642" t="s">
        <v>250</v>
      </c>
      <c r="B228" s="642">
        <v>161.84700000000001</v>
      </c>
    </row>
    <row r="229" spans="1:2" x14ac:dyDescent="0.2">
      <c r="A229" s="642" t="s">
        <v>251</v>
      </c>
      <c r="B229" s="642">
        <v>140.06700000000001</v>
      </c>
    </row>
    <row r="230" spans="1:2" x14ac:dyDescent="0.2">
      <c r="A230" s="642" t="s">
        <v>252</v>
      </c>
      <c r="B230" s="642">
        <v>118.898</v>
      </c>
    </row>
    <row r="231" spans="1:2" x14ac:dyDescent="0.2">
      <c r="A231" s="642" t="s">
        <v>253</v>
      </c>
      <c r="B231" s="642">
        <v>99.135999999999996</v>
      </c>
    </row>
    <row r="232" spans="1:2" x14ac:dyDescent="0.2">
      <c r="A232" s="642" t="s">
        <v>254</v>
      </c>
      <c r="B232" s="642">
        <v>81.017399999999995</v>
      </c>
    </row>
    <row r="233" spans="1:2" x14ac:dyDescent="0.2">
      <c r="A233" s="642" t="s">
        <v>255</v>
      </c>
      <c r="B233" s="642">
        <v>67.358000000000004</v>
      </c>
    </row>
    <row r="234" spans="1:2" x14ac:dyDescent="0.2">
      <c r="A234" s="642" t="s">
        <v>256</v>
      </c>
      <c r="B234" s="642">
        <v>55.388500000000001</v>
      </c>
    </row>
    <row r="235" spans="1:2" x14ac:dyDescent="0.2">
      <c r="A235" s="642" t="s">
        <v>257</v>
      </c>
      <c r="B235" s="642">
        <v>45.671999999999997</v>
      </c>
    </row>
    <row r="236" spans="1:2" x14ac:dyDescent="0.2">
      <c r="A236" s="642" t="s">
        <v>258</v>
      </c>
      <c r="B236" s="642">
        <v>38.349499999999999</v>
      </c>
    </row>
    <row r="237" spans="1:2" x14ac:dyDescent="0.2">
      <c r="A237" s="642" t="s">
        <v>259</v>
      </c>
      <c r="B237" s="642">
        <v>32.059600000000003</v>
      </c>
    </row>
    <row r="238" spans="1:2" x14ac:dyDescent="0.2">
      <c r="A238" s="642" t="s">
        <v>260</v>
      </c>
      <c r="B238" s="642">
        <v>27.7881</v>
      </c>
    </row>
    <row r="239" spans="1:2" x14ac:dyDescent="0.2">
      <c r="A239" s="642" t="s">
        <v>261</v>
      </c>
      <c r="B239" s="642">
        <v>21.779900000000001</v>
      </c>
    </row>
    <row r="240" spans="1:2" x14ac:dyDescent="0.2">
      <c r="A240" s="642" t="s">
        <v>262</v>
      </c>
      <c r="B240" s="642">
        <v>5.2572099999999997</v>
      </c>
    </row>
    <row r="241" spans="1:2" x14ac:dyDescent="0.2">
      <c r="A241" s="642" t="s">
        <v>263</v>
      </c>
      <c r="B241" s="642">
        <v>1.1265499999999999</v>
      </c>
    </row>
    <row r="242" spans="1:2" x14ac:dyDescent="0.2">
      <c r="A242" s="642" t="s">
        <v>264</v>
      </c>
      <c r="B242" s="642">
        <v>0.18775800000000001</v>
      </c>
    </row>
    <row r="243" spans="1:2" x14ac:dyDescent="0.2">
      <c r="A243" s="642" t="s">
        <v>265</v>
      </c>
      <c r="B243" s="642">
        <v>0.18775800000000001</v>
      </c>
    </row>
    <row r="244" spans="1:2" x14ac:dyDescent="0.2">
      <c r="A244" s="642" t="s">
        <v>266</v>
      </c>
      <c r="B244" s="642">
        <v>0.18775800000000001</v>
      </c>
    </row>
    <row r="245" spans="1:2" x14ac:dyDescent="0.2">
      <c r="A245" s="642" t="s">
        <v>267</v>
      </c>
      <c r="B245" s="642">
        <v>10563.4</v>
      </c>
    </row>
    <row r="246" spans="1:2" x14ac:dyDescent="0.2">
      <c r="A246" s="642" t="s">
        <v>268</v>
      </c>
      <c r="B246" s="642">
        <v>6899.8</v>
      </c>
    </row>
    <row r="247" spans="1:2" x14ac:dyDescent="0.2">
      <c r="A247" s="642" t="s">
        <v>269</v>
      </c>
      <c r="B247" s="642">
        <v>4593.5</v>
      </c>
    </row>
    <row r="248" spans="1:2" x14ac:dyDescent="0.2">
      <c r="A248" s="642" t="s">
        <v>270</v>
      </c>
      <c r="B248" s="642">
        <v>3202.3</v>
      </c>
    </row>
    <row r="249" spans="1:2" x14ac:dyDescent="0.2">
      <c r="A249" s="642" t="s">
        <v>271</v>
      </c>
      <c r="B249" s="642">
        <v>2184.8000000000002</v>
      </c>
    </row>
    <row r="250" spans="1:2" x14ac:dyDescent="0.2">
      <c r="A250" s="642" t="s">
        <v>272</v>
      </c>
      <c r="B250" s="642">
        <v>1501.7</v>
      </c>
    </row>
    <row r="251" spans="1:2" x14ac:dyDescent="0.2">
      <c r="A251" s="642" t="s">
        <v>273</v>
      </c>
      <c r="B251" s="642">
        <v>1069.5</v>
      </c>
    </row>
    <row r="252" spans="1:2" x14ac:dyDescent="0.2">
      <c r="A252" s="642" t="s">
        <v>274</v>
      </c>
      <c r="B252" s="642">
        <v>779</v>
      </c>
    </row>
    <row r="253" spans="1:2" x14ac:dyDescent="0.2">
      <c r="A253" s="642" t="s">
        <v>275</v>
      </c>
      <c r="B253" s="642">
        <v>583.4</v>
      </c>
    </row>
    <row r="254" spans="1:2" x14ac:dyDescent="0.2">
      <c r="A254" s="642" t="s">
        <v>276</v>
      </c>
      <c r="B254" s="642">
        <v>453.2</v>
      </c>
    </row>
    <row r="255" spans="1:2" x14ac:dyDescent="0.2">
      <c r="A255" s="642" t="s">
        <v>277</v>
      </c>
      <c r="B255" s="642">
        <v>364.1</v>
      </c>
    </row>
    <row r="256" spans="1:2" x14ac:dyDescent="0.2">
      <c r="A256" s="642" t="s">
        <v>278</v>
      </c>
      <c r="B256" s="642">
        <v>296.89999999999998</v>
      </c>
    </row>
    <row r="257" spans="1:2" x14ac:dyDescent="0.2">
      <c r="A257" s="642" t="s">
        <v>279</v>
      </c>
      <c r="B257" s="642">
        <v>246.4</v>
      </c>
    </row>
    <row r="258" spans="1:2" x14ac:dyDescent="0.2">
      <c r="A258" s="642" t="s">
        <v>280</v>
      </c>
      <c r="B258" s="642">
        <v>208.5</v>
      </c>
    </row>
    <row r="259" spans="1:2" x14ac:dyDescent="0.2">
      <c r="A259" s="642" t="s">
        <v>281</v>
      </c>
      <c r="B259" s="642">
        <v>178.7</v>
      </c>
    </row>
    <row r="260" spans="1:2" x14ac:dyDescent="0.2">
      <c r="A260" s="642" t="s">
        <v>282</v>
      </c>
      <c r="B260" s="642">
        <v>153.30000000000001</v>
      </c>
    </row>
    <row r="261" spans="1:2" x14ac:dyDescent="0.2">
      <c r="A261" s="642" t="s">
        <v>283</v>
      </c>
      <c r="B261" s="642">
        <v>130.4</v>
      </c>
    </row>
    <row r="262" spans="1:2" x14ac:dyDescent="0.2">
      <c r="A262" s="642" t="s">
        <v>284</v>
      </c>
      <c r="B262" s="642">
        <v>109.4</v>
      </c>
    </row>
    <row r="263" spans="1:2" x14ac:dyDescent="0.2">
      <c r="A263" s="642" t="s">
        <v>285</v>
      </c>
      <c r="B263" s="642">
        <v>91.3</v>
      </c>
    </row>
    <row r="264" spans="1:2" x14ac:dyDescent="0.2">
      <c r="A264" s="642" t="s">
        <v>286</v>
      </c>
      <c r="B264" s="642">
        <v>76.099999999999994</v>
      </c>
    </row>
    <row r="265" spans="1:2" x14ac:dyDescent="0.2">
      <c r="A265" s="642" t="s">
        <v>287</v>
      </c>
      <c r="B265" s="642">
        <v>63.1</v>
      </c>
    </row>
    <row r="266" spans="1:2" x14ac:dyDescent="0.2">
      <c r="A266" s="642" t="s">
        <v>288</v>
      </c>
      <c r="B266" s="642">
        <v>52.1</v>
      </c>
    </row>
    <row r="267" spans="1:2" x14ac:dyDescent="0.2">
      <c r="A267" s="642" t="s">
        <v>289</v>
      </c>
      <c r="B267" s="642">
        <v>43</v>
      </c>
    </row>
    <row r="268" spans="1:2" x14ac:dyDescent="0.2">
      <c r="A268" s="642" t="s">
        <v>290</v>
      </c>
      <c r="B268" s="642">
        <v>35.700000000000003</v>
      </c>
    </row>
    <row r="269" spans="1:2" x14ac:dyDescent="0.2">
      <c r="A269" s="642" t="s">
        <v>291</v>
      </c>
      <c r="B269" s="642">
        <v>29.8</v>
      </c>
    </row>
    <row r="270" spans="1:2" x14ac:dyDescent="0.2">
      <c r="A270" s="642" t="s">
        <v>292</v>
      </c>
      <c r="B270" s="642">
        <v>25.2</v>
      </c>
    </row>
    <row r="271" spans="1:2" x14ac:dyDescent="0.2">
      <c r="A271" s="642" t="s">
        <v>293</v>
      </c>
      <c r="B271" s="642">
        <v>21.1</v>
      </c>
    </row>
    <row r="272" spans="1:2" x14ac:dyDescent="0.2">
      <c r="A272" s="642" t="s">
        <v>294</v>
      </c>
      <c r="B272" s="642">
        <v>6.11721</v>
      </c>
    </row>
    <row r="273" spans="1:2" x14ac:dyDescent="0.2">
      <c r="A273" s="642" t="s">
        <v>295</v>
      </c>
      <c r="B273" s="642">
        <v>1.45303</v>
      </c>
    </row>
    <row r="274" spans="1:2" x14ac:dyDescent="0.2">
      <c r="A274" s="642" t="s">
        <v>296</v>
      </c>
      <c r="B274" s="642">
        <v>0.24939</v>
      </c>
    </row>
    <row r="275" spans="1:2" x14ac:dyDescent="0.2">
      <c r="A275" s="642" t="s">
        <v>297</v>
      </c>
      <c r="B275" s="642">
        <v>0.24939</v>
      </c>
    </row>
    <row r="276" spans="1:2" x14ac:dyDescent="0.2">
      <c r="A276" s="642" t="s">
        <v>298</v>
      </c>
      <c r="B276" s="642">
        <v>0.24939</v>
      </c>
    </row>
    <row r="277" spans="1:2" x14ac:dyDescent="0.2">
      <c r="A277" s="642" t="s">
        <v>299</v>
      </c>
      <c r="B277" s="642"/>
    </row>
    <row r="278" spans="1:2" x14ac:dyDescent="0.2">
      <c r="A278" s="642" t="s">
        <v>300</v>
      </c>
      <c r="B278" s="642">
        <v>30</v>
      </c>
    </row>
    <row r="279" spans="1:2" x14ac:dyDescent="0.2">
      <c r="A279" s="642" t="s">
        <v>301</v>
      </c>
      <c r="B279" s="642">
        <v>319</v>
      </c>
    </row>
    <row r="280" spans="1:2" x14ac:dyDescent="0.2">
      <c r="A280" s="642" t="s">
        <v>302</v>
      </c>
      <c r="B280" s="642">
        <v>13933</v>
      </c>
    </row>
    <row r="281" spans="1:2" x14ac:dyDescent="0.2">
      <c r="A281" s="643" t="s">
        <v>303</v>
      </c>
      <c r="B281" s="642">
        <v>31</v>
      </c>
    </row>
    <row r="282" spans="1:2" x14ac:dyDescent="0.2">
      <c r="A282" s="642" t="s">
        <v>304</v>
      </c>
      <c r="B282" s="642"/>
    </row>
    <row r="283" spans="1:2" x14ac:dyDescent="0.2">
      <c r="A283" s="643" t="s">
        <v>305</v>
      </c>
      <c r="B283" s="642">
        <v>46190.6</v>
      </c>
    </row>
    <row r="284" spans="1:2" x14ac:dyDescent="0.2">
      <c r="A284" s="642" t="s">
        <v>306</v>
      </c>
      <c r="B284" s="642">
        <v>-1</v>
      </c>
    </row>
    <row r="285" spans="1:2" x14ac:dyDescent="0.2">
      <c r="A285" s="642" t="s">
        <v>307</v>
      </c>
      <c r="B285" s="642"/>
    </row>
    <row r="286" spans="1:2" x14ac:dyDescent="0.2">
      <c r="A286" s="642" t="s">
        <v>308</v>
      </c>
      <c r="B286" s="642">
        <v>0</v>
      </c>
    </row>
    <row r="287" spans="1:2" x14ac:dyDescent="0.2">
      <c r="A287" s="642" t="s">
        <v>309</v>
      </c>
      <c r="B287" s="642">
        <v>0</v>
      </c>
    </row>
    <row r="288" spans="1:2" x14ac:dyDescent="0.2">
      <c r="A288" s="642" t="s">
        <v>310</v>
      </c>
      <c r="B288" s="642">
        <v>16</v>
      </c>
    </row>
    <row r="289" spans="1:2" x14ac:dyDescent="0.2">
      <c r="A289" s="642" t="s">
        <v>311</v>
      </c>
      <c r="B289" s="642">
        <v>0</v>
      </c>
    </row>
    <row r="290" spans="1:2" x14ac:dyDescent="0.2">
      <c r="A290" s="642" t="s">
        <v>312</v>
      </c>
      <c r="B290" s="642">
        <v>0</v>
      </c>
    </row>
    <row r="291" spans="1:2" x14ac:dyDescent="0.2">
      <c r="A291" s="642" t="s">
        <v>313</v>
      </c>
      <c r="B291" s="642">
        <v>0</v>
      </c>
    </row>
    <row r="292" spans="1:2" x14ac:dyDescent="0.2">
      <c r="A292" s="642" t="s">
        <v>314</v>
      </c>
      <c r="B292" s="642">
        <v>0</v>
      </c>
    </row>
    <row r="293" spans="1:2" x14ac:dyDescent="0.2">
      <c r="A293" s="642" t="s">
        <v>315</v>
      </c>
      <c r="B293" s="642">
        <v>16</v>
      </c>
    </row>
    <row r="294" spans="1:2" x14ac:dyDescent="0.2">
      <c r="A294" s="642" t="s">
        <v>316</v>
      </c>
      <c r="B294" s="642">
        <v>0</v>
      </c>
    </row>
    <row r="295" spans="1:2" x14ac:dyDescent="0.2">
      <c r="A295" s="642" t="s">
        <v>317</v>
      </c>
      <c r="B295" s="642">
        <v>0</v>
      </c>
    </row>
    <row r="296" spans="1:2" x14ac:dyDescent="0.2">
      <c r="A296" s="642" t="s">
        <v>318</v>
      </c>
      <c r="B296" s="642" t="s">
        <v>1048</v>
      </c>
    </row>
    <row r="297" spans="1:2" x14ac:dyDescent="0.2">
      <c r="A297" s="642" t="s">
        <v>319</v>
      </c>
      <c r="B297" s="642">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D6BEAD-33B4-486D-A577-D53EDDD85818}">
  <sheetPr codeName="Sheet5"/>
  <dimension ref="A1:BU199"/>
  <sheetViews>
    <sheetView topLeftCell="D1" zoomScale="85" zoomScaleNormal="85" zoomScaleSheetLayoutView="100" workbookViewId="0">
      <selection activeCell="R12" sqref="R12"/>
    </sheetView>
  </sheetViews>
  <sheetFormatPr defaultColWidth="10.85546875" defaultRowHeight="15" customHeight="1" x14ac:dyDescent="0.2"/>
  <cols>
    <col min="1" max="1" width="8.7109375" style="202" customWidth="1"/>
    <col min="2" max="2" width="13" style="188" customWidth="1"/>
    <col min="3" max="3" width="64.140625" style="188" customWidth="1"/>
    <col min="4" max="4" width="38.5703125" customWidth="1"/>
    <col min="5" max="5" width="4" bestFit="1" customWidth="1"/>
    <col min="6" max="6" width="5.7109375" bestFit="1" customWidth="1"/>
    <col min="7" max="7" width="4.140625" customWidth="1"/>
    <col min="8" max="8" width="7.28515625" customWidth="1"/>
    <col min="9" max="9" width="3.140625" customWidth="1"/>
    <col min="10" max="10" width="6.140625" bestFit="1" customWidth="1"/>
    <col min="11" max="11" width="3.85546875" customWidth="1"/>
    <col min="12" max="12" width="5" bestFit="1" customWidth="1"/>
    <col min="13" max="13" width="4.42578125" customWidth="1"/>
    <col min="14" max="14" width="3.5703125" customWidth="1"/>
    <col min="15" max="15" width="4.42578125" customWidth="1"/>
    <col min="16" max="16" width="2" bestFit="1" customWidth="1"/>
    <col min="17" max="17" width="98.42578125" bestFit="1" customWidth="1"/>
    <col min="18" max="18" width="19.85546875" customWidth="1"/>
    <col min="19" max="19" width="6" bestFit="1" customWidth="1"/>
    <col min="20" max="20" width="2.140625" bestFit="1" customWidth="1"/>
    <col min="21" max="21" width="2.7109375" bestFit="1" customWidth="1"/>
    <col min="22" max="23" width="2.140625" bestFit="1" customWidth="1"/>
    <col min="24" max="24" width="31.140625" customWidth="1"/>
    <col min="25" max="25" width="23.28515625" customWidth="1"/>
    <col min="26" max="26" width="24.85546875" customWidth="1"/>
  </cols>
  <sheetData>
    <row r="1" spans="1:24" ht="15" customHeight="1" x14ac:dyDescent="0.2">
      <c r="C1" s="119" t="s">
        <v>320</v>
      </c>
      <c r="D1" s="188"/>
      <c r="E1" s="188"/>
      <c r="F1" s="188"/>
      <c r="G1" s="188"/>
      <c r="H1" s="188"/>
      <c r="I1" s="188"/>
      <c r="J1" s="188"/>
      <c r="K1" s="188"/>
      <c r="L1" s="188"/>
      <c r="M1" s="188"/>
      <c r="N1" s="188"/>
      <c r="O1" s="188"/>
      <c r="P1" s="188"/>
      <c r="Q1" s="188"/>
      <c r="R1" s="105" t="s">
        <v>321</v>
      </c>
    </row>
    <row r="2" spans="1:24" ht="15" customHeight="1" x14ac:dyDescent="0.2">
      <c r="B2" s="119"/>
      <c r="D2" s="188"/>
      <c r="E2" s="188"/>
      <c r="F2" s="188"/>
      <c r="G2" s="188"/>
      <c r="H2" s="188"/>
      <c r="I2" s="188"/>
      <c r="J2" s="188"/>
      <c r="K2" s="188"/>
      <c r="L2" s="188"/>
      <c r="M2" s="188"/>
      <c r="N2" s="188"/>
      <c r="O2" s="188"/>
      <c r="P2" s="188"/>
      <c r="Q2" s="188"/>
      <c r="R2" s="105" t="s">
        <v>322</v>
      </c>
    </row>
    <row r="3" spans="1:24" ht="15" customHeight="1" x14ac:dyDescent="0.25">
      <c r="B3" s="134" t="s">
        <v>323</v>
      </c>
      <c r="C3" s="205" t="s">
        <v>324</v>
      </c>
      <c r="D3" s="206"/>
      <c r="E3" s="206"/>
      <c r="F3" s="206"/>
      <c r="G3" s="206"/>
      <c r="H3" s="206"/>
      <c r="I3" s="206"/>
      <c r="J3" s="206"/>
      <c r="K3" s="206"/>
      <c r="L3" s="206"/>
      <c r="M3" s="206"/>
      <c r="N3" s="206"/>
      <c r="O3" s="206"/>
      <c r="P3" s="206"/>
      <c r="Q3" s="207"/>
      <c r="R3" s="105" t="s">
        <v>325</v>
      </c>
    </row>
    <row r="4" spans="1:24" ht="15" customHeight="1" x14ac:dyDescent="0.2">
      <c r="B4" s="184">
        <v>1</v>
      </c>
      <c r="C4" s="152" t="s">
        <v>326</v>
      </c>
      <c r="D4" s="290" t="s">
        <v>0</v>
      </c>
      <c r="E4" s="291"/>
      <c r="F4" s="292" t="s">
        <v>327</v>
      </c>
      <c r="G4" s="291"/>
      <c r="H4" s="292">
        <v>0</v>
      </c>
      <c r="I4" s="291"/>
      <c r="J4" s="292" t="s">
        <v>328</v>
      </c>
      <c r="K4" s="291"/>
      <c r="L4" s="293">
        <v>0</v>
      </c>
      <c r="M4" s="294"/>
      <c r="N4" s="295">
        <v>0</v>
      </c>
      <c r="O4" s="291"/>
      <c r="P4" s="296">
        <v>3</v>
      </c>
      <c r="Q4" s="208" t="s">
        <v>329</v>
      </c>
      <c r="R4" s="105" t="s">
        <v>330</v>
      </c>
    </row>
    <row r="5" spans="1:24" ht="15" customHeight="1" x14ac:dyDescent="0.2">
      <c r="B5" s="184">
        <f>B4+1</f>
        <v>2</v>
      </c>
      <c r="C5" s="152" t="s">
        <v>331</v>
      </c>
      <c r="D5" s="297">
        <f>'Auto-Calibration record'!H15</f>
        <v>-1</v>
      </c>
      <c r="E5" s="135" t="str">
        <f>IF(D5="20","0",IF(D5="PC","00",""))</f>
        <v/>
      </c>
      <c r="F5" s="139"/>
      <c r="G5" s="203"/>
      <c r="H5" s="139"/>
      <c r="I5" s="203"/>
      <c r="J5" s="139"/>
      <c r="K5" s="138"/>
      <c r="L5" s="209"/>
      <c r="M5" s="138"/>
      <c r="N5" s="138"/>
      <c r="O5" s="138"/>
      <c r="P5" s="138"/>
      <c r="Q5" s="138"/>
      <c r="R5" s="105" t="s">
        <v>332</v>
      </c>
      <c r="S5" s="210" t="s">
        <v>327</v>
      </c>
      <c r="T5" s="210" t="s">
        <v>333</v>
      </c>
      <c r="U5" s="210" t="s">
        <v>328</v>
      </c>
      <c r="V5" s="142">
        <v>1</v>
      </c>
      <c r="W5" s="142">
        <v>0</v>
      </c>
      <c r="X5" s="142">
        <v>1</v>
      </c>
    </row>
    <row r="6" spans="1:24" ht="15" customHeight="1" x14ac:dyDescent="0.2">
      <c r="A6" s="144" t="b">
        <v>0</v>
      </c>
      <c r="B6" s="184">
        <f t="shared" ref="B6:B17" si="0">B5+1</f>
        <v>3</v>
      </c>
      <c r="C6" s="152" t="s">
        <v>334</v>
      </c>
      <c r="D6" s="292"/>
      <c r="E6" s="502" t="s">
        <v>335</v>
      </c>
      <c r="F6" s="503"/>
      <c r="G6" s="503"/>
      <c r="H6" s="503"/>
      <c r="I6" s="503"/>
      <c r="J6" s="503"/>
      <c r="K6" s="503"/>
      <c r="L6" s="503"/>
      <c r="M6" s="503"/>
      <c r="N6" s="503"/>
      <c r="O6" s="503"/>
      <c r="P6" s="503"/>
      <c r="Q6" s="138"/>
      <c r="R6" s="105" t="s">
        <v>336</v>
      </c>
      <c r="S6" s="142">
        <v>0</v>
      </c>
      <c r="T6" s="142">
        <v>0</v>
      </c>
      <c r="U6" s="142" t="s">
        <v>337</v>
      </c>
      <c r="V6" s="142">
        <v>0</v>
      </c>
      <c r="W6" s="142"/>
      <c r="X6" s="142">
        <v>2</v>
      </c>
    </row>
    <row r="7" spans="1:24" ht="15" customHeight="1" x14ac:dyDescent="0.2">
      <c r="A7" s="144" t="b">
        <v>0</v>
      </c>
      <c r="B7" s="184">
        <f t="shared" si="0"/>
        <v>4</v>
      </c>
      <c r="C7" s="211" t="s">
        <v>338</v>
      </c>
      <c r="D7" s="298"/>
      <c r="E7" s="504"/>
      <c r="F7" s="492"/>
      <c r="G7" s="492"/>
      <c r="H7" s="492"/>
      <c r="I7" s="492"/>
      <c r="J7" s="492"/>
      <c r="K7" s="492"/>
      <c r="L7" s="492"/>
      <c r="M7" s="492"/>
      <c r="N7" s="492"/>
      <c r="O7" s="492"/>
      <c r="P7" s="492"/>
      <c r="Q7" s="138" t="str">
        <f>IF(A7=TRUE,"Customer completed online booking process","Please note: Where possible, all recalibrations should be booked online at the supplied booking site")</f>
        <v>Please note: Where possible, all recalibrations should be booked online at the supplied booking site</v>
      </c>
      <c r="R7" s="105" t="s">
        <v>339</v>
      </c>
      <c r="S7" s="142"/>
      <c r="T7" s="142" t="s">
        <v>340</v>
      </c>
      <c r="U7" s="142" t="s">
        <v>341</v>
      </c>
      <c r="V7" s="143"/>
      <c r="W7" s="143"/>
      <c r="X7" s="143">
        <v>3</v>
      </c>
    </row>
    <row r="8" spans="1:24" ht="15" customHeight="1" x14ac:dyDescent="0.2">
      <c r="A8" s="144" t="b">
        <v>0</v>
      </c>
      <c r="B8" s="184">
        <f t="shared" si="0"/>
        <v>5</v>
      </c>
      <c r="C8" s="221" t="s">
        <v>342</v>
      </c>
      <c r="D8" s="298"/>
      <c r="E8" s="505" t="s">
        <v>343</v>
      </c>
      <c r="F8" s="506"/>
      <c r="G8" s="506"/>
      <c r="H8" s="506"/>
      <c r="I8" s="506"/>
      <c r="J8" s="506"/>
      <c r="K8" s="506"/>
      <c r="L8" s="506"/>
      <c r="M8" s="506"/>
      <c r="N8" s="506"/>
      <c r="O8" s="506"/>
      <c r="P8" s="506"/>
      <c r="Q8" s="138" t="str">
        <f>IF(A8=TRUE,"Please note: Accessories supplied with product, ensure return of all (see right)","No accessories present to return to end user")</f>
        <v>No accessories present to return to end user</v>
      </c>
      <c r="R8" s="105" t="s">
        <v>344</v>
      </c>
      <c r="X8" s="218">
        <v>4</v>
      </c>
    </row>
    <row r="9" spans="1:24" ht="15" customHeight="1" x14ac:dyDescent="0.2">
      <c r="A9" s="144" t="b">
        <v>0</v>
      </c>
      <c r="B9" s="184">
        <f t="shared" si="0"/>
        <v>6</v>
      </c>
      <c r="C9" s="211" t="s">
        <v>345</v>
      </c>
      <c r="D9" s="298"/>
      <c r="E9" s="500"/>
      <c r="F9" s="501"/>
      <c r="G9" s="501"/>
      <c r="H9" s="501"/>
      <c r="I9" s="501"/>
      <c r="J9" s="501"/>
      <c r="K9" s="501"/>
      <c r="L9" s="501"/>
      <c r="M9" s="501"/>
      <c r="N9" s="501"/>
      <c r="O9" s="501"/>
      <c r="P9" s="501"/>
      <c r="Q9" s="138" t="str">
        <f>IF(A9&lt;&gt;TRUE,"Relevant COSHH information provided by end user","No COSHH information supplied by end user")</f>
        <v>Relevant COSHH information provided by end user</v>
      </c>
      <c r="R9" s="105" t="s">
        <v>346</v>
      </c>
    </row>
    <row r="10" spans="1:24" ht="15" customHeight="1" x14ac:dyDescent="0.2">
      <c r="A10" s="144" t="b">
        <v>0</v>
      </c>
      <c r="B10" s="184">
        <f t="shared" si="0"/>
        <v>7</v>
      </c>
      <c r="C10" s="152" t="s">
        <v>347</v>
      </c>
      <c r="D10" s="299"/>
      <c r="E10" s="500"/>
      <c r="F10" s="501"/>
      <c r="G10" s="501"/>
      <c r="H10" s="501"/>
      <c r="I10" s="501"/>
      <c r="J10" s="501"/>
      <c r="K10" s="501"/>
      <c r="L10" s="501"/>
      <c r="M10" s="501"/>
      <c r="N10" s="501"/>
      <c r="O10" s="501"/>
      <c r="P10" s="501"/>
      <c r="Q10" s="138"/>
      <c r="R10" s="105" t="s">
        <v>348</v>
      </c>
    </row>
    <row r="11" spans="1:24" ht="15" hidden="1" customHeight="1" x14ac:dyDescent="0.2">
      <c r="A11" s="144" t="b">
        <v>0</v>
      </c>
      <c r="B11" s="184">
        <f t="shared" si="0"/>
        <v>8</v>
      </c>
      <c r="C11" s="152" t="s">
        <v>349</v>
      </c>
      <c r="D11" s="300"/>
      <c r="E11" s="500"/>
      <c r="F11" s="501"/>
      <c r="G11" s="501"/>
      <c r="H11" s="501"/>
      <c r="I11" s="501"/>
      <c r="J11" s="501"/>
      <c r="K11" s="501"/>
      <c r="L11" s="501"/>
      <c r="M11" s="501"/>
      <c r="N11" s="501"/>
      <c r="O11" s="501"/>
      <c r="P11" s="501"/>
      <c r="Q11" s="138"/>
      <c r="R11" s="105" t="s">
        <v>350</v>
      </c>
    </row>
    <row r="12" spans="1:24" ht="15" customHeight="1" x14ac:dyDescent="0.2">
      <c r="A12" s="144" t="b">
        <v>0</v>
      </c>
      <c r="B12" s="184">
        <f>B11+1</f>
        <v>9</v>
      </c>
      <c r="C12" s="152" t="s">
        <v>351</v>
      </c>
      <c r="D12" s="298"/>
      <c r="E12" s="507"/>
      <c r="F12" s="508"/>
      <c r="G12" s="508"/>
      <c r="H12" s="508"/>
      <c r="I12" s="508"/>
      <c r="J12" s="508"/>
      <c r="K12" s="508"/>
      <c r="L12" s="508"/>
      <c r="M12" s="508"/>
      <c r="N12" s="508"/>
      <c r="O12" s="508"/>
      <c r="P12" s="508"/>
      <c r="Q12" s="138" t="str">
        <f>IF(A12=TRUE,"Item is considered warranty, requires QC control on NCR","")</f>
        <v/>
      </c>
      <c r="R12" s="105" t="s">
        <v>352</v>
      </c>
    </row>
    <row r="13" spans="1:24" ht="15" customHeight="1" x14ac:dyDescent="0.2">
      <c r="A13" s="144" t="b">
        <v>0</v>
      </c>
      <c r="B13" s="184">
        <f t="shared" si="0"/>
        <v>10</v>
      </c>
      <c r="C13" s="152" t="s">
        <v>353</v>
      </c>
      <c r="D13" s="301">
        <f>D45-365</f>
        <v>-365</v>
      </c>
      <c r="E13" s="212"/>
      <c r="F13" s="138"/>
      <c r="G13" s="138"/>
      <c r="H13" s="138"/>
      <c r="I13" s="138"/>
      <c r="J13" s="138"/>
      <c r="K13" s="138"/>
      <c r="L13" s="138"/>
      <c r="M13" s="138"/>
      <c r="N13" s="138"/>
      <c r="O13" s="138"/>
      <c r="P13" s="138"/>
      <c r="Q13" s="138"/>
      <c r="R13" s="105"/>
    </row>
    <row r="14" spans="1:24" ht="15" customHeight="1" x14ac:dyDescent="0.2">
      <c r="A14" s="144" t="b">
        <v>0</v>
      </c>
      <c r="B14" s="184">
        <f t="shared" si="0"/>
        <v>11</v>
      </c>
      <c r="C14" s="152" t="s">
        <v>354</v>
      </c>
      <c r="D14" s="302"/>
      <c r="E14" s="486"/>
      <c r="F14" s="486"/>
      <c r="G14" s="486"/>
      <c r="H14" s="486"/>
      <c r="I14" s="486"/>
      <c r="J14" s="486"/>
      <c r="K14" s="486"/>
      <c r="L14" s="486"/>
      <c r="M14" s="486"/>
      <c r="N14" s="486"/>
      <c r="O14" s="486"/>
      <c r="P14" s="486"/>
      <c r="Q14" s="138"/>
    </row>
    <row r="15" spans="1:24" ht="15" customHeight="1" x14ac:dyDescent="0.2">
      <c r="A15" s="144" t="b">
        <v>0</v>
      </c>
      <c r="B15" s="184">
        <f t="shared" si="0"/>
        <v>12</v>
      </c>
      <c r="C15" s="152" t="s">
        <v>355</v>
      </c>
      <c r="D15" s="292"/>
      <c r="E15" s="139"/>
      <c r="F15" s="139"/>
      <c r="G15" s="139"/>
      <c r="H15" s="139"/>
      <c r="I15" s="139"/>
      <c r="J15" s="139"/>
      <c r="K15" s="139"/>
      <c r="L15" s="139"/>
      <c r="M15" s="139"/>
      <c r="N15" s="139"/>
      <c r="O15" s="140"/>
      <c r="P15" s="139"/>
      <c r="Q15" s="138"/>
    </row>
    <row r="16" spans="1:24" ht="15" customHeight="1" x14ac:dyDescent="0.2">
      <c r="A16" s="144" t="b">
        <v>0</v>
      </c>
      <c r="B16" s="184">
        <f t="shared" si="0"/>
        <v>13</v>
      </c>
      <c r="C16" s="152" t="s">
        <v>356</v>
      </c>
      <c r="D16" s="292"/>
      <c r="E16" s="139"/>
      <c r="F16" s="139"/>
      <c r="G16" s="139"/>
      <c r="H16" s="139"/>
      <c r="I16" s="139"/>
      <c r="J16" s="139"/>
      <c r="K16" s="139"/>
      <c r="L16" s="139"/>
      <c r="M16" s="139"/>
      <c r="N16" s="139"/>
      <c r="O16" s="139"/>
      <c r="P16" s="139"/>
      <c r="Q16" s="138"/>
    </row>
    <row r="17" spans="1:23" ht="15" customHeight="1" x14ac:dyDescent="0.2">
      <c r="A17" s="144" t="b">
        <v>0</v>
      </c>
      <c r="B17" s="184">
        <f t="shared" si="0"/>
        <v>14</v>
      </c>
      <c r="C17" s="152" t="s">
        <v>357</v>
      </c>
      <c r="D17" s="303">
        <f>D10+5</f>
        <v>5</v>
      </c>
      <c r="E17" s="139"/>
      <c r="F17" s="139"/>
      <c r="G17" s="139"/>
      <c r="H17" s="139"/>
      <c r="I17" s="139"/>
      <c r="J17" s="139"/>
      <c r="K17" s="139"/>
      <c r="L17" s="139"/>
      <c r="M17" s="139"/>
      <c r="N17" s="139"/>
      <c r="O17" s="139"/>
      <c r="P17" s="139"/>
      <c r="Q17" s="138"/>
      <c r="W17" s="206"/>
    </row>
    <row r="18" spans="1:23" ht="15" customHeight="1" x14ac:dyDescent="0.2">
      <c r="A18" s="144" t="b">
        <v>0</v>
      </c>
      <c r="B18" s="184"/>
      <c r="C18" s="119"/>
      <c r="D18" s="206"/>
      <c r="E18" s="206"/>
      <c r="F18" s="206"/>
      <c r="G18" s="206"/>
      <c r="H18" s="206"/>
      <c r="I18" s="206"/>
      <c r="J18" s="206"/>
      <c r="K18" s="206"/>
      <c r="L18" s="206"/>
      <c r="M18" s="206"/>
      <c r="N18" s="206"/>
      <c r="O18" s="206"/>
      <c r="P18" s="206"/>
      <c r="Q18" s="207"/>
    </row>
    <row r="19" spans="1:23" ht="15" hidden="1" customHeight="1" x14ac:dyDescent="0.2">
      <c r="A19" s="144" t="b">
        <v>0</v>
      </c>
      <c r="B19" s="184"/>
      <c r="C19" s="484" t="s">
        <v>358</v>
      </c>
      <c r="D19" s="484"/>
      <c r="E19" s="484"/>
      <c r="F19" s="484"/>
      <c r="G19" s="484"/>
      <c r="H19" s="484"/>
      <c r="I19" s="484"/>
      <c r="J19" s="484"/>
      <c r="K19" s="484"/>
      <c r="L19" s="484"/>
      <c r="M19" s="484"/>
      <c r="N19" s="484"/>
      <c r="O19" s="206"/>
      <c r="P19" s="206"/>
      <c r="Q19" s="207"/>
    </row>
    <row r="20" spans="1:23" ht="15" hidden="1" customHeight="1" x14ac:dyDescent="0.2">
      <c r="A20" s="144" t="b">
        <v>0</v>
      </c>
      <c r="B20" s="184">
        <f>B17+1</f>
        <v>15</v>
      </c>
      <c r="C20" s="119" t="s">
        <v>359</v>
      </c>
      <c r="D20" s="302"/>
      <c r="E20" s="206"/>
      <c r="F20" s="206"/>
      <c r="G20" s="206"/>
      <c r="H20" s="206"/>
      <c r="I20" s="206"/>
      <c r="J20" s="206"/>
      <c r="K20" s="206"/>
      <c r="L20" s="206"/>
      <c r="M20" s="206"/>
      <c r="N20" s="206"/>
      <c r="O20" s="206"/>
      <c r="P20" s="206"/>
      <c r="Q20" s="138" t="str">
        <f>IF(A20=TRUE,"Carry bag, ","")</f>
        <v/>
      </c>
    </row>
    <row r="21" spans="1:23" ht="15" hidden="1" customHeight="1" x14ac:dyDescent="0.2">
      <c r="A21" s="144" t="b">
        <v>0</v>
      </c>
      <c r="B21" s="184">
        <f t="shared" ref="B21:B198" si="1">B20+1</f>
        <v>16</v>
      </c>
      <c r="C21" s="119" t="s">
        <v>360</v>
      </c>
      <c r="D21" s="302"/>
      <c r="E21" s="206"/>
      <c r="F21" s="206"/>
      <c r="G21" s="206"/>
      <c r="H21" s="206"/>
      <c r="I21" s="206"/>
      <c r="J21" s="206"/>
      <c r="K21" s="206"/>
      <c r="L21" s="206"/>
      <c r="M21" s="206"/>
      <c r="N21" s="206"/>
      <c r="O21" s="206"/>
      <c r="P21" s="206"/>
      <c r="Q21" s="138" t="str">
        <f>IF(A21=TRUE,"Waste bottle, ","")</f>
        <v/>
      </c>
    </row>
    <row r="22" spans="1:23" ht="15" hidden="1" customHeight="1" x14ac:dyDescent="0.2">
      <c r="A22" s="144" t="b">
        <v>0</v>
      </c>
      <c r="B22" s="184">
        <f t="shared" si="1"/>
        <v>17</v>
      </c>
      <c r="C22" s="119" t="s">
        <v>361</v>
      </c>
      <c r="D22" s="302"/>
      <c r="E22" s="206"/>
      <c r="F22" s="206"/>
      <c r="G22" s="206"/>
      <c r="H22" s="206"/>
      <c r="I22" s="206"/>
      <c r="J22" s="206"/>
      <c r="K22" s="206"/>
      <c r="L22" s="206"/>
      <c r="M22" s="206"/>
      <c r="N22" s="206"/>
      <c r="O22" s="206"/>
      <c r="P22" s="206"/>
      <c r="Q22" s="138" t="str">
        <f>IF(A22=TRUE,"1500mm pressure hose, ","")</f>
        <v/>
      </c>
    </row>
    <row r="23" spans="1:23" ht="15" hidden="1" customHeight="1" x14ac:dyDescent="0.2">
      <c r="A23" s="144" t="b">
        <v>0</v>
      </c>
      <c r="B23" s="184">
        <f t="shared" si="1"/>
        <v>18</v>
      </c>
      <c r="C23" s="119" t="s">
        <v>362</v>
      </c>
      <c r="D23" s="302"/>
      <c r="E23" s="206"/>
      <c r="F23" s="206"/>
      <c r="G23" s="206"/>
      <c r="H23" s="206"/>
      <c r="I23" s="206"/>
      <c r="J23" s="206"/>
      <c r="K23" s="206"/>
      <c r="L23" s="206"/>
      <c r="M23" s="206"/>
      <c r="N23" s="206"/>
      <c r="O23" s="206"/>
      <c r="P23" s="206"/>
      <c r="Q23" s="138" t="str">
        <f>IF(A23=TRUE,"600mm pressure hose, ","")</f>
        <v/>
      </c>
    </row>
    <row r="24" spans="1:23" ht="15" hidden="1" customHeight="1" x14ac:dyDescent="0.2">
      <c r="A24" s="144" t="b">
        <v>0</v>
      </c>
      <c r="B24" s="184">
        <f t="shared" si="1"/>
        <v>19</v>
      </c>
      <c r="C24" s="119" t="s">
        <v>363</v>
      </c>
      <c r="D24" s="302"/>
      <c r="E24" s="206"/>
      <c r="F24" s="206"/>
      <c r="G24" s="206"/>
      <c r="H24" s="206"/>
      <c r="I24" s="206"/>
      <c r="J24" s="206"/>
      <c r="K24" s="206"/>
      <c r="L24" s="206"/>
      <c r="M24" s="206"/>
      <c r="N24" s="206"/>
      <c r="O24" s="206"/>
      <c r="P24" s="206"/>
      <c r="Q24" s="138" t="str">
        <f>IF(A24=TRUE,"Waste hose, ","")</f>
        <v/>
      </c>
    </row>
    <row r="25" spans="1:23" ht="15" hidden="1" customHeight="1" x14ac:dyDescent="0.2">
      <c r="A25" s="144" t="b">
        <v>0</v>
      </c>
      <c r="B25" s="184">
        <f t="shared" si="1"/>
        <v>20</v>
      </c>
      <c r="C25" s="119" t="s">
        <v>364</v>
      </c>
      <c r="D25" s="302"/>
      <c r="E25" s="213" t="s">
        <v>365</v>
      </c>
      <c r="F25" s="141"/>
      <c r="G25" s="206"/>
      <c r="H25" s="206"/>
      <c r="I25" s="206"/>
      <c r="J25" s="206"/>
      <c r="K25" s="206"/>
      <c r="L25" s="206"/>
      <c r="M25" s="206"/>
      <c r="N25" s="206"/>
      <c r="O25" s="206"/>
      <c r="P25" s="206"/>
      <c r="Q25" s="138" t="str">
        <f>IF(A25=TRUE,F25&amp;"Pouches, ","")</f>
        <v/>
      </c>
    </row>
    <row r="26" spans="1:23" ht="15" hidden="1" customHeight="1" x14ac:dyDescent="0.2">
      <c r="A26" s="144"/>
      <c r="B26" s="184">
        <f t="shared" si="1"/>
        <v>21</v>
      </c>
      <c r="C26" s="228" t="s">
        <v>366</v>
      </c>
      <c r="D26" s="302"/>
      <c r="E26" s="213"/>
      <c r="F26" s="141"/>
      <c r="G26" s="206"/>
      <c r="H26" s="206"/>
      <c r="I26" s="206"/>
      <c r="J26" s="206"/>
      <c r="K26" s="206"/>
      <c r="L26" s="206"/>
      <c r="M26" s="206"/>
      <c r="N26" s="206"/>
      <c r="O26" s="206"/>
      <c r="P26" s="206"/>
      <c r="Q26" s="138"/>
    </row>
    <row r="27" spans="1:23" ht="15" hidden="1" customHeight="1" x14ac:dyDescent="0.2">
      <c r="A27" s="144" t="b">
        <v>0</v>
      </c>
      <c r="B27" s="184">
        <f t="shared" si="1"/>
        <v>22</v>
      </c>
      <c r="C27" s="119" t="s">
        <v>367</v>
      </c>
      <c r="D27" s="302"/>
      <c r="E27" s="206"/>
      <c r="F27" s="206"/>
      <c r="G27" s="206"/>
      <c r="H27" s="206"/>
      <c r="I27" s="206"/>
      <c r="J27" s="206"/>
      <c r="K27" s="206"/>
      <c r="L27" s="206"/>
      <c r="M27" s="206"/>
      <c r="N27" s="206"/>
      <c r="O27" s="206"/>
      <c r="P27" s="206"/>
      <c r="Q27" s="138" t="str">
        <f>IF(A27=TRUE,"USB converter, ","")</f>
        <v/>
      </c>
    </row>
    <row r="28" spans="1:23" ht="15" hidden="1" customHeight="1" x14ac:dyDescent="0.2">
      <c r="A28" s="144" t="b">
        <v>0</v>
      </c>
      <c r="B28" s="184">
        <f t="shared" si="1"/>
        <v>23</v>
      </c>
      <c r="C28" s="119" t="s">
        <v>368</v>
      </c>
      <c r="D28" s="302"/>
      <c r="E28" s="206"/>
      <c r="F28" s="206"/>
      <c r="G28" s="206"/>
      <c r="H28" s="206"/>
      <c r="I28" s="206"/>
      <c r="J28" s="206"/>
      <c r="K28" s="206"/>
      <c r="L28" s="206"/>
      <c r="M28" s="206"/>
      <c r="N28" s="206"/>
      <c r="O28" s="206"/>
      <c r="P28" s="206"/>
      <c r="Q28" s="138" t="str">
        <f>IF(A28=TRUE,"serial cable, ","")</f>
        <v/>
      </c>
    </row>
    <row r="29" spans="1:23" ht="15" hidden="1" customHeight="1" x14ac:dyDescent="0.2">
      <c r="A29" s="144" t="b">
        <v>0</v>
      </c>
      <c r="B29" s="184">
        <f t="shared" si="1"/>
        <v>24</v>
      </c>
      <c r="C29" s="119" t="s">
        <v>369</v>
      </c>
      <c r="D29" s="302"/>
      <c r="E29" s="206"/>
      <c r="F29" s="206"/>
      <c r="G29" s="206"/>
      <c r="H29" s="206"/>
      <c r="I29" s="206"/>
      <c r="J29" s="206"/>
      <c r="K29" s="206"/>
      <c r="L29" s="206"/>
      <c r="M29" s="206"/>
      <c r="N29" s="206"/>
      <c r="O29" s="206"/>
      <c r="P29" s="206"/>
      <c r="Q29" s="138" t="str">
        <f>IF(A29=TRUE,"power adapter, ","")</f>
        <v/>
      </c>
    </row>
    <row r="30" spans="1:23" ht="15" customHeight="1" x14ac:dyDescent="0.2">
      <c r="A30" s="144" t="b">
        <v>0</v>
      </c>
      <c r="B30" s="184"/>
      <c r="C30" s="484" t="s">
        <v>370</v>
      </c>
      <c r="D30" s="484"/>
      <c r="E30" s="484"/>
      <c r="F30" s="484"/>
      <c r="G30" s="484"/>
      <c r="H30" s="484"/>
      <c r="I30" s="484"/>
      <c r="J30" s="484"/>
      <c r="K30" s="484"/>
      <c r="L30" s="484"/>
      <c r="M30" s="484"/>
      <c r="N30" s="484"/>
    </row>
    <row r="31" spans="1:23" ht="15" customHeight="1" x14ac:dyDescent="0.2">
      <c r="A31" s="144" t="b">
        <v>1</v>
      </c>
      <c r="B31" s="184">
        <f>B29+1</f>
        <v>25</v>
      </c>
      <c r="C31" s="119" t="s">
        <v>371</v>
      </c>
      <c r="D31" s="304"/>
      <c r="E31" s="487" t="s">
        <v>372</v>
      </c>
      <c r="F31" s="487"/>
      <c r="G31" s="488" t="str">
        <f>IF($D$31=$D$10,"ON TIME",IF($D$31&gt;$D$10,"LATE",IF($D$31&lt;$D$10,"EARLY")))</f>
        <v>ON TIME</v>
      </c>
      <c r="H31" s="488"/>
      <c r="I31" s="488"/>
      <c r="J31" s="488"/>
      <c r="K31" s="488"/>
      <c r="L31" s="488"/>
      <c r="M31" s="488"/>
      <c r="N31" s="488"/>
    </row>
    <row r="32" spans="1:23" ht="15" customHeight="1" x14ac:dyDescent="0.2">
      <c r="A32" s="144" t="b">
        <v>1</v>
      </c>
      <c r="B32" s="184">
        <f>B31+1</f>
        <v>26</v>
      </c>
      <c r="C32" s="119" t="s">
        <v>373</v>
      </c>
      <c r="D32" s="304" t="s">
        <v>321</v>
      </c>
      <c r="E32" s="163"/>
      <c r="F32" s="163"/>
      <c r="G32" s="214"/>
      <c r="H32" s="214"/>
      <c r="I32" s="214"/>
      <c r="J32" s="214"/>
      <c r="K32" s="214"/>
      <c r="L32" s="214"/>
      <c r="M32" s="214"/>
      <c r="N32" s="214"/>
    </row>
    <row r="33" spans="1:18" ht="15" customHeight="1" x14ac:dyDescent="0.2">
      <c r="A33" s="144" t="b">
        <v>0</v>
      </c>
      <c r="B33" s="184">
        <f>B32+1</f>
        <v>27</v>
      </c>
      <c r="C33" s="188" t="s">
        <v>374</v>
      </c>
      <c r="D33" s="305"/>
      <c r="Q33" t="str">
        <f>IF(A33=TRUE,"Case was returned in acceptable condition","Exterior damage to case upon receipt")</f>
        <v>Exterior damage to case upon receipt</v>
      </c>
    </row>
    <row r="34" spans="1:18" x14ac:dyDescent="0.2">
      <c r="A34" s="144" t="b">
        <v>0</v>
      </c>
      <c r="B34" s="184">
        <f t="shared" ref="B34:B73" si="2">B33+1</f>
        <v>28</v>
      </c>
      <c r="C34" s="188" t="s">
        <v>375</v>
      </c>
      <c r="D34" s="306"/>
      <c r="Q34" s="138" t="str">
        <f>IF(A34=TRUE,"Cap on input test point","No cap on input test point")</f>
        <v>No cap on input test point</v>
      </c>
    </row>
    <row r="35" spans="1:18" x14ac:dyDescent="0.2">
      <c r="A35" s="144" t="b">
        <v>0</v>
      </c>
      <c r="B35" s="184">
        <f t="shared" si="2"/>
        <v>29</v>
      </c>
      <c r="C35" s="188" t="s">
        <v>376</v>
      </c>
      <c r="D35" s="306"/>
      <c r="Q35" s="138" t="str">
        <f>IF(A35=TRUE,"Cap on waste test point","No cap on waste test point")</f>
        <v>No cap on waste test point</v>
      </c>
    </row>
    <row r="36" spans="1:18" x14ac:dyDescent="0.2">
      <c r="A36" s="144" t="b">
        <v>0</v>
      </c>
      <c r="B36" s="184">
        <f t="shared" si="2"/>
        <v>30</v>
      </c>
      <c r="C36" s="188" t="s">
        <v>377</v>
      </c>
      <c r="D36" s="306"/>
    </row>
    <row r="37" spans="1:18" ht="15" customHeight="1" x14ac:dyDescent="0.2">
      <c r="A37" s="144" t="b">
        <v>0</v>
      </c>
      <c r="B37" s="184">
        <f t="shared" si="2"/>
        <v>31</v>
      </c>
      <c r="C37" s="188" t="s">
        <v>378</v>
      </c>
      <c r="D37" s="306"/>
    </row>
    <row r="38" spans="1:18" ht="15" customHeight="1" x14ac:dyDescent="0.2">
      <c r="A38" s="144" t="b">
        <v>0</v>
      </c>
      <c r="B38" s="184">
        <f t="shared" si="2"/>
        <v>32</v>
      </c>
      <c r="C38" s="188" t="s">
        <v>379</v>
      </c>
      <c r="D38" s="306"/>
    </row>
    <row r="39" spans="1:18" ht="15" customHeight="1" x14ac:dyDescent="0.2">
      <c r="A39" s="144" t="b">
        <v>0</v>
      </c>
      <c r="B39" s="184">
        <f t="shared" si="2"/>
        <v>33</v>
      </c>
      <c r="C39" s="188" t="s">
        <v>380</v>
      </c>
      <c r="D39" s="306"/>
      <c r="Q39" t="str">
        <f>IF(A39=TRUE,"Screen is functional upon receipt","The screen has been damaged and is not functioning correctly")</f>
        <v>The screen has been damaged and is not functioning correctly</v>
      </c>
    </row>
    <row r="40" spans="1:18" ht="15" customHeight="1" x14ac:dyDescent="0.2">
      <c r="A40" s="144" t="b">
        <v>0</v>
      </c>
      <c r="B40" s="184">
        <f t="shared" si="2"/>
        <v>34</v>
      </c>
      <c r="C40" s="188" t="s">
        <v>381</v>
      </c>
      <c r="D40" s="306"/>
    </row>
    <row r="41" spans="1:18" ht="15" customHeight="1" x14ac:dyDescent="0.2">
      <c r="A41" s="144" t="b">
        <v>0</v>
      </c>
      <c r="B41" s="184">
        <f t="shared" si="2"/>
        <v>35</v>
      </c>
      <c r="C41" s="188" t="s">
        <v>382</v>
      </c>
      <c r="D41" s="306"/>
    </row>
    <row r="42" spans="1:18" ht="15" customHeight="1" x14ac:dyDescent="0.2">
      <c r="A42" s="144" t="b">
        <v>0</v>
      </c>
      <c r="B42" s="184">
        <f t="shared" si="2"/>
        <v>36</v>
      </c>
      <c r="C42" s="188" t="s">
        <v>383</v>
      </c>
      <c r="D42" s="306"/>
      <c r="Q42" t="str">
        <f>IF(D42=3.88,"Firmware up-to-date","Firmware was an older version and needed updating")</f>
        <v>Firmware was an older version and needed updating</v>
      </c>
      <c r="R42" s="105" t="s">
        <v>321</v>
      </c>
    </row>
    <row r="43" spans="1:18" ht="15" customHeight="1" x14ac:dyDescent="0.2">
      <c r="A43" s="144"/>
      <c r="B43" s="184">
        <f t="shared" si="2"/>
        <v>37</v>
      </c>
      <c r="C43" s="188" t="s">
        <v>384</v>
      </c>
      <c r="D43" s="306"/>
      <c r="R43" t="s">
        <v>385</v>
      </c>
    </row>
    <row r="44" spans="1:18" ht="15" customHeight="1" x14ac:dyDescent="0.2">
      <c r="A44" s="144" t="b">
        <v>1</v>
      </c>
      <c r="B44" s="184">
        <f t="shared" si="2"/>
        <v>38</v>
      </c>
      <c r="C44" s="188" t="s">
        <v>386</v>
      </c>
      <c r="D44" s="306"/>
      <c r="R44" t="s">
        <v>387</v>
      </c>
    </row>
    <row r="45" spans="1:18" ht="15" customHeight="1" x14ac:dyDescent="0.2">
      <c r="A45" s="144" t="b">
        <v>0</v>
      </c>
      <c r="B45" s="184">
        <f t="shared" si="2"/>
        <v>39</v>
      </c>
      <c r="C45" s="188" t="s">
        <v>388</v>
      </c>
      <c r="D45" s="306"/>
      <c r="R45" t="s">
        <v>389</v>
      </c>
    </row>
    <row r="46" spans="1:18" ht="15" customHeight="1" x14ac:dyDescent="0.2">
      <c r="A46" s="144" t="b">
        <v>0</v>
      </c>
      <c r="B46" s="184">
        <f t="shared" si="2"/>
        <v>40</v>
      </c>
      <c r="C46" s="188" t="s">
        <v>390</v>
      </c>
      <c r="D46" s="306"/>
      <c r="R46" t="s">
        <v>391</v>
      </c>
    </row>
    <row r="47" spans="1:18" ht="15" customHeight="1" x14ac:dyDescent="0.2">
      <c r="A47" s="144" t="b">
        <v>0</v>
      </c>
      <c r="B47" s="184">
        <f t="shared" si="2"/>
        <v>41</v>
      </c>
      <c r="C47" s="222"/>
      <c r="D47" s="307" t="s">
        <v>392</v>
      </c>
      <c r="R47" t="s">
        <v>393</v>
      </c>
    </row>
    <row r="48" spans="1:18" ht="15" customHeight="1" x14ac:dyDescent="0.2">
      <c r="A48" s="144" t="b">
        <v>1</v>
      </c>
      <c r="B48" s="184">
        <f t="shared" si="2"/>
        <v>42</v>
      </c>
      <c r="C48" s="188" t="s">
        <v>394</v>
      </c>
      <c r="D48" s="308"/>
    </row>
    <row r="49" spans="1:18" ht="15" customHeight="1" x14ac:dyDescent="0.2">
      <c r="A49" s="144" t="b">
        <v>0</v>
      </c>
      <c r="B49" s="184">
        <f t="shared" si="2"/>
        <v>43</v>
      </c>
      <c r="C49" s="188" t="s">
        <v>395</v>
      </c>
      <c r="D49" s="306" t="s">
        <v>321</v>
      </c>
    </row>
    <row r="50" spans="1:18" ht="15" customHeight="1" x14ac:dyDescent="0.2">
      <c r="A50" s="144" t="b">
        <v>0</v>
      </c>
      <c r="B50" s="184">
        <f t="shared" si="2"/>
        <v>44</v>
      </c>
      <c r="C50" s="188" t="s">
        <v>396</v>
      </c>
      <c r="D50" s="309"/>
    </row>
    <row r="51" spans="1:18" ht="15" customHeight="1" x14ac:dyDescent="0.2">
      <c r="A51" s="144" t="b">
        <v>0</v>
      </c>
      <c r="B51" s="184">
        <f t="shared" si="2"/>
        <v>45</v>
      </c>
      <c r="C51" s="188" t="s">
        <v>397</v>
      </c>
      <c r="D51" s="310"/>
    </row>
    <row r="52" spans="1:18" ht="15" customHeight="1" x14ac:dyDescent="0.2">
      <c r="A52" s="144" t="b">
        <v>0</v>
      </c>
      <c r="B52" s="184">
        <f t="shared" si="2"/>
        <v>46</v>
      </c>
      <c r="C52" s="188" t="s">
        <v>398</v>
      </c>
      <c r="D52" s="311"/>
    </row>
    <row r="53" spans="1:18" ht="15" customHeight="1" x14ac:dyDescent="0.2">
      <c r="A53" s="144" t="b">
        <v>0</v>
      </c>
      <c r="B53" s="184">
        <f t="shared" si="2"/>
        <v>47</v>
      </c>
      <c r="C53" s="188" t="s">
        <v>399</v>
      </c>
      <c r="D53" s="306"/>
    </row>
    <row r="54" spans="1:18" s="139" customFormat="1" ht="15.75" customHeight="1" x14ac:dyDescent="0.2">
      <c r="A54" s="144" t="b">
        <v>0</v>
      </c>
      <c r="B54" s="184">
        <f t="shared" si="2"/>
        <v>48</v>
      </c>
      <c r="C54" s="188" t="s">
        <v>400</v>
      </c>
      <c r="D54" s="158" t="s">
        <v>321</v>
      </c>
      <c r="E54" s="157"/>
      <c r="F54" s="157"/>
      <c r="G54" s="157"/>
      <c r="H54" s="157"/>
      <c r="I54" s="157"/>
      <c r="J54" s="157"/>
      <c r="K54" s="157"/>
      <c r="L54" s="157"/>
      <c r="M54" s="157"/>
      <c r="N54" s="157"/>
      <c r="P54" s="137"/>
      <c r="R54" s="139" t="s">
        <v>321</v>
      </c>
    </row>
    <row r="55" spans="1:18" s="139" customFormat="1" ht="15.75" customHeight="1" x14ac:dyDescent="0.2">
      <c r="A55" s="144" t="b">
        <v>0</v>
      </c>
      <c r="B55" s="184">
        <f t="shared" si="2"/>
        <v>49</v>
      </c>
      <c r="C55" s="204"/>
      <c r="D55" s="312" t="s">
        <v>401</v>
      </c>
      <c r="E55" s="489"/>
      <c r="F55" s="489"/>
      <c r="G55" s="489"/>
      <c r="H55" s="489"/>
      <c r="I55" s="489"/>
      <c r="J55" s="489"/>
      <c r="K55" s="489"/>
      <c r="L55" s="489"/>
      <c r="M55" s="489"/>
      <c r="N55" s="489"/>
      <c r="O55" s="138"/>
      <c r="P55" s="137"/>
      <c r="R55" s="139" t="s">
        <v>402</v>
      </c>
    </row>
    <row r="56" spans="1:18" s="139" customFormat="1" ht="15.75" customHeight="1" x14ac:dyDescent="0.2">
      <c r="A56" s="144" t="b">
        <v>0</v>
      </c>
      <c r="B56" s="184">
        <f t="shared" si="2"/>
        <v>50</v>
      </c>
      <c r="C56" s="188" t="s">
        <v>403</v>
      </c>
      <c r="D56" s="158"/>
      <c r="E56" s="157"/>
      <c r="F56" s="157"/>
      <c r="G56" s="157"/>
      <c r="H56" s="157"/>
      <c r="I56" s="157"/>
      <c r="J56" s="157"/>
      <c r="K56" s="157"/>
      <c r="L56" s="157"/>
      <c r="M56" s="157"/>
      <c r="N56" s="157"/>
      <c r="P56" s="137"/>
      <c r="R56" s="139" t="s">
        <v>404</v>
      </c>
    </row>
    <row r="57" spans="1:18" s="139" customFormat="1" ht="15.75" customHeight="1" x14ac:dyDescent="0.2">
      <c r="A57" s="144" t="b">
        <v>0</v>
      </c>
      <c r="B57" s="184">
        <f t="shared" si="2"/>
        <v>51</v>
      </c>
      <c r="C57" s="188" t="s">
        <v>405</v>
      </c>
      <c r="D57" s="158"/>
      <c r="E57" s="157"/>
      <c r="F57" s="157"/>
      <c r="G57" s="157"/>
      <c r="H57" s="157"/>
      <c r="I57" s="157"/>
      <c r="J57" s="157"/>
      <c r="K57" s="157"/>
      <c r="L57" s="157"/>
      <c r="M57" s="157"/>
      <c r="N57" s="157"/>
      <c r="P57" s="137"/>
      <c r="R57" s="139" t="s">
        <v>406</v>
      </c>
    </row>
    <row r="58" spans="1:18" s="139" customFormat="1" ht="15.75" customHeight="1" x14ac:dyDescent="0.2">
      <c r="A58" s="144" t="b">
        <v>0</v>
      </c>
      <c r="B58" s="184">
        <f t="shared" si="2"/>
        <v>52</v>
      </c>
      <c r="C58" s="188" t="s">
        <v>407</v>
      </c>
      <c r="D58" s="158"/>
      <c r="E58" s="157"/>
      <c r="F58" s="157"/>
      <c r="G58" s="157"/>
      <c r="H58" s="157"/>
      <c r="I58" s="157"/>
      <c r="J58" s="157"/>
      <c r="K58" s="157"/>
      <c r="L58" s="157"/>
      <c r="M58" s="157"/>
      <c r="N58" s="157"/>
      <c r="P58" s="137"/>
      <c r="R58" s="139" t="s">
        <v>408</v>
      </c>
    </row>
    <row r="59" spans="1:18" s="139" customFormat="1" ht="15.75" customHeight="1" x14ac:dyDescent="0.2">
      <c r="A59" s="144" t="b">
        <v>0</v>
      </c>
      <c r="B59" s="184">
        <f t="shared" si="2"/>
        <v>53</v>
      </c>
      <c r="C59" s="204"/>
      <c r="D59" s="155" t="s">
        <v>409</v>
      </c>
      <c r="E59" s="157"/>
      <c r="F59" s="157"/>
      <c r="G59" s="157"/>
      <c r="H59" s="157"/>
      <c r="I59" s="157"/>
      <c r="J59" s="157"/>
      <c r="K59" s="157"/>
      <c r="L59" s="157"/>
      <c r="M59" s="157"/>
      <c r="N59" s="157"/>
      <c r="P59" s="137"/>
      <c r="R59" s="139" t="s">
        <v>410</v>
      </c>
    </row>
    <row r="60" spans="1:18" s="139" customFormat="1" ht="15.75" customHeight="1" x14ac:dyDescent="0.2">
      <c r="A60" s="144" t="b">
        <v>0</v>
      </c>
      <c r="B60" s="184">
        <f t="shared" si="2"/>
        <v>54</v>
      </c>
      <c r="C60" s="188" t="s">
        <v>411</v>
      </c>
      <c r="D60" s="158"/>
      <c r="E60" s="157"/>
      <c r="F60" s="157"/>
      <c r="G60" s="157"/>
      <c r="H60" s="157"/>
      <c r="I60" s="157"/>
      <c r="J60" s="157"/>
      <c r="K60" s="157"/>
      <c r="L60" s="157"/>
      <c r="M60" s="157"/>
      <c r="N60" s="157"/>
      <c r="P60" s="137"/>
      <c r="R60" s="139" t="s">
        <v>412</v>
      </c>
    </row>
    <row r="61" spans="1:18" s="139" customFormat="1" ht="15.75" customHeight="1" x14ac:dyDescent="0.2">
      <c r="A61" s="144" t="b">
        <v>0</v>
      </c>
      <c r="B61" s="184">
        <f t="shared" si="2"/>
        <v>55</v>
      </c>
      <c r="C61" s="188" t="s">
        <v>413</v>
      </c>
      <c r="D61" s="158" t="s">
        <v>321</v>
      </c>
      <c r="E61" s="157"/>
      <c r="F61" s="157"/>
      <c r="G61" s="157"/>
      <c r="H61" s="157"/>
      <c r="I61" s="157"/>
      <c r="J61" s="157"/>
      <c r="K61" s="157"/>
      <c r="L61" s="157"/>
      <c r="M61" s="157"/>
      <c r="N61" s="157"/>
      <c r="P61" s="137"/>
      <c r="R61" s="139" t="s">
        <v>414</v>
      </c>
    </row>
    <row r="62" spans="1:18" s="139" customFormat="1" ht="15.75" customHeight="1" x14ac:dyDescent="0.2">
      <c r="A62" s="144" t="b">
        <v>0</v>
      </c>
      <c r="B62" s="184">
        <f t="shared" si="2"/>
        <v>56</v>
      </c>
      <c r="C62" s="204"/>
      <c r="D62" s="313" t="s">
        <v>415</v>
      </c>
      <c r="E62" s="135"/>
      <c r="F62" s="135"/>
      <c r="G62" s="135"/>
      <c r="H62" s="135"/>
      <c r="I62" s="135"/>
      <c r="J62" s="135"/>
      <c r="K62" s="135"/>
      <c r="L62" s="135"/>
      <c r="M62" s="135"/>
      <c r="N62" s="135"/>
      <c r="O62" s="138"/>
      <c r="P62" s="137"/>
      <c r="R62" s="139" t="s">
        <v>416</v>
      </c>
    </row>
    <row r="63" spans="1:18" s="139" customFormat="1" ht="15.75" customHeight="1" x14ac:dyDescent="0.2">
      <c r="A63" s="144" t="b">
        <v>0</v>
      </c>
      <c r="B63" s="184">
        <f t="shared" si="2"/>
        <v>57</v>
      </c>
      <c r="C63" s="188" t="s">
        <v>417</v>
      </c>
      <c r="D63" s="158"/>
      <c r="E63" s="157"/>
      <c r="F63" s="157"/>
      <c r="G63" s="157"/>
      <c r="H63" s="157"/>
      <c r="I63" s="157"/>
      <c r="J63" s="157"/>
      <c r="K63" s="157"/>
      <c r="L63" s="157"/>
      <c r="M63" s="157"/>
      <c r="N63" s="157"/>
      <c r="P63" s="137"/>
      <c r="R63" s="139" t="s">
        <v>418</v>
      </c>
    </row>
    <row r="64" spans="1:18" s="139" customFormat="1" ht="15.75" customHeight="1" x14ac:dyDescent="0.2">
      <c r="A64" s="144"/>
      <c r="B64" s="184">
        <f t="shared" si="2"/>
        <v>58</v>
      </c>
      <c r="C64" s="188" t="s">
        <v>419</v>
      </c>
      <c r="D64" s="158"/>
      <c r="E64" s="157"/>
      <c r="F64" s="157"/>
      <c r="G64" s="157"/>
      <c r="H64" s="157"/>
      <c r="I64" s="157"/>
      <c r="J64" s="157"/>
      <c r="K64" s="157"/>
      <c r="L64" s="157"/>
      <c r="M64" s="157"/>
      <c r="N64" s="157"/>
      <c r="P64" s="137"/>
    </row>
    <row r="65" spans="1:18" s="139" customFormat="1" ht="15.75" customHeight="1" x14ac:dyDescent="0.2">
      <c r="A65" s="144"/>
      <c r="B65" s="184">
        <f t="shared" si="2"/>
        <v>59</v>
      </c>
      <c r="C65" s="188" t="s">
        <v>420</v>
      </c>
      <c r="D65" s="158"/>
      <c r="E65" s="157"/>
      <c r="F65" s="157"/>
      <c r="G65" s="157"/>
      <c r="H65" s="157"/>
      <c r="I65" s="157"/>
      <c r="J65" s="157"/>
      <c r="K65" s="157"/>
      <c r="L65" s="157"/>
      <c r="M65" s="157"/>
      <c r="N65" s="157"/>
      <c r="P65" s="137"/>
    </row>
    <row r="66" spans="1:18" s="139" customFormat="1" ht="15.75" customHeight="1" x14ac:dyDescent="0.2">
      <c r="A66" s="144"/>
      <c r="B66" s="184">
        <f t="shared" si="2"/>
        <v>60</v>
      </c>
      <c r="C66" s="188" t="s">
        <v>421</v>
      </c>
      <c r="D66" s="158"/>
      <c r="E66" s="157"/>
      <c r="F66" s="157"/>
      <c r="G66" s="157"/>
      <c r="H66" s="157"/>
      <c r="I66" s="157"/>
      <c r="J66" s="157"/>
      <c r="K66" s="157"/>
      <c r="L66" s="157"/>
      <c r="M66" s="157"/>
      <c r="N66" s="157"/>
      <c r="P66" s="137"/>
    </row>
    <row r="67" spans="1:18" s="139" customFormat="1" ht="15.75" customHeight="1" x14ac:dyDescent="0.2">
      <c r="A67" s="144" t="b">
        <v>0</v>
      </c>
      <c r="B67" s="184">
        <f t="shared" si="2"/>
        <v>61</v>
      </c>
      <c r="C67" s="188" t="s">
        <v>422</v>
      </c>
      <c r="D67" s="306"/>
      <c r="E67" s="157"/>
      <c r="F67" s="157"/>
      <c r="G67" s="157"/>
      <c r="H67" s="157"/>
      <c r="I67" s="157"/>
      <c r="J67" s="157"/>
      <c r="K67" s="157"/>
      <c r="L67" s="157"/>
      <c r="M67" s="157"/>
      <c r="N67" s="157"/>
      <c r="P67" s="137"/>
    </row>
    <row r="68" spans="1:18" s="139" customFormat="1" ht="15.75" customHeight="1" x14ac:dyDescent="0.2">
      <c r="A68" s="144" t="b">
        <v>0</v>
      </c>
      <c r="B68" s="184">
        <f t="shared" si="2"/>
        <v>62</v>
      </c>
      <c r="C68" s="188" t="s">
        <v>423</v>
      </c>
      <c r="D68" s="158"/>
      <c r="E68" s="157"/>
      <c r="F68" s="157"/>
      <c r="G68" s="157"/>
      <c r="H68" s="157"/>
      <c r="I68" s="157"/>
      <c r="J68" s="157"/>
      <c r="K68" s="157"/>
      <c r="L68" s="157"/>
      <c r="M68" s="157"/>
      <c r="N68" s="157"/>
      <c r="P68" s="137"/>
    </row>
    <row r="69" spans="1:18" s="139" customFormat="1" ht="15.75" customHeight="1" x14ac:dyDescent="0.2">
      <c r="A69" s="144" t="b">
        <v>0</v>
      </c>
      <c r="B69" s="184">
        <f t="shared" si="2"/>
        <v>63</v>
      </c>
      <c r="C69" s="188" t="s">
        <v>424</v>
      </c>
      <c r="D69" s="158"/>
      <c r="E69" s="157"/>
      <c r="F69" s="157"/>
      <c r="G69" s="157"/>
      <c r="H69" s="157"/>
      <c r="I69" s="157"/>
      <c r="J69" s="157"/>
      <c r="K69" s="157"/>
      <c r="L69" s="157"/>
      <c r="M69" s="157"/>
      <c r="N69" s="157"/>
      <c r="P69" s="137"/>
      <c r="R69" s="139" t="s">
        <v>321</v>
      </c>
    </row>
    <row r="70" spans="1:18" ht="15" customHeight="1" x14ac:dyDescent="0.2">
      <c r="A70" s="144" t="b">
        <v>0</v>
      </c>
      <c r="B70" s="184">
        <f t="shared" si="2"/>
        <v>64</v>
      </c>
      <c r="C70" s="188" t="s">
        <v>425</v>
      </c>
      <c r="D70" s="306"/>
      <c r="R70" s="139" t="s">
        <v>426</v>
      </c>
    </row>
    <row r="71" spans="1:18" ht="15" customHeight="1" x14ac:dyDescent="0.2">
      <c r="A71" s="144" t="b">
        <v>0</v>
      </c>
      <c r="B71" s="184">
        <f t="shared" si="2"/>
        <v>65</v>
      </c>
      <c r="C71" s="188" t="s">
        <v>427</v>
      </c>
      <c r="D71" s="306"/>
      <c r="Q71" s="138" t="e">
        <f>IF(#REF!=FALSE,"Unit was dirty or damaged inside and required extra cleaning","Internal condition good")</f>
        <v>#REF!</v>
      </c>
      <c r="R71" s="139" t="s">
        <v>428</v>
      </c>
    </row>
    <row r="72" spans="1:18" s="139" customFormat="1" x14ac:dyDescent="0.2">
      <c r="A72" s="144" t="b">
        <v>0</v>
      </c>
      <c r="B72" s="184" t="e">
        <f>#REF!+1</f>
        <v>#REF!</v>
      </c>
      <c r="C72" s="188" t="s">
        <v>429</v>
      </c>
      <c r="D72" s="314"/>
      <c r="O72" s="138"/>
      <c r="P72" s="137"/>
      <c r="R72" s="139" t="s">
        <v>430</v>
      </c>
    </row>
    <row r="73" spans="1:18" s="139" customFormat="1" x14ac:dyDescent="0.2">
      <c r="A73" s="144" t="b">
        <v>0</v>
      </c>
      <c r="B73" s="184" t="e">
        <f t="shared" si="2"/>
        <v>#REF!</v>
      </c>
      <c r="C73" s="188" t="s">
        <v>431</v>
      </c>
      <c r="D73" s="314"/>
      <c r="O73" s="138"/>
      <c r="P73" s="137"/>
    </row>
    <row r="74" spans="1:18" s="139" customFormat="1" ht="15.75" customHeight="1" x14ac:dyDescent="0.2">
      <c r="A74" s="144" t="b">
        <v>0</v>
      </c>
      <c r="B74" s="184" t="e">
        <f>#REF!+1</f>
        <v>#REF!</v>
      </c>
      <c r="C74" s="204"/>
      <c r="D74" s="313" t="s">
        <v>432</v>
      </c>
      <c r="E74" s="135"/>
      <c r="F74" s="135"/>
      <c r="G74" s="135"/>
      <c r="H74" s="135"/>
      <c r="I74" s="135"/>
      <c r="J74" s="135"/>
      <c r="K74" s="135"/>
      <c r="L74" s="135"/>
      <c r="M74" s="135"/>
      <c r="N74" s="135"/>
      <c r="O74" s="138"/>
      <c r="P74" s="137"/>
      <c r="R74" s="139" t="s">
        <v>416</v>
      </c>
    </row>
    <row r="75" spans="1:18" s="139" customFormat="1" x14ac:dyDescent="0.2">
      <c r="A75" s="144" t="b">
        <v>0</v>
      </c>
      <c r="B75" s="184"/>
      <c r="C75" s="485" t="s">
        <v>433</v>
      </c>
      <c r="D75" s="485"/>
      <c r="E75" s="485"/>
      <c r="F75" s="485"/>
      <c r="G75" s="485"/>
      <c r="H75" s="485"/>
      <c r="I75" s="485"/>
      <c r="J75" s="485"/>
      <c r="K75" s="485"/>
      <c r="L75" s="485"/>
      <c r="M75" s="485"/>
      <c r="N75" s="485"/>
      <c r="O75" s="485"/>
      <c r="P75" s="148"/>
    </row>
    <row r="76" spans="1:18" s="139" customFormat="1" x14ac:dyDescent="0.2">
      <c r="A76" s="144" t="b">
        <v>0</v>
      </c>
      <c r="B76" s="184" t="e">
        <f>B74+1</f>
        <v>#REF!</v>
      </c>
      <c r="C76" s="153"/>
      <c r="D76" s="313" t="s">
        <v>434</v>
      </c>
      <c r="E76" s="486"/>
      <c r="F76" s="486"/>
      <c r="G76" s="486"/>
      <c r="H76" s="486"/>
      <c r="I76" s="486"/>
      <c r="J76" s="486"/>
      <c r="K76" s="486"/>
      <c r="L76" s="486"/>
      <c r="M76" s="486"/>
      <c r="N76" s="486"/>
      <c r="P76" s="137"/>
      <c r="Q76" s="138"/>
    </row>
    <row r="77" spans="1:18" s="139" customFormat="1" x14ac:dyDescent="0.2">
      <c r="A77" s="144" t="b">
        <v>0</v>
      </c>
      <c r="B77" s="184" t="e">
        <f>#REF!+1</f>
        <v>#REF!</v>
      </c>
      <c r="C77" s="159"/>
      <c r="D77" s="313" t="s">
        <v>435</v>
      </c>
      <c r="E77" s="135"/>
      <c r="F77" s="135"/>
      <c r="G77" s="135"/>
      <c r="H77" s="135"/>
      <c r="I77" s="135"/>
      <c r="J77" s="135"/>
      <c r="K77" s="135"/>
      <c r="L77" s="135"/>
      <c r="M77" s="135"/>
      <c r="N77" s="135"/>
      <c r="P77" s="137"/>
      <c r="Q77" s="138" t="str">
        <f>IF(A77=TRUE,"Damage to sensor array assembly found, repair was required","Sensor array assembly passed initial inspection")</f>
        <v>Sensor array assembly passed initial inspection</v>
      </c>
    </row>
    <row r="78" spans="1:18" s="139" customFormat="1" x14ac:dyDescent="0.2">
      <c r="A78" s="144" t="b">
        <v>0</v>
      </c>
      <c r="B78" s="184" t="e">
        <f>B77+1</f>
        <v>#REF!</v>
      </c>
      <c r="C78" s="159"/>
      <c r="D78" s="313" t="s">
        <v>436</v>
      </c>
      <c r="E78" s="157"/>
      <c r="F78" s="157"/>
      <c r="G78" s="157"/>
      <c r="H78" s="157"/>
      <c r="I78" s="157"/>
      <c r="J78" s="157"/>
      <c r="K78" s="157"/>
      <c r="L78" s="157"/>
      <c r="M78" s="157"/>
      <c r="N78" s="157"/>
      <c r="O78" s="138"/>
      <c r="P78" s="137"/>
    </row>
    <row r="79" spans="1:18" s="145" customFormat="1" x14ac:dyDescent="0.2">
      <c r="A79" s="144" t="b">
        <v>0</v>
      </c>
      <c r="B79" s="184" t="e">
        <f>B78+1</f>
        <v>#REF!</v>
      </c>
      <c r="C79" s="159"/>
      <c r="D79" s="313" t="s">
        <v>437</v>
      </c>
      <c r="E79" s="490" t="s">
        <v>438</v>
      </c>
      <c r="F79" s="490"/>
      <c r="G79" s="490"/>
      <c r="H79" s="490"/>
      <c r="I79" s="490"/>
      <c r="J79" s="490"/>
      <c r="K79" s="490"/>
      <c r="L79" s="490"/>
      <c r="M79" s="490"/>
      <c r="N79" s="490"/>
      <c r="O79" s="138"/>
      <c r="P79" s="137"/>
    </row>
    <row r="80" spans="1:18" s="139" customFormat="1" x14ac:dyDescent="0.2">
      <c r="A80" s="144" t="b">
        <v>1</v>
      </c>
      <c r="B80" s="184" t="e">
        <f t="shared" ref="B80:B105" si="3">B79+1</f>
        <v>#REF!</v>
      </c>
      <c r="C80" s="188" t="s">
        <v>439</v>
      </c>
      <c r="D80" s="292"/>
      <c r="E80" s="486"/>
      <c r="F80" s="486"/>
      <c r="G80" s="486"/>
      <c r="H80" s="486"/>
      <c r="I80" s="486"/>
      <c r="J80" s="486"/>
      <c r="K80" s="486"/>
      <c r="L80" s="486"/>
      <c r="M80" s="486"/>
      <c r="N80" s="486"/>
      <c r="P80" s="137"/>
      <c r="Q80" s="138" t="str">
        <f>IF(D80&gt;13000,"Initial Light source check, output outside of specification FAILED/not checked","Initial light source check, output within specification PASS")</f>
        <v>Initial light source check, output within specification PASS</v>
      </c>
    </row>
    <row r="81" spans="1:17" s="139" customFormat="1" x14ac:dyDescent="0.2">
      <c r="A81" s="144" t="b">
        <v>0</v>
      </c>
      <c r="B81" s="184" t="e">
        <f>B80+1</f>
        <v>#REF!</v>
      </c>
      <c r="C81" s="188" t="s">
        <v>440</v>
      </c>
      <c r="D81" s="292"/>
      <c r="E81" s="486"/>
      <c r="F81" s="486"/>
      <c r="G81" s="486"/>
      <c r="H81" s="486"/>
      <c r="I81" s="486"/>
      <c r="J81" s="486"/>
      <c r="K81" s="486"/>
      <c r="L81" s="486"/>
      <c r="M81" s="486"/>
      <c r="N81" s="486"/>
      <c r="P81" s="137"/>
      <c r="Q81" s="138" t="str">
        <f>IF(D81&lt;100,"Initial Light source electrical noise output within specification PASS","Initial Laser 1 noise output outside specification FAILED - RETEST at recalibration")</f>
        <v>Initial Light source electrical noise output within specification PASS</v>
      </c>
    </row>
    <row r="82" spans="1:17" s="139" customFormat="1" hidden="1" x14ac:dyDescent="0.2">
      <c r="A82" s="144"/>
      <c r="B82" s="184"/>
      <c r="C82" s="485"/>
      <c r="D82" s="485"/>
      <c r="E82" s="485"/>
      <c r="F82" s="485"/>
      <c r="G82" s="485"/>
      <c r="H82" s="485"/>
      <c r="I82" s="485"/>
      <c r="J82" s="485"/>
      <c r="K82" s="485"/>
      <c r="L82" s="485"/>
      <c r="M82" s="485"/>
      <c r="N82" s="485"/>
      <c r="O82" s="485"/>
      <c r="P82" s="148"/>
    </row>
    <row r="83" spans="1:17" s="139" customFormat="1" hidden="1" x14ac:dyDescent="0.2">
      <c r="A83" s="144" t="b">
        <v>1</v>
      </c>
      <c r="B83" s="184"/>
      <c r="C83" s="159"/>
      <c r="D83" s="313"/>
      <c r="E83" s="509"/>
      <c r="F83" s="510"/>
      <c r="G83" s="510"/>
      <c r="H83" s="510"/>
      <c r="I83" s="510"/>
      <c r="J83" s="510"/>
      <c r="K83" s="492"/>
      <c r="L83" s="492"/>
      <c r="M83" s="492"/>
      <c r="N83" s="492"/>
      <c r="P83" s="137"/>
      <c r="Q83" s="138"/>
    </row>
    <row r="84" spans="1:17" s="139" customFormat="1" hidden="1" x14ac:dyDescent="0.2">
      <c r="A84" s="144"/>
      <c r="B84" s="184"/>
      <c r="C84" s="159"/>
      <c r="D84" s="313"/>
      <c r="E84" s="157"/>
      <c r="F84" s="157"/>
      <c r="G84" s="157"/>
      <c r="H84" s="157"/>
      <c r="I84" s="157"/>
      <c r="J84" s="157"/>
      <c r="K84" s="137"/>
      <c r="L84" s="137"/>
      <c r="M84" s="137"/>
      <c r="N84" s="137"/>
      <c r="P84" s="137"/>
      <c r="Q84" s="138"/>
    </row>
    <row r="85" spans="1:17" s="139" customFormat="1" hidden="1" x14ac:dyDescent="0.2">
      <c r="A85" s="144"/>
      <c r="B85" s="184"/>
      <c r="C85" s="159"/>
      <c r="D85" s="312"/>
      <c r="E85" s="490"/>
      <c r="F85" s="490"/>
      <c r="G85" s="490"/>
      <c r="H85" s="490"/>
      <c r="I85" s="490"/>
      <c r="J85" s="490"/>
      <c r="K85" s="490"/>
      <c r="L85" s="490"/>
      <c r="M85" s="490"/>
      <c r="N85" s="490"/>
      <c r="P85" s="137"/>
      <c r="Q85" s="138"/>
    </row>
    <row r="86" spans="1:17" s="139" customFormat="1" hidden="1" x14ac:dyDescent="0.2">
      <c r="A86" s="144"/>
      <c r="B86" s="184"/>
      <c r="C86" s="159"/>
      <c r="D86" s="312"/>
      <c r="E86" s="487"/>
      <c r="F86" s="487"/>
      <c r="G86" s="487"/>
      <c r="H86" s="487"/>
      <c r="I86" s="487"/>
      <c r="J86" s="487"/>
      <c r="K86" s="491"/>
      <c r="L86" s="491"/>
      <c r="M86" s="491"/>
      <c r="N86" s="491"/>
      <c r="O86" s="138"/>
      <c r="P86" s="137"/>
    </row>
    <row r="87" spans="1:17" s="139" customFormat="1" hidden="1" x14ac:dyDescent="0.2">
      <c r="A87" s="144"/>
      <c r="B87" s="184"/>
      <c r="C87" s="159"/>
      <c r="D87" s="312"/>
      <c r="E87" s="490"/>
      <c r="F87" s="490"/>
      <c r="G87" s="490"/>
      <c r="H87" s="490"/>
      <c r="I87" s="490"/>
      <c r="J87" s="490"/>
      <c r="K87" s="490"/>
      <c r="L87" s="490"/>
      <c r="M87" s="490"/>
      <c r="N87" s="490"/>
      <c r="P87" s="137"/>
      <c r="Q87" s="138"/>
    </row>
    <row r="88" spans="1:17" s="139" customFormat="1" hidden="1" x14ac:dyDescent="0.2">
      <c r="A88" s="144"/>
      <c r="B88" s="184"/>
      <c r="C88" s="159"/>
      <c r="D88" s="312"/>
      <c r="E88" s="487"/>
      <c r="F88" s="487"/>
      <c r="G88" s="487"/>
      <c r="H88" s="487"/>
      <c r="I88" s="487"/>
      <c r="J88" s="487"/>
      <c r="K88" s="491"/>
      <c r="L88" s="491"/>
      <c r="M88" s="491"/>
      <c r="N88" s="491"/>
      <c r="P88" s="137"/>
      <c r="Q88" s="138"/>
    </row>
    <row r="89" spans="1:17" s="139" customFormat="1" x14ac:dyDescent="0.2">
      <c r="A89" s="144" t="b">
        <v>1</v>
      </c>
      <c r="B89" s="184">
        <f t="shared" si="3"/>
        <v>1</v>
      </c>
      <c r="C89" s="188" t="s">
        <v>441</v>
      </c>
      <c r="D89" s="302" t="s">
        <v>321</v>
      </c>
      <c r="E89" s="512"/>
      <c r="F89" s="513"/>
      <c r="G89" s="513"/>
      <c r="H89" s="513"/>
      <c r="I89" s="513"/>
      <c r="J89" s="513"/>
      <c r="K89" s="513"/>
      <c r="L89" s="169"/>
      <c r="M89" s="169"/>
      <c r="N89" s="169"/>
      <c r="O89" s="137"/>
      <c r="P89" s="137"/>
    </row>
    <row r="90" spans="1:17" s="139" customFormat="1" x14ac:dyDescent="0.2">
      <c r="A90" s="144" t="b">
        <v>0</v>
      </c>
      <c r="B90" s="184">
        <f t="shared" si="3"/>
        <v>2</v>
      </c>
      <c r="C90" s="188" t="s">
        <v>442</v>
      </c>
      <c r="D90" s="315" t="b">
        <v>1</v>
      </c>
      <c r="E90" s="152"/>
      <c r="G90" s="150"/>
      <c r="H90" s="150"/>
      <c r="I90" s="514"/>
      <c r="J90" s="514"/>
      <c r="K90" s="514"/>
      <c r="L90" s="514"/>
      <c r="M90" s="514"/>
      <c r="N90" s="514"/>
      <c r="P90" s="137"/>
    </row>
    <row r="91" spans="1:17" s="139" customFormat="1" x14ac:dyDescent="0.2">
      <c r="A91" s="144" t="b">
        <v>0</v>
      </c>
      <c r="B91" s="184"/>
      <c r="C91" s="485" t="s">
        <v>443</v>
      </c>
      <c r="D91" s="485"/>
      <c r="E91" s="485"/>
      <c r="F91" s="485"/>
      <c r="G91" s="485"/>
      <c r="H91" s="485"/>
      <c r="I91" s="485"/>
      <c r="J91" s="485"/>
      <c r="K91" s="485"/>
      <c r="L91" s="485"/>
      <c r="M91" s="485"/>
      <c r="N91" s="485"/>
      <c r="O91" s="485"/>
      <c r="P91" s="148"/>
    </row>
    <row r="92" spans="1:17" s="145" customFormat="1" ht="15.75" customHeight="1" x14ac:dyDescent="0.2">
      <c r="A92" s="144" t="b">
        <v>0</v>
      </c>
      <c r="B92" s="184">
        <f>B90+1</f>
        <v>3</v>
      </c>
      <c r="C92" s="150" t="s">
        <v>444</v>
      </c>
      <c r="D92" s="299"/>
      <c r="E92" s="487" t="s">
        <v>372</v>
      </c>
      <c r="F92" s="487"/>
      <c r="G92" s="515" t="str">
        <f>IF(D92=$D$7,"ON TIME",IF(D92&gt;$D$7,"LATE",IF(D92&lt;$D$7,"EARLY")))</f>
        <v>ON TIME</v>
      </c>
      <c r="H92" s="515"/>
      <c r="I92" s="515"/>
      <c r="J92" s="515"/>
      <c r="K92" s="515"/>
      <c r="L92" s="515"/>
      <c r="M92" s="515"/>
      <c r="N92" s="515"/>
      <c r="O92" s="157"/>
      <c r="P92" s="157"/>
    </row>
    <row r="93" spans="1:17" s="139" customFormat="1" x14ac:dyDescent="0.2">
      <c r="A93" s="144" t="b">
        <v>0</v>
      </c>
      <c r="B93" s="184">
        <f t="shared" si="3"/>
        <v>4</v>
      </c>
      <c r="C93" s="170">
        <f>D15</f>
        <v>0</v>
      </c>
      <c r="D93" s="313" t="s">
        <v>445</v>
      </c>
      <c r="E93" s="511">
        <v>0</v>
      </c>
      <c r="F93" s="511"/>
      <c r="G93" s="511"/>
      <c r="H93" s="511"/>
      <c r="I93" s="511"/>
      <c r="J93" s="511"/>
      <c r="K93" s="511"/>
      <c r="L93" s="511"/>
      <c r="M93" s="511"/>
      <c r="N93" s="511"/>
      <c r="P93" s="145"/>
      <c r="Q93" s="138" t="str">
        <f>IF(A93=TRUE,"SO received and on system","Awaiting customers purchase order")</f>
        <v>Awaiting customers purchase order</v>
      </c>
    </row>
    <row r="94" spans="1:17" s="139" customFormat="1" x14ac:dyDescent="0.2">
      <c r="A94" s="144" t="b">
        <v>0</v>
      </c>
      <c r="B94" s="184">
        <f t="shared" si="3"/>
        <v>5</v>
      </c>
      <c r="C94" s="170">
        <f>D16</f>
        <v>0</v>
      </c>
      <c r="D94" s="313" t="s">
        <v>446</v>
      </c>
      <c r="E94" s="511">
        <v>0</v>
      </c>
      <c r="F94" s="511"/>
      <c r="G94" s="511"/>
      <c r="H94" s="511"/>
      <c r="I94" s="511"/>
      <c r="J94" s="511"/>
      <c r="K94" s="511"/>
      <c r="L94" s="511"/>
      <c r="M94" s="511"/>
      <c r="N94" s="511"/>
      <c r="P94" s="145"/>
      <c r="Q94" s="138" t="str">
        <f>IF(A94=TRUE,"WO processed, service can be started","Awaiting customers purchase order")</f>
        <v>Awaiting customers purchase order</v>
      </c>
    </row>
    <row r="95" spans="1:17" s="139" customFormat="1" x14ac:dyDescent="0.2">
      <c r="A95" s="144" t="b">
        <v>0</v>
      </c>
      <c r="B95" s="184" t="e">
        <f>#REF!+1</f>
        <v>#REF!</v>
      </c>
      <c r="C95" s="170"/>
      <c r="D95" s="313" t="s">
        <v>447</v>
      </c>
      <c r="E95" s="516"/>
      <c r="F95" s="516"/>
      <c r="G95" s="516"/>
      <c r="H95" s="516"/>
      <c r="I95" s="516"/>
      <c r="J95" s="516"/>
      <c r="K95" s="516"/>
      <c r="L95" s="516"/>
      <c r="M95" s="516"/>
      <c r="N95" s="516"/>
      <c r="O95" s="138"/>
      <c r="P95" s="137"/>
      <c r="Q95" s="138" t="str">
        <f>IF(A95=TRUE,"Old-design battery terminal cables present, replaced with new","Battery terminal cables of current design")</f>
        <v>Battery terminal cables of current design</v>
      </c>
    </row>
    <row r="96" spans="1:17" s="139" customFormat="1" x14ac:dyDescent="0.2">
      <c r="A96" s="144" t="b">
        <v>0</v>
      </c>
      <c r="B96" s="184" t="e">
        <f>B95+1</f>
        <v>#REF!</v>
      </c>
      <c r="C96" s="160"/>
      <c r="D96" s="313" t="s">
        <v>448</v>
      </c>
      <c r="E96" s="157"/>
      <c r="F96" s="157"/>
      <c r="G96" s="157"/>
      <c r="H96" s="157"/>
      <c r="I96" s="157"/>
      <c r="J96" s="157"/>
      <c r="K96" s="157"/>
      <c r="L96" s="157"/>
      <c r="M96" s="157"/>
      <c r="N96" s="157"/>
      <c r="O96" s="138" t="str">
        <f>IF(A96=TRUE,"Unit cleaned inside and out","")</f>
        <v/>
      </c>
      <c r="P96" s="137"/>
    </row>
    <row r="97" spans="1:28" s="139" customFormat="1" x14ac:dyDescent="0.2">
      <c r="A97" s="144" t="b">
        <v>0</v>
      </c>
      <c r="B97" s="184" t="e">
        <f>#REF!+1</f>
        <v>#REF!</v>
      </c>
      <c r="C97" s="170"/>
      <c r="D97" s="313" t="s">
        <v>449</v>
      </c>
      <c r="E97" s="490" t="s">
        <v>450</v>
      </c>
      <c r="F97" s="490"/>
      <c r="G97" s="490"/>
      <c r="H97" s="490"/>
      <c r="I97" s="490"/>
      <c r="J97" s="490"/>
      <c r="K97" s="490"/>
      <c r="L97" s="490"/>
      <c r="M97" s="490"/>
      <c r="N97" s="490"/>
      <c r="O97" s="138"/>
      <c r="P97" s="137"/>
      <c r="Q97" s="138" t="str">
        <f>IF(A97=TRUE,"Battery brackets secure and complete","Battery not secure in brackets, needed to be refurbished")</f>
        <v>Battery not secure in brackets, needed to be refurbished</v>
      </c>
    </row>
    <row r="98" spans="1:28" s="139" customFormat="1" x14ac:dyDescent="0.2">
      <c r="A98" s="144" t="b">
        <v>1</v>
      </c>
      <c r="B98" s="184"/>
      <c r="C98" s="485" t="s">
        <v>451</v>
      </c>
      <c r="D98" s="485"/>
      <c r="E98" s="485"/>
      <c r="F98" s="485"/>
      <c r="G98" s="485"/>
      <c r="H98" s="485"/>
      <c r="I98" s="485"/>
      <c r="J98" s="485"/>
      <c r="K98" s="485"/>
      <c r="L98" s="485"/>
      <c r="M98" s="485"/>
      <c r="N98" s="485"/>
      <c r="O98" s="485"/>
      <c r="P98" s="148"/>
    </row>
    <row r="99" spans="1:28" s="139" customFormat="1" x14ac:dyDescent="0.2">
      <c r="A99" s="144" t="e">
        <f>IF(S99&gt;=1, TRUE, FALSE)</f>
        <v>#REF!</v>
      </c>
      <c r="B99" s="184" t="e">
        <f>#REF!+1</f>
        <v>#REF!</v>
      </c>
      <c r="C99" s="188"/>
      <c r="D99" s="292"/>
      <c r="E99" s="157"/>
      <c r="F99" s="157"/>
      <c r="G99" s="157"/>
      <c r="H99" s="157"/>
      <c r="I99" s="157"/>
      <c r="J99" s="157"/>
      <c r="K99" s="157"/>
      <c r="L99" s="157"/>
      <c r="M99" s="157"/>
      <c r="N99" s="157"/>
      <c r="O99" s="138"/>
      <c r="P99" s="137"/>
      <c r="R99" s="139" t="e">
        <f>IF(A99=FALSE, TRUE, FALSE)</f>
        <v>#REF!</v>
      </c>
      <c r="S99" s="139" t="e">
        <f>D99-#REF!</f>
        <v>#REF!</v>
      </c>
    </row>
    <row r="100" spans="1:28" s="139" customFormat="1" x14ac:dyDescent="0.2">
      <c r="A100" s="144" t="b">
        <v>0</v>
      </c>
      <c r="B100" s="184" t="e">
        <f>#REF!+1</f>
        <v>#REF!</v>
      </c>
      <c r="C100" s="174"/>
      <c r="D100" s="312" t="s">
        <v>452</v>
      </c>
      <c r="E100" s="157"/>
      <c r="F100" s="157"/>
      <c r="G100" s="157"/>
      <c r="H100" s="157"/>
      <c r="I100" s="157"/>
      <c r="J100" s="157"/>
      <c r="K100" s="157"/>
      <c r="L100" s="157"/>
      <c r="M100" s="157"/>
      <c r="N100" s="157"/>
      <c r="P100" s="137"/>
      <c r="Q100" s="138" t="str">
        <f>IF(A100=TRUE,"High pressure seal integrity test PASS","High pressure seal integrity test failure, unit requires rework")</f>
        <v>High pressure seal integrity test failure, unit requires rework</v>
      </c>
    </row>
    <row r="101" spans="1:28" s="139" customFormat="1" x14ac:dyDescent="0.2">
      <c r="A101" s="144" t="b">
        <v>0</v>
      </c>
      <c r="B101" s="184" t="e">
        <f t="shared" si="3"/>
        <v>#REF!</v>
      </c>
      <c r="C101" s="174"/>
      <c r="D101" s="312" t="s">
        <v>453</v>
      </c>
      <c r="E101" s="157"/>
      <c r="F101" s="157"/>
      <c r="G101" s="157"/>
      <c r="H101" s="157"/>
      <c r="I101" s="157"/>
      <c r="J101" s="157"/>
      <c r="K101" s="157"/>
      <c r="L101" s="157"/>
      <c r="M101" s="157"/>
      <c r="N101" s="157"/>
      <c r="O101" s="138"/>
      <c r="P101" s="137"/>
    </row>
    <row r="102" spans="1:28" s="139" customFormat="1" x14ac:dyDescent="0.2">
      <c r="A102" s="144" t="b">
        <v>0</v>
      </c>
      <c r="B102" s="184" t="e">
        <f t="shared" si="3"/>
        <v>#REF!</v>
      </c>
      <c r="C102" s="174"/>
      <c r="D102" s="313" t="s">
        <v>454</v>
      </c>
      <c r="E102" s="175"/>
      <c r="F102" s="175"/>
      <c r="G102" s="175"/>
      <c r="H102" s="175"/>
      <c r="I102" s="175"/>
      <c r="J102" s="175"/>
      <c r="K102" s="175"/>
      <c r="L102" s="175"/>
      <c r="M102" s="175"/>
      <c r="N102" s="157"/>
      <c r="O102" s="138"/>
      <c r="P102" s="137"/>
    </row>
    <row r="103" spans="1:28" s="139" customFormat="1" x14ac:dyDescent="0.2">
      <c r="A103" s="144" t="b">
        <v>0</v>
      </c>
      <c r="B103" s="184" t="e">
        <f>#REF!+1</f>
        <v>#REF!</v>
      </c>
      <c r="C103" s="188" t="s">
        <v>455</v>
      </c>
      <c r="D103" s="316" t="s">
        <v>321</v>
      </c>
      <c r="E103" s="163"/>
      <c r="F103" s="163"/>
      <c r="G103" s="163"/>
      <c r="H103" s="163"/>
      <c r="I103" s="163"/>
      <c r="J103" s="163"/>
      <c r="K103" s="163"/>
      <c r="L103" s="163"/>
      <c r="M103" s="163"/>
      <c r="O103" s="138"/>
      <c r="P103" s="137"/>
    </row>
    <row r="104" spans="1:28" s="139" customFormat="1" x14ac:dyDescent="0.2">
      <c r="A104" s="144" t="b">
        <v>0</v>
      </c>
      <c r="B104" s="184" t="e">
        <f t="shared" si="3"/>
        <v>#REF!</v>
      </c>
      <c r="C104" s="188" t="s">
        <v>456</v>
      </c>
      <c r="D104" s="317"/>
      <c r="E104" s="163"/>
      <c r="F104" s="163"/>
      <c r="G104" s="163"/>
      <c r="H104" s="163"/>
      <c r="I104" s="163"/>
      <c r="J104" s="163"/>
      <c r="K104" s="163"/>
      <c r="L104" s="163"/>
      <c r="M104" s="163"/>
      <c r="O104" s="138"/>
      <c r="P104" s="137"/>
    </row>
    <row r="105" spans="1:28" s="139" customFormat="1" ht="15.75" x14ac:dyDescent="0.2">
      <c r="A105" s="144" t="b">
        <v>0</v>
      </c>
      <c r="B105" s="184" t="e">
        <f t="shared" si="3"/>
        <v>#REF!</v>
      </c>
      <c r="C105" s="188" t="s">
        <v>457</v>
      </c>
      <c r="D105" s="302"/>
      <c r="E105" s="487" t="s">
        <v>372</v>
      </c>
      <c r="F105" s="487"/>
      <c r="G105" s="488" t="str">
        <f>IF(D105=D18,"ON TIME",IF(D105&gt;D18,"LATE",IF(D105&lt;D18,"EARLY")))</f>
        <v>ON TIME</v>
      </c>
      <c r="H105" s="488"/>
      <c r="I105" s="488"/>
      <c r="J105" s="488"/>
      <c r="K105" s="488"/>
      <c r="L105" s="488"/>
      <c r="M105" s="488"/>
      <c r="N105" s="488"/>
      <c r="O105" s="145"/>
      <c r="P105" s="136"/>
    </row>
    <row r="106" spans="1:28" s="139" customFormat="1" x14ac:dyDescent="0.2">
      <c r="A106" s="144" t="b">
        <v>0</v>
      </c>
      <c r="B106" s="184"/>
      <c r="C106" s="485" t="s">
        <v>458</v>
      </c>
      <c r="D106" s="485"/>
      <c r="E106" s="485"/>
      <c r="F106" s="485"/>
      <c r="G106" s="485"/>
      <c r="H106" s="485"/>
      <c r="I106" s="485"/>
      <c r="J106" s="485"/>
      <c r="K106" s="485"/>
      <c r="L106" s="485"/>
      <c r="M106" s="485"/>
      <c r="N106" s="485"/>
      <c r="O106" s="485"/>
      <c r="P106" s="137"/>
    </row>
    <row r="107" spans="1:28" s="139" customFormat="1" ht="15.75" x14ac:dyDescent="0.2">
      <c r="A107" s="144" t="b">
        <v>0</v>
      </c>
      <c r="B107" s="184" t="e">
        <f>B105+1</f>
        <v>#REF!</v>
      </c>
      <c r="C107" s="188" t="s">
        <v>459</v>
      </c>
      <c r="D107" s="299"/>
      <c r="E107" s="487" t="s">
        <v>372</v>
      </c>
      <c r="F107" s="487"/>
      <c r="G107" s="515" t="str">
        <f>IF(D107=D18,"ON TIME",IF(D107&gt;D18,"LATE",IF(D107&lt;D18,"EARLY")))</f>
        <v>ON TIME</v>
      </c>
      <c r="H107" s="515"/>
      <c r="I107" s="515"/>
      <c r="J107" s="515"/>
      <c r="K107" s="515"/>
      <c r="L107" s="515"/>
      <c r="M107" s="515"/>
      <c r="N107" s="515"/>
      <c r="O107" s="176"/>
      <c r="P107" s="137"/>
    </row>
    <row r="108" spans="1:28" s="139" customFormat="1" x14ac:dyDescent="0.2">
      <c r="A108" s="144" t="b">
        <v>0</v>
      </c>
      <c r="B108" s="184" t="e">
        <f>B107+1</f>
        <v>#REF!</v>
      </c>
      <c r="C108" s="188" t="s">
        <v>460</v>
      </c>
      <c r="D108" s="314"/>
      <c r="E108" s="157"/>
      <c r="G108" s="152"/>
      <c r="H108" s="152"/>
      <c r="I108" s="152"/>
      <c r="J108" s="152"/>
      <c r="L108" s="145"/>
      <c r="M108" s="145"/>
      <c r="N108" s="145"/>
      <c r="O108" s="138"/>
      <c r="P108" s="137"/>
      <c r="Q108" s="138" t="str">
        <f>IF(A108=TRUE,"Unit calibrated successfully"," ")</f>
        <v xml:space="preserve"> </v>
      </c>
    </row>
    <row r="109" spans="1:28" s="139" customFormat="1" x14ac:dyDescent="0.2">
      <c r="A109" s="144" t="b">
        <v>1</v>
      </c>
      <c r="B109" s="184" t="e">
        <f>B108+1</f>
        <v>#REF!</v>
      </c>
      <c r="C109" s="188" t="s">
        <v>461</v>
      </c>
      <c r="D109" s="316" t="s">
        <v>321</v>
      </c>
      <c r="E109" s="163"/>
      <c r="F109" s="163"/>
      <c r="G109" s="163"/>
      <c r="H109" s="163"/>
      <c r="I109" s="163"/>
      <c r="J109" s="163"/>
      <c r="K109" s="163"/>
      <c r="L109" s="163"/>
      <c r="M109" s="163"/>
      <c r="O109" s="138"/>
      <c r="P109" s="137"/>
    </row>
    <row r="110" spans="1:28" s="139" customFormat="1" ht="15.75" x14ac:dyDescent="0.2">
      <c r="A110" s="144" t="b">
        <v>1</v>
      </c>
      <c r="B110" s="184"/>
      <c r="C110" s="517" t="s">
        <v>462</v>
      </c>
      <c r="D110" s="517"/>
      <c r="E110" s="517"/>
      <c r="F110" s="517"/>
      <c r="G110" s="517"/>
      <c r="H110" s="517"/>
      <c r="I110" s="517"/>
      <c r="J110" s="517"/>
      <c r="K110" s="517"/>
      <c r="L110" s="517"/>
      <c r="M110" s="517"/>
      <c r="N110" s="517"/>
      <c r="O110" s="517"/>
      <c r="P110" s="137"/>
    </row>
    <row r="111" spans="1:28" s="139" customFormat="1" x14ac:dyDescent="0.2">
      <c r="A111" s="144" t="b">
        <v>1</v>
      </c>
      <c r="B111" s="184" t="e">
        <f>B109+1</f>
        <v>#REF!</v>
      </c>
      <c r="C111" s="150" t="s">
        <v>459</v>
      </c>
      <c r="D111" s="302"/>
      <c r="E111" s="177"/>
      <c r="F111" s="177"/>
      <c r="G111" s="177"/>
      <c r="H111" s="142"/>
      <c r="I111" s="177"/>
      <c r="J111" s="135"/>
      <c r="K111" s="157"/>
      <c r="L111" s="157"/>
      <c r="M111" s="157"/>
      <c r="N111" s="157"/>
      <c r="O111" s="138"/>
      <c r="P111" s="137"/>
      <c r="Z111" s="177"/>
      <c r="AA111" s="177"/>
      <c r="AB111" s="177"/>
    </row>
    <row r="112" spans="1:28" s="139" customFormat="1" x14ac:dyDescent="0.2">
      <c r="A112" s="144" t="b">
        <v>0</v>
      </c>
      <c r="B112" s="184" t="e">
        <f>B111+1</f>
        <v>#REF!</v>
      </c>
      <c r="C112" s="150" t="s">
        <v>463</v>
      </c>
      <c r="D112" s="317">
        <f>D5</f>
        <v>-1</v>
      </c>
      <c r="F112" s="178"/>
      <c r="J112" s="135"/>
      <c r="K112" s="157"/>
      <c r="L112" s="157"/>
      <c r="M112" s="157"/>
      <c r="N112" s="157"/>
      <c r="O112" s="138"/>
      <c r="P112" s="137"/>
      <c r="Z112" s="177"/>
      <c r="AA112" s="177"/>
      <c r="AB112" s="177"/>
    </row>
    <row r="113" spans="1:28" s="139" customFormat="1" x14ac:dyDescent="0.2">
      <c r="A113" s="144" t="b">
        <v>0</v>
      </c>
      <c r="B113" s="184" t="e">
        <f>B112+1</f>
        <v>#REF!</v>
      </c>
      <c r="C113" t="s">
        <v>464</v>
      </c>
      <c r="D113" s="314"/>
      <c r="E113" s="518" t="s">
        <v>465</v>
      </c>
      <c r="F113" s="513"/>
      <c r="G113" s="513"/>
      <c r="H113" s="513"/>
      <c r="I113" s="513"/>
      <c r="J113" s="513"/>
      <c r="K113" s="513"/>
      <c r="L113" s="513"/>
      <c r="M113" s="513"/>
      <c r="N113" s="513"/>
      <c r="O113" s="138"/>
      <c r="P113" s="137"/>
      <c r="Z113" s="177"/>
      <c r="AA113" s="177"/>
      <c r="AB113" s="177"/>
    </row>
    <row r="114" spans="1:28" s="139" customFormat="1" x14ac:dyDescent="0.2">
      <c r="A114" s="144" t="b">
        <v>1</v>
      </c>
      <c r="B114" s="184"/>
      <c r="C114" s="485" t="s">
        <v>466</v>
      </c>
      <c r="D114" s="485"/>
      <c r="E114" s="485"/>
      <c r="F114" s="485"/>
      <c r="G114" s="485"/>
      <c r="H114" s="485"/>
      <c r="I114" s="485"/>
      <c r="J114" s="485"/>
      <c r="K114" s="485"/>
      <c r="L114" s="485"/>
      <c r="M114" s="485"/>
      <c r="N114" s="135"/>
      <c r="O114" s="138"/>
      <c r="P114" s="137"/>
      <c r="Z114" s="177"/>
      <c r="AA114" s="177"/>
      <c r="AB114" s="177"/>
    </row>
    <row r="115" spans="1:28" s="139" customFormat="1" x14ac:dyDescent="0.2">
      <c r="A115" s="144" t="b">
        <v>0</v>
      </c>
      <c r="B115" s="184" t="e">
        <f>B113+1</f>
        <v>#REF!</v>
      </c>
      <c r="C115" s="150" t="s">
        <v>467</v>
      </c>
      <c r="D115" s="317"/>
      <c r="F115" s="318" t="s">
        <v>468</v>
      </c>
      <c r="G115" s="319" t="s">
        <v>4</v>
      </c>
      <c r="H115" s="319" t="s">
        <v>469</v>
      </c>
      <c r="I115" s="135"/>
      <c r="J115" s="138"/>
      <c r="K115" s="135"/>
      <c r="L115" s="135"/>
      <c r="M115" s="135"/>
      <c r="N115" s="135"/>
      <c r="P115" s="137"/>
      <c r="Z115" s="177"/>
      <c r="AA115" s="177"/>
      <c r="AB115" s="177"/>
    </row>
    <row r="116" spans="1:28" s="139" customFormat="1" x14ac:dyDescent="0.2">
      <c r="A116" s="144" t="b">
        <v>0</v>
      </c>
      <c r="B116" s="184" t="e">
        <f>B115+1</f>
        <v>#REF!</v>
      </c>
      <c r="C116" s="150" t="s">
        <v>470</v>
      </c>
      <c r="D116" s="317"/>
      <c r="F116" s="319">
        <v>1</v>
      </c>
      <c r="G116" s="320">
        <v>4</v>
      </c>
      <c r="H116" s="321">
        <f>'Auto-Calibration record'!$B$65</f>
        <v>80</v>
      </c>
      <c r="I116" s="135"/>
      <c r="J116" s="138"/>
      <c r="K116" s="135"/>
      <c r="L116" s="135"/>
      <c r="M116" s="135"/>
      <c r="N116" s="135"/>
      <c r="P116" s="137"/>
      <c r="Q116" s="138" t="str">
        <f>IF(A116=TRUE,"Calibrated thresholds verified against thresholds programmed in unit","Thresholds on certificate do not match those programmed in unit ")</f>
        <v xml:space="preserve">Thresholds on certificate do not match those programmed in unit </v>
      </c>
      <c r="Z116" s="177"/>
      <c r="AA116" s="177"/>
      <c r="AB116" s="177"/>
    </row>
    <row r="117" spans="1:28" s="139" customFormat="1" x14ac:dyDescent="0.2">
      <c r="A117" s="144" t="b">
        <v>0</v>
      </c>
      <c r="B117" s="184" t="e">
        <f t="shared" ref="B117:B129" si="4">B116+1</f>
        <v>#REF!</v>
      </c>
      <c r="C117" s="150" t="s">
        <v>471</v>
      </c>
      <c r="D117" s="322">
        <f>IF(A34=TRUE,1,2)</f>
        <v>2</v>
      </c>
      <c r="F117" s="319">
        <f t="shared" ref="F117:F120" si="5">F116+1</f>
        <v>2</v>
      </c>
      <c r="G117" s="320">
        <v>6</v>
      </c>
      <c r="H117" s="321">
        <f>'Auto-Calibration record'!$C$65</f>
        <v>194</v>
      </c>
      <c r="I117" s="135"/>
      <c r="J117" s="138"/>
      <c r="K117" s="135"/>
      <c r="L117" s="135"/>
      <c r="M117" s="135"/>
      <c r="N117" s="135"/>
      <c r="P117" s="137"/>
      <c r="Z117" s="177"/>
      <c r="AA117" s="177"/>
      <c r="AB117" s="177"/>
    </row>
    <row r="118" spans="1:28" s="139" customFormat="1" x14ac:dyDescent="0.2">
      <c r="A118" s="144" t="b">
        <v>0</v>
      </c>
      <c r="B118" s="184" t="e">
        <f t="shared" si="4"/>
        <v>#REF!</v>
      </c>
      <c r="C118" s="150" t="s">
        <v>472</v>
      </c>
      <c r="D118" s="323">
        <f>IF(A35=TRUE,1,2)</f>
        <v>2</v>
      </c>
      <c r="F118" s="319">
        <f t="shared" si="5"/>
        <v>3</v>
      </c>
      <c r="G118" s="320">
        <v>14</v>
      </c>
      <c r="H118" s="321">
        <f>'Auto-Calibration record'!$D$65</f>
        <v>1032</v>
      </c>
      <c r="I118" s="215"/>
      <c r="J118" s="216"/>
      <c r="K118" s="135"/>
      <c r="L118" s="135"/>
      <c r="M118" s="135"/>
      <c r="N118" s="135"/>
      <c r="P118" s="137"/>
      <c r="Z118" s="177"/>
      <c r="AA118" s="177"/>
      <c r="AB118" s="177"/>
    </row>
    <row r="119" spans="1:28" s="139" customFormat="1" x14ac:dyDescent="0.2">
      <c r="A119" s="144" t="b">
        <v>0</v>
      </c>
      <c r="B119" s="184" t="e">
        <f t="shared" si="4"/>
        <v>#REF!</v>
      </c>
      <c r="C119" s="150" t="s">
        <v>473</v>
      </c>
      <c r="D119" s="324">
        <f>D5</f>
        <v>-1</v>
      </c>
      <c r="F119" s="319">
        <f t="shared" si="5"/>
        <v>4</v>
      </c>
      <c r="G119" s="320">
        <v>21</v>
      </c>
      <c r="H119" s="321">
        <f>'Auto-Calibration record'!$E$65</f>
        <v>2064</v>
      </c>
      <c r="I119" s="215"/>
      <c r="J119" s="216"/>
      <c r="K119" s="135"/>
      <c r="L119" s="135"/>
      <c r="M119" s="135"/>
      <c r="N119" s="135"/>
      <c r="P119" s="137"/>
      <c r="Z119" s="177"/>
      <c r="AA119" s="177"/>
      <c r="AB119" s="177"/>
    </row>
    <row r="120" spans="1:28" s="139" customFormat="1" x14ac:dyDescent="0.2">
      <c r="A120" s="144" t="b">
        <v>0</v>
      </c>
      <c r="B120" s="184" t="e">
        <f t="shared" si="4"/>
        <v>#REF!</v>
      </c>
      <c r="C120" s="150" t="s">
        <v>474</v>
      </c>
      <c r="D120" s="325">
        <f>D48</f>
        <v>0</v>
      </c>
      <c r="F120" s="319">
        <f t="shared" si="5"/>
        <v>5</v>
      </c>
      <c r="G120" s="320">
        <v>25</v>
      </c>
      <c r="H120" s="321">
        <f>'Auto-Calibration record'!$F$65</f>
        <v>3012</v>
      </c>
      <c r="I120" s="215"/>
      <c r="J120" s="216"/>
      <c r="K120" s="135"/>
      <c r="L120" s="135"/>
      <c r="M120" s="135"/>
      <c r="N120" s="135"/>
      <c r="P120" s="137"/>
      <c r="Z120" s="177"/>
      <c r="AA120" s="177"/>
      <c r="AB120" s="177"/>
    </row>
    <row r="121" spans="1:28" s="139" customFormat="1" x14ac:dyDescent="0.2">
      <c r="A121" s="144" t="b">
        <v>0</v>
      </c>
      <c r="B121" s="184" t="e">
        <f t="shared" si="4"/>
        <v>#REF!</v>
      </c>
      <c r="C121" s="150" t="s">
        <v>475</v>
      </c>
      <c r="D121" s="326">
        <f>D107+365</f>
        <v>365</v>
      </c>
      <c r="F121" s="319">
        <f>F120+1</f>
        <v>6</v>
      </c>
      <c r="G121" s="320">
        <v>38</v>
      </c>
      <c r="H121" s="321">
        <f>'Auto-Calibration record'!$G$65</f>
        <v>10314</v>
      </c>
      <c r="I121" s="215"/>
      <c r="J121" s="216"/>
      <c r="K121" s="135"/>
      <c r="L121" s="135"/>
      <c r="M121" s="135"/>
      <c r="N121" s="135"/>
      <c r="P121" s="137"/>
      <c r="Z121" s="177"/>
      <c r="AA121" s="177"/>
      <c r="AB121" s="177"/>
    </row>
    <row r="122" spans="1:28" s="139" customFormat="1" x14ac:dyDescent="0.2">
      <c r="A122" s="144" t="b">
        <v>0</v>
      </c>
      <c r="B122" s="184" t="e">
        <f t="shared" si="4"/>
        <v>#REF!</v>
      </c>
      <c r="C122" s="150" t="s">
        <v>476</v>
      </c>
      <c r="D122" s="317"/>
      <c r="F122" s="319">
        <f>F121+1</f>
        <v>7</v>
      </c>
      <c r="G122" s="320">
        <v>50</v>
      </c>
      <c r="H122" s="321">
        <f>'Auto-Calibration record'!$H$65</f>
        <v>16352</v>
      </c>
      <c r="I122" s="215"/>
      <c r="J122" s="216"/>
      <c r="K122" s="135"/>
      <c r="L122" s="135"/>
      <c r="M122" s="135"/>
      <c r="P122" s="137"/>
      <c r="Z122" s="177"/>
      <c r="AA122" s="177"/>
      <c r="AB122" s="177"/>
    </row>
    <row r="123" spans="1:28" s="139" customFormat="1" x14ac:dyDescent="0.2">
      <c r="A123" s="144" t="b">
        <v>0</v>
      </c>
      <c r="B123" s="184" t="e">
        <f t="shared" si="4"/>
        <v>#REF!</v>
      </c>
      <c r="C123" s="150" t="s">
        <v>477</v>
      </c>
      <c r="D123" s="317">
        <f>D43</f>
        <v>0</v>
      </c>
      <c r="E123" s="135"/>
      <c r="F123" s="319">
        <f>F122+1</f>
        <v>8</v>
      </c>
      <c r="G123" s="320">
        <v>70</v>
      </c>
      <c r="H123" s="321">
        <f>'Auto-Calibration record'!$I$65</f>
        <v>25228</v>
      </c>
      <c r="I123" s="157"/>
      <c r="J123" s="157"/>
      <c r="K123" s="157"/>
      <c r="L123" s="157"/>
      <c r="M123" s="157"/>
      <c r="N123" s="157"/>
      <c r="O123" s="157"/>
      <c r="P123" s="157"/>
      <c r="Q123" s="157"/>
      <c r="R123" s="138"/>
    </row>
    <row r="124" spans="1:28" s="139" customFormat="1" x14ac:dyDescent="0.2">
      <c r="A124" s="144" t="b">
        <v>0</v>
      </c>
      <c r="B124" s="184" t="e">
        <f>B157+1</f>
        <v>#REF!</v>
      </c>
      <c r="C124" s="150" t="s">
        <v>478</v>
      </c>
      <c r="D124" s="317">
        <f>D52</f>
        <v>0</v>
      </c>
      <c r="E124" s="135"/>
      <c r="I124" s="135"/>
      <c r="J124" s="135"/>
      <c r="K124" s="135"/>
      <c r="L124" s="135"/>
      <c r="M124" s="135"/>
      <c r="N124" s="135"/>
      <c r="P124" s="137"/>
      <c r="Q124" s="138" t="str">
        <f>IF(A124= TRUE,"Cycle counter tested PASS","Cycle counter found to be faulty and repaired")</f>
        <v>Cycle counter found to be faulty and repaired</v>
      </c>
    </row>
    <row r="125" spans="1:28" s="139" customFormat="1" x14ac:dyDescent="0.2">
      <c r="A125" s="144"/>
      <c r="B125" s="184" t="e">
        <f t="shared" si="4"/>
        <v>#REF!</v>
      </c>
      <c r="C125" s="150" t="s">
        <v>479</v>
      </c>
      <c r="D125" s="317"/>
      <c r="E125" s="135"/>
      <c r="I125" s="135"/>
      <c r="J125" s="135"/>
      <c r="K125" s="135"/>
      <c r="L125" s="135"/>
      <c r="M125" s="135"/>
      <c r="N125" s="135"/>
      <c r="O125" s="138"/>
      <c r="P125" s="137"/>
    </row>
    <row r="126" spans="1:28" s="139" customFormat="1" x14ac:dyDescent="0.2">
      <c r="A126" s="144"/>
      <c r="B126" s="184" t="e">
        <f t="shared" si="4"/>
        <v>#REF!</v>
      </c>
      <c r="C126" s="150" t="s">
        <v>480</v>
      </c>
      <c r="D126" s="317"/>
      <c r="E126" s="135"/>
      <c r="I126" s="135"/>
      <c r="J126" s="135"/>
      <c r="K126" s="135"/>
      <c r="L126" s="135"/>
      <c r="M126" s="135"/>
      <c r="N126" s="135"/>
      <c r="O126" s="138"/>
      <c r="P126" s="137"/>
    </row>
    <row r="127" spans="1:28" s="139" customFormat="1" x14ac:dyDescent="0.2">
      <c r="A127" s="144"/>
      <c r="B127" s="184" t="e">
        <f t="shared" si="4"/>
        <v>#REF!</v>
      </c>
      <c r="C127" s="150" t="s">
        <v>481</v>
      </c>
      <c r="D127" s="316"/>
      <c r="E127" s="135"/>
      <c r="I127" s="135"/>
      <c r="J127" s="135"/>
      <c r="K127" s="135"/>
      <c r="L127" s="135"/>
      <c r="M127" s="135"/>
      <c r="N127" s="135"/>
      <c r="O127" s="138"/>
      <c r="P127" s="137"/>
    </row>
    <row r="128" spans="1:28" s="139" customFormat="1" ht="13.9" customHeight="1" x14ac:dyDescent="0.2">
      <c r="A128" s="144" t="b">
        <v>0</v>
      </c>
      <c r="B128" s="184" t="e">
        <f t="shared" si="4"/>
        <v>#REF!</v>
      </c>
      <c r="C128" s="150" t="s">
        <v>482</v>
      </c>
      <c r="D128" s="317"/>
      <c r="E128" s="135"/>
      <c r="I128" s="135"/>
      <c r="J128" s="135"/>
      <c r="K128" s="135"/>
      <c r="L128" s="135"/>
      <c r="M128" s="135"/>
      <c r="N128" s="135"/>
      <c r="O128" s="138"/>
      <c r="P128" s="137"/>
    </row>
    <row r="129" spans="1:17" s="139" customFormat="1" x14ac:dyDescent="0.2">
      <c r="A129" s="144" t="b">
        <v>0</v>
      </c>
      <c r="B129" s="184" t="e">
        <f t="shared" si="4"/>
        <v>#REF!</v>
      </c>
      <c r="C129" s="150" t="s">
        <v>483</v>
      </c>
      <c r="D129" s="317"/>
      <c r="E129" s="135"/>
      <c r="I129" s="135"/>
      <c r="J129" s="135"/>
      <c r="K129" s="135"/>
      <c r="L129" s="135"/>
      <c r="M129" s="135"/>
      <c r="N129" s="135"/>
      <c r="O129" s="138"/>
      <c r="P129" s="137"/>
    </row>
    <row r="130" spans="1:17" s="139" customFormat="1" x14ac:dyDescent="0.2">
      <c r="A130" s="144" t="b">
        <v>0</v>
      </c>
      <c r="B130" s="184" t="e">
        <f>#REF!+1</f>
        <v>#REF!</v>
      </c>
      <c r="C130" s="150" t="s">
        <v>484</v>
      </c>
      <c r="D130" s="317"/>
      <c r="E130" s="135"/>
      <c r="I130" s="135"/>
      <c r="J130" s="135"/>
      <c r="K130" s="135"/>
      <c r="L130" s="135"/>
      <c r="M130" s="135"/>
      <c r="N130" s="135"/>
      <c r="O130" s="138"/>
      <c r="P130" s="137"/>
      <c r="Q130" s="138" t="str">
        <f>IF(A130= TRUE,"Battery parameters reset for full discharge and charge","")</f>
        <v/>
      </c>
    </row>
    <row r="131" spans="1:17" s="139" customFormat="1" x14ac:dyDescent="0.2">
      <c r="A131" s="144"/>
      <c r="B131" s="184"/>
      <c r="C131" s="150" t="s">
        <v>485</v>
      </c>
      <c r="D131" s="317"/>
      <c r="E131" s="135"/>
      <c r="I131" s="135"/>
      <c r="J131" s="135"/>
      <c r="K131" s="135"/>
      <c r="L131" s="135"/>
      <c r="M131" s="135"/>
      <c r="N131" s="135"/>
      <c r="O131" s="138"/>
      <c r="P131" s="137"/>
      <c r="Q131" s="138"/>
    </row>
    <row r="132" spans="1:17" s="139" customFormat="1" x14ac:dyDescent="0.2">
      <c r="A132" s="144" t="b">
        <v>0</v>
      </c>
      <c r="B132" s="184" t="e">
        <f>B130+1</f>
        <v>#REF!</v>
      </c>
      <c r="C132" s="150" t="s">
        <v>486</v>
      </c>
      <c r="D132" s="317"/>
      <c r="E132" s="135"/>
      <c r="I132" s="135"/>
      <c r="J132" s="135"/>
      <c r="K132" s="135"/>
      <c r="L132" s="135"/>
      <c r="M132" s="135"/>
      <c r="N132" s="135"/>
      <c r="O132" s="138"/>
      <c r="P132" s="137"/>
    </row>
    <row r="133" spans="1:17" s="139" customFormat="1" x14ac:dyDescent="0.2">
      <c r="A133" s="144" t="b">
        <v>0</v>
      </c>
      <c r="B133" s="184"/>
      <c r="C133" s="485" t="s">
        <v>487</v>
      </c>
      <c r="D133" s="485"/>
      <c r="F133" s="135"/>
      <c r="H133" s="135"/>
      <c r="J133" s="135"/>
      <c r="K133" s="135"/>
      <c r="L133" s="135"/>
      <c r="M133" s="135"/>
      <c r="N133" s="135"/>
      <c r="O133" s="138"/>
      <c r="P133" s="137"/>
    </row>
    <row r="134" spans="1:17" s="139" customFormat="1" x14ac:dyDescent="0.2">
      <c r="A134" s="144" t="b">
        <v>0</v>
      </c>
      <c r="B134" s="184" t="e">
        <f>B132+1</f>
        <v>#REF!</v>
      </c>
      <c r="C134" s="150" t="s">
        <v>488</v>
      </c>
      <c r="D134" s="317"/>
      <c r="F134" s="135"/>
      <c r="H134" s="135"/>
      <c r="J134" s="135"/>
      <c r="K134" s="135"/>
      <c r="L134" s="135"/>
      <c r="M134" s="135"/>
      <c r="N134" s="135"/>
      <c r="O134" s="138"/>
      <c r="P134" s="137"/>
    </row>
    <row r="135" spans="1:17" s="139" customFormat="1" x14ac:dyDescent="0.2">
      <c r="A135" s="144" t="b">
        <v>0</v>
      </c>
      <c r="B135" s="184" t="e">
        <f t="shared" ref="B135:B154" si="6">B134+1</f>
        <v>#REF!</v>
      </c>
      <c r="C135" s="150" t="s">
        <v>489</v>
      </c>
      <c r="D135" s="317" t="str">
        <f>D54</f>
        <v>-</v>
      </c>
      <c r="F135" s="135"/>
      <c r="H135" s="135"/>
      <c r="J135" s="135"/>
      <c r="K135" s="135"/>
      <c r="L135" s="135"/>
      <c r="M135" s="135"/>
      <c r="N135" s="135"/>
      <c r="O135" s="138"/>
      <c r="P135" s="137"/>
    </row>
    <row r="136" spans="1:17" s="139" customFormat="1" x14ac:dyDescent="0.2">
      <c r="A136" s="144" t="b">
        <v>0</v>
      </c>
      <c r="B136" s="184" t="e">
        <f t="shared" si="6"/>
        <v>#REF!</v>
      </c>
      <c r="C136" s="150" t="s">
        <v>490</v>
      </c>
      <c r="D136" s="325"/>
      <c r="F136" s="135"/>
      <c r="H136" s="135"/>
      <c r="J136" s="135"/>
      <c r="K136" s="135"/>
      <c r="L136" s="135"/>
      <c r="M136" s="135"/>
      <c r="N136" s="135"/>
      <c r="O136" s="138"/>
      <c r="P136" s="137"/>
    </row>
    <row r="137" spans="1:17" s="139" customFormat="1" x14ac:dyDescent="0.2">
      <c r="A137" s="144" t="b">
        <v>0</v>
      </c>
      <c r="B137" s="184" t="e">
        <f t="shared" si="6"/>
        <v>#REF!</v>
      </c>
      <c r="C137" s="150" t="s">
        <v>491</v>
      </c>
      <c r="D137" s="323">
        <f>IF(A56=TRUE,1,2)</f>
        <v>2</v>
      </c>
      <c r="F137" s="135"/>
      <c r="H137" s="135"/>
      <c r="J137" s="135"/>
      <c r="K137" s="135"/>
      <c r="L137" s="135"/>
      <c r="M137" s="135"/>
      <c r="N137" s="135"/>
      <c r="O137" s="138"/>
      <c r="P137" s="137"/>
    </row>
    <row r="138" spans="1:17" s="139" customFormat="1" x14ac:dyDescent="0.2">
      <c r="A138" s="144" t="b">
        <v>0</v>
      </c>
      <c r="B138" s="184" t="e">
        <f t="shared" si="6"/>
        <v>#REF!</v>
      </c>
      <c r="C138" s="150" t="s">
        <v>492</v>
      </c>
      <c r="D138" s="323">
        <f>IF(A57=TRUE,1,2)</f>
        <v>2</v>
      </c>
      <c r="F138" s="135"/>
      <c r="H138" s="135"/>
      <c r="J138" s="135"/>
      <c r="K138" s="135"/>
      <c r="L138" s="135"/>
      <c r="M138" s="135"/>
      <c r="N138" s="135"/>
      <c r="O138" s="138"/>
      <c r="P138" s="137"/>
    </row>
    <row r="139" spans="1:17" s="139" customFormat="1" x14ac:dyDescent="0.2">
      <c r="A139" s="144" t="b">
        <v>0</v>
      </c>
      <c r="B139" s="184" t="e">
        <f t="shared" si="6"/>
        <v>#REF!</v>
      </c>
      <c r="C139" s="150" t="s">
        <v>493</v>
      </c>
      <c r="D139" s="317"/>
      <c r="F139" s="135"/>
      <c r="H139" s="135"/>
      <c r="J139" s="135"/>
      <c r="K139" s="135"/>
      <c r="L139" s="135"/>
      <c r="M139" s="135"/>
      <c r="N139" s="135"/>
      <c r="O139" s="138"/>
      <c r="P139" s="137"/>
    </row>
    <row r="140" spans="1:17" s="139" customFormat="1" x14ac:dyDescent="0.2">
      <c r="A140" s="144" t="b">
        <v>0</v>
      </c>
      <c r="B140" s="184" t="e">
        <f t="shared" si="6"/>
        <v>#REF!</v>
      </c>
      <c r="C140" s="163" t="s">
        <v>494</v>
      </c>
      <c r="D140" s="323">
        <f>IF(A60=TRUE,1,2)</f>
        <v>2</v>
      </c>
      <c r="F140" s="135"/>
      <c r="H140" s="135"/>
      <c r="J140" s="135"/>
      <c r="K140" s="135"/>
      <c r="L140" s="135"/>
      <c r="M140" s="135"/>
      <c r="N140" s="135"/>
      <c r="O140" s="138"/>
      <c r="P140" s="137"/>
    </row>
    <row r="141" spans="1:17" s="139" customFormat="1" x14ac:dyDescent="0.2">
      <c r="A141" s="144" t="b">
        <v>0</v>
      </c>
      <c r="B141" s="184" t="e">
        <f t="shared" si="6"/>
        <v>#REF!</v>
      </c>
      <c r="C141" s="150" t="s">
        <v>495</v>
      </c>
      <c r="D141" s="317"/>
      <c r="F141" s="135"/>
      <c r="H141" s="135"/>
      <c r="J141" s="135"/>
      <c r="K141" s="135"/>
      <c r="L141" s="135"/>
      <c r="M141" s="135"/>
      <c r="N141" s="135"/>
      <c r="O141" s="138"/>
      <c r="P141" s="137"/>
    </row>
    <row r="142" spans="1:17" s="139" customFormat="1" x14ac:dyDescent="0.2">
      <c r="A142" s="144" t="b">
        <v>0</v>
      </c>
      <c r="B142" s="184" t="e">
        <f t="shared" si="6"/>
        <v>#REF!</v>
      </c>
      <c r="C142" s="150" t="s">
        <v>496</v>
      </c>
      <c r="D142" s="317">
        <f>D63</f>
        <v>0</v>
      </c>
      <c r="F142" s="135"/>
      <c r="H142" s="135"/>
      <c r="J142" s="135"/>
      <c r="K142" s="135"/>
      <c r="L142" s="135"/>
      <c r="M142" s="135"/>
      <c r="N142" s="135"/>
      <c r="O142" s="138"/>
      <c r="P142" s="137"/>
    </row>
    <row r="143" spans="1:17" s="139" customFormat="1" x14ac:dyDescent="0.2">
      <c r="A143" s="144" t="b">
        <v>0</v>
      </c>
      <c r="B143" s="184" t="e">
        <f>#REF!+1</f>
        <v>#REF!</v>
      </c>
      <c r="C143" s="150" t="s">
        <v>497</v>
      </c>
      <c r="D143" s="317">
        <f>D65</f>
        <v>0</v>
      </c>
      <c r="F143" s="135"/>
      <c r="H143" s="135"/>
      <c r="J143" s="135"/>
      <c r="K143" s="135"/>
      <c r="L143" s="135"/>
      <c r="M143" s="135"/>
      <c r="N143" s="135"/>
      <c r="O143" s="138"/>
      <c r="P143" s="137"/>
    </row>
    <row r="144" spans="1:17" s="139" customFormat="1" x14ac:dyDescent="0.2">
      <c r="A144" s="144" t="b">
        <v>0</v>
      </c>
      <c r="B144" s="184" t="e">
        <f t="shared" si="6"/>
        <v>#REF!</v>
      </c>
      <c r="C144" s="150" t="s">
        <v>498</v>
      </c>
      <c r="D144" s="317">
        <f>D66</f>
        <v>0</v>
      </c>
      <c r="F144" s="135"/>
      <c r="H144" s="135"/>
      <c r="J144" s="135"/>
      <c r="K144" s="135"/>
      <c r="L144" s="135"/>
      <c r="M144" s="135"/>
      <c r="N144" s="135"/>
      <c r="O144" s="138"/>
      <c r="P144" s="137"/>
    </row>
    <row r="145" spans="1:17" s="139" customFormat="1" x14ac:dyDescent="0.2">
      <c r="A145" s="144" t="b">
        <v>0</v>
      </c>
      <c r="B145" s="184" t="e">
        <f t="shared" si="6"/>
        <v>#REF!</v>
      </c>
      <c r="C145" s="150" t="s">
        <v>499</v>
      </c>
      <c r="D145" s="323">
        <f>IF(A68=TRUE,1,2)</f>
        <v>2</v>
      </c>
      <c r="F145" s="135"/>
      <c r="H145" s="135"/>
      <c r="J145" s="135"/>
      <c r="K145" s="135"/>
      <c r="L145" s="135"/>
      <c r="M145" s="135"/>
      <c r="N145" s="135"/>
      <c r="O145" s="138"/>
      <c r="P145" s="137"/>
    </row>
    <row r="146" spans="1:17" s="139" customFormat="1" x14ac:dyDescent="0.2">
      <c r="A146" s="144" t="b">
        <v>0</v>
      </c>
      <c r="B146" s="184" t="e">
        <f t="shared" si="6"/>
        <v>#REF!</v>
      </c>
      <c r="C146" s="150" t="s">
        <v>500</v>
      </c>
      <c r="D146" s="317"/>
      <c r="F146" s="135"/>
      <c r="H146" s="135"/>
      <c r="J146" s="135"/>
      <c r="K146" s="135"/>
      <c r="L146" s="135"/>
      <c r="M146" s="135"/>
      <c r="N146" s="135"/>
      <c r="O146" s="138"/>
      <c r="P146" s="137"/>
    </row>
    <row r="147" spans="1:17" s="139" customFormat="1" x14ac:dyDescent="0.2">
      <c r="A147" s="144" t="b">
        <v>0</v>
      </c>
      <c r="B147" s="184" t="e">
        <f t="shared" si="6"/>
        <v>#REF!</v>
      </c>
      <c r="C147" s="150" t="s">
        <v>501</v>
      </c>
      <c r="D147" s="317"/>
      <c r="F147" s="135"/>
      <c r="H147" s="135"/>
      <c r="J147" s="135"/>
      <c r="K147" s="135"/>
      <c r="L147" s="135"/>
      <c r="M147" s="135"/>
      <c r="N147" s="135"/>
      <c r="O147" s="138"/>
      <c r="P147" s="137"/>
    </row>
    <row r="148" spans="1:17" s="139" customFormat="1" x14ac:dyDescent="0.2">
      <c r="A148" s="144" t="b">
        <v>0</v>
      </c>
      <c r="B148" s="184" t="e">
        <f t="shared" si="6"/>
        <v>#REF!</v>
      </c>
      <c r="C148" s="150" t="s">
        <v>502</v>
      </c>
      <c r="D148" s="317"/>
      <c r="F148" s="135"/>
      <c r="H148" s="135"/>
      <c r="J148" s="135"/>
      <c r="K148" s="135"/>
      <c r="L148" s="135"/>
      <c r="M148" s="135"/>
      <c r="N148" s="135"/>
      <c r="O148" s="138"/>
      <c r="P148" s="137"/>
      <c r="Q148" s="138" t="str">
        <f>IF(A148=TRUE,"Final check test pass, no issues with testing cycle or RH sensor (if fitted)","")</f>
        <v/>
      </c>
    </row>
    <row r="149" spans="1:17" s="139" customFormat="1" x14ac:dyDescent="0.2">
      <c r="A149" s="144" t="b">
        <v>1</v>
      </c>
      <c r="B149" s="184" t="e">
        <f t="shared" si="6"/>
        <v>#REF!</v>
      </c>
      <c r="C149" s="150" t="s">
        <v>503</v>
      </c>
      <c r="D149" s="316"/>
      <c r="F149" s="135"/>
      <c r="H149" s="135"/>
      <c r="J149" s="135"/>
      <c r="K149" s="135"/>
      <c r="L149" s="135"/>
      <c r="M149" s="135"/>
      <c r="N149" s="135"/>
      <c r="P149" s="137"/>
    </row>
    <row r="150" spans="1:17" s="139" customFormat="1" x14ac:dyDescent="0.2">
      <c r="A150" s="144" t="b">
        <v>0</v>
      </c>
      <c r="B150" s="184" t="e">
        <f t="shared" si="6"/>
        <v>#REF!</v>
      </c>
      <c r="C150" s="150" t="s">
        <v>504</v>
      </c>
      <c r="D150" s="316"/>
      <c r="F150" s="135"/>
      <c r="H150" s="135"/>
      <c r="J150" s="135"/>
      <c r="K150" s="135"/>
      <c r="L150" s="135"/>
      <c r="M150" s="135"/>
      <c r="N150" s="135"/>
      <c r="O150" s="138" t="str">
        <f>IF(A150=TRUE,"Temperature sensor final test PASS","")</f>
        <v/>
      </c>
      <c r="P150" s="137"/>
    </row>
    <row r="151" spans="1:17" s="139" customFormat="1" x14ac:dyDescent="0.2">
      <c r="A151" s="144" t="b">
        <v>0</v>
      </c>
      <c r="B151" s="184" t="e">
        <f t="shared" si="6"/>
        <v>#REF!</v>
      </c>
      <c r="C151" s="150" t="s">
        <v>505</v>
      </c>
      <c r="D151" s="323">
        <f>IF(A69=TRUE,1,2)</f>
        <v>2</v>
      </c>
      <c r="E151" s="135"/>
      <c r="I151" s="135"/>
      <c r="J151" s="135"/>
      <c r="K151" s="135"/>
      <c r="L151" s="135"/>
      <c r="M151" s="135"/>
      <c r="N151" s="135"/>
      <c r="O151" s="138"/>
      <c r="P151" s="137"/>
    </row>
    <row r="152" spans="1:17" s="139" customFormat="1" x14ac:dyDescent="0.2">
      <c r="A152" s="144" t="b">
        <v>0</v>
      </c>
      <c r="B152" s="184" t="e">
        <f t="shared" si="6"/>
        <v>#REF!</v>
      </c>
      <c r="C152" s="150" t="s">
        <v>506</v>
      </c>
      <c r="D152" s="327" t="str">
        <f>D61</f>
        <v>-</v>
      </c>
      <c r="E152" s="135"/>
      <c r="I152" s="135"/>
      <c r="J152" s="135"/>
      <c r="K152" s="135"/>
      <c r="L152" s="135"/>
      <c r="M152" s="135"/>
      <c r="N152" s="135"/>
      <c r="O152" s="138"/>
      <c r="P152" s="137"/>
    </row>
    <row r="153" spans="1:17" s="139" customFormat="1" x14ac:dyDescent="0.2">
      <c r="A153" s="144" t="b">
        <v>0</v>
      </c>
      <c r="B153" s="184" t="e">
        <f t="shared" si="6"/>
        <v>#REF!</v>
      </c>
      <c r="C153" s="150" t="s">
        <v>507</v>
      </c>
      <c r="D153" s="323">
        <f>IF(A58=TRUE,1,2)</f>
        <v>2</v>
      </c>
      <c r="F153" s="135"/>
      <c r="H153" s="135"/>
      <c r="J153" s="135"/>
      <c r="K153" s="135"/>
      <c r="L153" s="135"/>
      <c r="M153" s="135"/>
      <c r="N153" s="135"/>
      <c r="O153" s="138"/>
      <c r="P153" s="137"/>
    </row>
    <row r="154" spans="1:17" s="139" customFormat="1" x14ac:dyDescent="0.2">
      <c r="A154" s="144" t="b">
        <v>0</v>
      </c>
      <c r="B154" s="184" t="e">
        <f t="shared" si="6"/>
        <v>#REF!</v>
      </c>
      <c r="C154" s="150" t="s">
        <v>508</v>
      </c>
      <c r="D154" s="323">
        <f>IF(A46=TRUE,1,2)</f>
        <v>2</v>
      </c>
      <c r="F154" s="135"/>
      <c r="H154" s="135"/>
      <c r="J154" s="135"/>
      <c r="K154" s="135"/>
      <c r="L154" s="135"/>
      <c r="M154" s="135"/>
      <c r="N154" s="135"/>
      <c r="O154" s="137"/>
      <c r="P154" s="137"/>
      <c r="Q154" s="138" t="str">
        <f>IF(A154= TRUE,"Simulated test option set to received","")</f>
        <v/>
      </c>
    </row>
    <row r="155" spans="1:17" s="139" customFormat="1" x14ac:dyDescent="0.2">
      <c r="A155" s="144" t="b">
        <v>0</v>
      </c>
      <c r="B155" s="184"/>
      <c r="C155" s="485" t="s">
        <v>509</v>
      </c>
      <c r="D155" s="485"/>
      <c r="F155" s="135"/>
      <c r="H155" s="135"/>
      <c r="J155" s="135"/>
      <c r="K155" s="135"/>
      <c r="L155" s="135"/>
      <c r="M155" s="135"/>
      <c r="N155" s="135"/>
      <c r="O155" s="138"/>
      <c r="P155" s="137"/>
    </row>
    <row r="156" spans="1:17" s="139" customFormat="1" x14ac:dyDescent="0.2">
      <c r="A156" s="144" t="b">
        <v>0</v>
      </c>
      <c r="B156" s="184" t="e">
        <f>#REF!+1</f>
        <v>#REF!</v>
      </c>
      <c r="C156" s="150" t="s">
        <v>510</v>
      </c>
      <c r="D156" s="317"/>
      <c r="F156" s="135"/>
      <c r="H156" s="135"/>
      <c r="J156" s="135"/>
      <c r="K156" s="135"/>
      <c r="L156" s="135"/>
      <c r="M156" s="135"/>
      <c r="N156" s="135"/>
      <c r="O156" s="138"/>
      <c r="P156" s="137"/>
    </row>
    <row r="157" spans="1:17" s="139" customFormat="1" x14ac:dyDescent="0.2">
      <c r="A157" s="144" t="b">
        <v>0</v>
      </c>
      <c r="B157" s="184" t="e">
        <f>#REF!+1</f>
        <v>#REF!</v>
      </c>
      <c r="C157" s="150" t="s">
        <v>511</v>
      </c>
      <c r="D157" s="317" t="str">
        <f>D49</f>
        <v>-</v>
      </c>
      <c r="E157" s="135"/>
      <c r="I157" s="135"/>
      <c r="J157" s="135"/>
      <c r="K157" s="135"/>
      <c r="L157" s="135"/>
      <c r="M157" s="135"/>
      <c r="N157" s="135"/>
      <c r="P157" s="137"/>
      <c r="Q157" s="138" t="str">
        <f>IF(A157=TRUE,"Language set to when received","LANGUAGE NOT CORRECT")</f>
        <v>LANGUAGE NOT CORRECT</v>
      </c>
    </row>
    <row r="158" spans="1:17" s="139" customFormat="1" x14ac:dyDescent="0.2">
      <c r="A158" s="144" t="b">
        <v>0</v>
      </c>
      <c r="B158" s="184" t="e">
        <f>B156+1</f>
        <v>#REF!</v>
      </c>
      <c r="C158" s="150" t="s">
        <v>512</v>
      </c>
      <c r="D158" s="317"/>
      <c r="F158" s="135"/>
      <c r="H158" s="135"/>
      <c r="J158" s="135"/>
      <c r="K158" s="135"/>
      <c r="L158" s="135"/>
      <c r="M158" s="135"/>
      <c r="N158" s="135"/>
      <c r="O158" s="138"/>
      <c r="P158" s="137"/>
    </row>
    <row r="159" spans="1:17" s="139" customFormat="1" x14ac:dyDescent="0.2">
      <c r="A159" s="144" t="b">
        <v>0</v>
      </c>
      <c r="B159" s="184" t="e">
        <f t="shared" ref="B159:B177" si="7">B158+1</f>
        <v>#REF!</v>
      </c>
      <c r="C159" s="150" t="s">
        <v>513</v>
      </c>
      <c r="D159" s="317"/>
      <c r="F159" s="135"/>
      <c r="H159" s="135"/>
      <c r="J159" s="135"/>
      <c r="K159" s="135"/>
      <c r="L159" s="135"/>
      <c r="M159" s="135"/>
      <c r="N159" s="135"/>
      <c r="O159" s="138"/>
      <c r="P159" s="137"/>
    </row>
    <row r="160" spans="1:17" s="139" customFormat="1" x14ac:dyDescent="0.2">
      <c r="A160" s="144" t="b">
        <v>0</v>
      </c>
      <c r="B160" s="184" t="e">
        <f t="shared" si="7"/>
        <v>#REF!</v>
      </c>
      <c r="C160" s="150" t="s">
        <v>514</v>
      </c>
      <c r="D160" s="328"/>
      <c r="F160" s="135"/>
      <c r="H160" s="135"/>
      <c r="J160" s="135"/>
      <c r="K160" s="135"/>
      <c r="L160" s="135"/>
      <c r="M160" s="135"/>
      <c r="N160" s="135"/>
      <c r="O160" s="137"/>
      <c r="P160" s="137"/>
    </row>
    <row r="161" spans="1:73" s="139" customFormat="1" x14ac:dyDescent="0.2">
      <c r="A161" s="144" t="b">
        <v>0</v>
      </c>
      <c r="B161" s="184"/>
      <c r="C161" s="485" t="s">
        <v>515</v>
      </c>
      <c r="D161" s="485"/>
      <c r="F161" s="135"/>
      <c r="H161" s="135"/>
      <c r="J161" s="135"/>
      <c r="K161" s="135"/>
      <c r="L161" s="135"/>
      <c r="M161" s="135"/>
      <c r="N161" s="135"/>
      <c r="O161" s="138"/>
      <c r="P161" s="137"/>
    </row>
    <row r="162" spans="1:73" s="139" customFormat="1" x14ac:dyDescent="0.2">
      <c r="A162" s="144" t="b">
        <v>0</v>
      </c>
      <c r="B162" s="184" t="e">
        <f>B160+1</f>
        <v>#REF!</v>
      </c>
      <c r="C162" s="150" t="s">
        <v>516</v>
      </c>
      <c r="D162" s="317"/>
      <c r="F162" s="135"/>
      <c r="H162" s="135"/>
      <c r="J162" s="135"/>
      <c r="K162" s="135"/>
      <c r="L162" s="135"/>
      <c r="M162" s="135"/>
      <c r="N162" s="135"/>
      <c r="O162" s="138"/>
      <c r="P162" s="137"/>
      <c r="Q162" s="138" t="str">
        <f>IF(A162=TRUE,"Faceplate screws fitted and bracket checked","")</f>
        <v/>
      </c>
    </row>
    <row r="163" spans="1:73" s="139" customFormat="1" x14ac:dyDescent="0.2">
      <c r="A163" s="144" t="b">
        <v>0</v>
      </c>
      <c r="B163" s="184" t="e">
        <f>B162+1</f>
        <v>#REF!</v>
      </c>
      <c r="C163" s="150" t="s">
        <v>517</v>
      </c>
      <c r="D163" s="329"/>
      <c r="E163" s="157"/>
      <c r="G163" s="152"/>
      <c r="H163" s="152"/>
      <c r="I163" s="152"/>
      <c r="J163" s="152"/>
      <c r="L163" s="145"/>
      <c r="M163" s="145"/>
      <c r="N163" s="145"/>
      <c r="O163" s="138"/>
      <c r="P163" s="137"/>
    </row>
    <row r="164" spans="1:73" s="139" customFormat="1" x14ac:dyDescent="0.2">
      <c r="A164" s="144" t="b">
        <v>0</v>
      </c>
      <c r="B164" s="184" t="e">
        <f t="shared" si="7"/>
        <v>#REF!</v>
      </c>
      <c r="C164" s="150" t="s">
        <v>518</v>
      </c>
      <c r="D164" s="314"/>
      <c r="E164" s="157"/>
      <c r="G164" s="152"/>
      <c r="H164" s="152"/>
      <c r="I164" s="152"/>
      <c r="J164" s="152"/>
      <c r="L164" s="145"/>
      <c r="M164" s="145"/>
      <c r="N164" s="145"/>
      <c r="O164" s="138"/>
      <c r="P164" s="137"/>
    </row>
    <row r="165" spans="1:73" s="217" customFormat="1" x14ac:dyDescent="0.2">
      <c r="A165" s="144" t="b">
        <v>0</v>
      </c>
      <c r="B165" s="184" t="e">
        <f t="shared" si="7"/>
        <v>#REF!</v>
      </c>
      <c r="C165" s="330" t="s">
        <v>519</v>
      </c>
      <c r="D165" s="314"/>
      <c r="E165" s="157"/>
      <c r="F165" s="139"/>
      <c r="G165" s="152"/>
      <c r="H165" s="152"/>
      <c r="I165" s="152"/>
      <c r="J165" s="152"/>
      <c r="K165" s="139"/>
      <c r="L165" s="145"/>
      <c r="M165" s="145"/>
      <c r="N165" s="145"/>
      <c r="O165" s="138"/>
      <c r="P165" s="137"/>
      <c r="Q165" s="139"/>
      <c r="R165" s="139"/>
      <c r="S165" s="139"/>
      <c r="T165" s="139"/>
      <c r="U165" s="139"/>
      <c r="V165" s="139"/>
      <c r="W165" s="139"/>
      <c r="X165" s="139"/>
      <c r="Y165" s="139"/>
      <c r="Z165" s="139"/>
      <c r="AA165" s="139"/>
      <c r="AB165" s="139"/>
      <c r="AC165" s="139"/>
      <c r="AD165" s="139"/>
      <c r="AE165" s="139"/>
      <c r="AF165" s="139"/>
      <c r="AG165" s="139"/>
      <c r="AH165" s="139"/>
      <c r="AI165" s="139"/>
      <c r="AJ165" s="139"/>
      <c r="AK165" s="139"/>
      <c r="AL165" s="139"/>
      <c r="AM165" s="139"/>
      <c r="AN165" s="139"/>
      <c r="AO165" s="139"/>
      <c r="AP165" s="139"/>
      <c r="AQ165" s="139"/>
      <c r="AR165" s="139"/>
      <c r="AS165" s="139"/>
      <c r="AT165" s="139"/>
      <c r="AU165" s="139"/>
      <c r="AV165" s="139"/>
      <c r="AW165" s="139"/>
      <c r="AX165" s="139"/>
      <c r="AY165" s="139"/>
      <c r="AZ165" s="139"/>
      <c r="BA165" s="139"/>
      <c r="BB165" s="139"/>
      <c r="BC165" s="139"/>
      <c r="BD165" s="139"/>
      <c r="BE165" s="139"/>
      <c r="BF165" s="139"/>
      <c r="BG165" s="139"/>
      <c r="BH165" s="139"/>
      <c r="BI165" s="139"/>
      <c r="BJ165" s="139"/>
      <c r="BK165" s="139"/>
      <c r="BL165" s="139"/>
      <c r="BM165" s="139"/>
      <c r="BN165" s="139"/>
      <c r="BO165" s="139"/>
      <c r="BP165" s="139"/>
      <c r="BQ165" s="139"/>
      <c r="BR165" s="139"/>
      <c r="BS165" s="139"/>
      <c r="BT165" s="139"/>
      <c r="BU165" s="139"/>
    </row>
    <row r="166" spans="1:73" s="217" customFormat="1" x14ac:dyDescent="0.2">
      <c r="A166" s="144" t="b">
        <v>0</v>
      </c>
      <c r="B166" s="184" t="e">
        <f t="shared" si="7"/>
        <v>#REF!</v>
      </c>
      <c r="C166" s="331" t="s">
        <v>520</v>
      </c>
      <c r="D166" s="316" t="s">
        <v>321</v>
      </c>
      <c r="E166" s="163"/>
      <c r="F166" s="163"/>
      <c r="G166" s="163"/>
      <c r="H166" s="163"/>
      <c r="I166" s="163"/>
      <c r="J166" s="163"/>
      <c r="K166" s="163"/>
      <c r="L166" s="163"/>
      <c r="M166" s="163"/>
      <c r="N166" s="139"/>
      <c r="O166" s="138"/>
      <c r="P166" s="138"/>
      <c r="Q166" s="139"/>
      <c r="R166" s="139"/>
      <c r="S166" s="139"/>
      <c r="T166" s="139"/>
      <c r="U166" s="139"/>
      <c r="V166" s="139"/>
      <c r="W166" s="139"/>
      <c r="X166" s="139"/>
      <c r="Y166" s="139"/>
      <c r="Z166" s="139"/>
      <c r="AA166" s="139"/>
      <c r="AB166" s="139"/>
      <c r="AC166" s="139"/>
      <c r="AD166" s="139"/>
      <c r="AE166" s="139"/>
      <c r="AF166" s="139"/>
      <c r="AG166" s="139"/>
      <c r="AH166" s="139"/>
      <c r="AI166" s="139"/>
      <c r="AJ166" s="139"/>
      <c r="AK166" s="139"/>
      <c r="AL166" s="139"/>
      <c r="AM166" s="139"/>
      <c r="AN166" s="139"/>
      <c r="AO166" s="139"/>
      <c r="AP166" s="139"/>
      <c r="AQ166" s="139"/>
      <c r="AR166" s="139"/>
      <c r="AS166" s="139"/>
      <c r="AT166" s="139"/>
      <c r="AU166" s="139"/>
      <c r="AV166" s="139"/>
      <c r="AW166" s="139"/>
      <c r="AX166" s="139"/>
      <c r="AY166" s="139"/>
      <c r="AZ166" s="139"/>
      <c r="BA166" s="139"/>
      <c r="BB166" s="139"/>
      <c r="BC166" s="139"/>
      <c r="BD166" s="139"/>
      <c r="BE166" s="139"/>
      <c r="BF166" s="139"/>
      <c r="BG166" s="139"/>
      <c r="BH166" s="139"/>
      <c r="BI166" s="139"/>
      <c r="BJ166" s="139"/>
      <c r="BK166" s="139"/>
      <c r="BL166" s="139"/>
      <c r="BM166" s="139"/>
      <c r="BN166" s="139"/>
      <c r="BO166" s="139"/>
      <c r="BP166" s="139"/>
      <c r="BQ166" s="139"/>
      <c r="BR166" s="139"/>
      <c r="BS166" s="139"/>
      <c r="BT166" s="139"/>
      <c r="BU166" s="139"/>
    </row>
    <row r="167" spans="1:73" s="139" customFormat="1" x14ac:dyDescent="0.2">
      <c r="A167" s="144" t="b">
        <v>0</v>
      </c>
      <c r="B167" s="184"/>
      <c r="C167" s="485" t="s">
        <v>521</v>
      </c>
      <c r="D167" s="519"/>
      <c r="F167" s="135"/>
      <c r="H167" s="135"/>
      <c r="J167" s="135"/>
      <c r="K167" s="135"/>
      <c r="L167" s="135"/>
      <c r="M167" s="135"/>
      <c r="N167" s="135"/>
      <c r="O167" s="138"/>
      <c r="P167" s="137"/>
    </row>
    <row r="168" spans="1:73" s="139" customFormat="1" x14ac:dyDescent="0.2">
      <c r="A168" s="144" t="b">
        <v>1</v>
      </c>
      <c r="B168" s="184" t="e">
        <f>B166+1</f>
        <v>#REF!</v>
      </c>
      <c r="C168" s="150" t="s">
        <v>522</v>
      </c>
      <c r="D168" s="317"/>
      <c r="H168" s="135"/>
      <c r="J168" s="135"/>
      <c r="K168" s="135"/>
      <c r="L168" s="135"/>
      <c r="M168" s="135"/>
      <c r="N168" s="135"/>
      <c r="O168" s="138" t="str">
        <f>IF(A168=TRUE,"2 copies of calibration certificate included, one in unit one on outside of box","")</f>
        <v>2 copies of calibration certificate included, one in unit one on outside of box</v>
      </c>
      <c r="P168" s="137"/>
    </row>
    <row r="169" spans="1:73" s="139" customFormat="1" x14ac:dyDescent="0.2">
      <c r="A169" s="144" t="b">
        <v>1</v>
      </c>
      <c r="B169" s="184" t="e">
        <f t="shared" si="7"/>
        <v>#REF!</v>
      </c>
      <c r="C169" s="150" t="s">
        <v>523</v>
      </c>
      <c r="D169" s="317"/>
      <c r="H169" s="135"/>
      <c r="J169" s="135"/>
      <c r="K169" s="135"/>
      <c r="L169" s="135"/>
      <c r="M169" s="135"/>
      <c r="N169" s="135"/>
      <c r="O169" s="138" t="str">
        <f>IF(A169=TRUE,"2 copies of service report included, one in unit one on outside of box","")</f>
        <v>2 copies of service report included, one in unit one on outside of box</v>
      </c>
      <c r="P169" s="137"/>
    </row>
    <row r="170" spans="1:73" s="139" customFormat="1" x14ac:dyDescent="0.2">
      <c r="A170" s="144" t="b">
        <v>1</v>
      </c>
      <c r="B170" s="184" t="e">
        <f t="shared" si="7"/>
        <v>#REF!</v>
      </c>
      <c r="C170" s="150" t="s">
        <v>524</v>
      </c>
      <c r="D170" s="317"/>
      <c r="F170" s="135"/>
      <c r="H170" s="135"/>
      <c r="J170" s="135"/>
      <c r="K170" s="135"/>
      <c r="L170" s="135"/>
      <c r="M170" s="135"/>
      <c r="N170" s="135"/>
      <c r="O170" s="138"/>
      <c r="P170" s="137"/>
    </row>
    <row r="171" spans="1:73" s="139" customFormat="1" x14ac:dyDescent="0.2">
      <c r="A171" s="144" t="b">
        <v>1</v>
      </c>
      <c r="B171" s="184" t="e">
        <f t="shared" si="7"/>
        <v>#REF!</v>
      </c>
      <c r="C171" s="150" t="s">
        <v>525</v>
      </c>
      <c r="D171" s="317"/>
      <c r="F171" s="135"/>
      <c r="H171" s="135"/>
      <c r="J171" s="135"/>
      <c r="K171" s="135"/>
      <c r="L171" s="135"/>
      <c r="M171" s="135"/>
      <c r="N171" s="135"/>
      <c r="O171" s="138"/>
      <c r="P171" s="137"/>
    </row>
    <row r="172" spans="1:73" s="139" customFormat="1" x14ac:dyDescent="0.2">
      <c r="A172" s="144" t="b">
        <v>1</v>
      </c>
      <c r="B172" s="184" t="e">
        <f t="shared" si="7"/>
        <v>#REF!</v>
      </c>
      <c r="C172" s="150" t="s">
        <v>526</v>
      </c>
      <c r="D172" s="317"/>
      <c r="H172" s="135"/>
      <c r="J172" s="135"/>
      <c r="K172" s="135"/>
      <c r="L172" s="135"/>
      <c r="M172" s="135"/>
      <c r="N172" s="135"/>
      <c r="O172" s="138"/>
      <c r="P172" s="137"/>
    </row>
    <row r="173" spans="1:73" s="139" customFormat="1" x14ac:dyDescent="0.2">
      <c r="A173" s="144" t="b">
        <v>1</v>
      </c>
      <c r="B173" s="184" t="e">
        <f t="shared" si="7"/>
        <v>#REF!</v>
      </c>
      <c r="C173" s="150" t="s">
        <v>527</v>
      </c>
      <c r="D173" s="317"/>
      <c r="H173" s="135"/>
      <c r="J173" s="135"/>
      <c r="K173" s="135"/>
      <c r="L173" s="135"/>
      <c r="M173" s="135"/>
      <c r="N173" s="135"/>
      <c r="O173" s="138"/>
      <c r="P173" s="137"/>
    </row>
    <row r="174" spans="1:73" s="139" customFormat="1" x14ac:dyDescent="0.2">
      <c r="A174" s="144" t="b">
        <v>1</v>
      </c>
      <c r="B174" s="184" t="e">
        <f t="shared" si="7"/>
        <v>#REF!</v>
      </c>
      <c r="C174" s="136" t="s">
        <v>528</v>
      </c>
      <c r="D174" s="332"/>
      <c r="E174" s="157"/>
      <c r="F174" s="157"/>
      <c r="G174" s="157"/>
      <c r="H174" s="157"/>
      <c r="I174" s="157"/>
      <c r="J174" s="157"/>
      <c r="K174" s="157"/>
      <c r="L174" s="157"/>
      <c r="M174" s="157"/>
      <c r="N174" s="157"/>
      <c r="O174" s="138" t="str">
        <f>IF(A174=TRUE,"AX WO processed","WO still to be completed")</f>
        <v>AX WO processed</v>
      </c>
      <c r="P174" s="137"/>
    </row>
    <row r="175" spans="1:73" s="139" customFormat="1" x14ac:dyDescent="0.2">
      <c r="A175" s="144" t="b">
        <v>1</v>
      </c>
      <c r="B175" s="184" t="e">
        <f t="shared" si="7"/>
        <v>#REF!</v>
      </c>
      <c r="C175" s="136" t="s">
        <v>529</v>
      </c>
      <c r="D175" s="332"/>
      <c r="E175" s="157"/>
      <c r="F175" s="157"/>
      <c r="G175" s="157"/>
      <c r="H175" s="157"/>
      <c r="I175" s="157"/>
      <c r="J175" s="157"/>
      <c r="K175" s="157"/>
      <c r="L175" s="157"/>
      <c r="M175" s="157"/>
      <c r="N175" s="157"/>
      <c r="O175" s="138" t="str">
        <f>IF(A175=TRUE,"Online booking status updated","Online update still required")</f>
        <v>Online booking status updated</v>
      </c>
      <c r="P175" s="137"/>
    </row>
    <row r="176" spans="1:73" s="139" customFormat="1" ht="15.75" x14ac:dyDescent="0.2">
      <c r="A176" s="144" t="b">
        <v>0</v>
      </c>
      <c r="B176" s="184" t="e">
        <f t="shared" si="7"/>
        <v>#REF!</v>
      </c>
      <c r="C176" s="150" t="s">
        <v>457</v>
      </c>
      <c r="D176" s="299">
        <f>D111</f>
        <v>0</v>
      </c>
      <c r="E176" s="487" t="s">
        <v>372</v>
      </c>
      <c r="F176" s="487"/>
      <c r="G176" s="515" t="str">
        <f>IF(D176=D18,"ON TIME",IF(D176&gt;D18,"LATE",IF(D176&lt;D18,"EARLY")))</f>
        <v>ON TIME</v>
      </c>
      <c r="H176" s="515"/>
      <c r="I176" s="515"/>
      <c r="J176" s="515"/>
      <c r="K176" s="515"/>
      <c r="L176" s="515"/>
      <c r="M176" s="515"/>
      <c r="N176" s="515"/>
      <c r="O176" s="138"/>
      <c r="P176" s="137"/>
    </row>
    <row r="177" spans="1:16" s="139" customFormat="1" x14ac:dyDescent="0.2">
      <c r="A177" s="144" t="b">
        <v>0</v>
      </c>
      <c r="B177" s="184" t="e">
        <f t="shared" si="7"/>
        <v>#REF!</v>
      </c>
      <c r="C177" s="136" t="s">
        <v>520</v>
      </c>
      <c r="D177" s="316" t="s">
        <v>321</v>
      </c>
      <c r="E177" s="163"/>
      <c r="F177" s="163"/>
      <c r="G177" s="163"/>
      <c r="H177" s="163"/>
      <c r="I177" s="163"/>
      <c r="J177" s="163"/>
      <c r="K177" s="163"/>
      <c r="L177" s="163"/>
      <c r="M177" s="163"/>
      <c r="O177" s="138"/>
      <c r="P177" s="137"/>
    </row>
    <row r="178" spans="1:16" ht="15" customHeight="1" x14ac:dyDescent="0.2">
      <c r="B178" s="184"/>
      <c r="D178" s="218"/>
    </row>
    <row r="179" spans="1:16" ht="15" customHeight="1" x14ac:dyDescent="0.25">
      <c r="B179" s="184"/>
      <c r="C179" s="219" t="s">
        <v>530</v>
      </c>
      <c r="D179" s="218"/>
    </row>
    <row r="180" spans="1:16" ht="15" customHeight="1" x14ac:dyDescent="0.25">
      <c r="B180" s="184"/>
      <c r="C180" s="205" t="s">
        <v>531</v>
      </c>
      <c r="D180" s="333" t="b">
        <f>IF(D10="NEW BUILD", "Y")</f>
        <v>0</v>
      </c>
    </row>
    <row r="181" spans="1:16" ht="15" customHeight="1" x14ac:dyDescent="0.2">
      <c r="B181" s="184"/>
      <c r="C181" s="493" t="s">
        <v>532</v>
      </c>
      <c r="D181" s="493"/>
      <c r="E181" s="493"/>
      <c r="F181" s="496"/>
      <c r="G181" s="496"/>
      <c r="H181" s="496"/>
    </row>
    <row r="182" spans="1:16" ht="15" customHeight="1" x14ac:dyDescent="0.2">
      <c r="B182" s="184"/>
      <c r="C182" s="188" t="str">
        <f>IF(D180="Y", "NEW BUILD UNIT, SERVICE REPORT NOT APPLICABLE"," ")</f>
        <v xml:space="preserve"> </v>
      </c>
    </row>
    <row r="183" spans="1:16" ht="91.15" customHeight="1" x14ac:dyDescent="0.2">
      <c r="B183" s="184" t="e">
        <f>B177+1</f>
        <v>#REF!</v>
      </c>
      <c r="C183" s="494" t="s">
        <v>533</v>
      </c>
      <c r="D183" s="495"/>
      <c r="E183" s="495"/>
      <c r="F183" s="495"/>
      <c r="G183" s="495"/>
      <c r="H183" s="495"/>
      <c r="I183" s="495"/>
      <c r="J183" s="495"/>
      <c r="K183" s="495"/>
      <c r="L183" s="495"/>
      <c r="M183" s="495"/>
      <c r="N183" s="495"/>
      <c r="O183" s="495"/>
    </row>
    <row r="184" spans="1:16" ht="15" customHeight="1" x14ac:dyDescent="0.2">
      <c r="B184" s="184"/>
    </row>
    <row r="185" spans="1:16" ht="15" customHeight="1" x14ac:dyDescent="0.2">
      <c r="B185" s="184"/>
      <c r="C185" s="493" t="s">
        <v>534</v>
      </c>
      <c r="D185" s="496"/>
      <c r="E185" s="496"/>
    </row>
    <row r="186" spans="1:16" ht="15" customHeight="1" x14ac:dyDescent="0.2">
      <c r="B186" s="184"/>
      <c r="C186" s="188" t="str">
        <f>IF(D180="Y", "NEW BUILD UNIT, SERVICE REPORT NOT APPLICABLE","")</f>
        <v/>
      </c>
    </row>
    <row r="187" spans="1:16" ht="60" customHeight="1" x14ac:dyDescent="0.2">
      <c r="B187" s="184" t="e">
        <f>B183+1</f>
        <v>#REF!</v>
      </c>
      <c r="C187" s="495"/>
      <c r="D187" s="495"/>
      <c r="E187" s="495"/>
      <c r="F187" s="495"/>
      <c r="G187" s="495"/>
      <c r="H187" s="495"/>
      <c r="I187" s="495"/>
      <c r="J187" s="495"/>
      <c r="K187" s="495"/>
      <c r="L187" s="495"/>
      <c r="M187" s="495"/>
      <c r="N187" s="495"/>
      <c r="O187" s="495"/>
    </row>
    <row r="188" spans="1:16" ht="15" customHeight="1" x14ac:dyDescent="0.2">
      <c r="B188" s="184"/>
    </row>
    <row r="189" spans="1:16" ht="15" customHeight="1" x14ac:dyDescent="0.2">
      <c r="B189" s="184"/>
      <c r="C189" s="493" t="s">
        <v>535</v>
      </c>
      <c r="D189" s="493"/>
      <c r="E189" s="493"/>
    </row>
    <row r="190" spans="1:16" ht="15" customHeight="1" x14ac:dyDescent="0.2">
      <c r="B190" s="184"/>
      <c r="C190" s="188" t="str">
        <f>IF(D180="Y", "NEW BUILD UNIT, SERVICE REPORT NOT APPLICABLE","")</f>
        <v/>
      </c>
    </row>
    <row r="191" spans="1:16" ht="52.15" customHeight="1" x14ac:dyDescent="0.2">
      <c r="B191" s="184" t="e">
        <f>B187+1</f>
        <v>#REF!</v>
      </c>
      <c r="C191" s="495"/>
      <c r="D191" s="495"/>
      <c r="E191" s="495"/>
      <c r="F191" s="495"/>
      <c r="G191" s="495"/>
      <c r="H191" s="495"/>
      <c r="I191" s="495"/>
      <c r="J191" s="495"/>
      <c r="K191" s="495"/>
      <c r="L191" s="495"/>
      <c r="M191" s="495"/>
      <c r="N191" s="495"/>
      <c r="O191" s="495"/>
    </row>
    <row r="192" spans="1:16" ht="15" customHeight="1" x14ac:dyDescent="0.2">
      <c r="B192" s="184"/>
    </row>
    <row r="193" spans="2:15" ht="15" customHeight="1" x14ac:dyDescent="0.2">
      <c r="B193" s="184"/>
      <c r="C193" s="493" t="s">
        <v>536</v>
      </c>
      <c r="D193" s="493"/>
    </row>
    <row r="194" spans="2:15" ht="15" customHeight="1" x14ac:dyDescent="0.2">
      <c r="B194" s="184"/>
      <c r="C194" s="188" t="str">
        <f>IF(D180="Y", "NEW BUILD UNIT, SERVICE REPORT NOT APPLICABLE","")</f>
        <v/>
      </c>
    </row>
    <row r="195" spans="2:15" ht="55.15" customHeight="1" x14ac:dyDescent="0.2">
      <c r="B195" s="184" t="e">
        <f>B191+1</f>
        <v>#REF!</v>
      </c>
      <c r="C195" s="497"/>
      <c r="D195" s="498"/>
      <c r="E195" s="498"/>
      <c r="F195" s="498"/>
      <c r="G195" s="498"/>
      <c r="H195" s="498"/>
      <c r="I195" s="498"/>
      <c r="J195" s="498"/>
      <c r="K195" s="498"/>
      <c r="L195" s="498"/>
      <c r="M195" s="498"/>
      <c r="N195" s="498"/>
      <c r="O195" s="499"/>
    </row>
    <row r="196" spans="2:15" ht="15" customHeight="1" x14ac:dyDescent="0.2">
      <c r="B196" s="184"/>
    </row>
    <row r="197" spans="2:15" ht="14.25" customHeight="1" x14ac:dyDescent="0.2">
      <c r="B197" s="184" t="e">
        <f>B195+1</f>
        <v>#REF!</v>
      </c>
      <c r="C197" s="188" t="s">
        <v>537</v>
      </c>
      <c r="D197" s="305" t="s">
        <v>321</v>
      </c>
      <c r="E197" s="105"/>
    </row>
    <row r="198" spans="2:15" ht="15" customHeight="1" x14ac:dyDescent="0.2">
      <c r="B198" s="184" t="e">
        <f t="shared" si="1"/>
        <v>#REF!</v>
      </c>
      <c r="C198" s="188" t="s">
        <v>538</v>
      </c>
      <c r="D198" s="305"/>
      <c r="E198" s="220"/>
    </row>
    <row r="199" spans="2:15" ht="15" customHeight="1" x14ac:dyDescent="0.2">
      <c r="E199" s="220"/>
    </row>
  </sheetData>
  <sheetProtection selectLockedCells="1"/>
  <mergeCells count="59">
    <mergeCell ref="C110:O110"/>
    <mergeCell ref="E113:N113"/>
    <mergeCell ref="E176:F176"/>
    <mergeCell ref="G176:N176"/>
    <mergeCell ref="C161:D161"/>
    <mergeCell ref="C167:D167"/>
    <mergeCell ref="E95:N95"/>
    <mergeCell ref="E97:N97"/>
    <mergeCell ref="C106:O106"/>
    <mergeCell ref="E107:F107"/>
    <mergeCell ref="G107:N107"/>
    <mergeCell ref="E105:F105"/>
    <mergeCell ref="G105:N105"/>
    <mergeCell ref="C98:O98"/>
    <mergeCell ref="E93:N93"/>
    <mergeCell ref="E94:N94"/>
    <mergeCell ref="E89:K89"/>
    <mergeCell ref="I90:N90"/>
    <mergeCell ref="C91:O91"/>
    <mergeCell ref="E92:F92"/>
    <mergeCell ref="G92:N92"/>
    <mergeCell ref="C195:O195"/>
    <mergeCell ref="E9:P9"/>
    <mergeCell ref="E6:P6"/>
    <mergeCell ref="E7:P7"/>
    <mergeCell ref="E8:P8"/>
    <mergeCell ref="E10:P10"/>
    <mergeCell ref="E11:P11"/>
    <mergeCell ref="E12:P12"/>
    <mergeCell ref="E14:P14"/>
    <mergeCell ref="C185:E185"/>
    <mergeCell ref="C75:O75"/>
    <mergeCell ref="E76:N76"/>
    <mergeCell ref="E79:N79"/>
    <mergeCell ref="E81:N81"/>
    <mergeCell ref="C82:O82"/>
    <mergeCell ref="E83:J83"/>
    <mergeCell ref="C193:D193"/>
    <mergeCell ref="C183:O183"/>
    <mergeCell ref="C187:O187"/>
    <mergeCell ref="C191:O191"/>
    <mergeCell ref="C181:H181"/>
    <mergeCell ref="C189:E189"/>
    <mergeCell ref="C30:N30"/>
    <mergeCell ref="C19:N19"/>
    <mergeCell ref="C114:M114"/>
    <mergeCell ref="C133:D133"/>
    <mergeCell ref="C155:D155"/>
    <mergeCell ref="E80:N80"/>
    <mergeCell ref="E31:F31"/>
    <mergeCell ref="G31:N31"/>
    <mergeCell ref="E55:N55"/>
    <mergeCell ref="E85:N85"/>
    <mergeCell ref="E86:J86"/>
    <mergeCell ref="K86:N86"/>
    <mergeCell ref="E87:N87"/>
    <mergeCell ref="E88:J88"/>
    <mergeCell ref="K88:N88"/>
    <mergeCell ref="K83:N83"/>
  </mergeCells>
  <conditionalFormatting sqref="C47">
    <cfRule type="expression" dxfId="409" priority="42">
      <formula>$A$47</formula>
    </cfRule>
  </conditionalFormatting>
  <conditionalFormatting sqref="C55">
    <cfRule type="expression" dxfId="408" priority="256">
      <formula>$A$55</formula>
    </cfRule>
  </conditionalFormatting>
  <conditionalFormatting sqref="C59">
    <cfRule type="expression" dxfId="407" priority="246">
      <formula>$A$59</formula>
    </cfRule>
  </conditionalFormatting>
  <conditionalFormatting sqref="C62">
    <cfRule type="expression" dxfId="406" priority="255">
      <formula>$A$62</formula>
    </cfRule>
  </conditionalFormatting>
  <conditionalFormatting sqref="C74">
    <cfRule type="expression" dxfId="405" priority="7">
      <formula>$A$74</formula>
    </cfRule>
  </conditionalFormatting>
  <conditionalFormatting sqref="C76">
    <cfRule type="expression" dxfId="404" priority="240">
      <formula>$A$76</formula>
    </cfRule>
  </conditionalFormatting>
  <conditionalFormatting sqref="C77">
    <cfRule type="expression" dxfId="403" priority="97">
      <formula>$A$77</formula>
    </cfRule>
  </conditionalFormatting>
  <conditionalFormatting sqref="C78">
    <cfRule type="expression" dxfId="402" priority="237">
      <formula>$A$78</formula>
    </cfRule>
  </conditionalFormatting>
  <conditionalFormatting sqref="C79">
    <cfRule type="expression" dxfId="401" priority="235">
      <formula>$A$79</formula>
    </cfRule>
  </conditionalFormatting>
  <conditionalFormatting sqref="C83">
    <cfRule type="expression" dxfId="400" priority="223">
      <formula>$A$83</formula>
    </cfRule>
  </conditionalFormatting>
  <conditionalFormatting sqref="C84">
    <cfRule type="expression" dxfId="399" priority="236">
      <formula>$A$84</formula>
    </cfRule>
  </conditionalFormatting>
  <conditionalFormatting sqref="C85">
    <cfRule type="expression" dxfId="398" priority="234">
      <formula>$A$85</formula>
    </cfRule>
  </conditionalFormatting>
  <conditionalFormatting sqref="C86">
    <cfRule type="expression" dxfId="397" priority="233">
      <formula>$A$86</formula>
    </cfRule>
  </conditionalFormatting>
  <conditionalFormatting sqref="C87">
    <cfRule type="expression" dxfId="396" priority="88">
      <formula>$A$87</formula>
    </cfRule>
  </conditionalFormatting>
  <conditionalFormatting sqref="C88">
    <cfRule type="expression" dxfId="395" priority="228">
      <formula>$A$88</formula>
    </cfRule>
  </conditionalFormatting>
  <conditionalFormatting sqref="C93">
    <cfRule type="expression" dxfId="394" priority="82">
      <formula>+$A$93</formula>
    </cfRule>
  </conditionalFormatting>
  <conditionalFormatting sqref="C94">
    <cfRule type="expression" dxfId="393" priority="83">
      <formula>$A$94</formula>
    </cfRule>
  </conditionalFormatting>
  <conditionalFormatting sqref="C95">
    <cfRule type="expression" dxfId="392" priority="203">
      <formula>$A$95</formula>
    </cfRule>
  </conditionalFormatting>
  <conditionalFormatting sqref="C96">
    <cfRule type="expression" dxfId="391" priority="198">
      <formula>$A$96</formula>
    </cfRule>
  </conditionalFormatting>
  <conditionalFormatting sqref="C97">
    <cfRule type="expression" dxfId="390" priority="196">
      <formula>$A$97</formula>
    </cfRule>
  </conditionalFormatting>
  <conditionalFormatting sqref="C100">
    <cfRule type="expression" dxfId="389" priority="158">
      <formula>$A$100</formula>
    </cfRule>
  </conditionalFormatting>
  <conditionalFormatting sqref="C101">
    <cfRule type="expression" dxfId="388" priority="6">
      <formula>$A$101</formula>
    </cfRule>
  </conditionalFormatting>
  <conditionalFormatting sqref="C102">
    <cfRule type="expression" dxfId="387" priority="156">
      <formula>$A$102</formula>
    </cfRule>
  </conditionalFormatting>
  <conditionalFormatting sqref="D7">
    <cfRule type="expression" dxfId="386" priority="289">
      <formula>$A$7</formula>
    </cfRule>
  </conditionalFormatting>
  <conditionalFormatting sqref="D8">
    <cfRule type="expression" dxfId="385" priority="288">
      <formula>A8</formula>
    </cfRule>
  </conditionalFormatting>
  <conditionalFormatting sqref="D9">
    <cfRule type="expression" dxfId="384" priority="286">
      <formula>$A$9</formula>
    </cfRule>
  </conditionalFormatting>
  <conditionalFormatting sqref="D10">
    <cfRule type="expression" dxfId="383" priority="285">
      <formula>$A$10</formula>
    </cfRule>
  </conditionalFormatting>
  <conditionalFormatting sqref="D11">
    <cfRule type="expression" dxfId="382" priority="283">
      <formula>$A$11</formula>
    </cfRule>
  </conditionalFormatting>
  <conditionalFormatting sqref="D12">
    <cfRule type="expression" dxfId="381" priority="282">
      <formula>$A$12</formula>
    </cfRule>
  </conditionalFormatting>
  <conditionalFormatting sqref="D20">
    <cfRule type="expression" dxfId="380" priority="316">
      <formula>$A$20</formula>
    </cfRule>
  </conditionalFormatting>
  <conditionalFormatting sqref="D21">
    <cfRule type="expression" dxfId="379" priority="317">
      <formula>$A$21</formula>
    </cfRule>
  </conditionalFormatting>
  <conditionalFormatting sqref="D22">
    <cfRule type="expression" dxfId="378" priority="318">
      <formula>$A$22</formula>
    </cfRule>
  </conditionalFormatting>
  <conditionalFormatting sqref="D23">
    <cfRule type="expression" dxfId="377" priority="319">
      <formula>$A$23</formula>
    </cfRule>
  </conditionalFormatting>
  <conditionalFormatting sqref="D24">
    <cfRule type="expression" dxfId="376" priority="321">
      <formula>$A$24</formula>
    </cfRule>
  </conditionalFormatting>
  <conditionalFormatting sqref="D25:D26">
    <cfRule type="expression" dxfId="375" priority="320">
      <formula>$A$25</formula>
    </cfRule>
  </conditionalFormatting>
  <conditionalFormatting sqref="D27">
    <cfRule type="expression" dxfId="374" priority="322">
      <formula>$A$27</formula>
    </cfRule>
  </conditionalFormatting>
  <conditionalFormatting sqref="D28">
    <cfRule type="expression" dxfId="373" priority="323">
      <formula>$A$28</formula>
    </cfRule>
  </conditionalFormatting>
  <conditionalFormatting sqref="D29">
    <cfRule type="expression" dxfId="372" priority="324">
      <formula>$A$29</formula>
    </cfRule>
  </conditionalFormatting>
  <conditionalFormatting sqref="D33">
    <cfRule type="expression" dxfId="371" priority="279">
      <formula>$A$33</formula>
    </cfRule>
  </conditionalFormatting>
  <conditionalFormatting sqref="D36">
    <cfRule type="expression" dxfId="370" priority="54">
      <formula>$A$36</formula>
    </cfRule>
  </conditionalFormatting>
  <conditionalFormatting sqref="D37">
    <cfRule type="expression" dxfId="369" priority="55">
      <formula>$A$37</formula>
    </cfRule>
  </conditionalFormatting>
  <conditionalFormatting sqref="D38">
    <cfRule type="expression" dxfId="368" priority="275">
      <formula>$A$38</formula>
    </cfRule>
  </conditionalFormatting>
  <conditionalFormatting sqref="D39">
    <cfRule type="expression" dxfId="367" priority="274">
      <formula>$A$39</formula>
    </cfRule>
  </conditionalFormatting>
  <conditionalFormatting sqref="D40">
    <cfRule type="expression" dxfId="366" priority="273">
      <formula>$A$40</formula>
    </cfRule>
  </conditionalFormatting>
  <conditionalFormatting sqref="D41">
    <cfRule type="expression" dxfId="365" priority="267">
      <formula>$A$41</formula>
    </cfRule>
  </conditionalFormatting>
  <conditionalFormatting sqref="D43">
    <cfRule type="expression" dxfId="364" priority="270">
      <formula>$A$43</formula>
    </cfRule>
  </conditionalFormatting>
  <conditionalFormatting sqref="D50">
    <cfRule type="expression" dxfId="363" priority="53">
      <formula>$A$50</formula>
    </cfRule>
  </conditionalFormatting>
  <conditionalFormatting sqref="D51">
    <cfRule type="expression" dxfId="362" priority="269">
      <formula>$A$51</formula>
    </cfRule>
  </conditionalFormatting>
  <conditionalFormatting sqref="D53">
    <cfRule type="expression" dxfId="361" priority="266">
      <formula>$A$53</formula>
    </cfRule>
  </conditionalFormatting>
  <conditionalFormatting sqref="D67">
    <cfRule type="expression" dxfId="360" priority="15">
      <formula>$A$67</formula>
    </cfRule>
  </conditionalFormatting>
  <conditionalFormatting sqref="D70">
    <cfRule type="expression" dxfId="359" priority="265">
      <formula>$A$70</formula>
    </cfRule>
  </conditionalFormatting>
  <conditionalFormatting sqref="D71">
    <cfRule type="expression" dxfId="358" priority="264">
      <formula>$A$71</formula>
    </cfRule>
  </conditionalFormatting>
  <conditionalFormatting sqref="D72">
    <cfRule type="expression" dxfId="357" priority="91">
      <formula>$A$72</formula>
    </cfRule>
  </conditionalFormatting>
  <conditionalFormatting sqref="D73">
    <cfRule type="expression" dxfId="356" priority="90">
      <formula>$A$73</formula>
    </cfRule>
  </conditionalFormatting>
  <conditionalFormatting sqref="D80">
    <cfRule type="cellIs" dxfId="355" priority="45" operator="lessThanOrEqual">
      <formula>13000</formula>
    </cfRule>
    <cfRule type="cellIs" dxfId="354" priority="46" operator="greaterThan">
      <formula>13000</formula>
    </cfRule>
  </conditionalFormatting>
  <conditionalFormatting sqref="D80:D81">
    <cfRule type="containsBlanks" dxfId="353" priority="40">
      <formula>LEN(TRIM(D80))=0</formula>
    </cfRule>
  </conditionalFormatting>
  <conditionalFormatting sqref="D81">
    <cfRule type="cellIs" dxfId="352" priority="44" operator="lessThanOrEqual">
      <formula>100</formula>
    </cfRule>
    <cfRule type="cellIs" dxfId="351" priority="43" operator="greaterThan">
      <formula>100</formula>
    </cfRule>
  </conditionalFormatting>
  <conditionalFormatting sqref="D90">
    <cfRule type="expression" dxfId="350" priority="56">
      <formula>$A$90</formula>
    </cfRule>
  </conditionalFormatting>
  <conditionalFormatting sqref="D99">
    <cfRule type="containsBlanks" dxfId="349" priority="39">
      <formula>LEN(TRIM(D99))=0</formula>
    </cfRule>
    <cfRule type="expression" dxfId="348" priority="50">
      <formula>$A$99</formula>
    </cfRule>
    <cfRule type="expression" dxfId="347" priority="49">
      <formula>$R$99</formula>
    </cfRule>
    <cfRule type="cellIs" dxfId="346" priority="48" operator="greaterThan">
      <formula>3.7</formula>
    </cfRule>
  </conditionalFormatting>
  <conditionalFormatting sqref="D104">
    <cfRule type="expression" dxfId="345" priority="47">
      <formula>$A$104</formula>
    </cfRule>
  </conditionalFormatting>
  <conditionalFormatting sqref="D108">
    <cfRule type="expression" dxfId="344" priority="113">
      <formula>$A$108</formula>
    </cfRule>
  </conditionalFormatting>
  <conditionalFormatting sqref="D112">
    <cfRule type="expression" dxfId="343" priority="187">
      <formula>$A$112</formula>
    </cfRule>
  </conditionalFormatting>
  <conditionalFormatting sqref="D113">
    <cfRule type="expression" dxfId="342" priority="193">
      <formula>$A$113</formula>
    </cfRule>
  </conditionalFormatting>
  <conditionalFormatting sqref="D115">
    <cfRule type="expression" dxfId="341" priority="184">
      <formula>$A$115</formula>
    </cfRule>
  </conditionalFormatting>
  <conditionalFormatting sqref="D116">
    <cfRule type="expression" dxfId="340" priority="37">
      <formula>$A$116</formula>
    </cfRule>
  </conditionalFormatting>
  <conditionalFormatting sqref="D117">
    <cfRule type="expression" dxfId="339" priority="9">
      <formula>$A$117</formula>
    </cfRule>
  </conditionalFormatting>
  <conditionalFormatting sqref="D118">
    <cfRule type="expression" dxfId="338" priority="28">
      <formula>$A$118</formula>
    </cfRule>
  </conditionalFormatting>
  <conditionalFormatting sqref="D119">
    <cfRule type="expression" dxfId="337" priority="180">
      <formula>$A$119</formula>
    </cfRule>
  </conditionalFormatting>
  <conditionalFormatting sqref="D120">
    <cfRule type="expression" dxfId="336" priority="179">
      <formula>$A$120</formula>
    </cfRule>
  </conditionalFormatting>
  <conditionalFormatting sqref="D121">
    <cfRule type="expression" dxfId="335" priority="178">
      <formula>$A$121</formula>
    </cfRule>
  </conditionalFormatting>
  <conditionalFormatting sqref="D122">
    <cfRule type="expression" dxfId="334" priority="188">
      <formula>$A$122</formula>
    </cfRule>
  </conditionalFormatting>
  <conditionalFormatting sqref="D123">
    <cfRule type="expression" dxfId="333" priority="177">
      <formula>$A$123</formula>
    </cfRule>
  </conditionalFormatting>
  <conditionalFormatting sqref="D124">
    <cfRule type="expression" dxfId="332" priority="30">
      <formula>$A$124</formula>
    </cfRule>
  </conditionalFormatting>
  <conditionalFormatting sqref="D128">
    <cfRule type="expression" dxfId="331" priority="35">
      <formula>$A$128</formula>
    </cfRule>
  </conditionalFormatting>
  <conditionalFormatting sqref="D129">
    <cfRule type="expression" dxfId="330" priority="36">
      <formula>$A$129</formula>
    </cfRule>
  </conditionalFormatting>
  <conditionalFormatting sqref="D130:D132">
    <cfRule type="expression" dxfId="329" priority="71">
      <formula>$A130</formula>
    </cfRule>
  </conditionalFormatting>
  <conditionalFormatting sqref="D134">
    <cfRule type="expression" dxfId="328" priority="142">
      <formula>$A$134</formula>
    </cfRule>
  </conditionalFormatting>
  <conditionalFormatting sqref="D135:D136">
    <cfRule type="expression" dxfId="327" priority="141">
      <formula>$A$135</formula>
    </cfRule>
  </conditionalFormatting>
  <conditionalFormatting sqref="D136">
    <cfRule type="expression" dxfId="326" priority="27">
      <formula>$A$136</formula>
    </cfRule>
  </conditionalFormatting>
  <conditionalFormatting sqref="D137">
    <cfRule type="expression" dxfId="325" priority="23">
      <formula>$A$137</formula>
    </cfRule>
  </conditionalFormatting>
  <conditionalFormatting sqref="D138">
    <cfRule type="expression" dxfId="324" priority="21">
      <formula>$A$138</formula>
    </cfRule>
  </conditionalFormatting>
  <conditionalFormatting sqref="D139">
    <cfRule type="expression" dxfId="323" priority="5">
      <formula>$A$139</formula>
    </cfRule>
  </conditionalFormatting>
  <conditionalFormatting sqref="D140">
    <cfRule type="expression" dxfId="322" priority="17">
      <formula>$A$140</formula>
    </cfRule>
  </conditionalFormatting>
  <conditionalFormatting sqref="D141">
    <cfRule type="expression" dxfId="321" priority="149">
      <formula>$A$141</formula>
    </cfRule>
  </conditionalFormatting>
  <conditionalFormatting sqref="D142">
    <cfRule type="expression" dxfId="320" priority="137">
      <formula>$A$142</formula>
    </cfRule>
  </conditionalFormatting>
  <conditionalFormatting sqref="D143">
    <cfRule type="expression" dxfId="319" priority="133">
      <formula>$A$143</formula>
    </cfRule>
  </conditionalFormatting>
  <conditionalFormatting sqref="D144">
    <cfRule type="expression" dxfId="318" priority="150">
      <formula>$A$144</formula>
    </cfRule>
  </conditionalFormatting>
  <conditionalFormatting sqref="D145">
    <cfRule type="expression" dxfId="317" priority="13">
      <formula>$A$145</formula>
    </cfRule>
  </conditionalFormatting>
  <conditionalFormatting sqref="D146">
    <cfRule type="expression" dxfId="316" priority="132">
      <formula>$A$146</formula>
    </cfRule>
  </conditionalFormatting>
  <conditionalFormatting sqref="D147">
    <cfRule type="expression" dxfId="315" priority="148">
      <formula>$A$147</formula>
    </cfRule>
  </conditionalFormatting>
  <conditionalFormatting sqref="D148">
    <cfRule type="expression" dxfId="314" priority="146">
      <formula>$A$148</formula>
    </cfRule>
  </conditionalFormatting>
  <conditionalFormatting sqref="D149">
    <cfRule type="cellIs" dxfId="313" priority="172" operator="between">
      <formula>19</formula>
      <formula>45</formula>
    </cfRule>
    <cfRule type="cellIs" dxfId="312" priority="170" operator="lessThan">
      <formula>15</formula>
    </cfRule>
    <cfRule type="cellIs" dxfId="311" priority="169" operator="greaterThan">
      <formula>55</formula>
    </cfRule>
  </conditionalFormatting>
  <conditionalFormatting sqref="D149:D150">
    <cfRule type="cellIs" dxfId="310" priority="58" operator="equal">
      <formula>0</formula>
    </cfRule>
  </conditionalFormatting>
  <conditionalFormatting sqref="D150">
    <cfRule type="cellIs" dxfId="309" priority="171" operator="between">
      <formula>36</formula>
      <formula>40</formula>
    </cfRule>
    <cfRule type="cellIs" dxfId="308" priority="168" operator="lessThan">
      <formula>36</formula>
    </cfRule>
    <cfRule type="cellIs" dxfId="307" priority="167" operator="greaterThan">
      <formula>40</formula>
    </cfRule>
  </conditionalFormatting>
  <conditionalFormatting sqref="D151">
    <cfRule type="expression" dxfId="306" priority="25">
      <formula>$A$151</formula>
    </cfRule>
  </conditionalFormatting>
  <conditionalFormatting sqref="D152:D153">
    <cfRule type="expression" dxfId="305" priority="11">
      <formula>$A$152</formula>
    </cfRule>
  </conditionalFormatting>
  <conditionalFormatting sqref="D153">
    <cfRule type="expression" dxfId="304" priority="19">
      <formula>$A$153</formula>
    </cfRule>
  </conditionalFormatting>
  <conditionalFormatting sqref="D154">
    <cfRule type="expression" dxfId="303" priority="33">
      <formula>$A$154</formula>
    </cfRule>
  </conditionalFormatting>
  <conditionalFormatting sqref="D156">
    <cfRule type="expression" dxfId="302" priority="130">
      <formula>$A$156</formula>
    </cfRule>
  </conditionalFormatting>
  <conditionalFormatting sqref="D157">
    <cfRule type="expression" dxfId="301" priority="185">
      <formula>$A157</formula>
    </cfRule>
  </conditionalFormatting>
  <conditionalFormatting sqref="D158">
    <cfRule type="expression" dxfId="300" priority="123">
      <formula>$A$158</formula>
    </cfRule>
  </conditionalFormatting>
  <conditionalFormatting sqref="D159">
    <cfRule type="expression" dxfId="299" priority="122">
      <formula>$A$159</formula>
    </cfRule>
  </conditionalFormatting>
  <conditionalFormatting sqref="D160">
    <cfRule type="expression" dxfId="298" priority="12">
      <formula>$A$160</formula>
    </cfRule>
    <cfRule type="expression" dxfId="297" priority="325">
      <formula>#REF!</formula>
    </cfRule>
  </conditionalFormatting>
  <conditionalFormatting sqref="D162">
    <cfRule type="expression" dxfId="296" priority="124">
      <formula>$A$162</formula>
    </cfRule>
  </conditionalFormatting>
  <conditionalFormatting sqref="D163">
    <cfRule type="expression" dxfId="295" priority="10">
      <formula>$A$163</formula>
    </cfRule>
  </conditionalFormatting>
  <conditionalFormatting sqref="D164">
    <cfRule type="expression" dxfId="294" priority="61">
      <formula>$A$164</formula>
    </cfRule>
  </conditionalFormatting>
  <conditionalFormatting sqref="D165">
    <cfRule type="expression" dxfId="293" priority="62">
      <formula>$A$165</formula>
    </cfRule>
  </conditionalFormatting>
  <conditionalFormatting sqref="D168">
    <cfRule type="expression" dxfId="292" priority="1">
      <formula>$A$168</formula>
    </cfRule>
  </conditionalFormatting>
  <conditionalFormatting sqref="D169">
    <cfRule type="expression" dxfId="291" priority="160">
      <formula>$A$169</formula>
    </cfRule>
  </conditionalFormatting>
  <conditionalFormatting sqref="D170">
    <cfRule type="expression" dxfId="290" priority="121">
      <formula>$A$170</formula>
    </cfRule>
  </conditionalFormatting>
  <conditionalFormatting sqref="D171">
    <cfRule type="expression" dxfId="289" priority="119">
      <formula>$A$171</formula>
    </cfRule>
  </conditionalFormatting>
  <conditionalFormatting sqref="D172">
    <cfRule type="expression" dxfId="288" priority="118">
      <formula>$A$172</formula>
    </cfRule>
  </conditionalFormatting>
  <conditionalFormatting sqref="D173">
    <cfRule type="expression" dxfId="287" priority="117">
      <formula>$A$173</formula>
    </cfRule>
  </conditionalFormatting>
  <conditionalFormatting sqref="D174">
    <cfRule type="expression" dxfId="286" priority="116">
      <formula>$A$174</formula>
    </cfRule>
  </conditionalFormatting>
  <conditionalFormatting sqref="D175">
    <cfRule type="expression" dxfId="285" priority="115">
      <formula>$A$175</formula>
    </cfRule>
  </conditionalFormatting>
  <conditionalFormatting sqref="E83:J83">
    <cfRule type="cellIs" dxfId="284" priority="227" operator="between">
      <formula>1.6</formula>
      <formula>2.6</formula>
    </cfRule>
    <cfRule type="cellIs" dxfId="283" priority="226" operator="greaterThanOrEqual">
      <formula>2.7</formula>
    </cfRule>
  </conditionalFormatting>
  <conditionalFormatting sqref="G31:N32">
    <cfRule type="cellIs" dxfId="282" priority="259" operator="equal">
      <formula>"ON TIME"</formula>
    </cfRule>
    <cfRule type="cellIs" dxfId="281" priority="260" operator="equal">
      <formula>"LATE"</formula>
    </cfRule>
    <cfRule type="cellIs" dxfId="280" priority="261" operator="equal">
      <formula>"EARLY"</formula>
    </cfRule>
  </conditionalFormatting>
  <conditionalFormatting sqref="G92:N92">
    <cfRule type="cellIs" dxfId="279" priority="230" operator="equal">
      <formula>"LATE"</formula>
    </cfRule>
    <cfRule type="cellIs" dxfId="278" priority="231" operator="equal">
      <formula>"EARLY"</formula>
    </cfRule>
    <cfRule type="cellIs" dxfId="277" priority="229" operator="equal">
      <formula>"ON TIME"</formula>
    </cfRule>
  </conditionalFormatting>
  <conditionalFormatting sqref="G105:N105">
    <cfRule type="cellIs" dxfId="276" priority="214" operator="equal">
      <formula>"EARLY"</formula>
    </cfRule>
    <cfRule type="cellIs" dxfId="275" priority="213" operator="equal">
      <formula>"LATE"</formula>
    </cfRule>
    <cfRule type="cellIs" dxfId="274" priority="212" operator="equal">
      <formula>"ON TIME"</formula>
    </cfRule>
  </conditionalFormatting>
  <conditionalFormatting sqref="G107:N107">
    <cfRule type="cellIs" dxfId="273" priority="164" operator="equal">
      <formula>"ON TIME"</formula>
    </cfRule>
    <cfRule type="cellIs" dxfId="272" priority="165" operator="equal">
      <formula>"LATE"</formula>
    </cfRule>
    <cfRule type="cellIs" dxfId="271" priority="166" operator="equal">
      <formula>"EARLY"</formula>
    </cfRule>
  </conditionalFormatting>
  <conditionalFormatting sqref="G176:N176">
    <cfRule type="cellIs" dxfId="270" priority="161" operator="equal">
      <formula>"ON TIME"</formula>
    </cfRule>
    <cfRule type="cellIs" dxfId="269" priority="163" operator="equal">
      <formula>"EARLY"</formula>
    </cfRule>
    <cfRule type="cellIs" dxfId="268" priority="162" operator="equal">
      <formula>"LATE"</formula>
    </cfRule>
  </conditionalFormatting>
  <conditionalFormatting sqref="O86 Q97 O174:O176">
    <cfRule type="expression" dxfId="267" priority="243">
      <formula>#REF!</formula>
    </cfRule>
  </conditionalFormatting>
  <conditionalFormatting sqref="Q8">
    <cfRule type="expression" dxfId="266" priority="306">
      <formula>#REF!</formula>
    </cfRule>
  </conditionalFormatting>
  <conditionalFormatting sqref="Q12:Q13 Q77">
    <cfRule type="expression" dxfId="265" priority="305">
      <formula>#REF!</formula>
    </cfRule>
  </conditionalFormatting>
  <conditionalFormatting sqref="Q88">
    <cfRule type="expression" dxfId="264" priority="241">
      <formula>#REF!</formula>
    </cfRule>
  </conditionalFormatting>
  <conditionalFormatting sqref="Q93:Q95">
    <cfRule type="expression" dxfId="263" priority="210">
      <formula>#REF!</formula>
    </cfRule>
  </conditionalFormatting>
  <conditionalFormatting sqref="Q100 O101">
    <cfRule type="expression" dxfId="262" priority="211">
      <formula>#REF!</formula>
    </cfRule>
  </conditionalFormatting>
  <conditionalFormatting sqref="Q108">
    <cfRule type="expression" dxfId="261" priority="3">
      <formula>#REF!</formula>
    </cfRule>
  </conditionalFormatting>
  <conditionalFormatting sqref="Q116">
    <cfRule type="expression" dxfId="260" priority="2">
      <formula>#REF!</formula>
    </cfRule>
  </conditionalFormatting>
  <dataValidations count="16">
    <dataValidation showInputMessage="1" showErrorMessage="1" sqref="D4 M4:N4 D104 E103:M104 D102" xr:uid="{DACCAFFB-854E-4D90-8F0E-751FD92F0CAC}"/>
    <dataValidation type="list" showInputMessage="1" showErrorMessage="1" sqref="F4" xr:uid="{AD58FE7E-FBBC-463F-A62C-C022226FBAA6}">
      <formula1>$S$5:$S$6</formula1>
    </dataValidation>
    <dataValidation type="list" allowBlank="1" showInputMessage="1" showErrorMessage="1" sqref="H4" xr:uid="{818BCACB-750C-4A4C-A66C-2A921603047D}">
      <formula1>$T$5:$T$7</formula1>
    </dataValidation>
    <dataValidation type="list" showInputMessage="1" showErrorMessage="1" sqref="J4" xr:uid="{4092C2CD-1253-4449-BBFE-ECC329A5D953}">
      <formula1>$U$5:$U$7</formula1>
    </dataValidation>
    <dataValidation type="list" showInputMessage="1" showErrorMessage="1" sqref="L4" xr:uid="{4AF562A3-8BD5-43FA-A3D5-B96BD7A89E69}">
      <formula1>$V$5:$V$6</formula1>
    </dataValidation>
    <dataValidation type="list" showInputMessage="1" showErrorMessage="1" sqref="E166:M166" xr:uid="{BDAADA9F-C235-40DB-ADD1-2E1DCB65F6CA}">
      <formula1>$Q$1:$Q$10</formula1>
    </dataValidation>
    <dataValidation type="list" showInputMessage="1" showErrorMessage="1" sqref="D103" xr:uid="{AE605DA3-A92E-4496-A335-5CF0CA39F079}">
      <formula1>R1:R12</formula1>
    </dataValidation>
    <dataValidation type="list" allowBlank="1" showInputMessage="1" showErrorMessage="1" sqref="D54" xr:uid="{DD547D66-81B0-4009-9AB4-9A783170463A}">
      <formula1>$R$54:$R$63</formula1>
    </dataValidation>
    <dataValidation type="list" allowBlank="1" showInputMessage="1" showErrorMessage="1" sqref="D32" xr:uid="{1EE4B246-7B88-43AE-BBD5-0EB0D0A05548}">
      <formula1>$R$1:$R$13</formula1>
    </dataValidation>
    <dataValidation type="list" showInputMessage="1" showErrorMessage="1" sqref="D109 D166 D197" xr:uid="{FF21A7D4-75BA-4A7A-8F3D-5903B10ADDB2}">
      <formula1>$R$1:$R$13</formula1>
    </dataValidation>
    <dataValidation type="list" allowBlank="1" showInputMessage="1" showErrorMessage="1" sqref="D49" xr:uid="{217241DD-B464-486B-9736-32E2B337B6C0}">
      <formula1>$R$42:$R$47</formula1>
    </dataValidation>
    <dataValidation type="list" allowBlank="1" showInputMessage="1" showErrorMessage="1" sqref="F162:F165" xr:uid="{CE4CC233-4432-47C0-A7D1-8892AC8DD2F8}">
      <formula1>"Y, N"</formula1>
    </dataValidation>
    <dataValidation type="list" showInputMessage="1" showErrorMessage="1" sqref="D177" xr:uid="{726A2F2D-11D4-4DA5-9817-AFA02124602D}">
      <formula1>"Logistics"</formula1>
    </dataValidation>
    <dataValidation type="list" showInputMessage="1" showErrorMessage="1" sqref="P4" xr:uid="{EF176B39-B4EF-401F-A18B-7BDC6E8036FD}">
      <formula1>$X$5:$X$8</formula1>
    </dataValidation>
    <dataValidation type="list" allowBlank="1" showInputMessage="1" showErrorMessage="1" sqref="D61" xr:uid="{829AF50B-2383-4CAE-A0C0-4401DF937AEA}">
      <formula1>$R$69:$R$72</formula1>
    </dataValidation>
    <dataValidation type="list" showInputMessage="1" showErrorMessage="1" sqref="D103:D104" xr:uid="{1B79F2A9-102A-46A8-A7A2-63E60F29343E}">
      <formula1>R:R</formula1>
    </dataValidation>
  </dataValidation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63169" r:id="rId3" name="Check Box 1">
              <controlPr locked="0" defaultSize="0" autoFill="0" autoLine="0" autoPict="0">
                <anchor moveWithCells="1">
                  <from>
                    <xdr:col>3</xdr:col>
                    <xdr:colOff>1400175</xdr:colOff>
                    <xdr:row>5</xdr:row>
                    <xdr:rowOff>171450</xdr:rowOff>
                  </from>
                  <to>
                    <xdr:col>3</xdr:col>
                    <xdr:colOff>1790700</xdr:colOff>
                    <xdr:row>7</xdr:row>
                    <xdr:rowOff>19050</xdr:rowOff>
                  </to>
                </anchor>
              </controlPr>
            </control>
          </mc:Choice>
        </mc:AlternateContent>
        <mc:AlternateContent xmlns:mc="http://schemas.openxmlformats.org/markup-compatibility/2006">
          <mc:Choice Requires="x14">
            <control shapeId="263177" r:id="rId4" name="Check Box 9">
              <controlPr defaultSize="0" autoFill="0" autoLine="0" autoPict="0">
                <anchor moveWithCells="1">
                  <from>
                    <xdr:col>3</xdr:col>
                    <xdr:colOff>1400175</xdr:colOff>
                    <xdr:row>19</xdr:row>
                    <xdr:rowOff>0</xdr:rowOff>
                  </from>
                  <to>
                    <xdr:col>3</xdr:col>
                    <xdr:colOff>1743075</xdr:colOff>
                    <xdr:row>30</xdr:row>
                    <xdr:rowOff>0</xdr:rowOff>
                  </to>
                </anchor>
              </controlPr>
            </control>
          </mc:Choice>
        </mc:AlternateContent>
        <mc:AlternateContent xmlns:mc="http://schemas.openxmlformats.org/markup-compatibility/2006">
          <mc:Choice Requires="x14">
            <control shapeId="263178" r:id="rId5" name="Check Box 10">
              <controlPr defaultSize="0" autoFill="0" autoLine="0" autoPict="0">
                <anchor moveWithCells="1">
                  <from>
                    <xdr:col>3</xdr:col>
                    <xdr:colOff>1409700</xdr:colOff>
                    <xdr:row>20</xdr:row>
                    <xdr:rowOff>9525</xdr:rowOff>
                  </from>
                  <to>
                    <xdr:col>3</xdr:col>
                    <xdr:colOff>1628775</xdr:colOff>
                    <xdr:row>30</xdr:row>
                    <xdr:rowOff>0</xdr:rowOff>
                  </to>
                </anchor>
              </controlPr>
            </control>
          </mc:Choice>
        </mc:AlternateContent>
        <mc:AlternateContent xmlns:mc="http://schemas.openxmlformats.org/markup-compatibility/2006">
          <mc:Choice Requires="x14">
            <control shapeId="263179" r:id="rId6" name="Check Box 11">
              <controlPr defaultSize="0" autoFill="0" autoLine="0" autoPict="0">
                <anchor moveWithCells="1">
                  <from>
                    <xdr:col>3</xdr:col>
                    <xdr:colOff>1409700</xdr:colOff>
                    <xdr:row>20</xdr:row>
                    <xdr:rowOff>171450</xdr:rowOff>
                  </from>
                  <to>
                    <xdr:col>3</xdr:col>
                    <xdr:colOff>1714500</xdr:colOff>
                    <xdr:row>30</xdr:row>
                    <xdr:rowOff>28575</xdr:rowOff>
                  </to>
                </anchor>
              </controlPr>
            </control>
          </mc:Choice>
        </mc:AlternateContent>
        <mc:AlternateContent xmlns:mc="http://schemas.openxmlformats.org/markup-compatibility/2006">
          <mc:Choice Requires="x14">
            <control shapeId="263180" r:id="rId7" name="Check Box 12">
              <controlPr defaultSize="0" autoFill="0" autoLine="0" autoPict="0">
                <anchor moveWithCells="1">
                  <from>
                    <xdr:col>3</xdr:col>
                    <xdr:colOff>1409700</xdr:colOff>
                    <xdr:row>21</xdr:row>
                    <xdr:rowOff>180975</xdr:rowOff>
                  </from>
                  <to>
                    <xdr:col>3</xdr:col>
                    <xdr:colOff>1638300</xdr:colOff>
                    <xdr:row>29</xdr:row>
                    <xdr:rowOff>180975</xdr:rowOff>
                  </to>
                </anchor>
              </controlPr>
            </control>
          </mc:Choice>
        </mc:AlternateContent>
        <mc:AlternateContent xmlns:mc="http://schemas.openxmlformats.org/markup-compatibility/2006">
          <mc:Choice Requires="x14">
            <control shapeId="263181" r:id="rId8" name="Check Box 13">
              <controlPr defaultSize="0" autoFill="0" autoLine="0" autoPict="0">
                <anchor moveWithCells="1">
                  <from>
                    <xdr:col>3</xdr:col>
                    <xdr:colOff>1409700</xdr:colOff>
                    <xdr:row>22</xdr:row>
                    <xdr:rowOff>171450</xdr:rowOff>
                  </from>
                  <to>
                    <xdr:col>3</xdr:col>
                    <xdr:colOff>1647825</xdr:colOff>
                    <xdr:row>30</xdr:row>
                    <xdr:rowOff>28575</xdr:rowOff>
                  </to>
                </anchor>
              </controlPr>
            </control>
          </mc:Choice>
        </mc:AlternateContent>
        <mc:AlternateContent xmlns:mc="http://schemas.openxmlformats.org/markup-compatibility/2006">
          <mc:Choice Requires="x14">
            <control shapeId="263182" r:id="rId9" name="Check Box 14">
              <controlPr defaultSize="0" autoFill="0" autoLine="0" autoPict="0">
                <anchor moveWithCells="1">
                  <from>
                    <xdr:col>3</xdr:col>
                    <xdr:colOff>1409700</xdr:colOff>
                    <xdr:row>24</xdr:row>
                    <xdr:rowOff>9525</xdr:rowOff>
                  </from>
                  <to>
                    <xdr:col>3</xdr:col>
                    <xdr:colOff>1714500</xdr:colOff>
                    <xdr:row>29</xdr:row>
                    <xdr:rowOff>171450</xdr:rowOff>
                  </to>
                </anchor>
              </controlPr>
            </control>
          </mc:Choice>
        </mc:AlternateContent>
        <mc:AlternateContent xmlns:mc="http://schemas.openxmlformats.org/markup-compatibility/2006">
          <mc:Choice Requires="x14">
            <control shapeId="263183" r:id="rId10" name="Check Box 15">
              <controlPr defaultSize="0" autoFill="0" autoLine="0" autoPict="0">
                <anchor moveWithCells="1">
                  <from>
                    <xdr:col>3</xdr:col>
                    <xdr:colOff>1400175</xdr:colOff>
                    <xdr:row>24</xdr:row>
                    <xdr:rowOff>180975</xdr:rowOff>
                  </from>
                  <to>
                    <xdr:col>3</xdr:col>
                    <xdr:colOff>1657350</xdr:colOff>
                    <xdr:row>30</xdr:row>
                    <xdr:rowOff>19050</xdr:rowOff>
                  </to>
                </anchor>
              </controlPr>
            </control>
          </mc:Choice>
        </mc:AlternateContent>
        <mc:AlternateContent xmlns:mc="http://schemas.openxmlformats.org/markup-compatibility/2006">
          <mc:Choice Requires="x14">
            <control shapeId="263184" r:id="rId11" name="Check Box 16">
              <controlPr defaultSize="0" autoFill="0" autoLine="0" autoPict="0">
                <anchor moveWithCells="1">
                  <from>
                    <xdr:col>3</xdr:col>
                    <xdr:colOff>1400175</xdr:colOff>
                    <xdr:row>26</xdr:row>
                    <xdr:rowOff>180975</xdr:rowOff>
                  </from>
                  <to>
                    <xdr:col>3</xdr:col>
                    <xdr:colOff>1657350</xdr:colOff>
                    <xdr:row>30</xdr:row>
                    <xdr:rowOff>0</xdr:rowOff>
                  </to>
                </anchor>
              </controlPr>
            </control>
          </mc:Choice>
        </mc:AlternateContent>
        <mc:AlternateContent xmlns:mc="http://schemas.openxmlformats.org/markup-compatibility/2006">
          <mc:Choice Requires="x14">
            <control shapeId="263185" r:id="rId12" name="Check Box 17">
              <controlPr defaultSize="0" autoFill="0" autoLine="0" autoPict="0">
                <anchor moveWithCells="1">
                  <from>
                    <xdr:col>3</xdr:col>
                    <xdr:colOff>1409700</xdr:colOff>
                    <xdr:row>27</xdr:row>
                    <xdr:rowOff>171450</xdr:rowOff>
                  </from>
                  <to>
                    <xdr:col>3</xdr:col>
                    <xdr:colOff>1676400</xdr:colOff>
                    <xdr:row>30</xdr:row>
                    <xdr:rowOff>38100</xdr:rowOff>
                  </to>
                </anchor>
              </controlPr>
            </control>
          </mc:Choice>
        </mc:AlternateContent>
        <mc:AlternateContent xmlns:mc="http://schemas.openxmlformats.org/markup-compatibility/2006">
          <mc:Choice Requires="x14">
            <control shapeId="263189" r:id="rId13" name="Check Box 21">
              <controlPr defaultSize="0" autoFill="0" autoLine="0" autoPict="0">
                <anchor moveWithCells="1">
                  <from>
                    <xdr:col>3</xdr:col>
                    <xdr:colOff>1400175</xdr:colOff>
                    <xdr:row>6</xdr:row>
                    <xdr:rowOff>171450</xdr:rowOff>
                  </from>
                  <to>
                    <xdr:col>3</xdr:col>
                    <xdr:colOff>1790700</xdr:colOff>
                    <xdr:row>8</xdr:row>
                    <xdr:rowOff>19050</xdr:rowOff>
                  </to>
                </anchor>
              </controlPr>
            </control>
          </mc:Choice>
        </mc:AlternateContent>
        <mc:AlternateContent xmlns:mc="http://schemas.openxmlformats.org/markup-compatibility/2006">
          <mc:Choice Requires="x14">
            <control shapeId="263190" r:id="rId14" name="Check Box 22">
              <controlPr defaultSize="0" autoFill="0" autoLine="0" autoPict="0">
                <anchor moveWithCells="1">
                  <from>
                    <xdr:col>3</xdr:col>
                    <xdr:colOff>1400175</xdr:colOff>
                    <xdr:row>7</xdr:row>
                    <xdr:rowOff>171450</xdr:rowOff>
                  </from>
                  <to>
                    <xdr:col>3</xdr:col>
                    <xdr:colOff>1790700</xdr:colOff>
                    <xdr:row>9</xdr:row>
                    <xdr:rowOff>19050</xdr:rowOff>
                  </to>
                </anchor>
              </controlPr>
            </control>
          </mc:Choice>
        </mc:AlternateContent>
        <mc:AlternateContent xmlns:mc="http://schemas.openxmlformats.org/markup-compatibility/2006">
          <mc:Choice Requires="x14">
            <control shapeId="263196" r:id="rId15" name="Check Box 28">
              <controlPr defaultSize="0" autoFill="0" autoLine="0" autoPict="0">
                <anchor moveWithCells="1">
                  <from>
                    <xdr:col>3</xdr:col>
                    <xdr:colOff>1409700</xdr:colOff>
                    <xdr:row>10</xdr:row>
                    <xdr:rowOff>161925</xdr:rowOff>
                  </from>
                  <to>
                    <xdr:col>3</xdr:col>
                    <xdr:colOff>1800225</xdr:colOff>
                    <xdr:row>12</xdr:row>
                    <xdr:rowOff>38100</xdr:rowOff>
                  </to>
                </anchor>
              </controlPr>
            </control>
          </mc:Choice>
        </mc:AlternateContent>
        <mc:AlternateContent xmlns:mc="http://schemas.openxmlformats.org/markup-compatibility/2006">
          <mc:Choice Requires="x14">
            <control shapeId="263201" r:id="rId16" name="Check Box 33">
              <controlPr defaultSize="0" autoFill="0" autoLine="0" autoPict="0">
                <anchor moveWithCells="1">
                  <from>
                    <xdr:col>3</xdr:col>
                    <xdr:colOff>523875</xdr:colOff>
                    <xdr:row>32</xdr:row>
                    <xdr:rowOff>180975</xdr:rowOff>
                  </from>
                  <to>
                    <xdr:col>3</xdr:col>
                    <xdr:colOff>781050</xdr:colOff>
                    <xdr:row>34</xdr:row>
                    <xdr:rowOff>0</xdr:rowOff>
                  </to>
                </anchor>
              </controlPr>
            </control>
          </mc:Choice>
        </mc:AlternateContent>
        <mc:AlternateContent xmlns:mc="http://schemas.openxmlformats.org/markup-compatibility/2006">
          <mc:Choice Requires="x14">
            <control shapeId="263214" r:id="rId17" name="Check Box 46">
              <controlPr defaultSize="0" autoFill="0" autoLine="0" autoPict="0">
                <anchor moveWithCells="1">
                  <from>
                    <xdr:col>3</xdr:col>
                    <xdr:colOff>1400175</xdr:colOff>
                    <xdr:row>37</xdr:row>
                    <xdr:rowOff>0</xdr:rowOff>
                  </from>
                  <to>
                    <xdr:col>3</xdr:col>
                    <xdr:colOff>1657350</xdr:colOff>
                    <xdr:row>38</xdr:row>
                    <xdr:rowOff>19050</xdr:rowOff>
                  </to>
                </anchor>
              </controlPr>
            </control>
          </mc:Choice>
        </mc:AlternateContent>
        <mc:AlternateContent xmlns:mc="http://schemas.openxmlformats.org/markup-compatibility/2006">
          <mc:Choice Requires="x14">
            <control shapeId="263216" r:id="rId18" name="Check Box 48">
              <controlPr defaultSize="0" autoFill="0" autoLine="0" autoPict="0">
                <anchor moveWithCells="1">
                  <from>
                    <xdr:col>3</xdr:col>
                    <xdr:colOff>1400175</xdr:colOff>
                    <xdr:row>39</xdr:row>
                    <xdr:rowOff>0</xdr:rowOff>
                  </from>
                  <to>
                    <xdr:col>3</xdr:col>
                    <xdr:colOff>1657350</xdr:colOff>
                    <xdr:row>40</xdr:row>
                    <xdr:rowOff>19050</xdr:rowOff>
                  </to>
                </anchor>
              </controlPr>
            </control>
          </mc:Choice>
        </mc:AlternateContent>
        <mc:AlternateContent xmlns:mc="http://schemas.openxmlformats.org/markup-compatibility/2006">
          <mc:Choice Requires="x14">
            <control shapeId="263220" r:id="rId19" name="Check Box 52">
              <controlPr defaultSize="0" autoFill="0" autoLine="0" autoPict="0">
                <anchor moveWithCells="1">
                  <from>
                    <xdr:col>3</xdr:col>
                    <xdr:colOff>1400175</xdr:colOff>
                    <xdr:row>48</xdr:row>
                    <xdr:rowOff>171450</xdr:rowOff>
                  </from>
                  <to>
                    <xdr:col>3</xdr:col>
                    <xdr:colOff>1657350</xdr:colOff>
                    <xdr:row>49</xdr:row>
                    <xdr:rowOff>180975</xdr:rowOff>
                  </to>
                </anchor>
              </controlPr>
            </control>
          </mc:Choice>
        </mc:AlternateContent>
        <mc:AlternateContent xmlns:mc="http://schemas.openxmlformats.org/markup-compatibility/2006">
          <mc:Choice Requires="x14">
            <control shapeId="263221" r:id="rId20" name="Check Box 53">
              <controlPr defaultSize="0" autoFill="0" autoLine="0" autoPict="0">
                <anchor moveWithCells="1">
                  <from>
                    <xdr:col>3</xdr:col>
                    <xdr:colOff>1400175</xdr:colOff>
                    <xdr:row>51</xdr:row>
                    <xdr:rowOff>171450</xdr:rowOff>
                  </from>
                  <to>
                    <xdr:col>3</xdr:col>
                    <xdr:colOff>1657350</xdr:colOff>
                    <xdr:row>52</xdr:row>
                    <xdr:rowOff>180975</xdr:rowOff>
                  </to>
                </anchor>
              </controlPr>
            </control>
          </mc:Choice>
        </mc:AlternateContent>
        <mc:AlternateContent xmlns:mc="http://schemas.openxmlformats.org/markup-compatibility/2006">
          <mc:Choice Requires="x14">
            <control shapeId="263223" r:id="rId21" name="Check Box 55">
              <controlPr defaultSize="0" autoFill="0" autoLine="0" autoPict="0">
                <anchor moveWithCells="1">
                  <from>
                    <xdr:col>3</xdr:col>
                    <xdr:colOff>1438275</xdr:colOff>
                    <xdr:row>69</xdr:row>
                    <xdr:rowOff>171450</xdr:rowOff>
                  </from>
                  <to>
                    <xdr:col>3</xdr:col>
                    <xdr:colOff>1695450</xdr:colOff>
                    <xdr:row>70</xdr:row>
                    <xdr:rowOff>180975</xdr:rowOff>
                  </to>
                </anchor>
              </controlPr>
            </control>
          </mc:Choice>
        </mc:AlternateContent>
        <mc:AlternateContent xmlns:mc="http://schemas.openxmlformats.org/markup-compatibility/2006">
          <mc:Choice Requires="x14">
            <control shapeId="263226" r:id="rId22" name="Check Box 58">
              <controlPr defaultSize="0" autoFill="0" autoLine="0" autoPict="0">
                <anchor moveWithCells="1">
                  <from>
                    <xdr:col>3</xdr:col>
                    <xdr:colOff>1400175</xdr:colOff>
                    <xdr:row>36</xdr:row>
                    <xdr:rowOff>0</xdr:rowOff>
                  </from>
                  <to>
                    <xdr:col>3</xdr:col>
                    <xdr:colOff>1657350</xdr:colOff>
                    <xdr:row>37</xdr:row>
                    <xdr:rowOff>19050</xdr:rowOff>
                  </to>
                </anchor>
              </controlPr>
            </control>
          </mc:Choice>
        </mc:AlternateContent>
        <mc:AlternateContent xmlns:mc="http://schemas.openxmlformats.org/markup-compatibility/2006">
          <mc:Choice Requires="x14">
            <control shapeId="263228" r:id="rId23" name="Check Box 60">
              <controlPr defaultSize="0" autoFill="0" autoLine="0" autoPict="0">
                <anchor moveWithCells="1">
                  <from>
                    <xdr:col>3</xdr:col>
                    <xdr:colOff>1400175</xdr:colOff>
                    <xdr:row>38</xdr:row>
                    <xdr:rowOff>0</xdr:rowOff>
                  </from>
                  <to>
                    <xdr:col>3</xdr:col>
                    <xdr:colOff>1657350</xdr:colOff>
                    <xdr:row>39</xdr:row>
                    <xdr:rowOff>19050</xdr:rowOff>
                  </to>
                </anchor>
              </controlPr>
            </control>
          </mc:Choice>
        </mc:AlternateContent>
        <mc:AlternateContent xmlns:mc="http://schemas.openxmlformats.org/markup-compatibility/2006">
          <mc:Choice Requires="x14">
            <control shapeId="263229" r:id="rId24" name="Check Box 61">
              <controlPr defaultSize="0" autoFill="0" autoLine="0" autoPict="0">
                <anchor moveWithCells="1">
                  <from>
                    <xdr:col>3</xdr:col>
                    <xdr:colOff>1400175</xdr:colOff>
                    <xdr:row>40</xdr:row>
                    <xdr:rowOff>0</xdr:rowOff>
                  </from>
                  <to>
                    <xdr:col>3</xdr:col>
                    <xdr:colOff>1657350</xdr:colOff>
                    <xdr:row>41</xdr:row>
                    <xdr:rowOff>19050</xdr:rowOff>
                  </to>
                </anchor>
              </controlPr>
            </control>
          </mc:Choice>
        </mc:AlternateContent>
        <mc:AlternateContent xmlns:mc="http://schemas.openxmlformats.org/markup-compatibility/2006">
          <mc:Choice Requires="x14">
            <control shapeId="263238" r:id="rId25" name="Check Box 70">
              <controlPr defaultSize="0" autoFill="0" autoLine="0" autoPict="0">
                <anchor moveWithCells="1">
                  <from>
                    <xdr:col>3</xdr:col>
                    <xdr:colOff>1428750</xdr:colOff>
                    <xdr:row>68</xdr:row>
                    <xdr:rowOff>190500</xdr:rowOff>
                  </from>
                  <to>
                    <xdr:col>3</xdr:col>
                    <xdr:colOff>1695450</xdr:colOff>
                    <xdr:row>70</xdr:row>
                    <xdr:rowOff>0</xdr:rowOff>
                  </to>
                </anchor>
              </controlPr>
            </control>
          </mc:Choice>
        </mc:AlternateContent>
        <mc:AlternateContent xmlns:mc="http://schemas.openxmlformats.org/markup-compatibility/2006">
          <mc:Choice Requires="x14">
            <control shapeId="263239" r:id="rId26" name="Check Box 71">
              <controlPr defaultSize="0" autoFill="0" autoLine="0" autoPict="0">
                <anchor moveWithCells="1">
                  <from>
                    <xdr:col>3</xdr:col>
                    <xdr:colOff>1371600</xdr:colOff>
                    <xdr:row>31</xdr:row>
                    <xdr:rowOff>152400</xdr:rowOff>
                  </from>
                  <to>
                    <xdr:col>3</xdr:col>
                    <xdr:colOff>1647825</xdr:colOff>
                    <xdr:row>33</xdr:row>
                    <xdr:rowOff>19050</xdr:rowOff>
                  </to>
                </anchor>
              </controlPr>
            </control>
          </mc:Choice>
        </mc:AlternateContent>
        <mc:AlternateContent xmlns:mc="http://schemas.openxmlformats.org/markup-compatibility/2006">
          <mc:Choice Requires="x14">
            <control shapeId="263241" r:id="rId27" name="Check Box 73">
              <controlPr locked="0" defaultSize="0" autoFill="0" autoLine="0" autoPict="0">
                <anchor moveWithCells="1">
                  <from>
                    <xdr:col>2</xdr:col>
                    <xdr:colOff>533400</xdr:colOff>
                    <xdr:row>60</xdr:row>
                    <xdr:rowOff>180975</xdr:rowOff>
                  </from>
                  <to>
                    <xdr:col>2</xdr:col>
                    <xdr:colOff>942975</xdr:colOff>
                    <xdr:row>62</xdr:row>
                    <xdr:rowOff>28575</xdr:rowOff>
                  </to>
                </anchor>
              </controlPr>
            </control>
          </mc:Choice>
        </mc:AlternateContent>
        <mc:AlternateContent xmlns:mc="http://schemas.openxmlformats.org/markup-compatibility/2006">
          <mc:Choice Requires="x14">
            <control shapeId="263242" r:id="rId28" name="Check Box 74">
              <controlPr defaultSize="0" autoFill="0" autoLine="0" autoPict="0">
                <anchor moveWithCells="1">
                  <from>
                    <xdr:col>2</xdr:col>
                    <xdr:colOff>533400</xdr:colOff>
                    <xdr:row>53</xdr:row>
                    <xdr:rowOff>190500</xdr:rowOff>
                  </from>
                  <to>
                    <xdr:col>2</xdr:col>
                    <xdr:colOff>1019175</xdr:colOff>
                    <xdr:row>55</xdr:row>
                    <xdr:rowOff>28575</xdr:rowOff>
                  </to>
                </anchor>
              </controlPr>
            </control>
          </mc:Choice>
        </mc:AlternateContent>
        <mc:AlternateContent xmlns:mc="http://schemas.openxmlformats.org/markup-compatibility/2006">
          <mc:Choice Requires="x14">
            <control shapeId="263251" r:id="rId29" name="Check Box 83">
              <controlPr defaultSize="0" autoFill="0" autoLine="0" autoPict="0">
                <anchor moveWithCells="1">
                  <from>
                    <xdr:col>2</xdr:col>
                    <xdr:colOff>533400</xdr:colOff>
                    <xdr:row>57</xdr:row>
                    <xdr:rowOff>190500</xdr:rowOff>
                  </from>
                  <to>
                    <xdr:col>2</xdr:col>
                    <xdr:colOff>1019175</xdr:colOff>
                    <xdr:row>59</xdr:row>
                    <xdr:rowOff>28575</xdr:rowOff>
                  </to>
                </anchor>
              </controlPr>
            </control>
          </mc:Choice>
        </mc:AlternateContent>
        <mc:AlternateContent xmlns:mc="http://schemas.openxmlformats.org/markup-compatibility/2006">
          <mc:Choice Requires="x14">
            <control shapeId="263256" r:id="rId30" name="Check Box 88">
              <controlPr locked="0" defaultSize="0" autoFill="0" autoLine="0" autoPict="0">
                <anchor moveWithCells="1">
                  <from>
                    <xdr:col>2</xdr:col>
                    <xdr:colOff>561975</xdr:colOff>
                    <xdr:row>78</xdr:row>
                    <xdr:rowOff>0</xdr:rowOff>
                  </from>
                  <to>
                    <xdr:col>2</xdr:col>
                    <xdr:colOff>962025</xdr:colOff>
                    <xdr:row>79</xdr:row>
                    <xdr:rowOff>19050</xdr:rowOff>
                  </to>
                </anchor>
              </controlPr>
            </control>
          </mc:Choice>
        </mc:AlternateContent>
        <mc:AlternateContent xmlns:mc="http://schemas.openxmlformats.org/markup-compatibility/2006">
          <mc:Choice Requires="x14">
            <control shapeId="263257" r:id="rId31" name="Check Box 89">
              <controlPr defaultSize="0" autoFill="0" autoLine="0" autoPict="0">
                <anchor moveWithCells="1">
                  <from>
                    <xdr:col>2</xdr:col>
                    <xdr:colOff>561975</xdr:colOff>
                    <xdr:row>74</xdr:row>
                    <xdr:rowOff>257175</xdr:rowOff>
                  </from>
                  <to>
                    <xdr:col>2</xdr:col>
                    <xdr:colOff>1038225</xdr:colOff>
                    <xdr:row>76</xdr:row>
                    <xdr:rowOff>38100</xdr:rowOff>
                  </to>
                </anchor>
              </controlPr>
            </control>
          </mc:Choice>
        </mc:AlternateContent>
        <mc:AlternateContent xmlns:mc="http://schemas.openxmlformats.org/markup-compatibility/2006">
          <mc:Choice Requires="x14">
            <control shapeId="263259" r:id="rId32" name="Check Box 91">
              <controlPr locked="0" defaultSize="0" autoFill="0" autoLine="0" autoPict="0">
                <anchor moveWithCells="1">
                  <from>
                    <xdr:col>2</xdr:col>
                    <xdr:colOff>561975</xdr:colOff>
                    <xdr:row>75</xdr:row>
                    <xdr:rowOff>180975</xdr:rowOff>
                  </from>
                  <to>
                    <xdr:col>2</xdr:col>
                    <xdr:colOff>962025</xdr:colOff>
                    <xdr:row>77</xdr:row>
                    <xdr:rowOff>38100</xdr:rowOff>
                  </to>
                </anchor>
              </controlPr>
            </control>
          </mc:Choice>
        </mc:AlternateContent>
        <mc:AlternateContent xmlns:mc="http://schemas.openxmlformats.org/markup-compatibility/2006">
          <mc:Choice Requires="x14">
            <control shapeId="263265" r:id="rId33" name="Check Box 97">
              <controlPr locked="0" defaultSize="0" autoFill="0" autoLine="0" autoPict="0">
                <anchor moveWithCells="1">
                  <from>
                    <xdr:col>2</xdr:col>
                    <xdr:colOff>561975</xdr:colOff>
                    <xdr:row>76</xdr:row>
                    <xdr:rowOff>171450</xdr:rowOff>
                  </from>
                  <to>
                    <xdr:col>2</xdr:col>
                    <xdr:colOff>962025</xdr:colOff>
                    <xdr:row>78</xdr:row>
                    <xdr:rowOff>38100</xdr:rowOff>
                  </to>
                </anchor>
              </controlPr>
            </control>
          </mc:Choice>
        </mc:AlternateContent>
        <mc:AlternateContent xmlns:mc="http://schemas.openxmlformats.org/markup-compatibility/2006">
          <mc:Choice Requires="x14">
            <control shapeId="263266" r:id="rId34" name="Check Box 98">
              <controlPr locked="0" defaultSize="0" autoFill="0" autoLine="0" autoPict="0">
                <anchor moveWithCells="1">
                  <from>
                    <xdr:col>2</xdr:col>
                    <xdr:colOff>561975</xdr:colOff>
                    <xdr:row>76</xdr:row>
                    <xdr:rowOff>0</xdr:rowOff>
                  </from>
                  <to>
                    <xdr:col>2</xdr:col>
                    <xdr:colOff>962025</xdr:colOff>
                    <xdr:row>77</xdr:row>
                    <xdr:rowOff>47625</xdr:rowOff>
                  </to>
                </anchor>
              </controlPr>
            </control>
          </mc:Choice>
        </mc:AlternateContent>
        <mc:AlternateContent xmlns:mc="http://schemas.openxmlformats.org/markup-compatibility/2006">
          <mc:Choice Requires="x14">
            <control shapeId="263271" r:id="rId35" name="Check Box 103">
              <controlPr defaultSize="0" autoFill="0" autoLine="0" autoPict="0">
                <anchor moveWithCells="1">
                  <from>
                    <xdr:col>2</xdr:col>
                    <xdr:colOff>561975</xdr:colOff>
                    <xdr:row>93</xdr:row>
                    <xdr:rowOff>28575</xdr:rowOff>
                  </from>
                  <to>
                    <xdr:col>2</xdr:col>
                    <xdr:colOff>914400</xdr:colOff>
                    <xdr:row>94</xdr:row>
                    <xdr:rowOff>9525</xdr:rowOff>
                  </to>
                </anchor>
              </controlPr>
            </control>
          </mc:Choice>
        </mc:AlternateContent>
        <mc:AlternateContent xmlns:mc="http://schemas.openxmlformats.org/markup-compatibility/2006">
          <mc:Choice Requires="x14">
            <control shapeId="263272" r:id="rId36" name="Check Box 104">
              <controlPr defaultSize="0" autoFill="0" autoLine="0" autoPict="0">
                <anchor moveWithCells="1">
                  <from>
                    <xdr:col>2</xdr:col>
                    <xdr:colOff>561975</xdr:colOff>
                    <xdr:row>94</xdr:row>
                    <xdr:rowOff>28575</xdr:rowOff>
                  </from>
                  <to>
                    <xdr:col>2</xdr:col>
                    <xdr:colOff>914400</xdr:colOff>
                    <xdr:row>95</xdr:row>
                    <xdr:rowOff>9525</xdr:rowOff>
                  </to>
                </anchor>
              </controlPr>
            </control>
          </mc:Choice>
        </mc:AlternateContent>
        <mc:AlternateContent xmlns:mc="http://schemas.openxmlformats.org/markup-compatibility/2006">
          <mc:Choice Requires="x14">
            <control shapeId="263273" r:id="rId37" name="Check Box 105">
              <controlPr defaultSize="0" autoFill="0" autoLine="0" autoPict="0">
                <anchor moveWithCells="1">
                  <from>
                    <xdr:col>2</xdr:col>
                    <xdr:colOff>561975</xdr:colOff>
                    <xdr:row>96</xdr:row>
                    <xdr:rowOff>0</xdr:rowOff>
                  </from>
                  <to>
                    <xdr:col>2</xdr:col>
                    <xdr:colOff>914400</xdr:colOff>
                    <xdr:row>96</xdr:row>
                    <xdr:rowOff>171450</xdr:rowOff>
                  </to>
                </anchor>
              </controlPr>
            </control>
          </mc:Choice>
        </mc:AlternateContent>
        <mc:AlternateContent xmlns:mc="http://schemas.openxmlformats.org/markup-compatibility/2006">
          <mc:Choice Requires="x14">
            <control shapeId="263275" r:id="rId38" name="Check Box 107">
              <controlPr defaultSize="0" autoFill="0" autoLine="0" autoPict="0">
                <anchor moveWithCells="1">
                  <from>
                    <xdr:col>2</xdr:col>
                    <xdr:colOff>561975</xdr:colOff>
                    <xdr:row>96</xdr:row>
                    <xdr:rowOff>28575</xdr:rowOff>
                  </from>
                  <to>
                    <xdr:col>2</xdr:col>
                    <xdr:colOff>914400</xdr:colOff>
                    <xdr:row>97</xdr:row>
                    <xdr:rowOff>9525</xdr:rowOff>
                  </to>
                </anchor>
              </controlPr>
            </control>
          </mc:Choice>
        </mc:AlternateContent>
        <mc:AlternateContent xmlns:mc="http://schemas.openxmlformats.org/markup-compatibility/2006">
          <mc:Choice Requires="x14">
            <control shapeId="263277" r:id="rId39" name="Check Box 109">
              <controlPr defaultSize="0" autoFill="0" autoLine="0" autoPict="0">
                <anchor moveWithCells="1">
                  <from>
                    <xdr:col>2</xdr:col>
                    <xdr:colOff>561975</xdr:colOff>
                    <xdr:row>95</xdr:row>
                    <xdr:rowOff>28575</xdr:rowOff>
                  </from>
                  <to>
                    <xdr:col>2</xdr:col>
                    <xdr:colOff>914400</xdr:colOff>
                    <xdr:row>96</xdr:row>
                    <xdr:rowOff>9525</xdr:rowOff>
                  </to>
                </anchor>
              </controlPr>
            </control>
          </mc:Choice>
        </mc:AlternateContent>
        <mc:AlternateContent xmlns:mc="http://schemas.openxmlformats.org/markup-compatibility/2006">
          <mc:Choice Requires="x14">
            <control shapeId="263282" r:id="rId40" name="Check Box 114">
              <controlPr defaultSize="0" autoFill="0" autoLine="0" autoPict="0">
                <anchor moveWithCells="1">
                  <from>
                    <xdr:col>2</xdr:col>
                    <xdr:colOff>561975</xdr:colOff>
                    <xdr:row>98</xdr:row>
                    <xdr:rowOff>0</xdr:rowOff>
                  </from>
                  <to>
                    <xdr:col>2</xdr:col>
                    <xdr:colOff>942975</xdr:colOff>
                    <xdr:row>99</xdr:row>
                    <xdr:rowOff>0</xdr:rowOff>
                  </to>
                </anchor>
              </controlPr>
            </control>
          </mc:Choice>
        </mc:AlternateContent>
        <mc:AlternateContent xmlns:mc="http://schemas.openxmlformats.org/markup-compatibility/2006">
          <mc:Choice Requires="x14">
            <control shapeId="263283" r:id="rId41" name="Check Box 115">
              <controlPr defaultSize="0" autoFill="0" autoLine="0" autoPict="0">
                <anchor moveWithCells="1">
                  <from>
                    <xdr:col>2</xdr:col>
                    <xdr:colOff>561975</xdr:colOff>
                    <xdr:row>92</xdr:row>
                    <xdr:rowOff>28575</xdr:rowOff>
                  </from>
                  <to>
                    <xdr:col>2</xdr:col>
                    <xdr:colOff>914400</xdr:colOff>
                    <xdr:row>93</xdr:row>
                    <xdr:rowOff>9525</xdr:rowOff>
                  </to>
                </anchor>
              </controlPr>
            </control>
          </mc:Choice>
        </mc:AlternateContent>
        <mc:AlternateContent xmlns:mc="http://schemas.openxmlformats.org/markup-compatibility/2006">
          <mc:Choice Requires="x14">
            <control shapeId="263292" r:id="rId42" name="Check Box 124">
              <controlPr defaultSize="0" autoFill="0" autoLine="0" autoPict="0">
                <anchor moveWithCells="1">
                  <from>
                    <xdr:col>3</xdr:col>
                    <xdr:colOff>1409700</xdr:colOff>
                    <xdr:row>112</xdr:row>
                    <xdr:rowOff>9525</xdr:rowOff>
                  </from>
                  <to>
                    <xdr:col>3</xdr:col>
                    <xdr:colOff>1790700</xdr:colOff>
                    <xdr:row>113</xdr:row>
                    <xdr:rowOff>9525</xdr:rowOff>
                  </to>
                </anchor>
              </controlPr>
            </control>
          </mc:Choice>
        </mc:AlternateContent>
        <mc:AlternateContent xmlns:mc="http://schemas.openxmlformats.org/markup-compatibility/2006">
          <mc:Choice Requires="x14">
            <control shapeId="263293" r:id="rId43" name="Check Box 125">
              <controlPr defaultSize="0" autoFill="0" autoLine="0" autoPict="0">
                <anchor moveWithCells="1">
                  <from>
                    <xdr:col>3</xdr:col>
                    <xdr:colOff>1409700</xdr:colOff>
                    <xdr:row>114</xdr:row>
                    <xdr:rowOff>9525</xdr:rowOff>
                  </from>
                  <to>
                    <xdr:col>3</xdr:col>
                    <xdr:colOff>1790700</xdr:colOff>
                    <xdr:row>115</xdr:row>
                    <xdr:rowOff>9525</xdr:rowOff>
                  </to>
                </anchor>
              </controlPr>
            </control>
          </mc:Choice>
        </mc:AlternateContent>
        <mc:AlternateContent xmlns:mc="http://schemas.openxmlformats.org/markup-compatibility/2006">
          <mc:Choice Requires="x14">
            <control shapeId="263297" r:id="rId44" name="Check Box 129">
              <controlPr defaultSize="0" autoFill="0" autoLine="0" autoPict="0">
                <anchor moveWithCells="1">
                  <from>
                    <xdr:col>3</xdr:col>
                    <xdr:colOff>1409700</xdr:colOff>
                    <xdr:row>117</xdr:row>
                    <xdr:rowOff>9525</xdr:rowOff>
                  </from>
                  <to>
                    <xdr:col>3</xdr:col>
                    <xdr:colOff>1790700</xdr:colOff>
                    <xdr:row>118</xdr:row>
                    <xdr:rowOff>9525</xdr:rowOff>
                  </to>
                </anchor>
              </controlPr>
            </control>
          </mc:Choice>
        </mc:AlternateContent>
        <mc:AlternateContent xmlns:mc="http://schemas.openxmlformats.org/markup-compatibility/2006">
          <mc:Choice Requires="x14">
            <control shapeId="263298" r:id="rId45" name="Check Box 130">
              <controlPr defaultSize="0" autoFill="0" autoLine="0" autoPict="0">
                <anchor moveWithCells="1">
                  <from>
                    <xdr:col>3</xdr:col>
                    <xdr:colOff>1409700</xdr:colOff>
                    <xdr:row>118</xdr:row>
                    <xdr:rowOff>9525</xdr:rowOff>
                  </from>
                  <to>
                    <xdr:col>3</xdr:col>
                    <xdr:colOff>1790700</xdr:colOff>
                    <xdr:row>119</xdr:row>
                    <xdr:rowOff>9525</xdr:rowOff>
                  </to>
                </anchor>
              </controlPr>
            </control>
          </mc:Choice>
        </mc:AlternateContent>
        <mc:AlternateContent xmlns:mc="http://schemas.openxmlformats.org/markup-compatibility/2006">
          <mc:Choice Requires="x14">
            <control shapeId="263299" r:id="rId46" name="Check Box 131">
              <controlPr defaultSize="0" autoFill="0" autoLine="0" autoPict="0">
                <anchor moveWithCells="1">
                  <from>
                    <xdr:col>3</xdr:col>
                    <xdr:colOff>1409700</xdr:colOff>
                    <xdr:row>119</xdr:row>
                    <xdr:rowOff>9525</xdr:rowOff>
                  </from>
                  <to>
                    <xdr:col>3</xdr:col>
                    <xdr:colOff>1790700</xdr:colOff>
                    <xdr:row>120</xdr:row>
                    <xdr:rowOff>9525</xdr:rowOff>
                  </to>
                </anchor>
              </controlPr>
            </control>
          </mc:Choice>
        </mc:AlternateContent>
        <mc:AlternateContent xmlns:mc="http://schemas.openxmlformats.org/markup-compatibility/2006">
          <mc:Choice Requires="x14">
            <control shapeId="263300" r:id="rId47" name="Check Box 132">
              <controlPr defaultSize="0" autoFill="0" autoLine="0" autoPict="0">
                <anchor moveWithCells="1">
                  <from>
                    <xdr:col>3</xdr:col>
                    <xdr:colOff>1409700</xdr:colOff>
                    <xdr:row>120</xdr:row>
                    <xdr:rowOff>9525</xdr:rowOff>
                  </from>
                  <to>
                    <xdr:col>3</xdr:col>
                    <xdr:colOff>1790700</xdr:colOff>
                    <xdr:row>121</xdr:row>
                    <xdr:rowOff>9525</xdr:rowOff>
                  </to>
                </anchor>
              </controlPr>
            </control>
          </mc:Choice>
        </mc:AlternateContent>
        <mc:AlternateContent xmlns:mc="http://schemas.openxmlformats.org/markup-compatibility/2006">
          <mc:Choice Requires="x14">
            <control shapeId="263301" r:id="rId48" name="Check Box 133">
              <controlPr defaultSize="0" autoFill="0" autoLine="0" autoPict="0">
                <anchor moveWithCells="1">
                  <from>
                    <xdr:col>3</xdr:col>
                    <xdr:colOff>1409700</xdr:colOff>
                    <xdr:row>121</xdr:row>
                    <xdr:rowOff>9525</xdr:rowOff>
                  </from>
                  <to>
                    <xdr:col>3</xdr:col>
                    <xdr:colOff>1790700</xdr:colOff>
                    <xdr:row>122</xdr:row>
                    <xdr:rowOff>9525</xdr:rowOff>
                  </to>
                </anchor>
              </controlPr>
            </control>
          </mc:Choice>
        </mc:AlternateContent>
        <mc:AlternateContent xmlns:mc="http://schemas.openxmlformats.org/markup-compatibility/2006">
          <mc:Choice Requires="x14">
            <control shapeId="263306" r:id="rId49" name="Check Box 138">
              <controlPr defaultSize="0" autoFill="0" autoLine="0" autoPict="0">
                <anchor moveWithCells="1">
                  <from>
                    <xdr:col>3</xdr:col>
                    <xdr:colOff>1409700</xdr:colOff>
                    <xdr:row>122</xdr:row>
                    <xdr:rowOff>9525</xdr:rowOff>
                  </from>
                  <to>
                    <xdr:col>3</xdr:col>
                    <xdr:colOff>1790700</xdr:colOff>
                    <xdr:row>123</xdr:row>
                    <xdr:rowOff>9525</xdr:rowOff>
                  </to>
                </anchor>
              </controlPr>
            </control>
          </mc:Choice>
        </mc:AlternateContent>
        <mc:AlternateContent xmlns:mc="http://schemas.openxmlformats.org/markup-compatibility/2006">
          <mc:Choice Requires="x14">
            <control shapeId="263307" r:id="rId50" name="Check Box 139">
              <controlPr defaultSize="0" autoFill="0" autoLine="0" autoPict="0">
                <anchor moveWithCells="1">
                  <from>
                    <xdr:col>3</xdr:col>
                    <xdr:colOff>1409700</xdr:colOff>
                    <xdr:row>123</xdr:row>
                    <xdr:rowOff>0</xdr:rowOff>
                  </from>
                  <to>
                    <xdr:col>3</xdr:col>
                    <xdr:colOff>1790700</xdr:colOff>
                    <xdr:row>124</xdr:row>
                    <xdr:rowOff>0</xdr:rowOff>
                  </to>
                </anchor>
              </controlPr>
            </control>
          </mc:Choice>
        </mc:AlternateContent>
        <mc:AlternateContent xmlns:mc="http://schemas.openxmlformats.org/markup-compatibility/2006">
          <mc:Choice Requires="x14">
            <control shapeId="263312" r:id="rId51" name="Check Box 144">
              <controlPr defaultSize="0" autoFill="0" autoLine="0" autoPict="0">
                <anchor moveWithCells="1">
                  <from>
                    <xdr:col>3</xdr:col>
                    <xdr:colOff>1409700</xdr:colOff>
                    <xdr:row>123</xdr:row>
                    <xdr:rowOff>9525</xdr:rowOff>
                  </from>
                  <to>
                    <xdr:col>3</xdr:col>
                    <xdr:colOff>1800225</xdr:colOff>
                    <xdr:row>124</xdr:row>
                    <xdr:rowOff>9525</xdr:rowOff>
                  </to>
                </anchor>
              </controlPr>
            </control>
          </mc:Choice>
        </mc:AlternateContent>
        <mc:AlternateContent xmlns:mc="http://schemas.openxmlformats.org/markup-compatibility/2006">
          <mc:Choice Requires="x14">
            <control shapeId="263314" r:id="rId52" name="Check Box 146">
              <controlPr defaultSize="0" autoFill="0" autoLine="0" autoPict="0">
                <anchor moveWithCells="1">
                  <from>
                    <xdr:col>3</xdr:col>
                    <xdr:colOff>1400175</xdr:colOff>
                    <xdr:row>129</xdr:row>
                    <xdr:rowOff>9525</xdr:rowOff>
                  </from>
                  <to>
                    <xdr:col>3</xdr:col>
                    <xdr:colOff>1781175</xdr:colOff>
                    <xdr:row>130</xdr:row>
                    <xdr:rowOff>9525</xdr:rowOff>
                  </to>
                </anchor>
              </controlPr>
            </control>
          </mc:Choice>
        </mc:AlternateContent>
        <mc:AlternateContent xmlns:mc="http://schemas.openxmlformats.org/markup-compatibility/2006">
          <mc:Choice Requires="x14">
            <control shapeId="263315" r:id="rId53" name="Check Box 147">
              <controlPr defaultSize="0" autoFill="0" autoLine="0" autoPict="0">
                <anchor moveWithCells="1">
                  <from>
                    <xdr:col>3</xdr:col>
                    <xdr:colOff>1400175</xdr:colOff>
                    <xdr:row>131</xdr:row>
                    <xdr:rowOff>9525</xdr:rowOff>
                  </from>
                  <to>
                    <xdr:col>3</xdr:col>
                    <xdr:colOff>1781175</xdr:colOff>
                    <xdr:row>132</xdr:row>
                    <xdr:rowOff>9525</xdr:rowOff>
                  </to>
                </anchor>
              </controlPr>
            </control>
          </mc:Choice>
        </mc:AlternateContent>
        <mc:AlternateContent xmlns:mc="http://schemas.openxmlformats.org/markup-compatibility/2006">
          <mc:Choice Requires="x14">
            <control shapeId="263319" r:id="rId54" name="Check Box 151">
              <controlPr defaultSize="0" autoFill="0" autoLine="0" autoPict="0">
                <anchor moveWithCells="1">
                  <from>
                    <xdr:col>3</xdr:col>
                    <xdr:colOff>1400175</xdr:colOff>
                    <xdr:row>133</xdr:row>
                    <xdr:rowOff>9525</xdr:rowOff>
                  </from>
                  <to>
                    <xdr:col>3</xdr:col>
                    <xdr:colOff>1781175</xdr:colOff>
                    <xdr:row>134</xdr:row>
                    <xdr:rowOff>9525</xdr:rowOff>
                  </to>
                </anchor>
              </controlPr>
            </control>
          </mc:Choice>
        </mc:AlternateContent>
        <mc:AlternateContent xmlns:mc="http://schemas.openxmlformats.org/markup-compatibility/2006">
          <mc:Choice Requires="x14">
            <control shapeId="263320" r:id="rId55" name="Check Box 152">
              <controlPr defaultSize="0" autoFill="0" autoLine="0" autoPict="0">
                <anchor moveWithCells="1">
                  <from>
                    <xdr:col>3</xdr:col>
                    <xdr:colOff>1400175</xdr:colOff>
                    <xdr:row>151</xdr:row>
                    <xdr:rowOff>9525</xdr:rowOff>
                  </from>
                  <to>
                    <xdr:col>3</xdr:col>
                    <xdr:colOff>1781175</xdr:colOff>
                    <xdr:row>152</xdr:row>
                    <xdr:rowOff>9525</xdr:rowOff>
                  </to>
                </anchor>
              </controlPr>
            </control>
          </mc:Choice>
        </mc:AlternateContent>
        <mc:AlternateContent xmlns:mc="http://schemas.openxmlformats.org/markup-compatibility/2006">
          <mc:Choice Requires="x14">
            <control shapeId="263321" r:id="rId56" name="Check Box 153">
              <controlPr defaultSize="0" autoFill="0" autoLine="0" autoPict="0">
                <anchor moveWithCells="1">
                  <from>
                    <xdr:col>3</xdr:col>
                    <xdr:colOff>1409700</xdr:colOff>
                    <xdr:row>111</xdr:row>
                    <xdr:rowOff>9525</xdr:rowOff>
                  </from>
                  <to>
                    <xdr:col>3</xdr:col>
                    <xdr:colOff>1790700</xdr:colOff>
                    <xdr:row>112</xdr:row>
                    <xdr:rowOff>9525</xdr:rowOff>
                  </to>
                </anchor>
              </controlPr>
            </control>
          </mc:Choice>
        </mc:AlternateContent>
        <mc:AlternateContent xmlns:mc="http://schemas.openxmlformats.org/markup-compatibility/2006">
          <mc:Choice Requires="x14">
            <control shapeId="263322" r:id="rId57" name="Check Box 154">
              <controlPr defaultSize="0" autoFill="0" autoLine="0" autoPict="0">
                <anchor moveWithCells="1">
                  <from>
                    <xdr:col>3</xdr:col>
                    <xdr:colOff>1400175</xdr:colOff>
                    <xdr:row>134</xdr:row>
                    <xdr:rowOff>9525</xdr:rowOff>
                  </from>
                  <to>
                    <xdr:col>3</xdr:col>
                    <xdr:colOff>1781175</xdr:colOff>
                    <xdr:row>135</xdr:row>
                    <xdr:rowOff>9525</xdr:rowOff>
                  </to>
                </anchor>
              </controlPr>
            </control>
          </mc:Choice>
        </mc:AlternateContent>
        <mc:AlternateContent xmlns:mc="http://schemas.openxmlformats.org/markup-compatibility/2006">
          <mc:Choice Requires="x14">
            <control shapeId="263340" r:id="rId58" name="Check Box 172">
              <controlPr defaultSize="0" autoFill="0" autoLine="0" autoPict="0">
                <anchor moveWithCells="1">
                  <from>
                    <xdr:col>3</xdr:col>
                    <xdr:colOff>1400175</xdr:colOff>
                    <xdr:row>146</xdr:row>
                    <xdr:rowOff>9525</xdr:rowOff>
                  </from>
                  <to>
                    <xdr:col>3</xdr:col>
                    <xdr:colOff>1781175</xdr:colOff>
                    <xdr:row>147</xdr:row>
                    <xdr:rowOff>9525</xdr:rowOff>
                  </to>
                </anchor>
              </controlPr>
            </control>
          </mc:Choice>
        </mc:AlternateContent>
        <mc:AlternateContent xmlns:mc="http://schemas.openxmlformats.org/markup-compatibility/2006">
          <mc:Choice Requires="x14">
            <control shapeId="263341" r:id="rId59" name="Check Box 173">
              <controlPr defaultSize="0" autoFill="0" autoLine="0" autoPict="0">
                <anchor moveWithCells="1">
                  <from>
                    <xdr:col>3</xdr:col>
                    <xdr:colOff>1400175</xdr:colOff>
                    <xdr:row>147</xdr:row>
                    <xdr:rowOff>9525</xdr:rowOff>
                  </from>
                  <to>
                    <xdr:col>3</xdr:col>
                    <xdr:colOff>1781175</xdr:colOff>
                    <xdr:row>148</xdr:row>
                    <xdr:rowOff>9525</xdr:rowOff>
                  </to>
                </anchor>
              </controlPr>
            </control>
          </mc:Choice>
        </mc:AlternateContent>
        <mc:AlternateContent xmlns:mc="http://schemas.openxmlformats.org/markup-compatibility/2006">
          <mc:Choice Requires="x14">
            <control shapeId="263344" r:id="rId60" name="Check Box 176">
              <controlPr defaultSize="0" autoFill="0" autoLine="0" autoPict="0">
                <anchor moveWithCells="1">
                  <from>
                    <xdr:col>3</xdr:col>
                    <xdr:colOff>1409700</xdr:colOff>
                    <xdr:row>154</xdr:row>
                    <xdr:rowOff>180975</xdr:rowOff>
                  </from>
                  <to>
                    <xdr:col>3</xdr:col>
                    <xdr:colOff>1790700</xdr:colOff>
                    <xdr:row>156</xdr:row>
                    <xdr:rowOff>0</xdr:rowOff>
                  </to>
                </anchor>
              </controlPr>
            </control>
          </mc:Choice>
        </mc:AlternateContent>
        <mc:AlternateContent xmlns:mc="http://schemas.openxmlformats.org/markup-compatibility/2006">
          <mc:Choice Requires="x14">
            <control shapeId="263345" r:id="rId61" name="Check Box 177">
              <controlPr defaultSize="0" autoFill="0" autoLine="0" autoPict="0">
                <anchor moveWithCells="1">
                  <from>
                    <xdr:col>3</xdr:col>
                    <xdr:colOff>1419225</xdr:colOff>
                    <xdr:row>157</xdr:row>
                    <xdr:rowOff>0</xdr:rowOff>
                  </from>
                  <to>
                    <xdr:col>3</xdr:col>
                    <xdr:colOff>1800225</xdr:colOff>
                    <xdr:row>158</xdr:row>
                    <xdr:rowOff>0</xdr:rowOff>
                  </to>
                </anchor>
              </controlPr>
            </control>
          </mc:Choice>
        </mc:AlternateContent>
        <mc:AlternateContent xmlns:mc="http://schemas.openxmlformats.org/markup-compatibility/2006">
          <mc:Choice Requires="x14">
            <control shapeId="263346" r:id="rId62" name="Check Box 178">
              <controlPr defaultSize="0" autoFill="0" autoLine="0" autoPict="0">
                <anchor moveWithCells="1">
                  <from>
                    <xdr:col>3</xdr:col>
                    <xdr:colOff>1419225</xdr:colOff>
                    <xdr:row>158</xdr:row>
                    <xdr:rowOff>0</xdr:rowOff>
                  </from>
                  <to>
                    <xdr:col>3</xdr:col>
                    <xdr:colOff>1800225</xdr:colOff>
                    <xdr:row>159</xdr:row>
                    <xdr:rowOff>0</xdr:rowOff>
                  </to>
                </anchor>
              </controlPr>
            </control>
          </mc:Choice>
        </mc:AlternateContent>
        <mc:AlternateContent xmlns:mc="http://schemas.openxmlformats.org/markup-compatibility/2006">
          <mc:Choice Requires="x14">
            <control shapeId="263351" r:id="rId63" name="Check Box 183">
              <controlPr defaultSize="0" autoFill="0" autoLine="0" autoPict="0">
                <anchor moveWithCells="1">
                  <from>
                    <xdr:col>3</xdr:col>
                    <xdr:colOff>1419225</xdr:colOff>
                    <xdr:row>161</xdr:row>
                    <xdr:rowOff>0</xdr:rowOff>
                  </from>
                  <to>
                    <xdr:col>3</xdr:col>
                    <xdr:colOff>1800225</xdr:colOff>
                    <xdr:row>162</xdr:row>
                    <xdr:rowOff>0</xdr:rowOff>
                  </to>
                </anchor>
              </controlPr>
            </control>
          </mc:Choice>
        </mc:AlternateContent>
        <mc:AlternateContent xmlns:mc="http://schemas.openxmlformats.org/markup-compatibility/2006">
          <mc:Choice Requires="x14">
            <control shapeId="263352" r:id="rId64" name="Check Box 184">
              <controlPr defaultSize="0" autoFill="0" autoLine="0" autoPict="0">
                <anchor moveWithCells="1">
                  <from>
                    <xdr:col>3</xdr:col>
                    <xdr:colOff>1419225</xdr:colOff>
                    <xdr:row>162</xdr:row>
                    <xdr:rowOff>0</xdr:rowOff>
                  </from>
                  <to>
                    <xdr:col>3</xdr:col>
                    <xdr:colOff>1800225</xdr:colOff>
                    <xdr:row>163</xdr:row>
                    <xdr:rowOff>0</xdr:rowOff>
                  </to>
                </anchor>
              </controlPr>
            </control>
          </mc:Choice>
        </mc:AlternateContent>
        <mc:AlternateContent xmlns:mc="http://schemas.openxmlformats.org/markup-compatibility/2006">
          <mc:Choice Requires="x14">
            <control shapeId="263354" r:id="rId65" name="Check Box 186">
              <controlPr defaultSize="0" autoFill="0" autoLine="0" autoPict="0">
                <anchor moveWithCells="1">
                  <from>
                    <xdr:col>3</xdr:col>
                    <xdr:colOff>1419225</xdr:colOff>
                    <xdr:row>167</xdr:row>
                    <xdr:rowOff>0</xdr:rowOff>
                  </from>
                  <to>
                    <xdr:col>3</xdr:col>
                    <xdr:colOff>1800225</xdr:colOff>
                    <xdr:row>168</xdr:row>
                    <xdr:rowOff>0</xdr:rowOff>
                  </to>
                </anchor>
              </controlPr>
            </control>
          </mc:Choice>
        </mc:AlternateContent>
        <mc:AlternateContent xmlns:mc="http://schemas.openxmlformats.org/markup-compatibility/2006">
          <mc:Choice Requires="x14">
            <control shapeId="263355" r:id="rId66" name="Check Box 187">
              <controlPr defaultSize="0" autoFill="0" autoLine="0" autoPict="0">
                <anchor moveWithCells="1">
                  <from>
                    <xdr:col>3</xdr:col>
                    <xdr:colOff>1419225</xdr:colOff>
                    <xdr:row>168</xdr:row>
                    <xdr:rowOff>0</xdr:rowOff>
                  </from>
                  <to>
                    <xdr:col>3</xdr:col>
                    <xdr:colOff>1800225</xdr:colOff>
                    <xdr:row>169</xdr:row>
                    <xdr:rowOff>0</xdr:rowOff>
                  </to>
                </anchor>
              </controlPr>
            </control>
          </mc:Choice>
        </mc:AlternateContent>
        <mc:AlternateContent xmlns:mc="http://schemas.openxmlformats.org/markup-compatibility/2006">
          <mc:Choice Requires="x14">
            <control shapeId="263356" r:id="rId67" name="Check Box 188">
              <controlPr defaultSize="0" autoFill="0" autoLine="0" autoPict="0">
                <anchor moveWithCells="1">
                  <from>
                    <xdr:col>3</xdr:col>
                    <xdr:colOff>1419225</xdr:colOff>
                    <xdr:row>169</xdr:row>
                    <xdr:rowOff>0</xdr:rowOff>
                  </from>
                  <to>
                    <xdr:col>3</xdr:col>
                    <xdr:colOff>1800225</xdr:colOff>
                    <xdr:row>170</xdr:row>
                    <xdr:rowOff>0</xdr:rowOff>
                  </to>
                </anchor>
              </controlPr>
            </control>
          </mc:Choice>
        </mc:AlternateContent>
        <mc:AlternateContent xmlns:mc="http://schemas.openxmlformats.org/markup-compatibility/2006">
          <mc:Choice Requires="x14">
            <control shapeId="263359" r:id="rId68" name="Check Box 191">
              <controlPr defaultSize="0" autoFill="0" autoLine="0" autoPict="0">
                <anchor moveWithCells="1">
                  <from>
                    <xdr:col>3</xdr:col>
                    <xdr:colOff>1419225</xdr:colOff>
                    <xdr:row>170</xdr:row>
                    <xdr:rowOff>0</xdr:rowOff>
                  </from>
                  <to>
                    <xdr:col>3</xdr:col>
                    <xdr:colOff>1800225</xdr:colOff>
                    <xdr:row>171</xdr:row>
                    <xdr:rowOff>0</xdr:rowOff>
                  </to>
                </anchor>
              </controlPr>
            </control>
          </mc:Choice>
        </mc:AlternateContent>
        <mc:AlternateContent xmlns:mc="http://schemas.openxmlformats.org/markup-compatibility/2006">
          <mc:Choice Requires="x14">
            <control shapeId="263360" r:id="rId69" name="Check Box 192">
              <controlPr defaultSize="0" autoFill="0" autoLine="0" autoPict="0">
                <anchor moveWithCells="1">
                  <from>
                    <xdr:col>3</xdr:col>
                    <xdr:colOff>1419225</xdr:colOff>
                    <xdr:row>171</xdr:row>
                    <xdr:rowOff>0</xdr:rowOff>
                  </from>
                  <to>
                    <xdr:col>3</xdr:col>
                    <xdr:colOff>1800225</xdr:colOff>
                    <xdr:row>172</xdr:row>
                    <xdr:rowOff>0</xdr:rowOff>
                  </to>
                </anchor>
              </controlPr>
            </control>
          </mc:Choice>
        </mc:AlternateContent>
        <mc:AlternateContent xmlns:mc="http://schemas.openxmlformats.org/markup-compatibility/2006">
          <mc:Choice Requires="x14">
            <control shapeId="263361" r:id="rId70" name="Check Box 193">
              <controlPr defaultSize="0" autoFill="0" autoLine="0" autoPict="0">
                <anchor moveWithCells="1">
                  <from>
                    <xdr:col>3</xdr:col>
                    <xdr:colOff>1419225</xdr:colOff>
                    <xdr:row>172</xdr:row>
                    <xdr:rowOff>0</xdr:rowOff>
                  </from>
                  <to>
                    <xdr:col>3</xdr:col>
                    <xdr:colOff>1800225</xdr:colOff>
                    <xdr:row>173</xdr:row>
                    <xdr:rowOff>0</xdr:rowOff>
                  </to>
                </anchor>
              </controlPr>
            </control>
          </mc:Choice>
        </mc:AlternateContent>
        <mc:AlternateContent xmlns:mc="http://schemas.openxmlformats.org/markup-compatibility/2006">
          <mc:Choice Requires="x14">
            <control shapeId="263362" r:id="rId71" name="Check Box 194">
              <controlPr defaultSize="0" autoFill="0" autoLine="0" autoPict="0">
                <anchor moveWithCells="1">
                  <from>
                    <xdr:col>3</xdr:col>
                    <xdr:colOff>1419225</xdr:colOff>
                    <xdr:row>173</xdr:row>
                    <xdr:rowOff>0</xdr:rowOff>
                  </from>
                  <to>
                    <xdr:col>3</xdr:col>
                    <xdr:colOff>1800225</xdr:colOff>
                    <xdr:row>174</xdr:row>
                    <xdr:rowOff>0</xdr:rowOff>
                  </to>
                </anchor>
              </controlPr>
            </control>
          </mc:Choice>
        </mc:AlternateContent>
        <mc:AlternateContent xmlns:mc="http://schemas.openxmlformats.org/markup-compatibility/2006">
          <mc:Choice Requires="x14">
            <control shapeId="263363" r:id="rId72" name="Check Box 195">
              <controlPr defaultSize="0" autoFill="0" autoLine="0" autoPict="0">
                <anchor moveWithCells="1">
                  <from>
                    <xdr:col>3</xdr:col>
                    <xdr:colOff>1419225</xdr:colOff>
                    <xdr:row>174</xdr:row>
                    <xdr:rowOff>0</xdr:rowOff>
                  </from>
                  <to>
                    <xdr:col>3</xdr:col>
                    <xdr:colOff>1800225</xdr:colOff>
                    <xdr:row>175</xdr:row>
                    <xdr:rowOff>0</xdr:rowOff>
                  </to>
                </anchor>
              </controlPr>
            </control>
          </mc:Choice>
        </mc:AlternateContent>
        <mc:AlternateContent xmlns:mc="http://schemas.openxmlformats.org/markup-compatibility/2006">
          <mc:Choice Requires="x14">
            <control shapeId="263367" r:id="rId73" name="Check Box 199">
              <controlPr defaultSize="0" autoFill="0" autoLine="0" autoPict="0">
                <anchor moveWithCells="1">
                  <from>
                    <xdr:col>3</xdr:col>
                    <xdr:colOff>1400175</xdr:colOff>
                    <xdr:row>140</xdr:row>
                    <xdr:rowOff>9525</xdr:rowOff>
                  </from>
                  <to>
                    <xdr:col>3</xdr:col>
                    <xdr:colOff>1781175</xdr:colOff>
                    <xdr:row>141</xdr:row>
                    <xdr:rowOff>9525</xdr:rowOff>
                  </to>
                </anchor>
              </controlPr>
            </control>
          </mc:Choice>
        </mc:AlternateContent>
        <mc:AlternateContent xmlns:mc="http://schemas.openxmlformats.org/markup-compatibility/2006">
          <mc:Choice Requires="x14">
            <control shapeId="263368" r:id="rId74" name="Check Box 200">
              <controlPr defaultSize="0" autoFill="0" autoLine="0" autoPict="0">
                <anchor moveWithCells="1">
                  <from>
                    <xdr:col>3</xdr:col>
                    <xdr:colOff>1400175</xdr:colOff>
                    <xdr:row>141</xdr:row>
                    <xdr:rowOff>9525</xdr:rowOff>
                  </from>
                  <to>
                    <xdr:col>3</xdr:col>
                    <xdr:colOff>1781175</xdr:colOff>
                    <xdr:row>142</xdr:row>
                    <xdr:rowOff>9525</xdr:rowOff>
                  </to>
                </anchor>
              </controlPr>
            </control>
          </mc:Choice>
        </mc:AlternateContent>
        <mc:AlternateContent xmlns:mc="http://schemas.openxmlformats.org/markup-compatibility/2006">
          <mc:Choice Requires="x14">
            <control shapeId="263371" r:id="rId75" name="Check Box 203">
              <controlPr defaultSize="0" autoFill="0" autoLine="0" autoPict="0">
                <anchor moveWithCells="1">
                  <from>
                    <xdr:col>3</xdr:col>
                    <xdr:colOff>1400175</xdr:colOff>
                    <xdr:row>142</xdr:row>
                    <xdr:rowOff>0</xdr:rowOff>
                  </from>
                  <to>
                    <xdr:col>3</xdr:col>
                    <xdr:colOff>1781175</xdr:colOff>
                    <xdr:row>143</xdr:row>
                    <xdr:rowOff>0</xdr:rowOff>
                  </to>
                </anchor>
              </controlPr>
            </control>
          </mc:Choice>
        </mc:AlternateContent>
        <mc:AlternateContent xmlns:mc="http://schemas.openxmlformats.org/markup-compatibility/2006">
          <mc:Choice Requires="x14">
            <control shapeId="263373" r:id="rId76" name="Check Box 205">
              <controlPr defaultSize="0" autoFill="0" autoLine="0" autoPict="0">
                <anchor moveWithCells="1">
                  <from>
                    <xdr:col>3</xdr:col>
                    <xdr:colOff>1400175</xdr:colOff>
                    <xdr:row>144</xdr:row>
                    <xdr:rowOff>9525</xdr:rowOff>
                  </from>
                  <to>
                    <xdr:col>3</xdr:col>
                    <xdr:colOff>1781175</xdr:colOff>
                    <xdr:row>145</xdr:row>
                    <xdr:rowOff>9525</xdr:rowOff>
                  </to>
                </anchor>
              </controlPr>
            </control>
          </mc:Choice>
        </mc:AlternateContent>
        <mc:AlternateContent xmlns:mc="http://schemas.openxmlformats.org/markup-compatibility/2006">
          <mc:Choice Requires="x14">
            <control shapeId="263377" r:id="rId77" name="Check Box 209">
              <controlPr defaultSize="0" autoFill="0" autoLine="0" autoPict="0">
                <anchor moveWithCells="1">
                  <from>
                    <xdr:col>2</xdr:col>
                    <xdr:colOff>561975</xdr:colOff>
                    <xdr:row>101</xdr:row>
                    <xdr:rowOff>9525</xdr:rowOff>
                  </from>
                  <to>
                    <xdr:col>2</xdr:col>
                    <xdr:colOff>942975</xdr:colOff>
                    <xdr:row>102</xdr:row>
                    <xdr:rowOff>0</xdr:rowOff>
                  </to>
                </anchor>
              </controlPr>
            </control>
          </mc:Choice>
        </mc:AlternateContent>
        <mc:AlternateContent xmlns:mc="http://schemas.openxmlformats.org/markup-compatibility/2006">
          <mc:Choice Requires="x14">
            <control shapeId="263380" r:id="rId78" name="Check Box 212">
              <controlPr defaultSize="0" autoFill="0" autoLine="0" autoPict="0">
                <anchor moveWithCells="1">
                  <from>
                    <xdr:col>3</xdr:col>
                    <xdr:colOff>1400175</xdr:colOff>
                    <xdr:row>143</xdr:row>
                    <xdr:rowOff>9525</xdr:rowOff>
                  </from>
                  <to>
                    <xdr:col>3</xdr:col>
                    <xdr:colOff>1781175</xdr:colOff>
                    <xdr:row>144</xdr:row>
                    <xdr:rowOff>9525</xdr:rowOff>
                  </to>
                </anchor>
              </controlPr>
            </control>
          </mc:Choice>
        </mc:AlternateContent>
        <mc:AlternateContent xmlns:mc="http://schemas.openxmlformats.org/markup-compatibility/2006">
          <mc:Choice Requires="x14">
            <control shapeId="263381" r:id="rId79" name="Check Box 213">
              <controlPr defaultSize="0" autoFill="0" autoLine="0" autoPict="0">
                <anchor moveWithCells="1">
                  <from>
                    <xdr:col>3</xdr:col>
                    <xdr:colOff>1409700</xdr:colOff>
                    <xdr:row>107</xdr:row>
                    <xdr:rowOff>9525</xdr:rowOff>
                  </from>
                  <to>
                    <xdr:col>3</xdr:col>
                    <xdr:colOff>1790700</xdr:colOff>
                    <xdr:row>108</xdr:row>
                    <xdr:rowOff>9525</xdr:rowOff>
                  </to>
                </anchor>
              </controlPr>
            </control>
          </mc:Choice>
        </mc:AlternateContent>
        <mc:AlternateContent xmlns:mc="http://schemas.openxmlformats.org/markup-compatibility/2006">
          <mc:Choice Requires="x14">
            <control shapeId="263385" r:id="rId80" name="Check Box 217">
              <controlPr defaultSize="0" autoFill="0" autoLine="0" autoPict="0">
                <anchor moveWithCells="1">
                  <from>
                    <xdr:col>3</xdr:col>
                    <xdr:colOff>1419225</xdr:colOff>
                    <xdr:row>163</xdr:row>
                    <xdr:rowOff>0</xdr:rowOff>
                  </from>
                  <to>
                    <xdr:col>3</xdr:col>
                    <xdr:colOff>1800225</xdr:colOff>
                    <xdr:row>164</xdr:row>
                    <xdr:rowOff>0</xdr:rowOff>
                  </to>
                </anchor>
              </controlPr>
            </control>
          </mc:Choice>
        </mc:AlternateContent>
        <mc:AlternateContent xmlns:mc="http://schemas.openxmlformats.org/markup-compatibility/2006">
          <mc:Choice Requires="x14">
            <control shapeId="263386" r:id="rId81" name="Check Box 218">
              <controlPr defaultSize="0" autoFill="0" autoLine="0" autoPict="0">
                <anchor moveWithCells="1">
                  <from>
                    <xdr:col>3</xdr:col>
                    <xdr:colOff>1419225</xdr:colOff>
                    <xdr:row>164</xdr:row>
                    <xdr:rowOff>0</xdr:rowOff>
                  </from>
                  <to>
                    <xdr:col>3</xdr:col>
                    <xdr:colOff>1800225</xdr:colOff>
                    <xdr:row>165</xdr:row>
                    <xdr:rowOff>0</xdr:rowOff>
                  </to>
                </anchor>
              </controlPr>
            </control>
          </mc:Choice>
        </mc:AlternateContent>
        <mc:AlternateContent xmlns:mc="http://schemas.openxmlformats.org/markup-compatibility/2006">
          <mc:Choice Requires="x14">
            <control shapeId="263388" r:id="rId82" name="Check Box 220">
              <controlPr defaultSize="0" autoFill="0" autoLine="0" autoPict="0">
                <anchor moveWithCells="1">
                  <from>
                    <xdr:col>2</xdr:col>
                    <xdr:colOff>561975</xdr:colOff>
                    <xdr:row>97</xdr:row>
                    <xdr:rowOff>0</xdr:rowOff>
                  </from>
                  <to>
                    <xdr:col>2</xdr:col>
                    <xdr:colOff>914400</xdr:colOff>
                    <xdr:row>97</xdr:row>
                    <xdr:rowOff>171450</xdr:rowOff>
                  </to>
                </anchor>
              </controlPr>
            </control>
          </mc:Choice>
        </mc:AlternateContent>
        <mc:AlternateContent xmlns:mc="http://schemas.openxmlformats.org/markup-compatibility/2006">
          <mc:Choice Requires="x14">
            <control shapeId="263394" r:id="rId83" name="Check Box 226">
              <controlPr defaultSize="0" autoFill="0" autoLine="0" autoPict="0">
                <anchor moveWithCells="1">
                  <from>
                    <xdr:col>3</xdr:col>
                    <xdr:colOff>1400175</xdr:colOff>
                    <xdr:row>145</xdr:row>
                    <xdr:rowOff>9525</xdr:rowOff>
                  </from>
                  <to>
                    <xdr:col>3</xdr:col>
                    <xdr:colOff>1781175</xdr:colOff>
                    <xdr:row>146</xdr:row>
                    <xdr:rowOff>9525</xdr:rowOff>
                  </to>
                </anchor>
              </controlPr>
            </control>
          </mc:Choice>
        </mc:AlternateContent>
        <mc:AlternateContent xmlns:mc="http://schemas.openxmlformats.org/markup-compatibility/2006">
          <mc:Choice Requires="x14">
            <control shapeId="263400" r:id="rId84" name="Check Box 232">
              <controlPr defaultSize="0" autoFill="0" autoLine="0" autoPict="0">
                <anchor moveWithCells="1">
                  <from>
                    <xdr:col>3</xdr:col>
                    <xdr:colOff>1438275</xdr:colOff>
                    <xdr:row>71</xdr:row>
                    <xdr:rowOff>0</xdr:rowOff>
                  </from>
                  <to>
                    <xdr:col>3</xdr:col>
                    <xdr:colOff>1695450</xdr:colOff>
                    <xdr:row>72</xdr:row>
                    <xdr:rowOff>0</xdr:rowOff>
                  </to>
                </anchor>
              </controlPr>
            </control>
          </mc:Choice>
        </mc:AlternateContent>
        <mc:AlternateContent xmlns:mc="http://schemas.openxmlformats.org/markup-compatibility/2006">
          <mc:Choice Requires="x14">
            <control shapeId="263401" r:id="rId85" name="Check Box 233">
              <controlPr defaultSize="0" autoFill="0" autoLine="0" autoPict="0">
                <anchor moveWithCells="1">
                  <from>
                    <xdr:col>3</xdr:col>
                    <xdr:colOff>1438275</xdr:colOff>
                    <xdr:row>71</xdr:row>
                    <xdr:rowOff>0</xdr:rowOff>
                  </from>
                  <to>
                    <xdr:col>3</xdr:col>
                    <xdr:colOff>1695450</xdr:colOff>
                    <xdr:row>72</xdr:row>
                    <xdr:rowOff>19050</xdr:rowOff>
                  </to>
                </anchor>
              </controlPr>
            </control>
          </mc:Choice>
        </mc:AlternateContent>
        <mc:AlternateContent xmlns:mc="http://schemas.openxmlformats.org/markup-compatibility/2006">
          <mc:Choice Requires="x14">
            <control shapeId="263403" r:id="rId86" name="Check Box 235">
              <controlPr defaultSize="0" autoFill="0" autoLine="0" autoPict="0">
                <anchor moveWithCells="1">
                  <from>
                    <xdr:col>3</xdr:col>
                    <xdr:colOff>1438275</xdr:colOff>
                    <xdr:row>71</xdr:row>
                    <xdr:rowOff>0</xdr:rowOff>
                  </from>
                  <to>
                    <xdr:col>3</xdr:col>
                    <xdr:colOff>1695450</xdr:colOff>
                    <xdr:row>72</xdr:row>
                    <xdr:rowOff>0</xdr:rowOff>
                  </to>
                </anchor>
              </controlPr>
            </control>
          </mc:Choice>
        </mc:AlternateContent>
        <mc:AlternateContent xmlns:mc="http://schemas.openxmlformats.org/markup-compatibility/2006">
          <mc:Choice Requires="x14">
            <control shapeId="263404" r:id="rId87" name="Check Box 236">
              <controlPr defaultSize="0" autoFill="0" autoLine="0" autoPict="0">
                <anchor moveWithCells="1">
                  <from>
                    <xdr:col>3</xdr:col>
                    <xdr:colOff>1438275</xdr:colOff>
                    <xdr:row>71</xdr:row>
                    <xdr:rowOff>0</xdr:rowOff>
                  </from>
                  <to>
                    <xdr:col>3</xdr:col>
                    <xdr:colOff>1695450</xdr:colOff>
                    <xdr:row>72</xdr:row>
                    <xdr:rowOff>19050</xdr:rowOff>
                  </to>
                </anchor>
              </controlPr>
            </control>
          </mc:Choice>
        </mc:AlternateContent>
        <mc:AlternateContent xmlns:mc="http://schemas.openxmlformats.org/markup-compatibility/2006">
          <mc:Choice Requires="x14">
            <control shapeId="263406" r:id="rId88" name="Check Box 238">
              <controlPr defaultSize="0" autoFill="0" autoLine="0" autoPict="0">
                <anchor moveWithCells="1">
                  <from>
                    <xdr:col>3</xdr:col>
                    <xdr:colOff>1438275</xdr:colOff>
                    <xdr:row>71</xdr:row>
                    <xdr:rowOff>0</xdr:rowOff>
                  </from>
                  <to>
                    <xdr:col>3</xdr:col>
                    <xdr:colOff>1695450</xdr:colOff>
                    <xdr:row>72</xdr:row>
                    <xdr:rowOff>0</xdr:rowOff>
                  </to>
                </anchor>
              </controlPr>
            </control>
          </mc:Choice>
        </mc:AlternateContent>
        <mc:AlternateContent xmlns:mc="http://schemas.openxmlformats.org/markup-compatibility/2006">
          <mc:Choice Requires="x14">
            <control shapeId="263407" r:id="rId89" name="Check Box 239">
              <controlPr defaultSize="0" autoFill="0" autoLine="0" autoPict="0">
                <anchor moveWithCells="1">
                  <from>
                    <xdr:col>3</xdr:col>
                    <xdr:colOff>1438275</xdr:colOff>
                    <xdr:row>71</xdr:row>
                    <xdr:rowOff>171450</xdr:rowOff>
                  </from>
                  <to>
                    <xdr:col>3</xdr:col>
                    <xdr:colOff>1695450</xdr:colOff>
                    <xdr:row>72</xdr:row>
                    <xdr:rowOff>171450</xdr:rowOff>
                  </to>
                </anchor>
              </controlPr>
            </control>
          </mc:Choice>
        </mc:AlternateContent>
        <mc:AlternateContent xmlns:mc="http://schemas.openxmlformats.org/markup-compatibility/2006">
          <mc:Choice Requires="x14">
            <control shapeId="263411" r:id="rId90" name="Check Box 243">
              <controlPr defaultSize="0" autoFill="0" autoLine="0" autoPict="0">
                <anchor moveWithCells="1">
                  <from>
                    <xdr:col>2</xdr:col>
                    <xdr:colOff>561975</xdr:colOff>
                    <xdr:row>99</xdr:row>
                    <xdr:rowOff>9525</xdr:rowOff>
                  </from>
                  <to>
                    <xdr:col>2</xdr:col>
                    <xdr:colOff>942975</xdr:colOff>
                    <xdr:row>100</xdr:row>
                    <xdr:rowOff>0</xdr:rowOff>
                  </to>
                </anchor>
              </controlPr>
            </control>
          </mc:Choice>
        </mc:AlternateContent>
        <mc:AlternateContent xmlns:mc="http://schemas.openxmlformats.org/markup-compatibility/2006">
          <mc:Choice Requires="x14">
            <control shapeId="263418" r:id="rId91" name="Check Box 250">
              <controlPr defaultSize="0" autoFill="0" autoLine="0" autoPict="0">
                <anchor moveWithCells="1">
                  <from>
                    <xdr:col>3</xdr:col>
                    <xdr:colOff>1438275</xdr:colOff>
                    <xdr:row>72</xdr:row>
                    <xdr:rowOff>171450</xdr:rowOff>
                  </from>
                  <to>
                    <xdr:col>3</xdr:col>
                    <xdr:colOff>1695450</xdr:colOff>
                    <xdr:row>73</xdr:row>
                    <xdr:rowOff>171450</xdr:rowOff>
                  </to>
                </anchor>
              </controlPr>
            </control>
          </mc:Choice>
        </mc:AlternateContent>
        <mc:AlternateContent xmlns:mc="http://schemas.openxmlformats.org/markup-compatibility/2006">
          <mc:Choice Requires="x14">
            <control shapeId="263429" r:id="rId92" name="Check Box 261">
              <controlPr defaultSize="0" autoFill="0" autoLine="0" autoPict="0">
                <anchor moveWithCells="1">
                  <from>
                    <xdr:col>3</xdr:col>
                    <xdr:colOff>1409700</xdr:colOff>
                    <xdr:row>88</xdr:row>
                    <xdr:rowOff>171450</xdr:rowOff>
                  </from>
                  <to>
                    <xdr:col>3</xdr:col>
                    <xdr:colOff>1657350</xdr:colOff>
                    <xdr:row>90</xdr:row>
                    <xdr:rowOff>28575</xdr:rowOff>
                  </to>
                </anchor>
              </controlPr>
            </control>
          </mc:Choice>
        </mc:AlternateContent>
        <mc:AlternateContent xmlns:mc="http://schemas.openxmlformats.org/markup-compatibility/2006">
          <mc:Choice Requires="x14">
            <control shapeId="263437" r:id="rId93" name="Check Box 269">
              <controlPr defaultSize="0" autoFill="0" autoLine="0" autoPict="0">
                <anchor moveWithCells="1">
                  <from>
                    <xdr:col>3</xdr:col>
                    <xdr:colOff>1419225</xdr:colOff>
                    <xdr:row>34</xdr:row>
                    <xdr:rowOff>161925</xdr:rowOff>
                  </from>
                  <to>
                    <xdr:col>3</xdr:col>
                    <xdr:colOff>1695450</xdr:colOff>
                    <xdr:row>36</xdr:row>
                    <xdr:rowOff>9525</xdr:rowOff>
                  </to>
                </anchor>
              </controlPr>
            </control>
          </mc:Choice>
        </mc:AlternateContent>
        <mc:AlternateContent xmlns:mc="http://schemas.openxmlformats.org/markup-compatibility/2006">
          <mc:Choice Requires="x14">
            <control shapeId="263445" r:id="rId94" name="Check Box 277">
              <controlPr defaultSize="0" autoFill="0" autoLine="0" autoPict="0">
                <anchor moveWithCells="1">
                  <from>
                    <xdr:col>3</xdr:col>
                    <xdr:colOff>628650</xdr:colOff>
                    <xdr:row>54</xdr:row>
                    <xdr:rowOff>180975</xdr:rowOff>
                  </from>
                  <to>
                    <xdr:col>3</xdr:col>
                    <xdr:colOff>876300</xdr:colOff>
                    <xdr:row>56</xdr:row>
                    <xdr:rowOff>9525</xdr:rowOff>
                  </to>
                </anchor>
              </controlPr>
            </control>
          </mc:Choice>
        </mc:AlternateContent>
        <mc:AlternateContent xmlns:mc="http://schemas.openxmlformats.org/markup-compatibility/2006">
          <mc:Choice Requires="x14">
            <control shapeId="263446" r:id="rId95" name="Check Box 278">
              <controlPr defaultSize="0" autoFill="0" autoLine="0" autoPict="0">
                <anchor moveWithCells="1">
                  <from>
                    <xdr:col>3</xdr:col>
                    <xdr:colOff>628650</xdr:colOff>
                    <xdr:row>55</xdr:row>
                    <xdr:rowOff>180975</xdr:rowOff>
                  </from>
                  <to>
                    <xdr:col>3</xdr:col>
                    <xdr:colOff>885825</xdr:colOff>
                    <xdr:row>57</xdr:row>
                    <xdr:rowOff>28575</xdr:rowOff>
                  </to>
                </anchor>
              </controlPr>
            </control>
          </mc:Choice>
        </mc:AlternateContent>
        <mc:AlternateContent xmlns:mc="http://schemas.openxmlformats.org/markup-compatibility/2006">
          <mc:Choice Requires="x14">
            <control shapeId="263447" r:id="rId96" name="Check Box 279">
              <controlPr defaultSize="0" autoFill="0" autoLine="0" autoPict="0">
                <anchor moveWithCells="1">
                  <from>
                    <xdr:col>3</xdr:col>
                    <xdr:colOff>628650</xdr:colOff>
                    <xdr:row>56</xdr:row>
                    <xdr:rowOff>190500</xdr:rowOff>
                  </from>
                  <to>
                    <xdr:col>3</xdr:col>
                    <xdr:colOff>876300</xdr:colOff>
                    <xdr:row>58</xdr:row>
                    <xdr:rowOff>19050</xdr:rowOff>
                  </to>
                </anchor>
              </controlPr>
            </control>
          </mc:Choice>
        </mc:AlternateContent>
        <mc:AlternateContent xmlns:mc="http://schemas.openxmlformats.org/markup-compatibility/2006">
          <mc:Choice Requires="x14">
            <control shapeId="263448" r:id="rId97" name="Check Box 280">
              <controlPr defaultSize="0" autoFill="0" autoLine="0" autoPict="0">
                <anchor moveWithCells="1">
                  <from>
                    <xdr:col>3</xdr:col>
                    <xdr:colOff>628650</xdr:colOff>
                    <xdr:row>58</xdr:row>
                    <xdr:rowOff>180975</xdr:rowOff>
                  </from>
                  <to>
                    <xdr:col>3</xdr:col>
                    <xdr:colOff>866775</xdr:colOff>
                    <xdr:row>60</xdr:row>
                    <xdr:rowOff>9525</xdr:rowOff>
                  </to>
                </anchor>
              </controlPr>
            </control>
          </mc:Choice>
        </mc:AlternateContent>
        <mc:AlternateContent xmlns:mc="http://schemas.openxmlformats.org/markup-compatibility/2006">
          <mc:Choice Requires="x14">
            <control shapeId="263464" r:id="rId98" name="Check Box 296">
              <controlPr defaultSize="0" autoFill="0" autoLine="0" autoPict="0">
                <anchor moveWithCells="1">
                  <from>
                    <xdr:col>3</xdr:col>
                    <xdr:colOff>1400175</xdr:colOff>
                    <xdr:row>50</xdr:row>
                    <xdr:rowOff>0</xdr:rowOff>
                  </from>
                  <to>
                    <xdr:col>3</xdr:col>
                    <xdr:colOff>1571625</xdr:colOff>
                    <xdr:row>50</xdr:row>
                    <xdr:rowOff>171450</xdr:rowOff>
                  </to>
                </anchor>
              </controlPr>
            </control>
          </mc:Choice>
        </mc:AlternateContent>
        <mc:AlternateContent xmlns:mc="http://schemas.openxmlformats.org/markup-compatibility/2006">
          <mc:Choice Requires="x14">
            <control shapeId="263480" r:id="rId99" name="Check Box 312">
              <controlPr defaultSize="0" autoFill="0" autoLine="0" autoPict="0">
                <anchor moveWithCells="1">
                  <from>
                    <xdr:col>3</xdr:col>
                    <xdr:colOff>1400175</xdr:colOff>
                    <xdr:row>102</xdr:row>
                    <xdr:rowOff>171450</xdr:rowOff>
                  </from>
                  <to>
                    <xdr:col>3</xdr:col>
                    <xdr:colOff>1647825</xdr:colOff>
                    <xdr:row>104</xdr:row>
                    <xdr:rowOff>19050</xdr:rowOff>
                  </to>
                </anchor>
              </controlPr>
            </control>
          </mc:Choice>
        </mc:AlternateContent>
        <mc:AlternateContent xmlns:mc="http://schemas.openxmlformats.org/markup-compatibility/2006">
          <mc:Choice Requires="x14">
            <control shapeId="263482" r:id="rId100" name="Check Box 314">
              <controlPr defaultSize="0" autoFill="0" autoLine="0" autoPict="0">
                <anchor moveWithCells="1">
                  <from>
                    <xdr:col>3</xdr:col>
                    <xdr:colOff>571500</xdr:colOff>
                    <xdr:row>44</xdr:row>
                    <xdr:rowOff>171450</xdr:rowOff>
                  </from>
                  <to>
                    <xdr:col>3</xdr:col>
                    <xdr:colOff>876300</xdr:colOff>
                    <xdr:row>46</xdr:row>
                    <xdr:rowOff>9525</xdr:rowOff>
                  </to>
                </anchor>
              </controlPr>
            </control>
          </mc:Choice>
        </mc:AlternateContent>
        <mc:AlternateContent xmlns:mc="http://schemas.openxmlformats.org/markup-compatibility/2006">
          <mc:Choice Requires="x14">
            <control shapeId="263483" r:id="rId101" name="Check Box 315">
              <controlPr defaultSize="0" autoFill="0" autoLine="0" autoPict="0">
                <anchor moveWithCells="1">
                  <from>
                    <xdr:col>2</xdr:col>
                    <xdr:colOff>495300</xdr:colOff>
                    <xdr:row>45</xdr:row>
                    <xdr:rowOff>180975</xdr:rowOff>
                  </from>
                  <to>
                    <xdr:col>2</xdr:col>
                    <xdr:colOff>809625</xdr:colOff>
                    <xdr:row>47</xdr:row>
                    <xdr:rowOff>19050</xdr:rowOff>
                  </to>
                </anchor>
              </controlPr>
            </control>
          </mc:Choice>
        </mc:AlternateContent>
        <mc:AlternateContent xmlns:mc="http://schemas.openxmlformats.org/markup-compatibility/2006">
          <mc:Choice Requires="x14">
            <control shapeId="263498" r:id="rId102" name="Check Box 330">
              <controlPr defaultSize="0" autoFill="0" autoLine="0" autoPict="0">
                <anchor moveWithCells="1">
                  <from>
                    <xdr:col>3</xdr:col>
                    <xdr:colOff>1409700</xdr:colOff>
                    <xdr:row>114</xdr:row>
                    <xdr:rowOff>161925</xdr:rowOff>
                  </from>
                  <to>
                    <xdr:col>3</xdr:col>
                    <xdr:colOff>1752600</xdr:colOff>
                    <xdr:row>116</xdr:row>
                    <xdr:rowOff>19050</xdr:rowOff>
                  </to>
                </anchor>
              </controlPr>
            </control>
          </mc:Choice>
        </mc:AlternateContent>
        <mc:AlternateContent xmlns:mc="http://schemas.openxmlformats.org/markup-compatibility/2006">
          <mc:Choice Requires="x14">
            <control shapeId="263499" r:id="rId103" name="Check Box 331">
              <controlPr defaultSize="0" autoFill="0" autoLine="0" autoPict="0">
                <anchor moveWithCells="1">
                  <from>
                    <xdr:col>3</xdr:col>
                    <xdr:colOff>1390650</xdr:colOff>
                    <xdr:row>126</xdr:row>
                    <xdr:rowOff>161925</xdr:rowOff>
                  </from>
                  <to>
                    <xdr:col>3</xdr:col>
                    <xdr:colOff>1752600</xdr:colOff>
                    <xdr:row>128</xdr:row>
                    <xdr:rowOff>28575</xdr:rowOff>
                  </to>
                </anchor>
              </controlPr>
            </control>
          </mc:Choice>
        </mc:AlternateContent>
        <mc:AlternateContent xmlns:mc="http://schemas.openxmlformats.org/markup-compatibility/2006">
          <mc:Choice Requires="x14">
            <control shapeId="263500" r:id="rId104" name="Check Box 332">
              <controlPr defaultSize="0" autoFill="0" autoLine="0" autoPict="0">
                <anchor moveWithCells="1">
                  <from>
                    <xdr:col>3</xdr:col>
                    <xdr:colOff>1400175</xdr:colOff>
                    <xdr:row>127</xdr:row>
                    <xdr:rowOff>142875</xdr:rowOff>
                  </from>
                  <to>
                    <xdr:col>3</xdr:col>
                    <xdr:colOff>1724025</xdr:colOff>
                    <xdr:row>129</xdr:row>
                    <xdr:rowOff>28575</xdr:rowOff>
                  </to>
                </anchor>
              </controlPr>
            </control>
          </mc:Choice>
        </mc:AlternateContent>
        <mc:AlternateContent xmlns:mc="http://schemas.openxmlformats.org/markup-compatibility/2006">
          <mc:Choice Requires="x14">
            <control shapeId="263501" r:id="rId105" name="Check Box 333">
              <controlPr defaultSize="0" autoFill="0" autoLine="0" autoPict="0">
                <anchor moveWithCells="1">
                  <from>
                    <xdr:col>3</xdr:col>
                    <xdr:colOff>1400175</xdr:colOff>
                    <xdr:row>129</xdr:row>
                    <xdr:rowOff>0</xdr:rowOff>
                  </from>
                  <to>
                    <xdr:col>3</xdr:col>
                    <xdr:colOff>1724025</xdr:colOff>
                    <xdr:row>130</xdr:row>
                    <xdr:rowOff>38100</xdr:rowOff>
                  </to>
                </anchor>
              </controlPr>
            </control>
          </mc:Choice>
        </mc:AlternateContent>
        <mc:AlternateContent xmlns:mc="http://schemas.openxmlformats.org/markup-compatibility/2006">
          <mc:Choice Requires="x14">
            <control shapeId="263503" r:id="rId106" name="Check Box 335">
              <controlPr defaultSize="0" autoFill="0" autoLine="0" autoPict="0">
                <anchor moveWithCells="1">
                  <from>
                    <xdr:col>3</xdr:col>
                    <xdr:colOff>1400175</xdr:colOff>
                    <xdr:row>149</xdr:row>
                    <xdr:rowOff>180975</xdr:rowOff>
                  </from>
                  <to>
                    <xdr:col>3</xdr:col>
                    <xdr:colOff>1800225</xdr:colOff>
                    <xdr:row>151</xdr:row>
                    <xdr:rowOff>19050</xdr:rowOff>
                  </to>
                </anchor>
              </controlPr>
            </control>
          </mc:Choice>
        </mc:AlternateContent>
        <mc:AlternateContent xmlns:mc="http://schemas.openxmlformats.org/markup-compatibility/2006">
          <mc:Choice Requires="x14">
            <control shapeId="263506" r:id="rId107" name="Check Box 338">
              <controlPr defaultSize="0" autoFill="0" autoLine="0" autoPict="0">
                <anchor moveWithCells="1">
                  <from>
                    <xdr:col>3</xdr:col>
                    <xdr:colOff>1400175</xdr:colOff>
                    <xdr:row>134</xdr:row>
                    <xdr:rowOff>171450</xdr:rowOff>
                  </from>
                  <to>
                    <xdr:col>3</xdr:col>
                    <xdr:colOff>1704975</xdr:colOff>
                    <xdr:row>136</xdr:row>
                    <xdr:rowOff>9525</xdr:rowOff>
                  </to>
                </anchor>
              </controlPr>
            </control>
          </mc:Choice>
        </mc:AlternateContent>
        <mc:AlternateContent xmlns:mc="http://schemas.openxmlformats.org/markup-compatibility/2006">
          <mc:Choice Requires="x14">
            <control shapeId="263507" r:id="rId108" name="Check Box 339">
              <controlPr defaultSize="0" autoFill="0" autoLine="0" autoPict="0">
                <anchor moveWithCells="1">
                  <from>
                    <xdr:col>3</xdr:col>
                    <xdr:colOff>1400175</xdr:colOff>
                    <xdr:row>135</xdr:row>
                    <xdr:rowOff>171450</xdr:rowOff>
                  </from>
                  <to>
                    <xdr:col>3</xdr:col>
                    <xdr:colOff>1800225</xdr:colOff>
                    <xdr:row>137</xdr:row>
                    <xdr:rowOff>9525</xdr:rowOff>
                  </to>
                </anchor>
              </controlPr>
            </control>
          </mc:Choice>
        </mc:AlternateContent>
        <mc:AlternateContent xmlns:mc="http://schemas.openxmlformats.org/markup-compatibility/2006">
          <mc:Choice Requires="x14">
            <control shapeId="263508" r:id="rId109" name="Check Box 340">
              <controlPr defaultSize="0" autoFill="0" autoLine="0" autoPict="0">
                <anchor moveWithCells="1">
                  <from>
                    <xdr:col>3</xdr:col>
                    <xdr:colOff>1390650</xdr:colOff>
                    <xdr:row>136</xdr:row>
                    <xdr:rowOff>171450</xdr:rowOff>
                  </from>
                  <to>
                    <xdr:col>3</xdr:col>
                    <xdr:colOff>1781175</xdr:colOff>
                    <xdr:row>138</xdr:row>
                    <xdr:rowOff>9525</xdr:rowOff>
                  </to>
                </anchor>
              </controlPr>
            </control>
          </mc:Choice>
        </mc:AlternateContent>
        <mc:AlternateContent xmlns:mc="http://schemas.openxmlformats.org/markup-compatibility/2006">
          <mc:Choice Requires="x14">
            <control shapeId="263509" r:id="rId110" name="Check Box 341">
              <controlPr defaultSize="0" autoFill="0" autoLine="0" autoPict="0">
                <anchor moveWithCells="1">
                  <from>
                    <xdr:col>3</xdr:col>
                    <xdr:colOff>1400175</xdr:colOff>
                    <xdr:row>151</xdr:row>
                    <xdr:rowOff>180975</xdr:rowOff>
                  </from>
                  <to>
                    <xdr:col>3</xdr:col>
                    <xdr:colOff>1790700</xdr:colOff>
                    <xdr:row>153</xdr:row>
                    <xdr:rowOff>19050</xdr:rowOff>
                  </to>
                </anchor>
              </controlPr>
            </control>
          </mc:Choice>
        </mc:AlternateContent>
        <mc:AlternateContent xmlns:mc="http://schemas.openxmlformats.org/markup-compatibility/2006">
          <mc:Choice Requires="x14">
            <control shapeId="263510" r:id="rId111" name="Check Box 342">
              <controlPr defaultSize="0" autoFill="0" autoLine="0" autoPict="0">
                <anchor moveWithCells="1">
                  <from>
                    <xdr:col>3</xdr:col>
                    <xdr:colOff>1390650</xdr:colOff>
                    <xdr:row>139</xdr:row>
                    <xdr:rowOff>0</xdr:rowOff>
                  </from>
                  <to>
                    <xdr:col>3</xdr:col>
                    <xdr:colOff>1781175</xdr:colOff>
                    <xdr:row>140</xdr:row>
                    <xdr:rowOff>28575</xdr:rowOff>
                  </to>
                </anchor>
              </controlPr>
            </control>
          </mc:Choice>
        </mc:AlternateContent>
        <mc:AlternateContent xmlns:mc="http://schemas.openxmlformats.org/markup-compatibility/2006">
          <mc:Choice Requires="x14">
            <control shapeId="263512" r:id="rId112" name="Check Box 344">
              <controlPr defaultSize="0" autoFill="0" autoLine="0" autoPict="0">
                <anchor moveWithCells="1">
                  <from>
                    <xdr:col>3</xdr:col>
                    <xdr:colOff>619125</xdr:colOff>
                    <xdr:row>67</xdr:row>
                    <xdr:rowOff>180975</xdr:rowOff>
                  </from>
                  <to>
                    <xdr:col>3</xdr:col>
                    <xdr:colOff>923925</xdr:colOff>
                    <xdr:row>69</xdr:row>
                    <xdr:rowOff>0</xdr:rowOff>
                  </to>
                </anchor>
              </controlPr>
            </control>
          </mc:Choice>
        </mc:AlternateContent>
        <mc:AlternateContent xmlns:mc="http://schemas.openxmlformats.org/markup-compatibility/2006">
          <mc:Choice Requires="x14">
            <control shapeId="263515" r:id="rId113" name="Check Box 347">
              <controlPr defaultSize="0" autoFill="0" autoLine="0" autoPict="0">
                <anchor moveWithCells="1">
                  <from>
                    <xdr:col>3</xdr:col>
                    <xdr:colOff>619125</xdr:colOff>
                    <xdr:row>67</xdr:row>
                    <xdr:rowOff>9525</xdr:rowOff>
                  </from>
                  <to>
                    <xdr:col>3</xdr:col>
                    <xdr:colOff>923925</xdr:colOff>
                    <xdr:row>68</xdr:row>
                    <xdr:rowOff>0</xdr:rowOff>
                  </to>
                </anchor>
              </controlPr>
            </control>
          </mc:Choice>
        </mc:AlternateContent>
        <mc:AlternateContent xmlns:mc="http://schemas.openxmlformats.org/markup-compatibility/2006">
          <mc:Choice Requires="x14">
            <control shapeId="263517" r:id="rId114" name="Check Box 349">
              <controlPr defaultSize="0" autoFill="0" autoLine="0" autoPict="0">
                <anchor moveWithCells="1">
                  <from>
                    <xdr:col>3</xdr:col>
                    <xdr:colOff>1428750</xdr:colOff>
                    <xdr:row>65</xdr:row>
                    <xdr:rowOff>190500</xdr:rowOff>
                  </from>
                  <to>
                    <xdr:col>3</xdr:col>
                    <xdr:colOff>1695450</xdr:colOff>
                    <xdr:row>66</xdr:row>
                    <xdr:rowOff>190500</xdr:rowOff>
                  </to>
                </anchor>
              </controlPr>
            </control>
          </mc:Choice>
        </mc:AlternateContent>
        <mc:AlternateContent xmlns:mc="http://schemas.openxmlformats.org/markup-compatibility/2006">
          <mc:Choice Requires="x14">
            <control shapeId="263520" r:id="rId115" name="Check Box 352">
              <controlPr defaultSize="0" autoFill="0" autoLine="0" autoPict="0">
                <anchor moveWithCells="1">
                  <from>
                    <xdr:col>3</xdr:col>
                    <xdr:colOff>1419225</xdr:colOff>
                    <xdr:row>158</xdr:row>
                    <xdr:rowOff>171450</xdr:rowOff>
                  </from>
                  <to>
                    <xdr:col>3</xdr:col>
                    <xdr:colOff>1657350</xdr:colOff>
                    <xdr:row>160</xdr:row>
                    <xdr:rowOff>19050</xdr:rowOff>
                  </to>
                </anchor>
              </controlPr>
            </control>
          </mc:Choice>
        </mc:AlternateContent>
        <mc:AlternateContent xmlns:mc="http://schemas.openxmlformats.org/markup-compatibility/2006">
          <mc:Choice Requires="x14">
            <control shapeId="263523" r:id="rId116" name="Check Box 355">
              <controlPr defaultSize="0" autoFill="0" autoLine="0" autoPict="0">
                <anchor moveWithCells="1">
                  <from>
                    <xdr:col>3</xdr:col>
                    <xdr:colOff>1400175</xdr:colOff>
                    <xdr:row>153</xdr:row>
                    <xdr:rowOff>0</xdr:rowOff>
                  </from>
                  <to>
                    <xdr:col>3</xdr:col>
                    <xdr:colOff>1619250</xdr:colOff>
                    <xdr:row>154</xdr:row>
                    <xdr:rowOff>19050</xdr:rowOff>
                  </to>
                </anchor>
              </controlPr>
            </control>
          </mc:Choice>
        </mc:AlternateContent>
        <mc:AlternateContent xmlns:mc="http://schemas.openxmlformats.org/markup-compatibility/2006">
          <mc:Choice Requires="x14">
            <control shapeId="263524" r:id="rId117" name="Check Box 356">
              <controlPr defaultSize="0" autoFill="0" autoLine="0" autoPict="0">
                <anchor moveWithCells="1">
                  <from>
                    <xdr:col>3</xdr:col>
                    <xdr:colOff>523875</xdr:colOff>
                    <xdr:row>33</xdr:row>
                    <xdr:rowOff>161925</xdr:rowOff>
                  </from>
                  <to>
                    <xdr:col>3</xdr:col>
                    <xdr:colOff>771525</xdr:colOff>
                    <xdr:row>35</xdr:row>
                    <xdr:rowOff>19050</xdr:rowOff>
                  </to>
                </anchor>
              </controlPr>
            </control>
          </mc:Choice>
        </mc:AlternateContent>
        <mc:AlternateContent xmlns:mc="http://schemas.openxmlformats.org/markup-compatibility/2006">
          <mc:Choice Requires="x14">
            <control shapeId="263525" r:id="rId118" name="Check Box 357">
              <controlPr defaultSize="0" autoFill="0" autoLine="0" autoPict="0">
                <anchor moveWithCells="1">
                  <from>
                    <xdr:col>3</xdr:col>
                    <xdr:colOff>1409700</xdr:colOff>
                    <xdr:row>115</xdr:row>
                    <xdr:rowOff>161925</xdr:rowOff>
                  </from>
                  <to>
                    <xdr:col>3</xdr:col>
                    <xdr:colOff>1657350</xdr:colOff>
                    <xdr:row>117</xdr:row>
                    <xdr:rowOff>19050</xdr:rowOff>
                  </to>
                </anchor>
              </controlPr>
            </control>
          </mc:Choice>
        </mc:AlternateContent>
        <mc:AlternateContent xmlns:mc="http://schemas.openxmlformats.org/markup-compatibility/2006">
          <mc:Choice Requires="x14">
            <control shapeId="263527" r:id="rId119" name="Check Box 359">
              <controlPr locked="0" defaultSize="0" autoFill="0" autoLine="0" autoPict="0">
                <anchor moveWithCells="1">
                  <from>
                    <xdr:col>2</xdr:col>
                    <xdr:colOff>542925</xdr:colOff>
                    <xdr:row>73</xdr:row>
                    <xdr:rowOff>0</xdr:rowOff>
                  </from>
                  <to>
                    <xdr:col>2</xdr:col>
                    <xdr:colOff>952500</xdr:colOff>
                    <xdr:row>74</xdr:row>
                    <xdr:rowOff>57150</xdr:rowOff>
                  </to>
                </anchor>
              </controlPr>
            </control>
          </mc:Choice>
        </mc:AlternateContent>
        <mc:AlternateContent xmlns:mc="http://schemas.openxmlformats.org/markup-compatibility/2006">
          <mc:Choice Requires="x14">
            <control shapeId="263528" r:id="rId120" name="Check Box 360">
              <controlPr defaultSize="0" autoFill="0" autoLine="0" autoPict="0">
                <anchor moveWithCells="1">
                  <from>
                    <xdr:col>2</xdr:col>
                    <xdr:colOff>561975</xdr:colOff>
                    <xdr:row>99</xdr:row>
                    <xdr:rowOff>171450</xdr:rowOff>
                  </from>
                  <to>
                    <xdr:col>2</xdr:col>
                    <xdr:colOff>866775</xdr:colOff>
                    <xdr:row>101</xdr:row>
                    <xdr:rowOff>9525</xdr:rowOff>
                  </to>
                </anchor>
              </controlPr>
            </control>
          </mc:Choice>
        </mc:AlternateContent>
        <mc:AlternateContent xmlns:mc="http://schemas.openxmlformats.org/markup-compatibility/2006">
          <mc:Choice Requires="x14">
            <control shapeId="263529" r:id="rId121" name="Check Box 361">
              <controlPr defaultSize="0" autoFill="0" autoLine="0" autoPict="0">
                <anchor moveWithCells="1">
                  <from>
                    <xdr:col>3</xdr:col>
                    <xdr:colOff>1390650</xdr:colOff>
                    <xdr:row>137</xdr:row>
                    <xdr:rowOff>161925</xdr:rowOff>
                  </from>
                  <to>
                    <xdr:col>3</xdr:col>
                    <xdr:colOff>1695450</xdr:colOff>
                    <xdr:row>139</xdr:row>
                    <xdr:rowOff>0</xdr:rowOff>
                  </to>
                </anchor>
              </controlPr>
            </control>
          </mc:Choice>
        </mc:AlternateContent>
        <mc:AlternateContent xmlns:mc="http://schemas.openxmlformats.org/markup-compatibility/2006">
          <mc:Choice Requires="x14">
            <control shapeId="263532" r:id="rId122" name="Check Box 364">
              <controlPr defaultSize="0" autoFill="0" autoLine="0" autoPict="0">
                <anchor moveWithCells="1">
                  <from>
                    <xdr:col>3</xdr:col>
                    <xdr:colOff>1400175</xdr:colOff>
                    <xdr:row>155</xdr:row>
                    <xdr:rowOff>171450</xdr:rowOff>
                  </from>
                  <to>
                    <xdr:col>3</xdr:col>
                    <xdr:colOff>1733550</xdr:colOff>
                    <xdr:row>157</xdr:row>
                    <xdr:rowOff>38100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iconSet" priority="8" id="{0AC5984E-70AD-4AF7-BDC6-08E2550F126B}">
            <x14:iconSet iconSet="3Symbols" custom="1">
              <x14:cfvo type="percent">
                <xm:f>0</xm:f>
              </x14:cfvo>
              <x14:cfvo type="num">
                <xm:f>1</xm:f>
              </x14:cfvo>
              <x14:cfvo type="num">
                <xm:f>2</xm:f>
              </x14:cfvo>
              <x14:cfIcon iconSet="NoIcons" iconId="0"/>
              <x14:cfIcon iconSet="3Symbols" iconId="2"/>
              <x14:cfIcon iconSet="3Symbols" iconId="0"/>
            </x14:iconSet>
          </x14:cfRule>
          <xm:sqref>D117</xm:sqref>
        </x14:conditionalFormatting>
        <x14:conditionalFormatting xmlns:xm="http://schemas.microsoft.com/office/excel/2006/main">
          <x14:cfRule type="iconSet" priority="29" id="{A4475F41-1320-4429-B690-ECAEF3DC0602}">
            <x14:iconSet iconSet="3Symbols2" custom="1">
              <x14:cfvo type="percent">
                <xm:f>0</xm:f>
              </x14:cfvo>
              <x14:cfvo type="num">
                <xm:f>1</xm:f>
              </x14:cfvo>
              <x14:cfvo type="num">
                <xm:f>2</xm:f>
              </x14:cfvo>
              <x14:cfIcon iconSet="NoIcons" iconId="0"/>
              <x14:cfIcon iconSet="3Symbols" iconId="2"/>
              <x14:cfIcon iconSet="3Symbols" iconId="0"/>
            </x14:iconSet>
          </x14:cfRule>
          <xm:sqref>D118</xm:sqref>
        </x14:conditionalFormatting>
        <x14:conditionalFormatting xmlns:xm="http://schemas.microsoft.com/office/excel/2006/main">
          <x14:cfRule type="iconSet" priority="24" id="{63591D81-3865-46F1-9955-3D8134109449}">
            <x14:iconSet iconSet="3Symbols2" custom="1">
              <x14:cfvo type="percent">
                <xm:f>0</xm:f>
              </x14:cfvo>
              <x14:cfvo type="num">
                <xm:f>1</xm:f>
              </x14:cfvo>
              <x14:cfvo type="num">
                <xm:f>2</xm:f>
              </x14:cfvo>
              <x14:cfIcon iconSet="NoIcons" iconId="0"/>
              <x14:cfIcon iconSet="3Symbols" iconId="2"/>
              <x14:cfIcon iconSet="3Symbols" iconId="0"/>
            </x14:iconSet>
          </x14:cfRule>
          <xm:sqref>D137</xm:sqref>
        </x14:conditionalFormatting>
        <x14:conditionalFormatting xmlns:xm="http://schemas.microsoft.com/office/excel/2006/main">
          <x14:cfRule type="iconSet" priority="22" id="{2EC9453A-8F65-4B29-AEAE-B757CE2BFAF0}">
            <x14:iconSet iconSet="3Symbols2" custom="1">
              <x14:cfvo type="percent">
                <xm:f>0</xm:f>
              </x14:cfvo>
              <x14:cfvo type="num">
                <xm:f>1</xm:f>
              </x14:cfvo>
              <x14:cfvo type="num">
                <xm:f>2</xm:f>
              </x14:cfvo>
              <x14:cfIcon iconSet="NoIcons" iconId="0"/>
              <x14:cfIcon iconSet="3Symbols" iconId="2"/>
              <x14:cfIcon iconSet="3Symbols" iconId="0"/>
            </x14:iconSet>
          </x14:cfRule>
          <xm:sqref>D138</xm:sqref>
        </x14:conditionalFormatting>
        <x14:conditionalFormatting xmlns:xm="http://schemas.microsoft.com/office/excel/2006/main">
          <x14:cfRule type="iconSet" priority="18" id="{4C78BB2A-AE3A-4C85-8BBB-9B28FDE55C38}">
            <x14:iconSet iconSet="3Symbols2" custom="1">
              <x14:cfvo type="percent">
                <xm:f>0</xm:f>
              </x14:cfvo>
              <x14:cfvo type="num">
                <xm:f>1</xm:f>
              </x14:cfvo>
              <x14:cfvo type="num">
                <xm:f>2</xm:f>
              </x14:cfvo>
              <x14:cfIcon iconSet="NoIcons" iconId="0"/>
              <x14:cfIcon iconSet="3Symbols" iconId="2"/>
              <x14:cfIcon iconSet="3Symbols" iconId="0"/>
            </x14:iconSet>
          </x14:cfRule>
          <xm:sqref>D140</xm:sqref>
        </x14:conditionalFormatting>
        <x14:conditionalFormatting xmlns:xm="http://schemas.microsoft.com/office/excel/2006/main">
          <x14:cfRule type="iconSet" priority="14" id="{47C108B0-557F-4671-8D00-C4492F1B4B34}">
            <x14:iconSet iconSet="3Symbols2" custom="1">
              <x14:cfvo type="percent">
                <xm:f>0</xm:f>
              </x14:cfvo>
              <x14:cfvo type="num">
                <xm:f>1</xm:f>
              </x14:cfvo>
              <x14:cfvo type="num">
                <xm:f>2</xm:f>
              </x14:cfvo>
              <x14:cfIcon iconSet="NoIcons" iconId="0"/>
              <x14:cfIcon iconSet="3Symbols" iconId="2"/>
              <x14:cfIcon iconSet="3Symbols" iconId="0"/>
            </x14:iconSet>
          </x14:cfRule>
          <xm:sqref>D145</xm:sqref>
        </x14:conditionalFormatting>
        <x14:conditionalFormatting xmlns:xm="http://schemas.microsoft.com/office/excel/2006/main">
          <x14:cfRule type="iconSet" priority="26" id="{983480B9-D76D-4A8A-AB9E-2D076B35B2DC}">
            <x14:iconSet iconSet="3Symbols2" custom="1">
              <x14:cfvo type="percent">
                <xm:f>0</xm:f>
              </x14:cfvo>
              <x14:cfvo type="num">
                <xm:f>1</xm:f>
              </x14:cfvo>
              <x14:cfvo type="num">
                <xm:f>2</xm:f>
              </x14:cfvo>
              <x14:cfIcon iconSet="NoIcons" iconId="0"/>
              <x14:cfIcon iconSet="3Symbols" iconId="2"/>
              <x14:cfIcon iconSet="3Symbols" iconId="0"/>
            </x14:iconSet>
          </x14:cfRule>
          <xm:sqref>D151</xm:sqref>
        </x14:conditionalFormatting>
        <x14:conditionalFormatting xmlns:xm="http://schemas.microsoft.com/office/excel/2006/main">
          <x14:cfRule type="iconSet" priority="20" id="{2AA3B297-0403-4638-BE0E-537EFE618E9F}">
            <x14:iconSet iconSet="3Symbols2" custom="1">
              <x14:cfvo type="percent">
                <xm:f>0</xm:f>
              </x14:cfvo>
              <x14:cfvo type="num">
                <xm:f>1</xm:f>
              </x14:cfvo>
              <x14:cfvo type="num">
                <xm:f>2</xm:f>
              </x14:cfvo>
              <x14:cfIcon iconSet="NoIcons" iconId="0"/>
              <x14:cfIcon iconSet="3Symbols" iconId="2"/>
              <x14:cfIcon iconSet="3Symbols" iconId="0"/>
            </x14:iconSet>
          </x14:cfRule>
          <xm:sqref>D153</xm:sqref>
        </x14:conditionalFormatting>
        <x14:conditionalFormatting xmlns:xm="http://schemas.microsoft.com/office/excel/2006/main">
          <x14:cfRule type="iconSet" priority="34" id="{2B0AB77C-B2F1-4AFC-AD89-02536EB1FC05}">
            <x14:iconSet iconSet="3Symbols2" custom="1">
              <x14:cfvo type="percent">
                <xm:f>0</xm:f>
              </x14:cfvo>
              <x14:cfvo type="num">
                <xm:f>1</xm:f>
              </x14:cfvo>
              <x14:cfvo type="num">
                <xm:f>2</xm:f>
              </x14:cfvo>
              <x14:cfIcon iconSet="NoIcons" iconId="0"/>
              <x14:cfIcon iconSet="3Symbols" iconId="2"/>
              <x14:cfIcon iconSet="3Symbols" iconId="0"/>
            </x14:iconSet>
          </x14:cfRule>
          <xm:sqref>D154</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0EF7FB-7768-4F24-B56C-7366075278C1}">
  <sheetPr codeName="Sheet16"/>
  <dimension ref="A1:G18"/>
  <sheetViews>
    <sheetView workbookViewId="0">
      <selection activeCell="B20" sqref="B20"/>
    </sheetView>
  </sheetViews>
  <sheetFormatPr defaultColWidth="8.85546875" defaultRowHeight="12.75" x14ac:dyDescent="0.2"/>
  <cols>
    <col min="2" max="2" width="10.28515625" customWidth="1"/>
    <col min="7" max="7" width="11.42578125" customWidth="1"/>
  </cols>
  <sheetData>
    <row r="1" spans="1:7" x14ac:dyDescent="0.2">
      <c r="A1" s="520" t="s">
        <v>539</v>
      </c>
      <c r="B1" s="496"/>
      <c r="C1">
        <f>'Cover Service Sheet'!E10</f>
        <v>0</v>
      </c>
    </row>
    <row r="3" spans="1:7" x14ac:dyDescent="0.2">
      <c r="A3" s="520" t="s">
        <v>540</v>
      </c>
      <c r="B3" s="496"/>
      <c r="G3" s="334"/>
    </row>
    <row r="4" spans="1:7" x14ac:dyDescent="0.2">
      <c r="A4" s="520" t="s">
        <v>541</v>
      </c>
      <c r="B4" s="496"/>
      <c r="G4" s="334"/>
    </row>
    <row r="5" spans="1:7" x14ac:dyDescent="0.2">
      <c r="A5" s="105" t="s">
        <v>542</v>
      </c>
      <c r="G5" s="334"/>
    </row>
    <row r="6" spans="1:7" x14ac:dyDescent="0.2">
      <c r="A6" s="105" t="s">
        <v>543</v>
      </c>
      <c r="G6" s="334"/>
    </row>
    <row r="7" spans="1:7" x14ac:dyDescent="0.2">
      <c r="A7" s="105" t="s">
        <v>544</v>
      </c>
      <c r="G7" s="335"/>
    </row>
    <row r="8" spans="1:7" x14ac:dyDescent="0.2">
      <c r="A8" s="520" t="s">
        <v>545</v>
      </c>
      <c r="B8" s="496"/>
      <c r="G8" s="334"/>
    </row>
    <row r="9" spans="1:7" x14ac:dyDescent="0.2">
      <c r="A9" s="105" t="s">
        <v>546</v>
      </c>
      <c r="G9" s="334"/>
    </row>
    <row r="10" spans="1:7" x14ac:dyDescent="0.2">
      <c r="A10" s="520" t="s">
        <v>547</v>
      </c>
      <c r="B10" s="496"/>
      <c r="C10" s="496"/>
      <c r="G10" s="334"/>
    </row>
    <row r="11" spans="1:7" x14ac:dyDescent="0.2">
      <c r="A11" s="105" t="s">
        <v>548</v>
      </c>
      <c r="G11" s="334"/>
    </row>
    <row r="12" spans="1:7" x14ac:dyDescent="0.2">
      <c r="A12" s="105" t="s">
        <v>549</v>
      </c>
      <c r="G12" s="334"/>
    </row>
    <row r="13" spans="1:7" x14ac:dyDescent="0.2">
      <c r="A13" s="105" t="s">
        <v>550</v>
      </c>
      <c r="G13" s="334"/>
    </row>
    <row r="15" spans="1:7" x14ac:dyDescent="0.2">
      <c r="A15" s="520" t="s">
        <v>425</v>
      </c>
      <c r="B15" s="496"/>
      <c r="C15" s="496"/>
      <c r="G15" s="334"/>
    </row>
    <row r="16" spans="1:7" x14ac:dyDescent="0.2">
      <c r="A16" s="520" t="s">
        <v>551</v>
      </c>
      <c r="B16" s="496"/>
      <c r="C16" s="496"/>
      <c r="D16" s="496"/>
      <c r="E16" s="496"/>
      <c r="F16" s="496"/>
      <c r="G16" s="334"/>
    </row>
    <row r="17" spans="1:7" x14ac:dyDescent="0.2">
      <c r="A17" s="520" t="s">
        <v>552</v>
      </c>
      <c r="B17" s="496"/>
      <c r="G17" s="334"/>
    </row>
    <row r="18" spans="1:7" x14ac:dyDescent="0.2">
      <c r="A18" s="520" t="s">
        <v>553</v>
      </c>
      <c r="B18" s="496"/>
      <c r="G18" s="334"/>
    </row>
  </sheetData>
  <mergeCells count="9">
    <mergeCell ref="A16:F16"/>
    <mergeCell ref="A17:B17"/>
    <mergeCell ref="A18:B18"/>
    <mergeCell ref="A1:B1"/>
    <mergeCell ref="A3:B3"/>
    <mergeCell ref="A4:B4"/>
    <mergeCell ref="A8:B8"/>
    <mergeCell ref="A10:C10"/>
    <mergeCell ref="A15:C15"/>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90817" r:id="rId3" name="Check Box 1">
              <controlPr defaultSize="0" autoFill="0" autoLine="0" autoPict="0">
                <anchor moveWithCells="1">
                  <from>
                    <xdr:col>6</xdr:col>
                    <xdr:colOff>247650</xdr:colOff>
                    <xdr:row>2</xdr:row>
                    <xdr:rowOff>142875</xdr:rowOff>
                  </from>
                  <to>
                    <xdr:col>7</xdr:col>
                    <xdr:colOff>209550</xdr:colOff>
                    <xdr:row>4</xdr:row>
                    <xdr:rowOff>19050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17F8D-25C9-427E-8F05-3C48D495BD34}">
  <sheetPr codeName="Sheet18"/>
  <dimension ref="A1:AB9225"/>
  <sheetViews>
    <sheetView topLeftCell="B1" workbookViewId="0">
      <selection activeCell="C20" sqref="C20"/>
    </sheetView>
  </sheetViews>
  <sheetFormatPr defaultColWidth="9.140625" defaultRowHeight="15" x14ac:dyDescent="0.2"/>
  <cols>
    <col min="1" max="1" width="12.7109375" style="144" hidden="1" customWidth="1"/>
    <col min="2" max="2" width="11.7109375" style="134" bestFit="1" customWidth="1"/>
    <col min="3" max="3" width="72.28515625" style="163" bestFit="1" customWidth="1"/>
    <col min="4" max="4" width="42.85546875" style="139" bestFit="1" customWidth="1"/>
    <col min="5" max="6" width="4.42578125" style="135" customWidth="1"/>
    <col min="7" max="7" width="3.28515625" style="135" customWidth="1"/>
    <col min="8" max="8" width="4.28515625" style="135" customWidth="1"/>
    <col min="9" max="9" width="3.85546875" style="135" bestFit="1" customWidth="1"/>
    <col min="10" max="13" width="3.28515625" style="135" customWidth="1"/>
    <col min="14" max="14" width="3.5703125" style="135" customWidth="1"/>
    <col min="15" max="15" width="110.42578125" style="138" bestFit="1" customWidth="1"/>
    <col min="16" max="16" width="14.42578125" style="137" hidden="1" customWidth="1"/>
    <col min="17" max="17" width="11.28515625" style="139" hidden="1" customWidth="1"/>
    <col min="18" max="18" width="20.85546875" style="139" bestFit="1" customWidth="1"/>
    <col min="19" max="16384" width="9.140625" style="139"/>
  </cols>
  <sheetData>
    <row r="1" spans="1:17" x14ac:dyDescent="0.2">
      <c r="C1" s="136"/>
      <c r="D1" s="145"/>
      <c r="E1" s="145"/>
      <c r="F1" s="145"/>
      <c r="G1" s="145"/>
      <c r="H1" s="145"/>
      <c r="I1" s="145"/>
      <c r="J1" s="145"/>
      <c r="K1" s="145"/>
      <c r="L1" s="145"/>
      <c r="M1" s="145"/>
      <c r="N1" s="145"/>
    </row>
    <row r="2" spans="1:17" x14ac:dyDescent="0.2">
      <c r="B2" s="134" t="s">
        <v>323</v>
      </c>
      <c r="C2" s="503" t="s">
        <v>554</v>
      </c>
      <c r="D2" s="503"/>
      <c r="E2" s="503"/>
      <c r="F2" s="503"/>
      <c r="G2" s="503"/>
      <c r="H2" s="503"/>
      <c r="I2" s="503"/>
      <c r="J2" s="503"/>
      <c r="K2" s="503"/>
      <c r="L2" s="503"/>
      <c r="M2" s="503"/>
      <c r="N2" s="503"/>
      <c r="O2" s="503"/>
      <c r="P2" s="134" t="s">
        <v>328</v>
      </c>
      <c r="Q2" s="139" t="s">
        <v>555</v>
      </c>
    </row>
    <row r="3" spans="1:17" x14ac:dyDescent="0.2">
      <c r="C3" s="136"/>
      <c r="E3" s="145"/>
      <c r="F3" s="145"/>
      <c r="G3" s="145"/>
      <c r="H3" s="145"/>
      <c r="I3" s="145"/>
      <c r="J3" s="145"/>
      <c r="K3" s="145"/>
      <c r="L3" s="145"/>
      <c r="M3" s="145"/>
      <c r="N3" s="145"/>
      <c r="P3" s="134" t="s">
        <v>337</v>
      </c>
      <c r="Q3" s="139" t="s">
        <v>556</v>
      </c>
    </row>
    <row r="4" spans="1:17" x14ac:dyDescent="0.2">
      <c r="B4" s="134">
        <v>16</v>
      </c>
      <c r="C4" s="136" t="s">
        <v>326</v>
      </c>
      <c r="D4" s="336" t="str">
        <f>'Cover Service Sheet'!D4&amp;'Cover Service Sheet'!F4&amp;'Cover Service Sheet'!H4&amp;'Cover Service Sheet'!J4&amp;'Cover Service Sheet'!L4&amp;'Cover Service Sheet'!N4&amp;'Cover Service Sheet'!P4</f>
        <v>SRM2806 2.8mg MTD / mlW0M003</v>
      </c>
      <c r="L4" s="146"/>
      <c r="O4" s="147" t="s">
        <v>329</v>
      </c>
      <c r="P4" s="134" t="s">
        <v>341</v>
      </c>
      <c r="Q4" s="139" t="s">
        <v>557</v>
      </c>
    </row>
    <row r="5" spans="1:17" x14ac:dyDescent="0.2">
      <c r="B5" s="134">
        <f>B4+1</f>
        <v>17</v>
      </c>
      <c r="C5" s="136" t="s">
        <v>331</v>
      </c>
      <c r="D5" s="336">
        <f>'Cover Service Sheet'!D5</f>
        <v>-1</v>
      </c>
      <c r="E5" s="521" t="str">
        <f>'Cover Service Sheet'!E5&amp;'Cover Service Sheet'!F5</f>
        <v/>
      </c>
      <c r="F5" s="521"/>
      <c r="G5" s="521"/>
      <c r="H5" s="521"/>
      <c r="I5" s="521"/>
      <c r="J5" s="145"/>
      <c r="K5" s="145"/>
      <c r="L5" s="145"/>
      <c r="M5" s="145"/>
      <c r="N5" s="145"/>
      <c r="Q5" s="139" t="s">
        <v>558</v>
      </c>
    </row>
    <row r="6" spans="1:17" x14ac:dyDescent="0.2">
      <c r="B6" s="134">
        <f t="shared" ref="B6:B69" si="0">B5+1</f>
        <v>18</v>
      </c>
      <c r="C6" s="136" t="s">
        <v>334</v>
      </c>
      <c r="D6" s="291">
        <v>0</v>
      </c>
      <c r="E6" s="145"/>
      <c r="F6" s="145"/>
      <c r="G6" s="145"/>
      <c r="H6" s="145"/>
      <c r="I6" s="145"/>
      <c r="J6" s="145"/>
      <c r="K6" s="145"/>
      <c r="L6" s="145"/>
      <c r="M6" s="145"/>
      <c r="N6" s="145"/>
      <c r="Q6" s="139" t="s">
        <v>559</v>
      </c>
    </row>
    <row r="7" spans="1:17" x14ac:dyDescent="0.2">
      <c r="B7" s="134">
        <f t="shared" si="0"/>
        <v>19</v>
      </c>
      <c r="C7" s="136" t="s">
        <v>347</v>
      </c>
      <c r="D7" s="337">
        <v>0</v>
      </c>
      <c r="E7" s="139"/>
      <c r="Q7" s="139" t="s">
        <v>560</v>
      </c>
    </row>
    <row r="8" spans="1:17" x14ac:dyDescent="0.2">
      <c r="B8" s="134">
        <f t="shared" si="0"/>
        <v>20</v>
      </c>
      <c r="C8" s="136" t="s">
        <v>561</v>
      </c>
      <c r="D8" s="338">
        <v>0</v>
      </c>
      <c r="E8" s="139"/>
      <c r="F8" s="139"/>
      <c r="G8" s="139"/>
      <c r="H8" s="139"/>
      <c r="I8" s="139"/>
      <c r="J8" s="139"/>
      <c r="K8" s="139"/>
      <c r="L8" s="139"/>
      <c r="M8" s="139"/>
      <c r="N8" s="139"/>
      <c r="Q8" s="139" t="s">
        <v>562</v>
      </c>
    </row>
    <row r="9" spans="1:17" x14ac:dyDescent="0.2">
      <c r="A9" s="144" t="b">
        <v>0</v>
      </c>
      <c r="B9" s="134">
        <f t="shared" si="0"/>
        <v>21</v>
      </c>
      <c r="C9" s="136" t="s">
        <v>351</v>
      </c>
      <c r="D9" s="291" t="str">
        <f>IF(A9=TRUE,"WARRANTY CLAIM","NON WARRANTY")</f>
        <v>NON WARRANTY</v>
      </c>
      <c r="E9" s="139"/>
      <c r="F9" s="139"/>
      <c r="G9" s="139"/>
      <c r="H9" s="139"/>
      <c r="I9" s="139"/>
      <c r="J9" s="139"/>
      <c r="K9" s="139"/>
      <c r="L9" s="139"/>
      <c r="M9" s="139"/>
      <c r="N9" s="139"/>
      <c r="O9" s="138" t="str">
        <f>IF(A9=TRUE,"Item is considered warranty, requires QC control on NCR","")</f>
        <v/>
      </c>
      <c r="Q9" s="139" t="s">
        <v>563</v>
      </c>
    </row>
    <row r="10" spans="1:17" x14ac:dyDescent="0.2">
      <c r="A10" s="144" t="b">
        <v>1</v>
      </c>
      <c r="B10" s="134">
        <f t="shared" si="0"/>
        <v>22</v>
      </c>
      <c r="C10" s="136" t="s">
        <v>564</v>
      </c>
      <c r="D10" s="291">
        <v>0</v>
      </c>
      <c r="E10" s="522">
        <v>0</v>
      </c>
      <c r="F10" s="522"/>
      <c r="G10" s="522"/>
      <c r="H10" s="522"/>
      <c r="I10" s="522"/>
      <c r="J10" s="522"/>
      <c r="K10" s="522"/>
      <c r="L10" s="522"/>
      <c r="M10" s="522"/>
      <c r="N10" s="522"/>
      <c r="Q10" s="139" t="s">
        <v>565</v>
      </c>
    </row>
    <row r="11" spans="1:17" x14ac:dyDescent="0.2">
      <c r="B11" s="134">
        <f t="shared" si="0"/>
        <v>23</v>
      </c>
      <c r="C11" s="136" t="s">
        <v>355</v>
      </c>
      <c r="D11" s="291">
        <v>0</v>
      </c>
      <c r="E11" s="139"/>
      <c r="F11" s="139"/>
      <c r="G11" s="139"/>
      <c r="H11" s="139"/>
      <c r="I11" s="139"/>
      <c r="J11" s="139"/>
      <c r="K11" s="139"/>
      <c r="L11" s="139"/>
      <c r="M11" s="140"/>
      <c r="N11" s="139"/>
    </row>
    <row r="12" spans="1:17" x14ac:dyDescent="0.2">
      <c r="B12" s="134">
        <f t="shared" si="0"/>
        <v>24</v>
      </c>
      <c r="C12" s="136" t="s">
        <v>356</v>
      </c>
      <c r="D12" s="291">
        <v>0</v>
      </c>
      <c r="E12" s="139"/>
      <c r="F12" s="139"/>
      <c r="G12" s="139"/>
      <c r="H12" s="139"/>
      <c r="I12" s="139"/>
      <c r="J12" s="139"/>
      <c r="K12" s="139"/>
      <c r="L12" s="139"/>
      <c r="M12" s="139"/>
      <c r="N12" s="139"/>
    </row>
    <row r="13" spans="1:17" x14ac:dyDescent="0.2">
      <c r="B13" s="134">
        <f t="shared" si="0"/>
        <v>25</v>
      </c>
      <c r="C13" s="136" t="s">
        <v>566</v>
      </c>
      <c r="D13" s="303">
        <f>D7+14</f>
        <v>14</v>
      </c>
      <c r="E13" s="139"/>
      <c r="F13" s="139"/>
      <c r="G13" s="139"/>
      <c r="H13" s="139"/>
      <c r="I13" s="139"/>
      <c r="J13" s="139"/>
      <c r="K13" s="139"/>
      <c r="L13" s="139"/>
      <c r="M13" s="139"/>
      <c r="N13" s="139"/>
    </row>
    <row r="14" spans="1:17" x14ac:dyDescent="0.2">
      <c r="C14" s="485" t="s">
        <v>567</v>
      </c>
      <c r="D14" s="485"/>
      <c r="E14" s="485"/>
      <c r="F14" s="485"/>
      <c r="G14" s="485"/>
      <c r="H14" s="485"/>
      <c r="I14" s="485"/>
      <c r="J14" s="485"/>
      <c r="K14" s="485"/>
      <c r="L14" s="485"/>
      <c r="M14" s="485"/>
      <c r="N14" s="485"/>
      <c r="O14" s="485"/>
      <c r="P14" s="148"/>
    </row>
    <row r="15" spans="1:17" s="145" customFormat="1" ht="15.75" x14ac:dyDescent="0.2">
      <c r="A15" s="149"/>
      <c r="B15" s="134">
        <f>B13+1</f>
        <v>26</v>
      </c>
      <c r="C15" s="150" t="s">
        <v>459</v>
      </c>
      <c r="D15" s="302"/>
      <c r="E15" s="487" t="s">
        <v>372</v>
      </c>
      <c r="F15" s="487"/>
      <c r="G15" s="488" t="str">
        <f>IF(D15=D7,"ON TIME",IF(D15&gt;D7,"LATE",IF(D15&lt;D7,"EARLY")))</f>
        <v>ON TIME</v>
      </c>
      <c r="H15" s="488"/>
      <c r="I15" s="488"/>
      <c r="J15" s="488"/>
      <c r="K15" s="488"/>
      <c r="L15" s="488"/>
      <c r="M15" s="488"/>
      <c r="N15" s="488"/>
      <c r="O15" s="148"/>
      <c r="P15" s="148"/>
    </row>
    <row r="16" spans="1:17" s="145" customFormat="1" x14ac:dyDescent="0.2">
      <c r="A16" s="149"/>
      <c r="B16" s="134">
        <f t="shared" si="0"/>
        <v>27</v>
      </c>
      <c r="C16" s="150" t="s">
        <v>568</v>
      </c>
      <c r="D16" s="329"/>
      <c r="E16" s="150"/>
      <c r="G16" s="151"/>
      <c r="H16" s="151"/>
      <c r="I16" s="151"/>
      <c r="J16" s="148"/>
      <c r="K16" s="148"/>
      <c r="L16" s="148"/>
      <c r="M16" s="148"/>
      <c r="N16" s="148"/>
      <c r="O16" s="148"/>
      <c r="P16" s="148"/>
    </row>
    <row r="17" spans="1:16" x14ac:dyDescent="0.2">
      <c r="C17" s="134"/>
      <c r="D17" s="134" t="s">
        <v>569</v>
      </c>
      <c r="E17" s="503" t="s">
        <v>570</v>
      </c>
      <c r="F17" s="503"/>
      <c r="G17" s="503"/>
      <c r="H17" s="503"/>
      <c r="I17" s="503"/>
      <c r="J17" s="503"/>
      <c r="K17" s="503"/>
      <c r="L17" s="503"/>
      <c r="M17" s="503"/>
      <c r="N17" s="503"/>
      <c r="O17" s="152"/>
      <c r="P17" s="152"/>
    </row>
    <row r="18" spans="1:16" x14ac:dyDescent="0.2">
      <c r="A18" s="144" t="b">
        <v>0</v>
      </c>
      <c r="B18" s="134">
        <f>B16+1</f>
        <v>28</v>
      </c>
      <c r="C18" s="153"/>
      <c r="D18" s="313" t="s">
        <v>571</v>
      </c>
      <c r="E18" s="139"/>
      <c r="F18" s="139"/>
      <c r="G18" s="139"/>
      <c r="H18" s="139"/>
      <c r="I18" s="139"/>
      <c r="J18" s="139"/>
      <c r="K18" s="139"/>
      <c r="L18" s="139"/>
      <c r="M18" s="139"/>
      <c r="N18" s="139"/>
      <c r="O18" s="138" t="str">
        <f>IF(A18=FALSE,"One or more hydraulic caps were missing","Test point cap and waste plug present")</f>
        <v>One or more hydraulic caps were missing</v>
      </c>
    </row>
    <row r="19" spans="1:16" x14ac:dyDescent="0.2">
      <c r="A19" s="144" t="b">
        <v>0</v>
      </c>
      <c r="B19" s="134">
        <f t="shared" si="0"/>
        <v>29</v>
      </c>
      <c r="C19" s="153"/>
      <c r="D19" s="313" t="s">
        <v>572</v>
      </c>
      <c r="E19" s="139"/>
      <c r="F19" s="139"/>
      <c r="G19" s="139"/>
      <c r="H19" s="139"/>
      <c r="I19" s="139"/>
      <c r="J19" s="139"/>
      <c r="K19" s="139"/>
      <c r="L19" s="139"/>
      <c r="M19" s="139"/>
      <c r="N19" s="139"/>
      <c r="O19" s="138" t="str">
        <f>IF(A19=FALSE,"Unit was dirty or damaged outside and required extra cleanup","Outer condition good")</f>
        <v>Unit was dirty or damaged outside and required extra cleanup</v>
      </c>
    </row>
    <row r="20" spans="1:16" x14ac:dyDescent="0.2">
      <c r="A20" s="144" t="b">
        <v>1</v>
      </c>
      <c r="B20" s="134">
        <f t="shared" si="0"/>
        <v>30</v>
      </c>
      <c r="C20" s="187"/>
      <c r="D20" s="154"/>
      <c r="E20" s="139"/>
      <c r="F20" s="139"/>
      <c r="G20" s="139"/>
      <c r="H20" s="139"/>
      <c r="I20" s="139"/>
      <c r="J20" s="139"/>
      <c r="K20" s="139"/>
      <c r="L20" s="139"/>
      <c r="M20" s="139"/>
      <c r="N20" s="139"/>
    </row>
    <row r="21" spans="1:16" x14ac:dyDescent="0.2">
      <c r="A21" s="144" t="b">
        <v>0</v>
      </c>
      <c r="B21" s="134">
        <f t="shared" si="0"/>
        <v>31</v>
      </c>
      <c r="C21" s="187"/>
      <c r="D21" s="154"/>
      <c r="E21" s="139"/>
      <c r="F21" s="139"/>
      <c r="G21" s="139"/>
      <c r="H21" s="139"/>
      <c r="I21" s="139"/>
      <c r="J21" s="139"/>
      <c r="K21" s="139"/>
      <c r="L21" s="139"/>
      <c r="M21" s="139"/>
      <c r="N21" s="139"/>
      <c r="O21" s="138" t="str">
        <f>IF(A21=TRUE,"Case feet present and operational","quote for case feet repair required")</f>
        <v>quote for case feet repair required</v>
      </c>
    </row>
    <row r="22" spans="1:16" x14ac:dyDescent="0.2">
      <c r="A22" s="144" t="b">
        <v>0</v>
      </c>
      <c r="B22" s="134">
        <f t="shared" si="0"/>
        <v>32</v>
      </c>
      <c r="C22" s="153"/>
      <c r="D22" s="154" t="s">
        <v>573</v>
      </c>
      <c r="E22" s="139"/>
      <c r="F22" s="139"/>
      <c r="G22" s="139"/>
      <c r="H22" s="139"/>
      <c r="I22" s="139"/>
      <c r="J22" s="139"/>
      <c r="K22" s="139"/>
      <c r="L22" s="139"/>
      <c r="M22" s="139"/>
      <c r="N22" s="139"/>
      <c r="O22" s="138" t="str">
        <f>IF(A22=TRUE,"Case latches present and operational","quote for case latch repair required")</f>
        <v>quote for case latch repair required</v>
      </c>
    </row>
    <row r="23" spans="1:16" x14ac:dyDescent="0.2">
      <c r="A23" s="144" t="b">
        <v>1</v>
      </c>
      <c r="B23" s="134">
        <f t="shared" si="0"/>
        <v>33</v>
      </c>
      <c r="C23" s="153"/>
      <c r="D23" s="154" t="s">
        <v>574</v>
      </c>
      <c r="E23" s="139"/>
      <c r="F23" s="139"/>
      <c r="G23" s="139"/>
      <c r="H23" s="139"/>
      <c r="I23" s="139"/>
      <c r="J23" s="139"/>
      <c r="K23" s="139"/>
      <c r="L23" s="139"/>
      <c r="M23" s="139"/>
      <c r="N23" s="139"/>
    </row>
    <row r="24" spans="1:16" x14ac:dyDescent="0.2">
      <c r="A24" s="144" t="b">
        <v>0</v>
      </c>
      <c r="B24" s="134">
        <f t="shared" si="0"/>
        <v>34</v>
      </c>
      <c r="C24" s="153"/>
      <c r="D24" s="154" t="s">
        <v>575</v>
      </c>
      <c r="E24" s="139"/>
      <c r="F24" s="139"/>
      <c r="G24" s="139"/>
      <c r="H24" s="139"/>
      <c r="I24" s="139"/>
      <c r="J24" s="139"/>
      <c r="K24" s="139"/>
      <c r="L24" s="139"/>
      <c r="M24" s="139"/>
      <c r="N24" s="139"/>
    </row>
    <row r="25" spans="1:16" ht="15.75" customHeight="1" x14ac:dyDescent="0.2">
      <c r="A25" s="144" t="b">
        <v>0</v>
      </c>
      <c r="B25" s="134">
        <f t="shared" si="0"/>
        <v>35</v>
      </c>
      <c r="C25" s="153"/>
      <c r="D25" s="155" t="s">
        <v>576</v>
      </c>
      <c r="E25" s="486"/>
      <c r="F25" s="486"/>
      <c r="G25" s="486"/>
      <c r="H25" s="486"/>
      <c r="I25" s="486"/>
      <c r="J25" s="486"/>
      <c r="K25" s="486"/>
      <c r="L25" s="486"/>
      <c r="M25" s="486"/>
      <c r="N25" s="486"/>
      <c r="O25" s="138" t="str">
        <f>IF(A25=TRUE,"Charge circuit checked and verified PASS","")</f>
        <v/>
      </c>
    </row>
    <row r="26" spans="1:16" x14ac:dyDescent="0.2">
      <c r="A26" s="156">
        <v>4.0999999999999996</v>
      </c>
      <c r="B26" s="134">
        <f t="shared" si="0"/>
        <v>36</v>
      </c>
      <c r="C26" s="136" t="s">
        <v>577</v>
      </c>
      <c r="D26" s="339"/>
      <c r="E26" s="523"/>
      <c r="F26" s="523"/>
      <c r="G26" s="523"/>
      <c r="H26" s="523"/>
      <c r="I26" s="523"/>
      <c r="J26" s="523"/>
      <c r="K26" s="523"/>
      <c r="L26" s="523"/>
      <c r="M26" s="523"/>
      <c r="N26" s="523"/>
      <c r="O26" s="138" t="str">
        <f>IF(D26=A26,"Unit firmware at current release","Free of charge upgrade of unit firmware ")</f>
        <v xml:space="preserve">Free of charge upgrade of unit firmware </v>
      </c>
    </row>
    <row r="27" spans="1:16" x14ac:dyDescent="0.2">
      <c r="A27" s="144" t="b">
        <v>0</v>
      </c>
      <c r="B27" s="134">
        <f t="shared" si="0"/>
        <v>37</v>
      </c>
      <c r="C27" s="153"/>
      <c r="D27" s="313" t="s">
        <v>578</v>
      </c>
      <c r="E27" s="139"/>
      <c r="F27" s="139"/>
      <c r="G27" s="139"/>
      <c r="H27" s="139"/>
      <c r="I27" s="139"/>
      <c r="J27" s="139"/>
      <c r="K27" s="139"/>
      <c r="L27" s="139"/>
      <c r="M27" s="139"/>
      <c r="N27" s="139"/>
      <c r="O27" s="138" t="str">
        <f>IF(A27=FALSE,"Log was not present/corrupted so could not be downloaded","Log download test completed succesfully")</f>
        <v>Log was not present/corrupted so could not be downloaded</v>
      </c>
    </row>
    <row r="28" spans="1:16" ht="15.75" customHeight="1" x14ac:dyDescent="0.2">
      <c r="B28" s="134">
        <f t="shared" si="0"/>
        <v>38</v>
      </c>
      <c r="C28" s="136" t="s">
        <v>579</v>
      </c>
      <c r="D28" s="292"/>
      <c r="E28" s="157"/>
      <c r="F28" s="157"/>
      <c r="G28" s="157"/>
      <c r="H28" s="157"/>
      <c r="I28" s="157"/>
      <c r="J28" s="157"/>
      <c r="K28" s="157"/>
      <c r="L28" s="157"/>
      <c r="M28" s="157"/>
      <c r="N28" s="157"/>
      <c r="O28" s="139"/>
    </row>
    <row r="29" spans="1:16" ht="15.75" customHeight="1" x14ac:dyDescent="0.2">
      <c r="B29" s="134">
        <f t="shared" si="0"/>
        <v>39</v>
      </c>
      <c r="C29" s="136" t="s">
        <v>580</v>
      </c>
      <c r="D29" s="292"/>
      <c r="E29" s="157"/>
      <c r="F29" s="157"/>
      <c r="G29" s="157"/>
      <c r="H29" s="157"/>
      <c r="I29" s="157"/>
      <c r="J29" s="157"/>
      <c r="K29" s="157"/>
      <c r="L29" s="157"/>
      <c r="M29" s="157"/>
      <c r="N29" s="157"/>
      <c r="O29" s="139"/>
    </row>
    <row r="30" spans="1:16" ht="15.75" customHeight="1" x14ac:dyDescent="0.2">
      <c r="B30" s="134">
        <f t="shared" si="0"/>
        <v>40</v>
      </c>
      <c r="C30" s="136" t="s">
        <v>581</v>
      </c>
      <c r="D30" s="158"/>
      <c r="E30" s="157"/>
      <c r="F30" s="157"/>
      <c r="G30" s="157"/>
      <c r="H30" s="157"/>
      <c r="I30" s="157"/>
      <c r="J30" s="157"/>
      <c r="K30" s="157"/>
      <c r="L30" s="157"/>
      <c r="M30" s="157"/>
      <c r="N30" s="157"/>
      <c r="O30" s="139"/>
    </row>
    <row r="31" spans="1:16" ht="15.75" customHeight="1" x14ac:dyDescent="0.2">
      <c r="B31" s="134">
        <f t="shared" si="0"/>
        <v>41</v>
      </c>
      <c r="C31" s="136" t="s">
        <v>582</v>
      </c>
      <c r="D31" s="158"/>
      <c r="E31" s="157"/>
      <c r="F31" s="157"/>
      <c r="G31" s="157"/>
      <c r="H31" s="157"/>
      <c r="I31" s="157"/>
      <c r="J31" s="157"/>
      <c r="K31" s="157"/>
      <c r="L31" s="157"/>
      <c r="M31" s="157"/>
      <c r="N31" s="157"/>
      <c r="O31" s="139"/>
    </row>
    <row r="32" spans="1:16" ht="15.75" customHeight="1" x14ac:dyDescent="0.2">
      <c r="A32" s="144" t="b">
        <v>0</v>
      </c>
      <c r="B32" s="134">
        <f t="shared" si="0"/>
        <v>42</v>
      </c>
      <c r="C32" s="153"/>
      <c r="D32" s="312" t="s">
        <v>401</v>
      </c>
      <c r="E32" s="489"/>
      <c r="F32" s="489"/>
      <c r="G32" s="489"/>
      <c r="H32" s="489"/>
      <c r="I32" s="489"/>
      <c r="J32" s="489"/>
      <c r="K32" s="489"/>
      <c r="L32" s="489"/>
      <c r="M32" s="489"/>
      <c r="N32" s="489"/>
    </row>
    <row r="33" spans="1:15" ht="15.75" customHeight="1" x14ac:dyDescent="0.2">
      <c r="B33" s="134">
        <f t="shared" si="0"/>
        <v>43</v>
      </c>
      <c r="C33" s="136" t="s">
        <v>583</v>
      </c>
      <c r="D33" s="158"/>
      <c r="E33" s="157"/>
      <c r="F33" s="157"/>
      <c r="G33" s="157"/>
      <c r="H33" s="157"/>
      <c r="I33" s="157"/>
      <c r="J33" s="157"/>
      <c r="K33" s="157"/>
      <c r="L33" s="157"/>
      <c r="M33" s="157"/>
      <c r="N33" s="157"/>
      <c r="O33" s="139"/>
    </row>
    <row r="34" spans="1:15" ht="15.75" customHeight="1" x14ac:dyDescent="0.2">
      <c r="B34" s="134">
        <f t="shared" si="0"/>
        <v>44</v>
      </c>
      <c r="C34" s="136" t="s">
        <v>584</v>
      </c>
      <c r="D34" s="158"/>
      <c r="E34" s="157"/>
      <c r="F34" s="157"/>
      <c r="G34" s="157"/>
      <c r="H34" s="157"/>
      <c r="I34" s="157"/>
      <c r="J34" s="157"/>
      <c r="K34" s="157"/>
      <c r="L34" s="157"/>
      <c r="M34" s="157"/>
      <c r="N34" s="157"/>
      <c r="O34" s="139"/>
    </row>
    <row r="35" spans="1:15" ht="15.75" customHeight="1" x14ac:dyDescent="0.2">
      <c r="B35" s="134">
        <f t="shared" si="0"/>
        <v>45</v>
      </c>
      <c r="C35" s="136" t="s">
        <v>585</v>
      </c>
      <c r="D35" s="158"/>
      <c r="E35" s="157"/>
      <c r="F35" s="157"/>
      <c r="G35" s="157"/>
      <c r="H35" s="157"/>
      <c r="I35" s="157"/>
      <c r="J35" s="157"/>
      <c r="K35" s="157"/>
      <c r="L35" s="157"/>
      <c r="M35" s="157"/>
      <c r="N35" s="157"/>
      <c r="O35" s="139"/>
    </row>
    <row r="36" spans="1:15" ht="15.75" customHeight="1" x14ac:dyDescent="0.2">
      <c r="A36" s="144" t="b">
        <v>0</v>
      </c>
      <c r="B36" s="134">
        <f t="shared" si="0"/>
        <v>46</v>
      </c>
      <c r="C36" s="153"/>
      <c r="D36" s="155" t="s">
        <v>409</v>
      </c>
      <c r="E36" s="157"/>
      <c r="F36" s="157"/>
      <c r="G36" s="157"/>
      <c r="H36" s="157"/>
      <c r="I36" s="157"/>
      <c r="J36" s="157"/>
      <c r="K36" s="157"/>
      <c r="L36" s="157"/>
      <c r="M36" s="157"/>
      <c r="N36" s="157"/>
      <c r="O36" s="139"/>
    </row>
    <row r="37" spans="1:15" ht="15.75" customHeight="1" x14ac:dyDescent="0.2">
      <c r="B37" s="134">
        <f t="shared" si="0"/>
        <v>47</v>
      </c>
      <c r="C37" s="136" t="s">
        <v>586</v>
      </c>
      <c r="D37" s="158"/>
      <c r="E37" s="157"/>
      <c r="F37" s="157"/>
      <c r="G37" s="157"/>
      <c r="H37" s="157"/>
      <c r="I37" s="157"/>
      <c r="J37" s="157"/>
      <c r="K37" s="157"/>
      <c r="L37" s="157"/>
      <c r="M37" s="157"/>
      <c r="N37" s="157"/>
      <c r="O37" s="139"/>
    </row>
    <row r="38" spans="1:15" ht="15.75" customHeight="1" x14ac:dyDescent="0.2">
      <c r="B38" s="134">
        <f t="shared" si="0"/>
        <v>48</v>
      </c>
      <c r="C38" s="136" t="s">
        <v>546</v>
      </c>
      <c r="D38" s="158"/>
      <c r="E38" s="157"/>
      <c r="F38" s="157"/>
      <c r="G38" s="157"/>
      <c r="H38" s="157"/>
      <c r="I38" s="157"/>
      <c r="J38" s="157"/>
      <c r="K38" s="157"/>
      <c r="L38" s="157"/>
      <c r="M38" s="157"/>
      <c r="N38" s="157"/>
      <c r="O38" s="139"/>
    </row>
    <row r="39" spans="1:15" ht="15.75" customHeight="1" x14ac:dyDescent="0.2">
      <c r="B39" s="134">
        <f t="shared" si="0"/>
        <v>49</v>
      </c>
      <c r="C39" s="136" t="s">
        <v>587</v>
      </c>
      <c r="D39" s="158"/>
      <c r="E39" s="157"/>
      <c r="F39" s="157"/>
      <c r="G39" s="157"/>
      <c r="H39" s="157"/>
      <c r="I39" s="157"/>
      <c r="J39" s="157"/>
      <c r="K39" s="157"/>
      <c r="L39" s="157"/>
      <c r="M39" s="157"/>
      <c r="N39" s="157"/>
      <c r="O39" s="139"/>
    </row>
    <row r="40" spans="1:15" ht="15.75" customHeight="1" x14ac:dyDescent="0.2">
      <c r="A40" s="144" t="b">
        <v>0</v>
      </c>
      <c r="B40" s="134">
        <f t="shared" si="0"/>
        <v>50</v>
      </c>
      <c r="C40" s="153"/>
      <c r="D40" s="313" t="s">
        <v>588</v>
      </c>
    </row>
    <row r="41" spans="1:15" ht="15.75" customHeight="1" x14ac:dyDescent="0.2">
      <c r="B41" s="134">
        <f t="shared" si="0"/>
        <v>51</v>
      </c>
      <c r="C41" s="136" t="s">
        <v>589</v>
      </c>
      <c r="D41" s="158"/>
      <c r="E41" s="157"/>
      <c r="F41" s="157"/>
      <c r="G41" s="157"/>
      <c r="H41" s="157"/>
      <c r="I41" s="157"/>
      <c r="J41" s="157"/>
      <c r="K41" s="157"/>
      <c r="L41" s="157"/>
      <c r="M41" s="157"/>
      <c r="N41" s="157"/>
      <c r="O41" s="139"/>
    </row>
    <row r="42" spans="1:15" ht="15.75" customHeight="1" x14ac:dyDescent="0.2">
      <c r="B42" s="134">
        <f t="shared" si="0"/>
        <v>52</v>
      </c>
      <c r="C42" s="136" t="s">
        <v>590</v>
      </c>
      <c r="D42" s="158"/>
      <c r="E42" s="157"/>
      <c r="F42" s="157"/>
      <c r="G42" s="157"/>
      <c r="H42" s="157"/>
      <c r="I42" s="157"/>
      <c r="J42" s="157"/>
      <c r="K42" s="157"/>
      <c r="L42" s="157"/>
      <c r="M42" s="157"/>
      <c r="N42" s="157"/>
      <c r="O42" s="139"/>
    </row>
    <row r="43" spans="1:15" ht="15.75" customHeight="1" x14ac:dyDescent="0.2">
      <c r="B43" s="134">
        <f t="shared" si="0"/>
        <v>53</v>
      </c>
      <c r="C43" s="136" t="s">
        <v>591</v>
      </c>
      <c r="D43" s="158"/>
      <c r="E43" s="157"/>
      <c r="F43" s="157"/>
      <c r="G43" s="157"/>
      <c r="H43" s="157"/>
      <c r="I43" s="157"/>
      <c r="J43" s="157"/>
      <c r="K43" s="157"/>
      <c r="L43" s="157"/>
      <c r="M43" s="157"/>
      <c r="N43" s="157"/>
      <c r="O43" s="139"/>
    </row>
    <row r="44" spans="1:15" ht="15.75" customHeight="1" x14ac:dyDescent="0.2">
      <c r="A44" s="144" t="b">
        <v>0</v>
      </c>
      <c r="B44" s="134">
        <f t="shared" si="0"/>
        <v>54</v>
      </c>
      <c r="C44" s="153"/>
      <c r="D44" s="313" t="s">
        <v>592</v>
      </c>
      <c r="E44" s="157"/>
      <c r="F44" s="157"/>
      <c r="G44" s="157"/>
      <c r="H44" s="157"/>
      <c r="I44" s="157"/>
      <c r="J44" s="157"/>
      <c r="K44" s="157"/>
      <c r="L44" s="157"/>
      <c r="M44" s="157"/>
      <c r="N44" s="157"/>
      <c r="O44" s="139"/>
    </row>
    <row r="45" spans="1:15" ht="15.75" customHeight="1" x14ac:dyDescent="0.2">
      <c r="B45" s="134">
        <f t="shared" si="0"/>
        <v>55</v>
      </c>
      <c r="C45" s="136"/>
      <c r="D45" s="158"/>
      <c r="E45" s="157"/>
      <c r="F45" s="157"/>
      <c r="G45" s="157"/>
      <c r="H45" s="157"/>
      <c r="I45" s="157"/>
      <c r="J45" s="157"/>
      <c r="K45" s="157"/>
      <c r="L45" s="157"/>
      <c r="M45" s="157"/>
      <c r="N45" s="157"/>
      <c r="O45" s="139"/>
    </row>
    <row r="46" spans="1:15" ht="15.75" customHeight="1" x14ac:dyDescent="0.2">
      <c r="A46" s="144" t="b">
        <v>0</v>
      </c>
      <c r="B46" s="134">
        <f t="shared" si="0"/>
        <v>56</v>
      </c>
      <c r="C46" s="153"/>
      <c r="D46" s="313"/>
    </row>
    <row r="47" spans="1:15" ht="15.75" customHeight="1" x14ac:dyDescent="0.2">
      <c r="B47" s="134">
        <f t="shared" si="0"/>
        <v>57</v>
      </c>
      <c r="C47" s="136"/>
      <c r="D47" s="158"/>
      <c r="E47" s="157"/>
      <c r="F47" s="157"/>
      <c r="G47" s="157"/>
      <c r="H47" s="157"/>
      <c r="I47" s="157"/>
      <c r="J47" s="157"/>
      <c r="K47" s="157"/>
      <c r="L47" s="157"/>
      <c r="M47" s="157"/>
      <c r="N47" s="157"/>
      <c r="O47" s="139"/>
    </row>
    <row r="48" spans="1:15" ht="15.75" customHeight="1" x14ac:dyDescent="0.2">
      <c r="B48" s="134">
        <f t="shared" si="0"/>
        <v>58</v>
      </c>
      <c r="C48" s="136"/>
      <c r="D48" s="158"/>
      <c r="E48" s="157"/>
      <c r="F48" s="157"/>
      <c r="G48" s="157"/>
      <c r="H48" s="157"/>
      <c r="I48" s="157"/>
      <c r="J48" s="157"/>
      <c r="K48" s="157"/>
      <c r="L48" s="157"/>
      <c r="M48" s="157"/>
      <c r="N48" s="157"/>
      <c r="O48" s="139"/>
    </row>
    <row r="49" spans="1:25" ht="15.75" customHeight="1" x14ac:dyDescent="0.2">
      <c r="B49" s="134">
        <f t="shared" si="0"/>
        <v>59</v>
      </c>
      <c r="C49" s="136" t="s">
        <v>593</v>
      </c>
      <c r="D49" s="158"/>
      <c r="E49" s="157"/>
      <c r="F49" s="157"/>
      <c r="G49" s="157"/>
      <c r="H49" s="157"/>
      <c r="I49" s="157"/>
      <c r="J49" s="157"/>
      <c r="K49" s="157"/>
      <c r="L49" s="157"/>
      <c r="M49" s="157"/>
      <c r="N49" s="157"/>
      <c r="O49" s="139"/>
    </row>
    <row r="50" spans="1:25" ht="15.75" customHeight="1" x14ac:dyDescent="0.2">
      <c r="B50" s="134">
        <f t="shared" si="0"/>
        <v>60</v>
      </c>
      <c r="C50" s="136"/>
      <c r="D50" s="158"/>
      <c r="E50" s="157"/>
      <c r="F50" s="157"/>
      <c r="G50" s="157"/>
      <c r="H50" s="157"/>
      <c r="I50" s="157"/>
      <c r="J50" s="157"/>
      <c r="K50" s="157"/>
      <c r="L50" s="157"/>
      <c r="M50" s="157"/>
      <c r="N50" s="157"/>
      <c r="O50" s="139"/>
    </row>
    <row r="51" spans="1:25" ht="15.75" customHeight="1" x14ac:dyDescent="0.2">
      <c r="B51" s="134">
        <f t="shared" si="0"/>
        <v>61</v>
      </c>
      <c r="C51" s="136"/>
      <c r="D51" s="158"/>
      <c r="E51" s="157"/>
      <c r="F51" s="157"/>
      <c r="G51" s="157"/>
      <c r="H51" s="157"/>
      <c r="I51" s="157"/>
      <c r="J51" s="157"/>
      <c r="K51" s="157"/>
      <c r="L51" s="157"/>
      <c r="M51" s="157"/>
      <c r="N51" s="157"/>
      <c r="O51" s="139"/>
    </row>
    <row r="52" spans="1:25" ht="15.75" customHeight="1" x14ac:dyDescent="0.2">
      <c r="B52" s="134">
        <f t="shared" si="0"/>
        <v>62</v>
      </c>
      <c r="C52" s="136"/>
      <c r="D52" s="158"/>
      <c r="E52" s="157"/>
      <c r="F52" s="157"/>
      <c r="G52" s="157"/>
      <c r="H52" s="157"/>
      <c r="I52" s="157"/>
      <c r="J52" s="157"/>
      <c r="K52" s="157"/>
      <c r="L52" s="157"/>
      <c r="M52" s="157"/>
      <c r="N52" s="157"/>
      <c r="O52" s="139"/>
    </row>
    <row r="53" spans="1:25" ht="15.75" customHeight="1" x14ac:dyDescent="0.2">
      <c r="B53" s="134">
        <f t="shared" si="0"/>
        <v>63</v>
      </c>
      <c r="C53" s="136"/>
      <c r="D53" s="158"/>
      <c r="E53" s="157"/>
      <c r="F53" s="157"/>
      <c r="G53" s="157"/>
      <c r="H53" s="157"/>
      <c r="I53" s="157"/>
      <c r="J53" s="157"/>
      <c r="K53" s="157"/>
      <c r="L53" s="157"/>
      <c r="M53" s="157"/>
      <c r="N53" s="157"/>
      <c r="O53" s="139"/>
    </row>
    <row r="54" spans="1:25" ht="15.75" customHeight="1" x14ac:dyDescent="0.2">
      <c r="A54" s="149" t="b">
        <v>0</v>
      </c>
      <c r="B54" s="134">
        <f t="shared" si="0"/>
        <v>64</v>
      </c>
      <c r="C54" s="159">
        <f>D28</f>
        <v>0</v>
      </c>
      <c r="D54" s="313"/>
      <c r="E54" s="152"/>
      <c r="F54" s="152"/>
      <c r="G54" s="152"/>
      <c r="H54" s="152"/>
      <c r="I54" s="152"/>
      <c r="J54" s="152"/>
      <c r="K54" s="152"/>
      <c r="L54" s="152"/>
      <c r="M54" s="152"/>
      <c r="N54" s="152"/>
      <c r="O54" s="138" t="str">
        <f>IF(A54=TRUE,"Keypad function tested PASS","Keypad function faulty,FAILED")</f>
        <v>Keypad function faulty,FAILED</v>
      </c>
    </row>
    <row r="55" spans="1:25" ht="15.75" customHeight="1" x14ac:dyDescent="0.2">
      <c r="A55" s="144" t="b">
        <v>0</v>
      </c>
      <c r="B55" s="134">
        <f t="shared" si="0"/>
        <v>65</v>
      </c>
      <c r="C55" s="160"/>
      <c r="D55" s="312"/>
      <c r="E55" s="157"/>
      <c r="F55" s="157"/>
      <c r="G55" s="157"/>
      <c r="H55" s="157"/>
      <c r="I55" s="157"/>
      <c r="J55" s="157"/>
      <c r="K55" s="157"/>
      <c r="L55" s="157"/>
      <c r="M55" s="157"/>
      <c r="N55" s="157"/>
      <c r="O55" s="139"/>
    </row>
    <row r="56" spans="1:25" ht="15.75" customHeight="1" x14ac:dyDescent="0.2">
      <c r="A56" s="144" t="b">
        <v>0</v>
      </c>
      <c r="B56" s="134">
        <f t="shared" si="0"/>
        <v>66</v>
      </c>
      <c r="C56" s="160"/>
      <c r="D56" s="312" t="s">
        <v>594</v>
      </c>
      <c r="E56" s="157"/>
      <c r="F56" s="157"/>
      <c r="G56" s="157"/>
      <c r="H56" s="157"/>
      <c r="I56" s="157"/>
      <c r="J56" s="157"/>
      <c r="K56" s="157"/>
      <c r="L56" s="157"/>
      <c r="M56" s="157"/>
      <c r="N56" s="157"/>
      <c r="O56" s="138" t="str">
        <f>IF(A56=FALSE,"Printer Faulty, required quote and replace","Printer operation PASS")</f>
        <v>Printer Faulty, required quote and replace</v>
      </c>
    </row>
    <row r="57" spans="1:25" x14ac:dyDescent="0.2">
      <c r="A57" s="144" t="b">
        <v>0</v>
      </c>
      <c r="B57" s="134">
        <f t="shared" si="0"/>
        <v>67</v>
      </c>
      <c r="C57" s="153"/>
      <c r="D57" s="313"/>
    </row>
    <row r="58" spans="1:25" x14ac:dyDescent="0.2">
      <c r="A58" s="144" t="b">
        <v>0</v>
      </c>
      <c r="B58" s="134">
        <f t="shared" si="0"/>
        <v>68</v>
      </c>
      <c r="C58" s="153"/>
      <c r="D58" s="340"/>
    </row>
    <row r="59" spans="1:25" x14ac:dyDescent="0.2">
      <c r="A59" s="144" t="b">
        <v>0</v>
      </c>
      <c r="B59" s="134">
        <f t="shared" si="0"/>
        <v>69</v>
      </c>
      <c r="C59" s="153"/>
      <c r="D59" s="340"/>
    </row>
    <row r="60" spans="1:25" x14ac:dyDescent="0.2">
      <c r="A60" s="144" t="b">
        <v>0</v>
      </c>
      <c r="B60" s="134">
        <f t="shared" si="0"/>
        <v>70</v>
      </c>
      <c r="C60" s="161" t="str">
        <f>D5&amp;E5</f>
        <v>-1</v>
      </c>
      <c r="D60" s="340" t="s">
        <v>595</v>
      </c>
    </row>
    <row r="61" spans="1:25" x14ac:dyDescent="0.2">
      <c r="A61" s="144" t="b">
        <v>0</v>
      </c>
      <c r="B61" s="134">
        <f t="shared" si="0"/>
        <v>71</v>
      </c>
      <c r="C61" s="162"/>
      <c r="D61" s="340"/>
    </row>
    <row r="62" spans="1:25" x14ac:dyDescent="0.2">
      <c r="B62" s="134">
        <f t="shared" si="0"/>
        <v>72</v>
      </c>
      <c r="C62" s="136"/>
      <c r="D62" s="292"/>
      <c r="O62" s="524"/>
      <c r="P62" s="524"/>
      <c r="Q62" s="524"/>
      <c r="R62" s="524"/>
      <c r="S62" s="524"/>
      <c r="T62" s="524"/>
      <c r="U62" s="524"/>
      <c r="V62" s="524"/>
      <c r="W62" s="524"/>
      <c r="X62" s="524"/>
      <c r="Y62" s="525"/>
    </row>
    <row r="63" spans="1:25" x14ac:dyDescent="0.2">
      <c r="B63" s="134">
        <f t="shared" si="0"/>
        <v>73</v>
      </c>
      <c r="C63" s="150"/>
      <c r="D63" s="292"/>
    </row>
    <row r="64" spans="1:25" x14ac:dyDescent="0.2">
      <c r="A64" s="144" t="b">
        <v>0</v>
      </c>
      <c r="B64" s="134">
        <f t="shared" si="0"/>
        <v>74</v>
      </c>
      <c r="C64" s="153"/>
      <c r="D64" s="313"/>
      <c r="E64" s="139"/>
      <c r="F64" s="139"/>
      <c r="G64" s="139"/>
      <c r="H64" s="139"/>
      <c r="I64" s="139"/>
      <c r="J64" s="139"/>
      <c r="K64" s="139"/>
      <c r="L64" s="139"/>
      <c r="M64" s="139"/>
      <c r="N64" s="139"/>
      <c r="O64" s="138" t="str">
        <f>IF(A64=TRUE,"Processor performance checked and verified PASS","")</f>
        <v/>
      </c>
    </row>
    <row r="65" spans="1:16" x14ac:dyDescent="0.2">
      <c r="A65" s="144" t="b">
        <v>0</v>
      </c>
      <c r="B65" s="134">
        <f t="shared" si="0"/>
        <v>75</v>
      </c>
      <c r="C65" s="159"/>
      <c r="D65" s="313"/>
      <c r="E65" s="486"/>
      <c r="F65" s="486"/>
      <c r="G65" s="486"/>
      <c r="H65" s="486"/>
      <c r="I65" s="486"/>
      <c r="J65" s="486"/>
      <c r="K65" s="486"/>
      <c r="L65" s="486"/>
      <c r="M65" s="486"/>
      <c r="N65" s="486"/>
    </row>
    <row r="66" spans="1:16" x14ac:dyDescent="0.2">
      <c r="B66" s="134">
        <f t="shared" si="0"/>
        <v>76</v>
      </c>
      <c r="C66" s="163" t="s">
        <v>596</v>
      </c>
      <c r="D66" s="292"/>
    </row>
    <row r="67" spans="1:16" x14ac:dyDescent="0.2">
      <c r="A67" s="164" t="b">
        <v>0</v>
      </c>
      <c r="B67" s="134">
        <f t="shared" si="0"/>
        <v>77</v>
      </c>
      <c r="C67" s="159"/>
      <c r="D67" s="341" t="s">
        <v>597</v>
      </c>
      <c r="E67" s="139"/>
      <c r="F67" s="139"/>
      <c r="G67" s="139"/>
      <c r="H67" s="139"/>
      <c r="I67" s="139"/>
      <c r="J67" s="139"/>
      <c r="K67" s="139"/>
      <c r="L67" s="139"/>
      <c r="M67" s="139"/>
      <c r="N67" s="139"/>
      <c r="O67" s="139"/>
    </row>
    <row r="68" spans="1:16" x14ac:dyDescent="0.2">
      <c r="A68" s="164" t="b">
        <v>0</v>
      </c>
      <c r="B68" s="134">
        <f t="shared" si="0"/>
        <v>78</v>
      </c>
      <c r="C68" s="159"/>
      <c r="D68" s="341" t="s">
        <v>598</v>
      </c>
      <c r="E68" s="139"/>
      <c r="F68" s="139"/>
      <c r="G68" s="139"/>
      <c r="H68" s="139"/>
      <c r="I68" s="139"/>
      <c r="J68" s="139"/>
      <c r="K68" s="139"/>
      <c r="L68" s="139"/>
      <c r="M68" s="139"/>
      <c r="N68" s="139"/>
      <c r="O68" s="139"/>
    </row>
    <row r="69" spans="1:16" x14ac:dyDescent="0.2">
      <c r="A69" s="144" t="b">
        <v>0</v>
      </c>
      <c r="B69" s="134">
        <f t="shared" si="0"/>
        <v>79</v>
      </c>
      <c r="C69" s="159"/>
      <c r="D69" s="313" t="s">
        <v>599</v>
      </c>
      <c r="E69" s="139"/>
      <c r="F69" s="139"/>
      <c r="G69" s="139"/>
      <c r="H69" s="139"/>
      <c r="I69" s="139"/>
      <c r="J69" s="139"/>
      <c r="K69" s="139"/>
      <c r="L69" s="139"/>
      <c r="M69" s="139"/>
      <c r="N69" s="139"/>
      <c r="O69" s="138" t="str">
        <f>IF(A69=FALSE,"Unit was dirty or damaged inside and required extra cleaning","Internal condition good")</f>
        <v>Unit was dirty or damaged inside and required extra cleaning</v>
      </c>
    </row>
    <row r="70" spans="1:16" x14ac:dyDescent="0.2">
      <c r="C70" s="485" t="s">
        <v>433</v>
      </c>
      <c r="D70" s="485"/>
      <c r="E70" s="485"/>
      <c r="F70" s="485"/>
      <c r="G70" s="485"/>
      <c r="H70" s="485"/>
      <c r="I70" s="485"/>
      <c r="J70" s="485"/>
      <c r="K70" s="485"/>
      <c r="L70" s="485"/>
      <c r="M70" s="485"/>
      <c r="N70" s="485"/>
      <c r="O70" s="485"/>
      <c r="P70" s="148"/>
    </row>
    <row r="71" spans="1:16" x14ac:dyDescent="0.2">
      <c r="A71" s="144" t="b">
        <v>0</v>
      </c>
      <c r="B71" s="134">
        <f>B69+1</f>
        <v>80</v>
      </c>
      <c r="C71" s="153"/>
      <c r="D71" s="313" t="s">
        <v>600</v>
      </c>
      <c r="E71" s="486"/>
      <c r="F71" s="486"/>
      <c r="G71" s="486"/>
      <c r="H71" s="486"/>
      <c r="I71" s="486"/>
      <c r="J71" s="486"/>
      <c r="K71" s="486"/>
      <c r="L71" s="486"/>
      <c r="M71" s="486"/>
      <c r="N71" s="486"/>
      <c r="O71" s="138" t="str">
        <f>IF(A71=FALSE,"Initial purge test FAIL","Initial purge test PASS")</f>
        <v>Initial purge test FAIL</v>
      </c>
    </row>
    <row r="72" spans="1:16" x14ac:dyDescent="0.2">
      <c r="A72" s="144" t="b">
        <v>0</v>
      </c>
      <c r="B72" s="134">
        <f t="shared" ref="B72:B135" si="1">B71+1</f>
        <v>81</v>
      </c>
      <c r="C72" s="159"/>
      <c r="D72" s="313" t="s">
        <v>601</v>
      </c>
      <c r="O72" s="138" t="str">
        <f>IF(A72=TRUE,"Damage to pump assembly found, Service Quote Required","Pump unit passed initial inspection")</f>
        <v>Pump unit passed initial inspection</v>
      </c>
    </row>
    <row r="73" spans="1:16" x14ac:dyDescent="0.2">
      <c r="A73" s="144" t="b">
        <v>0</v>
      </c>
      <c r="B73" s="134">
        <f t="shared" si="1"/>
        <v>82</v>
      </c>
      <c r="C73" s="159"/>
      <c r="D73" s="313" t="s">
        <v>602</v>
      </c>
      <c r="E73" s="157"/>
      <c r="F73" s="157"/>
      <c r="G73" s="157"/>
      <c r="H73" s="157"/>
      <c r="I73" s="157"/>
      <c r="J73" s="157"/>
      <c r="K73" s="157"/>
      <c r="L73" s="157"/>
      <c r="M73" s="157"/>
      <c r="N73" s="157"/>
      <c r="O73" s="138" t="str">
        <f>IF(A73=TRUE,"Pump module repaired under warranty","")</f>
        <v/>
      </c>
    </row>
    <row r="74" spans="1:16" x14ac:dyDescent="0.2">
      <c r="A74" s="144" t="b">
        <v>0</v>
      </c>
      <c r="B74" s="134">
        <f t="shared" si="1"/>
        <v>83</v>
      </c>
      <c r="C74" s="159"/>
      <c r="D74" s="313" t="s">
        <v>603</v>
      </c>
      <c r="E74" s="157"/>
      <c r="F74" s="157"/>
      <c r="G74" s="157"/>
      <c r="H74" s="157"/>
      <c r="I74" s="157"/>
      <c r="J74" s="157"/>
      <c r="K74" s="157"/>
      <c r="L74" s="157"/>
      <c r="M74" s="157"/>
      <c r="N74" s="157"/>
    </row>
    <row r="75" spans="1:16" x14ac:dyDescent="0.2">
      <c r="B75" s="134">
        <f t="shared" si="1"/>
        <v>84</v>
      </c>
      <c r="C75" s="165" t="s">
        <v>604</v>
      </c>
      <c r="D75" s="166"/>
      <c r="E75" s="167" t="s">
        <v>328</v>
      </c>
      <c r="F75" s="342" t="s">
        <v>337</v>
      </c>
      <c r="G75" s="139"/>
      <c r="H75" s="167" t="s">
        <v>337</v>
      </c>
      <c r="I75" s="342" t="s">
        <v>337</v>
      </c>
      <c r="J75" s="145"/>
      <c r="K75" s="167" t="s">
        <v>341</v>
      </c>
      <c r="L75" s="343" t="s">
        <v>337</v>
      </c>
      <c r="M75" s="157"/>
      <c r="N75" s="157"/>
    </row>
    <row r="76" spans="1:16" s="145" customFormat="1" x14ac:dyDescent="0.2">
      <c r="A76" s="144" t="b">
        <v>0</v>
      </c>
      <c r="B76" s="134">
        <f t="shared" si="1"/>
        <v>85</v>
      </c>
      <c r="C76" s="159"/>
      <c r="D76" s="313" t="s">
        <v>437</v>
      </c>
      <c r="E76" s="490" t="s">
        <v>605</v>
      </c>
      <c r="F76" s="490"/>
      <c r="G76" s="490"/>
      <c r="H76" s="490"/>
      <c r="I76" s="490"/>
      <c r="J76" s="490"/>
      <c r="K76" s="490"/>
      <c r="L76" s="490"/>
      <c r="M76" s="490"/>
      <c r="N76" s="490"/>
      <c r="O76" s="138" t="str">
        <f>IF(A76=FALSE,"Secondary purge test FAIL/not completed","Secondary purge test PASS")</f>
        <v>Secondary purge test FAIL/not completed</v>
      </c>
      <c r="P76" s="137"/>
    </row>
    <row r="77" spans="1:16" x14ac:dyDescent="0.2">
      <c r="A77" s="144">
        <v>2000</v>
      </c>
      <c r="B77" s="134">
        <f t="shared" si="1"/>
        <v>86</v>
      </c>
      <c r="C77" s="168"/>
      <c r="D77" s="292"/>
      <c r="E77" s="486"/>
      <c r="F77" s="486"/>
      <c r="G77" s="486"/>
      <c r="H77" s="486"/>
      <c r="I77" s="486"/>
      <c r="J77" s="486"/>
      <c r="K77" s="486"/>
      <c r="L77" s="486"/>
      <c r="M77" s="486"/>
      <c r="N77" s="486"/>
      <c r="O77" s="138" t="str">
        <f>IF(D77&lt;550,"Initial Laser 1  check, output outside of specification FAILED/not checked","Initial Laser 1 check, output within specification PASS")</f>
        <v>Initial Laser 1  check, output outside of specification FAILED/not checked</v>
      </c>
    </row>
    <row r="78" spans="1:16" x14ac:dyDescent="0.2">
      <c r="A78" s="144">
        <v>2400</v>
      </c>
      <c r="B78" s="134">
        <f>B77+1</f>
        <v>87</v>
      </c>
      <c r="C78" s="168"/>
      <c r="D78" s="292"/>
      <c r="E78" s="486"/>
      <c r="F78" s="486"/>
      <c r="G78" s="486"/>
      <c r="H78" s="486"/>
      <c r="I78" s="486"/>
      <c r="J78" s="486"/>
      <c r="K78" s="486"/>
      <c r="L78" s="486"/>
      <c r="M78" s="486"/>
      <c r="N78" s="486"/>
      <c r="O78" s="138" t="str">
        <f>IF(D78&lt;800,"Initial Laser 2 check, output outside of specification FAILED/not checked","Initial Laser 2 output within specification PASS")</f>
        <v>Initial Laser 2 check, output outside of specification FAILED/not checked</v>
      </c>
    </row>
    <row r="79" spans="1:16" x14ac:dyDescent="0.2">
      <c r="B79" s="134">
        <f>B78+1</f>
        <v>88</v>
      </c>
      <c r="C79" s="168"/>
      <c r="D79" s="292"/>
      <c r="E79" s="486"/>
      <c r="F79" s="486"/>
      <c r="G79" s="486"/>
      <c r="H79" s="486"/>
      <c r="I79" s="486"/>
      <c r="J79" s="486"/>
      <c r="K79" s="486"/>
      <c r="L79" s="486"/>
      <c r="M79" s="486"/>
      <c r="N79" s="486"/>
      <c r="O79" s="138" t="str">
        <f>IF(D79&lt;1500,"Initial Laser 1 electrical noise output within specification PASS","Initial Laser 1 electrical noise output outside specification FAILED - RETEST at calibration")</f>
        <v>Initial Laser 1 electrical noise output within specification PASS</v>
      </c>
    </row>
    <row r="80" spans="1:16" x14ac:dyDescent="0.2">
      <c r="B80" s="134">
        <f>B79+1</f>
        <v>89</v>
      </c>
      <c r="C80" s="168"/>
      <c r="D80" s="292"/>
      <c r="E80" s="486"/>
      <c r="F80" s="486"/>
      <c r="G80" s="486"/>
      <c r="H80" s="486"/>
      <c r="I80" s="486"/>
      <c r="J80" s="486"/>
      <c r="K80" s="486"/>
      <c r="L80" s="486"/>
      <c r="M80" s="486"/>
      <c r="N80" s="486"/>
      <c r="O80" s="138" t="str">
        <f>IF(D80&lt;1500,"Initial Laser 2 electrical noise output within specification PASS","Initial Laser 2 noise output outside specification FAILED - RETEST at recalibration")</f>
        <v>Initial Laser 2 electrical noise output within specification PASS</v>
      </c>
    </row>
    <row r="81" spans="1:16" x14ac:dyDescent="0.2">
      <c r="A81" s="149"/>
      <c r="C81" s="485" t="s">
        <v>451</v>
      </c>
      <c r="D81" s="485"/>
      <c r="E81" s="485"/>
      <c r="F81" s="485"/>
      <c r="G81" s="485"/>
      <c r="H81" s="485"/>
      <c r="I81" s="485"/>
      <c r="J81" s="485"/>
      <c r="K81" s="485"/>
      <c r="L81" s="485"/>
      <c r="M81" s="485"/>
      <c r="N81" s="485"/>
      <c r="O81" s="485"/>
      <c r="P81" s="148"/>
    </row>
    <row r="82" spans="1:16" x14ac:dyDescent="0.2">
      <c r="A82" s="144" t="b">
        <v>0</v>
      </c>
      <c r="B82" s="134">
        <f>B80+1</f>
        <v>90</v>
      </c>
      <c r="C82" s="159"/>
      <c r="D82" s="313" t="s">
        <v>606</v>
      </c>
      <c r="E82" s="509"/>
      <c r="F82" s="510"/>
      <c r="G82" s="510"/>
      <c r="H82" s="510"/>
      <c r="I82" s="510"/>
      <c r="J82" s="510"/>
      <c r="K82" s="492" t="s">
        <v>607</v>
      </c>
      <c r="L82" s="492"/>
      <c r="M82" s="492"/>
      <c r="N82" s="492"/>
      <c r="O82" s="138" t="str">
        <f>IF(A82=FALSE,"Pressure reducing valve initial check FAIL/not checked","Pressure reducing valve initial check PASS")</f>
        <v>Pressure reducing valve initial check FAIL/not checked</v>
      </c>
    </row>
    <row r="83" spans="1:16" x14ac:dyDescent="0.2">
      <c r="A83" s="144" t="b">
        <v>0</v>
      </c>
      <c r="B83" s="134">
        <f>B82+1</f>
        <v>91</v>
      </c>
      <c r="C83" s="159"/>
      <c r="D83" s="313" t="s">
        <v>608</v>
      </c>
      <c r="E83" s="157"/>
      <c r="F83" s="157"/>
      <c r="G83" s="157"/>
      <c r="H83" s="157"/>
      <c r="I83" s="157"/>
      <c r="J83" s="157"/>
      <c r="K83" s="137"/>
      <c r="L83" s="137"/>
      <c r="M83" s="137"/>
      <c r="N83" s="137"/>
      <c r="O83" s="138" t="str">
        <f>IF(A83=TRUE,"Piston pump function test PASS","Piston pump function test FAIL/not checked, Service Quote Required")</f>
        <v>Piston pump function test FAIL/not checked, Service Quote Required</v>
      </c>
    </row>
    <row r="84" spans="1:16" x14ac:dyDescent="0.2">
      <c r="A84" s="144" t="b">
        <v>0</v>
      </c>
      <c r="B84" s="134">
        <f t="shared" ref="B84:B89" si="2">B83+1</f>
        <v>92</v>
      </c>
      <c r="C84" s="159"/>
      <c r="D84" s="312" t="s">
        <v>609</v>
      </c>
      <c r="E84" s="490" t="s">
        <v>610</v>
      </c>
      <c r="F84" s="490"/>
      <c r="G84" s="490"/>
      <c r="H84" s="490"/>
      <c r="I84" s="490"/>
      <c r="J84" s="490"/>
      <c r="K84" s="490"/>
      <c r="L84" s="490"/>
      <c r="M84" s="490"/>
      <c r="N84" s="490"/>
      <c r="O84" s="138" t="str">
        <f>IF(A84=TRUE,"SERVICE QUOTE SIGN OFF REQUIRED FROM END USER TO PROGRESS SERVICE","Initial inspection PASS, moved to Service")</f>
        <v>Initial inspection PASS, moved to Service</v>
      </c>
    </row>
    <row r="85" spans="1:16" x14ac:dyDescent="0.2">
      <c r="A85" s="144" t="b">
        <v>0</v>
      </c>
      <c r="B85" s="134">
        <f t="shared" si="2"/>
        <v>93</v>
      </c>
      <c r="C85" s="159"/>
      <c r="D85" s="312" t="s">
        <v>611</v>
      </c>
      <c r="E85" s="487" t="s">
        <v>612</v>
      </c>
      <c r="F85" s="487"/>
      <c r="G85" s="487"/>
      <c r="H85" s="487"/>
      <c r="I85" s="487"/>
      <c r="J85" s="487"/>
      <c r="K85" s="526"/>
      <c r="L85" s="526"/>
      <c r="M85" s="526"/>
      <c r="N85" s="526"/>
      <c r="O85" s="138" t="str">
        <f>IF(A85=TRUE,"Customer advised of additional work required for approval","")</f>
        <v/>
      </c>
    </row>
    <row r="86" spans="1:16" x14ac:dyDescent="0.2">
      <c r="A86" s="144" t="b">
        <v>0</v>
      </c>
      <c r="B86" s="134">
        <f t="shared" si="2"/>
        <v>94</v>
      </c>
      <c r="C86" s="159"/>
      <c r="D86" s="312" t="s">
        <v>613</v>
      </c>
      <c r="E86" s="490" t="s">
        <v>610</v>
      </c>
      <c r="F86" s="490"/>
      <c r="G86" s="490"/>
      <c r="H86" s="490"/>
      <c r="I86" s="490"/>
      <c r="J86" s="490"/>
      <c r="K86" s="490"/>
      <c r="L86" s="490"/>
      <c r="M86" s="490"/>
      <c r="N86" s="490"/>
      <c r="O86" s="138" t="str">
        <f>IF(A86=TRUE,"SALES ORDER WAS REQUIRED TO PROGRESS SERVICE","Initial inspection PASS, moved to Service")</f>
        <v>Initial inspection PASS, moved to Service</v>
      </c>
    </row>
    <row r="87" spans="1:16" x14ac:dyDescent="0.2">
      <c r="A87" s="144" t="b">
        <v>0</v>
      </c>
      <c r="B87" s="134">
        <f t="shared" si="2"/>
        <v>95</v>
      </c>
      <c r="C87" s="159"/>
      <c r="D87" s="312" t="s">
        <v>614</v>
      </c>
      <c r="E87" s="487" t="s">
        <v>615</v>
      </c>
      <c r="F87" s="487"/>
      <c r="G87" s="487"/>
      <c r="H87" s="487"/>
      <c r="I87" s="487"/>
      <c r="J87" s="487"/>
      <c r="K87" s="526"/>
      <c r="L87" s="526"/>
      <c r="M87" s="526"/>
      <c r="N87" s="526"/>
      <c r="O87" s="138" t="str">
        <f>IF(A87=TRUE,"Customer advised of order requirement","Sales Order raised, passed to Service")</f>
        <v>Sales Order raised, passed to Service</v>
      </c>
    </row>
    <row r="88" spans="1:16" x14ac:dyDescent="0.2">
      <c r="B88" s="134">
        <f t="shared" si="2"/>
        <v>96</v>
      </c>
      <c r="C88" s="150" t="s">
        <v>616</v>
      </c>
      <c r="D88" s="302"/>
      <c r="E88" s="152"/>
      <c r="F88" s="139"/>
      <c r="G88" s="150"/>
      <c r="H88" s="150"/>
      <c r="I88" s="150"/>
      <c r="J88" s="150"/>
      <c r="K88" s="139"/>
      <c r="L88" s="169"/>
      <c r="M88" s="169"/>
      <c r="N88" s="169"/>
      <c r="O88" s="137"/>
    </row>
    <row r="89" spans="1:16" x14ac:dyDescent="0.2">
      <c r="B89" s="134">
        <f t="shared" si="2"/>
        <v>97</v>
      </c>
      <c r="C89" s="150" t="s">
        <v>617</v>
      </c>
      <c r="D89" s="329"/>
      <c r="E89" s="152" t="s">
        <v>618</v>
      </c>
      <c r="F89" s="139"/>
      <c r="G89" s="150"/>
      <c r="H89" s="150"/>
      <c r="I89" s="514">
        <f>D89-D16</f>
        <v>0</v>
      </c>
      <c r="J89" s="514"/>
      <c r="K89" s="514"/>
      <c r="L89" s="514"/>
      <c r="M89" s="514"/>
      <c r="N89" s="514"/>
      <c r="O89" s="139"/>
    </row>
    <row r="90" spans="1:16" x14ac:dyDescent="0.2">
      <c r="C90" s="485" t="s">
        <v>443</v>
      </c>
      <c r="D90" s="485"/>
      <c r="E90" s="485"/>
      <c r="F90" s="485"/>
      <c r="G90" s="485"/>
      <c r="H90" s="485"/>
      <c r="I90" s="485"/>
      <c r="J90" s="485"/>
      <c r="K90" s="485"/>
      <c r="L90" s="485"/>
      <c r="M90" s="485"/>
      <c r="N90" s="485"/>
      <c r="O90" s="485"/>
      <c r="P90" s="148"/>
    </row>
    <row r="91" spans="1:16" s="145" customFormat="1" ht="15.75" customHeight="1" x14ac:dyDescent="0.2">
      <c r="A91" s="149"/>
      <c r="B91" s="134">
        <f>B89+1</f>
        <v>98</v>
      </c>
      <c r="C91" s="150" t="s">
        <v>444</v>
      </c>
      <c r="D91" s="302"/>
      <c r="E91" s="487" t="s">
        <v>372</v>
      </c>
      <c r="F91" s="487"/>
      <c r="G91" s="515" t="str">
        <f>IF(D91=$D$7,"ON TIME",IF(D91&gt;$D$7,"LATE",IF(D91&lt;$D$7,"EARLY")))</f>
        <v>ON TIME</v>
      </c>
      <c r="H91" s="515"/>
      <c r="I91" s="515"/>
      <c r="J91" s="515"/>
      <c r="K91" s="515"/>
      <c r="L91" s="515"/>
      <c r="M91" s="515"/>
      <c r="N91" s="515"/>
      <c r="O91" s="157"/>
      <c r="P91" s="157"/>
    </row>
    <row r="92" spans="1:16" s="145" customFormat="1" ht="15.75" customHeight="1" x14ac:dyDescent="0.2">
      <c r="A92" s="149"/>
      <c r="B92" s="134">
        <f t="shared" si="1"/>
        <v>99</v>
      </c>
      <c r="C92" s="150" t="s">
        <v>619</v>
      </c>
      <c r="D92" s="329"/>
      <c r="E92" s="148"/>
      <c r="G92" s="150"/>
      <c r="H92" s="150"/>
      <c r="I92" s="150"/>
      <c r="J92" s="150"/>
      <c r="L92" s="151"/>
      <c r="M92" s="151"/>
      <c r="N92" s="151"/>
      <c r="O92" s="148"/>
      <c r="P92" s="148"/>
    </row>
    <row r="93" spans="1:16" x14ac:dyDescent="0.2">
      <c r="A93" s="144" t="b">
        <v>0</v>
      </c>
      <c r="B93" s="134">
        <f t="shared" si="1"/>
        <v>100</v>
      </c>
      <c r="C93" s="170"/>
      <c r="D93" s="313" t="s">
        <v>620</v>
      </c>
      <c r="E93" s="511">
        <v>0</v>
      </c>
      <c r="F93" s="511"/>
      <c r="G93" s="511"/>
      <c r="H93" s="511"/>
      <c r="I93" s="511"/>
      <c r="J93" s="511"/>
      <c r="K93" s="511"/>
      <c r="L93" s="511"/>
      <c r="M93" s="511"/>
      <c r="N93" s="511"/>
      <c r="O93" s="138" t="str">
        <f>IF(A93=TRUE,"SO received and on system","Awaiting customers purchase order")</f>
        <v>Awaiting customers purchase order</v>
      </c>
      <c r="P93" s="145"/>
    </row>
    <row r="94" spans="1:16" x14ac:dyDescent="0.2">
      <c r="A94" s="144" t="b">
        <v>0</v>
      </c>
      <c r="B94" s="134">
        <f t="shared" si="1"/>
        <v>101</v>
      </c>
      <c r="C94" s="170"/>
      <c r="D94" s="313" t="s">
        <v>621</v>
      </c>
      <c r="E94" s="511">
        <v>0</v>
      </c>
      <c r="F94" s="511"/>
      <c r="G94" s="511"/>
      <c r="H94" s="511"/>
      <c r="I94" s="511"/>
      <c r="J94" s="511"/>
      <c r="K94" s="511"/>
      <c r="L94" s="511"/>
      <c r="M94" s="511"/>
      <c r="N94" s="511"/>
      <c r="O94" s="138" t="str">
        <f>IF(A94=TRUE,"WO processed, service can be started","Awaiting customers purchase order")</f>
        <v>Awaiting customers purchase order</v>
      </c>
      <c r="P94" s="145"/>
    </row>
    <row r="95" spans="1:16" x14ac:dyDescent="0.2">
      <c r="A95" s="144" t="b">
        <v>0</v>
      </c>
      <c r="B95" s="134">
        <f t="shared" si="1"/>
        <v>102</v>
      </c>
      <c r="C95" s="159"/>
      <c r="D95" s="313" t="s">
        <v>622</v>
      </c>
      <c r="E95" s="157"/>
      <c r="F95" s="157"/>
      <c r="G95" s="157"/>
      <c r="H95" s="157"/>
      <c r="I95" s="157"/>
      <c r="J95" s="157"/>
      <c r="K95" s="157"/>
      <c r="L95" s="157"/>
      <c r="M95" s="157"/>
      <c r="N95" s="157"/>
      <c r="O95" s="138" t="s">
        <v>623</v>
      </c>
      <c r="P95" s="145"/>
    </row>
    <row r="96" spans="1:16" x14ac:dyDescent="0.2">
      <c r="B96" s="134">
        <f t="shared" si="1"/>
        <v>103</v>
      </c>
      <c r="C96" s="165" t="s">
        <v>624</v>
      </c>
      <c r="D96" s="344"/>
      <c r="E96" s="167" t="str">
        <f>E75</f>
        <v>M</v>
      </c>
      <c r="F96" s="171" t="str">
        <f>F75</f>
        <v>N</v>
      </c>
      <c r="G96" s="139"/>
      <c r="H96" s="167" t="s">
        <v>337</v>
      </c>
      <c r="I96" s="171" t="str">
        <f>I75</f>
        <v>N</v>
      </c>
      <c r="J96" s="139"/>
      <c r="K96" s="167" t="s">
        <v>341</v>
      </c>
      <c r="L96" s="172" t="str">
        <f>L75</f>
        <v>N</v>
      </c>
      <c r="M96" s="157"/>
      <c r="N96" s="157"/>
      <c r="P96" s="145"/>
    </row>
    <row r="97" spans="1:15" x14ac:dyDescent="0.2">
      <c r="A97" s="144" t="b">
        <v>0</v>
      </c>
      <c r="B97" s="134">
        <f t="shared" si="1"/>
        <v>104</v>
      </c>
      <c r="C97" s="159"/>
      <c r="D97" s="313"/>
      <c r="E97" s="527"/>
      <c r="F97" s="528"/>
      <c r="G97" s="528"/>
      <c r="H97" s="528"/>
      <c r="I97" s="528"/>
      <c r="J97" s="528"/>
      <c r="K97" s="492" t="s">
        <v>607</v>
      </c>
      <c r="L97" s="492"/>
      <c r="M97" s="492"/>
      <c r="N97" s="492"/>
      <c r="O97" s="138" t="str">
        <f>IF(A97=TRUE,"Pressure reducing valve value logged PASS","")</f>
        <v/>
      </c>
    </row>
    <row r="98" spans="1:15" x14ac:dyDescent="0.2">
      <c r="A98" s="144" t="b">
        <v>0</v>
      </c>
      <c r="B98" s="134">
        <f t="shared" si="1"/>
        <v>105</v>
      </c>
      <c r="C98" s="159"/>
      <c r="D98" s="313"/>
      <c r="E98" s="157"/>
      <c r="F98" s="157"/>
      <c r="G98" s="157"/>
      <c r="H98" s="157"/>
      <c r="I98" s="157"/>
      <c r="J98" s="157"/>
      <c r="K98" s="137"/>
      <c r="L98" s="137"/>
      <c r="M98" s="137"/>
      <c r="N98" s="137"/>
      <c r="O98" s="138" t="str">
        <f>IF(A98=TRUE,"Piston pump function test PASS","")</f>
        <v/>
      </c>
    </row>
    <row r="99" spans="1:15" x14ac:dyDescent="0.2">
      <c r="B99" s="134">
        <f t="shared" si="1"/>
        <v>106</v>
      </c>
      <c r="C99" s="168" t="s">
        <v>625</v>
      </c>
      <c r="D99" s="292"/>
      <c r="E99" s="529"/>
      <c r="F99" s="486"/>
      <c r="G99" s="486"/>
      <c r="H99" s="486"/>
      <c r="I99" s="486"/>
      <c r="J99" s="486"/>
      <c r="K99" s="486"/>
      <c r="L99" s="486"/>
      <c r="M99" s="486"/>
      <c r="N99" s="486"/>
      <c r="O99" s="138" t="str">
        <f>IF(D99&lt;550,"Laser 1 output outside of specification FAILED","Laser 1 output within specification PASS")</f>
        <v>Laser 1 output outside of specification FAILED</v>
      </c>
    </row>
    <row r="100" spans="1:15" x14ac:dyDescent="0.2">
      <c r="B100" s="134">
        <f t="shared" si="1"/>
        <v>107</v>
      </c>
      <c r="C100" s="168" t="s">
        <v>626</v>
      </c>
      <c r="D100" s="292"/>
      <c r="E100" s="529"/>
      <c r="F100" s="486"/>
      <c r="G100" s="486"/>
      <c r="H100" s="486"/>
      <c r="I100" s="486"/>
      <c r="J100" s="486"/>
      <c r="K100" s="486"/>
      <c r="L100" s="486"/>
      <c r="M100" s="486"/>
      <c r="N100" s="486"/>
      <c r="O100" s="138" t="str">
        <f>IF(D100&lt;800,"Laser 2 output outside of specification FAILED","Laser 2 output within specification PASS")</f>
        <v>Laser 2 output outside of specification FAILED</v>
      </c>
    </row>
    <row r="101" spans="1:15" x14ac:dyDescent="0.2">
      <c r="B101" s="134">
        <f t="shared" si="1"/>
        <v>108</v>
      </c>
      <c r="C101" s="168" t="s">
        <v>627</v>
      </c>
      <c r="D101" s="292"/>
      <c r="E101" s="529"/>
      <c r="F101" s="486"/>
      <c r="G101" s="486"/>
      <c r="H101" s="486"/>
      <c r="I101" s="486"/>
      <c r="J101" s="486"/>
      <c r="K101" s="486"/>
      <c r="L101" s="486"/>
      <c r="M101" s="486"/>
      <c r="N101" s="486"/>
      <c r="O101" s="138" t="str">
        <f>IF(D101&lt;1500,"Laser 1 NOISE output within specification PASS","Laser 1 NOISE output outside specification FAILED")</f>
        <v>Laser 1 NOISE output within specification PASS</v>
      </c>
    </row>
    <row r="102" spans="1:15" x14ac:dyDescent="0.2">
      <c r="B102" s="134">
        <f t="shared" si="1"/>
        <v>109</v>
      </c>
      <c r="C102" s="168" t="s">
        <v>628</v>
      </c>
      <c r="D102" s="292"/>
      <c r="E102" s="529"/>
      <c r="F102" s="486"/>
      <c r="G102" s="486"/>
      <c r="H102" s="486"/>
      <c r="I102" s="486"/>
      <c r="J102" s="486"/>
      <c r="K102" s="486"/>
      <c r="L102" s="486"/>
      <c r="M102" s="486"/>
      <c r="N102" s="486"/>
      <c r="O102" s="138" t="str">
        <f>IF(D102&lt;1500,"Laser 2 NOISE output within specification PASS","Laser 2 NOISE output outside specification FAILED")</f>
        <v>Laser 2 NOISE output within specification PASS</v>
      </c>
    </row>
    <row r="103" spans="1:15" x14ac:dyDescent="0.2">
      <c r="A103" s="144" t="b">
        <v>0</v>
      </c>
      <c r="B103" s="134">
        <f t="shared" si="1"/>
        <v>110</v>
      </c>
      <c r="C103" s="170"/>
      <c r="D103" s="313" t="s">
        <v>629</v>
      </c>
      <c r="E103" s="490" t="s">
        <v>450</v>
      </c>
      <c r="F103" s="490"/>
      <c r="G103" s="490"/>
      <c r="H103" s="490"/>
      <c r="I103" s="490"/>
      <c r="J103" s="490"/>
      <c r="K103" s="490"/>
      <c r="L103" s="490"/>
      <c r="M103" s="490"/>
      <c r="N103" s="490"/>
      <c r="O103" s="138" t="str">
        <f>IF(A103=TRUE,"DC connector inspected and tests OK","")</f>
        <v/>
      </c>
    </row>
    <row r="104" spans="1:15" x14ac:dyDescent="0.2">
      <c r="A104" s="144" t="b">
        <v>0</v>
      </c>
      <c r="B104" s="134">
        <f t="shared" si="1"/>
        <v>111</v>
      </c>
      <c r="C104" s="170"/>
      <c r="D104" s="313" t="s">
        <v>630</v>
      </c>
      <c r="E104" s="157"/>
      <c r="F104" s="157"/>
      <c r="G104" s="157"/>
      <c r="H104" s="157"/>
      <c r="I104" s="157"/>
      <c r="J104" s="157"/>
      <c r="K104" s="157"/>
      <c r="L104" s="157"/>
      <c r="M104" s="157"/>
      <c r="N104" s="157"/>
      <c r="O104" s="138" t="str">
        <f>IF(A104=TRUE,"Clock battery replaced as part of service. Please note: as a result of this time &amp; date has been set to local GMT","")</f>
        <v/>
      </c>
    </row>
    <row r="105" spans="1:15" x14ac:dyDescent="0.2">
      <c r="A105" s="144" t="b">
        <v>0</v>
      </c>
      <c r="B105" s="134">
        <f t="shared" si="1"/>
        <v>112</v>
      </c>
      <c r="C105" s="170"/>
      <c r="D105" s="313" t="s">
        <v>631</v>
      </c>
      <c r="E105" s="157"/>
      <c r="F105" s="157"/>
      <c r="G105" s="157"/>
      <c r="H105" s="157"/>
      <c r="I105" s="157"/>
      <c r="J105" s="157"/>
      <c r="K105" s="157"/>
      <c r="L105" s="157"/>
      <c r="M105" s="157"/>
      <c r="N105" s="157"/>
    </row>
    <row r="106" spans="1:15" x14ac:dyDescent="0.2">
      <c r="A106" s="144" t="b">
        <v>0</v>
      </c>
      <c r="B106" s="134">
        <f t="shared" si="1"/>
        <v>113</v>
      </c>
      <c r="C106" s="170"/>
      <c r="D106" s="313" t="s">
        <v>632</v>
      </c>
      <c r="E106" s="157"/>
      <c r="F106" s="157"/>
      <c r="G106" s="157"/>
      <c r="H106" s="157"/>
      <c r="I106" s="157"/>
      <c r="J106" s="157"/>
      <c r="K106" s="157"/>
      <c r="L106" s="157"/>
      <c r="M106" s="157"/>
      <c r="N106" s="157"/>
    </row>
    <row r="107" spans="1:15" x14ac:dyDescent="0.2">
      <c r="A107" s="144" t="b">
        <v>0</v>
      </c>
      <c r="B107" s="134">
        <f t="shared" si="1"/>
        <v>114</v>
      </c>
      <c r="C107" s="160"/>
      <c r="D107" s="313" t="s">
        <v>448</v>
      </c>
      <c r="E107" s="157"/>
      <c r="F107" s="157"/>
      <c r="G107" s="157"/>
      <c r="H107" s="157"/>
      <c r="I107" s="157"/>
      <c r="J107" s="157"/>
      <c r="K107" s="157"/>
      <c r="L107" s="157"/>
      <c r="M107" s="157"/>
      <c r="N107" s="157"/>
      <c r="O107" s="138" t="str">
        <f>IF(A107=TRUE,"Unit cleaned inside and out","")</f>
        <v/>
      </c>
    </row>
    <row r="108" spans="1:15" x14ac:dyDescent="0.2">
      <c r="A108" s="144" t="b">
        <v>0</v>
      </c>
      <c r="B108" s="134">
        <f t="shared" si="1"/>
        <v>115</v>
      </c>
      <c r="C108" s="159"/>
      <c r="D108" s="313" t="s">
        <v>633</v>
      </c>
      <c r="E108" s="157"/>
      <c r="F108" s="157"/>
      <c r="G108" s="157"/>
      <c r="H108" s="157"/>
      <c r="I108" s="157"/>
      <c r="J108" s="157"/>
      <c r="K108" s="157"/>
      <c r="L108" s="157"/>
      <c r="M108" s="157"/>
      <c r="N108" s="157"/>
      <c r="O108" s="138" t="str">
        <f>IF(A108=TRUE,"Flush valve module serviced","")</f>
        <v/>
      </c>
    </row>
    <row r="109" spans="1:15" x14ac:dyDescent="0.2">
      <c r="A109" s="144" t="b">
        <v>0</v>
      </c>
      <c r="B109" s="134">
        <f t="shared" si="1"/>
        <v>116</v>
      </c>
      <c r="C109" s="170"/>
      <c r="D109" s="313" t="s">
        <v>634</v>
      </c>
      <c r="E109" s="490" t="s">
        <v>450</v>
      </c>
      <c r="F109" s="490"/>
      <c r="G109" s="490"/>
      <c r="H109" s="490"/>
      <c r="I109" s="490"/>
      <c r="J109" s="490"/>
      <c r="K109" s="490"/>
      <c r="L109" s="490"/>
      <c r="M109" s="490"/>
      <c r="N109" s="490"/>
      <c r="O109" s="138" t="str">
        <f>IF(A109=TRUE,"Battery clamps inspected PASS","")</f>
        <v/>
      </c>
    </row>
    <row r="110" spans="1:15" x14ac:dyDescent="0.2">
      <c r="A110" s="144" t="b">
        <v>0</v>
      </c>
      <c r="B110" s="134">
        <f t="shared" si="1"/>
        <v>117</v>
      </c>
      <c r="C110" s="160"/>
      <c r="D110" s="313"/>
      <c r="E110" s="157"/>
      <c r="F110" s="157"/>
      <c r="G110" s="157"/>
      <c r="H110" s="157"/>
      <c r="I110" s="157"/>
      <c r="J110" s="157"/>
      <c r="K110" s="157"/>
      <c r="L110" s="157"/>
      <c r="M110" s="157"/>
      <c r="N110" s="157"/>
      <c r="O110" s="138" t="str">
        <f>IF(A110=TRUE,"Battery replaced as part of service","")</f>
        <v/>
      </c>
    </row>
    <row r="111" spans="1:15" x14ac:dyDescent="0.2">
      <c r="A111" s="144" t="b">
        <v>0</v>
      </c>
      <c r="B111" s="134">
        <f t="shared" si="1"/>
        <v>118</v>
      </c>
      <c r="C111" s="160"/>
      <c r="D111" s="313"/>
      <c r="E111" s="157"/>
      <c r="F111" s="157"/>
      <c r="G111" s="157"/>
      <c r="H111" s="157"/>
      <c r="I111" s="157"/>
      <c r="J111" s="157"/>
      <c r="K111" s="157"/>
      <c r="L111" s="157"/>
      <c r="M111" s="157"/>
      <c r="N111" s="157"/>
    </row>
    <row r="112" spans="1:15" x14ac:dyDescent="0.2">
      <c r="A112" s="144" t="b">
        <v>0</v>
      </c>
      <c r="B112" s="134">
        <f>B110+1</f>
        <v>118</v>
      </c>
      <c r="C112" s="159"/>
      <c r="D112" s="313"/>
      <c r="E112" s="139"/>
      <c r="F112" s="157"/>
      <c r="G112" s="137" t="s">
        <v>635</v>
      </c>
      <c r="H112" s="157"/>
      <c r="I112" s="157"/>
      <c r="J112" s="157"/>
      <c r="K112" s="528"/>
      <c r="L112" s="528"/>
      <c r="M112" s="528"/>
      <c r="N112" s="528"/>
      <c r="O112" s="138" t="str">
        <f>IF(A112=TRUE,"Moisture sensor replaced as part of service","")</f>
        <v/>
      </c>
    </row>
    <row r="113" spans="1:16" x14ac:dyDescent="0.2">
      <c r="A113" s="144" t="b">
        <v>0</v>
      </c>
      <c r="B113" s="134">
        <f t="shared" si="1"/>
        <v>119</v>
      </c>
      <c r="C113" s="159"/>
      <c r="D113" s="313" t="s">
        <v>636</v>
      </c>
      <c r="E113" s="527"/>
      <c r="F113" s="528"/>
      <c r="G113" s="145" t="s">
        <v>637</v>
      </c>
      <c r="I113" s="528"/>
      <c r="J113" s="528"/>
      <c r="K113" s="145" t="s">
        <v>638</v>
      </c>
      <c r="O113" s="138" t="str">
        <f>IF(A113=TRUE,"Moisture sensor initial test PASS","")</f>
        <v/>
      </c>
    </row>
    <row r="114" spans="1:16" x14ac:dyDescent="0.2">
      <c r="A114" s="144" t="b">
        <v>0</v>
      </c>
      <c r="B114" s="134">
        <f t="shared" si="1"/>
        <v>120</v>
      </c>
      <c r="C114" s="160"/>
      <c r="D114" s="313" t="s">
        <v>639</v>
      </c>
      <c r="E114" s="157"/>
      <c r="F114" s="157"/>
      <c r="G114" s="157"/>
      <c r="H114" s="157"/>
      <c r="I114" s="157"/>
      <c r="J114" s="157"/>
      <c r="K114" s="157"/>
      <c r="L114" s="157"/>
      <c r="M114" s="157"/>
      <c r="N114" s="157"/>
      <c r="O114" s="138" t="str">
        <f>IF(A114=TRUE,"Internal plumbing tested/replaced where necessary","")</f>
        <v/>
      </c>
    </row>
    <row r="115" spans="1:16" x14ac:dyDescent="0.2">
      <c r="A115" s="144" t="b">
        <v>0</v>
      </c>
      <c r="B115" s="134">
        <f t="shared" si="1"/>
        <v>121</v>
      </c>
      <c r="C115" s="160"/>
      <c r="D115" s="313" t="s">
        <v>640</v>
      </c>
      <c r="E115" s="528"/>
      <c r="F115" s="528"/>
      <c r="G115" s="528"/>
      <c r="H115" s="528"/>
      <c r="I115" s="157"/>
      <c r="J115" s="157"/>
      <c r="K115" s="157"/>
      <c r="L115" s="157"/>
      <c r="M115" s="157"/>
      <c r="N115" s="157"/>
    </row>
    <row r="116" spans="1:16" x14ac:dyDescent="0.2">
      <c r="A116" s="144" t="b">
        <v>0</v>
      </c>
      <c r="B116" s="134">
        <f t="shared" si="1"/>
        <v>122</v>
      </c>
      <c r="C116" s="173"/>
      <c r="D116" s="313" t="s">
        <v>641</v>
      </c>
      <c r="E116" s="157"/>
      <c r="F116" s="157"/>
      <c r="G116" s="157"/>
      <c r="H116" s="157"/>
      <c r="I116" s="157"/>
      <c r="J116" s="157"/>
      <c r="K116" s="157"/>
      <c r="L116" s="157"/>
      <c r="M116" s="157"/>
      <c r="N116" s="157"/>
      <c r="O116" s="138" t="str">
        <f>IF(A116=TRUE,"Internal fittings tested/replaced where necessary","")</f>
        <v/>
      </c>
    </row>
    <row r="117" spans="1:16" x14ac:dyDescent="0.2">
      <c r="A117" s="144" t="b">
        <v>0</v>
      </c>
      <c r="B117" s="134">
        <f t="shared" si="1"/>
        <v>123</v>
      </c>
      <c r="C117" s="160"/>
      <c r="D117" s="313" t="s">
        <v>642</v>
      </c>
      <c r="E117" s="157"/>
      <c r="F117" s="157"/>
      <c r="G117" s="157"/>
      <c r="H117" s="157"/>
      <c r="I117" s="157"/>
      <c r="J117" s="157"/>
      <c r="K117" s="157"/>
      <c r="L117" s="157"/>
      <c r="M117" s="157"/>
      <c r="N117" s="157"/>
      <c r="O117" s="138" t="str">
        <f>IF(A117=TRUE,"PCB ribbon cables secured where necessary","Ribbon cables all secure")</f>
        <v>Ribbon cables all secure</v>
      </c>
    </row>
    <row r="118" spans="1:16" x14ac:dyDescent="0.2">
      <c r="A118" s="144" t="b">
        <v>0</v>
      </c>
      <c r="B118" s="134">
        <f t="shared" si="1"/>
        <v>124</v>
      </c>
      <c r="C118" s="160"/>
      <c r="D118" s="313"/>
      <c r="E118" s="157"/>
      <c r="F118" s="157"/>
      <c r="G118" s="157"/>
      <c r="H118" s="157"/>
      <c r="I118" s="157"/>
      <c r="J118" s="157"/>
      <c r="K118" s="157"/>
      <c r="L118" s="157"/>
      <c r="M118" s="157"/>
      <c r="N118" s="157"/>
      <c r="O118" s="138" t="str">
        <f>IF(A118=TRUE,"Faceplate Brackets checked PASS","")</f>
        <v/>
      </c>
    </row>
    <row r="119" spans="1:16" x14ac:dyDescent="0.2">
      <c r="A119" s="144" t="b">
        <v>0</v>
      </c>
      <c r="B119" s="134">
        <f t="shared" si="1"/>
        <v>125</v>
      </c>
      <c r="C119" s="159"/>
      <c r="D119" s="345"/>
      <c r="E119" s="157"/>
      <c r="F119" s="157"/>
      <c r="G119" s="157"/>
      <c r="H119" s="157"/>
      <c r="I119" s="157"/>
      <c r="J119" s="157"/>
      <c r="K119" s="157"/>
      <c r="L119" s="157"/>
      <c r="M119" s="157"/>
      <c r="N119" s="157"/>
      <c r="O119" s="138" t="str">
        <f>IF(A119=TRUE,"New lid organiser fitted","No requirement to replace lid organiser")</f>
        <v>No requirement to replace lid organiser</v>
      </c>
    </row>
    <row r="120" spans="1:16" x14ac:dyDescent="0.2">
      <c r="A120" s="149"/>
      <c r="C120" s="485" t="s">
        <v>451</v>
      </c>
      <c r="D120" s="485"/>
      <c r="E120" s="485"/>
      <c r="F120" s="485"/>
      <c r="G120" s="485"/>
      <c r="H120" s="485"/>
      <c r="I120" s="485"/>
      <c r="J120" s="485"/>
      <c r="K120" s="485"/>
      <c r="L120" s="485"/>
      <c r="M120" s="485"/>
      <c r="N120" s="485"/>
      <c r="O120" s="485"/>
      <c r="P120" s="148"/>
    </row>
    <row r="121" spans="1:16" x14ac:dyDescent="0.2">
      <c r="A121" s="144" t="b">
        <v>0</v>
      </c>
      <c r="B121" s="134">
        <f>B119+1</f>
        <v>126</v>
      </c>
      <c r="C121" s="160"/>
      <c r="D121" s="313" t="s">
        <v>643</v>
      </c>
      <c r="E121" s="157"/>
      <c r="F121" s="157"/>
      <c r="G121" s="157"/>
      <c r="H121" s="157"/>
      <c r="I121" s="157"/>
      <c r="J121" s="157"/>
      <c r="K121" s="157"/>
      <c r="L121" s="157"/>
      <c r="M121" s="157"/>
      <c r="N121" s="157"/>
      <c r="O121" s="138" t="str">
        <f>IF(A121=TRUE,"External signal plug and associated alarm circuit tested PASS","")</f>
        <v/>
      </c>
    </row>
    <row r="122" spans="1:16" x14ac:dyDescent="0.2">
      <c r="B122" s="134">
        <f t="shared" si="1"/>
        <v>127</v>
      </c>
      <c r="C122" s="136" t="s">
        <v>644</v>
      </c>
      <c r="D122" s="292"/>
      <c r="E122" s="157"/>
      <c r="F122" s="157"/>
      <c r="G122" s="157"/>
      <c r="H122" s="157"/>
      <c r="I122" s="157"/>
      <c r="J122" s="157"/>
      <c r="K122" s="157"/>
      <c r="L122" s="157"/>
      <c r="M122" s="157"/>
      <c r="N122" s="157"/>
      <c r="O122" s="138" t="str">
        <f>IF(D122&gt;=(D123+1),"Flush valve pressure test PASSED","Flush valve pressure test FAILED")</f>
        <v>Flush valve pressure test FAILED</v>
      </c>
    </row>
    <row r="123" spans="1:16" x14ac:dyDescent="0.2">
      <c r="B123" s="134">
        <f t="shared" si="1"/>
        <v>128</v>
      </c>
      <c r="C123" s="136" t="s">
        <v>645</v>
      </c>
      <c r="D123" s="292"/>
      <c r="E123" s="157"/>
      <c r="F123" s="157"/>
      <c r="G123" s="157"/>
      <c r="H123" s="157"/>
      <c r="I123" s="157"/>
      <c r="J123" s="157"/>
      <c r="K123" s="157"/>
      <c r="L123" s="157"/>
      <c r="M123" s="157"/>
      <c r="N123" s="157"/>
      <c r="O123" s="138" t="str">
        <f>IF(D123&lt;2.51,"Internal pressure reducing valve pressure test PASS","Internal pressure reducing valve pressure test FAILED")</f>
        <v>Internal pressure reducing valve pressure test PASS</v>
      </c>
    </row>
    <row r="124" spans="1:16" x14ac:dyDescent="0.2">
      <c r="A124" s="144">
        <v>2000</v>
      </c>
      <c r="B124" s="134">
        <f t="shared" si="1"/>
        <v>129</v>
      </c>
      <c r="C124" s="136" t="s">
        <v>625</v>
      </c>
      <c r="D124" s="292"/>
      <c r="E124" s="486"/>
      <c r="F124" s="486"/>
      <c r="G124" s="486"/>
      <c r="H124" s="486"/>
      <c r="I124" s="486"/>
      <c r="J124" s="486"/>
      <c r="K124" s="486"/>
      <c r="L124" s="486"/>
      <c r="M124" s="486"/>
      <c r="N124" s="486"/>
      <c r="O124" s="138" t="str">
        <f>IF(D124&lt;550,"Laser 1 output outside of specification FAILED","Laser 1 output within specification PASS")</f>
        <v>Laser 1 output outside of specification FAILED</v>
      </c>
    </row>
    <row r="125" spans="1:16" x14ac:dyDescent="0.2">
      <c r="A125" s="144">
        <v>2400</v>
      </c>
      <c r="B125" s="134">
        <f t="shared" si="1"/>
        <v>130</v>
      </c>
      <c r="C125" s="136" t="s">
        <v>626</v>
      </c>
      <c r="D125" s="292"/>
      <c r="E125" s="486"/>
      <c r="F125" s="486"/>
      <c r="G125" s="486"/>
      <c r="H125" s="486"/>
      <c r="I125" s="486"/>
      <c r="J125" s="486"/>
      <c r="K125" s="486"/>
      <c r="L125" s="486"/>
      <c r="M125" s="486"/>
      <c r="N125" s="486"/>
      <c r="O125" s="138" t="str">
        <f>IF(D125&lt;800,"Laser 2 output outside of specification FAILED","Laser 2 output within specification PASS")</f>
        <v>Laser 2 output outside of specification FAILED</v>
      </c>
    </row>
    <row r="126" spans="1:16" x14ac:dyDescent="0.2">
      <c r="A126" s="144" t="b">
        <v>0</v>
      </c>
      <c r="B126" s="134">
        <f t="shared" si="1"/>
        <v>131</v>
      </c>
      <c r="C126" s="174"/>
      <c r="D126" s="312" t="s">
        <v>646</v>
      </c>
      <c r="E126" s="157"/>
      <c r="F126" s="157"/>
      <c r="G126" s="157"/>
      <c r="H126" s="157"/>
      <c r="I126" s="157"/>
      <c r="J126" s="157"/>
      <c r="K126" s="157"/>
      <c r="L126" s="157"/>
      <c r="M126" s="157"/>
      <c r="N126" s="157"/>
      <c r="O126" s="138" t="str">
        <f>IF(A126=TRUE,"High pressure seal integrity test PASS","High pressure seal integrity test failure, unit requires rework")</f>
        <v>High pressure seal integrity test failure, unit requires rework</v>
      </c>
    </row>
    <row r="127" spans="1:16" x14ac:dyDescent="0.2">
      <c r="B127" s="134">
        <f t="shared" si="1"/>
        <v>132</v>
      </c>
      <c r="C127" s="136" t="s">
        <v>520</v>
      </c>
      <c r="E127" s="530"/>
      <c r="F127" s="530"/>
      <c r="G127" s="530"/>
      <c r="H127" s="530"/>
      <c r="I127" s="530"/>
      <c r="J127" s="530"/>
      <c r="K127" s="530"/>
      <c r="L127" s="530"/>
      <c r="M127" s="530"/>
      <c r="N127" s="530"/>
    </row>
    <row r="128" spans="1:16" x14ac:dyDescent="0.2">
      <c r="A128" s="144" t="b">
        <v>0</v>
      </c>
      <c r="B128" s="134">
        <f t="shared" si="1"/>
        <v>133</v>
      </c>
      <c r="C128" s="174"/>
      <c r="D128" s="313" t="s">
        <v>647</v>
      </c>
      <c r="E128" s="175"/>
      <c r="F128" s="175"/>
      <c r="G128" s="175"/>
      <c r="H128" s="175"/>
      <c r="I128" s="175"/>
      <c r="J128" s="175"/>
      <c r="K128" s="175"/>
      <c r="L128" s="175"/>
      <c r="M128" s="175"/>
      <c r="N128" s="157"/>
    </row>
    <row r="129" spans="1:28" x14ac:dyDescent="0.2">
      <c r="A129" s="144" t="b">
        <v>0</v>
      </c>
      <c r="B129" s="134">
        <f t="shared" si="1"/>
        <v>134</v>
      </c>
      <c r="C129" s="174"/>
      <c r="D129" s="313" t="s">
        <v>648</v>
      </c>
      <c r="E129" s="175"/>
      <c r="F129" s="175"/>
      <c r="G129" s="175"/>
      <c r="H129" s="175"/>
      <c r="I129" s="175"/>
      <c r="J129" s="175"/>
      <c r="K129" s="175"/>
      <c r="L129" s="175"/>
      <c r="M129" s="175"/>
      <c r="N129" s="157"/>
    </row>
    <row r="130" spans="1:28" x14ac:dyDescent="0.2">
      <c r="A130" s="144" t="b">
        <v>0</v>
      </c>
      <c r="B130" s="134">
        <f t="shared" si="1"/>
        <v>135</v>
      </c>
      <c r="C130" s="174"/>
      <c r="D130" s="313" t="s">
        <v>649</v>
      </c>
      <c r="E130" s="175"/>
      <c r="F130" s="175"/>
      <c r="G130" s="175"/>
      <c r="H130" s="175"/>
      <c r="I130" s="175"/>
      <c r="J130" s="175"/>
      <c r="K130" s="175"/>
      <c r="L130" s="175"/>
      <c r="M130" s="175"/>
      <c r="N130" s="157"/>
    </row>
    <row r="131" spans="1:28" ht="15.75" x14ac:dyDescent="0.2">
      <c r="B131" s="134">
        <f t="shared" si="1"/>
        <v>136</v>
      </c>
      <c r="C131" s="150" t="s">
        <v>457</v>
      </c>
      <c r="D131" s="302"/>
      <c r="E131" s="487" t="s">
        <v>372</v>
      </c>
      <c r="F131" s="487"/>
      <c r="G131" s="488" t="str">
        <f>IF(D131=D13,"ON TIME",IF(D131&gt;D13,"LATE",IF(D131&lt;D13,"EARLY")))</f>
        <v>EARLY</v>
      </c>
      <c r="H131" s="488"/>
      <c r="I131" s="488"/>
      <c r="J131" s="488"/>
      <c r="K131" s="488"/>
      <c r="L131" s="488"/>
      <c r="M131" s="488"/>
      <c r="N131" s="488"/>
      <c r="O131" s="145"/>
      <c r="P131" s="136"/>
    </row>
    <row r="132" spans="1:28" x14ac:dyDescent="0.2">
      <c r="B132" s="134">
        <f t="shared" si="1"/>
        <v>137</v>
      </c>
      <c r="C132" s="150" t="s">
        <v>650</v>
      </c>
      <c r="D132" s="329"/>
      <c r="E132" s="152" t="s">
        <v>618</v>
      </c>
      <c r="F132" s="139"/>
      <c r="G132" s="150"/>
      <c r="H132" s="150"/>
      <c r="I132" s="514">
        <f>D132-D92</f>
        <v>0</v>
      </c>
      <c r="J132" s="514"/>
      <c r="K132" s="514"/>
      <c r="L132" s="514"/>
      <c r="M132" s="514"/>
      <c r="N132" s="514"/>
      <c r="O132" s="139"/>
    </row>
    <row r="133" spans="1:28" x14ac:dyDescent="0.2">
      <c r="C133" s="485" t="s">
        <v>651</v>
      </c>
      <c r="D133" s="485"/>
      <c r="E133" s="485"/>
      <c r="F133" s="485"/>
      <c r="G133" s="485"/>
      <c r="H133" s="485"/>
      <c r="I133" s="485"/>
      <c r="J133" s="485"/>
      <c r="K133" s="485"/>
      <c r="L133" s="485"/>
      <c r="M133" s="485"/>
      <c r="N133" s="485"/>
      <c r="O133" s="485"/>
    </row>
    <row r="134" spans="1:28" ht="15.75" x14ac:dyDescent="0.2">
      <c r="B134" s="134">
        <f>B132+1</f>
        <v>138</v>
      </c>
      <c r="C134" s="150" t="s">
        <v>459</v>
      </c>
      <c r="D134" s="302"/>
      <c r="E134" s="487" t="s">
        <v>372</v>
      </c>
      <c r="F134" s="487"/>
      <c r="G134" s="515" t="str">
        <f>IF(D134=D13,"ON TIME",IF(D134&gt;D13,"LATE",IF(D134&lt;D13,"EARLY")))</f>
        <v>EARLY</v>
      </c>
      <c r="H134" s="515"/>
      <c r="I134" s="515"/>
      <c r="J134" s="515"/>
      <c r="K134" s="515"/>
      <c r="L134" s="515"/>
      <c r="M134" s="515"/>
      <c r="N134" s="515"/>
      <c r="O134" s="176"/>
    </row>
    <row r="135" spans="1:28" x14ac:dyDescent="0.2">
      <c r="B135" s="134">
        <f t="shared" si="1"/>
        <v>139</v>
      </c>
      <c r="C135" s="150" t="s">
        <v>568</v>
      </c>
      <c r="D135" s="329"/>
      <c r="E135" s="157"/>
      <c r="F135" s="139"/>
      <c r="G135" s="152"/>
      <c r="H135" s="152"/>
      <c r="I135" s="152"/>
      <c r="J135" s="152"/>
      <c r="K135" s="139"/>
      <c r="L135" s="145"/>
      <c r="M135" s="145"/>
      <c r="N135" s="145"/>
    </row>
    <row r="136" spans="1:28" x14ac:dyDescent="0.2">
      <c r="B136" s="134">
        <f t="shared" ref="B136:B199" si="3">B135+1</f>
        <v>140</v>
      </c>
      <c r="C136" s="150" t="s">
        <v>650</v>
      </c>
      <c r="D136" s="329"/>
      <c r="E136" s="152" t="s">
        <v>618</v>
      </c>
      <c r="F136" s="139"/>
      <c r="G136" s="150"/>
      <c r="H136" s="150"/>
      <c r="I136" s="514">
        <f>D136-D135</f>
        <v>0</v>
      </c>
      <c r="J136" s="514"/>
      <c r="K136" s="514"/>
      <c r="L136" s="514"/>
      <c r="M136" s="514"/>
      <c r="N136" s="514"/>
    </row>
    <row r="137" spans="1:28" x14ac:dyDescent="0.2">
      <c r="B137" s="134">
        <f t="shared" si="3"/>
        <v>141</v>
      </c>
      <c r="C137" s="150" t="s">
        <v>652</v>
      </c>
      <c r="D137" s="329"/>
      <c r="E137" s="157"/>
      <c r="F137" s="139"/>
      <c r="G137" s="152"/>
      <c r="H137" s="152"/>
      <c r="I137" s="152"/>
      <c r="J137" s="152"/>
      <c r="K137" s="139"/>
      <c r="L137" s="145"/>
      <c r="M137" s="145"/>
      <c r="N137" s="145"/>
    </row>
    <row r="138" spans="1:28" x14ac:dyDescent="0.2">
      <c r="A138" s="144" t="b">
        <v>0</v>
      </c>
      <c r="B138" s="134">
        <f t="shared" si="3"/>
        <v>142</v>
      </c>
      <c r="C138" s="150" t="s">
        <v>653</v>
      </c>
      <c r="D138" s="314"/>
      <c r="E138" s="157"/>
      <c r="F138" s="139"/>
      <c r="G138" s="152"/>
      <c r="H138" s="152"/>
      <c r="I138" s="152"/>
      <c r="J138" s="152"/>
      <c r="K138" s="139"/>
      <c r="L138" s="145"/>
      <c r="M138" s="145"/>
      <c r="N138" s="145"/>
    </row>
    <row r="139" spans="1:28" x14ac:dyDescent="0.2">
      <c r="A139" s="144" t="b">
        <v>0</v>
      </c>
      <c r="B139" s="134">
        <f t="shared" si="3"/>
        <v>143</v>
      </c>
      <c r="C139" s="150" t="s">
        <v>654</v>
      </c>
      <c r="D139" s="314"/>
      <c r="E139" s="157"/>
      <c r="F139" s="139"/>
      <c r="G139" s="152"/>
      <c r="H139" s="152"/>
      <c r="I139" s="152"/>
      <c r="J139" s="152"/>
      <c r="K139" s="139"/>
      <c r="L139" s="145"/>
      <c r="M139" s="145"/>
      <c r="N139" s="145"/>
    </row>
    <row r="140" spans="1:28" x14ac:dyDescent="0.2">
      <c r="A140" s="144" t="b">
        <v>0</v>
      </c>
      <c r="B140" s="134">
        <f t="shared" si="3"/>
        <v>144</v>
      </c>
      <c r="C140" s="163" t="s">
        <v>460</v>
      </c>
      <c r="D140" s="314"/>
      <c r="E140" s="530"/>
      <c r="F140" s="530"/>
      <c r="G140" s="530"/>
      <c r="H140" s="530"/>
      <c r="I140" s="530"/>
      <c r="J140" s="530"/>
      <c r="K140" s="530"/>
      <c r="L140" s="530"/>
      <c r="M140" s="530"/>
      <c r="N140" s="530"/>
      <c r="O140" s="138" t="str">
        <f>IF(A140=TRUE,"Calibration complete PASSED","")</f>
        <v/>
      </c>
    </row>
    <row r="141" spans="1:28" ht="15.75" x14ac:dyDescent="0.2">
      <c r="C141" s="517" t="s">
        <v>462</v>
      </c>
      <c r="D141" s="517"/>
      <c r="E141" s="517"/>
      <c r="F141" s="517"/>
      <c r="G141" s="517"/>
      <c r="H141" s="517"/>
      <c r="I141" s="517"/>
      <c r="J141" s="517"/>
      <c r="K141" s="517"/>
      <c r="L141" s="517"/>
      <c r="M141" s="517"/>
      <c r="N141" s="517"/>
      <c r="O141" s="517"/>
    </row>
    <row r="142" spans="1:28" x14ac:dyDescent="0.2">
      <c r="B142" s="134">
        <f>B140+1</f>
        <v>145</v>
      </c>
      <c r="C142" s="150" t="s">
        <v>459</v>
      </c>
      <c r="D142" s="302"/>
      <c r="E142" s="177"/>
      <c r="F142" s="177"/>
      <c r="G142" s="177"/>
      <c r="H142" s="142"/>
      <c r="I142" s="177"/>
      <c r="K142" s="157"/>
      <c r="L142" s="157"/>
      <c r="M142" s="157"/>
      <c r="N142" s="157"/>
      <c r="Z142" s="177"/>
      <c r="AA142" s="177"/>
      <c r="AB142" s="177"/>
    </row>
    <row r="143" spans="1:28" x14ac:dyDescent="0.2">
      <c r="B143" s="134">
        <f>B142+1</f>
        <v>146</v>
      </c>
      <c r="C143" s="150" t="s">
        <v>568</v>
      </c>
      <c r="D143" s="329"/>
      <c r="E143" s="177"/>
      <c r="F143" s="177"/>
      <c r="G143" s="177"/>
      <c r="H143" s="142"/>
      <c r="I143" s="177"/>
      <c r="K143" s="157"/>
      <c r="L143" s="157"/>
      <c r="M143" s="157"/>
      <c r="N143" s="157"/>
      <c r="Z143" s="177"/>
      <c r="AA143" s="177"/>
      <c r="AB143" s="177"/>
    </row>
    <row r="144" spans="1:28" x14ac:dyDescent="0.2">
      <c r="A144" s="144" t="b">
        <v>0</v>
      </c>
      <c r="B144" s="134">
        <f>B143+1</f>
        <v>147</v>
      </c>
      <c r="C144" s="150" t="s">
        <v>463</v>
      </c>
      <c r="D144" s="346" t="str">
        <f>D5&amp;E5</f>
        <v>-1</v>
      </c>
      <c r="E144" s="139"/>
      <c r="F144" s="178"/>
      <c r="G144" s="139"/>
      <c r="H144" s="139"/>
      <c r="I144" s="139"/>
      <c r="K144" s="157"/>
      <c r="L144" s="157"/>
      <c r="M144" s="157"/>
      <c r="N144" s="157"/>
      <c r="Z144" s="177"/>
      <c r="AA144" s="177"/>
      <c r="AB144" s="177"/>
    </row>
    <row r="145" spans="1:28" x14ac:dyDescent="0.2">
      <c r="A145" s="144" t="b">
        <v>0</v>
      </c>
      <c r="B145" s="134">
        <f t="shared" si="3"/>
        <v>148</v>
      </c>
      <c r="C145" s="150" t="s">
        <v>655</v>
      </c>
      <c r="D145" s="314"/>
      <c r="E145" s="139"/>
      <c r="G145" s="139"/>
      <c r="I145" s="139"/>
      <c r="Z145" s="177"/>
      <c r="AA145" s="177"/>
      <c r="AB145" s="177"/>
    </row>
    <row r="146" spans="1:28" x14ac:dyDescent="0.2">
      <c r="C146" s="179" t="s">
        <v>656</v>
      </c>
      <c r="E146" s="139"/>
      <c r="G146" s="139"/>
      <c r="I146" s="139"/>
      <c r="Z146" s="177"/>
      <c r="AA146" s="177"/>
      <c r="AB146" s="177"/>
    </row>
    <row r="147" spans="1:28" x14ac:dyDescent="0.2">
      <c r="A147" s="144" t="b">
        <v>0</v>
      </c>
      <c r="B147" s="134">
        <f>B145+1</f>
        <v>149</v>
      </c>
      <c r="C147" s="150"/>
      <c r="D147" s="347"/>
      <c r="E147" s="138"/>
      <c r="J147" s="138"/>
      <c r="O147" s="139"/>
      <c r="Z147" s="177"/>
      <c r="AA147" s="177"/>
      <c r="AB147" s="177"/>
    </row>
    <row r="148" spans="1:28" x14ac:dyDescent="0.2">
      <c r="A148" s="144" t="b">
        <v>0</v>
      </c>
      <c r="B148" s="134">
        <f t="shared" si="3"/>
        <v>150</v>
      </c>
      <c r="C148" s="163" t="s">
        <v>657</v>
      </c>
      <c r="D148" s="348"/>
      <c r="G148" s="185"/>
      <c r="O148" s="139"/>
      <c r="Z148" s="177"/>
      <c r="AA148" s="177"/>
      <c r="AB148" s="177"/>
    </row>
    <row r="149" spans="1:28" x14ac:dyDescent="0.2">
      <c r="A149" s="144" t="b">
        <v>0</v>
      </c>
      <c r="B149" s="134">
        <f t="shared" si="3"/>
        <v>151</v>
      </c>
      <c r="C149" s="150" t="s">
        <v>658</v>
      </c>
      <c r="D149" s="348"/>
      <c r="G149" s="185"/>
      <c r="K149" s="184"/>
      <c r="L149" s="184"/>
      <c r="M149" s="184"/>
      <c r="O149" s="139"/>
      <c r="Z149" s="177"/>
      <c r="AA149" s="177"/>
      <c r="AB149" s="177"/>
    </row>
    <row r="150" spans="1:28" x14ac:dyDescent="0.2">
      <c r="A150" s="144" t="b">
        <v>0</v>
      </c>
      <c r="B150" s="134">
        <f t="shared" si="3"/>
        <v>152</v>
      </c>
      <c r="C150" s="150" t="s">
        <v>659</v>
      </c>
      <c r="D150" s="348"/>
      <c r="F150" s="184"/>
      <c r="G150" s="186"/>
      <c r="H150" s="184"/>
      <c r="K150" s="184"/>
      <c r="L150" s="184"/>
      <c r="M150" s="184"/>
      <c r="O150" s="139"/>
      <c r="Z150" s="177"/>
      <c r="AA150" s="177"/>
      <c r="AB150" s="177"/>
    </row>
    <row r="151" spans="1:28" x14ac:dyDescent="0.2">
      <c r="A151" s="144" t="b">
        <v>0</v>
      </c>
      <c r="B151" s="134">
        <f t="shared" si="3"/>
        <v>153</v>
      </c>
      <c r="C151" s="150" t="s">
        <v>660</v>
      </c>
      <c r="D151" s="348"/>
      <c r="F151" s="184"/>
      <c r="G151" s="186"/>
      <c r="H151" s="184"/>
      <c r="O151" s="139"/>
      <c r="Z151" s="177"/>
      <c r="AA151" s="177"/>
      <c r="AB151" s="177"/>
    </row>
    <row r="152" spans="1:28" x14ac:dyDescent="0.2">
      <c r="A152" s="144" t="b">
        <v>0</v>
      </c>
      <c r="B152" s="134">
        <f t="shared" si="3"/>
        <v>154</v>
      </c>
      <c r="C152" s="150" t="s">
        <v>661</v>
      </c>
      <c r="D152" s="348"/>
      <c r="F152" s="184"/>
      <c r="G152" s="186"/>
      <c r="H152" s="184"/>
      <c r="O152" s="139"/>
      <c r="Z152" s="177"/>
      <c r="AA152" s="177"/>
      <c r="AB152" s="177"/>
    </row>
    <row r="153" spans="1:28" x14ac:dyDescent="0.2">
      <c r="A153" s="144" t="b">
        <v>0</v>
      </c>
      <c r="B153" s="134">
        <f t="shared" si="3"/>
        <v>155</v>
      </c>
      <c r="C153" s="150" t="s">
        <v>662</v>
      </c>
      <c r="D153" s="348"/>
      <c r="F153" s="184"/>
      <c r="G153" s="186"/>
      <c r="H153" s="184"/>
      <c r="O153" s="139"/>
      <c r="Z153" s="177"/>
      <c r="AA153" s="177"/>
      <c r="AB153" s="177"/>
    </row>
    <row r="154" spans="1:28" x14ac:dyDescent="0.2">
      <c r="A154" s="144" t="b">
        <v>0</v>
      </c>
      <c r="B154" s="134">
        <f t="shared" si="3"/>
        <v>156</v>
      </c>
      <c r="C154" s="150" t="s">
        <v>663</v>
      </c>
      <c r="D154" s="348"/>
      <c r="F154" s="184"/>
      <c r="G154" s="186"/>
      <c r="H154" s="184"/>
      <c r="O154" s="139"/>
      <c r="Z154" s="177"/>
      <c r="AA154" s="177"/>
      <c r="AB154" s="177"/>
    </row>
    <row r="155" spans="1:28" x14ac:dyDescent="0.2">
      <c r="A155" s="144" t="b">
        <v>0</v>
      </c>
      <c r="B155" s="134">
        <f t="shared" si="3"/>
        <v>157</v>
      </c>
      <c r="C155" s="150" t="s">
        <v>664</v>
      </c>
      <c r="D155" s="348"/>
      <c r="F155" s="184"/>
      <c r="G155" s="186"/>
      <c r="H155" s="184"/>
      <c r="N155" s="139"/>
      <c r="O155" s="139"/>
      <c r="Z155" s="177"/>
      <c r="AA155" s="177"/>
      <c r="AB155" s="177"/>
    </row>
    <row r="156" spans="1:28" x14ac:dyDescent="0.2">
      <c r="A156" s="144" t="b">
        <v>0</v>
      </c>
      <c r="B156" s="134">
        <f t="shared" si="3"/>
        <v>158</v>
      </c>
      <c r="C156" s="150" t="s">
        <v>665</v>
      </c>
      <c r="D156" s="317"/>
      <c r="Z156" s="180"/>
      <c r="AA156" s="180"/>
      <c r="AB156" s="180"/>
    </row>
    <row r="157" spans="1:28" x14ac:dyDescent="0.2">
      <c r="A157" s="144" t="b">
        <v>0</v>
      </c>
      <c r="B157" s="134">
        <f t="shared" si="3"/>
        <v>159</v>
      </c>
      <c r="C157" s="150" t="s">
        <v>666</v>
      </c>
      <c r="D157" s="317"/>
      <c r="Z157" s="181"/>
      <c r="AA157" s="181"/>
      <c r="AB157" s="181"/>
    </row>
    <row r="158" spans="1:28" x14ac:dyDescent="0.2">
      <c r="A158" s="144" t="b">
        <v>0</v>
      </c>
      <c r="B158" s="134">
        <f t="shared" si="3"/>
        <v>160</v>
      </c>
      <c r="C158" s="150" t="s">
        <v>667</v>
      </c>
      <c r="D158" s="317"/>
      <c r="H158" s="157"/>
      <c r="I158" s="157"/>
      <c r="J158" s="157"/>
      <c r="K158" s="157"/>
      <c r="L158" s="157"/>
      <c r="M158" s="157"/>
      <c r="N158" s="157"/>
      <c r="O158" s="157"/>
      <c r="P158" s="157"/>
      <c r="Q158" s="157"/>
      <c r="R158" s="138"/>
      <c r="S158" s="177"/>
      <c r="T158" s="177"/>
      <c r="U158" s="177"/>
      <c r="V158" s="177"/>
      <c r="W158" s="177"/>
      <c r="X158" s="177"/>
      <c r="Y158" s="177"/>
      <c r="Z158" s="177"/>
      <c r="AA158" s="177"/>
      <c r="AB158" s="177"/>
    </row>
    <row r="159" spans="1:28" x14ac:dyDescent="0.2">
      <c r="A159" s="144" t="b">
        <v>0</v>
      </c>
      <c r="B159" s="134">
        <f t="shared" si="3"/>
        <v>161</v>
      </c>
      <c r="C159" s="179" t="s">
        <v>668</v>
      </c>
      <c r="D159" s="317"/>
      <c r="H159" s="157"/>
      <c r="I159" s="157"/>
      <c r="J159" s="157"/>
      <c r="K159" s="157"/>
      <c r="L159" s="157"/>
      <c r="M159" s="157"/>
      <c r="N159" s="157"/>
      <c r="O159" s="157"/>
      <c r="P159" s="157"/>
      <c r="Q159" s="157"/>
      <c r="R159" s="138"/>
    </row>
    <row r="160" spans="1:28" x14ac:dyDescent="0.2">
      <c r="A160" s="144" t="b">
        <v>0</v>
      </c>
      <c r="B160" s="134">
        <f t="shared" si="3"/>
        <v>162</v>
      </c>
      <c r="C160" s="150" t="s">
        <v>669</v>
      </c>
      <c r="D160" s="317"/>
      <c r="E160" s="135" t="s">
        <v>468</v>
      </c>
      <c r="F160" s="135" t="s">
        <v>4</v>
      </c>
      <c r="G160" s="516" t="s">
        <v>469</v>
      </c>
      <c r="H160" s="516"/>
      <c r="I160" s="157"/>
      <c r="J160" s="157"/>
      <c r="K160" s="157"/>
      <c r="L160" s="157"/>
      <c r="M160" s="157"/>
      <c r="N160" s="157"/>
      <c r="O160" s="157"/>
      <c r="P160" s="157"/>
      <c r="Q160" s="157"/>
      <c r="R160" s="138"/>
    </row>
    <row r="161" spans="1:18" x14ac:dyDescent="0.2">
      <c r="A161" s="144" t="b">
        <v>0</v>
      </c>
      <c r="B161" s="134">
        <f t="shared" si="3"/>
        <v>163</v>
      </c>
      <c r="C161" s="150" t="s">
        <v>670</v>
      </c>
      <c r="D161" s="317"/>
      <c r="E161" s="135">
        <v>1</v>
      </c>
      <c r="F161" s="135">
        <v>4</v>
      </c>
      <c r="G161" s="531">
        <f>'Auto-Calibration record'!B65</f>
        <v>80</v>
      </c>
      <c r="H161" s="532"/>
      <c r="I161" s="157"/>
      <c r="J161" s="157"/>
      <c r="K161" s="157"/>
      <c r="L161" s="157"/>
      <c r="M161" s="157"/>
      <c r="N161" s="157"/>
      <c r="O161" s="157"/>
      <c r="P161" s="157"/>
      <c r="Q161" s="157"/>
      <c r="R161" s="138"/>
    </row>
    <row r="162" spans="1:18" x14ac:dyDescent="0.2">
      <c r="A162" s="144" t="b">
        <v>0</v>
      </c>
      <c r="B162" s="134">
        <f t="shared" si="3"/>
        <v>164</v>
      </c>
      <c r="C162" s="184" t="s">
        <v>671</v>
      </c>
      <c r="D162" s="317"/>
      <c r="E162" s="135">
        <v>2</v>
      </c>
      <c r="F162" s="135">
        <v>6</v>
      </c>
      <c r="G162" s="531">
        <f>'Auto-Calibration record'!C65</f>
        <v>194</v>
      </c>
      <c r="H162" s="532"/>
      <c r="I162" s="157"/>
      <c r="J162" s="157"/>
      <c r="K162" s="157"/>
      <c r="L162" s="157"/>
      <c r="M162" s="157"/>
      <c r="N162" s="157"/>
      <c r="O162" s="157"/>
      <c r="P162" s="157"/>
      <c r="Q162" s="157"/>
      <c r="R162" s="138"/>
    </row>
    <row r="163" spans="1:18" x14ac:dyDescent="0.2">
      <c r="A163" s="144" t="b">
        <v>0</v>
      </c>
      <c r="B163" s="134">
        <f t="shared" si="3"/>
        <v>165</v>
      </c>
      <c r="C163" s="150" t="s">
        <v>672</v>
      </c>
      <c r="D163" s="349"/>
      <c r="E163" s="135">
        <v>3</v>
      </c>
      <c r="F163" s="135">
        <v>14</v>
      </c>
      <c r="G163" s="531">
        <f>'Auto-Calibration record'!D65</f>
        <v>1032</v>
      </c>
      <c r="H163" s="532"/>
      <c r="I163" s="157"/>
      <c r="J163" s="157"/>
      <c r="K163" s="157"/>
      <c r="L163" s="157"/>
      <c r="M163" s="157"/>
      <c r="N163" s="157"/>
      <c r="O163" s="157"/>
      <c r="P163" s="157"/>
      <c r="Q163" s="157"/>
      <c r="R163" s="138"/>
    </row>
    <row r="164" spans="1:18" x14ac:dyDescent="0.2">
      <c r="A164" s="144" t="b">
        <v>0</v>
      </c>
      <c r="B164" s="134">
        <f t="shared" si="3"/>
        <v>166</v>
      </c>
      <c r="C164" s="150" t="s">
        <v>673</v>
      </c>
      <c r="D164" s="349"/>
      <c r="E164" s="135">
        <v>4</v>
      </c>
      <c r="F164" s="135">
        <v>21</v>
      </c>
      <c r="G164" s="531">
        <f>'Auto-Calibration record'!E65</f>
        <v>2064</v>
      </c>
      <c r="H164" s="532"/>
    </row>
    <row r="165" spans="1:18" x14ac:dyDescent="0.2">
      <c r="A165" s="144" t="b">
        <v>0</v>
      </c>
      <c r="B165" s="134">
        <f t="shared" si="3"/>
        <v>167</v>
      </c>
      <c r="C165" s="150" t="s">
        <v>674</v>
      </c>
      <c r="D165" s="317"/>
      <c r="E165" s="135">
        <v>5</v>
      </c>
      <c r="F165" s="135">
        <v>25</v>
      </c>
      <c r="G165" s="531">
        <f>'Auto-Calibration record'!F65</f>
        <v>3012</v>
      </c>
      <c r="H165" s="532"/>
    </row>
    <row r="166" spans="1:18" x14ac:dyDescent="0.2">
      <c r="A166" s="144" t="b">
        <v>0</v>
      </c>
      <c r="B166" s="134">
        <f t="shared" si="3"/>
        <v>168</v>
      </c>
      <c r="C166" s="150" t="s">
        <v>675</v>
      </c>
      <c r="D166" s="349"/>
      <c r="E166" s="135">
        <v>6</v>
      </c>
      <c r="F166" s="135">
        <v>38</v>
      </c>
      <c r="G166" s="531">
        <f>'Auto-Calibration record'!G65</f>
        <v>10314</v>
      </c>
      <c r="H166" s="532"/>
    </row>
    <row r="167" spans="1:18" x14ac:dyDescent="0.2">
      <c r="A167" s="144" t="b">
        <v>0</v>
      </c>
      <c r="B167" s="134">
        <f t="shared" si="3"/>
        <v>169</v>
      </c>
      <c r="C167" s="184" t="s">
        <v>676</v>
      </c>
      <c r="D167" s="349"/>
      <c r="E167" s="135">
        <v>7</v>
      </c>
      <c r="F167" s="135">
        <v>50</v>
      </c>
      <c r="G167" s="531">
        <f>'Auto-Calibration record'!H65</f>
        <v>16352</v>
      </c>
      <c r="H167" s="532"/>
    </row>
    <row r="168" spans="1:18" x14ac:dyDescent="0.2">
      <c r="A168" s="144" t="b">
        <v>0</v>
      </c>
      <c r="B168" s="134">
        <f t="shared" si="3"/>
        <v>170</v>
      </c>
      <c r="C168" s="150" t="s">
        <v>677</v>
      </c>
      <c r="D168" s="349"/>
      <c r="E168" s="135">
        <v>8</v>
      </c>
      <c r="F168" s="135">
        <v>70</v>
      </c>
      <c r="G168" s="531">
        <f>'Auto-Calibration record'!I65</f>
        <v>25228</v>
      </c>
      <c r="H168" s="532"/>
    </row>
    <row r="169" spans="1:18" x14ac:dyDescent="0.2">
      <c r="A169" s="144" t="b">
        <v>0</v>
      </c>
      <c r="B169" s="134">
        <f t="shared" si="3"/>
        <v>171</v>
      </c>
      <c r="C169" s="150" t="s">
        <v>678</v>
      </c>
      <c r="D169" s="317"/>
    </row>
    <row r="170" spans="1:18" x14ac:dyDescent="0.2">
      <c r="A170" s="144" t="b">
        <v>0</v>
      </c>
      <c r="B170" s="134">
        <f t="shared" si="3"/>
        <v>172</v>
      </c>
      <c r="C170" s="150" t="s">
        <v>679</v>
      </c>
      <c r="D170" s="349"/>
      <c r="E170" s="139"/>
      <c r="G170" s="139"/>
      <c r="I170" s="139"/>
    </row>
    <row r="171" spans="1:18" x14ac:dyDescent="0.2">
      <c r="A171" s="144" t="b">
        <v>0</v>
      </c>
      <c r="B171" s="134">
        <f t="shared" si="3"/>
        <v>173</v>
      </c>
      <c r="C171" s="150" t="s">
        <v>680</v>
      </c>
      <c r="D171" s="317"/>
      <c r="E171" s="139"/>
      <c r="G171" s="139"/>
      <c r="I171" s="139"/>
    </row>
    <row r="172" spans="1:18" x14ac:dyDescent="0.2">
      <c r="A172" s="144" t="b">
        <v>0</v>
      </c>
      <c r="B172" s="134">
        <f t="shared" si="3"/>
        <v>174</v>
      </c>
      <c r="C172" s="150" t="s">
        <v>543</v>
      </c>
      <c r="D172" s="317"/>
      <c r="E172" s="139"/>
      <c r="G172" s="139"/>
      <c r="I172" s="139"/>
    </row>
    <row r="173" spans="1:18" x14ac:dyDescent="0.2">
      <c r="C173" s="150" t="s">
        <v>681</v>
      </c>
      <c r="D173" s="350"/>
      <c r="E173" s="139"/>
      <c r="G173" s="139"/>
      <c r="I173" s="139"/>
    </row>
    <row r="174" spans="1:18" x14ac:dyDescent="0.2">
      <c r="A174" s="144" t="b">
        <v>0</v>
      </c>
      <c r="B174" s="134">
        <f>B172+1</f>
        <v>175</v>
      </c>
      <c r="C174" s="150" t="s">
        <v>682</v>
      </c>
      <c r="D174" s="349"/>
      <c r="E174" s="139"/>
      <c r="G174" s="139"/>
      <c r="I174" s="139"/>
      <c r="O174" s="137"/>
    </row>
    <row r="175" spans="1:18" x14ac:dyDescent="0.2">
      <c r="A175" s="144" t="b">
        <v>0</v>
      </c>
      <c r="B175" s="134">
        <f>B174+1</f>
        <v>176</v>
      </c>
      <c r="C175" s="150" t="s">
        <v>683</v>
      </c>
      <c r="D175" s="317"/>
      <c r="E175" s="139"/>
      <c r="G175" s="139"/>
      <c r="I175" s="139"/>
    </row>
    <row r="176" spans="1:18" x14ac:dyDescent="0.2">
      <c r="A176" s="144" t="b">
        <v>0</v>
      </c>
      <c r="B176" s="134">
        <f t="shared" si="3"/>
        <v>177</v>
      </c>
      <c r="C176" s="150" t="s">
        <v>666</v>
      </c>
      <c r="D176" s="349"/>
      <c r="E176" s="139"/>
      <c r="G176" s="139"/>
      <c r="I176" s="139"/>
    </row>
    <row r="177" spans="1:9" x14ac:dyDescent="0.2">
      <c r="A177" s="144" t="b">
        <v>0</v>
      </c>
      <c r="B177" s="134">
        <f t="shared" si="3"/>
        <v>178</v>
      </c>
      <c r="C177" s="150" t="s">
        <v>684</v>
      </c>
      <c r="D177" s="349"/>
      <c r="E177" s="139"/>
      <c r="G177" s="139"/>
      <c r="I177" s="139"/>
    </row>
    <row r="178" spans="1:9" x14ac:dyDescent="0.2">
      <c r="A178" s="144" t="b">
        <v>0</v>
      </c>
      <c r="B178" s="134">
        <f t="shared" si="3"/>
        <v>179</v>
      </c>
      <c r="C178" s="150" t="s">
        <v>685</v>
      </c>
      <c r="D178" s="349"/>
      <c r="E178" s="139"/>
      <c r="G178" s="139"/>
      <c r="I178" s="139"/>
    </row>
    <row r="179" spans="1:9" x14ac:dyDescent="0.2">
      <c r="A179" s="144" t="b">
        <v>0</v>
      </c>
      <c r="B179" s="134">
        <f t="shared" si="3"/>
        <v>180</v>
      </c>
      <c r="C179" s="150" t="s">
        <v>686</v>
      </c>
      <c r="D179" s="349"/>
      <c r="E179" s="139"/>
      <c r="G179" s="139"/>
      <c r="I179" s="139"/>
    </row>
    <row r="180" spans="1:9" x14ac:dyDescent="0.2">
      <c r="A180" s="144" t="b">
        <v>0</v>
      </c>
      <c r="B180" s="134">
        <f t="shared" si="3"/>
        <v>181</v>
      </c>
      <c r="C180" s="163" t="s">
        <v>687</v>
      </c>
      <c r="D180" s="349"/>
      <c r="E180" s="139"/>
      <c r="G180" s="139"/>
      <c r="I180" s="139"/>
    </row>
    <row r="181" spans="1:9" x14ac:dyDescent="0.2">
      <c r="A181" s="144" t="b">
        <v>0</v>
      </c>
      <c r="B181" s="134">
        <f t="shared" si="3"/>
        <v>182</v>
      </c>
      <c r="C181" s="184" t="s">
        <v>688</v>
      </c>
      <c r="D181" s="349"/>
      <c r="E181" s="139"/>
      <c r="G181" s="139"/>
      <c r="I181" s="139"/>
    </row>
    <row r="182" spans="1:9" x14ac:dyDescent="0.2">
      <c r="A182" s="144" t="b">
        <v>0</v>
      </c>
      <c r="B182" s="134">
        <f t="shared" si="3"/>
        <v>183</v>
      </c>
      <c r="C182" s="150" t="s">
        <v>689</v>
      </c>
      <c r="D182" s="349"/>
      <c r="E182" s="139"/>
      <c r="G182" s="139"/>
      <c r="I182" s="139"/>
    </row>
    <row r="183" spans="1:9" x14ac:dyDescent="0.2">
      <c r="A183" s="144" t="b">
        <v>0</v>
      </c>
      <c r="B183" s="134">
        <f t="shared" si="3"/>
        <v>184</v>
      </c>
      <c r="C183" s="150" t="s">
        <v>690</v>
      </c>
      <c r="D183" s="349"/>
      <c r="E183" s="139"/>
      <c r="G183" s="139"/>
      <c r="I183" s="139"/>
    </row>
    <row r="184" spans="1:9" x14ac:dyDescent="0.2">
      <c r="A184" s="144" t="b">
        <v>0</v>
      </c>
      <c r="B184" s="134">
        <f t="shared" si="3"/>
        <v>185</v>
      </c>
      <c r="C184" s="150" t="s">
        <v>691</v>
      </c>
      <c r="D184" s="349"/>
      <c r="E184" s="139"/>
      <c r="G184" s="139"/>
      <c r="I184" s="139"/>
    </row>
    <row r="185" spans="1:9" x14ac:dyDescent="0.2">
      <c r="A185" s="144" t="b">
        <v>0</v>
      </c>
      <c r="B185" s="134">
        <f t="shared" si="3"/>
        <v>186</v>
      </c>
      <c r="C185" s="184" t="s">
        <v>692</v>
      </c>
      <c r="D185" s="349"/>
      <c r="E185" s="139"/>
      <c r="G185" s="139"/>
      <c r="I185" s="139"/>
    </row>
    <row r="186" spans="1:9" x14ac:dyDescent="0.2">
      <c r="A186" s="144" t="b">
        <v>0</v>
      </c>
      <c r="B186" s="134">
        <f t="shared" si="3"/>
        <v>187</v>
      </c>
      <c r="C186" s="150" t="s">
        <v>693</v>
      </c>
      <c r="D186" s="349"/>
      <c r="E186" s="139"/>
      <c r="G186" s="139"/>
      <c r="I186" s="139"/>
    </row>
    <row r="187" spans="1:9" x14ac:dyDescent="0.2">
      <c r="A187" s="144" t="b">
        <v>0</v>
      </c>
      <c r="B187" s="134">
        <f t="shared" si="3"/>
        <v>188</v>
      </c>
      <c r="C187" s="150" t="s">
        <v>694</v>
      </c>
      <c r="D187" s="349"/>
      <c r="E187" s="139"/>
      <c r="G187" s="139"/>
      <c r="I187" s="139"/>
    </row>
    <row r="188" spans="1:9" x14ac:dyDescent="0.2">
      <c r="A188" s="144" t="b">
        <v>0</v>
      </c>
      <c r="B188" s="134">
        <f t="shared" si="3"/>
        <v>189</v>
      </c>
      <c r="C188" s="150" t="s">
        <v>695</v>
      </c>
      <c r="D188" s="349"/>
      <c r="E188" s="139"/>
      <c r="G188" s="139"/>
      <c r="I188" s="139"/>
    </row>
    <row r="189" spans="1:9" x14ac:dyDescent="0.2">
      <c r="A189" s="144" t="b">
        <v>0</v>
      </c>
      <c r="B189" s="134">
        <f t="shared" si="3"/>
        <v>190</v>
      </c>
      <c r="C189" s="150" t="s">
        <v>696</v>
      </c>
      <c r="D189" s="317"/>
      <c r="E189" s="139"/>
      <c r="G189" s="139"/>
      <c r="I189" s="139"/>
    </row>
    <row r="190" spans="1:9" x14ac:dyDescent="0.2">
      <c r="A190" s="144" t="b">
        <v>0</v>
      </c>
      <c r="B190" s="134">
        <f t="shared" si="3"/>
        <v>191</v>
      </c>
      <c r="C190" s="150" t="s">
        <v>697</v>
      </c>
      <c r="D190" s="349"/>
      <c r="E190" s="139"/>
      <c r="G190" s="139"/>
      <c r="I190" s="139"/>
    </row>
    <row r="191" spans="1:9" x14ac:dyDescent="0.2">
      <c r="A191" s="144" t="b">
        <v>0</v>
      </c>
      <c r="B191" s="134">
        <f t="shared" si="3"/>
        <v>192</v>
      </c>
      <c r="C191" s="150" t="s">
        <v>698</v>
      </c>
      <c r="D191" s="349"/>
      <c r="E191" s="139"/>
      <c r="G191" s="139"/>
      <c r="I191" s="139"/>
    </row>
    <row r="192" spans="1:9" x14ac:dyDescent="0.2">
      <c r="A192" s="144" t="b">
        <v>0</v>
      </c>
      <c r="B192" s="134">
        <f t="shared" si="3"/>
        <v>193</v>
      </c>
      <c r="C192" s="150" t="s">
        <v>699</v>
      </c>
      <c r="D192" s="349"/>
      <c r="E192" s="139"/>
      <c r="G192" s="139"/>
      <c r="I192" s="139"/>
    </row>
    <row r="193" spans="1:15" x14ac:dyDescent="0.2">
      <c r="A193" s="144" t="b">
        <v>0</v>
      </c>
      <c r="B193" s="134">
        <f t="shared" si="3"/>
        <v>194</v>
      </c>
      <c r="C193" s="150" t="s">
        <v>700</v>
      </c>
      <c r="D193" s="317"/>
      <c r="E193" s="139"/>
      <c r="G193" s="139"/>
      <c r="I193" s="139"/>
    </row>
    <row r="194" spans="1:15" x14ac:dyDescent="0.2">
      <c r="A194" s="144" t="b">
        <v>0</v>
      </c>
      <c r="B194" s="134">
        <f t="shared" si="3"/>
        <v>195</v>
      </c>
      <c r="C194" s="150" t="s">
        <v>701</v>
      </c>
      <c r="D194" s="317"/>
      <c r="E194" s="139"/>
      <c r="G194" s="139"/>
      <c r="I194" s="139"/>
    </row>
    <row r="195" spans="1:15" x14ac:dyDescent="0.2">
      <c r="A195" s="144" t="b">
        <v>0</v>
      </c>
      <c r="B195" s="134">
        <f t="shared" si="3"/>
        <v>196</v>
      </c>
      <c r="C195" s="184" t="s">
        <v>702</v>
      </c>
      <c r="D195" s="317"/>
      <c r="E195" s="139"/>
      <c r="G195" s="139"/>
      <c r="I195" s="139"/>
    </row>
    <row r="196" spans="1:15" x14ac:dyDescent="0.2">
      <c r="A196" s="144" t="b">
        <f>IF(AND(D196&lt;=55,D196&gt;=19),TRUE,IF(AND(D196&gt;55,D196&lt;19),FALSE))</f>
        <v>0</v>
      </c>
      <c r="B196" s="134">
        <f t="shared" si="3"/>
        <v>197</v>
      </c>
      <c r="C196" s="150" t="s">
        <v>703</v>
      </c>
      <c r="D196" s="316"/>
      <c r="E196" s="139"/>
      <c r="G196" s="139"/>
      <c r="I196" s="139"/>
      <c r="O196" s="138" t="str">
        <f>IF(A196=TRUE,"Moisture sensor final test PASS","")</f>
        <v/>
      </c>
    </row>
    <row r="197" spans="1:15" x14ac:dyDescent="0.2">
      <c r="A197" s="144" t="b">
        <f>IF(AND(D197&lt;=44,D197&gt;=36),TRUE,IF(AND(D197&gt;45,D197&lt;36),FALSE))</f>
        <v>0</v>
      </c>
      <c r="B197" s="134">
        <f t="shared" si="3"/>
        <v>198</v>
      </c>
      <c r="C197" s="150" t="s">
        <v>704</v>
      </c>
      <c r="D197" s="316"/>
      <c r="E197" s="139"/>
      <c r="G197" s="139"/>
      <c r="I197" s="139"/>
      <c r="O197" s="138" t="str">
        <f>IF(A197=TRUE,"Temperature sensor final test PASS","")</f>
        <v/>
      </c>
    </row>
    <row r="198" spans="1:15" x14ac:dyDescent="0.2">
      <c r="A198" s="144" t="b">
        <v>0</v>
      </c>
      <c r="B198" s="134">
        <f t="shared" si="3"/>
        <v>199</v>
      </c>
      <c r="C198" s="150" t="s">
        <v>705</v>
      </c>
      <c r="D198" s="317"/>
      <c r="E198" s="139"/>
      <c r="G198" s="139"/>
      <c r="I198" s="139"/>
    </row>
    <row r="199" spans="1:15" x14ac:dyDescent="0.2">
      <c r="A199" s="144" t="b">
        <v>0</v>
      </c>
      <c r="B199" s="134">
        <f t="shared" si="3"/>
        <v>200</v>
      </c>
      <c r="C199" s="150" t="s">
        <v>706</v>
      </c>
      <c r="D199" s="153"/>
      <c r="E199" s="139"/>
      <c r="G199" s="139"/>
      <c r="I199" s="139"/>
    </row>
    <row r="200" spans="1:15" x14ac:dyDescent="0.2">
      <c r="C200" s="150" t="s">
        <v>707</v>
      </c>
      <c r="D200" s="163"/>
      <c r="E200" s="139"/>
      <c r="G200" s="139"/>
      <c r="I200" s="139"/>
    </row>
    <row r="201" spans="1:15" x14ac:dyDescent="0.2">
      <c r="A201" s="144" t="b">
        <v>0</v>
      </c>
      <c r="B201" s="134">
        <f>B199+1</f>
        <v>201</v>
      </c>
      <c r="C201" s="150" t="s">
        <v>708</v>
      </c>
      <c r="D201" s="317"/>
      <c r="E201" s="139"/>
      <c r="G201" s="139"/>
      <c r="I201" s="139"/>
    </row>
    <row r="202" spans="1:15" x14ac:dyDescent="0.2">
      <c r="A202" s="144" t="b">
        <v>0</v>
      </c>
      <c r="B202" s="134">
        <f t="shared" ref="B202:B227" si="4">B201+1</f>
        <v>202</v>
      </c>
      <c r="C202" s="150" t="s">
        <v>706</v>
      </c>
      <c r="D202" s="317"/>
      <c r="E202" s="139"/>
      <c r="G202" s="139"/>
      <c r="I202" s="139"/>
    </row>
    <row r="203" spans="1:15" x14ac:dyDescent="0.2">
      <c r="A203" s="144" t="b">
        <v>0</v>
      </c>
      <c r="B203" s="134">
        <f t="shared" si="4"/>
        <v>203</v>
      </c>
      <c r="C203" s="150" t="s">
        <v>707</v>
      </c>
      <c r="D203" s="317"/>
      <c r="E203" s="139"/>
      <c r="G203" s="139"/>
      <c r="I203" s="139"/>
    </row>
    <row r="204" spans="1:15" x14ac:dyDescent="0.2">
      <c r="A204" s="144" t="b">
        <v>0</v>
      </c>
      <c r="B204" s="134">
        <f t="shared" si="4"/>
        <v>204</v>
      </c>
      <c r="C204" s="150" t="s">
        <v>709</v>
      </c>
      <c r="D204" s="317"/>
      <c r="E204" s="139"/>
      <c r="G204" s="139"/>
      <c r="I204" s="139"/>
    </row>
    <row r="205" spans="1:15" x14ac:dyDescent="0.2">
      <c r="A205" s="144" t="b">
        <v>0</v>
      </c>
      <c r="B205" s="134">
        <f t="shared" si="4"/>
        <v>205</v>
      </c>
      <c r="C205" s="150" t="s">
        <v>710</v>
      </c>
      <c r="D205" s="349"/>
      <c r="E205" s="139"/>
      <c r="G205" s="139"/>
      <c r="I205" s="139"/>
      <c r="O205" s="137" t="str">
        <f>IF(A205=TRUE,"Test number set to that as recieved","Test number NOT CORRECT")</f>
        <v>Test number NOT CORRECT</v>
      </c>
    </row>
    <row r="206" spans="1:15" x14ac:dyDescent="0.2">
      <c r="C206" s="150" t="s">
        <v>711</v>
      </c>
      <c r="D206" s="162"/>
      <c r="E206" s="139"/>
      <c r="G206" s="139"/>
      <c r="I206" s="139"/>
    </row>
    <row r="207" spans="1:15" x14ac:dyDescent="0.2">
      <c r="A207" s="144" t="b">
        <v>0</v>
      </c>
      <c r="B207" s="134">
        <f>B205+1</f>
        <v>206</v>
      </c>
      <c r="C207" s="150" t="s">
        <v>712</v>
      </c>
      <c r="D207" s="317"/>
      <c r="E207" s="139"/>
      <c r="G207" s="139"/>
      <c r="I207" s="139"/>
    </row>
    <row r="208" spans="1:15" x14ac:dyDescent="0.2">
      <c r="A208" s="144" t="b">
        <v>0</v>
      </c>
      <c r="B208" s="134">
        <f>B207+1</f>
        <v>207</v>
      </c>
      <c r="C208" s="150" t="s">
        <v>713</v>
      </c>
      <c r="D208" s="317"/>
      <c r="E208" s="139"/>
      <c r="G208" s="139"/>
      <c r="I208" s="139"/>
    </row>
    <row r="209" spans="1:15" x14ac:dyDescent="0.2">
      <c r="C209" s="150" t="s">
        <v>714</v>
      </c>
      <c r="D209" s="163"/>
      <c r="E209" s="139"/>
      <c r="G209" s="139"/>
      <c r="I209" s="139"/>
    </row>
    <row r="210" spans="1:15" x14ac:dyDescent="0.2">
      <c r="A210" s="144" t="b">
        <v>0</v>
      </c>
      <c r="B210" s="134">
        <f>B208+1</f>
        <v>208</v>
      </c>
      <c r="C210" s="150" t="s">
        <v>715</v>
      </c>
      <c r="D210" s="317"/>
      <c r="E210" s="139"/>
      <c r="G210" s="139"/>
      <c r="I210" s="139"/>
    </row>
    <row r="211" spans="1:15" x14ac:dyDescent="0.2">
      <c r="A211" s="144" t="b">
        <v>0</v>
      </c>
      <c r="B211" s="134">
        <f t="shared" si="4"/>
        <v>209</v>
      </c>
      <c r="C211" s="150" t="s">
        <v>716</v>
      </c>
      <c r="D211" s="317"/>
      <c r="E211" s="139"/>
      <c r="G211" s="139"/>
      <c r="I211" s="139"/>
    </row>
    <row r="212" spans="1:15" x14ac:dyDescent="0.2">
      <c r="A212" s="144" t="b">
        <v>0</v>
      </c>
      <c r="B212" s="134">
        <f t="shared" si="4"/>
        <v>210</v>
      </c>
      <c r="C212" s="184" t="s">
        <v>717</v>
      </c>
      <c r="D212" s="351"/>
      <c r="E212" s="139"/>
      <c r="G212" s="139"/>
      <c r="I212" s="139"/>
    </row>
    <row r="213" spans="1:15" x14ac:dyDescent="0.2">
      <c r="A213" s="144" t="b">
        <v>0</v>
      </c>
      <c r="B213" s="134">
        <f t="shared" si="4"/>
        <v>211</v>
      </c>
      <c r="C213" s="150" t="s">
        <v>718</v>
      </c>
      <c r="D213" s="317"/>
      <c r="E213" s="139"/>
      <c r="G213" s="139"/>
      <c r="I213" s="139"/>
    </row>
    <row r="214" spans="1:15" x14ac:dyDescent="0.2">
      <c r="A214" s="144" t="b">
        <v>0</v>
      </c>
      <c r="B214" s="134">
        <f t="shared" si="4"/>
        <v>212</v>
      </c>
      <c r="C214" s="150" t="s">
        <v>719</v>
      </c>
      <c r="D214" s="317"/>
      <c r="E214" s="139"/>
      <c r="G214" s="139"/>
      <c r="I214" s="139"/>
    </row>
    <row r="215" spans="1:15" x14ac:dyDescent="0.2">
      <c r="C215" s="150" t="s">
        <v>720</v>
      </c>
      <c r="D215" s="163"/>
      <c r="E215" s="139"/>
      <c r="G215" s="139"/>
      <c r="I215" s="139"/>
    </row>
    <row r="216" spans="1:15" x14ac:dyDescent="0.2">
      <c r="A216" s="144" t="b">
        <v>0</v>
      </c>
      <c r="B216" s="134">
        <f>B214+1</f>
        <v>213</v>
      </c>
      <c r="C216" s="150" t="s">
        <v>721</v>
      </c>
      <c r="D216" s="317"/>
      <c r="E216" s="139"/>
      <c r="F216" s="139"/>
      <c r="G216" s="139"/>
      <c r="I216" s="139"/>
      <c r="O216" s="138" t="str">
        <f>IF(A216=TRUE,"2 copies of calibration certificate included, one in unit one on outside of box","")</f>
        <v/>
      </c>
    </row>
    <row r="217" spans="1:15" x14ac:dyDescent="0.2">
      <c r="A217" s="144" t="b">
        <v>0</v>
      </c>
      <c r="B217" s="134">
        <f t="shared" si="4"/>
        <v>214</v>
      </c>
      <c r="C217" s="184" t="s">
        <v>722</v>
      </c>
      <c r="D217" s="351"/>
      <c r="E217" s="139"/>
      <c r="F217" s="139"/>
      <c r="G217" s="139"/>
      <c r="I217" s="139"/>
      <c r="O217" s="138" t="str">
        <f>IF(A217=TRUE,"2 copies of service report included, one in unit one on outside of box","")</f>
        <v/>
      </c>
    </row>
    <row r="218" spans="1:15" x14ac:dyDescent="0.2">
      <c r="A218" s="144" t="b">
        <v>0</v>
      </c>
      <c r="B218" s="134">
        <f t="shared" si="4"/>
        <v>215</v>
      </c>
      <c r="C218" s="150" t="s">
        <v>723</v>
      </c>
      <c r="D218" s="351"/>
      <c r="E218" s="139"/>
      <c r="G218" s="139"/>
      <c r="I218" s="139"/>
    </row>
    <row r="219" spans="1:15" x14ac:dyDescent="0.2">
      <c r="A219" s="144" t="b">
        <v>0</v>
      </c>
      <c r="B219" s="134">
        <f t="shared" si="4"/>
        <v>216</v>
      </c>
      <c r="C219" s="150" t="s">
        <v>724</v>
      </c>
      <c r="D219" s="317"/>
      <c r="E219" s="505" t="s">
        <v>725</v>
      </c>
      <c r="F219" s="506"/>
      <c r="G219" s="506"/>
      <c r="H219" s="506"/>
      <c r="I219" s="506"/>
      <c r="J219" s="506"/>
      <c r="K219" s="506"/>
      <c r="L219" s="506"/>
      <c r="M219" s="506"/>
      <c r="N219" s="506"/>
      <c r="O219" s="506"/>
    </row>
    <row r="220" spans="1:15" x14ac:dyDescent="0.2">
      <c r="A220" s="144" t="b">
        <v>0</v>
      </c>
      <c r="B220" s="134">
        <f t="shared" si="4"/>
        <v>217</v>
      </c>
      <c r="C220" s="150" t="s">
        <v>726</v>
      </c>
      <c r="D220" s="317"/>
      <c r="E220" s="139"/>
      <c r="G220" s="139"/>
      <c r="I220" s="139"/>
    </row>
    <row r="221" spans="1:15" x14ac:dyDescent="0.2">
      <c r="A221" s="144" t="b">
        <v>0</v>
      </c>
      <c r="B221" s="134">
        <f t="shared" si="4"/>
        <v>218</v>
      </c>
      <c r="C221" s="150" t="s">
        <v>727</v>
      </c>
      <c r="D221" s="317"/>
      <c r="E221" s="139"/>
      <c r="F221" s="139"/>
      <c r="G221" s="139"/>
      <c r="I221" s="139"/>
    </row>
    <row r="222" spans="1:15" x14ac:dyDescent="0.2">
      <c r="A222" s="144" t="b">
        <v>0</v>
      </c>
      <c r="B222" s="134">
        <f t="shared" si="4"/>
        <v>219</v>
      </c>
      <c r="C222" s="150" t="s">
        <v>728</v>
      </c>
      <c r="D222" s="317"/>
      <c r="E222" s="139"/>
      <c r="F222" s="139"/>
      <c r="G222" s="139"/>
      <c r="I222" s="139"/>
    </row>
    <row r="223" spans="1:15" x14ac:dyDescent="0.2">
      <c r="A223" s="144" t="b">
        <v>0</v>
      </c>
      <c r="B223" s="134">
        <f t="shared" si="4"/>
        <v>220</v>
      </c>
      <c r="C223" s="136" t="s">
        <v>729</v>
      </c>
      <c r="D223" s="332"/>
      <c r="E223" s="157"/>
      <c r="F223" s="157"/>
      <c r="G223" s="157"/>
      <c r="H223" s="157"/>
      <c r="I223" s="157"/>
      <c r="J223" s="157"/>
      <c r="K223" s="157"/>
      <c r="L223" s="157"/>
      <c r="M223" s="157"/>
      <c r="N223" s="157"/>
      <c r="O223" s="138" t="str">
        <f>IF(A223=TRUE,"AX WO processed","WO still to be completed")</f>
        <v>WO still to be completed</v>
      </c>
    </row>
    <row r="224" spans="1:15" x14ac:dyDescent="0.2">
      <c r="A224" s="144" t="b">
        <v>0</v>
      </c>
      <c r="B224" s="134">
        <f t="shared" si="4"/>
        <v>221</v>
      </c>
      <c r="C224" s="134" t="s">
        <v>702</v>
      </c>
      <c r="D224" s="332"/>
      <c r="E224" s="157"/>
      <c r="F224" s="157"/>
      <c r="G224" s="157"/>
      <c r="H224" s="157"/>
      <c r="I224" s="157"/>
      <c r="J224" s="157"/>
      <c r="K224" s="157"/>
      <c r="L224" s="157"/>
      <c r="M224" s="157"/>
      <c r="N224" s="157"/>
      <c r="O224" s="138" t="str">
        <f>IF(A224=TRUE,"Online booking status updated","Online update still required")</f>
        <v>Online update still required</v>
      </c>
    </row>
    <row r="225" spans="2:14" ht="15.75" x14ac:dyDescent="0.2">
      <c r="B225" s="134">
        <f t="shared" si="4"/>
        <v>222</v>
      </c>
      <c r="C225" s="150" t="s">
        <v>730</v>
      </c>
      <c r="D225" s="302"/>
      <c r="E225" s="487"/>
      <c r="F225" s="487"/>
      <c r="G225" s="515"/>
      <c r="H225" s="515"/>
      <c r="I225" s="515"/>
      <c r="J225" s="515"/>
      <c r="K225" s="515"/>
      <c r="L225" s="515"/>
      <c r="M225" s="515"/>
      <c r="N225" s="515"/>
    </row>
    <row r="226" spans="2:14" x14ac:dyDescent="0.2">
      <c r="B226" s="134">
        <f t="shared" si="4"/>
        <v>223</v>
      </c>
      <c r="C226" s="150" t="s">
        <v>731</v>
      </c>
      <c r="D226" s="329"/>
      <c r="E226" s="152" t="s">
        <v>618</v>
      </c>
      <c r="F226" s="139"/>
      <c r="G226" s="150"/>
      <c r="H226" s="150"/>
      <c r="I226" s="514"/>
      <c r="J226" s="514"/>
      <c r="K226" s="514"/>
      <c r="L226" s="514"/>
      <c r="M226" s="514"/>
      <c r="N226" s="514"/>
    </row>
    <row r="227" spans="2:14" x14ac:dyDescent="0.2">
      <c r="B227" s="134">
        <f t="shared" si="4"/>
        <v>224</v>
      </c>
      <c r="C227" s="136" t="s">
        <v>732</v>
      </c>
      <c r="E227" s="530"/>
      <c r="F227" s="530"/>
      <c r="G227" s="530"/>
      <c r="H227" s="530"/>
      <c r="I227" s="530"/>
      <c r="J227" s="530"/>
      <c r="K227" s="530"/>
      <c r="L227" s="530"/>
      <c r="M227" s="530"/>
      <c r="N227" s="530"/>
    </row>
    <row r="228" spans="2:14" x14ac:dyDescent="0.2">
      <c r="C228" s="152" t="s">
        <v>733</v>
      </c>
      <c r="D228" s="145"/>
    </row>
    <row r="229" spans="2:14" x14ac:dyDescent="0.2">
      <c r="C229" s="152" t="s">
        <v>734</v>
      </c>
      <c r="D229" s="151"/>
    </row>
    <row r="230" spans="2:14" x14ac:dyDescent="0.2">
      <c r="C230" s="163" t="s">
        <v>735</v>
      </c>
    </row>
    <row r="231" spans="2:14" x14ac:dyDescent="0.2">
      <c r="B231" s="135"/>
      <c r="C231" s="150" t="s">
        <v>736</v>
      </c>
      <c r="E231" s="139"/>
      <c r="F231" s="139"/>
      <c r="G231" s="139"/>
      <c r="H231" s="139"/>
      <c r="I231" s="139"/>
      <c r="J231" s="139"/>
      <c r="K231" s="139"/>
      <c r="L231" s="139"/>
    </row>
    <row r="232" spans="2:14" x14ac:dyDescent="0.2">
      <c r="B232" s="135"/>
      <c r="C232" s="150" t="s">
        <v>737</v>
      </c>
      <c r="E232" s="139"/>
      <c r="F232" s="139"/>
      <c r="G232" s="139"/>
      <c r="H232" s="139"/>
      <c r="I232" s="139"/>
      <c r="J232" s="139"/>
      <c r="L232" s="139"/>
    </row>
    <row r="233" spans="2:14" x14ac:dyDescent="0.2">
      <c r="B233" s="352"/>
      <c r="C233" s="353" t="s">
        <v>738</v>
      </c>
      <c r="D233" s="354"/>
      <c r="E233" s="533"/>
      <c r="F233" s="534"/>
      <c r="G233" s="534"/>
      <c r="H233" s="534"/>
      <c r="I233" s="534"/>
      <c r="J233" s="534"/>
      <c r="K233" s="535"/>
      <c r="L233" s="139"/>
    </row>
    <row r="234" spans="2:14" x14ac:dyDescent="0.2">
      <c r="B234" s="352"/>
      <c r="C234" s="355" t="s">
        <v>739</v>
      </c>
      <c r="D234" s="354"/>
      <c r="E234" s="533"/>
      <c r="F234" s="534"/>
      <c r="G234" s="534"/>
      <c r="H234" s="534"/>
      <c r="I234" s="534"/>
      <c r="J234" s="534"/>
      <c r="K234" s="535"/>
      <c r="L234" s="139"/>
    </row>
    <row r="235" spans="2:14" x14ac:dyDescent="0.2">
      <c r="B235" s="356"/>
      <c r="C235" s="353" t="s">
        <v>740</v>
      </c>
      <c r="D235" s="357"/>
      <c r="E235" s="533"/>
      <c r="F235" s="534"/>
      <c r="G235" s="534"/>
      <c r="H235" s="534"/>
      <c r="I235" s="534"/>
      <c r="J235" s="534"/>
      <c r="K235" s="535"/>
      <c r="L235" s="139"/>
    </row>
    <row r="236" spans="2:14" x14ac:dyDescent="0.2">
      <c r="B236" s="352"/>
      <c r="C236" s="353"/>
      <c r="D236" s="354"/>
      <c r="E236" s="536" t="s">
        <v>372</v>
      </c>
      <c r="F236" s="537"/>
      <c r="G236" s="538" t="str">
        <f>IF(D225=D13,"ON TIME",IF(D225&gt;D13,"LATE",IF(D225&lt;D13,"EARLY")))</f>
        <v>EARLY</v>
      </c>
      <c r="H236" s="513"/>
      <c r="I236" s="513"/>
      <c r="J236" s="513"/>
      <c r="K236" s="513"/>
      <c r="L236" s="513"/>
      <c r="M236" s="513"/>
      <c r="N236" s="513"/>
    </row>
    <row r="237" spans="2:14" x14ac:dyDescent="0.2">
      <c r="B237" s="352"/>
      <c r="C237" s="353"/>
      <c r="D237" s="354"/>
      <c r="E237" s="533"/>
      <c r="F237" s="534"/>
      <c r="G237" s="534"/>
      <c r="H237" s="534"/>
      <c r="I237" s="534"/>
      <c r="J237" s="534"/>
      <c r="K237" s="535"/>
      <c r="L237" s="139"/>
    </row>
    <row r="238" spans="2:14" x14ac:dyDescent="0.2">
      <c r="B238" s="352"/>
      <c r="C238" s="353"/>
      <c r="D238" s="354"/>
      <c r="E238" s="533"/>
      <c r="F238" s="534"/>
      <c r="G238" s="534"/>
      <c r="H238" s="534"/>
      <c r="I238" s="534"/>
      <c r="J238" s="534"/>
      <c r="K238" s="535"/>
      <c r="L238" s="139"/>
    </row>
    <row r="239" spans="2:14" x14ac:dyDescent="0.2">
      <c r="B239" s="352"/>
      <c r="C239" s="355"/>
      <c r="D239" s="354"/>
      <c r="E239" s="533"/>
      <c r="F239" s="534"/>
      <c r="G239" s="534"/>
      <c r="H239" s="534"/>
      <c r="I239" s="534"/>
      <c r="J239" s="534"/>
      <c r="K239" s="535"/>
      <c r="L239" s="139"/>
    </row>
    <row r="240" spans="2:14" x14ac:dyDescent="0.2">
      <c r="B240" s="352"/>
      <c r="C240" s="355"/>
      <c r="D240" s="354"/>
      <c r="E240" s="533"/>
      <c r="F240" s="534"/>
      <c r="G240" s="534"/>
      <c r="H240" s="534"/>
      <c r="I240" s="534"/>
      <c r="J240" s="534"/>
      <c r="K240" s="535"/>
      <c r="L240" s="139"/>
    </row>
    <row r="241" spans="2:12" x14ac:dyDescent="0.2">
      <c r="B241" s="352"/>
      <c r="C241" s="355"/>
      <c r="D241" s="354"/>
      <c r="E241" s="533"/>
      <c r="F241" s="534"/>
      <c r="G241" s="534"/>
      <c r="H241" s="534"/>
      <c r="I241" s="534"/>
      <c r="J241" s="534"/>
      <c r="K241" s="535"/>
      <c r="L241" s="139"/>
    </row>
    <row r="242" spans="2:12" x14ac:dyDescent="0.2">
      <c r="B242" s="352"/>
      <c r="C242" s="353" t="s">
        <v>741</v>
      </c>
      <c r="D242" s="354"/>
      <c r="E242" s="533"/>
      <c r="F242" s="534"/>
      <c r="G242" s="534"/>
      <c r="H242" s="534"/>
      <c r="I242" s="534"/>
      <c r="J242" s="534"/>
      <c r="K242" s="535"/>
      <c r="L242" s="139"/>
    </row>
    <row r="243" spans="2:12" x14ac:dyDescent="0.2">
      <c r="B243" s="352"/>
      <c r="C243" s="353" t="s">
        <v>538</v>
      </c>
      <c r="D243" s="354"/>
      <c r="E243" s="533"/>
      <c r="F243" s="534"/>
      <c r="G243" s="534"/>
      <c r="H243" s="534"/>
      <c r="I243" s="534"/>
      <c r="J243" s="534"/>
      <c r="K243" s="535"/>
      <c r="L243" s="139"/>
    </row>
    <row r="244" spans="2:12" x14ac:dyDescent="0.2">
      <c r="B244" s="358"/>
      <c r="C244" s="359"/>
      <c r="D244" s="360"/>
      <c r="E244" s="533"/>
      <c r="F244" s="534"/>
      <c r="G244" s="534"/>
      <c r="H244" s="534"/>
      <c r="I244" s="534"/>
      <c r="J244" s="534"/>
      <c r="K244" s="535"/>
      <c r="L244" s="139"/>
    </row>
    <row r="245" spans="2:12" x14ac:dyDescent="0.2">
      <c r="B245" s="352"/>
      <c r="C245" s="355"/>
      <c r="D245" s="354"/>
      <c r="E245" s="533"/>
      <c r="F245" s="534"/>
      <c r="G245" s="534"/>
      <c r="H245" s="534"/>
      <c r="I245" s="534"/>
      <c r="J245" s="534"/>
      <c r="K245" s="535"/>
      <c r="L245" s="139"/>
    </row>
    <row r="246" spans="2:12" x14ac:dyDescent="0.2">
      <c r="B246" s="361"/>
      <c r="C246" s="362"/>
      <c r="D246" s="363"/>
      <c r="E246" s="539"/>
      <c r="F246" s="540"/>
      <c r="G246" s="540"/>
      <c r="H246" s="540"/>
      <c r="I246" s="540"/>
      <c r="J246" s="540"/>
      <c r="K246" s="541"/>
      <c r="L246" s="139"/>
    </row>
    <row r="247" spans="2:12" x14ac:dyDescent="0.2">
      <c r="B247" s="361"/>
      <c r="C247" s="362"/>
      <c r="D247" s="363"/>
      <c r="E247" s="539"/>
      <c r="F247" s="540"/>
      <c r="G247" s="540"/>
      <c r="H247" s="540"/>
      <c r="I247" s="540"/>
      <c r="J247" s="540"/>
      <c r="K247" s="541"/>
      <c r="L247" s="139"/>
    </row>
    <row r="248" spans="2:12" x14ac:dyDescent="0.2">
      <c r="B248" s="361"/>
      <c r="C248" s="362"/>
      <c r="D248" s="363"/>
      <c r="E248" s="539"/>
      <c r="F248" s="540"/>
      <c r="G248" s="540"/>
      <c r="H248" s="540"/>
      <c r="I248" s="540"/>
      <c r="J248" s="540"/>
      <c r="K248" s="541"/>
      <c r="L248" s="139"/>
    </row>
    <row r="249" spans="2:12" x14ac:dyDescent="0.2">
      <c r="B249" s="135"/>
      <c r="C249" s="139"/>
      <c r="E249" s="139"/>
      <c r="F249" s="139"/>
      <c r="G249" s="139"/>
      <c r="H249" s="139"/>
      <c r="I249" s="139"/>
      <c r="J249" s="139"/>
      <c r="K249" s="139"/>
      <c r="L249" s="139"/>
    </row>
    <row r="250" spans="2:12" x14ac:dyDescent="0.2">
      <c r="B250" s="135"/>
      <c r="C250" s="182" t="s">
        <v>742</v>
      </c>
      <c r="D250" s="135"/>
      <c r="E250" s="182"/>
      <c r="F250" s="182"/>
      <c r="G250" s="167" t="s">
        <v>328</v>
      </c>
      <c r="H250" s="364" t="s">
        <v>743</v>
      </c>
      <c r="I250" s="167" t="s">
        <v>337</v>
      </c>
      <c r="J250" s="364" t="s">
        <v>743</v>
      </c>
      <c r="K250" s="167" t="s">
        <v>341</v>
      </c>
      <c r="L250" s="364" t="s">
        <v>743</v>
      </c>
    </row>
    <row r="251" spans="2:12" x14ac:dyDescent="0.2">
      <c r="B251" s="135"/>
      <c r="C251" s="182" t="s">
        <v>744</v>
      </c>
      <c r="D251" s="135"/>
      <c r="E251" s="182"/>
      <c r="F251" s="364" t="s">
        <v>743</v>
      </c>
      <c r="G251" s="139"/>
      <c r="H251" s="167"/>
      <c r="I251" s="183"/>
      <c r="J251" s="167"/>
      <c r="K251" s="167"/>
      <c r="L251" s="167"/>
    </row>
    <row r="1476" spans="1:16" s="145" customFormat="1" x14ac:dyDescent="0.2">
      <c r="A1476" s="144"/>
      <c r="B1476" s="134"/>
      <c r="C1476" s="163"/>
      <c r="D1476" s="139"/>
      <c r="E1476" s="135"/>
      <c r="F1476" s="135"/>
      <c r="G1476" s="135"/>
      <c r="H1476" s="135"/>
      <c r="I1476" s="135"/>
      <c r="J1476" s="135"/>
      <c r="K1476" s="135"/>
      <c r="L1476" s="135"/>
      <c r="M1476" s="135"/>
      <c r="N1476" s="135"/>
      <c r="O1476" s="138"/>
      <c r="P1476" s="137"/>
    </row>
    <row r="1477" spans="1:16" x14ac:dyDescent="0.2">
      <c r="A1477" s="149"/>
      <c r="C1477" s="136"/>
      <c r="D1477" s="145"/>
      <c r="E1477" s="157"/>
      <c r="F1477" s="157"/>
      <c r="G1477" s="157"/>
      <c r="H1477" s="157"/>
      <c r="I1477" s="157"/>
      <c r="J1477" s="157"/>
      <c r="K1477" s="157"/>
      <c r="L1477" s="157"/>
      <c r="M1477" s="157"/>
      <c r="N1477" s="157"/>
      <c r="O1477" s="137"/>
    </row>
    <row r="9225" spans="1:1" x14ac:dyDescent="0.2">
      <c r="A9225" s="144" t="b">
        <v>1</v>
      </c>
    </row>
  </sheetData>
  <mergeCells count="90">
    <mergeCell ref="E241:K241"/>
    <mergeCell ref="E242:K242"/>
    <mergeCell ref="E243:K243"/>
    <mergeCell ref="E238:K238"/>
    <mergeCell ref="E239:K239"/>
    <mergeCell ref="E240:K240"/>
    <mergeCell ref="E247:K247"/>
    <mergeCell ref="E248:K248"/>
    <mergeCell ref="E244:K244"/>
    <mergeCell ref="E245:K245"/>
    <mergeCell ref="E246:K246"/>
    <mergeCell ref="E235:K235"/>
    <mergeCell ref="E237:K237"/>
    <mergeCell ref="I226:N226"/>
    <mergeCell ref="E227:N227"/>
    <mergeCell ref="E233:K233"/>
    <mergeCell ref="E234:K234"/>
    <mergeCell ref="E236:F236"/>
    <mergeCell ref="G236:N236"/>
    <mergeCell ref="E131:F131"/>
    <mergeCell ref="G131:N131"/>
    <mergeCell ref="E219:O219"/>
    <mergeCell ref="E225:F225"/>
    <mergeCell ref="G225:N225"/>
    <mergeCell ref="G160:H160"/>
    <mergeCell ref="G161:H161"/>
    <mergeCell ref="G162:H162"/>
    <mergeCell ref="G163:H163"/>
    <mergeCell ref="G164:H164"/>
    <mergeCell ref="G165:H165"/>
    <mergeCell ref="G166:H166"/>
    <mergeCell ref="G167:H167"/>
    <mergeCell ref="G168:H168"/>
    <mergeCell ref="C141:O141"/>
    <mergeCell ref="I132:N132"/>
    <mergeCell ref="E115:H115"/>
    <mergeCell ref="C120:O120"/>
    <mergeCell ref="E124:N124"/>
    <mergeCell ref="E125:N125"/>
    <mergeCell ref="E127:N127"/>
    <mergeCell ref="C133:O133"/>
    <mergeCell ref="E134:F134"/>
    <mergeCell ref="G134:N134"/>
    <mergeCell ref="I136:N136"/>
    <mergeCell ref="E140:N140"/>
    <mergeCell ref="E113:F113"/>
    <mergeCell ref="I113:J113"/>
    <mergeCell ref="E93:N93"/>
    <mergeCell ref="E94:N94"/>
    <mergeCell ref="E97:J97"/>
    <mergeCell ref="K97:N97"/>
    <mergeCell ref="E99:N99"/>
    <mergeCell ref="E100:N100"/>
    <mergeCell ref="E101:N101"/>
    <mergeCell ref="E102:N102"/>
    <mergeCell ref="E103:N103"/>
    <mergeCell ref="E109:N109"/>
    <mergeCell ref="K112:N112"/>
    <mergeCell ref="I89:N89"/>
    <mergeCell ref="C90:O90"/>
    <mergeCell ref="E91:F91"/>
    <mergeCell ref="G91:N91"/>
    <mergeCell ref="E80:N80"/>
    <mergeCell ref="C81:O81"/>
    <mergeCell ref="E82:J82"/>
    <mergeCell ref="K82:N82"/>
    <mergeCell ref="E84:N84"/>
    <mergeCell ref="E85:J85"/>
    <mergeCell ref="K85:N85"/>
    <mergeCell ref="E86:N86"/>
    <mergeCell ref="E87:J87"/>
    <mergeCell ref="K87:N87"/>
    <mergeCell ref="E79:N79"/>
    <mergeCell ref="E71:N71"/>
    <mergeCell ref="E76:N76"/>
    <mergeCell ref="E77:N77"/>
    <mergeCell ref="E78:N78"/>
    <mergeCell ref="E17:N17"/>
    <mergeCell ref="E25:N25"/>
    <mergeCell ref="E26:N26"/>
    <mergeCell ref="E32:N32"/>
    <mergeCell ref="C70:O70"/>
    <mergeCell ref="O62:Y62"/>
    <mergeCell ref="E65:N65"/>
    <mergeCell ref="C2:O2"/>
    <mergeCell ref="E5:I5"/>
    <mergeCell ref="E10:N10"/>
    <mergeCell ref="C14:O14"/>
    <mergeCell ref="E15:F15"/>
    <mergeCell ref="G15:N15"/>
  </mergeCells>
  <conditionalFormatting sqref="C18">
    <cfRule type="expression" dxfId="259" priority="151">
      <formula>$A$18</formula>
    </cfRule>
  </conditionalFormatting>
  <conditionalFormatting sqref="C19">
    <cfRule type="expression" dxfId="258" priority="13">
      <formula>$A$19</formula>
    </cfRule>
  </conditionalFormatting>
  <conditionalFormatting sqref="C20">
    <cfRule type="expression" dxfId="257" priority="12">
      <formula>$A$20</formula>
    </cfRule>
  </conditionalFormatting>
  <conditionalFormatting sqref="C21">
    <cfRule type="expression" dxfId="256" priority="11">
      <formula>$A$21</formula>
    </cfRule>
  </conditionalFormatting>
  <conditionalFormatting sqref="C22">
    <cfRule type="expression" dxfId="255" priority="10">
      <formula>$A$22</formula>
    </cfRule>
  </conditionalFormatting>
  <conditionalFormatting sqref="C23">
    <cfRule type="expression" dxfId="254" priority="150">
      <formula>$A$23</formula>
    </cfRule>
  </conditionalFormatting>
  <conditionalFormatting sqref="C24">
    <cfRule type="expression" dxfId="253" priority="88">
      <formula>$A$24</formula>
    </cfRule>
  </conditionalFormatting>
  <conditionalFormatting sqref="C25">
    <cfRule type="expression" dxfId="252" priority="149">
      <formula>$A$25</formula>
    </cfRule>
  </conditionalFormatting>
  <conditionalFormatting sqref="C27">
    <cfRule type="expression" dxfId="251" priority="29">
      <formula>$A$27</formula>
    </cfRule>
  </conditionalFormatting>
  <conditionalFormatting sqref="C32">
    <cfRule type="expression" dxfId="250" priority="146">
      <formula>$A$32</formula>
    </cfRule>
  </conditionalFormatting>
  <conditionalFormatting sqref="C36">
    <cfRule type="expression" dxfId="249" priority="77">
      <formula>$A$36</formula>
    </cfRule>
  </conditionalFormatting>
  <conditionalFormatting sqref="C40">
    <cfRule type="expression" dxfId="248" priority="145">
      <formula>$A$40</formula>
    </cfRule>
  </conditionalFormatting>
  <conditionalFormatting sqref="C44">
    <cfRule type="expression" dxfId="247" priority="25">
      <formula>$A$44</formula>
    </cfRule>
  </conditionalFormatting>
  <conditionalFormatting sqref="C46">
    <cfRule type="expression" dxfId="246" priority="144">
      <formula>$A$46</formula>
    </cfRule>
  </conditionalFormatting>
  <conditionalFormatting sqref="C54">
    <cfRule type="expression" dxfId="245" priority="87">
      <formula>$A$54</formula>
    </cfRule>
  </conditionalFormatting>
  <conditionalFormatting sqref="C55">
    <cfRule type="expression" dxfId="244" priority="85">
      <formula>$A$55</formula>
    </cfRule>
  </conditionalFormatting>
  <conditionalFormatting sqref="C56">
    <cfRule type="expression" dxfId="243" priority="86">
      <formula>$A$56</formula>
    </cfRule>
  </conditionalFormatting>
  <conditionalFormatting sqref="C57">
    <cfRule type="expression" dxfId="242" priority="147">
      <formula>$A$57</formula>
    </cfRule>
  </conditionalFormatting>
  <conditionalFormatting sqref="C58">
    <cfRule type="expression" dxfId="241" priority="84">
      <formula>$A$58</formula>
    </cfRule>
  </conditionalFormatting>
  <conditionalFormatting sqref="C59">
    <cfRule type="expression" dxfId="240" priority="83">
      <formula>$A$59</formula>
    </cfRule>
  </conditionalFormatting>
  <conditionalFormatting sqref="C60">
    <cfRule type="expression" dxfId="239" priority="82">
      <formula>$A$60</formula>
    </cfRule>
  </conditionalFormatting>
  <conditionalFormatting sqref="C61">
    <cfRule type="expression" dxfId="238" priority="81">
      <formula>$A$61</formula>
    </cfRule>
  </conditionalFormatting>
  <conditionalFormatting sqref="C64">
    <cfRule type="expression" dxfId="237" priority="26">
      <formula>$A$64</formula>
    </cfRule>
  </conditionalFormatting>
  <conditionalFormatting sqref="C65">
    <cfRule type="expression" dxfId="236" priority="78">
      <formula>$A$65</formula>
    </cfRule>
  </conditionalFormatting>
  <conditionalFormatting sqref="C67">
    <cfRule type="expression" dxfId="235" priority="80">
      <formula>$A$67</formula>
    </cfRule>
  </conditionalFormatting>
  <conditionalFormatting sqref="C68">
    <cfRule type="expression" dxfId="234" priority="79">
      <formula>$A$68</formula>
    </cfRule>
  </conditionalFormatting>
  <conditionalFormatting sqref="C69">
    <cfRule type="expression" dxfId="233" priority="143">
      <formula>$A$69</formula>
    </cfRule>
  </conditionalFormatting>
  <conditionalFormatting sqref="C71">
    <cfRule type="expression" dxfId="232" priority="142">
      <formula>$A$71</formula>
    </cfRule>
  </conditionalFormatting>
  <conditionalFormatting sqref="C72">
    <cfRule type="expression" dxfId="231" priority="141">
      <formula>$A$72</formula>
    </cfRule>
  </conditionalFormatting>
  <conditionalFormatting sqref="C73">
    <cfRule type="expression" dxfId="230" priority="140">
      <formula>$A$73</formula>
    </cfRule>
  </conditionalFormatting>
  <conditionalFormatting sqref="C74">
    <cfRule type="expression" dxfId="229" priority="139">
      <formula>$A$74</formula>
    </cfRule>
  </conditionalFormatting>
  <conditionalFormatting sqref="C76">
    <cfRule type="expression" dxfId="228" priority="137">
      <formula>$A$76</formula>
    </cfRule>
  </conditionalFormatting>
  <conditionalFormatting sqref="C82">
    <cfRule type="expression" dxfId="227" priority="1">
      <formula>$A$82</formula>
    </cfRule>
  </conditionalFormatting>
  <conditionalFormatting sqref="C83">
    <cfRule type="expression" dxfId="226" priority="138">
      <formula>$A$83</formula>
    </cfRule>
  </conditionalFormatting>
  <conditionalFormatting sqref="C84">
    <cfRule type="expression" dxfId="225" priority="136">
      <formula>$A$84</formula>
    </cfRule>
  </conditionalFormatting>
  <conditionalFormatting sqref="C85">
    <cfRule type="expression" dxfId="224" priority="135">
      <formula>$A$85</formula>
    </cfRule>
  </conditionalFormatting>
  <conditionalFormatting sqref="C86">
    <cfRule type="expression" dxfId="223" priority="17">
      <formula>$A$86</formula>
    </cfRule>
  </conditionalFormatting>
  <conditionalFormatting sqref="C87">
    <cfRule type="expression" dxfId="222" priority="134">
      <formula>$A$87</formula>
    </cfRule>
  </conditionalFormatting>
  <conditionalFormatting sqref="C93">
    <cfRule type="expression" dxfId="221" priority="180">
      <formula>$A93</formula>
    </cfRule>
  </conditionalFormatting>
  <conditionalFormatting sqref="C94">
    <cfRule type="expression" dxfId="220" priority="181">
      <formula>$A$94</formula>
    </cfRule>
  </conditionalFormatting>
  <conditionalFormatting sqref="C95">
    <cfRule type="expression" dxfId="219" priority="133">
      <formula>$A$95</formula>
    </cfRule>
  </conditionalFormatting>
  <conditionalFormatting sqref="C97">
    <cfRule type="expression" dxfId="218" priority="152">
      <formula>$A$97</formula>
    </cfRule>
  </conditionalFormatting>
  <conditionalFormatting sqref="C98">
    <cfRule type="expression" dxfId="217" priority="179">
      <formula>$A$98</formula>
    </cfRule>
  </conditionalFormatting>
  <conditionalFormatting sqref="C103">
    <cfRule type="expression" dxfId="216" priority="153">
      <formula>$A$103</formula>
    </cfRule>
  </conditionalFormatting>
  <conditionalFormatting sqref="C104">
    <cfRule type="expression" dxfId="215" priority="132">
      <formula>$A$104</formula>
    </cfRule>
  </conditionalFormatting>
  <conditionalFormatting sqref="C105">
    <cfRule type="expression" dxfId="214" priority="14">
      <formula>$A$105</formula>
    </cfRule>
  </conditionalFormatting>
  <conditionalFormatting sqref="C106">
    <cfRule type="expression" dxfId="213" priority="131">
      <formula>$A$106</formula>
    </cfRule>
  </conditionalFormatting>
  <conditionalFormatting sqref="C107">
    <cfRule type="expression" dxfId="212" priority="130">
      <formula>$A$107</formula>
    </cfRule>
  </conditionalFormatting>
  <conditionalFormatting sqref="C108">
    <cfRule type="expression" dxfId="211" priority="129">
      <formula>$A$108</formula>
    </cfRule>
  </conditionalFormatting>
  <conditionalFormatting sqref="C109">
    <cfRule type="expression" dxfId="210" priority="128">
      <formula>$A$109</formula>
    </cfRule>
  </conditionalFormatting>
  <conditionalFormatting sqref="C110">
    <cfRule type="expression" dxfId="209" priority="24">
      <formula>$A$110</formula>
    </cfRule>
  </conditionalFormatting>
  <conditionalFormatting sqref="C111">
    <cfRule type="expression" dxfId="208" priority="127">
      <formula>$A$111</formula>
    </cfRule>
  </conditionalFormatting>
  <conditionalFormatting sqref="C112">
    <cfRule type="expression" dxfId="207" priority="126">
      <formula>$A$112</formula>
    </cfRule>
  </conditionalFormatting>
  <conditionalFormatting sqref="C113">
    <cfRule type="expression" dxfId="206" priority="171">
      <formula>$A$113</formula>
    </cfRule>
  </conditionalFormatting>
  <conditionalFormatting sqref="C114">
    <cfRule type="expression" dxfId="205" priority="20">
      <formula>$A$114</formula>
    </cfRule>
  </conditionalFormatting>
  <conditionalFormatting sqref="C115">
    <cfRule type="expression" dxfId="204" priority="19">
      <formula>$A$115</formula>
    </cfRule>
  </conditionalFormatting>
  <conditionalFormatting sqref="C116">
    <cfRule type="expression" dxfId="203" priority="18">
      <formula>$A$116</formula>
    </cfRule>
  </conditionalFormatting>
  <conditionalFormatting sqref="C117">
    <cfRule type="expression" dxfId="202" priority="177">
      <formula>$A$117</formula>
    </cfRule>
  </conditionalFormatting>
  <conditionalFormatting sqref="C118">
    <cfRule type="expression" dxfId="201" priority="176">
      <formula>$A$118</formula>
    </cfRule>
  </conditionalFormatting>
  <conditionalFormatting sqref="C119">
    <cfRule type="expression" dxfId="200" priority="175">
      <formula>$A$119</formula>
    </cfRule>
  </conditionalFormatting>
  <conditionalFormatting sqref="C121">
    <cfRule type="expression" dxfId="199" priority="174">
      <formula>$A$121</formula>
    </cfRule>
  </conditionalFormatting>
  <conditionalFormatting sqref="C126">
    <cfRule type="expression" dxfId="198" priority="75">
      <formula>$A$126</formula>
    </cfRule>
  </conditionalFormatting>
  <conditionalFormatting sqref="C128">
    <cfRule type="expression" dxfId="197" priority="73">
      <formula>$A$128</formula>
    </cfRule>
  </conditionalFormatting>
  <conditionalFormatting sqref="C129">
    <cfRule type="expression" dxfId="196" priority="74">
      <formula>$A$129</formula>
    </cfRule>
  </conditionalFormatting>
  <conditionalFormatting sqref="C130">
    <cfRule type="expression" dxfId="195" priority="72">
      <formula>$A$130</formula>
    </cfRule>
  </conditionalFormatting>
  <conditionalFormatting sqref="D9">
    <cfRule type="expression" dxfId="194" priority="178">
      <formula>$A9</formula>
    </cfRule>
  </conditionalFormatting>
  <conditionalFormatting sqref="D17">
    <cfRule type="expression" dxfId="193" priority="173">
      <formula>#REF!</formula>
    </cfRule>
    <cfRule type="expression" dxfId="192" priority="172">
      <formula>#REF!</formula>
    </cfRule>
  </conditionalFormatting>
  <conditionalFormatting sqref="D138">
    <cfRule type="expression" dxfId="191" priority="21">
      <formula>$A$138</formula>
    </cfRule>
  </conditionalFormatting>
  <conditionalFormatting sqref="D139">
    <cfRule type="expression" dxfId="190" priority="22">
      <formula>$A$139</formula>
    </cfRule>
  </conditionalFormatting>
  <conditionalFormatting sqref="D140">
    <cfRule type="expression" dxfId="189" priority="28">
      <formula>$A$140</formula>
    </cfRule>
  </conditionalFormatting>
  <conditionalFormatting sqref="D144">
    <cfRule type="expression" dxfId="188" priority="119">
      <formula>$A$144</formula>
    </cfRule>
  </conditionalFormatting>
  <conditionalFormatting sqref="D145">
    <cfRule type="expression" dxfId="187" priority="125">
      <formula>$A$145</formula>
    </cfRule>
  </conditionalFormatting>
  <conditionalFormatting sqref="D147">
    <cfRule type="expression" dxfId="186" priority="116">
      <formula>$A$147</formula>
    </cfRule>
  </conditionalFormatting>
  <conditionalFormatting sqref="D148">
    <cfRule type="expression" dxfId="185" priority="115">
      <formula>$A$148</formula>
    </cfRule>
  </conditionalFormatting>
  <conditionalFormatting sqref="D149">
    <cfRule type="expression" dxfId="184" priority="118">
      <formula>$A$149</formula>
    </cfRule>
  </conditionalFormatting>
  <conditionalFormatting sqref="D150">
    <cfRule type="expression" dxfId="183" priority="71">
      <formula>$A123</formula>
    </cfRule>
    <cfRule type="expression" dxfId="182" priority="114">
      <formula>$A$150</formula>
    </cfRule>
  </conditionalFormatting>
  <conditionalFormatting sqref="D151">
    <cfRule type="expression" dxfId="181" priority="113">
      <formula>$A$151</formula>
    </cfRule>
  </conditionalFormatting>
  <conditionalFormatting sqref="D152">
    <cfRule type="expression" dxfId="180" priority="112">
      <formula>$A$152</formula>
    </cfRule>
  </conditionalFormatting>
  <conditionalFormatting sqref="D153">
    <cfRule type="expression" dxfId="179" priority="111">
      <formula>$A$153</formula>
    </cfRule>
  </conditionalFormatting>
  <conditionalFormatting sqref="D154">
    <cfRule type="expression" dxfId="178" priority="110">
      <formula>$A$154</formula>
    </cfRule>
  </conditionalFormatting>
  <conditionalFormatting sqref="D155">
    <cfRule type="expression" dxfId="177" priority="120">
      <formula>$A$155</formula>
    </cfRule>
  </conditionalFormatting>
  <conditionalFormatting sqref="D156">
    <cfRule type="expression" dxfId="176" priority="121">
      <formula>$A$156</formula>
    </cfRule>
  </conditionalFormatting>
  <conditionalFormatting sqref="D157">
    <cfRule type="expression" dxfId="175" priority="122">
      <formula>$A$157</formula>
    </cfRule>
  </conditionalFormatting>
  <conditionalFormatting sqref="D158">
    <cfRule type="expression" dxfId="174" priority="123">
      <formula>$A$158</formula>
    </cfRule>
  </conditionalFormatting>
  <conditionalFormatting sqref="D159">
    <cfRule type="expression" dxfId="173" priority="124">
      <formula>$A$159</formula>
    </cfRule>
  </conditionalFormatting>
  <conditionalFormatting sqref="D160">
    <cfRule type="expression" dxfId="172" priority="109">
      <formula>$A$160</formula>
    </cfRule>
  </conditionalFormatting>
  <conditionalFormatting sqref="D161">
    <cfRule type="expression" dxfId="171" priority="108">
      <formula>$A$161</formula>
    </cfRule>
  </conditionalFormatting>
  <conditionalFormatting sqref="D162">
    <cfRule type="expression" dxfId="170" priority="107">
      <formula>$A$162</formula>
    </cfRule>
  </conditionalFormatting>
  <conditionalFormatting sqref="D163:D172">
    <cfRule type="expression" dxfId="169" priority="106">
      <formula>$A163</formula>
    </cfRule>
  </conditionalFormatting>
  <conditionalFormatting sqref="D174">
    <cfRule type="expression" dxfId="168" priority="60">
      <formula>$A$174</formula>
    </cfRule>
  </conditionalFormatting>
  <conditionalFormatting sqref="D175">
    <cfRule type="expression" dxfId="167" priority="59">
      <formula>$A$175</formula>
    </cfRule>
  </conditionalFormatting>
  <conditionalFormatting sqref="D176">
    <cfRule type="expression" dxfId="166" priority="58">
      <formula>$A$176</formula>
    </cfRule>
  </conditionalFormatting>
  <conditionalFormatting sqref="D177">
    <cfRule type="expression" dxfId="165" priority="70">
      <formula>$A$177</formula>
    </cfRule>
  </conditionalFormatting>
  <conditionalFormatting sqref="D178">
    <cfRule type="expression" dxfId="164" priority="69">
      <formula>$A$178</formula>
    </cfRule>
  </conditionalFormatting>
  <conditionalFormatting sqref="D179">
    <cfRule type="expression" dxfId="163" priority="68">
      <formula>$A$179</formula>
    </cfRule>
  </conditionalFormatting>
  <conditionalFormatting sqref="D180">
    <cfRule type="expression" dxfId="162" priority="67">
      <formula>$A$180</formula>
    </cfRule>
  </conditionalFormatting>
  <conditionalFormatting sqref="D181">
    <cfRule type="expression" dxfId="161" priority="66">
      <formula>$A$181</formula>
    </cfRule>
  </conditionalFormatting>
  <conditionalFormatting sqref="D182">
    <cfRule type="expression" dxfId="160" priority="65">
      <formula>$A$182</formula>
    </cfRule>
  </conditionalFormatting>
  <conditionalFormatting sqref="D183">
    <cfRule type="expression" dxfId="159" priority="64">
      <formula>$A$183</formula>
    </cfRule>
  </conditionalFormatting>
  <conditionalFormatting sqref="D184:D185">
    <cfRule type="expression" dxfId="158" priority="63">
      <formula>$A$184</formula>
    </cfRule>
  </conditionalFormatting>
  <conditionalFormatting sqref="D185">
    <cfRule type="expression" dxfId="157" priority="16">
      <formula>$A$185</formula>
    </cfRule>
  </conditionalFormatting>
  <conditionalFormatting sqref="D186">
    <cfRule type="expression" dxfId="156" priority="62">
      <formula>$A$186</formula>
    </cfRule>
  </conditionalFormatting>
  <conditionalFormatting sqref="D187">
    <cfRule type="expression" dxfId="155" priority="61">
      <formula>$A$187</formula>
    </cfRule>
  </conditionalFormatting>
  <conditionalFormatting sqref="D188">
    <cfRule type="expression" dxfId="154" priority="57">
      <formula>$A$188</formula>
    </cfRule>
  </conditionalFormatting>
  <conditionalFormatting sqref="D189">
    <cfRule type="expression" dxfId="153" priority="56">
      <formula>$A$189</formula>
    </cfRule>
  </conditionalFormatting>
  <conditionalFormatting sqref="D190">
    <cfRule type="expression" dxfId="152" priority="55">
      <formula>$A$190</formula>
    </cfRule>
  </conditionalFormatting>
  <conditionalFormatting sqref="D191">
    <cfRule type="expression" dxfId="151" priority="54">
      <formula>$A$191</formula>
    </cfRule>
  </conditionalFormatting>
  <conditionalFormatting sqref="D192">
    <cfRule type="expression" dxfId="150" priority="53">
      <formula>$A$192</formula>
    </cfRule>
  </conditionalFormatting>
  <conditionalFormatting sqref="D193">
    <cfRule type="expression" dxfId="149" priority="52">
      <formula>$A$193</formula>
    </cfRule>
  </conditionalFormatting>
  <conditionalFormatting sqref="D194">
    <cfRule type="expression" dxfId="148" priority="51">
      <formula>$A$194</formula>
    </cfRule>
  </conditionalFormatting>
  <conditionalFormatting sqref="D195">
    <cfRule type="expression" dxfId="147" priority="50">
      <formula>$A$195</formula>
    </cfRule>
  </conditionalFormatting>
  <conditionalFormatting sqref="D196">
    <cfRule type="cellIs" dxfId="146" priority="101" operator="greaterThan">
      <formula>55</formula>
    </cfRule>
    <cfRule type="cellIs" dxfId="145" priority="102" operator="lessThan">
      <formula>15</formula>
    </cfRule>
    <cfRule type="cellIs" dxfId="144" priority="104" operator="between">
      <formula>19</formula>
      <formula>45</formula>
    </cfRule>
  </conditionalFormatting>
  <conditionalFormatting sqref="D196:D197">
    <cfRule type="cellIs" dxfId="143" priority="30" operator="equal">
      <formula>0</formula>
    </cfRule>
  </conditionalFormatting>
  <conditionalFormatting sqref="D197">
    <cfRule type="cellIs" dxfId="142" priority="103" operator="between">
      <formula>36</formula>
      <formula>40</formula>
    </cfRule>
    <cfRule type="cellIs" dxfId="141" priority="100" operator="lessThan">
      <formula>36</formula>
    </cfRule>
    <cfRule type="cellIs" dxfId="140" priority="99" operator="greaterThan">
      <formula>40</formula>
    </cfRule>
  </conditionalFormatting>
  <conditionalFormatting sqref="D198">
    <cfRule type="expression" dxfId="139" priority="49">
      <formula>$A$198</formula>
    </cfRule>
  </conditionalFormatting>
  <conditionalFormatting sqref="D199">
    <cfRule type="expression" dxfId="138" priority="27">
      <formula>$A$199</formula>
    </cfRule>
  </conditionalFormatting>
  <conditionalFormatting sqref="D201">
    <cfRule type="expression" dxfId="137" priority="48">
      <formula>$A$201</formula>
    </cfRule>
  </conditionalFormatting>
  <conditionalFormatting sqref="D202">
    <cfRule type="expression" dxfId="136" priority="47">
      <formula>$A$202</formula>
    </cfRule>
  </conditionalFormatting>
  <conditionalFormatting sqref="D203">
    <cfRule type="expression" dxfId="135" priority="46">
      <formula>$A$203</formula>
    </cfRule>
  </conditionalFormatting>
  <conditionalFormatting sqref="D204">
    <cfRule type="expression" dxfId="134" priority="45">
      <formula>$A$204</formula>
    </cfRule>
  </conditionalFormatting>
  <conditionalFormatting sqref="D205">
    <cfRule type="expression" dxfId="133" priority="44">
      <formula>$A$205</formula>
    </cfRule>
  </conditionalFormatting>
  <conditionalFormatting sqref="D207">
    <cfRule type="expression" dxfId="132" priority="43">
      <formula>$A$207</formula>
    </cfRule>
  </conditionalFormatting>
  <conditionalFormatting sqref="D208">
    <cfRule type="expression" dxfId="131" priority="15">
      <formula>$A$208</formula>
    </cfRule>
  </conditionalFormatting>
  <conditionalFormatting sqref="D210">
    <cfRule type="expression" dxfId="130" priority="42">
      <formula>$A$210</formula>
    </cfRule>
  </conditionalFormatting>
  <conditionalFormatting sqref="D211">
    <cfRule type="expression" dxfId="129" priority="41">
      <formula>$A$211</formula>
    </cfRule>
  </conditionalFormatting>
  <conditionalFormatting sqref="D212">
    <cfRule type="expression" dxfId="128" priority="40">
      <formula>$A$212</formula>
    </cfRule>
  </conditionalFormatting>
  <conditionalFormatting sqref="D213">
    <cfRule type="expression" dxfId="127" priority="39">
      <formula>$A$213</formula>
    </cfRule>
  </conditionalFormatting>
  <conditionalFormatting sqref="D214">
    <cfRule type="expression" dxfId="126" priority="38">
      <formula>$A$214</formula>
    </cfRule>
  </conditionalFormatting>
  <conditionalFormatting sqref="D216">
    <cfRule type="expression" dxfId="125" priority="117">
      <formula>$A216</formula>
    </cfRule>
  </conditionalFormatting>
  <conditionalFormatting sqref="D217">
    <cfRule type="expression" dxfId="124" priority="89">
      <formula>$A$217</formula>
    </cfRule>
  </conditionalFormatting>
  <conditionalFormatting sqref="D218">
    <cfRule type="expression" dxfId="123" priority="37">
      <formula>$A$218</formula>
    </cfRule>
  </conditionalFormatting>
  <conditionalFormatting sqref="D219">
    <cfRule type="expression" dxfId="122" priority="36">
      <formula>$A$219</formula>
    </cfRule>
  </conditionalFormatting>
  <conditionalFormatting sqref="D220">
    <cfRule type="expression" dxfId="121" priority="35">
      <formula>$A$220</formula>
    </cfRule>
  </conditionalFormatting>
  <conditionalFormatting sqref="D221">
    <cfRule type="expression" dxfId="120" priority="34">
      <formula>$A$221</formula>
    </cfRule>
  </conditionalFormatting>
  <conditionalFormatting sqref="D222">
    <cfRule type="expression" dxfId="119" priority="33">
      <formula>$A$222</formula>
    </cfRule>
  </conditionalFormatting>
  <conditionalFormatting sqref="D223">
    <cfRule type="expression" dxfId="118" priority="32">
      <formula>$A$223</formula>
    </cfRule>
  </conditionalFormatting>
  <conditionalFormatting sqref="D224">
    <cfRule type="expression" dxfId="117" priority="31">
      <formula>$A$224</formula>
    </cfRule>
  </conditionalFormatting>
  <conditionalFormatting sqref="D228:D230">
    <cfRule type="expression" dxfId="116" priority="105">
      <formula>$A228</formula>
    </cfRule>
  </conditionalFormatting>
  <conditionalFormatting sqref="E82:J82">
    <cfRule type="cellIs" dxfId="115" priority="9" operator="between">
      <formula>1.9</formula>
      <formula>2.6</formula>
    </cfRule>
    <cfRule type="cellIs" dxfId="114" priority="8" operator="greaterThanOrEqual">
      <formula>2.7</formula>
    </cfRule>
  </conditionalFormatting>
  <conditionalFormatting sqref="G15:N15">
    <cfRule type="cellIs" dxfId="113" priority="169" operator="equal">
      <formula>"LATE"</formula>
    </cfRule>
    <cfRule type="cellIs" dxfId="112" priority="168" operator="equal">
      <formula>"ON TIME"</formula>
    </cfRule>
    <cfRule type="cellIs" dxfId="111" priority="170" operator="equal">
      <formula>"EARLY"</formula>
    </cfRule>
  </conditionalFormatting>
  <conditionalFormatting sqref="G91:N91">
    <cfRule type="cellIs" dxfId="110" priority="96" operator="equal">
      <formula>"ON TIME"</formula>
    </cfRule>
    <cfRule type="cellIs" dxfId="109" priority="97" operator="equal">
      <formula>"LATE"</formula>
    </cfRule>
    <cfRule type="cellIs" dxfId="108" priority="98" operator="equal">
      <formula>"EARLY"</formula>
    </cfRule>
  </conditionalFormatting>
  <conditionalFormatting sqref="G131:N131">
    <cfRule type="cellIs" dxfId="107" priority="167" operator="equal">
      <formula>"EARLY"</formula>
    </cfRule>
    <cfRule type="cellIs" dxfId="106" priority="166" operator="equal">
      <formula>"LATE"</formula>
    </cfRule>
    <cfRule type="cellIs" dxfId="105" priority="165" operator="equal">
      <formula>"ON TIME"</formula>
    </cfRule>
  </conditionalFormatting>
  <conditionalFormatting sqref="G134:N134">
    <cfRule type="cellIs" dxfId="104" priority="93" operator="equal">
      <formula>"ON TIME"</formula>
    </cfRule>
    <cfRule type="cellIs" dxfId="103" priority="94" operator="equal">
      <formula>"LATE"</formula>
    </cfRule>
    <cfRule type="cellIs" dxfId="102" priority="95" operator="equal">
      <formula>"EARLY"</formula>
    </cfRule>
  </conditionalFormatting>
  <conditionalFormatting sqref="G225:N225">
    <cfRule type="cellIs" dxfId="101" priority="90" operator="equal">
      <formula>"ON TIME"</formula>
    </cfRule>
    <cfRule type="cellIs" dxfId="100" priority="91" operator="equal">
      <formula>"LATE"</formula>
    </cfRule>
    <cfRule type="cellIs" dxfId="99" priority="92" operator="equal">
      <formula>"EARLY"</formula>
    </cfRule>
  </conditionalFormatting>
  <conditionalFormatting sqref="I226">
    <cfRule type="expression" dxfId="98" priority="23">
      <formula>$A226</formula>
    </cfRule>
  </conditionalFormatting>
  <conditionalFormatting sqref="I89:N89">
    <cfRule type="cellIs" dxfId="97" priority="7" operator="lessThanOrEqual">
      <formula>0.0416666666666667</formula>
    </cfRule>
    <cfRule type="cellIs" dxfId="96" priority="6" operator="greaterThan">
      <formula>0.0416666666666667</formula>
    </cfRule>
  </conditionalFormatting>
  <conditionalFormatting sqref="I132:N132">
    <cfRule type="cellIs" dxfId="95" priority="5" operator="lessThanOrEqual">
      <formula>0.0416666666666667</formula>
    </cfRule>
    <cfRule type="cellIs" dxfId="94" priority="4" operator="greaterThan">
      <formula>0.0416666666666667</formula>
    </cfRule>
  </conditionalFormatting>
  <conditionalFormatting sqref="I136:N136">
    <cfRule type="cellIs" dxfId="93" priority="3" operator="lessThanOrEqual">
      <formula>0.0833333333333333</formula>
    </cfRule>
    <cfRule type="cellIs" dxfId="92" priority="2" operator="greaterThan">
      <formula>0.0833333333333333</formula>
    </cfRule>
  </conditionalFormatting>
  <conditionalFormatting sqref="O9">
    <cfRule type="expression" dxfId="91" priority="163">
      <formula>$A$9</formula>
    </cfRule>
  </conditionalFormatting>
  <conditionalFormatting sqref="O72">
    <cfRule type="expression" dxfId="90" priority="162">
      <formula>$A$72</formula>
    </cfRule>
  </conditionalFormatting>
  <conditionalFormatting sqref="O85 O96 O126 O223:O226">
    <cfRule type="expression" dxfId="89" priority="164">
      <formula>$A$85</formula>
    </cfRule>
  </conditionalFormatting>
  <conditionalFormatting sqref="O87">
    <cfRule type="expression" dxfId="88" priority="156">
      <formula>$A$85</formula>
    </cfRule>
  </conditionalFormatting>
  <conditionalFormatting sqref="O93:O94">
    <cfRule type="expression" dxfId="87" priority="161">
      <formula>$A$85</formula>
    </cfRule>
  </conditionalFormatting>
  <conditionalFormatting sqref="O95">
    <cfRule type="expression" dxfId="86" priority="154">
      <formula>$A$72</formula>
    </cfRule>
  </conditionalFormatting>
  <conditionalFormatting sqref="O108">
    <cfRule type="expression" dxfId="85" priority="155">
      <formula>$A$85</formula>
    </cfRule>
  </conditionalFormatting>
  <conditionalFormatting sqref="O114:O119">
    <cfRule type="expression" dxfId="84" priority="158">
      <formula>$A$85</formula>
    </cfRule>
  </conditionalFormatting>
  <conditionalFormatting sqref="O121">
    <cfRule type="expression" dxfId="83" priority="157">
      <formula>$A$85</formula>
    </cfRule>
  </conditionalFormatting>
  <dataValidations count="5">
    <dataValidation type="list" allowBlank="1" showInputMessage="1" showErrorMessage="1" sqref="F251 H250 J250 L250" xr:uid="{08056355-D141-4BB1-BB98-5D2AC4A4DA0C}">
      <formula1>"YES, NO"</formula1>
    </dataValidation>
    <dataValidation type="list" allowBlank="1" showInputMessage="1" showErrorMessage="1" sqref="I75 L75 F75 F207:F208 F210:F214 H251" xr:uid="{A58725D5-F751-4029-BCA9-7DB7E7EC3770}">
      <formula1>"Y, N"</formula1>
    </dataValidation>
    <dataValidation type="list" showInputMessage="1" showErrorMessage="1" sqref="E127 E227 E140" xr:uid="{22AAF0C4-45F8-4F1F-BA79-C42717FE0F35}">
      <formula1>$Q$1:$Q$10</formula1>
    </dataValidation>
    <dataValidation showInputMessage="1" showErrorMessage="1" sqref="D128:D130 N4 L4 J4 F4 F145 D4" xr:uid="{4BA1F0E5-737A-4FB1-96AD-ED2A05693CF9}"/>
    <dataValidation type="list" allowBlank="1" showInputMessage="1" showErrorMessage="1" sqref="D237" xr:uid="{207C0ED7-1503-4B9E-BECE-0574C2188ABD}">
      <formula1>"M Shurmer, A Mustoe, G Self"</formula1>
    </dataValidation>
  </dataValidation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77505" r:id="rId3" name="Check Box 1">
              <controlPr defaultSize="0" autoFill="0" autoLine="0" autoPict="0">
                <anchor moveWithCells="1">
                  <from>
                    <xdr:col>2</xdr:col>
                    <xdr:colOff>523875</xdr:colOff>
                    <xdr:row>17</xdr:row>
                    <xdr:rowOff>0</xdr:rowOff>
                  </from>
                  <to>
                    <xdr:col>2</xdr:col>
                    <xdr:colOff>914400</xdr:colOff>
                    <xdr:row>18</xdr:row>
                    <xdr:rowOff>85725</xdr:rowOff>
                  </to>
                </anchor>
              </controlPr>
            </control>
          </mc:Choice>
        </mc:AlternateContent>
        <mc:AlternateContent xmlns:mc="http://schemas.openxmlformats.org/markup-compatibility/2006">
          <mc:Choice Requires="x14">
            <control shapeId="277506" r:id="rId4" name="Check Box 2">
              <controlPr defaultSize="0" autoFill="0" autoLine="0" autoPict="0">
                <anchor moveWithCells="1">
                  <from>
                    <xdr:col>2</xdr:col>
                    <xdr:colOff>523875</xdr:colOff>
                    <xdr:row>17</xdr:row>
                    <xdr:rowOff>190500</xdr:rowOff>
                  </from>
                  <to>
                    <xdr:col>2</xdr:col>
                    <xdr:colOff>914400</xdr:colOff>
                    <xdr:row>19</xdr:row>
                    <xdr:rowOff>38100</xdr:rowOff>
                  </to>
                </anchor>
              </controlPr>
            </control>
          </mc:Choice>
        </mc:AlternateContent>
        <mc:AlternateContent xmlns:mc="http://schemas.openxmlformats.org/markup-compatibility/2006">
          <mc:Choice Requires="x14">
            <control shapeId="277507" r:id="rId5" name="Check Box 3">
              <controlPr defaultSize="0" autoFill="0" autoLine="0" autoPict="0">
                <anchor moveWithCells="1">
                  <from>
                    <xdr:col>2</xdr:col>
                    <xdr:colOff>533400</xdr:colOff>
                    <xdr:row>68</xdr:row>
                    <xdr:rowOff>0</xdr:rowOff>
                  </from>
                  <to>
                    <xdr:col>2</xdr:col>
                    <xdr:colOff>914400</xdr:colOff>
                    <xdr:row>69</xdr:row>
                    <xdr:rowOff>38100</xdr:rowOff>
                  </to>
                </anchor>
              </controlPr>
            </control>
          </mc:Choice>
        </mc:AlternateContent>
        <mc:AlternateContent xmlns:mc="http://schemas.openxmlformats.org/markup-compatibility/2006">
          <mc:Choice Requires="x14">
            <control shapeId="277508" r:id="rId6" name="Check Box 4">
              <controlPr defaultSize="0" autoFill="0" autoLine="0" autoPict="0">
                <anchor moveWithCells="1">
                  <from>
                    <xdr:col>2</xdr:col>
                    <xdr:colOff>523875</xdr:colOff>
                    <xdr:row>62</xdr:row>
                    <xdr:rowOff>190500</xdr:rowOff>
                  </from>
                  <to>
                    <xdr:col>2</xdr:col>
                    <xdr:colOff>914400</xdr:colOff>
                    <xdr:row>64</xdr:row>
                    <xdr:rowOff>47625</xdr:rowOff>
                  </to>
                </anchor>
              </controlPr>
            </control>
          </mc:Choice>
        </mc:AlternateContent>
        <mc:AlternateContent xmlns:mc="http://schemas.openxmlformats.org/markup-compatibility/2006">
          <mc:Choice Requires="x14">
            <control shapeId="277509" r:id="rId7" name="Check Box 5">
              <controlPr locked="0" defaultSize="0" autoFill="0" autoLine="0" autoPict="0">
                <anchor moveWithCells="1">
                  <from>
                    <xdr:col>2</xdr:col>
                    <xdr:colOff>533400</xdr:colOff>
                    <xdr:row>23</xdr:row>
                    <xdr:rowOff>161925</xdr:rowOff>
                  </from>
                  <to>
                    <xdr:col>2</xdr:col>
                    <xdr:colOff>942975</xdr:colOff>
                    <xdr:row>25</xdr:row>
                    <xdr:rowOff>66675</xdr:rowOff>
                  </to>
                </anchor>
              </controlPr>
            </control>
          </mc:Choice>
        </mc:AlternateContent>
        <mc:AlternateContent xmlns:mc="http://schemas.openxmlformats.org/markup-compatibility/2006">
          <mc:Choice Requires="x14">
            <control shapeId="277510" r:id="rId8" name="Check Box 6">
              <controlPr defaultSize="0" autoFill="0" autoLine="0" autoPict="0">
                <anchor moveWithCells="1">
                  <from>
                    <xdr:col>2</xdr:col>
                    <xdr:colOff>533400</xdr:colOff>
                    <xdr:row>25</xdr:row>
                    <xdr:rowOff>152400</xdr:rowOff>
                  </from>
                  <to>
                    <xdr:col>2</xdr:col>
                    <xdr:colOff>1019175</xdr:colOff>
                    <xdr:row>27</xdr:row>
                    <xdr:rowOff>114300</xdr:rowOff>
                  </to>
                </anchor>
              </controlPr>
            </control>
          </mc:Choice>
        </mc:AlternateContent>
        <mc:AlternateContent xmlns:mc="http://schemas.openxmlformats.org/markup-compatibility/2006">
          <mc:Choice Requires="x14">
            <control shapeId="277511" r:id="rId9" name="Check Box 7">
              <controlPr defaultSize="0" autoFill="0" autoLine="0" autoPict="0">
                <anchor moveWithCells="1">
                  <from>
                    <xdr:col>2</xdr:col>
                    <xdr:colOff>552450</xdr:colOff>
                    <xdr:row>93</xdr:row>
                    <xdr:rowOff>19050</xdr:rowOff>
                  </from>
                  <to>
                    <xdr:col>2</xdr:col>
                    <xdr:colOff>914400</xdr:colOff>
                    <xdr:row>94</xdr:row>
                    <xdr:rowOff>38100</xdr:rowOff>
                  </to>
                </anchor>
              </controlPr>
            </control>
          </mc:Choice>
        </mc:AlternateContent>
        <mc:AlternateContent xmlns:mc="http://schemas.openxmlformats.org/markup-compatibility/2006">
          <mc:Choice Requires="x14">
            <control shapeId="277512" r:id="rId10" name="Check Box 8">
              <controlPr locked="0" defaultSize="0" autoFill="0" autoLine="0" autoPict="0">
                <anchor moveWithCells="1">
                  <from>
                    <xdr:col>2</xdr:col>
                    <xdr:colOff>533400</xdr:colOff>
                    <xdr:row>55</xdr:row>
                    <xdr:rowOff>152400</xdr:rowOff>
                  </from>
                  <to>
                    <xdr:col>2</xdr:col>
                    <xdr:colOff>942975</xdr:colOff>
                    <xdr:row>57</xdr:row>
                    <xdr:rowOff>85725</xdr:rowOff>
                  </to>
                </anchor>
              </controlPr>
            </control>
          </mc:Choice>
        </mc:AlternateContent>
        <mc:AlternateContent xmlns:mc="http://schemas.openxmlformats.org/markup-compatibility/2006">
          <mc:Choice Requires="x14">
            <control shapeId="277513" r:id="rId11" name="Check Box 9">
              <controlPr locked="0" defaultSize="0" autoFill="0" autoLine="0" autoPict="0">
                <anchor moveWithCells="1">
                  <from>
                    <xdr:col>2</xdr:col>
                    <xdr:colOff>533400</xdr:colOff>
                    <xdr:row>38</xdr:row>
                    <xdr:rowOff>180975</xdr:rowOff>
                  </from>
                  <to>
                    <xdr:col>2</xdr:col>
                    <xdr:colOff>942975</xdr:colOff>
                    <xdr:row>40</xdr:row>
                    <xdr:rowOff>76200</xdr:rowOff>
                  </to>
                </anchor>
              </controlPr>
            </control>
          </mc:Choice>
        </mc:AlternateContent>
        <mc:AlternateContent xmlns:mc="http://schemas.openxmlformats.org/markup-compatibility/2006">
          <mc:Choice Requires="x14">
            <control shapeId="277514" r:id="rId12" name="Check Box 10">
              <controlPr locked="0" defaultSize="0" autoFill="0" autoLine="0" autoPict="0">
                <anchor moveWithCells="1">
                  <from>
                    <xdr:col>2</xdr:col>
                    <xdr:colOff>552450</xdr:colOff>
                    <xdr:row>74</xdr:row>
                    <xdr:rowOff>171450</xdr:rowOff>
                  </from>
                  <to>
                    <xdr:col>2</xdr:col>
                    <xdr:colOff>962025</xdr:colOff>
                    <xdr:row>76</xdr:row>
                    <xdr:rowOff>57150</xdr:rowOff>
                  </to>
                </anchor>
              </controlPr>
            </control>
          </mc:Choice>
        </mc:AlternateContent>
        <mc:AlternateContent xmlns:mc="http://schemas.openxmlformats.org/markup-compatibility/2006">
          <mc:Choice Requires="x14">
            <control shapeId="277515" r:id="rId13" name="Check Box 11">
              <controlPr defaultSize="0" autoFill="0" autoLine="0" autoPict="0">
                <anchor moveWithCells="1">
                  <from>
                    <xdr:col>2</xdr:col>
                    <xdr:colOff>533400</xdr:colOff>
                    <xdr:row>30</xdr:row>
                    <xdr:rowOff>190500</xdr:rowOff>
                  </from>
                  <to>
                    <xdr:col>2</xdr:col>
                    <xdr:colOff>1019175</xdr:colOff>
                    <xdr:row>32</xdr:row>
                    <xdr:rowOff>66675</xdr:rowOff>
                  </to>
                </anchor>
              </controlPr>
            </control>
          </mc:Choice>
        </mc:AlternateContent>
        <mc:AlternateContent xmlns:mc="http://schemas.openxmlformats.org/markup-compatibility/2006">
          <mc:Choice Requires="x14">
            <control shapeId="277516" r:id="rId14" name="Check Box 12">
              <controlPr defaultSize="0" autoFill="0" autoLine="0" autoPict="0">
                <anchor moveWithCells="1">
                  <from>
                    <xdr:col>2</xdr:col>
                    <xdr:colOff>533400</xdr:colOff>
                    <xdr:row>44</xdr:row>
                    <xdr:rowOff>171450</xdr:rowOff>
                  </from>
                  <to>
                    <xdr:col>2</xdr:col>
                    <xdr:colOff>1019175</xdr:colOff>
                    <xdr:row>46</xdr:row>
                    <xdr:rowOff>57150</xdr:rowOff>
                  </to>
                </anchor>
              </controlPr>
            </control>
          </mc:Choice>
        </mc:AlternateContent>
        <mc:AlternateContent xmlns:mc="http://schemas.openxmlformats.org/markup-compatibility/2006">
          <mc:Choice Requires="x14">
            <control shapeId="277517" r:id="rId15" name="Check Box 13">
              <controlPr defaultSize="0" autoFill="0" autoLine="0" autoPict="0">
                <anchor moveWithCells="1">
                  <from>
                    <xdr:col>2</xdr:col>
                    <xdr:colOff>552450</xdr:colOff>
                    <xdr:row>69</xdr:row>
                    <xdr:rowOff>247650</xdr:rowOff>
                  </from>
                  <to>
                    <xdr:col>2</xdr:col>
                    <xdr:colOff>1038225</xdr:colOff>
                    <xdr:row>71</xdr:row>
                    <xdr:rowOff>66675</xdr:rowOff>
                  </to>
                </anchor>
              </controlPr>
            </control>
          </mc:Choice>
        </mc:AlternateContent>
        <mc:AlternateContent xmlns:mc="http://schemas.openxmlformats.org/markup-compatibility/2006">
          <mc:Choice Requires="x14">
            <control shapeId="277518" r:id="rId16" name="Check Box 14">
              <controlPr defaultSize="0" autoFill="0" autoLine="0" autoPict="0">
                <anchor moveWithCells="1">
                  <from>
                    <xdr:col>2</xdr:col>
                    <xdr:colOff>552450</xdr:colOff>
                    <xdr:row>102</xdr:row>
                    <xdr:rowOff>19050</xdr:rowOff>
                  </from>
                  <to>
                    <xdr:col>2</xdr:col>
                    <xdr:colOff>914400</xdr:colOff>
                    <xdr:row>103</xdr:row>
                    <xdr:rowOff>38100</xdr:rowOff>
                  </to>
                </anchor>
              </controlPr>
            </control>
          </mc:Choice>
        </mc:AlternateContent>
        <mc:AlternateContent xmlns:mc="http://schemas.openxmlformats.org/markup-compatibility/2006">
          <mc:Choice Requires="x14">
            <control shapeId="277519" r:id="rId17" name="Check Box 15">
              <controlPr defaultSize="0" autoFill="0" autoLine="0" autoPict="0">
                <anchor moveWithCells="1">
                  <from>
                    <xdr:col>2</xdr:col>
                    <xdr:colOff>552450</xdr:colOff>
                    <xdr:row>107</xdr:row>
                    <xdr:rowOff>19050</xdr:rowOff>
                  </from>
                  <to>
                    <xdr:col>2</xdr:col>
                    <xdr:colOff>914400</xdr:colOff>
                    <xdr:row>108</xdr:row>
                    <xdr:rowOff>38100</xdr:rowOff>
                  </to>
                </anchor>
              </controlPr>
            </control>
          </mc:Choice>
        </mc:AlternateContent>
        <mc:AlternateContent xmlns:mc="http://schemas.openxmlformats.org/markup-compatibility/2006">
          <mc:Choice Requires="x14">
            <control shapeId="277520" r:id="rId18" name="Check Box 16">
              <controlPr defaultSize="0" autoFill="0" autoLine="0" autoPict="0">
                <anchor moveWithCells="1">
                  <from>
                    <xdr:col>2</xdr:col>
                    <xdr:colOff>552450</xdr:colOff>
                    <xdr:row>103</xdr:row>
                    <xdr:rowOff>19050</xdr:rowOff>
                  </from>
                  <to>
                    <xdr:col>2</xdr:col>
                    <xdr:colOff>914400</xdr:colOff>
                    <xdr:row>104</xdr:row>
                    <xdr:rowOff>38100</xdr:rowOff>
                  </to>
                </anchor>
              </controlPr>
            </control>
          </mc:Choice>
        </mc:AlternateContent>
        <mc:AlternateContent xmlns:mc="http://schemas.openxmlformats.org/markup-compatibility/2006">
          <mc:Choice Requires="x14">
            <control shapeId="277521" r:id="rId19" name="Check Box 17">
              <controlPr defaultSize="0" autoFill="0" autoLine="0" autoPict="0">
                <anchor moveWithCells="1">
                  <from>
                    <xdr:col>2</xdr:col>
                    <xdr:colOff>552450</xdr:colOff>
                    <xdr:row>108</xdr:row>
                    <xdr:rowOff>19050</xdr:rowOff>
                  </from>
                  <to>
                    <xdr:col>2</xdr:col>
                    <xdr:colOff>914400</xdr:colOff>
                    <xdr:row>109</xdr:row>
                    <xdr:rowOff>38100</xdr:rowOff>
                  </to>
                </anchor>
              </controlPr>
            </control>
          </mc:Choice>
        </mc:AlternateContent>
        <mc:AlternateContent xmlns:mc="http://schemas.openxmlformats.org/markup-compatibility/2006">
          <mc:Choice Requires="x14">
            <control shapeId="277522" r:id="rId20" name="Check Box 18">
              <controlPr defaultSize="0" autoFill="0" autoLine="0" autoPict="0">
                <anchor moveWithCells="1">
                  <from>
                    <xdr:col>2</xdr:col>
                    <xdr:colOff>552450</xdr:colOff>
                    <xdr:row>109</xdr:row>
                    <xdr:rowOff>28575</xdr:rowOff>
                  </from>
                  <to>
                    <xdr:col>2</xdr:col>
                    <xdr:colOff>914400</xdr:colOff>
                    <xdr:row>110</xdr:row>
                    <xdr:rowOff>38100</xdr:rowOff>
                  </to>
                </anchor>
              </controlPr>
            </control>
          </mc:Choice>
        </mc:AlternateContent>
        <mc:AlternateContent xmlns:mc="http://schemas.openxmlformats.org/markup-compatibility/2006">
          <mc:Choice Requires="x14">
            <control shapeId="277523" r:id="rId21" name="Check Box 19">
              <controlPr defaultSize="0" autoFill="0" autoLine="0" autoPict="0">
                <anchor moveWithCells="1">
                  <from>
                    <xdr:col>2</xdr:col>
                    <xdr:colOff>552450</xdr:colOff>
                    <xdr:row>106</xdr:row>
                    <xdr:rowOff>19050</xdr:rowOff>
                  </from>
                  <to>
                    <xdr:col>2</xdr:col>
                    <xdr:colOff>914400</xdr:colOff>
                    <xdr:row>107</xdr:row>
                    <xdr:rowOff>38100</xdr:rowOff>
                  </to>
                </anchor>
              </controlPr>
            </control>
          </mc:Choice>
        </mc:AlternateContent>
        <mc:AlternateContent xmlns:mc="http://schemas.openxmlformats.org/markup-compatibility/2006">
          <mc:Choice Requires="x14">
            <control shapeId="277524" r:id="rId22" name="Check Box 20">
              <controlPr defaultSize="0" autoFill="0" autoLine="0" autoPict="0">
                <anchor moveWithCells="1">
                  <from>
                    <xdr:col>2</xdr:col>
                    <xdr:colOff>552450</xdr:colOff>
                    <xdr:row>113</xdr:row>
                    <xdr:rowOff>19050</xdr:rowOff>
                  </from>
                  <to>
                    <xdr:col>2</xdr:col>
                    <xdr:colOff>914400</xdr:colOff>
                    <xdr:row>114</xdr:row>
                    <xdr:rowOff>38100</xdr:rowOff>
                  </to>
                </anchor>
              </controlPr>
            </control>
          </mc:Choice>
        </mc:AlternateContent>
        <mc:AlternateContent xmlns:mc="http://schemas.openxmlformats.org/markup-compatibility/2006">
          <mc:Choice Requires="x14">
            <control shapeId="277525" r:id="rId23" name="Check Box 21">
              <controlPr defaultSize="0" autoFill="0" autoLine="0" autoPict="0">
                <anchor moveWithCells="1">
                  <from>
                    <xdr:col>2</xdr:col>
                    <xdr:colOff>552450</xdr:colOff>
                    <xdr:row>116</xdr:row>
                    <xdr:rowOff>28575</xdr:rowOff>
                  </from>
                  <to>
                    <xdr:col>2</xdr:col>
                    <xdr:colOff>914400</xdr:colOff>
                    <xdr:row>117</xdr:row>
                    <xdr:rowOff>38100</xdr:rowOff>
                  </to>
                </anchor>
              </controlPr>
            </control>
          </mc:Choice>
        </mc:AlternateContent>
        <mc:AlternateContent xmlns:mc="http://schemas.openxmlformats.org/markup-compatibility/2006">
          <mc:Choice Requires="x14">
            <control shapeId="277526" r:id="rId24" name="Check Box 22">
              <controlPr defaultSize="0" autoFill="0" autoLine="0" autoPict="0">
                <anchor moveWithCells="1">
                  <from>
                    <xdr:col>2</xdr:col>
                    <xdr:colOff>552450</xdr:colOff>
                    <xdr:row>117</xdr:row>
                    <xdr:rowOff>28575</xdr:rowOff>
                  </from>
                  <to>
                    <xdr:col>2</xdr:col>
                    <xdr:colOff>914400</xdr:colOff>
                    <xdr:row>118</xdr:row>
                    <xdr:rowOff>38100</xdr:rowOff>
                  </to>
                </anchor>
              </controlPr>
            </control>
          </mc:Choice>
        </mc:AlternateContent>
        <mc:AlternateContent xmlns:mc="http://schemas.openxmlformats.org/markup-compatibility/2006">
          <mc:Choice Requires="x14">
            <control shapeId="277527" r:id="rId25" name="Check Box 23">
              <controlPr defaultSize="0" autoFill="0" autoLine="0" autoPict="0">
                <anchor moveWithCells="1">
                  <from>
                    <xdr:col>2</xdr:col>
                    <xdr:colOff>552450</xdr:colOff>
                    <xdr:row>118</xdr:row>
                    <xdr:rowOff>28575</xdr:rowOff>
                  </from>
                  <to>
                    <xdr:col>2</xdr:col>
                    <xdr:colOff>914400</xdr:colOff>
                    <xdr:row>119</xdr:row>
                    <xdr:rowOff>38100</xdr:rowOff>
                  </to>
                </anchor>
              </controlPr>
            </control>
          </mc:Choice>
        </mc:AlternateContent>
        <mc:AlternateContent xmlns:mc="http://schemas.openxmlformats.org/markup-compatibility/2006">
          <mc:Choice Requires="x14">
            <control shapeId="277528" r:id="rId26" name="Check Box 24">
              <controlPr defaultSize="0" autoFill="0" autoLine="0" autoPict="0">
                <anchor moveWithCells="1">
                  <from>
                    <xdr:col>2</xdr:col>
                    <xdr:colOff>561975</xdr:colOff>
                    <xdr:row>120</xdr:row>
                    <xdr:rowOff>9525</xdr:rowOff>
                  </from>
                  <to>
                    <xdr:col>2</xdr:col>
                    <xdr:colOff>942975</xdr:colOff>
                    <xdr:row>121</xdr:row>
                    <xdr:rowOff>28575</xdr:rowOff>
                  </to>
                </anchor>
              </controlPr>
            </control>
          </mc:Choice>
        </mc:AlternateContent>
        <mc:AlternateContent xmlns:mc="http://schemas.openxmlformats.org/markup-compatibility/2006">
          <mc:Choice Requires="x14">
            <control shapeId="277529" r:id="rId27" name="Check Box 25">
              <controlPr defaultSize="0" autoFill="0" autoLine="0" autoPict="0">
                <anchor moveWithCells="1">
                  <from>
                    <xdr:col>2</xdr:col>
                    <xdr:colOff>552450</xdr:colOff>
                    <xdr:row>92</xdr:row>
                    <xdr:rowOff>19050</xdr:rowOff>
                  </from>
                  <to>
                    <xdr:col>2</xdr:col>
                    <xdr:colOff>914400</xdr:colOff>
                    <xdr:row>93</xdr:row>
                    <xdr:rowOff>38100</xdr:rowOff>
                  </to>
                </anchor>
              </controlPr>
            </control>
          </mc:Choice>
        </mc:AlternateContent>
        <mc:AlternateContent xmlns:mc="http://schemas.openxmlformats.org/markup-compatibility/2006">
          <mc:Choice Requires="x14">
            <control shapeId="277530" r:id="rId28" name="Check Box 26">
              <controlPr defaultSize="0" autoFill="0" autoLine="0" autoPict="0">
                <anchor moveWithCells="1">
                  <from>
                    <xdr:col>2</xdr:col>
                    <xdr:colOff>533400</xdr:colOff>
                    <xdr:row>52</xdr:row>
                    <xdr:rowOff>161925</xdr:rowOff>
                  </from>
                  <to>
                    <xdr:col>2</xdr:col>
                    <xdr:colOff>923925</xdr:colOff>
                    <xdr:row>54</xdr:row>
                    <xdr:rowOff>76200</xdr:rowOff>
                  </to>
                </anchor>
              </controlPr>
            </control>
          </mc:Choice>
        </mc:AlternateContent>
        <mc:AlternateContent xmlns:mc="http://schemas.openxmlformats.org/markup-compatibility/2006">
          <mc:Choice Requires="x14">
            <control shapeId="277531" r:id="rId29" name="Check Box 27">
              <controlPr locked="0" defaultSize="0" autoFill="0" autoLine="0" autoPict="0">
                <anchor moveWithCells="1">
                  <from>
                    <xdr:col>2</xdr:col>
                    <xdr:colOff>552450</xdr:colOff>
                    <xdr:row>80</xdr:row>
                    <xdr:rowOff>238125</xdr:rowOff>
                  </from>
                  <to>
                    <xdr:col>2</xdr:col>
                    <xdr:colOff>962025</xdr:colOff>
                    <xdr:row>82</xdr:row>
                    <xdr:rowOff>66675</xdr:rowOff>
                  </to>
                </anchor>
              </controlPr>
            </control>
          </mc:Choice>
        </mc:AlternateContent>
        <mc:AlternateContent xmlns:mc="http://schemas.openxmlformats.org/markup-compatibility/2006">
          <mc:Choice Requires="x14">
            <control shapeId="277532" r:id="rId30" name="Check Box 28">
              <controlPr locked="0" defaultSize="0" autoFill="0" autoLine="0" autoPict="0">
                <anchor moveWithCells="1">
                  <from>
                    <xdr:col>2</xdr:col>
                    <xdr:colOff>552450</xdr:colOff>
                    <xdr:row>70</xdr:row>
                    <xdr:rowOff>180975</xdr:rowOff>
                  </from>
                  <to>
                    <xdr:col>2</xdr:col>
                    <xdr:colOff>962025</xdr:colOff>
                    <xdr:row>72</xdr:row>
                    <xdr:rowOff>76200</xdr:rowOff>
                  </to>
                </anchor>
              </controlPr>
            </control>
          </mc:Choice>
        </mc:AlternateContent>
        <mc:AlternateContent xmlns:mc="http://schemas.openxmlformats.org/markup-compatibility/2006">
          <mc:Choice Requires="x14">
            <control shapeId="277533" r:id="rId31" name="Check Box 29">
              <controlPr locked="0" defaultSize="0" autoFill="0" autoLine="0" autoPict="0">
                <anchor moveWithCells="1">
                  <from>
                    <xdr:col>2</xdr:col>
                    <xdr:colOff>552450</xdr:colOff>
                    <xdr:row>81</xdr:row>
                    <xdr:rowOff>180975</xdr:rowOff>
                  </from>
                  <to>
                    <xdr:col>2</xdr:col>
                    <xdr:colOff>962025</xdr:colOff>
                    <xdr:row>83</xdr:row>
                    <xdr:rowOff>76200</xdr:rowOff>
                  </to>
                </anchor>
              </controlPr>
            </control>
          </mc:Choice>
        </mc:AlternateContent>
        <mc:AlternateContent xmlns:mc="http://schemas.openxmlformats.org/markup-compatibility/2006">
          <mc:Choice Requires="x14">
            <control shapeId="277534" r:id="rId32" name="Check Box 30">
              <controlPr locked="0" defaultSize="0" autoFill="0" autoLine="0" autoPict="0">
                <anchor moveWithCells="1">
                  <from>
                    <xdr:col>2</xdr:col>
                    <xdr:colOff>561975</xdr:colOff>
                    <xdr:row>83</xdr:row>
                    <xdr:rowOff>0</xdr:rowOff>
                  </from>
                  <to>
                    <xdr:col>2</xdr:col>
                    <xdr:colOff>962025</xdr:colOff>
                    <xdr:row>84</xdr:row>
                    <xdr:rowOff>66675</xdr:rowOff>
                  </to>
                </anchor>
              </controlPr>
            </control>
          </mc:Choice>
        </mc:AlternateContent>
        <mc:AlternateContent xmlns:mc="http://schemas.openxmlformats.org/markup-compatibility/2006">
          <mc:Choice Requires="x14">
            <control shapeId="277535" r:id="rId33" name="Check Box 31">
              <controlPr locked="0" defaultSize="0" autoFill="0" autoLine="0" autoPict="0">
                <anchor moveWithCells="1">
                  <from>
                    <xdr:col>2</xdr:col>
                    <xdr:colOff>561975</xdr:colOff>
                    <xdr:row>84</xdr:row>
                    <xdr:rowOff>0</xdr:rowOff>
                  </from>
                  <to>
                    <xdr:col>2</xdr:col>
                    <xdr:colOff>962025</xdr:colOff>
                    <xdr:row>85</xdr:row>
                    <xdr:rowOff>66675</xdr:rowOff>
                  </to>
                </anchor>
              </controlPr>
            </control>
          </mc:Choice>
        </mc:AlternateContent>
        <mc:AlternateContent xmlns:mc="http://schemas.openxmlformats.org/markup-compatibility/2006">
          <mc:Choice Requires="x14">
            <control shapeId="277536" r:id="rId34" name="Check Box 32">
              <controlPr defaultSize="0" autoFill="0" autoLine="0" autoPict="0">
                <anchor moveWithCells="1">
                  <from>
                    <xdr:col>2</xdr:col>
                    <xdr:colOff>542925</xdr:colOff>
                    <xdr:row>111</xdr:row>
                    <xdr:rowOff>9525</xdr:rowOff>
                  </from>
                  <to>
                    <xdr:col>2</xdr:col>
                    <xdr:colOff>904875</xdr:colOff>
                    <xdr:row>112</xdr:row>
                    <xdr:rowOff>28575</xdr:rowOff>
                  </to>
                </anchor>
              </controlPr>
            </control>
          </mc:Choice>
        </mc:AlternateContent>
        <mc:AlternateContent xmlns:mc="http://schemas.openxmlformats.org/markup-compatibility/2006">
          <mc:Choice Requires="x14">
            <control shapeId="277537" r:id="rId35" name="Check Box 33">
              <controlPr defaultSize="0" autoFill="0" autoLine="0" autoPict="0">
                <anchor moveWithCells="1">
                  <from>
                    <xdr:col>2</xdr:col>
                    <xdr:colOff>552450</xdr:colOff>
                    <xdr:row>105</xdr:row>
                    <xdr:rowOff>19050</xdr:rowOff>
                  </from>
                  <to>
                    <xdr:col>2</xdr:col>
                    <xdr:colOff>914400</xdr:colOff>
                    <xdr:row>106</xdr:row>
                    <xdr:rowOff>38100</xdr:rowOff>
                  </to>
                </anchor>
              </controlPr>
            </control>
          </mc:Choice>
        </mc:AlternateContent>
        <mc:AlternateContent xmlns:mc="http://schemas.openxmlformats.org/markup-compatibility/2006">
          <mc:Choice Requires="x14">
            <control shapeId="277538" r:id="rId36" name="Check Box 34">
              <controlPr defaultSize="0" autoFill="0" autoLine="0" autoPict="0">
                <anchor moveWithCells="1">
                  <from>
                    <xdr:col>2</xdr:col>
                    <xdr:colOff>561975</xdr:colOff>
                    <xdr:row>125</xdr:row>
                    <xdr:rowOff>9525</xdr:rowOff>
                  </from>
                  <to>
                    <xdr:col>2</xdr:col>
                    <xdr:colOff>942975</xdr:colOff>
                    <xdr:row>126</xdr:row>
                    <xdr:rowOff>57150</xdr:rowOff>
                  </to>
                </anchor>
              </controlPr>
            </control>
          </mc:Choice>
        </mc:AlternateContent>
        <mc:AlternateContent xmlns:mc="http://schemas.openxmlformats.org/markup-compatibility/2006">
          <mc:Choice Requires="x14">
            <control shapeId="277539" r:id="rId37" name="Check Box 35">
              <controlPr locked="0" defaultSize="0" autoFill="0" autoLine="0" autoPict="0">
                <anchor moveWithCells="1">
                  <from>
                    <xdr:col>2</xdr:col>
                    <xdr:colOff>561975</xdr:colOff>
                    <xdr:row>84</xdr:row>
                    <xdr:rowOff>0</xdr:rowOff>
                  </from>
                  <to>
                    <xdr:col>2</xdr:col>
                    <xdr:colOff>962025</xdr:colOff>
                    <xdr:row>85</xdr:row>
                    <xdr:rowOff>66675</xdr:rowOff>
                  </to>
                </anchor>
              </controlPr>
            </control>
          </mc:Choice>
        </mc:AlternateContent>
        <mc:AlternateContent xmlns:mc="http://schemas.openxmlformats.org/markup-compatibility/2006">
          <mc:Choice Requires="x14">
            <control shapeId="277540" r:id="rId38" name="Check Box 36">
              <controlPr locked="0" defaultSize="0" autoFill="0" autoLine="0" autoPict="0">
                <anchor moveWithCells="1">
                  <from>
                    <xdr:col>2</xdr:col>
                    <xdr:colOff>561975</xdr:colOff>
                    <xdr:row>86</xdr:row>
                    <xdr:rowOff>0</xdr:rowOff>
                  </from>
                  <to>
                    <xdr:col>2</xdr:col>
                    <xdr:colOff>962025</xdr:colOff>
                    <xdr:row>87</xdr:row>
                    <xdr:rowOff>66675</xdr:rowOff>
                  </to>
                </anchor>
              </controlPr>
            </control>
          </mc:Choice>
        </mc:AlternateContent>
        <mc:AlternateContent xmlns:mc="http://schemas.openxmlformats.org/markup-compatibility/2006">
          <mc:Choice Requires="x14">
            <control shapeId="277541" r:id="rId39" name="Check Box 37">
              <controlPr defaultSize="0" autoFill="0" autoLine="0" autoPict="0">
                <anchor moveWithCells="1">
                  <from>
                    <xdr:col>2</xdr:col>
                    <xdr:colOff>533400</xdr:colOff>
                    <xdr:row>63</xdr:row>
                    <xdr:rowOff>180975</xdr:rowOff>
                  </from>
                  <to>
                    <xdr:col>2</xdr:col>
                    <xdr:colOff>923925</xdr:colOff>
                    <xdr:row>65</xdr:row>
                    <xdr:rowOff>47625</xdr:rowOff>
                  </to>
                </anchor>
              </controlPr>
            </control>
          </mc:Choice>
        </mc:AlternateContent>
        <mc:AlternateContent xmlns:mc="http://schemas.openxmlformats.org/markup-compatibility/2006">
          <mc:Choice Requires="x14">
            <control shapeId="277542" r:id="rId40" name="Check Box 38">
              <controlPr locked="0" defaultSize="0" autoFill="0" autoLine="0" autoPict="0">
                <anchor moveWithCells="1">
                  <from>
                    <xdr:col>2</xdr:col>
                    <xdr:colOff>552450</xdr:colOff>
                    <xdr:row>72</xdr:row>
                    <xdr:rowOff>180975</xdr:rowOff>
                  </from>
                  <to>
                    <xdr:col>2</xdr:col>
                    <xdr:colOff>962025</xdr:colOff>
                    <xdr:row>74</xdr:row>
                    <xdr:rowOff>76200</xdr:rowOff>
                  </to>
                </anchor>
              </controlPr>
            </control>
          </mc:Choice>
        </mc:AlternateContent>
        <mc:AlternateContent xmlns:mc="http://schemas.openxmlformats.org/markup-compatibility/2006">
          <mc:Choice Requires="x14">
            <control shapeId="277543" r:id="rId41" name="Check Box 39">
              <controlPr locked="0" defaultSize="0" autoFill="0" autoLine="0" autoPict="0">
                <anchor moveWithCells="1">
                  <from>
                    <xdr:col>2</xdr:col>
                    <xdr:colOff>552450</xdr:colOff>
                    <xdr:row>71</xdr:row>
                    <xdr:rowOff>180975</xdr:rowOff>
                  </from>
                  <to>
                    <xdr:col>2</xdr:col>
                    <xdr:colOff>962025</xdr:colOff>
                    <xdr:row>73</xdr:row>
                    <xdr:rowOff>76200</xdr:rowOff>
                  </to>
                </anchor>
              </controlPr>
            </control>
          </mc:Choice>
        </mc:AlternateContent>
        <mc:AlternateContent xmlns:mc="http://schemas.openxmlformats.org/markup-compatibility/2006">
          <mc:Choice Requires="x14">
            <control shapeId="277544" r:id="rId42" name="Check Box 40">
              <controlPr defaultSize="0" autoFill="0" autoLine="0" autoPict="0">
                <anchor moveWithCells="1">
                  <from>
                    <xdr:col>2</xdr:col>
                    <xdr:colOff>552450</xdr:colOff>
                    <xdr:row>105</xdr:row>
                    <xdr:rowOff>19050</xdr:rowOff>
                  </from>
                  <to>
                    <xdr:col>2</xdr:col>
                    <xdr:colOff>914400</xdr:colOff>
                    <xdr:row>106</xdr:row>
                    <xdr:rowOff>38100</xdr:rowOff>
                  </to>
                </anchor>
              </controlPr>
            </control>
          </mc:Choice>
        </mc:AlternateContent>
        <mc:AlternateContent xmlns:mc="http://schemas.openxmlformats.org/markup-compatibility/2006">
          <mc:Choice Requires="x14">
            <control shapeId="277545" r:id="rId43" name="Check Box 41">
              <controlPr defaultSize="0" autoFill="0" autoLine="0" autoPict="0">
                <anchor moveWithCells="1">
                  <from>
                    <xdr:col>2</xdr:col>
                    <xdr:colOff>552450</xdr:colOff>
                    <xdr:row>112</xdr:row>
                    <xdr:rowOff>28575</xdr:rowOff>
                  </from>
                  <to>
                    <xdr:col>2</xdr:col>
                    <xdr:colOff>914400</xdr:colOff>
                    <xdr:row>113</xdr:row>
                    <xdr:rowOff>38100</xdr:rowOff>
                  </to>
                </anchor>
              </controlPr>
            </control>
          </mc:Choice>
        </mc:AlternateContent>
        <mc:AlternateContent xmlns:mc="http://schemas.openxmlformats.org/markup-compatibility/2006">
          <mc:Choice Requires="x14">
            <control shapeId="277546" r:id="rId44" name="Check Box 42">
              <controlPr defaultSize="0" autoFill="0" autoLine="0" autoPict="0">
                <anchor moveWithCells="1">
                  <from>
                    <xdr:col>2</xdr:col>
                    <xdr:colOff>552450</xdr:colOff>
                    <xdr:row>94</xdr:row>
                    <xdr:rowOff>19050</xdr:rowOff>
                  </from>
                  <to>
                    <xdr:col>2</xdr:col>
                    <xdr:colOff>914400</xdr:colOff>
                    <xdr:row>95</xdr:row>
                    <xdr:rowOff>38100</xdr:rowOff>
                  </to>
                </anchor>
              </controlPr>
            </control>
          </mc:Choice>
        </mc:AlternateContent>
        <mc:AlternateContent xmlns:mc="http://schemas.openxmlformats.org/markup-compatibility/2006">
          <mc:Choice Requires="x14">
            <control shapeId="277547" r:id="rId45" name="Check Box 43">
              <controlPr locked="0" defaultSize="0" autoFill="0" autoLine="0" autoPict="0">
                <anchor moveWithCells="1">
                  <from>
                    <xdr:col>2</xdr:col>
                    <xdr:colOff>552450</xdr:colOff>
                    <xdr:row>95</xdr:row>
                    <xdr:rowOff>238125</xdr:rowOff>
                  </from>
                  <to>
                    <xdr:col>2</xdr:col>
                    <xdr:colOff>962025</xdr:colOff>
                    <xdr:row>97</xdr:row>
                    <xdr:rowOff>66675</xdr:rowOff>
                  </to>
                </anchor>
              </controlPr>
            </control>
          </mc:Choice>
        </mc:AlternateContent>
        <mc:AlternateContent xmlns:mc="http://schemas.openxmlformats.org/markup-compatibility/2006">
          <mc:Choice Requires="x14">
            <control shapeId="277548" r:id="rId46" name="Check Box 44">
              <controlPr locked="0" defaultSize="0" autoFill="0" autoLine="0" autoPict="0">
                <anchor moveWithCells="1">
                  <from>
                    <xdr:col>2</xdr:col>
                    <xdr:colOff>552450</xdr:colOff>
                    <xdr:row>96</xdr:row>
                    <xdr:rowOff>180975</xdr:rowOff>
                  </from>
                  <to>
                    <xdr:col>2</xdr:col>
                    <xdr:colOff>962025</xdr:colOff>
                    <xdr:row>98</xdr:row>
                    <xdr:rowOff>76200</xdr:rowOff>
                  </to>
                </anchor>
              </controlPr>
            </control>
          </mc:Choice>
        </mc:AlternateContent>
        <mc:AlternateContent xmlns:mc="http://schemas.openxmlformats.org/markup-compatibility/2006">
          <mc:Choice Requires="x14">
            <control shapeId="277549" r:id="rId47" name="Check Box 45">
              <controlPr defaultSize="0" autoFill="0" autoLine="0" autoPict="0">
                <anchor moveWithCells="1">
                  <from>
                    <xdr:col>3</xdr:col>
                    <xdr:colOff>1352550</xdr:colOff>
                    <xdr:row>144</xdr:row>
                    <xdr:rowOff>0</xdr:rowOff>
                  </from>
                  <to>
                    <xdr:col>3</xdr:col>
                    <xdr:colOff>1733550</xdr:colOff>
                    <xdr:row>145</xdr:row>
                    <xdr:rowOff>19050</xdr:rowOff>
                  </to>
                </anchor>
              </controlPr>
            </control>
          </mc:Choice>
        </mc:AlternateContent>
        <mc:AlternateContent xmlns:mc="http://schemas.openxmlformats.org/markup-compatibility/2006">
          <mc:Choice Requires="x14">
            <control shapeId="277551" r:id="rId48" name="Check Box 47">
              <controlPr defaultSize="0" autoFill="0" autoLine="0" autoPict="0">
                <anchor moveWithCells="1">
                  <from>
                    <xdr:col>3</xdr:col>
                    <xdr:colOff>1352550</xdr:colOff>
                    <xdr:row>147</xdr:row>
                    <xdr:rowOff>0</xdr:rowOff>
                  </from>
                  <to>
                    <xdr:col>3</xdr:col>
                    <xdr:colOff>1733550</xdr:colOff>
                    <xdr:row>148</xdr:row>
                    <xdr:rowOff>19050</xdr:rowOff>
                  </to>
                </anchor>
              </controlPr>
            </control>
          </mc:Choice>
        </mc:AlternateContent>
        <mc:AlternateContent xmlns:mc="http://schemas.openxmlformats.org/markup-compatibility/2006">
          <mc:Choice Requires="x14">
            <control shapeId="277552" r:id="rId49" name="Check Box 48">
              <controlPr defaultSize="0" autoFill="0" autoLine="0" autoPict="0">
                <anchor moveWithCells="1">
                  <from>
                    <xdr:col>3</xdr:col>
                    <xdr:colOff>1352550</xdr:colOff>
                    <xdr:row>148</xdr:row>
                    <xdr:rowOff>0</xdr:rowOff>
                  </from>
                  <to>
                    <xdr:col>3</xdr:col>
                    <xdr:colOff>1733550</xdr:colOff>
                    <xdr:row>149</xdr:row>
                    <xdr:rowOff>19050</xdr:rowOff>
                  </to>
                </anchor>
              </controlPr>
            </control>
          </mc:Choice>
        </mc:AlternateContent>
        <mc:AlternateContent xmlns:mc="http://schemas.openxmlformats.org/markup-compatibility/2006">
          <mc:Choice Requires="x14">
            <control shapeId="277553" r:id="rId50" name="Check Box 49">
              <controlPr defaultSize="0" autoFill="0" autoLine="0" autoPict="0">
                <anchor moveWithCells="1">
                  <from>
                    <xdr:col>3</xdr:col>
                    <xdr:colOff>1352550</xdr:colOff>
                    <xdr:row>149</xdr:row>
                    <xdr:rowOff>0</xdr:rowOff>
                  </from>
                  <to>
                    <xdr:col>3</xdr:col>
                    <xdr:colOff>1733550</xdr:colOff>
                    <xdr:row>150</xdr:row>
                    <xdr:rowOff>19050</xdr:rowOff>
                  </to>
                </anchor>
              </controlPr>
            </control>
          </mc:Choice>
        </mc:AlternateContent>
        <mc:AlternateContent xmlns:mc="http://schemas.openxmlformats.org/markup-compatibility/2006">
          <mc:Choice Requires="x14">
            <control shapeId="277554" r:id="rId51" name="Check Box 50">
              <controlPr defaultSize="0" autoFill="0" autoLine="0" autoPict="0">
                <anchor moveWithCells="1">
                  <from>
                    <xdr:col>3</xdr:col>
                    <xdr:colOff>1352550</xdr:colOff>
                    <xdr:row>150</xdr:row>
                    <xdr:rowOff>0</xdr:rowOff>
                  </from>
                  <to>
                    <xdr:col>3</xdr:col>
                    <xdr:colOff>1733550</xdr:colOff>
                    <xdr:row>151</xdr:row>
                    <xdr:rowOff>19050</xdr:rowOff>
                  </to>
                </anchor>
              </controlPr>
            </control>
          </mc:Choice>
        </mc:AlternateContent>
        <mc:AlternateContent xmlns:mc="http://schemas.openxmlformats.org/markup-compatibility/2006">
          <mc:Choice Requires="x14">
            <control shapeId="277555" r:id="rId52" name="Check Box 51">
              <controlPr defaultSize="0" autoFill="0" autoLine="0" autoPict="0">
                <anchor moveWithCells="1">
                  <from>
                    <xdr:col>3</xdr:col>
                    <xdr:colOff>1352550</xdr:colOff>
                    <xdr:row>151</xdr:row>
                    <xdr:rowOff>0</xdr:rowOff>
                  </from>
                  <to>
                    <xdr:col>3</xdr:col>
                    <xdr:colOff>1733550</xdr:colOff>
                    <xdr:row>152</xdr:row>
                    <xdr:rowOff>19050</xdr:rowOff>
                  </to>
                </anchor>
              </controlPr>
            </control>
          </mc:Choice>
        </mc:AlternateContent>
        <mc:AlternateContent xmlns:mc="http://schemas.openxmlformats.org/markup-compatibility/2006">
          <mc:Choice Requires="x14">
            <control shapeId="277556" r:id="rId53" name="Check Box 52">
              <controlPr defaultSize="0" autoFill="0" autoLine="0" autoPict="0">
                <anchor moveWithCells="1">
                  <from>
                    <xdr:col>3</xdr:col>
                    <xdr:colOff>1352550</xdr:colOff>
                    <xdr:row>152</xdr:row>
                    <xdr:rowOff>0</xdr:rowOff>
                  </from>
                  <to>
                    <xdr:col>3</xdr:col>
                    <xdr:colOff>1733550</xdr:colOff>
                    <xdr:row>153</xdr:row>
                    <xdr:rowOff>19050</xdr:rowOff>
                  </to>
                </anchor>
              </controlPr>
            </control>
          </mc:Choice>
        </mc:AlternateContent>
        <mc:AlternateContent xmlns:mc="http://schemas.openxmlformats.org/markup-compatibility/2006">
          <mc:Choice Requires="x14">
            <control shapeId="277557" r:id="rId54" name="Check Box 53">
              <controlPr defaultSize="0" autoFill="0" autoLine="0" autoPict="0">
                <anchor moveWithCells="1">
                  <from>
                    <xdr:col>3</xdr:col>
                    <xdr:colOff>1352550</xdr:colOff>
                    <xdr:row>153</xdr:row>
                    <xdr:rowOff>0</xdr:rowOff>
                  </from>
                  <to>
                    <xdr:col>3</xdr:col>
                    <xdr:colOff>1733550</xdr:colOff>
                    <xdr:row>154</xdr:row>
                    <xdr:rowOff>19050</xdr:rowOff>
                  </to>
                </anchor>
              </controlPr>
            </control>
          </mc:Choice>
        </mc:AlternateContent>
        <mc:AlternateContent xmlns:mc="http://schemas.openxmlformats.org/markup-compatibility/2006">
          <mc:Choice Requires="x14">
            <control shapeId="277558" r:id="rId55" name="Check Box 54">
              <controlPr defaultSize="0" autoFill="0" autoLine="0" autoPict="0">
                <anchor moveWithCells="1">
                  <from>
                    <xdr:col>3</xdr:col>
                    <xdr:colOff>1352550</xdr:colOff>
                    <xdr:row>154</xdr:row>
                    <xdr:rowOff>0</xdr:rowOff>
                  </from>
                  <to>
                    <xdr:col>3</xdr:col>
                    <xdr:colOff>1733550</xdr:colOff>
                    <xdr:row>155</xdr:row>
                    <xdr:rowOff>19050</xdr:rowOff>
                  </to>
                </anchor>
              </controlPr>
            </control>
          </mc:Choice>
        </mc:AlternateContent>
        <mc:AlternateContent xmlns:mc="http://schemas.openxmlformats.org/markup-compatibility/2006">
          <mc:Choice Requires="x14">
            <control shapeId="277559" r:id="rId56" name="Check Box 55">
              <controlPr defaultSize="0" autoFill="0" autoLine="0" autoPict="0">
                <anchor moveWithCells="1">
                  <from>
                    <xdr:col>3</xdr:col>
                    <xdr:colOff>1352550</xdr:colOff>
                    <xdr:row>155</xdr:row>
                    <xdr:rowOff>0</xdr:rowOff>
                  </from>
                  <to>
                    <xdr:col>3</xdr:col>
                    <xdr:colOff>1733550</xdr:colOff>
                    <xdr:row>156</xdr:row>
                    <xdr:rowOff>19050</xdr:rowOff>
                  </to>
                </anchor>
              </controlPr>
            </control>
          </mc:Choice>
        </mc:AlternateContent>
        <mc:AlternateContent xmlns:mc="http://schemas.openxmlformats.org/markup-compatibility/2006">
          <mc:Choice Requires="x14">
            <control shapeId="277562" r:id="rId57" name="Check Box 58">
              <controlPr defaultSize="0" autoFill="0" autoLine="0" autoPict="0">
                <anchor moveWithCells="1">
                  <from>
                    <xdr:col>3</xdr:col>
                    <xdr:colOff>1352550</xdr:colOff>
                    <xdr:row>158</xdr:row>
                    <xdr:rowOff>0</xdr:rowOff>
                  </from>
                  <to>
                    <xdr:col>3</xdr:col>
                    <xdr:colOff>1733550</xdr:colOff>
                    <xdr:row>159</xdr:row>
                    <xdr:rowOff>19050</xdr:rowOff>
                  </to>
                </anchor>
              </controlPr>
            </control>
          </mc:Choice>
        </mc:AlternateContent>
        <mc:AlternateContent xmlns:mc="http://schemas.openxmlformats.org/markup-compatibility/2006">
          <mc:Choice Requires="x14">
            <control shapeId="277563" r:id="rId58" name="Check Box 59">
              <controlPr defaultSize="0" autoFill="0" autoLine="0" autoPict="0">
                <anchor moveWithCells="1">
                  <from>
                    <xdr:col>3</xdr:col>
                    <xdr:colOff>1352550</xdr:colOff>
                    <xdr:row>159</xdr:row>
                    <xdr:rowOff>0</xdr:rowOff>
                  </from>
                  <to>
                    <xdr:col>3</xdr:col>
                    <xdr:colOff>1733550</xdr:colOff>
                    <xdr:row>160</xdr:row>
                    <xdr:rowOff>19050</xdr:rowOff>
                  </to>
                </anchor>
              </controlPr>
            </control>
          </mc:Choice>
        </mc:AlternateContent>
        <mc:AlternateContent xmlns:mc="http://schemas.openxmlformats.org/markup-compatibility/2006">
          <mc:Choice Requires="x14">
            <control shapeId="277564" r:id="rId59" name="Check Box 60">
              <controlPr defaultSize="0" autoFill="0" autoLine="0" autoPict="0">
                <anchor moveWithCells="1">
                  <from>
                    <xdr:col>3</xdr:col>
                    <xdr:colOff>1352550</xdr:colOff>
                    <xdr:row>160</xdr:row>
                    <xdr:rowOff>0</xdr:rowOff>
                  </from>
                  <to>
                    <xdr:col>3</xdr:col>
                    <xdr:colOff>1733550</xdr:colOff>
                    <xdr:row>161</xdr:row>
                    <xdr:rowOff>19050</xdr:rowOff>
                  </to>
                </anchor>
              </controlPr>
            </control>
          </mc:Choice>
        </mc:AlternateContent>
        <mc:AlternateContent xmlns:mc="http://schemas.openxmlformats.org/markup-compatibility/2006">
          <mc:Choice Requires="x14">
            <control shapeId="277565" r:id="rId60" name="Check Box 61">
              <controlPr defaultSize="0" autoFill="0" autoLine="0" autoPict="0">
                <anchor moveWithCells="1">
                  <from>
                    <xdr:col>3</xdr:col>
                    <xdr:colOff>1352550</xdr:colOff>
                    <xdr:row>161</xdr:row>
                    <xdr:rowOff>0</xdr:rowOff>
                  </from>
                  <to>
                    <xdr:col>3</xdr:col>
                    <xdr:colOff>1733550</xdr:colOff>
                    <xdr:row>162</xdr:row>
                    <xdr:rowOff>19050</xdr:rowOff>
                  </to>
                </anchor>
              </controlPr>
            </control>
          </mc:Choice>
        </mc:AlternateContent>
        <mc:AlternateContent xmlns:mc="http://schemas.openxmlformats.org/markup-compatibility/2006">
          <mc:Choice Requires="x14">
            <control shapeId="277566" r:id="rId61" name="Check Box 62">
              <controlPr defaultSize="0" autoFill="0" autoLine="0" autoPict="0">
                <anchor moveWithCells="1">
                  <from>
                    <xdr:col>3</xdr:col>
                    <xdr:colOff>1352550</xdr:colOff>
                    <xdr:row>162</xdr:row>
                    <xdr:rowOff>0</xdr:rowOff>
                  </from>
                  <to>
                    <xdr:col>3</xdr:col>
                    <xdr:colOff>1733550</xdr:colOff>
                    <xdr:row>163</xdr:row>
                    <xdr:rowOff>19050</xdr:rowOff>
                  </to>
                </anchor>
              </controlPr>
            </control>
          </mc:Choice>
        </mc:AlternateContent>
        <mc:AlternateContent xmlns:mc="http://schemas.openxmlformats.org/markup-compatibility/2006">
          <mc:Choice Requires="x14">
            <control shapeId="277567" r:id="rId62" name="Check Box 63">
              <controlPr defaultSize="0" autoFill="0" autoLine="0" autoPict="0">
                <anchor moveWithCells="1">
                  <from>
                    <xdr:col>3</xdr:col>
                    <xdr:colOff>1352550</xdr:colOff>
                    <xdr:row>163</xdr:row>
                    <xdr:rowOff>0</xdr:rowOff>
                  </from>
                  <to>
                    <xdr:col>3</xdr:col>
                    <xdr:colOff>1733550</xdr:colOff>
                    <xdr:row>164</xdr:row>
                    <xdr:rowOff>19050</xdr:rowOff>
                  </to>
                </anchor>
              </controlPr>
            </control>
          </mc:Choice>
        </mc:AlternateContent>
        <mc:AlternateContent xmlns:mc="http://schemas.openxmlformats.org/markup-compatibility/2006">
          <mc:Choice Requires="x14">
            <control shapeId="277568" r:id="rId63" name="Check Box 64">
              <controlPr defaultSize="0" autoFill="0" autoLine="0" autoPict="0">
                <anchor moveWithCells="1">
                  <from>
                    <xdr:col>3</xdr:col>
                    <xdr:colOff>1352550</xdr:colOff>
                    <xdr:row>164</xdr:row>
                    <xdr:rowOff>0</xdr:rowOff>
                  </from>
                  <to>
                    <xdr:col>3</xdr:col>
                    <xdr:colOff>1733550</xdr:colOff>
                    <xdr:row>165</xdr:row>
                    <xdr:rowOff>19050</xdr:rowOff>
                  </to>
                </anchor>
              </controlPr>
            </control>
          </mc:Choice>
        </mc:AlternateContent>
        <mc:AlternateContent xmlns:mc="http://schemas.openxmlformats.org/markup-compatibility/2006">
          <mc:Choice Requires="x14">
            <control shapeId="277569" r:id="rId64" name="Check Box 65">
              <controlPr defaultSize="0" autoFill="0" autoLine="0" autoPict="0">
                <anchor moveWithCells="1">
                  <from>
                    <xdr:col>3</xdr:col>
                    <xdr:colOff>1352550</xdr:colOff>
                    <xdr:row>165</xdr:row>
                    <xdr:rowOff>0</xdr:rowOff>
                  </from>
                  <to>
                    <xdr:col>3</xdr:col>
                    <xdr:colOff>1733550</xdr:colOff>
                    <xdr:row>166</xdr:row>
                    <xdr:rowOff>19050</xdr:rowOff>
                  </to>
                </anchor>
              </controlPr>
            </control>
          </mc:Choice>
        </mc:AlternateContent>
        <mc:AlternateContent xmlns:mc="http://schemas.openxmlformats.org/markup-compatibility/2006">
          <mc:Choice Requires="x14">
            <control shapeId="277570" r:id="rId65" name="Check Box 66">
              <controlPr defaultSize="0" autoFill="0" autoLine="0" autoPict="0">
                <anchor moveWithCells="1">
                  <from>
                    <xdr:col>3</xdr:col>
                    <xdr:colOff>1352550</xdr:colOff>
                    <xdr:row>166</xdr:row>
                    <xdr:rowOff>0</xdr:rowOff>
                  </from>
                  <to>
                    <xdr:col>3</xdr:col>
                    <xdr:colOff>1733550</xdr:colOff>
                    <xdr:row>167</xdr:row>
                    <xdr:rowOff>19050</xdr:rowOff>
                  </to>
                </anchor>
              </controlPr>
            </control>
          </mc:Choice>
        </mc:AlternateContent>
        <mc:AlternateContent xmlns:mc="http://schemas.openxmlformats.org/markup-compatibility/2006">
          <mc:Choice Requires="x14">
            <control shapeId="277571" r:id="rId66" name="Check Box 67">
              <controlPr defaultSize="0" autoFill="0" autoLine="0" autoPict="0">
                <anchor moveWithCells="1">
                  <from>
                    <xdr:col>3</xdr:col>
                    <xdr:colOff>1352550</xdr:colOff>
                    <xdr:row>167</xdr:row>
                    <xdr:rowOff>0</xdr:rowOff>
                  </from>
                  <to>
                    <xdr:col>3</xdr:col>
                    <xdr:colOff>1733550</xdr:colOff>
                    <xdr:row>168</xdr:row>
                    <xdr:rowOff>19050</xdr:rowOff>
                  </to>
                </anchor>
              </controlPr>
            </control>
          </mc:Choice>
        </mc:AlternateContent>
        <mc:AlternateContent xmlns:mc="http://schemas.openxmlformats.org/markup-compatibility/2006">
          <mc:Choice Requires="x14">
            <control shapeId="277572" r:id="rId67" name="Check Box 68">
              <controlPr defaultSize="0" autoFill="0" autoLine="0" autoPict="0">
                <anchor moveWithCells="1">
                  <from>
                    <xdr:col>3</xdr:col>
                    <xdr:colOff>1352550</xdr:colOff>
                    <xdr:row>168</xdr:row>
                    <xdr:rowOff>0</xdr:rowOff>
                  </from>
                  <to>
                    <xdr:col>3</xdr:col>
                    <xdr:colOff>1733550</xdr:colOff>
                    <xdr:row>169</xdr:row>
                    <xdr:rowOff>19050</xdr:rowOff>
                  </to>
                </anchor>
              </controlPr>
            </control>
          </mc:Choice>
        </mc:AlternateContent>
        <mc:AlternateContent xmlns:mc="http://schemas.openxmlformats.org/markup-compatibility/2006">
          <mc:Choice Requires="x14">
            <control shapeId="277573" r:id="rId68" name="Check Box 69">
              <controlPr defaultSize="0" autoFill="0" autoLine="0" autoPict="0">
                <anchor moveWithCells="1">
                  <from>
                    <xdr:col>3</xdr:col>
                    <xdr:colOff>1352550</xdr:colOff>
                    <xdr:row>169</xdr:row>
                    <xdr:rowOff>0</xdr:rowOff>
                  </from>
                  <to>
                    <xdr:col>3</xdr:col>
                    <xdr:colOff>1733550</xdr:colOff>
                    <xdr:row>170</xdr:row>
                    <xdr:rowOff>19050</xdr:rowOff>
                  </to>
                </anchor>
              </controlPr>
            </control>
          </mc:Choice>
        </mc:AlternateContent>
        <mc:AlternateContent xmlns:mc="http://schemas.openxmlformats.org/markup-compatibility/2006">
          <mc:Choice Requires="x14">
            <control shapeId="277574" r:id="rId69" name="Check Box 70">
              <controlPr defaultSize="0" autoFill="0" autoLine="0" autoPict="0">
                <anchor moveWithCells="1">
                  <from>
                    <xdr:col>3</xdr:col>
                    <xdr:colOff>1352550</xdr:colOff>
                    <xdr:row>170</xdr:row>
                    <xdr:rowOff>0</xdr:rowOff>
                  </from>
                  <to>
                    <xdr:col>3</xdr:col>
                    <xdr:colOff>1733550</xdr:colOff>
                    <xdr:row>171</xdr:row>
                    <xdr:rowOff>19050</xdr:rowOff>
                  </to>
                </anchor>
              </controlPr>
            </control>
          </mc:Choice>
        </mc:AlternateContent>
        <mc:AlternateContent xmlns:mc="http://schemas.openxmlformats.org/markup-compatibility/2006">
          <mc:Choice Requires="x14">
            <control shapeId="277576" r:id="rId70" name="Check Box 72">
              <controlPr defaultSize="0" autoFill="0" autoLine="0" autoPict="0">
                <anchor moveWithCells="1">
                  <from>
                    <xdr:col>3</xdr:col>
                    <xdr:colOff>1352550</xdr:colOff>
                    <xdr:row>174</xdr:row>
                    <xdr:rowOff>0</xdr:rowOff>
                  </from>
                  <to>
                    <xdr:col>3</xdr:col>
                    <xdr:colOff>1733550</xdr:colOff>
                    <xdr:row>175</xdr:row>
                    <xdr:rowOff>19050</xdr:rowOff>
                  </to>
                </anchor>
              </controlPr>
            </control>
          </mc:Choice>
        </mc:AlternateContent>
        <mc:AlternateContent xmlns:mc="http://schemas.openxmlformats.org/markup-compatibility/2006">
          <mc:Choice Requires="x14">
            <control shapeId="277578" r:id="rId71" name="Check Box 74">
              <controlPr defaultSize="0" autoFill="0" autoLine="0" autoPict="0">
                <anchor moveWithCells="1">
                  <from>
                    <xdr:col>3</xdr:col>
                    <xdr:colOff>1352550</xdr:colOff>
                    <xdr:row>143</xdr:row>
                    <xdr:rowOff>0</xdr:rowOff>
                  </from>
                  <to>
                    <xdr:col>3</xdr:col>
                    <xdr:colOff>1733550</xdr:colOff>
                    <xdr:row>144</xdr:row>
                    <xdr:rowOff>19050</xdr:rowOff>
                  </to>
                </anchor>
              </controlPr>
            </control>
          </mc:Choice>
        </mc:AlternateContent>
        <mc:AlternateContent xmlns:mc="http://schemas.openxmlformats.org/markup-compatibility/2006">
          <mc:Choice Requires="x14">
            <control shapeId="277581" r:id="rId72" name="Check Box 77">
              <controlPr defaultSize="0" autoFill="0" autoLine="0" autoPict="0">
                <anchor moveWithCells="1">
                  <from>
                    <xdr:col>3</xdr:col>
                    <xdr:colOff>1352550</xdr:colOff>
                    <xdr:row>177</xdr:row>
                    <xdr:rowOff>0</xdr:rowOff>
                  </from>
                  <to>
                    <xdr:col>3</xdr:col>
                    <xdr:colOff>1733550</xdr:colOff>
                    <xdr:row>178</xdr:row>
                    <xdr:rowOff>19050</xdr:rowOff>
                  </to>
                </anchor>
              </controlPr>
            </control>
          </mc:Choice>
        </mc:AlternateContent>
        <mc:AlternateContent xmlns:mc="http://schemas.openxmlformats.org/markup-compatibility/2006">
          <mc:Choice Requires="x14">
            <control shapeId="277582" r:id="rId73" name="Check Box 78">
              <controlPr defaultSize="0" autoFill="0" autoLine="0" autoPict="0">
                <anchor moveWithCells="1">
                  <from>
                    <xdr:col>3</xdr:col>
                    <xdr:colOff>1352550</xdr:colOff>
                    <xdr:row>178</xdr:row>
                    <xdr:rowOff>0</xdr:rowOff>
                  </from>
                  <to>
                    <xdr:col>3</xdr:col>
                    <xdr:colOff>1733550</xdr:colOff>
                    <xdr:row>179</xdr:row>
                    <xdr:rowOff>19050</xdr:rowOff>
                  </to>
                </anchor>
              </controlPr>
            </control>
          </mc:Choice>
        </mc:AlternateContent>
        <mc:AlternateContent xmlns:mc="http://schemas.openxmlformats.org/markup-compatibility/2006">
          <mc:Choice Requires="x14">
            <control shapeId="277583" r:id="rId74" name="Check Box 79">
              <controlPr defaultSize="0" autoFill="0" autoLine="0" autoPict="0">
                <anchor moveWithCells="1">
                  <from>
                    <xdr:col>3</xdr:col>
                    <xdr:colOff>1352550</xdr:colOff>
                    <xdr:row>179</xdr:row>
                    <xdr:rowOff>0</xdr:rowOff>
                  </from>
                  <to>
                    <xdr:col>3</xdr:col>
                    <xdr:colOff>1733550</xdr:colOff>
                    <xdr:row>180</xdr:row>
                    <xdr:rowOff>19050</xdr:rowOff>
                  </to>
                </anchor>
              </controlPr>
            </control>
          </mc:Choice>
        </mc:AlternateContent>
        <mc:AlternateContent xmlns:mc="http://schemas.openxmlformats.org/markup-compatibility/2006">
          <mc:Choice Requires="x14">
            <control shapeId="277584" r:id="rId75" name="Check Box 80">
              <controlPr defaultSize="0" autoFill="0" autoLine="0" autoPict="0">
                <anchor moveWithCells="1">
                  <from>
                    <xdr:col>3</xdr:col>
                    <xdr:colOff>1352550</xdr:colOff>
                    <xdr:row>180</xdr:row>
                    <xdr:rowOff>0</xdr:rowOff>
                  </from>
                  <to>
                    <xdr:col>3</xdr:col>
                    <xdr:colOff>1733550</xdr:colOff>
                    <xdr:row>181</xdr:row>
                    <xdr:rowOff>19050</xdr:rowOff>
                  </to>
                </anchor>
              </controlPr>
            </control>
          </mc:Choice>
        </mc:AlternateContent>
        <mc:AlternateContent xmlns:mc="http://schemas.openxmlformats.org/markup-compatibility/2006">
          <mc:Choice Requires="x14">
            <control shapeId="277585" r:id="rId76" name="Check Box 81">
              <controlPr defaultSize="0" autoFill="0" autoLine="0" autoPict="0">
                <anchor moveWithCells="1">
                  <from>
                    <xdr:col>3</xdr:col>
                    <xdr:colOff>1352550</xdr:colOff>
                    <xdr:row>180</xdr:row>
                    <xdr:rowOff>0</xdr:rowOff>
                  </from>
                  <to>
                    <xdr:col>3</xdr:col>
                    <xdr:colOff>1733550</xdr:colOff>
                    <xdr:row>181</xdr:row>
                    <xdr:rowOff>19050</xdr:rowOff>
                  </to>
                </anchor>
              </controlPr>
            </control>
          </mc:Choice>
        </mc:AlternateContent>
        <mc:AlternateContent xmlns:mc="http://schemas.openxmlformats.org/markup-compatibility/2006">
          <mc:Choice Requires="x14">
            <control shapeId="277586" r:id="rId77" name="Check Box 82">
              <controlPr defaultSize="0" autoFill="0" autoLine="0" autoPict="0">
                <anchor moveWithCells="1">
                  <from>
                    <xdr:col>3</xdr:col>
                    <xdr:colOff>1352550</xdr:colOff>
                    <xdr:row>181</xdr:row>
                    <xdr:rowOff>0</xdr:rowOff>
                  </from>
                  <to>
                    <xdr:col>3</xdr:col>
                    <xdr:colOff>1733550</xdr:colOff>
                    <xdr:row>182</xdr:row>
                    <xdr:rowOff>19050</xdr:rowOff>
                  </to>
                </anchor>
              </controlPr>
            </control>
          </mc:Choice>
        </mc:AlternateContent>
        <mc:AlternateContent xmlns:mc="http://schemas.openxmlformats.org/markup-compatibility/2006">
          <mc:Choice Requires="x14">
            <control shapeId="277587" r:id="rId78" name="Check Box 83">
              <controlPr defaultSize="0" autoFill="0" autoLine="0" autoPict="0">
                <anchor moveWithCells="1">
                  <from>
                    <xdr:col>3</xdr:col>
                    <xdr:colOff>1352550</xdr:colOff>
                    <xdr:row>182</xdr:row>
                    <xdr:rowOff>0</xdr:rowOff>
                  </from>
                  <to>
                    <xdr:col>3</xdr:col>
                    <xdr:colOff>1733550</xdr:colOff>
                    <xdr:row>183</xdr:row>
                    <xdr:rowOff>19050</xdr:rowOff>
                  </to>
                </anchor>
              </controlPr>
            </control>
          </mc:Choice>
        </mc:AlternateContent>
        <mc:AlternateContent xmlns:mc="http://schemas.openxmlformats.org/markup-compatibility/2006">
          <mc:Choice Requires="x14">
            <control shapeId="277588" r:id="rId79" name="Check Box 84">
              <controlPr defaultSize="0" autoFill="0" autoLine="0" autoPict="0">
                <anchor moveWithCells="1">
                  <from>
                    <xdr:col>3</xdr:col>
                    <xdr:colOff>1352550</xdr:colOff>
                    <xdr:row>183</xdr:row>
                    <xdr:rowOff>0</xdr:rowOff>
                  </from>
                  <to>
                    <xdr:col>3</xdr:col>
                    <xdr:colOff>1733550</xdr:colOff>
                    <xdr:row>184</xdr:row>
                    <xdr:rowOff>19050</xdr:rowOff>
                  </to>
                </anchor>
              </controlPr>
            </control>
          </mc:Choice>
        </mc:AlternateContent>
        <mc:AlternateContent xmlns:mc="http://schemas.openxmlformats.org/markup-compatibility/2006">
          <mc:Choice Requires="x14">
            <control shapeId="277589" r:id="rId80" name="Check Box 85">
              <controlPr defaultSize="0" autoFill="0" autoLine="0" autoPict="0">
                <anchor moveWithCells="1">
                  <from>
                    <xdr:col>3</xdr:col>
                    <xdr:colOff>1352550</xdr:colOff>
                    <xdr:row>185</xdr:row>
                    <xdr:rowOff>0</xdr:rowOff>
                  </from>
                  <to>
                    <xdr:col>3</xdr:col>
                    <xdr:colOff>1733550</xdr:colOff>
                    <xdr:row>186</xdr:row>
                    <xdr:rowOff>19050</xdr:rowOff>
                  </to>
                </anchor>
              </controlPr>
            </control>
          </mc:Choice>
        </mc:AlternateContent>
        <mc:AlternateContent xmlns:mc="http://schemas.openxmlformats.org/markup-compatibility/2006">
          <mc:Choice Requires="x14">
            <control shapeId="277590" r:id="rId81" name="Check Box 86">
              <controlPr defaultSize="0" autoFill="0" autoLine="0" autoPict="0">
                <anchor moveWithCells="1">
                  <from>
                    <xdr:col>3</xdr:col>
                    <xdr:colOff>1352550</xdr:colOff>
                    <xdr:row>186</xdr:row>
                    <xdr:rowOff>0</xdr:rowOff>
                  </from>
                  <to>
                    <xdr:col>3</xdr:col>
                    <xdr:colOff>1733550</xdr:colOff>
                    <xdr:row>187</xdr:row>
                    <xdr:rowOff>19050</xdr:rowOff>
                  </to>
                </anchor>
              </controlPr>
            </control>
          </mc:Choice>
        </mc:AlternateContent>
        <mc:AlternateContent xmlns:mc="http://schemas.openxmlformats.org/markup-compatibility/2006">
          <mc:Choice Requires="x14">
            <control shapeId="277591" r:id="rId82" name="Check Box 87">
              <controlPr defaultSize="0" autoFill="0" autoLine="0" autoPict="0">
                <anchor moveWithCells="1">
                  <from>
                    <xdr:col>3</xdr:col>
                    <xdr:colOff>1352550</xdr:colOff>
                    <xdr:row>188</xdr:row>
                    <xdr:rowOff>0</xdr:rowOff>
                  </from>
                  <to>
                    <xdr:col>3</xdr:col>
                    <xdr:colOff>1733550</xdr:colOff>
                    <xdr:row>189</xdr:row>
                    <xdr:rowOff>19050</xdr:rowOff>
                  </to>
                </anchor>
              </controlPr>
            </control>
          </mc:Choice>
        </mc:AlternateContent>
        <mc:AlternateContent xmlns:mc="http://schemas.openxmlformats.org/markup-compatibility/2006">
          <mc:Choice Requires="x14">
            <control shapeId="277592" r:id="rId83" name="Check Box 88">
              <controlPr defaultSize="0" autoFill="0" autoLine="0" autoPict="0">
                <anchor moveWithCells="1">
                  <from>
                    <xdr:col>3</xdr:col>
                    <xdr:colOff>1352550</xdr:colOff>
                    <xdr:row>189</xdr:row>
                    <xdr:rowOff>0</xdr:rowOff>
                  </from>
                  <to>
                    <xdr:col>3</xdr:col>
                    <xdr:colOff>1733550</xdr:colOff>
                    <xdr:row>190</xdr:row>
                    <xdr:rowOff>19050</xdr:rowOff>
                  </to>
                </anchor>
              </controlPr>
            </control>
          </mc:Choice>
        </mc:AlternateContent>
        <mc:AlternateContent xmlns:mc="http://schemas.openxmlformats.org/markup-compatibility/2006">
          <mc:Choice Requires="x14">
            <control shapeId="277593" r:id="rId84" name="Check Box 89">
              <controlPr defaultSize="0" autoFill="0" autoLine="0" autoPict="0">
                <anchor moveWithCells="1">
                  <from>
                    <xdr:col>3</xdr:col>
                    <xdr:colOff>1352550</xdr:colOff>
                    <xdr:row>190</xdr:row>
                    <xdr:rowOff>0</xdr:rowOff>
                  </from>
                  <to>
                    <xdr:col>3</xdr:col>
                    <xdr:colOff>1733550</xdr:colOff>
                    <xdr:row>191</xdr:row>
                    <xdr:rowOff>19050</xdr:rowOff>
                  </to>
                </anchor>
              </controlPr>
            </control>
          </mc:Choice>
        </mc:AlternateContent>
        <mc:AlternateContent xmlns:mc="http://schemas.openxmlformats.org/markup-compatibility/2006">
          <mc:Choice Requires="x14">
            <control shapeId="277594" r:id="rId85" name="Check Box 90">
              <controlPr defaultSize="0" autoFill="0" autoLine="0" autoPict="0">
                <anchor moveWithCells="1">
                  <from>
                    <xdr:col>3</xdr:col>
                    <xdr:colOff>1352550</xdr:colOff>
                    <xdr:row>191</xdr:row>
                    <xdr:rowOff>0</xdr:rowOff>
                  </from>
                  <to>
                    <xdr:col>3</xdr:col>
                    <xdr:colOff>1733550</xdr:colOff>
                    <xdr:row>192</xdr:row>
                    <xdr:rowOff>19050</xdr:rowOff>
                  </to>
                </anchor>
              </controlPr>
            </control>
          </mc:Choice>
        </mc:AlternateContent>
        <mc:AlternateContent xmlns:mc="http://schemas.openxmlformats.org/markup-compatibility/2006">
          <mc:Choice Requires="x14">
            <control shapeId="277595" r:id="rId86" name="Check Box 91">
              <controlPr defaultSize="0" autoFill="0" autoLine="0" autoPict="0">
                <anchor moveWithCells="1">
                  <from>
                    <xdr:col>3</xdr:col>
                    <xdr:colOff>1352550</xdr:colOff>
                    <xdr:row>192</xdr:row>
                    <xdr:rowOff>0</xdr:rowOff>
                  </from>
                  <to>
                    <xdr:col>3</xdr:col>
                    <xdr:colOff>1733550</xdr:colOff>
                    <xdr:row>193</xdr:row>
                    <xdr:rowOff>19050</xdr:rowOff>
                  </to>
                </anchor>
              </controlPr>
            </control>
          </mc:Choice>
        </mc:AlternateContent>
        <mc:AlternateContent xmlns:mc="http://schemas.openxmlformats.org/markup-compatibility/2006">
          <mc:Choice Requires="x14">
            <control shapeId="277596" r:id="rId87" name="Check Box 92">
              <controlPr defaultSize="0" autoFill="0" autoLine="0" autoPict="0">
                <anchor moveWithCells="1">
                  <from>
                    <xdr:col>3</xdr:col>
                    <xdr:colOff>1352550</xdr:colOff>
                    <xdr:row>193</xdr:row>
                    <xdr:rowOff>0</xdr:rowOff>
                  </from>
                  <to>
                    <xdr:col>3</xdr:col>
                    <xdr:colOff>1733550</xdr:colOff>
                    <xdr:row>194</xdr:row>
                    <xdr:rowOff>19050</xdr:rowOff>
                  </to>
                </anchor>
              </controlPr>
            </control>
          </mc:Choice>
        </mc:AlternateContent>
        <mc:AlternateContent xmlns:mc="http://schemas.openxmlformats.org/markup-compatibility/2006">
          <mc:Choice Requires="x14">
            <control shapeId="277597" r:id="rId88" name="Check Box 93">
              <controlPr defaultSize="0" autoFill="0" autoLine="0" autoPict="0">
                <anchor moveWithCells="1">
                  <from>
                    <xdr:col>3</xdr:col>
                    <xdr:colOff>1352550</xdr:colOff>
                    <xdr:row>193</xdr:row>
                    <xdr:rowOff>0</xdr:rowOff>
                  </from>
                  <to>
                    <xdr:col>3</xdr:col>
                    <xdr:colOff>1733550</xdr:colOff>
                    <xdr:row>194</xdr:row>
                    <xdr:rowOff>19050</xdr:rowOff>
                  </to>
                </anchor>
              </controlPr>
            </control>
          </mc:Choice>
        </mc:AlternateContent>
        <mc:AlternateContent xmlns:mc="http://schemas.openxmlformats.org/markup-compatibility/2006">
          <mc:Choice Requires="x14">
            <control shapeId="277599" r:id="rId89" name="Check Box 95">
              <controlPr defaultSize="0" autoFill="0" autoLine="0" autoPict="0">
                <anchor moveWithCells="1">
                  <from>
                    <xdr:col>3</xdr:col>
                    <xdr:colOff>1352550</xdr:colOff>
                    <xdr:row>197</xdr:row>
                    <xdr:rowOff>0</xdr:rowOff>
                  </from>
                  <to>
                    <xdr:col>3</xdr:col>
                    <xdr:colOff>1733550</xdr:colOff>
                    <xdr:row>198</xdr:row>
                    <xdr:rowOff>19050</xdr:rowOff>
                  </to>
                </anchor>
              </controlPr>
            </control>
          </mc:Choice>
        </mc:AlternateContent>
        <mc:AlternateContent xmlns:mc="http://schemas.openxmlformats.org/markup-compatibility/2006">
          <mc:Choice Requires="x14">
            <control shapeId="277600" r:id="rId90" name="Check Box 96">
              <controlPr defaultSize="0" autoFill="0" autoLine="0" autoPict="0">
                <anchor moveWithCells="1">
                  <from>
                    <xdr:col>3</xdr:col>
                    <xdr:colOff>1352550</xdr:colOff>
                    <xdr:row>200</xdr:row>
                    <xdr:rowOff>0</xdr:rowOff>
                  </from>
                  <to>
                    <xdr:col>3</xdr:col>
                    <xdr:colOff>1733550</xdr:colOff>
                    <xdr:row>201</xdr:row>
                    <xdr:rowOff>19050</xdr:rowOff>
                  </to>
                </anchor>
              </controlPr>
            </control>
          </mc:Choice>
        </mc:AlternateContent>
        <mc:AlternateContent xmlns:mc="http://schemas.openxmlformats.org/markup-compatibility/2006">
          <mc:Choice Requires="x14">
            <control shapeId="277601" r:id="rId91" name="Check Box 97">
              <controlPr defaultSize="0" autoFill="0" autoLine="0" autoPict="0">
                <anchor moveWithCells="1">
                  <from>
                    <xdr:col>3</xdr:col>
                    <xdr:colOff>1352550</xdr:colOff>
                    <xdr:row>201</xdr:row>
                    <xdr:rowOff>0</xdr:rowOff>
                  </from>
                  <to>
                    <xdr:col>3</xdr:col>
                    <xdr:colOff>1733550</xdr:colOff>
                    <xdr:row>202</xdr:row>
                    <xdr:rowOff>19050</xdr:rowOff>
                  </to>
                </anchor>
              </controlPr>
            </control>
          </mc:Choice>
        </mc:AlternateContent>
        <mc:AlternateContent xmlns:mc="http://schemas.openxmlformats.org/markup-compatibility/2006">
          <mc:Choice Requires="x14">
            <control shapeId="277602" r:id="rId92" name="Check Box 98">
              <controlPr defaultSize="0" autoFill="0" autoLine="0" autoPict="0">
                <anchor moveWithCells="1">
                  <from>
                    <xdr:col>3</xdr:col>
                    <xdr:colOff>1352550</xdr:colOff>
                    <xdr:row>202</xdr:row>
                    <xdr:rowOff>0</xdr:rowOff>
                  </from>
                  <to>
                    <xdr:col>3</xdr:col>
                    <xdr:colOff>1733550</xdr:colOff>
                    <xdr:row>203</xdr:row>
                    <xdr:rowOff>19050</xdr:rowOff>
                  </to>
                </anchor>
              </controlPr>
            </control>
          </mc:Choice>
        </mc:AlternateContent>
        <mc:AlternateContent xmlns:mc="http://schemas.openxmlformats.org/markup-compatibility/2006">
          <mc:Choice Requires="x14">
            <control shapeId="277603" r:id="rId93" name="Check Box 99">
              <controlPr defaultSize="0" autoFill="0" autoLine="0" autoPict="0">
                <anchor moveWithCells="1">
                  <from>
                    <xdr:col>3</xdr:col>
                    <xdr:colOff>1352550</xdr:colOff>
                    <xdr:row>203</xdr:row>
                    <xdr:rowOff>0</xdr:rowOff>
                  </from>
                  <to>
                    <xdr:col>3</xdr:col>
                    <xdr:colOff>1733550</xdr:colOff>
                    <xdr:row>204</xdr:row>
                    <xdr:rowOff>19050</xdr:rowOff>
                  </to>
                </anchor>
              </controlPr>
            </control>
          </mc:Choice>
        </mc:AlternateContent>
        <mc:AlternateContent xmlns:mc="http://schemas.openxmlformats.org/markup-compatibility/2006">
          <mc:Choice Requires="x14">
            <control shapeId="277604" r:id="rId94" name="Check Box 100">
              <controlPr defaultSize="0" autoFill="0" autoLine="0" autoPict="0">
                <anchor moveWithCells="1">
                  <from>
                    <xdr:col>3</xdr:col>
                    <xdr:colOff>1352550</xdr:colOff>
                    <xdr:row>204</xdr:row>
                    <xdr:rowOff>0</xdr:rowOff>
                  </from>
                  <to>
                    <xdr:col>3</xdr:col>
                    <xdr:colOff>1733550</xdr:colOff>
                    <xdr:row>205</xdr:row>
                    <xdr:rowOff>19050</xdr:rowOff>
                  </to>
                </anchor>
              </controlPr>
            </control>
          </mc:Choice>
        </mc:AlternateContent>
        <mc:AlternateContent xmlns:mc="http://schemas.openxmlformats.org/markup-compatibility/2006">
          <mc:Choice Requires="x14">
            <control shapeId="277605" r:id="rId95" name="Check Box 101">
              <controlPr defaultSize="0" autoFill="0" autoLine="0" autoPict="0">
                <anchor moveWithCells="1">
                  <from>
                    <xdr:col>3</xdr:col>
                    <xdr:colOff>1352550</xdr:colOff>
                    <xdr:row>206</xdr:row>
                    <xdr:rowOff>0</xdr:rowOff>
                  </from>
                  <to>
                    <xdr:col>3</xdr:col>
                    <xdr:colOff>1733550</xdr:colOff>
                    <xdr:row>207</xdr:row>
                    <xdr:rowOff>19050</xdr:rowOff>
                  </to>
                </anchor>
              </controlPr>
            </control>
          </mc:Choice>
        </mc:AlternateContent>
        <mc:AlternateContent xmlns:mc="http://schemas.openxmlformats.org/markup-compatibility/2006">
          <mc:Choice Requires="x14">
            <control shapeId="277606" r:id="rId96" name="Check Box 102">
              <controlPr defaultSize="0" autoFill="0" autoLine="0" autoPict="0">
                <anchor moveWithCells="1">
                  <from>
                    <xdr:col>3</xdr:col>
                    <xdr:colOff>1352550</xdr:colOff>
                    <xdr:row>209</xdr:row>
                    <xdr:rowOff>0</xdr:rowOff>
                  </from>
                  <to>
                    <xdr:col>3</xdr:col>
                    <xdr:colOff>1733550</xdr:colOff>
                    <xdr:row>210</xdr:row>
                    <xdr:rowOff>19050</xdr:rowOff>
                  </to>
                </anchor>
              </controlPr>
            </control>
          </mc:Choice>
        </mc:AlternateContent>
        <mc:AlternateContent xmlns:mc="http://schemas.openxmlformats.org/markup-compatibility/2006">
          <mc:Choice Requires="x14">
            <control shapeId="277607" r:id="rId97" name="Check Box 103">
              <controlPr defaultSize="0" autoFill="0" autoLine="0" autoPict="0">
                <anchor moveWithCells="1">
                  <from>
                    <xdr:col>3</xdr:col>
                    <xdr:colOff>1352550</xdr:colOff>
                    <xdr:row>210</xdr:row>
                    <xdr:rowOff>0</xdr:rowOff>
                  </from>
                  <to>
                    <xdr:col>3</xdr:col>
                    <xdr:colOff>1733550</xdr:colOff>
                    <xdr:row>211</xdr:row>
                    <xdr:rowOff>19050</xdr:rowOff>
                  </to>
                </anchor>
              </controlPr>
            </control>
          </mc:Choice>
        </mc:AlternateContent>
        <mc:AlternateContent xmlns:mc="http://schemas.openxmlformats.org/markup-compatibility/2006">
          <mc:Choice Requires="x14">
            <control shapeId="277609" r:id="rId98" name="Check Box 105">
              <controlPr defaultSize="0" autoFill="0" autoLine="0" autoPict="0">
                <anchor moveWithCells="1">
                  <from>
                    <xdr:col>3</xdr:col>
                    <xdr:colOff>1352550</xdr:colOff>
                    <xdr:row>212</xdr:row>
                    <xdr:rowOff>0</xdr:rowOff>
                  </from>
                  <to>
                    <xdr:col>3</xdr:col>
                    <xdr:colOff>1733550</xdr:colOff>
                    <xdr:row>213</xdr:row>
                    <xdr:rowOff>19050</xdr:rowOff>
                  </to>
                </anchor>
              </controlPr>
            </control>
          </mc:Choice>
        </mc:AlternateContent>
        <mc:AlternateContent xmlns:mc="http://schemas.openxmlformats.org/markup-compatibility/2006">
          <mc:Choice Requires="x14">
            <control shapeId="277610" r:id="rId99" name="Check Box 106">
              <controlPr defaultSize="0" autoFill="0" autoLine="0" autoPict="0">
                <anchor moveWithCells="1">
                  <from>
                    <xdr:col>3</xdr:col>
                    <xdr:colOff>1352550</xdr:colOff>
                    <xdr:row>213</xdr:row>
                    <xdr:rowOff>0</xdr:rowOff>
                  </from>
                  <to>
                    <xdr:col>3</xdr:col>
                    <xdr:colOff>1733550</xdr:colOff>
                    <xdr:row>214</xdr:row>
                    <xdr:rowOff>19050</xdr:rowOff>
                  </to>
                </anchor>
              </controlPr>
            </control>
          </mc:Choice>
        </mc:AlternateContent>
        <mc:AlternateContent xmlns:mc="http://schemas.openxmlformats.org/markup-compatibility/2006">
          <mc:Choice Requires="x14">
            <control shapeId="277611" r:id="rId100" name="Check Box 107">
              <controlPr defaultSize="0" autoFill="0" autoLine="0" autoPict="0">
                <anchor moveWithCells="1">
                  <from>
                    <xdr:col>3</xdr:col>
                    <xdr:colOff>1352550</xdr:colOff>
                    <xdr:row>215</xdr:row>
                    <xdr:rowOff>0</xdr:rowOff>
                  </from>
                  <to>
                    <xdr:col>3</xdr:col>
                    <xdr:colOff>1733550</xdr:colOff>
                    <xdr:row>216</xdr:row>
                    <xdr:rowOff>19050</xdr:rowOff>
                  </to>
                </anchor>
              </controlPr>
            </control>
          </mc:Choice>
        </mc:AlternateContent>
        <mc:AlternateContent xmlns:mc="http://schemas.openxmlformats.org/markup-compatibility/2006">
          <mc:Choice Requires="x14">
            <control shapeId="277614" r:id="rId101" name="Check Box 110">
              <controlPr defaultSize="0" autoFill="0" autoLine="0" autoPict="0">
                <anchor moveWithCells="1">
                  <from>
                    <xdr:col>3</xdr:col>
                    <xdr:colOff>1352550</xdr:colOff>
                    <xdr:row>218</xdr:row>
                    <xdr:rowOff>0</xdr:rowOff>
                  </from>
                  <to>
                    <xdr:col>3</xdr:col>
                    <xdr:colOff>1733550</xdr:colOff>
                    <xdr:row>219</xdr:row>
                    <xdr:rowOff>19050</xdr:rowOff>
                  </to>
                </anchor>
              </controlPr>
            </control>
          </mc:Choice>
        </mc:AlternateContent>
        <mc:AlternateContent xmlns:mc="http://schemas.openxmlformats.org/markup-compatibility/2006">
          <mc:Choice Requires="x14">
            <control shapeId="277615" r:id="rId102" name="Check Box 111">
              <controlPr defaultSize="0" autoFill="0" autoLine="0" autoPict="0">
                <anchor moveWithCells="1">
                  <from>
                    <xdr:col>3</xdr:col>
                    <xdr:colOff>1352550</xdr:colOff>
                    <xdr:row>218</xdr:row>
                    <xdr:rowOff>0</xdr:rowOff>
                  </from>
                  <to>
                    <xdr:col>3</xdr:col>
                    <xdr:colOff>1733550</xdr:colOff>
                    <xdr:row>219</xdr:row>
                    <xdr:rowOff>19050</xdr:rowOff>
                  </to>
                </anchor>
              </controlPr>
            </control>
          </mc:Choice>
        </mc:AlternateContent>
        <mc:AlternateContent xmlns:mc="http://schemas.openxmlformats.org/markup-compatibility/2006">
          <mc:Choice Requires="x14">
            <control shapeId="277616" r:id="rId103" name="Check Box 112">
              <controlPr defaultSize="0" autoFill="0" autoLine="0" autoPict="0">
                <anchor moveWithCells="1">
                  <from>
                    <xdr:col>3</xdr:col>
                    <xdr:colOff>1352550</xdr:colOff>
                    <xdr:row>219</xdr:row>
                    <xdr:rowOff>0</xdr:rowOff>
                  </from>
                  <to>
                    <xdr:col>3</xdr:col>
                    <xdr:colOff>1733550</xdr:colOff>
                    <xdr:row>220</xdr:row>
                    <xdr:rowOff>19050</xdr:rowOff>
                  </to>
                </anchor>
              </controlPr>
            </control>
          </mc:Choice>
        </mc:AlternateContent>
        <mc:AlternateContent xmlns:mc="http://schemas.openxmlformats.org/markup-compatibility/2006">
          <mc:Choice Requires="x14">
            <control shapeId="277617" r:id="rId104" name="Check Box 113">
              <controlPr defaultSize="0" autoFill="0" autoLine="0" autoPict="0">
                <anchor moveWithCells="1">
                  <from>
                    <xdr:col>3</xdr:col>
                    <xdr:colOff>1352550</xdr:colOff>
                    <xdr:row>220</xdr:row>
                    <xdr:rowOff>0</xdr:rowOff>
                  </from>
                  <to>
                    <xdr:col>3</xdr:col>
                    <xdr:colOff>1733550</xdr:colOff>
                    <xdr:row>221</xdr:row>
                    <xdr:rowOff>19050</xdr:rowOff>
                  </to>
                </anchor>
              </controlPr>
            </control>
          </mc:Choice>
        </mc:AlternateContent>
        <mc:AlternateContent xmlns:mc="http://schemas.openxmlformats.org/markup-compatibility/2006">
          <mc:Choice Requires="x14">
            <control shapeId="277618" r:id="rId105" name="Check Box 114">
              <controlPr defaultSize="0" autoFill="0" autoLine="0" autoPict="0">
                <anchor moveWithCells="1">
                  <from>
                    <xdr:col>3</xdr:col>
                    <xdr:colOff>1352550</xdr:colOff>
                    <xdr:row>221</xdr:row>
                    <xdr:rowOff>0</xdr:rowOff>
                  </from>
                  <to>
                    <xdr:col>3</xdr:col>
                    <xdr:colOff>1733550</xdr:colOff>
                    <xdr:row>222</xdr:row>
                    <xdr:rowOff>19050</xdr:rowOff>
                  </to>
                </anchor>
              </controlPr>
            </control>
          </mc:Choice>
        </mc:AlternateContent>
        <mc:AlternateContent xmlns:mc="http://schemas.openxmlformats.org/markup-compatibility/2006">
          <mc:Choice Requires="x14">
            <control shapeId="277619" r:id="rId106" name="Check Box 115">
              <controlPr defaultSize="0" autoFill="0" autoLine="0" autoPict="0">
                <anchor moveWithCells="1">
                  <from>
                    <xdr:col>3</xdr:col>
                    <xdr:colOff>1352550</xdr:colOff>
                    <xdr:row>222</xdr:row>
                    <xdr:rowOff>0</xdr:rowOff>
                  </from>
                  <to>
                    <xdr:col>3</xdr:col>
                    <xdr:colOff>1733550</xdr:colOff>
                    <xdr:row>223</xdr:row>
                    <xdr:rowOff>19050</xdr:rowOff>
                  </to>
                </anchor>
              </controlPr>
            </control>
          </mc:Choice>
        </mc:AlternateContent>
        <mc:AlternateContent xmlns:mc="http://schemas.openxmlformats.org/markup-compatibility/2006">
          <mc:Choice Requires="x14">
            <control shapeId="277620" r:id="rId107" name="Check Box 116">
              <controlPr defaultSize="0" autoFill="0" autoLine="0" autoPict="0">
                <anchor moveWithCells="1">
                  <from>
                    <xdr:col>3</xdr:col>
                    <xdr:colOff>1352550</xdr:colOff>
                    <xdr:row>223</xdr:row>
                    <xdr:rowOff>0</xdr:rowOff>
                  </from>
                  <to>
                    <xdr:col>3</xdr:col>
                    <xdr:colOff>1733550</xdr:colOff>
                    <xdr:row>224</xdr:row>
                    <xdr:rowOff>19050</xdr:rowOff>
                  </to>
                </anchor>
              </controlPr>
            </control>
          </mc:Choice>
        </mc:AlternateContent>
        <mc:AlternateContent xmlns:mc="http://schemas.openxmlformats.org/markup-compatibility/2006">
          <mc:Choice Requires="x14">
            <control shapeId="277622" r:id="rId108" name="Check Box 118">
              <controlPr defaultSize="0" autoFill="0" autoLine="0" autoPict="0">
                <anchor moveWithCells="1">
                  <from>
                    <xdr:col>2</xdr:col>
                    <xdr:colOff>523875</xdr:colOff>
                    <xdr:row>22</xdr:row>
                    <xdr:rowOff>190500</xdr:rowOff>
                  </from>
                  <to>
                    <xdr:col>2</xdr:col>
                    <xdr:colOff>914400</xdr:colOff>
                    <xdr:row>24</xdr:row>
                    <xdr:rowOff>47625</xdr:rowOff>
                  </to>
                </anchor>
              </controlPr>
            </control>
          </mc:Choice>
        </mc:AlternateContent>
        <mc:AlternateContent xmlns:mc="http://schemas.openxmlformats.org/markup-compatibility/2006">
          <mc:Choice Requires="x14">
            <control shapeId="277623" r:id="rId109" name="Check Box 119">
              <controlPr defaultSize="0" autoFill="0" autoLine="0" autoPict="0">
                <anchor moveWithCells="1">
                  <from>
                    <xdr:col>2</xdr:col>
                    <xdr:colOff>533400</xdr:colOff>
                    <xdr:row>54</xdr:row>
                    <xdr:rowOff>190500</xdr:rowOff>
                  </from>
                  <to>
                    <xdr:col>2</xdr:col>
                    <xdr:colOff>923925</xdr:colOff>
                    <xdr:row>56</xdr:row>
                    <xdr:rowOff>76200</xdr:rowOff>
                  </to>
                </anchor>
              </controlPr>
            </control>
          </mc:Choice>
        </mc:AlternateContent>
        <mc:AlternateContent xmlns:mc="http://schemas.openxmlformats.org/markup-compatibility/2006">
          <mc:Choice Requires="x14">
            <control shapeId="277624" r:id="rId110" name="Check Box 120">
              <controlPr defaultSize="0" autoFill="0" autoLine="0" autoPict="0">
                <anchor moveWithCells="1">
                  <from>
                    <xdr:col>2</xdr:col>
                    <xdr:colOff>533400</xdr:colOff>
                    <xdr:row>53</xdr:row>
                    <xdr:rowOff>190500</xdr:rowOff>
                  </from>
                  <to>
                    <xdr:col>2</xdr:col>
                    <xdr:colOff>923925</xdr:colOff>
                    <xdr:row>55</xdr:row>
                    <xdr:rowOff>76200</xdr:rowOff>
                  </to>
                </anchor>
              </controlPr>
            </control>
          </mc:Choice>
        </mc:AlternateContent>
        <mc:AlternateContent xmlns:mc="http://schemas.openxmlformats.org/markup-compatibility/2006">
          <mc:Choice Requires="x14">
            <control shapeId="277625" r:id="rId111" name="Check Box 121">
              <controlPr defaultSize="0" autoFill="0" autoLine="0" autoPict="0">
                <anchor moveWithCells="1">
                  <from>
                    <xdr:col>2</xdr:col>
                    <xdr:colOff>533400</xdr:colOff>
                    <xdr:row>56</xdr:row>
                    <xdr:rowOff>161925</xdr:rowOff>
                  </from>
                  <to>
                    <xdr:col>2</xdr:col>
                    <xdr:colOff>933450</xdr:colOff>
                    <xdr:row>58</xdr:row>
                    <xdr:rowOff>85725</xdr:rowOff>
                  </to>
                </anchor>
              </controlPr>
            </control>
          </mc:Choice>
        </mc:AlternateContent>
        <mc:AlternateContent xmlns:mc="http://schemas.openxmlformats.org/markup-compatibility/2006">
          <mc:Choice Requires="x14">
            <control shapeId="277626" r:id="rId112" name="Check Box 122">
              <controlPr locked="0" defaultSize="0" autoFill="0" autoLine="0" autoPict="0">
                <anchor moveWithCells="1">
                  <from>
                    <xdr:col>2</xdr:col>
                    <xdr:colOff>533400</xdr:colOff>
                    <xdr:row>57</xdr:row>
                    <xdr:rowOff>161925</xdr:rowOff>
                  </from>
                  <to>
                    <xdr:col>2</xdr:col>
                    <xdr:colOff>933450</xdr:colOff>
                    <xdr:row>59</xdr:row>
                    <xdr:rowOff>85725</xdr:rowOff>
                  </to>
                </anchor>
              </controlPr>
            </control>
          </mc:Choice>
        </mc:AlternateContent>
        <mc:AlternateContent xmlns:mc="http://schemas.openxmlformats.org/markup-compatibility/2006">
          <mc:Choice Requires="x14">
            <control shapeId="277627" r:id="rId113" name="Check Box 123">
              <controlPr locked="0" defaultSize="0" autoFill="0" autoLine="0" autoPict="0">
                <anchor moveWithCells="1">
                  <from>
                    <xdr:col>2</xdr:col>
                    <xdr:colOff>533400</xdr:colOff>
                    <xdr:row>59</xdr:row>
                    <xdr:rowOff>161925</xdr:rowOff>
                  </from>
                  <to>
                    <xdr:col>2</xdr:col>
                    <xdr:colOff>933450</xdr:colOff>
                    <xdr:row>61</xdr:row>
                    <xdr:rowOff>85725</xdr:rowOff>
                  </to>
                </anchor>
              </controlPr>
            </control>
          </mc:Choice>
        </mc:AlternateContent>
        <mc:AlternateContent xmlns:mc="http://schemas.openxmlformats.org/markup-compatibility/2006">
          <mc:Choice Requires="x14">
            <control shapeId="277628" r:id="rId114" name="Check Box 124">
              <controlPr locked="0" defaultSize="0" autoFill="0" autoLine="0" autoPict="0">
                <anchor moveWithCells="1">
                  <from>
                    <xdr:col>2</xdr:col>
                    <xdr:colOff>533400</xdr:colOff>
                    <xdr:row>58</xdr:row>
                    <xdr:rowOff>161925</xdr:rowOff>
                  </from>
                  <to>
                    <xdr:col>2</xdr:col>
                    <xdr:colOff>933450</xdr:colOff>
                    <xdr:row>60</xdr:row>
                    <xdr:rowOff>85725</xdr:rowOff>
                  </to>
                </anchor>
              </controlPr>
            </control>
          </mc:Choice>
        </mc:AlternateContent>
        <mc:AlternateContent xmlns:mc="http://schemas.openxmlformats.org/markup-compatibility/2006">
          <mc:Choice Requires="x14">
            <control shapeId="277629" r:id="rId115" name="Check Box 125">
              <controlPr defaultSize="0" autoFill="0" autoLine="0" autoPict="0">
                <anchor moveWithCells="1">
                  <from>
                    <xdr:col>2</xdr:col>
                    <xdr:colOff>542925</xdr:colOff>
                    <xdr:row>65</xdr:row>
                    <xdr:rowOff>180975</xdr:rowOff>
                  </from>
                  <to>
                    <xdr:col>2</xdr:col>
                    <xdr:colOff>933450</xdr:colOff>
                    <xdr:row>67</xdr:row>
                    <xdr:rowOff>47625</xdr:rowOff>
                  </to>
                </anchor>
              </controlPr>
            </control>
          </mc:Choice>
        </mc:AlternateContent>
        <mc:AlternateContent xmlns:mc="http://schemas.openxmlformats.org/markup-compatibility/2006">
          <mc:Choice Requires="x14">
            <control shapeId="277630" r:id="rId116" name="Check Box 126">
              <controlPr defaultSize="0" autoFill="0" autoLine="0" autoPict="0">
                <anchor moveWithCells="1">
                  <from>
                    <xdr:col>2</xdr:col>
                    <xdr:colOff>542925</xdr:colOff>
                    <xdr:row>66</xdr:row>
                    <xdr:rowOff>180975</xdr:rowOff>
                  </from>
                  <to>
                    <xdr:col>2</xdr:col>
                    <xdr:colOff>933450</xdr:colOff>
                    <xdr:row>68</xdr:row>
                    <xdr:rowOff>47625</xdr:rowOff>
                  </to>
                </anchor>
              </controlPr>
            </control>
          </mc:Choice>
        </mc:AlternateContent>
        <mc:AlternateContent xmlns:mc="http://schemas.openxmlformats.org/markup-compatibility/2006">
          <mc:Choice Requires="x14">
            <control shapeId="277631" r:id="rId117" name="Check Box 127">
              <controlPr defaultSize="0" autoFill="0" autoLine="0" autoPict="0">
                <anchor moveWithCells="1">
                  <from>
                    <xdr:col>2</xdr:col>
                    <xdr:colOff>533400</xdr:colOff>
                    <xdr:row>34</xdr:row>
                    <xdr:rowOff>190500</xdr:rowOff>
                  </from>
                  <to>
                    <xdr:col>2</xdr:col>
                    <xdr:colOff>1019175</xdr:colOff>
                    <xdr:row>36</xdr:row>
                    <xdr:rowOff>66675</xdr:rowOff>
                  </to>
                </anchor>
              </controlPr>
            </control>
          </mc:Choice>
        </mc:AlternateContent>
        <mc:AlternateContent xmlns:mc="http://schemas.openxmlformats.org/markup-compatibility/2006">
          <mc:Choice Requires="x14">
            <control shapeId="277632" r:id="rId118" name="Check Box 128">
              <controlPr defaultSize="0" autoFill="0" autoLine="0" autoPict="0">
                <anchor moveWithCells="1">
                  <from>
                    <xdr:col>3</xdr:col>
                    <xdr:colOff>1352550</xdr:colOff>
                    <xdr:row>177</xdr:row>
                    <xdr:rowOff>0</xdr:rowOff>
                  </from>
                  <to>
                    <xdr:col>3</xdr:col>
                    <xdr:colOff>1733550</xdr:colOff>
                    <xdr:row>178</xdr:row>
                    <xdr:rowOff>19050</xdr:rowOff>
                  </to>
                </anchor>
              </controlPr>
            </control>
          </mc:Choice>
        </mc:AlternateContent>
        <mc:AlternateContent xmlns:mc="http://schemas.openxmlformats.org/markup-compatibility/2006">
          <mc:Choice Requires="x14">
            <control shapeId="277633" r:id="rId119" name="Check Box 129">
              <controlPr defaultSize="0" autoFill="0" autoLine="0" autoPict="0">
                <anchor moveWithCells="1">
                  <from>
                    <xdr:col>3</xdr:col>
                    <xdr:colOff>1352550</xdr:colOff>
                    <xdr:row>178</xdr:row>
                    <xdr:rowOff>0</xdr:rowOff>
                  </from>
                  <to>
                    <xdr:col>3</xdr:col>
                    <xdr:colOff>1733550</xdr:colOff>
                    <xdr:row>179</xdr:row>
                    <xdr:rowOff>19050</xdr:rowOff>
                  </to>
                </anchor>
              </controlPr>
            </control>
          </mc:Choice>
        </mc:AlternateContent>
        <mc:AlternateContent xmlns:mc="http://schemas.openxmlformats.org/markup-compatibility/2006">
          <mc:Choice Requires="x14">
            <control shapeId="277634" r:id="rId120" name="Check Box 130">
              <controlPr defaultSize="0" autoFill="0" autoLine="0" autoPict="0">
                <anchor moveWithCells="1">
                  <from>
                    <xdr:col>3</xdr:col>
                    <xdr:colOff>1352550</xdr:colOff>
                    <xdr:row>179</xdr:row>
                    <xdr:rowOff>0</xdr:rowOff>
                  </from>
                  <to>
                    <xdr:col>3</xdr:col>
                    <xdr:colOff>1733550</xdr:colOff>
                    <xdr:row>180</xdr:row>
                    <xdr:rowOff>19050</xdr:rowOff>
                  </to>
                </anchor>
              </controlPr>
            </control>
          </mc:Choice>
        </mc:AlternateContent>
        <mc:AlternateContent xmlns:mc="http://schemas.openxmlformats.org/markup-compatibility/2006">
          <mc:Choice Requires="x14">
            <control shapeId="277635" r:id="rId121" name="Check Box 131">
              <controlPr defaultSize="0" autoFill="0" autoLine="0" autoPict="0">
                <anchor moveWithCells="1">
                  <from>
                    <xdr:col>3</xdr:col>
                    <xdr:colOff>1352550</xdr:colOff>
                    <xdr:row>180</xdr:row>
                    <xdr:rowOff>0</xdr:rowOff>
                  </from>
                  <to>
                    <xdr:col>3</xdr:col>
                    <xdr:colOff>1733550</xdr:colOff>
                    <xdr:row>181</xdr:row>
                    <xdr:rowOff>19050</xdr:rowOff>
                  </to>
                </anchor>
              </controlPr>
            </control>
          </mc:Choice>
        </mc:AlternateContent>
        <mc:AlternateContent xmlns:mc="http://schemas.openxmlformats.org/markup-compatibility/2006">
          <mc:Choice Requires="x14">
            <control shapeId="277636" r:id="rId122" name="Check Box 132">
              <controlPr defaultSize="0" autoFill="0" autoLine="0" autoPict="0">
                <anchor moveWithCells="1">
                  <from>
                    <xdr:col>3</xdr:col>
                    <xdr:colOff>1352550</xdr:colOff>
                    <xdr:row>181</xdr:row>
                    <xdr:rowOff>0</xdr:rowOff>
                  </from>
                  <to>
                    <xdr:col>3</xdr:col>
                    <xdr:colOff>1733550</xdr:colOff>
                    <xdr:row>182</xdr:row>
                    <xdr:rowOff>19050</xdr:rowOff>
                  </to>
                </anchor>
              </controlPr>
            </control>
          </mc:Choice>
        </mc:AlternateContent>
        <mc:AlternateContent xmlns:mc="http://schemas.openxmlformats.org/markup-compatibility/2006">
          <mc:Choice Requires="x14">
            <control shapeId="277637" r:id="rId123" name="Check Box 133">
              <controlPr defaultSize="0" autoFill="0" autoLine="0" autoPict="0">
                <anchor moveWithCells="1">
                  <from>
                    <xdr:col>3</xdr:col>
                    <xdr:colOff>1352550</xdr:colOff>
                    <xdr:row>182</xdr:row>
                    <xdr:rowOff>0</xdr:rowOff>
                  </from>
                  <to>
                    <xdr:col>3</xdr:col>
                    <xdr:colOff>1733550</xdr:colOff>
                    <xdr:row>183</xdr:row>
                    <xdr:rowOff>19050</xdr:rowOff>
                  </to>
                </anchor>
              </controlPr>
            </control>
          </mc:Choice>
        </mc:AlternateContent>
        <mc:AlternateContent xmlns:mc="http://schemas.openxmlformats.org/markup-compatibility/2006">
          <mc:Choice Requires="x14">
            <control shapeId="277638" r:id="rId124" name="Check Box 134">
              <controlPr defaultSize="0" autoFill="0" autoLine="0" autoPict="0">
                <anchor moveWithCells="1">
                  <from>
                    <xdr:col>3</xdr:col>
                    <xdr:colOff>1352550</xdr:colOff>
                    <xdr:row>183</xdr:row>
                    <xdr:rowOff>0</xdr:rowOff>
                  </from>
                  <to>
                    <xdr:col>3</xdr:col>
                    <xdr:colOff>1733550</xdr:colOff>
                    <xdr:row>184</xdr:row>
                    <xdr:rowOff>19050</xdr:rowOff>
                  </to>
                </anchor>
              </controlPr>
            </control>
          </mc:Choice>
        </mc:AlternateContent>
        <mc:AlternateContent xmlns:mc="http://schemas.openxmlformats.org/markup-compatibility/2006">
          <mc:Choice Requires="x14">
            <control shapeId="277639" r:id="rId125" name="Check Box 135">
              <controlPr defaultSize="0" autoFill="0" autoLine="0" autoPict="0">
                <anchor moveWithCells="1">
                  <from>
                    <xdr:col>3</xdr:col>
                    <xdr:colOff>1352550</xdr:colOff>
                    <xdr:row>185</xdr:row>
                    <xdr:rowOff>0</xdr:rowOff>
                  </from>
                  <to>
                    <xdr:col>3</xdr:col>
                    <xdr:colOff>1733550</xdr:colOff>
                    <xdr:row>186</xdr:row>
                    <xdr:rowOff>19050</xdr:rowOff>
                  </to>
                </anchor>
              </controlPr>
            </control>
          </mc:Choice>
        </mc:AlternateContent>
        <mc:AlternateContent xmlns:mc="http://schemas.openxmlformats.org/markup-compatibility/2006">
          <mc:Choice Requires="x14">
            <control shapeId="277640" r:id="rId126" name="Check Box 136">
              <controlPr defaultSize="0" autoFill="0" autoLine="0" autoPict="0">
                <anchor moveWithCells="1">
                  <from>
                    <xdr:col>3</xdr:col>
                    <xdr:colOff>1352550</xdr:colOff>
                    <xdr:row>186</xdr:row>
                    <xdr:rowOff>0</xdr:rowOff>
                  </from>
                  <to>
                    <xdr:col>3</xdr:col>
                    <xdr:colOff>1733550</xdr:colOff>
                    <xdr:row>187</xdr:row>
                    <xdr:rowOff>19050</xdr:rowOff>
                  </to>
                </anchor>
              </controlPr>
            </control>
          </mc:Choice>
        </mc:AlternateContent>
        <mc:AlternateContent xmlns:mc="http://schemas.openxmlformats.org/markup-compatibility/2006">
          <mc:Choice Requires="x14">
            <control shapeId="277641" r:id="rId127" name="Check Box 137">
              <controlPr defaultSize="0" autoFill="0" autoLine="0" autoPict="0">
                <anchor moveWithCells="1">
                  <from>
                    <xdr:col>3</xdr:col>
                    <xdr:colOff>1352550</xdr:colOff>
                    <xdr:row>188</xdr:row>
                    <xdr:rowOff>0</xdr:rowOff>
                  </from>
                  <to>
                    <xdr:col>3</xdr:col>
                    <xdr:colOff>1733550</xdr:colOff>
                    <xdr:row>189</xdr:row>
                    <xdr:rowOff>19050</xdr:rowOff>
                  </to>
                </anchor>
              </controlPr>
            </control>
          </mc:Choice>
        </mc:AlternateContent>
        <mc:AlternateContent xmlns:mc="http://schemas.openxmlformats.org/markup-compatibility/2006">
          <mc:Choice Requires="x14">
            <control shapeId="277642" r:id="rId128" name="Check Box 138">
              <controlPr defaultSize="0" autoFill="0" autoLine="0" autoPict="0">
                <anchor moveWithCells="1">
                  <from>
                    <xdr:col>3</xdr:col>
                    <xdr:colOff>1352550</xdr:colOff>
                    <xdr:row>189</xdr:row>
                    <xdr:rowOff>0</xdr:rowOff>
                  </from>
                  <to>
                    <xdr:col>3</xdr:col>
                    <xdr:colOff>1733550</xdr:colOff>
                    <xdr:row>190</xdr:row>
                    <xdr:rowOff>19050</xdr:rowOff>
                  </to>
                </anchor>
              </controlPr>
            </control>
          </mc:Choice>
        </mc:AlternateContent>
        <mc:AlternateContent xmlns:mc="http://schemas.openxmlformats.org/markup-compatibility/2006">
          <mc:Choice Requires="x14">
            <control shapeId="277643" r:id="rId129" name="Check Box 139">
              <controlPr defaultSize="0" autoFill="0" autoLine="0" autoPict="0">
                <anchor moveWithCells="1">
                  <from>
                    <xdr:col>3</xdr:col>
                    <xdr:colOff>1352550</xdr:colOff>
                    <xdr:row>190</xdr:row>
                    <xdr:rowOff>0</xdr:rowOff>
                  </from>
                  <to>
                    <xdr:col>3</xdr:col>
                    <xdr:colOff>1733550</xdr:colOff>
                    <xdr:row>191</xdr:row>
                    <xdr:rowOff>19050</xdr:rowOff>
                  </to>
                </anchor>
              </controlPr>
            </control>
          </mc:Choice>
        </mc:AlternateContent>
        <mc:AlternateContent xmlns:mc="http://schemas.openxmlformats.org/markup-compatibility/2006">
          <mc:Choice Requires="x14">
            <control shapeId="277644" r:id="rId130" name="Check Box 140">
              <controlPr defaultSize="0" autoFill="0" autoLine="0" autoPict="0">
                <anchor moveWithCells="1">
                  <from>
                    <xdr:col>3</xdr:col>
                    <xdr:colOff>1352550</xdr:colOff>
                    <xdr:row>191</xdr:row>
                    <xdr:rowOff>0</xdr:rowOff>
                  </from>
                  <to>
                    <xdr:col>3</xdr:col>
                    <xdr:colOff>1733550</xdr:colOff>
                    <xdr:row>192</xdr:row>
                    <xdr:rowOff>19050</xdr:rowOff>
                  </to>
                </anchor>
              </controlPr>
            </control>
          </mc:Choice>
        </mc:AlternateContent>
        <mc:AlternateContent xmlns:mc="http://schemas.openxmlformats.org/markup-compatibility/2006">
          <mc:Choice Requires="x14">
            <control shapeId="277645" r:id="rId131" name="Check Box 141">
              <controlPr defaultSize="0" autoFill="0" autoLine="0" autoPict="0">
                <anchor moveWithCells="1">
                  <from>
                    <xdr:col>2</xdr:col>
                    <xdr:colOff>561975</xdr:colOff>
                    <xdr:row>127</xdr:row>
                    <xdr:rowOff>9525</xdr:rowOff>
                  </from>
                  <to>
                    <xdr:col>2</xdr:col>
                    <xdr:colOff>942975</xdr:colOff>
                    <xdr:row>128</xdr:row>
                    <xdr:rowOff>28575</xdr:rowOff>
                  </to>
                </anchor>
              </controlPr>
            </control>
          </mc:Choice>
        </mc:AlternateContent>
        <mc:AlternateContent xmlns:mc="http://schemas.openxmlformats.org/markup-compatibility/2006">
          <mc:Choice Requires="x14">
            <control shapeId="277646" r:id="rId132" name="Check Box 142">
              <controlPr defaultSize="0" autoFill="0" autoLine="0" autoPict="0">
                <anchor moveWithCells="1">
                  <from>
                    <xdr:col>2</xdr:col>
                    <xdr:colOff>561975</xdr:colOff>
                    <xdr:row>128</xdr:row>
                    <xdr:rowOff>9525</xdr:rowOff>
                  </from>
                  <to>
                    <xdr:col>2</xdr:col>
                    <xdr:colOff>942975</xdr:colOff>
                    <xdr:row>129</xdr:row>
                    <xdr:rowOff>28575</xdr:rowOff>
                  </to>
                </anchor>
              </controlPr>
            </control>
          </mc:Choice>
        </mc:AlternateContent>
        <mc:AlternateContent xmlns:mc="http://schemas.openxmlformats.org/markup-compatibility/2006">
          <mc:Choice Requires="x14">
            <control shapeId="277647" r:id="rId133" name="Check Box 143">
              <controlPr defaultSize="0" autoFill="0" autoLine="0" autoPict="0">
                <anchor moveWithCells="1">
                  <from>
                    <xdr:col>2</xdr:col>
                    <xdr:colOff>561975</xdr:colOff>
                    <xdr:row>129</xdr:row>
                    <xdr:rowOff>9525</xdr:rowOff>
                  </from>
                  <to>
                    <xdr:col>2</xdr:col>
                    <xdr:colOff>942975</xdr:colOff>
                    <xdr:row>130</xdr:row>
                    <xdr:rowOff>28575</xdr:rowOff>
                  </to>
                </anchor>
              </controlPr>
            </control>
          </mc:Choice>
        </mc:AlternateContent>
        <mc:AlternateContent xmlns:mc="http://schemas.openxmlformats.org/markup-compatibility/2006">
          <mc:Choice Requires="x14">
            <control shapeId="277648" r:id="rId134" name="Check Box 144">
              <controlPr defaultSize="0" autoFill="0" autoLine="0" autoPict="0">
                <anchor moveWithCells="1">
                  <from>
                    <xdr:col>3</xdr:col>
                    <xdr:colOff>1352550</xdr:colOff>
                    <xdr:row>187</xdr:row>
                    <xdr:rowOff>0</xdr:rowOff>
                  </from>
                  <to>
                    <xdr:col>3</xdr:col>
                    <xdr:colOff>1733550</xdr:colOff>
                    <xdr:row>188</xdr:row>
                    <xdr:rowOff>19050</xdr:rowOff>
                  </to>
                </anchor>
              </controlPr>
            </control>
          </mc:Choice>
        </mc:AlternateContent>
        <mc:AlternateContent xmlns:mc="http://schemas.openxmlformats.org/markup-compatibility/2006">
          <mc:Choice Requires="x14">
            <control shapeId="277649" r:id="rId135" name="Check Box 145">
              <controlPr defaultSize="0" autoFill="0" autoLine="0" autoPict="0">
                <anchor moveWithCells="1">
                  <from>
                    <xdr:col>3</xdr:col>
                    <xdr:colOff>1352550</xdr:colOff>
                    <xdr:row>139</xdr:row>
                    <xdr:rowOff>0</xdr:rowOff>
                  </from>
                  <to>
                    <xdr:col>3</xdr:col>
                    <xdr:colOff>1733550</xdr:colOff>
                    <xdr:row>140</xdr:row>
                    <xdr:rowOff>19050</xdr:rowOff>
                  </to>
                </anchor>
              </controlPr>
            </control>
          </mc:Choice>
        </mc:AlternateContent>
        <mc:AlternateContent xmlns:mc="http://schemas.openxmlformats.org/markup-compatibility/2006">
          <mc:Choice Requires="x14">
            <control shapeId="277650" r:id="rId136" name="Check Box 146">
              <controlPr defaultSize="0" autoFill="0" autoLine="0" autoPict="0">
                <anchor moveWithCells="1">
                  <from>
                    <xdr:col>3</xdr:col>
                    <xdr:colOff>1352550</xdr:colOff>
                    <xdr:row>198</xdr:row>
                    <xdr:rowOff>0</xdr:rowOff>
                  </from>
                  <to>
                    <xdr:col>3</xdr:col>
                    <xdr:colOff>1733550</xdr:colOff>
                    <xdr:row>199</xdr:row>
                    <xdr:rowOff>19050</xdr:rowOff>
                  </to>
                </anchor>
              </controlPr>
            </control>
          </mc:Choice>
        </mc:AlternateContent>
        <mc:AlternateContent xmlns:mc="http://schemas.openxmlformats.org/markup-compatibility/2006">
          <mc:Choice Requires="x14">
            <control shapeId="277651" r:id="rId137" name="Check Box 147">
              <controlPr defaultSize="0" autoFill="0" autoLine="0" autoPict="0">
                <anchor moveWithCells="1">
                  <from>
                    <xdr:col>2</xdr:col>
                    <xdr:colOff>533400</xdr:colOff>
                    <xdr:row>42</xdr:row>
                    <xdr:rowOff>171450</xdr:rowOff>
                  </from>
                  <to>
                    <xdr:col>2</xdr:col>
                    <xdr:colOff>1019175</xdr:colOff>
                    <xdr:row>44</xdr:row>
                    <xdr:rowOff>57150</xdr:rowOff>
                  </to>
                </anchor>
              </controlPr>
            </control>
          </mc:Choice>
        </mc:AlternateContent>
        <mc:AlternateContent xmlns:mc="http://schemas.openxmlformats.org/markup-compatibility/2006">
          <mc:Choice Requires="x14">
            <control shapeId="277652" r:id="rId138" name="Check Box 148">
              <controlPr defaultSize="0" autoFill="0" autoLine="0" autoPict="0">
                <anchor moveWithCells="1">
                  <from>
                    <xdr:col>2</xdr:col>
                    <xdr:colOff>552450</xdr:colOff>
                    <xdr:row>109</xdr:row>
                    <xdr:rowOff>19050</xdr:rowOff>
                  </from>
                  <to>
                    <xdr:col>2</xdr:col>
                    <xdr:colOff>914400</xdr:colOff>
                    <xdr:row>110</xdr:row>
                    <xdr:rowOff>38100</xdr:rowOff>
                  </to>
                </anchor>
              </controlPr>
            </control>
          </mc:Choice>
        </mc:AlternateContent>
        <mc:AlternateContent xmlns:mc="http://schemas.openxmlformats.org/markup-compatibility/2006">
          <mc:Choice Requires="x14">
            <control shapeId="277653" r:id="rId139" name="Check Box 149">
              <controlPr defaultSize="0" autoFill="0" autoLine="0" autoPict="0">
                <anchor moveWithCells="1">
                  <from>
                    <xdr:col>2</xdr:col>
                    <xdr:colOff>552450</xdr:colOff>
                    <xdr:row>110</xdr:row>
                    <xdr:rowOff>28575</xdr:rowOff>
                  </from>
                  <to>
                    <xdr:col>2</xdr:col>
                    <xdr:colOff>914400</xdr:colOff>
                    <xdr:row>111</xdr:row>
                    <xdr:rowOff>38100</xdr:rowOff>
                  </to>
                </anchor>
              </controlPr>
            </control>
          </mc:Choice>
        </mc:AlternateContent>
        <mc:AlternateContent xmlns:mc="http://schemas.openxmlformats.org/markup-compatibility/2006">
          <mc:Choice Requires="x14">
            <control shapeId="277654" r:id="rId140" name="Check Box 150">
              <controlPr defaultSize="0" autoFill="0" autoLine="0" autoPict="0">
                <anchor moveWithCells="1">
                  <from>
                    <xdr:col>3</xdr:col>
                    <xdr:colOff>1352550</xdr:colOff>
                    <xdr:row>137</xdr:row>
                    <xdr:rowOff>0</xdr:rowOff>
                  </from>
                  <to>
                    <xdr:col>3</xdr:col>
                    <xdr:colOff>1733550</xdr:colOff>
                    <xdr:row>138</xdr:row>
                    <xdr:rowOff>19050</xdr:rowOff>
                  </to>
                </anchor>
              </controlPr>
            </control>
          </mc:Choice>
        </mc:AlternateContent>
        <mc:AlternateContent xmlns:mc="http://schemas.openxmlformats.org/markup-compatibility/2006">
          <mc:Choice Requires="x14">
            <control shapeId="277655" r:id="rId141" name="Check Box 151">
              <controlPr defaultSize="0" autoFill="0" autoLine="0" autoPict="0">
                <anchor moveWithCells="1">
                  <from>
                    <xdr:col>3</xdr:col>
                    <xdr:colOff>1352550</xdr:colOff>
                    <xdr:row>138</xdr:row>
                    <xdr:rowOff>0</xdr:rowOff>
                  </from>
                  <to>
                    <xdr:col>3</xdr:col>
                    <xdr:colOff>1733550</xdr:colOff>
                    <xdr:row>139</xdr:row>
                    <xdr:rowOff>19050</xdr:rowOff>
                  </to>
                </anchor>
              </controlPr>
            </control>
          </mc:Choice>
        </mc:AlternateContent>
        <mc:AlternateContent xmlns:mc="http://schemas.openxmlformats.org/markup-compatibility/2006">
          <mc:Choice Requires="x14">
            <control shapeId="277656" r:id="rId142" name="Check Box 152">
              <controlPr defaultSize="0" autoFill="0" autoLine="0" autoPict="0">
                <anchor moveWithCells="1">
                  <from>
                    <xdr:col>2</xdr:col>
                    <xdr:colOff>552450</xdr:colOff>
                    <xdr:row>114</xdr:row>
                    <xdr:rowOff>19050</xdr:rowOff>
                  </from>
                  <to>
                    <xdr:col>2</xdr:col>
                    <xdr:colOff>914400</xdr:colOff>
                    <xdr:row>115</xdr:row>
                    <xdr:rowOff>38100</xdr:rowOff>
                  </to>
                </anchor>
              </controlPr>
            </control>
          </mc:Choice>
        </mc:AlternateContent>
        <mc:AlternateContent xmlns:mc="http://schemas.openxmlformats.org/markup-compatibility/2006">
          <mc:Choice Requires="x14">
            <control shapeId="277657" r:id="rId143" name="Check Box 153">
              <controlPr defaultSize="0" autoFill="0" autoLine="0" autoPict="0">
                <anchor moveWithCells="1">
                  <from>
                    <xdr:col>2</xdr:col>
                    <xdr:colOff>552450</xdr:colOff>
                    <xdr:row>113</xdr:row>
                    <xdr:rowOff>28575</xdr:rowOff>
                  </from>
                  <to>
                    <xdr:col>2</xdr:col>
                    <xdr:colOff>914400</xdr:colOff>
                    <xdr:row>114</xdr:row>
                    <xdr:rowOff>38100</xdr:rowOff>
                  </to>
                </anchor>
              </controlPr>
            </control>
          </mc:Choice>
        </mc:AlternateContent>
        <mc:AlternateContent xmlns:mc="http://schemas.openxmlformats.org/markup-compatibility/2006">
          <mc:Choice Requires="x14">
            <control shapeId="277658" r:id="rId144" name="Check Box 154">
              <controlPr defaultSize="0" autoFill="0" autoLine="0" autoPict="0">
                <anchor moveWithCells="1">
                  <from>
                    <xdr:col>2</xdr:col>
                    <xdr:colOff>552450</xdr:colOff>
                    <xdr:row>114</xdr:row>
                    <xdr:rowOff>19050</xdr:rowOff>
                  </from>
                  <to>
                    <xdr:col>2</xdr:col>
                    <xdr:colOff>914400</xdr:colOff>
                    <xdr:row>115</xdr:row>
                    <xdr:rowOff>38100</xdr:rowOff>
                  </to>
                </anchor>
              </controlPr>
            </control>
          </mc:Choice>
        </mc:AlternateContent>
        <mc:AlternateContent xmlns:mc="http://schemas.openxmlformats.org/markup-compatibility/2006">
          <mc:Choice Requires="x14">
            <control shapeId="277659" r:id="rId145" name="Check Box 155">
              <controlPr defaultSize="0" autoFill="0" autoLine="0" autoPict="0">
                <anchor moveWithCells="1">
                  <from>
                    <xdr:col>2</xdr:col>
                    <xdr:colOff>552450</xdr:colOff>
                    <xdr:row>115</xdr:row>
                    <xdr:rowOff>19050</xdr:rowOff>
                  </from>
                  <to>
                    <xdr:col>2</xdr:col>
                    <xdr:colOff>914400</xdr:colOff>
                    <xdr:row>116</xdr:row>
                    <xdr:rowOff>38100</xdr:rowOff>
                  </to>
                </anchor>
              </controlPr>
            </control>
          </mc:Choice>
        </mc:AlternateContent>
        <mc:AlternateContent xmlns:mc="http://schemas.openxmlformats.org/markup-compatibility/2006">
          <mc:Choice Requires="x14">
            <control shapeId="277660" r:id="rId146" name="Check Box 156">
              <controlPr defaultSize="0" autoFill="0" autoLine="0" autoPict="0">
                <anchor moveWithCells="1">
                  <from>
                    <xdr:col>2</xdr:col>
                    <xdr:colOff>552450</xdr:colOff>
                    <xdr:row>114</xdr:row>
                    <xdr:rowOff>28575</xdr:rowOff>
                  </from>
                  <to>
                    <xdr:col>2</xdr:col>
                    <xdr:colOff>914400</xdr:colOff>
                    <xdr:row>115</xdr:row>
                    <xdr:rowOff>38100</xdr:rowOff>
                  </to>
                </anchor>
              </controlPr>
            </control>
          </mc:Choice>
        </mc:AlternateContent>
        <mc:AlternateContent xmlns:mc="http://schemas.openxmlformats.org/markup-compatibility/2006">
          <mc:Choice Requires="x14">
            <control shapeId="277661" r:id="rId147" name="Check Box 157">
              <controlPr locked="0" defaultSize="0" autoFill="0" autoLine="0" autoPict="0">
                <anchor moveWithCells="1">
                  <from>
                    <xdr:col>2</xdr:col>
                    <xdr:colOff>561975</xdr:colOff>
                    <xdr:row>84</xdr:row>
                    <xdr:rowOff>0</xdr:rowOff>
                  </from>
                  <to>
                    <xdr:col>2</xdr:col>
                    <xdr:colOff>962025</xdr:colOff>
                    <xdr:row>85</xdr:row>
                    <xdr:rowOff>66675</xdr:rowOff>
                  </to>
                </anchor>
              </controlPr>
            </control>
          </mc:Choice>
        </mc:AlternateContent>
        <mc:AlternateContent xmlns:mc="http://schemas.openxmlformats.org/markup-compatibility/2006">
          <mc:Choice Requires="x14">
            <control shapeId="277662" r:id="rId148" name="Check Box 158">
              <controlPr locked="0" defaultSize="0" autoFill="0" autoLine="0" autoPict="0">
                <anchor moveWithCells="1">
                  <from>
                    <xdr:col>2</xdr:col>
                    <xdr:colOff>561975</xdr:colOff>
                    <xdr:row>85</xdr:row>
                    <xdr:rowOff>0</xdr:rowOff>
                  </from>
                  <to>
                    <xdr:col>2</xdr:col>
                    <xdr:colOff>962025</xdr:colOff>
                    <xdr:row>86</xdr:row>
                    <xdr:rowOff>66675</xdr:rowOff>
                  </to>
                </anchor>
              </controlPr>
            </control>
          </mc:Choice>
        </mc:AlternateContent>
        <mc:AlternateContent xmlns:mc="http://schemas.openxmlformats.org/markup-compatibility/2006">
          <mc:Choice Requires="x14">
            <control shapeId="277663" r:id="rId149" name="Check Box 159">
              <controlPr locked="0" defaultSize="0" autoFill="0" autoLine="0" autoPict="0">
                <anchor moveWithCells="1">
                  <from>
                    <xdr:col>2</xdr:col>
                    <xdr:colOff>561975</xdr:colOff>
                    <xdr:row>85</xdr:row>
                    <xdr:rowOff>0</xdr:rowOff>
                  </from>
                  <to>
                    <xdr:col>2</xdr:col>
                    <xdr:colOff>962025</xdr:colOff>
                    <xdr:row>86</xdr:row>
                    <xdr:rowOff>66675</xdr:rowOff>
                  </to>
                </anchor>
              </controlPr>
            </control>
          </mc:Choice>
        </mc:AlternateContent>
        <mc:AlternateContent xmlns:mc="http://schemas.openxmlformats.org/markup-compatibility/2006">
          <mc:Choice Requires="x14">
            <control shapeId="277664" r:id="rId150" name="Check Box 160">
              <controlPr defaultSize="0" autoFill="0" autoLine="0" autoPict="0">
                <anchor moveWithCells="1">
                  <from>
                    <xdr:col>3</xdr:col>
                    <xdr:colOff>1352550</xdr:colOff>
                    <xdr:row>184</xdr:row>
                    <xdr:rowOff>0</xdr:rowOff>
                  </from>
                  <to>
                    <xdr:col>3</xdr:col>
                    <xdr:colOff>1733550</xdr:colOff>
                    <xdr:row>185</xdr:row>
                    <xdr:rowOff>19050</xdr:rowOff>
                  </to>
                </anchor>
              </controlPr>
            </control>
          </mc:Choice>
        </mc:AlternateContent>
        <mc:AlternateContent xmlns:mc="http://schemas.openxmlformats.org/markup-compatibility/2006">
          <mc:Choice Requires="x14">
            <control shapeId="277665" r:id="rId151" name="Check Box 161">
              <controlPr defaultSize="0" autoFill="0" autoLine="0" autoPict="0">
                <anchor moveWithCells="1">
                  <from>
                    <xdr:col>3</xdr:col>
                    <xdr:colOff>1352550</xdr:colOff>
                    <xdr:row>184</xdr:row>
                    <xdr:rowOff>0</xdr:rowOff>
                  </from>
                  <to>
                    <xdr:col>3</xdr:col>
                    <xdr:colOff>1733550</xdr:colOff>
                    <xdr:row>185</xdr:row>
                    <xdr:rowOff>19050</xdr:rowOff>
                  </to>
                </anchor>
              </controlPr>
            </control>
          </mc:Choice>
        </mc:AlternateContent>
        <mc:AlternateContent xmlns:mc="http://schemas.openxmlformats.org/markup-compatibility/2006">
          <mc:Choice Requires="x14">
            <control shapeId="277666" r:id="rId152" name="Check Box 162">
              <controlPr defaultSize="0" autoFill="0" autoLine="0" autoPict="0">
                <anchor moveWithCells="1">
                  <from>
                    <xdr:col>3</xdr:col>
                    <xdr:colOff>1352550</xdr:colOff>
                    <xdr:row>184</xdr:row>
                    <xdr:rowOff>0</xdr:rowOff>
                  </from>
                  <to>
                    <xdr:col>3</xdr:col>
                    <xdr:colOff>1733550</xdr:colOff>
                    <xdr:row>185</xdr:row>
                    <xdr:rowOff>19050</xdr:rowOff>
                  </to>
                </anchor>
              </controlPr>
            </control>
          </mc:Choice>
        </mc:AlternateContent>
        <mc:AlternateContent xmlns:mc="http://schemas.openxmlformats.org/markup-compatibility/2006">
          <mc:Choice Requires="x14">
            <control shapeId="277667" r:id="rId153" name="Check Box 163">
              <controlPr defaultSize="0" autoFill="0" autoLine="0" autoPict="0">
                <anchor moveWithCells="1">
                  <from>
                    <xdr:col>3</xdr:col>
                    <xdr:colOff>1352550</xdr:colOff>
                    <xdr:row>207</xdr:row>
                    <xdr:rowOff>0</xdr:rowOff>
                  </from>
                  <to>
                    <xdr:col>3</xdr:col>
                    <xdr:colOff>1733550</xdr:colOff>
                    <xdr:row>208</xdr:row>
                    <xdr:rowOff>19050</xdr:rowOff>
                  </to>
                </anchor>
              </controlPr>
            </control>
          </mc:Choice>
        </mc:AlternateContent>
        <mc:AlternateContent xmlns:mc="http://schemas.openxmlformats.org/markup-compatibility/2006">
          <mc:Choice Requires="x14">
            <control shapeId="277668" r:id="rId154" name="Check Box 164">
              <controlPr defaultSize="0" autoFill="0" autoLine="0" autoPict="0">
                <anchor moveWithCells="1">
                  <from>
                    <xdr:col>2</xdr:col>
                    <xdr:colOff>552450</xdr:colOff>
                    <xdr:row>103</xdr:row>
                    <xdr:rowOff>19050</xdr:rowOff>
                  </from>
                  <to>
                    <xdr:col>2</xdr:col>
                    <xdr:colOff>914400</xdr:colOff>
                    <xdr:row>104</xdr:row>
                    <xdr:rowOff>38100</xdr:rowOff>
                  </to>
                </anchor>
              </controlPr>
            </control>
          </mc:Choice>
        </mc:AlternateContent>
        <mc:AlternateContent xmlns:mc="http://schemas.openxmlformats.org/markup-compatibility/2006">
          <mc:Choice Requires="x14">
            <control shapeId="277669" r:id="rId155" name="Check Box 165">
              <controlPr defaultSize="0" autoFill="0" autoLine="0" autoPict="0">
                <anchor moveWithCells="1">
                  <from>
                    <xdr:col>2</xdr:col>
                    <xdr:colOff>552450</xdr:colOff>
                    <xdr:row>104</xdr:row>
                    <xdr:rowOff>19050</xdr:rowOff>
                  </from>
                  <to>
                    <xdr:col>2</xdr:col>
                    <xdr:colOff>914400</xdr:colOff>
                    <xdr:row>105</xdr:row>
                    <xdr:rowOff>38100</xdr:rowOff>
                  </to>
                </anchor>
              </controlPr>
            </control>
          </mc:Choice>
        </mc:AlternateContent>
        <mc:AlternateContent xmlns:mc="http://schemas.openxmlformats.org/markup-compatibility/2006">
          <mc:Choice Requires="x14">
            <control shapeId="277674" r:id="rId156" name="Check Box 170">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75" r:id="rId157" name="Check Box 171">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76" r:id="rId158" name="Check Box 172">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77" r:id="rId159" name="Check Box 173">
              <controlPr defaultSize="0" autoFill="0" autoLine="0" autoPict="0">
                <anchor moveWithCells="1">
                  <from>
                    <xdr:col>2</xdr:col>
                    <xdr:colOff>523875</xdr:colOff>
                    <xdr:row>20</xdr:row>
                    <xdr:rowOff>190500</xdr:rowOff>
                  </from>
                  <to>
                    <xdr:col>2</xdr:col>
                    <xdr:colOff>914400</xdr:colOff>
                    <xdr:row>22</xdr:row>
                    <xdr:rowOff>38100</xdr:rowOff>
                  </to>
                </anchor>
              </controlPr>
            </control>
          </mc:Choice>
        </mc:AlternateContent>
        <mc:AlternateContent xmlns:mc="http://schemas.openxmlformats.org/markup-compatibility/2006">
          <mc:Choice Requires="x14">
            <control shapeId="277678" r:id="rId160" name="Check Box 174">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79" r:id="rId161" name="Check Box 175">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80" r:id="rId162" name="Check Box 176">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81" r:id="rId163" name="Check Box 177">
              <controlPr defaultSize="0" autoFill="0" autoLine="0" autoPict="0">
                <anchor moveWithCells="1">
                  <from>
                    <xdr:col>2</xdr:col>
                    <xdr:colOff>523875</xdr:colOff>
                    <xdr:row>20</xdr:row>
                    <xdr:rowOff>190500</xdr:rowOff>
                  </from>
                  <to>
                    <xdr:col>2</xdr:col>
                    <xdr:colOff>914400</xdr:colOff>
                    <xdr:row>22</xdr:row>
                    <xdr:rowOff>38100</xdr:rowOff>
                  </to>
                </anchor>
              </controlPr>
            </control>
          </mc:Choice>
        </mc:AlternateContent>
        <mc:AlternateContent xmlns:mc="http://schemas.openxmlformats.org/markup-compatibility/2006">
          <mc:Choice Requires="x14">
            <control shapeId="277682" r:id="rId164" name="Check Box 178">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83" r:id="rId165" name="Check Box 179">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84" r:id="rId166" name="Check Box 180">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85" r:id="rId167" name="Check Box 181">
              <controlPr defaultSize="0" autoFill="0" autoLine="0" autoPict="0">
                <anchor moveWithCells="1">
                  <from>
                    <xdr:col>2</xdr:col>
                    <xdr:colOff>523875</xdr:colOff>
                    <xdr:row>21</xdr:row>
                    <xdr:rowOff>190500</xdr:rowOff>
                  </from>
                  <to>
                    <xdr:col>2</xdr:col>
                    <xdr:colOff>914400</xdr:colOff>
                    <xdr:row>23</xdr:row>
                    <xdr:rowOff>38100</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057223-15D2-4012-A798-BD90945ADD3E}">
  <sheetPr codeName="Sheet3"/>
  <dimension ref="A1:P118"/>
  <sheetViews>
    <sheetView zoomScale="130" zoomScaleNormal="130" workbookViewId="0">
      <selection activeCell="I17" sqref="I17"/>
    </sheetView>
  </sheetViews>
  <sheetFormatPr defaultColWidth="9.140625" defaultRowHeight="12.75" x14ac:dyDescent="0.2"/>
  <cols>
    <col min="1" max="1" width="9.42578125" style="105" bestFit="1" customWidth="1"/>
    <col min="2" max="3" width="9.140625" style="105"/>
    <col min="4" max="4" width="11.5703125" style="105" bestFit="1" customWidth="1"/>
    <col min="5" max="7" width="9.140625" style="105"/>
    <col min="8" max="8" width="13.7109375" style="105" customWidth="1"/>
    <col min="9" max="12" width="9.42578125" style="105" bestFit="1" customWidth="1"/>
    <col min="13" max="13" width="8.85546875" style="105" customWidth="1"/>
    <col min="14" max="16" width="9.42578125" style="105" bestFit="1" customWidth="1"/>
    <col min="17" max="16384" width="9.140625" style="105"/>
  </cols>
  <sheetData>
    <row r="1" spans="1:16" x14ac:dyDescent="0.2">
      <c r="A1" s="188" t="s">
        <v>745</v>
      </c>
    </row>
    <row r="2" spans="1:16" x14ac:dyDescent="0.2">
      <c r="H2" s="192"/>
      <c r="I2" s="192"/>
    </row>
    <row r="3" spans="1:16" x14ac:dyDescent="0.2">
      <c r="A3" s="105" t="s">
        <v>746</v>
      </c>
      <c r="H3" s="542" t="str">
        <f>'MP Calibration Certificate'!D17</f>
        <v>5.6mg/l RM8631b</v>
      </c>
      <c r="I3" s="542"/>
    </row>
    <row r="4" spans="1:16" x14ac:dyDescent="0.2">
      <c r="A4" s="105" t="s">
        <v>543</v>
      </c>
      <c r="H4" s="543">
        <f>'MP Calibration Certificate'!D18</f>
        <v>-1</v>
      </c>
      <c r="I4" s="544"/>
    </row>
    <row r="5" spans="1:16" x14ac:dyDescent="0.2">
      <c r="A5" s="105" t="s">
        <v>747</v>
      </c>
      <c r="H5" s="544">
        <f>'Cover Service Sheet'!D6</f>
        <v>0</v>
      </c>
      <c r="I5" s="544"/>
    </row>
    <row r="6" spans="1:16" x14ac:dyDescent="0.2">
      <c r="A6" s="105" t="s">
        <v>748</v>
      </c>
      <c r="H6" s="544">
        <f>'Cover Service Sheet'!D15</f>
        <v>0</v>
      </c>
      <c r="I6" s="544"/>
      <c r="M6" s="130"/>
      <c r="N6" s="131"/>
      <c r="O6" s="131"/>
      <c r="P6" s="193"/>
    </row>
    <row r="7" spans="1:16" x14ac:dyDescent="0.2">
      <c r="A7" s="105" t="s">
        <v>749</v>
      </c>
      <c r="H7" s="544">
        <f>'Cover Service Sheet'!D16</f>
        <v>0</v>
      </c>
      <c r="I7" s="544"/>
      <c r="M7" s="194"/>
      <c r="N7" s="195"/>
      <c r="O7" s="195"/>
      <c r="P7" s="195"/>
    </row>
    <row r="8" spans="1:16" x14ac:dyDescent="0.2">
      <c r="M8" s="196"/>
      <c r="N8" s="195"/>
      <c r="O8" s="195"/>
      <c r="P8" s="195"/>
    </row>
    <row r="9" spans="1:16" x14ac:dyDescent="0.2">
      <c r="A9" s="105" t="s">
        <v>750</v>
      </c>
      <c r="H9" s="192"/>
      <c r="M9" s="196"/>
      <c r="N9" s="195"/>
      <c r="O9" s="195"/>
      <c r="P9" s="195"/>
    </row>
    <row r="10" spans="1:16" x14ac:dyDescent="0.2">
      <c r="A10" s="143">
        <v>1</v>
      </c>
      <c r="B10" s="105" t="s">
        <v>751</v>
      </c>
      <c r="H10" s="197"/>
      <c r="I10" s="198"/>
      <c r="M10" s="196"/>
      <c r="N10" s="195"/>
      <c r="O10" s="143"/>
      <c r="P10" s="143"/>
    </row>
    <row r="11" spans="1:16" x14ac:dyDescent="0.2">
      <c r="A11" s="143">
        <f>A10+1</f>
        <v>2</v>
      </c>
      <c r="B11" s="520" t="s">
        <v>752</v>
      </c>
      <c r="C11" s="520"/>
      <c r="D11" s="520"/>
      <c r="E11" s="520"/>
      <c r="H11" s="365"/>
      <c r="I11" s="198"/>
      <c r="M11" s="196"/>
      <c r="N11" s="195"/>
      <c r="O11" s="195"/>
      <c r="P11" s="195"/>
    </row>
    <row r="12" spans="1:16" x14ac:dyDescent="0.2">
      <c r="A12" s="143">
        <f t="shared" ref="A12:A71" si="0">A11+1</f>
        <v>3</v>
      </c>
      <c r="B12" s="105" t="s">
        <v>753</v>
      </c>
      <c r="H12" s="366"/>
      <c r="I12" s="198"/>
      <c r="M12" s="196"/>
      <c r="N12" s="195"/>
      <c r="O12" s="195"/>
      <c r="P12" s="195"/>
    </row>
    <row r="13" spans="1:16" x14ac:dyDescent="0.2">
      <c r="A13" s="143">
        <f t="shared" si="0"/>
        <v>4</v>
      </c>
      <c r="B13" s="520" t="s">
        <v>754</v>
      </c>
      <c r="C13" s="520"/>
      <c r="D13" s="520"/>
      <c r="E13" s="520"/>
      <c r="F13" s="520"/>
      <c r="H13" s="367" t="s">
        <v>725</v>
      </c>
      <c r="I13" s="198"/>
      <c r="M13" s="196"/>
      <c r="N13" s="195"/>
      <c r="O13" s="195"/>
      <c r="P13" s="195"/>
    </row>
    <row r="14" spans="1:16" x14ac:dyDescent="0.2">
      <c r="A14" s="143"/>
      <c r="B14" s="549" t="s">
        <v>755</v>
      </c>
      <c r="C14" s="550"/>
      <c r="D14" s="550"/>
      <c r="E14" s="550"/>
      <c r="F14" s="550"/>
      <c r="G14" s="550"/>
      <c r="H14" s="368"/>
      <c r="M14" s="196"/>
      <c r="N14" s="195"/>
      <c r="O14" s="195"/>
      <c r="P14" s="195"/>
    </row>
    <row r="15" spans="1:16" x14ac:dyDescent="0.2">
      <c r="A15" s="143"/>
      <c r="B15" s="133" t="s">
        <v>756</v>
      </c>
      <c r="H15" s="192"/>
      <c r="M15" s="196"/>
      <c r="N15" s="195"/>
      <c r="O15" s="195"/>
      <c r="P15" s="195"/>
    </row>
    <row r="16" spans="1:16" x14ac:dyDescent="0.2">
      <c r="A16" s="143">
        <f>A13+1</f>
        <v>5</v>
      </c>
      <c r="B16" s="105" t="s">
        <v>757</v>
      </c>
      <c r="H16" s="367" t="s">
        <v>725</v>
      </c>
      <c r="I16" s="198"/>
      <c r="M16" s="196"/>
      <c r="N16" s="199"/>
      <c r="O16" s="199"/>
      <c r="P16" s="199"/>
    </row>
    <row r="17" spans="1:16" x14ac:dyDescent="0.2">
      <c r="A17" s="143">
        <f t="shared" si="0"/>
        <v>6</v>
      </c>
      <c r="B17" s="105" t="s">
        <v>758</v>
      </c>
      <c r="H17" s="367" t="s">
        <v>725</v>
      </c>
      <c r="I17" s="198"/>
      <c r="M17" s="200"/>
      <c r="N17" s="195"/>
      <c r="O17" s="195"/>
      <c r="P17" s="195"/>
    </row>
    <row r="18" spans="1:16" x14ac:dyDescent="0.2">
      <c r="A18" s="143">
        <f t="shared" si="0"/>
        <v>7</v>
      </c>
      <c r="B18" s="105" t="s">
        <v>759</v>
      </c>
      <c r="H18" s="367" t="s">
        <v>725</v>
      </c>
      <c r="I18" s="198"/>
      <c r="M18" s="132"/>
      <c r="N18" s="132"/>
      <c r="O18" s="132"/>
      <c r="P18" s="132"/>
    </row>
    <row r="19" spans="1:16" x14ac:dyDescent="0.2">
      <c r="A19" s="143">
        <f t="shared" si="0"/>
        <v>8</v>
      </c>
      <c r="B19" s="105" t="s">
        <v>760</v>
      </c>
      <c r="H19" s="369" t="s">
        <v>725</v>
      </c>
      <c r="M19" s="131"/>
      <c r="N19" s="131"/>
      <c r="O19" s="131"/>
      <c r="P19" s="131"/>
    </row>
    <row r="20" spans="1:16" x14ac:dyDescent="0.2">
      <c r="A20" s="143">
        <f t="shared" si="0"/>
        <v>9</v>
      </c>
      <c r="B20" s="105" t="s">
        <v>660</v>
      </c>
      <c r="H20" s="369" t="s">
        <v>725</v>
      </c>
      <c r="M20" s="196"/>
      <c r="N20" s="195"/>
      <c r="O20" s="195"/>
      <c r="P20" s="195"/>
    </row>
    <row r="21" spans="1:16" x14ac:dyDescent="0.2">
      <c r="A21" s="143">
        <f t="shared" si="0"/>
        <v>10</v>
      </c>
      <c r="B21" s="105" t="s">
        <v>761</v>
      </c>
      <c r="H21" s="369" t="s">
        <v>725</v>
      </c>
      <c r="M21" s="196"/>
      <c r="N21" s="195"/>
      <c r="O21" s="195"/>
      <c r="P21" s="195"/>
    </row>
    <row r="22" spans="1:16" x14ac:dyDescent="0.2">
      <c r="A22" s="143">
        <f t="shared" si="0"/>
        <v>11</v>
      </c>
      <c r="B22" s="105" t="s">
        <v>762</v>
      </c>
      <c r="H22" s="369" t="s">
        <v>725</v>
      </c>
      <c r="M22" s="196"/>
      <c r="N22" s="195"/>
      <c r="O22" s="195"/>
      <c r="P22" s="195"/>
    </row>
    <row r="23" spans="1:16" x14ac:dyDescent="0.2">
      <c r="A23" s="143">
        <f t="shared" si="0"/>
        <v>12</v>
      </c>
      <c r="B23" s="105" t="s">
        <v>763</v>
      </c>
      <c r="H23" s="369" t="s">
        <v>725</v>
      </c>
      <c r="M23" s="196"/>
      <c r="N23" s="195"/>
      <c r="O23" s="195"/>
      <c r="P23" s="195"/>
    </row>
    <row r="24" spans="1:16" x14ac:dyDescent="0.2">
      <c r="A24" s="143">
        <f t="shared" si="0"/>
        <v>13</v>
      </c>
      <c r="B24" s="105" t="s">
        <v>764</v>
      </c>
      <c r="H24" s="369" t="s">
        <v>725</v>
      </c>
      <c r="M24" s="196"/>
      <c r="N24" s="195"/>
      <c r="O24" s="195"/>
      <c r="P24" s="195"/>
    </row>
    <row r="25" spans="1:16" x14ac:dyDescent="0.2">
      <c r="A25" s="143">
        <f t="shared" si="0"/>
        <v>14</v>
      </c>
      <c r="B25" s="105" t="s">
        <v>665</v>
      </c>
      <c r="H25" s="370" t="s">
        <v>725</v>
      </c>
      <c r="M25" s="196"/>
      <c r="N25" s="195"/>
      <c r="O25" s="195"/>
      <c r="P25" s="195"/>
    </row>
    <row r="26" spans="1:16" x14ac:dyDescent="0.2">
      <c r="A26" s="143">
        <f t="shared" si="0"/>
        <v>15</v>
      </c>
      <c r="B26" s="105" t="s">
        <v>765</v>
      </c>
      <c r="H26" s="371"/>
      <c r="M26" s="196"/>
      <c r="N26" s="195"/>
      <c r="O26" s="195"/>
      <c r="P26" s="195"/>
    </row>
    <row r="27" spans="1:16" x14ac:dyDescent="0.2">
      <c r="A27" s="143">
        <f t="shared" si="0"/>
        <v>16</v>
      </c>
      <c r="B27" s="105" t="s">
        <v>766</v>
      </c>
      <c r="H27" s="372">
        <f>H26+365</f>
        <v>365</v>
      </c>
      <c r="M27" s="196"/>
      <c r="N27" s="195"/>
      <c r="O27" s="195"/>
      <c r="P27" s="195"/>
    </row>
    <row r="28" spans="1:16" x14ac:dyDescent="0.2">
      <c r="A28" s="143"/>
      <c r="B28" s="188" t="s">
        <v>767</v>
      </c>
      <c r="M28" s="196"/>
      <c r="N28" s="195"/>
      <c r="O28" s="195"/>
      <c r="P28" s="195"/>
    </row>
    <row r="29" spans="1:16" x14ac:dyDescent="0.2">
      <c r="A29" s="143">
        <f>A27+1</f>
        <v>17</v>
      </c>
      <c r="B29" s="105" t="s">
        <v>768</v>
      </c>
      <c r="H29" s="369" t="s">
        <v>725</v>
      </c>
      <c r="I29" s="105">
        <v>4</v>
      </c>
      <c r="J29" s="105">
        <v>6</v>
      </c>
      <c r="K29" s="105">
        <v>14</v>
      </c>
      <c r="L29" s="105">
        <v>21</v>
      </c>
      <c r="M29" s="196">
        <v>25</v>
      </c>
      <c r="N29" s="195">
        <v>38</v>
      </c>
      <c r="O29" s="143">
        <v>50</v>
      </c>
      <c r="P29" s="143">
        <v>70</v>
      </c>
    </row>
    <row r="30" spans="1:16" x14ac:dyDescent="0.2">
      <c r="A30" s="143">
        <f t="shared" si="0"/>
        <v>18</v>
      </c>
      <c r="B30" s="105" t="s">
        <v>769</v>
      </c>
      <c r="H30" s="370" t="s">
        <v>725</v>
      </c>
      <c r="I30" s="105" t="str">
        <f>AUTO!B3</f>
        <v>LPA3 NAVAIR</v>
      </c>
      <c r="J30" s="105">
        <f>AUTO!B4</f>
        <v>63010073</v>
      </c>
      <c r="K30" s="105">
        <f>AUTO!B5</f>
        <v>1024</v>
      </c>
      <c r="L30" s="105">
        <f>AUTO!B6</f>
        <v>0</v>
      </c>
      <c r="M30" s="196" t="str">
        <f>AUTO!B7</f>
        <v>LPA3 NAVAIR</v>
      </c>
      <c r="N30" s="195">
        <f>AUTO!B8</f>
        <v>80</v>
      </c>
      <c r="O30" s="195">
        <f>AUTO!B9</f>
        <v>194</v>
      </c>
      <c r="P30" s="195">
        <f>AUTO!B10</f>
        <v>1032</v>
      </c>
    </row>
    <row r="31" spans="1:16" x14ac:dyDescent="0.2">
      <c r="A31" s="143"/>
      <c r="B31" s="188" t="s">
        <v>671</v>
      </c>
      <c r="H31" s="373"/>
      <c r="M31" s="196"/>
      <c r="N31" s="195"/>
      <c r="O31" s="195"/>
      <c r="P31" s="195"/>
    </row>
    <row r="32" spans="1:16" x14ac:dyDescent="0.2">
      <c r="A32" s="143">
        <f>A30+1</f>
        <v>19</v>
      </c>
      <c r="B32" s="105" t="s">
        <v>672</v>
      </c>
      <c r="H32" s="369" t="s">
        <v>725</v>
      </c>
      <c r="M32" s="131"/>
      <c r="N32" s="131"/>
      <c r="O32" s="131"/>
      <c r="P32" s="131"/>
    </row>
    <row r="33" spans="1:16" ht="14.45" customHeight="1" x14ac:dyDescent="0.2">
      <c r="A33" s="143">
        <f t="shared" si="0"/>
        <v>20</v>
      </c>
      <c r="B33" s="105" t="s">
        <v>673</v>
      </c>
      <c r="H33" s="369" t="s">
        <v>725</v>
      </c>
      <c r="M33" s="196"/>
      <c r="N33" s="195"/>
      <c r="O33" s="195"/>
      <c r="P33" s="195"/>
    </row>
    <row r="34" spans="1:16" x14ac:dyDescent="0.2">
      <c r="A34" s="143">
        <f t="shared" si="0"/>
        <v>21</v>
      </c>
      <c r="B34" s="105" t="s">
        <v>770</v>
      </c>
      <c r="H34" s="369" t="s">
        <v>725</v>
      </c>
      <c r="M34" s="131"/>
      <c r="N34" s="131"/>
      <c r="O34" s="131"/>
      <c r="P34" s="131"/>
    </row>
    <row r="35" spans="1:16" x14ac:dyDescent="0.2">
      <c r="A35" s="143">
        <f t="shared" si="0"/>
        <v>22</v>
      </c>
      <c r="B35" s="105" t="s">
        <v>771</v>
      </c>
      <c r="H35" s="370" t="s">
        <v>725</v>
      </c>
      <c r="M35" s="196"/>
      <c r="N35" s="195"/>
      <c r="O35" s="195"/>
      <c r="P35" s="195"/>
    </row>
    <row r="36" spans="1:16" x14ac:dyDescent="0.2">
      <c r="A36" s="143"/>
      <c r="B36" s="188" t="s">
        <v>676</v>
      </c>
      <c r="H36" s="373"/>
      <c r="M36" s="196"/>
      <c r="N36" s="195"/>
      <c r="O36" s="195"/>
      <c r="P36" s="195"/>
    </row>
    <row r="37" spans="1:16" x14ac:dyDescent="0.2">
      <c r="A37" s="143">
        <f>A35+1</f>
        <v>23</v>
      </c>
      <c r="B37" s="520" t="s">
        <v>772</v>
      </c>
      <c r="C37" s="520"/>
      <c r="D37" s="520"/>
      <c r="E37" s="520"/>
      <c r="H37" s="369" t="s">
        <v>725</v>
      </c>
      <c r="M37" s="196"/>
      <c r="N37" s="195"/>
      <c r="O37" s="195"/>
      <c r="P37" s="195"/>
    </row>
    <row r="38" spans="1:16" x14ac:dyDescent="0.2">
      <c r="A38" s="143">
        <f t="shared" si="0"/>
        <v>24</v>
      </c>
      <c r="B38" s="105" t="s">
        <v>678</v>
      </c>
      <c r="H38" s="369" t="s">
        <v>725</v>
      </c>
      <c r="M38" s="196"/>
      <c r="N38" s="195"/>
      <c r="O38" s="195"/>
      <c r="P38" s="195"/>
    </row>
    <row r="39" spans="1:16" x14ac:dyDescent="0.2">
      <c r="A39" s="143">
        <f t="shared" si="0"/>
        <v>25</v>
      </c>
      <c r="B39" s="105" t="s">
        <v>773</v>
      </c>
      <c r="H39" s="369" t="s">
        <v>725</v>
      </c>
      <c r="M39" s="131"/>
      <c r="N39" s="131"/>
      <c r="O39" s="131"/>
      <c r="P39" s="131"/>
    </row>
    <row r="40" spans="1:16" x14ac:dyDescent="0.2">
      <c r="A40" s="143">
        <f t="shared" si="0"/>
        <v>26</v>
      </c>
      <c r="B40" s="105" t="s">
        <v>774</v>
      </c>
      <c r="H40" s="370" t="s">
        <v>725</v>
      </c>
      <c r="M40" s="196"/>
      <c r="N40" s="195"/>
      <c r="O40" s="195"/>
      <c r="P40" s="195"/>
    </row>
    <row r="41" spans="1:16" x14ac:dyDescent="0.2">
      <c r="A41" s="143"/>
      <c r="B41" s="493" t="s">
        <v>775</v>
      </c>
      <c r="C41" s="493"/>
      <c r="H41" s="374"/>
      <c r="M41" s="196"/>
      <c r="N41" s="195"/>
      <c r="O41" s="195"/>
      <c r="P41" s="195"/>
    </row>
    <row r="42" spans="1:16" x14ac:dyDescent="0.2">
      <c r="A42" s="143">
        <f>A40+1</f>
        <v>27</v>
      </c>
      <c r="B42" s="520" t="s">
        <v>776</v>
      </c>
      <c r="C42" s="520"/>
      <c r="D42" s="520"/>
      <c r="E42" s="520"/>
      <c r="H42" s="370"/>
      <c r="M42" s="196"/>
      <c r="N42" s="195"/>
      <c r="O42" s="195"/>
      <c r="P42" s="195"/>
    </row>
    <row r="43" spans="1:16" x14ac:dyDescent="0.2">
      <c r="A43" s="143">
        <f>A42+1</f>
        <v>28</v>
      </c>
      <c r="B43" s="105" t="s">
        <v>777</v>
      </c>
      <c r="H43" s="375"/>
      <c r="M43" s="131"/>
      <c r="N43" s="131"/>
      <c r="O43" s="131"/>
      <c r="P43" s="131"/>
    </row>
    <row r="44" spans="1:16" x14ac:dyDescent="0.2">
      <c r="A44" s="143">
        <f t="shared" si="0"/>
        <v>29</v>
      </c>
      <c r="B44" s="105" t="s">
        <v>778</v>
      </c>
      <c r="H44" s="369" t="s">
        <v>725</v>
      </c>
      <c r="M44" s="196"/>
      <c r="N44" s="195"/>
      <c r="O44" s="195"/>
      <c r="P44" s="195"/>
    </row>
    <row r="45" spans="1:16" x14ac:dyDescent="0.2">
      <c r="A45" s="143">
        <f t="shared" si="0"/>
        <v>30</v>
      </c>
      <c r="B45" s="520" t="s">
        <v>779</v>
      </c>
      <c r="C45" s="520"/>
      <c r="D45" s="520"/>
      <c r="E45" s="520"/>
      <c r="F45" s="520"/>
      <c r="G45" s="553"/>
      <c r="H45" s="369" t="s">
        <v>725</v>
      </c>
      <c r="I45" s="554" t="str">
        <f>'Cover Service Sheet'!D49</f>
        <v>-</v>
      </c>
      <c r="J45" s="555"/>
      <c r="K45" s="555"/>
      <c r="M45" s="196"/>
      <c r="N45" s="195"/>
      <c r="O45" s="195"/>
      <c r="P45" s="195"/>
    </row>
    <row r="46" spans="1:16" x14ac:dyDescent="0.2">
      <c r="A46" s="143">
        <f t="shared" si="0"/>
        <v>31</v>
      </c>
      <c r="B46" s="520" t="s">
        <v>780</v>
      </c>
      <c r="C46" s="520"/>
      <c r="D46" s="520"/>
      <c r="H46" s="370" t="s">
        <v>725</v>
      </c>
      <c r="M46" s="196"/>
      <c r="N46" s="195"/>
      <c r="O46" s="195"/>
      <c r="P46" s="195"/>
    </row>
    <row r="47" spans="1:16" x14ac:dyDescent="0.2">
      <c r="A47" s="143">
        <f t="shared" si="0"/>
        <v>32</v>
      </c>
      <c r="B47" s="105" t="s">
        <v>781</v>
      </c>
      <c r="H47" s="376"/>
      <c r="M47" s="196"/>
      <c r="N47" s="195"/>
      <c r="O47" s="195"/>
      <c r="P47" s="195"/>
    </row>
    <row r="48" spans="1:16" x14ac:dyDescent="0.2">
      <c r="A48" s="143">
        <f t="shared" si="0"/>
        <v>33</v>
      </c>
      <c r="B48" s="105" t="s">
        <v>782</v>
      </c>
      <c r="H48" s="376"/>
      <c r="M48" s="196"/>
      <c r="N48" s="195"/>
      <c r="O48" s="195"/>
      <c r="P48" s="195"/>
    </row>
    <row r="49" spans="1:16" x14ac:dyDescent="0.2">
      <c r="A49" s="143">
        <f t="shared" si="0"/>
        <v>34</v>
      </c>
      <c r="B49" s="105" t="s">
        <v>783</v>
      </c>
      <c r="H49" s="376"/>
      <c r="M49" s="196"/>
      <c r="N49" s="195"/>
      <c r="O49" s="195"/>
      <c r="P49" s="195"/>
    </row>
    <row r="50" spans="1:16" x14ac:dyDescent="0.2">
      <c r="A50" s="143"/>
      <c r="B50" s="188" t="s">
        <v>688</v>
      </c>
      <c r="H50" s="373"/>
      <c r="M50" s="196"/>
      <c r="N50" s="195"/>
      <c r="O50" s="143"/>
      <c r="P50" s="143"/>
    </row>
    <row r="51" spans="1:16" x14ac:dyDescent="0.2">
      <c r="A51" s="143">
        <f>A49+1</f>
        <v>35</v>
      </c>
      <c r="B51" s="105" t="s">
        <v>784</v>
      </c>
      <c r="H51" s="375"/>
      <c r="M51" s="196"/>
      <c r="N51" s="195"/>
      <c r="O51" s="143"/>
      <c r="P51" s="143"/>
    </row>
    <row r="52" spans="1:16" x14ac:dyDescent="0.2">
      <c r="A52" s="143">
        <f t="shared" si="0"/>
        <v>36</v>
      </c>
      <c r="B52" s="105" t="s">
        <v>785</v>
      </c>
      <c r="H52" s="369" t="s">
        <v>725</v>
      </c>
      <c r="M52" s="196"/>
      <c r="N52" s="195"/>
      <c r="O52" s="195"/>
      <c r="P52" s="195"/>
    </row>
    <row r="53" spans="1:16" x14ac:dyDescent="0.2">
      <c r="A53" s="143">
        <f t="shared" si="0"/>
        <v>37</v>
      </c>
      <c r="B53" s="105" t="s">
        <v>786</v>
      </c>
      <c r="H53" s="370" t="s">
        <v>725</v>
      </c>
      <c r="M53" s="196"/>
      <c r="N53" s="195"/>
      <c r="O53" s="195"/>
      <c r="P53" s="195"/>
    </row>
    <row r="54" spans="1:16" x14ac:dyDescent="0.2">
      <c r="A54" s="143">
        <f t="shared" si="0"/>
        <v>38</v>
      </c>
      <c r="B54" s="105" t="s">
        <v>787</v>
      </c>
      <c r="H54" s="370"/>
      <c r="M54" s="196"/>
      <c r="N54" s="195"/>
      <c r="O54" s="195"/>
      <c r="P54" s="195"/>
    </row>
    <row r="55" spans="1:16" x14ac:dyDescent="0.2">
      <c r="A55" s="143"/>
      <c r="B55" s="551" t="s">
        <v>788</v>
      </c>
      <c r="C55" s="552"/>
      <c r="D55" s="552"/>
      <c r="E55" s="552"/>
      <c r="F55" s="552"/>
      <c r="G55" s="552"/>
      <c r="M55" s="196"/>
      <c r="N55" s="195"/>
      <c r="O55" s="195"/>
      <c r="P55" s="195"/>
    </row>
    <row r="56" spans="1:16" x14ac:dyDescent="0.2">
      <c r="A56" s="143"/>
      <c r="B56" s="188" t="s">
        <v>697</v>
      </c>
      <c r="M56" s="196"/>
      <c r="N56" s="195"/>
      <c r="O56" s="195"/>
      <c r="P56" s="195"/>
    </row>
    <row r="57" spans="1:16" x14ac:dyDescent="0.2">
      <c r="A57" s="143">
        <f>A54+1</f>
        <v>39</v>
      </c>
      <c r="B57" s="105" t="s">
        <v>789</v>
      </c>
      <c r="H57" s="370" t="s">
        <v>725</v>
      </c>
      <c r="M57" s="196"/>
      <c r="N57" s="195"/>
      <c r="O57" s="195"/>
      <c r="P57" s="195"/>
    </row>
    <row r="58" spans="1:16" x14ac:dyDescent="0.2">
      <c r="A58" s="143">
        <f t="shared" si="0"/>
        <v>40</v>
      </c>
      <c r="B58" s="105" t="s">
        <v>790</v>
      </c>
      <c r="H58" s="369" t="s">
        <v>725</v>
      </c>
      <c r="M58" s="196"/>
      <c r="N58" s="195"/>
      <c r="O58" s="195"/>
      <c r="P58" s="195"/>
    </row>
    <row r="59" spans="1:16" x14ac:dyDescent="0.2">
      <c r="A59" s="143">
        <f t="shared" si="0"/>
        <v>41</v>
      </c>
      <c r="B59" s="105" t="s">
        <v>791</v>
      </c>
      <c r="H59" s="369" t="s">
        <v>725</v>
      </c>
      <c r="M59" s="131"/>
      <c r="N59" s="131"/>
      <c r="O59" s="131"/>
      <c r="P59" s="131"/>
    </row>
    <row r="60" spans="1:16" x14ac:dyDescent="0.2">
      <c r="A60" s="143">
        <f t="shared" si="0"/>
        <v>42</v>
      </c>
      <c r="B60" s="105" t="s">
        <v>701</v>
      </c>
      <c r="H60" s="369" t="s">
        <v>725</v>
      </c>
      <c r="M60" s="196"/>
      <c r="N60" s="195"/>
      <c r="O60" s="195"/>
      <c r="P60" s="195"/>
    </row>
    <row r="61" spans="1:16" x14ac:dyDescent="0.2">
      <c r="A61" s="143">
        <f t="shared" si="0"/>
        <v>43</v>
      </c>
      <c r="B61" s="520" t="s">
        <v>792</v>
      </c>
      <c r="C61" s="520"/>
      <c r="D61" s="520"/>
      <c r="E61" s="520"/>
      <c r="F61" s="520"/>
      <c r="H61" s="370" t="s">
        <v>725</v>
      </c>
      <c r="M61" s="196"/>
      <c r="N61" s="195"/>
      <c r="O61" s="195"/>
      <c r="P61" s="195"/>
    </row>
    <row r="62" spans="1:16" x14ac:dyDescent="0.2">
      <c r="A62" s="143"/>
      <c r="B62" s="188" t="s">
        <v>793</v>
      </c>
      <c r="H62" s="368"/>
      <c r="M62" s="196"/>
      <c r="N62" s="195"/>
      <c r="O62" s="195"/>
      <c r="P62" s="195"/>
    </row>
    <row r="63" spans="1:16" x14ac:dyDescent="0.2">
      <c r="A63" s="143">
        <f>A61</f>
        <v>43</v>
      </c>
      <c r="B63" s="105" t="s">
        <v>794</v>
      </c>
      <c r="H63" s="369" t="s">
        <v>725</v>
      </c>
      <c r="M63" s="196"/>
      <c r="N63" s="195"/>
      <c r="O63" s="143"/>
      <c r="P63" s="143"/>
    </row>
    <row r="64" spans="1:16" x14ac:dyDescent="0.2">
      <c r="A64" s="143">
        <f t="shared" si="0"/>
        <v>44</v>
      </c>
      <c r="B64" s="105" t="s">
        <v>712</v>
      </c>
      <c r="H64" s="369" t="s">
        <v>725</v>
      </c>
      <c r="M64" s="196"/>
      <c r="N64" s="195"/>
      <c r="O64" s="195"/>
      <c r="P64" s="195"/>
    </row>
    <row r="65" spans="1:16" x14ac:dyDescent="0.2">
      <c r="A65" s="143">
        <f t="shared" si="0"/>
        <v>45</v>
      </c>
      <c r="B65" s="105" t="s">
        <v>706</v>
      </c>
      <c r="H65" s="369" t="s">
        <v>725</v>
      </c>
      <c r="M65" s="196"/>
      <c r="N65" s="195"/>
      <c r="O65" s="195"/>
      <c r="P65" s="195"/>
    </row>
    <row r="66" spans="1:16" x14ac:dyDescent="0.2">
      <c r="A66" s="143">
        <f t="shared" si="0"/>
        <v>46</v>
      </c>
      <c r="B66" s="105" t="s">
        <v>707</v>
      </c>
      <c r="H66" s="369" t="s">
        <v>725</v>
      </c>
      <c r="M66" s="196"/>
      <c r="N66" s="195"/>
      <c r="O66" s="195"/>
      <c r="P66" s="195"/>
    </row>
    <row r="67" spans="1:16" x14ac:dyDescent="0.2">
      <c r="A67" s="143">
        <f t="shared" si="0"/>
        <v>47</v>
      </c>
      <c r="B67" s="105" t="s">
        <v>706</v>
      </c>
      <c r="H67" s="369" t="s">
        <v>725</v>
      </c>
      <c r="M67" s="196"/>
      <c r="N67" s="195"/>
      <c r="O67" s="195"/>
      <c r="P67" s="195"/>
    </row>
    <row r="68" spans="1:16" x14ac:dyDescent="0.2">
      <c r="A68" s="143">
        <f t="shared" si="0"/>
        <v>48</v>
      </c>
      <c r="B68" s="105" t="s">
        <v>795</v>
      </c>
      <c r="H68" s="369" t="s">
        <v>725</v>
      </c>
      <c r="M68" s="196"/>
      <c r="N68" s="195"/>
      <c r="O68" s="143"/>
      <c r="P68" s="143"/>
    </row>
    <row r="69" spans="1:16" x14ac:dyDescent="0.2">
      <c r="A69" s="143">
        <f t="shared" si="0"/>
        <v>49</v>
      </c>
      <c r="B69" s="105" t="s">
        <v>714</v>
      </c>
      <c r="H69" s="369" t="s">
        <v>725</v>
      </c>
      <c r="M69" s="196"/>
      <c r="N69" s="195"/>
      <c r="O69" s="195"/>
      <c r="P69" s="195"/>
    </row>
    <row r="70" spans="1:16" x14ac:dyDescent="0.2">
      <c r="A70" s="143">
        <f t="shared" si="0"/>
        <v>50</v>
      </c>
      <c r="B70" s="105" t="s">
        <v>796</v>
      </c>
      <c r="H70" s="370" t="s">
        <v>725</v>
      </c>
      <c r="M70" s="131"/>
      <c r="N70" s="131"/>
      <c r="O70" s="131"/>
      <c r="P70" s="131"/>
    </row>
    <row r="71" spans="1:16" x14ac:dyDescent="0.2">
      <c r="A71" s="143">
        <f t="shared" si="0"/>
        <v>51</v>
      </c>
      <c r="B71" s="520" t="s">
        <v>797</v>
      </c>
      <c r="C71" s="520"/>
      <c r="D71" s="520"/>
      <c r="E71" s="520"/>
      <c r="F71" s="520"/>
      <c r="G71" s="553"/>
      <c r="H71" s="370" t="s">
        <v>725</v>
      </c>
      <c r="I71" s="554">
        <f>'Cover Service Sheet'!D50</f>
        <v>0</v>
      </c>
      <c r="J71" s="555"/>
      <c r="K71" s="555"/>
      <c r="M71" s="196"/>
      <c r="N71" s="195"/>
      <c r="O71" s="195"/>
      <c r="P71" s="195"/>
    </row>
    <row r="72" spans="1:16" x14ac:dyDescent="0.2">
      <c r="A72" s="143"/>
      <c r="B72" s="188" t="s">
        <v>717</v>
      </c>
      <c r="H72" s="373"/>
      <c r="M72" s="196"/>
      <c r="N72" s="195"/>
      <c r="O72" s="195"/>
      <c r="P72" s="195"/>
    </row>
    <row r="73" spans="1:16" x14ac:dyDescent="0.2">
      <c r="A73" s="143">
        <f>A71+1</f>
        <v>52</v>
      </c>
      <c r="B73" s="105" t="s">
        <v>798</v>
      </c>
      <c r="H73" s="369" t="s">
        <v>725</v>
      </c>
      <c r="M73" s="196"/>
      <c r="N73" s="195"/>
      <c r="O73" s="195"/>
      <c r="P73" s="195"/>
    </row>
    <row r="74" spans="1:16" x14ac:dyDescent="0.2">
      <c r="A74" s="143">
        <f t="shared" ref="A74:A98" si="1">A73+1</f>
        <v>53</v>
      </c>
      <c r="B74" s="105" t="s">
        <v>799</v>
      </c>
      <c r="H74" s="369" t="s">
        <v>725</v>
      </c>
      <c r="M74" s="196"/>
      <c r="N74" s="195"/>
      <c r="O74" s="195"/>
      <c r="P74" s="195"/>
    </row>
    <row r="75" spans="1:16" x14ac:dyDescent="0.2">
      <c r="A75" s="143">
        <f t="shared" si="1"/>
        <v>54</v>
      </c>
      <c r="B75" s="105" t="s">
        <v>800</v>
      </c>
      <c r="H75" s="369" t="s">
        <v>725</v>
      </c>
      <c r="M75" s="131"/>
      <c r="N75" s="131"/>
      <c r="O75" s="131"/>
      <c r="P75" s="131"/>
    </row>
    <row r="76" spans="1:16" x14ac:dyDescent="0.2">
      <c r="A76" s="143">
        <f t="shared" si="1"/>
        <v>55</v>
      </c>
      <c r="B76" s="105" t="s">
        <v>721</v>
      </c>
      <c r="H76" s="370" t="s">
        <v>725</v>
      </c>
      <c r="M76" s="196"/>
      <c r="N76" s="195"/>
      <c r="O76" s="195"/>
      <c r="P76" s="195"/>
    </row>
    <row r="77" spans="1:16" x14ac:dyDescent="0.2">
      <c r="A77" s="143"/>
      <c r="B77" s="188" t="s">
        <v>801</v>
      </c>
      <c r="H77" s="368"/>
      <c r="M77" s="196"/>
      <c r="N77" s="201"/>
      <c r="O77" s="201"/>
      <c r="P77" s="201"/>
    </row>
    <row r="78" spans="1:16" x14ac:dyDescent="0.2">
      <c r="A78" s="143">
        <f>A76+1</f>
        <v>56</v>
      </c>
      <c r="B78" s="105" t="s">
        <v>802</v>
      </c>
      <c r="H78" s="192"/>
      <c r="M78" s="196"/>
      <c r="N78" s="195"/>
      <c r="O78" s="195"/>
      <c r="P78" s="195"/>
    </row>
    <row r="79" spans="1:16" x14ac:dyDescent="0.2">
      <c r="A79" s="143">
        <f t="shared" si="1"/>
        <v>57</v>
      </c>
      <c r="B79" s="105" t="s">
        <v>724</v>
      </c>
      <c r="H79" s="377"/>
      <c r="M79" s="196"/>
      <c r="N79" s="195"/>
      <c r="O79" s="195"/>
      <c r="P79" s="195"/>
    </row>
    <row r="80" spans="1:16" x14ac:dyDescent="0.2">
      <c r="A80" s="143">
        <f t="shared" si="1"/>
        <v>58</v>
      </c>
      <c r="B80" s="105" t="s">
        <v>803</v>
      </c>
      <c r="H80" s="376"/>
      <c r="M80" s="196"/>
      <c r="N80" s="195"/>
      <c r="O80" s="195"/>
      <c r="P80" s="195"/>
    </row>
    <row r="81" spans="1:16" x14ac:dyDescent="0.2">
      <c r="A81" s="143">
        <f t="shared" si="1"/>
        <v>59</v>
      </c>
      <c r="B81" s="105" t="s">
        <v>804</v>
      </c>
      <c r="H81" s="378"/>
      <c r="M81" s="196"/>
      <c r="N81" s="195"/>
      <c r="O81" s="195"/>
      <c r="P81" s="195"/>
    </row>
    <row r="82" spans="1:16" x14ac:dyDescent="0.2">
      <c r="A82" s="143">
        <f t="shared" si="1"/>
        <v>60</v>
      </c>
      <c r="B82" s="105" t="s">
        <v>805</v>
      </c>
      <c r="H82" s="369" t="s">
        <v>725</v>
      </c>
      <c r="M82" s="130"/>
      <c r="N82" s="195"/>
      <c r="O82" s="195"/>
      <c r="P82" s="195"/>
    </row>
    <row r="83" spans="1:16" x14ac:dyDescent="0.2">
      <c r="A83" s="143">
        <f t="shared" si="1"/>
        <v>61</v>
      </c>
      <c r="B83" s="105" t="s">
        <v>729</v>
      </c>
      <c r="H83" s="370" t="s">
        <v>725</v>
      </c>
      <c r="M83" s="196"/>
      <c r="N83" s="195"/>
      <c r="O83" s="143"/>
      <c r="P83" s="143"/>
    </row>
    <row r="84" spans="1:16" x14ac:dyDescent="0.2">
      <c r="A84" s="143"/>
      <c r="B84" s="188" t="s">
        <v>702</v>
      </c>
      <c r="H84" s="373"/>
      <c r="M84" s="196"/>
      <c r="N84" s="195"/>
      <c r="O84" s="195"/>
      <c r="P84" s="195"/>
    </row>
    <row r="85" spans="1:16" x14ac:dyDescent="0.2">
      <c r="A85" s="143">
        <f>A83+1</f>
        <v>62</v>
      </c>
      <c r="B85" s="105" t="s">
        <v>806</v>
      </c>
      <c r="H85" s="369" t="s">
        <v>725</v>
      </c>
      <c r="M85" s="196"/>
      <c r="N85" s="195"/>
      <c r="O85" s="195"/>
      <c r="P85" s="195"/>
    </row>
    <row r="86" spans="1:16" x14ac:dyDescent="0.2">
      <c r="A86" s="143">
        <f t="shared" si="1"/>
        <v>63</v>
      </c>
      <c r="B86" s="105" t="s">
        <v>731</v>
      </c>
      <c r="H86" s="369" t="s">
        <v>725</v>
      </c>
      <c r="M86" s="196"/>
      <c r="N86" s="195"/>
      <c r="O86" s="195"/>
      <c r="P86" s="195"/>
    </row>
    <row r="87" spans="1:16" x14ac:dyDescent="0.2">
      <c r="A87" s="143">
        <f t="shared" si="1"/>
        <v>64</v>
      </c>
      <c r="B87" s="105" t="s">
        <v>807</v>
      </c>
      <c r="H87" s="369" t="s">
        <v>725</v>
      </c>
      <c r="M87" s="196"/>
      <c r="N87" s="195"/>
      <c r="O87" s="195"/>
      <c r="P87" s="195"/>
    </row>
    <row r="88" spans="1:16" x14ac:dyDescent="0.2">
      <c r="A88" s="143">
        <f t="shared" si="1"/>
        <v>65</v>
      </c>
      <c r="B88" s="105" t="s">
        <v>733</v>
      </c>
      <c r="H88" s="369" t="s">
        <v>725</v>
      </c>
      <c r="M88" s="196"/>
      <c r="N88" s="195"/>
      <c r="O88" s="143"/>
      <c r="P88" s="143"/>
    </row>
    <row r="89" spans="1:16" x14ac:dyDescent="0.2">
      <c r="A89" s="143">
        <f t="shared" si="1"/>
        <v>66</v>
      </c>
      <c r="B89" s="105" t="s">
        <v>808</v>
      </c>
      <c r="H89" s="369" t="s">
        <v>725</v>
      </c>
      <c r="M89" s="131"/>
      <c r="N89" s="131"/>
      <c r="O89" s="131"/>
      <c r="P89" s="131"/>
    </row>
    <row r="90" spans="1:16" x14ac:dyDescent="0.2">
      <c r="A90" s="143">
        <f t="shared" si="1"/>
        <v>67</v>
      </c>
      <c r="B90" s="105" t="s">
        <v>809</v>
      </c>
      <c r="H90" s="369" t="s">
        <v>725</v>
      </c>
      <c r="M90" s="196"/>
      <c r="N90" s="195"/>
      <c r="O90" s="195"/>
      <c r="P90" s="195"/>
    </row>
    <row r="91" spans="1:16" x14ac:dyDescent="0.2">
      <c r="A91" s="143">
        <f t="shared" si="1"/>
        <v>68</v>
      </c>
      <c r="B91" s="105" t="s">
        <v>736</v>
      </c>
      <c r="H91" s="369" t="s">
        <v>725</v>
      </c>
      <c r="M91" s="196"/>
      <c r="N91" s="195"/>
      <c r="O91" s="195"/>
      <c r="P91" s="195"/>
    </row>
    <row r="92" spans="1:16" x14ac:dyDescent="0.2">
      <c r="A92" s="143">
        <f t="shared" si="1"/>
        <v>69</v>
      </c>
      <c r="B92" s="105" t="s">
        <v>810</v>
      </c>
      <c r="H92" s="369" t="s">
        <v>725</v>
      </c>
    </row>
    <row r="93" spans="1:16" x14ac:dyDescent="0.2">
      <c r="A93" s="143">
        <f t="shared" si="1"/>
        <v>70</v>
      </c>
      <c r="B93" s="105" t="s">
        <v>811</v>
      </c>
      <c r="H93" s="370" t="s">
        <v>725</v>
      </c>
    </row>
    <row r="94" spans="1:16" x14ac:dyDescent="0.2">
      <c r="A94" s="143"/>
      <c r="B94" s="188" t="s">
        <v>739</v>
      </c>
      <c r="H94" s="373"/>
    </row>
    <row r="95" spans="1:16" x14ac:dyDescent="0.2">
      <c r="A95" s="143">
        <f>A93+1</f>
        <v>71</v>
      </c>
      <c r="B95" s="105" t="s">
        <v>812</v>
      </c>
      <c r="H95" s="369" t="s">
        <v>725</v>
      </c>
    </row>
    <row r="96" spans="1:16" x14ac:dyDescent="0.2">
      <c r="A96" s="143"/>
      <c r="B96" s="188"/>
      <c r="C96" s="188"/>
      <c r="H96" s="368"/>
    </row>
    <row r="97" spans="1:9" x14ac:dyDescent="0.2">
      <c r="A97" s="143">
        <f>A95+1</f>
        <v>72</v>
      </c>
      <c r="B97" s="105" t="s">
        <v>813</v>
      </c>
      <c r="H97" s="545"/>
      <c r="I97" s="546"/>
    </row>
    <row r="98" spans="1:9" x14ac:dyDescent="0.2">
      <c r="A98" s="143">
        <f t="shared" si="1"/>
        <v>73</v>
      </c>
      <c r="B98" s="105" t="s">
        <v>538</v>
      </c>
      <c r="H98" s="547"/>
      <c r="I98" s="548"/>
    </row>
    <row r="100" spans="1:9" x14ac:dyDescent="0.2">
      <c r="B100" s="188" t="s">
        <v>814</v>
      </c>
    </row>
    <row r="101" spans="1:9" ht="14.25" x14ac:dyDescent="0.2">
      <c r="B101" s="191" t="s">
        <v>815</v>
      </c>
      <c r="C101" s="190"/>
      <c r="D101" s="190"/>
      <c r="E101" s="190"/>
    </row>
    <row r="102" spans="1:9" ht="14.25" x14ac:dyDescent="0.2">
      <c r="B102" s="191" t="s">
        <v>816</v>
      </c>
      <c r="C102" s="190"/>
      <c r="D102" s="190"/>
      <c r="E102" s="190"/>
    </row>
    <row r="103" spans="1:9" ht="14.25" x14ac:dyDescent="0.2">
      <c r="B103" s="191" t="s">
        <v>817</v>
      </c>
      <c r="C103" s="190"/>
      <c r="D103" s="190"/>
      <c r="E103" s="190"/>
    </row>
    <row r="104" spans="1:9" ht="14.25" x14ac:dyDescent="0.2">
      <c r="B104" s="191" t="s">
        <v>818</v>
      </c>
      <c r="C104" s="190"/>
      <c r="D104" s="190"/>
      <c r="E104" s="190"/>
    </row>
    <row r="105" spans="1:9" ht="14.25" x14ac:dyDescent="0.2">
      <c r="B105" s="191" t="s">
        <v>819</v>
      </c>
      <c r="C105" s="190"/>
      <c r="D105" s="190"/>
      <c r="E105" s="190"/>
    </row>
    <row r="106" spans="1:9" ht="14.25" x14ac:dyDescent="0.2">
      <c r="B106" s="191" t="s">
        <v>820</v>
      </c>
      <c r="C106" s="190"/>
      <c r="D106" s="190"/>
      <c r="E106" s="190"/>
    </row>
    <row r="107" spans="1:9" ht="14.25" x14ac:dyDescent="0.2">
      <c r="B107" s="191" t="s">
        <v>821</v>
      </c>
      <c r="C107" s="190"/>
      <c r="D107" s="190"/>
      <c r="E107" s="190"/>
    </row>
    <row r="108" spans="1:9" ht="14.25" x14ac:dyDescent="0.2">
      <c r="B108" s="191" t="s">
        <v>359</v>
      </c>
      <c r="C108" s="190"/>
      <c r="D108" s="190"/>
      <c r="E108" s="190"/>
    </row>
    <row r="109" spans="1:9" ht="14.25" x14ac:dyDescent="0.2">
      <c r="B109" s="191" t="s">
        <v>822</v>
      </c>
      <c r="C109" s="190"/>
      <c r="D109" s="190"/>
      <c r="E109" s="190"/>
    </row>
    <row r="110" spans="1:9" ht="14.25" x14ac:dyDescent="0.2">
      <c r="B110" s="191" t="s">
        <v>823</v>
      </c>
      <c r="C110" s="190"/>
      <c r="D110" s="190"/>
      <c r="E110" s="190"/>
    </row>
    <row r="111" spans="1:9" ht="14.25" x14ac:dyDescent="0.2">
      <c r="B111" s="191" t="s">
        <v>824</v>
      </c>
      <c r="C111" s="190"/>
      <c r="D111" s="190"/>
      <c r="E111" s="190"/>
    </row>
    <row r="112" spans="1:9" ht="14.25" x14ac:dyDescent="0.2">
      <c r="B112" s="191" t="s">
        <v>825</v>
      </c>
      <c r="C112" s="190"/>
      <c r="D112" s="190"/>
      <c r="E112" s="190"/>
    </row>
    <row r="113" spans="2:5" ht="14.25" x14ac:dyDescent="0.2">
      <c r="B113" s="191" t="s">
        <v>826</v>
      </c>
      <c r="C113" s="190"/>
      <c r="D113" s="190"/>
      <c r="E113" s="190"/>
    </row>
    <row r="114" spans="2:5" ht="14.25" x14ac:dyDescent="0.2">
      <c r="B114" s="191" t="s">
        <v>827</v>
      </c>
      <c r="C114" s="190"/>
      <c r="D114" s="190"/>
      <c r="E114" s="190"/>
    </row>
    <row r="115" spans="2:5" ht="14.25" x14ac:dyDescent="0.2">
      <c r="B115" s="191" t="s">
        <v>828</v>
      </c>
      <c r="C115" s="190"/>
      <c r="D115" s="190"/>
      <c r="E115" s="190"/>
    </row>
    <row r="116" spans="2:5" ht="14.25" x14ac:dyDescent="0.2">
      <c r="B116" s="191" t="s">
        <v>829</v>
      </c>
      <c r="C116" s="190"/>
      <c r="D116" s="190"/>
      <c r="E116" s="190"/>
    </row>
    <row r="117" spans="2:5" x14ac:dyDescent="0.2">
      <c r="B117" s="196"/>
    </row>
    <row r="118" spans="2:5" x14ac:dyDescent="0.2">
      <c r="B118" s="196"/>
    </row>
  </sheetData>
  <sheetProtection sheet="1" objects="1" scenarios="1"/>
  <mergeCells count="20">
    <mergeCell ref="B11:E11"/>
    <mergeCell ref="B13:F13"/>
    <mergeCell ref="H97:I97"/>
    <mergeCell ref="H98:I98"/>
    <mergeCell ref="B14:G14"/>
    <mergeCell ref="B55:G55"/>
    <mergeCell ref="B37:E37"/>
    <mergeCell ref="B46:D46"/>
    <mergeCell ref="B41:C41"/>
    <mergeCell ref="B42:E42"/>
    <mergeCell ref="B61:F61"/>
    <mergeCell ref="B45:G45"/>
    <mergeCell ref="I45:K45"/>
    <mergeCell ref="B71:G71"/>
    <mergeCell ref="I71:K71"/>
    <mergeCell ref="H3:I3"/>
    <mergeCell ref="H4:I4"/>
    <mergeCell ref="H5:I5"/>
    <mergeCell ref="H6:I6"/>
    <mergeCell ref="H7:I7"/>
  </mergeCells>
  <dataValidations count="1">
    <dataValidation type="list" allowBlank="1" showInputMessage="1" showErrorMessage="1" sqref="H97:I97" xr:uid="{D17F046C-9065-4821-9AE8-C4E4A23C2ECF}">
      <formula1>"C Jones, A Hayward, B Brown, G Salf, A Mustoe, S Mosson, L Harding, L Massaro, J Odom"</formula1>
    </dataValidation>
  </dataValidations>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237579" r:id="rId4" name="Check Box 11">
              <controlPr defaultSize="0" autoFill="0" autoLine="0" autoPict="0">
                <anchor moveWithCells="1">
                  <from>
                    <xdr:col>7</xdr:col>
                    <xdr:colOff>171450</xdr:colOff>
                    <xdr:row>8</xdr:row>
                    <xdr:rowOff>133350</xdr:rowOff>
                  </from>
                  <to>
                    <xdr:col>8</xdr:col>
                    <xdr:colOff>57150</xdr:colOff>
                    <xdr:row>10</xdr:row>
                    <xdr:rowOff>19050</xdr:rowOff>
                  </to>
                </anchor>
              </controlPr>
            </control>
          </mc:Choice>
        </mc:AlternateContent>
        <mc:AlternateContent xmlns:mc="http://schemas.openxmlformats.org/markup-compatibility/2006">
          <mc:Choice Requires="x14">
            <control shapeId="237580" r:id="rId5" name="Check Box 12">
              <controlPr defaultSize="0" autoFill="0" autoLine="0" autoPict="0">
                <anchor moveWithCells="1">
                  <from>
                    <xdr:col>7</xdr:col>
                    <xdr:colOff>171450</xdr:colOff>
                    <xdr:row>9</xdr:row>
                    <xdr:rowOff>142875</xdr:rowOff>
                  </from>
                  <to>
                    <xdr:col>8</xdr:col>
                    <xdr:colOff>47625</xdr:colOff>
                    <xdr:row>11</xdr:row>
                    <xdr:rowOff>19050</xdr:rowOff>
                  </to>
                </anchor>
              </controlPr>
            </control>
          </mc:Choice>
        </mc:AlternateContent>
        <mc:AlternateContent xmlns:mc="http://schemas.openxmlformats.org/markup-compatibility/2006">
          <mc:Choice Requires="x14">
            <control shapeId="237581" r:id="rId6" name="Check Box 13">
              <controlPr defaultSize="0" autoFill="0" autoLine="0" autoPict="0">
                <anchor moveWithCells="1">
                  <from>
                    <xdr:col>7</xdr:col>
                    <xdr:colOff>180975</xdr:colOff>
                    <xdr:row>11</xdr:row>
                    <xdr:rowOff>133350</xdr:rowOff>
                  </from>
                  <to>
                    <xdr:col>8</xdr:col>
                    <xdr:colOff>57150</xdr:colOff>
                    <xdr:row>13</xdr:row>
                    <xdr:rowOff>19050</xdr:rowOff>
                  </to>
                </anchor>
              </controlPr>
            </control>
          </mc:Choice>
        </mc:AlternateContent>
        <mc:AlternateContent xmlns:mc="http://schemas.openxmlformats.org/markup-compatibility/2006">
          <mc:Choice Requires="x14">
            <control shapeId="237582" r:id="rId7" name="Check Box 14">
              <controlPr defaultSize="0" autoFill="0" autoLine="0" autoPict="0">
                <anchor moveWithCells="1">
                  <from>
                    <xdr:col>7</xdr:col>
                    <xdr:colOff>180975</xdr:colOff>
                    <xdr:row>14</xdr:row>
                    <xdr:rowOff>133350</xdr:rowOff>
                  </from>
                  <to>
                    <xdr:col>8</xdr:col>
                    <xdr:colOff>57150</xdr:colOff>
                    <xdr:row>16</xdr:row>
                    <xdr:rowOff>19050</xdr:rowOff>
                  </to>
                </anchor>
              </controlPr>
            </control>
          </mc:Choice>
        </mc:AlternateContent>
        <mc:AlternateContent xmlns:mc="http://schemas.openxmlformats.org/markup-compatibility/2006">
          <mc:Choice Requires="x14">
            <control shapeId="237583" r:id="rId8" name="Check Box 15">
              <controlPr defaultSize="0" autoFill="0" autoLine="0" autoPict="0">
                <anchor moveWithCells="1">
                  <from>
                    <xdr:col>7</xdr:col>
                    <xdr:colOff>180975</xdr:colOff>
                    <xdr:row>15</xdr:row>
                    <xdr:rowOff>133350</xdr:rowOff>
                  </from>
                  <to>
                    <xdr:col>8</xdr:col>
                    <xdr:colOff>57150</xdr:colOff>
                    <xdr:row>17</xdr:row>
                    <xdr:rowOff>19050</xdr:rowOff>
                  </to>
                </anchor>
              </controlPr>
            </control>
          </mc:Choice>
        </mc:AlternateContent>
        <mc:AlternateContent xmlns:mc="http://schemas.openxmlformats.org/markup-compatibility/2006">
          <mc:Choice Requires="x14">
            <control shapeId="237584" r:id="rId9" name="Check Box 16">
              <controlPr defaultSize="0" autoFill="0" autoLine="0" autoPict="0">
                <anchor moveWithCells="1">
                  <from>
                    <xdr:col>7</xdr:col>
                    <xdr:colOff>180975</xdr:colOff>
                    <xdr:row>16</xdr:row>
                    <xdr:rowOff>133350</xdr:rowOff>
                  </from>
                  <to>
                    <xdr:col>8</xdr:col>
                    <xdr:colOff>57150</xdr:colOff>
                    <xdr:row>18</xdr:row>
                    <xdr:rowOff>19050</xdr:rowOff>
                  </to>
                </anchor>
              </controlPr>
            </control>
          </mc:Choice>
        </mc:AlternateContent>
        <mc:AlternateContent xmlns:mc="http://schemas.openxmlformats.org/markup-compatibility/2006">
          <mc:Choice Requires="x14">
            <control shapeId="237585" r:id="rId10" name="Check Box 17">
              <controlPr defaultSize="0" autoFill="0" autoLine="0" autoPict="0">
                <anchor moveWithCells="1">
                  <from>
                    <xdr:col>7</xdr:col>
                    <xdr:colOff>180975</xdr:colOff>
                    <xdr:row>17</xdr:row>
                    <xdr:rowOff>133350</xdr:rowOff>
                  </from>
                  <to>
                    <xdr:col>8</xdr:col>
                    <xdr:colOff>57150</xdr:colOff>
                    <xdr:row>19</xdr:row>
                    <xdr:rowOff>19050</xdr:rowOff>
                  </to>
                </anchor>
              </controlPr>
            </control>
          </mc:Choice>
        </mc:AlternateContent>
        <mc:AlternateContent xmlns:mc="http://schemas.openxmlformats.org/markup-compatibility/2006">
          <mc:Choice Requires="x14">
            <control shapeId="237586" r:id="rId11" name="Check Box 18">
              <controlPr defaultSize="0" autoFill="0" autoLine="0" autoPict="0">
                <anchor moveWithCells="1">
                  <from>
                    <xdr:col>7</xdr:col>
                    <xdr:colOff>180975</xdr:colOff>
                    <xdr:row>18</xdr:row>
                    <xdr:rowOff>133350</xdr:rowOff>
                  </from>
                  <to>
                    <xdr:col>8</xdr:col>
                    <xdr:colOff>57150</xdr:colOff>
                    <xdr:row>20</xdr:row>
                    <xdr:rowOff>19050</xdr:rowOff>
                  </to>
                </anchor>
              </controlPr>
            </control>
          </mc:Choice>
        </mc:AlternateContent>
        <mc:AlternateContent xmlns:mc="http://schemas.openxmlformats.org/markup-compatibility/2006">
          <mc:Choice Requires="x14">
            <control shapeId="237587" r:id="rId12" name="Check Box 19">
              <controlPr defaultSize="0" autoFill="0" autoLine="0" autoPict="0">
                <anchor moveWithCells="1">
                  <from>
                    <xdr:col>7</xdr:col>
                    <xdr:colOff>180975</xdr:colOff>
                    <xdr:row>19</xdr:row>
                    <xdr:rowOff>133350</xdr:rowOff>
                  </from>
                  <to>
                    <xdr:col>8</xdr:col>
                    <xdr:colOff>57150</xdr:colOff>
                    <xdr:row>21</xdr:row>
                    <xdr:rowOff>19050</xdr:rowOff>
                  </to>
                </anchor>
              </controlPr>
            </control>
          </mc:Choice>
        </mc:AlternateContent>
        <mc:AlternateContent xmlns:mc="http://schemas.openxmlformats.org/markup-compatibility/2006">
          <mc:Choice Requires="x14">
            <control shapeId="237588" r:id="rId13" name="Check Box 20">
              <controlPr defaultSize="0" autoFill="0" autoLine="0" autoPict="0">
                <anchor moveWithCells="1">
                  <from>
                    <xdr:col>7</xdr:col>
                    <xdr:colOff>180975</xdr:colOff>
                    <xdr:row>20</xdr:row>
                    <xdr:rowOff>133350</xdr:rowOff>
                  </from>
                  <to>
                    <xdr:col>8</xdr:col>
                    <xdr:colOff>57150</xdr:colOff>
                    <xdr:row>22</xdr:row>
                    <xdr:rowOff>19050</xdr:rowOff>
                  </to>
                </anchor>
              </controlPr>
            </control>
          </mc:Choice>
        </mc:AlternateContent>
        <mc:AlternateContent xmlns:mc="http://schemas.openxmlformats.org/markup-compatibility/2006">
          <mc:Choice Requires="x14">
            <control shapeId="237589" r:id="rId14" name="Check Box 21">
              <controlPr defaultSize="0" autoFill="0" autoLine="0" autoPict="0">
                <anchor moveWithCells="1">
                  <from>
                    <xdr:col>7</xdr:col>
                    <xdr:colOff>180975</xdr:colOff>
                    <xdr:row>21</xdr:row>
                    <xdr:rowOff>133350</xdr:rowOff>
                  </from>
                  <to>
                    <xdr:col>8</xdr:col>
                    <xdr:colOff>57150</xdr:colOff>
                    <xdr:row>23</xdr:row>
                    <xdr:rowOff>19050</xdr:rowOff>
                  </to>
                </anchor>
              </controlPr>
            </control>
          </mc:Choice>
        </mc:AlternateContent>
        <mc:AlternateContent xmlns:mc="http://schemas.openxmlformats.org/markup-compatibility/2006">
          <mc:Choice Requires="x14">
            <control shapeId="237590" r:id="rId15" name="Check Box 22">
              <controlPr defaultSize="0" autoFill="0" autoLine="0" autoPict="0">
                <anchor moveWithCells="1">
                  <from>
                    <xdr:col>7</xdr:col>
                    <xdr:colOff>180975</xdr:colOff>
                    <xdr:row>22</xdr:row>
                    <xdr:rowOff>133350</xdr:rowOff>
                  </from>
                  <to>
                    <xdr:col>8</xdr:col>
                    <xdr:colOff>57150</xdr:colOff>
                    <xdr:row>24</xdr:row>
                    <xdr:rowOff>19050</xdr:rowOff>
                  </to>
                </anchor>
              </controlPr>
            </control>
          </mc:Choice>
        </mc:AlternateContent>
        <mc:AlternateContent xmlns:mc="http://schemas.openxmlformats.org/markup-compatibility/2006">
          <mc:Choice Requires="x14">
            <control shapeId="237591" r:id="rId16" name="Check Box 23">
              <controlPr defaultSize="0" autoFill="0" autoLine="0" autoPict="0">
                <anchor moveWithCells="1">
                  <from>
                    <xdr:col>7</xdr:col>
                    <xdr:colOff>180975</xdr:colOff>
                    <xdr:row>23</xdr:row>
                    <xdr:rowOff>133350</xdr:rowOff>
                  </from>
                  <to>
                    <xdr:col>8</xdr:col>
                    <xdr:colOff>57150</xdr:colOff>
                    <xdr:row>25</xdr:row>
                    <xdr:rowOff>19050</xdr:rowOff>
                  </to>
                </anchor>
              </controlPr>
            </control>
          </mc:Choice>
        </mc:AlternateContent>
        <mc:AlternateContent xmlns:mc="http://schemas.openxmlformats.org/markup-compatibility/2006">
          <mc:Choice Requires="x14">
            <control shapeId="237592" r:id="rId17" name="Check Box 24">
              <controlPr defaultSize="0" autoFill="0" autoLine="0" autoPict="0">
                <anchor moveWithCells="1">
                  <from>
                    <xdr:col>7</xdr:col>
                    <xdr:colOff>180975</xdr:colOff>
                    <xdr:row>27</xdr:row>
                    <xdr:rowOff>133350</xdr:rowOff>
                  </from>
                  <to>
                    <xdr:col>8</xdr:col>
                    <xdr:colOff>57150</xdr:colOff>
                    <xdr:row>29</xdr:row>
                    <xdr:rowOff>19050</xdr:rowOff>
                  </to>
                </anchor>
              </controlPr>
            </control>
          </mc:Choice>
        </mc:AlternateContent>
        <mc:AlternateContent xmlns:mc="http://schemas.openxmlformats.org/markup-compatibility/2006">
          <mc:Choice Requires="x14">
            <control shapeId="237593" r:id="rId18" name="Check Box 25">
              <controlPr defaultSize="0" autoFill="0" autoLine="0" autoPict="0">
                <anchor moveWithCells="1">
                  <from>
                    <xdr:col>7</xdr:col>
                    <xdr:colOff>180975</xdr:colOff>
                    <xdr:row>28</xdr:row>
                    <xdr:rowOff>133350</xdr:rowOff>
                  </from>
                  <to>
                    <xdr:col>8</xdr:col>
                    <xdr:colOff>57150</xdr:colOff>
                    <xdr:row>30</xdr:row>
                    <xdr:rowOff>19050</xdr:rowOff>
                  </to>
                </anchor>
              </controlPr>
            </control>
          </mc:Choice>
        </mc:AlternateContent>
        <mc:AlternateContent xmlns:mc="http://schemas.openxmlformats.org/markup-compatibility/2006">
          <mc:Choice Requires="x14">
            <control shapeId="237594" r:id="rId19" name="Check Box 26">
              <controlPr defaultSize="0" autoFill="0" autoLine="0" autoPict="0">
                <anchor moveWithCells="1">
                  <from>
                    <xdr:col>7</xdr:col>
                    <xdr:colOff>180975</xdr:colOff>
                    <xdr:row>30</xdr:row>
                    <xdr:rowOff>133350</xdr:rowOff>
                  </from>
                  <to>
                    <xdr:col>8</xdr:col>
                    <xdr:colOff>57150</xdr:colOff>
                    <xdr:row>32</xdr:row>
                    <xdr:rowOff>19050</xdr:rowOff>
                  </to>
                </anchor>
              </controlPr>
            </control>
          </mc:Choice>
        </mc:AlternateContent>
        <mc:AlternateContent xmlns:mc="http://schemas.openxmlformats.org/markup-compatibility/2006">
          <mc:Choice Requires="x14">
            <control shapeId="237595" r:id="rId20" name="Check Box 27">
              <controlPr defaultSize="0" autoFill="0" autoLine="0" autoPict="0">
                <anchor moveWithCells="1">
                  <from>
                    <xdr:col>7</xdr:col>
                    <xdr:colOff>180975</xdr:colOff>
                    <xdr:row>31</xdr:row>
                    <xdr:rowOff>133350</xdr:rowOff>
                  </from>
                  <to>
                    <xdr:col>8</xdr:col>
                    <xdr:colOff>57150</xdr:colOff>
                    <xdr:row>33</xdr:row>
                    <xdr:rowOff>0</xdr:rowOff>
                  </to>
                </anchor>
              </controlPr>
            </control>
          </mc:Choice>
        </mc:AlternateContent>
        <mc:AlternateContent xmlns:mc="http://schemas.openxmlformats.org/markup-compatibility/2006">
          <mc:Choice Requires="x14">
            <control shapeId="237596" r:id="rId21" name="Check Box 28">
              <controlPr defaultSize="0" autoFill="0" autoLine="0" autoPict="0">
                <anchor moveWithCells="1">
                  <from>
                    <xdr:col>7</xdr:col>
                    <xdr:colOff>180975</xdr:colOff>
                    <xdr:row>32</xdr:row>
                    <xdr:rowOff>133350</xdr:rowOff>
                  </from>
                  <to>
                    <xdr:col>8</xdr:col>
                    <xdr:colOff>57150</xdr:colOff>
                    <xdr:row>34</xdr:row>
                    <xdr:rowOff>0</xdr:rowOff>
                  </to>
                </anchor>
              </controlPr>
            </control>
          </mc:Choice>
        </mc:AlternateContent>
        <mc:AlternateContent xmlns:mc="http://schemas.openxmlformats.org/markup-compatibility/2006">
          <mc:Choice Requires="x14">
            <control shapeId="237597" r:id="rId22" name="Check Box 29">
              <controlPr defaultSize="0" autoFill="0" autoLine="0" autoPict="0">
                <anchor moveWithCells="1">
                  <from>
                    <xdr:col>7</xdr:col>
                    <xdr:colOff>180975</xdr:colOff>
                    <xdr:row>33</xdr:row>
                    <xdr:rowOff>133350</xdr:rowOff>
                  </from>
                  <to>
                    <xdr:col>8</xdr:col>
                    <xdr:colOff>57150</xdr:colOff>
                    <xdr:row>35</xdr:row>
                    <xdr:rowOff>19050</xdr:rowOff>
                  </to>
                </anchor>
              </controlPr>
            </control>
          </mc:Choice>
        </mc:AlternateContent>
        <mc:AlternateContent xmlns:mc="http://schemas.openxmlformats.org/markup-compatibility/2006">
          <mc:Choice Requires="x14">
            <control shapeId="237598" r:id="rId23" name="Check Box 30">
              <controlPr defaultSize="0" autoFill="0" autoLine="0" autoPict="0">
                <anchor moveWithCells="1">
                  <from>
                    <xdr:col>7</xdr:col>
                    <xdr:colOff>180975</xdr:colOff>
                    <xdr:row>35</xdr:row>
                    <xdr:rowOff>133350</xdr:rowOff>
                  </from>
                  <to>
                    <xdr:col>8</xdr:col>
                    <xdr:colOff>57150</xdr:colOff>
                    <xdr:row>37</xdr:row>
                    <xdr:rowOff>19050</xdr:rowOff>
                  </to>
                </anchor>
              </controlPr>
            </control>
          </mc:Choice>
        </mc:AlternateContent>
        <mc:AlternateContent xmlns:mc="http://schemas.openxmlformats.org/markup-compatibility/2006">
          <mc:Choice Requires="x14">
            <control shapeId="237599" r:id="rId24" name="Check Box 31">
              <controlPr defaultSize="0" autoFill="0" autoLine="0" autoPict="0">
                <anchor moveWithCells="1">
                  <from>
                    <xdr:col>7</xdr:col>
                    <xdr:colOff>180975</xdr:colOff>
                    <xdr:row>36</xdr:row>
                    <xdr:rowOff>133350</xdr:rowOff>
                  </from>
                  <to>
                    <xdr:col>8</xdr:col>
                    <xdr:colOff>57150</xdr:colOff>
                    <xdr:row>38</xdr:row>
                    <xdr:rowOff>19050</xdr:rowOff>
                  </to>
                </anchor>
              </controlPr>
            </control>
          </mc:Choice>
        </mc:AlternateContent>
        <mc:AlternateContent xmlns:mc="http://schemas.openxmlformats.org/markup-compatibility/2006">
          <mc:Choice Requires="x14">
            <control shapeId="237600" r:id="rId25" name="Check Box 32">
              <controlPr defaultSize="0" autoFill="0" autoLine="0" autoPict="0">
                <anchor moveWithCells="1">
                  <from>
                    <xdr:col>7</xdr:col>
                    <xdr:colOff>180975</xdr:colOff>
                    <xdr:row>37</xdr:row>
                    <xdr:rowOff>133350</xdr:rowOff>
                  </from>
                  <to>
                    <xdr:col>8</xdr:col>
                    <xdr:colOff>57150</xdr:colOff>
                    <xdr:row>39</xdr:row>
                    <xdr:rowOff>19050</xdr:rowOff>
                  </to>
                </anchor>
              </controlPr>
            </control>
          </mc:Choice>
        </mc:AlternateContent>
        <mc:AlternateContent xmlns:mc="http://schemas.openxmlformats.org/markup-compatibility/2006">
          <mc:Choice Requires="x14">
            <control shapeId="237601" r:id="rId26" name="Check Box 33">
              <controlPr defaultSize="0" autoFill="0" autoLine="0" autoPict="0">
                <anchor moveWithCells="1">
                  <from>
                    <xdr:col>7</xdr:col>
                    <xdr:colOff>180975</xdr:colOff>
                    <xdr:row>38</xdr:row>
                    <xdr:rowOff>133350</xdr:rowOff>
                  </from>
                  <to>
                    <xdr:col>8</xdr:col>
                    <xdr:colOff>57150</xdr:colOff>
                    <xdr:row>40</xdr:row>
                    <xdr:rowOff>19050</xdr:rowOff>
                  </to>
                </anchor>
              </controlPr>
            </control>
          </mc:Choice>
        </mc:AlternateContent>
        <mc:AlternateContent xmlns:mc="http://schemas.openxmlformats.org/markup-compatibility/2006">
          <mc:Choice Requires="x14">
            <control shapeId="237602" r:id="rId27" name="Check Box 34">
              <controlPr defaultSize="0" autoFill="0" autoLine="0" autoPict="0">
                <anchor moveWithCells="1">
                  <from>
                    <xdr:col>7</xdr:col>
                    <xdr:colOff>180975</xdr:colOff>
                    <xdr:row>49</xdr:row>
                    <xdr:rowOff>133350</xdr:rowOff>
                  </from>
                  <to>
                    <xdr:col>8</xdr:col>
                    <xdr:colOff>57150</xdr:colOff>
                    <xdr:row>51</xdr:row>
                    <xdr:rowOff>19050</xdr:rowOff>
                  </to>
                </anchor>
              </controlPr>
            </control>
          </mc:Choice>
        </mc:AlternateContent>
        <mc:AlternateContent xmlns:mc="http://schemas.openxmlformats.org/markup-compatibility/2006">
          <mc:Choice Requires="x14">
            <control shapeId="237603" r:id="rId28" name="Check Box 35">
              <controlPr defaultSize="0" autoFill="0" autoLine="0" autoPict="0">
                <anchor moveWithCells="1">
                  <from>
                    <xdr:col>7</xdr:col>
                    <xdr:colOff>180975</xdr:colOff>
                    <xdr:row>51</xdr:row>
                    <xdr:rowOff>133350</xdr:rowOff>
                  </from>
                  <to>
                    <xdr:col>8</xdr:col>
                    <xdr:colOff>57150</xdr:colOff>
                    <xdr:row>53</xdr:row>
                    <xdr:rowOff>19050</xdr:rowOff>
                  </to>
                </anchor>
              </controlPr>
            </control>
          </mc:Choice>
        </mc:AlternateContent>
        <mc:AlternateContent xmlns:mc="http://schemas.openxmlformats.org/markup-compatibility/2006">
          <mc:Choice Requires="x14">
            <control shapeId="237604" r:id="rId29" name="Check Box 36">
              <controlPr defaultSize="0" autoFill="0" autoLine="0" autoPict="0">
                <anchor moveWithCells="1">
                  <from>
                    <xdr:col>7</xdr:col>
                    <xdr:colOff>180975</xdr:colOff>
                    <xdr:row>42</xdr:row>
                    <xdr:rowOff>133350</xdr:rowOff>
                  </from>
                  <to>
                    <xdr:col>8</xdr:col>
                    <xdr:colOff>57150</xdr:colOff>
                    <xdr:row>44</xdr:row>
                    <xdr:rowOff>19050</xdr:rowOff>
                  </to>
                </anchor>
              </controlPr>
            </control>
          </mc:Choice>
        </mc:AlternateContent>
        <mc:AlternateContent xmlns:mc="http://schemas.openxmlformats.org/markup-compatibility/2006">
          <mc:Choice Requires="x14">
            <control shapeId="237605" r:id="rId30" name="Check Box 37">
              <controlPr defaultSize="0" autoFill="0" autoLine="0" autoPict="0">
                <anchor moveWithCells="1">
                  <from>
                    <xdr:col>7</xdr:col>
                    <xdr:colOff>180975</xdr:colOff>
                    <xdr:row>43</xdr:row>
                    <xdr:rowOff>133350</xdr:rowOff>
                  </from>
                  <to>
                    <xdr:col>8</xdr:col>
                    <xdr:colOff>57150</xdr:colOff>
                    <xdr:row>45</xdr:row>
                    <xdr:rowOff>19050</xdr:rowOff>
                  </to>
                </anchor>
              </controlPr>
            </control>
          </mc:Choice>
        </mc:AlternateContent>
        <mc:AlternateContent xmlns:mc="http://schemas.openxmlformats.org/markup-compatibility/2006">
          <mc:Choice Requires="x14">
            <control shapeId="237606" r:id="rId31" name="Check Box 38">
              <controlPr defaultSize="0" autoFill="0" autoLine="0" autoPict="0">
                <anchor moveWithCells="1">
                  <from>
                    <xdr:col>7</xdr:col>
                    <xdr:colOff>180975</xdr:colOff>
                    <xdr:row>44</xdr:row>
                    <xdr:rowOff>133350</xdr:rowOff>
                  </from>
                  <to>
                    <xdr:col>8</xdr:col>
                    <xdr:colOff>57150</xdr:colOff>
                    <xdr:row>46</xdr:row>
                    <xdr:rowOff>19050</xdr:rowOff>
                  </to>
                </anchor>
              </controlPr>
            </control>
          </mc:Choice>
        </mc:AlternateContent>
        <mc:AlternateContent xmlns:mc="http://schemas.openxmlformats.org/markup-compatibility/2006">
          <mc:Choice Requires="x14">
            <control shapeId="237610" r:id="rId32" name="Check Box 42">
              <controlPr defaultSize="0" autoFill="0" autoLine="0" autoPict="0">
                <anchor moveWithCells="1">
                  <from>
                    <xdr:col>7</xdr:col>
                    <xdr:colOff>180975</xdr:colOff>
                    <xdr:row>55</xdr:row>
                    <xdr:rowOff>133350</xdr:rowOff>
                  </from>
                  <to>
                    <xdr:col>8</xdr:col>
                    <xdr:colOff>57150</xdr:colOff>
                    <xdr:row>57</xdr:row>
                    <xdr:rowOff>19050</xdr:rowOff>
                  </to>
                </anchor>
              </controlPr>
            </control>
          </mc:Choice>
        </mc:AlternateContent>
        <mc:AlternateContent xmlns:mc="http://schemas.openxmlformats.org/markup-compatibility/2006">
          <mc:Choice Requires="x14">
            <control shapeId="237611" r:id="rId33" name="Check Box 43">
              <controlPr defaultSize="0" autoFill="0" autoLine="0" autoPict="0">
                <anchor moveWithCells="1">
                  <from>
                    <xdr:col>7</xdr:col>
                    <xdr:colOff>180975</xdr:colOff>
                    <xdr:row>56</xdr:row>
                    <xdr:rowOff>133350</xdr:rowOff>
                  </from>
                  <to>
                    <xdr:col>8</xdr:col>
                    <xdr:colOff>57150</xdr:colOff>
                    <xdr:row>58</xdr:row>
                    <xdr:rowOff>19050</xdr:rowOff>
                  </to>
                </anchor>
              </controlPr>
            </control>
          </mc:Choice>
        </mc:AlternateContent>
        <mc:AlternateContent xmlns:mc="http://schemas.openxmlformats.org/markup-compatibility/2006">
          <mc:Choice Requires="x14">
            <control shapeId="237612" r:id="rId34" name="Check Box 44">
              <controlPr defaultSize="0" autoFill="0" autoLine="0" autoPict="0">
                <anchor moveWithCells="1">
                  <from>
                    <xdr:col>7</xdr:col>
                    <xdr:colOff>180975</xdr:colOff>
                    <xdr:row>57</xdr:row>
                    <xdr:rowOff>133350</xdr:rowOff>
                  </from>
                  <to>
                    <xdr:col>8</xdr:col>
                    <xdr:colOff>57150</xdr:colOff>
                    <xdr:row>59</xdr:row>
                    <xdr:rowOff>19050</xdr:rowOff>
                  </to>
                </anchor>
              </controlPr>
            </control>
          </mc:Choice>
        </mc:AlternateContent>
        <mc:AlternateContent xmlns:mc="http://schemas.openxmlformats.org/markup-compatibility/2006">
          <mc:Choice Requires="x14">
            <control shapeId="237613" r:id="rId35" name="Check Box 45">
              <controlPr defaultSize="0" autoFill="0" autoLine="0" autoPict="0">
                <anchor moveWithCells="1">
                  <from>
                    <xdr:col>7</xdr:col>
                    <xdr:colOff>180975</xdr:colOff>
                    <xdr:row>58</xdr:row>
                    <xdr:rowOff>133350</xdr:rowOff>
                  </from>
                  <to>
                    <xdr:col>8</xdr:col>
                    <xdr:colOff>57150</xdr:colOff>
                    <xdr:row>60</xdr:row>
                    <xdr:rowOff>19050</xdr:rowOff>
                  </to>
                </anchor>
              </controlPr>
            </control>
          </mc:Choice>
        </mc:AlternateContent>
        <mc:AlternateContent xmlns:mc="http://schemas.openxmlformats.org/markup-compatibility/2006">
          <mc:Choice Requires="x14">
            <control shapeId="237614" r:id="rId36" name="Check Box 46">
              <controlPr defaultSize="0" autoFill="0" autoLine="0" autoPict="0">
                <anchor moveWithCells="1">
                  <from>
                    <xdr:col>7</xdr:col>
                    <xdr:colOff>180975</xdr:colOff>
                    <xdr:row>59</xdr:row>
                    <xdr:rowOff>133350</xdr:rowOff>
                  </from>
                  <to>
                    <xdr:col>8</xdr:col>
                    <xdr:colOff>57150</xdr:colOff>
                    <xdr:row>61</xdr:row>
                    <xdr:rowOff>19050</xdr:rowOff>
                  </to>
                </anchor>
              </controlPr>
            </control>
          </mc:Choice>
        </mc:AlternateContent>
        <mc:AlternateContent xmlns:mc="http://schemas.openxmlformats.org/markup-compatibility/2006">
          <mc:Choice Requires="x14">
            <control shapeId="237615" r:id="rId37" name="Check Box 47">
              <controlPr defaultSize="0" autoFill="0" autoLine="0" autoPict="0">
                <anchor moveWithCells="1">
                  <from>
                    <xdr:col>7</xdr:col>
                    <xdr:colOff>180975</xdr:colOff>
                    <xdr:row>61</xdr:row>
                    <xdr:rowOff>133350</xdr:rowOff>
                  </from>
                  <to>
                    <xdr:col>8</xdr:col>
                    <xdr:colOff>57150</xdr:colOff>
                    <xdr:row>63</xdr:row>
                    <xdr:rowOff>19050</xdr:rowOff>
                  </to>
                </anchor>
              </controlPr>
            </control>
          </mc:Choice>
        </mc:AlternateContent>
        <mc:AlternateContent xmlns:mc="http://schemas.openxmlformats.org/markup-compatibility/2006">
          <mc:Choice Requires="x14">
            <control shapeId="237617" r:id="rId38" name="Check Box 49">
              <controlPr defaultSize="0" autoFill="0" autoLine="0" autoPict="0">
                <anchor moveWithCells="1">
                  <from>
                    <xdr:col>7</xdr:col>
                    <xdr:colOff>180975</xdr:colOff>
                    <xdr:row>62</xdr:row>
                    <xdr:rowOff>133350</xdr:rowOff>
                  </from>
                  <to>
                    <xdr:col>8</xdr:col>
                    <xdr:colOff>57150</xdr:colOff>
                    <xdr:row>64</xdr:row>
                    <xdr:rowOff>19050</xdr:rowOff>
                  </to>
                </anchor>
              </controlPr>
            </control>
          </mc:Choice>
        </mc:AlternateContent>
        <mc:AlternateContent xmlns:mc="http://schemas.openxmlformats.org/markup-compatibility/2006">
          <mc:Choice Requires="x14">
            <control shapeId="237618" r:id="rId39" name="Check Box 50">
              <controlPr defaultSize="0" autoFill="0" autoLine="0" autoPict="0">
                <anchor moveWithCells="1">
                  <from>
                    <xdr:col>7</xdr:col>
                    <xdr:colOff>180975</xdr:colOff>
                    <xdr:row>63</xdr:row>
                    <xdr:rowOff>133350</xdr:rowOff>
                  </from>
                  <to>
                    <xdr:col>8</xdr:col>
                    <xdr:colOff>57150</xdr:colOff>
                    <xdr:row>65</xdr:row>
                    <xdr:rowOff>19050</xdr:rowOff>
                  </to>
                </anchor>
              </controlPr>
            </control>
          </mc:Choice>
        </mc:AlternateContent>
        <mc:AlternateContent xmlns:mc="http://schemas.openxmlformats.org/markup-compatibility/2006">
          <mc:Choice Requires="x14">
            <control shapeId="237619" r:id="rId40" name="Check Box 51">
              <controlPr defaultSize="0" autoFill="0" autoLine="0" autoPict="0">
                <anchor moveWithCells="1">
                  <from>
                    <xdr:col>7</xdr:col>
                    <xdr:colOff>180975</xdr:colOff>
                    <xdr:row>64</xdr:row>
                    <xdr:rowOff>133350</xdr:rowOff>
                  </from>
                  <to>
                    <xdr:col>8</xdr:col>
                    <xdr:colOff>57150</xdr:colOff>
                    <xdr:row>66</xdr:row>
                    <xdr:rowOff>19050</xdr:rowOff>
                  </to>
                </anchor>
              </controlPr>
            </control>
          </mc:Choice>
        </mc:AlternateContent>
        <mc:AlternateContent xmlns:mc="http://schemas.openxmlformats.org/markup-compatibility/2006">
          <mc:Choice Requires="x14">
            <control shapeId="237620" r:id="rId41" name="Check Box 52">
              <controlPr defaultSize="0" autoFill="0" autoLine="0" autoPict="0">
                <anchor moveWithCells="1">
                  <from>
                    <xdr:col>7</xdr:col>
                    <xdr:colOff>180975</xdr:colOff>
                    <xdr:row>65</xdr:row>
                    <xdr:rowOff>133350</xdr:rowOff>
                  </from>
                  <to>
                    <xdr:col>8</xdr:col>
                    <xdr:colOff>57150</xdr:colOff>
                    <xdr:row>67</xdr:row>
                    <xdr:rowOff>19050</xdr:rowOff>
                  </to>
                </anchor>
              </controlPr>
            </control>
          </mc:Choice>
        </mc:AlternateContent>
        <mc:AlternateContent xmlns:mc="http://schemas.openxmlformats.org/markup-compatibility/2006">
          <mc:Choice Requires="x14">
            <control shapeId="237622" r:id="rId42" name="Check Box 54">
              <controlPr defaultSize="0" autoFill="0" autoLine="0" autoPict="0">
                <anchor moveWithCells="1">
                  <from>
                    <xdr:col>7</xdr:col>
                    <xdr:colOff>180975</xdr:colOff>
                    <xdr:row>66</xdr:row>
                    <xdr:rowOff>133350</xdr:rowOff>
                  </from>
                  <to>
                    <xdr:col>8</xdr:col>
                    <xdr:colOff>57150</xdr:colOff>
                    <xdr:row>68</xdr:row>
                    <xdr:rowOff>19050</xdr:rowOff>
                  </to>
                </anchor>
              </controlPr>
            </control>
          </mc:Choice>
        </mc:AlternateContent>
        <mc:AlternateContent xmlns:mc="http://schemas.openxmlformats.org/markup-compatibility/2006">
          <mc:Choice Requires="x14">
            <control shapeId="237623" r:id="rId43" name="Check Box 55">
              <controlPr defaultSize="0" autoFill="0" autoLine="0" autoPict="0">
                <anchor moveWithCells="1">
                  <from>
                    <xdr:col>7</xdr:col>
                    <xdr:colOff>190500</xdr:colOff>
                    <xdr:row>67</xdr:row>
                    <xdr:rowOff>133350</xdr:rowOff>
                  </from>
                  <to>
                    <xdr:col>8</xdr:col>
                    <xdr:colOff>66675</xdr:colOff>
                    <xdr:row>69</xdr:row>
                    <xdr:rowOff>19050</xdr:rowOff>
                  </to>
                </anchor>
              </controlPr>
            </control>
          </mc:Choice>
        </mc:AlternateContent>
        <mc:AlternateContent xmlns:mc="http://schemas.openxmlformats.org/markup-compatibility/2006">
          <mc:Choice Requires="x14">
            <control shapeId="237628" r:id="rId44" name="Check Box 60">
              <controlPr defaultSize="0" autoFill="0" autoLine="0" autoPict="0">
                <anchor moveWithCells="1">
                  <from>
                    <xdr:col>7</xdr:col>
                    <xdr:colOff>180975</xdr:colOff>
                    <xdr:row>68</xdr:row>
                    <xdr:rowOff>133350</xdr:rowOff>
                  </from>
                  <to>
                    <xdr:col>8</xdr:col>
                    <xdr:colOff>57150</xdr:colOff>
                    <xdr:row>70</xdr:row>
                    <xdr:rowOff>19050</xdr:rowOff>
                  </to>
                </anchor>
              </controlPr>
            </control>
          </mc:Choice>
        </mc:AlternateContent>
        <mc:AlternateContent xmlns:mc="http://schemas.openxmlformats.org/markup-compatibility/2006">
          <mc:Choice Requires="x14">
            <control shapeId="237629" r:id="rId45" name="Check Box 61">
              <controlPr defaultSize="0" autoFill="0" autoLine="0" autoPict="0">
                <anchor moveWithCells="1">
                  <from>
                    <xdr:col>7</xdr:col>
                    <xdr:colOff>180975</xdr:colOff>
                    <xdr:row>69</xdr:row>
                    <xdr:rowOff>133350</xdr:rowOff>
                  </from>
                  <to>
                    <xdr:col>8</xdr:col>
                    <xdr:colOff>57150</xdr:colOff>
                    <xdr:row>71</xdr:row>
                    <xdr:rowOff>19050</xdr:rowOff>
                  </to>
                </anchor>
              </controlPr>
            </control>
          </mc:Choice>
        </mc:AlternateContent>
        <mc:AlternateContent xmlns:mc="http://schemas.openxmlformats.org/markup-compatibility/2006">
          <mc:Choice Requires="x14">
            <control shapeId="237630" r:id="rId46" name="Check Box 62">
              <controlPr defaultSize="0" autoFill="0" autoLine="0" autoPict="0">
                <anchor moveWithCells="1">
                  <from>
                    <xdr:col>7</xdr:col>
                    <xdr:colOff>180975</xdr:colOff>
                    <xdr:row>71</xdr:row>
                    <xdr:rowOff>133350</xdr:rowOff>
                  </from>
                  <to>
                    <xdr:col>8</xdr:col>
                    <xdr:colOff>57150</xdr:colOff>
                    <xdr:row>73</xdr:row>
                    <xdr:rowOff>19050</xdr:rowOff>
                  </to>
                </anchor>
              </controlPr>
            </control>
          </mc:Choice>
        </mc:AlternateContent>
        <mc:AlternateContent xmlns:mc="http://schemas.openxmlformats.org/markup-compatibility/2006">
          <mc:Choice Requires="x14">
            <control shapeId="237631" r:id="rId47" name="Check Box 63">
              <controlPr defaultSize="0" autoFill="0" autoLine="0" autoPict="0">
                <anchor moveWithCells="1">
                  <from>
                    <xdr:col>7</xdr:col>
                    <xdr:colOff>180975</xdr:colOff>
                    <xdr:row>72</xdr:row>
                    <xdr:rowOff>133350</xdr:rowOff>
                  </from>
                  <to>
                    <xdr:col>8</xdr:col>
                    <xdr:colOff>57150</xdr:colOff>
                    <xdr:row>74</xdr:row>
                    <xdr:rowOff>19050</xdr:rowOff>
                  </to>
                </anchor>
              </controlPr>
            </control>
          </mc:Choice>
        </mc:AlternateContent>
        <mc:AlternateContent xmlns:mc="http://schemas.openxmlformats.org/markup-compatibility/2006">
          <mc:Choice Requires="x14">
            <control shapeId="237632" r:id="rId48" name="Check Box 64">
              <controlPr defaultSize="0" autoFill="0" autoLine="0" autoPict="0">
                <anchor moveWithCells="1">
                  <from>
                    <xdr:col>7</xdr:col>
                    <xdr:colOff>180975</xdr:colOff>
                    <xdr:row>73</xdr:row>
                    <xdr:rowOff>133350</xdr:rowOff>
                  </from>
                  <to>
                    <xdr:col>8</xdr:col>
                    <xdr:colOff>57150</xdr:colOff>
                    <xdr:row>75</xdr:row>
                    <xdr:rowOff>19050</xdr:rowOff>
                  </to>
                </anchor>
              </controlPr>
            </control>
          </mc:Choice>
        </mc:AlternateContent>
        <mc:AlternateContent xmlns:mc="http://schemas.openxmlformats.org/markup-compatibility/2006">
          <mc:Choice Requires="x14">
            <control shapeId="237633" r:id="rId49" name="Check Box 65">
              <controlPr defaultSize="0" autoFill="0" autoLine="0" autoPict="0">
                <anchor moveWithCells="1">
                  <from>
                    <xdr:col>7</xdr:col>
                    <xdr:colOff>180975</xdr:colOff>
                    <xdr:row>74</xdr:row>
                    <xdr:rowOff>133350</xdr:rowOff>
                  </from>
                  <to>
                    <xdr:col>8</xdr:col>
                    <xdr:colOff>57150</xdr:colOff>
                    <xdr:row>76</xdr:row>
                    <xdr:rowOff>19050</xdr:rowOff>
                  </to>
                </anchor>
              </controlPr>
            </control>
          </mc:Choice>
        </mc:AlternateContent>
        <mc:AlternateContent xmlns:mc="http://schemas.openxmlformats.org/markup-compatibility/2006">
          <mc:Choice Requires="x14">
            <control shapeId="237634" r:id="rId50" name="Check Box 66">
              <controlPr defaultSize="0" autoFill="0" autoLine="0" autoPict="0">
                <anchor moveWithCells="1">
                  <from>
                    <xdr:col>7</xdr:col>
                    <xdr:colOff>180975</xdr:colOff>
                    <xdr:row>80</xdr:row>
                    <xdr:rowOff>133350</xdr:rowOff>
                  </from>
                  <to>
                    <xdr:col>8</xdr:col>
                    <xdr:colOff>57150</xdr:colOff>
                    <xdr:row>82</xdr:row>
                    <xdr:rowOff>19050</xdr:rowOff>
                  </to>
                </anchor>
              </controlPr>
            </control>
          </mc:Choice>
        </mc:AlternateContent>
        <mc:AlternateContent xmlns:mc="http://schemas.openxmlformats.org/markup-compatibility/2006">
          <mc:Choice Requires="x14">
            <control shapeId="237635" r:id="rId51" name="Check Box 67">
              <controlPr defaultSize="0" autoFill="0" autoLine="0" autoPict="0">
                <anchor moveWithCells="1">
                  <from>
                    <xdr:col>7</xdr:col>
                    <xdr:colOff>180975</xdr:colOff>
                    <xdr:row>81</xdr:row>
                    <xdr:rowOff>133350</xdr:rowOff>
                  </from>
                  <to>
                    <xdr:col>8</xdr:col>
                    <xdr:colOff>57150</xdr:colOff>
                    <xdr:row>83</xdr:row>
                    <xdr:rowOff>19050</xdr:rowOff>
                  </to>
                </anchor>
              </controlPr>
            </control>
          </mc:Choice>
        </mc:AlternateContent>
        <mc:AlternateContent xmlns:mc="http://schemas.openxmlformats.org/markup-compatibility/2006">
          <mc:Choice Requires="x14">
            <control shapeId="237636" r:id="rId52" name="Check Box 68">
              <controlPr defaultSize="0" autoFill="0" autoLine="0" autoPict="0">
                <anchor moveWithCells="1">
                  <from>
                    <xdr:col>7</xdr:col>
                    <xdr:colOff>180975</xdr:colOff>
                    <xdr:row>83</xdr:row>
                    <xdr:rowOff>133350</xdr:rowOff>
                  </from>
                  <to>
                    <xdr:col>8</xdr:col>
                    <xdr:colOff>57150</xdr:colOff>
                    <xdr:row>85</xdr:row>
                    <xdr:rowOff>19050</xdr:rowOff>
                  </to>
                </anchor>
              </controlPr>
            </control>
          </mc:Choice>
        </mc:AlternateContent>
        <mc:AlternateContent xmlns:mc="http://schemas.openxmlformats.org/markup-compatibility/2006">
          <mc:Choice Requires="x14">
            <control shapeId="237637" r:id="rId53" name="Check Box 69">
              <controlPr defaultSize="0" autoFill="0" autoLine="0" autoPict="0">
                <anchor moveWithCells="1">
                  <from>
                    <xdr:col>7</xdr:col>
                    <xdr:colOff>180975</xdr:colOff>
                    <xdr:row>84</xdr:row>
                    <xdr:rowOff>133350</xdr:rowOff>
                  </from>
                  <to>
                    <xdr:col>8</xdr:col>
                    <xdr:colOff>57150</xdr:colOff>
                    <xdr:row>86</xdr:row>
                    <xdr:rowOff>19050</xdr:rowOff>
                  </to>
                </anchor>
              </controlPr>
            </control>
          </mc:Choice>
        </mc:AlternateContent>
        <mc:AlternateContent xmlns:mc="http://schemas.openxmlformats.org/markup-compatibility/2006">
          <mc:Choice Requires="x14">
            <control shapeId="237638" r:id="rId54" name="Check Box 70">
              <controlPr defaultSize="0" autoFill="0" autoLine="0" autoPict="0">
                <anchor moveWithCells="1">
                  <from>
                    <xdr:col>7</xdr:col>
                    <xdr:colOff>180975</xdr:colOff>
                    <xdr:row>85</xdr:row>
                    <xdr:rowOff>133350</xdr:rowOff>
                  </from>
                  <to>
                    <xdr:col>8</xdr:col>
                    <xdr:colOff>57150</xdr:colOff>
                    <xdr:row>87</xdr:row>
                    <xdr:rowOff>19050</xdr:rowOff>
                  </to>
                </anchor>
              </controlPr>
            </control>
          </mc:Choice>
        </mc:AlternateContent>
        <mc:AlternateContent xmlns:mc="http://schemas.openxmlformats.org/markup-compatibility/2006">
          <mc:Choice Requires="x14">
            <control shapeId="237639" r:id="rId55" name="Check Box 71">
              <controlPr defaultSize="0" autoFill="0" autoLine="0" autoPict="0">
                <anchor moveWithCells="1">
                  <from>
                    <xdr:col>7</xdr:col>
                    <xdr:colOff>180975</xdr:colOff>
                    <xdr:row>86</xdr:row>
                    <xdr:rowOff>133350</xdr:rowOff>
                  </from>
                  <to>
                    <xdr:col>8</xdr:col>
                    <xdr:colOff>57150</xdr:colOff>
                    <xdr:row>88</xdr:row>
                    <xdr:rowOff>19050</xdr:rowOff>
                  </to>
                </anchor>
              </controlPr>
            </control>
          </mc:Choice>
        </mc:AlternateContent>
        <mc:AlternateContent xmlns:mc="http://schemas.openxmlformats.org/markup-compatibility/2006">
          <mc:Choice Requires="x14">
            <control shapeId="237640" r:id="rId56" name="Check Box 72">
              <controlPr defaultSize="0" autoFill="0" autoLine="0" autoPict="0">
                <anchor moveWithCells="1">
                  <from>
                    <xdr:col>7</xdr:col>
                    <xdr:colOff>180975</xdr:colOff>
                    <xdr:row>87</xdr:row>
                    <xdr:rowOff>133350</xdr:rowOff>
                  </from>
                  <to>
                    <xdr:col>8</xdr:col>
                    <xdr:colOff>57150</xdr:colOff>
                    <xdr:row>89</xdr:row>
                    <xdr:rowOff>19050</xdr:rowOff>
                  </to>
                </anchor>
              </controlPr>
            </control>
          </mc:Choice>
        </mc:AlternateContent>
        <mc:AlternateContent xmlns:mc="http://schemas.openxmlformats.org/markup-compatibility/2006">
          <mc:Choice Requires="x14">
            <control shapeId="237641" r:id="rId57" name="Check Box 73">
              <controlPr defaultSize="0" autoFill="0" autoLine="0" autoPict="0">
                <anchor moveWithCells="1">
                  <from>
                    <xdr:col>7</xdr:col>
                    <xdr:colOff>180975</xdr:colOff>
                    <xdr:row>88</xdr:row>
                    <xdr:rowOff>133350</xdr:rowOff>
                  </from>
                  <to>
                    <xdr:col>8</xdr:col>
                    <xdr:colOff>57150</xdr:colOff>
                    <xdr:row>90</xdr:row>
                    <xdr:rowOff>19050</xdr:rowOff>
                  </to>
                </anchor>
              </controlPr>
            </control>
          </mc:Choice>
        </mc:AlternateContent>
        <mc:AlternateContent xmlns:mc="http://schemas.openxmlformats.org/markup-compatibility/2006">
          <mc:Choice Requires="x14">
            <control shapeId="237642" r:id="rId58" name="Check Box 74">
              <controlPr defaultSize="0" autoFill="0" autoLine="0" autoPict="0">
                <anchor moveWithCells="1">
                  <from>
                    <xdr:col>7</xdr:col>
                    <xdr:colOff>180975</xdr:colOff>
                    <xdr:row>89</xdr:row>
                    <xdr:rowOff>133350</xdr:rowOff>
                  </from>
                  <to>
                    <xdr:col>8</xdr:col>
                    <xdr:colOff>57150</xdr:colOff>
                    <xdr:row>91</xdr:row>
                    <xdr:rowOff>19050</xdr:rowOff>
                  </to>
                </anchor>
              </controlPr>
            </control>
          </mc:Choice>
        </mc:AlternateContent>
        <mc:AlternateContent xmlns:mc="http://schemas.openxmlformats.org/markup-compatibility/2006">
          <mc:Choice Requires="x14">
            <control shapeId="237643" r:id="rId59" name="Check Box 75">
              <controlPr defaultSize="0" autoFill="0" autoLine="0" autoPict="0">
                <anchor moveWithCells="1">
                  <from>
                    <xdr:col>7</xdr:col>
                    <xdr:colOff>180975</xdr:colOff>
                    <xdr:row>90</xdr:row>
                    <xdr:rowOff>133350</xdr:rowOff>
                  </from>
                  <to>
                    <xdr:col>8</xdr:col>
                    <xdr:colOff>57150</xdr:colOff>
                    <xdr:row>92</xdr:row>
                    <xdr:rowOff>19050</xdr:rowOff>
                  </to>
                </anchor>
              </controlPr>
            </control>
          </mc:Choice>
        </mc:AlternateContent>
        <mc:AlternateContent xmlns:mc="http://schemas.openxmlformats.org/markup-compatibility/2006">
          <mc:Choice Requires="x14">
            <control shapeId="237644" r:id="rId60" name="Check Box 76">
              <controlPr defaultSize="0" autoFill="0" autoLine="0" autoPict="0">
                <anchor moveWithCells="1">
                  <from>
                    <xdr:col>7</xdr:col>
                    <xdr:colOff>180975</xdr:colOff>
                    <xdr:row>91</xdr:row>
                    <xdr:rowOff>133350</xdr:rowOff>
                  </from>
                  <to>
                    <xdr:col>8</xdr:col>
                    <xdr:colOff>57150</xdr:colOff>
                    <xdr:row>93</xdr:row>
                    <xdr:rowOff>19050</xdr:rowOff>
                  </to>
                </anchor>
              </controlPr>
            </control>
          </mc:Choice>
        </mc:AlternateContent>
        <mc:AlternateContent xmlns:mc="http://schemas.openxmlformats.org/markup-compatibility/2006">
          <mc:Choice Requires="x14">
            <control shapeId="237645" r:id="rId61" name="Check Box 77">
              <controlPr defaultSize="0" autoFill="0" autoLine="0" autoPict="0">
                <anchor moveWithCells="1">
                  <from>
                    <xdr:col>7</xdr:col>
                    <xdr:colOff>180975</xdr:colOff>
                    <xdr:row>93</xdr:row>
                    <xdr:rowOff>133350</xdr:rowOff>
                  </from>
                  <to>
                    <xdr:col>8</xdr:col>
                    <xdr:colOff>57150</xdr:colOff>
                    <xdr:row>95</xdr:row>
                    <xdr:rowOff>19050</xdr:rowOff>
                  </to>
                </anchor>
              </controlPr>
            </control>
          </mc:Choice>
        </mc:AlternateContent>
        <mc:AlternateContent xmlns:mc="http://schemas.openxmlformats.org/markup-compatibility/2006">
          <mc:Choice Requires="x14">
            <control shapeId="237648" r:id="rId62" name="Check Box 80">
              <controlPr defaultSize="0" autoFill="0" autoLine="0" autoPict="0">
                <anchor moveWithCells="1">
                  <from>
                    <xdr:col>7</xdr:col>
                    <xdr:colOff>200025</xdr:colOff>
                    <xdr:row>40</xdr:row>
                    <xdr:rowOff>133350</xdr:rowOff>
                  </from>
                  <to>
                    <xdr:col>8</xdr:col>
                    <xdr:colOff>57150</xdr:colOff>
                    <xdr:row>42</xdr:row>
                    <xdr:rowOff>19050</xdr:rowOff>
                  </to>
                </anchor>
              </controlPr>
            </control>
          </mc:Choice>
        </mc:AlternateContent>
        <mc:AlternateContent xmlns:mc="http://schemas.openxmlformats.org/markup-compatibility/2006">
          <mc:Choice Requires="x14">
            <control shapeId="237649" r:id="rId63" name="Check Box 81">
              <controlPr defaultSize="0" autoFill="0" autoLine="0" autoPict="0">
                <anchor moveWithCells="1">
                  <from>
                    <xdr:col>7</xdr:col>
                    <xdr:colOff>180975</xdr:colOff>
                    <xdr:row>50</xdr:row>
                    <xdr:rowOff>133350</xdr:rowOff>
                  </from>
                  <to>
                    <xdr:col>8</xdr:col>
                    <xdr:colOff>47625</xdr:colOff>
                    <xdr:row>52</xdr:row>
                    <xdr:rowOff>19050</xdr:rowOff>
                  </to>
                </anchor>
              </controlPr>
            </control>
          </mc:Choice>
        </mc:AlternateContent>
        <mc:AlternateContent xmlns:mc="http://schemas.openxmlformats.org/markup-compatibility/2006">
          <mc:Choice Requires="x14">
            <control shapeId="237650" r:id="rId64" name="Check Box 82">
              <controlPr defaultSize="0" autoFill="0" autoLine="0" autoPict="0">
                <anchor moveWithCells="1">
                  <from>
                    <xdr:col>7</xdr:col>
                    <xdr:colOff>180975</xdr:colOff>
                    <xdr:row>52</xdr:row>
                    <xdr:rowOff>133350</xdr:rowOff>
                  </from>
                  <to>
                    <xdr:col>8</xdr:col>
                    <xdr:colOff>47625</xdr:colOff>
                    <xdr:row>54</xdr:row>
                    <xdr:rowOff>19050</xdr:rowOff>
                  </to>
                </anchor>
              </controlPr>
            </control>
          </mc:Choice>
        </mc:AlternateContent>
        <mc:AlternateContent xmlns:mc="http://schemas.openxmlformats.org/markup-compatibility/2006">
          <mc:Choice Requires="x14">
            <control shapeId="237654" r:id="rId65" name="Check Box 86">
              <controlPr defaultSize="0" autoFill="0" autoLine="0" autoPict="0">
                <anchor moveWithCells="1">
                  <from>
                    <xdr:col>6</xdr:col>
                    <xdr:colOff>180975</xdr:colOff>
                    <xdr:row>100</xdr:row>
                    <xdr:rowOff>0</xdr:rowOff>
                  </from>
                  <to>
                    <xdr:col>7</xdr:col>
                    <xdr:colOff>285750</xdr:colOff>
                    <xdr:row>101</xdr:row>
                    <xdr:rowOff>19050</xdr:rowOff>
                  </to>
                </anchor>
              </controlPr>
            </control>
          </mc:Choice>
        </mc:AlternateContent>
        <mc:AlternateContent xmlns:mc="http://schemas.openxmlformats.org/markup-compatibility/2006">
          <mc:Choice Requires="x14">
            <control shapeId="237655" r:id="rId66" name="Check Box 87">
              <controlPr defaultSize="0" autoFill="0" autoLine="0" autoPict="0">
                <anchor moveWithCells="1">
                  <from>
                    <xdr:col>6</xdr:col>
                    <xdr:colOff>180975</xdr:colOff>
                    <xdr:row>100</xdr:row>
                    <xdr:rowOff>171450</xdr:rowOff>
                  </from>
                  <to>
                    <xdr:col>7</xdr:col>
                    <xdr:colOff>285750</xdr:colOff>
                    <xdr:row>102</xdr:row>
                    <xdr:rowOff>9525</xdr:rowOff>
                  </to>
                </anchor>
              </controlPr>
            </control>
          </mc:Choice>
        </mc:AlternateContent>
        <mc:AlternateContent xmlns:mc="http://schemas.openxmlformats.org/markup-compatibility/2006">
          <mc:Choice Requires="x14">
            <control shapeId="237656" r:id="rId67" name="Check Box 88">
              <controlPr defaultSize="0" autoFill="0" autoLine="0" autoPict="0">
                <anchor moveWithCells="1">
                  <from>
                    <xdr:col>6</xdr:col>
                    <xdr:colOff>180975</xdr:colOff>
                    <xdr:row>101</xdr:row>
                    <xdr:rowOff>171450</xdr:rowOff>
                  </from>
                  <to>
                    <xdr:col>7</xdr:col>
                    <xdr:colOff>285750</xdr:colOff>
                    <xdr:row>103</xdr:row>
                    <xdr:rowOff>9525</xdr:rowOff>
                  </to>
                </anchor>
              </controlPr>
            </control>
          </mc:Choice>
        </mc:AlternateContent>
        <mc:AlternateContent xmlns:mc="http://schemas.openxmlformats.org/markup-compatibility/2006">
          <mc:Choice Requires="x14">
            <control shapeId="237657" r:id="rId68" name="Check Box 89">
              <controlPr defaultSize="0" autoFill="0" autoLine="0" autoPict="0">
                <anchor moveWithCells="1">
                  <from>
                    <xdr:col>6</xdr:col>
                    <xdr:colOff>180975</xdr:colOff>
                    <xdr:row>102</xdr:row>
                    <xdr:rowOff>171450</xdr:rowOff>
                  </from>
                  <to>
                    <xdr:col>7</xdr:col>
                    <xdr:colOff>285750</xdr:colOff>
                    <xdr:row>104</xdr:row>
                    <xdr:rowOff>9525</xdr:rowOff>
                  </to>
                </anchor>
              </controlPr>
            </control>
          </mc:Choice>
        </mc:AlternateContent>
        <mc:AlternateContent xmlns:mc="http://schemas.openxmlformats.org/markup-compatibility/2006">
          <mc:Choice Requires="x14">
            <control shapeId="237658" r:id="rId69" name="Check Box 90">
              <controlPr defaultSize="0" autoFill="0" autoLine="0" autoPict="0">
                <anchor moveWithCells="1">
                  <from>
                    <xdr:col>6</xdr:col>
                    <xdr:colOff>180975</xdr:colOff>
                    <xdr:row>103</xdr:row>
                    <xdr:rowOff>171450</xdr:rowOff>
                  </from>
                  <to>
                    <xdr:col>7</xdr:col>
                    <xdr:colOff>285750</xdr:colOff>
                    <xdr:row>105</xdr:row>
                    <xdr:rowOff>9525</xdr:rowOff>
                  </to>
                </anchor>
              </controlPr>
            </control>
          </mc:Choice>
        </mc:AlternateContent>
        <mc:AlternateContent xmlns:mc="http://schemas.openxmlformats.org/markup-compatibility/2006">
          <mc:Choice Requires="x14">
            <control shapeId="237659" r:id="rId70" name="Check Box 91">
              <controlPr defaultSize="0" autoFill="0" autoLine="0" autoPict="0">
                <anchor moveWithCells="1">
                  <from>
                    <xdr:col>6</xdr:col>
                    <xdr:colOff>180975</xdr:colOff>
                    <xdr:row>104</xdr:row>
                    <xdr:rowOff>171450</xdr:rowOff>
                  </from>
                  <to>
                    <xdr:col>7</xdr:col>
                    <xdr:colOff>285750</xdr:colOff>
                    <xdr:row>106</xdr:row>
                    <xdr:rowOff>9525</xdr:rowOff>
                  </to>
                </anchor>
              </controlPr>
            </control>
          </mc:Choice>
        </mc:AlternateContent>
        <mc:AlternateContent xmlns:mc="http://schemas.openxmlformats.org/markup-compatibility/2006">
          <mc:Choice Requires="x14">
            <control shapeId="237660" r:id="rId71" name="Check Box 92">
              <controlPr defaultSize="0" autoFill="0" autoLine="0" autoPict="0">
                <anchor moveWithCells="1">
                  <from>
                    <xdr:col>6</xdr:col>
                    <xdr:colOff>180975</xdr:colOff>
                    <xdr:row>105</xdr:row>
                    <xdr:rowOff>171450</xdr:rowOff>
                  </from>
                  <to>
                    <xdr:col>7</xdr:col>
                    <xdr:colOff>285750</xdr:colOff>
                    <xdr:row>107</xdr:row>
                    <xdr:rowOff>9525</xdr:rowOff>
                  </to>
                </anchor>
              </controlPr>
            </control>
          </mc:Choice>
        </mc:AlternateContent>
        <mc:AlternateContent xmlns:mc="http://schemas.openxmlformats.org/markup-compatibility/2006">
          <mc:Choice Requires="x14">
            <control shapeId="237661" r:id="rId72" name="Check Box 93">
              <controlPr defaultSize="0" autoFill="0" autoLine="0" autoPict="0">
                <anchor moveWithCells="1">
                  <from>
                    <xdr:col>6</xdr:col>
                    <xdr:colOff>180975</xdr:colOff>
                    <xdr:row>106</xdr:row>
                    <xdr:rowOff>171450</xdr:rowOff>
                  </from>
                  <to>
                    <xdr:col>7</xdr:col>
                    <xdr:colOff>285750</xdr:colOff>
                    <xdr:row>108</xdr:row>
                    <xdr:rowOff>9525</xdr:rowOff>
                  </to>
                </anchor>
              </controlPr>
            </control>
          </mc:Choice>
        </mc:AlternateContent>
        <mc:AlternateContent xmlns:mc="http://schemas.openxmlformats.org/markup-compatibility/2006">
          <mc:Choice Requires="x14">
            <control shapeId="237662" r:id="rId73" name="Check Box 94">
              <controlPr defaultSize="0" autoFill="0" autoLine="0" autoPict="0">
                <anchor moveWithCells="1">
                  <from>
                    <xdr:col>6</xdr:col>
                    <xdr:colOff>180975</xdr:colOff>
                    <xdr:row>107</xdr:row>
                    <xdr:rowOff>171450</xdr:rowOff>
                  </from>
                  <to>
                    <xdr:col>7</xdr:col>
                    <xdr:colOff>285750</xdr:colOff>
                    <xdr:row>109</xdr:row>
                    <xdr:rowOff>9525</xdr:rowOff>
                  </to>
                </anchor>
              </controlPr>
            </control>
          </mc:Choice>
        </mc:AlternateContent>
        <mc:AlternateContent xmlns:mc="http://schemas.openxmlformats.org/markup-compatibility/2006">
          <mc:Choice Requires="x14">
            <control shapeId="237663" r:id="rId74" name="Check Box 95">
              <controlPr defaultSize="0" autoFill="0" autoLine="0" autoPict="0">
                <anchor moveWithCells="1">
                  <from>
                    <xdr:col>6</xdr:col>
                    <xdr:colOff>180975</xdr:colOff>
                    <xdr:row>108</xdr:row>
                    <xdr:rowOff>171450</xdr:rowOff>
                  </from>
                  <to>
                    <xdr:col>7</xdr:col>
                    <xdr:colOff>285750</xdr:colOff>
                    <xdr:row>110</xdr:row>
                    <xdr:rowOff>9525</xdr:rowOff>
                  </to>
                </anchor>
              </controlPr>
            </control>
          </mc:Choice>
        </mc:AlternateContent>
        <mc:AlternateContent xmlns:mc="http://schemas.openxmlformats.org/markup-compatibility/2006">
          <mc:Choice Requires="x14">
            <control shapeId="237664" r:id="rId75" name="Check Box 96">
              <controlPr defaultSize="0" autoFill="0" autoLine="0" autoPict="0">
                <anchor moveWithCells="1">
                  <from>
                    <xdr:col>6</xdr:col>
                    <xdr:colOff>180975</xdr:colOff>
                    <xdr:row>109</xdr:row>
                    <xdr:rowOff>171450</xdr:rowOff>
                  </from>
                  <to>
                    <xdr:col>7</xdr:col>
                    <xdr:colOff>285750</xdr:colOff>
                    <xdr:row>111</xdr:row>
                    <xdr:rowOff>9525</xdr:rowOff>
                  </to>
                </anchor>
              </controlPr>
            </control>
          </mc:Choice>
        </mc:AlternateContent>
        <mc:AlternateContent xmlns:mc="http://schemas.openxmlformats.org/markup-compatibility/2006">
          <mc:Choice Requires="x14">
            <control shapeId="237665" r:id="rId76" name="Check Box 97">
              <controlPr defaultSize="0" autoFill="0" autoLine="0" autoPict="0">
                <anchor moveWithCells="1">
                  <from>
                    <xdr:col>6</xdr:col>
                    <xdr:colOff>180975</xdr:colOff>
                    <xdr:row>110</xdr:row>
                    <xdr:rowOff>171450</xdr:rowOff>
                  </from>
                  <to>
                    <xdr:col>7</xdr:col>
                    <xdr:colOff>285750</xdr:colOff>
                    <xdr:row>112</xdr:row>
                    <xdr:rowOff>9525</xdr:rowOff>
                  </to>
                </anchor>
              </controlPr>
            </control>
          </mc:Choice>
        </mc:AlternateContent>
        <mc:AlternateContent xmlns:mc="http://schemas.openxmlformats.org/markup-compatibility/2006">
          <mc:Choice Requires="x14">
            <control shapeId="237666" r:id="rId77" name="Check Box 98">
              <controlPr defaultSize="0" autoFill="0" autoLine="0" autoPict="0">
                <anchor moveWithCells="1">
                  <from>
                    <xdr:col>6</xdr:col>
                    <xdr:colOff>180975</xdr:colOff>
                    <xdr:row>111</xdr:row>
                    <xdr:rowOff>171450</xdr:rowOff>
                  </from>
                  <to>
                    <xdr:col>7</xdr:col>
                    <xdr:colOff>285750</xdr:colOff>
                    <xdr:row>113</xdr:row>
                    <xdr:rowOff>9525</xdr:rowOff>
                  </to>
                </anchor>
              </controlPr>
            </control>
          </mc:Choice>
        </mc:AlternateContent>
        <mc:AlternateContent xmlns:mc="http://schemas.openxmlformats.org/markup-compatibility/2006">
          <mc:Choice Requires="x14">
            <control shapeId="237667" r:id="rId78" name="Check Box 99">
              <controlPr defaultSize="0" autoFill="0" autoLine="0" autoPict="0">
                <anchor moveWithCells="1">
                  <from>
                    <xdr:col>6</xdr:col>
                    <xdr:colOff>180975</xdr:colOff>
                    <xdr:row>112</xdr:row>
                    <xdr:rowOff>171450</xdr:rowOff>
                  </from>
                  <to>
                    <xdr:col>7</xdr:col>
                    <xdr:colOff>285750</xdr:colOff>
                    <xdr:row>114</xdr:row>
                    <xdr:rowOff>9525</xdr:rowOff>
                  </to>
                </anchor>
              </controlPr>
            </control>
          </mc:Choice>
        </mc:AlternateContent>
        <mc:AlternateContent xmlns:mc="http://schemas.openxmlformats.org/markup-compatibility/2006">
          <mc:Choice Requires="x14">
            <control shapeId="237668" r:id="rId79" name="Check Box 100">
              <controlPr defaultSize="0" autoFill="0" autoLine="0" autoPict="0">
                <anchor moveWithCells="1">
                  <from>
                    <xdr:col>6</xdr:col>
                    <xdr:colOff>180975</xdr:colOff>
                    <xdr:row>113</xdr:row>
                    <xdr:rowOff>171450</xdr:rowOff>
                  </from>
                  <to>
                    <xdr:col>7</xdr:col>
                    <xdr:colOff>285750</xdr:colOff>
                    <xdr:row>115</xdr:row>
                    <xdr:rowOff>9525</xdr:rowOff>
                  </to>
                </anchor>
              </controlPr>
            </control>
          </mc:Choice>
        </mc:AlternateContent>
        <mc:AlternateContent xmlns:mc="http://schemas.openxmlformats.org/markup-compatibility/2006">
          <mc:Choice Requires="x14">
            <control shapeId="237669" r:id="rId80" name="Check Box 101">
              <controlPr defaultSize="0" autoFill="0" autoLine="0" autoPict="0">
                <anchor moveWithCells="1">
                  <from>
                    <xdr:col>6</xdr:col>
                    <xdr:colOff>180975</xdr:colOff>
                    <xdr:row>114</xdr:row>
                    <xdr:rowOff>171450</xdr:rowOff>
                  </from>
                  <to>
                    <xdr:col>7</xdr:col>
                    <xdr:colOff>285750</xdr:colOff>
                    <xdr:row>116</xdr:row>
                    <xdr:rowOff>9525</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2">
    <pageSetUpPr fitToPage="1"/>
  </sheetPr>
  <dimension ref="A1:XFC76"/>
  <sheetViews>
    <sheetView zoomScale="70" zoomScaleNormal="70" zoomScaleSheetLayoutView="100" workbookViewId="0">
      <selection activeCell="I71" sqref="I71"/>
    </sheetView>
  </sheetViews>
  <sheetFormatPr defaultColWidth="0" defaultRowHeight="12.75" x14ac:dyDescent="0.2"/>
  <cols>
    <col min="1" max="1" width="11.42578125" style="50" bestFit="1" customWidth="1"/>
    <col min="2" max="6" width="15.5703125" style="50" customWidth="1"/>
    <col min="7" max="7" width="15.5703125" style="50" bestFit="1" customWidth="1"/>
    <col min="8" max="9" width="15.5703125" style="50" customWidth="1"/>
    <col min="10" max="10" width="16.140625" style="50" customWidth="1"/>
    <col min="11" max="13" width="10.7109375" style="50" customWidth="1"/>
    <col min="14" max="16383" width="7.85546875" style="50" hidden="1"/>
    <col min="16384" max="16384" width="1.85546875" style="50" customWidth="1"/>
  </cols>
  <sheetData>
    <row r="1" spans="2:13" x14ac:dyDescent="0.2">
      <c r="B1" s="111"/>
      <c r="C1" s="118"/>
      <c r="D1" s="118"/>
      <c r="E1" s="118"/>
      <c r="F1" s="118"/>
      <c r="G1" s="118"/>
      <c r="H1" s="118"/>
      <c r="I1" s="118"/>
      <c r="J1" s="118"/>
      <c r="K1" s="118"/>
      <c r="L1" s="118"/>
      <c r="M1" s="118"/>
    </row>
    <row r="2" spans="2:13" x14ac:dyDescent="0.2">
      <c r="B2" s="112"/>
      <c r="C2" s="112"/>
      <c r="D2" s="118"/>
      <c r="E2" s="118"/>
      <c r="F2" s="118"/>
      <c r="G2" s="118"/>
      <c r="H2" s="118"/>
      <c r="I2" s="118"/>
      <c r="J2" s="118"/>
      <c r="K2" s="118"/>
      <c r="L2" s="118"/>
      <c r="M2" s="118"/>
    </row>
    <row r="3" spans="2:13" x14ac:dyDescent="0.2">
      <c r="B3" s="113" t="s">
        <v>830</v>
      </c>
      <c r="C3" s="113" t="s">
        <v>831</v>
      </c>
      <c r="D3" s="230"/>
      <c r="E3" s="230"/>
      <c r="F3" s="118"/>
      <c r="G3" s="118"/>
      <c r="H3" s="118"/>
      <c r="I3" s="118"/>
      <c r="J3" s="118"/>
      <c r="K3" s="118"/>
      <c r="L3" s="118"/>
      <c r="M3" s="118"/>
    </row>
    <row r="4" spans="2:13" x14ac:dyDescent="0.2">
      <c r="B4" s="114"/>
      <c r="C4" s="114"/>
      <c r="D4" s="114"/>
      <c r="E4" s="114"/>
      <c r="F4" s="118"/>
      <c r="G4" s="564" t="s">
        <v>832</v>
      </c>
      <c r="H4" s="564"/>
      <c r="I4" s="564"/>
      <c r="J4" s="564"/>
      <c r="K4" s="564"/>
      <c r="L4" s="564"/>
      <c r="M4" s="118"/>
    </row>
    <row r="5" spans="2:13" x14ac:dyDescent="0.2">
      <c r="B5" s="391">
        <f>VLOOKUP("pump_flow_emptying_ml_min",AUTO!$A$1:$B$1051,2,FALSE)</f>
        <v>150</v>
      </c>
      <c r="C5" s="392" t="s">
        <v>833</v>
      </c>
      <c r="D5" s="393" t="s">
        <v>834</v>
      </c>
      <c r="E5" s="392"/>
      <c r="F5" s="118"/>
      <c r="G5" s="564"/>
      <c r="H5" s="564"/>
      <c r="I5" s="564"/>
      <c r="J5" s="564"/>
      <c r="K5" s="564"/>
      <c r="L5" s="564"/>
      <c r="M5" s="118"/>
    </row>
    <row r="6" spans="2:13" x14ac:dyDescent="0.2">
      <c r="B6" s="391">
        <f>VLOOKUP("pump_target_flow_ml_min",AUTO!$A$1:$B$1051,2,FALSE)</f>
        <v>30</v>
      </c>
      <c r="C6" s="392" t="s">
        <v>833</v>
      </c>
      <c r="D6" s="393" t="s">
        <v>835</v>
      </c>
      <c r="E6" s="392"/>
      <c r="F6" s="118"/>
      <c r="G6" s="564"/>
      <c r="H6" s="564"/>
      <c r="I6" s="564"/>
      <c r="J6" s="564"/>
      <c r="K6" s="564"/>
      <c r="L6" s="564"/>
      <c r="M6" s="118"/>
    </row>
    <row r="7" spans="2:13" x14ac:dyDescent="0.2">
      <c r="B7" s="391">
        <f>VLOOKUP("pump_current_sampling",AUTO!$A$1:$B$1051,2,FALSE)</f>
        <v>30</v>
      </c>
      <c r="C7" s="394" t="s">
        <v>836</v>
      </c>
      <c r="D7" s="395" t="s">
        <v>837</v>
      </c>
      <c r="E7" s="394"/>
      <c r="F7" s="118"/>
      <c r="G7" s="118"/>
      <c r="H7" s="118"/>
      <c r="I7" s="118"/>
      <c r="J7" s="118"/>
      <c r="K7" s="118"/>
      <c r="L7" s="118"/>
      <c r="M7" s="118"/>
    </row>
    <row r="8" spans="2:13" x14ac:dyDescent="0.2">
      <c r="B8" s="391">
        <f>VLOOKUP("pump_current_emptying",AUTO!$A$1:$B$1051,2,FALSE)</f>
        <v>319</v>
      </c>
      <c r="C8" s="394" t="s">
        <v>836</v>
      </c>
      <c r="D8" s="395" t="s">
        <v>838</v>
      </c>
      <c r="E8" s="394"/>
      <c r="F8" s="118"/>
      <c r="G8" s="396"/>
      <c r="H8" s="231" t="s">
        <v>839</v>
      </c>
      <c r="I8" s="118"/>
      <c r="J8" s="118"/>
      <c r="K8" s="118"/>
      <c r="L8" s="115" t="s">
        <v>840</v>
      </c>
      <c r="M8" s="118"/>
    </row>
    <row r="9" spans="2:13" x14ac:dyDescent="0.2">
      <c r="B9" s="232"/>
      <c r="C9" s="233"/>
      <c r="D9" s="234"/>
      <c r="E9" s="233"/>
      <c r="F9" s="118"/>
      <c r="G9" s="118"/>
      <c r="H9" s="118"/>
      <c r="I9" s="118"/>
      <c r="J9" s="118"/>
      <c r="K9" s="118"/>
      <c r="L9" s="115" t="s">
        <v>841</v>
      </c>
      <c r="M9" s="118"/>
    </row>
    <row r="10" spans="2:13" x14ac:dyDescent="0.2">
      <c r="B10" s="189" t="s">
        <v>842</v>
      </c>
      <c r="C10" s="113" t="s">
        <v>831</v>
      </c>
      <c r="D10" s="235"/>
      <c r="E10" s="236"/>
      <c r="F10" s="118"/>
      <c r="G10" s="397"/>
      <c r="H10" s="237" t="s">
        <v>843</v>
      </c>
      <c r="I10" s="118"/>
      <c r="J10" s="118"/>
      <c r="K10" s="118"/>
      <c r="L10" s="115" t="s">
        <v>19</v>
      </c>
      <c r="M10" s="118"/>
    </row>
    <row r="11" spans="2:13" x14ac:dyDescent="0.2">
      <c r="B11" s="391">
        <f>VLOOKUP("no_noise_threshold",AUTO!$A$1:$B$1051,2,FALSE)</f>
        <v>31</v>
      </c>
      <c r="C11" s="398" t="s">
        <v>321</v>
      </c>
      <c r="D11" s="399" t="s">
        <v>844</v>
      </c>
      <c r="E11" s="400"/>
      <c r="F11" s="118"/>
      <c r="G11" s="118"/>
      <c r="H11" s="118"/>
      <c r="I11" s="118"/>
      <c r="J11" s="118"/>
      <c r="K11" s="118"/>
      <c r="L11" s="115" t="s">
        <v>845</v>
      </c>
      <c r="M11" s="118"/>
    </row>
    <row r="12" spans="2:13" x14ac:dyDescent="0.2">
      <c r="B12" s="391">
        <f>VLOOKUP("sample_volume_ml",AUTO!$A$1:$B$1051,2,FALSE)</f>
        <v>50</v>
      </c>
      <c r="C12" s="392" t="s">
        <v>846</v>
      </c>
      <c r="D12" s="393" t="s">
        <v>847</v>
      </c>
      <c r="E12" s="392"/>
      <c r="F12" s="118"/>
      <c r="G12" s="401"/>
      <c r="H12" s="237" t="s">
        <v>16</v>
      </c>
      <c r="I12" s="118"/>
      <c r="J12" s="118"/>
      <c r="K12" s="118"/>
      <c r="L12" s="118"/>
      <c r="M12" s="118"/>
    </row>
    <row r="13" spans="2:13" x14ac:dyDescent="0.2">
      <c r="B13" s="391"/>
      <c r="C13" s="402"/>
      <c r="D13" s="393"/>
      <c r="E13" s="392"/>
      <c r="F13" s="118"/>
      <c r="G13" s="118"/>
      <c r="H13" s="118"/>
      <c r="I13" s="118"/>
      <c r="J13" s="118"/>
      <c r="K13" s="118"/>
      <c r="L13" s="118"/>
      <c r="M13" s="118"/>
    </row>
    <row r="14" spans="2:13" x14ac:dyDescent="0.2">
      <c r="B14" s="391">
        <f>VLOOKUP("led_level",AUTO!$A$1:$B$1051,2,FALSE)</f>
        <v>13933</v>
      </c>
      <c r="C14" s="392" t="s">
        <v>848</v>
      </c>
      <c r="D14" s="393" t="s">
        <v>849</v>
      </c>
      <c r="E14" s="392"/>
      <c r="F14" s="118"/>
      <c r="G14" s="403" t="s">
        <v>850</v>
      </c>
      <c r="H14" s="577" t="s">
        <v>851</v>
      </c>
      <c r="I14" s="578"/>
      <c r="J14" s="578"/>
      <c r="K14" s="233"/>
      <c r="L14" s="233"/>
      <c r="M14" s="238"/>
    </row>
    <row r="15" spans="2:13" ht="12.75" customHeight="1" x14ac:dyDescent="0.2">
      <c r="B15" s="239"/>
      <c r="C15" s="233"/>
      <c r="D15" s="234"/>
      <c r="E15" s="233"/>
      <c r="F15" s="118"/>
      <c r="G15" s="403" t="s">
        <v>543</v>
      </c>
      <c r="H15" s="568">
        <f>VLOOKUP("serial_number_",AUTO!$A$1:$B$1051,2,FALSE)</f>
        <v>-1</v>
      </c>
      <c r="I15" s="569"/>
      <c r="J15" s="570"/>
      <c r="K15" s="118"/>
      <c r="L15" s="118"/>
      <c r="M15" s="118"/>
    </row>
    <row r="16" spans="2:13" x14ac:dyDescent="0.2">
      <c r="B16" s="117"/>
      <c r="C16" s="113"/>
      <c r="D16" s="235"/>
      <c r="E16" s="236"/>
      <c r="F16" s="118"/>
      <c r="G16" s="403" t="s">
        <v>538</v>
      </c>
      <c r="H16" s="565">
        <f>VLOOKUP("date_",AUTO!$A$1:$B$1051,2,FALSE)</f>
        <v>46190.6</v>
      </c>
      <c r="I16" s="566"/>
      <c r="J16" s="567"/>
      <c r="K16" s="118"/>
      <c r="L16" s="118"/>
      <c r="M16" s="118"/>
    </row>
    <row r="17" spans="2:10" x14ac:dyDescent="0.2">
      <c r="B17" s="391"/>
      <c r="C17" s="398"/>
      <c r="D17" s="399"/>
      <c r="E17" s="400"/>
      <c r="F17" s="118"/>
      <c r="G17" s="403" t="s">
        <v>852</v>
      </c>
      <c r="H17" s="568" t="str">
        <f>H15&amp;" "&amp;TEXT(H16,"ddmmyy")</f>
        <v>-1 170626</v>
      </c>
      <c r="I17" s="569"/>
      <c r="J17" s="570"/>
    </row>
    <row r="18" spans="2:10" x14ac:dyDescent="0.2">
      <c r="B18" s="391"/>
      <c r="C18" s="392"/>
      <c r="D18" s="393"/>
      <c r="E18" s="392"/>
      <c r="F18" s="118"/>
      <c r="G18" s="403" t="s">
        <v>853</v>
      </c>
      <c r="H18" s="574" t="s">
        <v>854</v>
      </c>
      <c r="I18" s="575"/>
      <c r="J18" s="576"/>
    </row>
    <row r="19" spans="2:10" x14ac:dyDescent="0.2">
      <c r="B19" s="391"/>
      <c r="C19" s="402"/>
      <c r="D19" s="393"/>
      <c r="E19" s="392"/>
      <c r="F19" s="118"/>
      <c r="G19" s="403" t="s">
        <v>855</v>
      </c>
      <c r="H19" s="571" t="str">
        <f>VLOOKUP("rig_param_identifier",AUTO!$A$1:$B$1051,2,FALSE)</f>
        <v>NOT SET</v>
      </c>
      <c r="I19" s="572"/>
      <c r="J19" s="573"/>
    </row>
    <row r="20" spans="2:10" x14ac:dyDescent="0.2">
      <c r="B20" s="391"/>
      <c r="C20" s="392"/>
      <c r="D20" s="393"/>
      <c r="E20" s="392"/>
      <c r="F20" s="118"/>
      <c r="G20" s="118"/>
      <c r="H20" s="118"/>
      <c r="I20" s="118"/>
      <c r="J20" s="118"/>
    </row>
    <row r="21" spans="2:10" ht="12.75" customHeight="1" x14ac:dyDescent="0.2">
      <c r="B21" s="239"/>
      <c r="C21" s="233"/>
      <c r="D21" s="234"/>
      <c r="E21" s="233"/>
      <c r="F21" s="118"/>
      <c r="G21" s="560" t="s">
        <v>856</v>
      </c>
      <c r="H21" s="561">
        <f>VLOOKUP("rig_cleanliness_count",AUTO!$A$1:$B$1051,2,FALSE)</f>
        <v>0</v>
      </c>
      <c r="I21" s="118"/>
      <c r="J21" s="118"/>
    </row>
    <row r="22" spans="2:10" x14ac:dyDescent="0.2">
      <c r="B22" s="116" t="s">
        <v>857</v>
      </c>
      <c r="C22" s="113" t="s">
        <v>831</v>
      </c>
      <c r="D22" s="235"/>
      <c r="E22" s="236"/>
      <c r="F22" s="118"/>
      <c r="G22" s="560"/>
      <c r="H22" s="562"/>
      <c r="I22" s="118"/>
      <c r="J22" s="118"/>
    </row>
    <row r="23" spans="2:10" x14ac:dyDescent="0.2">
      <c r="B23" s="391">
        <f>VLOOKUP("meas_init_level",AUTO!A13:B1063,2,FALSE)</f>
        <v>0</v>
      </c>
      <c r="C23" s="400" t="s">
        <v>858</v>
      </c>
      <c r="D23" s="399" t="s">
        <v>859</v>
      </c>
      <c r="E23" s="400"/>
      <c r="F23" s="118"/>
      <c r="G23" s="560"/>
      <c r="H23" s="562"/>
      <c r="I23" s="118"/>
      <c r="J23" s="118"/>
    </row>
    <row r="24" spans="2:10" x14ac:dyDescent="0.2">
      <c r="B24" s="391">
        <f>VLOOKUP("calc_init_volume",AUTO!$A$1:$B$1051,2,FALSE)</f>
        <v>0</v>
      </c>
      <c r="C24" s="392" t="s">
        <v>860</v>
      </c>
      <c r="D24" s="393" t="s">
        <v>861</v>
      </c>
      <c r="E24" s="392"/>
      <c r="F24" s="118"/>
      <c r="G24" s="560"/>
      <c r="H24" s="563"/>
      <c r="I24" s="118"/>
      <c r="J24" s="118"/>
    </row>
    <row r="25" spans="2:10" x14ac:dyDescent="0.2">
      <c r="B25" s="391">
        <f>VLOOKUP("desired_concentration",AUTO!$A$1:$B$1051,2,FALSE)</f>
        <v>16</v>
      </c>
      <c r="C25" s="392" t="s">
        <v>862</v>
      </c>
      <c r="D25" s="393" t="s">
        <v>863</v>
      </c>
      <c r="E25" s="392"/>
      <c r="F25" s="118"/>
      <c r="G25" s="118"/>
      <c r="H25" s="118"/>
      <c r="I25" s="118"/>
      <c r="J25" s="118"/>
    </row>
    <row r="26" spans="2:10" x14ac:dyDescent="0.2">
      <c r="B26" s="391">
        <f>VLOOKUP("calc_qty_add",AUTO!$A$1:$B$1051,2,FALSE)</f>
        <v>0</v>
      </c>
      <c r="C26" s="392" t="s">
        <v>864</v>
      </c>
      <c r="D26" s="393" t="s">
        <v>865</v>
      </c>
      <c r="E26" s="392"/>
      <c r="F26" s="118"/>
      <c r="G26" s="404" t="s">
        <v>866</v>
      </c>
      <c r="H26" s="558" t="s">
        <v>352</v>
      </c>
      <c r="I26" s="559"/>
      <c r="J26" s="118"/>
    </row>
    <row r="27" spans="2:10" x14ac:dyDescent="0.2">
      <c r="B27" s="391">
        <f>VLOOKUP("meas_qty_add",AUTO!$A$1:$B$1051,2,FALSE)</f>
        <v>0</v>
      </c>
      <c r="C27" s="392" t="s">
        <v>864</v>
      </c>
      <c r="D27" s="393" t="s">
        <v>867</v>
      </c>
      <c r="E27" s="392"/>
      <c r="F27" s="118"/>
      <c r="G27" s="404" t="s">
        <v>868</v>
      </c>
      <c r="H27" s="556"/>
      <c r="I27" s="557"/>
      <c r="J27" s="118"/>
    </row>
    <row r="28" spans="2:10" x14ac:dyDescent="0.2">
      <c r="B28" s="391">
        <f>VLOOKUP("meas_final_level",AUTO!$A$1:$B$1051,2,FALSE)</f>
        <v>0</v>
      </c>
      <c r="C28" s="392" t="s">
        <v>858</v>
      </c>
      <c r="D28" s="393" t="s">
        <v>869</v>
      </c>
      <c r="E28" s="392"/>
      <c r="F28" s="118"/>
      <c r="G28" s="118"/>
      <c r="H28" s="118"/>
      <c r="I28" s="118"/>
      <c r="J28" s="118"/>
    </row>
    <row r="29" spans="2:10" x14ac:dyDescent="0.2">
      <c r="B29" s="391">
        <f>VLOOKUP("calc_volume",AUTO!$A$1:$B$1051,2,FALSE)</f>
        <v>0</v>
      </c>
      <c r="C29" s="392" t="s">
        <v>860</v>
      </c>
      <c r="D29" s="393" t="s">
        <v>870</v>
      </c>
      <c r="E29" s="392"/>
      <c r="F29" s="118"/>
      <c r="G29" s="118"/>
      <c r="H29" s="118"/>
      <c r="I29" s="118"/>
      <c r="J29" s="118"/>
    </row>
    <row r="30" spans="2:10" x14ac:dyDescent="0.2">
      <c r="B30" s="405">
        <f>VLOOKUP("calc_concentration",AUTO!$A$1:$B$1051,2,FALSE)</f>
        <v>16</v>
      </c>
      <c r="C30" s="392" t="s">
        <v>862</v>
      </c>
      <c r="D30" s="393" t="s">
        <v>871</v>
      </c>
      <c r="E30" s="392"/>
      <c r="F30" s="118"/>
      <c r="G30" s="118"/>
      <c r="H30" s="118"/>
      <c r="I30" s="118"/>
      <c r="J30" s="118"/>
    </row>
    <row r="31" spans="2:10" hidden="1" x14ac:dyDescent="0.2">
      <c r="B31" s="118"/>
      <c r="C31" s="118"/>
      <c r="D31" s="118"/>
      <c r="E31" s="118"/>
      <c r="F31" s="118"/>
      <c r="G31" s="118"/>
      <c r="H31" s="118"/>
      <c r="I31" s="118"/>
      <c r="J31" s="118"/>
    </row>
    <row r="32" spans="2:10" hidden="1" x14ac:dyDescent="0.2">
      <c r="B32" s="114"/>
      <c r="C32" s="118"/>
      <c r="D32" s="118"/>
      <c r="E32" s="118"/>
      <c r="F32" s="118"/>
      <c r="G32" s="118"/>
      <c r="H32" s="118"/>
      <c r="I32" s="118"/>
      <c r="J32" s="118"/>
    </row>
    <row r="33" spans="2:10" s="120" customFormat="1" hidden="1" x14ac:dyDescent="0.2">
      <c r="B33" s="143"/>
      <c r="C33" s="143"/>
      <c r="D33" s="143"/>
      <c r="E33" s="143"/>
      <c r="F33" s="143"/>
      <c r="G33" s="143"/>
      <c r="H33" s="143"/>
      <c r="I33" s="143"/>
      <c r="J33" s="119"/>
    </row>
    <row r="34" spans="2:10" s="120" customFormat="1" hidden="1" x14ac:dyDescent="0.2">
      <c r="B34" s="143"/>
      <c r="C34" s="143"/>
      <c r="D34" s="143"/>
      <c r="E34" s="143"/>
      <c r="F34" s="143"/>
      <c r="G34" s="143"/>
      <c r="H34" s="143"/>
      <c r="I34" s="143"/>
      <c r="J34" s="119"/>
    </row>
    <row r="35" spans="2:10" s="120" customFormat="1" hidden="1" x14ac:dyDescent="0.2">
      <c r="B35" s="121"/>
      <c r="C35" s="121"/>
      <c r="D35" s="121"/>
      <c r="E35" s="121"/>
      <c r="F35" s="121"/>
      <c r="G35" s="121"/>
      <c r="H35" s="121"/>
      <c r="I35" s="121"/>
      <c r="J35" s="119"/>
    </row>
    <row r="36" spans="2:10" s="120" customFormat="1" hidden="1" x14ac:dyDescent="0.2">
      <c r="B36" s="240"/>
      <c r="C36" s="240"/>
      <c r="D36" s="240"/>
      <c r="E36" s="240"/>
      <c r="F36" s="240"/>
      <c r="G36" s="240"/>
      <c r="H36" s="240"/>
      <c r="I36" s="240"/>
      <c r="J36" s="119"/>
    </row>
    <row r="37" spans="2:10" s="120" customFormat="1" hidden="1" x14ac:dyDescent="0.2">
      <c r="B37" s="240"/>
      <c r="C37" s="240"/>
      <c r="D37" s="240"/>
      <c r="E37" s="240"/>
      <c r="F37" s="240"/>
      <c r="G37" s="240"/>
      <c r="H37" s="240"/>
      <c r="I37" s="240"/>
      <c r="J37" s="119"/>
    </row>
    <row r="38" spans="2:10" s="120" customFormat="1" hidden="1" x14ac:dyDescent="0.2">
      <c r="B38" s="241"/>
      <c r="C38" s="241"/>
      <c r="D38" s="241"/>
      <c r="E38" s="241"/>
      <c r="F38" s="241"/>
      <c r="G38" s="241"/>
      <c r="H38" s="241"/>
      <c r="I38" s="241"/>
      <c r="J38" s="119"/>
    </row>
    <row r="39" spans="2:10" s="120" customFormat="1" hidden="1" x14ac:dyDescent="0.2">
      <c r="B39" s="122"/>
      <c r="C39" s="241"/>
      <c r="D39" s="241"/>
      <c r="E39" s="241"/>
      <c r="F39" s="241"/>
      <c r="G39" s="241"/>
      <c r="H39" s="241"/>
      <c r="I39" s="241"/>
      <c r="J39" s="119"/>
    </row>
    <row r="40" spans="2:10" s="124" customFormat="1" hidden="1" x14ac:dyDescent="0.2">
      <c r="B40" s="242"/>
      <c r="C40" s="242"/>
      <c r="D40" s="242"/>
      <c r="E40" s="242"/>
      <c r="F40" s="242"/>
      <c r="G40" s="242"/>
      <c r="H40" s="242"/>
      <c r="I40" s="242"/>
      <c r="J40" s="123"/>
    </row>
    <row r="41" spans="2:10" s="120" customFormat="1" hidden="1" x14ac:dyDescent="0.2">
      <c r="B41" s="242"/>
      <c r="C41" s="242"/>
      <c r="D41" s="242"/>
      <c r="E41" s="242"/>
      <c r="F41" s="242"/>
      <c r="G41" s="242"/>
      <c r="H41" s="242"/>
      <c r="I41" s="242"/>
      <c r="J41" s="119"/>
    </row>
    <row r="42" spans="2:10" s="120" customFormat="1" hidden="1" x14ac:dyDescent="0.2">
      <c r="B42" s="121"/>
      <c r="C42" s="121"/>
      <c r="D42" s="121"/>
      <c r="E42" s="121"/>
      <c r="F42" s="121"/>
      <c r="G42" s="121"/>
      <c r="H42" s="121"/>
      <c r="I42" s="121"/>
      <c r="J42" s="119"/>
    </row>
    <row r="43" spans="2:10" s="120" customFormat="1" hidden="1" x14ac:dyDescent="0.2">
      <c r="B43" s="240"/>
      <c r="C43" s="240"/>
      <c r="D43" s="240"/>
      <c r="E43" s="240"/>
      <c r="F43" s="240"/>
      <c r="G43" s="240"/>
      <c r="H43" s="240"/>
      <c r="I43" s="240"/>
      <c r="J43" s="119"/>
    </row>
    <row r="44" spans="2:10" s="120" customFormat="1" hidden="1" x14ac:dyDescent="0.2">
      <c r="B44" s="240"/>
      <c r="C44" s="240"/>
      <c r="D44" s="240"/>
      <c r="E44" s="240"/>
      <c r="F44" s="240"/>
      <c r="G44" s="240"/>
      <c r="H44" s="240"/>
      <c r="I44" s="240"/>
      <c r="J44" s="119"/>
    </row>
    <row r="45" spans="2:10" s="120" customFormat="1" hidden="1" x14ac:dyDescent="0.2">
      <c r="B45" s="241"/>
      <c r="C45" s="241"/>
      <c r="D45" s="241"/>
      <c r="E45" s="241"/>
      <c r="F45" s="241"/>
      <c r="G45" s="241"/>
      <c r="H45" s="241"/>
      <c r="I45" s="241"/>
      <c r="J45" s="119"/>
    </row>
    <row r="46" spans="2:10" s="120" customFormat="1" hidden="1" x14ac:dyDescent="0.2">
      <c r="B46" s="122"/>
      <c r="C46" s="241"/>
      <c r="D46" s="241"/>
      <c r="E46" s="241"/>
      <c r="F46" s="241"/>
      <c r="G46" s="241"/>
      <c r="H46" s="241"/>
      <c r="I46" s="241"/>
      <c r="J46" s="119"/>
    </row>
    <row r="47" spans="2:10" s="124" customFormat="1" hidden="1" x14ac:dyDescent="0.2">
      <c r="B47" s="242"/>
      <c r="C47" s="242"/>
      <c r="D47" s="242"/>
      <c r="E47" s="242"/>
      <c r="F47" s="242"/>
      <c r="G47" s="242"/>
      <c r="H47" s="242"/>
      <c r="I47" s="242"/>
      <c r="J47" s="123"/>
    </row>
    <row r="48" spans="2:10" s="124" customFormat="1" hidden="1" x14ac:dyDescent="0.2">
      <c r="B48" s="242"/>
      <c r="C48" s="242"/>
      <c r="D48" s="242"/>
      <c r="E48" s="242"/>
      <c r="F48" s="242"/>
      <c r="G48" s="242"/>
      <c r="H48" s="242"/>
      <c r="I48" s="242"/>
      <c r="J48" s="123"/>
    </row>
    <row r="49" spans="2:10" s="120" customFormat="1" hidden="1" x14ac:dyDescent="0.2">
      <c r="B49" s="125"/>
      <c r="C49" s="125"/>
      <c r="D49" s="125"/>
      <c r="E49" s="125"/>
      <c r="F49" s="125"/>
      <c r="G49" s="125"/>
      <c r="H49" s="125"/>
      <c r="I49" s="125"/>
      <c r="J49" s="119"/>
    </row>
    <row r="50" spans="2:10" s="120" customFormat="1" hidden="1" x14ac:dyDescent="0.2">
      <c r="B50" s="121"/>
      <c r="C50" s="121"/>
      <c r="D50" s="121"/>
      <c r="E50" s="121"/>
      <c r="F50" s="121"/>
      <c r="G50" s="121"/>
      <c r="H50" s="121"/>
      <c r="I50" s="121"/>
      <c r="J50" s="119"/>
    </row>
    <row r="51" spans="2:10" s="120" customFormat="1" hidden="1" x14ac:dyDescent="0.2">
      <c r="B51" s="121"/>
      <c r="C51" s="121"/>
      <c r="D51" s="121"/>
      <c r="E51" s="121"/>
      <c r="F51" s="121"/>
      <c r="G51" s="121"/>
      <c r="H51" s="121"/>
      <c r="I51" s="121"/>
      <c r="J51" s="119"/>
    </row>
    <row r="52" spans="2:10" s="120" customFormat="1" hidden="1" x14ac:dyDescent="0.2">
      <c r="B52" s="121"/>
      <c r="C52" s="121"/>
      <c r="D52" s="121"/>
      <c r="E52" s="121"/>
      <c r="F52" s="121"/>
      <c r="G52" s="121"/>
      <c r="H52" s="121"/>
      <c r="I52" s="121"/>
      <c r="J52" s="119"/>
    </row>
    <row r="53" spans="2:10" s="120" customFormat="1" hidden="1" x14ac:dyDescent="0.2">
      <c r="B53" s="240"/>
      <c r="C53" s="240"/>
      <c r="D53" s="240"/>
      <c r="E53" s="240"/>
      <c r="F53" s="240"/>
      <c r="G53" s="240"/>
      <c r="H53" s="240"/>
      <c r="I53" s="240"/>
      <c r="J53" s="119"/>
    </row>
    <row r="54" spans="2:10" s="120" customFormat="1" hidden="1" x14ac:dyDescent="0.2">
      <c r="B54" s="240"/>
      <c r="C54" s="240"/>
      <c r="D54" s="240"/>
      <c r="E54" s="240"/>
      <c r="F54" s="240"/>
      <c r="G54" s="240"/>
      <c r="H54" s="240"/>
      <c r="I54" s="240"/>
      <c r="J54" s="119"/>
    </row>
    <row r="55" spans="2:10" x14ac:dyDescent="0.2">
      <c r="B55" s="118"/>
      <c r="C55" s="118"/>
      <c r="D55" s="118"/>
      <c r="E55" s="118"/>
      <c r="F55" s="118"/>
      <c r="G55" s="118"/>
      <c r="H55" s="118"/>
      <c r="I55" s="118"/>
      <c r="J55" s="114"/>
    </row>
    <row r="56" spans="2:10" hidden="1" x14ac:dyDescent="0.2">
      <c r="B56" s="114"/>
      <c r="C56" s="118"/>
      <c r="D56" s="118"/>
      <c r="E56" s="118"/>
      <c r="F56" s="118"/>
      <c r="G56" s="118"/>
      <c r="H56" s="118"/>
      <c r="I56" s="118"/>
      <c r="J56" s="114"/>
    </row>
    <row r="57" spans="2:10" hidden="1" x14ac:dyDescent="0.2">
      <c r="B57" s="114"/>
      <c r="C57" s="114"/>
      <c r="D57" s="114"/>
      <c r="E57" s="114"/>
      <c r="F57" s="114"/>
      <c r="G57" s="114"/>
      <c r="H57" s="114"/>
      <c r="I57" s="114"/>
      <c r="J57" s="114"/>
    </row>
    <row r="58" spans="2:10" hidden="1" x14ac:dyDescent="0.2">
      <c r="B58" s="114"/>
      <c r="C58" s="114"/>
      <c r="D58" s="114"/>
      <c r="E58" s="114"/>
      <c r="F58" s="114"/>
      <c r="G58" s="114"/>
      <c r="H58" s="114"/>
      <c r="I58" s="114"/>
      <c r="J58" s="114"/>
    </row>
    <row r="59" spans="2:10" hidden="1" x14ac:dyDescent="0.2">
      <c r="B59" s="126"/>
      <c r="C59" s="243"/>
      <c r="D59" s="114"/>
      <c r="E59" s="114"/>
      <c r="F59" s="114"/>
      <c r="G59" s="114"/>
      <c r="H59" s="114"/>
      <c r="I59" s="114"/>
      <c r="J59" s="114"/>
    </row>
    <row r="60" spans="2:10" hidden="1" x14ac:dyDescent="0.2">
      <c r="B60" s="114"/>
      <c r="C60" s="114"/>
      <c r="D60" s="114"/>
      <c r="E60" s="114"/>
      <c r="F60" s="114"/>
      <c r="G60" s="114"/>
      <c r="H60" s="114"/>
      <c r="I60" s="114"/>
      <c r="J60" s="114"/>
    </row>
    <row r="61" spans="2:10" hidden="1" x14ac:dyDescent="0.2">
      <c r="B61" s="114"/>
      <c r="C61" s="114"/>
      <c r="D61" s="114"/>
      <c r="E61" s="114"/>
      <c r="F61" s="114"/>
      <c r="G61" s="114"/>
      <c r="H61" s="114"/>
      <c r="I61" s="114"/>
      <c r="J61" s="114"/>
    </row>
    <row r="62" spans="2:10" s="127" customFormat="1" x14ac:dyDescent="0.2">
      <c r="B62" s="114"/>
      <c r="C62" s="114"/>
      <c r="D62" s="114"/>
      <c r="E62" s="114"/>
      <c r="F62" s="114"/>
      <c r="G62" s="114"/>
      <c r="H62" s="114"/>
      <c r="I62" s="114"/>
      <c r="J62" s="126"/>
    </row>
    <row r="63" spans="2:10" x14ac:dyDescent="0.2">
      <c r="B63" s="128" t="s">
        <v>872</v>
      </c>
      <c r="C63" s="243"/>
      <c r="D63" s="243"/>
      <c r="E63" s="243"/>
      <c r="F63" s="243"/>
      <c r="G63" s="243"/>
      <c r="H63" s="243"/>
      <c r="I63" s="243"/>
      <c r="J63" s="114"/>
    </row>
    <row r="64" spans="2:10" x14ac:dyDescent="0.2">
      <c r="B64" s="406">
        <v>4</v>
      </c>
      <c r="C64" s="406">
        <v>6</v>
      </c>
      <c r="D64" s="406">
        <v>14</v>
      </c>
      <c r="E64" s="406">
        <v>21</v>
      </c>
      <c r="F64" s="406">
        <v>25</v>
      </c>
      <c r="G64" s="406">
        <v>38</v>
      </c>
      <c r="H64" s="406">
        <v>50</v>
      </c>
      <c r="I64" s="406">
        <v>70</v>
      </c>
      <c r="J64" s="33" t="s">
        <v>873</v>
      </c>
    </row>
    <row r="65" spans="1:10" s="129" customFormat="1" x14ac:dyDescent="0.2">
      <c r="B65" s="407">
        <f>VLOOKUP("threshold0",AUTO!$A$1:$B$1051,2,FALSE)</f>
        <v>80</v>
      </c>
      <c r="C65" s="407">
        <f>VLOOKUP("threshold1",AUTO!$A$1:$B$1051,2,FALSE)</f>
        <v>194</v>
      </c>
      <c r="D65" s="407">
        <f>VLOOKUP("threshold2",AUTO!$A$1:$B$1051,2,FALSE)</f>
        <v>1032</v>
      </c>
      <c r="E65" s="407">
        <f>VLOOKUP("threshold3",AUTO!$A$1:$B$1051,2,FALSE)</f>
        <v>2064</v>
      </c>
      <c r="F65" s="407">
        <f>VLOOKUP("threshold4",AUTO!$A$1:$B$1051,2,FALSE)</f>
        <v>3012</v>
      </c>
      <c r="G65" s="407">
        <f>VLOOKUP("threshold5",AUTO!$A$1:$B$1051,2,FALSE)</f>
        <v>10314</v>
      </c>
      <c r="H65" s="407">
        <f>VLOOKUP("threshold6",AUTO!$A$1:$B$1051,2,FALSE)</f>
        <v>16352</v>
      </c>
      <c r="I65" s="407">
        <f>VLOOKUP("threshold7",AUTO!$A$1:$B$1051,2,FALSE)</f>
        <v>25228</v>
      </c>
      <c r="J65" s="35" t="s">
        <v>874</v>
      </c>
    </row>
    <row r="66" spans="1:10" x14ac:dyDescent="0.2">
      <c r="A66" s="118"/>
      <c r="B66" s="244"/>
      <c r="C66" s="244"/>
      <c r="D66" s="244"/>
      <c r="E66" s="244"/>
      <c r="F66" s="244"/>
      <c r="G66" s="245"/>
      <c r="H66" s="244"/>
      <c r="I66" s="244"/>
      <c r="J66" s="118"/>
    </row>
    <row r="67" spans="1:10" x14ac:dyDescent="0.2">
      <c r="A67" s="408" t="s">
        <v>875</v>
      </c>
      <c r="B67" s="409" t="s">
        <v>876</v>
      </c>
      <c r="C67" s="409">
        <v>1</v>
      </c>
      <c r="D67" s="409" t="s">
        <v>877</v>
      </c>
      <c r="E67" s="409"/>
      <c r="F67" s="409"/>
      <c r="G67" s="409"/>
      <c r="H67" s="409"/>
      <c r="I67" s="409" t="s">
        <v>878</v>
      </c>
      <c r="J67" s="118"/>
    </row>
    <row r="68" spans="1:10" ht="18" customHeight="1" x14ac:dyDescent="0.2">
      <c r="A68" s="410">
        <v>4</v>
      </c>
      <c r="B68" s="411">
        <f>VLOOKUP("reference_count_0",AUTO!$A$1:$B$1051,2,FALSE)</f>
        <v>1056340</v>
      </c>
      <c r="C68" s="391">
        <f>VLOOKUP("verification_count_1_0",AUTO!$A$1:$B$1051,2,FALSE)</f>
        <v>1065116</v>
      </c>
      <c r="D68" s="379">
        <f>(C68-B68)/B68</f>
        <v>8.3079311585285039E-3</v>
      </c>
      <c r="E68" s="391"/>
      <c r="F68" s="379"/>
      <c r="G68" s="391"/>
      <c r="H68" s="379"/>
      <c r="I68" s="412">
        <f>(C68)</f>
        <v>1065116</v>
      </c>
      <c r="J68" s="379">
        <f>(I68-$B68)/$B68</f>
        <v>8.3079311585285039E-3</v>
      </c>
    </row>
    <row r="69" spans="1:10" ht="18" customHeight="1" x14ac:dyDescent="0.2">
      <c r="A69" s="410">
        <v>6</v>
      </c>
      <c r="B69" s="411">
        <f>VLOOKUP("reference_count_1",AUTO!$A$1:$B$1051,2,FALSE)</f>
        <v>459350</v>
      </c>
      <c r="C69" s="391">
        <f>VLOOKUP("verification_count_1_1",AUTO!$A$1:$B$1051,2,FALSE)</f>
        <v>459710</v>
      </c>
      <c r="D69" s="379">
        <f t="shared" ref="D69:D76" si="0">(C69-B69)/B69</f>
        <v>7.8371612060520296E-4</v>
      </c>
      <c r="E69" s="391"/>
      <c r="F69" s="379"/>
      <c r="G69" s="391"/>
      <c r="H69" s="379"/>
      <c r="I69" s="412">
        <f t="shared" ref="I69:I76" si="1">(C69)</f>
        <v>459710</v>
      </c>
      <c r="J69" s="379">
        <f t="shared" ref="J69:J76" si="2">(I69-$B69)/$B69</f>
        <v>7.8371612060520296E-4</v>
      </c>
    </row>
    <row r="70" spans="1:10" ht="18" customHeight="1" x14ac:dyDescent="0.2">
      <c r="A70" s="410">
        <v>10</v>
      </c>
      <c r="B70" s="411">
        <f>VLOOKUP("reference_count32_6",AUTO!$A$1:$B$1051,2,FALSE)*100</f>
        <v>106950</v>
      </c>
      <c r="C70" s="413">
        <f>VLOOKUP("verification_count32_1_6",AUTO!$A$1:$B$1051,2,FALSE)*100</f>
        <v>110894</v>
      </c>
      <c r="D70" s="379">
        <f t="shared" si="0"/>
        <v>3.6877045348293593E-2</v>
      </c>
      <c r="E70" s="413"/>
      <c r="F70" s="379"/>
      <c r="G70" s="413"/>
      <c r="H70" s="379"/>
      <c r="I70" s="412">
        <f t="shared" si="1"/>
        <v>110894</v>
      </c>
      <c r="J70" s="379">
        <f t="shared" si="2"/>
        <v>3.6877045348293593E-2</v>
      </c>
    </row>
    <row r="71" spans="1:10" ht="18" customHeight="1" x14ac:dyDescent="0.2">
      <c r="A71" s="410">
        <v>14</v>
      </c>
      <c r="B71" s="411">
        <f>VLOOKUP("reference_count_2",AUTO!$A$1:$B$1051,2,FALSE)</f>
        <v>36410</v>
      </c>
      <c r="C71" s="391">
        <f>VLOOKUP("verification_count_1_2",AUTO!$A$1:$B$1051,2,FALSE)</f>
        <v>37720</v>
      </c>
      <c r="D71" s="379">
        <f t="shared" si="0"/>
        <v>3.5979126613567704E-2</v>
      </c>
      <c r="E71" s="391"/>
      <c r="F71" s="379"/>
      <c r="G71" s="391"/>
      <c r="H71" s="379"/>
      <c r="I71" s="412">
        <f t="shared" si="1"/>
        <v>37720</v>
      </c>
      <c r="J71" s="379">
        <f t="shared" si="2"/>
        <v>3.5979126613567704E-2</v>
      </c>
    </row>
    <row r="72" spans="1:10" ht="18" customHeight="1" x14ac:dyDescent="0.2">
      <c r="A72" s="410">
        <v>21</v>
      </c>
      <c r="B72" s="411">
        <f>VLOOKUP("reference_count_3",AUTO!$A$1:$B$1051,2,FALSE)</f>
        <v>10940</v>
      </c>
      <c r="C72" s="391">
        <f>VLOOKUP("verification_count_1_3",AUTO!$A$1:$B$1051,2,FALSE)</f>
        <v>11889</v>
      </c>
      <c r="D72" s="379">
        <f t="shared" si="0"/>
        <v>8.6745886654478979E-2</v>
      </c>
      <c r="E72" s="391"/>
      <c r="F72" s="379"/>
      <c r="G72" s="391"/>
      <c r="H72" s="379"/>
      <c r="I72" s="412">
        <f t="shared" si="1"/>
        <v>11889</v>
      </c>
      <c r="J72" s="379">
        <f t="shared" si="2"/>
        <v>8.6745886654478979E-2</v>
      </c>
    </row>
    <row r="73" spans="1:10" ht="18" customHeight="1" x14ac:dyDescent="0.2">
      <c r="A73" s="410">
        <v>25</v>
      </c>
      <c r="B73" s="411">
        <f>VLOOKUP("reference_count_4",AUTO!$A$1:$B$1051,2,FALSE)</f>
        <v>5210</v>
      </c>
      <c r="C73" s="391">
        <f>VLOOKUP("verification_count_1_4",AUTO!$A$1:$B$1051,2,FALSE)</f>
        <v>5538</v>
      </c>
      <c r="D73" s="379">
        <f t="shared" si="0"/>
        <v>6.2955854126679464E-2</v>
      </c>
      <c r="E73" s="391"/>
      <c r="F73" s="379"/>
      <c r="G73" s="391"/>
      <c r="H73" s="379"/>
      <c r="I73" s="412">
        <f t="shared" si="1"/>
        <v>5538</v>
      </c>
      <c r="J73" s="379">
        <f t="shared" si="2"/>
        <v>6.2955854126679464E-2</v>
      </c>
    </row>
    <row r="74" spans="1:10" ht="18" customHeight="1" x14ac:dyDescent="0.2">
      <c r="A74" s="410">
        <v>38</v>
      </c>
      <c r="B74" s="411">
        <f>VLOOKUP("reference_count_5",AUTO!$A$1:$B$1051,2,FALSE)</f>
        <v>611.721</v>
      </c>
      <c r="C74" s="391">
        <f>VLOOKUP("verification_count_1_5",AUTO!$A$1:$B$1051,2,FALSE)</f>
        <v>525</v>
      </c>
      <c r="D74" s="379">
        <f t="shared" si="0"/>
        <v>-0.1417656088314771</v>
      </c>
      <c r="E74" s="391"/>
      <c r="F74" s="379"/>
      <c r="G74" s="391"/>
      <c r="H74" s="379"/>
      <c r="I74" s="412">
        <f t="shared" si="1"/>
        <v>525</v>
      </c>
      <c r="J74" s="379">
        <f t="shared" si="2"/>
        <v>-0.1417656088314771</v>
      </c>
    </row>
    <row r="75" spans="1:10" ht="18" customHeight="1" x14ac:dyDescent="0.2">
      <c r="A75" s="410">
        <v>50</v>
      </c>
      <c r="B75" s="411">
        <f>VLOOKUP("reference_count_6",AUTO!$A$1:$B$1051,2,FALSE)</f>
        <v>145.303</v>
      </c>
      <c r="C75" s="391">
        <f>VLOOKUP("verification_count_1_6",AUTO!$A$1:$B$1051,2,FALSE)</f>
        <v>112</v>
      </c>
      <c r="D75" s="379">
        <f t="shared" si="0"/>
        <v>-0.2291969195405463</v>
      </c>
      <c r="E75" s="391"/>
      <c r="F75" s="379"/>
      <c r="G75" s="391"/>
      <c r="H75" s="379"/>
      <c r="I75" s="412">
        <f t="shared" si="1"/>
        <v>112</v>
      </c>
      <c r="J75" s="379">
        <f t="shared" si="2"/>
        <v>-0.2291969195405463</v>
      </c>
    </row>
    <row r="76" spans="1:10" ht="18" customHeight="1" x14ac:dyDescent="0.2">
      <c r="A76" s="410">
        <v>70</v>
      </c>
      <c r="B76" s="411">
        <f>VLOOKUP("reference_count_7",AUTO!$A$1:$B$1051,2,FALSE)</f>
        <v>24.939</v>
      </c>
      <c r="C76" s="391">
        <f>VLOOKUP("verification_count_1_7",AUTO!$A$1:$B$1051,2,FALSE)</f>
        <v>18</v>
      </c>
      <c r="D76" s="379">
        <f t="shared" si="0"/>
        <v>-0.27823890292313247</v>
      </c>
      <c r="E76" s="391"/>
      <c r="F76" s="379"/>
      <c r="G76" s="391"/>
      <c r="H76" s="379"/>
      <c r="I76" s="412">
        <f t="shared" si="1"/>
        <v>18</v>
      </c>
      <c r="J76" s="379">
        <f t="shared" si="2"/>
        <v>-0.27823890292313247</v>
      </c>
    </row>
  </sheetData>
  <mergeCells count="11">
    <mergeCell ref="H27:I27"/>
    <mergeCell ref="H26:I26"/>
    <mergeCell ref="G21:G24"/>
    <mergeCell ref="H21:H24"/>
    <mergeCell ref="G4:L6"/>
    <mergeCell ref="H16:J16"/>
    <mergeCell ref="H17:J17"/>
    <mergeCell ref="H15:J15"/>
    <mergeCell ref="H19:J19"/>
    <mergeCell ref="H18:J18"/>
    <mergeCell ref="H14:J14"/>
  </mergeCells>
  <phoneticPr fontId="0" type="noConversion"/>
  <conditionalFormatting sqref="B65:I65">
    <cfRule type="cellIs" dxfId="82" priority="13" stopIfTrue="1" operator="greaterThan">
      <formula>0</formula>
    </cfRule>
  </conditionalFormatting>
  <conditionalFormatting sqref="D68:D76">
    <cfRule type="cellIs" dxfId="81" priority="10" stopIfTrue="1" operator="between">
      <formula>-0.1</formula>
      <formula>0.1</formula>
    </cfRule>
    <cfRule type="cellIs" dxfId="80" priority="11" stopIfTrue="1" operator="greaterThanOrEqual">
      <formula>0.1</formula>
    </cfRule>
    <cfRule type="cellIs" dxfId="79" priority="12" stopIfTrue="1" operator="lessThan">
      <formula>-0.1</formula>
    </cfRule>
  </conditionalFormatting>
  <conditionalFormatting sqref="F68:F76">
    <cfRule type="cellIs" dxfId="78" priority="7" stopIfTrue="1" operator="between">
      <formula>-0.1</formula>
      <formula>0.1</formula>
    </cfRule>
    <cfRule type="cellIs" dxfId="77" priority="8" stopIfTrue="1" operator="greaterThanOrEqual">
      <formula>0.1</formula>
    </cfRule>
    <cfRule type="cellIs" dxfId="76" priority="9" stopIfTrue="1" operator="lessThan">
      <formula>-0.1</formula>
    </cfRule>
  </conditionalFormatting>
  <conditionalFormatting sqref="H68:H76">
    <cfRule type="cellIs" dxfId="75" priority="4" stopIfTrue="1" operator="between">
      <formula>-0.1</formula>
      <formula>0.1</formula>
    </cfRule>
    <cfRule type="cellIs" dxfId="74" priority="5" stopIfTrue="1" operator="greaterThanOrEqual">
      <formula>0.1</formula>
    </cfRule>
    <cfRule type="cellIs" dxfId="73" priority="6" stopIfTrue="1" operator="lessThan">
      <formula>-0.1</formula>
    </cfRule>
  </conditionalFormatting>
  <conditionalFormatting sqref="J68:J76">
    <cfRule type="cellIs" dxfId="72" priority="1" stopIfTrue="1" operator="between">
      <formula>-0.1</formula>
      <formula>0.1</formula>
    </cfRule>
    <cfRule type="cellIs" dxfId="71" priority="2" stopIfTrue="1" operator="greaterThanOrEqual">
      <formula>0.1</formula>
    </cfRule>
    <cfRule type="cellIs" dxfId="70" priority="3" stopIfTrue="1" operator="lessThan">
      <formula>-0.1</formula>
    </cfRule>
  </conditionalFormatting>
  <dataValidations disablePrompts="1" count="1">
    <dataValidation type="list" allowBlank="1" showInputMessage="1" showErrorMessage="1" sqref="H27:I27" xr:uid="{606110EB-6AC4-4C0F-9338-96BD28F72019}">
      <formula1>"C Jones, A Hayward, B Brown, G Salf, A Mustoe, S Mosson, L Harding, L Massaro, J Odom"</formula1>
    </dataValidation>
  </dataValidations>
  <pageMargins left="0.49" right="0.23622047244094491" top="0.89" bottom="0.23622047244094491" header="0" footer="0"/>
  <pageSetup paperSize="9" scale="54" orientation="portrait" r:id="rId1"/>
  <headerFooter alignWithMargins="0">
    <oddHeader xml:space="preserve">&amp;L&amp;8Using Level formula:
V=15.549-(0.036xH)&amp;C&amp;8Contamination Monitoring Product 30-1 Twin light source calibration record&amp;R&amp;8('A' Rig  with 'A2' level gauge)
</oddHeader>
    <oddFooter>&amp;CPage &amp;P</oddFooter>
  </headerFooter>
  <rowBreaks count="1" manualBreakCount="1">
    <brk id="129" min="1" max="12" man="1"/>
  </rowBreaks>
  <drawing r:id="rId2"/>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2EB45F05-A18D-4BBD-9C75-98A539B0854D}">
          <x14:formula1>
            <xm:f>'Cover Service Sheet'!$R$1:$R$13</xm:f>
          </x14:formula1>
          <xm:sqref>H26:I26</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dimension ref="A2:XEQ155"/>
  <sheetViews>
    <sheetView view="pageBreakPreview" zoomScale="55" zoomScaleNormal="40" zoomScaleSheetLayoutView="55" zoomScalePageLayoutView="40" workbookViewId="0">
      <selection activeCell="J28" sqref="J28"/>
    </sheetView>
  </sheetViews>
  <sheetFormatPr defaultColWidth="0" defaultRowHeight="12.75" x14ac:dyDescent="0.2"/>
  <cols>
    <col min="1" max="1" width="6" style="1" customWidth="1"/>
    <col min="2" max="2" width="16.7109375" style="1" customWidth="1"/>
    <col min="3" max="3" width="19.7109375" style="1" customWidth="1"/>
    <col min="4" max="4" width="22.140625" style="1" customWidth="1"/>
    <col min="5" max="5" width="7.5703125" style="1" customWidth="1"/>
    <col min="6" max="6" width="16.7109375" style="1" customWidth="1"/>
    <col min="7" max="7" width="5.140625" style="1" customWidth="1"/>
    <col min="8" max="8" width="16.85546875" style="1" customWidth="1"/>
    <col min="9" max="9" width="3.85546875" style="1" customWidth="1"/>
    <col min="10" max="10" width="23.7109375" style="1" customWidth="1"/>
    <col min="11" max="11" width="20.7109375" style="1" customWidth="1"/>
    <col min="12" max="12" width="21" style="1" customWidth="1"/>
    <col min="13" max="13" width="18.85546875" style="1" customWidth="1"/>
    <col min="14" max="14" width="3.28515625" style="1" customWidth="1"/>
    <col min="15" max="15" width="19.28515625" style="1" customWidth="1"/>
    <col min="16" max="16" width="6" style="1" customWidth="1"/>
    <col min="17" max="16384" width="0" style="1" hidden="1"/>
  </cols>
  <sheetData>
    <row r="2" spans="1:16" ht="14.25" x14ac:dyDescent="0.2">
      <c r="B2" s="63" t="s">
        <v>879</v>
      </c>
      <c r="C2" s="60"/>
    </row>
    <row r="3" spans="1:16" ht="14.25" x14ac:dyDescent="0.2">
      <c r="B3" s="63" t="s">
        <v>880</v>
      </c>
      <c r="C3" s="60"/>
    </row>
    <row r="4" spans="1:16" ht="14.25" x14ac:dyDescent="0.2">
      <c r="B4" s="63" t="s">
        <v>881</v>
      </c>
      <c r="C4" s="60"/>
    </row>
    <row r="5" spans="1:16" ht="14.25" x14ac:dyDescent="0.2">
      <c r="B5" s="63" t="s">
        <v>882</v>
      </c>
      <c r="C5" s="60"/>
    </row>
    <row r="6" spans="1:16" ht="14.25" x14ac:dyDescent="0.2">
      <c r="B6" s="63" t="s">
        <v>883</v>
      </c>
      <c r="C6" s="60"/>
    </row>
    <row r="7" spans="1:16" ht="15" x14ac:dyDescent="0.2">
      <c r="B7" s="63" t="s">
        <v>884</v>
      </c>
      <c r="C7" s="60"/>
      <c r="D7" s="64"/>
    </row>
    <row r="8" spans="1:16" ht="14.25" x14ac:dyDescent="0.2">
      <c r="B8" s="34" t="s">
        <v>885</v>
      </c>
      <c r="C8" s="60"/>
    </row>
    <row r="9" spans="1:16" ht="14.25" x14ac:dyDescent="0.2">
      <c r="B9" s="34"/>
      <c r="C9" s="60"/>
    </row>
    <row r="10" spans="1:16" ht="37.5" customHeight="1" x14ac:dyDescent="0.5">
      <c r="B10" s="579" t="s">
        <v>886</v>
      </c>
      <c r="C10" s="579"/>
      <c r="D10" s="579"/>
      <c r="E10" s="579"/>
      <c r="F10" s="579"/>
      <c r="G10" s="579"/>
      <c r="H10" s="579"/>
      <c r="I10" s="579"/>
      <c r="J10" s="579"/>
      <c r="K10" s="579"/>
      <c r="L10" s="579"/>
      <c r="M10" s="579"/>
      <c r="N10" s="579"/>
      <c r="O10" s="579"/>
      <c r="P10" s="579"/>
    </row>
    <row r="11" spans="1:16" ht="21" customHeight="1" x14ac:dyDescent="0.4">
      <c r="B11" s="65"/>
      <c r="C11" s="65"/>
      <c r="D11" s="65"/>
      <c r="E11" s="65"/>
      <c r="F11" s="65"/>
      <c r="G11" s="65"/>
      <c r="H11" s="65"/>
      <c r="I11" s="65"/>
      <c r="J11" s="65"/>
      <c r="K11" s="65"/>
      <c r="L11" s="65"/>
      <c r="M11" s="65"/>
      <c r="N11" s="65"/>
      <c r="O11" s="65"/>
      <c r="P11" s="65"/>
    </row>
    <row r="12" spans="1:16" ht="11.25" customHeight="1" x14ac:dyDescent="0.2"/>
    <row r="13" spans="1:16" ht="60.75" customHeight="1" x14ac:dyDescent="0.2">
      <c r="B13" s="595" t="s">
        <v>887</v>
      </c>
      <c r="C13" s="595"/>
      <c r="D13" s="595"/>
      <c r="E13" s="595"/>
      <c r="F13" s="595"/>
      <c r="G13" s="595"/>
      <c r="H13" s="595"/>
      <c r="I13" s="595"/>
      <c r="J13" s="595"/>
      <c r="K13" s="595"/>
      <c r="L13" s="595"/>
      <c r="M13" s="595"/>
      <c r="N13" s="595"/>
      <c r="O13" s="595"/>
      <c r="P13" s="67"/>
    </row>
    <row r="14" spans="1:16" ht="77.25" customHeight="1" x14ac:dyDescent="0.2">
      <c r="A14" s="68"/>
      <c r="B14" s="595" t="s">
        <v>888</v>
      </c>
      <c r="C14" s="595"/>
      <c r="D14" s="595"/>
      <c r="E14" s="595"/>
      <c r="F14" s="595"/>
      <c r="G14" s="595"/>
      <c r="H14" s="595"/>
      <c r="I14" s="595"/>
      <c r="J14" s="595"/>
      <c r="K14" s="595"/>
      <c r="L14" s="595"/>
      <c r="M14" s="595"/>
      <c r="N14" s="595"/>
      <c r="O14" s="595"/>
      <c r="P14" s="67"/>
    </row>
    <row r="15" spans="1:16" ht="18" x14ac:dyDescent="0.2">
      <c r="A15" s="68"/>
      <c r="B15" s="66"/>
      <c r="C15" s="66"/>
      <c r="D15" s="66"/>
      <c r="E15" s="66"/>
      <c r="F15" s="66"/>
      <c r="G15" s="66"/>
      <c r="H15" s="66"/>
      <c r="I15" s="66"/>
      <c r="J15" s="66"/>
      <c r="K15" s="66"/>
      <c r="L15" s="66"/>
      <c r="M15" s="66"/>
      <c r="N15" s="66"/>
      <c r="O15" s="66"/>
      <c r="P15" s="67"/>
    </row>
    <row r="16" spans="1:16" ht="18" x14ac:dyDescent="0.2">
      <c r="A16" s="68"/>
      <c r="B16" s="69"/>
      <c r="C16" s="69"/>
      <c r="D16" s="70"/>
      <c r="E16" s="70"/>
      <c r="F16" s="69"/>
      <c r="G16" s="69"/>
      <c r="H16" s="69"/>
      <c r="I16" s="69"/>
      <c r="J16" s="69"/>
      <c r="K16" s="69"/>
      <c r="L16" s="69"/>
      <c r="M16" s="69"/>
      <c r="N16" s="69"/>
      <c r="O16" s="69"/>
      <c r="P16" s="69"/>
    </row>
    <row r="17" spans="2:15" ht="25.9" customHeight="1" x14ac:dyDescent="0.25">
      <c r="B17" s="414" t="s">
        <v>889</v>
      </c>
      <c r="C17" s="415"/>
      <c r="D17" s="606" t="str">
        <f>'Auto-Calibration record'!H14</f>
        <v>5.6mg/l RM8631b</v>
      </c>
      <c r="E17" s="606"/>
      <c r="F17" s="606"/>
      <c r="K17" s="416" t="s">
        <v>890</v>
      </c>
      <c r="L17" s="417"/>
      <c r="M17" s="417"/>
      <c r="N17" s="418"/>
      <c r="O17" s="419" t="str">
        <f>'Auto-Calibration record'!H18</f>
        <v>RM8631b</v>
      </c>
    </row>
    <row r="18" spans="2:15" ht="25.9" customHeight="1" x14ac:dyDescent="0.25">
      <c r="B18" s="414" t="s">
        <v>891</v>
      </c>
      <c r="C18" s="420"/>
      <c r="D18" s="607">
        <f>'Auto-Calibration record'!H15</f>
        <v>-1</v>
      </c>
      <c r="E18" s="608"/>
      <c r="F18" s="609"/>
      <c r="K18" s="380" t="s">
        <v>892</v>
      </c>
      <c r="L18" s="381"/>
      <c r="M18" s="381"/>
      <c r="N18" s="382"/>
      <c r="O18" s="421">
        <f>'Auto-Calibration record'!H16</f>
        <v>46190.6</v>
      </c>
    </row>
    <row r="19" spans="2:15" ht="25.9" customHeight="1" x14ac:dyDescent="0.25">
      <c r="B19" s="414" t="s">
        <v>893</v>
      </c>
      <c r="C19" s="420"/>
      <c r="D19" s="607" t="str">
        <f>'Auto-Calibration record'!H17</f>
        <v>-1 170626</v>
      </c>
      <c r="E19" s="608"/>
      <c r="F19" s="609"/>
      <c r="K19" s="416" t="s">
        <v>894</v>
      </c>
      <c r="L19" s="417"/>
      <c r="M19" s="417"/>
      <c r="N19" s="418"/>
      <c r="O19" s="422" t="str">
        <f>'Auto-Calibration record'!H19</f>
        <v>NOT SET</v>
      </c>
    </row>
    <row r="20" spans="2:15" ht="14.25" customHeight="1" x14ac:dyDescent="0.25">
      <c r="B20" s="71"/>
      <c r="D20" s="87"/>
      <c r="E20" s="88"/>
      <c r="K20" s="71"/>
      <c r="L20" s="72"/>
      <c r="M20" s="72"/>
      <c r="N20" s="72"/>
      <c r="O20" s="89"/>
    </row>
    <row r="21" spans="2:15" ht="15.75" x14ac:dyDescent="0.25">
      <c r="B21" s="73" t="s">
        <v>895</v>
      </c>
    </row>
    <row r="22" spans="2:15" ht="15.75" x14ac:dyDescent="0.25">
      <c r="B22" s="73" t="s">
        <v>896</v>
      </c>
      <c r="O22" s="74"/>
    </row>
    <row r="23" spans="2:15" ht="15.75" x14ac:dyDescent="0.25">
      <c r="B23" s="73" t="s">
        <v>897</v>
      </c>
    </row>
    <row r="24" spans="2:15" ht="15.75" x14ac:dyDescent="0.25">
      <c r="B24" s="73"/>
    </row>
    <row r="25" spans="2:15" x14ac:dyDescent="0.2">
      <c r="B25" s="75"/>
    </row>
    <row r="26" spans="2:15" s="76" customFormat="1" ht="67.5" customHeight="1" x14ac:dyDescent="0.2">
      <c r="D26" s="583" t="s">
        <v>898</v>
      </c>
      <c r="E26" s="583"/>
      <c r="F26" s="583" t="s">
        <v>899</v>
      </c>
      <c r="G26" s="583"/>
      <c r="H26" s="583" t="s">
        <v>900</v>
      </c>
      <c r="I26" s="583"/>
      <c r="J26" s="423" t="s">
        <v>901</v>
      </c>
      <c r="K26" s="423" t="s">
        <v>902</v>
      </c>
      <c r="L26" s="423" t="s">
        <v>903</v>
      </c>
    </row>
    <row r="27" spans="2:15" s="77" customFormat="1" ht="25.9" customHeight="1" x14ac:dyDescent="0.2">
      <c r="D27" s="584" t="s">
        <v>904</v>
      </c>
      <c r="E27" s="584"/>
      <c r="F27" s="584" t="s">
        <v>905</v>
      </c>
      <c r="G27" s="584"/>
      <c r="H27" s="584" t="s">
        <v>906</v>
      </c>
      <c r="I27" s="584"/>
      <c r="J27" s="424" t="s">
        <v>906</v>
      </c>
      <c r="K27" s="424" t="s">
        <v>906</v>
      </c>
      <c r="L27" s="424" t="s">
        <v>907</v>
      </c>
    </row>
    <row r="28" spans="2:15" s="77" customFormat="1" ht="25.9" customHeight="1" x14ac:dyDescent="0.2">
      <c r="D28" s="585" t="s">
        <v>908</v>
      </c>
      <c r="E28" s="585"/>
      <c r="F28" s="600">
        <f>'Auto-Calibration record'!B65</f>
        <v>80</v>
      </c>
      <c r="G28" s="600"/>
      <c r="H28" s="596">
        <f>'Auto-Calibration record'!B68</f>
        <v>1056340</v>
      </c>
      <c r="I28" s="596"/>
      <c r="J28" s="425">
        <f>'Auto-Calibration record'!I68</f>
        <v>1065116</v>
      </c>
      <c r="K28" s="425">
        <f t="shared" ref="K28:K33" si="0">J28-H28</f>
        <v>8776</v>
      </c>
      <c r="L28" s="383">
        <f t="shared" ref="L28:L33" si="1">K28/H28</f>
        <v>8.3079311585285039E-3</v>
      </c>
    </row>
    <row r="29" spans="2:15" s="77" customFormat="1" ht="25.9" customHeight="1" x14ac:dyDescent="0.2">
      <c r="D29" s="585" t="s">
        <v>909</v>
      </c>
      <c r="E29" s="585"/>
      <c r="F29" s="600">
        <f>'Auto-Calibration record'!C65</f>
        <v>194</v>
      </c>
      <c r="G29" s="600"/>
      <c r="H29" s="596">
        <f>'Auto-Calibration record'!B69</f>
        <v>459350</v>
      </c>
      <c r="I29" s="596"/>
      <c r="J29" s="425">
        <f>'Auto-Calibration record'!I69</f>
        <v>459710</v>
      </c>
      <c r="K29" s="425">
        <f t="shared" si="0"/>
        <v>360</v>
      </c>
      <c r="L29" s="383">
        <f t="shared" si="1"/>
        <v>7.8371612060520296E-4</v>
      </c>
    </row>
    <row r="30" spans="2:15" s="77" customFormat="1" ht="25.9" customHeight="1" x14ac:dyDescent="0.2">
      <c r="D30" s="585" t="s">
        <v>910</v>
      </c>
      <c r="E30" s="585"/>
      <c r="F30" s="600">
        <f>'Auto-Calibration record'!D65</f>
        <v>1032</v>
      </c>
      <c r="G30" s="600"/>
      <c r="H30" s="596">
        <f>'Auto-Calibration record'!B71</f>
        <v>36410</v>
      </c>
      <c r="I30" s="596"/>
      <c r="J30" s="425">
        <f>'Auto-Calibration record'!I71</f>
        <v>37720</v>
      </c>
      <c r="K30" s="425">
        <f t="shared" si="0"/>
        <v>1310</v>
      </c>
      <c r="L30" s="383">
        <f t="shared" si="1"/>
        <v>3.5979126613567704E-2</v>
      </c>
    </row>
    <row r="31" spans="2:15" s="77" customFormat="1" ht="25.9" customHeight="1" x14ac:dyDescent="0.2">
      <c r="D31" s="585" t="s">
        <v>911</v>
      </c>
      <c r="E31" s="585"/>
      <c r="F31" s="600">
        <f>'Auto-Calibration record'!E65</f>
        <v>2064</v>
      </c>
      <c r="G31" s="600"/>
      <c r="H31" s="596">
        <f>'Auto-Calibration record'!B72</f>
        <v>10940</v>
      </c>
      <c r="I31" s="596"/>
      <c r="J31" s="425">
        <f>'Auto-Calibration record'!I72</f>
        <v>11889</v>
      </c>
      <c r="K31" s="425">
        <f t="shared" si="0"/>
        <v>949</v>
      </c>
      <c r="L31" s="383">
        <f t="shared" si="1"/>
        <v>8.6745886654478979E-2</v>
      </c>
    </row>
    <row r="32" spans="2:15" s="77" customFormat="1" ht="25.9" customHeight="1" x14ac:dyDescent="0.2">
      <c r="D32" s="585" t="s">
        <v>912</v>
      </c>
      <c r="E32" s="585"/>
      <c r="F32" s="600">
        <f>'Auto-Calibration record'!F65</f>
        <v>3012</v>
      </c>
      <c r="G32" s="600"/>
      <c r="H32" s="596">
        <f>'Auto-Calibration record'!B73</f>
        <v>5210</v>
      </c>
      <c r="I32" s="596"/>
      <c r="J32" s="425">
        <f>'Auto-Calibration record'!I73</f>
        <v>5538</v>
      </c>
      <c r="K32" s="425">
        <f t="shared" si="0"/>
        <v>328</v>
      </c>
      <c r="L32" s="383">
        <f t="shared" si="1"/>
        <v>6.2955854126679464E-2</v>
      </c>
    </row>
    <row r="33" spans="2:12" s="77" customFormat="1" ht="25.9" customHeight="1" x14ac:dyDescent="0.2">
      <c r="D33" s="585" t="s">
        <v>913</v>
      </c>
      <c r="E33" s="585"/>
      <c r="F33" s="600">
        <f>'Auto-Calibration record'!G65</f>
        <v>10314</v>
      </c>
      <c r="G33" s="600"/>
      <c r="H33" s="596">
        <f>'Auto-Calibration record'!B74</f>
        <v>611.721</v>
      </c>
      <c r="I33" s="596"/>
      <c r="J33" s="425">
        <f>'Auto-Calibration record'!I74</f>
        <v>525</v>
      </c>
      <c r="K33" s="425">
        <f t="shared" si="0"/>
        <v>-86.721000000000004</v>
      </c>
      <c r="L33" s="383">
        <f t="shared" si="1"/>
        <v>-0.1417656088314771</v>
      </c>
    </row>
    <row r="34" spans="2:12" s="77" customFormat="1" ht="25.9" customHeight="1" x14ac:dyDescent="0.2">
      <c r="D34" s="585" t="s">
        <v>914</v>
      </c>
      <c r="E34" s="585"/>
      <c r="F34" s="600">
        <f>'Auto-Calibration record'!H65</f>
        <v>16352</v>
      </c>
      <c r="G34" s="600"/>
      <c r="H34" s="596">
        <f>'Auto-Calibration record'!B75</f>
        <v>145.303</v>
      </c>
      <c r="I34" s="596"/>
      <c r="J34" s="425">
        <f>'Auto-Calibration record'!I75</f>
        <v>112</v>
      </c>
      <c r="K34" s="425" t="s">
        <v>321</v>
      </c>
      <c r="L34" s="426" t="s">
        <v>321</v>
      </c>
    </row>
    <row r="35" spans="2:12" s="72" customFormat="1" ht="25.9" customHeight="1" x14ac:dyDescent="0.25">
      <c r="D35" s="585" t="s">
        <v>915</v>
      </c>
      <c r="E35" s="585"/>
      <c r="F35" s="601">
        <f>'Auto-Calibration record'!I65</f>
        <v>25228</v>
      </c>
      <c r="G35" s="601"/>
      <c r="H35" s="596">
        <f>'Auto-Calibration record'!B76</f>
        <v>24.939</v>
      </c>
      <c r="I35" s="596"/>
      <c r="J35" s="427">
        <f>'Auto-Calibration record'!I76</f>
        <v>18</v>
      </c>
      <c r="K35" s="425" t="s">
        <v>321</v>
      </c>
      <c r="L35" s="426" t="s">
        <v>321</v>
      </c>
    </row>
    <row r="36" spans="2:12" ht="20.25" x14ac:dyDescent="0.3">
      <c r="D36" s="78" t="s">
        <v>916</v>
      </c>
      <c r="E36" s="79"/>
      <c r="F36" s="79"/>
      <c r="G36" s="79"/>
      <c r="H36" s="79"/>
      <c r="I36" s="79"/>
      <c r="J36" s="79"/>
      <c r="K36" s="79"/>
    </row>
    <row r="37" spans="2:12" ht="20.25" x14ac:dyDescent="0.3">
      <c r="B37" s="80"/>
      <c r="D37" s="79"/>
      <c r="E37" s="79"/>
      <c r="F37" s="79"/>
      <c r="G37" s="79"/>
      <c r="H37" s="79"/>
      <c r="I37" s="79"/>
      <c r="J37" s="79"/>
      <c r="K37" s="79"/>
    </row>
    <row r="38" spans="2:12" ht="81" customHeight="1" x14ac:dyDescent="0.2">
      <c r="B38" s="80"/>
      <c r="D38" s="423" t="s">
        <v>917</v>
      </c>
      <c r="E38" s="583" t="s">
        <v>918</v>
      </c>
      <c r="F38" s="583"/>
      <c r="G38" s="583" t="s">
        <v>919</v>
      </c>
      <c r="H38" s="583"/>
      <c r="I38" s="77"/>
      <c r="J38" s="106"/>
      <c r="K38" s="106"/>
      <c r="L38" s="106"/>
    </row>
    <row r="39" spans="2:12" ht="25.9" customHeight="1" x14ac:dyDescent="0.2">
      <c r="B39" s="80"/>
      <c r="D39" s="424" t="s">
        <v>905</v>
      </c>
      <c r="E39" s="584" t="s">
        <v>905</v>
      </c>
      <c r="F39" s="584"/>
      <c r="G39" s="584" t="s">
        <v>920</v>
      </c>
      <c r="H39" s="584"/>
      <c r="I39" s="81"/>
      <c r="J39" s="107"/>
      <c r="K39" s="107"/>
      <c r="L39" s="107"/>
    </row>
    <row r="40" spans="2:12" ht="25.9" customHeight="1" x14ac:dyDescent="0.2">
      <c r="B40" s="80"/>
      <c r="D40" s="428">
        <f>'Auto-Calibration record'!B11</f>
        <v>31</v>
      </c>
      <c r="E40" s="596">
        <f>F28-D40</f>
        <v>49</v>
      </c>
      <c r="F40" s="596"/>
      <c r="G40" s="610">
        <f>F28/D40</f>
        <v>2.5806451612903225</v>
      </c>
      <c r="H40" s="610"/>
      <c r="I40" s="81"/>
      <c r="J40" s="108"/>
      <c r="K40" s="109"/>
      <c r="L40" s="110"/>
    </row>
    <row r="41" spans="2:12" x14ac:dyDescent="0.2">
      <c r="B41" s="80"/>
      <c r="D41" s="227"/>
    </row>
    <row r="42" spans="2:12" x14ac:dyDescent="0.2">
      <c r="B42" s="80"/>
      <c r="D42" s="227"/>
    </row>
    <row r="43" spans="2:12" x14ac:dyDescent="0.2">
      <c r="B43" s="80"/>
      <c r="D43" s="227"/>
    </row>
    <row r="44" spans="2:12" x14ac:dyDescent="0.2">
      <c r="B44" s="80"/>
      <c r="D44" s="227"/>
    </row>
    <row r="45" spans="2:12" x14ac:dyDescent="0.2">
      <c r="B45" s="80"/>
      <c r="D45" s="227"/>
    </row>
    <row r="46" spans="2:12" x14ac:dyDescent="0.2">
      <c r="B46" s="80"/>
    </row>
    <row r="47" spans="2:12" x14ac:dyDescent="0.2">
      <c r="B47" s="80"/>
    </row>
    <row r="48" spans="2:12" x14ac:dyDescent="0.2">
      <c r="B48" s="80"/>
    </row>
    <row r="49" spans="2:2" x14ac:dyDescent="0.2">
      <c r="B49" s="80"/>
    </row>
    <row r="50" spans="2:2" x14ac:dyDescent="0.2">
      <c r="B50" s="80"/>
    </row>
    <row r="51" spans="2:2" x14ac:dyDescent="0.2">
      <c r="B51" s="80"/>
    </row>
    <row r="52" spans="2:2" x14ac:dyDescent="0.2">
      <c r="B52" s="80"/>
    </row>
    <row r="53" spans="2:2" x14ac:dyDescent="0.2">
      <c r="B53" s="80"/>
    </row>
    <row r="54" spans="2:2" x14ac:dyDescent="0.2">
      <c r="B54" s="80"/>
    </row>
    <row r="55" spans="2:2" x14ac:dyDescent="0.2">
      <c r="B55" s="80"/>
    </row>
    <row r="56" spans="2:2" x14ac:dyDescent="0.2">
      <c r="B56" s="80"/>
    </row>
    <row r="57" spans="2:2" x14ac:dyDescent="0.2">
      <c r="B57" s="80"/>
    </row>
    <row r="58" spans="2:2" x14ac:dyDescent="0.2">
      <c r="B58" s="80"/>
    </row>
    <row r="59" spans="2:2" x14ac:dyDescent="0.2">
      <c r="B59" s="80"/>
    </row>
    <row r="60" spans="2:2" x14ac:dyDescent="0.2">
      <c r="B60" s="80"/>
    </row>
    <row r="61" spans="2:2" x14ac:dyDescent="0.2">
      <c r="B61" s="80"/>
    </row>
    <row r="62" spans="2:2" x14ac:dyDescent="0.2">
      <c r="B62" s="80"/>
    </row>
    <row r="63" spans="2:2" x14ac:dyDescent="0.2">
      <c r="B63" s="80"/>
    </row>
    <row r="64" spans="2:2" x14ac:dyDescent="0.2">
      <c r="B64" s="80"/>
    </row>
    <row r="65" spans="2:16" x14ac:dyDescent="0.2">
      <c r="B65" s="80"/>
    </row>
    <row r="66" spans="2:16" x14ac:dyDescent="0.2">
      <c r="B66" s="80"/>
    </row>
    <row r="67" spans="2:16" x14ac:dyDescent="0.2">
      <c r="B67" s="80"/>
    </row>
    <row r="68" spans="2:16" x14ac:dyDescent="0.2">
      <c r="B68" s="80"/>
    </row>
    <row r="69" spans="2:16" ht="13.5" thickBot="1" x14ac:dyDescent="0.25">
      <c r="B69" s="82"/>
      <c r="C69" s="83"/>
      <c r="D69" s="83"/>
      <c r="E69" s="83"/>
      <c r="F69" s="83"/>
      <c r="G69" s="83"/>
      <c r="H69" s="83"/>
      <c r="I69" s="83"/>
      <c r="J69" s="83"/>
      <c r="K69" s="83"/>
      <c r="L69" s="83"/>
      <c r="M69" s="83"/>
      <c r="N69" s="83"/>
      <c r="O69" s="83"/>
      <c r="P69" s="83"/>
    </row>
    <row r="70" spans="2:16" ht="13.5" thickTop="1" x14ac:dyDescent="0.2">
      <c r="B70" s="80"/>
    </row>
    <row r="71" spans="2:16" ht="25.9" customHeight="1" x14ac:dyDescent="0.2"/>
    <row r="72" spans="2:16" s="64" customFormat="1" ht="25.9" customHeight="1" x14ac:dyDescent="0.2">
      <c r="B72" s="430" t="s">
        <v>921</v>
      </c>
      <c r="C72" s="431"/>
      <c r="D72" s="432" t="s">
        <v>922</v>
      </c>
      <c r="H72" s="1"/>
      <c r="I72" s="1"/>
      <c r="K72" s="586" t="s">
        <v>923</v>
      </c>
      <c r="L72" s="587"/>
      <c r="M72" s="587"/>
      <c r="N72" s="587"/>
      <c r="O72" s="588"/>
    </row>
    <row r="73" spans="2:16" s="64" customFormat="1" ht="25.9" customHeight="1" x14ac:dyDescent="0.2">
      <c r="H73" s="1"/>
      <c r="I73" s="1"/>
      <c r="K73" s="589"/>
      <c r="L73" s="590"/>
      <c r="M73" s="590"/>
      <c r="N73" s="590"/>
      <c r="O73" s="591"/>
    </row>
    <row r="74" spans="2:16" s="64" customFormat="1" ht="25.9" customHeight="1" x14ac:dyDescent="0.2">
      <c r="B74" s="430" t="s">
        <v>924</v>
      </c>
      <c r="C74" s="431"/>
      <c r="D74" s="580" t="s">
        <v>925</v>
      </c>
      <c r="E74" s="581"/>
      <c r="F74" s="581"/>
      <c r="G74" s="582"/>
      <c r="H74" s="1"/>
      <c r="I74" s="1"/>
      <c r="K74" s="589"/>
      <c r="L74" s="590"/>
      <c r="M74" s="590"/>
      <c r="N74" s="590"/>
      <c r="O74" s="591"/>
    </row>
    <row r="75" spans="2:16" s="64" customFormat="1" ht="25.9" customHeight="1" x14ac:dyDescent="0.2">
      <c r="K75" s="592"/>
      <c r="L75" s="593"/>
      <c r="M75" s="593"/>
      <c r="N75" s="593"/>
      <c r="O75" s="594"/>
    </row>
    <row r="76" spans="2:16" s="64" customFormat="1" ht="25.9" customHeight="1" x14ac:dyDescent="0.2">
      <c r="B76" s="430" t="s">
        <v>926</v>
      </c>
      <c r="C76" s="431"/>
      <c r="D76" s="602" t="str">
        <f>'Auto-Calibration record'!H26</f>
        <v>John Devereux</v>
      </c>
      <c r="E76" s="603"/>
      <c r="F76" s="604"/>
      <c r="K76" s="433" t="s">
        <v>927</v>
      </c>
      <c r="L76" s="597" t="s">
        <v>928</v>
      </c>
      <c r="M76" s="598"/>
      <c r="N76" s="598"/>
      <c r="O76" s="599"/>
      <c r="P76" s="84"/>
    </row>
    <row r="77" spans="2:16" ht="25.9" customHeight="1" x14ac:dyDescent="0.2">
      <c r="H77" s="64"/>
      <c r="I77" s="64"/>
      <c r="J77" s="64"/>
      <c r="K77" s="64"/>
    </row>
    <row r="78" spans="2:16" ht="15" x14ac:dyDescent="0.2">
      <c r="B78" s="80" t="s">
        <v>929</v>
      </c>
      <c r="H78" s="64"/>
      <c r="I78" s="64"/>
      <c r="J78" s="64"/>
      <c r="K78" s="64"/>
    </row>
    <row r="79" spans="2:16" ht="15" x14ac:dyDescent="0.2">
      <c r="B79" s="80" t="s">
        <v>930</v>
      </c>
      <c r="H79" s="64"/>
      <c r="I79" s="64"/>
      <c r="J79" s="64"/>
      <c r="K79" s="64"/>
    </row>
    <row r="80" spans="2:16" x14ac:dyDescent="0.2">
      <c r="B80" s="80" t="s">
        <v>931</v>
      </c>
    </row>
    <row r="83" spans="2:1011 1026:2035 2050:3059 3074:4083 4098:5107 5122:6131 6146:7155 7170:8179 8194:9203 9218:10227 10242:11251 11266:12275 12290:13299 13314:14323 14338:15347 15362:16371" x14ac:dyDescent="0.2">
      <c r="O83" s="85" t="s">
        <v>932</v>
      </c>
    </row>
    <row r="84" spans="2:1011 1026:2035 2050:3059 3074:4083 4098:5107 5122:6131 6146:7155 7170:8179 8194:9203 9218:10227 10242:11251 11266:12275 12290:13299 13314:14323 14338:15347 15362:16371" ht="15.6" customHeight="1" x14ac:dyDescent="0.2">
      <c r="B84" s="63" t="s">
        <v>879</v>
      </c>
      <c r="C84" s="60"/>
      <c r="O84" s="85" t="s">
        <v>841</v>
      </c>
    </row>
    <row r="85" spans="2:1011 1026:2035 2050:3059 3074:4083 4098:5107 5122:6131 6146:7155 7170:8179 8194:9203 9218:10227 10242:11251 11266:12275 12290:13299 13314:14323 14338:15347 15362:16371" ht="14.25" x14ac:dyDescent="0.2">
      <c r="B85" s="63" t="s">
        <v>933</v>
      </c>
      <c r="C85" s="60"/>
      <c r="O85" s="85" t="s">
        <v>19</v>
      </c>
    </row>
    <row r="86" spans="2:1011 1026:2035 2050:3059 3074:4083 4098:5107 5122:6131 6146:7155 7170:8179 8194:9203 9218:10227 10242:11251 11266:12275 12290:13299 13314:14323 14338:15347 15362:16371" ht="14.25" x14ac:dyDescent="0.2">
      <c r="B86" s="63" t="s">
        <v>934</v>
      </c>
      <c r="C86" s="60"/>
      <c r="L86" s="86"/>
      <c r="N86" s="86"/>
      <c r="O86" s="85" t="s">
        <v>20</v>
      </c>
    </row>
    <row r="87" spans="2:1011 1026:2035 2050:3059 3074:4083 4098:5107 5122:6131 6146:7155 7170:8179 8194:9203 9218:10227 10242:11251 11266:12275 12290:13299 13314:14323 14338:15347 15362:16371" ht="14.25" x14ac:dyDescent="0.2">
      <c r="B87" s="63" t="s">
        <v>882</v>
      </c>
      <c r="C87" s="60"/>
    </row>
    <row r="88" spans="2:1011 1026:2035 2050:3059 3074:4083 4098:5107 5122:6131 6146:7155 7170:8179 8194:9203 9218:10227 10242:11251 11266:12275 12290:13299 13314:14323 14338:15347 15362:16371" ht="14.25" x14ac:dyDescent="0.2">
      <c r="B88" s="63" t="s">
        <v>935</v>
      </c>
      <c r="C88" s="60"/>
    </row>
    <row r="89" spans="2:1011 1026:2035 2050:3059 3074:4083 4098:5107 5122:6131 6146:7155 7170:8179 8194:9203 9218:10227 10242:11251 11266:12275 12290:13299 13314:14323 14338:15347 15362:16371" ht="14.25" x14ac:dyDescent="0.2">
      <c r="B89" s="63" t="s">
        <v>936</v>
      </c>
      <c r="C89" s="60"/>
    </row>
    <row r="90" spans="2:1011 1026:2035 2050:3059 3074:4083 4098:5107 5122:6131 6146:7155 7170:8179 8194:9203 9218:10227 10242:11251 11266:12275 12290:13299 13314:14323 14338:15347 15362:16371" ht="14.25" x14ac:dyDescent="0.2">
      <c r="B90" s="34" t="s">
        <v>885</v>
      </c>
      <c r="C90" s="60"/>
      <c r="R90" s="63" t="s">
        <v>879</v>
      </c>
      <c r="S90" s="60"/>
      <c r="AH90" s="63" t="s">
        <v>879</v>
      </c>
      <c r="AI90" s="60"/>
      <c r="AX90" s="63" t="s">
        <v>879</v>
      </c>
      <c r="AY90" s="60"/>
      <c r="BN90" s="63" t="s">
        <v>879</v>
      </c>
      <c r="BO90" s="60"/>
      <c r="CD90" s="63" t="s">
        <v>879</v>
      </c>
      <c r="CE90" s="60"/>
      <c r="CT90" s="63" t="s">
        <v>879</v>
      </c>
      <c r="CU90" s="60"/>
      <c r="DJ90" s="63" t="s">
        <v>879</v>
      </c>
      <c r="DK90" s="60"/>
      <c r="DZ90" s="63" t="s">
        <v>879</v>
      </c>
      <c r="EA90" s="60"/>
      <c r="EP90" s="63" t="s">
        <v>879</v>
      </c>
      <c r="EQ90" s="60"/>
      <c r="FF90" s="63" t="s">
        <v>879</v>
      </c>
      <c r="FG90" s="60"/>
      <c r="FV90" s="63" t="s">
        <v>879</v>
      </c>
      <c r="FW90" s="60"/>
      <c r="GL90" s="63" t="s">
        <v>879</v>
      </c>
      <c r="GM90" s="60"/>
      <c r="HB90" s="63" t="s">
        <v>879</v>
      </c>
      <c r="HC90" s="60"/>
      <c r="HR90" s="63" t="s">
        <v>879</v>
      </c>
      <c r="HS90" s="60"/>
      <c r="IH90" s="63" t="s">
        <v>879</v>
      </c>
      <c r="II90" s="60"/>
      <c r="IX90" s="63" t="s">
        <v>879</v>
      </c>
      <c r="IY90" s="60"/>
      <c r="JN90" s="63" t="s">
        <v>879</v>
      </c>
      <c r="JO90" s="60"/>
      <c r="KD90" s="63" t="s">
        <v>879</v>
      </c>
      <c r="KE90" s="60"/>
      <c r="KT90" s="63" t="s">
        <v>879</v>
      </c>
      <c r="KU90" s="60"/>
      <c r="LJ90" s="63" t="s">
        <v>879</v>
      </c>
      <c r="LK90" s="60"/>
      <c r="LZ90" s="63" t="s">
        <v>879</v>
      </c>
      <c r="MA90" s="60"/>
      <c r="MP90" s="63" t="s">
        <v>879</v>
      </c>
      <c r="MQ90" s="60"/>
      <c r="NF90" s="63" t="s">
        <v>879</v>
      </c>
      <c r="NG90" s="60"/>
      <c r="NV90" s="63" t="s">
        <v>879</v>
      </c>
      <c r="NW90" s="60"/>
      <c r="OL90" s="63" t="s">
        <v>879</v>
      </c>
      <c r="OM90" s="60"/>
      <c r="PB90" s="63" t="s">
        <v>879</v>
      </c>
      <c r="PC90" s="60"/>
      <c r="PR90" s="63" t="s">
        <v>879</v>
      </c>
      <c r="PS90" s="60"/>
      <c r="QH90" s="63" t="s">
        <v>879</v>
      </c>
      <c r="QI90" s="60"/>
      <c r="QX90" s="63" t="s">
        <v>879</v>
      </c>
      <c r="QY90" s="60"/>
      <c r="RN90" s="63" t="s">
        <v>879</v>
      </c>
      <c r="RO90" s="60"/>
      <c r="SD90" s="63" t="s">
        <v>879</v>
      </c>
      <c r="SE90" s="60"/>
      <c r="ST90" s="63" t="s">
        <v>879</v>
      </c>
      <c r="SU90" s="60"/>
      <c r="TJ90" s="63" t="s">
        <v>879</v>
      </c>
      <c r="TK90" s="60"/>
      <c r="TZ90" s="63" t="s">
        <v>879</v>
      </c>
      <c r="UA90" s="60"/>
      <c r="UP90" s="63" t="s">
        <v>879</v>
      </c>
      <c r="UQ90" s="60"/>
      <c r="VF90" s="63" t="s">
        <v>879</v>
      </c>
      <c r="VG90" s="60"/>
      <c r="VV90" s="63" t="s">
        <v>879</v>
      </c>
      <c r="VW90" s="60"/>
      <c r="WL90" s="63" t="s">
        <v>879</v>
      </c>
      <c r="WM90" s="60"/>
      <c r="XB90" s="63" t="s">
        <v>879</v>
      </c>
      <c r="XC90" s="60"/>
      <c r="XR90" s="63" t="s">
        <v>879</v>
      </c>
      <c r="XS90" s="60"/>
      <c r="YH90" s="63" t="s">
        <v>879</v>
      </c>
      <c r="YI90" s="60"/>
      <c r="YX90" s="63" t="s">
        <v>879</v>
      </c>
      <c r="YY90" s="60"/>
      <c r="ZN90" s="63" t="s">
        <v>879</v>
      </c>
      <c r="ZO90" s="60"/>
      <c r="AAD90" s="63" t="s">
        <v>879</v>
      </c>
      <c r="AAE90" s="60"/>
      <c r="AAT90" s="63" t="s">
        <v>879</v>
      </c>
      <c r="AAU90" s="60"/>
      <c r="ABJ90" s="63" t="s">
        <v>879</v>
      </c>
      <c r="ABK90" s="60"/>
      <c r="ABZ90" s="63" t="s">
        <v>879</v>
      </c>
      <c r="ACA90" s="60"/>
      <c r="ACP90" s="63" t="s">
        <v>879</v>
      </c>
      <c r="ACQ90" s="60"/>
      <c r="ADF90" s="63" t="s">
        <v>879</v>
      </c>
      <c r="ADG90" s="60"/>
      <c r="ADV90" s="63" t="s">
        <v>879</v>
      </c>
      <c r="ADW90" s="60"/>
      <c r="AEL90" s="63" t="s">
        <v>879</v>
      </c>
      <c r="AEM90" s="60"/>
      <c r="AFB90" s="63" t="s">
        <v>879</v>
      </c>
      <c r="AFC90" s="60"/>
      <c r="AFR90" s="63" t="s">
        <v>879</v>
      </c>
      <c r="AFS90" s="60"/>
      <c r="AGH90" s="63" t="s">
        <v>879</v>
      </c>
      <c r="AGI90" s="60"/>
      <c r="AGX90" s="63" t="s">
        <v>879</v>
      </c>
      <c r="AGY90" s="60"/>
      <c r="AHN90" s="63" t="s">
        <v>879</v>
      </c>
      <c r="AHO90" s="60"/>
      <c r="AID90" s="63" t="s">
        <v>879</v>
      </c>
      <c r="AIE90" s="60"/>
      <c r="AIT90" s="63" t="s">
        <v>879</v>
      </c>
      <c r="AIU90" s="60"/>
      <c r="AJJ90" s="63" t="s">
        <v>879</v>
      </c>
      <c r="AJK90" s="60"/>
      <c r="AJZ90" s="63" t="s">
        <v>879</v>
      </c>
      <c r="AKA90" s="60"/>
      <c r="AKP90" s="63" t="s">
        <v>879</v>
      </c>
      <c r="AKQ90" s="60"/>
      <c r="ALF90" s="63" t="s">
        <v>879</v>
      </c>
      <c r="ALG90" s="60"/>
      <c r="ALV90" s="63" t="s">
        <v>879</v>
      </c>
      <c r="ALW90" s="60"/>
      <c r="AML90" s="63" t="s">
        <v>879</v>
      </c>
      <c r="AMM90" s="60"/>
      <c r="ANB90" s="63" t="s">
        <v>879</v>
      </c>
      <c r="ANC90" s="60"/>
      <c r="ANR90" s="63" t="s">
        <v>879</v>
      </c>
      <c r="ANS90" s="60"/>
      <c r="AOH90" s="63" t="s">
        <v>879</v>
      </c>
      <c r="AOI90" s="60"/>
      <c r="AOX90" s="63" t="s">
        <v>879</v>
      </c>
      <c r="AOY90" s="60"/>
      <c r="APN90" s="63" t="s">
        <v>879</v>
      </c>
      <c r="APO90" s="60"/>
      <c r="AQD90" s="63" t="s">
        <v>879</v>
      </c>
      <c r="AQE90" s="60"/>
      <c r="AQT90" s="63" t="s">
        <v>879</v>
      </c>
      <c r="AQU90" s="60"/>
      <c r="ARJ90" s="63" t="s">
        <v>879</v>
      </c>
      <c r="ARK90" s="60"/>
      <c r="ARZ90" s="63" t="s">
        <v>879</v>
      </c>
      <c r="ASA90" s="60"/>
      <c r="ASP90" s="63" t="s">
        <v>879</v>
      </c>
      <c r="ASQ90" s="60"/>
      <c r="ATF90" s="63" t="s">
        <v>879</v>
      </c>
      <c r="ATG90" s="60"/>
      <c r="ATV90" s="63" t="s">
        <v>879</v>
      </c>
      <c r="ATW90" s="60"/>
      <c r="AUL90" s="63" t="s">
        <v>879</v>
      </c>
      <c r="AUM90" s="60"/>
      <c r="AVB90" s="63" t="s">
        <v>879</v>
      </c>
      <c r="AVC90" s="60"/>
      <c r="AVR90" s="63" t="s">
        <v>879</v>
      </c>
      <c r="AVS90" s="60"/>
      <c r="AWH90" s="63" t="s">
        <v>879</v>
      </c>
      <c r="AWI90" s="60"/>
      <c r="AWX90" s="63" t="s">
        <v>879</v>
      </c>
      <c r="AWY90" s="60"/>
      <c r="AXN90" s="63" t="s">
        <v>879</v>
      </c>
      <c r="AXO90" s="60"/>
      <c r="AYD90" s="63" t="s">
        <v>879</v>
      </c>
      <c r="AYE90" s="60"/>
      <c r="AYT90" s="63" t="s">
        <v>879</v>
      </c>
      <c r="AYU90" s="60"/>
      <c r="AZJ90" s="63" t="s">
        <v>879</v>
      </c>
      <c r="AZK90" s="60"/>
      <c r="AZZ90" s="63" t="s">
        <v>879</v>
      </c>
      <c r="BAA90" s="60"/>
      <c r="BAP90" s="63" t="s">
        <v>879</v>
      </c>
      <c r="BAQ90" s="60"/>
      <c r="BBF90" s="63" t="s">
        <v>879</v>
      </c>
      <c r="BBG90" s="60"/>
      <c r="BBV90" s="63" t="s">
        <v>879</v>
      </c>
      <c r="BBW90" s="60"/>
      <c r="BCL90" s="63" t="s">
        <v>879</v>
      </c>
      <c r="BCM90" s="60"/>
      <c r="BDB90" s="63" t="s">
        <v>879</v>
      </c>
      <c r="BDC90" s="60"/>
      <c r="BDR90" s="63" t="s">
        <v>879</v>
      </c>
      <c r="BDS90" s="60"/>
      <c r="BEH90" s="63" t="s">
        <v>879</v>
      </c>
      <c r="BEI90" s="60"/>
      <c r="BEX90" s="63" t="s">
        <v>879</v>
      </c>
      <c r="BEY90" s="60"/>
      <c r="BFN90" s="63" t="s">
        <v>879</v>
      </c>
      <c r="BFO90" s="60"/>
      <c r="BGD90" s="63" t="s">
        <v>879</v>
      </c>
      <c r="BGE90" s="60"/>
      <c r="BGT90" s="63" t="s">
        <v>879</v>
      </c>
      <c r="BGU90" s="60"/>
      <c r="BHJ90" s="63" t="s">
        <v>879</v>
      </c>
      <c r="BHK90" s="60"/>
      <c r="BHZ90" s="63" t="s">
        <v>879</v>
      </c>
      <c r="BIA90" s="60"/>
      <c r="BIP90" s="63" t="s">
        <v>879</v>
      </c>
      <c r="BIQ90" s="60"/>
      <c r="BJF90" s="63" t="s">
        <v>879</v>
      </c>
      <c r="BJG90" s="60"/>
      <c r="BJV90" s="63" t="s">
        <v>879</v>
      </c>
      <c r="BJW90" s="60"/>
      <c r="BKL90" s="63" t="s">
        <v>879</v>
      </c>
      <c r="BKM90" s="60"/>
      <c r="BLB90" s="63" t="s">
        <v>879</v>
      </c>
      <c r="BLC90" s="60"/>
      <c r="BLR90" s="63" t="s">
        <v>879</v>
      </c>
      <c r="BLS90" s="60"/>
      <c r="BMH90" s="63" t="s">
        <v>879</v>
      </c>
      <c r="BMI90" s="60"/>
      <c r="BMX90" s="63" t="s">
        <v>879</v>
      </c>
      <c r="BMY90" s="60"/>
      <c r="BNN90" s="63" t="s">
        <v>879</v>
      </c>
      <c r="BNO90" s="60"/>
      <c r="BOD90" s="63" t="s">
        <v>879</v>
      </c>
      <c r="BOE90" s="60"/>
      <c r="BOT90" s="63" t="s">
        <v>879</v>
      </c>
      <c r="BOU90" s="60"/>
      <c r="BPJ90" s="63" t="s">
        <v>879</v>
      </c>
      <c r="BPK90" s="60"/>
      <c r="BPZ90" s="63" t="s">
        <v>879</v>
      </c>
      <c r="BQA90" s="60"/>
      <c r="BQP90" s="63" t="s">
        <v>879</v>
      </c>
      <c r="BQQ90" s="60"/>
      <c r="BRF90" s="63" t="s">
        <v>879</v>
      </c>
      <c r="BRG90" s="60"/>
      <c r="BRV90" s="63" t="s">
        <v>879</v>
      </c>
      <c r="BRW90" s="60"/>
      <c r="BSL90" s="63" t="s">
        <v>879</v>
      </c>
      <c r="BSM90" s="60"/>
      <c r="BTB90" s="63" t="s">
        <v>879</v>
      </c>
      <c r="BTC90" s="60"/>
      <c r="BTR90" s="63" t="s">
        <v>879</v>
      </c>
      <c r="BTS90" s="60"/>
      <c r="BUH90" s="63" t="s">
        <v>879</v>
      </c>
      <c r="BUI90" s="60"/>
      <c r="BUX90" s="63" t="s">
        <v>879</v>
      </c>
      <c r="BUY90" s="60"/>
      <c r="BVN90" s="63" t="s">
        <v>879</v>
      </c>
      <c r="BVO90" s="60"/>
      <c r="BWD90" s="63" t="s">
        <v>879</v>
      </c>
      <c r="BWE90" s="60"/>
      <c r="BWT90" s="63" t="s">
        <v>879</v>
      </c>
      <c r="BWU90" s="60"/>
      <c r="BXJ90" s="63" t="s">
        <v>879</v>
      </c>
      <c r="BXK90" s="60"/>
      <c r="BXZ90" s="63" t="s">
        <v>879</v>
      </c>
      <c r="BYA90" s="60"/>
      <c r="BYP90" s="63" t="s">
        <v>879</v>
      </c>
      <c r="BYQ90" s="60"/>
      <c r="BZF90" s="63" t="s">
        <v>879</v>
      </c>
      <c r="BZG90" s="60"/>
      <c r="BZV90" s="63" t="s">
        <v>879</v>
      </c>
      <c r="BZW90" s="60"/>
      <c r="CAL90" s="63" t="s">
        <v>879</v>
      </c>
      <c r="CAM90" s="60"/>
      <c r="CBB90" s="63" t="s">
        <v>879</v>
      </c>
      <c r="CBC90" s="60"/>
      <c r="CBR90" s="63" t="s">
        <v>879</v>
      </c>
      <c r="CBS90" s="60"/>
      <c r="CCH90" s="63" t="s">
        <v>879</v>
      </c>
      <c r="CCI90" s="60"/>
      <c r="CCX90" s="63" t="s">
        <v>879</v>
      </c>
      <c r="CCY90" s="60"/>
      <c r="CDN90" s="63" t="s">
        <v>879</v>
      </c>
      <c r="CDO90" s="60"/>
      <c r="CED90" s="63" t="s">
        <v>879</v>
      </c>
      <c r="CEE90" s="60"/>
      <c r="CET90" s="63" t="s">
        <v>879</v>
      </c>
      <c r="CEU90" s="60"/>
      <c r="CFJ90" s="63" t="s">
        <v>879</v>
      </c>
      <c r="CFK90" s="60"/>
      <c r="CFZ90" s="63" t="s">
        <v>879</v>
      </c>
      <c r="CGA90" s="60"/>
      <c r="CGP90" s="63" t="s">
        <v>879</v>
      </c>
      <c r="CGQ90" s="60"/>
      <c r="CHF90" s="63" t="s">
        <v>879</v>
      </c>
      <c r="CHG90" s="60"/>
      <c r="CHV90" s="63" t="s">
        <v>879</v>
      </c>
      <c r="CHW90" s="60"/>
      <c r="CIL90" s="63" t="s">
        <v>879</v>
      </c>
      <c r="CIM90" s="60"/>
      <c r="CJB90" s="63" t="s">
        <v>879</v>
      </c>
      <c r="CJC90" s="60"/>
      <c r="CJR90" s="63" t="s">
        <v>879</v>
      </c>
      <c r="CJS90" s="60"/>
      <c r="CKH90" s="63" t="s">
        <v>879</v>
      </c>
      <c r="CKI90" s="60"/>
      <c r="CKX90" s="63" t="s">
        <v>879</v>
      </c>
      <c r="CKY90" s="60"/>
      <c r="CLN90" s="63" t="s">
        <v>879</v>
      </c>
      <c r="CLO90" s="60"/>
      <c r="CMD90" s="63" t="s">
        <v>879</v>
      </c>
      <c r="CME90" s="60"/>
      <c r="CMT90" s="63" t="s">
        <v>879</v>
      </c>
      <c r="CMU90" s="60"/>
      <c r="CNJ90" s="63" t="s">
        <v>879</v>
      </c>
      <c r="CNK90" s="60"/>
      <c r="CNZ90" s="63" t="s">
        <v>879</v>
      </c>
      <c r="COA90" s="60"/>
      <c r="COP90" s="63" t="s">
        <v>879</v>
      </c>
      <c r="COQ90" s="60"/>
      <c r="CPF90" s="63" t="s">
        <v>879</v>
      </c>
      <c r="CPG90" s="60"/>
      <c r="CPV90" s="63" t="s">
        <v>879</v>
      </c>
      <c r="CPW90" s="60"/>
      <c r="CQL90" s="63" t="s">
        <v>879</v>
      </c>
      <c r="CQM90" s="60"/>
      <c r="CRB90" s="63" t="s">
        <v>879</v>
      </c>
      <c r="CRC90" s="60"/>
      <c r="CRR90" s="63" t="s">
        <v>879</v>
      </c>
      <c r="CRS90" s="60"/>
      <c r="CSH90" s="63" t="s">
        <v>879</v>
      </c>
      <c r="CSI90" s="60"/>
      <c r="CSX90" s="63" t="s">
        <v>879</v>
      </c>
      <c r="CSY90" s="60"/>
      <c r="CTN90" s="63" t="s">
        <v>879</v>
      </c>
      <c r="CTO90" s="60"/>
      <c r="CUD90" s="63" t="s">
        <v>879</v>
      </c>
      <c r="CUE90" s="60"/>
      <c r="CUT90" s="63" t="s">
        <v>879</v>
      </c>
      <c r="CUU90" s="60"/>
      <c r="CVJ90" s="63" t="s">
        <v>879</v>
      </c>
      <c r="CVK90" s="60"/>
      <c r="CVZ90" s="63" t="s">
        <v>879</v>
      </c>
      <c r="CWA90" s="60"/>
      <c r="CWP90" s="63" t="s">
        <v>879</v>
      </c>
      <c r="CWQ90" s="60"/>
      <c r="CXF90" s="63" t="s">
        <v>879</v>
      </c>
      <c r="CXG90" s="60"/>
      <c r="CXV90" s="63" t="s">
        <v>879</v>
      </c>
      <c r="CXW90" s="60"/>
      <c r="CYL90" s="63" t="s">
        <v>879</v>
      </c>
      <c r="CYM90" s="60"/>
      <c r="CZB90" s="63" t="s">
        <v>879</v>
      </c>
      <c r="CZC90" s="60"/>
      <c r="CZR90" s="63" t="s">
        <v>879</v>
      </c>
      <c r="CZS90" s="60"/>
      <c r="DAH90" s="63" t="s">
        <v>879</v>
      </c>
      <c r="DAI90" s="60"/>
      <c r="DAX90" s="63" t="s">
        <v>879</v>
      </c>
      <c r="DAY90" s="60"/>
      <c r="DBN90" s="63" t="s">
        <v>879</v>
      </c>
      <c r="DBO90" s="60"/>
      <c r="DCD90" s="63" t="s">
        <v>879</v>
      </c>
      <c r="DCE90" s="60"/>
      <c r="DCT90" s="63" t="s">
        <v>879</v>
      </c>
      <c r="DCU90" s="60"/>
      <c r="DDJ90" s="63" t="s">
        <v>879</v>
      </c>
      <c r="DDK90" s="60"/>
      <c r="DDZ90" s="63" t="s">
        <v>879</v>
      </c>
      <c r="DEA90" s="60"/>
      <c r="DEP90" s="63" t="s">
        <v>879</v>
      </c>
      <c r="DEQ90" s="60"/>
      <c r="DFF90" s="63" t="s">
        <v>879</v>
      </c>
      <c r="DFG90" s="60"/>
      <c r="DFV90" s="63" t="s">
        <v>879</v>
      </c>
      <c r="DFW90" s="60"/>
      <c r="DGL90" s="63" t="s">
        <v>879</v>
      </c>
      <c r="DGM90" s="60"/>
      <c r="DHB90" s="63" t="s">
        <v>879</v>
      </c>
      <c r="DHC90" s="60"/>
      <c r="DHR90" s="63" t="s">
        <v>879</v>
      </c>
      <c r="DHS90" s="60"/>
      <c r="DIH90" s="63" t="s">
        <v>879</v>
      </c>
      <c r="DII90" s="60"/>
      <c r="DIX90" s="63" t="s">
        <v>879</v>
      </c>
      <c r="DIY90" s="60"/>
      <c r="DJN90" s="63" t="s">
        <v>879</v>
      </c>
      <c r="DJO90" s="60"/>
      <c r="DKD90" s="63" t="s">
        <v>879</v>
      </c>
      <c r="DKE90" s="60"/>
      <c r="DKT90" s="63" t="s">
        <v>879</v>
      </c>
      <c r="DKU90" s="60"/>
      <c r="DLJ90" s="63" t="s">
        <v>879</v>
      </c>
      <c r="DLK90" s="60"/>
      <c r="DLZ90" s="63" t="s">
        <v>879</v>
      </c>
      <c r="DMA90" s="60"/>
      <c r="DMP90" s="63" t="s">
        <v>879</v>
      </c>
      <c r="DMQ90" s="60"/>
      <c r="DNF90" s="63" t="s">
        <v>879</v>
      </c>
      <c r="DNG90" s="60"/>
      <c r="DNV90" s="63" t="s">
        <v>879</v>
      </c>
      <c r="DNW90" s="60"/>
      <c r="DOL90" s="63" t="s">
        <v>879</v>
      </c>
      <c r="DOM90" s="60"/>
      <c r="DPB90" s="63" t="s">
        <v>879</v>
      </c>
      <c r="DPC90" s="60"/>
      <c r="DPR90" s="63" t="s">
        <v>879</v>
      </c>
      <c r="DPS90" s="60"/>
      <c r="DQH90" s="63" t="s">
        <v>879</v>
      </c>
      <c r="DQI90" s="60"/>
      <c r="DQX90" s="63" t="s">
        <v>879</v>
      </c>
      <c r="DQY90" s="60"/>
      <c r="DRN90" s="63" t="s">
        <v>879</v>
      </c>
      <c r="DRO90" s="60"/>
      <c r="DSD90" s="63" t="s">
        <v>879</v>
      </c>
      <c r="DSE90" s="60"/>
      <c r="DST90" s="63" t="s">
        <v>879</v>
      </c>
      <c r="DSU90" s="60"/>
      <c r="DTJ90" s="63" t="s">
        <v>879</v>
      </c>
      <c r="DTK90" s="60"/>
      <c r="DTZ90" s="63" t="s">
        <v>879</v>
      </c>
      <c r="DUA90" s="60"/>
      <c r="DUP90" s="63" t="s">
        <v>879</v>
      </c>
      <c r="DUQ90" s="60"/>
      <c r="DVF90" s="63" t="s">
        <v>879</v>
      </c>
      <c r="DVG90" s="60"/>
      <c r="DVV90" s="63" t="s">
        <v>879</v>
      </c>
      <c r="DVW90" s="60"/>
      <c r="DWL90" s="63" t="s">
        <v>879</v>
      </c>
      <c r="DWM90" s="60"/>
      <c r="DXB90" s="63" t="s">
        <v>879</v>
      </c>
      <c r="DXC90" s="60"/>
      <c r="DXR90" s="63" t="s">
        <v>879</v>
      </c>
      <c r="DXS90" s="60"/>
      <c r="DYH90" s="63" t="s">
        <v>879</v>
      </c>
      <c r="DYI90" s="60"/>
      <c r="DYX90" s="63" t="s">
        <v>879</v>
      </c>
      <c r="DYY90" s="60"/>
      <c r="DZN90" s="63" t="s">
        <v>879</v>
      </c>
      <c r="DZO90" s="60"/>
      <c r="EAD90" s="63" t="s">
        <v>879</v>
      </c>
      <c r="EAE90" s="60"/>
      <c r="EAT90" s="63" t="s">
        <v>879</v>
      </c>
      <c r="EAU90" s="60"/>
      <c r="EBJ90" s="63" t="s">
        <v>879</v>
      </c>
      <c r="EBK90" s="60"/>
      <c r="EBZ90" s="63" t="s">
        <v>879</v>
      </c>
      <c r="ECA90" s="60"/>
      <c r="ECP90" s="63" t="s">
        <v>879</v>
      </c>
      <c r="ECQ90" s="60"/>
      <c r="EDF90" s="63" t="s">
        <v>879</v>
      </c>
      <c r="EDG90" s="60"/>
      <c r="EDV90" s="63" t="s">
        <v>879</v>
      </c>
      <c r="EDW90" s="60"/>
      <c r="EEL90" s="63" t="s">
        <v>879</v>
      </c>
      <c r="EEM90" s="60"/>
      <c r="EFB90" s="63" t="s">
        <v>879</v>
      </c>
      <c r="EFC90" s="60"/>
      <c r="EFR90" s="63" t="s">
        <v>879</v>
      </c>
      <c r="EFS90" s="60"/>
      <c r="EGH90" s="63" t="s">
        <v>879</v>
      </c>
      <c r="EGI90" s="60"/>
      <c r="EGX90" s="63" t="s">
        <v>879</v>
      </c>
      <c r="EGY90" s="60"/>
      <c r="EHN90" s="63" t="s">
        <v>879</v>
      </c>
      <c r="EHO90" s="60"/>
      <c r="EID90" s="63" t="s">
        <v>879</v>
      </c>
      <c r="EIE90" s="60"/>
      <c r="EIT90" s="63" t="s">
        <v>879</v>
      </c>
      <c r="EIU90" s="60"/>
      <c r="EJJ90" s="63" t="s">
        <v>879</v>
      </c>
      <c r="EJK90" s="60"/>
      <c r="EJZ90" s="63" t="s">
        <v>879</v>
      </c>
      <c r="EKA90" s="60"/>
      <c r="EKP90" s="63" t="s">
        <v>879</v>
      </c>
      <c r="EKQ90" s="60"/>
      <c r="ELF90" s="63" t="s">
        <v>879</v>
      </c>
      <c r="ELG90" s="60"/>
      <c r="ELV90" s="63" t="s">
        <v>879</v>
      </c>
      <c r="ELW90" s="60"/>
      <c r="EML90" s="63" t="s">
        <v>879</v>
      </c>
      <c r="EMM90" s="60"/>
      <c r="ENB90" s="63" t="s">
        <v>879</v>
      </c>
      <c r="ENC90" s="60"/>
      <c r="ENR90" s="63" t="s">
        <v>879</v>
      </c>
      <c r="ENS90" s="60"/>
      <c r="EOH90" s="63" t="s">
        <v>879</v>
      </c>
      <c r="EOI90" s="60"/>
      <c r="EOX90" s="63" t="s">
        <v>879</v>
      </c>
      <c r="EOY90" s="60"/>
      <c r="EPN90" s="63" t="s">
        <v>879</v>
      </c>
      <c r="EPO90" s="60"/>
      <c r="EQD90" s="63" t="s">
        <v>879</v>
      </c>
      <c r="EQE90" s="60"/>
      <c r="EQT90" s="63" t="s">
        <v>879</v>
      </c>
      <c r="EQU90" s="60"/>
      <c r="ERJ90" s="63" t="s">
        <v>879</v>
      </c>
      <c r="ERK90" s="60"/>
      <c r="ERZ90" s="63" t="s">
        <v>879</v>
      </c>
      <c r="ESA90" s="60"/>
      <c r="ESP90" s="63" t="s">
        <v>879</v>
      </c>
      <c r="ESQ90" s="60"/>
      <c r="ETF90" s="63" t="s">
        <v>879</v>
      </c>
      <c r="ETG90" s="60"/>
      <c r="ETV90" s="63" t="s">
        <v>879</v>
      </c>
      <c r="ETW90" s="60"/>
      <c r="EUL90" s="63" t="s">
        <v>879</v>
      </c>
      <c r="EUM90" s="60"/>
      <c r="EVB90" s="63" t="s">
        <v>879</v>
      </c>
      <c r="EVC90" s="60"/>
      <c r="EVR90" s="63" t="s">
        <v>879</v>
      </c>
      <c r="EVS90" s="60"/>
      <c r="EWH90" s="63" t="s">
        <v>879</v>
      </c>
      <c r="EWI90" s="60"/>
      <c r="EWX90" s="63" t="s">
        <v>879</v>
      </c>
      <c r="EWY90" s="60"/>
      <c r="EXN90" s="63" t="s">
        <v>879</v>
      </c>
      <c r="EXO90" s="60"/>
      <c r="EYD90" s="63" t="s">
        <v>879</v>
      </c>
      <c r="EYE90" s="60"/>
      <c r="EYT90" s="63" t="s">
        <v>879</v>
      </c>
      <c r="EYU90" s="60"/>
      <c r="EZJ90" s="63" t="s">
        <v>879</v>
      </c>
      <c r="EZK90" s="60"/>
      <c r="EZZ90" s="63" t="s">
        <v>879</v>
      </c>
      <c r="FAA90" s="60"/>
      <c r="FAP90" s="63" t="s">
        <v>879</v>
      </c>
      <c r="FAQ90" s="60"/>
      <c r="FBF90" s="63" t="s">
        <v>879</v>
      </c>
      <c r="FBG90" s="60"/>
      <c r="FBV90" s="63" t="s">
        <v>879</v>
      </c>
      <c r="FBW90" s="60"/>
      <c r="FCL90" s="63" t="s">
        <v>879</v>
      </c>
      <c r="FCM90" s="60"/>
      <c r="FDB90" s="63" t="s">
        <v>879</v>
      </c>
      <c r="FDC90" s="60"/>
      <c r="FDR90" s="63" t="s">
        <v>879</v>
      </c>
      <c r="FDS90" s="60"/>
      <c r="FEH90" s="63" t="s">
        <v>879</v>
      </c>
      <c r="FEI90" s="60"/>
      <c r="FEX90" s="63" t="s">
        <v>879</v>
      </c>
      <c r="FEY90" s="60"/>
      <c r="FFN90" s="63" t="s">
        <v>879</v>
      </c>
      <c r="FFO90" s="60"/>
      <c r="FGD90" s="63" t="s">
        <v>879</v>
      </c>
      <c r="FGE90" s="60"/>
      <c r="FGT90" s="63" t="s">
        <v>879</v>
      </c>
      <c r="FGU90" s="60"/>
      <c r="FHJ90" s="63" t="s">
        <v>879</v>
      </c>
      <c r="FHK90" s="60"/>
      <c r="FHZ90" s="63" t="s">
        <v>879</v>
      </c>
      <c r="FIA90" s="60"/>
      <c r="FIP90" s="63" t="s">
        <v>879</v>
      </c>
      <c r="FIQ90" s="60"/>
      <c r="FJF90" s="63" t="s">
        <v>879</v>
      </c>
      <c r="FJG90" s="60"/>
      <c r="FJV90" s="63" t="s">
        <v>879</v>
      </c>
      <c r="FJW90" s="60"/>
      <c r="FKL90" s="63" t="s">
        <v>879</v>
      </c>
      <c r="FKM90" s="60"/>
      <c r="FLB90" s="63" t="s">
        <v>879</v>
      </c>
      <c r="FLC90" s="60"/>
      <c r="FLR90" s="63" t="s">
        <v>879</v>
      </c>
      <c r="FLS90" s="60"/>
      <c r="FMH90" s="63" t="s">
        <v>879</v>
      </c>
      <c r="FMI90" s="60"/>
      <c r="FMX90" s="63" t="s">
        <v>879</v>
      </c>
      <c r="FMY90" s="60"/>
      <c r="FNN90" s="63" t="s">
        <v>879</v>
      </c>
      <c r="FNO90" s="60"/>
      <c r="FOD90" s="63" t="s">
        <v>879</v>
      </c>
      <c r="FOE90" s="60"/>
      <c r="FOT90" s="63" t="s">
        <v>879</v>
      </c>
      <c r="FOU90" s="60"/>
      <c r="FPJ90" s="63" t="s">
        <v>879</v>
      </c>
      <c r="FPK90" s="60"/>
      <c r="FPZ90" s="63" t="s">
        <v>879</v>
      </c>
      <c r="FQA90" s="60"/>
      <c r="FQP90" s="63" t="s">
        <v>879</v>
      </c>
      <c r="FQQ90" s="60"/>
      <c r="FRF90" s="63" t="s">
        <v>879</v>
      </c>
      <c r="FRG90" s="60"/>
      <c r="FRV90" s="63" t="s">
        <v>879</v>
      </c>
      <c r="FRW90" s="60"/>
      <c r="FSL90" s="63" t="s">
        <v>879</v>
      </c>
      <c r="FSM90" s="60"/>
      <c r="FTB90" s="63" t="s">
        <v>879</v>
      </c>
      <c r="FTC90" s="60"/>
      <c r="FTR90" s="63" t="s">
        <v>879</v>
      </c>
      <c r="FTS90" s="60"/>
      <c r="FUH90" s="63" t="s">
        <v>879</v>
      </c>
      <c r="FUI90" s="60"/>
      <c r="FUX90" s="63" t="s">
        <v>879</v>
      </c>
      <c r="FUY90" s="60"/>
      <c r="FVN90" s="63" t="s">
        <v>879</v>
      </c>
      <c r="FVO90" s="60"/>
      <c r="FWD90" s="63" t="s">
        <v>879</v>
      </c>
      <c r="FWE90" s="60"/>
      <c r="FWT90" s="63" t="s">
        <v>879</v>
      </c>
      <c r="FWU90" s="60"/>
      <c r="FXJ90" s="63" t="s">
        <v>879</v>
      </c>
      <c r="FXK90" s="60"/>
      <c r="FXZ90" s="63" t="s">
        <v>879</v>
      </c>
      <c r="FYA90" s="60"/>
      <c r="FYP90" s="63" t="s">
        <v>879</v>
      </c>
      <c r="FYQ90" s="60"/>
      <c r="FZF90" s="63" t="s">
        <v>879</v>
      </c>
      <c r="FZG90" s="60"/>
      <c r="FZV90" s="63" t="s">
        <v>879</v>
      </c>
      <c r="FZW90" s="60"/>
      <c r="GAL90" s="63" t="s">
        <v>879</v>
      </c>
      <c r="GAM90" s="60"/>
      <c r="GBB90" s="63" t="s">
        <v>879</v>
      </c>
      <c r="GBC90" s="60"/>
      <c r="GBR90" s="63" t="s">
        <v>879</v>
      </c>
      <c r="GBS90" s="60"/>
      <c r="GCH90" s="63" t="s">
        <v>879</v>
      </c>
      <c r="GCI90" s="60"/>
      <c r="GCX90" s="63" t="s">
        <v>879</v>
      </c>
      <c r="GCY90" s="60"/>
      <c r="GDN90" s="63" t="s">
        <v>879</v>
      </c>
      <c r="GDO90" s="60"/>
      <c r="GED90" s="63" t="s">
        <v>879</v>
      </c>
      <c r="GEE90" s="60"/>
      <c r="GET90" s="63" t="s">
        <v>879</v>
      </c>
      <c r="GEU90" s="60"/>
      <c r="GFJ90" s="63" t="s">
        <v>879</v>
      </c>
      <c r="GFK90" s="60"/>
      <c r="GFZ90" s="63" t="s">
        <v>879</v>
      </c>
      <c r="GGA90" s="60"/>
      <c r="GGP90" s="63" t="s">
        <v>879</v>
      </c>
      <c r="GGQ90" s="60"/>
      <c r="GHF90" s="63" t="s">
        <v>879</v>
      </c>
      <c r="GHG90" s="60"/>
      <c r="GHV90" s="63" t="s">
        <v>879</v>
      </c>
      <c r="GHW90" s="60"/>
      <c r="GIL90" s="63" t="s">
        <v>879</v>
      </c>
      <c r="GIM90" s="60"/>
      <c r="GJB90" s="63" t="s">
        <v>879</v>
      </c>
      <c r="GJC90" s="60"/>
      <c r="GJR90" s="63" t="s">
        <v>879</v>
      </c>
      <c r="GJS90" s="60"/>
      <c r="GKH90" s="63" t="s">
        <v>879</v>
      </c>
      <c r="GKI90" s="60"/>
      <c r="GKX90" s="63" t="s">
        <v>879</v>
      </c>
      <c r="GKY90" s="60"/>
      <c r="GLN90" s="63" t="s">
        <v>879</v>
      </c>
      <c r="GLO90" s="60"/>
      <c r="GMD90" s="63" t="s">
        <v>879</v>
      </c>
      <c r="GME90" s="60"/>
      <c r="GMT90" s="63" t="s">
        <v>879</v>
      </c>
      <c r="GMU90" s="60"/>
      <c r="GNJ90" s="63" t="s">
        <v>879</v>
      </c>
      <c r="GNK90" s="60"/>
      <c r="GNZ90" s="63" t="s">
        <v>879</v>
      </c>
      <c r="GOA90" s="60"/>
      <c r="GOP90" s="63" t="s">
        <v>879</v>
      </c>
      <c r="GOQ90" s="60"/>
      <c r="GPF90" s="63" t="s">
        <v>879</v>
      </c>
      <c r="GPG90" s="60"/>
      <c r="GPV90" s="63" t="s">
        <v>879</v>
      </c>
      <c r="GPW90" s="60"/>
      <c r="GQL90" s="63" t="s">
        <v>879</v>
      </c>
      <c r="GQM90" s="60"/>
      <c r="GRB90" s="63" t="s">
        <v>879</v>
      </c>
      <c r="GRC90" s="60"/>
      <c r="GRR90" s="63" t="s">
        <v>879</v>
      </c>
      <c r="GRS90" s="60"/>
      <c r="GSH90" s="63" t="s">
        <v>879</v>
      </c>
      <c r="GSI90" s="60"/>
      <c r="GSX90" s="63" t="s">
        <v>879</v>
      </c>
      <c r="GSY90" s="60"/>
      <c r="GTN90" s="63" t="s">
        <v>879</v>
      </c>
      <c r="GTO90" s="60"/>
      <c r="GUD90" s="63" t="s">
        <v>879</v>
      </c>
      <c r="GUE90" s="60"/>
      <c r="GUT90" s="63" t="s">
        <v>879</v>
      </c>
      <c r="GUU90" s="60"/>
      <c r="GVJ90" s="63" t="s">
        <v>879</v>
      </c>
      <c r="GVK90" s="60"/>
      <c r="GVZ90" s="63" t="s">
        <v>879</v>
      </c>
      <c r="GWA90" s="60"/>
      <c r="GWP90" s="63" t="s">
        <v>879</v>
      </c>
      <c r="GWQ90" s="60"/>
      <c r="GXF90" s="63" t="s">
        <v>879</v>
      </c>
      <c r="GXG90" s="60"/>
      <c r="GXV90" s="63" t="s">
        <v>879</v>
      </c>
      <c r="GXW90" s="60"/>
      <c r="GYL90" s="63" t="s">
        <v>879</v>
      </c>
      <c r="GYM90" s="60"/>
      <c r="GZB90" s="63" t="s">
        <v>879</v>
      </c>
      <c r="GZC90" s="60"/>
      <c r="GZR90" s="63" t="s">
        <v>879</v>
      </c>
      <c r="GZS90" s="60"/>
      <c r="HAH90" s="63" t="s">
        <v>879</v>
      </c>
      <c r="HAI90" s="60"/>
      <c r="HAX90" s="63" t="s">
        <v>879</v>
      </c>
      <c r="HAY90" s="60"/>
      <c r="HBN90" s="63" t="s">
        <v>879</v>
      </c>
      <c r="HBO90" s="60"/>
      <c r="HCD90" s="63" t="s">
        <v>879</v>
      </c>
      <c r="HCE90" s="60"/>
      <c r="HCT90" s="63" t="s">
        <v>879</v>
      </c>
      <c r="HCU90" s="60"/>
      <c r="HDJ90" s="63" t="s">
        <v>879</v>
      </c>
      <c r="HDK90" s="60"/>
      <c r="HDZ90" s="63" t="s">
        <v>879</v>
      </c>
      <c r="HEA90" s="60"/>
      <c r="HEP90" s="63" t="s">
        <v>879</v>
      </c>
      <c r="HEQ90" s="60"/>
      <c r="HFF90" s="63" t="s">
        <v>879</v>
      </c>
      <c r="HFG90" s="60"/>
      <c r="HFV90" s="63" t="s">
        <v>879</v>
      </c>
      <c r="HFW90" s="60"/>
      <c r="HGL90" s="63" t="s">
        <v>879</v>
      </c>
      <c r="HGM90" s="60"/>
      <c r="HHB90" s="63" t="s">
        <v>879</v>
      </c>
      <c r="HHC90" s="60"/>
      <c r="HHR90" s="63" t="s">
        <v>879</v>
      </c>
      <c r="HHS90" s="60"/>
      <c r="HIH90" s="63" t="s">
        <v>879</v>
      </c>
      <c r="HII90" s="60"/>
      <c r="HIX90" s="63" t="s">
        <v>879</v>
      </c>
      <c r="HIY90" s="60"/>
      <c r="HJN90" s="63" t="s">
        <v>879</v>
      </c>
      <c r="HJO90" s="60"/>
      <c r="HKD90" s="63" t="s">
        <v>879</v>
      </c>
      <c r="HKE90" s="60"/>
      <c r="HKT90" s="63" t="s">
        <v>879</v>
      </c>
      <c r="HKU90" s="60"/>
      <c r="HLJ90" s="63" t="s">
        <v>879</v>
      </c>
      <c r="HLK90" s="60"/>
      <c r="HLZ90" s="63" t="s">
        <v>879</v>
      </c>
      <c r="HMA90" s="60"/>
      <c r="HMP90" s="63" t="s">
        <v>879</v>
      </c>
      <c r="HMQ90" s="60"/>
      <c r="HNF90" s="63" t="s">
        <v>879</v>
      </c>
      <c r="HNG90" s="60"/>
      <c r="HNV90" s="63" t="s">
        <v>879</v>
      </c>
      <c r="HNW90" s="60"/>
      <c r="HOL90" s="63" t="s">
        <v>879</v>
      </c>
      <c r="HOM90" s="60"/>
      <c r="HPB90" s="63" t="s">
        <v>879</v>
      </c>
      <c r="HPC90" s="60"/>
      <c r="HPR90" s="63" t="s">
        <v>879</v>
      </c>
      <c r="HPS90" s="60"/>
      <c r="HQH90" s="63" t="s">
        <v>879</v>
      </c>
      <c r="HQI90" s="60"/>
      <c r="HQX90" s="63" t="s">
        <v>879</v>
      </c>
      <c r="HQY90" s="60"/>
      <c r="HRN90" s="63" t="s">
        <v>879</v>
      </c>
      <c r="HRO90" s="60"/>
      <c r="HSD90" s="63" t="s">
        <v>879</v>
      </c>
      <c r="HSE90" s="60"/>
      <c r="HST90" s="63" t="s">
        <v>879</v>
      </c>
      <c r="HSU90" s="60"/>
      <c r="HTJ90" s="63" t="s">
        <v>879</v>
      </c>
      <c r="HTK90" s="60"/>
      <c r="HTZ90" s="63" t="s">
        <v>879</v>
      </c>
      <c r="HUA90" s="60"/>
      <c r="HUP90" s="63" t="s">
        <v>879</v>
      </c>
      <c r="HUQ90" s="60"/>
      <c r="HVF90" s="63" t="s">
        <v>879</v>
      </c>
      <c r="HVG90" s="60"/>
      <c r="HVV90" s="63" t="s">
        <v>879</v>
      </c>
      <c r="HVW90" s="60"/>
      <c r="HWL90" s="63" t="s">
        <v>879</v>
      </c>
      <c r="HWM90" s="60"/>
      <c r="HXB90" s="63" t="s">
        <v>879</v>
      </c>
      <c r="HXC90" s="60"/>
      <c r="HXR90" s="63" t="s">
        <v>879</v>
      </c>
      <c r="HXS90" s="60"/>
      <c r="HYH90" s="63" t="s">
        <v>879</v>
      </c>
      <c r="HYI90" s="60"/>
      <c r="HYX90" s="63" t="s">
        <v>879</v>
      </c>
      <c r="HYY90" s="60"/>
      <c r="HZN90" s="63" t="s">
        <v>879</v>
      </c>
      <c r="HZO90" s="60"/>
      <c r="IAD90" s="63" t="s">
        <v>879</v>
      </c>
      <c r="IAE90" s="60"/>
      <c r="IAT90" s="63" t="s">
        <v>879</v>
      </c>
      <c r="IAU90" s="60"/>
      <c r="IBJ90" s="63" t="s">
        <v>879</v>
      </c>
      <c r="IBK90" s="60"/>
      <c r="IBZ90" s="63" t="s">
        <v>879</v>
      </c>
      <c r="ICA90" s="60"/>
      <c r="ICP90" s="63" t="s">
        <v>879</v>
      </c>
      <c r="ICQ90" s="60"/>
      <c r="IDF90" s="63" t="s">
        <v>879</v>
      </c>
      <c r="IDG90" s="60"/>
      <c r="IDV90" s="63" t="s">
        <v>879</v>
      </c>
      <c r="IDW90" s="60"/>
      <c r="IEL90" s="63" t="s">
        <v>879</v>
      </c>
      <c r="IEM90" s="60"/>
      <c r="IFB90" s="63" t="s">
        <v>879</v>
      </c>
      <c r="IFC90" s="60"/>
      <c r="IFR90" s="63" t="s">
        <v>879</v>
      </c>
      <c r="IFS90" s="60"/>
      <c r="IGH90" s="63" t="s">
        <v>879</v>
      </c>
      <c r="IGI90" s="60"/>
      <c r="IGX90" s="63" t="s">
        <v>879</v>
      </c>
      <c r="IGY90" s="60"/>
      <c r="IHN90" s="63" t="s">
        <v>879</v>
      </c>
      <c r="IHO90" s="60"/>
      <c r="IID90" s="63" t="s">
        <v>879</v>
      </c>
      <c r="IIE90" s="60"/>
      <c r="IIT90" s="63" t="s">
        <v>879</v>
      </c>
      <c r="IIU90" s="60"/>
      <c r="IJJ90" s="63" t="s">
        <v>879</v>
      </c>
      <c r="IJK90" s="60"/>
      <c r="IJZ90" s="63" t="s">
        <v>879</v>
      </c>
      <c r="IKA90" s="60"/>
      <c r="IKP90" s="63" t="s">
        <v>879</v>
      </c>
      <c r="IKQ90" s="60"/>
      <c r="ILF90" s="63" t="s">
        <v>879</v>
      </c>
      <c r="ILG90" s="60"/>
      <c r="ILV90" s="63" t="s">
        <v>879</v>
      </c>
      <c r="ILW90" s="60"/>
      <c r="IML90" s="63" t="s">
        <v>879</v>
      </c>
      <c r="IMM90" s="60"/>
      <c r="INB90" s="63" t="s">
        <v>879</v>
      </c>
      <c r="INC90" s="60"/>
      <c r="INR90" s="63" t="s">
        <v>879</v>
      </c>
      <c r="INS90" s="60"/>
      <c r="IOH90" s="63" t="s">
        <v>879</v>
      </c>
      <c r="IOI90" s="60"/>
      <c r="IOX90" s="63" t="s">
        <v>879</v>
      </c>
      <c r="IOY90" s="60"/>
      <c r="IPN90" s="63" t="s">
        <v>879</v>
      </c>
      <c r="IPO90" s="60"/>
      <c r="IQD90" s="63" t="s">
        <v>879</v>
      </c>
      <c r="IQE90" s="60"/>
      <c r="IQT90" s="63" t="s">
        <v>879</v>
      </c>
      <c r="IQU90" s="60"/>
      <c r="IRJ90" s="63" t="s">
        <v>879</v>
      </c>
      <c r="IRK90" s="60"/>
      <c r="IRZ90" s="63" t="s">
        <v>879</v>
      </c>
      <c r="ISA90" s="60"/>
      <c r="ISP90" s="63" t="s">
        <v>879</v>
      </c>
      <c r="ISQ90" s="60"/>
      <c r="ITF90" s="63" t="s">
        <v>879</v>
      </c>
      <c r="ITG90" s="60"/>
      <c r="ITV90" s="63" t="s">
        <v>879</v>
      </c>
      <c r="ITW90" s="60"/>
      <c r="IUL90" s="63" t="s">
        <v>879</v>
      </c>
      <c r="IUM90" s="60"/>
      <c r="IVB90" s="63" t="s">
        <v>879</v>
      </c>
      <c r="IVC90" s="60"/>
      <c r="IVR90" s="63" t="s">
        <v>879</v>
      </c>
      <c r="IVS90" s="60"/>
      <c r="IWH90" s="63" t="s">
        <v>879</v>
      </c>
      <c r="IWI90" s="60"/>
      <c r="IWX90" s="63" t="s">
        <v>879</v>
      </c>
      <c r="IWY90" s="60"/>
      <c r="IXN90" s="63" t="s">
        <v>879</v>
      </c>
      <c r="IXO90" s="60"/>
      <c r="IYD90" s="63" t="s">
        <v>879</v>
      </c>
      <c r="IYE90" s="60"/>
      <c r="IYT90" s="63" t="s">
        <v>879</v>
      </c>
      <c r="IYU90" s="60"/>
      <c r="IZJ90" s="63" t="s">
        <v>879</v>
      </c>
      <c r="IZK90" s="60"/>
      <c r="IZZ90" s="63" t="s">
        <v>879</v>
      </c>
      <c r="JAA90" s="60"/>
      <c r="JAP90" s="63" t="s">
        <v>879</v>
      </c>
      <c r="JAQ90" s="60"/>
      <c r="JBF90" s="63" t="s">
        <v>879</v>
      </c>
      <c r="JBG90" s="60"/>
      <c r="JBV90" s="63" t="s">
        <v>879</v>
      </c>
      <c r="JBW90" s="60"/>
      <c r="JCL90" s="63" t="s">
        <v>879</v>
      </c>
      <c r="JCM90" s="60"/>
      <c r="JDB90" s="63" t="s">
        <v>879</v>
      </c>
      <c r="JDC90" s="60"/>
      <c r="JDR90" s="63" t="s">
        <v>879</v>
      </c>
      <c r="JDS90" s="60"/>
      <c r="JEH90" s="63" t="s">
        <v>879</v>
      </c>
      <c r="JEI90" s="60"/>
      <c r="JEX90" s="63" t="s">
        <v>879</v>
      </c>
      <c r="JEY90" s="60"/>
      <c r="JFN90" s="63" t="s">
        <v>879</v>
      </c>
      <c r="JFO90" s="60"/>
      <c r="JGD90" s="63" t="s">
        <v>879</v>
      </c>
      <c r="JGE90" s="60"/>
      <c r="JGT90" s="63" t="s">
        <v>879</v>
      </c>
      <c r="JGU90" s="60"/>
      <c r="JHJ90" s="63" t="s">
        <v>879</v>
      </c>
      <c r="JHK90" s="60"/>
      <c r="JHZ90" s="63" t="s">
        <v>879</v>
      </c>
      <c r="JIA90" s="60"/>
      <c r="JIP90" s="63" t="s">
        <v>879</v>
      </c>
      <c r="JIQ90" s="60"/>
      <c r="JJF90" s="63" t="s">
        <v>879</v>
      </c>
      <c r="JJG90" s="60"/>
      <c r="JJV90" s="63" t="s">
        <v>879</v>
      </c>
      <c r="JJW90" s="60"/>
      <c r="JKL90" s="63" t="s">
        <v>879</v>
      </c>
      <c r="JKM90" s="60"/>
      <c r="JLB90" s="63" t="s">
        <v>879</v>
      </c>
      <c r="JLC90" s="60"/>
      <c r="JLR90" s="63" t="s">
        <v>879</v>
      </c>
      <c r="JLS90" s="60"/>
      <c r="JMH90" s="63" t="s">
        <v>879</v>
      </c>
      <c r="JMI90" s="60"/>
      <c r="JMX90" s="63" t="s">
        <v>879</v>
      </c>
      <c r="JMY90" s="60"/>
      <c r="JNN90" s="63" t="s">
        <v>879</v>
      </c>
      <c r="JNO90" s="60"/>
      <c r="JOD90" s="63" t="s">
        <v>879</v>
      </c>
      <c r="JOE90" s="60"/>
      <c r="JOT90" s="63" t="s">
        <v>879</v>
      </c>
      <c r="JOU90" s="60"/>
      <c r="JPJ90" s="63" t="s">
        <v>879</v>
      </c>
      <c r="JPK90" s="60"/>
      <c r="JPZ90" s="63" t="s">
        <v>879</v>
      </c>
      <c r="JQA90" s="60"/>
      <c r="JQP90" s="63" t="s">
        <v>879</v>
      </c>
      <c r="JQQ90" s="60"/>
      <c r="JRF90" s="63" t="s">
        <v>879</v>
      </c>
      <c r="JRG90" s="60"/>
      <c r="JRV90" s="63" t="s">
        <v>879</v>
      </c>
      <c r="JRW90" s="60"/>
      <c r="JSL90" s="63" t="s">
        <v>879</v>
      </c>
      <c r="JSM90" s="60"/>
      <c r="JTB90" s="63" t="s">
        <v>879</v>
      </c>
      <c r="JTC90" s="60"/>
      <c r="JTR90" s="63" t="s">
        <v>879</v>
      </c>
      <c r="JTS90" s="60"/>
      <c r="JUH90" s="63" t="s">
        <v>879</v>
      </c>
      <c r="JUI90" s="60"/>
      <c r="JUX90" s="63" t="s">
        <v>879</v>
      </c>
      <c r="JUY90" s="60"/>
      <c r="JVN90" s="63" t="s">
        <v>879</v>
      </c>
      <c r="JVO90" s="60"/>
      <c r="JWD90" s="63" t="s">
        <v>879</v>
      </c>
      <c r="JWE90" s="60"/>
      <c r="JWT90" s="63" t="s">
        <v>879</v>
      </c>
      <c r="JWU90" s="60"/>
      <c r="JXJ90" s="63" t="s">
        <v>879</v>
      </c>
      <c r="JXK90" s="60"/>
      <c r="JXZ90" s="63" t="s">
        <v>879</v>
      </c>
      <c r="JYA90" s="60"/>
      <c r="JYP90" s="63" t="s">
        <v>879</v>
      </c>
      <c r="JYQ90" s="60"/>
      <c r="JZF90" s="63" t="s">
        <v>879</v>
      </c>
      <c r="JZG90" s="60"/>
      <c r="JZV90" s="63" t="s">
        <v>879</v>
      </c>
      <c r="JZW90" s="60"/>
      <c r="KAL90" s="63" t="s">
        <v>879</v>
      </c>
      <c r="KAM90" s="60"/>
      <c r="KBB90" s="63" t="s">
        <v>879</v>
      </c>
      <c r="KBC90" s="60"/>
      <c r="KBR90" s="63" t="s">
        <v>879</v>
      </c>
      <c r="KBS90" s="60"/>
      <c r="KCH90" s="63" t="s">
        <v>879</v>
      </c>
      <c r="KCI90" s="60"/>
      <c r="KCX90" s="63" t="s">
        <v>879</v>
      </c>
      <c r="KCY90" s="60"/>
      <c r="KDN90" s="63" t="s">
        <v>879</v>
      </c>
      <c r="KDO90" s="60"/>
      <c r="KED90" s="63" t="s">
        <v>879</v>
      </c>
      <c r="KEE90" s="60"/>
      <c r="KET90" s="63" t="s">
        <v>879</v>
      </c>
      <c r="KEU90" s="60"/>
      <c r="KFJ90" s="63" t="s">
        <v>879</v>
      </c>
      <c r="KFK90" s="60"/>
      <c r="KFZ90" s="63" t="s">
        <v>879</v>
      </c>
      <c r="KGA90" s="60"/>
      <c r="KGP90" s="63" t="s">
        <v>879</v>
      </c>
      <c r="KGQ90" s="60"/>
      <c r="KHF90" s="63" t="s">
        <v>879</v>
      </c>
      <c r="KHG90" s="60"/>
      <c r="KHV90" s="63" t="s">
        <v>879</v>
      </c>
      <c r="KHW90" s="60"/>
      <c r="KIL90" s="63" t="s">
        <v>879</v>
      </c>
      <c r="KIM90" s="60"/>
      <c r="KJB90" s="63" t="s">
        <v>879</v>
      </c>
      <c r="KJC90" s="60"/>
      <c r="KJR90" s="63" t="s">
        <v>879</v>
      </c>
      <c r="KJS90" s="60"/>
      <c r="KKH90" s="63" t="s">
        <v>879</v>
      </c>
      <c r="KKI90" s="60"/>
      <c r="KKX90" s="63" t="s">
        <v>879</v>
      </c>
      <c r="KKY90" s="60"/>
      <c r="KLN90" s="63" t="s">
        <v>879</v>
      </c>
      <c r="KLO90" s="60"/>
      <c r="KMD90" s="63" t="s">
        <v>879</v>
      </c>
      <c r="KME90" s="60"/>
      <c r="KMT90" s="63" t="s">
        <v>879</v>
      </c>
      <c r="KMU90" s="60"/>
      <c r="KNJ90" s="63" t="s">
        <v>879</v>
      </c>
      <c r="KNK90" s="60"/>
      <c r="KNZ90" s="63" t="s">
        <v>879</v>
      </c>
      <c r="KOA90" s="60"/>
      <c r="KOP90" s="63" t="s">
        <v>879</v>
      </c>
      <c r="KOQ90" s="60"/>
      <c r="KPF90" s="63" t="s">
        <v>879</v>
      </c>
      <c r="KPG90" s="60"/>
      <c r="KPV90" s="63" t="s">
        <v>879</v>
      </c>
      <c r="KPW90" s="60"/>
      <c r="KQL90" s="63" t="s">
        <v>879</v>
      </c>
      <c r="KQM90" s="60"/>
      <c r="KRB90" s="63" t="s">
        <v>879</v>
      </c>
      <c r="KRC90" s="60"/>
      <c r="KRR90" s="63" t="s">
        <v>879</v>
      </c>
      <c r="KRS90" s="60"/>
      <c r="KSH90" s="63" t="s">
        <v>879</v>
      </c>
      <c r="KSI90" s="60"/>
      <c r="KSX90" s="63" t="s">
        <v>879</v>
      </c>
      <c r="KSY90" s="60"/>
      <c r="KTN90" s="63" t="s">
        <v>879</v>
      </c>
      <c r="KTO90" s="60"/>
      <c r="KUD90" s="63" t="s">
        <v>879</v>
      </c>
      <c r="KUE90" s="60"/>
      <c r="KUT90" s="63" t="s">
        <v>879</v>
      </c>
      <c r="KUU90" s="60"/>
      <c r="KVJ90" s="63" t="s">
        <v>879</v>
      </c>
      <c r="KVK90" s="60"/>
      <c r="KVZ90" s="63" t="s">
        <v>879</v>
      </c>
      <c r="KWA90" s="60"/>
      <c r="KWP90" s="63" t="s">
        <v>879</v>
      </c>
      <c r="KWQ90" s="60"/>
      <c r="KXF90" s="63" t="s">
        <v>879</v>
      </c>
      <c r="KXG90" s="60"/>
      <c r="KXV90" s="63" t="s">
        <v>879</v>
      </c>
      <c r="KXW90" s="60"/>
      <c r="KYL90" s="63" t="s">
        <v>879</v>
      </c>
      <c r="KYM90" s="60"/>
      <c r="KZB90" s="63" t="s">
        <v>879</v>
      </c>
      <c r="KZC90" s="60"/>
      <c r="KZR90" s="63" t="s">
        <v>879</v>
      </c>
      <c r="KZS90" s="60"/>
      <c r="LAH90" s="63" t="s">
        <v>879</v>
      </c>
      <c r="LAI90" s="60"/>
      <c r="LAX90" s="63" t="s">
        <v>879</v>
      </c>
      <c r="LAY90" s="60"/>
      <c r="LBN90" s="63" t="s">
        <v>879</v>
      </c>
      <c r="LBO90" s="60"/>
      <c r="LCD90" s="63" t="s">
        <v>879</v>
      </c>
      <c r="LCE90" s="60"/>
      <c r="LCT90" s="63" t="s">
        <v>879</v>
      </c>
      <c r="LCU90" s="60"/>
      <c r="LDJ90" s="63" t="s">
        <v>879</v>
      </c>
      <c r="LDK90" s="60"/>
      <c r="LDZ90" s="63" t="s">
        <v>879</v>
      </c>
      <c r="LEA90" s="60"/>
      <c r="LEP90" s="63" t="s">
        <v>879</v>
      </c>
      <c r="LEQ90" s="60"/>
      <c r="LFF90" s="63" t="s">
        <v>879</v>
      </c>
      <c r="LFG90" s="60"/>
      <c r="LFV90" s="63" t="s">
        <v>879</v>
      </c>
      <c r="LFW90" s="60"/>
      <c r="LGL90" s="63" t="s">
        <v>879</v>
      </c>
      <c r="LGM90" s="60"/>
      <c r="LHB90" s="63" t="s">
        <v>879</v>
      </c>
      <c r="LHC90" s="60"/>
      <c r="LHR90" s="63" t="s">
        <v>879</v>
      </c>
      <c r="LHS90" s="60"/>
      <c r="LIH90" s="63" t="s">
        <v>879</v>
      </c>
      <c r="LII90" s="60"/>
      <c r="LIX90" s="63" t="s">
        <v>879</v>
      </c>
      <c r="LIY90" s="60"/>
      <c r="LJN90" s="63" t="s">
        <v>879</v>
      </c>
      <c r="LJO90" s="60"/>
      <c r="LKD90" s="63" t="s">
        <v>879</v>
      </c>
      <c r="LKE90" s="60"/>
      <c r="LKT90" s="63" t="s">
        <v>879</v>
      </c>
      <c r="LKU90" s="60"/>
      <c r="LLJ90" s="63" t="s">
        <v>879</v>
      </c>
      <c r="LLK90" s="60"/>
      <c r="LLZ90" s="63" t="s">
        <v>879</v>
      </c>
      <c r="LMA90" s="60"/>
      <c r="LMP90" s="63" t="s">
        <v>879</v>
      </c>
      <c r="LMQ90" s="60"/>
      <c r="LNF90" s="63" t="s">
        <v>879</v>
      </c>
      <c r="LNG90" s="60"/>
      <c r="LNV90" s="63" t="s">
        <v>879</v>
      </c>
      <c r="LNW90" s="60"/>
      <c r="LOL90" s="63" t="s">
        <v>879</v>
      </c>
      <c r="LOM90" s="60"/>
      <c r="LPB90" s="63" t="s">
        <v>879</v>
      </c>
      <c r="LPC90" s="60"/>
      <c r="LPR90" s="63" t="s">
        <v>879</v>
      </c>
      <c r="LPS90" s="60"/>
      <c r="LQH90" s="63" t="s">
        <v>879</v>
      </c>
      <c r="LQI90" s="60"/>
      <c r="LQX90" s="63" t="s">
        <v>879</v>
      </c>
      <c r="LQY90" s="60"/>
      <c r="LRN90" s="63" t="s">
        <v>879</v>
      </c>
      <c r="LRO90" s="60"/>
      <c r="LSD90" s="63" t="s">
        <v>879</v>
      </c>
      <c r="LSE90" s="60"/>
      <c r="LST90" s="63" t="s">
        <v>879</v>
      </c>
      <c r="LSU90" s="60"/>
      <c r="LTJ90" s="63" t="s">
        <v>879</v>
      </c>
      <c r="LTK90" s="60"/>
      <c r="LTZ90" s="63" t="s">
        <v>879</v>
      </c>
      <c r="LUA90" s="60"/>
      <c r="LUP90" s="63" t="s">
        <v>879</v>
      </c>
      <c r="LUQ90" s="60"/>
      <c r="LVF90" s="63" t="s">
        <v>879</v>
      </c>
      <c r="LVG90" s="60"/>
      <c r="LVV90" s="63" t="s">
        <v>879</v>
      </c>
      <c r="LVW90" s="60"/>
      <c r="LWL90" s="63" t="s">
        <v>879</v>
      </c>
      <c r="LWM90" s="60"/>
      <c r="LXB90" s="63" t="s">
        <v>879</v>
      </c>
      <c r="LXC90" s="60"/>
      <c r="LXR90" s="63" t="s">
        <v>879</v>
      </c>
      <c r="LXS90" s="60"/>
      <c r="LYH90" s="63" t="s">
        <v>879</v>
      </c>
      <c r="LYI90" s="60"/>
      <c r="LYX90" s="63" t="s">
        <v>879</v>
      </c>
      <c r="LYY90" s="60"/>
      <c r="LZN90" s="63" t="s">
        <v>879</v>
      </c>
      <c r="LZO90" s="60"/>
      <c r="MAD90" s="63" t="s">
        <v>879</v>
      </c>
      <c r="MAE90" s="60"/>
      <c r="MAT90" s="63" t="s">
        <v>879</v>
      </c>
      <c r="MAU90" s="60"/>
      <c r="MBJ90" s="63" t="s">
        <v>879</v>
      </c>
      <c r="MBK90" s="60"/>
      <c r="MBZ90" s="63" t="s">
        <v>879</v>
      </c>
      <c r="MCA90" s="60"/>
      <c r="MCP90" s="63" t="s">
        <v>879</v>
      </c>
      <c r="MCQ90" s="60"/>
      <c r="MDF90" s="63" t="s">
        <v>879</v>
      </c>
      <c r="MDG90" s="60"/>
      <c r="MDV90" s="63" t="s">
        <v>879</v>
      </c>
      <c r="MDW90" s="60"/>
      <c r="MEL90" s="63" t="s">
        <v>879</v>
      </c>
      <c r="MEM90" s="60"/>
      <c r="MFB90" s="63" t="s">
        <v>879</v>
      </c>
      <c r="MFC90" s="60"/>
      <c r="MFR90" s="63" t="s">
        <v>879</v>
      </c>
      <c r="MFS90" s="60"/>
      <c r="MGH90" s="63" t="s">
        <v>879</v>
      </c>
      <c r="MGI90" s="60"/>
      <c r="MGX90" s="63" t="s">
        <v>879</v>
      </c>
      <c r="MGY90" s="60"/>
      <c r="MHN90" s="63" t="s">
        <v>879</v>
      </c>
      <c r="MHO90" s="60"/>
      <c r="MID90" s="63" t="s">
        <v>879</v>
      </c>
      <c r="MIE90" s="60"/>
      <c r="MIT90" s="63" t="s">
        <v>879</v>
      </c>
      <c r="MIU90" s="60"/>
      <c r="MJJ90" s="63" t="s">
        <v>879</v>
      </c>
      <c r="MJK90" s="60"/>
      <c r="MJZ90" s="63" t="s">
        <v>879</v>
      </c>
      <c r="MKA90" s="60"/>
      <c r="MKP90" s="63" t="s">
        <v>879</v>
      </c>
      <c r="MKQ90" s="60"/>
      <c r="MLF90" s="63" t="s">
        <v>879</v>
      </c>
      <c r="MLG90" s="60"/>
      <c r="MLV90" s="63" t="s">
        <v>879</v>
      </c>
      <c r="MLW90" s="60"/>
      <c r="MML90" s="63" t="s">
        <v>879</v>
      </c>
      <c r="MMM90" s="60"/>
      <c r="MNB90" s="63" t="s">
        <v>879</v>
      </c>
      <c r="MNC90" s="60"/>
      <c r="MNR90" s="63" t="s">
        <v>879</v>
      </c>
      <c r="MNS90" s="60"/>
      <c r="MOH90" s="63" t="s">
        <v>879</v>
      </c>
      <c r="MOI90" s="60"/>
      <c r="MOX90" s="63" t="s">
        <v>879</v>
      </c>
      <c r="MOY90" s="60"/>
      <c r="MPN90" s="63" t="s">
        <v>879</v>
      </c>
      <c r="MPO90" s="60"/>
      <c r="MQD90" s="63" t="s">
        <v>879</v>
      </c>
      <c r="MQE90" s="60"/>
      <c r="MQT90" s="63" t="s">
        <v>879</v>
      </c>
      <c r="MQU90" s="60"/>
      <c r="MRJ90" s="63" t="s">
        <v>879</v>
      </c>
      <c r="MRK90" s="60"/>
      <c r="MRZ90" s="63" t="s">
        <v>879</v>
      </c>
      <c r="MSA90" s="60"/>
      <c r="MSP90" s="63" t="s">
        <v>879</v>
      </c>
      <c r="MSQ90" s="60"/>
      <c r="MTF90" s="63" t="s">
        <v>879</v>
      </c>
      <c r="MTG90" s="60"/>
      <c r="MTV90" s="63" t="s">
        <v>879</v>
      </c>
      <c r="MTW90" s="60"/>
      <c r="MUL90" s="63" t="s">
        <v>879</v>
      </c>
      <c r="MUM90" s="60"/>
      <c r="MVB90" s="63" t="s">
        <v>879</v>
      </c>
      <c r="MVC90" s="60"/>
      <c r="MVR90" s="63" t="s">
        <v>879</v>
      </c>
      <c r="MVS90" s="60"/>
      <c r="MWH90" s="63" t="s">
        <v>879</v>
      </c>
      <c r="MWI90" s="60"/>
      <c r="MWX90" s="63" t="s">
        <v>879</v>
      </c>
      <c r="MWY90" s="60"/>
      <c r="MXN90" s="63" t="s">
        <v>879</v>
      </c>
      <c r="MXO90" s="60"/>
      <c r="MYD90" s="63" t="s">
        <v>879</v>
      </c>
      <c r="MYE90" s="60"/>
      <c r="MYT90" s="63" t="s">
        <v>879</v>
      </c>
      <c r="MYU90" s="60"/>
      <c r="MZJ90" s="63" t="s">
        <v>879</v>
      </c>
      <c r="MZK90" s="60"/>
      <c r="MZZ90" s="63" t="s">
        <v>879</v>
      </c>
      <c r="NAA90" s="60"/>
      <c r="NAP90" s="63" t="s">
        <v>879</v>
      </c>
      <c r="NAQ90" s="60"/>
      <c r="NBF90" s="63" t="s">
        <v>879</v>
      </c>
      <c r="NBG90" s="60"/>
      <c r="NBV90" s="63" t="s">
        <v>879</v>
      </c>
      <c r="NBW90" s="60"/>
      <c r="NCL90" s="63" t="s">
        <v>879</v>
      </c>
      <c r="NCM90" s="60"/>
      <c r="NDB90" s="63" t="s">
        <v>879</v>
      </c>
      <c r="NDC90" s="60"/>
      <c r="NDR90" s="63" t="s">
        <v>879</v>
      </c>
      <c r="NDS90" s="60"/>
      <c r="NEH90" s="63" t="s">
        <v>879</v>
      </c>
      <c r="NEI90" s="60"/>
      <c r="NEX90" s="63" t="s">
        <v>879</v>
      </c>
      <c r="NEY90" s="60"/>
      <c r="NFN90" s="63" t="s">
        <v>879</v>
      </c>
      <c r="NFO90" s="60"/>
      <c r="NGD90" s="63" t="s">
        <v>879</v>
      </c>
      <c r="NGE90" s="60"/>
      <c r="NGT90" s="63" t="s">
        <v>879</v>
      </c>
      <c r="NGU90" s="60"/>
      <c r="NHJ90" s="63" t="s">
        <v>879</v>
      </c>
      <c r="NHK90" s="60"/>
      <c r="NHZ90" s="63" t="s">
        <v>879</v>
      </c>
      <c r="NIA90" s="60"/>
      <c r="NIP90" s="63" t="s">
        <v>879</v>
      </c>
      <c r="NIQ90" s="60"/>
      <c r="NJF90" s="63" t="s">
        <v>879</v>
      </c>
      <c r="NJG90" s="60"/>
      <c r="NJV90" s="63" t="s">
        <v>879</v>
      </c>
      <c r="NJW90" s="60"/>
      <c r="NKL90" s="63" t="s">
        <v>879</v>
      </c>
      <c r="NKM90" s="60"/>
      <c r="NLB90" s="63" t="s">
        <v>879</v>
      </c>
      <c r="NLC90" s="60"/>
      <c r="NLR90" s="63" t="s">
        <v>879</v>
      </c>
      <c r="NLS90" s="60"/>
      <c r="NMH90" s="63" t="s">
        <v>879</v>
      </c>
      <c r="NMI90" s="60"/>
      <c r="NMX90" s="63" t="s">
        <v>879</v>
      </c>
      <c r="NMY90" s="60"/>
      <c r="NNN90" s="63" t="s">
        <v>879</v>
      </c>
      <c r="NNO90" s="60"/>
      <c r="NOD90" s="63" t="s">
        <v>879</v>
      </c>
      <c r="NOE90" s="60"/>
      <c r="NOT90" s="63" t="s">
        <v>879</v>
      </c>
      <c r="NOU90" s="60"/>
      <c r="NPJ90" s="63" t="s">
        <v>879</v>
      </c>
      <c r="NPK90" s="60"/>
      <c r="NPZ90" s="63" t="s">
        <v>879</v>
      </c>
      <c r="NQA90" s="60"/>
      <c r="NQP90" s="63" t="s">
        <v>879</v>
      </c>
      <c r="NQQ90" s="60"/>
      <c r="NRF90" s="63" t="s">
        <v>879</v>
      </c>
      <c r="NRG90" s="60"/>
      <c r="NRV90" s="63" t="s">
        <v>879</v>
      </c>
      <c r="NRW90" s="60"/>
      <c r="NSL90" s="63" t="s">
        <v>879</v>
      </c>
      <c r="NSM90" s="60"/>
      <c r="NTB90" s="63" t="s">
        <v>879</v>
      </c>
      <c r="NTC90" s="60"/>
      <c r="NTR90" s="63" t="s">
        <v>879</v>
      </c>
      <c r="NTS90" s="60"/>
      <c r="NUH90" s="63" t="s">
        <v>879</v>
      </c>
      <c r="NUI90" s="60"/>
      <c r="NUX90" s="63" t="s">
        <v>879</v>
      </c>
      <c r="NUY90" s="60"/>
      <c r="NVN90" s="63" t="s">
        <v>879</v>
      </c>
      <c r="NVO90" s="60"/>
      <c r="NWD90" s="63" t="s">
        <v>879</v>
      </c>
      <c r="NWE90" s="60"/>
      <c r="NWT90" s="63" t="s">
        <v>879</v>
      </c>
      <c r="NWU90" s="60"/>
      <c r="NXJ90" s="63" t="s">
        <v>879</v>
      </c>
      <c r="NXK90" s="60"/>
      <c r="NXZ90" s="63" t="s">
        <v>879</v>
      </c>
      <c r="NYA90" s="60"/>
      <c r="NYP90" s="63" t="s">
        <v>879</v>
      </c>
      <c r="NYQ90" s="60"/>
      <c r="NZF90" s="63" t="s">
        <v>879</v>
      </c>
      <c r="NZG90" s="60"/>
      <c r="NZV90" s="63" t="s">
        <v>879</v>
      </c>
      <c r="NZW90" s="60"/>
      <c r="OAL90" s="63" t="s">
        <v>879</v>
      </c>
      <c r="OAM90" s="60"/>
      <c r="OBB90" s="63" t="s">
        <v>879</v>
      </c>
      <c r="OBC90" s="60"/>
      <c r="OBR90" s="63" t="s">
        <v>879</v>
      </c>
      <c r="OBS90" s="60"/>
      <c r="OCH90" s="63" t="s">
        <v>879</v>
      </c>
      <c r="OCI90" s="60"/>
      <c r="OCX90" s="63" t="s">
        <v>879</v>
      </c>
      <c r="OCY90" s="60"/>
      <c r="ODN90" s="63" t="s">
        <v>879</v>
      </c>
      <c r="ODO90" s="60"/>
      <c r="OED90" s="63" t="s">
        <v>879</v>
      </c>
      <c r="OEE90" s="60"/>
      <c r="OET90" s="63" t="s">
        <v>879</v>
      </c>
      <c r="OEU90" s="60"/>
      <c r="OFJ90" s="63" t="s">
        <v>879</v>
      </c>
      <c r="OFK90" s="60"/>
      <c r="OFZ90" s="63" t="s">
        <v>879</v>
      </c>
      <c r="OGA90" s="60"/>
      <c r="OGP90" s="63" t="s">
        <v>879</v>
      </c>
      <c r="OGQ90" s="60"/>
      <c r="OHF90" s="63" t="s">
        <v>879</v>
      </c>
      <c r="OHG90" s="60"/>
      <c r="OHV90" s="63" t="s">
        <v>879</v>
      </c>
      <c r="OHW90" s="60"/>
      <c r="OIL90" s="63" t="s">
        <v>879</v>
      </c>
      <c r="OIM90" s="60"/>
      <c r="OJB90" s="63" t="s">
        <v>879</v>
      </c>
      <c r="OJC90" s="60"/>
      <c r="OJR90" s="63" t="s">
        <v>879</v>
      </c>
      <c r="OJS90" s="60"/>
      <c r="OKH90" s="63" t="s">
        <v>879</v>
      </c>
      <c r="OKI90" s="60"/>
      <c r="OKX90" s="63" t="s">
        <v>879</v>
      </c>
      <c r="OKY90" s="60"/>
      <c r="OLN90" s="63" t="s">
        <v>879</v>
      </c>
      <c r="OLO90" s="60"/>
      <c r="OMD90" s="63" t="s">
        <v>879</v>
      </c>
      <c r="OME90" s="60"/>
      <c r="OMT90" s="63" t="s">
        <v>879</v>
      </c>
      <c r="OMU90" s="60"/>
      <c r="ONJ90" s="63" t="s">
        <v>879</v>
      </c>
      <c r="ONK90" s="60"/>
      <c r="ONZ90" s="63" t="s">
        <v>879</v>
      </c>
      <c r="OOA90" s="60"/>
      <c r="OOP90" s="63" t="s">
        <v>879</v>
      </c>
      <c r="OOQ90" s="60"/>
      <c r="OPF90" s="63" t="s">
        <v>879</v>
      </c>
      <c r="OPG90" s="60"/>
      <c r="OPV90" s="63" t="s">
        <v>879</v>
      </c>
      <c r="OPW90" s="60"/>
      <c r="OQL90" s="63" t="s">
        <v>879</v>
      </c>
      <c r="OQM90" s="60"/>
      <c r="ORB90" s="63" t="s">
        <v>879</v>
      </c>
      <c r="ORC90" s="60"/>
      <c r="ORR90" s="63" t="s">
        <v>879</v>
      </c>
      <c r="ORS90" s="60"/>
      <c r="OSH90" s="63" t="s">
        <v>879</v>
      </c>
      <c r="OSI90" s="60"/>
      <c r="OSX90" s="63" t="s">
        <v>879</v>
      </c>
      <c r="OSY90" s="60"/>
      <c r="OTN90" s="63" t="s">
        <v>879</v>
      </c>
      <c r="OTO90" s="60"/>
      <c r="OUD90" s="63" t="s">
        <v>879</v>
      </c>
      <c r="OUE90" s="60"/>
      <c r="OUT90" s="63" t="s">
        <v>879</v>
      </c>
      <c r="OUU90" s="60"/>
      <c r="OVJ90" s="63" t="s">
        <v>879</v>
      </c>
      <c r="OVK90" s="60"/>
      <c r="OVZ90" s="63" t="s">
        <v>879</v>
      </c>
      <c r="OWA90" s="60"/>
      <c r="OWP90" s="63" t="s">
        <v>879</v>
      </c>
      <c r="OWQ90" s="60"/>
      <c r="OXF90" s="63" t="s">
        <v>879</v>
      </c>
      <c r="OXG90" s="60"/>
      <c r="OXV90" s="63" t="s">
        <v>879</v>
      </c>
      <c r="OXW90" s="60"/>
      <c r="OYL90" s="63" t="s">
        <v>879</v>
      </c>
      <c r="OYM90" s="60"/>
      <c r="OZB90" s="63" t="s">
        <v>879</v>
      </c>
      <c r="OZC90" s="60"/>
      <c r="OZR90" s="63" t="s">
        <v>879</v>
      </c>
      <c r="OZS90" s="60"/>
      <c r="PAH90" s="63" t="s">
        <v>879</v>
      </c>
      <c r="PAI90" s="60"/>
      <c r="PAX90" s="63" t="s">
        <v>879</v>
      </c>
      <c r="PAY90" s="60"/>
      <c r="PBN90" s="63" t="s">
        <v>879</v>
      </c>
      <c r="PBO90" s="60"/>
      <c r="PCD90" s="63" t="s">
        <v>879</v>
      </c>
      <c r="PCE90" s="60"/>
      <c r="PCT90" s="63" t="s">
        <v>879</v>
      </c>
      <c r="PCU90" s="60"/>
      <c r="PDJ90" s="63" t="s">
        <v>879</v>
      </c>
      <c r="PDK90" s="60"/>
      <c r="PDZ90" s="63" t="s">
        <v>879</v>
      </c>
      <c r="PEA90" s="60"/>
      <c r="PEP90" s="63" t="s">
        <v>879</v>
      </c>
      <c r="PEQ90" s="60"/>
      <c r="PFF90" s="63" t="s">
        <v>879</v>
      </c>
      <c r="PFG90" s="60"/>
      <c r="PFV90" s="63" t="s">
        <v>879</v>
      </c>
      <c r="PFW90" s="60"/>
      <c r="PGL90" s="63" t="s">
        <v>879</v>
      </c>
      <c r="PGM90" s="60"/>
      <c r="PHB90" s="63" t="s">
        <v>879</v>
      </c>
      <c r="PHC90" s="60"/>
      <c r="PHR90" s="63" t="s">
        <v>879</v>
      </c>
      <c r="PHS90" s="60"/>
      <c r="PIH90" s="63" t="s">
        <v>879</v>
      </c>
      <c r="PII90" s="60"/>
      <c r="PIX90" s="63" t="s">
        <v>879</v>
      </c>
      <c r="PIY90" s="60"/>
      <c r="PJN90" s="63" t="s">
        <v>879</v>
      </c>
      <c r="PJO90" s="60"/>
      <c r="PKD90" s="63" t="s">
        <v>879</v>
      </c>
      <c r="PKE90" s="60"/>
      <c r="PKT90" s="63" t="s">
        <v>879</v>
      </c>
      <c r="PKU90" s="60"/>
      <c r="PLJ90" s="63" t="s">
        <v>879</v>
      </c>
      <c r="PLK90" s="60"/>
      <c r="PLZ90" s="63" t="s">
        <v>879</v>
      </c>
      <c r="PMA90" s="60"/>
      <c r="PMP90" s="63" t="s">
        <v>879</v>
      </c>
      <c r="PMQ90" s="60"/>
      <c r="PNF90" s="63" t="s">
        <v>879</v>
      </c>
      <c r="PNG90" s="60"/>
      <c r="PNV90" s="63" t="s">
        <v>879</v>
      </c>
      <c r="PNW90" s="60"/>
      <c r="POL90" s="63" t="s">
        <v>879</v>
      </c>
      <c r="POM90" s="60"/>
      <c r="PPB90" s="63" t="s">
        <v>879</v>
      </c>
      <c r="PPC90" s="60"/>
      <c r="PPR90" s="63" t="s">
        <v>879</v>
      </c>
      <c r="PPS90" s="60"/>
      <c r="PQH90" s="63" t="s">
        <v>879</v>
      </c>
      <c r="PQI90" s="60"/>
      <c r="PQX90" s="63" t="s">
        <v>879</v>
      </c>
      <c r="PQY90" s="60"/>
      <c r="PRN90" s="63" t="s">
        <v>879</v>
      </c>
      <c r="PRO90" s="60"/>
      <c r="PSD90" s="63" t="s">
        <v>879</v>
      </c>
      <c r="PSE90" s="60"/>
      <c r="PST90" s="63" t="s">
        <v>879</v>
      </c>
      <c r="PSU90" s="60"/>
      <c r="PTJ90" s="63" t="s">
        <v>879</v>
      </c>
      <c r="PTK90" s="60"/>
      <c r="PTZ90" s="63" t="s">
        <v>879</v>
      </c>
      <c r="PUA90" s="60"/>
      <c r="PUP90" s="63" t="s">
        <v>879</v>
      </c>
      <c r="PUQ90" s="60"/>
      <c r="PVF90" s="63" t="s">
        <v>879</v>
      </c>
      <c r="PVG90" s="60"/>
      <c r="PVV90" s="63" t="s">
        <v>879</v>
      </c>
      <c r="PVW90" s="60"/>
      <c r="PWL90" s="63" t="s">
        <v>879</v>
      </c>
      <c r="PWM90" s="60"/>
      <c r="PXB90" s="63" t="s">
        <v>879</v>
      </c>
      <c r="PXC90" s="60"/>
      <c r="PXR90" s="63" t="s">
        <v>879</v>
      </c>
      <c r="PXS90" s="60"/>
      <c r="PYH90" s="63" t="s">
        <v>879</v>
      </c>
      <c r="PYI90" s="60"/>
      <c r="PYX90" s="63" t="s">
        <v>879</v>
      </c>
      <c r="PYY90" s="60"/>
      <c r="PZN90" s="63" t="s">
        <v>879</v>
      </c>
      <c r="PZO90" s="60"/>
      <c r="QAD90" s="63" t="s">
        <v>879</v>
      </c>
      <c r="QAE90" s="60"/>
      <c r="QAT90" s="63" t="s">
        <v>879</v>
      </c>
      <c r="QAU90" s="60"/>
      <c r="QBJ90" s="63" t="s">
        <v>879</v>
      </c>
      <c r="QBK90" s="60"/>
      <c r="QBZ90" s="63" t="s">
        <v>879</v>
      </c>
      <c r="QCA90" s="60"/>
      <c r="QCP90" s="63" t="s">
        <v>879</v>
      </c>
      <c r="QCQ90" s="60"/>
      <c r="QDF90" s="63" t="s">
        <v>879</v>
      </c>
      <c r="QDG90" s="60"/>
      <c r="QDV90" s="63" t="s">
        <v>879</v>
      </c>
      <c r="QDW90" s="60"/>
      <c r="QEL90" s="63" t="s">
        <v>879</v>
      </c>
      <c r="QEM90" s="60"/>
      <c r="QFB90" s="63" t="s">
        <v>879</v>
      </c>
      <c r="QFC90" s="60"/>
      <c r="QFR90" s="63" t="s">
        <v>879</v>
      </c>
      <c r="QFS90" s="60"/>
      <c r="QGH90" s="63" t="s">
        <v>879</v>
      </c>
      <c r="QGI90" s="60"/>
      <c r="QGX90" s="63" t="s">
        <v>879</v>
      </c>
      <c r="QGY90" s="60"/>
      <c r="QHN90" s="63" t="s">
        <v>879</v>
      </c>
      <c r="QHO90" s="60"/>
      <c r="QID90" s="63" t="s">
        <v>879</v>
      </c>
      <c r="QIE90" s="60"/>
      <c r="QIT90" s="63" t="s">
        <v>879</v>
      </c>
      <c r="QIU90" s="60"/>
      <c r="QJJ90" s="63" t="s">
        <v>879</v>
      </c>
      <c r="QJK90" s="60"/>
      <c r="QJZ90" s="63" t="s">
        <v>879</v>
      </c>
      <c r="QKA90" s="60"/>
      <c r="QKP90" s="63" t="s">
        <v>879</v>
      </c>
      <c r="QKQ90" s="60"/>
      <c r="QLF90" s="63" t="s">
        <v>879</v>
      </c>
      <c r="QLG90" s="60"/>
      <c r="QLV90" s="63" t="s">
        <v>879</v>
      </c>
      <c r="QLW90" s="60"/>
      <c r="QML90" s="63" t="s">
        <v>879</v>
      </c>
      <c r="QMM90" s="60"/>
      <c r="QNB90" s="63" t="s">
        <v>879</v>
      </c>
      <c r="QNC90" s="60"/>
      <c r="QNR90" s="63" t="s">
        <v>879</v>
      </c>
      <c r="QNS90" s="60"/>
      <c r="QOH90" s="63" t="s">
        <v>879</v>
      </c>
      <c r="QOI90" s="60"/>
      <c r="QOX90" s="63" t="s">
        <v>879</v>
      </c>
      <c r="QOY90" s="60"/>
      <c r="QPN90" s="63" t="s">
        <v>879</v>
      </c>
      <c r="QPO90" s="60"/>
      <c r="QQD90" s="63" t="s">
        <v>879</v>
      </c>
      <c r="QQE90" s="60"/>
      <c r="QQT90" s="63" t="s">
        <v>879</v>
      </c>
      <c r="QQU90" s="60"/>
      <c r="QRJ90" s="63" t="s">
        <v>879</v>
      </c>
      <c r="QRK90" s="60"/>
      <c r="QRZ90" s="63" t="s">
        <v>879</v>
      </c>
      <c r="QSA90" s="60"/>
      <c r="QSP90" s="63" t="s">
        <v>879</v>
      </c>
      <c r="QSQ90" s="60"/>
      <c r="QTF90" s="63" t="s">
        <v>879</v>
      </c>
      <c r="QTG90" s="60"/>
      <c r="QTV90" s="63" t="s">
        <v>879</v>
      </c>
      <c r="QTW90" s="60"/>
      <c r="QUL90" s="63" t="s">
        <v>879</v>
      </c>
      <c r="QUM90" s="60"/>
      <c r="QVB90" s="63" t="s">
        <v>879</v>
      </c>
      <c r="QVC90" s="60"/>
      <c r="QVR90" s="63" t="s">
        <v>879</v>
      </c>
      <c r="QVS90" s="60"/>
      <c r="QWH90" s="63" t="s">
        <v>879</v>
      </c>
      <c r="QWI90" s="60"/>
      <c r="QWX90" s="63" t="s">
        <v>879</v>
      </c>
      <c r="QWY90" s="60"/>
      <c r="QXN90" s="63" t="s">
        <v>879</v>
      </c>
      <c r="QXO90" s="60"/>
      <c r="QYD90" s="63" t="s">
        <v>879</v>
      </c>
      <c r="QYE90" s="60"/>
      <c r="QYT90" s="63" t="s">
        <v>879</v>
      </c>
      <c r="QYU90" s="60"/>
      <c r="QZJ90" s="63" t="s">
        <v>879</v>
      </c>
      <c r="QZK90" s="60"/>
      <c r="QZZ90" s="63" t="s">
        <v>879</v>
      </c>
      <c r="RAA90" s="60"/>
      <c r="RAP90" s="63" t="s">
        <v>879</v>
      </c>
      <c r="RAQ90" s="60"/>
      <c r="RBF90" s="63" t="s">
        <v>879</v>
      </c>
      <c r="RBG90" s="60"/>
      <c r="RBV90" s="63" t="s">
        <v>879</v>
      </c>
      <c r="RBW90" s="60"/>
      <c r="RCL90" s="63" t="s">
        <v>879</v>
      </c>
      <c r="RCM90" s="60"/>
      <c r="RDB90" s="63" t="s">
        <v>879</v>
      </c>
      <c r="RDC90" s="60"/>
      <c r="RDR90" s="63" t="s">
        <v>879</v>
      </c>
      <c r="RDS90" s="60"/>
      <c r="REH90" s="63" t="s">
        <v>879</v>
      </c>
      <c r="REI90" s="60"/>
      <c r="REX90" s="63" t="s">
        <v>879</v>
      </c>
      <c r="REY90" s="60"/>
      <c r="RFN90" s="63" t="s">
        <v>879</v>
      </c>
      <c r="RFO90" s="60"/>
      <c r="RGD90" s="63" t="s">
        <v>879</v>
      </c>
      <c r="RGE90" s="60"/>
      <c r="RGT90" s="63" t="s">
        <v>879</v>
      </c>
      <c r="RGU90" s="60"/>
      <c r="RHJ90" s="63" t="s">
        <v>879</v>
      </c>
      <c r="RHK90" s="60"/>
      <c r="RHZ90" s="63" t="s">
        <v>879</v>
      </c>
      <c r="RIA90" s="60"/>
      <c r="RIP90" s="63" t="s">
        <v>879</v>
      </c>
      <c r="RIQ90" s="60"/>
      <c r="RJF90" s="63" t="s">
        <v>879</v>
      </c>
      <c r="RJG90" s="60"/>
      <c r="RJV90" s="63" t="s">
        <v>879</v>
      </c>
      <c r="RJW90" s="60"/>
      <c r="RKL90" s="63" t="s">
        <v>879</v>
      </c>
      <c r="RKM90" s="60"/>
      <c r="RLB90" s="63" t="s">
        <v>879</v>
      </c>
      <c r="RLC90" s="60"/>
      <c r="RLR90" s="63" t="s">
        <v>879</v>
      </c>
      <c r="RLS90" s="60"/>
      <c r="RMH90" s="63" t="s">
        <v>879</v>
      </c>
      <c r="RMI90" s="60"/>
      <c r="RMX90" s="63" t="s">
        <v>879</v>
      </c>
      <c r="RMY90" s="60"/>
      <c r="RNN90" s="63" t="s">
        <v>879</v>
      </c>
      <c r="RNO90" s="60"/>
      <c r="ROD90" s="63" t="s">
        <v>879</v>
      </c>
      <c r="ROE90" s="60"/>
      <c r="ROT90" s="63" t="s">
        <v>879</v>
      </c>
      <c r="ROU90" s="60"/>
      <c r="RPJ90" s="63" t="s">
        <v>879</v>
      </c>
      <c r="RPK90" s="60"/>
      <c r="RPZ90" s="63" t="s">
        <v>879</v>
      </c>
      <c r="RQA90" s="60"/>
      <c r="RQP90" s="63" t="s">
        <v>879</v>
      </c>
      <c r="RQQ90" s="60"/>
      <c r="RRF90" s="63" t="s">
        <v>879</v>
      </c>
      <c r="RRG90" s="60"/>
      <c r="RRV90" s="63" t="s">
        <v>879</v>
      </c>
      <c r="RRW90" s="60"/>
      <c r="RSL90" s="63" t="s">
        <v>879</v>
      </c>
      <c r="RSM90" s="60"/>
      <c r="RTB90" s="63" t="s">
        <v>879</v>
      </c>
      <c r="RTC90" s="60"/>
      <c r="RTR90" s="63" t="s">
        <v>879</v>
      </c>
      <c r="RTS90" s="60"/>
      <c r="RUH90" s="63" t="s">
        <v>879</v>
      </c>
      <c r="RUI90" s="60"/>
      <c r="RUX90" s="63" t="s">
        <v>879</v>
      </c>
      <c r="RUY90" s="60"/>
      <c r="RVN90" s="63" t="s">
        <v>879</v>
      </c>
      <c r="RVO90" s="60"/>
      <c r="RWD90" s="63" t="s">
        <v>879</v>
      </c>
      <c r="RWE90" s="60"/>
      <c r="RWT90" s="63" t="s">
        <v>879</v>
      </c>
      <c r="RWU90" s="60"/>
      <c r="RXJ90" s="63" t="s">
        <v>879</v>
      </c>
      <c r="RXK90" s="60"/>
      <c r="RXZ90" s="63" t="s">
        <v>879</v>
      </c>
      <c r="RYA90" s="60"/>
      <c r="RYP90" s="63" t="s">
        <v>879</v>
      </c>
      <c r="RYQ90" s="60"/>
      <c r="RZF90" s="63" t="s">
        <v>879</v>
      </c>
      <c r="RZG90" s="60"/>
      <c r="RZV90" s="63" t="s">
        <v>879</v>
      </c>
      <c r="RZW90" s="60"/>
      <c r="SAL90" s="63" t="s">
        <v>879</v>
      </c>
      <c r="SAM90" s="60"/>
      <c r="SBB90" s="63" t="s">
        <v>879</v>
      </c>
      <c r="SBC90" s="60"/>
      <c r="SBR90" s="63" t="s">
        <v>879</v>
      </c>
      <c r="SBS90" s="60"/>
      <c r="SCH90" s="63" t="s">
        <v>879</v>
      </c>
      <c r="SCI90" s="60"/>
      <c r="SCX90" s="63" t="s">
        <v>879</v>
      </c>
      <c r="SCY90" s="60"/>
      <c r="SDN90" s="63" t="s">
        <v>879</v>
      </c>
      <c r="SDO90" s="60"/>
      <c r="SED90" s="63" t="s">
        <v>879</v>
      </c>
      <c r="SEE90" s="60"/>
      <c r="SET90" s="63" t="s">
        <v>879</v>
      </c>
      <c r="SEU90" s="60"/>
      <c r="SFJ90" s="63" t="s">
        <v>879</v>
      </c>
      <c r="SFK90" s="60"/>
      <c r="SFZ90" s="63" t="s">
        <v>879</v>
      </c>
      <c r="SGA90" s="60"/>
      <c r="SGP90" s="63" t="s">
        <v>879</v>
      </c>
      <c r="SGQ90" s="60"/>
      <c r="SHF90" s="63" t="s">
        <v>879</v>
      </c>
      <c r="SHG90" s="60"/>
      <c r="SHV90" s="63" t="s">
        <v>879</v>
      </c>
      <c r="SHW90" s="60"/>
      <c r="SIL90" s="63" t="s">
        <v>879</v>
      </c>
      <c r="SIM90" s="60"/>
      <c r="SJB90" s="63" t="s">
        <v>879</v>
      </c>
      <c r="SJC90" s="60"/>
      <c r="SJR90" s="63" t="s">
        <v>879</v>
      </c>
      <c r="SJS90" s="60"/>
      <c r="SKH90" s="63" t="s">
        <v>879</v>
      </c>
      <c r="SKI90" s="60"/>
      <c r="SKX90" s="63" t="s">
        <v>879</v>
      </c>
      <c r="SKY90" s="60"/>
      <c r="SLN90" s="63" t="s">
        <v>879</v>
      </c>
      <c r="SLO90" s="60"/>
      <c r="SMD90" s="63" t="s">
        <v>879</v>
      </c>
      <c r="SME90" s="60"/>
      <c r="SMT90" s="63" t="s">
        <v>879</v>
      </c>
      <c r="SMU90" s="60"/>
      <c r="SNJ90" s="63" t="s">
        <v>879</v>
      </c>
      <c r="SNK90" s="60"/>
      <c r="SNZ90" s="63" t="s">
        <v>879</v>
      </c>
      <c r="SOA90" s="60"/>
      <c r="SOP90" s="63" t="s">
        <v>879</v>
      </c>
      <c r="SOQ90" s="60"/>
      <c r="SPF90" s="63" t="s">
        <v>879</v>
      </c>
      <c r="SPG90" s="60"/>
      <c r="SPV90" s="63" t="s">
        <v>879</v>
      </c>
      <c r="SPW90" s="60"/>
      <c r="SQL90" s="63" t="s">
        <v>879</v>
      </c>
      <c r="SQM90" s="60"/>
      <c r="SRB90" s="63" t="s">
        <v>879</v>
      </c>
      <c r="SRC90" s="60"/>
      <c r="SRR90" s="63" t="s">
        <v>879</v>
      </c>
      <c r="SRS90" s="60"/>
      <c r="SSH90" s="63" t="s">
        <v>879</v>
      </c>
      <c r="SSI90" s="60"/>
      <c r="SSX90" s="63" t="s">
        <v>879</v>
      </c>
      <c r="SSY90" s="60"/>
      <c r="STN90" s="63" t="s">
        <v>879</v>
      </c>
      <c r="STO90" s="60"/>
      <c r="SUD90" s="63" t="s">
        <v>879</v>
      </c>
      <c r="SUE90" s="60"/>
      <c r="SUT90" s="63" t="s">
        <v>879</v>
      </c>
      <c r="SUU90" s="60"/>
      <c r="SVJ90" s="63" t="s">
        <v>879</v>
      </c>
      <c r="SVK90" s="60"/>
      <c r="SVZ90" s="63" t="s">
        <v>879</v>
      </c>
      <c r="SWA90" s="60"/>
      <c r="SWP90" s="63" t="s">
        <v>879</v>
      </c>
      <c r="SWQ90" s="60"/>
      <c r="SXF90" s="63" t="s">
        <v>879</v>
      </c>
      <c r="SXG90" s="60"/>
      <c r="SXV90" s="63" t="s">
        <v>879</v>
      </c>
      <c r="SXW90" s="60"/>
      <c r="SYL90" s="63" t="s">
        <v>879</v>
      </c>
      <c r="SYM90" s="60"/>
      <c r="SZB90" s="63" t="s">
        <v>879</v>
      </c>
      <c r="SZC90" s="60"/>
      <c r="SZR90" s="63" t="s">
        <v>879</v>
      </c>
      <c r="SZS90" s="60"/>
      <c r="TAH90" s="63" t="s">
        <v>879</v>
      </c>
      <c r="TAI90" s="60"/>
      <c r="TAX90" s="63" t="s">
        <v>879</v>
      </c>
      <c r="TAY90" s="60"/>
      <c r="TBN90" s="63" t="s">
        <v>879</v>
      </c>
      <c r="TBO90" s="60"/>
      <c r="TCD90" s="63" t="s">
        <v>879</v>
      </c>
      <c r="TCE90" s="60"/>
      <c r="TCT90" s="63" t="s">
        <v>879</v>
      </c>
      <c r="TCU90" s="60"/>
      <c r="TDJ90" s="63" t="s">
        <v>879</v>
      </c>
      <c r="TDK90" s="60"/>
      <c r="TDZ90" s="63" t="s">
        <v>879</v>
      </c>
      <c r="TEA90" s="60"/>
      <c r="TEP90" s="63" t="s">
        <v>879</v>
      </c>
      <c r="TEQ90" s="60"/>
      <c r="TFF90" s="63" t="s">
        <v>879</v>
      </c>
      <c r="TFG90" s="60"/>
      <c r="TFV90" s="63" t="s">
        <v>879</v>
      </c>
      <c r="TFW90" s="60"/>
      <c r="TGL90" s="63" t="s">
        <v>879</v>
      </c>
      <c r="TGM90" s="60"/>
      <c r="THB90" s="63" t="s">
        <v>879</v>
      </c>
      <c r="THC90" s="60"/>
      <c r="THR90" s="63" t="s">
        <v>879</v>
      </c>
      <c r="THS90" s="60"/>
      <c r="TIH90" s="63" t="s">
        <v>879</v>
      </c>
      <c r="TII90" s="60"/>
      <c r="TIX90" s="63" t="s">
        <v>879</v>
      </c>
      <c r="TIY90" s="60"/>
      <c r="TJN90" s="63" t="s">
        <v>879</v>
      </c>
      <c r="TJO90" s="60"/>
      <c r="TKD90" s="63" t="s">
        <v>879</v>
      </c>
      <c r="TKE90" s="60"/>
      <c r="TKT90" s="63" t="s">
        <v>879</v>
      </c>
      <c r="TKU90" s="60"/>
      <c r="TLJ90" s="63" t="s">
        <v>879</v>
      </c>
      <c r="TLK90" s="60"/>
      <c r="TLZ90" s="63" t="s">
        <v>879</v>
      </c>
      <c r="TMA90" s="60"/>
      <c r="TMP90" s="63" t="s">
        <v>879</v>
      </c>
      <c r="TMQ90" s="60"/>
      <c r="TNF90" s="63" t="s">
        <v>879</v>
      </c>
      <c r="TNG90" s="60"/>
      <c r="TNV90" s="63" t="s">
        <v>879</v>
      </c>
      <c r="TNW90" s="60"/>
      <c r="TOL90" s="63" t="s">
        <v>879</v>
      </c>
      <c r="TOM90" s="60"/>
      <c r="TPB90" s="63" t="s">
        <v>879</v>
      </c>
      <c r="TPC90" s="60"/>
      <c r="TPR90" s="63" t="s">
        <v>879</v>
      </c>
      <c r="TPS90" s="60"/>
      <c r="TQH90" s="63" t="s">
        <v>879</v>
      </c>
      <c r="TQI90" s="60"/>
      <c r="TQX90" s="63" t="s">
        <v>879</v>
      </c>
      <c r="TQY90" s="60"/>
      <c r="TRN90" s="63" t="s">
        <v>879</v>
      </c>
      <c r="TRO90" s="60"/>
      <c r="TSD90" s="63" t="s">
        <v>879</v>
      </c>
      <c r="TSE90" s="60"/>
      <c r="TST90" s="63" t="s">
        <v>879</v>
      </c>
      <c r="TSU90" s="60"/>
      <c r="TTJ90" s="63" t="s">
        <v>879</v>
      </c>
      <c r="TTK90" s="60"/>
      <c r="TTZ90" s="63" t="s">
        <v>879</v>
      </c>
      <c r="TUA90" s="60"/>
      <c r="TUP90" s="63" t="s">
        <v>879</v>
      </c>
      <c r="TUQ90" s="60"/>
      <c r="TVF90" s="63" t="s">
        <v>879</v>
      </c>
      <c r="TVG90" s="60"/>
      <c r="TVV90" s="63" t="s">
        <v>879</v>
      </c>
      <c r="TVW90" s="60"/>
      <c r="TWL90" s="63" t="s">
        <v>879</v>
      </c>
      <c r="TWM90" s="60"/>
      <c r="TXB90" s="63" t="s">
        <v>879</v>
      </c>
      <c r="TXC90" s="60"/>
      <c r="TXR90" s="63" t="s">
        <v>879</v>
      </c>
      <c r="TXS90" s="60"/>
      <c r="TYH90" s="63" t="s">
        <v>879</v>
      </c>
      <c r="TYI90" s="60"/>
      <c r="TYX90" s="63" t="s">
        <v>879</v>
      </c>
      <c r="TYY90" s="60"/>
      <c r="TZN90" s="63" t="s">
        <v>879</v>
      </c>
      <c r="TZO90" s="60"/>
      <c r="UAD90" s="63" t="s">
        <v>879</v>
      </c>
      <c r="UAE90" s="60"/>
      <c r="UAT90" s="63" t="s">
        <v>879</v>
      </c>
      <c r="UAU90" s="60"/>
      <c r="UBJ90" s="63" t="s">
        <v>879</v>
      </c>
      <c r="UBK90" s="60"/>
      <c r="UBZ90" s="63" t="s">
        <v>879</v>
      </c>
      <c r="UCA90" s="60"/>
      <c r="UCP90" s="63" t="s">
        <v>879</v>
      </c>
      <c r="UCQ90" s="60"/>
      <c r="UDF90" s="63" t="s">
        <v>879</v>
      </c>
      <c r="UDG90" s="60"/>
      <c r="UDV90" s="63" t="s">
        <v>879</v>
      </c>
      <c r="UDW90" s="60"/>
      <c r="UEL90" s="63" t="s">
        <v>879</v>
      </c>
      <c r="UEM90" s="60"/>
      <c r="UFB90" s="63" t="s">
        <v>879</v>
      </c>
      <c r="UFC90" s="60"/>
      <c r="UFR90" s="63" t="s">
        <v>879</v>
      </c>
      <c r="UFS90" s="60"/>
      <c r="UGH90" s="63" t="s">
        <v>879</v>
      </c>
      <c r="UGI90" s="60"/>
      <c r="UGX90" s="63" t="s">
        <v>879</v>
      </c>
      <c r="UGY90" s="60"/>
      <c r="UHN90" s="63" t="s">
        <v>879</v>
      </c>
      <c r="UHO90" s="60"/>
      <c r="UID90" s="63" t="s">
        <v>879</v>
      </c>
      <c r="UIE90" s="60"/>
      <c r="UIT90" s="63" t="s">
        <v>879</v>
      </c>
      <c r="UIU90" s="60"/>
      <c r="UJJ90" s="63" t="s">
        <v>879</v>
      </c>
      <c r="UJK90" s="60"/>
      <c r="UJZ90" s="63" t="s">
        <v>879</v>
      </c>
      <c r="UKA90" s="60"/>
      <c r="UKP90" s="63" t="s">
        <v>879</v>
      </c>
      <c r="UKQ90" s="60"/>
      <c r="ULF90" s="63" t="s">
        <v>879</v>
      </c>
      <c r="ULG90" s="60"/>
      <c r="ULV90" s="63" t="s">
        <v>879</v>
      </c>
      <c r="ULW90" s="60"/>
      <c r="UML90" s="63" t="s">
        <v>879</v>
      </c>
      <c r="UMM90" s="60"/>
      <c r="UNB90" s="63" t="s">
        <v>879</v>
      </c>
      <c r="UNC90" s="60"/>
      <c r="UNR90" s="63" t="s">
        <v>879</v>
      </c>
      <c r="UNS90" s="60"/>
      <c r="UOH90" s="63" t="s">
        <v>879</v>
      </c>
      <c r="UOI90" s="60"/>
      <c r="UOX90" s="63" t="s">
        <v>879</v>
      </c>
      <c r="UOY90" s="60"/>
      <c r="UPN90" s="63" t="s">
        <v>879</v>
      </c>
      <c r="UPO90" s="60"/>
      <c r="UQD90" s="63" t="s">
        <v>879</v>
      </c>
      <c r="UQE90" s="60"/>
      <c r="UQT90" s="63" t="s">
        <v>879</v>
      </c>
      <c r="UQU90" s="60"/>
      <c r="URJ90" s="63" t="s">
        <v>879</v>
      </c>
      <c r="URK90" s="60"/>
      <c r="URZ90" s="63" t="s">
        <v>879</v>
      </c>
      <c r="USA90" s="60"/>
      <c r="USP90" s="63" t="s">
        <v>879</v>
      </c>
      <c r="USQ90" s="60"/>
      <c r="UTF90" s="63" t="s">
        <v>879</v>
      </c>
      <c r="UTG90" s="60"/>
      <c r="UTV90" s="63" t="s">
        <v>879</v>
      </c>
      <c r="UTW90" s="60"/>
      <c r="UUL90" s="63" t="s">
        <v>879</v>
      </c>
      <c r="UUM90" s="60"/>
      <c r="UVB90" s="63" t="s">
        <v>879</v>
      </c>
      <c r="UVC90" s="60"/>
      <c r="UVR90" s="63" t="s">
        <v>879</v>
      </c>
      <c r="UVS90" s="60"/>
      <c r="UWH90" s="63" t="s">
        <v>879</v>
      </c>
      <c r="UWI90" s="60"/>
      <c r="UWX90" s="63" t="s">
        <v>879</v>
      </c>
      <c r="UWY90" s="60"/>
      <c r="UXN90" s="63" t="s">
        <v>879</v>
      </c>
      <c r="UXO90" s="60"/>
      <c r="UYD90" s="63" t="s">
        <v>879</v>
      </c>
      <c r="UYE90" s="60"/>
      <c r="UYT90" s="63" t="s">
        <v>879</v>
      </c>
      <c r="UYU90" s="60"/>
      <c r="UZJ90" s="63" t="s">
        <v>879</v>
      </c>
      <c r="UZK90" s="60"/>
      <c r="UZZ90" s="63" t="s">
        <v>879</v>
      </c>
      <c r="VAA90" s="60"/>
      <c r="VAP90" s="63" t="s">
        <v>879</v>
      </c>
      <c r="VAQ90" s="60"/>
      <c r="VBF90" s="63" t="s">
        <v>879</v>
      </c>
      <c r="VBG90" s="60"/>
      <c r="VBV90" s="63" t="s">
        <v>879</v>
      </c>
      <c r="VBW90" s="60"/>
      <c r="VCL90" s="63" t="s">
        <v>879</v>
      </c>
      <c r="VCM90" s="60"/>
      <c r="VDB90" s="63" t="s">
        <v>879</v>
      </c>
      <c r="VDC90" s="60"/>
      <c r="VDR90" s="63" t="s">
        <v>879</v>
      </c>
      <c r="VDS90" s="60"/>
      <c r="VEH90" s="63" t="s">
        <v>879</v>
      </c>
      <c r="VEI90" s="60"/>
      <c r="VEX90" s="63" t="s">
        <v>879</v>
      </c>
      <c r="VEY90" s="60"/>
      <c r="VFN90" s="63" t="s">
        <v>879</v>
      </c>
      <c r="VFO90" s="60"/>
      <c r="VGD90" s="63" t="s">
        <v>879</v>
      </c>
      <c r="VGE90" s="60"/>
      <c r="VGT90" s="63" t="s">
        <v>879</v>
      </c>
      <c r="VGU90" s="60"/>
      <c r="VHJ90" s="63" t="s">
        <v>879</v>
      </c>
      <c r="VHK90" s="60"/>
      <c r="VHZ90" s="63" t="s">
        <v>879</v>
      </c>
      <c r="VIA90" s="60"/>
      <c r="VIP90" s="63" t="s">
        <v>879</v>
      </c>
      <c r="VIQ90" s="60"/>
      <c r="VJF90" s="63" t="s">
        <v>879</v>
      </c>
      <c r="VJG90" s="60"/>
      <c r="VJV90" s="63" t="s">
        <v>879</v>
      </c>
      <c r="VJW90" s="60"/>
      <c r="VKL90" s="63" t="s">
        <v>879</v>
      </c>
      <c r="VKM90" s="60"/>
      <c r="VLB90" s="63" t="s">
        <v>879</v>
      </c>
      <c r="VLC90" s="60"/>
      <c r="VLR90" s="63" t="s">
        <v>879</v>
      </c>
      <c r="VLS90" s="60"/>
      <c r="VMH90" s="63" t="s">
        <v>879</v>
      </c>
      <c r="VMI90" s="60"/>
      <c r="VMX90" s="63" t="s">
        <v>879</v>
      </c>
      <c r="VMY90" s="60"/>
      <c r="VNN90" s="63" t="s">
        <v>879</v>
      </c>
      <c r="VNO90" s="60"/>
      <c r="VOD90" s="63" t="s">
        <v>879</v>
      </c>
      <c r="VOE90" s="60"/>
      <c r="VOT90" s="63" t="s">
        <v>879</v>
      </c>
      <c r="VOU90" s="60"/>
      <c r="VPJ90" s="63" t="s">
        <v>879</v>
      </c>
      <c r="VPK90" s="60"/>
      <c r="VPZ90" s="63" t="s">
        <v>879</v>
      </c>
      <c r="VQA90" s="60"/>
      <c r="VQP90" s="63" t="s">
        <v>879</v>
      </c>
      <c r="VQQ90" s="60"/>
      <c r="VRF90" s="63" t="s">
        <v>879</v>
      </c>
      <c r="VRG90" s="60"/>
      <c r="VRV90" s="63" t="s">
        <v>879</v>
      </c>
      <c r="VRW90" s="60"/>
      <c r="VSL90" s="63" t="s">
        <v>879</v>
      </c>
      <c r="VSM90" s="60"/>
      <c r="VTB90" s="63" t="s">
        <v>879</v>
      </c>
      <c r="VTC90" s="60"/>
      <c r="VTR90" s="63" t="s">
        <v>879</v>
      </c>
      <c r="VTS90" s="60"/>
      <c r="VUH90" s="63" t="s">
        <v>879</v>
      </c>
      <c r="VUI90" s="60"/>
      <c r="VUX90" s="63" t="s">
        <v>879</v>
      </c>
      <c r="VUY90" s="60"/>
      <c r="VVN90" s="63" t="s">
        <v>879</v>
      </c>
      <c r="VVO90" s="60"/>
      <c r="VWD90" s="63" t="s">
        <v>879</v>
      </c>
      <c r="VWE90" s="60"/>
      <c r="VWT90" s="63" t="s">
        <v>879</v>
      </c>
      <c r="VWU90" s="60"/>
      <c r="VXJ90" s="63" t="s">
        <v>879</v>
      </c>
      <c r="VXK90" s="60"/>
      <c r="VXZ90" s="63" t="s">
        <v>879</v>
      </c>
      <c r="VYA90" s="60"/>
      <c r="VYP90" s="63" t="s">
        <v>879</v>
      </c>
      <c r="VYQ90" s="60"/>
      <c r="VZF90" s="63" t="s">
        <v>879</v>
      </c>
      <c r="VZG90" s="60"/>
      <c r="VZV90" s="63" t="s">
        <v>879</v>
      </c>
      <c r="VZW90" s="60"/>
      <c r="WAL90" s="63" t="s">
        <v>879</v>
      </c>
      <c r="WAM90" s="60"/>
      <c r="WBB90" s="63" t="s">
        <v>879</v>
      </c>
      <c r="WBC90" s="60"/>
      <c r="WBR90" s="63" t="s">
        <v>879</v>
      </c>
      <c r="WBS90" s="60"/>
      <c r="WCH90" s="63" t="s">
        <v>879</v>
      </c>
      <c r="WCI90" s="60"/>
      <c r="WCX90" s="63" t="s">
        <v>879</v>
      </c>
      <c r="WCY90" s="60"/>
      <c r="WDN90" s="63" t="s">
        <v>879</v>
      </c>
      <c r="WDO90" s="60"/>
      <c r="WED90" s="63" t="s">
        <v>879</v>
      </c>
      <c r="WEE90" s="60"/>
      <c r="WET90" s="63" t="s">
        <v>879</v>
      </c>
      <c r="WEU90" s="60"/>
      <c r="WFJ90" s="63" t="s">
        <v>879</v>
      </c>
      <c r="WFK90" s="60"/>
      <c r="WFZ90" s="63" t="s">
        <v>879</v>
      </c>
      <c r="WGA90" s="60"/>
      <c r="WGP90" s="63" t="s">
        <v>879</v>
      </c>
      <c r="WGQ90" s="60"/>
      <c r="WHF90" s="63" t="s">
        <v>879</v>
      </c>
      <c r="WHG90" s="60"/>
      <c r="WHV90" s="63" t="s">
        <v>879</v>
      </c>
      <c r="WHW90" s="60"/>
      <c r="WIL90" s="63" t="s">
        <v>879</v>
      </c>
      <c r="WIM90" s="60"/>
      <c r="WJB90" s="63" t="s">
        <v>879</v>
      </c>
      <c r="WJC90" s="60"/>
      <c r="WJR90" s="63" t="s">
        <v>879</v>
      </c>
      <c r="WJS90" s="60"/>
      <c r="WKH90" s="63" t="s">
        <v>879</v>
      </c>
      <c r="WKI90" s="60"/>
      <c r="WKX90" s="63" t="s">
        <v>879</v>
      </c>
      <c r="WKY90" s="60"/>
      <c r="WLN90" s="63" t="s">
        <v>879</v>
      </c>
      <c r="WLO90" s="60"/>
      <c r="WMD90" s="63" t="s">
        <v>879</v>
      </c>
      <c r="WME90" s="60"/>
      <c r="WMT90" s="63" t="s">
        <v>879</v>
      </c>
      <c r="WMU90" s="60"/>
      <c r="WNJ90" s="63" t="s">
        <v>879</v>
      </c>
      <c r="WNK90" s="60"/>
      <c r="WNZ90" s="63" t="s">
        <v>879</v>
      </c>
      <c r="WOA90" s="60"/>
      <c r="WOP90" s="63" t="s">
        <v>879</v>
      </c>
      <c r="WOQ90" s="60"/>
      <c r="WPF90" s="63" t="s">
        <v>879</v>
      </c>
      <c r="WPG90" s="60"/>
      <c r="WPV90" s="63" t="s">
        <v>879</v>
      </c>
      <c r="WPW90" s="60"/>
      <c r="WQL90" s="63" t="s">
        <v>879</v>
      </c>
      <c r="WQM90" s="60"/>
      <c r="WRB90" s="63" t="s">
        <v>879</v>
      </c>
      <c r="WRC90" s="60"/>
      <c r="WRR90" s="63" t="s">
        <v>879</v>
      </c>
      <c r="WRS90" s="60"/>
      <c r="WSH90" s="63" t="s">
        <v>879</v>
      </c>
      <c r="WSI90" s="60"/>
      <c r="WSX90" s="63" t="s">
        <v>879</v>
      </c>
      <c r="WSY90" s="60"/>
      <c r="WTN90" s="63" t="s">
        <v>879</v>
      </c>
      <c r="WTO90" s="60"/>
      <c r="WUD90" s="63" t="s">
        <v>879</v>
      </c>
      <c r="WUE90" s="60"/>
      <c r="WUT90" s="63" t="s">
        <v>879</v>
      </c>
      <c r="WUU90" s="60"/>
      <c r="WVJ90" s="63" t="s">
        <v>879</v>
      </c>
      <c r="WVK90" s="60"/>
      <c r="WVZ90" s="63" t="s">
        <v>879</v>
      </c>
      <c r="WWA90" s="60"/>
      <c r="WWP90" s="63" t="s">
        <v>879</v>
      </c>
      <c r="WWQ90" s="60"/>
      <c r="WXF90" s="63" t="s">
        <v>879</v>
      </c>
      <c r="WXG90" s="60"/>
      <c r="WXV90" s="63" t="s">
        <v>879</v>
      </c>
      <c r="WXW90" s="60"/>
      <c r="WYL90" s="63" t="s">
        <v>879</v>
      </c>
      <c r="WYM90" s="60"/>
      <c r="WZB90" s="63" t="s">
        <v>879</v>
      </c>
      <c r="WZC90" s="60"/>
      <c r="WZR90" s="63" t="s">
        <v>879</v>
      </c>
      <c r="WZS90" s="60"/>
      <c r="XAH90" s="63" t="s">
        <v>879</v>
      </c>
      <c r="XAI90" s="60"/>
      <c r="XAX90" s="63" t="s">
        <v>879</v>
      </c>
      <c r="XAY90" s="60"/>
      <c r="XBN90" s="63" t="s">
        <v>879</v>
      </c>
      <c r="XBO90" s="60"/>
      <c r="XCD90" s="63" t="s">
        <v>879</v>
      </c>
      <c r="XCE90" s="60"/>
      <c r="XCT90" s="63" t="s">
        <v>879</v>
      </c>
      <c r="XCU90" s="60"/>
      <c r="XDJ90" s="63" t="s">
        <v>879</v>
      </c>
      <c r="XDK90" s="60"/>
      <c r="XDZ90" s="63" t="s">
        <v>879</v>
      </c>
      <c r="XEA90" s="60"/>
      <c r="XEP90" s="63" t="s">
        <v>879</v>
      </c>
      <c r="XEQ90" s="60"/>
    </row>
    <row r="91" spans="2:1011 1026:2035 2050:3059 3074:4083 4098:5107 5122:6131 6146:7155 7170:8179 8194:9203 9218:10227 10242:11251 11266:12275 12290:13299 13314:14323 14338:15347 15362:16371" ht="14.25" x14ac:dyDescent="0.2">
      <c r="B91" s="34"/>
      <c r="C91" s="60"/>
      <c r="R91" s="63" t="s">
        <v>933</v>
      </c>
      <c r="S91" s="60"/>
      <c r="AH91" s="63" t="s">
        <v>933</v>
      </c>
      <c r="AI91" s="60"/>
      <c r="AX91" s="63" t="s">
        <v>933</v>
      </c>
      <c r="AY91" s="60"/>
      <c r="BN91" s="63" t="s">
        <v>933</v>
      </c>
      <c r="BO91" s="60"/>
      <c r="CD91" s="63" t="s">
        <v>933</v>
      </c>
      <c r="CE91" s="60"/>
      <c r="CT91" s="63" t="s">
        <v>933</v>
      </c>
      <c r="CU91" s="60"/>
      <c r="DJ91" s="63" t="s">
        <v>933</v>
      </c>
      <c r="DK91" s="60"/>
      <c r="DZ91" s="63" t="s">
        <v>933</v>
      </c>
      <c r="EA91" s="60"/>
      <c r="EP91" s="63" t="s">
        <v>933</v>
      </c>
      <c r="EQ91" s="60"/>
      <c r="FF91" s="63" t="s">
        <v>933</v>
      </c>
      <c r="FG91" s="60"/>
      <c r="FV91" s="63" t="s">
        <v>933</v>
      </c>
      <c r="FW91" s="60"/>
      <c r="GL91" s="63" t="s">
        <v>933</v>
      </c>
      <c r="GM91" s="60"/>
      <c r="HB91" s="63" t="s">
        <v>933</v>
      </c>
      <c r="HC91" s="60"/>
      <c r="HR91" s="63" t="s">
        <v>933</v>
      </c>
      <c r="HS91" s="60"/>
      <c r="IH91" s="63" t="s">
        <v>933</v>
      </c>
      <c r="II91" s="60"/>
      <c r="IX91" s="63" t="s">
        <v>933</v>
      </c>
      <c r="IY91" s="60"/>
      <c r="JN91" s="63" t="s">
        <v>933</v>
      </c>
      <c r="JO91" s="60"/>
      <c r="KD91" s="63" t="s">
        <v>933</v>
      </c>
      <c r="KE91" s="60"/>
      <c r="KT91" s="63" t="s">
        <v>933</v>
      </c>
      <c r="KU91" s="60"/>
      <c r="LJ91" s="63" t="s">
        <v>933</v>
      </c>
      <c r="LK91" s="60"/>
      <c r="LZ91" s="63" t="s">
        <v>933</v>
      </c>
      <c r="MA91" s="60"/>
      <c r="MP91" s="63" t="s">
        <v>933</v>
      </c>
      <c r="MQ91" s="60"/>
      <c r="NF91" s="63" t="s">
        <v>933</v>
      </c>
      <c r="NG91" s="60"/>
      <c r="NV91" s="63" t="s">
        <v>933</v>
      </c>
      <c r="NW91" s="60"/>
      <c r="OL91" s="63" t="s">
        <v>933</v>
      </c>
      <c r="OM91" s="60"/>
      <c r="PB91" s="63" t="s">
        <v>933</v>
      </c>
      <c r="PC91" s="60"/>
      <c r="PR91" s="63" t="s">
        <v>933</v>
      </c>
      <c r="PS91" s="60"/>
      <c r="QH91" s="63" t="s">
        <v>933</v>
      </c>
      <c r="QI91" s="60"/>
      <c r="QX91" s="63" t="s">
        <v>933</v>
      </c>
      <c r="QY91" s="60"/>
      <c r="RN91" s="63" t="s">
        <v>933</v>
      </c>
      <c r="RO91" s="60"/>
      <c r="SD91" s="63" t="s">
        <v>933</v>
      </c>
      <c r="SE91" s="60"/>
      <c r="ST91" s="63" t="s">
        <v>933</v>
      </c>
      <c r="SU91" s="60"/>
      <c r="TJ91" s="63" t="s">
        <v>933</v>
      </c>
      <c r="TK91" s="60"/>
      <c r="TZ91" s="63" t="s">
        <v>933</v>
      </c>
      <c r="UA91" s="60"/>
      <c r="UP91" s="63" t="s">
        <v>933</v>
      </c>
      <c r="UQ91" s="60"/>
      <c r="VF91" s="63" t="s">
        <v>933</v>
      </c>
      <c r="VG91" s="60"/>
      <c r="VV91" s="63" t="s">
        <v>933</v>
      </c>
      <c r="VW91" s="60"/>
      <c r="WL91" s="63" t="s">
        <v>933</v>
      </c>
      <c r="WM91" s="60"/>
      <c r="XB91" s="63" t="s">
        <v>933</v>
      </c>
      <c r="XC91" s="60"/>
      <c r="XR91" s="63" t="s">
        <v>933</v>
      </c>
      <c r="XS91" s="60"/>
      <c r="YH91" s="63" t="s">
        <v>933</v>
      </c>
      <c r="YI91" s="60"/>
      <c r="YX91" s="63" t="s">
        <v>933</v>
      </c>
      <c r="YY91" s="60"/>
      <c r="ZN91" s="63" t="s">
        <v>933</v>
      </c>
      <c r="ZO91" s="60"/>
      <c r="AAD91" s="63" t="s">
        <v>933</v>
      </c>
      <c r="AAE91" s="60"/>
      <c r="AAT91" s="63" t="s">
        <v>933</v>
      </c>
      <c r="AAU91" s="60"/>
      <c r="ABJ91" s="63" t="s">
        <v>933</v>
      </c>
      <c r="ABK91" s="60"/>
      <c r="ABZ91" s="63" t="s">
        <v>933</v>
      </c>
      <c r="ACA91" s="60"/>
      <c r="ACP91" s="63" t="s">
        <v>933</v>
      </c>
      <c r="ACQ91" s="60"/>
      <c r="ADF91" s="63" t="s">
        <v>933</v>
      </c>
      <c r="ADG91" s="60"/>
      <c r="ADV91" s="63" t="s">
        <v>933</v>
      </c>
      <c r="ADW91" s="60"/>
      <c r="AEL91" s="63" t="s">
        <v>933</v>
      </c>
      <c r="AEM91" s="60"/>
      <c r="AFB91" s="63" t="s">
        <v>933</v>
      </c>
      <c r="AFC91" s="60"/>
      <c r="AFR91" s="63" t="s">
        <v>933</v>
      </c>
      <c r="AFS91" s="60"/>
      <c r="AGH91" s="63" t="s">
        <v>933</v>
      </c>
      <c r="AGI91" s="60"/>
      <c r="AGX91" s="63" t="s">
        <v>933</v>
      </c>
      <c r="AGY91" s="60"/>
      <c r="AHN91" s="63" t="s">
        <v>933</v>
      </c>
      <c r="AHO91" s="60"/>
      <c r="AID91" s="63" t="s">
        <v>933</v>
      </c>
      <c r="AIE91" s="60"/>
      <c r="AIT91" s="63" t="s">
        <v>933</v>
      </c>
      <c r="AIU91" s="60"/>
      <c r="AJJ91" s="63" t="s">
        <v>933</v>
      </c>
      <c r="AJK91" s="60"/>
      <c r="AJZ91" s="63" t="s">
        <v>933</v>
      </c>
      <c r="AKA91" s="60"/>
      <c r="AKP91" s="63" t="s">
        <v>933</v>
      </c>
      <c r="AKQ91" s="60"/>
      <c r="ALF91" s="63" t="s">
        <v>933</v>
      </c>
      <c r="ALG91" s="60"/>
      <c r="ALV91" s="63" t="s">
        <v>933</v>
      </c>
      <c r="ALW91" s="60"/>
      <c r="AML91" s="63" t="s">
        <v>933</v>
      </c>
      <c r="AMM91" s="60"/>
      <c r="ANB91" s="63" t="s">
        <v>933</v>
      </c>
      <c r="ANC91" s="60"/>
      <c r="ANR91" s="63" t="s">
        <v>933</v>
      </c>
      <c r="ANS91" s="60"/>
      <c r="AOH91" s="63" t="s">
        <v>933</v>
      </c>
      <c r="AOI91" s="60"/>
      <c r="AOX91" s="63" t="s">
        <v>933</v>
      </c>
      <c r="AOY91" s="60"/>
      <c r="APN91" s="63" t="s">
        <v>933</v>
      </c>
      <c r="APO91" s="60"/>
      <c r="AQD91" s="63" t="s">
        <v>933</v>
      </c>
      <c r="AQE91" s="60"/>
      <c r="AQT91" s="63" t="s">
        <v>933</v>
      </c>
      <c r="AQU91" s="60"/>
      <c r="ARJ91" s="63" t="s">
        <v>933</v>
      </c>
      <c r="ARK91" s="60"/>
      <c r="ARZ91" s="63" t="s">
        <v>933</v>
      </c>
      <c r="ASA91" s="60"/>
      <c r="ASP91" s="63" t="s">
        <v>933</v>
      </c>
      <c r="ASQ91" s="60"/>
      <c r="ATF91" s="63" t="s">
        <v>933</v>
      </c>
      <c r="ATG91" s="60"/>
      <c r="ATV91" s="63" t="s">
        <v>933</v>
      </c>
      <c r="ATW91" s="60"/>
      <c r="AUL91" s="63" t="s">
        <v>933</v>
      </c>
      <c r="AUM91" s="60"/>
      <c r="AVB91" s="63" t="s">
        <v>933</v>
      </c>
      <c r="AVC91" s="60"/>
      <c r="AVR91" s="63" t="s">
        <v>933</v>
      </c>
      <c r="AVS91" s="60"/>
      <c r="AWH91" s="63" t="s">
        <v>933</v>
      </c>
      <c r="AWI91" s="60"/>
      <c r="AWX91" s="63" t="s">
        <v>933</v>
      </c>
      <c r="AWY91" s="60"/>
      <c r="AXN91" s="63" t="s">
        <v>933</v>
      </c>
      <c r="AXO91" s="60"/>
      <c r="AYD91" s="63" t="s">
        <v>933</v>
      </c>
      <c r="AYE91" s="60"/>
      <c r="AYT91" s="63" t="s">
        <v>933</v>
      </c>
      <c r="AYU91" s="60"/>
      <c r="AZJ91" s="63" t="s">
        <v>933</v>
      </c>
      <c r="AZK91" s="60"/>
      <c r="AZZ91" s="63" t="s">
        <v>933</v>
      </c>
      <c r="BAA91" s="60"/>
      <c r="BAP91" s="63" t="s">
        <v>933</v>
      </c>
      <c r="BAQ91" s="60"/>
      <c r="BBF91" s="63" t="s">
        <v>933</v>
      </c>
      <c r="BBG91" s="60"/>
      <c r="BBV91" s="63" t="s">
        <v>933</v>
      </c>
      <c r="BBW91" s="60"/>
      <c r="BCL91" s="63" t="s">
        <v>933</v>
      </c>
      <c r="BCM91" s="60"/>
      <c r="BDB91" s="63" t="s">
        <v>933</v>
      </c>
      <c r="BDC91" s="60"/>
      <c r="BDR91" s="63" t="s">
        <v>933</v>
      </c>
      <c r="BDS91" s="60"/>
      <c r="BEH91" s="63" t="s">
        <v>933</v>
      </c>
      <c r="BEI91" s="60"/>
      <c r="BEX91" s="63" t="s">
        <v>933</v>
      </c>
      <c r="BEY91" s="60"/>
      <c r="BFN91" s="63" t="s">
        <v>933</v>
      </c>
      <c r="BFO91" s="60"/>
      <c r="BGD91" s="63" t="s">
        <v>933</v>
      </c>
      <c r="BGE91" s="60"/>
      <c r="BGT91" s="63" t="s">
        <v>933</v>
      </c>
      <c r="BGU91" s="60"/>
      <c r="BHJ91" s="63" t="s">
        <v>933</v>
      </c>
      <c r="BHK91" s="60"/>
      <c r="BHZ91" s="63" t="s">
        <v>933</v>
      </c>
      <c r="BIA91" s="60"/>
      <c r="BIP91" s="63" t="s">
        <v>933</v>
      </c>
      <c r="BIQ91" s="60"/>
      <c r="BJF91" s="63" t="s">
        <v>933</v>
      </c>
      <c r="BJG91" s="60"/>
      <c r="BJV91" s="63" t="s">
        <v>933</v>
      </c>
      <c r="BJW91" s="60"/>
      <c r="BKL91" s="63" t="s">
        <v>933</v>
      </c>
      <c r="BKM91" s="60"/>
      <c r="BLB91" s="63" t="s">
        <v>933</v>
      </c>
      <c r="BLC91" s="60"/>
      <c r="BLR91" s="63" t="s">
        <v>933</v>
      </c>
      <c r="BLS91" s="60"/>
      <c r="BMH91" s="63" t="s">
        <v>933</v>
      </c>
      <c r="BMI91" s="60"/>
      <c r="BMX91" s="63" t="s">
        <v>933</v>
      </c>
      <c r="BMY91" s="60"/>
      <c r="BNN91" s="63" t="s">
        <v>933</v>
      </c>
      <c r="BNO91" s="60"/>
      <c r="BOD91" s="63" t="s">
        <v>933</v>
      </c>
      <c r="BOE91" s="60"/>
      <c r="BOT91" s="63" t="s">
        <v>933</v>
      </c>
      <c r="BOU91" s="60"/>
      <c r="BPJ91" s="63" t="s">
        <v>933</v>
      </c>
      <c r="BPK91" s="60"/>
      <c r="BPZ91" s="63" t="s">
        <v>933</v>
      </c>
      <c r="BQA91" s="60"/>
      <c r="BQP91" s="63" t="s">
        <v>933</v>
      </c>
      <c r="BQQ91" s="60"/>
      <c r="BRF91" s="63" t="s">
        <v>933</v>
      </c>
      <c r="BRG91" s="60"/>
      <c r="BRV91" s="63" t="s">
        <v>933</v>
      </c>
      <c r="BRW91" s="60"/>
      <c r="BSL91" s="63" t="s">
        <v>933</v>
      </c>
      <c r="BSM91" s="60"/>
      <c r="BTB91" s="63" t="s">
        <v>933</v>
      </c>
      <c r="BTC91" s="60"/>
      <c r="BTR91" s="63" t="s">
        <v>933</v>
      </c>
      <c r="BTS91" s="60"/>
      <c r="BUH91" s="63" t="s">
        <v>933</v>
      </c>
      <c r="BUI91" s="60"/>
      <c r="BUX91" s="63" t="s">
        <v>933</v>
      </c>
      <c r="BUY91" s="60"/>
      <c r="BVN91" s="63" t="s">
        <v>933</v>
      </c>
      <c r="BVO91" s="60"/>
      <c r="BWD91" s="63" t="s">
        <v>933</v>
      </c>
      <c r="BWE91" s="60"/>
      <c r="BWT91" s="63" t="s">
        <v>933</v>
      </c>
      <c r="BWU91" s="60"/>
      <c r="BXJ91" s="63" t="s">
        <v>933</v>
      </c>
      <c r="BXK91" s="60"/>
      <c r="BXZ91" s="63" t="s">
        <v>933</v>
      </c>
      <c r="BYA91" s="60"/>
      <c r="BYP91" s="63" t="s">
        <v>933</v>
      </c>
      <c r="BYQ91" s="60"/>
      <c r="BZF91" s="63" t="s">
        <v>933</v>
      </c>
      <c r="BZG91" s="60"/>
      <c r="BZV91" s="63" t="s">
        <v>933</v>
      </c>
      <c r="BZW91" s="60"/>
      <c r="CAL91" s="63" t="s">
        <v>933</v>
      </c>
      <c r="CAM91" s="60"/>
      <c r="CBB91" s="63" t="s">
        <v>933</v>
      </c>
      <c r="CBC91" s="60"/>
      <c r="CBR91" s="63" t="s">
        <v>933</v>
      </c>
      <c r="CBS91" s="60"/>
      <c r="CCH91" s="63" t="s">
        <v>933</v>
      </c>
      <c r="CCI91" s="60"/>
      <c r="CCX91" s="63" t="s">
        <v>933</v>
      </c>
      <c r="CCY91" s="60"/>
      <c r="CDN91" s="63" t="s">
        <v>933</v>
      </c>
      <c r="CDO91" s="60"/>
      <c r="CED91" s="63" t="s">
        <v>933</v>
      </c>
      <c r="CEE91" s="60"/>
      <c r="CET91" s="63" t="s">
        <v>933</v>
      </c>
      <c r="CEU91" s="60"/>
      <c r="CFJ91" s="63" t="s">
        <v>933</v>
      </c>
      <c r="CFK91" s="60"/>
      <c r="CFZ91" s="63" t="s">
        <v>933</v>
      </c>
      <c r="CGA91" s="60"/>
      <c r="CGP91" s="63" t="s">
        <v>933</v>
      </c>
      <c r="CGQ91" s="60"/>
      <c r="CHF91" s="63" t="s">
        <v>933</v>
      </c>
      <c r="CHG91" s="60"/>
      <c r="CHV91" s="63" t="s">
        <v>933</v>
      </c>
      <c r="CHW91" s="60"/>
      <c r="CIL91" s="63" t="s">
        <v>933</v>
      </c>
      <c r="CIM91" s="60"/>
      <c r="CJB91" s="63" t="s">
        <v>933</v>
      </c>
      <c r="CJC91" s="60"/>
      <c r="CJR91" s="63" t="s">
        <v>933</v>
      </c>
      <c r="CJS91" s="60"/>
      <c r="CKH91" s="63" t="s">
        <v>933</v>
      </c>
      <c r="CKI91" s="60"/>
      <c r="CKX91" s="63" t="s">
        <v>933</v>
      </c>
      <c r="CKY91" s="60"/>
      <c r="CLN91" s="63" t="s">
        <v>933</v>
      </c>
      <c r="CLO91" s="60"/>
      <c r="CMD91" s="63" t="s">
        <v>933</v>
      </c>
      <c r="CME91" s="60"/>
      <c r="CMT91" s="63" t="s">
        <v>933</v>
      </c>
      <c r="CMU91" s="60"/>
      <c r="CNJ91" s="63" t="s">
        <v>933</v>
      </c>
      <c r="CNK91" s="60"/>
      <c r="CNZ91" s="63" t="s">
        <v>933</v>
      </c>
      <c r="COA91" s="60"/>
      <c r="COP91" s="63" t="s">
        <v>933</v>
      </c>
      <c r="COQ91" s="60"/>
      <c r="CPF91" s="63" t="s">
        <v>933</v>
      </c>
      <c r="CPG91" s="60"/>
      <c r="CPV91" s="63" t="s">
        <v>933</v>
      </c>
      <c r="CPW91" s="60"/>
      <c r="CQL91" s="63" t="s">
        <v>933</v>
      </c>
      <c r="CQM91" s="60"/>
      <c r="CRB91" s="63" t="s">
        <v>933</v>
      </c>
      <c r="CRC91" s="60"/>
      <c r="CRR91" s="63" t="s">
        <v>933</v>
      </c>
      <c r="CRS91" s="60"/>
      <c r="CSH91" s="63" t="s">
        <v>933</v>
      </c>
      <c r="CSI91" s="60"/>
      <c r="CSX91" s="63" t="s">
        <v>933</v>
      </c>
      <c r="CSY91" s="60"/>
      <c r="CTN91" s="63" t="s">
        <v>933</v>
      </c>
      <c r="CTO91" s="60"/>
      <c r="CUD91" s="63" t="s">
        <v>933</v>
      </c>
      <c r="CUE91" s="60"/>
      <c r="CUT91" s="63" t="s">
        <v>933</v>
      </c>
      <c r="CUU91" s="60"/>
      <c r="CVJ91" s="63" t="s">
        <v>933</v>
      </c>
      <c r="CVK91" s="60"/>
      <c r="CVZ91" s="63" t="s">
        <v>933</v>
      </c>
      <c r="CWA91" s="60"/>
      <c r="CWP91" s="63" t="s">
        <v>933</v>
      </c>
      <c r="CWQ91" s="60"/>
      <c r="CXF91" s="63" t="s">
        <v>933</v>
      </c>
      <c r="CXG91" s="60"/>
      <c r="CXV91" s="63" t="s">
        <v>933</v>
      </c>
      <c r="CXW91" s="60"/>
      <c r="CYL91" s="63" t="s">
        <v>933</v>
      </c>
      <c r="CYM91" s="60"/>
      <c r="CZB91" s="63" t="s">
        <v>933</v>
      </c>
      <c r="CZC91" s="60"/>
      <c r="CZR91" s="63" t="s">
        <v>933</v>
      </c>
      <c r="CZS91" s="60"/>
      <c r="DAH91" s="63" t="s">
        <v>933</v>
      </c>
      <c r="DAI91" s="60"/>
      <c r="DAX91" s="63" t="s">
        <v>933</v>
      </c>
      <c r="DAY91" s="60"/>
      <c r="DBN91" s="63" t="s">
        <v>933</v>
      </c>
      <c r="DBO91" s="60"/>
      <c r="DCD91" s="63" t="s">
        <v>933</v>
      </c>
      <c r="DCE91" s="60"/>
      <c r="DCT91" s="63" t="s">
        <v>933</v>
      </c>
      <c r="DCU91" s="60"/>
      <c r="DDJ91" s="63" t="s">
        <v>933</v>
      </c>
      <c r="DDK91" s="60"/>
      <c r="DDZ91" s="63" t="s">
        <v>933</v>
      </c>
      <c r="DEA91" s="60"/>
      <c r="DEP91" s="63" t="s">
        <v>933</v>
      </c>
      <c r="DEQ91" s="60"/>
      <c r="DFF91" s="63" t="s">
        <v>933</v>
      </c>
      <c r="DFG91" s="60"/>
      <c r="DFV91" s="63" t="s">
        <v>933</v>
      </c>
      <c r="DFW91" s="60"/>
      <c r="DGL91" s="63" t="s">
        <v>933</v>
      </c>
      <c r="DGM91" s="60"/>
      <c r="DHB91" s="63" t="s">
        <v>933</v>
      </c>
      <c r="DHC91" s="60"/>
      <c r="DHR91" s="63" t="s">
        <v>933</v>
      </c>
      <c r="DHS91" s="60"/>
      <c r="DIH91" s="63" t="s">
        <v>933</v>
      </c>
      <c r="DII91" s="60"/>
      <c r="DIX91" s="63" t="s">
        <v>933</v>
      </c>
      <c r="DIY91" s="60"/>
      <c r="DJN91" s="63" t="s">
        <v>933</v>
      </c>
      <c r="DJO91" s="60"/>
      <c r="DKD91" s="63" t="s">
        <v>933</v>
      </c>
      <c r="DKE91" s="60"/>
      <c r="DKT91" s="63" t="s">
        <v>933</v>
      </c>
      <c r="DKU91" s="60"/>
      <c r="DLJ91" s="63" t="s">
        <v>933</v>
      </c>
      <c r="DLK91" s="60"/>
      <c r="DLZ91" s="63" t="s">
        <v>933</v>
      </c>
      <c r="DMA91" s="60"/>
      <c r="DMP91" s="63" t="s">
        <v>933</v>
      </c>
      <c r="DMQ91" s="60"/>
      <c r="DNF91" s="63" t="s">
        <v>933</v>
      </c>
      <c r="DNG91" s="60"/>
      <c r="DNV91" s="63" t="s">
        <v>933</v>
      </c>
      <c r="DNW91" s="60"/>
      <c r="DOL91" s="63" t="s">
        <v>933</v>
      </c>
      <c r="DOM91" s="60"/>
      <c r="DPB91" s="63" t="s">
        <v>933</v>
      </c>
      <c r="DPC91" s="60"/>
      <c r="DPR91" s="63" t="s">
        <v>933</v>
      </c>
      <c r="DPS91" s="60"/>
      <c r="DQH91" s="63" t="s">
        <v>933</v>
      </c>
      <c r="DQI91" s="60"/>
      <c r="DQX91" s="63" t="s">
        <v>933</v>
      </c>
      <c r="DQY91" s="60"/>
      <c r="DRN91" s="63" t="s">
        <v>933</v>
      </c>
      <c r="DRO91" s="60"/>
      <c r="DSD91" s="63" t="s">
        <v>933</v>
      </c>
      <c r="DSE91" s="60"/>
      <c r="DST91" s="63" t="s">
        <v>933</v>
      </c>
      <c r="DSU91" s="60"/>
      <c r="DTJ91" s="63" t="s">
        <v>933</v>
      </c>
      <c r="DTK91" s="60"/>
      <c r="DTZ91" s="63" t="s">
        <v>933</v>
      </c>
      <c r="DUA91" s="60"/>
      <c r="DUP91" s="63" t="s">
        <v>933</v>
      </c>
      <c r="DUQ91" s="60"/>
      <c r="DVF91" s="63" t="s">
        <v>933</v>
      </c>
      <c r="DVG91" s="60"/>
      <c r="DVV91" s="63" t="s">
        <v>933</v>
      </c>
      <c r="DVW91" s="60"/>
      <c r="DWL91" s="63" t="s">
        <v>933</v>
      </c>
      <c r="DWM91" s="60"/>
      <c r="DXB91" s="63" t="s">
        <v>933</v>
      </c>
      <c r="DXC91" s="60"/>
      <c r="DXR91" s="63" t="s">
        <v>933</v>
      </c>
      <c r="DXS91" s="60"/>
      <c r="DYH91" s="63" t="s">
        <v>933</v>
      </c>
      <c r="DYI91" s="60"/>
      <c r="DYX91" s="63" t="s">
        <v>933</v>
      </c>
      <c r="DYY91" s="60"/>
      <c r="DZN91" s="63" t="s">
        <v>933</v>
      </c>
      <c r="DZO91" s="60"/>
      <c r="EAD91" s="63" t="s">
        <v>933</v>
      </c>
      <c r="EAE91" s="60"/>
      <c r="EAT91" s="63" t="s">
        <v>933</v>
      </c>
      <c r="EAU91" s="60"/>
      <c r="EBJ91" s="63" t="s">
        <v>933</v>
      </c>
      <c r="EBK91" s="60"/>
      <c r="EBZ91" s="63" t="s">
        <v>933</v>
      </c>
      <c r="ECA91" s="60"/>
      <c r="ECP91" s="63" t="s">
        <v>933</v>
      </c>
      <c r="ECQ91" s="60"/>
      <c r="EDF91" s="63" t="s">
        <v>933</v>
      </c>
      <c r="EDG91" s="60"/>
      <c r="EDV91" s="63" t="s">
        <v>933</v>
      </c>
      <c r="EDW91" s="60"/>
      <c r="EEL91" s="63" t="s">
        <v>933</v>
      </c>
      <c r="EEM91" s="60"/>
      <c r="EFB91" s="63" t="s">
        <v>933</v>
      </c>
      <c r="EFC91" s="60"/>
      <c r="EFR91" s="63" t="s">
        <v>933</v>
      </c>
      <c r="EFS91" s="60"/>
      <c r="EGH91" s="63" t="s">
        <v>933</v>
      </c>
      <c r="EGI91" s="60"/>
      <c r="EGX91" s="63" t="s">
        <v>933</v>
      </c>
      <c r="EGY91" s="60"/>
      <c r="EHN91" s="63" t="s">
        <v>933</v>
      </c>
      <c r="EHO91" s="60"/>
      <c r="EID91" s="63" t="s">
        <v>933</v>
      </c>
      <c r="EIE91" s="60"/>
      <c r="EIT91" s="63" t="s">
        <v>933</v>
      </c>
      <c r="EIU91" s="60"/>
      <c r="EJJ91" s="63" t="s">
        <v>933</v>
      </c>
      <c r="EJK91" s="60"/>
      <c r="EJZ91" s="63" t="s">
        <v>933</v>
      </c>
      <c r="EKA91" s="60"/>
      <c r="EKP91" s="63" t="s">
        <v>933</v>
      </c>
      <c r="EKQ91" s="60"/>
      <c r="ELF91" s="63" t="s">
        <v>933</v>
      </c>
      <c r="ELG91" s="60"/>
      <c r="ELV91" s="63" t="s">
        <v>933</v>
      </c>
      <c r="ELW91" s="60"/>
      <c r="EML91" s="63" t="s">
        <v>933</v>
      </c>
      <c r="EMM91" s="60"/>
      <c r="ENB91" s="63" t="s">
        <v>933</v>
      </c>
      <c r="ENC91" s="60"/>
      <c r="ENR91" s="63" t="s">
        <v>933</v>
      </c>
      <c r="ENS91" s="60"/>
      <c r="EOH91" s="63" t="s">
        <v>933</v>
      </c>
      <c r="EOI91" s="60"/>
      <c r="EOX91" s="63" t="s">
        <v>933</v>
      </c>
      <c r="EOY91" s="60"/>
      <c r="EPN91" s="63" t="s">
        <v>933</v>
      </c>
      <c r="EPO91" s="60"/>
      <c r="EQD91" s="63" t="s">
        <v>933</v>
      </c>
      <c r="EQE91" s="60"/>
      <c r="EQT91" s="63" t="s">
        <v>933</v>
      </c>
      <c r="EQU91" s="60"/>
      <c r="ERJ91" s="63" t="s">
        <v>933</v>
      </c>
      <c r="ERK91" s="60"/>
      <c r="ERZ91" s="63" t="s">
        <v>933</v>
      </c>
      <c r="ESA91" s="60"/>
      <c r="ESP91" s="63" t="s">
        <v>933</v>
      </c>
      <c r="ESQ91" s="60"/>
      <c r="ETF91" s="63" t="s">
        <v>933</v>
      </c>
      <c r="ETG91" s="60"/>
      <c r="ETV91" s="63" t="s">
        <v>933</v>
      </c>
      <c r="ETW91" s="60"/>
      <c r="EUL91" s="63" t="s">
        <v>933</v>
      </c>
      <c r="EUM91" s="60"/>
      <c r="EVB91" s="63" t="s">
        <v>933</v>
      </c>
      <c r="EVC91" s="60"/>
      <c r="EVR91" s="63" t="s">
        <v>933</v>
      </c>
      <c r="EVS91" s="60"/>
      <c r="EWH91" s="63" t="s">
        <v>933</v>
      </c>
      <c r="EWI91" s="60"/>
      <c r="EWX91" s="63" t="s">
        <v>933</v>
      </c>
      <c r="EWY91" s="60"/>
      <c r="EXN91" s="63" t="s">
        <v>933</v>
      </c>
      <c r="EXO91" s="60"/>
      <c r="EYD91" s="63" t="s">
        <v>933</v>
      </c>
      <c r="EYE91" s="60"/>
      <c r="EYT91" s="63" t="s">
        <v>933</v>
      </c>
      <c r="EYU91" s="60"/>
      <c r="EZJ91" s="63" t="s">
        <v>933</v>
      </c>
      <c r="EZK91" s="60"/>
      <c r="EZZ91" s="63" t="s">
        <v>933</v>
      </c>
      <c r="FAA91" s="60"/>
      <c r="FAP91" s="63" t="s">
        <v>933</v>
      </c>
      <c r="FAQ91" s="60"/>
      <c r="FBF91" s="63" t="s">
        <v>933</v>
      </c>
      <c r="FBG91" s="60"/>
      <c r="FBV91" s="63" t="s">
        <v>933</v>
      </c>
      <c r="FBW91" s="60"/>
      <c r="FCL91" s="63" t="s">
        <v>933</v>
      </c>
      <c r="FCM91" s="60"/>
      <c r="FDB91" s="63" t="s">
        <v>933</v>
      </c>
      <c r="FDC91" s="60"/>
      <c r="FDR91" s="63" t="s">
        <v>933</v>
      </c>
      <c r="FDS91" s="60"/>
      <c r="FEH91" s="63" t="s">
        <v>933</v>
      </c>
      <c r="FEI91" s="60"/>
      <c r="FEX91" s="63" t="s">
        <v>933</v>
      </c>
      <c r="FEY91" s="60"/>
      <c r="FFN91" s="63" t="s">
        <v>933</v>
      </c>
      <c r="FFO91" s="60"/>
      <c r="FGD91" s="63" t="s">
        <v>933</v>
      </c>
      <c r="FGE91" s="60"/>
      <c r="FGT91" s="63" t="s">
        <v>933</v>
      </c>
      <c r="FGU91" s="60"/>
      <c r="FHJ91" s="63" t="s">
        <v>933</v>
      </c>
      <c r="FHK91" s="60"/>
      <c r="FHZ91" s="63" t="s">
        <v>933</v>
      </c>
      <c r="FIA91" s="60"/>
      <c r="FIP91" s="63" t="s">
        <v>933</v>
      </c>
      <c r="FIQ91" s="60"/>
      <c r="FJF91" s="63" t="s">
        <v>933</v>
      </c>
      <c r="FJG91" s="60"/>
      <c r="FJV91" s="63" t="s">
        <v>933</v>
      </c>
      <c r="FJW91" s="60"/>
      <c r="FKL91" s="63" t="s">
        <v>933</v>
      </c>
      <c r="FKM91" s="60"/>
      <c r="FLB91" s="63" t="s">
        <v>933</v>
      </c>
      <c r="FLC91" s="60"/>
      <c r="FLR91" s="63" t="s">
        <v>933</v>
      </c>
      <c r="FLS91" s="60"/>
      <c r="FMH91" s="63" t="s">
        <v>933</v>
      </c>
      <c r="FMI91" s="60"/>
      <c r="FMX91" s="63" t="s">
        <v>933</v>
      </c>
      <c r="FMY91" s="60"/>
      <c r="FNN91" s="63" t="s">
        <v>933</v>
      </c>
      <c r="FNO91" s="60"/>
      <c r="FOD91" s="63" t="s">
        <v>933</v>
      </c>
      <c r="FOE91" s="60"/>
      <c r="FOT91" s="63" t="s">
        <v>933</v>
      </c>
      <c r="FOU91" s="60"/>
      <c r="FPJ91" s="63" t="s">
        <v>933</v>
      </c>
      <c r="FPK91" s="60"/>
      <c r="FPZ91" s="63" t="s">
        <v>933</v>
      </c>
      <c r="FQA91" s="60"/>
      <c r="FQP91" s="63" t="s">
        <v>933</v>
      </c>
      <c r="FQQ91" s="60"/>
      <c r="FRF91" s="63" t="s">
        <v>933</v>
      </c>
      <c r="FRG91" s="60"/>
      <c r="FRV91" s="63" t="s">
        <v>933</v>
      </c>
      <c r="FRW91" s="60"/>
      <c r="FSL91" s="63" t="s">
        <v>933</v>
      </c>
      <c r="FSM91" s="60"/>
      <c r="FTB91" s="63" t="s">
        <v>933</v>
      </c>
      <c r="FTC91" s="60"/>
      <c r="FTR91" s="63" t="s">
        <v>933</v>
      </c>
      <c r="FTS91" s="60"/>
      <c r="FUH91" s="63" t="s">
        <v>933</v>
      </c>
      <c r="FUI91" s="60"/>
      <c r="FUX91" s="63" t="s">
        <v>933</v>
      </c>
      <c r="FUY91" s="60"/>
      <c r="FVN91" s="63" t="s">
        <v>933</v>
      </c>
      <c r="FVO91" s="60"/>
      <c r="FWD91" s="63" t="s">
        <v>933</v>
      </c>
      <c r="FWE91" s="60"/>
      <c r="FWT91" s="63" t="s">
        <v>933</v>
      </c>
      <c r="FWU91" s="60"/>
      <c r="FXJ91" s="63" t="s">
        <v>933</v>
      </c>
      <c r="FXK91" s="60"/>
      <c r="FXZ91" s="63" t="s">
        <v>933</v>
      </c>
      <c r="FYA91" s="60"/>
      <c r="FYP91" s="63" t="s">
        <v>933</v>
      </c>
      <c r="FYQ91" s="60"/>
      <c r="FZF91" s="63" t="s">
        <v>933</v>
      </c>
      <c r="FZG91" s="60"/>
      <c r="FZV91" s="63" t="s">
        <v>933</v>
      </c>
      <c r="FZW91" s="60"/>
      <c r="GAL91" s="63" t="s">
        <v>933</v>
      </c>
      <c r="GAM91" s="60"/>
      <c r="GBB91" s="63" t="s">
        <v>933</v>
      </c>
      <c r="GBC91" s="60"/>
      <c r="GBR91" s="63" t="s">
        <v>933</v>
      </c>
      <c r="GBS91" s="60"/>
      <c r="GCH91" s="63" t="s">
        <v>933</v>
      </c>
      <c r="GCI91" s="60"/>
      <c r="GCX91" s="63" t="s">
        <v>933</v>
      </c>
      <c r="GCY91" s="60"/>
      <c r="GDN91" s="63" t="s">
        <v>933</v>
      </c>
      <c r="GDO91" s="60"/>
      <c r="GED91" s="63" t="s">
        <v>933</v>
      </c>
      <c r="GEE91" s="60"/>
      <c r="GET91" s="63" t="s">
        <v>933</v>
      </c>
      <c r="GEU91" s="60"/>
      <c r="GFJ91" s="63" t="s">
        <v>933</v>
      </c>
      <c r="GFK91" s="60"/>
      <c r="GFZ91" s="63" t="s">
        <v>933</v>
      </c>
      <c r="GGA91" s="60"/>
      <c r="GGP91" s="63" t="s">
        <v>933</v>
      </c>
      <c r="GGQ91" s="60"/>
      <c r="GHF91" s="63" t="s">
        <v>933</v>
      </c>
      <c r="GHG91" s="60"/>
      <c r="GHV91" s="63" t="s">
        <v>933</v>
      </c>
      <c r="GHW91" s="60"/>
      <c r="GIL91" s="63" t="s">
        <v>933</v>
      </c>
      <c r="GIM91" s="60"/>
      <c r="GJB91" s="63" t="s">
        <v>933</v>
      </c>
      <c r="GJC91" s="60"/>
      <c r="GJR91" s="63" t="s">
        <v>933</v>
      </c>
      <c r="GJS91" s="60"/>
      <c r="GKH91" s="63" t="s">
        <v>933</v>
      </c>
      <c r="GKI91" s="60"/>
      <c r="GKX91" s="63" t="s">
        <v>933</v>
      </c>
      <c r="GKY91" s="60"/>
      <c r="GLN91" s="63" t="s">
        <v>933</v>
      </c>
      <c r="GLO91" s="60"/>
      <c r="GMD91" s="63" t="s">
        <v>933</v>
      </c>
      <c r="GME91" s="60"/>
      <c r="GMT91" s="63" t="s">
        <v>933</v>
      </c>
      <c r="GMU91" s="60"/>
      <c r="GNJ91" s="63" t="s">
        <v>933</v>
      </c>
      <c r="GNK91" s="60"/>
      <c r="GNZ91" s="63" t="s">
        <v>933</v>
      </c>
      <c r="GOA91" s="60"/>
      <c r="GOP91" s="63" t="s">
        <v>933</v>
      </c>
      <c r="GOQ91" s="60"/>
      <c r="GPF91" s="63" t="s">
        <v>933</v>
      </c>
      <c r="GPG91" s="60"/>
      <c r="GPV91" s="63" t="s">
        <v>933</v>
      </c>
      <c r="GPW91" s="60"/>
      <c r="GQL91" s="63" t="s">
        <v>933</v>
      </c>
      <c r="GQM91" s="60"/>
      <c r="GRB91" s="63" t="s">
        <v>933</v>
      </c>
      <c r="GRC91" s="60"/>
      <c r="GRR91" s="63" t="s">
        <v>933</v>
      </c>
      <c r="GRS91" s="60"/>
      <c r="GSH91" s="63" t="s">
        <v>933</v>
      </c>
      <c r="GSI91" s="60"/>
      <c r="GSX91" s="63" t="s">
        <v>933</v>
      </c>
      <c r="GSY91" s="60"/>
      <c r="GTN91" s="63" t="s">
        <v>933</v>
      </c>
      <c r="GTO91" s="60"/>
      <c r="GUD91" s="63" t="s">
        <v>933</v>
      </c>
      <c r="GUE91" s="60"/>
      <c r="GUT91" s="63" t="s">
        <v>933</v>
      </c>
      <c r="GUU91" s="60"/>
      <c r="GVJ91" s="63" t="s">
        <v>933</v>
      </c>
      <c r="GVK91" s="60"/>
      <c r="GVZ91" s="63" t="s">
        <v>933</v>
      </c>
      <c r="GWA91" s="60"/>
      <c r="GWP91" s="63" t="s">
        <v>933</v>
      </c>
      <c r="GWQ91" s="60"/>
      <c r="GXF91" s="63" t="s">
        <v>933</v>
      </c>
      <c r="GXG91" s="60"/>
      <c r="GXV91" s="63" t="s">
        <v>933</v>
      </c>
      <c r="GXW91" s="60"/>
      <c r="GYL91" s="63" t="s">
        <v>933</v>
      </c>
      <c r="GYM91" s="60"/>
      <c r="GZB91" s="63" t="s">
        <v>933</v>
      </c>
      <c r="GZC91" s="60"/>
      <c r="GZR91" s="63" t="s">
        <v>933</v>
      </c>
      <c r="GZS91" s="60"/>
      <c r="HAH91" s="63" t="s">
        <v>933</v>
      </c>
      <c r="HAI91" s="60"/>
      <c r="HAX91" s="63" t="s">
        <v>933</v>
      </c>
      <c r="HAY91" s="60"/>
      <c r="HBN91" s="63" t="s">
        <v>933</v>
      </c>
      <c r="HBO91" s="60"/>
      <c r="HCD91" s="63" t="s">
        <v>933</v>
      </c>
      <c r="HCE91" s="60"/>
      <c r="HCT91" s="63" t="s">
        <v>933</v>
      </c>
      <c r="HCU91" s="60"/>
      <c r="HDJ91" s="63" t="s">
        <v>933</v>
      </c>
      <c r="HDK91" s="60"/>
      <c r="HDZ91" s="63" t="s">
        <v>933</v>
      </c>
      <c r="HEA91" s="60"/>
      <c r="HEP91" s="63" t="s">
        <v>933</v>
      </c>
      <c r="HEQ91" s="60"/>
      <c r="HFF91" s="63" t="s">
        <v>933</v>
      </c>
      <c r="HFG91" s="60"/>
      <c r="HFV91" s="63" t="s">
        <v>933</v>
      </c>
      <c r="HFW91" s="60"/>
      <c r="HGL91" s="63" t="s">
        <v>933</v>
      </c>
      <c r="HGM91" s="60"/>
      <c r="HHB91" s="63" t="s">
        <v>933</v>
      </c>
      <c r="HHC91" s="60"/>
      <c r="HHR91" s="63" t="s">
        <v>933</v>
      </c>
      <c r="HHS91" s="60"/>
      <c r="HIH91" s="63" t="s">
        <v>933</v>
      </c>
      <c r="HII91" s="60"/>
      <c r="HIX91" s="63" t="s">
        <v>933</v>
      </c>
      <c r="HIY91" s="60"/>
      <c r="HJN91" s="63" t="s">
        <v>933</v>
      </c>
      <c r="HJO91" s="60"/>
      <c r="HKD91" s="63" t="s">
        <v>933</v>
      </c>
      <c r="HKE91" s="60"/>
      <c r="HKT91" s="63" t="s">
        <v>933</v>
      </c>
      <c r="HKU91" s="60"/>
      <c r="HLJ91" s="63" t="s">
        <v>933</v>
      </c>
      <c r="HLK91" s="60"/>
      <c r="HLZ91" s="63" t="s">
        <v>933</v>
      </c>
      <c r="HMA91" s="60"/>
      <c r="HMP91" s="63" t="s">
        <v>933</v>
      </c>
      <c r="HMQ91" s="60"/>
      <c r="HNF91" s="63" t="s">
        <v>933</v>
      </c>
      <c r="HNG91" s="60"/>
      <c r="HNV91" s="63" t="s">
        <v>933</v>
      </c>
      <c r="HNW91" s="60"/>
      <c r="HOL91" s="63" t="s">
        <v>933</v>
      </c>
      <c r="HOM91" s="60"/>
      <c r="HPB91" s="63" t="s">
        <v>933</v>
      </c>
      <c r="HPC91" s="60"/>
      <c r="HPR91" s="63" t="s">
        <v>933</v>
      </c>
      <c r="HPS91" s="60"/>
      <c r="HQH91" s="63" t="s">
        <v>933</v>
      </c>
      <c r="HQI91" s="60"/>
      <c r="HQX91" s="63" t="s">
        <v>933</v>
      </c>
      <c r="HQY91" s="60"/>
      <c r="HRN91" s="63" t="s">
        <v>933</v>
      </c>
      <c r="HRO91" s="60"/>
      <c r="HSD91" s="63" t="s">
        <v>933</v>
      </c>
      <c r="HSE91" s="60"/>
      <c r="HST91" s="63" t="s">
        <v>933</v>
      </c>
      <c r="HSU91" s="60"/>
      <c r="HTJ91" s="63" t="s">
        <v>933</v>
      </c>
      <c r="HTK91" s="60"/>
      <c r="HTZ91" s="63" t="s">
        <v>933</v>
      </c>
      <c r="HUA91" s="60"/>
      <c r="HUP91" s="63" t="s">
        <v>933</v>
      </c>
      <c r="HUQ91" s="60"/>
      <c r="HVF91" s="63" t="s">
        <v>933</v>
      </c>
      <c r="HVG91" s="60"/>
      <c r="HVV91" s="63" t="s">
        <v>933</v>
      </c>
      <c r="HVW91" s="60"/>
      <c r="HWL91" s="63" t="s">
        <v>933</v>
      </c>
      <c r="HWM91" s="60"/>
      <c r="HXB91" s="63" t="s">
        <v>933</v>
      </c>
      <c r="HXC91" s="60"/>
      <c r="HXR91" s="63" t="s">
        <v>933</v>
      </c>
      <c r="HXS91" s="60"/>
      <c r="HYH91" s="63" t="s">
        <v>933</v>
      </c>
      <c r="HYI91" s="60"/>
      <c r="HYX91" s="63" t="s">
        <v>933</v>
      </c>
      <c r="HYY91" s="60"/>
      <c r="HZN91" s="63" t="s">
        <v>933</v>
      </c>
      <c r="HZO91" s="60"/>
      <c r="IAD91" s="63" t="s">
        <v>933</v>
      </c>
      <c r="IAE91" s="60"/>
      <c r="IAT91" s="63" t="s">
        <v>933</v>
      </c>
      <c r="IAU91" s="60"/>
      <c r="IBJ91" s="63" t="s">
        <v>933</v>
      </c>
      <c r="IBK91" s="60"/>
      <c r="IBZ91" s="63" t="s">
        <v>933</v>
      </c>
      <c r="ICA91" s="60"/>
      <c r="ICP91" s="63" t="s">
        <v>933</v>
      </c>
      <c r="ICQ91" s="60"/>
      <c r="IDF91" s="63" t="s">
        <v>933</v>
      </c>
      <c r="IDG91" s="60"/>
      <c r="IDV91" s="63" t="s">
        <v>933</v>
      </c>
      <c r="IDW91" s="60"/>
      <c r="IEL91" s="63" t="s">
        <v>933</v>
      </c>
      <c r="IEM91" s="60"/>
      <c r="IFB91" s="63" t="s">
        <v>933</v>
      </c>
      <c r="IFC91" s="60"/>
      <c r="IFR91" s="63" t="s">
        <v>933</v>
      </c>
      <c r="IFS91" s="60"/>
      <c r="IGH91" s="63" t="s">
        <v>933</v>
      </c>
      <c r="IGI91" s="60"/>
      <c r="IGX91" s="63" t="s">
        <v>933</v>
      </c>
      <c r="IGY91" s="60"/>
      <c r="IHN91" s="63" t="s">
        <v>933</v>
      </c>
      <c r="IHO91" s="60"/>
      <c r="IID91" s="63" t="s">
        <v>933</v>
      </c>
      <c r="IIE91" s="60"/>
      <c r="IIT91" s="63" t="s">
        <v>933</v>
      </c>
      <c r="IIU91" s="60"/>
      <c r="IJJ91" s="63" t="s">
        <v>933</v>
      </c>
      <c r="IJK91" s="60"/>
      <c r="IJZ91" s="63" t="s">
        <v>933</v>
      </c>
      <c r="IKA91" s="60"/>
      <c r="IKP91" s="63" t="s">
        <v>933</v>
      </c>
      <c r="IKQ91" s="60"/>
      <c r="ILF91" s="63" t="s">
        <v>933</v>
      </c>
      <c r="ILG91" s="60"/>
      <c r="ILV91" s="63" t="s">
        <v>933</v>
      </c>
      <c r="ILW91" s="60"/>
      <c r="IML91" s="63" t="s">
        <v>933</v>
      </c>
      <c r="IMM91" s="60"/>
      <c r="INB91" s="63" t="s">
        <v>933</v>
      </c>
      <c r="INC91" s="60"/>
      <c r="INR91" s="63" t="s">
        <v>933</v>
      </c>
      <c r="INS91" s="60"/>
      <c r="IOH91" s="63" t="s">
        <v>933</v>
      </c>
      <c r="IOI91" s="60"/>
      <c r="IOX91" s="63" t="s">
        <v>933</v>
      </c>
      <c r="IOY91" s="60"/>
      <c r="IPN91" s="63" t="s">
        <v>933</v>
      </c>
      <c r="IPO91" s="60"/>
      <c r="IQD91" s="63" t="s">
        <v>933</v>
      </c>
      <c r="IQE91" s="60"/>
      <c r="IQT91" s="63" t="s">
        <v>933</v>
      </c>
      <c r="IQU91" s="60"/>
      <c r="IRJ91" s="63" t="s">
        <v>933</v>
      </c>
      <c r="IRK91" s="60"/>
      <c r="IRZ91" s="63" t="s">
        <v>933</v>
      </c>
      <c r="ISA91" s="60"/>
      <c r="ISP91" s="63" t="s">
        <v>933</v>
      </c>
      <c r="ISQ91" s="60"/>
      <c r="ITF91" s="63" t="s">
        <v>933</v>
      </c>
      <c r="ITG91" s="60"/>
      <c r="ITV91" s="63" t="s">
        <v>933</v>
      </c>
      <c r="ITW91" s="60"/>
      <c r="IUL91" s="63" t="s">
        <v>933</v>
      </c>
      <c r="IUM91" s="60"/>
      <c r="IVB91" s="63" t="s">
        <v>933</v>
      </c>
      <c r="IVC91" s="60"/>
      <c r="IVR91" s="63" t="s">
        <v>933</v>
      </c>
      <c r="IVS91" s="60"/>
      <c r="IWH91" s="63" t="s">
        <v>933</v>
      </c>
      <c r="IWI91" s="60"/>
      <c r="IWX91" s="63" t="s">
        <v>933</v>
      </c>
      <c r="IWY91" s="60"/>
      <c r="IXN91" s="63" t="s">
        <v>933</v>
      </c>
      <c r="IXO91" s="60"/>
      <c r="IYD91" s="63" t="s">
        <v>933</v>
      </c>
      <c r="IYE91" s="60"/>
      <c r="IYT91" s="63" t="s">
        <v>933</v>
      </c>
      <c r="IYU91" s="60"/>
      <c r="IZJ91" s="63" t="s">
        <v>933</v>
      </c>
      <c r="IZK91" s="60"/>
      <c r="IZZ91" s="63" t="s">
        <v>933</v>
      </c>
      <c r="JAA91" s="60"/>
      <c r="JAP91" s="63" t="s">
        <v>933</v>
      </c>
      <c r="JAQ91" s="60"/>
      <c r="JBF91" s="63" t="s">
        <v>933</v>
      </c>
      <c r="JBG91" s="60"/>
      <c r="JBV91" s="63" t="s">
        <v>933</v>
      </c>
      <c r="JBW91" s="60"/>
      <c r="JCL91" s="63" t="s">
        <v>933</v>
      </c>
      <c r="JCM91" s="60"/>
      <c r="JDB91" s="63" t="s">
        <v>933</v>
      </c>
      <c r="JDC91" s="60"/>
      <c r="JDR91" s="63" t="s">
        <v>933</v>
      </c>
      <c r="JDS91" s="60"/>
      <c r="JEH91" s="63" t="s">
        <v>933</v>
      </c>
      <c r="JEI91" s="60"/>
      <c r="JEX91" s="63" t="s">
        <v>933</v>
      </c>
      <c r="JEY91" s="60"/>
      <c r="JFN91" s="63" t="s">
        <v>933</v>
      </c>
      <c r="JFO91" s="60"/>
      <c r="JGD91" s="63" t="s">
        <v>933</v>
      </c>
      <c r="JGE91" s="60"/>
      <c r="JGT91" s="63" t="s">
        <v>933</v>
      </c>
      <c r="JGU91" s="60"/>
      <c r="JHJ91" s="63" t="s">
        <v>933</v>
      </c>
      <c r="JHK91" s="60"/>
      <c r="JHZ91" s="63" t="s">
        <v>933</v>
      </c>
      <c r="JIA91" s="60"/>
      <c r="JIP91" s="63" t="s">
        <v>933</v>
      </c>
      <c r="JIQ91" s="60"/>
      <c r="JJF91" s="63" t="s">
        <v>933</v>
      </c>
      <c r="JJG91" s="60"/>
      <c r="JJV91" s="63" t="s">
        <v>933</v>
      </c>
      <c r="JJW91" s="60"/>
      <c r="JKL91" s="63" t="s">
        <v>933</v>
      </c>
      <c r="JKM91" s="60"/>
      <c r="JLB91" s="63" t="s">
        <v>933</v>
      </c>
      <c r="JLC91" s="60"/>
      <c r="JLR91" s="63" t="s">
        <v>933</v>
      </c>
      <c r="JLS91" s="60"/>
      <c r="JMH91" s="63" t="s">
        <v>933</v>
      </c>
      <c r="JMI91" s="60"/>
      <c r="JMX91" s="63" t="s">
        <v>933</v>
      </c>
      <c r="JMY91" s="60"/>
      <c r="JNN91" s="63" t="s">
        <v>933</v>
      </c>
      <c r="JNO91" s="60"/>
      <c r="JOD91" s="63" t="s">
        <v>933</v>
      </c>
      <c r="JOE91" s="60"/>
      <c r="JOT91" s="63" t="s">
        <v>933</v>
      </c>
      <c r="JOU91" s="60"/>
      <c r="JPJ91" s="63" t="s">
        <v>933</v>
      </c>
      <c r="JPK91" s="60"/>
      <c r="JPZ91" s="63" t="s">
        <v>933</v>
      </c>
      <c r="JQA91" s="60"/>
      <c r="JQP91" s="63" t="s">
        <v>933</v>
      </c>
      <c r="JQQ91" s="60"/>
      <c r="JRF91" s="63" t="s">
        <v>933</v>
      </c>
      <c r="JRG91" s="60"/>
      <c r="JRV91" s="63" t="s">
        <v>933</v>
      </c>
      <c r="JRW91" s="60"/>
      <c r="JSL91" s="63" t="s">
        <v>933</v>
      </c>
      <c r="JSM91" s="60"/>
      <c r="JTB91" s="63" t="s">
        <v>933</v>
      </c>
      <c r="JTC91" s="60"/>
      <c r="JTR91" s="63" t="s">
        <v>933</v>
      </c>
      <c r="JTS91" s="60"/>
      <c r="JUH91" s="63" t="s">
        <v>933</v>
      </c>
      <c r="JUI91" s="60"/>
      <c r="JUX91" s="63" t="s">
        <v>933</v>
      </c>
      <c r="JUY91" s="60"/>
      <c r="JVN91" s="63" t="s">
        <v>933</v>
      </c>
      <c r="JVO91" s="60"/>
      <c r="JWD91" s="63" t="s">
        <v>933</v>
      </c>
      <c r="JWE91" s="60"/>
      <c r="JWT91" s="63" t="s">
        <v>933</v>
      </c>
      <c r="JWU91" s="60"/>
      <c r="JXJ91" s="63" t="s">
        <v>933</v>
      </c>
      <c r="JXK91" s="60"/>
      <c r="JXZ91" s="63" t="s">
        <v>933</v>
      </c>
      <c r="JYA91" s="60"/>
      <c r="JYP91" s="63" t="s">
        <v>933</v>
      </c>
      <c r="JYQ91" s="60"/>
      <c r="JZF91" s="63" t="s">
        <v>933</v>
      </c>
      <c r="JZG91" s="60"/>
      <c r="JZV91" s="63" t="s">
        <v>933</v>
      </c>
      <c r="JZW91" s="60"/>
      <c r="KAL91" s="63" t="s">
        <v>933</v>
      </c>
      <c r="KAM91" s="60"/>
      <c r="KBB91" s="63" t="s">
        <v>933</v>
      </c>
      <c r="KBC91" s="60"/>
      <c r="KBR91" s="63" t="s">
        <v>933</v>
      </c>
      <c r="KBS91" s="60"/>
      <c r="KCH91" s="63" t="s">
        <v>933</v>
      </c>
      <c r="KCI91" s="60"/>
      <c r="KCX91" s="63" t="s">
        <v>933</v>
      </c>
      <c r="KCY91" s="60"/>
      <c r="KDN91" s="63" t="s">
        <v>933</v>
      </c>
      <c r="KDO91" s="60"/>
      <c r="KED91" s="63" t="s">
        <v>933</v>
      </c>
      <c r="KEE91" s="60"/>
      <c r="KET91" s="63" t="s">
        <v>933</v>
      </c>
      <c r="KEU91" s="60"/>
      <c r="KFJ91" s="63" t="s">
        <v>933</v>
      </c>
      <c r="KFK91" s="60"/>
      <c r="KFZ91" s="63" t="s">
        <v>933</v>
      </c>
      <c r="KGA91" s="60"/>
      <c r="KGP91" s="63" t="s">
        <v>933</v>
      </c>
      <c r="KGQ91" s="60"/>
      <c r="KHF91" s="63" t="s">
        <v>933</v>
      </c>
      <c r="KHG91" s="60"/>
      <c r="KHV91" s="63" t="s">
        <v>933</v>
      </c>
      <c r="KHW91" s="60"/>
      <c r="KIL91" s="63" t="s">
        <v>933</v>
      </c>
      <c r="KIM91" s="60"/>
      <c r="KJB91" s="63" t="s">
        <v>933</v>
      </c>
      <c r="KJC91" s="60"/>
      <c r="KJR91" s="63" t="s">
        <v>933</v>
      </c>
      <c r="KJS91" s="60"/>
      <c r="KKH91" s="63" t="s">
        <v>933</v>
      </c>
      <c r="KKI91" s="60"/>
      <c r="KKX91" s="63" t="s">
        <v>933</v>
      </c>
      <c r="KKY91" s="60"/>
      <c r="KLN91" s="63" t="s">
        <v>933</v>
      </c>
      <c r="KLO91" s="60"/>
      <c r="KMD91" s="63" t="s">
        <v>933</v>
      </c>
      <c r="KME91" s="60"/>
      <c r="KMT91" s="63" t="s">
        <v>933</v>
      </c>
      <c r="KMU91" s="60"/>
      <c r="KNJ91" s="63" t="s">
        <v>933</v>
      </c>
      <c r="KNK91" s="60"/>
      <c r="KNZ91" s="63" t="s">
        <v>933</v>
      </c>
      <c r="KOA91" s="60"/>
      <c r="KOP91" s="63" t="s">
        <v>933</v>
      </c>
      <c r="KOQ91" s="60"/>
      <c r="KPF91" s="63" t="s">
        <v>933</v>
      </c>
      <c r="KPG91" s="60"/>
      <c r="KPV91" s="63" t="s">
        <v>933</v>
      </c>
      <c r="KPW91" s="60"/>
      <c r="KQL91" s="63" t="s">
        <v>933</v>
      </c>
      <c r="KQM91" s="60"/>
      <c r="KRB91" s="63" t="s">
        <v>933</v>
      </c>
      <c r="KRC91" s="60"/>
      <c r="KRR91" s="63" t="s">
        <v>933</v>
      </c>
      <c r="KRS91" s="60"/>
      <c r="KSH91" s="63" t="s">
        <v>933</v>
      </c>
      <c r="KSI91" s="60"/>
      <c r="KSX91" s="63" t="s">
        <v>933</v>
      </c>
      <c r="KSY91" s="60"/>
      <c r="KTN91" s="63" t="s">
        <v>933</v>
      </c>
      <c r="KTO91" s="60"/>
      <c r="KUD91" s="63" t="s">
        <v>933</v>
      </c>
      <c r="KUE91" s="60"/>
      <c r="KUT91" s="63" t="s">
        <v>933</v>
      </c>
      <c r="KUU91" s="60"/>
      <c r="KVJ91" s="63" t="s">
        <v>933</v>
      </c>
      <c r="KVK91" s="60"/>
      <c r="KVZ91" s="63" t="s">
        <v>933</v>
      </c>
      <c r="KWA91" s="60"/>
      <c r="KWP91" s="63" t="s">
        <v>933</v>
      </c>
      <c r="KWQ91" s="60"/>
      <c r="KXF91" s="63" t="s">
        <v>933</v>
      </c>
      <c r="KXG91" s="60"/>
      <c r="KXV91" s="63" t="s">
        <v>933</v>
      </c>
      <c r="KXW91" s="60"/>
      <c r="KYL91" s="63" t="s">
        <v>933</v>
      </c>
      <c r="KYM91" s="60"/>
      <c r="KZB91" s="63" t="s">
        <v>933</v>
      </c>
      <c r="KZC91" s="60"/>
      <c r="KZR91" s="63" t="s">
        <v>933</v>
      </c>
      <c r="KZS91" s="60"/>
      <c r="LAH91" s="63" t="s">
        <v>933</v>
      </c>
      <c r="LAI91" s="60"/>
      <c r="LAX91" s="63" t="s">
        <v>933</v>
      </c>
      <c r="LAY91" s="60"/>
      <c r="LBN91" s="63" t="s">
        <v>933</v>
      </c>
      <c r="LBO91" s="60"/>
      <c r="LCD91" s="63" t="s">
        <v>933</v>
      </c>
      <c r="LCE91" s="60"/>
      <c r="LCT91" s="63" t="s">
        <v>933</v>
      </c>
      <c r="LCU91" s="60"/>
      <c r="LDJ91" s="63" t="s">
        <v>933</v>
      </c>
      <c r="LDK91" s="60"/>
      <c r="LDZ91" s="63" t="s">
        <v>933</v>
      </c>
      <c r="LEA91" s="60"/>
      <c r="LEP91" s="63" t="s">
        <v>933</v>
      </c>
      <c r="LEQ91" s="60"/>
      <c r="LFF91" s="63" t="s">
        <v>933</v>
      </c>
      <c r="LFG91" s="60"/>
      <c r="LFV91" s="63" t="s">
        <v>933</v>
      </c>
      <c r="LFW91" s="60"/>
      <c r="LGL91" s="63" t="s">
        <v>933</v>
      </c>
      <c r="LGM91" s="60"/>
      <c r="LHB91" s="63" t="s">
        <v>933</v>
      </c>
      <c r="LHC91" s="60"/>
      <c r="LHR91" s="63" t="s">
        <v>933</v>
      </c>
      <c r="LHS91" s="60"/>
      <c r="LIH91" s="63" t="s">
        <v>933</v>
      </c>
      <c r="LII91" s="60"/>
      <c r="LIX91" s="63" t="s">
        <v>933</v>
      </c>
      <c r="LIY91" s="60"/>
      <c r="LJN91" s="63" t="s">
        <v>933</v>
      </c>
      <c r="LJO91" s="60"/>
      <c r="LKD91" s="63" t="s">
        <v>933</v>
      </c>
      <c r="LKE91" s="60"/>
      <c r="LKT91" s="63" t="s">
        <v>933</v>
      </c>
      <c r="LKU91" s="60"/>
      <c r="LLJ91" s="63" t="s">
        <v>933</v>
      </c>
      <c r="LLK91" s="60"/>
      <c r="LLZ91" s="63" t="s">
        <v>933</v>
      </c>
      <c r="LMA91" s="60"/>
      <c r="LMP91" s="63" t="s">
        <v>933</v>
      </c>
      <c r="LMQ91" s="60"/>
      <c r="LNF91" s="63" t="s">
        <v>933</v>
      </c>
      <c r="LNG91" s="60"/>
      <c r="LNV91" s="63" t="s">
        <v>933</v>
      </c>
      <c r="LNW91" s="60"/>
      <c r="LOL91" s="63" t="s">
        <v>933</v>
      </c>
      <c r="LOM91" s="60"/>
      <c r="LPB91" s="63" t="s">
        <v>933</v>
      </c>
      <c r="LPC91" s="60"/>
      <c r="LPR91" s="63" t="s">
        <v>933</v>
      </c>
      <c r="LPS91" s="60"/>
      <c r="LQH91" s="63" t="s">
        <v>933</v>
      </c>
      <c r="LQI91" s="60"/>
      <c r="LQX91" s="63" t="s">
        <v>933</v>
      </c>
      <c r="LQY91" s="60"/>
      <c r="LRN91" s="63" t="s">
        <v>933</v>
      </c>
      <c r="LRO91" s="60"/>
      <c r="LSD91" s="63" t="s">
        <v>933</v>
      </c>
      <c r="LSE91" s="60"/>
      <c r="LST91" s="63" t="s">
        <v>933</v>
      </c>
      <c r="LSU91" s="60"/>
      <c r="LTJ91" s="63" t="s">
        <v>933</v>
      </c>
      <c r="LTK91" s="60"/>
      <c r="LTZ91" s="63" t="s">
        <v>933</v>
      </c>
      <c r="LUA91" s="60"/>
      <c r="LUP91" s="63" t="s">
        <v>933</v>
      </c>
      <c r="LUQ91" s="60"/>
      <c r="LVF91" s="63" t="s">
        <v>933</v>
      </c>
      <c r="LVG91" s="60"/>
      <c r="LVV91" s="63" t="s">
        <v>933</v>
      </c>
      <c r="LVW91" s="60"/>
      <c r="LWL91" s="63" t="s">
        <v>933</v>
      </c>
      <c r="LWM91" s="60"/>
      <c r="LXB91" s="63" t="s">
        <v>933</v>
      </c>
      <c r="LXC91" s="60"/>
      <c r="LXR91" s="63" t="s">
        <v>933</v>
      </c>
      <c r="LXS91" s="60"/>
      <c r="LYH91" s="63" t="s">
        <v>933</v>
      </c>
      <c r="LYI91" s="60"/>
      <c r="LYX91" s="63" t="s">
        <v>933</v>
      </c>
      <c r="LYY91" s="60"/>
      <c r="LZN91" s="63" t="s">
        <v>933</v>
      </c>
      <c r="LZO91" s="60"/>
      <c r="MAD91" s="63" t="s">
        <v>933</v>
      </c>
      <c r="MAE91" s="60"/>
      <c r="MAT91" s="63" t="s">
        <v>933</v>
      </c>
      <c r="MAU91" s="60"/>
      <c r="MBJ91" s="63" t="s">
        <v>933</v>
      </c>
      <c r="MBK91" s="60"/>
      <c r="MBZ91" s="63" t="s">
        <v>933</v>
      </c>
      <c r="MCA91" s="60"/>
      <c r="MCP91" s="63" t="s">
        <v>933</v>
      </c>
      <c r="MCQ91" s="60"/>
      <c r="MDF91" s="63" t="s">
        <v>933</v>
      </c>
      <c r="MDG91" s="60"/>
      <c r="MDV91" s="63" t="s">
        <v>933</v>
      </c>
      <c r="MDW91" s="60"/>
      <c r="MEL91" s="63" t="s">
        <v>933</v>
      </c>
      <c r="MEM91" s="60"/>
      <c r="MFB91" s="63" t="s">
        <v>933</v>
      </c>
      <c r="MFC91" s="60"/>
      <c r="MFR91" s="63" t="s">
        <v>933</v>
      </c>
      <c r="MFS91" s="60"/>
      <c r="MGH91" s="63" t="s">
        <v>933</v>
      </c>
      <c r="MGI91" s="60"/>
      <c r="MGX91" s="63" t="s">
        <v>933</v>
      </c>
      <c r="MGY91" s="60"/>
      <c r="MHN91" s="63" t="s">
        <v>933</v>
      </c>
      <c r="MHO91" s="60"/>
      <c r="MID91" s="63" t="s">
        <v>933</v>
      </c>
      <c r="MIE91" s="60"/>
      <c r="MIT91" s="63" t="s">
        <v>933</v>
      </c>
      <c r="MIU91" s="60"/>
      <c r="MJJ91" s="63" t="s">
        <v>933</v>
      </c>
      <c r="MJK91" s="60"/>
      <c r="MJZ91" s="63" t="s">
        <v>933</v>
      </c>
      <c r="MKA91" s="60"/>
      <c r="MKP91" s="63" t="s">
        <v>933</v>
      </c>
      <c r="MKQ91" s="60"/>
      <c r="MLF91" s="63" t="s">
        <v>933</v>
      </c>
      <c r="MLG91" s="60"/>
      <c r="MLV91" s="63" t="s">
        <v>933</v>
      </c>
      <c r="MLW91" s="60"/>
      <c r="MML91" s="63" t="s">
        <v>933</v>
      </c>
      <c r="MMM91" s="60"/>
      <c r="MNB91" s="63" t="s">
        <v>933</v>
      </c>
      <c r="MNC91" s="60"/>
      <c r="MNR91" s="63" t="s">
        <v>933</v>
      </c>
      <c r="MNS91" s="60"/>
      <c r="MOH91" s="63" t="s">
        <v>933</v>
      </c>
      <c r="MOI91" s="60"/>
      <c r="MOX91" s="63" t="s">
        <v>933</v>
      </c>
      <c r="MOY91" s="60"/>
      <c r="MPN91" s="63" t="s">
        <v>933</v>
      </c>
      <c r="MPO91" s="60"/>
      <c r="MQD91" s="63" t="s">
        <v>933</v>
      </c>
      <c r="MQE91" s="60"/>
      <c r="MQT91" s="63" t="s">
        <v>933</v>
      </c>
      <c r="MQU91" s="60"/>
      <c r="MRJ91" s="63" t="s">
        <v>933</v>
      </c>
      <c r="MRK91" s="60"/>
      <c r="MRZ91" s="63" t="s">
        <v>933</v>
      </c>
      <c r="MSA91" s="60"/>
      <c r="MSP91" s="63" t="s">
        <v>933</v>
      </c>
      <c r="MSQ91" s="60"/>
      <c r="MTF91" s="63" t="s">
        <v>933</v>
      </c>
      <c r="MTG91" s="60"/>
      <c r="MTV91" s="63" t="s">
        <v>933</v>
      </c>
      <c r="MTW91" s="60"/>
      <c r="MUL91" s="63" t="s">
        <v>933</v>
      </c>
      <c r="MUM91" s="60"/>
      <c r="MVB91" s="63" t="s">
        <v>933</v>
      </c>
      <c r="MVC91" s="60"/>
      <c r="MVR91" s="63" t="s">
        <v>933</v>
      </c>
      <c r="MVS91" s="60"/>
      <c r="MWH91" s="63" t="s">
        <v>933</v>
      </c>
      <c r="MWI91" s="60"/>
      <c r="MWX91" s="63" t="s">
        <v>933</v>
      </c>
      <c r="MWY91" s="60"/>
      <c r="MXN91" s="63" t="s">
        <v>933</v>
      </c>
      <c r="MXO91" s="60"/>
      <c r="MYD91" s="63" t="s">
        <v>933</v>
      </c>
      <c r="MYE91" s="60"/>
      <c r="MYT91" s="63" t="s">
        <v>933</v>
      </c>
      <c r="MYU91" s="60"/>
      <c r="MZJ91" s="63" t="s">
        <v>933</v>
      </c>
      <c r="MZK91" s="60"/>
      <c r="MZZ91" s="63" t="s">
        <v>933</v>
      </c>
      <c r="NAA91" s="60"/>
      <c r="NAP91" s="63" t="s">
        <v>933</v>
      </c>
      <c r="NAQ91" s="60"/>
      <c r="NBF91" s="63" t="s">
        <v>933</v>
      </c>
      <c r="NBG91" s="60"/>
      <c r="NBV91" s="63" t="s">
        <v>933</v>
      </c>
      <c r="NBW91" s="60"/>
      <c r="NCL91" s="63" t="s">
        <v>933</v>
      </c>
      <c r="NCM91" s="60"/>
      <c r="NDB91" s="63" t="s">
        <v>933</v>
      </c>
      <c r="NDC91" s="60"/>
      <c r="NDR91" s="63" t="s">
        <v>933</v>
      </c>
      <c r="NDS91" s="60"/>
      <c r="NEH91" s="63" t="s">
        <v>933</v>
      </c>
      <c r="NEI91" s="60"/>
      <c r="NEX91" s="63" t="s">
        <v>933</v>
      </c>
      <c r="NEY91" s="60"/>
      <c r="NFN91" s="63" t="s">
        <v>933</v>
      </c>
      <c r="NFO91" s="60"/>
      <c r="NGD91" s="63" t="s">
        <v>933</v>
      </c>
      <c r="NGE91" s="60"/>
      <c r="NGT91" s="63" t="s">
        <v>933</v>
      </c>
      <c r="NGU91" s="60"/>
      <c r="NHJ91" s="63" t="s">
        <v>933</v>
      </c>
      <c r="NHK91" s="60"/>
      <c r="NHZ91" s="63" t="s">
        <v>933</v>
      </c>
      <c r="NIA91" s="60"/>
      <c r="NIP91" s="63" t="s">
        <v>933</v>
      </c>
      <c r="NIQ91" s="60"/>
      <c r="NJF91" s="63" t="s">
        <v>933</v>
      </c>
      <c r="NJG91" s="60"/>
      <c r="NJV91" s="63" t="s">
        <v>933</v>
      </c>
      <c r="NJW91" s="60"/>
      <c r="NKL91" s="63" t="s">
        <v>933</v>
      </c>
      <c r="NKM91" s="60"/>
      <c r="NLB91" s="63" t="s">
        <v>933</v>
      </c>
      <c r="NLC91" s="60"/>
      <c r="NLR91" s="63" t="s">
        <v>933</v>
      </c>
      <c r="NLS91" s="60"/>
      <c r="NMH91" s="63" t="s">
        <v>933</v>
      </c>
      <c r="NMI91" s="60"/>
      <c r="NMX91" s="63" t="s">
        <v>933</v>
      </c>
      <c r="NMY91" s="60"/>
      <c r="NNN91" s="63" t="s">
        <v>933</v>
      </c>
      <c r="NNO91" s="60"/>
      <c r="NOD91" s="63" t="s">
        <v>933</v>
      </c>
      <c r="NOE91" s="60"/>
      <c r="NOT91" s="63" t="s">
        <v>933</v>
      </c>
      <c r="NOU91" s="60"/>
      <c r="NPJ91" s="63" t="s">
        <v>933</v>
      </c>
      <c r="NPK91" s="60"/>
      <c r="NPZ91" s="63" t="s">
        <v>933</v>
      </c>
      <c r="NQA91" s="60"/>
      <c r="NQP91" s="63" t="s">
        <v>933</v>
      </c>
      <c r="NQQ91" s="60"/>
      <c r="NRF91" s="63" t="s">
        <v>933</v>
      </c>
      <c r="NRG91" s="60"/>
      <c r="NRV91" s="63" t="s">
        <v>933</v>
      </c>
      <c r="NRW91" s="60"/>
      <c r="NSL91" s="63" t="s">
        <v>933</v>
      </c>
      <c r="NSM91" s="60"/>
      <c r="NTB91" s="63" t="s">
        <v>933</v>
      </c>
      <c r="NTC91" s="60"/>
      <c r="NTR91" s="63" t="s">
        <v>933</v>
      </c>
      <c r="NTS91" s="60"/>
      <c r="NUH91" s="63" t="s">
        <v>933</v>
      </c>
      <c r="NUI91" s="60"/>
      <c r="NUX91" s="63" t="s">
        <v>933</v>
      </c>
      <c r="NUY91" s="60"/>
      <c r="NVN91" s="63" t="s">
        <v>933</v>
      </c>
      <c r="NVO91" s="60"/>
      <c r="NWD91" s="63" t="s">
        <v>933</v>
      </c>
      <c r="NWE91" s="60"/>
      <c r="NWT91" s="63" t="s">
        <v>933</v>
      </c>
      <c r="NWU91" s="60"/>
      <c r="NXJ91" s="63" t="s">
        <v>933</v>
      </c>
      <c r="NXK91" s="60"/>
      <c r="NXZ91" s="63" t="s">
        <v>933</v>
      </c>
      <c r="NYA91" s="60"/>
      <c r="NYP91" s="63" t="s">
        <v>933</v>
      </c>
      <c r="NYQ91" s="60"/>
      <c r="NZF91" s="63" t="s">
        <v>933</v>
      </c>
      <c r="NZG91" s="60"/>
      <c r="NZV91" s="63" t="s">
        <v>933</v>
      </c>
      <c r="NZW91" s="60"/>
      <c r="OAL91" s="63" t="s">
        <v>933</v>
      </c>
      <c r="OAM91" s="60"/>
      <c r="OBB91" s="63" t="s">
        <v>933</v>
      </c>
      <c r="OBC91" s="60"/>
      <c r="OBR91" s="63" t="s">
        <v>933</v>
      </c>
      <c r="OBS91" s="60"/>
      <c r="OCH91" s="63" t="s">
        <v>933</v>
      </c>
      <c r="OCI91" s="60"/>
      <c r="OCX91" s="63" t="s">
        <v>933</v>
      </c>
      <c r="OCY91" s="60"/>
      <c r="ODN91" s="63" t="s">
        <v>933</v>
      </c>
      <c r="ODO91" s="60"/>
      <c r="OED91" s="63" t="s">
        <v>933</v>
      </c>
      <c r="OEE91" s="60"/>
      <c r="OET91" s="63" t="s">
        <v>933</v>
      </c>
      <c r="OEU91" s="60"/>
      <c r="OFJ91" s="63" t="s">
        <v>933</v>
      </c>
      <c r="OFK91" s="60"/>
      <c r="OFZ91" s="63" t="s">
        <v>933</v>
      </c>
      <c r="OGA91" s="60"/>
      <c r="OGP91" s="63" t="s">
        <v>933</v>
      </c>
      <c r="OGQ91" s="60"/>
      <c r="OHF91" s="63" t="s">
        <v>933</v>
      </c>
      <c r="OHG91" s="60"/>
      <c r="OHV91" s="63" t="s">
        <v>933</v>
      </c>
      <c r="OHW91" s="60"/>
      <c r="OIL91" s="63" t="s">
        <v>933</v>
      </c>
      <c r="OIM91" s="60"/>
      <c r="OJB91" s="63" t="s">
        <v>933</v>
      </c>
      <c r="OJC91" s="60"/>
      <c r="OJR91" s="63" t="s">
        <v>933</v>
      </c>
      <c r="OJS91" s="60"/>
      <c r="OKH91" s="63" t="s">
        <v>933</v>
      </c>
      <c r="OKI91" s="60"/>
      <c r="OKX91" s="63" t="s">
        <v>933</v>
      </c>
      <c r="OKY91" s="60"/>
      <c r="OLN91" s="63" t="s">
        <v>933</v>
      </c>
      <c r="OLO91" s="60"/>
      <c r="OMD91" s="63" t="s">
        <v>933</v>
      </c>
      <c r="OME91" s="60"/>
      <c r="OMT91" s="63" t="s">
        <v>933</v>
      </c>
      <c r="OMU91" s="60"/>
      <c r="ONJ91" s="63" t="s">
        <v>933</v>
      </c>
      <c r="ONK91" s="60"/>
      <c r="ONZ91" s="63" t="s">
        <v>933</v>
      </c>
      <c r="OOA91" s="60"/>
      <c r="OOP91" s="63" t="s">
        <v>933</v>
      </c>
      <c r="OOQ91" s="60"/>
      <c r="OPF91" s="63" t="s">
        <v>933</v>
      </c>
      <c r="OPG91" s="60"/>
      <c r="OPV91" s="63" t="s">
        <v>933</v>
      </c>
      <c r="OPW91" s="60"/>
      <c r="OQL91" s="63" t="s">
        <v>933</v>
      </c>
      <c r="OQM91" s="60"/>
      <c r="ORB91" s="63" t="s">
        <v>933</v>
      </c>
      <c r="ORC91" s="60"/>
      <c r="ORR91" s="63" t="s">
        <v>933</v>
      </c>
      <c r="ORS91" s="60"/>
      <c r="OSH91" s="63" t="s">
        <v>933</v>
      </c>
      <c r="OSI91" s="60"/>
      <c r="OSX91" s="63" t="s">
        <v>933</v>
      </c>
      <c r="OSY91" s="60"/>
      <c r="OTN91" s="63" t="s">
        <v>933</v>
      </c>
      <c r="OTO91" s="60"/>
      <c r="OUD91" s="63" t="s">
        <v>933</v>
      </c>
      <c r="OUE91" s="60"/>
      <c r="OUT91" s="63" t="s">
        <v>933</v>
      </c>
      <c r="OUU91" s="60"/>
      <c r="OVJ91" s="63" t="s">
        <v>933</v>
      </c>
      <c r="OVK91" s="60"/>
      <c r="OVZ91" s="63" t="s">
        <v>933</v>
      </c>
      <c r="OWA91" s="60"/>
      <c r="OWP91" s="63" t="s">
        <v>933</v>
      </c>
      <c r="OWQ91" s="60"/>
      <c r="OXF91" s="63" t="s">
        <v>933</v>
      </c>
      <c r="OXG91" s="60"/>
      <c r="OXV91" s="63" t="s">
        <v>933</v>
      </c>
      <c r="OXW91" s="60"/>
      <c r="OYL91" s="63" t="s">
        <v>933</v>
      </c>
      <c r="OYM91" s="60"/>
      <c r="OZB91" s="63" t="s">
        <v>933</v>
      </c>
      <c r="OZC91" s="60"/>
      <c r="OZR91" s="63" t="s">
        <v>933</v>
      </c>
      <c r="OZS91" s="60"/>
      <c r="PAH91" s="63" t="s">
        <v>933</v>
      </c>
      <c r="PAI91" s="60"/>
      <c r="PAX91" s="63" t="s">
        <v>933</v>
      </c>
      <c r="PAY91" s="60"/>
      <c r="PBN91" s="63" t="s">
        <v>933</v>
      </c>
      <c r="PBO91" s="60"/>
      <c r="PCD91" s="63" t="s">
        <v>933</v>
      </c>
      <c r="PCE91" s="60"/>
      <c r="PCT91" s="63" t="s">
        <v>933</v>
      </c>
      <c r="PCU91" s="60"/>
      <c r="PDJ91" s="63" t="s">
        <v>933</v>
      </c>
      <c r="PDK91" s="60"/>
      <c r="PDZ91" s="63" t="s">
        <v>933</v>
      </c>
      <c r="PEA91" s="60"/>
      <c r="PEP91" s="63" t="s">
        <v>933</v>
      </c>
      <c r="PEQ91" s="60"/>
      <c r="PFF91" s="63" t="s">
        <v>933</v>
      </c>
      <c r="PFG91" s="60"/>
      <c r="PFV91" s="63" t="s">
        <v>933</v>
      </c>
      <c r="PFW91" s="60"/>
      <c r="PGL91" s="63" t="s">
        <v>933</v>
      </c>
      <c r="PGM91" s="60"/>
      <c r="PHB91" s="63" t="s">
        <v>933</v>
      </c>
      <c r="PHC91" s="60"/>
      <c r="PHR91" s="63" t="s">
        <v>933</v>
      </c>
      <c r="PHS91" s="60"/>
      <c r="PIH91" s="63" t="s">
        <v>933</v>
      </c>
      <c r="PII91" s="60"/>
      <c r="PIX91" s="63" t="s">
        <v>933</v>
      </c>
      <c r="PIY91" s="60"/>
      <c r="PJN91" s="63" t="s">
        <v>933</v>
      </c>
      <c r="PJO91" s="60"/>
      <c r="PKD91" s="63" t="s">
        <v>933</v>
      </c>
      <c r="PKE91" s="60"/>
      <c r="PKT91" s="63" t="s">
        <v>933</v>
      </c>
      <c r="PKU91" s="60"/>
      <c r="PLJ91" s="63" t="s">
        <v>933</v>
      </c>
      <c r="PLK91" s="60"/>
      <c r="PLZ91" s="63" t="s">
        <v>933</v>
      </c>
      <c r="PMA91" s="60"/>
      <c r="PMP91" s="63" t="s">
        <v>933</v>
      </c>
      <c r="PMQ91" s="60"/>
      <c r="PNF91" s="63" t="s">
        <v>933</v>
      </c>
      <c r="PNG91" s="60"/>
      <c r="PNV91" s="63" t="s">
        <v>933</v>
      </c>
      <c r="PNW91" s="60"/>
      <c r="POL91" s="63" t="s">
        <v>933</v>
      </c>
      <c r="POM91" s="60"/>
      <c r="PPB91" s="63" t="s">
        <v>933</v>
      </c>
      <c r="PPC91" s="60"/>
      <c r="PPR91" s="63" t="s">
        <v>933</v>
      </c>
      <c r="PPS91" s="60"/>
      <c r="PQH91" s="63" t="s">
        <v>933</v>
      </c>
      <c r="PQI91" s="60"/>
      <c r="PQX91" s="63" t="s">
        <v>933</v>
      </c>
      <c r="PQY91" s="60"/>
      <c r="PRN91" s="63" t="s">
        <v>933</v>
      </c>
      <c r="PRO91" s="60"/>
      <c r="PSD91" s="63" t="s">
        <v>933</v>
      </c>
      <c r="PSE91" s="60"/>
      <c r="PST91" s="63" t="s">
        <v>933</v>
      </c>
      <c r="PSU91" s="60"/>
      <c r="PTJ91" s="63" t="s">
        <v>933</v>
      </c>
      <c r="PTK91" s="60"/>
      <c r="PTZ91" s="63" t="s">
        <v>933</v>
      </c>
      <c r="PUA91" s="60"/>
      <c r="PUP91" s="63" t="s">
        <v>933</v>
      </c>
      <c r="PUQ91" s="60"/>
      <c r="PVF91" s="63" t="s">
        <v>933</v>
      </c>
      <c r="PVG91" s="60"/>
      <c r="PVV91" s="63" t="s">
        <v>933</v>
      </c>
      <c r="PVW91" s="60"/>
      <c r="PWL91" s="63" t="s">
        <v>933</v>
      </c>
      <c r="PWM91" s="60"/>
      <c r="PXB91" s="63" t="s">
        <v>933</v>
      </c>
      <c r="PXC91" s="60"/>
      <c r="PXR91" s="63" t="s">
        <v>933</v>
      </c>
      <c r="PXS91" s="60"/>
      <c r="PYH91" s="63" t="s">
        <v>933</v>
      </c>
      <c r="PYI91" s="60"/>
      <c r="PYX91" s="63" t="s">
        <v>933</v>
      </c>
      <c r="PYY91" s="60"/>
      <c r="PZN91" s="63" t="s">
        <v>933</v>
      </c>
      <c r="PZO91" s="60"/>
      <c r="QAD91" s="63" t="s">
        <v>933</v>
      </c>
      <c r="QAE91" s="60"/>
      <c r="QAT91" s="63" t="s">
        <v>933</v>
      </c>
      <c r="QAU91" s="60"/>
      <c r="QBJ91" s="63" t="s">
        <v>933</v>
      </c>
      <c r="QBK91" s="60"/>
      <c r="QBZ91" s="63" t="s">
        <v>933</v>
      </c>
      <c r="QCA91" s="60"/>
      <c r="QCP91" s="63" t="s">
        <v>933</v>
      </c>
      <c r="QCQ91" s="60"/>
      <c r="QDF91" s="63" t="s">
        <v>933</v>
      </c>
      <c r="QDG91" s="60"/>
      <c r="QDV91" s="63" t="s">
        <v>933</v>
      </c>
      <c r="QDW91" s="60"/>
      <c r="QEL91" s="63" t="s">
        <v>933</v>
      </c>
      <c r="QEM91" s="60"/>
      <c r="QFB91" s="63" t="s">
        <v>933</v>
      </c>
      <c r="QFC91" s="60"/>
      <c r="QFR91" s="63" t="s">
        <v>933</v>
      </c>
      <c r="QFS91" s="60"/>
      <c r="QGH91" s="63" t="s">
        <v>933</v>
      </c>
      <c r="QGI91" s="60"/>
      <c r="QGX91" s="63" t="s">
        <v>933</v>
      </c>
      <c r="QGY91" s="60"/>
      <c r="QHN91" s="63" t="s">
        <v>933</v>
      </c>
      <c r="QHO91" s="60"/>
      <c r="QID91" s="63" t="s">
        <v>933</v>
      </c>
      <c r="QIE91" s="60"/>
      <c r="QIT91" s="63" t="s">
        <v>933</v>
      </c>
      <c r="QIU91" s="60"/>
      <c r="QJJ91" s="63" t="s">
        <v>933</v>
      </c>
      <c r="QJK91" s="60"/>
      <c r="QJZ91" s="63" t="s">
        <v>933</v>
      </c>
      <c r="QKA91" s="60"/>
      <c r="QKP91" s="63" t="s">
        <v>933</v>
      </c>
      <c r="QKQ91" s="60"/>
      <c r="QLF91" s="63" t="s">
        <v>933</v>
      </c>
      <c r="QLG91" s="60"/>
      <c r="QLV91" s="63" t="s">
        <v>933</v>
      </c>
      <c r="QLW91" s="60"/>
      <c r="QML91" s="63" t="s">
        <v>933</v>
      </c>
      <c r="QMM91" s="60"/>
      <c r="QNB91" s="63" t="s">
        <v>933</v>
      </c>
      <c r="QNC91" s="60"/>
      <c r="QNR91" s="63" t="s">
        <v>933</v>
      </c>
      <c r="QNS91" s="60"/>
      <c r="QOH91" s="63" t="s">
        <v>933</v>
      </c>
      <c r="QOI91" s="60"/>
      <c r="QOX91" s="63" t="s">
        <v>933</v>
      </c>
      <c r="QOY91" s="60"/>
      <c r="QPN91" s="63" t="s">
        <v>933</v>
      </c>
      <c r="QPO91" s="60"/>
      <c r="QQD91" s="63" t="s">
        <v>933</v>
      </c>
      <c r="QQE91" s="60"/>
      <c r="QQT91" s="63" t="s">
        <v>933</v>
      </c>
      <c r="QQU91" s="60"/>
      <c r="QRJ91" s="63" t="s">
        <v>933</v>
      </c>
      <c r="QRK91" s="60"/>
      <c r="QRZ91" s="63" t="s">
        <v>933</v>
      </c>
      <c r="QSA91" s="60"/>
      <c r="QSP91" s="63" t="s">
        <v>933</v>
      </c>
      <c r="QSQ91" s="60"/>
      <c r="QTF91" s="63" t="s">
        <v>933</v>
      </c>
      <c r="QTG91" s="60"/>
      <c r="QTV91" s="63" t="s">
        <v>933</v>
      </c>
      <c r="QTW91" s="60"/>
      <c r="QUL91" s="63" t="s">
        <v>933</v>
      </c>
      <c r="QUM91" s="60"/>
      <c r="QVB91" s="63" t="s">
        <v>933</v>
      </c>
      <c r="QVC91" s="60"/>
      <c r="QVR91" s="63" t="s">
        <v>933</v>
      </c>
      <c r="QVS91" s="60"/>
      <c r="QWH91" s="63" t="s">
        <v>933</v>
      </c>
      <c r="QWI91" s="60"/>
      <c r="QWX91" s="63" t="s">
        <v>933</v>
      </c>
      <c r="QWY91" s="60"/>
      <c r="QXN91" s="63" t="s">
        <v>933</v>
      </c>
      <c r="QXO91" s="60"/>
      <c r="QYD91" s="63" t="s">
        <v>933</v>
      </c>
      <c r="QYE91" s="60"/>
      <c r="QYT91" s="63" t="s">
        <v>933</v>
      </c>
      <c r="QYU91" s="60"/>
      <c r="QZJ91" s="63" t="s">
        <v>933</v>
      </c>
      <c r="QZK91" s="60"/>
      <c r="QZZ91" s="63" t="s">
        <v>933</v>
      </c>
      <c r="RAA91" s="60"/>
      <c r="RAP91" s="63" t="s">
        <v>933</v>
      </c>
      <c r="RAQ91" s="60"/>
      <c r="RBF91" s="63" t="s">
        <v>933</v>
      </c>
      <c r="RBG91" s="60"/>
      <c r="RBV91" s="63" t="s">
        <v>933</v>
      </c>
      <c r="RBW91" s="60"/>
      <c r="RCL91" s="63" t="s">
        <v>933</v>
      </c>
      <c r="RCM91" s="60"/>
      <c r="RDB91" s="63" t="s">
        <v>933</v>
      </c>
      <c r="RDC91" s="60"/>
      <c r="RDR91" s="63" t="s">
        <v>933</v>
      </c>
      <c r="RDS91" s="60"/>
      <c r="REH91" s="63" t="s">
        <v>933</v>
      </c>
      <c r="REI91" s="60"/>
      <c r="REX91" s="63" t="s">
        <v>933</v>
      </c>
      <c r="REY91" s="60"/>
      <c r="RFN91" s="63" t="s">
        <v>933</v>
      </c>
      <c r="RFO91" s="60"/>
      <c r="RGD91" s="63" t="s">
        <v>933</v>
      </c>
      <c r="RGE91" s="60"/>
      <c r="RGT91" s="63" t="s">
        <v>933</v>
      </c>
      <c r="RGU91" s="60"/>
      <c r="RHJ91" s="63" t="s">
        <v>933</v>
      </c>
      <c r="RHK91" s="60"/>
      <c r="RHZ91" s="63" t="s">
        <v>933</v>
      </c>
      <c r="RIA91" s="60"/>
      <c r="RIP91" s="63" t="s">
        <v>933</v>
      </c>
      <c r="RIQ91" s="60"/>
      <c r="RJF91" s="63" t="s">
        <v>933</v>
      </c>
      <c r="RJG91" s="60"/>
      <c r="RJV91" s="63" t="s">
        <v>933</v>
      </c>
      <c r="RJW91" s="60"/>
      <c r="RKL91" s="63" t="s">
        <v>933</v>
      </c>
      <c r="RKM91" s="60"/>
      <c r="RLB91" s="63" t="s">
        <v>933</v>
      </c>
      <c r="RLC91" s="60"/>
      <c r="RLR91" s="63" t="s">
        <v>933</v>
      </c>
      <c r="RLS91" s="60"/>
      <c r="RMH91" s="63" t="s">
        <v>933</v>
      </c>
      <c r="RMI91" s="60"/>
      <c r="RMX91" s="63" t="s">
        <v>933</v>
      </c>
      <c r="RMY91" s="60"/>
      <c r="RNN91" s="63" t="s">
        <v>933</v>
      </c>
      <c r="RNO91" s="60"/>
      <c r="ROD91" s="63" t="s">
        <v>933</v>
      </c>
      <c r="ROE91" s="60"/>
      <c r="ROT91" s="63" t="s">
        <v>933</v>
      </c>
      <c r="ROU91" s="60"/>
      <c r="RPJ91" s="63" t="s">
        <v>933</v>
      </c>
      <c r="RPK91" s="60"/>
      <c r="RPZ91" s="63" t="s">
        <v>933</v>
      </c>
      <c r="RQA91" s="60"/>
      <c r="RQP91" s="63" t="s">
        <v>933</v>
      </c>
      <c r="RQQ91" s="60"/>
      <c r="RRF91" s="63" t="s">
        <v>933</v>
      </c>
      <c r="RRG91" s="60"/>
      <c r="RRV91" s="63" t="s">
        <v>933</v>
      </c>
      <c r="RRW91" s="60"/>
      <c r="RSL91" s="63" t="s">
        <v>933</v>
      </c>
      <c r="RSM91" s="60"/>
      <c r="RTB91" s="63" t="s">
        <v>933</v>
      </c>
      <c r="RTC91" s="60"/>
      <c r="RTR91" s="63" t="s">
        <v>933</v>
      </c>
      <c r="RTS91" s="60"/>
      <c r="RUH91" s="63" t="s">
        <v>933</v>
      </c>
      <c r="RUI91" s="60"/>
      <c r="RUX91" s="63" t="s">
        <v>933</v>
      </c>
      <c r="RUY91" s="60"/>
      <c r="RVN91" s="63" t="s">
        <v>933</v>
      </c>
      <c r="RVO91" s="60"/>
      <c r="RWD91" s="63" t="s">
        <v>933</v>
      </c>
      <c r="RWE91" s="60"/>
      <c r="RWT91" s="63" t="s">
        <v>933</v>
      </c>
      <c r="RWU91" s="60"/>
      <c r="RXJ91" s="63" t="s">
        <v>933</v>
      </c>
      <c r="RXK91" s="60"/>
      <c r="RXZ91" s="63" t="s">
        <v>933</v>
      </c>
      <c r="RYA91" s="60"/>
      <c r="RYP91" s="63" t="s">
        <v>933</v>
      </c>
      <c r="RYQ91" s="60"/>
      <c r="RZF91" s="63" t="s">
        <v>933</v>
      </c>
      <c r="RZG91" s="60"/>
      <c r="RZV91" s="63" t="s">
        <v>933</v>
      </c>
      <c r="RZW91" s="60"/>
      <c r="SAL91" s="63" t="s">
        <v>933</v>
      </c>
      <c r="SAM91" s="60"/>
      <c r="SBB91" s="63" t="s">
        <v>933</v>
      </c>
      <c r="SBC91" s="60"/>
      <c r="SBR91" s="63" t="s">
        <v>933</v>
      </c>
      <c r="SBS91" s="60"/>
      <c r="SCH91" s="63" t="s">
        <v>933</v>
      </c>
      <c r="SCI91" s="60"/>
      <c r="SCX91" s="63" t="s">
        <v>933</v>
      </c>
      <c r="SCY91" s="60"/>
      <c r="SDN91" s="63" t="s">
        <v>933</v>
      </c>
      <c r="SDO91" s="60"/>
      <c r="SED91" s="63" t="s">
        <v>933</v>
      </c>
      <c r="SEE91" s="60"/>
      <c r="SET91" s="63" t="s">
        <v>933</v>
      </c>
      <c r="SEU91" s="60"/>
      <c r="SFJ91" s="63" t="s">
        <v>933</v>
      </c>
      <c r="SFK91" s="60"/>
      <c r="SFZ91" s="63" t="s">
        <v>933</v>
      </c>
      <c r="SGA91" s="60"/>
      <c r="SGP91" s="63" t="s">
        <v>933</v>
      </c>
      <c r="SGQ91" s="60"/>
      <c r="SHF91" s="63" t="s">
        <v>933</v>
      </c>
      <c r="SHG91" s="60"/>
      <c r="SHV91" s="63" t="s">
        <v>933</v>
      </c>
      <c r="SHW91" s="60"/>
      <c r="SIL91" s="63" t="s">
        <v>933</v>
      </c>
      <c r="SIM91" s="60"/>
      <c r="SJB91" s="63" t="s">
        <v>933</v>
      </c>
      <c r="SJC91" s="60"/>
      <c r="SJR91" s="63" t="s">
        <v>933</v>
      </c>
      <c r="SJS91" s="60"/>
      <c r="SKH91" s="63" t="s">
        <v>933</v>
      </c>
      <c r="SKI91" s="60"/>
      <c r="SKX91" s="63" t="s">
        <v>933</v>
      </c>
      <c r="SKY91" s="60"/>
      <c r="SLN91" s="63" t="s">
        <v>933</v>
      </c>
      <c r="SLO91" s="60"/>
      <c r="SMD91" s="63" t="s">
        <v>933</v>
      </c>
      <c r="SME91" s="60"/>
      <c r="SMT91" s="63" t="s">
        <v>933</v>
      </c>
      <c r="SMU91" s="60"/>
      <c r="SNJ91" s="63" t="s">
        <v>933</v>
      </c>
      <c r="SNK91" s="60"/>
      <c r="SNZ91" s="63" t="s">
        <v>933</v>
      </c>
      <c r="SOA91" s="60"/>
      <c r="SOP91" s="63" t="s">
        <v>933</v>
      </c>
      <c r="SOQ91" s="60"/>
      <c r="SPF91" s="63" t="s">
        <v>933</v>
      </c>
      <c r="SPG91" s="60"/>
      <c r="SPV91" s="63" t="s">
        <v>933</v>
      </c>
      <c r="SPW91" s="60"/>
      <c r="SQL91" s="63" t="s">
        <v>933</v>
      </c>
      <c r="SQM91" s="60"/>
      <c r="SRB91" s="63" t="s">
        <v>933</v>
      </c>
      <c r="SRC91" s="60"/>
      <c r="SRR91" s="63" t="s">
        <v>933</v>
      </c>
      <c r="SRS91" s="60"/>
      <c r="SSH91" s="63" t="s">
        <v>933</v>
      </c>
      <c r="SSI91" s="60"/>
      <c r="SSX91" s="63" t="s">
        <v>933</v>
      </c>
      <c r="SSY91" s="60"/>
      <c r="STN91" s="63" t="s">
        <v>933</v>
      </c>
      <c r="STO91" s="60"/>
      <c r="SUD91" s="63" t="s">
        <v>933</v>
      </c>
      <c r="SUE91" s="60"/>
      <c r="SUT91" s="63" t="s">
        <v>933</v>
      </c>
      <c r="SUU91" s="60"/>
      <c r="SVJ91" s="63" t="s">
        <v>933</v>
      </c>
      <c r="SVK91" s="60"/>
      <c r="SVZ91" s="63" t="s">
        <v>933</v>
      </c>
      <c r="SWA91" s="60"/>
      <c r="SWP91" s="63" t="s">
        <v>933</v>
      </c>
      <c r="SWQ91" s="60"/>
      <c r="SXF91" s="63" t="s">
        <v>933</v>
      </c>
      <c r="SXG91" s="60"/>
      <c r="SXV91" s="63" t="s">
        <v>933</v>
      </c>
      <c r="SXW91" s="60"/>
      <c r="SYL91" s="63" t="s">
        <v>933</v>
      </c>
      <c r="SYM91" s="60"/>
      <c r="SZB91" s="63" t="s">
        <v>933</v>
      </c>
      <c r="SZC91" s="60"/>
      <c r="SZR91" s="63" t="s">
        <v>933</v>
      </c>
      <c r="SZS91" s="60"/>
      <c r="TAH91" s="63" t="s">
        <v>933</v>
      </c>
      <c r="TAI91" s="60"/>
      <c r="TAX91" s="63" t="s">
        <v>933</v>
      </c>
      <c r="TAY91" s="60"/>
      <c r="TBN91" s="63" t="s">
        <v>933</v>
      </c>
      <c r="TBO91" s="60"/>
      <c r="TCD91" s="63" t="s">
        <v>933</v>
      </c>
      <c r="TCE91" s="60"/>
      <c r="TCT91" s="63" t="s">
        <v>933</v>
      </c>
      <c r="TCU91" s="60"/>
      <c r="TDJ91" s="63" t="s">
        <v>933</v>
      </c>
      <c r="TDK91" s="60"/>
      <c r="TDZ91" s="63" t="s">
        <v>933</v>
      </c>
      <c r="TEA91" s="60"/>
      <c r="TEP91" s="63" t="s">
        <v>933</v>
      </c>
      <c r="TEQ91" s="60"/>
      <c r="TFF91" s="63" t="s">
        <v>933</v>
      </c>
      <c r="TFG91" s="60"/>
      <c r="TFV91" s="63" t="s">
        <v>933</v>
      </c>
      <c r="TFW91" s="60"/>
      <c r="TGL91" s="63" t="s">
        <v>933</v>
      </c>
      <c r="TGM91" s="60"/>
      <c r="THB91" s="63" t="s">
        <v>933</v>
      </c>
      <c r="THC91" s="60"/>
      <c r="THR91" s="63" t="s">
        <v>933</v>
      </c>
      <c r="THS91" s="60"/>
      <c r="TIH91" s="63" t="s">
        <v>933</v>
      </c>
      <c r="TII91" s="60"/>
      <c r="TIX91" s="63" t="s">
        <v>933</v>
      </c>
      <c r="TIY91" s="60"/>
      <c r="TJN91" s="63" t="s">
        <v>933</v>
      </c>
      <c r="TJO91" s="60"/>
      <c r="TKD91" s="63" t="s">
        <v>933</v>
      </c>
      <c r="TKE91" s="60"/>
      <c r="TKT91" s="63" t="s">
        <v>933</v>
      </c>
      <c r="TKU91" s="60"/>
      <c r="TLJ91" s="63" t="s">
        <v>933</v>
      </c>
      <c r="TLK91" s="60"/>
      <c r="TLZ91" s="63" t="s">
        <v>933</v>
      </c>
      <c r="TMA91" s="60"/>
      <c r="TMP91" s="63" t="s">
        <v>933</v>
      </c>
      <c r="TMQ91" s="60"/>
      <c r="TNF91" s="63" t="s">
        <v>933</v>
      </c>
      <c r="TNG91" s="60"/>
      <c r="TNV91" s="63" t="s">
        <v>933</v>
      </c>
      <c r="TNW91" s="60"/>
      <c r="TOL91" s="63" t="s">
        <v>933</v>
      </c>
      <c r="TOM91" s="60"/>
      <c r="TPB91" s="63" t="s">
        <v>933</v>
      </c>
      <c r="TPC91" s="60"/>
      <c r="TPR91" s="63" t="s">
        <v>933</v>
      </c>
      <c r="TPS91" s="60"/>
      <c r="TQH91" s="63" t="s">
        <v>933</v>
      </c>
      <c r="TQI91" s="60"/>
      <c r="TQX91" s="63" t="s">
        <v>933</v>
      </c>
      <c r="TQY91" s="60"/>
      <c r="TRN91" s="63" t="s">
        <v>933</v>
      </c>
      <c r="TRO91" s="60"/>
      <c r="TSD91" s="63" t="s">
        <v>933</v>
      </c>
      <c r="TSE91" s="60"/>
      <c r="TST91" s="63" t="s">
        <v>933</v>
      </c>
      <c r="TSU91" s="60"/>
      <c r="TTJ91" s="63" t="s">
        <v>933</v>
      </c>
      <c r="TTK91" s="60"/>
      <c r="TTZ91" s="63" t="s">
        <v>933</v>
      </c>
      <c r="TUA91" s="60"/>
      <c r="TUP91" s="63" t="s">
        <v>933</v>
      </c>
      <c r="TUQ91" s="60"/>
      <c r="TVF91" s="63" t="s">
        <v>933</v>
      </c>
      <c r="TVG91" s="60"/>
      <c r="TVV91" s="63" t="s">
        <v>933</v>
      </c>
      <c r="TVW91" s="60"/>
      <c r="TWL91" s="63" t="s">
        <v>933</v>
      </c>
      <c r="TWM91" s="60"/>
      <c r="TXB91" s="63" t="s">
        <v>933</v>
      </c>
      <c r="TXC91" s="60"/>
      <c r="TXR91" s="63" t="s">
        <v>933</v>
      </c>
      <c r="TXS91" s="60"/>
      <c r="TYH91" s="63" t="s">
        <v>933</v>
      </c>
      <c r="TYI91" s="60"/>
      <c r="TYX91" s="63" t="s">
        <v>933</v>
      </c>
      <c r="TYY91" s="60"/>
      <c r="TZN91" s="63" t="s">
        <v>933</v>
      </c>
      <c r="TZO91" s="60"/>
      <c r="UAD91" s="63" t="s">
        <v>933</v>
      </c>
      <c r="UAE91" s="60"/>
      <c r="UAT91" s="63" t="s">
        <v>933</v>
      </c>
      <c r="UAU91" s="60"/>
      <c r="UBJ91" s="63" t="s">
        <v>933</v>
      </c>
      <c r="UBK91" s="60"/>
      <c r="UBZ91" s="63" t="s">
        <v>933</v>
      </c>
      <c r="UCA91" s="60"/>
      <c r="UCP91" s="63" t="s">
        <v>933</v>
      </c>
      <c r="UCQ91" s="60"/>
      <c r="UDF91" s="63" t="s">
        <v>933</v>
      </c>
      <c r="UDG91" s="60"/>
      <c r="UDV91" s="63" t="s">
        <v>933</v>
      </c>
      <c r="UDW91" s="60"/>
      <c r="UEL91" s="63" t="s">
        <v>933</v>
      </c>
      <c r="UEM91" s="60"/>
      <c r="UFB91" s="63" t="s">
        <v>933</v>
      </c>
      <c r="UFC91" s="60"/>
      <c r="UFR91" s="63" t="s">
        <v>933</v>
      </c>
      <c r="UFS91" s="60"/>
      <c r="UGH91" s="63" t="s">
        <v>933</v>
      </c>
      <c r="UGI91" s="60"/>
      <c r="UGX91" s="63" t="s">
        <v>933</v>
      </c>
      <c r="UGY91" s="60"/>
      <c r="UHN91" s="63" t="s">
        <v>933</v>
      </c>
      <c r="UHO91" s="60"/>
      <c r="UID91" s="63" t="s">
        <v>933</v>
      </c>
      <c r="UIE91" s="60"/>
      <c r="UIT91" s="63" t="s">
        <v>933</v>
      </c>
      <c r="UIU91" s="60"/>
      <c r="UJJ91" s="63" t="s">
        <v>933</v>
      </c>
      <c r="UJK91" s="60"/>
      <c r="UJZ91" s="63" t="s">
        <v>933</v>
      </c>
      <c r="UKA91" s="60"/>
      <c r="UKP91" s="63" t="s">
        <v>933</v>
      </c>
      <c r="UKQ91" s="60"/>
      <c r="ULF91" s="63" t="s">
        <v>933</v>
      </c>
      <c r="ULG91" s="60"/>
      <c r="ULV91" s="63" t="s">
        <v>933</v>
      </c>
      <c r="ULW91" s="60"/>
      <c r="UML91" s="63" t="s">
        <v>933</v>
      </c>
      <c r="UMM91" s="60"/>
      <c r="UNB91" s="63" t="s">
        <v>933</v>
      </c>
      <c r="UNC91" s="60"/>
      <c r="UNR91" s="63" t="s">
        <v>933</v>
      </c>
      <c r="UNS91" s="60"/>
      <c r="UOH91" s="63" t="s">
        <v>933</v>
      </c>
      <c r="UOI91" s="60"/>
      <c r="UOX91" s="63" t="s">
        <v>933</v>
      </c>
      <c r="UOY91" s="60"/>
      <c r="UPN91" s="63" t="s">
        <v>933</v>
      </c>
      <c r="UPO91" s="60"/>
      <c r="UQD91" s="63" t="s">
        <v>933</v>
      </c>
      <c r="UQE91" s="60"/>
      <c r="UQT91" s="63" t="s">
        <v>933</v>
      </c>
      <c r="UQU91" s="60"/>
      <c r="URJ91" s="63" t="s">
        <v>933</v>
      </c>
      <c r="URK91" s="60"/>
      <c r="URZ91" s="63" t="s">
        <v>933</v>
      </c>
      <c r="USA91" s="60"/>
      <c r="USP91" s="63" t="s">
        <v>933</v>
      </c>
      <c r="USQ91" s="60"/>
      <c r="UTF91" s="63" t="s">
        <v>933</v>
      </c>
      <c r="UTG91" s="60"/>
      <c r="UTV91" s="63" t="s">
        <v>933</v>
      </c>
      <c r="UTW91" s="60"/>
      <c r="UUL91" s="63" t="s">
        <v>933</v>
      </c>
      <c r="UUM91" s="60"/>
      <c r="UVB91" s="63" t="s">
        <v>933</v>
      </c>
      <c r="UVC91" s="60"/>
      <c r="UVR91" s="63" t="s">
        <v>933</v>
      </c>
      <c r="UVS91" s="60"/>
      <c r="UWH91" s="63" t="s">
        <v>933</v>
      </c>
      <c r="UWI91" s="60"/>
      <c r="UWX91" s="63" t="s">
        <v>933</v>
      </c>
      <c r="UWY91" s="60"/>
      <c r="UXN91" s="63" t="s">
        <v>933</v>
      </c>
      <c r="UXO91" s="60"/>
      <c r="UYD91" s="63" t="s">
        <v>933</v>
      </c>
      <c r="UYE91" s="60"/>
      <c r="UYT91" s="63" t="s">
        <v>933</v>
      </c>
      <c r="UYU91" s="60"/>
      <c r="UZJ91" s="63" t="s">
        <v>933</v>
      </c>
      <c r="UZK91" s="60"/>
      <c r="UZZ91" s="63" t="s">
        <v>933</v>
      </c>
      <c r="VAA91" s="60"/>
      <c r="VAP91" s="63" t="s">
        <v>933</v>
      </c>
      <c r="VAQ91" s="60"/>
      <c r="VBF91" s="63" t="s">
        <v>933</v>
      </c>
      <c r="VBG91" s="60"/>
      <c r="VBV91" s="63" t="s">
        <v>933</v>
      </c>
      <c r="VBW91" s="60"/>
      <c r="VCL91" s="63" t="s">
        <v>933</v>
      </c>
      <c r="VCM91" s="60"/>
      <c r="VDB91" s="63" t="s">
        <v>933</v>
      </c>
      <c r="VDC91" s="60"/>
      <c r="VDR91" s="63" t="s">
        <v>933</v>
      </c>
      <c r="VDS91" s="60"/>
      <c r="VEH91" s="63" t="s">
        <v>933</v>
      </c>
      <c r="VEI91" s="60"/>
      <c r="VEX91" s="63" t="s">
        <v>933</v>
      </c>
      <c r="VEY91" s="60"/>
      <c r="VFN91" s="63" t="s">
        <v>933</v>
      </c>
      <c r="VFO91" s="60"/>
      <c r="VGD91" s="63" t="s">
        <v>933</v>
      </c>
      <c r="VGE91" s="60"/>
      <c r="VGT91" s="63" t="s">
        <v>933</v>
      </c>
      <c r="VGU91" s="60"/>
      <c r="VHJ91" s="63" t="s">
        <v>933</v>
      </c>
      <c r="VHK91" s="60"/>
      <c r="VHZ91" s="63" t="s">
        <v>933</v>
      </c>
      <c r="VIA91" s="60"/>
      <c r="VIP91" s="63" t="s">
        <v>933</v>
      </c>
      <c r="VIQ91" s="60"/>
      <c r="VJF91" s="63" t="s">
        <v>933</v>
      </c>
      <c r="VJG91" s="60"/>
      <c r="VJV91" s="63" t="s">
        <v>933</v>
      </c>
      <c r="VJW91" s="60"/>
      <c r="VKL91" s="63" t="s">
        <v>933</v>
      </c>
      <c r="VKM91" s="60"/>
      <c r="VLB91" s="63" t="s">
        <v>933</v>
      </c>
      <c r="VLC91" s="60"/>
      <c r="VLR91" s="63" t="s">
        <v>933</v>
      </c>
      <c r="VLS91" s="60"/>
      <c r="VMH91" s="63" t="s">
        <v>933</v>
      </c>
      <c r="VMI91" s="60"/>
      <c r="VMX91" s="63" t="s">
        <v>933</v>
      </c>
      <c r="VMY91" s="60"/>
      <c r="VNN91" s="63" t="s">
        <v>933</v>
      </c>
      <c r="VNO91" s="60"/>
      <c r="VOD91" s="63" t="s">
        <v>933</v>
      </c>
      <c r="VOE91" s="60"/>
      <c r="VOT91" s="63" t="s">
        <v>933</v>
      </c>
      <c r="VOU91" s="60"/>
      <c r="VPJ91" s="63" t="s">
        <v>933</v>
      </c>
      <c r="VPK91" s="60"/>
      <c r="VPZ91" s="63" t="s">
        <v>933</v>
      </c>
      <c r="VQA91" s="60"/>
      <c r="VQP91" s="63" t="s">
        <v>933</v>
      </c>
      <c r="VQQ91" s="60"/>
      <c r="VRF91" s="63" t="s">
        <v>933</v>
      </c>
      <c r="VRG91" s="60"/>
      <c r="VRV91" s="63" t="s">
        <v>933</v>
      </c>
      <c r="VRW91" s="60"/>
      <c r="VSL91" s="63" t="s">
        <v>933</v>
      </c>
      <c r="VSM91" s="60"/>
      <c r="VTB91" s="63" t="s">
        <v>933</v>
      </c>
      <c r="VTC91" s="60"/>
      <c r="VTR91" s="63" t="s">
        <v>933</v>
      </c>
      <c r="VTS91" s="60"/>
      <c r="VUH91" s="63" t="s">
        <v>933</v>
      </c>
      <c r="VUI91" s="60"/>
      <c r="VUX91" s="63" t="s">
        <v>933</v>
      </c>
      <c r="VUY91" s="60"/>
      <c r="VVN91" s="63" t="s">
        <v>933</v>
      </c>
      <c r="VVO91" s="60"/>
      <c r="VWD91" s="63" t="s">
        <v>933</v>
      </c>
      <c r="VWE91" s="60"/>
      <c r="VWT91" s="63" t="s">
        <v>933</v>
      </c>
      <c r="VWU91" s="60"/>
      <c r="VXJ91" s="63" t="s">
        <v>933</v>
      </c>
      <c r="VXK91" s="60"/>
      <c r="VXZ91" s="63" t="s">
        <v>933</v>
      </c>
      <c r="VYA91" s="60"/>
      <c r="VYP91" s="63" t="s">
        <v>933</v>
      </c>
      <c r="VYQ91" s="60"/>
      <c r="VZF91" s="63" t="s">
        <v>933</v>
      </c>
      <c r="VZG91" s="60"/>
      <c r="VZV91" s="63" t="s">
        <v>933</v>
      </c>
      <c r="VZW91" s="60"/>
      <c r="WAL91" s="63" t="s">
        <v>933</v>
      </c>
      <c r="WAM91" s="60"/>
      <c r="WBB91" s="63" t="s">
        <v>933</v>
      </c>
      <c r="WBC91" s="60"/>
      <c r="WBR91" s="63" t="s">
        <v>933</v>
      </c>
      <c r="WBS91" s="60"/>
      <c r="WCH91" s="63" t="s">
        <v>933</v>
      </c>
      <c r="WCI91" s="60"/>
      <c r="WCX91" s="63" t="s">
        <v>933</v>
      </c>
      <c r="WCY91" s="60"/>
      <c r="WDN91" s="63" t="s">
        <v>933</v>
      </c>
      <c r="WDO91" s="60"/>
      <c r="WED91" s="63" t="s">
        <v>933</v>
      </c>
      <c r="WEE91" s="60"/>
      <c r="WET91" s="63" t="s">
        <v>933</v>
      </c>
      <c r="WEU91" s="60"/>
      <c r="WFJ91" s="63" t="s">
        <v>933</v>
      </c>
      <c r="WFK91" s="60"/>
      <c r="WFZ91" s="63" t="s">
        <v>933</v>
      </c>
      <c r="WGA91" s="60"/>
      <c r="WGP91" s="63" t="s">
        <v>933</v>
      </c>
      <c r="WGQ91" s="60"/>
      <c r="WHF91" s="63" t="s">
        <v>933</v>
      </c>
      <c r="WHG91" s="60"/>
      <c r="WHV91" s="63" t="s">
        <v>933</v>
      </c>
      <c r="WHW91" s="60"/>
      <c r="WIL91" s="63" t="s">
        <v>933</v>
      </c>
      <c r="WIM91" s="60"/>
      <c r="WJB91" s="63" t="s">
        <v>933</v>
      </c>
      <c r="WJC91" s="60"/>
      <c r="WJR91" s="63" t="s">
        <v>933</v>
      </c>
      <c r="WJS91" s="60"/>
      <c r="WKH91" s="63" t="s">
        <v>933</v>
      </c>
      <c r="WKI91" s="60"/>
      <c r="WKX91" s="63" t="s">
        <v>933</v>
      </c>
      <c r="WKY91" s="60"/>
      <c r="WLN91" s="63" t="s">
        <v>933</v>
      </c>
      <c r="WLO91" s="60"/>
      <c r="WMD91" s="63" t="s">
        <v>933</v>
      </c>
      <c r="WME91" s="60"/>
      <c r="WMT91" s="63" t="s">
        <v>933</v>
      </c>
      <c r="WMU91" s="60"/>
      <c r="WNJ91" s="63" t="s">
        <v>933</v>
      </c>
      <c r="WNK91" s="60"/>
      <c r="WNZ91" s="63" t="s">
        <v>933</v>
      </c>
      <c r="WOA91" s="60"/>
      <c r="WOP91" s="63" t="s">
        <v>933</v>
      </c>
      <c r="WOQ91" s="60"/>
      <c r="WPF91" s="63" t="s">
        <v>933</v>
      </c>
      <c r="WPG91" s="60"/>
      <c r="WPV91" s="63" t="s">
        <v>933</v>
      </c>
      <c r="WPW91" s="60"/>
      <c r="WQL91" s="63" t="s">
        <v>933</v>
      </c>
      <c r="WQM91" s="60"/>
      <c r="WRB91" s="63" t="s">
        <v>933</v>
      </c>
      <c r="WRC91" s="60"/>
      <c r="WRR91" s="63" t="s">
        <v>933</v>
      </c>
      <c r="WRS91" s="60"/>
      <c r="WSH91" s="63" t="s">
        <v>933</v>
      </c>
      <c r="WSI91" s="60"/>
      <c r="WSX91" s="63" t="s">
        <v>933</v>
      </c>
      <c r="WSY91" s="60"/>
      <c r="WTN91" s="63" t="s">
        <v>933</v>
      </c>
      <c r="WTO91" s="60"/>
      <c r="WUD91" s="63" t="s">
        <v>933</v>
      </c>
      <c r="WUE91" s="60"/>
      <c r="WUT91" s="63" t="s">
        <v>933</v>
      </c>
      <c r="WUU91" s="60"/>
      <c r="WVJ91" s="63" t="s">
        <v>933</v>
      </c>
      <c r="WVK91" s="60"/>
      <c r="WVZ91" s="63" t="s">
        <v>933</v>
      </c>
      <c r="WWA91" s="60"/>
      <c r="WWP91" s="63" t="s">
        <v>933</v>
      </c>
      <c r="WWQ91" s="60"/>
      <c r="WXF91" s="63" t="s">
        <v>933</v>
      </c>
      <c r="WXG91" s="60"/>
      <c r="WXV91" s="63" t="s">
        <v>933</v>
      </c>
      <c r="WXW91" s="60"/>
      <c r="WYL91" s="63" t="s">
        <v>933</v>
      </c>
      <c r="WYM91" s="60"/>
      <c r="WZB91" s="63" t="s">
        <v>933</v>
      </c>
      <c r="WZC91" s="60"/>
      <c r="WZR91" s="63" t="s">
        <v>933</v>
      </c>
      <c r="WZS91" s="60"/>
      <c r="XAH91" s="63" t="s">
        <v>933</v>
      </c>
      <c r="XAI91" s="60"/>
      <c r="XAX91" s="63" t="s">
        <v>933</v>
      </c>
      <c r="XAY91" s="60"/>
      <c r="XBN91" s="63" t="s">
        <v>933</v>
      </c>
      <c r="XBO91" s="60"/>
      <c r="XCD91" s="63" t="s">
        <v>933</v>
      </c>
      <c r="XCE91" s="60"/>
      <c r="XCT91" s="63" t="s">
        <v>933</v>
      </c>
      <c r="XCU91" s="60"/>
      <c r="XDJ91" s="63" t="s">
        <v>933</v>
      </c>
      <c r="XDK91" s="60"/>
      <c r="XDZ91" s="63" t="s">
        <v>933</v>
      </c>
      <c r="XEA91" s="60"/>
      <c r="XEP91" s="63" t="s">
        <v>933</v>
      </c>
      <c r="XEQ91" s="60"/>
    </row>
    <row r="92" spans="2:1011 1026:2035 2050:3059 3074:4083 4098:5107 5122:6131 6146:7155 7170:8179 8194:9203 9218:10227 10242:11251 11266:12275 12290:13299 13314:14323 14338:15347 15362:16371" ht="14.25" x14ac:dyDescent="0.2">
      <c r="R92" s="63" t="s">
        <v>934</v>
      </c>
      <c r="S92" s="60"/>
      <c r="AH92" s="63" t="s">
        <v>934</v>
      </c>
      <c r="AI92" s="60"/>
      <c r="AX92" s="63" t="s">
        <v>934</v>
      </c>
      <c r="AY92" s="60"/>
      <c r="BN92" s="63" t="s">
        <v>934</v>
      </c>
      <c r="BO92" s="60"/>
      <c r="CD92" s="63" t="s">
        <v>934</v>
      </c>
      <c r="CE92" s="60"/>
      <c r="CT92" s="63" t="s">
        <v>934</v>
      </c>
      <c r="CU92" s="60"/>
      <c r="DJ92" s="63" t="s">
        <v>934</v>
      </c>
      <c r="DK92" s="60"/>
      <c r="DZ92" s="63" t="s">
        <v>934</v>
      </c>
      <c r="EA92" s="60"/>
      <c r="EP92" s="63" t="s">
        <v>934</v>
      </c>
      <c r="EQ92" s="60"/>
      <c r="FF92" s="63" t="s">
        <v>934</v>
      </c>
      <c r="FG92" s="60"/>
      <c r="FV92" s="63" t="s">
        <v>934</v>
      </c>
      <c r="FW92" s="60"/>
      <c r="GL92" s="63" t="s">
        <v>934</v>
      </c>
      <c r="GM92" s="60"/>
      <c r="HB92" s="63" t="s">
        <v>934</v>
      </c>
      <c r="HC92" s="60"/>
      <c r="HR92" s="63" t="s">
        <v>934</v>
      </c>
      <c r="HS92" s="60"/>
      <c r="IH92" s="63" t="s">
        <v>934</v>
      </c>
      <c r="II92" s="60"/>
      <c r="IX92" s="63" t="s">
        <v>934</v>
      </c>
      <c r="IY92" s="60"/>
      <c r="JN92" s="63" t="s">
        <v>934</v>
      </c>
      <c r="JO92" s="60"/>
      <c r="KD92" s="63" t="s">
        <v>934</v>
      </c>
      <c r="KE92" s="60"/>
      <c r="KT92" s="63" t="s">
        <v>934</v>
      </c>
      <c r="KU92" s="60"/>
      <c r="LJ92" s="63" t="s">
        <v>934</v>
      </c>
      <c r="LK92" s="60"/>
      <c r="LZ92" s="63" t="s">
        <v>934</v>
      </c>
      <c r="MA92" s="60"/>
      <c r="MP92" s="63" t="s">
        <v>934</v>
      </c>
      <c r="MQ92" s="60"/>
      <c r="NF92" s="63" t="s">
        <v>934</v>
      </c>
      <c r="NG92" s="60"/>
      <c r="NV92" s="63" t="s">
        <v>934</v>
      </c>
      <c r="NW92" s="60"/>
      <c r="OL92" s="63" t="s">
        <v>934</v>
      </c>
      <c r="OM92" s="60"/>
      <c r="PB92" s="63" t="s">
        <v>934</v>
      </c>
      <c r="PC92" s="60"/>
      <c r="PR92" s="63" t="s">
        <v>934</v>
      </c>
      <c r="PS92" s="60"/>
      <c r="QH92" s="63" t="s">
        <v>934</v>
      </c>
      <c r="QI92" s="60"/>
      <c r="QX92" s="63" t="s">
        <v>934</v>
      </c>
      <c r="QY92" s="60"/>
      <c r="RN92" s="63" t="s">
        <v>934</v>
      </c>
      <c r="RO92" s="60"/>
      <c r="SD92" s="63" t="s">
        <v>934</v>
      </c>
      <c r="SE92" s="60"/>
      <c r="ST92" s="63" t="s">
        <v>934</v>
      </c>
      <c r="SU92" s="60"/>
      <c r="TJ92" s="63" t="s">
        <v>934</v>
      </c>
      <c r="TK92" s="60"/>
      <c r="TZ92" s="63" t="s">
        <v>934</v>
      </c>
      <c r="UA92" s="60"/>
      <c r="UP92" s="63" t="s">
        <v>934</v>
      </c>
      <c r="UQ92" s="60"/>
      <c r="VF92" s="63" t="s">
        <v>934</v>
      </c>
      <c r="VG92" s="60"/>
      <c r="VV92" s="63" t="s">
        <v>934</v>
      </c>
      <c r="VW92" s="60"/>
      <c r="WL92" s="63" t="s">
        <v>934</v>
      </c>
      <c r="WM92" s="60"/>
      <c r="XB92" s="63" t="s">
        <v>934</v>
      </c>
      <c r="XC92" s="60"/>
      <c r="XR92" s="63" t="s">
        <v>934</v>
      </c>
      <c r="XS92" s="60"/>
      <c r="YH92" s="63" t="s">
        <v>934</v>
      </c>
      <c r="YI92" s="60"/>
      <c r="YX92" s="63" t="s">
        <v>934</v>
      </c>
      <c r="YY92" s="60"/>
      <c r="ZN92" s="63" t="s">
        <v>934</v>
      </c>
      <c r="ZO92" s="60"/>
      <c r="AAD92" s="63" t="s">
        <v>934</v>
      </c>
      <c r="AAE92" s="60"/>
      <c r="AAT92" s="63" t="s">
        <v>934</v>
      </c>
      <c r="AAU92" s="60"/>
      <c r="ABJ92" s="63" t="s">
        <v>934</v>
      </c>
      <c r="ABK92" s="60"/>
      <c r="ABZ92" s="63" t="s">
        <v>934</v>
      </c>
      <c r="ACA92" s="60"/>
      <c r="ACP92" s="63" t="s">
        <v>934</v>
      </c>
      <c r="ACQ92" s="60"/>
      <c r="ADF92" s="63" t="s">
        <v>934</v>
      </c>
      <c r="ADG92" s="60"/>
      <c r="ADV92" s="63" t="s">
        <v>934</v>
      </c>
      <c r="ADW92" s="60"/>
      <c r="AEL92" s="63" t="s">
        <v>934</v>
      </c>
      <c r="AEM92" s="60"/>
      <c r="AFB92" s="63" t="s">
        <v>934</v>
      </c>
      <c r="AFC92" s="60"/>
      <c r="AFR92" s="63" t="s">
        <v>934</v>
      </c>
      <c r="AFS92" s="60"/>
      <c r="AGH92" s="63" t="s">
        <v>934</v>
      </c>
      <c r="AGI92" s="60"/>
      <c r="AGX92" s="63" t="s">
        <v>934</v>
      </c>
      <c r="AGY92" s="60"/>
      <c r="AHN92" s="63" t="s">
        <v>934</v>
      </c>
      <c r="AHO92" s="60"/>
      <c r="AID92" s="63" t="s">
        <v>934</v>
      </c>
      <c r="AIE92" s="60"/>
      <c r="AIT92" s="63" t="s">
        <v>934</v>
      </c>
      <c r="AIU92" s="60"/>
      <c r="AJJ92" s="63" t="s">
        <v>934</v>
      </c>
      <c r="AJK92" s="60"/>
      <c r="AJZ92" s="63" t="s">
        <v>934</v>
      </c>
      <c r="AKA92" s="60"/>
      <c r="AKP92" s="63" t="s">
        <v>934</v>
      </c>
      <c r="AKQ92" s="60"/>
      <c r="ALF92" s="63" t="s">
        <v>934</v>
      </c>
      <c r="ALG92" s="60"/>
      <c r="ALV92" s="63" t="s">
        <v>934</v>
      </c>
      <c r="ALW92" s="60"/>
      <c r="AML92" s="63" t="s">
        <v>934</v>
      </c>
      <c r="AMM92" s="60"/>
      <c r="ANB92" s="63" t="s">
        <v>934</v>
      </c>
      <c r="ANC92" s="60"/>
      <c r="ANR92" s="63" t="s">
        <v>934</v>
      </c>
      <c r="ANS92" s="60"/>
      <c r="AOH92" s="63" t="s">
        <v>934</v>
      </c>
      <c r="AOI92" s="60"/>
      <c r="AOX92" s="63" t="s">
        <v>934</v>
      </c>
      <c r="AOY92" s="60"/>
      <c r="APN92" s="63" t="s">
        <v>934</v>
      </c>
      <c r="APO92" s="60"/>
      <c r="AQD92" s="63" t="s">
        <v>934</v>
      </c>
      <c r="AQE92" s="60"/>
      <c r="AQT92" s="63" t="s">
        <v>934</v>
      </c>
      <c r="AQU92" s="60"/>
      <c r="ARJ92" s="63" t="s">
        <v>934</v>
      </c>
      <c r="ARK92" s="60"/>
      <c r="ARZ92" s="63" t="s">
        <v>934</v>
      </c>
      <c r="ASA92" s="60"/>
      <c r="ASP92" s="63" t="s">
        <v>934</v>
      </c>
      <c r="ASQ92" s="60"/>
      <c r="ATF92" s="63" t="s">
        <v>934</v>
      </c>
      <c r="ATG92" s="60"/>
      <c r="ATV92" s="63" t="s">
        <v>934</v>
      </c>
      <c r="ATW92" s="60"/>
      <c r="AUL92" s="63" t="s">
        <v>934</v>
      </c>
      <c r="AUM92" s="60"/>
      <c r="AVB92" s="63" t="s">
        <v>934</v>
      </c>
      <c r="AVC92" s="60"/>
      <c r="AVR92" s="63" t="s">
        <v>934</v>
      </c>
      <c r="AVS92" s="60"/>
      <c r="AWH92" s="63" t="s">
        <v>934</v>
      </c>
      <c r="AWI92" s="60"/>
      <c r="AWX92" s="63" t="s">
        <v>934</v>
      </c>
      <c r="AWY92" s="60"/>
      <c r="AXN92" s="63" t="s">
        <v>934</v>
      </c>
      <c r="AXO92" s="60"/>
      <c r="AYD92" s="63" t="s">
        <v>934</v>
      </c>
      <c r="AYE92" s="60"/>
      <c r="AYT92" s="63" t="s">
        <v>934</v>
      </c>
      <c r="AYU92" s="60"/>
      <c r="AZJ92" s="63" t="s">
        <v>934</v>
      </c>
      <c r="AZK92" s="60"/>
      <c r="AZZ92" s="63" t="s">
        <v>934</v>
      </c>
      <c r="BAA92" s="60"/>
      <c r="BAP92" s="63" t="s">
        <v>934</v>
      </c>
      <c r="BAQ92" s="60"/>
      <c r="BBF92" s="63" t="s">
        <v>934</v>
      </c>
      <c r="BBG92" s="60"/>
      <c r="BBV92" s="63" t="s">
        <v>934</v>
      </c>
      <c r="BBW92" s="60"/>
      <c r="BCL92" s="63" t="s">
        <v>934</v>
      </c>
      <c r="BCM92" s="60"/>
      <c r="BDB92" s="63" t="s">
        <v>934</v>
      </c>
      <c r="BDC92" s="60"/>
      <c r="BDR92" s="63" t="s">
        <v>934</v>
      </c>
      <c r="BDS92" s="60"/>
      <c r="BEH92" s="63" t="s">
        <v>934</v>
      </c>
      <c r="BEI92" s="60"/>
      <c r="BEX92" s="63" t="s">
        <v>934</v>
      </c>
      <c r="BEY92" s="60"/>
      <c r="BFN92" s="63" t="s">
        <v>934</v>
      </c>
      <c r="BFO92" s="60"/>
      <c r="BGD92" s="63" t="s">
        <v>934</v>
      </c>
      <c r="BGE92" s="60"/>
      <c r="BGT92" s="63" t="s">
        <v>934</v>
      </c>
      <c r="BGU92" s="60"/>
      <c r="BHJ92" s="63" t="s">
        <v>934</v>
      </c>
      <c r="BHK92" s="60"/>
      <c r="BHZ92" s="63" t="s">
        <v>934</v>
      </c>
      <c r="BIA92" s="60"/>
      <c r="BIP92" s="63" t="s">
        <v>934</v>
      </c>
      <c r="BIQ92" s="60"/>
      <c r="BJF92" s="63" t="s">
        <v>934</v>
      </c>
      <c r="BJG92" s="60"/>
      <c r="BJV92" s="63" t="s">
        <v>934</v>
      </c>
      <c r="BJW92" s="60"/>
      <c r="BKL92" s="63" t="s">
        <v>934</v>
      </c>
      <c r="BKM92" s="60"/>
      <c r="BLB92" s="63" t="s">
        <v>934</v>
      </c>
      <c r="BLC92" s="60"/>
      <c r="BLR92" s="63" t="s">
        <v>934</v>
      </c>
      <c r="BLS92" s="60"/>
      <c r="BMH92" s="63" t="s">
        <v>934</v>
      </c>
      <c r="BMI92" s="60"/>
      <c r="BMX92" s="63" t="s">
        <v>934</v>
      </c>
      <c r="BMY92" s="60"/>
      <c r="BNN92" s="63" t="s">
        <v>934</v>
      </c>
      <c r="BNO92" s="60"/>
      <c r="BOD92" s="63" t="s">
        <v>934</v>
      </c>
      <c r="BOE92" s="60"/>
      <c r="BOT92" s="63" t="s">
        <v>934</v>
      </c>
      <c r="BOU92" s="60"/>
      <c r="BPJ92" s="63" t="s">
        <v>934</v>
      </c>
      <c r="BPK92" s="60"/>
      <c r="BPZ92" s="63" t="s">
        <v>934</v>
      </c>
      <c r="BQA92" s="60"/>
      <c r="BQP92" s="63" t="s">
        <v>934</v>
      </c>
      <c r="BQQ92" s="60"/>
      <c r="BRF92" s="63" t="s">
        <v>934</v>
      </c>
      <c r="BRG92" s="60"/>
      <c r="BRV92" s="63" t="s">
        <v>934</v>
      </c>
      <c r="BRW92" s="60"/>
      <c r="BSL92" s="63" t="s">
        <v>934</v>
      </c>
      <c r="BSM92" s="60"/>
      <c r="BTB92" s="63" t="s">
        <v>934</v>
      </c>
      <c r="BTC92" s="60"/>
      <c r="BTR92" s="63" t="s">
        <v>934</v>
      </c>
      <c r="BTS92" s="60"/>
      <c r="BUH92" s="63" t="s">
        <v>934</v>
      </c>
      <c r="BUI92" s="60"/>
      <c r="BUX92" s="63" t="s">
        <v>934</v>
      </c>
      <c r="BUY92" s="60"/>
      <c r="BVN92" s="63" t="s">
        <v>934</v>
      </c>
      <c r="BVO92" s="60"/>
      <c r="BWD92" s="63" t="s">
        <v>934</v>
      </c>
      <c r="BWE92" s="60"/>
      <c r="BWT92" s="63" t="s">
        <v>934</v>
      </c>
      <c r="BWU92" s="60"/>
      <c r="BXJ92" s="63" t="s">
        <v>934</v>
      </c>
      <c r="BXK92" s="60"/>
      <c r="BXZ92" s="63" t="s">
        <v>934</v>
      </c>
      <c r="BYA92" s="60"/>
      <c r="BYP92" s="63" t="s">
        <v>934</v>
      </c>
      <c r="BYQ92" s="60"/>
      <c r="BZF92" s="63" t="s">
        <v>934</v>
      </c>
      <c r="BZG92" s="60"/>
      <c r="BZV92" s="63" t="s">
        <v>934</v>
      </c>
      <c r="BZW92" s="60"/>
      <c r="CAL92" s="63" t="s">
        <v>934</v>
      </c>
      <c r="CAM92" s="60"/>
      <c r="CBB92" s="63" t="s">
        <v>934</v>
      </c>
      <c r="CBC92" s="60"/>
      <c r="CBR92" s="63" t="s">
        <v>934</v>
      </c>
      <c r="CBS92" s="60"/>
      <c r="CCH92" s="63" t="s">
        <v>934</v>
      </c>
      <c r="CCI92" s="60"/>
      <c r="CCX92" s="63" t="s">
        <v>934</v>
      </c>
      <c r="CCY92" s="60"/>
      <c r="CDN92" s="63" t="s">
        <v>934</v>
      </c>
      <c r="CDO92" s="60"/>
      <c r="CED92" s="63" t="s">
        <v>934</v>
      </c>
      <c r="CEE92" s="60"/>
      <c r="CET92" s="63" t="s">
        <v>934</v>
      </c>
      <c r="CEU92" s="60"/>
      <c r="CFJ92" s="63" t="s">
        <v>934</v>
      </c>
      <c r="CFK92" s="60"/>
      <c r="CFZ92" s="63" t="s">
        <v>934</v>
      </c>
      <c r="CGA92" s="60"/>
      <c r="CGP92" s="63" t="s">
        <v>934</v>
      </c>
      <c r="CGQ92" s="60"/>
      <c r="CHF92" s="63" t="s">
        <v>934</v>
      </c>
      <c r="CHG92" s="60"/>
      <c r="CHV92" s="63" t="s">
        <v>934</v>
      </c>
      <c r="CHW92" s="60"/>
      <c r="CIL92" s="63" t="s">
        <v>934</v>
      </c>
      <c r="CIM92" s="60"/>
      <c r="CJB92" s="63" t="s">
        <v>934</v>
      </c>
      <c r="CJC92" s="60"/>
      <c r="CJR92" s="63" t="s">
        <v>934</v>
      </c>
      <c r="CJS92" s="60"/>
      <c r="CKH92" s="63" t="s">
        <v>934</v>
      </c>
      <c r="CKI92" s="60"/>
      <c r="CKX92" s="63" t="s">
        <v>934</v>
      </c>
      <c r="CKY92" s="60"/>
      <c r="CLN92" s="63" t="s">
        <v>934</v>
      </c>
      <c r="CLO92" s="60"/>
      <c r="CMD92" s="63" t="s">
        <v>934</v>
      </c>
      <c r="CME92" s="60"/>
      <c r="CMT92" s="63" t="s">
        <v>934</v>
      </c>
      <c r="CMU92" s="60"/>
      <c r="CNJ92" s="63" t="s">
        <v>934</v>
      </c>
      <c r="CNK92" s="60"/>
      <c r="CNZ92" s="63" t="s">
        <v>934</v>
      </c>
      <c r="COA92" s="60"/>
      <c r="COP92" s="63" t="s">
        <v>934</v>
      </c>
      <c r="COQ92" s="60"/>
      <c r="CPF92" s="63" t="s">
        <v>934</v>
      </c>
      <c r="CPG92" s="60"/>
      <c r="CPV92" s="63" t="s">
        <v>934</v>
      </c>
      <c r="CPW92" s="60"/>
      <c r="CQL92" s="63" t="s">
        <v>934</v>
      </c>
      <c r="CQM92" s="60"/>
      <c r="CRB92" s="63" t="s">
        <v>934</v>
      </c>
      <c r="CRC92" s="60"/>
      <c r="CRR92" s="63" t="s">
        <v>934</v>
      </c>
      <c r="CRS92" s="60"/>
      <c r="CSH92" s="63" t="s">
        <v>934</v>
      </c>
      <c r="CSI92" s="60"/>
      <c r="CSX92" s="63" t="s">
        <v>934</v>
      </c>
      <c r="CSY92" s="60"/>
      <c r="CTN92" s="63" t="s">
        <v>934</v>
      </c>
      <c r="CTO92" s="60"/>
      <c r="CUD92" s="63" t="s">
        <v>934</v>
      </c>
      <c r="CUE92" s="60"/>
      <c r="CUT92" s="63" t="s">
        <v>934</v>
      </c>
      <c r="CUU92" s="60"/>
      <c r="CVJ92" s="63" t="s">
        <v>934</v>
      </c>
      <c r="CVK92" s="60"/>
      <c r="CVZ92" s="63" t="s">
        <v>934</v>
      </c>
      <c r="CWA92" s="60"/>
      <c r="CWP92" s="63" t="s">
        <v>934</v>
      </c>
      <c r="CWQ92" s="60"/>
      <c r="CXF92" s="63" t="s">
        <v>934</v>
      </c>
      <c r="CXG92" s="60"/>
      <c r="CXV92" s="63" t="s">
        <v>934</v>
      </c>
      <c r="CXW92" s="60"/>
      <c r="CYL92" s="63" t="s">
        <v>934</v>
      </c>
      <c r="CYM92" s="60"/>
      <c r="CZB92" s="63" t="s">
        <v>934</v>
      </c>
      <c r="CZC92" s="60"/>
      <c r="CZR92" s="63" t="s">
        <v>934</v>
      </c>
      <c r="CZS92" s="60"/>
      <c r="DAH92" s="63" t="s">
        <v>934</v>
      </c>
      <c r="DAI92" s="60"/>
      <c r="DAX92" s="63" t="s">
        <v>934</v>
      </c>
      <c r="DAY92" s="60"/>
      <c r="DBN92" s="63" t="s">
        <v>934</v>
      </c>
      <c r="DBO92" s="60"/>
      <c r="DCD92" s="63" t="s">
        <v>934</v>
      </c>
      <c r="DCE92" s="60"/>
      <c r="DCT92" s="63" t="s">
        <v>934</v>
      </c>
      <c r="DCU92" s="60"/>
      <c r="DDJ92" s="63" t="s">
        <v>934</v>
      </c>
      <c r="DDK92" s="60"/>
      <c r="DDZ92" s="63" t="s">
        <v>934</v>
      </c>
      <c r="DEA92" s="60"/>
      <c r="DEP92" s="63" t="s">
        <v>934</v>
      </c>
      <c r="DEQ92" s="60"/>
      <c r="DFF92" s="63" t="s">
        <v>934</v>
      </c>
      <c r="DFG92" s="60"/>
      <c r="DFV92" s="63" t="s">
        <v>934</v>
      </c>
      <c r="DFW92" s="60"/>
      <c r="DGL92" s="63" t="s">
        <v>934</v>
      </c>
      <c r="DGM92" s="60"/>
      <c r="DHB92" s="63" t="s">
        <v>934</v>
      </c>
      <c r="DHC92" s="60"/>
      <c r="DHR92" s="63" t="s">
        <v>934</v>
      </c>
      <c r="DHS92" s="60"/>
      <c r="DIH92" s="63" t="s">
        <v>934</v>
      </c>
      <c r="DII92" s="60"/>
      <c r="DIX92" s="63" t="s">
        <v>934</v>
      </c>
      <c r="DIY92" s="60"/>
      <c r="DJN92" s="63" t="s">
        <v>934</v>
      </c>
      <c r="DJO92" s="60"/>
      <c r="DKD92" s="63" t="s">
        <v>934</v>
      </c>
      <c r="DKE92" s="60"/>
      <c r="DKT92" s="63" t="s">
        <v>934</v>
      </c>
      <c r="DKU92" s="60"/>
      <c r="DLJ92" s="63" t="s">
        <v>934</v>
      </c>
      <c r="DLK92" s="60"/>
      <c r="DLZ92" s="63" t="s">
        <v>934</v>
      </c>
      <c r="DMA92" s="60"/>
      <c r="DMP92" s="63" t="s">
        <v>934</v>
      </c>
      <c r="DMQ92" s="60"/>
      <c r="DNF92" s="63" t="s">
        <v>934</v>
      </c>
      <c r="DNG92" s="60"/>
      <c r="DNV92" s="63" t="s">
        <v>934</v>
      </c>
      <c r="DNW92" s="60"/>
      <c r="DOL92" s="63" t="s">
        <v>934</v>
      </c>
      <c r="DOM92" s="60"/>
      <c r="DPB92" s="63" t="s">
        <v>934</v>
      </c>
      <c r="DPC92" s="60"/>
      <c r="DPR92" s="63" t="s">
        <v>934</v>
      </c>
      <c r="DPS92" s="60"/>
      <c r="DQH92" s="63" t="s">
        <v>934</v>
      </c>
      <c r="DQI92" s="60"/>
      <c r="DQX92" s="63" t="s">
        <v>934</v>
      </c>
      <c r="DQY92" s="60"/>
      <c r="DRN92" s="63" t="s">
        <v>934</v>
      </c>
      <c r="DRO92" s="60"/>
      <c r="DSD92" s="63" t="s">
        <v>934</v>
      </c>
      <c r="DSE92" s="60"/>
      <c r="DST92" s="63" t="s">
        <v>934</v>
      </c>
      <c r="DSU92" s="60"/>
      <c r="DTJ92" s="63" t="s">
        <v>934</v>
      </c>
      <c r="DTK92" s="60"/>
      <c r="DTZ92" s="63" t="s">
        <v>934</v>
      </c>
      <c r="DUA92" s="60"/>
      <c r="DUP92" s="63" t="s">
        <v>934</v>
      </c>
      <c r="DUQ92" s="60"/>
      <c r="DVF92" s="63" t="s">
        <v>934</v>
      </c>
      <c r="DVG92" s="60"/>
      <c r="DVV92" s="63" t="s">
        <v>934</v>
      </c>
      <c r="DVW92" s="60"/>
      <c r="DWL92" s="63" t="s">
        <v>934</v>
      </c>
      <c r="DWM92" s="60"/>
      <c r="DXB92" s="63" t="s">
        <v>934</v>
      </c>
      <c r="DXC92" s="60"/>
      <c r="DXR92" s="63" t="s">
        <v>934</v>
      </c>
      <c r="DXS92" s="60"/>
      <c r="DYH92" s="63" t="s">
        <v>934</v>
      </c>
      <c r="DYI92" s="60"/>
      <c r="DYX92" s="63" t="s">
        <v>934</v>
      </c>
      <c r="DYY92" s="60"/>
      <c r="DZN92" s="63" t="s">
        <v>934</v>
      </c>
      <c r="DZO92" s="60"/>
      <c r="EAD92" s="63" t="s">
        <v>934</v>
      </c>
      <c r="EAE92" s="60"/>
      <c r="EAT92" s="63" t="s">
        <v>934</v>
      </c>
      <c r="EAU92" s="60"/>
      <c r="EBJ92" s="63" t="s">
        <v>934</v>
      </c>
      <c r="EBK92" s="60"/>
      <c r="EBZ92" s="63" t="s">
        <v>934</v>
      </c>
      <c r="ECA92" s="60"/>
      <c r="ECP92" s="63" t="s">
        <v>934</v>
      </c>
      <c r="ECQ92" s="60"/>
      <c r="EDF92" s="63" t="s">
        <v>934</v>
      </c>
      <c r="EDG92" s="60"/>
      <c r="EDV92" s="63" t="s">
        <v>934</v>
      </c>
      <c r="EDW92" s="60"/>
      <c r="EEL92" s="63" t="s">
        <v>934</v>
      </c>
      <c r="EEM92" s="60"/>
      <c r="EFB92" s="63" t="s">
        <v>934</v>
      </c>
      <c r="EFC92" s="60"/>
      <c r="EFR92" s="63" t="s">
        <v>934</v>
      </c>
      <c r="EFS92" s="60"/>
      <c r="EGH92" s="63" t="s">
        <v>934</v>
      </c>
      <c r="EGI92" s="60"/>
      <c r="EGX92" s="63" t="s">
        <v>934</v>
      </c>
      <c r="EGY92" s="60"/>
      <c r="EHN92" s="63" t="s">
        <v>934</v>
      </c>
      <c r="EHO92" s="60"/>
      <c r="EID92" s="63" t="s">
        <v>934</v>
      </c>
      <c r="EIE92" s="60"/>
      <c r="EIT92" s="63" t="s">
        <v>934</v>
      </c>
      <c r="EIU92" s="60"/>
      <c r="EJJ92" s="63" t="s">
        <v>934</v>
      </c>
      <c r="EJK92" s="60"/>
      <c r="EJZ92" s="63" t="s">
        <v>934</v>
      </c>
      <c r="EKA92" s="60"/>
      <c r="EKP92" s="63" t="s">
        <v>934</v>
      </c>
      <c r="EKQ92" s="60"/>
      <c r="ELF92" s="63" t="s">
        <v>934</v>
      </c>
      <c r="ELG92" s="60"/>
      <c r="ELV92" s="63" t="s">
        <v>934</v>
      </c>
      <c r="ELW92" s="60"/>
      <c r="EML92" s="63" t="s">
        <v>934</v>
      </c>
      <c r="EMM92" s="60"/>
      <c r="ENB92" s="63" t="s">
        <v>934</v>
      </c>
      <c r="ENC92" s="60"/>
      <c r="ENR92" s="63" t="s">
        <v>934</v>
      </c>
      <c r="ENS92" s="60"/>
      <c r="EOH92" s="63" t="s">
        <v>934</v>
      </c>
      <c r="EOI92" s="60"/>
      <c r="EOX92" s="63" t="s">
        <v>934</v>
      </c>
      <c r="EOY92" s="60"/>
      <c r="EPN92" s="63" t="s">
        <v>934</v>
      </c>
      <c r="EPO92" s="60"/>
      <c r="EQD92" s="63" t="s">
        <v>934</v>
      </c>
      <c r="EQE92" s="60"/>
      <c r="EQT92" s="63" t="s">
        <v>934</v>
      </c>
      <c r="EQU92" s="60"/>
      <c r="ERJ92" s="63" t="s">
        <v>934</v>
      </c>
      <c r="ERK92" s="60"/>
      <c r="ERZ92" s="63" t="s">
        <v>934</v>
      </c>
      <c r="ESA92" s="60"/>
      <c r="ESP92" s="63" t="s">
        <v>934</v>
      </c>
      <c r="ESQ92" s="60"/>
      <c r="ETF92" s="63" t="s">
        <v>934</v>
      </c>
      <c r="ETG92" s="60"/>
      <c r="ETV92" s="63" t="s">
        <v>934</v>
      </c>
      <c r="ETW92" s="60"/>
      <c r="EUL92" s="63" t="s">
        <v>934</v>
      </c>
      <c r="EUM92" s="60"/>
      <c r="EVB92" s="63" t="s">
        <v>934</v>
      </c>
      <c r="EVC92" s="60"/>
      <c r="EVR92" s="63" t="s">
        <v>934</v>
      </c>
      <c r="EVS92" s="60"/>
      <c r="EWH92" s="63" t="s">
        <v>934</v>
      </c>
      <c r="EWI92" s="60"/>
      <c r="EWX92" s="63" t="s">
        <v>934</v>
      </c>
      <c r="EWY92" s="60"/>
      <c r="EXN92" s="63" t="s">
        <v>934</v>
      </c>
      <c r="EXO92" s="60"/>
      <c r="EYD92" s="63" t="s">
        <v>934</v>
      </c>
      <c r="EYE92" s="60"/>
      <c r="EYT92" s="63" t="s">
        <v>934</v>
      </c>
      <c r="EYU92" s="60"/>
      <c r="EZJ92" s="63" t="s">
        <v>934</v>
      </c>
      <c r="EZK92" s="60"/>
      <c r="EZZ92" s="63" t="s">
        <v>934</v>
      </c>
      <c r="FAA92" s="60"/>
      <c r="FAP92" s="63" t="s">
        <v>934</v>
      </c>
      <c r="FAQ92" s="60"/>
      <c r="FBF92" s="63" t="s">
        <v>934</v>
      </c>
      <c r="FBG92" s="60"/>
      <c r="FBV92" s="63" t="s">
        <v>934</v>
      </c>
      <c r="FBW92" s="60"/>
      <c r="FCL92" s="63" t="s">
        <v>934</v>
      </c>
      <c r="FCM92" s="60"/>
      <c r="FDB92" s="63" t="s">
        <v>934</v>
      </c>
      <c r="FDC92" s="60"/>
      <c r="FDR92" s="63" t="s">
        <v>934</v>
      </c>
      <c r="FDS92" s="60"/>
      <c r="FEH92" s="63" t="s">
        <v>934</v>
      </c>
      <c r="FEI92" s="60"/>
      <c r="FEX92" s="63" t="s">
        <v>934</v>
      </c>
      <c r="FEY92" s="60"/>
      <c r="FFN92" s="63" t="s">
        <v>934</v>
      </c>
      <c r="FFO92" s="60"/>
      <c r="FGD92" s="63" t="s">
        <v>934</v>
      </c>
      <c r="FGE92" s="60"/>
      <c r="FGT92" s="63" t="s">
        <v>934</v>
      </c>
      <c r="FGU92" s="60"/>
      <c r="FHJ92" s="63" t="s">
        <v>934</v>
      </c>
      <c r="FHK92" s="60"/>
      <c r="FHZ92" s="63" t="s">
        <v>934</v>
      </c>
      <c r="FIA92" s="60"/>
      <c r="FIP92" s="63" t="s">
        <v>934</v>
      </c>
      <c r="FIQ92" s="60"/>
      <c r="FJF92" s="63" t="s">
        <v>934</v>
      </c>
      <c r="FJG92" s="60"/>
      <c r="FJV92" s="63" t="s">
        <v>934</v>
      </c>
      <c r="FJW92" s="60"/>
      <c r="FKL92" s="63" t="s">
        <v>934</v>
      </c>
      <c r="FKM92" s="60"/>
      <c r="FLB92" s="63" t="s">
        <v>934</v>
      </c>
      <c r="FLC92" s="60"/>
      <c r="FLR92" s="63" t="s">
        <v>934</v>
      </c>
      <c r="FLS92" s="60"/>
      <c r="FMH92" s="63" t="s">
        <v>934</v>
      </c>
      <c r="FMI92" s="60"/>
      <c r="FMX92" s="63" t="s">
        <v>934</v>
      </c>
      <c r="FMY92" s="60"/>
      <c r="FNN92" s="63" t="s">
        <v>934</v>
      </c>
      <c r="FNO92" s="60"/>
      <c r="FOD92" s="63" t="s">
        <v>934</v>
      </c>
      <c r="FOE92" s="60"/>
      <c r="FOT92" s="63" t="s">
        <v>934</v>
      </c>
      <c r="FOU92" s="60"/>
      <c r="FPJ92" s="63" t="s">
        <v>934</v>
      </c>
      <c r="FPK92" s="60"/>
      <c r="FPZ92" s="63" t="s">
        <v>934</v>
      </c>
      <c r="FQA92" s="60"/>
      <c r="FQP92" s="63" t="s">
        <v>934</v>
      </c>
      <c r="FQQ92" s="60"/>
      <c r="FRF92" s="63" t="s">
        <v>934</v>
      </c>
      <c r="FRG92" s="60"/>
      <c r="FRV92" s="63" t="s">
        <v>934</v>
      </c>
      <c r="FRW92" s="60"/>
      <c r="FSL92" s="63" t="s">
        <v>934</v>
      </c>
      <c r="FSM92" s="60"/>
      <c r="FTB92" s="63" t="s">
        <v>934</v>
      </c>
      <c r="FTC92" s="60"/>
      <c r="FTR92" s="63" t="s">
        <v>934</v>
      </c>
      <c r="FTS92" s="60"/>
      <c r="FUH92" s="63" t="s">
        <v>934</v>
      </c>
      <c r="FUI92" s="60"/>
      <c r="FUX92" s="63" t="s">
        <v>934</v>
      </c>
      <c r="FUY92" s="60"/>
      <c r="FVN92" s="63" t="s">
        <v>934</v>
      </c>
      <c r="FVO92" s="60"/>
      <c r="FWD92" s="63" t="s">
        <v>934</v>
      </c>
      <c r="FWE92" s="60"/>
      <c r="FWT92" s="63" t="s">
        <v>934</v>
      </c>
      <c r="FWU92" s="60"/>
      <c r="FXJ92" s="63" t="s">
        <v>934</v>
      </c>
      <c r="FXK92" s="60"/>
      <c r="FXZ92" s="63" t="s">
        <v>934</v>
      </c>
      <c r="FYA92" s="60"/>
      <c r="FYP92" s="63" t="s">
        <v>934</v>
      </c>
      <c r="FYQ92" s="60"/>
      <c r="FZF92" s="63" t="s">
        <v>934</v>
      </c>
      <c r="FZG92" s="60"/>
      <c r="FZV92" s="63" t="s">
        <v>934</v>
      </c>
      <c r="FZW92" s="60"/>
      <c r="GAL92" s="63" t="s">
        <v>934</v>
      </c>
      <c r="GAM92" s="60"/>
      <c r="GBB92" s="63" t="s">
        <v>934</v>
      </c>
      <c r="GBC92" s="60"/>
      <c r="GBR92" s="63" t="s">
        <v>934</v>
      </c>
      <c r="GBS92" s="60"/>
      <c r="GCH92" s="63" t="s">
        <v>934</v>
      </c>
      <c r="GCI92" s="60"/>
      <c r="GCX92" s="63" t="s">
        <v>934</v>
      </c>
      <c r="GCY92" s="60"/>
      <c r="GDN92" s="63" t="s">
        <v>934</v>
      </c>
      <c r="GDO92" s="60"/>
      <c r="GED92" s="63" t="s">
        <v>934</v>
      </c>
      <c r="GEE92" s="60"/>
      <c r="GET92" s="63" t="s">
        <v>934</v>
      </c>
      <c r="GEU92" s="60"/>
      <c r="GFJ92" s="63" t="s">
        <v>934</v>
      </c>
      <c r="GFK92" s="60"/>
      <c r="GFZ92" s="63" t="s">
        <v>934</v>
      </c>
      <c r="GGA92" s="60"/>
      <c r="GGP92" s="63" t="s">
        <v>934</v>
      </c>
      <c r="GGQ92" s="60"/>
      <c r="GHF92" s="63" t="s">
        <v>934</v>
      </c>
      <c r="GHG92" s="60"/>
      <c r="GHV92" s="63" t="s">
        <v>934</v>
      </c>
      <c r="GHW92" s="60"/>
      <c r="GIL92" s="63" t="s">
        <v>934</v>
      </c>
      <c r="GIM92" s="60"/>
      <c r="GJB92" s="63" t="s">
        <v>934</v>
      </c>
      <c r="GJC92" s="60"/>
      <c r="GJR92" s="63" t="s">
        <v>934</v>
      </c>
      <c r="GJS92" s="60"/>
      <c r="GKH92" s="63" t="s">
        <v>934</v>
      </c>
      <c r="GKI92" s="60"/>
      <c r="GKX92" s="63" t="s">
        <v>934</v>
      </c>
      <c r="GKY92" s="60"/>
      <c r="GLN92" s="63" t="s">
        <v>934</v>
      </c>
      <c r="GLO92" s="60"/>
      <c r="GMD92" s="63" t="s">
        <v>934</v>
      </c>
      <c r="GME92" s="60"/>
      <c r="GMT92" s="63" t="s">
        <v>934</v>
      </c>
      <c r="GMU92" s="60"/>
      <c r="GNJ92" s="63" t="s">
        <v>934</v>
      </c>
      <c r="GNK92" s="60"/>
      <c r="GNZ92" s="63" t="s">
        <v>934</v>
      </c>
      <c r="GOA92" s="60"/>
      <c r="GOP92" s="63" t="s">
        <v>934</v>
      </c>
      <c r="GOQ92" s="60"/>
      <c r="GPF92" s="63" t="s">
        <v>934</v>
      </c>
      <c r="GPG92" s="60"/>
      <c r="GPV92" s="63" t="s">
        <v>934</v>
      </c>
      <c r="GPW92" s="60"/>
      <c r="GQL92" s="63" t="s">
        <v>934</v>
      </c>
      <c r="GQM92" s="60"/>
      <c r="GRB92" s="63" t="s">
        <v>934</v>
      </c>
      <c r="GRC92" s="60"/>
      <c r="GRR92" s="63" t="s">
        <v>934</v>
      </c>
      <c r="GRS92" s="60"/>
      <c r="GSH92" s="63" t="s">
        <v>934</v>
      </c>
      <c r="GSI92" s="60"/>
      <c r="GSX92" s="63" t="s">
        <v>934</v>
      </c>
      <c r="GSY92" s="60"/>
      <c r="GTN92" s="63" t="s">
        <v>934</v>
      </c>
      <c r="GTO92" s="60"/>
      <c r="GUD92" s="63" t="s">
        <v>934</v>
      </c>
      <c r="GUE92" s="60"/>
      <c r="GUT92" s="63" t="s">
        <v>934</v>
      </c>
      <c r="GUU92" s="60"/>
      <c r="GVJ92" s="63" t="s">
        <v>934</v>
      </c>
      <c r="GVK92" s="60"/>
      <c r="GVZ92" s="63" t="s">
        <v>934</v>
      </c>
      <c r="GWA92" s="60"/>
      <c r="GWP92" s="63" t="s">
        <v>934</v>
      </c>
      <c r="GWQ92" s="60"/>
      <c r="GXF92" s="63" t="s">
        <v>934</v>
      </c>
      <c r="GXG92" s="60"/>
      <c r="GXV92" s="63" t="s">
        <v>934</v>
      </c>
      <c r="GXW92" s="60"/>
      <c r="GYL92" s="63" t="s">
        <v>934</v>
      </c>
      <c r="GYM92" s="60"/>
      <c r="GZB92" s="63" t="s">
        <v>934</v>
      </c>
      <c r="GZC92" s="60"/>
      <c r="GZR92" s="63" t="s">
        <v>934</v>
      </c>
      <c r="GZS92" s="60"/>
      <c r="HAH92" s="63" t="s">
        <v>934</v>
      </c>
      <c r="HAI92" s="60"/>
      <c r="HAX92" s="63" t="s">
        <v>934</v>
      </c>
      <c r="HAY92" s="60"/>
      <c r="HBN92" s="63" t="s">
        <v>934</v>
      </c>
      <c r="HBO92" s="60"/>
      <c r="HCD92" s="63" t="s">
        <v>934</v>
      </c>
      <c r="HCE92" s="60"/>
      <c r="HCT92" s="63" t="s">
        <v>934</v>
      </c>
      <c r="HCU92" s="60"/>
      <c r="HDJ92" s="63" t="s">
        <v>934</v>
      </c>
      <c r="HDK92" s="60"/>
      <c r="HDZ92" s="63" t="s">
        <v>934</v>
      </c>
      <c r="HEA92" s="60"/>
      <c r="HEP92" s="63" t="s">
        <v>934</v>
      </c>
      <c r="HEQ92" s="60"/>
      <c r="HFF92" s="63" t="s">
        <v>934</v>
      </c>
      <c r="HFG92" s="60"/>
      <c r="HFV92" s="63" t="s">
        <v>934</v>
      </c>
      <c r="HFW92" s="60"/>
      <c r="HGL92" s="63" t="s">
        <v>934</v>
      </c>
      <c r="HGM92" s="60"/>
      <c r="HHB92" s="63" t="s">
        <v>934</v>
      </c>
      <c r="HHC92" s="60"/>
      <c r="HHR92" s="63" t="s">
        <v>934</v>
      </c>
      <c r="HHS92" s="60"/>
      <c r="HIH92" s="63" t="s">
        <v>934</v>
      </c>
      <c r="HII92" s="60"/>
      <c r="HIX92" s="63" t="s">
        <v>934</v>
      </c>
      <c r="HIY92" s="60"/>
      <c r="HJN92" s="63" t="s">
        <v>934</v>
      </c>
      <c r="HJO92" s="60"/>
      <c r="HKD92" s="63" t="s">
        <v>934</v>
      </c>
      <c r="HKE92" s="60"/>
      <c r="HKT92" s="63" t="s">
        <v>934</v>
      </c>
      <c r="HKU92" s="60"/>
      <c r="HLJ92" s="63" t="s">
        <v>934</v>
      </c>
      <c r="HLK92" s="60"/>
      <c r="HLZ92" s="63" t="s">
        <v>934</v>
      </c>
      <c r="HMA92" s="60"/>
      <c r="HMP92" s="63" t="s">
        <v>934</v>
      </c>
      <c r="HMQ92" s="60"/>
      <c r="HNF92" s="63" t="s">
        <v>934</v>
      </c>
      <c r="HNG92" s="60"/>
      <c r="HNV92" s="63" t="s">
        <v>934</v>
      </c>
      <c r="HNW92" s="60"/>
      <c r="HOL92" s="63" t="s">
        <v>934</v>
      </c>
      <c r="HOM92" s="60"/>
      <c r="HPB92" s="63" t="s">
        <v>934</v>
      </c>
      <c r="HPC92" s="60"/>
      <c r="HPR92" s="63" t="s">
        <v>934</v>
      </c>
      <c r="HPS92" s="60"/>
      <c r="HQH92" s="63" t="s">
        <v>934</v>
      </c>
      <c r="HQI92" s="60"/>
      <c r="HQX92" s="63" t="s">
        <v>934</v>
      </c>
      <c r="HQY92" s="60"/>
      <c r="HRN92" s="63" t="s">
        <v>934</v>
      </c>
      <c r="HRO92" s="60"/>
      <c r="HSD92" s="63" t="s">
        <v>934</v>
      </c>
      <c r="HSE92" s="60"/>
      <c r="HST92" s="63" t="s">
        <v>934</v>
      </c>
      <c r="HSU92" s="60"/>
      <c r="HTJ92" s="63" t="s">
        <v>934</v>
      </c>
      <c r="HTK92" s="60"/>
      <c r="HTZ92" s="63" t="s">
        <v>934</v>
      </c>
      <c r="HUA92" s="60"/>
      <c r="HUP92" s="63" t="s">
        <v>934</v>
      </c>
      <c r="HUQ92" s="60"/>
      <c r="HVF92" s="63" t="s">
        <v>934</v>
      </c>
      <c r="HVG92" s="60"/>
      <c r="HVV92" s="63" t="s">
        <v>934</v>
      </c>
      <c r="HVW92" s="60"/>
      <c r="HWL92" s="63" t="s">
        <v>934</v>
      </c>
      <c r="HWM92" s="60"/>
      <c r="HXB92" s="63" t="s">
        <v>934</v>
      </c>
      <c r="HXC92" s="60"/>
      <c r="HXR92" s="63" t="s">
        <v>934</v>
      </c>
      <c r="HXS92" s="60"/>
      <c r="HYH92" s="63" t="s">
        <v>934</v>
      </c>
      <c r="HYI92" s="60"/>
      <c r="HYX92" s="63" t="s">
        <v>934</v>
      </c>
      <c r="HYY92" s="60"/>
      <c r="HZN92" s="63" t="s">
        <v>934</v>
      </c>
      <c r="HZO92" s="60"/>
      <c r="IAD92" s="63" t="s">
        <v>934</v>
      </c>
      <c r="IAE92" s="60"/>
      <c r="IAT92" s="63" t="s">
        <v>934</v>
      </c>
      <c r="IAU92" s="60"/>
      <c r="IBJ92" s="63" t="s">
        <v>934</v>
      </c>
      <c r="IBK92" s="60"/>
      <c r="IBZ92" s="63" t="s">
        <v>934</v>
      </c>
      <c r="ICA92" s="60"/>
      <c r="ICP92" s="63" t="s">
        <v>934</v>
      </c>
      <c r="ICQ92" s="60"/>
      <c r="IDF92" s="63" t="s">
        <v>934</v>
      </c>
      <c r="IDG92" s="60"/>
      <c r="IDV92" s="63" t="s">
        <v>934</v>
      </c>
      <c r="IDW92" s="60"/>
      <c r="IEL92" s="63" t="s">
        <v>934</v>
      </c>
      <c r="IEM92" s="60"/>
      <c r="IFB92" s="63" t="s">
        <v>934</v>
      </c>
      <c r="IFC92" s="60"/>
      <c r="IFR92" s="63" t="s">
        <v>934</v>
      </c>
      <c r="IFS92" s="60"/>
      <c r="IGH92" s="63" t="s">
        <v>934</v>
      </c>
      <c r="IGI92" s="60"/>
      <c r="IGX92" s="63" t="s">
        <v>934</v>
      </c>
      <c r="IGY92" s="60"/>
      <c r="IHN92" s="63" t="s">
        <v>934</v>
      </c>
      <c r="IHO92" s="60"/>
      <c r="IID92" s="63" t="s">
        <v>934</v>
      </c>
      <c r="IIE92" s="60"/>
      <c r="IIT92" s="63" t="s">
        <v>934</v>
      </c>
      <c r="IIU92" s="60"/>
      <c r="IJJ92" s="63" t="s">
        <v>934</v>
      </c>
      <c r="IJK92" s="60"/>
      <c r="IJZ92" s="63" t="s">
        <v>934</v>
      </c>
      <c r="IKA92" s="60"/>
      <c r="IKP92" s="63" t="s">
        <v>934</v>
      </c>
      <c r="IKQ92" s="60"/>
      <c r="ILF92" s="63" t="s">
        <v>934</v>
      </c>
      <c r="ILG92" s="60"/>
      <c r="ILV92" s="63" t="s">
        <v>934</v>
      </c>
      <c r="ILW92" s="60"/>
      <c r="IML92" s="63" t="s">
        <v>934</v>
      </c>
      <c r="IMM92" s="60"/>
      <c r="INB92" s="63" t="s">
        <v>934</v>
      </c>
      <c r="INC92" s="60"/>
      <c r="INR92" s="63" t="s">
        <v>934</v>
      </c>
      <c r="INS92" s="60"/>
      <c r="IOH92" s="63" t="s">
        <v>934</v>
      </c>
      <c r="IOI92" s="60"/>
      <c r="IOX92" s="63" t="s">
        <v>934</v>
      </c>
      <c r="IOY92" s="60"/>
      <c r="IPN92" s="63" t="s">
        <v>934</v>
      </c>
      <c r="IPO92" s="60"/>
      <c r="IQD92" s="63" t="s">
        <v>934</v>
      </c>
      <c r="IQE92" s="60"/>
      <c r="IQT92" s="63" t="s">
        <v>934</v>
      </c>
      <c r="IQU92" s="60"/>
      <c r="IRJ92" s="63" t="s">
        <v>934</v>
      </c>
      <c r="IRK92" s="60"/>
      <c r="IRZ92" s="63" t="s">
        <v>934</v>
      </c>
      <c r="ISA92" s="60"/>
      <c r="ISP92" s="63" t="s">
        <v>934</v>
      </c>
      <c r="ISQ92" s="60"/>
      <c r="ITF92" s="63" t="s">
        <v>934</v>
      </c>
      <c r="ITG92" s="60"/>
      <c r="ITV92" s="63" t="s">
        <v>934</v>
      </c>
      <c r="ITW92" s="60"/>
      <c r="IUL92" s="63" t="s">
        <v>934</v>
      </c>
      <c r="IUM92" s="60"/>
      <c r="IVB92" s="63" t="s">
        <v>934</v>
      </c>
      <c r="IVC92" s="60"/>
      <c r="IVR92" s="63" t="s">
        <v>934</v>
      </c>
      <c r="IVS92" s="60"/>
      <c r="IWH92" s="63" t="s">
        <v>934</v>
      </c>
      <c r="IWI92" s="60"/>
      <c r="IWX92" s="63" t="s">
        <v>934</v>
      </c>
      <c r="IWY92" s="60"/>
      <c r="IXN92" s="63" t="s">
        <v>934</v>
      </c>
      <c r="IXO92" s="60"/>
      <c r="IYD92" s="63" t="s">
        <v>934</v>
      </c>
      <c r="IYE92" s="60"/>
      <c r="IYT92" s="63" t="s">
        <v>934</v>
      </c>
      <c r="IYU92" s="60"/>
      <c r="IZJ92" s="63" t="s">
        <v>934</v>
      </c>
      <c r="IZK92" s="60"/>
      <c r="IZZ92" s="63" t="s">
        <v>934</v>
      </c>
      <c r="JAA92" s="60"/>
      <c r="JAP92" s="63" t="s">
        <v>934</v>
      </c>
      <c r="JAQ92" s="60"/>
      <c r="JBF92" s="63" t="s">
        <v>934</v>
      </c>
      <c r="JBG92" s="60"/>
      <c r="JBV92" s="63" t="s">
        <v>934</v>
      </c>
      <c r="JBW92" s="60"/>
      <c r="JCL92" s="63" t="s">
        <v>934</v>
      </c>
      <c r="JCM92" s="60"/>
      <c r="JDB92" s="63" t="s">
        <v>934</v>
      </c>
      <c r="JDC92" s="60"/>
      <c r="JDR92" s="63" t="s">
        <v>934</v>
      </c>
      <c r="JDS92" s="60"/>
      <c r="JEH92" s="63" t="s">
        <v>934</v>
      </c>
      <c r="JEI92" s="60"/>
      <c r="JEX92" s="63" t="s">
        <v>934</v>
      </c>
      <c r="JEY92" s="60"/>
      <c r="JFN92" s="63" t="s">
        <v>934</v>
      </c>
      <c r="JFO92" s="60"/>
      <c r="JGD92" s="63" t="s">
        <v>934</v>
      </c>
      <c r="JGE92" s="60"/>
      <c r="JGT92" s="63" t="s">
        <v>934</v>
      </c>
      <c r="JGU92" s="60"/>
      <c r="JHJ92" s="63" t="s">
        <v>934</v>
      </c>
      <c r="JHK92" s="60"/>
      <c r="JHZ92" s="63" t="s">
        <v>934</v>
      </c>
      <c r="JIA92" s="60"/>
      <c r="JIP92" s="63" t="s">
        <v>934</v>
      </c>
      <c r="JIQ92" s="60"/>
      <c r="JJF92" s="63" t="s">
        <v>934</v>
      </c>
      <c r="JJG92" s="60"/>
      <c r="JJV92" s="63" t="s">
        <v>934</v>
      </c>
      <c r="JJW92" s="60"/>
      <c r="JKL92" s="63" t="s">
        <v>934</v>
      </c>
      <c r="JKM92" s="60"/>
      <c r="JLB92" s="63" t="s">
        <v>934</v>
      </c>
      <c r="JLC92" s="60"/>
      <c r="JLR92" s="63" t="s">
        <v>934</v>
      </c>
      <c r="JLS92" s="60"/>
      <c r="JMH92" s="63" t="s">
        <v>934</v>
      </c>
      <c r="JMI92" s="60"/>
      <c r="JMX92" s="63" t="s">
        <v>934</v>
      </c>
      <c r="JMY92" s="60"/>
      <c r="JNN92" s="63" t="s">
        <v>934</v>
      </c>
      <c r="JNO92" s="60"/>
      <c r="JOD92" s="63" t="s">
        <v>934</v>
      </c>
      <c r="JOE92" s="60"/>
      <c r="JOT92" s="63" t="s">
        <v>934</v>
      </c>
      <c r="JOU92" s="60"/>
      <c r="JPJ92" s="63" t="s">
        <v>934</v>
      </c>
      <c r="JPK92" s="60"/>
      <c r="JPZ92" s="63" t="s">
        <v>934</v>
      </c>
      <c r="JQA92" s="60"/>
      <c r="JQP92" s="63" t="s">
        <v>934</v>
      </c>
      <c r="JQQ92" s="60"/>
      <c r="JRF92" s="63" t="s">
        <v>934</v>
      </c>
      <c r="JRG92" s="60"/>
      <c r="JRV92" s="63" t="s">
        <v>934</v>
      </c>
      <c r="JRW92" s="60"/>
      <c r="JSL92" s="63" t="s">
        <v>934</v>
      </c>
      <c r="JSM92" s="60"/>
      <c r="JTB92" s="63" t="s">
        <v>934</v>
      </c>
      <c r="JTC92" s="60"/>
      <c r="JTR92" s="63" t="s">
        <v>934</v>
      </c>
      <c r="JTS92" s="60"/>
      <c r="JUH92" s="63" t="s">
        <v>934</v>
      </c>
      <c r="JUI92" s="60"/>
      <c r="JUX92" s="63" t="s">
        <v>934</v>
      </c>
      <c r="JUY92" s="60"/>
      <c r="JVN92" s="63" t="s">
        <v>934</v>
      </c>
      <c r="JVO92" s="60"/>
      <c r="JWD92" s="63" t="s">
        <v>934</v>
      </c>
      <c r="JWE92" s="60"/>
      <c r="JWT92" s="63" t="s">
        <v>934</v>
      </c>
      <c r="JWU92" s="60"/>
      <c r="JXJ92" s="63" t="s">
        <v>934</v>
      </c>
      <c r="JXK92" s="60"/>
      <c r="JXZ92" s="63" t="s">
        <v>934</v>
      </c>
      <c r="JYA92" s="60"/>
      <c r="JYP92" s="63" t="s">
        <v>934</v>
      </c>
      <c r="JYQ92" s="60"/>
      <c r="JZF92" s="63" t="s">
        <v>934</v>
      </c>
      <c r="JZG92" s="60"/>
      <c r="JZV92" s="63" t="s">
        <v>934</v>
      </c>
      <c r="JZW92" s="60"/>
      <c r="KAL92" s="63" t="s">
        <v>934</v>
      </c>
      <c r="KAM92" s="60"/>
      <c r="KBB92" s="63" t="s">
        <v>934</v>
      </c>
      <c r="KBC92" s="60"/>
      <c r="KBR92" s="63" t="s">
        <v>934</v>
      </c>
      <c r="KBS92" s="60"/>
      <c r="KCH92" s="63" t="s">
        <v>934</v>
      </c>
      <c r="KCI92" s="60"/>
      <c r="KCX92" s="63" t="s">
        <v>934</v>
      </c>
      <c r="KCY92" s="60"/>
      <c r="KDN92" s="63" t="s">
        <v>934</v>
      </c>
      <c r="KDO92" s="60"/>
      <c r="KED92" s="63" t="s">
        <v>934</v>
      </c>
      <c r="KEE92" s="60"/>
      <c r="KET92" s="63" t="s">
        <v>934</v>
      </c>
      <c r="KEU92" s="60"/>
      <c r="KFJ92" s="63" t="s">
        <v>934</v>
      </c>
      <c r="KFK92" s="60"/>
      <c r="KFZ92" s="63" t="s">
        <v>934</v>
      </c>
      <c r="KGA92" s="60"/>
      <c r="KGP92" s="63" t="s">
        <v>934</v>
      </c>
      <c r="KGQ92" s="60"/>
      <c r="KHF92" s="63" t="s">
        <v>934</v>
      </c>
      <c r="KHG92" s="60"/>
      <c r="KHV92" s="63" t="s">
        <v>934</v>
      </c>
      <c r="KHW92" s="60"/>
      <c r="KIL92" s="63" t="s">
        <v>934</v>
      </c>
      <c r="KIM92" s="60"/>
      <c r="KJB92" s="63" t="s">
        <v>934</v>
      </c>
      <c r="KJC92" s="60"/>
      <c r="KJR92" s="63" t="s">
        <v>934</v>
      </c>
      <c r="KJS92" s="60"/>
      <c r="KKH92" s="63" t="s">
        <v>934</v>
      </c>
      <c r="KKI92" s="60"/>
      <c r="KKX92" s="63" t="s">
        <v>934</v>
      </c>
      <c r="KKY92" s="60"/>
      <c r="KLN92" s="63" t="s">
        <v>934</v>
      </c>
      <c r="KLO92" s="60"/>
      <c r="KMD92" s="63" t="s">
        <v>934</v>
      </c>
      <c r="KME92" s="60"/>
      <c r="KMT92" s="63" t="s">
        <v>934</v>
      </c>
      <c r="KMU92" s="60"/>
      <c r="KNJ92" s="63" t="s">
        <v>934</v>
      </c>
      <c r="KNK92" s="60"/>
      <c r="KNZ92" s="63" t="s">
        <v>934</v>
      </c>
      <c r="KOA92" s="60"/>
      <c r="KOP92" s="63" t="s">
        <v>934</v>
      </c>
      <c r="KOQ92" s="60"/>
      <c r="KPF92" s="63" t="s">
        <v>934</v>
      </c>
      <c r="KPG92" s="60"/>
      <c r="KPV92" s="63" t="s">
        <v>934</v>
      </c>
      <c r="KPW92" s="60"/>
      <c r="KQL92" s="63" t="s">
        <v>934</v>
      </c>
      <c r="KQM92" s="60"/>
      <c r="KRB92" s="63" t="s">
        <v>934</v>
      </c>
      <c r="KRC92" s="60"/>
      <c r="KRR92" s="63" t="s">
        <v>934</v>
      </c>
      <c r="KRS92" s="60"/>
      <c r="KSH92" s="63" t="s">
        <v>934</v>
      </c>
      <c r="KSI92" s="60"/>
      <c r="KSX92" s="63" t="s">
        <v>934</v>
      </c>
      <c r="KSY92" s="60"/>
      <c r="KTN92" s="63" t="s">
        <v>934</v>
      </c>
      <c r="KTO92" s="60"/>
      <c r="KUD92" s="63" t="s">
        <v>934</v>
      </c>
      <c r="KUE92" s="60"/>
      <c r="KUT92" s="63" t="s">
        <v>934</v>
      </c>
      <c r="KUU92" s="60"/>
      <c r="KVJ92" s="63" t="s">
        <v>934</v>
      </c>
      <c r="KVK92" s="60"/>
      <c r="KVZ92" s="63" t="s">
        <v>934</v>
      </c>
      <c r="KWA92" s="60"/>
      <c r="KWP92" s="63" t="s">
        <v>934</v>
      </c>
      <c r="KWQ92" s="60"/>
      <c r="KXF92" s="63" t="s">
        <v>934</v>
      </c>
      <c r="KXG92" s="60"/>
      <c r="KXV92" s="63" t="s">
        <v>934</v>
      </c>
      <c r="KXW92" s="60"/>
      <c r="KYL92" s="63" t="s">
        <v>934</v>
      </c>
      <c r="KYM92" s="60"/>
      <c r="KZB92" s="63" t="s">
        <v>934</v>
      </c>
      <c r="KZC92" s="60"/>
      <c r="KZR92" s="63" t="s">
        <v>934</v>
      </c>
      <c r="KZS92" s="60"/>
      <c r="LAH92" s="63" t="s">
        <v>934</v>
      </c>
      <c r="LAI92" s="60"/>
      <c r="LAX92" s="63" t="s">
        <v>934</v>
      </c>
      <c r="LAY92" s="60"/>
      <c r="LBN92" s="63" t="s">
        <v>934</v>
      </c>
      <c r="LBO92" s="60"/>
      <c r="LCD92" s="63" t="s">
        <v>934</v>
      </c>
      <c r="LCE92" s="60"/>
      <c r="LCT92" s="63" t="s">
        <v>934</v>
      </c>
      <c r="LCU92" s="60"/>
      <c r="LDJ92" s="63" t="s">
        <v>934</v>
      </c>
      <c r="LDK92" s="60"/>
      <c r="LDZ92" s="63" t="s">
        <v>934</v>
      </c>
      <c r="LEA92" s="60"/>
      <c r="LEP92" s="63" t="s">
        <v>934</v>
      </c>
      <c r="LEQ92" s="60"/>
      <c r="LFF92" s="63" t="s">
        <v>934</v>
      </c>
      <c r="LFG92" s="60"/>
      <c r="LFV92" s="63" t="s">
        <v>934</v>
      </c>
      <c r="LFW92" s="60"/>
      <c r="LGL92" s="63" t="s">
        <v>934</v>
      </c>
      <c r="LGM92" s="60"/>
      <c r="LHB92" s="63" t="s">
        <v>934</v>
      </c>
      <c r="LHC92" s="60"/>
      <c r="LHR92" s="63" t="s">
        <v>934</v>
      </c>
      <c r="LHS92" s="60"/>
      <c r="LIH92" s="63" t="s">
        <v>934</v>
      </c>
      <c r="LII92" s="60"/>
      <c r="LIX92" s="63" t="s">
        <v>934</v>
      </c>
      <c r="LIY92" s="60"/>
      <c r="LJN92" s="63" t="s">
        <v>934</v>
      </c>
      <c r="LJO92" s="60"/>
      <c r="LKD92" s="63" t="s">
        <v>934</v>
      </c>
      <c r="LKE92" s="60"/>
      <c r="LKT92" s="63" t="s">
        <v>934</v>
      </c>
      <c r="LKU92" s="60"/>
      <c r="LLJ92" s="63" t="s">
        <v>934</v>
      </c>
      <c r="LLK92" s="60"/>
      <c r="LLZ92" s="63" t="s">
        <v>934</v>
      </c>
      <c r="LMA92" s="60"/>
      <c r="LMP92" s="63" t="s">
        <v>934</v>
      </c>
      <c r="LMQ92" s="60"/>
      <c r="LNF92" s="63" t="s">
        <v>934</v>
      </c>
      <c r="LNG92" s="60"/>
      <c r="LNV92" s="63" t="s">
        <v>934</v>
      </c>
      <c r="LNW92" s="60"/>
      <c r="LOL92" s="63" t="s">
        <v>934</v>
      </c>
      <c r="LOM92" s="60"/>
      <c r="LPB92" s="63" t="s">
        <v>934</v>
      </c>
      <c r="LPC92" s="60"/>
      <c r="LPR92" s="63" t="s">
        <v>934</v>
      </c>
      <c r="LPS92" s="60"/>
      <c r="LQH92" s="63" t="s">
        <v>934</v>
      </c>
      <c r="LQI92" s="60"/>
      <c r="LQX92" s="63" t="s">
        <v>934</v>
      </c>
      <c r="LQY92" s="60"/>
      <c r="LRN92" s="63" t="s">
        <v>934</v>
      </c>
      <c r="LRO92" s="60"/>
      <c r="LSD92" s="63" t="s">
        <v>934</v>
      </c>
      <c r="LSE92" s="60"/>
      <c r="LST92" s="63" t="s">
        <v>934</v>
      </c>
      <c r="LSU92" s="60"/>
      <c r="LTJ92" s="63" t="s">
        <v>934</v>
      </c>
      <c r="LTK92" s="60"/>
      <c r="LTZ92" s="63" t="s">
        <v>934</v>
      </c>
      <c r="LUA92" s="60"/>
      <c r="LUP92" s="63" t="s">
        <v>934</v>
      </c>
      <c r="LUQ92" s="60"/>
      <c r="LVF92" s="63" t="s">
        <v>934</v>
      </c>
      <c r="LVG92" s="60"/>
      <c r="LVV92" s="63" t="s">
        <v>934</v>
      </c>
      <c r="LVW92" s="60"/>
      <c r="LWL92" s="63" t="s">
        <v>934</v>
      </c>
      <c r="LWM92" s="60"/>
      <c r="LXB92" s="63" t="s">
        <v>934</v>
      </c>
      <c r="LXC92" s="60"/>
      <c r="LXR92" s="63" t="s">
        <v>934</v>
      </c>
      <c r="LXS92" s="60"/>
      <c r="LYH92" s="63" t="s">
        <v>934</v>
      </c>
      <c r="LYI92" s="60"/>
      <c r="LYX92" s="63" t="s">
        <v>934</v>
      </c>
      <c r="LYY92" s="60"/>
      <c r="LZN92" s="63" t="s">
        <v>934</v>
      </c>
      <c r="LZO92" s="60"/>
      <c r="MAD92" s="63" t="s">
        <v>934</v>
      </c>
      <c r="MAE92" s="60"/>
      <c r="MAT92" s="63" t="s">
        <v>934</v>
      </c>
      <c r="MAU92" s="60"/>
      <c r="MBJ92" s="63" t="s">
        <v>934</v>
      </c>
      <c r="MBK92" s="60"/>
      <c r="MBZ92" s="63" t="s">
        <v>934</v>
      </c>
      <c r="MCA92" s="60"/>
      <c r="MCP92" s="63" t="s">
        <v>934</v>
      </c>
      <c r="MCQ92" s="60"/>
      <c r="MDF92" s="63" t="s">
        <v>934</v>
      </c>
      <c r="MDG92" s="60"/>
      <c r="MDV92" s="63" t="s">
        <v>934</v>
      </c>
      <c r="MDW92" s="60"/>
      <c r="MEL92" s="63" t="s">
        <v>934</v>
      </c>
      <c r="MEM92" s="60"/>
      <c r="MFB92" s="63" t="s">
        <v>934</v>
      </c>
      <c r="MFC92" s="60"/>
      <c r="MFR92" s="63" t="s">
        <v>934</v>
      </c>
      <c r="MFS92" s="60"/>
      <c r="MGH92" s="63" t="s">
        <v>934</v>
      </c>
      <c r="MGI92" s="60"/>
      <c r="MGX92" s="63" t="s">
        <v>934</v>
      </c>
      <c r="MGY92" s="60"/>
      <c r="MHN92" s="63" t="s">
        <v>934</v>
      </c>
      <c r="MHO92" s="60"/>
      <c r="MID92" s="63" t="s">
        <v>934</v>
      </c>
      <c r="MIE92" s="60"/>
      <c r="MIT92" s="63" t="s">
        <v>934</v>
      </c>
      <c r="MIU92" s="60"/>
      <c r="MJJ92" s="63" t="s">
        <v>934</v>
      </c>
      <c r="MJK92" s="60"/>
      <c r="MJZ92" s="63" t="s">
        <v>934</v>
      </c>
      <c r="MKA92" s="60"/>
      <c r="MKP92" s="63" t="s">
        <v>934</v>
      </c>
      <c r="MKQ92" s="60"/>
      <c r="MLF92" s="63" t="s">
        <v>934</v>
      </c>
      <c r="MLG92" s="60"/>
      <c r="MLV92" s="63" t="s">
        <v>934</v>
      </c>
      <c r="MLW92" s="60"/>
      <c r="MML92" s="63" t="s">
        <v>934</v>
      </c>
      <c r="MMM92" s="60"/>
      <c r="MNB92" s="63" t="s">
        <v>934</v>
      </c>
      <c r="MNC92" s="60"/>
      <c r="MNR92" s="63" t="s">
        <v>934</v>
      </c>
      <c r="MNS92" s="60"/>
      <c r="MOH92" s="63" t="s">
        <v>934</v>
      </c>
      <c r="MOI92" s="60"/>
      <c r="MOX92" s="63" t="s">
        <v>934</v>
      </c>
      <c r="MOY92" s="60"/>
      <c r="MPN92" s="63" t="s">
        <v>934</v>
      </c>
      <c r="MPO92" s="60"/>
      <c r="MQD92" s="63" t="s">
        <v>934</v>
      </c>
      <c r="MQE92" s="60"/>
      <c r="MQT92" s="63" t="s">
        <v>934</v>
      </c>
      <c r="MQU92" s="60"/>
      <c r="MRJ92" s="63" t="s">
        <v>934</v>
      </c>
      <c r="MRK92" s="60"/>
      <c r="MRZ92" s="63" t="s">
        <v>934</v>
      </c>
      <c r="MSA92" s="60"/>
      <c r="MSP92" s="63" t="s">
        <v>934</v>
      </c>
      <c r="MSQ92" s="60"/>
      <c r="MTF92" s="63" t="s">
        <v>934</v>
      </c>
      <c r="MTG92" s="60"/>
      <c r="MTV92" s="63" t="s">
        <v>934</v>
      </c>
      <c r="MTW92" s="60"/>
      <c r="MUL92" s="63" t="s">
        <v>934</v>
      </c>
      <c r="MUM92" s="60"/>
      <c r="MVB92" s="63" t="s">
        <v>934</v>
      </c>
      <c r="MVC92" s="60"/>
      <c r="MVR92" s="63" t="s">
        <v>934</v>
      </c>
      <c r="MVS92" s="60"/>
      <c r="MWH92" s="63" t="s">
        <v>934</v>
      </c>
      <c r="MWI92" s="60"/>
      <c r="MWX92" s="63" t="s">
        <v>934</v>
      </c>
      <c r="MWY92" s="60"/>
      <c r="MXN92" s="63" t="s">
        <v>934</v>
      </c>
      <c r="MXO92" s="60"/>
      <c r="MYD92" s="63" t="s">
        <v>934</v>
      </c>
      <c r="MYE92" s="60"/>
      <c r="MYT92" s="63" t="s">
        <v>934</v>
      </c>
      <c r="MYU92" s="60"/>
      <c r="MZJ92" s="63" t="s">
        <v>934</v>
      </c>
      <c r="MZK92" s="60"/>
      <c r="MZZ92" s="63" t="s">
        <v>934</v>
      </c>
      <c r="NAA92" s="60"/>
      <c r="NAP92" s="63" t="s">
        <v>934</v>
      </c>
      <c r="NAQ92" s="60"/>
      <c r="NBF92" s="63" t="s">
        <v>934</v>
      </c>
      <c r="NBG92" s="60"/>
      <c r="NBV92" s="63" t="s">
        <v>934</v>
      </c>
      <c r="NBW92" s="60"/>
      <c r="NCL92" s="63" t="s">
        <v>934</v>
      </c>
      <c r="NCM92" s="60"/>
      <c r="NDB92" s="63" t="s">
        <v>934</v>
      </c>
      <c r="NDC92" s="60"/>
      <c r="NDR92" s="63" t="s">
        <v>934</v>
      </c>
      <c r="NDS92" s="60"/>
      <c r="NEH92" s="63" t="s">
        <v>934</v>
      </c>
      <c r="NEI92" s="60"/>
      <c r="NEX92" s="63" t="s">
        <v>934</v>
      </c>
      <c r="NEY92" s="60"/>
      <c r="NFN92" s="63" t="s">
        <v>934</v>
      </c>
      <c r="NFO92" s="60"/>
      <c r="NGD92" s="63" t="s">
        <v>934</v>
      </c>
      <c r="NGE92" s="60"/>
      <c r="NGT92" s="63" t="s">
        <v>934</v>
      </c>
      <c r="NGU92" s="60"/>
      <c r="NHJ92" s="63" t="s">
        <v>934</v>
      </c>
      <c r="NHK92" s="60"/>
      <c r="NHZ92" s="63" t="s">
        <v>934</v>
      </c>
      <c r="NIA92" s="60"/>
      <c r="NIP92" s="63" t="s">
        <v>934</v>
      </c>
      <c r="NIQ92" s="60"/>
      <c r="NJF92" s="63" t="s">
        <v>934</v>
      </c>
      <c r="NJG92" s="60"/>
      <c r="NJV92" s="63" t="s">
        <v>934</v>
      </c>
      <c r="NJW92" s="60"/>
      <c r="NKL92" s="63" t="s">
        <v>934</v>
      </c>
      <c r="NKM92" s="60"/>
      <c r="NLB92" s="63" t="s">
        <v>934</v>
      </c>
      <c r="NLC92" s="60"/>
      <c r="NLR92" s="63" t="s">
        <v>934</v>
      </c>
      <c r="NLS92" s="60"/>
      <c r="NMH92" s="63" t="s">
        <v>934</v>
      </c>
      <c r="NMI92" s="60"/>
      <c r="NMX92" s="63" t="s">
        <v>934</v>
      </c>
      <c r="NMY92" s="60"/>
      <c r="NNN92" s="63" t="s">
        <v>934</v>
      </c>
      <c r="NNO92" s="60"/>
      <c r="NOD92" s="63" t="s">
        <v>934</v>
      </c>
      <c r="NOE92" s="60"/>
      <c r="NOT92" s="63" t="s">
        <v>934</v>
      </c>
      <c r="NOU92" s="60"/>
      <c r="NPJ92" s="63" t="s">
        <v>934</v>
      </c>
      <c r="NPK92" s="60"/>
      <c r="NPZ92" s="63" t="s">
        <v>934</v>
      </c>
      <c r="NQA92" s="60"/>
      <c r="NQP92" s="63" t="s">
        <v>934</v>
      </c>
      <c r="NQQ92" s="60"/>
      <c r="NRF92" s="63" t="s">
        <v>934</v>
      </c>
      <c r="NRG92" s="60"/>
      <c r="NRV92" s="63" t="s">
        <v>934</v>
      </c>
      <c r="NRW92" s="60"/>
      <c r="NSL92" s="63" t="s">
        <v>934</v>
      </c>
      <c r="NSM92" s="60"/>
      <c r="NTB92" s="63" t="s">
        <v>934</v>
      </c>
      <c r="NTC92" s="60"/>
      <c r="NTR92" s="63" t="s">
        <v>934</v>
      </c>
      <c r="NTS92" s="60"/>
      <c r="NUH92" s="63" t="s">
        <v>934</v>
      </c>
      <c r="NUI92" s="60"/>
      <c r="NUX92" s="63" t="s">
        <v>934</v>
      </c>
      <c r="NUY92" s="60"/>
      <c r="NVN92" s="63" t="s">
        <v>934</v>
      </c>
      <c r="NVO92" s="60"/>
      <c r="NWD92" s="63" t="s">
        <v>934</v>
      </c>
      <c r="NWE92" s="60"/>
      <c r="NWT92" s="63" t="s">
        <v>934</v>
      </c>
      <c r="NWU92" s="60"/>
      <c r="NXJ92" s="63" t="s">
        <v>934</v>
      </c>
      <c r="NXK92" s="60"/>
      <c r="NXZ92" s="63" t="s">
        <v>934</v>
      </c>
      <c r="NYA92" s="60"/>
      <c r="NYP92" s="63" t="s">
        <v>934</v>
      </c>
      <c r="NYQ92" s="60"/>
      <c r="NZF92" s="63" t="s">
        <v>934</v>
      </c>
      <c r="NZG92" s="60"/>
      <c r="NZV92" s="63" t="s">
        <v>934</v>
      </c>
      <c r="NZW92" s="60"/>
      <c r="OAL92" s="63" t="s">
        <v>934</v>
      </c>
      <c r="OAM92" s="60"/>
      <c r="OBB92" s="63" t="s">
        <v>934</v>
      </c>
      <c r="OBC92" s="60"/>
      <c r="OBR92" s="63" t="s">
        <v>934</v>
      </c>
      <c r="OBS92" s="60"/>
      <c r="OCH92" s="63" t="s">
        <v>934</v>
      </c>
      <c r="OCI92" s="60"/>
      <c r="OCX92" s="63" t="s">
        <v>934</v>
      </c>
      <c r="OCY92" s="60"/>
      <c r="ODN92" s="63" t="s">
        <v>934</v>
      </c>
      <c r="ODO92" s="60"/>
      <c r="OED92" s="63" t="s">
        <v>934</v>
      </c>
      <c r="OEE92" s="60"/>
      <c r="OET92" s="63" t="s">
        <v>934</v>
      </c>
      <c r="OEU92" s="60"/>
      <c r="OFJ92" s="63" t="s">
        <v>934</v>
      </c>
      <c r="OFK92" s="60"/>
      <c r="OFZ92" s="63" t="s">
        <v>934</v>
      </c>
      <c r="OGA92" s="60"/>
      <c r="OGP92" s="63" t="s">
        <v>934</v>
      </c>
      <c r="OGQ92" s="60"/>
      <c r="OHF92" s="63" t="s">
        <v>934</v>
      </c>
      <c r="OHG92" s="60"/>
      <c r="OHV92" s="63" t="s">
        <v>934</v>
      </c>
      <c r="OHW92" s="60"/>
      <c r="OIL92" s="63" t="s">
        <v>934</v>
      </c>
      <c r="OIM92" s="60"/>
      <c r="OJB92" s="63" t="s">
        <v>934</v>
      </c>
      <c r="OJC92" s="60"/>
      <c r="OJR92" s="63" t="s">
        <v>934</v>
      </c>
      <c r="OJS92" s="60"/>
      <c r="OKH92" s="63" t="s">
        <v>934</v>
      </c>
      <c r="OKI92" s="60"/>
      <c r="OKX92" s="63" t="s">
        <v>934</v>
      </c>
      <c r="OKY92" s="60"/>
      <c r="OLN92" s="63" t="s">
        <v>934</v>
      </c>
      <c r="OLO92" s="60"/>
      <c r="OMD92" s="63" t="s">
        <v>934</v>
      </c>
      <c r="OME92" s="60"/>
      <c r="OMT92" s="63" t="s">
        <v>934</v>
      </c>
      <c r="OMU92" s="60"/>
      <c r="ONJ92" s="63" t="s">
        <v>934</v>
      </c>
      <c r="ONK92" s="60"/>
      <c r="ONZ92" s="63" t="s">
        <v>934</v>
      </c>
      <c r="OOA92" s="60"/>
      <c r="OOP92" s="63" t="s">
        <v>934</v>
      </c>
      <c r="OOQ92" s="60"/>
      <c r="OPF92" s="63" t="s">
        <v>934</v>
      </c>
      <c r="OPG92" s="60"/>
      <c r="OPV92" s="63" t="s">
        <v>934</v>
      </c>
      <c r="OPW92" s="60"/>
      <c r="OQL92" s="63" t="s">
        <v>934</v>
      </c>
      <c r="OQM92" s="60"/>
      <c r="ORB92" s="63" t="s">
        <v>934</v>
      </c>
      <c r="ORC92" s="60"/>
      <c r="ORR92" s="63" t="s">
        <v>934</v>
      </c>
      <c r="ORS92" s="60"/>
      <c r="OSH92" s="63" t="s">
        <v>934</v>
      </c>
      <c r="OSI92" s="60"/>
      <c r="OSX92" s="63" t="s">
        <v>934</v>
      </c>
      <c r="OSY92" s="60"/>
      <c r="OTN92" s="63" t="s">
        <v>934</v>
      </c>
      <c r="OTO92" s="60"/>
      <c r="OUD92" s="63" t="s">
        <v>934</v>
      </c>
      <c r="OUE92" s="60"/>
      <c r="OUT92" s="63" t="s">
        <v>934</v>
      </c>
      <c r="OUU92" s="60"/>
      <c r="OVJ92" s="63" t="s">
        <v>934</v>
      </c>
      <c r="OVK92" s="60"/>
      <c r="OVZ92" s="63" t="s">
        <v>934</v>
      </c>
      <c r="OWA92" s="60"/>
      <c r="OWP92" s="63" t="s">
        <v>934</v>
      </c>
      <c r="OWQ92" s="60"/>
      <c r="OXF92" s="63" t="s">
        <v>934</v>
      </c>
      <c r="OXG92" s="60"/>
      <c r="OXV92" s="63" t="s">
        <v>934</v>
      </c>
      <c r="OXW92" s="60"/>
      <c r="OYL92" s="63" t="s">
        <v>934</v>
      </c>
      <c r="OYM92" s="60"/>
      <c r="OZB92" s="63" t="s">
        <v>934</v>
      </c>
      <c r="OZC92" s="60"/>
      <c r="OZR92" s="63" t="s">
        <v>934</v>
      </c>
      <c r="OZS92" s="60"/>
      <c r="PAH92" s="63" t="s">
        <v>934</v>
      </c>
      <c r="PAI92" s="60"/>
      <c r="PAX92" s="63" t="s">
        <v>934</v>
      </c>
      <c r="PAY92" s="60"/>
      <c r="PBN92" s="63" t="s">
        <v>934</v>
      </c>
      <c r="PBO92" s="60"/>
      <c r="PCD92" s="63" t="s">
        <v>934</v>
      </c>
      <c r="PCE92" s="60"/>
      <c r="PCT92" s="63" t="s">
        <v>934</v>
      </c>
      <c r="PCU92" s="60"/>
      <c r="PDJ92" s="63" t="s">
        <v>934</v>
      </c>
      <c r="PDK92" s="60"/>
      <c r="PDZ92" s="63" t="s">
        <v>934</v>
      </c>
      <c r="PEA92" s="60"/>
      <c r="PEP92" s="63" t="s">
        <v>934</v>
      </c>
      <c r="PEQ92" s="60"/>
      <c r="PFF92" s="63" t="s">
        <v>934</v>
      </c>
      <c r="PFG92" s="60"/>
      <c r="PFV92" s="63" t="s">
        <v>934</v>
      </c>
      <c r="PFW92" s="60"/>
      <c r="PGL92" s="63" t="s">
        <v>934</v>
      </c>
      <c r="PGM92" s="60"/>
      <c r="PHB92" s="63" t="s">
        <v>934</v>
      </c>
      <c r="PHC92" s="60"/>
      <c r="PHR92" s="63" t="s">
        <v>934</v>
      </c>
      <c r="PHS92" s="60"/>
      <c r="PIH92" s="63" t="s">
        <v>934</v>
      </c>
      <c r="PII92" s="60"/>
      <c r="PIX92" s="63" t="s">
        <v>934</v>
      </c>
      <c r="PIY92" s="60"/>
      <c r="PJN92" s="63" t="s">
        <v>934</v>
      </c>
      <c r="PJO92" s="60"/>
      <c r="PKD92" s="63" t="s">
        <v>934</v>
      </c>
      <c r="PKE92" s="60"/>
      <c r="PKT92" s="63" t="s">
        <v>934</v>
      </c>
      <c r="PKU92" s="60"/>
      <c r="PLJ92" s="63" t="s">
        <v>934</v>
      </c>
      <c r="PLK92" s="60"/>
      <c r="PLZ92" s="63" t="s">
        <v>934</v>
      </c>
      <c r="PMA92" s="60"/>
      <c r="PMP92" s="63" t="s">
        <v>934</v>
      </c>
      <c r="PMQ92" s="60"/>
      <c r="PNF92" s="63" t="s">
        <v>934</v>
      </c>
      <c r="PNG92" s="60"/>
      <c r="PNV92" s="63" t="s">
        <v>934</v>
      </c>
      <c r="PNW92" s="60"/>
      <c r="POL92" s="63" t="s">
        <v>934</v>
      </c>
      <c r="POM92" s="60"/>
      <c r="PPB92" s="63" t="s">
        <v>934</v>
      </c>
      <c r="PPC92" s="60"/>
      <c r="PPR92" s="63" t="s">
        <v>934</v>
      </c>
      <c r="PPS92" s="60"/>
      <c r="PQH92" s="63" t="s">
        <v>934</v>
      </c>
      <c r="PQI92" s="60"/>
      <c r="PQX92" s="63" t="s">
        <v>934</v>
      </c>
      <c r="PQY92" s="60"/>
      <c r="PRN92" s="63" t="s">
        <v>934</v>
      </c>
      <c r="PRO92" s="60"/>
      <c r="PSD92" s="63" t="s">
        <v>934</v>
      </c>
      <c r="PSE92" s="60"/>
      <c r="PST92" s="63" t="s">
        <v>934</v>
      </c>
      <c r="PSU92" s="60"/>
      <c r="PTJ92" s="63" t="s">
        <v>934</v>
      </c>
      <c r="PTK92" s="60"/>
      <c r="PTZ92" s="63" t="s">
        <v>934</v>
      </c>
      <c r="PUA92" s="60"/>
      <c r="PUP92" s="63" t="s">
        <v>934</v>
      </c>
      <c r="PUQ92" s="60"/>
      <c r="PVF92" s="63" t="s">
        <v>934</v>
      </c>
      <c r="PVG92" s="60"/>
      <c r="PVV92" s="63" t="s">
        <v>934</v>
      </c>
      <c r="PVW92" s="60"/>
      <c r="PWL92" s="63" t="s">
        <v>934</v>
      </c>
      <c r="PWM92" s="60"/>
      <c r="PXB92" s="63" t="s">
        <v>934</v>
      </c>
      <c r="PXC92" s="60"/>
      <c r="PXR92" s="63" t="s">
        <v>934</v>
      </c>
      <c r="PXS92" s="60"/>
      <c r="PYH92" s="63" t="s">
        <v>934</v>
      </c>
      <c r="PYI92" s="60"/>
      <c r="PYX92" s="63" t="s">
        <v>934</v>
      </c>
      <c r="PYY92" s="60"/>
      <c r="PZN92" s="63" t="s">
        <v>934</v>
      </c>
      <c r="PZO92" s="60"/>
      <c r="QAD92" s="63" t="s">
        <v>934</v>
      </c>
      <c r="QAE92" s="60"/>
      <c r="QAT92" s="63" t="s">
        <v>934</v>
      </c>
      <c r="QAU92" s="60"/>
      <c r="QBJ92" s="63" t="s">
        <v>934</v>
      </c>
      <c r="QBK92" s="60"/>
      <c r="QBZ92" s="63" t="s">
        <v>934</v>
      </c>
      <c r="QCA92" s="60"/>
      <c r="QCP92" s="63" t="s">
        <v>934</v>
      </c>
      <c r="QCQ92" s="60"/>
      <c r="QDF92" s="63" t="s">
        <v>934</v>
      </c>
      <c r="QDG92" s="60"/>
      <c r="QDV92" s="63" t="s">
        <v>934</v>
      </c>
      <c r="QDW92" s="60"/>
      <c r="QEL92" s="63" t="s">
        <v>934</v>
      </c>
      <c r="QEM92" s="60"/>
      <c r="QFB92" s="63" t="s">
        <v>934</v>
      </c>
      <c r="QFC92" s="60"/>
      <c r="QFR92" s="63" t="s">
        <v>934</v>
      </c>
      <c r="QFS92" s="60"/>
      <c r="QGH92" s="63" t="s">
        <v>934</v>
      </c>
      <c r="QGI92" s="60"/>
      <c r="QGX92" s="63" t="s">
        <v>934</v>
      </c>
      <c r="QGY92" s="60"/>
      <c r="QHN92" s="63" t="s">
        <v>934</v>
      </c>
      <c r="QHO92" s="60"/>
      <c r="QID92" s="63" t="s">
        <v>934</v>
      </c>
      <c r="QIE92" s="60"/>
      <c r="QIT92" s="63" t="s">
        <v>934</v>
      </c>
      <c r="QIU92" s="60"/>
      <c r="QJJ92" s="63" t="s">
        <v>934</v>
      </c>
      <c r="QJK92" s="60"/>
      <c r="QJZ92" s="63" t="s">
        <v>934</v>
      </c>
      <c r="QKA92" s="60"/>
      <c r="QKP92" s="63" t="s">
        <v>934</v>
      </c>
      <c r="QKQ92" s="60"/>
      <c r="QLF92" s="63" t="s">
        <v>934</v>
      </c>
      <c r="QLG92" s="60"/>
      <c r="QLV92" s="63" t="s">
        <v>934</v>
      </c>
      <c r="QLW92" s="60"/>
      <c r="QML92" s="63" t="s">
        <v>934</v>
      </c>
      <c r="QMM92" s="60"/>
      <c r="QNB92" s="63" t="s">
        <v>934</v>
      </c>
      <c r="QNC92" s="60"/>
      <c r="QNR92" s="63" t="s">
        <v>934</v>
      </c>
      <c r="QNS92" s="60"/>
      <c r="QOH92" s="63" t="s">
        <v>934</v>
      </c>
      <c r="QOI92" s="60"/>
      <c r="QOX92" s="63" t="s">
        <v>934</v>
      </c>
      <c r="QOY92" s="60"/>
      <c r="QPN92" s="63" t="s">
        <v>934</v>
      </c>
      <c r="QPO92" s="60"/>
      <c r="QQD92" s="63" t="s">
        <v>934</v>
      </c>
      <c r="QQE92" s="60"/>
      <c r="QQT92" s="63" t="s">
        <v>934</v>
      </c>
      <c r="QQU92" s="60"/>
      <c r="QRJ92" s="63" t="s">
        <v>934</v>
      </c>
      <c r="QRK92" s="60"/>
      <c r="QRZ92" s="63" t="s">
        <v>934</v>
      </c>
      <c r="QSA92" s="60"/>
      <c r="QSP92" s="63" t="s">
        <v>934</v>
      </c>
      <c r="QSQ92" s="60"/>
      <c r="QTF92" s="63" t="s">
        <v>934</v>
      </c>
      <c r="QTG92" s="60"/>
      <c r="QTV92" s="63" t="s">
        <v>934</v>
      </c>
      <c r="QTW92" s="60"/>
      <c r="QUL92" s="63" t="s">
        <v>934</v>
      </c>
      <c r="QUM92" s="60"/>
      <c r="QVB92" s="63" t="s">
        <v>934</v>
      </c>
      <c r="QVC92" s="60"/>
      <c r="QVR92" s="63" t="s">
        <v>934</v>
      </c>
      <c r="QVS92" s="60"/>
      <c r="QWH92" s="63" t="s">
        <v>934</v>
      </c>
      <c r="QWI92" s="60"/>
      <c r="QWX92" s="63" t="s">
        <v>934</v>
      </c>
      <c r="QWY92" s="60"/>
      <c r="QXN92" s="63" t="s">
        <v>934</v>
      </c>
      <c r="QXO92" s="60"/>
      <c r="QYD92" s="63" t="s">
        <v>934</v>
      </c>
      <c r="QYE92" s="60"/>
      <c r="QYT92" s="63" t="s">
        <v>934</v>
      </c>
      <c r="QYU92" s="60"/>
      <c r="QZJ92" s="63" t="s">
        <v>934</v>
      </c>
      <c r="QZK92" s="60"/>
      <c r="QZZ92" s="63" t="s">
        <v>934</v>
      </c>
      <c r="RAA92" s="60"/>
      <c r="RAP92" s="63" t="s">
        <v>934</v>
      </c>
      <c r="RAQ92" s="60"/>
      <c r="RBF92" s="63" t="s">
        <v>934</v>
      </c>
      <c r="RBG92" s="60"/>
      <c r="RBV92" s="63" t="s">
        <v>934</v>
      </c>
      <c r="RBW92" s="60"/>
      <c r="RCL92" s="63" t="s">
        <v>934</v>
      </c>
      <c r="RCM92" s="60"/>
      <c r="RDB92" s="63" t="s">
        <v>934</v>
      </c>
      <c r="RDC92" s="60"/>
      <c r="RDR92" s="63" t="s">
        <v>934</v>
      </c>
      <c r="RDS92" s="60"/>
      <c r="REH92" s="63" t="s">
        <v>934</v>
      </c>
      <c r="REI92" s="60"/>
      <c r="REX92" s="63" t="s">
        <v>934</v>
      </c>
      <c r="REY92" s="60"/>
      <c r="RFN92" s="63" t="s">
        <v>934</v>
      </c>
      <c r="RFO92" s="60"/>
      <c r="RGD92" s="63" t="s">
        <v>934</v>
      </c>
      <c r="RGE92" s="60"/>
      <c r="RGT92" s="63" t="s">
        <v>934</v>
      </c>
      <c r="RGU92" s="60"/>
      <c r="RHJ92" s="63" t="s">
        <v>934</v>
      </c>
      <c r="RHK92" s="60"/>
      <c r="RHZ92" s="63" t="s">
        <v>934</v>
      </c>
      <c r="RIA92" s="60"/>
      <c r="RIP92" s="63" t="s">
        <v>934</v>
      </c>
      <c r="RIQ92" s="60"/>
      <c r="RJF92" s="63" t="s">
        <v>934</v>
      </c>
      <c r="RJG92" s="60"/>
      <c r="RJV92" s="63" t="s">
        <v>934</v>
      </c>
      <c r="RJW92" s="60"/>
      <c r="RKL92" s="63" t="s">
        <v>934</v>
      </c>
      <c r="RKM92" s="60"/>
      <c r="RLB92" s="63" t="s">
        <v>934</v>
      </c>
      <c r="RLC92" s="60"/>
      <c r="RLR92" s="63" t="s">
        <v>934</v>
      </c>
      <c r="RLS92" s="60"/>
      <c r="RMH92" s="63" t="s">
        <v>934</v>
      </c>
      <c r="RMI92" s="60"/>
      <c r="RMX92" s="63" t="s">
        <v>934</v>
      </c>
      <c r="RMY92" s="60"/>
      <c r="RNN92" s="63" t="s">
        <v>934</v>
      </c>
      <c r="RNO92" s="60"/>
      <c r="ROD92" s="63" t="s">
        <v>934</v>
      </c>
      <c r="ROE92" s="60"/>
      <c r="ROT92" s="63" t="s">
        <v>934</v>
      </c>
      <c r="ROU92" s="60"/>
      <c r="RPJ92" s="63" t="s">
        <v>934</v>
      </c>
      <c r="RPK92" s="60"/>
      <c r="RPZ92" s="63" t="s">
        <v>934</v>
      </c>
      <c r="RQA92" s="60"/>
      <c r="RQP92" s="63" t="s">
        <v>934</v>
      </c>
      <c r="RQQ92" s="60"/>
      <c r="RRF92" s="63" t="s">
        <v>934</v>
      </c>
      <c r="RRG92" s="60"/>
      <c r="RRV92" s="63" t="s">
        <v>934</v>
      </c>
      <c r="RRW92" s="60"/>
      <c r="RSL92" s="63" t="s">
        <v>934</v>
      </c>
      <c r="RSM92" s="60"/>
      <c r="RTB92" s="63" t="s">
        <v>934</v>
      </c>
      <c r="RTC92" s="60"/>
      <c r="RTR92" s="63" t="s">
        <v>934</v>
      </c>
      <c r="RTS92" s="60"/>
      <c r="RUH92" s="63" t="s">
        <v>934</v>
      </c>
      <c r="RUI92" s="60"/>
      <c r="RUX92" s="63" t="s">
        <v>934</v>
      </c>
      <c r="RUY92" s="60"/>
      <c r="RVN92" s="63" t="s">
        <v>934</v>
      </c>
      <c r="RVO92" s="60"/>
      <c r="RWD92" s="63" t="s">
        <v>934</v>
      </c>
      <c r="RWE92" s="60"/>
      <c r="RWT92" s="63" t="s">
        <v>934</v>
      </c>
      <c r="RWU92" s="60"/>
      <c r="RXJ92" s="63" t="s">
        <v>934</v>
      </c>
      <c r="RXK92" s="60"/>
      <c r="RXZ92" s="63" t="s">
        <v>934</v>
      </c>
      <c r="RYA92" s="60"/>
      <c r="RYP92" s="63" t="s">
        <v>934</v>
      </c>
      <c r="RYQ92" s="60"/>
      <c r="RZF92" s="63" t="s">
        <v>934</v>
      </c>
      <c r="RZG92" s="60"/>
      <c r="RZV92" s="63" t="s">
        <v>934</v>
      </c>
      <c r="RZW92" s="60"/>
      <c r="SAL92" s="63" t="s">
        <v>934</v>
      </c>
      <c r="SAM92" s="60"/>
      <c r="SBB92" s="63" t="s">
        <v>934</v>
      </c>
      <c r="SBC92" s="60"/>
      <c r="SBR92" s="63" t="s">
        <v>934</v>
      </c>
      <c r="SBS92" s="60"/>
      <c r="SCH92" s="63" t="s">
        <v>934</v>
      </c>
      <c r="SCI92" s="60"/>
      <c r="SCX92" s="63" t="s">
        <v>934</v>
      </c>
      <c r="SCY92" s="60"/>
      <c r="SDN92" s="63" t="s">
        <v>934</v>
      </c>
      <c r="SDO92" s="60"/>
      <c r="SED92" s="63" t="s">
        <v>934</v>
      </c>
      <c r="SEE92" s="60"/>
      <c r="SET92" s="63" t="s">
        <v>934</v>
      </c>
      <c r="SEU92" s="60"/>
      <c r="SFJ92" s="63" t="s">
        <v>934</v>
      </c>
      <c r="SFK92" s="60"/>
      <c r="SFZ92" s="63" t="s">
        <v>934</v>
      </c>
      <c r="SGA92" s="60"/>
      <c r="SGP92" s="63" t="s">
        <v>934</v>
      </c>
      <c r="SGQ92" s="60"/>
      <c r="SHF92" s="63" t="s">
        <v>934</v>
      </c>
      <c r="SHG92" s="60"/>
      <c r="SHV92" s="63" t="s">
        <v>934</v>
      </c>
      <c r="SHW92" s="60"/>
      <c r="SIL92" s="63" t="s">
        <v>934</v>
      </c>
      <c r="SIM92" s="60"/>
      <c r="SJB92" s="63" t="s">
        <v>934</v>
      </c>
      <c r="SJC92" s="60"/>
      <c r="SJR92" s="63" t="s">
        <v>934</v>
      </c>
      <c r="SJS92" s="60"/>
      <c r="SKH92" s="63" t="s">
        <v>934</v>
      </c>
      <c r="SKI92" s="60"/>
      <c r="SKX92" s="63" t="s">
        <v>934</v>
      </c>
      <c r="SKY92" s="60"/>
      <c r="SLN92" s="63" t="s">
        <v>934</v>
      </c>
      <c r="SLO92" s="60"/>
      <c r="SMD92" s="63" t="s">
        <v>934</v>
      </c>
      <c r="SME92" s="60"/>
      <c r="SMT92" s="63" t="s">
        <v>934</v>
      </c>
      <c r="SMU92" s="60"/>
      <c r="SNJ92" s="63" t="s">
        <v>934</v>
      </c>
      <c r="SNK92" s="60"/>
      <c r="SNZ92" s="63" t="s">
        <v>934</v>
      </c>
      <c r="SOA92" s="60"/>
      <c r="SOP92" s="63" t="s">
        <v>934</v>
      </c>
      <c r="SOQ92" s="60"/>
      <c r="SPF92" s="63" t="s">
        <v>934</v>
      </c>
      <c r="SPG92" s="60"/>
      <c r="SPV92" s="63" t="s">
        <v>934</v>
      </c>
      <c r="SPW92" s="60"/>
      <c r="SQL92" s="63" t="s">
        <v>934</v>
      </c>
      <c r="SQM92" s="60"/>
      <c r="SRB92" s="63" t="s">
        <v>934</v>
      </c>
      <c r="SRC92" s="60"/>
      <c r="SRR92" s="63" t="s">
        <v>934</v>
      </c>
      <c r="SRS92" s="60"/>
      <c r="SSH92" s="63" t="s">
        <v>934</v>
      </c>
      <c r="SSI92" s="60"/>
      <c r="SSX92" s="63" t="s">
        <v>934</v>
      </c>
      <c r="SSY92" s="60"/>
      <c r="STN92" s="63" t="s">
        <v>934</v>
      </c>
      <c r="STO92" s="60"/>
      <c r="SUD92" s="63" t="s">
        <v>934</v>
      </c>
      <c r="SUE92" s="60"/>
      <c r="SUT92" s="63" t="s">
        <v>934</v>
      </c>
      <c r="SUU92" s="60"/>
      <c r="SVJ92" s="63" t="s">
        <v>934</v>
      </c>
      <c r="SVK92" s="60"/>
      <c r="SVZ92" s="63" t="s">
        <v>934</v>
      </c>
      <c r="SWA92" s="60"/>
      <c r="SWP92" s="63" t="s">
        <v>934</v>
      </c>
      <c r="SWQ92" s="60"/>
      <c r="SXF92" s="63" t="s">
        <v>934</v>
      </c>
      <c r="SXG92" s="60"/>
      <c r="SXV92" s="63" t="s">
        <v>934</v>
      </c>
      <c r="SXW92" s="60"/>
      <c r="SYL92" s="63" t="s">
        <v>934</v>
      </c>
      <c r="SYM92" s="60"/>
      <c r="SZB92" s="63" t="s">
        <v>934</v>
      </c>
      <c r="SZC92" s="60"/>
      <c r="SZR92" s="63" t="s">
        <v>934</v>
      </c>
      <c r="SZS92" s="60"/>
      <c r="TAH92" s="63" t="s">
        <v>934</v>
      </c>
      <c r="TAI92" s="60"/>
      <c r="TAX92" s="63" t="s">
        <v>934</v>
      </c>
      <c r="TAY92" s="60"/>
      <c r="TBN92" s="63" t="s">
        <v>934</v>
      </c>
      <c r="TBO92" s="60"/>
      <c r="TCD92" s="63" t="s">
        <v>934</v>
      </c>
      <c r="TCE92" s="60"/>
      <c r="TCT92" s="63" t="s">
        <v>934</v>
      </c>
      <c r="TCU92" s="60"/>
      <c r="TDJ92" s="63" t="s">
        <v>934</v>
      </c>
      <c r="TDK92" s="60"/>
      <c r="TDZ92" s="63" t="s">
        <v>934</v>
      </c>
      <c r="TEA92" s="60"/>
      <c r="TEP92" s="63" t="s">
        <v>934</v>
      </c>
      <c r="TEQ92" s="60"/>
      <c r="TFF92" s="63" t="s">
        <v>934</v>
      </c>
      <c r="TFG92" s="60"/>
      <c r="TFV92" s="63" t="s">
        <v>934</v>
      </c>
      <c r="TFW92" s="60"/>
      <c r="TGL92" s="63" t="s">
        <v>934</v>
      </c>
      <c r="TGM92" s="60"/>
      <c r="THB92" s="63" t="s">
        <v>934</v>
      </c>
      <c r="THC92" s="60"/>
      <c r="THR92" s="63" t="s">
        <v>934</v>
      </c>
      <c r="THS92" s="60"/>
      <c r="TIH92" s="63" t="s">
        <v>934</v>
      </c>
      <c r="TII92" s="60"/>
      <c r="TIX92" s="63" t="s">
        <v>934</v>
      </c>
      <c r="TIY92" s="60"/>
      <c r="TJN92" s="63" t="s">
        <v>934</v>
      </c>
      <c r="TJO92" s="60"/>
      <c r="TKD92" s="63" t="s">
        <v>934</v>
      </c>
      <c r="TKE92" s="60"/>
      <c r="TKT92" s="63" t="s">
        <v>934</v>
      </c>
      <c r="TKU92" s="60"/>
      <c r="TLJ92" s="63" t="s">
        <v>934</v>
      </c>
      <c r="TLK92" s="60"/>
      <c r="TLZ92" s="63" t="s">
        <v>934</v>
      </c>
      <c r="TMA92" s="60"/>
      <c r="TMP92" s="63" t="s">
        <v>934</v>
      </c>
      <c r="TMQ92" s="60"/>
      <c r="TNF92" s="63" t="s">
        <v>934</v>
      </c>
      <c r="TNG92" s="60"/>
      <c r="TNV92" s="63" t="s">
        <v>934</v>
      </c>
      <c r="TNW92" s="60"/>
      <c r="TOL92" s="63" t="s">
        <v>934</v>
      </c>
      <c r="TOM92" s="60"/>
      <c r="TPB92" s="63" t="s">
        <v>934</v>
      </c>
      <c r="TPC92" s="60"/>
      <c r="TPR92" s="63" t="s">
        <v>934</v>
      </c>
      <c r="TPS92" s="60"/>
      <c r="TQH92" s="63" t="s">
        <v>934</v>
      </c>
      <c r="TQI92" s="60"/>
      <c r="TQX92" s="63" t="s">
        <v>934</v>
      </c>
      <c r="TQY92" s="60"/>
      <c r="TRN92" s="63" t="s">
        <v>934</v>
      </c>
      <c r="TRO92" s="60"/>
      <c r="TSD92" s="63" t="s">
        <v>934</v>
      </c>
      <c r="TSE92" s="60"/>
      <c r="TST92" s="63" t="s">
        <v>934</v>
      </c>
      <c r="TSU92" s="60"/>
      <c r="TTJ92" s="63" t="s">
        <v>934</v>
      </c>
      <c r="TTK92" s="60"/>
      <c r="TTZ92" s="63" t="s">
        <v>934</v>
      </c>
      <c r="TUA92" s="60"/>
      <c r="TUP92" s="63" t="s">
        <v>934</v>
      </c>
      <c r="TUQ92" s="60"/>
      <c r="TVF92" s="63" t="s">
        <v>934</v>
      </c>
      <c r="TVG92" s="60"/>
      <c r="TVV92" s="63" t="s">
        <v>934</v>
      </c>
      <c r="TVW92" s="60"/>
      <c r="TWL92" s="63" t="s">
        <v>934</v>
      </c>
      <c r="TWM92" s="60"/>
      <c r="TXB92" s="63" t="s">
        <v>934</v>
      </c>
      <c r="TXC92" s="60"/>
      <c r="TXR92" s="63" t="s">
        <v>934</v>
      </c>
      <c r="TXS92" s="60"/>
      <c r="TYH92" s="63" t="s">
        <v>934</v>
      </c>
      <c r="TYI92" s="60"/>
      <c r="TYX92" s="63" t="s">
        <v>934</v>
      </c>
      <c r="TYY92" s="60"/>
      <c r="TZN92" s="63" t="s">
        <v>934</v>
      </c>
      <c r="TZO92" s="60"/>
      <c r="UAD92" s="63" t="s">
        <v>934</v>
      </c>
      <c r="UAE92" s="60"/>
      <c r="UAT92" s="63" t="s">
        <v>934</v>
      </c>
      <c r="UAU92" s="60"/>
      <c r="UBJ92" s="63" t="s">
        <v>934</v>
      </c>
      <c r="UBK92" s="60"/>
      <c r="UBZ92" s="63" t="s">
        <v>934</v>
      </c>
      <c r="UCA92" s="60"/>
      <c r="UCP92" s="63" t="s">
        <v>934</v>
      </c>
      <c r="UCQ92" s="60"/>
      <c r="UDF92" s="63" t="s">
        <v>934</v>
      </c>
      <c r="UDG92" s="60"/>
      <c r="UDV92" s="63" t="s">
        <v>934</v>
      </c>
      <c r="UDW92" s="60"/>
      <c r="UEL92" s="63" t="s">
        <v>934</v>
      </c>
      <c r="UEM92" s="60"/>
      <c r="UFB92" s="63" t="s">
        <v>934</v>
      </c>
      <c r="UFC92" s="60"/>
      <c r="UFR92" s="63" t="s">
        <v>934</v>
      </c>
      <c r="UFS92" s="60"/>
      <c r="UGH92" s="63" t="s">
        <v>934</v>
      </c>
      <c r="UGI92" s="60"/>
      <c r="UGX92" s="63" t="s">
        <v>934</v>
      </c>
      <c r="UGY92" s="60"/>
      <c r="UHN92" s="63" t="s">
        <v>934</v>
      </c>
      <c r="UHO92" s="60"/>
      <c r="UID92" s="63" t="s">
        <v>934</v>
      </c>
      <c r="UIE92" s="60"/>
      <c r="UIT92" s="63" t="s">
        <v>934</v>
      </c>
      <c r="UIU92" s="60"/>
      <c r="UJJ92" s="63" t="s">
        <v>934</v>
      </c>
      <c r="UJK92" s="60"/>
      <c r="UJZ92" s="63" t="s">
        <v>934</v>
      </c>
      <c r="UKA92" s="60"/>
      <c r="UKP92" s="63" t="s">
        <v>934</v>
      </c>
      <c r="UKQ92" s="60"/>
      <c r="ULF92" s="63" t="s">
        <v>934</v>
      </c>
      <c r="ULG92" s="60"/>
      <c r="ULV92" s="63" t="s">
        <v>934</v>
      </c>
      <c r="ULW92" s="60"/>
      <c r="UML92" s="63" t="s">
        <v>934</v>
      </c>
      <c r="UMM92" s="60"/>
      <c r="UNB92" s="63" t="s">
        <v>934</v>
      </c>
      <c r="UNC92" s="60"/>
      <c r="UNR92" s="63" t="s">
        <v>934</v>
      </c>
      <c r="UNS92" s="60"/>
      <c r="UOH92" s="63" t="s">
        <v>934</v>
      </c>
      <c r="UOI92" s="60"/>
      <c r="UOX92" s="63" t="s">
        <v>934</v>
      </c>
      <c r="UOY92" s="60"/>
      <c r="UPN92" s="63" t="s">
        <v>934</v>
      </c>
      <c r="UPO92" s="60"/>
      <c r="UQD92" s="63" t="s">
        <v>934</v>
      </c>
      <c r="UQE92" s="60"/>
      <c r="UQT92" s="63" t="s">
        <v>934</v>
      </c>
      <c r="UQU92" s="60"/>
      <c r="URJ92" s="63" t="s">
        <v>934</v>
      </c>
      <c r="URK92" s="60"/>
      <c r="URZ92" s="63" t="s">
        <v>934</v>
      </c>
      <c r="USA92" s="60"/>
      <c r="USP92" s="63" t="s">
        <v>934</v>
      </c>
      <c r="USQ92" s="60"/>
      <c r="UTF92" s="63" t="s">
        <v>934</v>
      </c>
      <c r="UTG92" s="60"/>
      <c r="UTV92" s="63" t="s">
        <v>934</v>
      </c>
      <c r="UTW92" s="60"/>
      <c r="UUL92" s="63" t="s">
        <v>934</v>
      </c>
      <c r="UUM92" s="60"/>
      <c r="UVB92" s="63" t="s">
        <v>934</v>
      </c>
      <c r="UVC92" s="60"/>
      <c r="UVR92" s="63" t="s">
        <v>934</v>
      </c>
      <c r="UVS92" s="60"/>
      <c r="UWH92" s="63" t="s">
        <v>934</v>
      </c>
      <c r="UWI92" s="60"/>
      <c r="UWX92" s="63" t="s">
        <v>934</v>
      </c>
      <c r="UWY92" s="60"/>
      <c r="UXN92" s="63" t="s">
        <v>934</v>
      </c>
      <c r="UXO92" s="60"/>
      <c r="UYD92" s="63" t="s">
        <v>934</v>
      </c>
      <c r="UYE92" s="60"/>
      <c r="UYT92" s="63" t="s">
        <v>934</v>
      </c>
      <c r="UYU92" s="60"/>
      <c r="UZJ92" s="63" t="s">
        <v>934</v>
      </c>
      <c r="UZK92" s="60"/>
      <c r="UZZ92" s="63" t="s">
        <v>934</v>
      </c>
      <c r="VAA92" s="60"/>
      <c r="VAP92" s="63" t="s">
        <v>934</v>
      </c>
      <c r="VAQ92" s="60"/>
      <c r="VBF92" s="63" t="s">
        <v>934</v>
      </c>
      <c r="VBG92" s="60"/>
      <c r="VBV92" s="63" t="s">
        <v>934</v>
      </c>
      <c r="VBW92" s="60"/>
      <c r="VCL92" s="63" t="s">
        <v>934</v>
      </c>
      <c r="VCM92" s="60"/>
      <c r="VDB92" s="63" t="s">
        <v>934</v>
      </c>
      <c r="VDC92" s="60"/>
      <c r="VDR92" s="63" t="s">
        <v>934</v>
      </c>
      <c r="VDS92" s="60"/>
      <c r="VEH92" s="63" t="s">
        <v>934</v>
      </c>
      <c r="VEI92" s="60"/>
      <c r="VEX92" s="63" t="s">
        <v>934</v>
      </c>
      <c r="VEY92" s="60"/>
      <c r="VFN92" s="63" t="s">
        <v>934</v>
      </c>
      <c r="VFO92" s="60"/>
      <c r="VGD92" s="63" t="s">
        <v>934</v>
      </c>
      <c r="VGE92" s="60"/>
      <c r="VGT92" s="63" t="s">
        <v>934</v>
      </c>
      <c r="VGU92" s="60"/>
      <c r="VHJ92" s="63" t="s">
        <v>934</v>
      </c>
      <c r="VHK92" s="60"/>
      <c r="VHZ92" s="63" t="s">
        <v>934</v>
      </c>
      <c r="VIA92" s="60"/>
      <c r="VIP92" s="63" t="s">
        <v>934</v>
      </c>
      <c r="VIQ92" s="60"/>
      <c r="VJF92" s="63" t="s">
        <v>934</v>
      </c>
      <c r="VJG92" s="60"/>
      <c r="VJV92" s="63" t="s">
        <v>934</v>
      </c>
      <c r="VJW92" s="60"/>
      <c r="VKL92" s="63" t="s">
        <v>934</v>
      </c>
      <c r="VKM92" s="60"/>
      <c r="VLB92" s="63" t="s">
        <v>934</v>
      </c>
      <c r="VLC92" s="60"/>
      <c r="VLR92" s="63" t="s">
        <v>934</v>
      </c>
      <c r="VLS92" s="60"/>
      <c r="VMH92" s="63" t="s">
        <v>934</v>
      </c>
      <c r="VMI92" s="60"/>
      <c r="VMX92" s="63" t="s">
        <v>934</v>
      </c>
      <c r="VMY92" s="60"/>
      <c r="VNN92" s="63" t="s">
        <v>934</v>
      </c>
      <c r="VNO92" s="60"/>
      <c r="VOD92" s="63" t="s">
        <v>934</v>
      </c>
      <c r="VOE92" s="60"/>
      <c r="VOT92" s="63" t="s">
        <v>934</v>
      </c>
      <c r="VOU92" s="60"/>
      <c r="VPJ92" s="63" t="s">
        <v>934</v>
      </c>
      <c r="VPK92" s="60"/>
      <c r="VPZ92" s="63" t="s">
        <v>934</v>
      </c>
      <c r="VQA92" s="60"/>
      <c r="VQP92" s="63" t="s">
        <v>934</v>
      </c>
      <c r="VQQ92" s="60"/>
      <c r="VRF92" s="63" t="s">
        <v>934</v>
      </c>
      <c r="VRG92" s="60"/>
      <c r="VRV92" s="63" t="s">
        <v>934</v>
      </c>
      <c r="VRW92" s="60"/>
      <c r="VSL92" s="63" t="s">
        <v>934</v>
      </c>
      <c r="VSM92" s="60"/>
      <c r="VTB92" s="63" t="s">
        <v>934</v>
      </c>
      <c r="VTC92" s="60"/>
      <c r="VTR92" s="63" t="s">
        <v>934</v>
      </c>
      <c r="VTS92" s="60"/>
      <c r="VUH92" s="63" t="s">
        <v>934</v>
      </c>
      <c r="VUI92" s="60"/>
      <c r="VUX92" s="63" t="s">
        <v>934</v>
      </c>
      <c r="VUY92" s="60"/>
      <c r="VVN92" s="63" t="s">
        <v>934</v>
      </c>
      <c r="VVO92" s="60"/>
      <c r="VWD92" s="63" t="s">
        <v>934</v>
      </c>
      <c r="VWE92" s="60"/>
      <c r="VWT92" s="63" t="s">
        <v>934</v>
      </c>
      <c r="VWU92" s="60"/>
      <c r="VXJ92" s="63" t="s">
        <v>934</v>
      </c>
      <c r="VXK92" s="60"/>
      <c r="VXZ92" s="63" t="s">
        <v>934</v>
      </c>
      <c r="VYA92" s="60"/>
      <c r="VYP92" s="63" t="s">
        <v>934</v>
      </c>
      <c r="VYQ92" s="60"/>
      <c r="VZF92" s="63" t="s">
        <v>934</v>
      </c>
      <c r="VZG92" s="60"/>
      <c r="VZV92" s="63" t="s">
        <v>934</v>
      </c>
      <c r="VZW92" s="60"/>
      <c r="WAL92" s="63" t="s">
        <v>934</v>
      </c>
      <c r="WAM92" s="60"/>
      <c r="WBB92" s="63" t="s">
        <v>934</v>
      </c>
      <c r="WBC92" s="60"/>
      <c r="WBR92" s="63" t="s">
        <v>934</v>
      </c>
      <c r="WBS92" s="60"/>
      <c r="WCH92" s="63" t="s">
        <v>934</v>
      </c>
      <c r="WCI92" s="60"/>
      <c r="WCX92" s="63" t="s">
        <v>934</v>
      </c>
      <c r="WCY92" s="60"/>
      <c r="WDN92" s="63" t="s">
        <v>934</v>
      </c>
      <c r="WDO92" s="60"/>
      <c r="WED92" s="63" t="s">
        <v>934</v>
      </c>
      <c r="WEE92" s="60"/>
      <c r="WET92" s="63" t="s">
        <v>934</v>
      </c>
      <c r="WEU92" s="60"/>
      <c r="WFJ92" s="63" t="s">
        <v>934</v>
      </c>
      <c r="WFK92" s="60"/>
      <c r="WFZ92" s="63" t="s">
        <v>934</v>
      </c>
      <c r="WGA92" s="60"/>
      <c r="WGP92" s="63" t="s">
        <v>934</v>
      </c>
      <c r="WGQ92" s="60"/>
      <c r="WHF92" s="63" t="s">
        <v>934</v>
      </c>
      <c r="WHG92" s="60"/>
      <c r="WHV92" s="63" t="s">
        <v>934</v>
      </c>
      <c r="WHW92" s="60"/>
      <c r="WIL92" s="63" t="s">
        <v>934</v>
      </c>
      <c r="WIM92" s="60"/>
      <c r="WJB92" s="63" t="s">
        <v>934</v>
      </c>
      <c r="WJC92" s="60"/>
      <c r="WJR92" s="63" t="s">
        <v>934</v>
      </c>
      <c r="WJS92" s="60"/>
      <c r="WKH92" s="63" t="s">
        <v>934</v>
      </c>
      <c r="WKI92" s="60"/>
      <c r="WKX92" s="63" t="s">
        <v>934</v>
      </c>
      <c r="WKY92" s="60"/>
      <c r="WLN92" s="63" t="s">
        <v>934</v>
      </c>
      <c r="WLO92" s="60"/>
      <c r="WMD92" s="63" t="s">
        <v>934</v>
      </c>
      <c r="WME92" s="60"/>
      <c r="WMT92" s="63" t="s">
        <v>934</v>
      </c>
      <c r="WMU92" s="60"/>
      <c r="WNJ92" s="63" t="s">
        <v>934</v>
      </c>
      <c r="WNK92" s="60"/>
      <c r="WNZ92" s="63" t="s">
        <v>934</v>
      </c>
      <c r="WOA92" s="60"/>
      <c r="WOP92" s="63" t="s">
        <v>934</v>
      </c>
      <c r="WOQ92" s="60"/>
      <c r="WPF92" s="63" t="s">
        <v>934</v>
      </c>
      <c r="WPG92" s="60"/>
      <c r="WPV92" s="63" t="s">
        <v>934</v>
      </c>
      <c r="WPW92" s="60"/>
      <c r="WQL92" s="63" t="s">
        <v>934</v>
      </c>
      <c r="WQM92" s="60"/>
      <c r="WRB92" s="63" t="s">
        <v>934</v>
      </c>
      <c r="WRC92" s="60"/>
      <c r="WRR92" s="63" t="s">
        <v>934</v>
      </c>
      <c r="WRS92" s="60"/>
      <c r="WSH92" s="63" t="s">
        <v>934</v>
      </c>
      <c r="WSI92" s="60"/>
      <c r="WSX92" s="63" t="s">
        <v>934</v>
      </c>
      <c r="WSY92" s="60"/>
      <c r="WTN92" s="63" t="s">
        <v>934</v>
      </c>
      <c r="WTO92" s="60"/>
      <c r="WUD92" s="63" t="s">
        <v>934</v>
      </c>
      <c r="WUE92" s="60"/>
      <c r="WUT92" s="63" t="s">
        <v>934</v>
      </c>
      <c r="WUU92" s="60"/>
      <c r="WVJ92" s="63" t="s">
        <v>934</v>
      </c>
      <c r="WVK92" s="60"/>
      <c r="WVZ92" s="63" t="s">
        <v>934</v>
      </c>
      <c r="WWA92" s="60"/>
      <c r="WWP92" s="63" t="s">
        <v>934</v>
      </c>
      <c r="WWQ92" s="60"/>
      <c r="WXF92" s="63" t="s">
        <v>934</v>
      </c>
      <c r="WXG92" s="60"/>
      <c r="WXV92" s="63" t="s">
        <v>934</v>
      </c>
      <c r="WXW92" s="60"/>
      <c r="WYL92" s="63" t="s">
        <v>934</v>
      </c>
      <c r="WYM92" s="60"/>
      <c r="WZB92" s="63" t="s">
        <v>934</v>
      </c>
      <c r="WZC92" s="60"/>
      <c r="WZR92" s="63" t="s">
        <v>934</v>
      </c>
      <c r="WZS92" s="60"/>
      <c r="XAH92" s="63" t="s">
        <v>934</v>
      </c>
      <c r="XAI92" s="60"/>
      <c r="XAX92" s="63" t="s">
        <v>934</v>
      </c>
      <c r="XAY92" s="60"/>
      <c r="XBN92" s="63" t="s">
        <v>934</v>
      </c>
      <c r="XBO92" s="60"/>
      <c r="XCD92" s="63" t="s">
        <v>934</v>
      </c>
      <c r="XCE92" s="60"/>
      <c r="XCT92" s="63" t="s">
        <v>934</v>
      </c>
      <c r="XCU92" s="60"/>
      <c r="XDJ92" s="63" t="s">
        <v>934</v>
      </c>
      <c r="XDK92" s="60"/>
      <c r="XDZ92" s="63" t="s">
        <v>934</v>
      </c>
      <c r="XEA92" s="60"/>
      <c r="XEP92" s="63" t="s">
        <v>934</v>
      </c>
      <c r="XEQ92" s="60"/>
    </row>
    <row r="93" spans="2:1011 1026:2035 2050:3059 3074:4083 4098:5107 5122:6131 6146:7155 7170:8179 8194:9203 9218:10227 10242:11251 11266:12275 12290:13299 13314:14323 14338:15347 15362:16371" ht="14.25" x14ac:dyDescent="0.2">
      <c r="R93" s="63" t="s">
        <v>882</v>
      </c>
      <c r="S93" s="60"/>
      <c r="AH93" s="63" t="s">
        <v>882</v>
      </c>
      <c r="AI93" s="60"/>
      <c r="AX93" s="63" t="s">
        <v>882</v>
      </c>
      <c r="AY93" s="60"/>
      <c r="BN93" s="63" t="s">
        <v>882</v>
      </c>
      <c r="BO93" s="60"/>
      <c r="CD93" s="63" t="s">
        <v>882</v>
      </c>
      <c r="CE93" s="60"/>
      <c r="CT93" s="63" t="s">
        <v>882</v>
      </c>
      <c r="CU93" s="60"/>
      <c r="DJ93" s="63" t="s">
        <v>882</v>
      </c>
      <c r="DK93" s="60"/>
      <c r="DZ93" s="63" t="s">
        <v>882</v>
      </c>
      <c r="EA93" s="60"/>
      <c r="EP93" s="63" t="s">
        <v>882</v>
      </c>
      <c r="EQ93" s="60"/>
      <c r="FF93" s="63" t="s">
        <v>882</v>
      </c>
      <c r="FG93" s="60"/>
      <c r="FV93" s="63" t="s">
        <v>882</v>
      </c>
      <c r="FW93" s="60"/>
      <c r="GL93" s="63" t="s">
        <v>882</v>
      </c>
      <c r="GM93" s="60"/>
      <c r="HB93" s="63" t="s">
        <v>882</v>
      </c>
      <c r="HC93" s="60"/>
      <c r="HR93" s="63" t="s">
        <v>882</v>
      </c>
      <c r="HS93" s="60"/>
      <c r="IH93" s="63" t="s">
        <v>882</v>
      </c>
      <c r="II93" s="60"/>
      <c r="IX93" s="63" t="s">
        <v>882</v>
      </c>
      <c r="IY93" s="60"/>
      <c r="JN93" s="63" t="s">
        <v>882</v>
      </c>
      <c r="JO93" s="60"/>
      <c r="KD93" s="63" t="s">
        <v>882</v>
      </c>
      <c r="KE93" s="60"/>
      <c r="KT93" s="63" t="s">
        <v>882</v>
      </c>
      <c r="KU93" s="60"/>
      <c r="LJ93" s="63" t="s">
        <v>882</v>
      </c>
      <c r="LK93" s="60"/>
      <c r="LZ93" s="63" t="s">
        <v>882</v>
      </c>
      <c r="MA93" s="60"/>
      <c r="MP93" s="63" t="s">
        <v>882</v>
      </c>
      <c r="MQ93" s="60"/>
      <c r="NF93" s="63" t="s">
        <v>882</v>
      </c>
      <c r="NG93" s="60"/>
      <c r="NV93" s="63" t="s">
        <v>882</v>
      </c>
      <c r="NW93" s="60"/>
      <c r="OL93" s="63" t="s">
        <v>882</v>
      </c>
      <c r="OM93" s="60"/>
      <c r="PB93" s="63" t="s">
        <v>882</v>
      </c>
      <c r="PC93" s="60"/>
      <c r="PR93" s="63" t="s">
        <v>882</v>
      </c>
      <c r="PS93" s="60"/>
      <c r="QH93" s="63" t="s">
        <v>882</v>
      </c>
      <c r="QI93" s="60"/>
      <c r="QX93" s="63" t="s">
        <v>882</v>
      </c>
      <c r="QY93" s="60"/>
      <c r="RN93" s="63" t="s">
        <v>882</v>
      </c>
      <c r="RO93" s="60"/>
      <c r="SD93" s="63" t="s">
        <v>882</v>
      </c>
      <c r="SE93" s="60"/>
      <c r="ST93" s="63" t="s">
        <v>882</v>
      </c>
      <c r="SU93" s="60"/>
      <c r="TJ93" s="63" t="s">
        <v>882</v>
      </c>
      <c r="TK93" s="60"/>
      <c r="TZ93" s="63" t="s">
        <v>882</v>
      </c>
      <c r="UA93" s="60"/>
      <c r="UP93" s="63" t="s">
        <v>882</v>
      </c>
      <c r="UQ93" s="60"/>
      <c r="VF93" s="63" t="s">
        <v>882</v>
      </c>
      <c r="VG93" s="60"/>
      <c r="VV93" s="63" t="s">
        <v>882</v>
      </c>
      <c r="VW93" s="60"/>
      <c r="WL93" s="63" t="s">
        <v>882</v>
      </c>
      <c r="WM93" s="60"/>
      <c r="XB93" s="63" t="s">
        <v>882</v>
      </c>
      <c r="XC93" s="60"/>
      <c r="XR93" s="63" t="s">
        <v>882</v>
      </c>
      <c r="XS93" s="60"/>
      <c r="YH93" s="63" t="s">
        <v>882</v>
      </c>
      <c r="YI93" s="60"/>
      <c r="YX93" s="63" t="s">
        <v>882</v>
      </c>
      <c r="YY93" s="60"/>
      <c r="ZN93" s="63" t="s">
        <v>882</v>
      </c>
      <c r="ZO93" s="60"/>
      <c r="AAD93" s="63" t="s">
        <v>882</v>
      </c>
      <c r="AAE93" s="60"/>
      <c r="AAT93" s="63" t="s">
        <v>882</v>
      </c>
      <c r="AAU93" s="60"/>
      <c r="ABJ93" s="63" t="s">
        <v>882</v>
      </c>
      <c r="ABK93" s="60"/>
      <c r="ABZ93" s="63" t="s">
        <v>882</v>
      </c>
      <c r="ACA93" s="60"/>
      <c r="ACP93" s="63" t="s">
        <v>882</v>
      </c>
      <c r="ACQ93" s="60"/>
      <c r="ADF93" s="63" t="s">
        <v>882</v>
      </c>
      <c r="ADG93" s="60"/>
      <c r="ADV93" s="63" t="s">
        <v>882</v>
      </c>
      <c r="ADW93" s="60"/>
      <c r="AEL93" s="63" t="s">
        <v>882</v>
      </c>
      <c r="AEM93" s="60"/>
      <c r="AFB93" s="63" t="s">
        <v>882</v>
      </c>
      <c r="AFC93" s="60"/>
      <c r="AFR93" s="63" t="s">
        <v>882</v>
      </c>
      <c r="AFS93" s="60"/>
      <c r="AGH93" s="63" t="s">
        <v>882</v>
      </c>
      <c r="AGI93" s="60"/>
      <c r="AGX93" s="63" t="s">
        <v>882</v>
      </c>
      <c r="AGY93" s="60"/>
      <c r="AHN93" s="63" t="s">
        <v>882</v>
      </c>
      <c r="AHO93" s="60"/>
      <c r="AID93" s="63" t="s">
        <v>882</v>
      </c>
      <c r="AIE93" s="60"/>
      <c r="AIT93" s="63" t="s">
        <v>882</v>
      </c>
      <c r="AIU93" s="60"/>
      <c r="AJJ93" s="63" t="s">
        <v>882</v>
      </c>
      <c r="AJK93" s="60"/>
      <c r="AJZ93" s="63" t="s">
        <v>882</v>
      </c>
      <c r="AKA93" s="60"/>
      <c r="AKP93" s="63" t="s">
        <v>882</v>
      </c>
      <c r="AKQ93" s="60"/>
      <c r="ALF93" s="63" t="s">
        <v>882</v>
      </c>
      <c r="ALG93" s="60"/>
      <c r="ALV93" s="63" t="s">
        <v>882</v>
      </c>
      <c r="ALW93" s="60"/>
      <c r="AML93" s="63" t="s">
        <v>882</v>
      </c>
      <c r="AMM93" s="60"/>
      <c r="ANB93" s="63" t="s">
        <v>882</v>
      </c>
      <c r="ANC93" s="60"/>
      <c r="ANR93" s="63" t="s">
        <v>882</v>
      </c>
      <c r="ANS93" s="60"/>
      <c r="AOH93" s="63" t="s">
        <v>882</v>
      </c>
      <c r="AOI93" s="60"/>
      <c r="AOX93" s="63" t="s">
        <v>882</v>
      </c>
      <c r="AOY93" s="60"/>
      <c r="APN93" s="63" t="s">
        <v>882</v>
      </c>
      <c r="APO93" s="60"/>
      <c r="AQD93" s="63" t="s">
        <v>882</v>
      </c>
      <c r="AQE93" s="60"/>
      <c r="AQT93" s="63" t="s">
        <v>882</v>
      </c>
      <c r="AQU93" s="60"/>
      <c r="ARJ93" s="63" t="s">
        <v>882</v>
      </c>
      <c r="ARK93" s="60"/>
      <c r="ARZ93" s="63" t="s">
        <v>882</v>
      </c>
      <c r="ASA93" s="60"/>
      <c r="ASP93" s="63" t="s">
        <v>882</v>
      </c>
      <c r="ASQ93" s="60"/>
      <c r="ATF93" s="63" t="s">
        <v>882</v>
      </c>
      <c r="ATG93" s="60"/>
      <c r="ATV93" s="63" t="s">
        <v>882</v>
      </c>
      <c r="ATW93" s="60"/>
      <c r="AUL93" s="63" t="s">
        <v>882</v>
      </c>
      <c r="AUM93" s="60"/>
      <c r="AVB93" s="63" t="s">
        <v>882</v>
      </c>
      <c r="AVC93" s="60"/>
      <c r="AVR93" s="63" t="s">
        <v>882</v>
      </c>
      <c r="AVS93" s="60"/>
      <c r="AWH93" s="63" t="s">
        <v>882</v>
      </c>
      <c r="AWI93" s="60"/>
      <c r="AWX93" s="63" t="s">
        <v>882</v>
      </c>
      <c r="AWY93" s="60"/>
      <c r="AXN93" s="63" t="s">
        <v>882</v>
      </c>
      <c r="AXO93" s="60"/>
      <c r="AYD93" s="63" t="s">
        <v>882</v>
      </c>
      <c r="AYE93" s="60"/>
      <c r="AYT93" s="63" t="s">
        <v>882</v>
      </c>
      <c r="AYU93" s="60"/>
      <c r="AZJ93" s="63" t="s">
        <v>882</v>
      </c>
      <c r="AZK93" s="60"/>
      <c r="AZZ93" s="63" t="s">
        <v>882</v>
      </c>
      <c r="BAA93" s="60"/>
      <c r="BAP93" s="63" t="s">
        <v>882</v>
      </c>
      <c r="BAQ93" s="60"/>
      <c r="BBF93" s="63" t="s">
        <v>882</v>
      </c>
      <c r="BBG93" s="60"/>
      <c r="BBV93" s="63" t="s">
        <v>882</v>
      </c>
      <c r="BBW93" s="60"/>
      <c r="BCL93" s="63" t="s">
        <v>882</v>
      </c>
      <c r="BCM93" s="60"/>
      <c r="BDB93" s="63" t="s">
        <v>882</v>
      </c>
      <c r="BDC93" s="60"/>
      <c r="BDR93" s="63" t="s">
        <v>882</v>
      </c>
      <c r="BDS93" s="60"/>
      <c r="BEH93" s="63" t="s">
        <v>882</v>
      </c>
      <c r="BEI93" s="60"/>
      <c r="BEX93" s="63" t="s">
        <v>882</v>
      </c>
      <c r="BEY93" s="60"/>
      <c r="BFN93" s="63" t="s">
        <v>882</v>
      </c>
      <c r="BFO93" s="60"/>
      <c r="BGD93" s="63" t="s">
        <v>882</v>
      </c>
      <c r="BGE93" s="60"/>
      <c r="BGT93" s="63" t="s">
        <v>882</v>
      </c>
      <c r="BGU93" s="60"/>
      <c r="BHJ93" s="63" t="s">
        <v>882</v>
      </c>
      <c r="BHK93" s="60"/>
      <c r="BHZ93" s="63" t="s">
        <v>882</v>
      </c>
      <c r="BIA93" s="60"/>
      <c r="BIP93" s="63" t="s">
        <v>882</v>
      </c>
      <c r="BIQ93" s="60"/>
      <c r="BJF93" s="63" t="s">
        <v>882</v>
      </c>
      <c r="BJG93" s="60"/>
      <c r="BJV93" s="63" t="s">
        <v>882</v>
      </c>
      <c r="BJW93" s="60"/>
      <c r="BKL93" s="63" t="s">
        <v>882</v>
      </c>
      <c r="BKM93" s="60"/>
      <c r="BLB93" s="63" t="s">
        <v>882</v>
      </c>
      <c r="BLC93" s="60"/>
      <c r="BLR93" s="63" t="s">
        <v>882</v>
      </c>
      <c r="BLS93" s="60"/>
      <c r="BMH93" s="63" t="s">
        <v>882</v>
      </c>
      <c r="BMI93" s="60"/>
      <c r="BMX93" s="63" t="s">
        <v>882</v>
      </c>
      <c r="BMY93" s="60"/>
      <c r="BNN93" s="63" t="s">
        <v>882</v>
      </c>
      <c r="BNO93" s="60"/>
      <c r="BOD93" s="63" t="s">
        <v>882</v>
      </c>
      <c r="BOE93" s="60"/>
      <c r="BOT93" s="63" t="s">
        <v>882</v>
      </c>
      <c r="BOU93" s="60"/>
      <c r="BPJ93" s="63" t="s">
        <v>882</v>
      </c>
      <c r="BPK93" s="60"/>
      <c r="BPZ93" s="63" t="s">
        <v>882</v>
      </c>
      <c r="BQA93" s="60"/>
      <c r="BQP93" s="63" t="s">
        <v>882</v>
      </c>
      <c r="BQQ93" s="60"/>
      <c r="BRF93" s="63" t="s">
        <v>882</v>
      </c>
      <c r="BRG93" s="60"/>
      <c r="BRV93" s="63" t="s">
        <v>882</v>
      </c>
      <c r="BRW93" s="60"/>
      <c r="BSL93" s="63" t="s">
        <v>882</v>
      </c>
      <c r="BSM93" s="60"/>
      <c r="BTB93" s="63" t="s">
        <v>882</v>
      </c>
      <c r="BTC93" s="60"/>
      <c r="BTR93" s="63" t="s">
        <v>882</v>
      </c>
      <c r="BTS93" s="60"/>
      <c r="BUH93" s="63" t="s">
        <v>882</v>
      </c>
      <c r="BUI93" s="60"/>
      <c r="BUX93" s="63" t="s">
        <v>882</v>
      </c>
      <c r="BUY93" s="60"/>
      <c r="BVN93" s="63" t="s">
        <v>882</v>
      </c>
      <c r="BVO93" s="60"/>
      <c r="BWD93" s="63" t="s">
        <v>882</v>
      </c>
      <c r="BWE93" s="60"/>
      <c r="BWT93" s="63" t="s">
        <v>882</v>
      </c>
      <c r="BWU93" s="60"/>
      <c r="BXJ93" s="63" t="s">
        <v>882</v>
      </c>
      <c r="BXK93" s="60"/>
      <c r="BXZ93" s="63" t="s">
        <v>882</v>
      </c>
      <c r="BYA93" s="60"/>
      <c r="BYP93" s="63" t="s">
        <v>882</v>
      </c>
      <c r="BYQ93" s="60"/>
      <c r="BZF93" s="63" t="s">
        <v>882</v>
      </c>
      <c r="BZG93" s="60"/>
      <c r="BZV93" s="63" t="s">
        <v>882</v>
      </c>
      <c r="BZW93" s="60"/>
      <c r="CAL93" s="63" t="s">
        <v>882</v>
      </c>
      <c r="CAM93" s="60"/>
      <c r="CBB93" s="63" t="s">
        <v>882</v>
      </c>
      <c r="CBC93" s="60"/>
      <c r="CBR93" s="63" t="s">
        <v>882</v>
      </c>
      <c r="CBS93" s="60"/>
      <c r="CCH93" s="63" t="s">
        <v>882</v>
      </c>
      <c r="CCI93" s="60"/>
      <c r="CCX93" s="63" t="s">
        <v>882</v>
      </c>
      <c r="CCY93" s="60"/>
      <c r="CDN93" s="63" t="s">
        <v>882</v>
      </c>
      <c r="CDO93" s="60"/>
      <c r="CED93" s="63" t="s">
        <v>882</v>
      </c>
      <c r="CEE93" s="60"/>
      <c r="CET93" s="63" t="s">
        <v>882</v>
      </c>
      <c r="CEU93" s="60"/>
      <c r="CFJ93" s="63" t="s">
        <v>882</v>
      </c>
      <c r="CFK93" s="60"/>
      <c r="CFZ93" s="63" t="s">
        <v>882</v>
      </c>
      <c r="CGA93" s="60"/>
      <c r="CGP93" s="63" t="s">
        <v>882</v>
      </c>
      <c r="CGQ93" s="60"/>
      <c r="CHF93" s="63" t="s">
        <v>882</v>
      </c>
      <c r="CHG93" s="60"/>
      <c r="CHV93" s="63" t="s">
        <v>882</v>
      </c>
      <c r="CHW93" s="60"/>
      <c r="CIL93" s="63" t="s">
        <v>882</v>
      </c>
      <c r="CIM93" s="60"/>
      <c r="CJB93" s="63" t="s">
        <v>882</v>
      </c>
      <c r="CJC93" s="60"/>
      <c r="CJR93" s="63" t="s">
        <v>882</v>
      </c>
      <c r="CJS93" s="60"/>
      <c r="CKH93" s="63" t="s">
        <v>882</v>
      </c>
      <c r="CKI93" s="60"/>
      <c r="CKX93" s="63" t="s">
        <v>882</v>
      </c>
      <c r="CKY93" s="60"/>
      <c r="CLN93" s="63" t="s">
        <v>882</v>
      </c>
      <c r="CLO93" s="60"/>
      <c r="CMD93" s="63" t="s">
        <v>882</v>
      </c>
      <c r="CME93" s="60"/>
      <c r="CMT93" s="63" t="s">
        <v>882</v>
      </c>
      <c r="CMU93" s="60"/>
      <c r="CNJ93" s="63" t="s">
        <v>882</v>
      </c>
      <c r="CNK93" s="60"/>
      <c r="CNZ93" s="63" t="s">
        <v>882</v>
      </c>
      <c r="COA93" s="60"/>
      <c r="COP93" s="63" t="s">
        <v>882</v>
      </c>
      <c r="COQ93" s="60"/>
      <c r="CPF93" s="63" t="s">
        <v>882</v>
      </c>
      <c r="CPG93" s="60"/>
      <c r="CPV93" s="63" t="s">
        <v>882</v>
      </c>
      <c r="CPW93" s="60"/>
      <c r="CQL93" s="63" t="s">
        <v>882</v>
      </c>
      <c r="CQM93" s="60"/>
      <c r="CRB93" s="63" t="s">
        <v>882</v>
      </c>
      <c r="CRC93" s="60"/>
      <c r="CRR93" s="63" t="s">
        <v>882</v>
      </c>
      <c r="CRS93" s="60"/>
      <c r="CSH93" s="63" t="s">
        <v>882</v>
      </c>
      <c r="CSI93" s="60"/>
      <c r="CSX93" s="63" t="s">
        <v>882</v>
      </c>
      <c r="CSY93" s="60"/>
      <c r="CTN93" s="63" t="s">
        <v>882</v>
      </c>
      <c r="CTO93" s="60"/>
      <c r="CUD93" s="63" t="s">
        <v>882</v>
      </c>
      <c r="CUE93" s="60"/>
      <c r="CUT93" s="63" t="s">
        <v>882</v>
      </c>
      <c r="CUU93" s="60"/>
      <c r="CVJ93" s="63" t="s">
        <v>882</v>
      </c>
      <c r="CVK93" s="60"/>
      <c r="CVZ93" s="63" t="s">
        <v>882</v>
      </c>
      <c r="CWA93" s="60"/>
      <c r="CWP93" s="63" t="s">
        <v>882</v>
      </c>
      <c r="CWQ93" s="60"/>
      <c r="CXF93" s="63" t="s">
        <v>882</v>
      </c>
      <c r="CXG93" s="60"/>
      <c r="CXV93" s="63" t="s">
        <v>882</v>
      </c>
      <c r="CXW93" s="60"/>
      <c r="CYL93" s="63" t="s">
        <v>882</v>
      </c>
      <c r="CYM93" s="60"/>
      <c r="CZB93" s="63" t="s">
        <v>882</v>
      </c>
      <c r="CZC93" s="60"/>
      <c r="CZR93" s="63" t="s">
        <v>882</v>
      </c>
      <c r="CZS93" s="60"/>
      <c r="DAH93" s="63" t="s">
        <v>882</v>
      </c>
      <c r="DAI93" s="60"/>
      <c r="DAX93" s="63" t="s">
        <v>882</v>
      </c>
      <c r="DAY93" s="60"/>
      <c r="DBN93" s="63" t="s">
        <v>882</v>
      </c>
      <c r="DBO93" s="60"/>
      <c r="DCD93" s="63" t="s">
        <v>882</v>
      </c>
      <c r="DCE93" s="60"/>
      <c r="DCT93" s="63" t="s">
        <v>882</v>
      </c>
      <c r="DCU93" s="60"/>
      <c r="DDJ93" s="63" t="s">
        <v>882</v>
      </c>
      <c r="DDK93" s="60"/>
      <c r="DDZ93" s="63" t="s">
        <v>882</v>
      </c>
      <c r="DEA93" s="60"/>
      <c r="DEP93" s="63" t="s">
        <v>882</v>
      </c>
      <c r="DEQ93" s="60"/>
      <c r="DFF93" s="63" t="s">
        <v>882</v>
      </c>
      <c r="DFG93" s="60"/>
      <c r="DFV93" s="63" t="s">
        <v>882</v>
      </c>
      <c r="DFW93" s="60"/>
      <c r="DGL93" s="63" t="s">
        <v>882</v>
      </c>
      <c r="DGM93" s="60"/>
      <c r="DHB93" s="63" t="s">
        <v>882</v>
      </c>
      <c r="DHC93" s="60"/>
      <c r="DHR93" s="63" t="s">
        <v>882</v>
      </c>
      <c r="DHS93" s="60"/>
      <c r="DIH93" s="63" t="s">
        <v>882</v>
      </c>
      <c r="DII93" s="60"/>
      <c r="DIX93" s="63" t="s">
        <v>882</v>
      </c>
      <c r="DIY93" s="60"/>
      <c r="DJN93" s="63" t="s">
        <v>882</v>
      </c>
      <c r="DJO93" s="60"/>
      <c r="DKD93" s="63" t="s">
        <v>882</v>
      </c>
      <c r="DKE93" s="60"/>
      <c r="DKT93" s="63" t="s">
        <v>882</v>
      </c>
      <c r="DKU93" s="60"/>
      <c r="DLJ93" s="63" t="s">
        <v>882</v>
      </c>
      <c r="DLK93" s="60"/>
      <c r="DLZ93" s="63" t="s">
        <v>882</v>
      </c>
      <c r="DMA93" s="60"/>
      <c r="DMP93" s="63" t="s">
        <v>882</v>
      </c>
      <c r="DMQ93" s="60"/>
      <c r="DNF93" s="63" t="s">
        <v>882</v>
      </c>
      <c r="DNG93" s="60"/>
      <c r="DNV93" s="63" t="s">
        <v>882</v>
      </c>
      <c r="DNW93" s="60"/>
      <c r="DOL93" s="63" t="s">
        <v>882</v>
      </c>
      <c r="DOM93" s="60"/>
      <c r="DPB93" s="63" t="s">
        <v>882</v>
      </c>
      <c r="DPC93" s="60"/>
      <c r="DPR93" s="63" t="s">
        <v>882</v>
      </c>
      <c r="DPS93" s="60"/>
      <c r="DQH93" s="63" t="s">
        <v>882</v>
      </c>
      <c r="DQI93" s="60"/>
      <c r="DQX93" s="63" t="s">
        <v>882</v>
      </c>
      <c r="DQY93" s="60"/>
      <c r="DRN93" s="63" t="s">
        <v>882</v>
      </c>
      <c r="DRO93" s="60"/>
      <c r="DSD93" s="63" t="s">
        <v>882</v>
      </c>
      <c r="DSE93" s="60"/>
      <c r="DST93" s="63" t="s">
        <v>882</v>
      </c>
      <c r="DSU93" s="60"/>
      <c r="DTJ93" s="63" t="s">
        <v>882</v>
      </c>
      <c r="DTK93" s="60"/>
      <c r="DTZ93" s="63" t="s">
        <v>882</v>
      </c>
      <c r="DUA93" s="60"/>
      <c r="DUP93" s="63" t="s">
        <v>882</v>
      </c>
      <c r="DUQ93" s="60"/>
      <c r="DVF93" s="63" t="s">
        <v>882</v>
      </c>
      <c r="DVG93" s="60"/>
      <c r="DVV93" s="63" t="s">
        <v>882</v>
      </c>
      <c r="DVW93" s="60"/>
      <c r="DWL93" s="63" t="s">
        <v>882</v>
      </c>
      <c r="DWM93" s="60"/>
      <c r="DXB93" s="63" t="s">
        <v>882</v>
      </c>
      <c r="DXC93" s="60"/>
      <c r="DXR93" s="63" t="s">
        <v>882</v>
      </c>
      <c r="DXS93" s="60"/>
      <c r="DYH93" s="63" t="s">
        <v>882</v>
      </c>
      <c r="DYI93" s="60"/>
      <c r="DYX93" s="63" t="s">
        <v>882</v>
      </c>
      <c r="DYY93" s="60"/>
      <c r="DZN93" s="63" t="s">
        <v>882</v>
      </c>
      <c r="DZO93" s="60"/>
      <c r="EAD93" s="63" t="s">
        <v>882</v>
      </c>
      <c r="EAE93" s="60"/>
      <c r="EAT93" s="63" t="s">
        <v>882</v>
      </c>
      <c r="EAU93" s="60"/>
      <c r="EBJ93" s="63" t="s">
        <v>882</v>
      </c>
      <c r="EBK93" s="60"/>
      <c r="EBZ93" s="63" t="s">
        <v>882</v>
      </c>
      <c r="ECA93" s="60"/>
      <c r="ECP93" s="63" t="s">
        <v>882</v>
      </c>
      <c r="ECQ93" s="60"/>
      <c r="EDF93" s="63" t="s">
        <v>882</v>
      </c>
      <c r="EDG93" s="60"/>
      <c r="EDV93" s="63" t="s">
        <v>882</v>
      </c>
      <c r="EDW93" s="60"/>
      <c r="EEL93" s="63" t="s">
        <v>882</v>
      </c>
      <c r="EEM93" s="60"/>
      <c r="EFB93" s="63" t="s">
        <v>882</v>
      </c>
      <c r="EFC93" s="60"/>
      <c r="EFR93" s="63" t="s">
        <v>882</v>
      </c>
      <c r="EFS93" s="60"/>
      <c r="EGH93" s="63" t="s">
        <v>882</v>
      </c>
      <c r="EGI93" s="60"/>
      <c r="EGX93" s="63" t="s">
        <v>882</v>
      </c>
      <c r="EGY93" s="60"/>
      <c r="EHN93" s="63" t="s">
        <v>882</v>
      </c>
      <c r="EHO93" s="60"/>
      <c r="EID93" s="63" t="s">
        <v>882</v>
      </c>
      <c r="EIE93" s="60"/>
      <c r="EIT93" s="63" t="s">
        <v>882</v>
      </c>
      <c r="EIU93" s="60"/>
      <c r="EJJ93" s="63" t="s">
        <v>882</v>
      </c>
      <c r="EJK93" s="60"/>
      <c r="EJZ93" s="63" t="s">
        <v>882</v>
      </c>
      <c r="EKA93" s="60"/>
      <c r="EKP93" s="63" t="s">
        <v>882</v>
      </c>
      <c r="EKQ93" s="60"/>
      <c r="ELF93" s="63" t="s">
        <v>882</v>
      </c>
      <c r="ELG93" s="60"/>
      <c r="ELV93" s="63" t="s">
        <v>882</v>
      </c>
      <c r="ELW93" s="60"/>
      <c r="EML93" s="63" t="s">
        <v>882</v>
      </c>
      <c r="EMM93" s="60"/>
      <c r="ENB93" s="63" t="s">
        <v>882</v>
      </c>
      <c r="ENC93" s="60"/>
      <c r="ENR93" s="63" t="s">
        <v>882</v>
      </c>
      <c r="ENS93" s="60"/>
      <c r="EOH93" s="63" t="s">
        <v>882</v>
      </c>
      <c r="EOI93" s="60"/>
      <c r="EOX93" s="63" t="s">
        <v>882</v>
      </c>
      <c r="EOY93" s="60"/>
      <c r="EPN93" s="63" t="s">
        <v>882</v>
      </c>
      <c r="EPO93" s="60"/>
      <c r="EQD93" s="63" t="s">
        <v>882</v>
      </c>
      <c r="EQE93" s="60"/>
      <c r="EQT93" s="63" t="s">
        <v>882</v>
      </c>
      <c r="EQU93" s="60"/>
      <c r="ERJ93" s="63" t="s">
        <v>882</v>
      </c>
      <c r="ERK93" s="60"/>
      <c r="ERZ93" s="63" t="s">
        <v>882</v>
      </c>
      <c r="ESA93" s="60"/>
      <c r="ESP93" s="63" t="s">
        <v>882</v>
      </c>
      <c r="ESQ93" s="60"/>
      <c r="ETF93" s="63" t="s">
        <v>882</v>
      </c>
      <c r="ETG93" s="60"/>
      <c r="ETV93" s="63" t="s">
        <v>882</v>
      </c>
      <c r="ETW93" s="60"/>
      <c r="EUL93" s="63" t="s">
        <v>882</v>
      </c>
      <c r="EUM93" s="60"/>
      <c r="EVB93" s="63" t="s">
        <v>882</v>
      </c>
      <c r="EVC93" s="60"/>
      <c r="EVR93" s="63" t="s">
        <v>882</v>
      </c>
      <c r="EVS93" s="60"/>
      <c r="EWH93" s="63" t="s">
        <v>882</v>
      </c>
      <c r="EWI93" s="60"/>
      <c r="EWX93" s="63" t="s">
        <v>882</v>
      </c>
      <c r="EWY93" s="60"/>
      <c r="EXN93" s="63" t="s">
        <v>882</v>
      </c>
      <c r="EXO93" s="60"/>
      <c r="EYD93" s="63" t="s">
        <v>882</v>
      </c>
      <c r="EYE93" s="60"/>
      <c r="EYT93" s="63" t="s">
        <v>882</v>
      </c>
      <c r="EYU93" s="60"/>
      <c r="EZJ93" s="63" t="s">
        <v>882</v>
      </c>
      <c r="EZK93" s="60"/>
      <c r="EZZ93" s="63" t="s">
        <v>882</v>
      </c>
      <c r="FAA93" s="60"/>
      <c r="FAP93" s="63" t="s">
        <v>882</v>
      </c>
      <c r="FAQ93" s="60"/>
      <c r="FBF93" s="63" t="s">
        <v>882</v>
      </c>
      <c r="FBG93" s="60"/>
      <c r="FBV93" s="63" t="s">
        <v>882</v>
      </c>
      <c r="FBW93" s="60"/>
      <c r="FCL93" s="63" t="s">
        <v>882</v>
      </c>
      <c r="FCM93" s="60"/>
      <c r="FDB93" s="63" t="s">
        <v>882</v>
      </c>
      <c r="FDC93" s="60"/>
      <c r="FDR93" s="63" t="s">
        <v>882</v>
      </c>
      <c r="FDS93" s="60"/>
      <c r="FEH93" s="63" t="s">
        <v>882</v>
      </c>
      <c r="FEI93" s="60"/>
      <c r="FEX93" s="63" t="s">
        <v>882</v>
      </c>
      <c r="FEY93" s="60"/>
      <c r="FFN93" s="63" t="s">
        <v>882</v>
      </c>
      <c r="FFO93" s="60"/>
      <c r="FGD93" s="63" t="s">
        <v>882</v>
      </c>
      <c r="FGE93" s="60"/>
      <c r="FGT93" s="63" t="s">
        <v>882</v>
      </c>
      <c r="FGU93" s="60"/>
      <c r="FHJ93" s="63" t="s">
        <v>882</v>
      </c>
      <c r="FHK93" s="60"/>
      <c r="FHZ93" s="63" t="s">
        <v>882</v>
      </c>
      <c r="FIA93" s="60"/>
      <c r="FIP93" s="63" t="s">
        <v>882</v>
      </c>
      <c r="FIQ93" s="60"/>
      <c r="FJF93" s="63" t="s">
        <v>882</v>
      </c>
      <c r="FJG93" s="60"/>
      <c r="FJV93" s="63" t="s">
        <v>882</v>
      </c>
      <c r="FJW93" s="60"/>
      <c r="FKL93" s="63" t="s">
        <v>882</v>
      </c>
      <c r="FKM93" s="60"/>
      <c r="FLB93" s="63" t="s">
        <v>882</v>
      </c>
      <c r="FLC93" s="60"/>
      <c r="FLR93" s="63" t="s">
        <v>882</v>
      </c>
      <c r="FLS93" s="60"/>
      <c r="FMH93" s="63" t="s">
        <v>882</v>
      </c>
      <c r="FMI93" s="60"/>
      <c r="FMX93" s="63" t="s">
        <v>882</v>
      </c>
      <c r="FMY93" s="60"/>
      <c r="FNN93" s="63" t="s">
        <v>882</v>
      </c>
      <c r="FNO93" s="60"/>
      <c r="FOD93" s="63" t="s">
        <v>882</v>
      </c>
      <c r="FOE93" s="60"/>
      <c r="FOT93" s="63" t="s">
        <v>882</v>
      </c>
      <c r="FOU93" s="60"/>
      <c r="FPJ93" s="63" t="s">
        <v>882</v>
      </c>
      <c r="FPK93" s="60"/>
      <c r="FPZ93" s="63" t="s">
        <v>882</v>
      </c>
      <c r="FQA93" s="60"/>
      <c r="FQP93" s="63" t="s">
        <v>882</v>
      </c>
      <c r="FQQ93" s="60"/>
      <c r="FRF93" s="63" t="s">
        <v>882</v>
      </c>
      <c r="FRG93" s="60"/>
      <c r="FRV93" s="63" t="s">
        <v>882</v>
      </c>
      <c r="FRW93" s="60"/>
      <c r="FSL93" s="63" t="s">
        <v>882</v>
      </c>
      <c r="FSM93" s="60"/>
      <c r="FTB93" s="63" t="s">
        <v>882</v>
      </c>
      <c r="FTC93" s="60"/>
      <c r="FTR93" s="63" t="s">
        <v>882</v>
      </c>
      <c r="FTS93" s="60"/>
      <c r="FUH93" s="63" t="s">
        <v>882</v>
      </c>
      <c r="FUI93" s="60"/>
      <c r="FUX93" s="63" t="s">
        <v>882</v>
      </c>
      <c r="FUY93" s="60"/>
      <c r="FVN93" s="63" t="s">
        <v>882</v>
      </c>
      <c r="FVO93" s="60"/>
      <c r="FWD93" s="63" t="s">
        <v>882</v>
      </c>
      <c r="FWE93" s="60"/>
      <c r="FWT93" s="63" t="s">
        <v>882</v>
      </c>
      <c r="FWU93" s="60"/>
      <c r="FXJ93" s="63" t="s">
        <v>882</v>
      </c>
      <c r="FXK93" s="60"/>
      <c r="FXZ93" s="63" t="s">
        <v>882</v>
      </c>
      <c r="FYA93" s="60"/>
      <c r="FYP93" s="63" t="s">
        <v>882</v>
      </c>
      <c r="FYQ93" s="60"/>
      <c r="FZF93" s="63" t="s">
        <v>882</v>
      </c>
      <c r="FZG93" s="60"/>
      <c r="FZV93" s="63" t="s">
        <v>882</v>
      </c>
      <c r="FZW93" s="60"/>
      <c r="GAL93" s="63" t="s">
        <v>882</v>
      </c>
      <c r="GAM93" s="60"/>
      <c r="GBB93" s="63" t="s">
        <v>882</v>
      </c>
      <c r="GBC93" s="60"/>
      <c r="GBR93" s="63" t="s">
        <v>882</v>
      </c>
      <c r="GBS93" s="60"/>
      <c r="GCH93" s="63" t="s">
        <v>882</v>
      </c>
      <c r="GCI93" s="60"/>
      <c r="GCX93" s="63" t="s">
        <v>882</v>
      </c>
      <c r="GCY93" s="60"/>
      <c r="GDN93" s="63" t="s">
        <v>882</v>
      </c>
      <c r="GDO93" s="60"/>
      <c r="GED93" s="63" t="s">
        <v>882</v>
      </c>
      <c r="GEE93" s="60"/>
      <c r="GET93" s="63" t="s">
        <v>882</v>
      </c>
      <c r="GEU93" s="60"/>
      <c r="GFJ93" s="63" t="s">
        <v>882</v>
      </c>
      <c r="GFK93" s="60"/>
      <c r="GFZ93" s="63" t="s">
        <v>882</v>
      </c>
      <c r="GGA93" s="60"/>
      <c r="GGP93" s="63" t="s">
        <v>882</v>
      </c>
      <c r="GGQ93" s="60"/>
      <c r="GHF93" s="63" t="s">
        <v>882</v>
      </c>
      <c r="GHG93" s="60"/>
      <c r="GHV93" s="63" t="s">
        <v>882</v>
      </c>
      <c r="GHW93" s="60"/>
      <c r="GIL93" s="63" t="s">
        <v>882</v>
      </c>
      <c r="GIM93" s="60"/>
      <c r="GJB93" s="63" t="s">
        <v>882</v>
      </c>
      <c r="GJC93" s="60"/>
      <c r="GJR93" s="63" t="s">
        <v>882</v>
      </c>
      <c r="GJS93" s="60"/>
      <c r="GKH93" s="63" t="s">
        <v>882</v>
      </c>
      <c r="GKI93" s="60"/>
      <c r="GKX93" s="63" t="s">
        <v>882</v>
      </c>
      <c r="GKY93" s="60"/>
      <c r="GLN93" s="63" t="s">
        <v>882</v>
      </c>
      <c r="GLO93" s="60"/>
      <c r="GMD93" s="63" t="s">
        <v>882</v>
      </c>
      <c r="GME93" s="60"/>
      <c r="GMT93" s="63" t="s">
        <v>882</v>
      </c>
      <c r="GMU93" s="60"/>
      <c r="GNJ93" s="63" t="s">
        <v>882</v>
      </c>
      <c r="GNK93" s="60"/>
      <c r="GNZ93" s="63" t="s">
        <v>882</v>
      </c>
      <c r="GOA93" s="60"/>
      <c r="GOP93" s="63" t="s">
        <v>882</v>
      </c>
      <c r="GOQ93" s="60"/>
      <c r="GPF93" s="63" t="s">
        <v>882</v>
      </c>
      <c r="GPG93" s="60"/>
      <c r="GPV93" s="63" t="s">
        <v>882</v>
      </c>
      <c r="GPW93" s="60"/>
      <c r="GQL93" s="63" t="s">
        <v>882</v>
      </c>
      <c r="GQM93" s="60"/>
      <c r="GRB93" s="63" t="s">
        <v>882</v>
      </c>
      <c r="GRC93" s="60"/>
      <c r="GRR93" s="63" t="s">
        <v>882</v>
      </c>
      <c r="GRS93" s="60"/>
      <c r="GSH93" s="63" t="s">
        <v>882</v>
      </c>
      <c r="GSI93" s="60"/>
      <c r="GSX93" s="63" t="s">
        <v>882</v>
      </c>
      <c r="GSY93" s="60"/>
      <c r="GTN93" s="63" t="s">
        <v>882</v>
      </c>
      <c r="GTO93" s="60"/>
      <c r="GUD93" s="63" t="s">
        <v>882</v>
      </c>
      <c r="GUE93" s="60"/>
      <c r="GUT93" s="63" t="s">
        <v>882</v>
      </c>
      <c r="GUU93" s="60"/>
      <c r="GVJ93" s="63" t="s">
        <v>882</v>
      </c>
      <c r="GVK93" s="60"/>
      <c r="GVZ93" s="63" t="s">
        <v>882</v>
      </c>
      <c r="GWA93" s="60"/>
      <c r="GWP93" s="63" t="s">
        <v>882</v>
      </c>
      <c r="GWQ93" s="60"/>
      <c r="GXF93" s="63" t="s">
        <v>882</v>
      </c>
      <c r="GXG93" s="60"/>
      <c r="GXV93" s="63" t="s">
        <v>882</v>
      </c>
      <c r="GXW93" s="60"/>
      <c r="GYL93" s="63" t="s">
        <v>882</v>
      </c>
      <c r="GYM93" s="60"/>
      <c r="GZB93" s="63" t="s">
        <v>882</v>
      </c>
      <c r="GZC93" s="60"/>
      <c r="GZR93" s="63" t="s">
        <v>882</v>
      </c>
      <c r="GZS93" s="60"/>
      <c r="HAH93" s="63" t="s">
        <v>882</v>
      </c>
      <c r="HAI93" s="60"/>
      <c r="HAX93" s="63" t="s">
        <v>882</v>
      </c>
      <c r="HAY93" s="60"/>
      <c r="HBN93" s="63" t="s">
        <v>882</v>
      </c>
      <c r="HBO93" s="60"/>
      <c r="HCD93" s="63" t="s">
        <v>882</v>
      </c>
      <c r="HCE93" s="60"/>
      <c r="HCT93" s="63" t="s">
        <v>882</v>
      </c>
      <c r="HCU93" s="60"/>
      <c r="HDJ93" s="63" t="s">
        <v>882</v>
      </c>
      <c r="HDK93" s="60"/>
      <c r="HDZ93" s="63" t="s">
        <v>882</v>
      </c>
      <c r="HEA93" s="60"/>
      <c r="HEP93" s="63" t="s">
        <v>882</v>
      </c>
      <c r="HEQ93" s="60"/>
      <c r="HFF93" s="63" t="s">
        <v>882</v>
      </c>
      <c r="HFG93" s="60"/>
      <c r="HFV93" s="63" t="s">
        <v>882</v>
      </c>
      <c r="HFW93" s="60"/>
      <c r="HGL93" s="63" t="s">
        <v>882</v>
      </c>
      <c r="HGM93" s="60"/>
      <c r="HHB93" s="63" t="s">
        <v>882</v>
      </c>
      <c r="HHC93" s="60"/>
      <c r="HHR93" s="63" t="s">
        <v>882</v>
      </c>
      <c r="HHS93" s="60"/>
      <c r="HIH93" s="63" t="s">
        <v>882</v>
      </c>
      <c r="HII93" s="60"/>
      <c r="HIX93" s="63" t="s">
        <v>882</v>
      </c>
      <c r="HIY93" s="60"/>
      <c r="HJN93" s="63" t="s">
        <v>882</v>
      </c>
      <c r="HJO93" s="60"/>
      <c r="HKD93" s="63" t="s">
        <v>882</v>
      </c>
      <c r="HKE93" s="60"/>
      <c r="HKT93" s="63" t="s">
        <v>882</v>
      </c>
      <c r="HKU93" s="60"/>
      <c r="HLJ93" s="63" t="s">
        <v>882</v>
      </c>
      <c r="HLK93" s="60"/>
      <c r="HLZ93" s="63" t="s">
        <v>882</v>
      </c>
      <c r="HMA93" s="60"/>
      <c r="HMP93" s="63" t="s">
        <v>882</v>
      </c>
      <c r="HMQ93" s="60"/>
      <c r="HNF93" s="63" t="s">
        <v>882</v>
      </c>
      <c r="HNG93" s="60"/>
      <c r="HNV93" s="63" t="s">
        <v>882</v>
      </c>
      <c r="HNW93" s="60"/>
      <c r="HOL93" s="63" t="s">
        <v>882</v>
      </c>
      <c r="HOM93" s="60"/>
      <c r="HPB93" s="63" t="s">
        <v>882</v>
      </c>
      <c r="HPC93" s="60"/>
      <c r="HPR93" s="63" t="s">
        <v>882</v>
      </c>
      <c r="HPS93" s="60"/>
      <c r="HQH93" s="63" t="s">
        <v>882</v>
      </c>
      <c r="HQI93" s="60"/>
      <c r="HQX93" s="63" t="s">
        <v>882</v>
      </c>
      <c r="HQY93" s="60"/>
      <c r="HRN93" s="63" t="s">
        <v>882</v>
      </c>
      <c r="HRO93" s="60"/>
      <c r="HSD93" s="63" t="s">
        <v>882</v>
      </c>
      <c r="HSE93" s="60"/>
      <c r="HST93" s="63" t="s">
        <v>882</v>
      </c>
      <c r="HSU93" s="60"/>
      <c r="HTJ93" s="63" t="s">
        <v>882</v>
      </c>
      <c r="HTK93" s="60"/>
      <c r="HTZ93" s="63" t="s">
        <v>882</v>
      </c>
      <c r="HUA93" s="60"/>
      <c r="HUP93" s="63" t="s">
        <v>882</v>
      </c>
      <c r="HUQ93" s="60"/>
      <c r="HVF93" s="63" t="s">
        <v>882</v>
      </c>
      <c r="HVG93" s="60"/>
      <c r="HVV93" s="63" t="s">
        <v>882</v>
      </c>
      <c r="HVW93" s="60"/>
      <c r="HWL93" s="63" t="s">
        <v>882</v>
      </c>
      <c r="HWM93" s="60"/>
      <c r="HXB93" s="63" t="s">
        <v>882</v>
      </c>
      <c r="HXC93" s="60"/>
      <c r="HXR93" s="63" t="s">
        <v>882</v>
      </c>
      <c r="HXS93" s="60"/>
      <c r="HYH93" s="63" t="s">
        <v>882</v>
      </c>
      <c r="HYI93" s="60"/>
      <c r="HYX93" s="63" t="s">
        <v>882</v>
      </c>
      <c r="HYY93" s="60"/>
      <c r="HZN93" s="63" t="s">
        <v>882</v>
      </c>
      <c r="HZO93" s="60"/>
      <c r="IAD93" s="63" t="s">
        <v>882</v>
      </c>
      <c r="IAE93" s="60"/>
      <c r="IAT93" s="63" t="s">
        <v>882</v>
      </c>
      <c r="IAU93" s="60"/>
      <c r="IBJ93" s="63" t="s">
        <v>882</v>
      </c>
      <c r="IBK93" s="60"/>
      <c r="IBZ93" s="63" t="s">
        <v>882</v>
      </c>
      <c r="ICA93" s="60"/>
      <c r="ICP93" s="63" t="s">
        <v>882</v>
      </c>
      <c r="ICQ93" s="60"/>
      <c r="IDF93" s="63" t="s">
        <v>882</v>
      </c>
      <c r="IDG93" s="60"/>
      <c r="IDV93" s="63" t="s">
        <v>882</v>
      </c>
      <c r="IDW93" s="60"/>
      <c r="IEL93" s="63" t="s">
        <v>882</v>
      </c>
      <c r="IEM93" s="60"/>
      <c r="IFB93" s="63" t="s">
        <v>882</v>
      </c>
      <c r="IFC93" s="60"/>
      <c r="IFR93" s="63" t="s">
        <v>882</v>
      </c>
      <c r="IFS93" s="60"/>
      <c r="IGH93" s="63" t="s">
        <v>882</v>
      </c>
      <c r="IGI93" s="60"/>
      <c r="IGX93" s="63" t="s">
        <v>882</v>
      </c>
      <c r="IGY93" s="60"/>
      <c r="IHN93" s="63" t="s">
        <v>882</v>
      </c>
      <c r="IHO93" s="60"/>
      <c r="IID93" s="63" t="s">
        <v>882</v>
      </c>
      <c r="IIE93" s="60"/>
      <c r="IIT93" s="63" t="s">
        <v>882</v>
      </c>
      <c r="IIU93" s="60"/>
      <c r="IJJ93" s="63" t="s">
        <v>882</v>
      </c>
      <c r="IJK93" s="60"/>
      <c r="IJZ93" s="63" t="s">
        <v>882</v>
      </c>
      <c r="IKA93" s="60"/>
      <c r="IKP93" s="63" t="s">
        <v>882</v>
      </c>
      <c r="IKQ93" s="60"/>
      <c r="ILF93" s="63" t="s">
        <v>882</v>
      </c>
      <c r="ILG93" s="60"/>
      <c r="ILV93" s="63" t="s">
        <v>882</v>
      </c>
      <c r="ILW93" s="60"/>
      <c r="IML93" s="63" t="s">
        <v>882</v>
      </c>
      <c r="IMM93" s="60"/>
      <c r="INB93" s="63" t="s">
        <v>882</v>
      </c>
      <c r="INC93" s="60"/>
      <c r="INR93" s="63" t="s">
        <v>882</v>
      </c>
      <c r="INS93" s="60"/>
      <c r="IOH93" s="63" t="s">
        <v>882</v>
      </c>
      <c r="IOI93" s="60"/>
      <c r="IOX93" s="63" t="s">
        <v>882</v>
      </c>
      <c r="IOY93" s="60"/>
      <c r="IPN93" s="63" t="s">
        <v>882</v>
      </c>
      <c r="IPO93" s="60"/>
      <c r="IQD93" s="63" t="s">
        <v>882</v>
      </c>
      <c r="IQE93" s="60"/>
      <c r="IQT93" s="63" t="s">
        <v>882</v>
      </c>
      <c r="IQU93" s="60"/>
      <c r="IRJ93" s="63" t="s">
        <v>882</v>
      </c>
      <c r="IRK93" s="60"/>
      <c r="IRZ93" s="63" t="s">
        <v>882</v>
      </c>
      <c r="ISA93" s="60"/>
      <c r="ISP93" s="63" t="s">
        <v>882</v>
      </c>
      <c r="ISQ93" s="60"/>
      <c r="ITF93" s="63" t="s">
        <v>882</v>
      </c>
      <c r="ITG93" s="60"/>
      <c r="ITV93" s="63" t="s">
        <v>882</v>
      </c>
      <c r="ITW93" s="60"/>
      <c r="IUL93" s="63" t="s">
        <v>882</v>
      </c>
      <c r="IUM93" s="60"/>
      <c r="IVB93" s="63" t="s">
        <v>882</v>
      </c>
      <c r="IVC93" s="60"/>
      <c r="IVR93" s="63" t="s">
        <v>882</v>
      </c>
      <c r="IVS93" s="60"/>
      <c r="IWH93" s="63" t="s">
        <v>882</v>
      </c>
      <c r="IWI93" s="60"/>
      <c r="IWX93" s="63" t="s">
        <v>882</v>
      </c>
      <c r="IWY93" s="60"/>
      <c r="IXN93" s="63" t="s">
        <v>882</v>
      </c>
      <c r="IXO93" s="60"/>
      <c r="IYD93" s="63" t="s">
        <v>882</v>
      </c>
      <c r="IYE93" s="60"/>
      <c r="IYT93" s="63" t="s">
        <v>882</v>
      </c>
      <c r="IYU93" s="60"/>
      <c r="IZJ93" s="63" t="s">
        <v>882</v>
      </c>
      <c r="IZK93" s="60"/>
      <c r="IZZ93" s="63" t="s">
        <v>882</v>
      </c>
      <c r="JAA93" s="60"/>
      <c r="JAP93" s="63" t="s">
        <v>882</v>
      </c>
      <c r="JAQ93" s="60"/>
      <c r="JBF93" s="63" t="s">
        <v>882</v>
      </c>
      <c r="JBG93" s="60"/>
      <c r="JBV93" s="63" t="s">
        <v>882</v>
      </c>
      <c r="JBW93" s="60"/>
      <c r="JCL93" s="63" t="s">
        <v>882</v>
      </c>
      <c r="JCM93" s="60"/>
      <c r="JDB93" s="63" t="s">
        <v>882</v>
      </c>
      <c r="JDC93" s="60"/>
      <c r="JDR93" s="63" t="s">
        <v>882</v>
      </c>
      <c r="JDS93" s="60"/>
      <c r="JEH93" s="63" t="s">
        <v>882</v>
      </c>
      <c r="JEI93" s="60"/>
      <c r="JEX93" s="63" t="s">
        <v>882</v>
      </c>
      <c r="JEY93" s="60"/>
      <c r="JFN93" s="63" t="s">
        <v>882</v>
      </c>
      <c r="JFO93" s="60"/>
      <c r="JGD93" s="63" t="s">
        <v>882</v>
      </c>
      <c r="JGE93" s="60"/>
      <c r="JGT93" s="63" t="s">
        <v>882</v>
      </c>
      <c r="JGU93" s="60"/>
      <c r="JHJ93" s="63" t="s">
        <v>882</v>
      </c>
      <c r="JHK93" s="60"/>
      <c r="JHZ93" s="63" t="s">
        <v>882</v>
      </c>
      <c r="JIA93" s="60"/>
      <c r="JIP93" s="63" t="s">
        <v>882</v>
      </c>
      <c r="JIQ93" s="60"/>
      <c r="JJF93" s="63" t="s">
        <v>882</v>
      </c>
      <c r="JJG93" s="60"/>
      <c r="JJV93" s="63" t="s">
        <v>882</v>
      </c>
      <c r="JJW93" s="60"/>
      <c r="JKL93" s="63" t="s">
        <v>882</v>
      </c>
      <c r="JKM93" s="60"/>
      <c r="JLB93" s="63" t="s">
        <v>882</v>
      </c>
      <c r="JLC93" s="60"/>
      <c r="JLR93" s="63" t="s">
        <v>882</v>
      </c>
      <c r="JLS93" s="60"/>
      <c r="JMH93" s="63" t="s">
        <v>882</v>
      </c>
      <c r="JMI93" s="60"/>
      <c r="JMX93" s="63" t="s">
        <v>882</v>
      </c>
      <c r="JMY93" s="60"/>
      <c r="JNN93" s="63" t="s">
        <v>882</v>
      </c>
      <c r="JNO93" s="60"/>
      <c r="JOD93" s="63" t="s">
        <v>882</v>
      </c>
      <c r="JOE93" s="60"/>
      <c r="JOT93" s="63" t="s">
        <v>882</v>
      </c>
      <c r="JOU93" s="60"/>
      <c r="JPJ93" s="63" t="s">
        <v>882</v>
      </c>
      <c r="JPK93" s="60"/>
      <c r="JPZ93" s="63" t="s">
        <v>882</v>
      </c>
      <c r="JQA93" s="60"/>
      <c r="JQP93" s="63" t="s">
        <v>882</v>
      </c>
      <c r="JQQ93" s="60"/>
      <c r="JRF93" s="63" t="s">
        <v>882</v>
      </c>
      <c r="JRG93" s="60"/>
      <c r="JRV93" s="63" t="s">
        <v>882</v>
      </c>
      <c r="JRW93" s="60"/>
      <c r="JSL93" s="63" t="s">
        <v>882</v>
      </c>
      <c r="JSM93" s="60"/>
      <c r="JTB93" s="63" t="s">
        <v>882</v>
      </c>
      <c r="JTC93" s="60"/>
      <c r="JTR93" s="63" t="s">
        <v>882</v>
      </c>
      <c r="JTS93" s="60"/>
      <c r="JUH93" s="63" t="s">
        <v>882</v>
      </c>
      <c r="JUI93" s="60"/>
      <c r="JUX93" s="63" t="s">
        <v>882</v>
      </c>
      <c r="JUY93" s="60"/>
      <c r="JVN93" s="63" t="s">
        <v>882</v>
      </c>
      <c r="JVO93" s="60"/>
      <c r="JWD93" s="63" t="s">
        <v>882</v>
      </c>
      <c r="JWE93" s="60"/>
      <c r="JWT93" s="63" t="s">
        <v>882</v>
      </c>
      <c r="JWU93" s="60"/>
      <c r="JXJ93" s="63" t="s">
        <v>882</v>
      </c>
      <c r="JXK93" s="60"/>
      <c r="JXZ93" s="63" t="s">
        <v>882</v>
      </c>
      <c r="JYA93" s="60"/>
      <c r="JYP93" s="63" t="s">
        <v>882</v>
      </c>
      <c r="JYQ93" s="60"/>
      <c r="JZF93" s="63" t="s">
        <v>882</v>
      </c>
      <c r="JZG93" s="60"/>
      <c r="JZV93" s="63" t="s">
        <v>882</v>
      </c>
      <c r="JZW93" s="60"/>
      <c r="KAL93" s="63" t="s">
        <v>882</v>
      </c>
      <c r="KAM93" s="60"/>
      <c r="KBB93" s="63" t="s">
        <v>882</v>
      </c>
      <c r="KBC93" s="60"/>
      <c r="KBR93" s="63" t="s">
        <v>882</v>
      </c>
      <c r="KBS93" s="60"/>
      <c r="KCH93" s="63" t="s">
        <v>882</v>
      </c>
      <c r="KCI93" s="60"/>
      <c r="KCX93" s="63" t="s">
        <v>882</v>
      </c>
      <c r="KCY93" s="60"/>
      <c r="KDN93" s="63" t="s">
        <v>882</v>
      </c>
      <c r="KDO93" s="60"/>
      <c r="KED93" s="63" t="s">
        <v>882</v>
      </c>
      <c r="KEE93" s="60"/>
      <c r="KET93" s="63" t="s">
        <v>882</v>
      </c>
      <c r="KEU93" s="60"/>
      <c r="KFJ93" s="63" t="s">
        <v>882</v>
      </c>
      <c r="KFK93" s="60"/>
      <c r="KFZ93" s="63" t="s">
        <v>882</v>
      </c>
      <c r="KGA93" s="60"/>
      <c r="KGP93" s="63" t="s">
        <v>882</v>
      </c>
      <c r="KGQ93" s="60"/>
      <c r="KHF93" s="63" t="s">
        <v>882</v>
      </c>
      <c r="KHG93" s="60"/>
      <c r="KHV93" s="63" t="s">
        <v>882</v>
      </c>
      <c r="KHW93" s="60"/>
      <c r="KIL93" s="63" t="s">
        <v>882</v>
      </c>
      <c r="KIM93" s="60"/>
      <c r="KJB93" s="63" t="s">
        <v>882</v>
      </c>
      <c r="KJC93" s="60"/>
      <c r="KJR93" s="63" t="s">
        <v>882</v>
      </c>
      <c r="KJS93" s="60"/>
      <c r="KKH93" s="63" t="s">
        <v>882</v>
      </c>
      <c r="KKI93" s="60"/>
      <c r="KKX93" s="63" t="s">
        <v>882</v>
      </c>
      <c r="KKY93" s="60"/>
      <c r="KLN93" s="63" t="s">
        <v>882</v>
      </c>
      <c r="KLO93" s="60"/>
      <c r="KMD93" s="63" t="s">
        <v>882</v>
      </c>
      <c r="KME93" s="60"/>
      <c r="KMT93" s="63" t="s">
        <v>882</v>
      </c>
      <c r="KMU93" s="60"/>
      <c r="KNJ93" s="63" t="s">
        <v>882</v>
      </c>
      <c r="KNK93" s="60"/>
      <c r="KNZ93" s="63" t="s">
        <v>882</v>
      </c>
      <c r="KOA93" s="60"/>
      <c r="KOP93" s="63" t="s">
        <v>882</v>
      </c>
      <c r="KOQ93" s="60"/>
      <c r="KPF93" s="63" t="s">
        <v>882</v>
      </c>
      <c r="KPG93" s="60"/>
      <c r="KPV93" s="63" t="s">
        <v>882</v>
      </c>
      <c r="KPW93" s="60"/>
      <c r="KQL93" s="63" t="s">
        <v>882</v>
      </c>
      <c r="KQM93" s="60"/>
      <c r="KRB93" s="63" t="s">
        <v>882</v>
      </c>
      <c r="KRC93" s="60"/>
      <c r="KRR93" s="63" t="s">
        <v>882</v>
      </c>
      <c r="KRS93" s="60"/>
      <c r="KSH93" s="63" t="s">
        <v>882</v>
      </c>
      <c r="KSI93" s="60"/>
      <c r="KSX93" s="63" t="s">
        <v>882</v>
      </c>
      <c r="KSY93" s="60"/>
      <c r="KTN93" s="63" t="s">
        <v>882</v>
      </c>
      <c r="KTO93" s="60"/>
      <c r="KUD93" s="63" t="s">
        <v>882</v>
      </c>
      <c r="KUE93" s="60"/>
      <c r="KUT93" s="63" t="s">
        <v>882</v>
      </c>
      <c r="KUU93" s="60"/>
      <c r="KVJ93" s="63" t="s">
        <v>882</v>
      </c>
      <c r="KVK93" s="60"/>
      <c r="KVZ93" s="63" t="s">
        <v>882</v>
      </c>
      <c r="KWA93" s="60"/>
      <c r="KWP93" s="63" t="s">
        <v>882</v>
      </c>
      <c r="KWQ93" s="60"/>
      <c r="KXF93" s="63" t="s">
        <v>882</v>
      </c>
      <c r="KXG93" s="60"/>
      <c r="KXV93" s="63" t="s">
        <v>882</v>
      </c>
      <c r="KXW93" s="60"/>
      <c r="KYL93" s="63" t="s">
        <v>882</v>
      </c>
      <c r="KYM93" s="60"/>
      <c r="KZB93" s="63" t="s">
        <v>882</v>
      </c>
      <c r="KZC93" s="60"/>
      <c r="KZR93" s="63" t="s">
        <v>882</v>
      </c>
      <c r="KZS93" s="60"/>
      <c r="LAH93" s="63" t="s">
        <v>882</v>
      </c>
      <c r="LAI93" s="60"/>
      <c r="LAX93" s="63" t="s">
        <v>882</v>
      </c>
      <c r="LAY93" s="60"/>
      <c r="LBN93" s="63" t="s">
        <v>882</v>
      </c>
      <c r="LBO93" s="60"/>
      <c r="LCD93" s="63" t="s">
        <v>882</v>
      </c>
      <c r="LCE93" s="60"/>
      <c r="LCT93" s="63" t="s">
        <v>882</v>
      </c>
      <c r="LCU93" s="60"/>
      <c r="LDJ93" s="63" t="s">
        <v>882</v>
      </c>
      <c r="LDK93" s="60"/>
      <c r="LDZ93" s="63" t="s">
        <v>882</v>
      </c>
      <c r="LEA93" s="60"/>
      <c r="LEP93" s="63" t="s">
        <v>882</v>
      </c>
      <c r="LEQ93" s="60"/>
      <c r="LFF93" s="63" t="s">
        <v>882</v>
      </c>
      <c r="LFG93" s="60"/>
      <c r="LFV93" s="63" t="s">
        <v>882</v>
      </c>
      <c r="LFW93" s="60"/>
      <c r="LGL93" s="63" t="s">
        <v>882</v>
      </c>
      <c r="LGM93" s="60"/>
      <c r="LHB93" s="63" t="s">
        <v>882</v>
      </c>
      <c r="LHC93" s="60"/>
      <c r="LHR93" s="63" t="s">
        <v>882</v>
      </c>
      <c r="LHS93" s="60"/>
      <c r="LIH93" s="63" t="s">
        <v>882</v>
      </c>
      <c r="LII93" s="60"/>
      <c r="LIX93" s="63" t="s">
        <v>882</v>
      </c>
      <c r="LIY93" s="60"/>
      <c r="LJN93" s="63" t="s">
        <v>882</v>
      </c>
      <c r="LJO93" s="60"/>
      <c r="LKD93" s="63" t="s">
        <v>882</v>
      </c>
      <c r="LKE93" s="60"/>
      <c r="LKT93" s="63" t="s">
        <v>882</v>
      </c>
      <c r="LKU93" s="60"/>
      <c r="LLJ93" s="63" t="s">
        <v>882</v>
      </c>
      <c r="LLK93" s="60"/>
      <c r="LLZ93" s="63" t="s">
        <v>882</v>
      </c>
      <c r="LMA93" s="60"/>
      <c r="LMP93" s="63" t="s">
        <v>882</v>
      </c>
      <c r="LMQ93" s="60"/>
      <c r="LNF93" s="63" t="s">
        <v>882</v>
      </c>
      <c r="LNG93" s="60"/>
      <c r="LNV93" s="63" t="s">
        <v>882</v>
      </c>
      <c r="LNW93" s="60"/>
      <c r="LOL93" s="63" t="s">
        <v>882</v>
      </c>
      <c r="LOM93" s="60"/>
      <c r="LPB93" s="63" t="s">
        <v>882</v>
      </c>
      <c r="LPC93" s="60"/>
      <c r="LPR93" s="63" t="s">
        <v>882</v>
      </c>
      <c r="LPS93" s="60"/>
      <c r="LQH93" s="63" t="s">
        <v>882</v>
      </c>
      <c r="LQI93" s="60"/>
      <c r="LQX93" s="63" t="s">
        <v>882</v>
      </c>
      <c r="LQY93" s="60"/>
      <c r="LRN93" s="63" t="s">
        <v>882</v>
      </c>
      <c r="LRO93" s="60"/>
      <c r="LSD93" s="63" t="s">
        <v>882</v>
      </c>
      <c r="LSE93" s="60"/>
      <c r="LST93" s="63" t="s">
        <v>882</v>
      </c>
      <c r="LSU93" s="60"/>
      <c r="LTJ93" s="63" t="s">
        <v>882</v>
      </c>
      <c r="LTK93" s="60"/>
      <c r="LTZ93" s="63" t="s">
        <v>882</v>
      </c>
      <c r="LUA93" s="60"/>
      <c r="LUP93" s="63" t="s">
        <v>882</v>
      </c>
      <c r="LUQ93" s="60"/>
      <c r="LVF93" s="63" t="s">
        <v>882</v>
      </c>
      <c r="LVG93" s="60"/>
      <c r="LVV93" s="63" t="s">
        <v>882</v>
      </c>
      <c r="LVW93" s="60"/>
      <c r="LWL93" s="63" t="s">
        <v>882</v>
      </c>
      <c r="LWM93" s="60"/>
      <c r="LXB93" s="63" t="s">
        <v>882</v>
      </c>
      <c r="LXC93" s="60"/>
      <c r="LXR93" s="63" t="s">
        <v>882</v>
      </c>
      <c r="LXS93" s="60"/>
      <c r="LYH93" s="63" t="s">
        <v>882</v>
      </c>
      <c r="LYI93" s="60"/>
      <c r="LYX93" s="63" t="s">
        <v>882</v>
      </c>
      <c r="LYY93" s="60"/>
      <c r="LZN93" s="63" t="s">
        <v>882</v>
      </c>
      <c r="LZO93" s="60"/>
      <c r="MAD93" s="63" t="s">
        <v>882</v>
      </c>
      <c r="MAE93" s="60"/>
      <c r="MAT93" s="63" t="s">
        <v>882</v>
      </c>
      <c r="MAU93" s="60"/>
      <c r="MBJ93" s="63" t="s">
        <v>882</v>
      </c>
      <c r="MBK93" s="60"/>
      <c r="MBZ93" s="63" t="s">
        <v>882</v>
      </c>
      <c r="MCA93" s="60"/>
      <c r="MCP93" s="63" t="s">
        <v>882</v>
      </c>
      <c r="MCQ93" s="60"/>
      <c r="MDF93" s="63" t="s">
        <v>882</v>
      </c>
      <c r="MDG93" s="60"/>
      <c r="MDV93" s="63" t="s">
        <v>882</v>
      </c>
      <c r="MDW93" s="60"/>
      <c r="MEL93" s="63" t="s">
        <v>882</v>
      </c>
      <c r="MEM93" s="60"/>
      <c r="MFB93" s="63" t="s">
        <v>882</v>
      </c>
      <c r="MFC93" s="60"/>
      <c r="MFR93" s="63" t="s">
        <v>882</v>
      </c>
      <c r="MFS93" s="60"/>
      <c r="MGH93" s="63" t="s">
        <v>882</v>
      </c>
      <c r="MGI93" s="60"/>
      <c r="MGX93" s="63" t="s">
        <v>882</v>
      </c>
      <c r="MGY93" s="60"/>
      <c r="MHN93" s="63" t="s">
        <v>882</v>
      </c>
      <c r="MHO93" s="60"/>
      <c r="MID93" s="63" t="s">
        <v>882</v>
      </c>
      <c r="MIE93" s="60"/>
      <c r="MIT93" s="63" t="s">
        <v>882</v>
      </c>
      <c r="MIU93" s="60"/>
      <c r="MJJ93" s="63" t="s">
        <v>882</v>
      </c>
      <c r="MJK93" s="60"/>
      <c r="MJZ93" s="63" t="s">
        <v>882</v>
      </c>
      <c r="MKA93" s="60"/>
      <c r="MKP93" s="63" t="s">
        <v>882</v>
      </c>
      <c r="MKQ93" s="60"/>
      <c r="MLF93" s="63" t="s">
        <v>882</v>
      </c>
      <c r="MLG93" s="60"/>
      <c r="MLV93" s="63" t="s">
        <v>882</v>
      </c>
      <c r="MLW93" s="60"/>
      <c r="MML93" s="63" t="s">
        <v>882</v>
      </c>
      <c r="MMM93" s="60"/>
      <c r="MNB93" s="63" t="s">
        <v>882</v>
      </c>
      <c r="MNC93" s="60"/>
      <c r="MNR93" s="63" t="s">
        <v>882</v>
      </c>
      <c r="MNS93" s="60"/>
      <c r="MOH93" s="63" t="s">
        <v>882</v>
      </c>
      <c r="MOI93" s="60"/>
      <c r="MOX93" s="63" t="s">
        <v>882</v>
      </c>
      <c r="MOY93" s="60"/>
      <c r="MPN93" s="63" t="s">
        <v>882</v>
      </c>
      <c r="MPO93" s="60"/>
      <c r="MQD93" s="63" t="s">
        <v>882</v>
      </c>
      <c r="MQE93" s="60"/>
      <c r="MQT93" s="63" t="s">
        <v>882</v>
      </c>
      <c r="MQU93" s="60"/>
      <c r="MRJ93" s="63" t="s">
        <v>882</v>
      </c>
      <c r="MRK93" s="60"/>
      <c r="MRZ93" s="63" t="s">
        <v>882</v>
      </c>
      <c r="MSA93" s="60"/>
      <c r="MSP93" s="63" t="s">
        <v>882</v>
      </c>
      <c r="MSQ93" s="60"/>
      <c r="MTF93" s="63" t="s">
        <v>882</v>
      </c>
      <c r="MTG93" s="60"/>
      <c r="MTV93" s="63" t="s">
        <v>882</v>
      </c>
      <c r="MTW93" s="60"/>
      <c r="MUL93" s="63" t="s">
        <v>882</v>
      </c>
      <c r="MUM93" s="60"/>
      <c r="MVB93" s="63" t="s">
        <v>882</v>
      </c>
      <c r="MVC93" s="60"/>
      <c r="MVR93" s="63" t="s">
        <v>882</v>
      </c>
      <c r="MVS93" s="60"/>
      <c r="MWH93" s="63" t="s">
        <v>882</v>
      </c>
      <c r="MWI93" s="60"/>
      <c r="MWX93" s="63" t="s">
        <v>882</v>
      </c>
      <c r="MWY93" s="60"/>
      <c r="MXN93" s="63" t="s">
        <v>882</v>
      </c>
      <c r="MXO93" s="60"/>
      <c r="MYD93" s="63" t="s">
        <v>882</v>
      </c>
      <c r="MYE93" s="60"/>
      <c r="MYT93" s="63" t="s">
        <v>882</v>
      </c>
      <c r="MYU93" s="60"/>
      <c r="MZJ93" s="63" t="s">
        <v>882</v>
      </c>
      <c r="MZK93" s="60"/>
      <c r="MZZ93" s="63" t="s">
        <v>882</v>
      </c>
      <c r="NAA93" s="60"/>
      <c r="NAP93" s="63" t="s">
        <v>882</v>
      </c>
      <c r="NAQ93" s="60"/>
      <c r="NBF93" s="63" t="s">
        <v>882</v>
      </c>
      <c r="NBG93" s="60"/>
      <c r="NBV93" s="63" t="s">
        <v>882</v>
      </c>
      <c r="NBW93" s="60"/>
      <c r="NCL93" s="63" t="s">
        <v>882</v>
      </c>
      <c r="NCM93" s="60"/>
      <c r="NDB93" s="63" t="s">
        <v>882</v>
      </c>
      <c r="NDC93" s="60"/>
      <c r="NDR93" s="63" t="s">
        <v>882</v>
      </c>
      <c r="NDS93" s="60"/>
      <c r="NEH93" s="63" t="s">
        <v>882</v>
      </c>
      <c r="NEI93" s="60"/>
      <c r="NEX93" s="63" t="s">
        <v>882</v>
      </c>
      <c r="NEY93" s="60"/>
      <c r="NFN93" s="63" t="s">
        <v>882</v>
      </c>
      <c r="NFO93" s="60"/>
      <c r="NGD93" s="63" t="s">
        <v>882</v>
      </c>
      <c r="NGE93" s="60"/>
      <c r="NGT93" s="63" t="s">
        <v>882</v>
      </c>
      <c r="NGU93" s="60"/>
      <c r="NHJ93" s="63" t="s">
        <v>882</v>
      </c>
      <c r="NHK93" s="60"/>
      <c r="NHZ93" s="63" t="s">
        <v>882</v>
      </c>
      <c r="NIA93" s="60"/>
      <c r="NIP93" s="63" t="s">
        <v>882</v>
      </c>
      <c r="NIQ93" s="60"/>
      <c r="NJF93" s="63" t="s">
        <v>882</v>
      </c>
      <c r="NJG93" s="60"/>
      <c r="NJV93" s="63" t="s">
        <v>882</v>
      </c>
      <c r="NJW93" s="60"/>
      <c r="NKL93" s="63" t="s">
        <v>882</v>
      </c>
      <c r="NKM93" s="60"/>
      <c r="NLB93" s="63" t="s">
        <v>882</v>
      </c>
      <c r="NLC93" s="60"/>
      <c r="NLR93" s="63" t="s">
        <v>882</v>
      </c>
      <c r="NLS93" s="60"/>
      <c r="NMH93" s="63" t="s">
        <v>882</v>
      </c>
      <c r="NMI93" s="60"/>
      <c r="NMX93" s="63" t="s">
        <v>882</v>
      </c>
      <c r="NMY93" s="60"/>
      <c r="NNN93" s="63" t="s">
        <v>882</v>
      </c>
      <c r="NNO93" s="60"/>
      <c r="NOD93" s="63" t="s">
        <v>882</v>
      </c>
      <c r="NOE93" s="60"/>
      <c r="NOT93" s="63" t="s">
        <v>882</v>
      </c>
      <c r="NOU93" s="60"/>
      <c r="NPJ93" s="63" t="s">
        <v>882</v>
      </c>
      <c r="NPK93" s="60"/>
      <c r="NPZ93" s="63" t="s">
        <v>882</v>
      </c>
      <c r="NQA93" s="60"/>
      <c r="NQP93" s="63" t="s">
        <v>882</v>
      </c>
      <c r="NQQ93" s="60"/>
      <c r="NRF93" s="63" t="s">
        <v>882</v>
      </c>
      <c r="NRG93" s="60"/>
      <c r="NRV93" s="63" t="s">
        <v>882</v>
      </c>
      <c r="NRW93" s="60"/>
      <c r="NSL93" s="63" t="s">
        <v>882</v>
      </c>
      <c r="NSM93" s="60"/>
      <c r="NTB93" s="63" t="s">
        <v>882</v>
      </c>
      <c r="NTC93" s="60"/>
      <c r="NTR93" s="63" t="s">
        <v>882</v>
      </c>
      <c r="NTS93" s="60"/>
      <c r="NUH93" s="63" t="s">
        <v>882</v>
      </c>
      <c r="NUI93" s="60"/>
      <c r="NUX93" s="63" t="s">
        <v>882</v>
      </c>
      <c r="NUY93" s="60"/>
      <c r="NVN93" s="63" t="s">
        <v>882</v>
      </c>
      <c r="NVO93" s="60"/>
      <c r="NWD93" s="63" t="s">
        <v>882</v>
      </c>
      <c r="NWE93" s="60"/>
      <c r="NWT93" s="63" t="s">
        <v>882</v>
      </c>
      <c r="NWU93" s="60"/>
      <c r="NXJ93" s="63" t="s">
        <v>882</v>
      </c>
      <c r="NXK93" s="60"/>
      <c r="NXZ93" s="63" t="s">
        <v>882</v>
      </c>
      <c r="NYA93" s="60"/>
      <c r="NYP93" s="63" t="s">
        <v>882</v>
      </c>
      <c r="NYQ93" s="60"/>
      <c r="NZF93" s="63" t="s">
        <v>882</v>
      </c>
      <c r="NZG93" s="60"/>
      <c r="NZV93" s="63" t="s">
        <v>882</v>
      </c>
      <c r="NZW93" s="60"/>
      <c r="OAL93" s="63" t="s">
        <v>882</v>
      </c>
      <c r="OAM93" s="60"/>
      <c r="OBB93" s="63" t="s">
        <v>882</v>
      </c>
      <c r="OBC93" s="60"/>
      <c r="OBR93" s="63" t="s">
        <v>882</v>
      </c>
      <c r="OBS93" s="60"/>
      <c r="OCH93" s="63" t="s">
        <v>882</v>
      </c>
      <c r="OCI93" s="60"/>
      <c r="OCX93" s="63" t="s">
        <v>882</v>
      </c>
      <c r="OCY93" s="60"/>
      <c r="ODN93" s="63" t="s">
        <v>882</v>
      </c>
      <c r="ODO93" s="60"/>
      <c r="OED93" s="63" t="s">
        <v>882</v>
      </c>
      <c r="OEE93" s="60"/>
      <c r="OET93" s="63" t="s">
        <v>882</v>
      </c>
      <c r="OEU93" s="60"/>
      <c r="OFJ93" s="63" t="s">
        <v>882</v>
      </c>
      <c r="OFK93" s="60"/>
      <c r="OFZ93" s="63" t="s">
        <v>882</v>
      </c>
      <c r="OGA93" s="60"/>
      <c r="OGP93" s="63" t="s">
        <v>882</v>
      </c>
      <c r="OGQ93" s="60"/>
      <c r="OHF93" s="63" t="s">
        <v>882</v>
      </c>
      <c r="OHG93" s="60"/>
      <c r="OHV93" s="63" t="s">
        <v>882</v>
      </c>
      <c r="OHW93" s="60"/>
      <c r="OIL93" s="63" t="s">
        <v>882</v>
      </c>
      <c r="OIM93" s="60"/>
      <c r="OJB93" s="63" t="s">
        <v>882</v>
      </c>
      <c r="OJC93" s="60"/>
      <c r="OJR93" s="63" t="s">
        <v>882</v>
      </c>
      <c r="OJS93" s="60"/>
      <c r="OKH93" s="63" t="s">
        <v>882</v>
      </c>
      <c r="OKI93" s="60"/>
      <c r="OKX93" s="63" t="s">
        <v>882</v>
      </c>
      <c r="OKY93" s="60"/>
      <c r="OLN93" s="63" t="s">
        <v>882</v>
      </c>
      <c r="OLO93" s="60"/>
      <c r="OMD93" s="63" t="s">
        <v>882</v>
      </c>
      <c r="OME93" s="60"/>
      <c r="OMT93" s="63" t="s">
        <v>882</v>
      </c>
      <c r="OMU93" s="60"/>
      <c r="ONJ93" s="63" t="s">
        <v>882</v>
      </c>
      <c r="ONK93" s="60"/>
      <c r="ONZ93" s="63" t="s">
        <v>882</v>
      </c>
      <c r="OOA93" s="60"/>
      <c r="OOP93" s="63" t="s">
        <v>882</v>
      </c>
      <c r="OOQ93" s="60"/>
      <c r="OPF93" s="63" t="s">
        <v>882</v>
      </c>
      <c r="OPG93" s="60"/>
      <c r="OPV93" s="63" t="s">
        <v>882</v>
      </c>
      <c r="OPW93" s="60"/>
      <c r="OQL93" s="63" t="s">
        <v>882</v>
      </c>
      <c r="OQM93" s="60"/>
      <c r="ORB93" s="63" t="s">
        <v>882</v>
      </c>
      <c r="ORC93" s="60"/>
      <c r="ORR93" s="63" t="s">
        <v>882</v>
      </c>
      <c r="ORS93" s="60"/>
      <c r="OSH93" s="63" t="s">
        <v>882</v>
      </c>
      <c r="OSI93" s="60"/>
      <c r="OSX93" s="63" t="s">
        <v>882</v>
      </c>
      <c r="OSY93" s="60"/>
      <c r="OTN93" s="63" t="s">
        <v>882</v>
      </c>
      <c r="OTO93" s="60"/>
      <c r="OUD93" s="63" t="s">
        <v>882</v>
      </c>
      <c r="OUE93" s="60"/>
      <c r="OUT93" s="63" t="s">
        <v>882</v>
      </c>
      <c r="OUU93" s="60"/>
      <c r="OVJ93" s="63" t="s">
        <v>882</v>
      </c>
      <c r="OVK93" s="60"/>
      <c r="OVZ93" s="63" t="s">
        <v>882</v>
      </c>
      <c r="OWA93" s="60"/>
      <c r="OWP93" s="63" t="s">
        <v>882</v>
      </c>
      <c r="OWQ93" s="60"/>
      <c r="OXF93" s="63" t="s">
        <v>882</v>
      </c>
      <c r="OXG93" s="60"/>
      <c r="OXV93" s="63" t="s">
        <v>882</v>
      </c>
      <c r="OXW93" s="60"/>
      <c r="OYL93" s="63" t="s">
        <v>882</v>
      </c>
      <c r="OYM93" s="60"/>
      <c r="OZB93" s="63" t="s">
        <v>882</v>
      </c>
      <c r="OZC93" s="60"/>
      <c r="OZR93" s="63" t="s">
        <v>882</v>
      </c>
      <c r="OZS93" s="60"/>
      <c r="PAH93" s="63" t="s">
        <v>882</v>
      </c>
      <c r="PAI93" s="60"/>
      <c r="PAX93" s="63" t="s">
        <v>882</v>
      </c>
      <c r="PAY93" s="60"/>
      <c r="PBN93" s="63" t="s">
        <v>882</v>
      </c>
      <c r="PBO93" s="60"/>
      <c r="PCD93" s="63" t="s">
        <v>882</v>
      </c>
      <c r="PCE93" s="60"/>
      <c r="PCT93" s="63" t="s">
        <v>882</v>
      </c>
      <c r="PCU93" s="60"/>
      <c r="PDJ93" s="63" t="s">
        <v>882</v>
      </c>
      <c r="PDK93" s="60"/>
      <c r="PDZ93" s="63" t="s">
        <v>882</v>
      </c>
      <c r="PEA93" s="60"/>
      <c r="PEP93" s="63" t="s">
        <v>882</v>
      </c>
      <c r="PEQ93" s="60"/>
      <c r="PFF93" s="63" t="s">
        <v>882</v>
      </c>
      <c r="PFG93" s="60"/>
      <c r="PFV93" s="63" t="s">
        <v>882</v>
      </c>
      <c r="PFW93" s="60"/>
      <c r="PGL93" s="63" t="s">
        <v>882</v>
      </c>
      <c r="PGM93" s="60"/>
      <c r="PHB93" s="63" t="s">
        <v>882</v>
      </c>
      <c r="PHC93" s="60"/>
      <c r="PHR93" s="63" t="s">
        <v>882</v>
      </c>
      <c r="PHS93" s="60"/>
      <c r="PIH93" s="63" t="s">
        <v>882</v>
      </c>
      <c r="PII93" s="60"/>
      <c r="PIX93" s="63" t="s">
        <v>882</v>
      </c>
      <c r="PIY93" s="60"/>
      <c r="PJN93" s="63" t="s">
        <v>882</v>
      </c>
      <c r="PJO93" s="60"/>
      <c r="PKD93" s="63" t="s">
        <v>882</v>
      </c>
      <c r="PKE93" s="60"/>
      <c r="PKT93" s="63" t="s">
        <v>882</v>
      </c>
      <c r="PKU93" s="60"/>
      <c r="PLJ93" s="63" t="s">
        <v>882</v>
      </c>
      <c r="PLK93" s="60"/>
      <c r="PLZ93" s="63" t="s">
        <v>882</v>
      </c>
      <c r="PMA93" s="60"/>
      <c r="PMP93" s="63" t="s">
        <v>882</v>
      </c>
      <c r="PMQ93" s="60"/>
      <c r="PNF93" s="63" t="s">
        <v>882</v>
      </c>
      <c r="PNG93" s="60"/>
      <c r="PNV93" s="63" t="s">
        <v>882</v>
      </c>
      <c r="PNW93" s="60"/>
      <c r="POL93" s="63" t="s">
        <v>882</v>
      </c>
      <c r="POM93" s="60"/>
      <c r="PPB93" s="63" t="s">
        <v>882</v>
      </c>
      <c r="PPC93" s="60"/>
      <c r="PPR93" s="63" t="s">
        <v>882</v>
      </c>
      <c r="PPS93" s="60"/>
      <c r="PQH93" s="63" t="s">
        <v>882</v>
      </c>
      <c r="PQI93" s="60"/>
      <c r="PQX93" s="63" t="s">
        <v>882</v>
      </c>
      <c r="PQY93" s="60"/>
      <c r="PRN93" s="63" t="s">
        <v>882</v>
      </c>
      <c r="PRO93" s="60"/>
      <c r="PSD93" s="63" t="s">
        <v>882</v>
      </c>
      <c r="PSE93" s="60"/>
      <c r="PST93" s="63" t="s">
        <v>882</v>
      </c>
      <c r="PSU93" s="60"/>
      <c r="PTJ93" s="63" t="s">
        <v>882</v>
      </c>
      <c r="PTK93" s="60"/>
      <c r="PTZ93" s="63" t="s">
        <v>882</v>
      </c>
      <c r="PUA93" s="60"/>
      <c r="PUP93" s="63" t="s">
        <v>882</v>
      </c>
      <c r="PUQ93" s="60"/>
      <c r="PVF93" s="63" t="s">
        <v>882</v>
      </c>
      <c r="PVG93" s="60"/>
      <c r="PVV93" s="63" t="s">
        <v>882</v>
      </c>
      <c r="PVW93" s="60"/>
      <c r="PWL93" s="63" t="s">
        <v>882</v>
      </c>
      <c r="PWM93" s="60"/>
      <c r="PXB93" s="63" t="s">
        <v>882</v>
      </c>
      <c r="PXC93" s="60"/>
      <c r="PXR93" s="63" t="s">
        <v>882</v>
      </c>
      <c r="PXS93" s="60"/>
      <c r="PYH93" s="63" t="s">
        <v>882</v>
      </c>
      <c r="PYI93" s="60"/>
      <c r="PYX93" s="63" t="s">
        <v>882</v>
      </c>
      <c r="PYY93" s="60"/>
      <c r="PZN93" s="63" t="s">
        <v>882</v>
      </c>
      <c r="PZO93" s="60"/>
      <c r="QAD93" s="63" t="s">
        <v>882</v>
      </c>
      <c r="QAE93" s="60"/>
      <c r="QAT93" s="63" t="s">
        <v>882</v>
      </c>
      <c r="QAU93" s="60"/>
      <c r="QBJ93" s="63" t="s">
        <v>882</v>
      </c>
      <c r="QBK93" s="60"/>
      <c r="QBZ93" s="63" t="s">
        <v>882</v>
      </c>
      <c r="QCA93" s="60"/>
      <c r="QCP93" s="63" t="s">
        <v>882</v>
      </c>
      <c r="QCQ93" s="60"/>
      <c r="QDF93" s="63" t="s">
        <v>882</v>
      </c>
      <c r="QDG93" s="60"/>
      <c r="QDV93" s="63" t="s">
        <v>882</v>
      </c>
      <c r="QDW93" s="60"/>
      <c r="QEL93" s="63" t="s">
        <v>882</v>
      </c>
      <c r="QEM93" s="60"/>
      <c r="QFB93" s="63" t="s">
        <v>882</v>
      </c>
      <c r="QFC93" s="60"/>
      <c r="QFR93" s="63" t="s">
        <v>882</v>
      </c>
      <c r="QFS93" s="60"/>
      <c r="QGH93" s="63" t="s">
        <v>882</v>
      </c>
      <c r="QGI93" s="60"/>
      <c r="QGX93" s="63" t="s">
        <v>882</v>
      </c>
      <c r="QGY93" s="60"/>
      <c r="QHN93" s="63" t="s">
        <v>882</v>
      </c>
      <c r="QHO93" s="60"/>
      <c r="QID93" s="63" t="s">
        <v>882</v>
      </c>
      <c r="QIE93" s="60"/>
      <c r="QIT93" s="63" t="s">
        <v>882</v>
      </c>
      <c r="QIU93" s="60"/>
      <c r="QJJ93" s="63" t="s">
        <v>882</v>
      </c>
      <c r="QJK93" s="60"/>
      <c r="QJZ93" s="63" t="s">
        <v>882</v>
      </c>
      <c r="QKA93" s="60"/>
      <c r="QKP93" s="63" t="s">
        <v>882</v>
      </c>
      <c r="QKQ93" s="60"/>
      <c r="QLF93" s="63" t="s">
        <v>882</v>
      </c>
      <c r="QLG93" s="60"/>
      <c r="QLV93" s="63" t="s">
        <v>882</v>
      </c>
      <c r="QLW93" s="60"/>
      <c r="QML93" s="63" t="s">
        <v>882</v>
      </c>
      <c r="QMM93" s="60"/>
      <c r="QNB93" s="63" t="s">
        <v>882</v>
      </c>
      <c r="QNC93" s="60"/>
      <c r="QNR93" s="63" t="s">
        <v>882</v>
      </c>
      <c r="QNS93" s="60"/>
      <c r="QOH93" s="63" t="s">
        <v>882</v>
      </c>
      <c r="QOI93" s="60"/>
      <c r="QOX93" s="63" t="s">
        <v>882</v>
      </c>
      <c r="QOY93" s="60"/>
      <c r="QPN93" s="63" t="s">
        <v>882</v>
      </c>
      <c r="QPO93" s="60"/>
      <c r="QQD93" s="63" t="s">
        <v>882</v>
      </c>
      <c r="QQE93" s="60"/>
      <c r="QQT93" s="63" t="s">
        <v>882</v>
      </c>
      <c r="QQU93" s="60"/>
      <c r="QRJ93" s="63" t="s">
        <v>882</v>
      </c>
      <c r="QRK93" s="60"/>
      <c r="QRZ93" s="63" t="s">
        <v>882</v>
      </c>
      <c r="QSA93" s="60"/>
      <c r="QSP93" s="63" t="s">
        <v>882</v>
      </c>
      <c r="QSQ93" s="60"/>
      <c r="QTF93" s="63" t="s">
        <v>882</v>
      </c>
      <c r="QTG93" s="60"/>
      <c r="QTV93" s="63" t="s">
        <v>882</v>
      </c>
      <c r="QTW93" s="60"/>
      <c r="QUL93" s="63" t="s">
        <v>882</v>
      </c>
      <c r="QUM93" s="60"/>
      <c r="QVB93" s="63" t="s">
        <v>882</v>
      </c>
      <c r="QVC93" s="60"/>
      <c r="QVR93" s="63" t="s">
        <v>882</v>
      </c>
      <c r="QVS93" s="60"/>
      <c r="QWH93" s="63" t="s">
        <v>882</v>
      </c>
      <c r="QWI93" s="60"/>
      <c r="QWX93" s="63" t="s">
        <v>882</v>
      </c>
      <c r="QWY93" s="60"/>
      <c r="QXN93" s="63" t="s">
        <v>882</v>
      </c>
      <c r="QXO93" s="60"/>
      <c r="QYD93" s="63" t="s">
        <v>882</v>
      </c>
      <c r="QYE93" s="60"/>
      <c r="QYT93" s="63" t="s">
        <v>882</v>
      </c>
      <c r="QYU93" s="60"/>
      <c r="QZJ93" s="63" t="s">
        <v>882</v>
      </c>
      <c r="QZK93" s="60"/>
      <c r="QZZ93" s="63" t="s">
        <v>882</v>
      </c>
      <c r="RAA93" s="60"/>
      <c r="RAP93" s="63" t="s">
        <v>882</v>
      </c>
      <c r="RAQ93" s="60"/>
      <c r="RBF93" s="63" t="s">
        <v>882</v>
      </c>
      <c r="RBG93" s="60"/>
      <c r="RBV93" s="63" t="s">
        <v>882</v>
      </c>
      <c r="RBW93" s="60"/>
      <c r="RCL93" s="63" t="s">
        <v>882</v>
      </c>
      <c r="RCM93" s="60"/>
      <c r="RDB93" s="63" t="s">
        <v>882</v>
      </c>
      <c r="RDC93" s="60"/>
      <c r="RDR93" s="63" t="s">
        <v>882</v>
      </c>
      <c r="RDS93" s="60"/>
      <c r="REH93" s="63" t="s">
        <v>882</v>
      </c>
      <c r="REI93" s="60"/>
      <c r="REX93" s="63" t="s">
        <v>882</v>
      </c>
      <c r="REY93" s="60"/>
      <c r="RFN93" s="63" t="s">
        <v>882</v>
      </c>
      <c r="RFO93" s="60"/>
      <c r="RGD93" s="63" t="s">
        <v>882</v>
      </c>
      <c r="RGE93" s="60"/>
      <c r="RGT93" s="63" t="s">
        <v>882</v>
      </c>
      <c r="RGU93" s="60"/>
      <c r="RHJ93" s="63" t="s">
        <v>882</v>
      </c>
      <c r="RHK93" s="60"/>
      <c r="RHZ93" s="63" t="s">
        <v>882</v>
      </c>
      <c r="RIA93" s="60"/>
      <c r="RIP93" s="63" t="s">
        <v>882</v>
      </c>
      <c r="RIQ93" s="60"/>
      <c r="RJF93" s="63" t="s">
        <v>882</v>
      </c>
      <c r="RJG93" s="60"/>
      <c r="RJV93" s="63" t="s">
        <v>882</v>
      </c>
      <c r="RJW93" s="60"/>
      <c r="RKL93" s="63" t="s">
        <v>882</v>
      </c>
      <c r="RKM93" s="60"/>
      <c r="RLB93" s="63" t="s">
        <v>882</v>
      </c>
      <c r="RLC93" s="60"/>
      <c r="RLR93" s="63" t="s">
        <v>882</v>
      </c>
      <c r="RLS93" s="60"/>
      <c r="RMH93" s="63" t="s">
        <v>882</v>
      </c>
      <c r="RMI93" s="60"/>
      <c r="RMX93" s="63" t="s">
        <v>882</v>
      </c>
      <c r="RMY93" s="60"/>
      <c r="RNN93" s="63" t="s">
        <v>882</v>
      </c>
      <c r="RNO93" s="60"/>
      <c r="ROD93" s="63" t="s">
        <v>882</v>
      </c>
      <c r="ROE93" s="60"/>
      <c r="ROT93" s="63" t="s">
        <v>882</v>
      </c>
      <c r="ROU93" s="60"/>
      <c r="RPJ93" s="63" t="s">
        <v>882</v>
      </c>
      <c r="RPK93" s="60"/>
      <c r="RPZ93" s="63" t="s">
        <v>882</v>
      </c>
      <c r="RQA93" s="60"/>
      <c r="RQP93" s="63" t="s">
        <v>882</v>
      </c>
      <c r="RQQ93" s="60"/>
      <c r="RRF93" s="63" t="s">
        <v>882</v>
      </c>
      <c r="RRG93" s="60"/>
      <c r="RRV93" s="63" t="s">
        <v>882</v>
      </c>
      <c r="RRW93" s="60"/>
      <c r="RSL93" s="63" t="s">
        <v>882</v>
      </c>
      <c r="RSM93" s="60"/>
      <c r="RTB93" s="63" t="s">
        <v>882</v>
      </c>
      <c r="RTC93" s="60"/>
      <c r="RTR93" s="63" t="s">
        <v>882</v>
      </c>
      <c r="RTS93" s="60"/>
      <c r="RUH93" s="63" t="s">
        <v>882</v>
      </c>
      <c r="RUI93" s="60"/>
      <c r="RUX93" s="63" t="s">
        <v>882</v>
      </c>
      <c r="RUY93" s="60"/>
      <c r="RVN93" s="63" t="s">
        <v>882</v>
      </c>
      <c r="RVO93" s="60"/>
      <c r="RWD93" s="63" t="s">
        <v>882</v>
      </c>
      <c r="RWE93" s="60"/>
      <c r="RWT93" s="63" t="s">
        <v>882</v>
      </c>
      <c r="RWU93" s="60"/>
      <c r="RXJ93" s="63" t="s">
        <v>882</v>
      </c>
      <c r="RXK93" s="60"/>
      <c r="RXZ93" s="63" t="s">
        <v>882</v>
      </c>
      <c r="RYA93" s="60"/>
      <c r="RYP93" s="63" t="s">
        <v>882</v>
      </c>
      <c r="RYQ93" s="60"/>
      <c r="RZF93" s="63" t="s">
        <v>882</v>
      </c>
      <c r="RZG93" s="60"/>
      <c r="RZV93" s="63" t="s">
        <v>882</v>
      </c>
      <c r="RZW93" s="60"/>
      <c r="SAL93" s="63" t="s">
        <v>882</v>
      </c>
      <c r="SAM93" s="60"/>
      <c r="SBB93" s="63" t="s">
        <v>882</v>
      </c>
      <c r="SBC93" s="60"/>
      <c r="SBR93" s="63" t="s">
        <v>882</v>
      </c>
      <c r="SBS93" s="60"/>
      <c r="SCH93" s="63" t="s">
        <v>882</v>
      </c>
      <c r="SCI93" s="60"/>
      <c r="SCX93" s="63" t="s">
        <v>882</v>
      </c>
      <c r="SCY93" s="60"/>
      <c r="SDN93" s="63" t="s">
        <v>882</v>
      </c>
      <c r="SDO93" s="60"/>
      <c r="SED93" s="63" t="s">
        <v>882</v>
      </c>
      <c r="SEE93" s="60"/>
      <c r="SET93" s="63" t="s">
        <v>882</v>
      </c>
      <c r="SEU93" s="60"/>
      <c r="SFJ93" s="63" t="s">
        <v>882</v>
      </c>
      <c r="SFK93" s="60"/>
      <c r="SFZ93" s="63" t="s">
        <v>882</v>
      </c>
      <c r="SGA93" s="60"/>
      <c r="SGP93" s="63" t="s">
        <v>882</v>
      </c>
      <c r="SGQ93" s="60"/>
      <c r="SHF93" s="63" t="s">
        <v>882</v>
      </c>
      <c r="SHG93" s="60"/>
      <c r="SHV93" s="63" t="s">
        <v>882</v>
      </c>
      <c r="SHW93" s="60"/>
      <c r="SIL93" s="63" t="s">
        <v>882</v>
      </c>
      <c r="SIM93" s="60"/>
      <c r="SJB93" s="63" t="s">
        <v>882</v>
      </c>
      <c r="SJC93" s="60"/>
      <c r="SJR93" s="63" t="s">
        <v>882</v>
      </c>
      <c r="SJS93" s="60"/>
      <c r="SKH93" s="63" t="s">
        <v>882</v>
      </c>
      <c r="SKI93" s="60"/>
      <c r="SKX93" s="63" t="s">
        <v>882</v>
      </c>
      <c r="SKY93" s="60"/>
      <c r="SLN93" s="63" t="s">
        <v>882</v>
      </c>
      <c r="SLO93" s="60"/>
      <c r="SMD93" s="63" t="s">
        <v>882</v>
      </c>
      <c r="SME93" s="60"/>
      <c r="SMT93" s="63" t="s">
        <v>882</v>
      </c>
      <c r="SMU93" s="60"/>
      <c r="SNJ93" s="63" t="s">
        <v>882</v>
      </c>
      <c r="SNK93" s="60"/>
      <c r="SNZ93" s="63" t="s">
        <v>882</v>
      </c>
      <c r="SOA93" s="60"/>
      <c r="SOP93" s="63" t="s">
        <v>882</v>
      </c>
      <c r="SOQ93" s="60"/>
      <c r="SPF93" s="63" t="s">
        <v>882</v>
      </c>
      <c r="SPG93" s="60"/>
      <c r="SPV93" s="63" t="s">
        <v>882</v>
      </c>
      <c r="SPW93" s="60"/>
      <c r="SQL93" s="63" t="s">
        <v>882</v>
      </c>
      <c r="SQM93" s="60"/>
      <c r="SRB93" s="63" t="s">
        <v>882</v>
      </c>
      <c r="SRC93" s="60"/>
      <c r="SRR93" s="63" t="s">
        <v>882</v>
      </c>
      <c r="SRS93" s="60"/>
      <c r="SSH93" s="63" t="s">
        <v>882</v>
      </c>
      <c r="SSI93" s="60"/>
      <c r="SSX93" s="63" t="s">
        <v>882</v>
      </c>
      <c r="SSY93" s="60"/>
      <c r="STN93" s="63" t="s">
        <v>882</v>
      </c>
      <c r="STO93" s="60"/>
      <c r="SUD93" s="63" t="s">
        <v>882</v>
      </c>
      <c r="SUE93" s="60"/>
      <c r="SUT93" s="63" t="s">
        <v>882</v>
      </c>
      <c r="SUU93" s="60"/>
      <c r="SVJ93" s="63" t="s">
        <v>882</v>
      </c>
      <c r="SVK93" s="60"/>
      <c r="SVZ93" s="63" t="s">
        <v>882</v>
      </c>
      <c r="SWA93" s="60"/>
      <c r="SWP93" s="63" t="s">
        <v>882</v>
      </c>
      <c r="SWQ93" s="60"/>
      <c r="SXF93" s="63" t="s">
        <v>882</v>
      </c>
      <c r="SXG93" s="60"/>
      <c r="SXV93" s="63" t="s">
        <v>882</v>
      </c>
      <c r="SXW93" s="60"/>
      <c r="SYL93" s="63" t="s">
        <v>882</v>
      </c>
      <c r="SYM93" s="60"/>
      <c r="SZB93" s="63" t="s">
        <v>882</v>
      </c>
      <c r="SZC93" s="60"/>
      <c r="SZR93" s="63" t="s">
        <v>882</v>
      </c>
      <c r="SZS93" s="60"/>
      <c r="TAH93" s="63" t="s">
        <v>882</v>
      </c>
      <c r="TAI93" s="60"/>
      <c r="TAX93" s="63" t="s">
        <v>882</v>
      </c>
      <c r="TAY93" s="60"/>
      <c r="TBN93" s="63" t="s">
        <v>882</v>
      </c>
      <c r="TBO93" s="60"/>
      <c r="TCD93" s="63" t="s">
        <v>882</v>
      </c>
      <c r="TCE93" s="60"/>
      <c r="TCT93" s="63" t="s">
        <v>882</v>
      </c>
      <c r="TCU93" s="60"/>
      <c r="TDJ93" s="63" t="s">
        <v>882</v>
      </c>
      <c r="TDK93" s="60"/>
      <c r="TDZ93" s="63" t="s">
        <v>882</v>
      </c>
      <c r="TEA93" s="60"/>
      <c r="TEP93" s="63" t="s">
        <v>882</v>
      </c>
      <c r="TEQ93" s="60"/>
      <c r="TFF93" s="63" t="s">
        <v>882</v>
      </c>
      <c r="TFG93" s="60"/>
      <c r="TFV93" s="63" t="s">
        <v>882</v>
      </c>
      <c r="TFW93" s="60"/>
      <c r="TGL93" s="63" t="s">
        <v>882</v>
      </c>
      <c r="TGM93" s="60"/>
      <c r="THB93" s="63" t="s">
        <v>882</v>
      </c>
      <c r="THC93" s="60"/>
      <c r="THR93" s="63" t="s">
        <v>882</v>
      </c>
      <c r="THS93" s="60"/>
      <c r="TIH93" s="63" t="s">
        <v>882</v>
      </c>
      <c r="TII93" s="60"/>
      <c r="TIX93" s="63" t="s">
        <v>882</v>
      </c>
      <c r="TIY93" s="60"/>
      <c r="TJN93" s="63" t="s">
        <v>882</v>
      </c>
      <c r="TJO93" s="60"/>
      <c r="TKD93" s="63" t="s">
        <v>882</v>
      </c>
      <c r="TKE93" s="60"/>
      <c r="TKT93" s="63" t="s">
        <v>882</v>
      </c>
      <c r="TKU93" s="60"/>
      <c r="TLJ93" s="63" t="s">
        <v>882</v>
      </c>
      <c r="TLK93" s="60"/>
      <c r="TLZ93" s="63" t="s">
        <v>882</v>
      </c>
      <c r="TMA93" s="60"/>
      <c r="TMP93" s="63" t="s">
        <v>882</v>
      </c>
      <c r="TMQ93" s="60"/>
      <c r="TNF93" s="63" t="s">
        <v>882</v>
      </c>
      <c r="TNG93" s="60"/>
      <c r="TNV93" s="63" t="s">
        <v>882</v>
      </c>
      <c r="TNW93" s="60"/>
      <c r="TOL93" s="63" t="s">
        <v>882</v>
      </c>
      <c r="TOM93" s="60"/>
      <c r="TPB93" s="63" t="s">
        <v>882</v>
      </c>
      <c r="TPC93" s="60"/>
      <c r="TPR93" s="63" t="s">
        <v>882</v>
      </c>
      <c r="TPS93" s="60"/>
      <c r="TQH93" s="63" t="s">
        <v>882</v>
      </c>
      <c r="TQI93" s="60"/>
      <c r="TQX93" s="63" t="s">
        <v>882</v>
      </c>
      <c r="TQY93" s="60"/>
      <c r="TRN93" s="63" t="s">
        <v>882</v>
      </c>
      <c r="TRO93" s="60"/>
      <c r="TSD93" s="63" t="s">
        <v>882</v>
      </c>
      <c r="TSE93" s="60"/>
      <c r="TST93" s="63" t="s">
        <v>882</v>
      </c>
      <c r="TSU93" s="60"/>
      <c r="TTJ93" s="63" t="s">
        <v>882</v>
      </c>
      <c r="TTK93" s="60"/>
      <c r="TTZ93" s="63" t="s">
        <v>882</v>
      </c>
      <c r="TUA93" s="60"/>
      <c r="TUP93" s="63" t="s">
        <v>882</v>
      </c>
      <c r="TUQ93" s="60"/>
      <c r="TVF93" s="63" t="s">
        <v>882</v>
      </c>
      <c r="TVG93" s="60"/>
      <c r="TVV93" s="63" t="s">
        <v>882</v>
      </c>
      <c r="TVW93" s="60"/>
      <c r="TWL93" s="63" t="s">
        <v>882</v>
      </c>
      <c r="TWM93" s="60"/>
      <c r="TXB93" s="63" t="s">
        <v>882</v>
      </c>
      <c r="TXC93" s="60"/>
      <c r="TXR93" s="63" t="s">
        <v>882</v>
      </c>
      <c r="TXS93" s="60"/>
      <c r="TYH93" s="63" t="s">
        <v>882</v>
      </c>
      <c r="TYI93" s="60"/>
      <c r="TYX93" s="63" t="s">
        <v>882</v>
      </c>
      <c r="TYY93" s="60"/>
      <c r="TZN93" s="63" t="s">
        <v>882</v>
      </c>
      <c r="TZO93" s="60"/>
      <c r="UAD93" s="63" t="s">
        <v>882</v>
      </c>
      <c r="UAE93" s="60"/>
      <c r="UAT93" s="63" t="s">
        <v>882</v>
      </c>
      <c r="UAU93" s="60"/>
      <c r="UBJ93" s="63" t="s">
        <v>882</v>
      </c>
      <c r="UBK93" s="60"/>
      <c r="UBZ93" s="63" t="s">
        <v>882</v>
      </c>
      <c r="UCA93" s="60"/>
      <c r="UCP93" s="63" t="s">
        <v>882</v>
      </c>
      <c r="UCQ93" s="60"/>
      <c r="UDF93" s="63" t="s">
        <v>882</v>
      </c>
      <c r="UDG93" s="60"/>
      <c r="UDV93" s="63" t="s">
        <v>882</v>
      </c>
      <c r="UDW93" s="60"/>
      <c r="UEL93" s="63" t="s">
        <v>882</v>
      </c>
      <c r="UEM93" s="60"/>
      <c r="UFB93" s="63" t="s">
        <v>882</v>
      </c>
      <c r="UFC93" s="60"/>
      <c r="UFR93" s="63" t="s">
        <v>882</v>
      </c>
      <c r="UFS93" s="60"/>
      <c r="UGH93" s="63" t="s">
        <v>882</v>
      </c>
      <c r="UGI93" s="60"/>
      <c r="UGX93" s="63" t="s">
        <v>882</v>
      </c>
      <c r="UGY93" s="60"/>
      <c r="UHN93" s="63" t="s">
        <v>882</v>
      </c>
      <c r="UHO93" s="60"/>
      <c r="UID93" s="63" t="s">
        <v>882</v>
      </c>
      <c r="UIE93" s="60"/>
      <c r="UIT93" s="63" t="s">
        <v>882</v>
      </c>
      <c r="UIU93" s="60"/>
      <c r="UJJ93" s="63" t="s">
        <v>882</v>
      </c>
      <c r="UJK93" s="60"/>
      <c r="UJZ93" s="63" t="s">
        <v>882</v>
      </c>
      <c r="UKA93" s="60"/>
      <c r="UKP93" s="63" t="s">
        <v>882</v>
      </c>
      <c r="UKQ93" s="60"/>
      <c r="ULF93" s="63" t="s">
        <v>882</v>
      </c>
      <c r="ULG93" s="60"/>
      <c r="ULV93" s="63" t="s">
        <v>882</v>
      </c>
      <c r="ULW93" s="60"/>
      <c r="UML93" s="63" t="s">
        <v>882</v>
      </c>
      <c r="UMM93" s="60"/>
      <c r="UNB93" s="63" t="s">
        <v>882</v>
      </c>
      <c r="UNC93" s="60"/>
      <c r="UNR93" s="63" t="s">
        <v>882</v>
      </c>
      <c r="UNS93" s="60"/>
      <c r="UOH93" s="63" t="s">
        <v>882</v>
      </c>
      <c r="UOI93" s="60"/>
      <c r="UOX93" s="63" t="s">
        <v>882</v>
      </c>
      <c r="UOY93" s="60"/>
      <c r="UPN93" s="63" t="s">
        <v>882</v>
      </c>
      <c r="UPO93" s="60"/>
      <c r="UQD93" s="63" t="s">
        <v>882</v>
      </c>
      <c r="UQE93" s="60"/>
      <c r="UQT93" s="63" t="s">
        <v>882</v>
      </c>
      <c r="UQU93" s="60"/>
      <c r="URJ93" s="63" t="s">
        <v>882</v>
      </c>
      <c r="URK93" s="60"/>
      <c r="URZ93" s="63" t="s">
        <v>882</v>
      </c>
      <c r="USA93" s="60"/>
      <c r="USP93" s="63" t="s">
        <v>882</v>
      </c>
      <c r="USQ93" s="60"/>
      <c r="UTF93" s="63" t="s">
        <v>882</v>
      </c>
      <c r="UTG93" s="60"/>
      <c r="UTV93" s="63" t="s">
        <v>882</v>
      </c>
      <c r="UTW93" s="60"/>
      <c r="UUL93" s="63" t="s">
        <v>882</v>
      </c>
      <c r="UUM93" s="60"/>
      <c r="UVB93" s="63" t="s">
        <v>882</v>
      </c>
      <c r="UVC93" s="60"/>
      <c r="UVR93" s="63" t="s">
        <v>882</v>
      </c>
      <c r="UVS93" s="60"/>
      <c r="UWH93" s="63" t="s">
        <v>882</v>
      </c>
      <c r="UWI93" s="60"/>
      <c r="UWX93" s="63" t="s">
        <v>882</v>
      </c>
      <c r="UWY93" s="60"/>
      <c r="UXN93" s="63" t="s">
        <v>882</v>
      </c>
      <c r="UXO93" s="60"/>
      <c r="UYD93" s="63" t="s">
        <v>882</v>
      </c>
      <c r="UYE93" s="60"/>
      <c r="UYT93" s="63" t="s">
        <v>882</v>
      </c>
      <c r="UYU93" s="60"/>
      <c r="UZJ93" s="63" t="s">
        <v>882</v>
      </c>
      <c r="UZK93" s="60"/>
      <c r="UZZ93" s="63" t="s">
        <v>882</v>
      </c>
      <c r="VAA93" s="60"/>
      <c r="VAP93" s="63" t="s">
        <v>882</v>
      </c>
      <c r="VAQ93" s="60"/>
      <c r="VBF93" s="63" t="s">
        <v>882</v>
      </c>
      <c r="VBG93" s="60"/>
      <c r="VBV93" s="63" t="s">
        <v>882</v>
      </c>
      <c r="VBW93" s="60"/>
      <c r="VCL93" s="63" t="s">
        <v>882</v>
      </c>
      <c r="VCM93" s="60"/>
      <c r="VDB93" s="63" t="s">
        <v>882</v>
      </c>
      <c r="VDC93" s="60"/>
      <c r="VDR93" s="63" t="s">
        <v>882</v>
      </c>
      <c r="VDS93" s="60"/>
      <c r="VEH93" s="63" t="s">
        <v>882</v>
      </c>
      <c r="VEI93" s="60"/>
      <c r="VEX93" s="63" t="s">
        <v>882</v>
      </c>
      <c r="VEY93" s="60"/>
      <c r="VFN93" s="63" t="s">
        <v>882</v>
      </c>
      <c r="VFO93" s="60"/>
      <c r="VGD93" s="63" t="s">
        <v>882</v>
      </c>
      <c r="VGE93" s="60"/>
      <c r="VGT93" s="63" t="s">
        <v>882</v>
      </c>
      <c r="VGU93" s="60"/>
      <c r="VHJ93" s="63" t="s">
        <v>882</v>
      </c>
      <c r="VHK93" s="60"/>
      <c r="VHZ93" s="63" t="s">
        <v>882</v>
      </c>
      <c r="VIA93" s="60"/>
      <c r="VIP93" s="63" t="s">
        <v>882</v>
      </c>
      <c r="VIQ93" s="60"/>
      <c r="VJF93" s="63" t="s">
        <v>882</v>
      </c>
      <c r="VJG93" s="60"/>
      <c r="VJV93" s="63" t="s">
        <v>882</v>
      </c>
      <c r="VJW93" s="60"/>
      <c r="VKL93" s="63" t="s">
        <v>882</v>
      </c>
      <c r="VKM93" s="60"/>
      <c r="VLB93" s="63" t="s">
        <v>882</v>
      </c>
      <c r="VLC93" s="60"/>
      <c r="VLR93" s="63" t="s">
        <v>882</v>
      </c>
      <c r="VLS93" s="60"/>
      <c r="VMH93" s="63" t="s">
        <v>882</v>
      </c>
      <c r="VMI93" s="60"/>
      <c r="VMX93" s="63" t="s">
        <v>882</v>
      </c>
      <c r="VMY93" s="60"/>
      <c r="VNN93" s="63" t="s">
        <v>882</v>
      </c>
      <c r="VNO93" s="60"/>
      <c r="VOD93" s="63" t="s">
        <v>882</v>
      </c>
      <c r="VOE93" s="60"/>
      <c r="VOT93" s="63" t="s">
        <v>882</v>
      </c>
      <c r="VOU93" s="60"/>
      <c r="VPJ93" s="63" t="s">
        <v>882</v>
      </c>
      <c r="VPK93" s="60"/>
      <c r="VPZ93" s="63" t="s">
        <v>882</v>
      </c>
      <c r="VQA93" s="60"/>
      <c r="VQP93" s="63" t="s">
        <v>882</v>
      </c>
      <c r="VQQ93" s="60"/>
      <c r="VRF93" s="63" t="s">
        <v>882</v>
      </c>
      <c r="VRG93" s="60"/>
      <c r="VRV93" s="63" t="s">
        <v>882</v>
      </c>
      <c r="VRW93" s="60"/>
      <c r="VSL93" s="63" t="s">
        <v>882</v>
      </c>
      <c r="VSM93" s="60"/>
      <c r="VTB93" s="63" t="s">
        <v>882</v>
      </c>
      <c r="VTC93" s="60"/>
      <c r="VTR93" s="63" t="s">
        <v>882</v>
      </c>
      <c r="VTS93" s="60"/>
      <c r="VUH93" s="63" t="s">
        <v>882</v>
      </c>
      <c r="VUI93" s="60"/>
      <c r="VUX93" s="63" t="s">
        <v>882</v>
      </c>
      <c r="VUY93" s="60"/>
      <c r="VVN93" s="63" t="s">
        <v>882</v>
      </c>
      <c r="VVO93" s="60"/>
      <c r="VWD93" s="63" t="s">
        <v>882</v>
      </c>
      <c r="VWE93" s="60"/>
      <c r="VWT93" s="63" t="s">
        <v>882</v>
      </c>
      <c r="VWU93" s="60"/>
      <c r="VXJ93" s="63" t="s">
        <v>882</v>
      </c>
      <c r="VXK93" s="60"/>
      <c r="VXZ93" s="63" t="s">
        <v>882</v>
      </c>
      <c r="VYA93" s="60"/>
      <c r="VYP93" s="63" t="s">
        <v>882</v>
      </c>
      <c r="VYQ93" s="60"/>
      <c r="VZF93" s="63" t="s">
        <v>882</v>
      </c>
      <c r="VZG93" s="60"/>
      <c r="VZV93" s="63" t="s">
        <v>882</v>
      </c>
      <c r="VZW93" s="60"/>
      <c r="WAL93" s="63" t="s">
        <v>882</v>
      </c>
      <c r="WAM93" s="60"/>
      <c r="WBB93" s="63" t="s">
        <v>882</v>
      </c>
      <c r="WBC93" s="60"/>
      <c r="WBR93" s="63" t="s">
        <v>882</v>
      </c>
      <c r="WBS93" s="60"/>
      <c r="WCH93" s="63" t="s">
        <v>882</v>
      </c>
      <c r="WCI93" s="60"/>
      <c r="WCX93" s="63" t="s">
        <v>882</v>
      </c>
      <c r="WCY93" s="60"/>
      <c r="WDN93" s="63" t="s">
        <v>882</v>
      </c>
      <c r="WDO93" s="60"/>
      <c r="WED93" s="63" t="s">
        <v>882</v>
      </c>
      <c r="WEE93" s="60"/>
      <c r="WET93" s="63" t="s">
        <v>882</v>
      </c>
      <c r="WEU93" s="60"/>
      <c r="WFJ93" s="63" t="s">
        <v>882</v>
      </c>
      <c r="WFK93" s="60"/>
      <c r="WFZ93" s="63" t="s">
        <v>882</v>
      </c>
      <c r="WGA93" s="60"/>
      <c r="WGP93" s="63" t="s">
        <v>882</v>
      </c>
      <c r="WGQ93" s="60"/>
      <c r="WHF93" s="63" t="s">
        <v>882</v>
      </c>
      <c r="WHG93" s="60"/>
      <c r="WHV93" s="63" t="s">
        <v>882</v>
      </c>
      <c r="WHW93" s="60"/>
      <c r="WIL93" s="63" t="s">
        <v>882</v>
      </c>
      <c r="WIM93" s="60"/>
      <c r="WJB93" s="63" t="s">
        <v>882</v>
      </c>
      <c r="WJC93" s="60"/>
      <c r="WJR93" s="63" t="s">
        <v>882</v>
      </c>
      <c r="WJS93" s="60"/>
      <c r="WKH93" s="63" t="s">
        <v>882</v>
      </c>
      <c r="WKI93" s="60"/>
      <c r="WKX93" s="63" t="s">
        <v>882</v>
      </c>
      <c r="WKY93" s="60"/>
      <c r="WLN93" s="63" t="s">
        <v>882</v>
      </c>
      <c r="WLO93" s="60"/>
      <c r="WMD93" s="63" t="s">
        <v>882</v>
      </c>
      <c r="WME93" s="60"/>
      <c r="WMT93" s="63" t="s">
        <v>882</v>
      </c>
      <c r="WMU93" s="60"/>
      <c r="WNJ93" s="63" t="s">
        <v>882</v>
      </c>
      <c r="WNK93" s="60"/>
      <c r="WNZ93" s="63" t="s">
        <v>882</v>
      </c>
      <c r="WOA93" s="60"/>
      <c r="WOP93" s="63" t="s">
        <v>882</v>
      </c>
      <c r="WOQ93" s="60"/>
      <c r="WPF93" s="63" t="s">
        <v>882</v>
      </c>
      <c r="WPG93" s="60"/>
      <c r="WPV93" s="63" t="s">
        <v>882</v>
      </c>
      <c r="WPW93" s="60"/>
      <c r="WQL93" s="63" t="s">
        <v>882</v>
      </c>
      <c r="WQM93" s="60"/>
      <c r="WRB93" s="63" t="s">
        <v>882</v>
      </c>
      <c r="WRC93" s="60"/>
      <c r="WRR93" s="63" t="s">
        <v>882</v>
      </c>
      <c r="WRS93" s="60"/>
      <c r="WSH93" s="63" t="s">
        <v>882</v>
      </c>
      <c r="WSI93" s="60"/>
      <c r="WSX93" s="63" t="s">
        <v>882</v>
      </c>
      <c r="WSY93" s="60"/>
      <c r="WTN93" s="63" t="s">
        <v>882</v>
      </c>
      <c r="WTO93" s="60"/>
      <c r="WUD93" s="63" t="s">
        <v>882</v>
      </c>
      <c r="WUE93" s="60"/>
      <c r="WUT93" s="63" t="s">
        <v>882</v>
      </c>
      <c r="WUU93" s="60"/>
      <c r="WVJ93" s="63" t="s">
        <v>882</v>
      </c>
      <c r="WVK93" s="60"/>
      <c r="WVZ93" s="63" t="s">
        <v>882</v>
      </c>
      <c r="WWA93" s="60"/>
      <c r="WWP93" s="63" t="s">
        <v>882</v>
      </c>
      <c r="WWQ93" s="60"/>
      <c r="WXF93" s="63" t="s">
        <v>882</v>
      </c>
      <c r="WXG93" s="60"/>
      <c r="WXV93" s="63" t="s">
        <v>882</v>
      </c>
      <c r="WXW93" s="60"/>
      <c r="WYL93" s="63" t="s">
        <v>882</v>
      </c>
      <c r="WYM93" s="60"/>
      <c r="WZB93" s="63" t="s">
        <v>882</v>
      </c>
      <c r="WZC93" s="60"/>
      <c r="WZR93" s="63" t="s">
        <v>882</v>
      </c>
      <c r="WZS93" s="60"/>
      <c r="XAH93" s="63" t="s">
        <v>882</v>
      </c>
      <c r="XAI93" s="60"/>
      <c r="XAX93" s="63" t="s">
        <v>882</v>
      </c>
      <c r="XAY93" s="60"/>
      <c r="XBN93" s="63" t="s">
        <v>882</v>
      </c>
      <c r="XBO93" s="60"/>
      <c r="XCD93" s="63" t="s">
        <v>882</v>
      </c>
      <c r="XCE93" s="60"/>
      <c r="XCT93" s="63" t="s">
        <v>882</v>
      </c>
      <c r="XCU93" s="60"/>
      <c r="XDJ93" s="63" t="s">
        <v>882</v>
      </c>
      <c r="XDK93" s="60"/>
      <c r="XDZ93" s="63" t="s">
        <v>882</v>
      </c>
      <c r="XEA93" s="60"/>
      <c r="XEP93" s="63" t="s">
        <v>882</v>
      </c>
      <c r="XEQ93" s="60"/>
    </row>
    <row r="94" spans="2:1011 1026:2035 2050:3059 3074:4083 4098:5107 5122:6131 6146:7155 7170:8179 8194:9203 9218:10227 10242:11251 11266:12275 12290:13299 13314:14323 14338:15347 15362:16371" ht="14.25" x14ac:dyDescent="0.2">
      <c r="R94" s="34" t="s">
        <v>885</v>
      </c>
      <c r="S94" s="60"/>
      <c r="AH94" s="34" t="s">
        <v>885</v>
      </c>
      <c r="AI94" s="60"/>
      <c r="AX94" s="34" t="s">
        <v>885</v>
      </c>
      <c r="AY94" s="60"/>
      <c r="BN94" s="34" t="s">
        <v>885</v>
      </c>
      <c r="BO94" s="60"/>
      <c r="CD94" s="34" t="s">
        <v>885</v>
      </c>
      <c r="CE94" s="60"/>
      <c r="CT94" s="34" t="s">
        <v>885</v>
      </c>
      <c r="CU94" s="60"/>
      <c r="DJ94" s="34" t="s">
        <v>885</v>
      </c>
      <c r="DK94" s="60"/>
      <c r="DZ94" s="34" t="s">
        <v>885</v>
      </c>
      <c r="EA94" s="60"/>
      <c r="EP94" s="34" t="s">
        <v>885</v>
      </c>
      <c r="EQ94" s="60"/>
      <c r="FF94" s="34" t="s">
        <v>885</v>
      </c>
      <c r="FG94" s="60"/>
      <c r="FV94" s="34" t="s">
        <v>885</v>
      </c>
      <c r="FW94" s="60"/>
      <c r="GL94" s="34" t="s">
        <v>885</v>
      </c>
      <c r="GM94" s="60"/>
      <c r="HB94" s="34" t="s">
        <v>885</v>
      </c>
      <c r="HC94" s="60"/>
      <c r="HR94" s="34" t="s">
        <v>885</v>
      </c>
      <c r="HS94" s="60"/>
      <c r="IH94" s="34" t="s">
        <v>885</v>
      </c>
      <c r="II94" s="60"/>
      <c r="IX94" s="34" t="s">
        <v>885</v>
      </c>
      <c r="IY94" s="60"/>
      <c r="JN94" s="34" t="s">
        <v>885</v>
      </c>
      <c r="JO94" s="60"/>
      <c r="KD94" s="34" t="s">
        <v>885</v>
      </c>
      <c r="KE94" s="60"/>
      <c r="KT94" s="34" t="s">
        <v>885</v>
      </c>
      <c r="KU94" s="60"/>
      <c r="LJ94" s="34" t="s">
        <v>885</v>
      </c>
      <c r="LK94" s="60"/>
      <c r="LZ94" s="34" t="s">
        <v>885</v>
      </c>
      <c r="MA94" s="60"/>
      <c r="MP94" s="34" t="s">
        <v>885</v>
      </c>
      <c r="MQ94" s="60"/>
      <c r="NF94" s="34" t="s">
        <v>885</v>
      </c>
      <c r="NG94" s="60"/>
      <c r="NV94" s="34" t="s">
        <v>885</v>
      </c>
      <c r="NW94" s="60"/>
      <c r="OL94" s="34" t="s">
        <v>885</v>
      </c>
      <c r="OM94" s="60"/>
      <c r="PB94" s="34" t="s">
        <v>885</v>
      </c>
      <c r="PC94" s="60"/>
      <c r="PR94" s="34" t="s">
        <v>885</v>
      </c>
      <c r="PS94" s="60"/>
      <c r="QH94" s="34" t="s">
        <v>885</v>
      </c>
      <c r="QI94" s="60"/>
      <c r="QX94" s="34" t="s">
        <v>885</v>
      </c>
      <c r="QY94" s="60"/>
      <c r="RN94" s="34" t="s">
        <v>885</v>
      </c>
      <c r="RO94" s="60"/>
      <c r="SD94" s="34" t="s">
        <v>885</v>
      </c>
      <c r="SE94" s="60"/>
      <c r="ST94" s="34" t="s">
        <v>885</v>
      </c>
      <c r="SU94" s="60"/>
      <c r="TJ94" s="34" t="s">
        <v>885</v>
      </c>
      <c r="TK94" s="60"/>
      <c r="TZ94" s="34" t="s">
        <v>885</v>
      </c>
      <c r="UA94" s="60"/>
      <c r="UP94" s="34" t="s">
        <v>885</v>
      </c>
      <c r="UQ94" s="60"/>
      <c r="VF94" s="34" t="s">
        <v>885</v>
      </c>
      <c r="VG94" s="60"/>
      <c r="VV94" s="34" t="s">
        <v>885</v>
      </c>
      <c r="VW94" s="60"/>
      <c r="WL94" s="34" t="s">
        <v>885</v>
      </c>
      <c r="WM94" s="60"/>
      <c r="XB94" s="34" t="s">
        <v>885</v>
      </c>
      <c r="XC94" s="60"/>
      <c r="XR94" s="34" t="s">
        <v>885</v>
      </c>
      <c r="XS94" s="60"/>
      <c r="YH94" s="34" t="s">
        <v>885</v>
      </c>
      <c r="YI94" s="60"/>
      <c r="YX94" s="34" t="s">
        <v>885</v>
      </c>
      <c r="YY94" s="60"/>
      <c r="ZN94" s="34" t="s">
        <v>885</v>
      </c>
      <c r="ZO94" s="60"/>
      <c r="AAD94" s="34" t="s">
        <v>885</v>
      </c>
      <c r="AAE94" s="60"/>
      <c r="AAT94" s="34" t="s">
        <v>885</v>
      </c>
      <c r="AAU94" s="60"/>
      <c r="ABJ94" s="34" t="s">
        <v>885</v>
      </c>
      <c r="ABK94" s="60"/>
      <c r="ABZ94" s="34" t="s">
        <v>885</v>
      </c>
      <c r="ACA94" s="60"/>
      <c r="ACP94" s="34" t="s">
        <v>885</v>
      </c>
      <c r="ACQ94" s="60"/>
      <c r="ADF94" s="34" t="s">
        <v>885</v>
      </c>
      <c r="ADG94" s="60"/>
      <c r="ADV94" s="34" t="s">
        <v>885</v>
      </c>
      <c r="ADW94" s="60"/>
      <c r="AEL94" s="34" t="s">
        <v>885</v>
      </c>
      <c r="AEM94" s="60"/>
      <c r="AFB94" s="34" t="s">
        <v>885</v>
      </c>
      <c r="AFC94" s="60"/>
      <c r="AFR94" s="34" t="s">
        <v>885</v>
      </c>
      <c r="AFS94" s="60"/>
      <c r="AGH94" s="34" t="s">
        <v>885</v>
      </c>
      <c r="AGI94" s="60"/>
      <c r="AGX94" s="34" t="s">
        <v>885</v>
      </c>
      <c r="AGY94" s="60"/>
      <c r="AHN94" s="34" t="s">
        <v>885</v>
      </c>
      <c r="AHO94" s="60"/>
      <c r="AID94" s="34" t="s">
        <v>885</v>
      </c>
      <c r="AIE94" s="60"/>
      <c r="AIT94" s="34" t="s">
        <v>885</v>
      </c>
      <c r="AIU94" s="60"/>
      <c r="AJJ94" s="34" t="s">
        <v>885</v>
      </c>
      <c r="AJK94" s="60"/>
      <c r="AJZ94" s="34" t="s">
        <v>885</v>
      </c>
      <c r="AKA94" s="60"/>
      <c r="AKP94" s="34" t="s">
        <v>885</v>
      </c>
      <c r="AKQ94" s="60"/>
      <c r="ALF94" s="34" t="s">
        <v>885</v>
      </c>
      <c r="ALG94" s="60"/>
      <c r="ALV94" s="34" t="s">
        <v>885</v>
      </c>
      <c r="ALW94" s="60"/>
      <c r="AML94" s="34" t="s">
        <v>885</v>
      </c>
      <c r="AMM94" s="60"/>
      <c r="ANB94" s="34" t="s">
        <v>885</v>
      </c>
      <c r="ANC94" s="60"/>
      <c r="ANR94" s="34" t="s">
        <v>885</v>
      </c>
      <c r="ANS94" s="60"/>
      <c r="AOH94" s="34" t="s">
        <v>885</v>
      </c>
      <c r="AOI94" s="60"/>
      <c r="AOX94" s="34" t="s">
        <v>885</v>
      </c>
      <c r="AOY94" s="60"/>
      <c r="APN94" s="34" t="s">
        <v>885</v>
      </c>
      <c r="APO94" s="60"/>
      <c r="AQD94" s="34" t="s">
        <v>885</v>
      </c>
      <c r="AQE94" s="60"/>
      <c r="AQT94" s="34" t="s">
        <v>885</v>
      </c>
      <c r="AQU94" s="60"/>
      <c r="ARJ94" s="34" t="s">
        <v>885</v>
      </c>
      <c r="ARK94" s="60"/>
      <c r="ARZ94" s="34" t="s">
        <v>885</v>
      </c>
      <c r="ASA94" s="60"/>
      <c r="ASP94" s="34" t="s">
        <v>885</v>
      </c>
      <c r="ASQ94" s="60"/>
      <c r="ATF94" s="34" t="s">
        <v>885</v>
      </c>
      <c r="ATG94" s="60"/>
      <c r="ATV94" s="34" t="s">
        <v>885</v>
      </c>
      <c r="ATW94" s="60"/>
      <c r="AUL94" s="34" t="s">
        <v>885</v>
      </c>
      <c r="AUM94" s="60"/>
      <c r="AVB94" s="34" t="s">
        <v>885</v>
      </c>
      <c r="AVC94" s="60"/>
      <c r="AVR94" s="34" t="s">
        <v>885</v>
      </c>
      <c r="AVS94" s="60"/>
      <c r="AWH94" s="34" t="s">
        <v>885</v>
      </c>
      <c r="AWI94" s="60"/>
      <c r="AWX94" s="34" t="s">
        <v>885</v>
      </c>
      <c r="AWY94" s="60"/>
      <c r="AXN94" s="34" t="s">
        <v>885</v>
      </c>
      <c r="AXO94" s="60"/>
      <c r="AYD94" s="34" t="s">
        <v>885</v>
      </c>
      <c r="AYE94" s="60"/>
      <c r="AYT94" s="34" t="s">
        <v>885</v>
      </c>
      <c r="AYU94" s="60"/>
      <c r="AZJ94" s="34" t="s">
        <v>885</v>
      </c>
      <c r="AZK94" s="60"/>
      <c r="AZZ94" s="34" t="s">
        <v>885</v>
      </c>
      <c r="BAA94" s="60"/>
      <c r="BAP94" s="34" t="s">
        <v>885</v>
      </c>
      <c r="BAQ94" s="60"/>
      <c r="BBF94" s="34" t="s">
        <v>885</v>
      </c>
      <c r="BBG94" s="60"/>
      <c r="BBV94" s="34" t="s">
        <v>885</v>
      </c>
      <c r="BBW94" s="60"/>
      <c r="BCL94" s="34" t="s">
        <v>885</v>
      </c>
      <c r="BCM94" s="60"/>
      <c r="BDB94" s="34" t="s">
        <v>885</v>
      </c>
      <c r="BDC94" s="60"/>
      <c r="BDR94" s="34" t="s">
        <v>885</v>
      </c>
      <c r="BDS94" s="60"/>
      <c r="BEH94" s="34" t="s">
        <v>885</v>
      </c>
      <c r="BEI94" s="60"/>
      <c r="BEX94" s="34" t="s">
        <v>885</v>
      </c>
      <c r="BEY94" s="60"/>
      <c r="BFN94" s="34" t="s">
        <v>885</v>
      </c>
      <c r="BFO94" s="60"/>
      <c r="BGD94" s="34" t="s">
        <v>885</v>
      </c>
      <c r="BGE94" s="60"/>
      <c r="BGT94" s="34" t="s">
        <v>885</v>
      </c>
      <c r="BGU94" s="60"/>
      <c r="BHJ94" s="34" t="s">
        <v>885</v>
      </c>
      <c r="BHK94" s="60"/>
      <c r="BHZ94" s="34" t="s">
        <v>885</v>
      </c>
      <c r="BIA94" s="60"/>
      <c r="BIP94" s="34" t="s">
        <v>885</v>
      </c>
      <c r="BIQ94" s="60"/>
      <c r="BJF94" s="34" t="s">
        <v>885</v>
      </c>
      <c r="BJG94" s="60"/>
      <c r="BJV94" s="34" t="s">
        <v>885</v>
      </c>
      <c r="BJW94" s="60"/>
      <c r="BKL94" s="34" t="s">
        <v>885</v>
      </c>
      <c r="BKM94" s="60"/>
      <c r="BLB94" s="34" t="s">
        <v>885</v>
      </c>
      <c r="BLC94" s="60"/>
      <c r="BLR94" s="34" t="s">
        <v>885</v>
      </c>
      <c r="BLS94" s="60"/>
      <c r="BMH94" s="34" t="s">
        <v>885</v>
      </c>
      <c r="BMI94" s="60"/>
      <c r="BMX94" s="34" t="s">
        <v>885</v>
      </c>
      <c r="BMY94" s="60"/>
      <c r="BNN94" s="34" t="s">
        <v>885</v>
      </c>
      <c r="BNO94" s="60"/>
      <c r="BOD94" s="34" t="s">
        <v>885</v>
      </c>
      <c r="BOE94" s="60"/>
      <c r="BOT94" s="34" t="s">
        <v>885</v>
      </c>
      <c r="BOU94" s="60"/>
      <c r="BPJ94" s="34" t="s">
        <v>885</v>
      </c>
      <c r="BPK94" s="60"/>
      <c r="BPZ94" s="34" t="s">
        <v>885</v>
      </c>
      <c r="BQA94" s="60"/>
      <c r="BQP94" s="34" t="s">
        <v>885</v>
      </c>
      <c r="BQQ94" s="60"/>
      <c r="BRF94" s="34" t="s">
        <v>885</v>
      </c>
      <c r="BRG94" s="60"/>
      <c r="BRV94" s="34" t="s">
        <v>885</v>
      </c>
      <c r="BRW94" s="60"/>
      <c r="BSL94" s="34" t="s">
        <v>885</v>
      </c>
      <c r="BSM94" s="60"/>
      <c r="BTB94" s="34" t="s">
        <v>885</v>
      </c>
      <c r="BTC94" s="60"/>
      <c r="BTR94" s="34" t="s">
        <v>885</v>
      </c>
      <c r="BTS94" s="60"/>
      <c r="BUH94" s="34" t="s">
        <v>885</v>
      </c>
      <c r="BUI94" s="60"/>
      <c r="BUX94" s="34" t="s">
        <v>885</v>
      </c>
      <c r="BUY94" s="60"/>
      <c r="BVN94" s="34" t="s">
        <v>885</v>
      </c>
      <c r="BVO94" s="60"/>
      <c r="BWD94" s="34" t="s">
        <v>885</v>
      </c>
      <c r="BWE94" s="60"/>
      <c r="BWT94" s="34" t="s">
        <v>885</v>
      </c>
      <c r="BWU94" s="60"/>
      <c r="BXJ94" s="34" t="s">
        <v>885</v>
      </c>
      <c r="BXK94" s="60"/>
      <c r="BXZ94" s="34" t="s">
        <v>885</v>
      </c>
      <c r="BYA94" s="60"/>
      <c r="BYP94" s="34" t="s">
        <v>885</v>
      </c>
      <c r="BYQ94" s="60"/>
      <c r="BZF94" s="34" t="s">
        <v>885</v>
      </c>
      <c r="BZG94" s="60"/>
      <c r="BZV94" s="34" t="s">
        <v>885</v>
      </c>
      <c r="BZW94" s="60"/>
      <c r="CAL94" s="34" t="s">
        <v>885</v>
      </c>
      <c r="CAM94" s="60"/>
      <c r="CBB94" s="34" t="s">
        <v>885</v>
      </c>
      <c r="CBC94" s="60"/>
      <c r="CBR94" s="34" t="s">
        <v>885</v>
      </c>
      <c r="CBS94" s="60"/>
      <c r="CCH94" s="34" t="s">
        <v>885</v>
      </c>
      <c r="CCI94" s="60"/>
      <c r="CCX94" s="34" t="s">
        <v>885</v>
      </c>
      <c r="CCY94" s="60"/>
      <c r="CDN94" s="34" t="s">
        <v>885</v>
      </c>
      <c r="CDO94" s="60"/>
      <c r="CED94" s="34" t="s">
        <v>885</v>
      </c>
      <c r="CEE94" s="60"/>
      <c r="CET94" s="34" t="s">
        <v>885</v>
      </c>
      <c r="CEU94" s="60"/>
      <c r="CFJ94" s="34" t="s">
        <v>885</v>
      </c>
      <c r="CFK94" s="60"/>
      <c r="CFZ94" s="34" t="s">
        <v>885</v>
      </c>
      <c r="CGA94" s="60"/>
      <c r="CGP94" s="34" t="s">
        <v>885</v>
      </c>
      <c r="CGQ94" s="60"/>
      <c r="CHF94" s="34" t="s">
        <v>885</v>
      </c>
      <c r="CHG94" s="60"/>
      <c r="CHV94" s="34" t="s">
        <v>885</v>
      </c>
      <c r="CHW94" s="60"/>
      <c r="CIL94" s="34" t="s">
        <v>885</v>
      </c>
      <c r="CIM94" s="60"/>
      <c r="CJB94" s="34" t="s">
        <v>885</v>
      </c>
      <c r="CJC94" s="60"/>
      <c r="CJR94" s="34" t="s">
        <v>885</v>
      </c>
      <c r="CJS94" s="60"/>
      <c r="CKH94" s="34" t="s">
        <v>885</v>
      </c>
      <c r="CKI94" s="60"/>
      <c r="CKX94" s="34" t="s">
        <v>885</v>
      </c>
      <c r="CKY94" s="60"/>
      <c r="CLN94" s="34" t="s">
        <v>885</v>
      </c>
      <c r="CLO94" s="60"/>
      <c r="CMD94" s="34" t="s">
        <v>885</v>
      </c>
      <c r="CME94" s="60"/>
      <c r="CMT94" s="34" t="s">
        <v>885</v>
      </c>
      <c r="CMU94" s="60"/>
      <c r="CNJ94" s="34" t="s">
        <v>885</v>
      </c>
      <c r="CNK94" s="60"/>
      <c r="CNZ94" s="34" t="s">
        <v>885</v>
      </c>
      <c r="COA94" s="60"/>
      <c r="COP94" s="34" t="s">
        <v>885</v>
      </c>
      <c r="COQ94" s="60"/>
      <c r="CPF94" s="34" t="s">
        <v>885</v>
      </c>
      <c r="CPG94" s="60"/>
      <c r="CPV94" s="34" t="s">
        <v>885</v>
      </c>
      <c r="CPW94" s="60"/>
      <c r="CQL94" s="34" t="s">
        <v>885</v>
      </c>
      <c r="CQM94" s="60"/>
      <c r="CRB94" s="34" t="s">
        <v>885</v>
      </c>
      <c r="CRC94" s="60"/>
      <c r="CRR94" s="34" t="s">
        <v>885</v>
      </c>
      <c r="CRS94" s="60"/>
      <c r="CSH94" s="34" t="s">
        <v>885</v>
      </c>
      <c r="CSI94" s="60"/>
      <c r="CSX94" s="34" t="s">
        <v>885</v>
      </c>
      <c r="CSY94" s="60"/>
      <c r="CTN94" s="34" t="s">
        <v>885</v>
      </c>
      <c r="CTO94" s="60"/>
      <c r="CUD94" s="34" t="s">
        <v>885</v>
      </c>
      <c r="CUE94" s="60"/>
      <c r="CUT94" s="34" t="s">
        <v>885</v>
      </c>
      <c r="CUU94" s="60"/>
      <c r="CVJ94" s="34" t="s">
        <v>885</v>
      </c>
      <c r="CVK94" s="60"/>
      <c r="CVZ94" s="34" t="s">
        <v>885</v>
      </c>
      <c r="CWA94" s="60"/>
      <c r="CWP94" s="34" t="s">
        <v>885</v>
      </c>
      <c r="CWQ94" s="60"/>
      <c r="CXF94" s="34" t="s">
        <v>885</v>
      </c>
      <c r="CXG94" s="60"/>
      <c r="CXV94" s="34" t="s">
        <v>885</v>
      </c>
      <c r="CXW94" s="60"/>
      <c r="CYL94" s="34" t="s">
        <v>885</v>
      </c>
      <c r="CYM94" s="60"/>
      <c r="CZB94" s="34" t="s">
        <v>885</v>
      </c>
      <c r="CZC94" s="60"/>
      <c r="CZR94" s="34" t="s">
        <v>885</v>
      </c>
      <c r="CZS94" s="60"/>
      <c r="DAH94" s="34" t="s">
        <v>885</v>
      </c>
      <c r="DAI94" s="60"/>
      <c r="DAX94" s="34" t="s">
        <v>885</v>
      </c>
      <c r="DAY94" s="60"/>
      <c r="DBN94" s="34" t="s">
        <v>885</v>
      </c>
      <c r="DBO94" s="60"/>
      <c r="DCD94" s="34" t="s">
        <v>885</v>
      </c>
      <c r="DCE94" s="60"/>
      <c r="DCT94" s="34" t="s">
        <v>885</v>
      </c>
      <c r="DCU94" s="60"/>
      <c r="DDJ94" s="34" t="s">
        <v>885</v>
      </c>
      <c r="DDK94" s="60"/>
      <c r="DDZ94" s="34" t="s">
        <v>885</v>
      </c>
      <c r="DEA94" s="60"/>
      <c r="DEP94" s="34" t="s">
        <v>885</v>
      </c>
      <c r="DEQ94" s="60"/>
      <c r="DFF94" s="34" t="s">
        <v>885</v>
      </c>
      <c r="DFG94" s="60"/>
      <c r="DFV94" s="34" t="s">
        <v>885</v>
      </c>
      <c r="DFW94" s="60"/>
      <c r="DGL94" s="34" t="s">
        <v>885</v>
      </c>
      <c r="DGM94" s="60"/>
      <c r="DHB94" s="34" t="s">
        <v>885</v>
      </c>
      <c r="DHC94" s="60"/>
      <c r="DHR94" s="34" t="s">
        <v>885</v>
      </c>
      <c r="DHS94" s="60"/>
      <c r="DIH94" s="34" t="s">
        <v>885</v>
      </c>
      <c r="DII94" s="60"/>
      <c r="DIX94" s="34" t="s">
        <v>885</v>
      </c>
      <c r="DIY94" s="60"/>
      <c r="DJN94" s="34" t="s">
        <v>885</v>
      </c>
      <c r="DJO94" s="60"/>
      <c r="DKD94" s="34" t="s">
        <v>885</v>
      </c>
      <c r="DKE94" s="60"/>
      <c r="DKT94" s="34" t="s">
        <v>885</v>
      </c>
      <c r="DKU94" s="60"/>
      <c r="DLJ94" s="34" t="s">
        <v>885</v>
      </c>
      <c r="DLK94" s="60"/>
      <c r="DLZ94" s="34" t="s">
        <v>885</v>
      </c>
      <c r="DMA94" s="60"/>
      <c r="DMP94" s="34" t="s">
        <v>885</v>
      </c>
      <c r="DMQ94" s="60"/>
      <c r="DNF94" s="34" t="s">
        <v>885</v>
      </c>
      <c r="DNG94" s="60"/>
      <c r="DNV94" s="34" t="s">
        <v>885</v>
      </c>
      <c r="DNW94" s="60"/>
      <c r="DOL94" s="34" t="s">
        <v>885</v>
      </c>
      <c r="DOM94" s="60"/>
      <c r="DPB94" s="34" t="s">
        <v>885</v>
      </c>
      <c r="DPC94" s="60"/>
      <c r="DPR94" s="34" t="s">
        <v>885</v>
      </c>
      <c r="DPS94" s="60"/>
      <c r="DQH94" s="34" t="s">
        <v>885</v>
      </c>
      <c r="DQI94" s="60"/>
      <c r="DQX94" s="34" t="s">
        <v>885</v>
      </c>
      <c r="DQY94" s="60"/>
      <c r="DRN94" s="34" t="s">
        <v>885</v>
      </c>
      <c r="DRO94" s="60"/>
      <c r="DSD94" s="34" t="s">
        <v>885</v>
      </c>
      <c r="DSE94" s="60"/>
      <c r="DST94" s="34" t="s">
        <v>885</v>
      </c>
      <c r="DSU94" s="60"/>
      <c r="DTJ94" s="34" t="s">
        <v>885</v>
      </c>
      <c r="DTK94" s="60"/>
      <c r="DTZ94" s="34" t="s">
        <v>885</v>
      </c>
      <c r="DUA94" s="60"/>
      <c r="DUP94" s="34" t="s">
        <v>885</v>
      </c>
      <c r="DUQ94" s="60"/>
      <c r="DVF94" s="34" t="s">
        <v>885</v>
      </c>
      <c r="DVG94" s="60"/>
      <c r="DVV94" s="34" t="s">
        <v>885</v>
      </c>
      <c r="DVW94" s="60"/>
      <c r="DWL94" s="34" t="s">
        <v>885</v>
      </c>
      <c r="DWM94" s="60"/>
      <c r="DXB94" s="34" t="s">
        <v>885</v>
      </c>
      <c r="DXC94" s="60"/>
      <c r="DXR94" s="34" t="s">
        <v>885</v>
      </c>
      <c r="DXS94" s="60"/>
      <c r="DYH94" s="34" t="s">
        <v>885</v>
      </c>
      <c r="DYI94" s="60"/>
      <c r="DYX94" s="34" t="s">
        <v>885</v>
      </c>
      <c r="DYY94" s="60"/>
      <c r="DZN94" s="34" t="s">
        <v>885</v>
      </c>
      <c r="DZO94" s="60"/>
      <c r="EAD94" s="34" t="s">
        <v>885</v>
      </c>
      <c r="EAE94" s="60"/>
      <c r="EAT94" s="34" t="s">
        <v>885</v>
      </c>
      <c r="EAU94" s="60"/>
      <c r="EBJ94" s="34" t="s">
        <v>885</v>
      </c>
      <c r="EBK94" s="60"/>
      <c r="EBZ94" s="34" t="s">
        <v>885</v>
      </c>
      <c r="ECA94" s="60"/>
      <c r="ECP94" s="34" t="s">
        <v>885</v>
      </c>
      <c r="ECQ94" s="60"/>
      <c r="EDF94" s="34" t="s">
        <v>885</v>
      </c>
      <c r="EDG94" s="60"/>
      <c r="EDV94" s="34" t="s">
        <v>885</v>
      </c>
      <c r="EDW94" s="60"/>
      <c r="EEL94" s="34" t="s">
        <v>885</v>
      </c>
      <c r="EEM94" s="60"/>
      <c r="EFB94" s="34" t="s">
        <v>885</v>
      </c>
      <c r="EFC94" s="60"/>
      <c r="EFR94" s="34" t="s">
        <v>885</v>
      </c>
      <c r="EFS94" s="60"/>
      <c r="EGH94" s="34" t="s">
        <v>885</v>
      </c>
      <c r="EGI94" s="60"/>
      <c r="EGX94" s="34" t="s">
        <v>885</v>
      </c>
      <c r="EGY94" s="60"/>
      <c r="EHN94" s="34" t="s">
        <v>885</v>
      </c>
      <c r="EHO94" s="60"/>
      <c r="EID94" s="34" t="s">
        <v>885</v>
      </c>
      <c r="EIE94" s="60"/>
      <c r="EIT94" s="34" t="s">
        <v>885</v>
      </c>
      <c r="EIU94" s="60"/>
      <c r="EJJ94" s="34" t="s">
        <v>885</v>
      </c>
      <c r="EJK94" s="60"/>
      <c r="EJZ94" s="34" t="s">
        <v>885</v>
      </c>
      <c r="EKA94" s="60"/>
      <c r="EKP94" s="34" t="s">
        <v>885</v>
      </c>
      <c r="EKQ94" s="60"/>
      <c r="ELF94" s="34" t="s">
        <v>885</v>
      </c>
      <c r="ELG94" s="60"/>
      <c r="ELV94" s="34" t="s">
        <v>885</v>
      </c>
      <c r="ELW94" s="60"/>
      <c r="EML94" s="34" t="s">
        <v>885</v>
      </c>
      <c r="EMM94" s="60"/>
      <c r="ENB94" s="34" t="s">
        <v>885</v>
      </c>
      <c r="ENC94" s="60"/>
      <c r="ENR94" s="34" t="s">
        <v>885</v>
      </c>
      <c r="ENS94" s="60"/>
      <c r="EOH94" s="34" t="s">
        <v>885</v>
      </c>
      <c r="EOI94" s="60"/>
      <c r="EOX94" s="34" t="s">
        <v>885</v>
      </c>
      <c r="EOY94" s="60"/>
      <c r="EPN94" s="34" t="s">
        <v>885</v>
      </c>
      <c r="EPO94" s="60"/>
      <c r="EQD94" s="34" t="s">
        <v>885</v>
      </c>
      <c r="EQE94" s="60"/>
      <c r="EQT94" s="34" t="s">
        <v>885</v>
      </c>
      <c r="EQU94" s="60"/>
      <c r="ERJ94" s="34" t="s">
        <v>885</v>
      </c>
      <c r="ERK94" s="60"/>
      <c r="ERZ94" s="34" t="s">
        <v>885</v>
      </c>
      <c r="ESA94" s="60"/>
      <c r="ESP94" s="34" t="s">
        <v>885</v>
      </c>
      <c r="ESQ94" s="60"/>
      <c r="ETF94" s="34" t="s">
        <v>885</v>
      </c>
      <c r="ETG94" s="60"/>
      <c r="ETV94" s="34" t="s">
        <v>885</v>
      </c>
      <c r="ETW94" s="60"/>
      <c r="EUL94" s="34" t="s">
        <v>885</v>
      </c>
      <c r="EUM94" s="60"/>
      <c r="EVB94" s="34" t="s">
        <v>885</v>
      </c>
      <c r="EVC94" s="60"/>
      <c r="EVR94" s="34" t="s">
        <v>885</v>
      </c>
      <c r="EVS94" s="60"/>
      <c r="EWH94" s="34" t="s">
        <v>885</v>
      </c>
      <c r="EWI94" s="60"/>
      <c r="EWX94" s="34" t="s">
        <v>885</v>
      </c>
      <c r="EWY94" s="60"/>
      <c r="EXN94" s="34" t="s">
        <v>885</v>
      </c>
      <c r="EXO94" s="60"/>
      <c r="EYD94" s="34" t="s">
        <v>885</v>
      </c>
      <c r="EYE94" s="60"/>
      <c r="EYT94" s="34" t="s">
        <v>885</v>
      </c>
      <c r="EYU94" s="60"/>
      <c r="EZJ94" s="34" t="s">
        <v>885</v>
      </c>
      <c r="EZK94" s="60"/>
      <c r="EZZ94" s="34" t="s">
        <v>885</v>
      </c>
      <c r="FAA94" s="60"/>
      <c r="FAP94" s="34" t="s">
        <v>885</v>
      </c>
      <c r="FAQ94" s="60"/>
      <c r="FBF94" s="34" t="s">
        <v>885</v>
      </c>
      <c r="FBG94" s="60"/>
      <c r="FBV94" s="34" t="s">
        <v>885</v>
      </c>
      <c r="FBW94" s="60"/>
      <c r="FCL94" s="34" t="s">
        <v>885</v>
      </c>
      <c r="FCM94" s="60"/>
      <c r="FDB94" s="34" t="s">
        <v>885</v>
      </c>
      <c r="FDC94" s="60"/>
      <c r="FDR94" s="34" t="s">
        <v>885</v>
      </c>
      <c r="FDS94" s="60"/>
      <c r="FEH94" s="34" t="s">
        <v>885</v>
      </c>
      <c r="FEI94" s="60"/>
      <c r="FEX94" s="34" t="s">
        <v>885</v>
      </c>
      <c r="FEY94" s="60"/>
      <c r="FFN94" s="34" t="s">
        <v>885</v>
      </c>
      <c r="FFO94" s="60"/>
      <c r="FGD94" s="34" t="s">
        <v>885</v>
      </c>
      <c r="FGE94" s="60"/>
      <c r="FGT94" s="34" t="s">
        <v>885</v>
      </c>
      <c r="FGU94" s="60"/>
      <c r="FHJ94" s="34" t="s">
        <v>885</v>
      </c>
      <c r="FHK94" s="60"/>
      <c r="FHZ94" s="34" t="s">
        <v>885</v>
      </c>
      <c r="FIA94" s="60"/>
      <c r="FIP94" s="34" t="s">
        <v>885</v>
      </c>
      <c r="FIQ94" s="60"/>
      <c r="FJF94" s="34" t="s">
        <v>885</v>
      </c>
      <c r="FJG94" s="60"/>
      <c r="FJV94" s="34" t="s">
        <v>885</v>
      </c>
      <c r="FJW94" s="60"/>
      <c r="FKL94" s="34" t="s">
        <v>885</v>
      </c>
      <c r="FKM94" s="60"/>
      <c r="FLB94" s="34" t="s">
        <v>885</v>
      </c>
      <c r="FLC94" s="60"/>
      <c r="FLR94" s="34" t="s">
        <v>885</v>
      </c>
      <c r="FLS94" s="60"/>
      <c r="FMH94" s="34" t="s">
        <v>885</v>
      </c>
      <c r="FMI94" s="60"/>
      <c r="FMX94" s="34" t="s">
        <v>885</v>
      </c>
      <c r="FMY94" s="60"/>
      <c r="FNN94" s="34" t="s">
        <v>885</v>
      </c>
      <c r="FNO94" s="60"/>
      <c r="FOD94" s="34" t="s">
        <v>885</v>
      </c>
      <c r="FOE94" s="60"/>
      <c r="FOT94" s="34" t="s">
        <v>885</v>
      </c>
      <c r="FOU94" s="60"/>
      <c r="FPJ94" s="34" t="s">
        <v>885</v>
      </c>
      <c r="FPK94" s="60"/>
      <c r="FPZ94" s="34" t="s">
        <v>885</v>
      </c>
      <c r="FQA94" s="60"/>
      <c r="FQP94" s="34" t="s">
        <v>885</v>
      </c>
      <c r="FQQ94" s="60"/>
      <c r="FRF94" s="34" t="s">
        <v>885</v>
      </c>
      <c r="FRG94" s="60"/>
      <c r="FRV94" s="34" t="s">
        <v>885</v>
      </c>
      <c r="FRW94" s="60"/>
      <c r="FSL94" s="34" t="s">
        <v>885</v>
      </c>
      <c r="FSM94" s="60"/>
      <c r="FTB94" s="34" t="s">
        <v>885</v>
      </c>
      <c r="FTC94" s="60"/>
      <c r="FTR94" s="34" t="s">
        <v>885</v>
      </c>
      <c r="FTS94" s="60"/>
      <c r="FUH94" s="34" t="s">
        <v>885</v>
      </c>
      <c r="FUI94" s="60"/>
      <c r="FUX94" s="34" t="s">
        <v>885</v>
      </c>
      <c r="FUY94" s="60"/>
      <c r="FVN94" s="34" t="s">
        <v>885</v>
      </c>
      <c r="FVO94" s="60"/>
      <c r="FWD94" s="34" t="s">
        <v>885</v>
      </c>
      <c r="FWE94" s="60"/>
      <c r="FWT94" s="34" t="s">
        <v>885</v>
      </c>
      <c r="FWU94" s="60"/>
      <c r="FXJ94" s="34" t="s">
        <v>885</v>
      </c>
      <c r="FXK94" s="60"/>
      <c r="FXZ94" s="34" t="s">
        <v>885</v>
      </c>
      <c r="FYA94" s="60"/>
      <c r="FYP94" s="34" t="s">
        <v>885</v>
      </c>
      <c r="FYQ94" s="60"/>
      <c r="FZF94" s="34" t="s">
        <v>885</v>
      </c>
      <c r="FZG94" s="60"/>
      <c r="FZV94" s="34" t="s">
        <v>885</v>
      </c>
      <c r="FZW94" s="60"/>
      <c r="GAL94" s="34" t="s">
        <v>885</v>
      </c>
      <c r="GAM94" s="60"/>
      <c r="GBB94" s="34" t="s">
        <v>885</v>
      </c>
      <c r="GBC94" s="60"/>
      <c r="GBR94" s="34" t="s">
        <v>885</v>
      </c>
      <c r="GBS94" s="60"/>
      <c r="GCH94" s="34" t="s">
        <v>885</v>
      </c>
      <c r="GCI94" s="60"/>
      <c r="GCX94" s="34" t="s">
        <v>885</v>
      </c>
      <c r="GCY94" s="60"/>
      <c r="GDN94" s="34" t="s">
        <v>885</v>
      </c>
      <c r="GDO94" s="60"/>
      <c r="GED94" s="34" t="s">
        <v>885</v>
      </c>
      <c r="GEE94" s="60"/>
      <c r="GET94" s="34" t="s">
        <v>885</v>
      </c>
      <c r="GEU94" s="60"/>
      <c r="GFJ94" s="34" t="s">
        <v>885</v>
      </c>
      <c r="GFK94" s="60"/>
      <c r="GFZ94" s="34" t="s">
        <v>885</v>
      </c>
      <c r="GGA94" s="60"/>
      <c r="GGP94" s="34" t="s">
        <v>885</v>
      </c>
      <c r="GGQ94" s="60"/>
      <c r="GHF94" s="34" t="s">
        <v>885</v>
      </c>
      <c r="GHG94" s="60"/>
      <c r="GHV94" s="34" t="s">
        <v>885</v>
      </c>
      <c r="GHW94" s="60"/>
      <c r="GIL94" s="34" t="s">
        <v>885</v>
      </c>
      <c r="GIM94" s="60"/>
      <c r="GJB94" s="34" t="s">
        <v>885</v>
      </c>
      <c r="GJC94" s="60"/>
      <c r="GJR94" s="34" t="s">
        <v>885</v>
      </c>
      <c r="GJS94" s="60"/>
      <c r="GKH94" s="34" t="s">
        <v>885</v>
      </c>
      <c r="GKI94" s="60"/>
      <c r="GKX94" s="34" t="s">
        <v>885</v>
      </c>
      <c r="GKY94" s="60"/>
      <c r="GLN94" s="34" t="s">
        <v>885</v>
      </c>
      <c r="GLO94" s="60"/>
      <c r="GMD94" s="34" t="s">
        <v>885</v>
      </c>
      <c r="GME94" s="60"/>
      <c r="GMT94" s="34" t="s">
        <v>885</v>
      </c>
      <c r="GMU94" s="60"/>
      <c r="GNJ94" s="34" t="s">
        <v>885</v>
      </c>
      <c r="GNK94" s="60"/>
      <c r="GNZ94" s="34" t="s">
        <v>885</v>
      </c>
      <c r="GOA94" s="60"/>
      <c r="GOP94" s="34" t="s">
        <v>885</v>
      </c>
      <c r="GOQ94" s="60"/>
      <c r="GPF94" s="34" t="s">
        <v>885</v>
      </c>
      <c r="GPG94" s="60"/>
      <c r="GPV94" s="34" t="s">
        <v>885</v>
      </c>
      <c r="GPW94" s="60"/>
      <c r="GQL94" s="34" t="s">
        <v>885</v>
      </c>
      <c r="GQM94" s="60"/>
      <c r="GRB94" s="34" t="s">
        <v>885</v>
      </c>
      <c r="GRC94" s="60"/>
      <c r="GRR94" s="34" t="s">
        <v>885</v>
      </c>
      <c r="GRS94" s="60"/>
      <c r="GSH94" s="34" t="s">
        <v>885</v>
      </c>
      <c r="GSI94" s="60"/>
      <c r="GSX94" s="34" t="s">
        <v>885</v>
      </c>
      <c r="GSY94" s="60"/>
      <c r="GTN94" s="34" t="s">
        <v>885</v>
      </c>
      <c r="GTO94" s="60"/>
      <c r="GUD94" s="34" t="s">
        <v>885</v>
      </c>
      <c r="GUE94" s="60"/>
      <c r="GUT94" s="34" t="s">
        <v>885</v>
      </c>
      <c r="GUU94" s="60"/>
      <c r="GVJ94" s="34" t="s">
        <v>885</v>
      </c>
      <c r="GVK94" s="60"/>
      <c r="GVZ94" s="34" t="s">
        <v>885</v>
      </c>
      <c r="GWA94" s="60"/>
      <c r="GWP94" s="34" t="s">
        <v>885</v>
      </c>
      <c r="GWQ94" s="60"/>
      <c r="GXF94" s="34" t="s">
        <v>885</v>
      </c>
      <c r="GXG94" s="60"/>
      <c r="GXV94" s="34" t="s">
        <v>885</v>
      </c>
      <c r="GXW94" s="60"/>
      <c r="GYL94" s="34" t="s">
        <v>885</v>
      </c>
      <c r="GYM94" s="60"/>
      <c r="GZB94" s="34" t="s">
        <v>885</v>
      </c>
      <c r="GZC94" s="60"/>
      <c r="GZR94" s="34" t="s">
        <v>885</v>
      </c>
      <c r="GZS94" s="60"/>
      <c r="HAH94" s="34" t="s">
        <v>885</v>
      </c>
      <c r="HAI94" s="60"/>
      <c r="HAX94" s="34" t="s">
        <v>885</v>
      </c>
      <c r="HAY94" s="60"/>
      <c r="HBN94" s="34" t="s">
        <v>885</v>
      </c>
      <c r="HBO94" s="60"/>
      <c r="HCD94" s="34" t="s">
        <v>885</v>
      </c>
      <c r="HCE94" s="60"/>
      <c r="HCT94" s="34" t="s">
        <v>885</v>
      </c>
      <c r="HCU94" s="60"/>
      <c r="HDJ94" s="34" t="s">
        <v>885</v>
      </c>
      <c r="HDK94" s="60"/>
      <c r="HDZ94" s="34" t="s">
        <v>885</v>
      </c>
      <c r="HEA94" s="60"/>
      <c r="HEP94" s="34" t="s">
        <v>885</v>
      </c>
      <c r="HEQ94" s="60"/>
      <c r="HFF94" s="34" t="s">
        <v>885</v>
      </c>
      <c r="HFG94" s="60"/>
      <c r="HFV94" s="34" t="s">
        <v>885</v>
      </c>
      <c r="HFW94" s="60"/>
      <c r="HGL94" s="34" t="s">
        <v>885</v>
      </c>
      <c r="HGM94" s="60"/>
      <c r="HHB94" s="34" t="s">
        <v>885</v>
      </c>
      <c r="HHC94" s="60"/>
      <c r="HHR94" s="34" t="s">
        <v>885</v>
      </c>
      <c r="HHS94" s="60"/>
      <c r="HIH94" s="34" t="s">
        <v>885</v>
      </c>
      <c r="HII94" s="60"/>
      <c r="HIX94" s="34" t="s">
        <v>885</v>
      </c>
      <c r="HIY94" s="60"/>
      <c r="HJN94" s="34" t="s">
        <v>885</v>
      </c>
      <c r="HJO94" s="60"/>
      <c r="HKD94" s="34" t="s">
        <v>885</v>
      </c>
      <c r="HKE94" s="60"/>
      <c r="HKT94" s="34" t="s">
        <v>885</v>
      </c>
      <c r="HKU94" s="60"/>
      <c r="HLJ94" s="34" t="s">
        <v>885</v>
      </c>
      <c r="HLK94" s="60"/>
      <c r="HLZ94" s="34" t="s">
        <v>885</v>
      </c>
      <c r="HMA94" s="60"/>
      <c r="HMP94" s="34" t="s">
        <v>885</v>
      </c>
      <c r="HMQ94" s="60"/>
      <c r="HNF94" s="34" t="s">
        <v>885</v>
      </c>
      <c r="HNG94" s="60"/>
      <c r="HNV94" s="34" t="s">
        <v>885</v>
      </c>
      <c r="HNW94" s="60"/>
      <c r="HOL94" s="34" t="s">
        <v>885</v>
      </c>
      <c r="HOM94" s="60"/>
      <c r="HPB94" s="34" t="s">
        <v>885</v>
      </c>
      <c r="HPC94" s="60"/>
      <c r="HPR94" s="34" t="s">
        <v>885</v>
      </c>
      <c r="HPS94" s="60"/>
      <c r="HQH94" s="34" t="s">
        <v>885</v>
      </c>
      <c r="HQI94" s="60"/>
      <c r="HQX94" s="34" t="s">
        <v>885</v>
      </c>
      <c r="HQY94" s="60"/>
      <c r="HRN94" s="34" t="s">
        <v>885</v>
      </c>
      <c r="HRO94" s="60"/>
      <c r="HSD94" s="34" t="s">
        <v>885</v>
      </c>
      <c r="HSE94" s="60"/>
      <c r="HST94" s="34" t="s">
        <v>885</v>
      </c>
      <c r="HSU94" s="60"/>
      <c r="HTJ94" s="34" t="s">
        <v>885</v>
      </c>
      <c r="HTK94" s="60"/>
      <c r="HTZ94" s="34" t="s">
        <v>885</v>
      </c>
      <c r="HUA94" s="60"/>
      <c r="HUP94" s="34" t="s">
        <v>885</v>
      </c>
      <c r="HUQ94" s="60"/>
      <c r="HVF94" s="34" t="s">
        <v>885</v>
      </c>
      <c r="HVG94" s="60"/>
      <c r="HVV94" s="34" t="s">
        <v>885</v>
      </c>
      <c r="HVW94" s="60"/>
      <c r="HWL94" s="34" t="s">
        <v>885</v>
      </c>
      <c r="HWM94" s="60"/>
      <c r="HXB94" s="34" t="s">
        <v>885</v>
      </c>
      <c r="HXC94" s="60"/>
      <c r="HXR94" s="34" t="s">
        <v>885</v>
      </c>
      <c r="HXS94" s="60"/>
      <c r="HYH94" s="34" t="s">
        <v>885</v>
      </c>
      <c r="HYI94" s="60"/>
      <c r="HYX94" s="34" t="s">
        <v>885</v>
      </c>
      <c r="HYY94" s="60"/>
      <c r="HZN94" s="34" t="s">
        <v>885</v>
      </c>
      <c r="HZO94" s="60"/>
      <c r="IAD94" s="34" t="s">
        <v>885</v>
      </c>
      <c r="IAE94" s="60"/>
      <c r="IAT94" s="34" t="s">
        <v>885</v>
      </c>
      <c r="IAU94" s="60"/>
      <c r="IBJ94" s="34" t="s">
        <v>885</v>
      </c>
      <c r="IBK94" s="60"/>
      <c r="IBZ94" s="34" t="s">
        <v>885</v>
      </c>
      <c r="ICA94" s="60"/>
      <c r="ICP94" s="34" t="s">
        <v>885</v>
      </c>
      <c r="ICQ94" s="60"/>
      <c r="IDF94" s="34" t="s">
        <v>885</v>
      </c>
      <c r="IDG94" s="60"/>
      <c r="IDV94" s="34" t="s">
        <v>885</v>
      </c>
      <c r="IDW94" s="60"/>
      <c r="IEL94" s="34" t="s">
        <v>885</v>
      </c>
      <c r="IEM94" s="60"/>
      <c r="IFB94" s="34" t="s">
        <v>885</v>
      </c>
      <c r="IFC94" s="60"/>
      <c r="IFR94" s="34" t="s">
        <v>885</v>
      </c>
      <c r="IFS94" s="60"/>
      <c r="IGH94" s="34" t="s">
        <v>885</v>
      </c>
      <c r="IGI94" s="60"/>
      <c r="IGX94" s="34" t="s">
        <v>885</v>
      </c>
      <c r="IGY94" s="60"/>
      <c r="IHN94" s="34" t="s">
        <v>885</v>
      </c>
      <c r="IHO94" s="60"/>
      <c r="IID94" s="34" t="s">
        <v>885</v>
      </c>
      <c r="IIE94" s="60"/>
      <c r="IIT94" s="34" t="s">
        <v>885</v>
      </c>
      <c r="IIU94" s="60"/>
      <c r="IJJ94" s="34" t="s">
        <v>885</v>
      </c>
      <c r="IJK94" s="60"/>
      <c r="IJZ94" s="34" t="s">
        <v>885</v>
      </c>
      <c r="IKA94" s="60"/>
      <c r="IKP94" s="34" t="s">
        <v>885</v>
      </c>
      <c r="IKQ94" s="60"/>
      <c r="ILF94" s="34" t="s">
        <v>885</v>
      </c>
      <c r="ILG94" s="60"/>
      <c r="ILV94" s="34" t="s">
        <v>885</v>
      </c>
      <c r="ILW94" s="60"/>
      <c r="IML94" s="34" t="s">
        <v>885</v>
      </c>
      <c r="IMM94" s="60"/>
      <c r="INB94" s="34" t="s">
        <v>885</v>
      </c>
      <c r="INC94" s="60"/>
      <c r="INR94" s="34" t="s">
        <v>885</v>
      </c>
      <c r="INS94" s="60"/>
      <c r="IOH94" s="34" t="s">
        <v>885</v>
      </c>
      <c r="IOI94" s="60"/>
      <c r="IOX94" s="34" t="s">
        <v>885</v>
      </c>
      <c r="IOY94" s="60"/>
      <c r="IPN94" s="34" t="s">
        <v>885</v>
      </c>
      <c r="IPO94" s="60"/>
      <c r="IQD94" s="34" t="s">
        <v>885</v>
      </c>
      <c r="IQE94" s="60"/>
      <c r="IQT94" s="34" t="s">
        <v>885</v>
      </c>
      <c r="IQU94" s="60"/>
      <c r="IRJ94" s="34" t="s">
        <v>885</v>
      </c>
      <c r="IRK94" s="60"/>
      <c r="IRZ94" s="34" t="s">
        <v>885</v>
      </c>
      <c r="ISA94" s="60"/>
      <c r="ISP94" s="34" t="s">
        <v>885</v>
      </c>
      <c r="ISQ94" s="60"/>
      <c r="ITF94" s="34" t="s">
        <v>885</v>
      </c>
      <c r="ITG94" s="60"/>
      <c r="ITV94" s="34" t="s">
        <v>885</v>
      </c>
      <c r="ITW94" s="60"/>
      <c r="IUL94" s="34" t="s">
        <v>885</v>
      </c>
      <c r="IUM94" s="60"/>
      <c r="IVB94" s="34" t="s">
        <v>885</v>
      </c>
      <c r="IVC94" s="60"/>
      <c r="IVR94" s="34" t="s">
        <v>885</v>
      </c>
      <c r="IVS94" s="60"/>
      <c r="IWH94" s="34" t="s">
        <v>885</v>
      </c>
      <c r="IWI94" s="60"/>
      <c r="IWX94" s="34" t="s">
        <v>885</v>
      </c>
      <c r="IWY94" s="60"/>
      <c r="IXN94" s="34" t="s">
        <v>885</v>
      </c>
      <c r="IXO94" s="60"/>
      <c r="IYD94" s="34" t="s">
        <v>885</v>
      </c>
      <c r="IYE94" s="60"/>
      <c r="IYT94" s="34" t="s">
        <v>885</v>
      </c>
      <c r="IYU94" s="60"/>
      <c r="IZJ94" s="34" t="s">
        <v>885</v>
      </c>
      <c r="IZK94" s="60"/>
      <c r="IZZ94" s="34" t="s">
        <v>885</v>
      </c>
      <c r="JAA94" s="60"/>
      <c r="JAP94" s="34" t="s">
        <v>885</v>
      </c>
      <c r="JAQ94" s="60"/>
      <c r="JBF94" s="34" t="s">
        <v>885</v>
      </c>
      <c r="JBG94" s="60"/>
      <c r="JBV94" s="34" t="s">
        <v>885</v>
      </c>
      <c r="JBW94" s="60"/>
      <c r="JCL94" s="34" t="s">
        <v>885</v>
      </c>
      <c r="JCM94" s="60"/>
      <c r="JDB94" s="34" t="s">
        <v>885</v>
      </c>
      <c r="JDC94" s="60"/>
      <c r="JDR94" s="34" t="s">
        <v>885</v>
      </c>
      <c r="JDS94" s="60"/>
      <c r="JEH94" s="34" t="s">
        <v>885</v>
      </c>
      <c r="JEI94" s="60"/>
      <c r="JEX94" s="34" t="s">
        <v>885</v>
      </c>
      <c r="JEY94" s="60"/>
      <c r="JFN94" s="34" t="s">
        <v>885</v>
      </c>
      <c r="JFO94" s="60"/>
      <c r="JGD94" s="34" t="s">
        <v>885</v>
      </c>
      <c r="JGE94" s="60"/>
      <c r="JGT94" s="34" t="s">
        <v>885</v>
      </c>
      <c r="JGU94" s="60"/>
      <c r="JHJ94" s="34" t="s">
        <v>885</v>
      </c>
      <c r="JHK94" s="60"/>
      <c r="JHZ94" s="34" t="s">
        <v>885</v>
      </c>
      <c r="JIA94" s="60"/>
      <c r="JIP94" s="34" t="s">
        <v>885</v>
      </c>
      <c r="JIQ94" s="60"/>
      <c r="JJF94" s="34" t="s">
        <v>885</v>
      </c>
      <c r="JJG94" s="60"/>
      <c r="JJV94" s="34" t="s">
        <v>885</v>
      </c>
      <c r="JJW94" s="60"/>
      <c r="JKL94" s="34" t="s">
        <v>885</v>
      </c>
      <c r="JKM94" s="60"/>
      <c r="JLB94" s="34" t="s">
        <v>885</v>
      </c>
      <c r="JLC94" s="60"/>
      <c r="JLR94" s="34" t="s">
        <v>885</v>
      </c>
      <c r="JLS94" s="60"/>
      <c r="JMH94" s="34" t="s">
        <v>885</v>
      </c>
      <c r="JMI94" s="60"/>
      <c r="JMX94" s="34" t="s">
        <v>885</v>
      </c>
      <c r="JMY94" s="60"/>
      <c r="JNN94" s="34" t="s">
        <v>885</v>
      </c>
      <c r="JNO94" s="60"/>
      <c r="JOD94" s="34" t="s">
        <v>885</v>
      </c>
      <c r="JOE94" s="60"/>
      <c r="JOT94" s="34" t="s">
        <v>885</v>
      </c>
      <c r="JOU94" s="60"/>
      <c r="JPJ94" s="34" t="s">
        <v>885</v>
      </c>
      <c r="JPK94" s="60"/>
      <c r="JPZ94" s="34" t="s">
        <v>885</v>
      </c>
      <c r="JQA94" s="60"/>
      <c r="JQP94" s="34" t="s">
        <v>885</v>
      </c>
      <c r="JQQ94" s="60"/>
      <c r="JRF94" s="34" t="s">
        <v>885</v>
      </c>
      <c r="JRG94" s="60"/>
      <c r="JRV94" s="34" t="s">
        <v>885</v>
      </c>
      <c r="JRW94" s="60"/>
      <c r="JSL94" s="34" t="s">
        <v>885</v>
      </c>
      <c r="JSM94" s="60"/>
      <c r="JTB94" s="34" t="s">
        <v>885</v>
      </c>
      <c r="JTC94" s="60"/>
      <c r="JTR94" s="34" t="s">
        <v>885</v>
      </c>
      <c r="JTS94" s="60"/>
      <c r="JUH94" s="34" t="s">
        <v>885</v>
      </c>
      <c r="JUI94" s="60"/>
      <c r="JUX94" s="34" t="s">
        <v>885</v>
      </c>
      <c r="JUY94" s="60"/>
      <c r="JVN94" s="34" t="s">
        <v>885</v>
      </c>
      <c r="JVO94" s="60"/>
      <c r="JWD94" s="34" t="s">
        <v>885</v>
      </c>
      <c r="JWE94" s="60"/>
      <c r="JWT94" s="34" t="s">
        <v>885</v>
      </c>
      <c r="JWU94" s="60"/>
      <c r="JXJ94" s="34" t="s">
        <v>885</v>
      </c>
      <c r="JXK94" s="60"/>
      <c r="JXZ94" s="34" t="s">
        <v>885</v>
      </c>
      <c r="JYA94" s="60"/>
      <c r="JYP94" s="34" t="s">
        <v>885</v>
      </c>
      <c r="JYQ94" s="60"/>
      <c r="JZF94" s="34" t="s">
        <v>885</v>
      </c>
      <c r="JZG94" s="60"/>
      <c r="JZV94" s="34" t="s">
        <v>885</v>
      </c>
      <c r="JZW94" s="60"/>
      <c r="KAL94" s="34" t="s">
        <v>885</v>
      </c>
      <c r="KAM94" s="60"/>
      <c r="KBB94" s="34" t="s">
        <v>885</v>
      </c>
      <c r="KBC94" s="60"/>
      <c r="KBR94" s="34" t="s">
        <v>885</v>
      </c>
      <c r="KBS94" s="60"/>
      <c r="KCH94" s="34" t="s">
        <v>885</v>
      </c>
      <c r="KCI94" s="60"/>
      <c r="KCX94" s="34" t="s">
        <v>885</v>
      </c>
      <c r="KCY94" s="60"/>
      <c r="KDN94" s="34" t="s">
        <v>885</v>
      </c>
      <c r="KDO94" s="60"/>
      <c r="KED94" s="34" t="s">
        <v>885</v>
      </c>
      <c r="KEE94" s="60"/>
      <c r="KET94" s="34" t="s">
        <v>885</v>
      </c>
      <c r="KEU94" s="60"/>
      <c r="KFJ94" s="34" t="s">
        <v>885</v>
      </c>
      <c r="KFK94" s="60"/>
      <c r="KFZ94" s="34" t="s">
        <v>885</v>
      </c>
      <c r="KGA94" s="60"/>
      <c r="KGP94" s="34" t="s">
        <v>885</v>
      </c>
      <c r="KGQ94" s="60"/>
      <c r="KHF94" s="34" t="s">
        <v>885</v>
      </c>
      <c r="KHG94" s="60"/>
      <c r="KHV94" s="34" t="s">
        <v>885</v>
      </c>
      <c r="KHW94" s="60"/>
      <c r="KIL94" s="34" t="s">
        <v>885</v>
      </c>
      <c r="KIM94" s="60"/>
      <c r="KJB94" s="34" t="s">
        <v>885</v>
      </c>
      <c r="KJC94" s="60"/>
      <c r="KJR94" s="34" t="s">
        <v>885</v>
      </c>
      <c r="KJS94" s="60"/>
      <c r="KKH94" s="34" t="s">
        <v>885</v>
      </c>
      <c r="KKI94" s="60"/>
      <c r="KKX94" s="34" t="s">
        <v>885</v>
      </c>
      <c r="KKY94" s="60"/>
      <c r="KLN94" s="34" t="s">
        <v>885</v>
      </c>
      <c r="KLO94" s="60"/>
      <c r="KMD94" s="34" t="s">
        <v>885</v>
      </c>
      <c r="KME94" s="60"/>
      <c r="KMT94" s="34" t="s">
        <v>885</v>
      </c>
      <c r="KMU94" s="60"/>
      <c r="KNJ94" s="34" t="s">
        <v>885</v>
      </c>
      <c r="KNK94" s="60"/>
      <c r="KNZ94" s="34" t="s">
        <v>885</v>
      </c>
      <c r="KOA94" s="60"/>
      <c r="KOP94" s="34" t="s">
        <v>885</v>
      </c>
      <c r="KOQ94" s="60"/>
      <c r="KPF94" s="34" t="s">
        <v>885</v>
      </c>
      <c r="KPG94" s="60"/>
      <c r="KPV94" s="34" t="s">
        <v>885</v>
      </c>
      <c r="KPW94" s="60"/>
      <c r="KQL94" s="34" t="s">
        <v>885</v>
      </c>
      <c r="KQM94" s="60"/>
      <c r="KRB94" s="34" t="s">
        <v>885</v>
      </c>
      <c r="KRC94" s="60"/>
      <c r="KRR94" s="34" t="s">
        <v>885</v>
      </c>
      <c r="KRS94" s="60"/>
      <c r="KSH94" s="34" t="s">
        <v>885</v>
      </c>
      <c r="KSI94" s="60"/>
      <c r="KSX94" s="34" t="s">
        <v>885</v>
      </c>
      <c r="KSY94" s="60"/>
      <c r="KTN94" s="34" t="s">
        <v>885</v>
      </c>
      <c r="KTO94" s="60"/>
      <c r="KUD94" s="34" t="s">
        <v>885</v>
      </c>
      <c r="KUE94" s="60"/>
      <c r="KUT94" s="34" t="s">
        <v>885</v>
      </c>
      <c r="KUU94" s="60"/>
      <c r="KVJ94" s="34" t="s">
        <v>885</v>
      </c>
      <c r="KVK94" s="60"/>
      <c r="KVZ94" s="34" t="s">
        <v>885</v>
      </c>
      <c r="KWA94" s="60"/>
      <c r="KWP94" s="34" t="s">
        <v>885</v>
      </c>
      <c r="KWQ94" s="60"/>
      <c r="KXF94" s="34" t="s">
        <v>885</v>
      </c>
      <c r="KXG94" s="60"/>
      <c r="KXV94" s="34" t="s">
        <v>885</v>
      </c>
      <c r="KXW94" s="60"/>
      <c r="KYL94" s="34" t="s">
        <v>885</v>
      </c>
      <c r="KYM94" s="60"/>
      <c r="KZB94" s="34" t="s">
        <v>885</v>
      </c>
      <c r="KZC94" s="60"/>
      <c r="KZR94" s="34" t="s">
        <v>885</v>
      </c>
      <c r="KZS94" s="60"/>
      <c r="LAH94" s="34" t="s">
        <v>885</v>
      </c>
      <c r="LAI94" s="60"/>
      <c r="LAX94" s="34" t="s">
        <v>885</v>
      </c>
      <c r="LAY94" s="60"/>
      <c r="LBN94" s="34" t="s">
        <v>885</v>
      </c>
      <c r="LBO94" s="60"/>
      <c r="LCD94" s="34" t="s">
        <v>885</v>
      </c>
      <c r="LCE94" s="60"/>
      <c r="LCT94" s="34" t="s">
        <v>885</v>
      </c>
      <c r="LCU94" s="60"/>
      <c r="LDJ94" s="34" t="s">
        <v>885</v>
      </c>
      <c r="LDK94" s="60"/>
      <c r="LDZ94" s="34" t="s">
        <v>885</v>
      </c>
      <c r="LEA94" s="60"/>
      <c r="LEP94" s="34" t="s">
        <v>885</v>
      </c>
      <c r="LEQ94" s="60"/>
      <c r="LFF94" s="34" t="s">
        <v>885</v>
      </c>
      <c r="LFG94" s="60"/>
      <c r="LFV94" s="34" t="s">
        <v>885</v>
      </c>
      <c r="LFW94" s="60"/>
      <c r="LGL94" s="34" t="s">
        <v>885</v>
      </c>
      <c r="LGM94" s="60"/>
      <c r="LHB94" s="34" t="s">
        <v>885</v>
      </c>
      <c r="LHC94" s="60"/>
      <c r="LHR94" s="34" t="s">
        <v>885</v>
      </c>
      <c r="LHS94" s="60"/>
      <c r="LIH94" s="34" t="s">
        <v>885</v>
      </c>
      <c r="LII94" s="60"/>
      <c r="LIX94" s="34" t="s">
        <v>885</v>
      </c>
      <c r="LIY94" s="60"/>
      <c r="LJN94" s="34" t="s">
        <v>885</v>
      </c>
      <c r="LJO94" s="60"/>
      <c r="LKD94" s="34" t="s">
        <v>885</v>
      </c>
      <c r="LKE94" s="60"/>
      <c r="LKT94" s="34" t="s">
        <v>885</v>
      </c>
      <c r="LKU94" s="60"/>
      <c r="LLJ94" s="34" t="s">
        <v>885</v>
      </c>
      <c r="LLK94" s="60"/>
      <c r="LLZ94" s="34" t="s">
        <v>885</v>
      </c>
      <c r="LMA94" s="60"/>
      <c r="LMP94" s="34" t="s">
        <v>885</v>
      </c>
      <c r="LMQ94" s="60"/>
      <c r="LNF94" s="34" t="s">
        <v>885</v>
      </c>
      <c r="LNG94" s="60"/>
      <c r="LNV94" s="34" t="s">
        <v>885</v>
      </c>
      <c r="LNW94" s="60"/>
      <c r="LOL94" s="34" t="s">
        <v>885</v>
      </c>
      <c r="LOM94" s="60"/>
      <c r="LPB94" s="34" t="s">
        <v>885</v>
      </c>
      <c r="LPC94" s="60"/>
      <c r="LPR94" s="34" t="s">
        <v>885</v>
      </c>
      <c r="LPS94" s="60"/>
      <c r="LQH94" s="34" t="s">
        <v>885</v>
      </c>
      <c r="LQI94" s="60"/>
      <c r="LQX94" s="34" t="s">
        <v>885</v>
      </c>
      <c r="LQY94" s="60"/>
      <c r="LRN94" s="34" t="s">
        <v>885</v>
      </c>
      <c r="LRO94" s="60"/>
      <c r="LSD94" s="34" t="s">
        <v>885</v>
      </c>
      <c r="LSE94" s="60"/>
      <c r="LST94" s="34" t="s">
        <v>885</v>
      </c>
      <c r="LSU94" s="60"/>
      <c r="LTJ94" s="34" t="s">
        <v>885</v>
      </c>
      <c r="LTK94" s="60"/>
      <c r="LTZ94" s="34" t="s">
        <v>885</v>
      </c>
      <c r="LUA94" s="60"/>
      <c r="LUP94" s="34" t="s">
        <v>885</v>
      </c>
      <c r="LUQ94" s="60"/>
      <c r="LVF94" s="34" t="s">
        <v>885</v>
      </c>
      <c r="LVG94" s="60"/>
      <c r="LVV94" s="34" t="s">
        <v>885</v>
      </c>
      <c r="LVW94" s="60"/>
      <c r="LWL94" s="34" t="s">
        <v>885</v>
      </c>
      <c r="LWM94" s="60"/>
      <c r="LXB94" s="34" t="s">
        <v>885</v>
      </c>
      <c r="LXC94" s="60"/>
      <c r="LXR94" s="34" t="s">
        <v>885</v>
      </c>
      <c r="LXS94" s="60"/>
      <c r="LYH94" s="34" t="s">
        <v>885</v>
      </c>
      <c r="LYI94" s="60"/>
      <c r="LYX94" s="34" t="s">
        <v>885</v>
      </c>
      <c r="LYY94" s="60"/>
      <c r="LZN94" s="34" t="s">
        <v>885</v>
      </c>
      <c r="LZO94" s="60"/>
      <c r="MAD94" s="34" t="s">
        <v>885</v>
      </c>
      <c r="MAE94" s="60"/>
      <c r="MAT94" s="34" t="s">
        <v>885</v>
      </c>
      <c r="MAU94" s="60"/>
      <c r="MBJ94" s="34" t="s">
        <v>885</v>
      </c>
      <c r="MBK94" s="60"/>
      <c r="MBZ94" s="34" t="s">
        <v>885</v>
      </c>
      <c r="MCA94" s="60"/>
      <c r="MCP94" s="34" t="s">
        <v>885</v>
      </c>
      <c r="MCQ94" s="60"/>
      <c r="MDF94" s="34" t="s">
        <v>885</v>
      </c>
      <c r="MDG94" s="60"/>
      <c r="MDV94" s="34" t="s">
        <v>885</v>
      </c>
      <c r="MDW94" s="60"/>
      <c r="MEL94" s="34" t="s">
        <v>885</v>
      </c>
      <c r="MEM94" s="60"/>
      <c r="MFB94" s="34" t="s">
        <v>885</v>
      </c>
      <c r="MFC94" s="60"/>
      <c r="MFR94" s="34" t="s">
        <v>885</v>
      </c>
      <c r="MFS94" s="60"/>
      <c r="MGH94" s="34" t="s">
        <v>885</v>
      </c>
      <c r="MGI94" s="60"/>
      <c r="MGX94" s="34" t="s">
        <v>885</v>
      </c>
      <c r="MGY94" s="60"/>
      <c r="MHN94" s="34" t="s">
        <v>885</v>
      </c>
      <c r="MHO94" s="60"/>
      <c r="MID94" s="34" t="s">
        <v>885</v>
      </c>
      <c r="MIE94" s="60"/>
      <c r="MIT94" s="34" t="s">
        <v>885</v>
      </c>
      <c r="MIU94" s="60"/>
      <c r="MJJ94" s="34" t="s">
        <v>885</v>
      </c>
      <c r="MJK94" s="60"/>
      <c r="MJZ94" s="34" t="s">
        <v>885</v>
      </c>
      <c r="MKA94" s="60"/>
      <c r="MKP94" s="34" t="s">
        <v>885</v>
      </c>
      <c r="MKQ94" s="60"/>
      <c r="MLF94" s="34" t="s">
        <v>885</v>
      </c>
      <c r="MLG94" s="60"/>
      <c r="MLV94" s="34" t="s">
        <v>885</v>
      </c>
      <c r="MLW94" s="60"/>
      <c r="MML94" s="34" t="s">
        <v>885</v>
      </c>
      <c r="MMM94" s="60"/>
      <c r="MNB94" s="34" t="s">
        <v>885</v>
      </c>
      <c r="MNC94" s="60"/>
      <c r="MNR94" s="34" t="s">
        <v>885</v>
      </c>
      <c r="MNS94" s="60"/>
      <c r="MOH94" s="34" t="s">
        <v>885</v>
      </c>
      <c r="MOI94" s="60"/>
      <c r="MOX94" s="34" t="s">
        <v>885</v>
      </c>
      <c r="MOY94" s="60"/>
      <c r="MPN94" s="34" t="s">
        <v>885</v>
      </c>
      <c r="MPO94" s="60"/>
      <c r="MQD94" s="34" t="s">
        <v>885</v>
      </c>
      <c r="MQE94" s="60"/>
      <c r="MQT94" s="34" t="s">
        <v>885</v>
      </c>
      <c r="MQU94" s="60"/>
      <c r="MRJ94" s="34" t="s">
        <v>885</v>
      </c>
      <c r="MRK94" s="60"/>
      <c r="MRZ94" s="34" t="s">
        <v>885</v>
      </c>
      <c r="MSA94" s="60"/>
      <c r="MSP94" s="34" t="s">
        <v>885</v>
      </c>
      <c r="MSQ94" s="60"/>
      <c r="MTF94" s="34" t="s">
        <v>885</v>
      </c>
      <c r="MTG94" s="60"/>
      <c r="MTV94" s="34" t="s">
        <v>885</v>
      </c>
      <c r="MTW94" s="60"/>
      <c r="MUL94" s="34" t="s">
        <v>885</v>
      </c>
      <c r="MUM94" s="60"/>
      <c r="MVB94" s="34" t="s">
        <v>885</v>
      </c>
      <c r="MVC94" s="60"/>
      <c r="MVR94" s="34" t="s">
        <v>885</v>
      </c>
      <c r="MVS94" s="60"/>
      <c r="MWH94" s="34" t="s">
        <v>885</v>
      </c>
      <c r="MWI94" s="60"/>
      <c r="MWX94" s="34" t="s">
        <v>885</v>
      </c>
      <c r="MWY94" s="60"/>
      <c r="MXN94" s="34" t="s">
        <v>885</v>
      </c>
      <c r="MXO94" s="60"/>
      <c r="MYD94" s="34" t="s">
        <v>885</v>
      </c>
      <c r="MYE94" s="60"/>
      <c r="MYT94" s="34" t="s">
        <v>885</v>
      </c>
      <c r="MYU94" s="60"/>
      <c r="MZJ94" s="34" t="s">
        <v>885</v>
      </c>
      <c r="MZK94" s="60"/>
      <c r="MZZ94" s="34" t="s">
        <v>885</v>
      </c>
      <c r="NAA94" s="60"/>
      <c r="NAP94" s="34" t="s">
        <v>885</v>
      </c>
      <c r="NAQ94" s="60"/>
      <c r="NBF94" s="34" t="s">
        <v>885</v>
      </c>
      <c r="NBG94" s="60"/>
      <c r="NBV94" s="34" t="s">
        <v>885</v>
      </c>
      <c r="NBW94" s="60"/>
      <c r="NCL94" s="34" t="s">
        <v>885</v>
      </c>
      <c r="NCM94" s="60"/>
      <c r="NDB94" s="34" t="s">
        <v>885</v>
      </c>
      <c r="NDC94" s="60"/>
      <c r="NDR94" s="34" t="s">
        <v>885</v>
      </c>
      <c r="NDS94" s="60"/>
      <c r="NEH94" s="34" t="s">
        <v>885</v>
      </c>
      <c r="NEI94" s="60"/>
      <c r="NEX94" s="34" t="s">
        <v>885</v>
      </c>
      <c r="NEY94" s="60"/>
      <c r="NFN94" s="34" t="s">
        <v>885</v>
      </c>
      <c r="NFO94" s="60"/>
      <c r="NGD94" s="34" t="s">
        <v>885</v>
      </c>
      <c r="NGE94" s="60"/>
      <c r="NGT94" s="34" t="s">
        <v>885</v>
      </c>
      <c r="NGU94" s="60"/>
      <c r="NHJ94" s="34" t="s">
        <v>885</v>
      </c>
      <c r="NHK94" s="60"/>
      <c r="NHZ94" s="34" t="s">
        <v>885</v>
      </c>
      <c r="NIA94" s="60"/>
      <c r="NIP94" s="34" t="s">
        <v>885</v>
      </c>
      <c r="NIQ94" s="60"/>
      <c r="NJF94" s="34" t="s">
        <v>885</v>
      </c>
      <c r="NJG94" s="60"/>
      <c r="NJV94" s="34" t="s">
        <v>885</v>
      </c>
      <c r="NJW94" s="60"/>
      <c r="NKL94" s="34" t="s">
        <v>885</v>
      </c>
      <c r="NKM94" s="60"/>
      <c r="NLB94" s="34" t="s">
        <v>885</v>
      </c>
      <c r="NLC94" s="60"/>
      <c r="NLR94" s="34" t="s">
        <v>885</v>
      </c>
      <c r="NLS94" s="60"/>
      <c r="NMH94" s="34" t="s">
        <v>885</v>
      </c>
      <c r="NMI94" s="60"/>
      <c r="NMX94" s="34" t="s">
        <v>885</v>
      </c>
      <c r="NMY94" s="60"/>
      <c r="NNN94" s="34" t="s">
        <v>885</v>
      </c>
      <c r="NNO94" s="60"/>
      <c r="NOD94" s="34" t="s">
        <v>885</v>
      </c>
      <c r="NOE94" s="60"/>
      <c r="NOT94" s="34" t="s">
        <v>885</v>
      </c>
      <c r="NOU94" s="60"/>
      <c r="NPJ94" s="34" t="s">
        <v>885</v>
      </c>
      <c r="NPK94" s="60"/>
      <c r="NPZ94" s="34" t="s">
        <v>885</v>
      </c>
      <c r="NQA94" s="60"/>
      <c r="NQP94" s="34" t="s">
        <v>885</v>
      </c>
      <c r="NQQ94" s="60"/>
      <c r="NRF94" s="34" t="s">
        <v>885</v>
      </c>
      <c r="NRG94" s="60"/>
      <c r="NRV94" s="34" t="s">
        <v>885</v>
      </c>
      <c r="NRW94" s="60"/>
      <c r="NSL94" s="34" t="s">
        <v>885</v>
      </c>
      <c r="NSM94" s="60"/>
      <c r="NTB94" s="34" t="s">
        <v>885</v>
      </c>
      <c r="NTC94" s="60"/>
      <c r="NTR94" s="34" t="s">
        <v>885</v>
      </c>
      <c r="NTS94" s="60"/>
      <c r="NUH94" s="34" t="s">
        <v>885</v>
      </c>
      <c r="NUI94" s="60"/>
      <c r="NUX94" s="34" t="s">
        <v>885</v>
      </c>
      <c r="NUY94" s="60"/>
      <c r="NVN94" s="34" t="s">
        <v>885</v>
      </c>
      <c r="NVO94" s="60"/>
      <c r="NWD94" s="34" t="s">
        <v>885</v>
      </c>
      <c r="NWE94" s="60"/>
      <c r="NWT94" s="34" t="s">
        <v>885</v>
      </c>
      <c r="NWU94" s="60"/>
      <c r="NXJ94" s="34" t="s">
        <v>885</v>
      </c>
      <c r="NXK94" s="60"/>
      <c r="NXZ94" s="34" t="s">
        <v>885</v>
      </c>
      <c r="NYA94" s="60"/>
      <c r="NYP94" s="34" t="s">
        <v>885</v>
      </c>
      <c r="NYQ94" s="60"/>
      <c r="NZF94" s="34" t="s">
        <v>885</v>
      </c>
      <c r="NZG94" s="60"/>
      <c r="NZV94" s="34" t="s">
        <v>885</v>
      </c>
      <c r="NZW94" s="60"/>
      <c r="OAL94" s="34" t="s">
        <v>885</v>
      </c>
      <c r="OAM94" s="60"/>
      <c r="OBB94" s="34" t="s">
        <v>885</v>
      </c>
      <c r="OBC94" s="60"/>
      <c r="OBR94" s="34" t="s">
        <v>885</v>
      </c>
      <c r="OBS94" s="60"/>
      <c r="OCH94" s="34" t="s">
        <v>885</v>
      </c>
      <c r="OCI94" s="60"/>
      <c r="OCX94" s="34" t="s">
        <v>885</v>
      </c>
      <c r="OCY94" s="60"/>
      <c r="ODN94" s="34" t="s">
        <v>885</v>
      </c>
      <c r="ODO94" s="60"/>
      <c r="OED94" s="34" t="s">
        <v>885</v>
      </c>
      <c r="OEE94" s="60"/>
      <c r="OET94" s="34" t="s">
        <v>885</v>
      </c>
      <c r="OEU94" s="60"/>
      <c r="OFJ94" s="34" t="s">
        <v>885</v>
      </c>
      <c r="OFK94" s="60"/>
      <c r="OFZ94" s="34" t="s">
        <v>885</v>
      </c>
      <c r="OGA94" s="60"/>
      <c r="OGP94" s="34" t="s">
        <v>885</v>
      </c>
      <c r="OGQ94" s="60"/>
      <c r="OHF94" s="34" t="s">
        <v>885</v>
      </c>
      <c r="OHG94" s="60"/>
      <c r="OHV94" s="34" t="s">
        <v>885</v>
      </c>
      <c r="OHW94" s="60"/>
      <c r="OIL94" s="34" t="s">
        <v>885</v>
      </c>
      <c r="OIM94" s="60"/>
      <c r="OJB94" s="34" t="s">
        <v>885</v>
      </c>
      <c r="OJC94" s="60"/>
      <c r="OJR94" s="34" t="s">
        <v>885</v>
      </c>
      <c r="OJS94" s="60"/>
      <c r="OKH94" s="34" t="s">
        <v>885</v>
      </c>
      <c r="OKI94" s="60"/>
      <c r="OKX94" s="34" t="s">
        <v>885</v>
      </c>
      <c r="OKY94" s="60"/>
      <c r="OLN94" s="34" t="s">
        <v>885</v>
      </c>
      <c r="OLO94" s="60"/>
      <c r="OMD94" s="34" t="s">
        <v>885</v>
      </c>
      <c r="OME94" s="60"/>
      <c r="OMT94" s="34" t="s">
        <v>885</v>
      </c>
      <c r="OMU94" s="60"/>
      <c r="ONJ94" s="34" t="s">
        <v>885</v>
      </c>
      <c r="ONK94" s="60"/>
      <c r="ONZ94" s="34" t="s">
        <v>885</v>
      </c>
      <c r="OOA94" s="60"/>
      <c r="OOP94" s="34" t="s">
        <v>885</v>
      </c>
      <c r="OOQ94" s="60"/>
      <c r="OPF94" s="34" t="s">
        <v>885</v>
      </c>
      <c r="OPG94" s="60"/>
      <c r="OPV94" s="34" t="s">
        <v>885</v>
      </c>
      <c r="OPW94" s="60"/>
      <c r="OQL94" s="34" t="s">
        <v>885</v>
      </c>
      <c r="OQM94" s="60"/>
      <c r="ORB94" s="34" t="s">
        <v>885</v>
      </c>
      <c r="ORC94" s="60"/>
      <c r="ORR94" s="34" t="s">
        <v>885</v>
      </c>
      <c r="ORS94" s="60"/>
      <c r="OSH94" s="34" t="s">
        <v>885</v>
      </c>
      <c r="OSI94" s="60"/>
      <c r="OSX94" s="34" t="s">
        <v>885</v>
      </c>
      <c r="OSY94" s="60"/>
      <c r="OTN94" s="34" t="s">
        <v>885</v>
      </c>
      <c r="OTO94" s="60"/>
      <c r="OUD94" s="34" t="s">
        <v>885</v>
      </c>
      <c r="OUE94" s="60"/>
      <c r="OUT94" s="34" t="s">
        <v>885</v>
      </c>
      <c r="OUU94" s="60"/>
      <c r="OVJ94" s="34" t="s">
        <v>885</v>
      </c>
      <c r="OVK94" s="60"/>
      <c r="OVZ94" s="34" t="s">
        <v>885</v>
      </c>
      <c r="OWA94" s="60"/>
      <c r="OWP94" s="34" t="s">
        <v>885</v>
      </c>
      <c r="OWQ94" s="60"/>
      <c r="OXF94" s="34" t="s">
        <v>885</v>
      </c>
      <c r="OXG94" s="60"/>
      <c r="OXV94" s="34" t="s">
        <v>885</v>
      </c>
      <c r="OXW94" s="60"/>
      <c r="OYL94" s="34" t="s">
        <v>885</v>
      </c>
      <c r="OYM94" s="60"/>
      <c r="OZB94" s="34" t="s">
        <v>885</v>
      </c>
      <c r="OZC94" s="60"/>
      <c r="OZR94" s="34" t="s">
        <v>885</v>
      </c>
      <c r="OZS94" s="60"/>
      <c r="PAH94" s="34" t="s">
        <v>885</v>
      </c>
      <c r="PAI94" s="60"/>
      <c r="PAX94" s="34" t="s">
        <v>885</v>
      </c>
      <c r="PAY94" s="60"/>
      <c r="PBN94" s="34" t="s">
        <v>885</v>
      </c>
      <c r="PBO94" s="60"/>
      <c r="PCD94" s="34" t="s">
        <v>885</v>
      </c>
      <c r="PCE94" s="60"/>
      <c r="PCT94" s="34" t="s">
        <v>885</v>
      </c>
      <c r="PCU94" s="60"/>
      <c r="PDJ94" s="34" t="s">
        <v>885</v>
      </c>
      <c r="PDK94" s="60"/>
      <c r="PDZ94" s="34" t="s">
        <v>885</v>
      </c>
      <c r="PEA94" s="60"/>
      <c r="PEP94" s="34" t="s">
        <v>885</v>
      </c>
      <c r="PEQ94" s="60"/>
      <c r="PFF94" s="34" t="s">
        <v>885</v>
      </c>
      <c r="PFG94" s="60"/>
      <c r="PFV94" s="34" t="s">
        <v>885</v>
      </c>
      <c r="PFW94" s="60"/>
      <c r="PGL94" s="34" t="s">
        <v>885</v>
      </c>
      <c r="PGM94" s="60"/>
      <c r="PHB94" s="34" t="s">
        <v>885</v>
      </c>
      <c r="PHC94" s="60"/>
      <c r="PHR94" s="34" t="s">
        <v>885</v>
      </c>
      <c r="PHS94" s="60"/>
      <c r="PIH94" s="34" t="s">
        <v>885</v>
      </c>
      <c r="PII94" s="60"/>
      <c r="PIX94" s="34" t="s">
        <v>885</v>
      </c>
      <c r="PIY94" s="60"/>
      <c r="PJN94" s="34" t="s">
        <v>885</v>
      </c>
      <c r="PJO94" s="60"/>
      <c r="PKD94" s="34" t="s">
        <v>885</v>
      </c>
      <c r="PKE94" s="60"/>
      <c r="PKT94" s="34" t="s">
        <v>885</v>
      </c>
      <c r="PKU94" s="60"/>
      <c r="PLJ94" s="34" t="s">
        <v>885</v>
      </c>
      <c r="PLK94" s="60"/>
      <c r="PLZ94" s="34" t="s">
        <v>885</v>
      </c>
      <c r="PMA94" s="60"/>
      <c r="PMP94" s="34" t="s">
        <v>885</v>
      </c>
      <c r="PMQ94" s="60"/>
      <c r="PNF94" s="34" t="s">
        <v>885</v>
      </c>
      <c r="PNG94" s="60"/>
      <c r="PNV94" s="34" t="s">
        <v>885</v>
      </c>
      <c r="PNW94" s="60"/>
      <c r="POL94" s="34" t="s">
        <v>885</v>
      </c>
      <c r="POM94" s="60"/>
      <c r="PPB94" s="34" t="s">
        <v>885</v>
      </c>
      <c r="PPC94" s="60"/>
      <c r="PPR94" s="34" t="s">
        <v>885</v>
      </c>
      <c r="PPS94" s="60"/>
      <c r="PQH94" s="34" t="s">
        <v>885</v>
      </c>
      <c r="PQI94" s="60"/>
      <c r="PQX94" s="34" t="s">
        <v>885</v>
      </c>
      <c r="PQY94" s="60"/>
      <c r="PRN94" s="34" t="s">
        <v>885</v>
      </c>
      <c r="PRO94" s="60"/>
      <c r="PSD94" s="34" t="s">
        <v>885</v>
      </c>
      <c r="PSE94" s="60"/>
      <c r="PST94" s="34" t="s">
        <v>885</v>
      </c>
      <c r="PSU94" s="60"/>
      <c r="PTJ94" s="34" t="s">
        <v>885</v>
      </c>
      <c r="PTK94" s="60"/>
      <c r="PTZ94" s="34" t="s">
        <v>885</v>
      </c>
      <c r="PUA94" s="60"/>
      <c r="PUP94" s="34" t="s">
        <v>885</v>
      </c>
      <c r="PUQ94" s="60"/>
      <c r="PVF94" s="34" t="s">
        <v>885</v>
      </c>
      <c r="PVG94" s="60"/>
      <c r="PVV94" s="34" t="s">
        <v>885</v>
      </c>
      <c r="PVW94" s="60"/>
      <c r="PWL94" s="34" t="s">
        <v>885</v>
      </c>
      <c r="PWM94" s="60"/>
      <c r="PXB94" s="34" t="s">
        <v>885</v>
      </c>
      <c r="PXC94" s="60"/>
      <c r="PXR94" s="34" t="s">
        <v>885</v>
      </c>
      <c r="PXS94" s="60"/>
      <c r="PYH94" s="34" t="s">
        <v>885</v>
      </c>
      <c r="PYI94" s="60"/>
      <c r="PYX94" s="34" t="s">
        <v>885</v>
      </c>
      <c r="PYY94" s="60"/>
      <c r="PZN94" s="34" t="s">
        <v>885</v>
      </c>
      <c r="PZO94" s="60"/>
      <c r="QAD94" s="34" t="s">
        <v>885</v>
      </c>
      <c r="QAE94" s="60"/>
      <c r="QAT94" s="34" t="s">
        <v>885</v>
      </c>
      <c r="QAU94" s="60"/>
      <c r="QBJ94" s="34" t="s">
        <v>885</v>
      </c>
      <c r="QBK94" s="60"/>
      <c r="QBZ94" s="34" t="s">
        <v>885</v>
      </c>
      <c r="QCA94" s="60"/>
      <c r="QCP94" s="34" t="s">
        <v>885</v>
      </c>
      <c r="QCQ94" s="60"/>
      <c r="QDF94" s="34" t="s">
        <v>885</v>
      </c>
      <c r="QDG94" s="60"/>
      <c r="QDV94" s="34" t="s">
        <v>885</v>
      </c>
      <c r="QDW94" s="60"/>
      <c r="QEL94" s="34" t="s">
        <v>885</v>
      </c>
      <c r="QEM94" s="60"/>
      <c r="QFB94" s="34" t="s">
        <v>885</v>
      </c>
      <c r="QFC94" s="60"/>
      <c r="QFR94" s="34" t="s">
        <v>885</v>
      </c>
      <c r="QFS94" s="60"/>
      <c r="QGH94" s="34" t="s">
        <v>885</v>
      </c>
      <c r="QGI94" s="60"/>
      <c r="QGX94" s="34" t="s">
        <v>885</v>
      </c>
      <c r="QGY94" s="60"/>
      <c r="QHN94" s="34" t="s">
        <v>885</v>
      </c>
      <c r="QHO94" s="60"/>
      <c r="QID94" s="34" t="s">
        <v>885</v>
      </c>
      <c r="QIE94" s="60"/>
      <c r="QIT94" s="34" t="s">
        <v>885</v>
      </c>
      <c r="QIU94" s="60"/>
      <c r="QJJ94" s="34" t="s">
        <v>885</v>
      </c>
      <c r="QJK94" s="60"/>
      <c r="QJZ94" s="34" t="s">
        <v>885</v>
      </c>
      <c r="QKA94" s="60"/>
      <c r="QKP94" s="34" t="s">
        <v>885</v>
      </c>
      <c r="QKQ94" s="60"/>
      <c r="QLF94" s="34" t="s">
        <v>885</v>
      </c>
      <c r="QLG94" s="60"/>
      <c r="QLV94" s="34" t="s">
        <v>885</v>
      </c>
      <c r="QLW94" s="60"/>
      <c r="QML94" s="34" t="s">
        <v>885</v>
      </c>
      <c r="QMM94" s="60"/>
      <c r="QNB94" s="34" t="s">
        <v>885</v>
      </c>
      <c r="QNC94" s="60"/>
      <c r="QNR94" s="34" t="s">
        <v>885</v>
      </c>
      <c r="QNS94" s="60"/>
      <c r="QOH94" s="34" t="s">
        <v>885</v>
      </c>
      <c r="QOI94" s="60"/>
      <c r="QOX94" s="34" t="s">
        <v>885</v>
      </c>
      <c r="QOY94" s="60"/>
      <c r="QPN94" s="34" t="s">
        <v>885</v>
      </c>
      <c r="QPO94" s="60"/>
      <c r="QQD94" s="34" t="s">
        <v>885</v>
      </c>
      <c r="QQE94" s="60"/>
      <c r="QQT94" s="34" t="s">
        <v>885</v>
      </c>
      <c r="QQU94" s="60"/>
      <c r="QRJ94" s="34" t="s">
        <v>885</v>
      </c>
      <c r="QRK94" s="60"/>
      <c r="QRZ94" s="34" t="s">
        <v>885</v>
      </c>
      <c r="QSA94" s="60"/>
      <c r="QSP94" s="34" t="s">
        <v>885</v>
      </c>
      <c r="QSQ94" s="60"/>
      <c r="QTF94" s="34" t="s">
        <v>885</v>
      </c>
      <c r="QTG94" s="60"/>
      <c r="QTV94" s="34" t="s">
        <v>885</v>
      </c>
      <c r="QTW94" s="60"/>
      <c r="QUL94" s="34" t="s">
        <v>885</v>
      </c>
      <c r="QUM94" s="60"/>
      <c r="QVB94" s="34" t="s">
        <v>885</v>
      </c>
      <c r="QVC94" s="60"/>
      <c r="QVR94" s="34" t="s">
        <v>885</v>
      </c>
      <c r="QVS94" s="60"/>
      <c r="QWH94" s="34" t="s">
        <v>885</v>
      </c>
      <c r="QWI94" s="60"/>
      <c r="QWX94" s="34" t="s">
        <v>885</v>
      </c>
      <c r="QWY94" s="60"/>
      <c r="QXN94" s="34" t="s">
        <v>885</v>
      </c>
      <c r="QXO94" s="60"/>
      <c r="QYD94" s="34" t="s">
        <v>885</v>
      </c>
      <c r="QYE94" s="60"/>
      <c r="QYT94" s="34" t="s">
        <v>885</v>
      </c>
      <c r="QYU94" s="60"/>
      <c r="QZJ94" s="34" t="s">
        <v>885</v>
      </c>
      <c r="QZK94" s="60"/>
      <c r="QZZ94" s="34" t="s">
        <v>885</v>
      </c>
      <c r="RAA94" s="60"/>
      <c r="RAP94" s="34" t="s">
        <v>885</v>
      </c>
      <c r="RAQ94" s="60"/>
      <c r="RBF94" s="34" t="s">
        <v>885</v>
      </c>
      <c r="RBG94" s="60"/>
      <c r="RBV94" s="34" t="s">
        <v>885</v>
      </c>
      <c r="RBW94" s="60"/>
      <c r="RCL94" s="34" t="s">
        <v>885</v>
      </c>
      <c r="RCM94" s="60"/>
      <c r="RDB94" s="34" t="s">
        <v>885</v>
      </c>
      <c r="RDC94" s="60"/>
      <c r="RDR94" s="34" t="s">
        <v>885</v>
      </c>
      <c r="RDS94" s="60"/>
      <c r="REH94" s="34" t="s">
        <v>885</v>
      </c>
      <c r="REI94" s="60"/>
      <c r="REX94" s="34" t="s">
        <v>885</v>
      </c>
      <c r="REY94" s="60"/>
      <c r="RFN94" s="34" t="s">
        <v>885</v>
      </c>
      <c r="RFO94" s="60"/>
      <c r="RGD94" s="34" t="s">
        <v>885</v>
      </c>
      <c r="RGE94" s="60"/>
      <c r="RGT94" s="34" t="s">
        <v>885</v>
      </c>
      <c r="RGU94" s="60"/>
      <c r="RHJ94" s="34" t="s">
        <v>885</v>
      </c>
      <c r="RHK94" s="60"/>
      <c r="RHZ94" s="34" t="s">
        <v>885</v>
      </c>
      <c r="RIA94" s="60"/>
      <c r="RIP94" s="34" t="s">
        <v>885</v>
      </c>
      <c r="RIQ94" s="60"/>
      <c r="RJF94" s="34" t="s">
        <v>885</v>
      </c>
      <c r="RJG94" s="60"/>
      <c r="RJV94" s="34" t="s">
        <v>885</v>
      </c>
      <c r="RJW94" s="60"/>
      <c r="RKL94" s="34" t="s">
        <v>885</v>
      </c>
      <c r="RKM94" s="60"/>
      <c r="RLB94" s="34" t="s">
        <v>885</v>
      </c>
      <c r="RLC94" s="60"/>
      <c r="RLR94" s="34" t="s">
        <v>885</v>
      </c>
      <c r="RLS94" s="60"/>
      <c r="RMH94" s="34" t="s">
        <v>885</v>
      </c>
      <c r="RMI94" s="60"/>
      <c r="RMX94" s="34" t="s">
        <v>885</v>
      </c>
      <c r="RMY94" s="60"/>
      <c r="RNN94" s="34" t="s">
        <v>885</v>
      </c>
      <c r="RNO94" s="60"/>
      <c r="ROD94" s="34" t="s">
        <v>885</v>
      </c>
      <c r="ROE94" s="60"/>
      <c r="ROT94" s="34" t="s">
        <v>885</v>
      </c>
      <c r="ROU94" s="60"/>
      <c r="RPJ94" s="34" t="s">
        <v>885</v>
      </c>
      <c r="RPK94" s="60"/>
      <c r="RPZ94" s="34" t="s">
        <v>885</v>
      </c>
      <c r="RQA94" s="60"/>
      <c r="RQP94" s="34" t="s">
        <v>885</v>
      </c>
      <c r="RQQ94" s="60"/>
      <c r="RRF94" s="34" t="s">
        <v>885</v>
      </c>
      <c r="RRG94" s="60"/>
      <c r="RRV94" s="34" t="s">
        <v>885</v>
      </c>
      <c r="RRW94" s="60"/>
      <c r="RSL94" s="34" t="s">
        <v>885</v>
      </c>
      <c r="RSM94" s="60"/>
      <c r="RTB94" s="34" t="s">
        <v>885</v>
      </c>
      <c r="RTC94" s="60"/>
      <c r="RTR94" s="34" t="s">
        <v>885</v>
      </c>
      <c r="RTS94" s="60"/>
      <c r="RUH94" s="34" t="s">
        <v>885</v>
      </c>
      <c r="RUI94" s="60"/>
      <c r="RUX94" s="34" t="s">
        <v>885</v>
      </c>
      <c r="RUY94" s="60"/>
      <c r="RVN94" s="34" t="s">
        <v>885</v>
      </c>
      <c r="RVO94" s="60"/>
      <c r="RWD94" s="34" t="s">
        <v>885</v>
      </c>
      <c r="RWE94" s="60"/>
      <c r="RWT94" s="34" t="s">
        <v>885</v>
      </c>
      <c r="RWU94" s="60"/>
      <c r="RXJ94" s="34" t="s">
        <v>885</v>
      </c>
      <c r="RXK94" s="60"/>
      <c r="RXZ94" s="34" t="s">
        <v>885</v>
      </c>
      <c r="RYA94" s="60"/>
      <c r="RYP94" s="34" t="s">
        <v>885</v>
      </c>
      <c r="RYQ94" s="60"/>
      <c r="RZF94" s="34" t="s">
        <v>885</v>
      </c>
      <c r="RZG94" s="60"/>
      <c r="RZV94" s="34" t="s">
        <v>885</v>
      </c>
      <c r="RZW94" s="60"/>
      <c r="SAL94" s="34" t="s">
        <v>885</v>
      </c>
      <c r="SAM94" s="60"/>
      <c r="SBB94" s="34" t="s">
        <v>885</v>
      </c>
      <c r="SBC94" s="60"/>
      <c r="SBR94" s="34" t="s">
        <v>885</v>
      </c>
      <c r="SBS94" s="60"/>
      <c r="SCH94" s="34" t="s">
        <v>885</v>
      </c>
      <c r="SCI94" s="60"/>
      <c r="SCX94" s="34" t="s">
        <v>885</v>
      </c>
      <c r="SCY94" s="60"/>
      <c r="SDN94" s="34" t="s">
        <v>885</v>
      </c>
      <c r="SDO94" s="60"/>
      <c r="SED94" s="34" t="s">
        <v>885</v>
      </c>
      <c r="SEE94" s="60"/>
      <c r="SET94" s="34" t="s">
        <v>885</v>
      </c>
      <c r="SEU94" s="60"/>
      <c r="SFJ94" s="34" t="s">
        <v>885</v>
      </c>
      <c r="SFK94" s="60"/>
      <c r="SFZ94" s="34" t="s">
        <v>885</v>
      </c>
      <c r="SGA94" s="60"/>
      <c r="SGP94" s="34" t="s">
        <v>885</v>
      </c>
      <c r="SGQ94" s="60"/>
      <c r="SHF94" s="34" t="s">
        <v>885</v>
      </c>
      <c r="SHG94" s="60"/>
      <c r="SHV94" s="34" t="s">
        <v>885</v>
      </c>
      <c r="SHW94" s="60"/>
      <c r="SIL94" s="34" t="s">
        <v>885</v>
      </c>
      <c r="SIM94" s="60"/>
      <c r="SJB94" s="34" t="s">
        <v>885</v>
      </c>
      <c r="SJC94" s="60"/>
      <c r="SJR94" s="34" t="s">
        <v>885</v>
      </c>
      <c r="SJS94" s="60"/>
      <c r="SKH94" s="34" t="s">
        <v>885</v>
      </c>
      <c r="SKI94" s="60"/>
      <c r="SKX94" s="34" t="s">
        <v>885</v>
      </c>
      <c r="SKY94" s="60"/>
      <c r="SLN94" s="34" t="s">
        <v>885</v>
      </c>
      <c r="SLO94" s="60"/>
      <c r="SMD94" s="34" t="s">
        <v>885</v>
      </c>
      <c r="SME94" s="60"/>
      <c r="SMT94" s="34" t="s">
        <v>885</v>
      </c>
      <c r="SMU94" s="60"/>
      <c r="SNJ94" s="34" t="s">
        <v>885</v>
      </c>
      <c r="SNK94" s="60"/>
      <c r="SNZ94" s="34" t="s">
        <v>885</v>
      </c>
      <c r="SOA94" s="60"/>
      <c r="SOP94" s="34" t="s">
        <v>885</v>
      </c>
      <c r="SOQ94" s="60"/>
      <c r="SPF94" s="34" t="s">
        <v>885</v>
      </c>
      <c r="SPG94" s="60"/>
      <c r="SPV94" s="34" t="s">
        <v>885</v>
      </c>
      <c r="SPW94" s="60"/>
      <c r="SQL94" s="34" t="s">
        <v>885</v>
      </c>
      <c r="SQM94" s="60"/>
      <c r="SRB94" s="34" t="s">
        <v>885</v>
      </c>
      <c r="SRC94" s="60"/>
      <c r="SRR94" s="34" t="s">
        <v>885</v>
      </c>
      <c r="SRS94" s="60"/>
      <c r="SSH94" s="34" t="s">
        <v>885</v>
      </c>
      <c r="SSI94" s="60"/>
      <c r="SSX94" s="34" t="s">
        <v>885</v>
      </c>
      <c r="SSY94" s="60"/>
      <c r="STN94" s="34" t="s">
        <v>885</v>
      </c>
      <c r="STO94" s="60"/>
      <c r="SUD94" s="34" t="s">
        <v>885</v>
      </c>
      <c r="SUE94" s="60"/>
      <c r="SUT94" s="34" t="s">
        <v>885</v>
      </c>
      <c r="SUU94" s="60"/>
      <c r="SVJ94" s="34" t="s">
        <v>885</v>
      </c>
      <c r="SVK94" s="60"/>
      <c r="SVZ94" s="34" t="s">
        <v>885</v>
      </c>
      <c r="SWA94" s="60"/>
      <c r="SWP94" s="34" t="s">
        <v>885</v>
      </c>
      <c r="SWQ94" s="60"/>
      <c r="SXF94" s="34" t="s">
        <v>885</v>
      </c>
      <c r="SXG94" s="60"/>
      <c r="SXV94" s="34" t="s">
        <v>885</v>
      </c>
      <c r="SXW94" s="60"/>
      <c r="SYL94" s="34" t="s">
        <v>885</v>
      </c>
      <c r="SYM94" s="60"/>
      <c r="SZB94" s="34" t="s">
        <v>885</v>
      </c>
      <c r="SZC94" s="60"/>
      <c r="SZR94" s="34" t="s">
        <v>885</v>
      </c>
      <c r="SZS94" s="60"/>
      <c r="TAH94" s="34" t="s">
        <v>885</v>
      </c>
      <c r="TAI94" s="60"/>
      <c r="TAX94" s="34" t="s">
        <v>885</v>
      </c>
      <c r="TAY94" s="60"/>
      <c r="TBN94" s="34" t="s">
        <v>885</v>
      </c>
      <c r="TBO94" s="60"/>
      <c r="TCD94" s="34" t="s">
        <v>885</v>
      </c>
      <c r="TCE94" s="60"/>
      <c r="TCT94" s="34" t="s">
        <v>885</v>
      </c>
      <c r="TCU94" s="60"/>
      <c r="TDJ94" s="34" t="s">
        <v>885</v>
      </c>
      <c r="TDK94" s="60"/>
      <c r="TDZ94" s="34" t="s">
        <v>885</v>
      </c>
      <c r="TEA94" s="60"/>
      <c r="TEP94" s="34" t="s">
        <v>885</v>
      </c>
      <c r="TEQ94" s="60"/>
      <c r="TFF94" s="34" t="s">
        <v>885</v>
      </c>
      <c r="TFG94" s="60"/>
      <c r="TFV94" s="34" t="s">
        <v>885</v>
      </c>
      <c r="TFW94" s="60"/>
      <c r="TGL94" s="34" t="s">
        <v>885</v>
      </c>
      <c r="TGM94" s="60"/>
      <c r="THB94" s="34" t="s">
        <v>885</v>
      </c>
      <c r="THC94" s="60"/>
      <c r="THR94" s="34" t="s">
        <v>885</v>
      </c>
      <c r="THS94" s="60"/>
      <c r="TIH94" s="34" t="s">
        <v>885</v>
      </c>
      <c r="TII94" s="60"/>
      <c r="TIX94" s="34" t="s">
        <v>885</v>
      </c>
      <c r="TIY94" s="60"/>
      <c r="TJN94" s="34" t="s">
        <v>885</v>
      </c>
      <c r="TJO94" s="60"/>
      <c r="TKD94" s="34" t="s">
        <v>885</v>
      </c>
      <c r="TKE94" s="60"/>
      <c r="TKT94" s="34" t="s">
        <v>885</v>
      </c>
      <c r="TKU94" s="60"/>
      <c r="TLJ94" s="34" t="s">
        <v>885</v>
      </c>
      <c r="TLK94" s="60"/>
      <c r="TLZ94" s="34" t="s">
        <v>885</v>
      </c>
      <c r="TMA94" s="60"/>
      <c r="TMP94" s="34" t="s">
        <v>885</v>
      </c>
      <c r="TMQ94" s="60"/>
      <c r="TNF94" s="34" t="s">
        <v>885</v>
      </c>
      <c r="TNG94" s="60"/>
      <c r="TNV94" s="34" t="s">
        <v>885</v>
      </c>
      <c r="TNW94" s="60"/>
      <c r="TOL94" s="34" t="s">
        <v>885</v>
      </c>
      <c r="TOM94" s="60"/>
      <c r="TPB94" s="34" t="s">
        <v>885</v>
      </c>
      <c r="TPC94" s="60"/>
      <c r="TPR94" s="34" t="s">
        <v>885</v>
      </c>
      <c r="TPS94" s="60"/>
      <c r="TQH94" s="34" t="s">
        <v>885</v>
      </c>
      <c r="TQI94" s="60"/>
      <c r="TQX94" s="34" t="s">
        <v>885</v>
      </c>
      <c r="TQY94" s="60"/>
      <c r="TRN94" s="34" t="s">
        <v>885</v>
      </c>
      <c r="TRO94" s="60"/>
      <c r="TSD94" s="34" t="s">
        <v>885</v>
      </c>
      <c r="TSE94" s="60"/>
      <c r="TST94" s="34" t="s">
        <v>885</v>
      </c>
      <c r="TSU94" s="60"/>
      <c r="TTJ94" s="34" t="s">
        <v>885</v>
      </c>
      <c r="TTK94" s="60"/>
      <c r="TTZ94" s="34" t="s">
        <v>885</v>
      </c>
      <c r="TUA94" s="60"/>
      <c r="TUP94" s="34" t="s">
        <v>885</v>
      </c>
      <c r="TUQ94" s="60"/>
      <c r="TVF94" s="34" t="s">
        <v>885</v>
      </c>
      <c r="TVG94" s="60"/>
      <c r="TVV94" s="34" t="s">
        <v>885</v>
      </c>
      <c r="TVW94" s="60"/>
      <c r="TWL94" s="34" t="s">
        <v>885</v>
      </c>
      <c r="TWM94" s="60"/>
      <c r="TXB94" s="34" t="s">
        <v>885</v>
      </c>
      <c r="TXC94" s="60"/>
      <c r="TXR94" s="34" t="s">
        <v>885</v>
      </c>
      <c r="TXS94" s="60"/>
      <c r="TYH94" s="34" t="s">
        <v>885</v>
      </c>
      <c r="TYI94" s="60"/>
      <c r="TYX94" s="34" t="s">
        <v>885</v>
      </c>
      <c r="TYY94" s="60"/>
      <c r="TZN94" s="34" t="s">
        <v>885</v>
      </c>
      <c r="TZO94" s="60"/>
      <c r="UAD94" s="34" t="s">
        <v>885</v>
      </c>
      <c r="UAE94" s="60"/>
      <c r="UAT94" s="34" t="s">
        <v>885</v>
      </c>
      <c r="UAU94" s="60"/>
      <c r="UBJ94" s="34" t="s">
        <v>885</v>
      </c>
      <c r="UBK94" s="60"/>
      <c r="UBZ94" s="34" t="s">
        <v>885</v>
      </c>
      <c r="UCA94" s="60"/>
      <c r="UCP94" s="34" t="s">
        <v>885</v>
      </c>
      <c r="UCQ94" s="60"/>
      <c r="UDF94" s="34" t="s">
        <v>885</v>
      </c>
      <c r="UDG94" s="60"/>
      <c r="UDV94" s="34" t="s">
        <v>885</v>
      </c>
      <c r="UDW94" s="60"/>
      <c r="UEL94" s="34" t="s">
        <v>885</v>
      </c>
      <c r="UEM94" s="60"/>
      <c r="UFB94" s="34" t="s">
        <v>885</v>
      </c>
      <c r="UFC94" s="60"/>
      <c r="UFR94" s="34" t="s">
        <v>885</v>
      </c>
      <c r="UFS94" s="60"/>
      <c r="UGH94" s="34" t="s">
        <v>885</v>
      </c>
      <c r="UGI94" s="60"/>
      <c r="UGX94" s="34" t="s">
        <v>885</v>
      </c>
      <c r="UGY94" s="60"/>
      <c r="UHN94" s="34" t="s">
        <v>885</v>
      </c>
      <c r="UHO94" s="60"/>
      <c r="UID94" s="34" t="s">
        <v>885</v>
      </c>
      <c r="UIE94" s="60"/>
      <c r="UIT94" s="34" t="s">
        <v>885</v>
      </c>
      <c r="UIU94" s="60"/>
      <c r="UJJ94" s="34" t="s">
        <v>885</v>
      </c>
      <c r="UJK94" s="60"/>
      <c r="UJZ94" s="34" t="s">
        <v>885</v>
      </c>
      <c r="UKA94" s="60"/>
      <c r="UKP94" s="34" t="s">
        <v>885</v>
      </c>
      <c r="UKQ94" s="60"/>
      <c r="ULF94" s="34" t="s">
        <v>885</v>
      </c>
      <c r="ULG94" s="60"/>
      <c r="ULV94" s="34" t="s">
        <v>885</v>
      </c>
      <c r="ULW94" s="60"/>
      <c r="UML94" s="34" t="s">
        <v>885</v>
      </c>
      <c r="UMM94" s="60"/>
      <c r="UNB94" s="34" t="s">
        <v>885</v>
      </c>
      <c r="UNC94" s="60"/>
      <c r="UNR94" s="34" t="s">
        <v>885</v>
      </c>
      <c r="UNS94" s="60"/>
      <c r="UOH94" s="34" t="s">
        <v>885</v>
      </c>
      <c r="UOI94" s="60"/>
      <c r="UOX94" s="34" t="s">
        <v>885</v>
      </c>
      <c r="UOY94" s="60"/>
      <c r="UPN94" s="34" t="s">
        <v>885</v>
      </c>
      <c r="UPO94" s="60"/>
      <c r="UQD94" s="34" t="s">
        <v>885</v>
      </c>
      <c r="UQE94" s="60"/>
      <c r="UQT94" s="34" t="s">
        <v>885</v>
      </c>
      <c r="UQU94" s="60"/>
      <c r="URJ94" s="34" t="s">
        <v>885</v>
      </c>
      <c r="URK94" s="60"/>
      <c r="URZ94" s="34" t="s">
        <v>885</v>
      </c>
      <c r="USA94" s="60"/>
      <c r="USP94" s="34" t="s">
        <v>885</v>
      </c>
      <c r="USQ94" s="60"/>
      <c r="UTF94" s="34" t="s">
        <v>885</v>
      </c>
      <c r="UTG94" s="60"/>
      <c r="UTV94" s="34" t="s">
        <v>885</v>
      </c>
      <c r="UTW94" s="60"/>
      <c r="UUL94" s="34" t="s">
        <v>885</v>
      </c>
      <c r="UUM94" s="60"/>
      <c r="UVB94" s="34" t="s">
        <v>885</v>
      </c>
      <c r="UVC94" s="60"/>
      <c r="UVR94" s="34" t="s">
        <v>885</v>
      </c>
      <c r="UVS94" s="60"/>
      <c r="UWH94" s="34" t="s">
        <v>885</v>
      </c>
      <c r="UWI94" s="60"/>
      <c r="UWX94" s="34" t="s">
        <v>885</v>
      </c>
      <c r="UWY94" s="60"/>
      <c r="UXN94" s="34" t="s">
        <v>885</v>
      </c>
      <c r="UXO94" s="60"/>
      <c r="UYD94" s="34" t="s">
        <v>885</v>
      </c>
      <c r="UYE94" s="60"/>
      <c r="UYT94" s="34" t="s">
        <v>885</v>
      </c>
      <c r="UYU94" s="60"/>
      <c r="UZJ94" s="34" t="s">
        <v>885</v>
      </c>
      <c r="UZK94" s="60"/>
      <c r="UZZ94" s="34" t="s">
        <v>885</v>
      </c>
      <c r="VAA94" s="60"/>
      <c r="VAP94" s="34" t="s">
        <v>885</v>
      </c>
      <c r="VAQ94" s="60"/>
      <c r="VBF94" s="34" t="s">
        <v>885</v>
      </c>
      <c r="VBG94" s="60"/>
      <c r="VBV94" s="34" t="s">
        <v>885</v>
      </c>
      <c r="VBW94" s="60"/>
      <c r="VCL94" s="34" t="s">
        <v>885</v>
      </c>
      <c r="VCM94" s="60"/>
      <c r="VDB94" s="34" t="s">
        <v>885</v>
      </c>
      <c r="VDC94" s="60"/>
      <c r="VDR94" s="34" t="s">
        <v>885</v>
      </c>
      <c r="VDS94" s="60"/>
      <c r="VEH94" s="34" t="s">
        <v>885</v>
      </c>
      <c r="VEI94" s="60"/>
      <c r="VEX94" s="34" t="s">
        <v>885</v>
      </c>
      <c r="VEY94" s="60"/>
      <c r="VFN94" s="34" t="s">
        <v>885</v>
      </c>
      <c r="VFO94" s="60"/>
      <c r="VGD94" s="34" t="s">
        <v>885</v>
      </c>
      <c r="VGE94" s="60"/>
      <c r="VGT94" s="34" t="s">
        <v>885</v>
      </c>
      <c r="VGU94" s="60"/>
      <c r="VHJ94" s="34" t="s">
        <v>885</v>
      </c>
      <c r="VHK94" s="60"/>
      <c r="VHZ94" s="34" t="s">
        <v>885</v>
      </c>
      <c r="VIA94" s="60"/>
      <c r="VIP94" s="34" t="s">
        <v>885</v>
      </c>
      <c r="VIQ94" s="60"/>
      <c r="VJF94" s="34" t="s">
        <v>885</v>
      </c>
      <c r="VJG94" s="60"/>
      <c r="VJV94" s="34" t="s">
        <v>885</v>
      </c>
      <c r="VJW94" s="60"/>
      <c r="VKL94" s="34" t="s">
        <v>885</v>
      </c>
      <c r="VKM94" s="60"/>
      <c r="VLB94" s="34" t="s">
        <v>885</v>
      </c>
      <c r="VLC94" s="60"/>
      <c r="VLR94" s="34" t="s">
        <v>885</v>
      </c>
      <c r="VLS94" s="60"/>
      <c r="VMH94" s="34" t="s">
        <v>885</v>
      </c>
      <c r="VMI94" s="60"/>
      <c r="VMX94" s="34" t="s">
        <v>885</v>
      </c>
      <c r="VMY94" s="60"/>
      <c r="VNN94" s="34" t="s">
        <v>885</v>
      </c>
      <c r="VNO94" s="60"/>
      <c r="VOD94" s="34" t="s">
        <v>885</v>
      </c>
      <c r="VOE94" s="60"/>
      <c r="VOT94" s="34" t="s">
        <v>885</v>
      </c>
      <c r="VOU94" s="60"/>
      <c r="VPJ94" s="34" t="s">
        <v>885</v>
      </c>
      <c r="VPK94" s="60"/>
      <c r="VPZ94" s="34" t="s">
        <v>885</v>
      </c>
      <c r="VQA94" s="60"/>
      <c r="VQP94" s="34" t="s">
        <v>885</v>
      </c>
      <c r="VQQ94" s="60"/>
      <c r="VRF94" s="34" t="s">
        <v>885</v>
      </c>
      <c r="VRG94" s="60"/>
      <c r="VRV94" s="34" t="s">
        <v>885</v>
      </c>
      <c r="VRW94" s="60"/>
      <c r="VSL94" s="34" t="s">
        <v>885</v>
      </c>
      <c r="VSM94" s="60"/>
      <c r="VTB94" s="34" t="s">
        <v>885</v>
      </c>
      <c r="VTC94" s="60"/>
      <c r="VTR94" s="34" t="s">
        <v>885</v>
      </c>
      <c r="VTS94" s="60"/>
      <c r="VUH94" s="34" t="s">
        <v>885</v>
      </c>
      <c r="VUI94" s="60"/>
      <c r="VUX94" s="34" t="s">
        <v>885</v>
      </c>
      <c r="VUY94" s="60"/>
      <c r="VVN94" s="34" t="s">
        <v>885</v>
      </c>
      <c r="VVO94" s="60"/>
      <c r="VWD94" s="34" t="s">
        <v>885</v>
      </c>
      <c r="VWE94" s="60"/>
      <c r="VWT94" s="34" t="s">
        <v>885</v>
      </c>
      <c r="VWU94" s="60"/>
      <c r="VXJ94" s="34" t="s">
        <v>885</v>
      </c>
      <c r="VXK94" s="60"/>
      <c r="VXZ94" s="34" t="s">
        <v>885</v>
      </c>
      <c r="VYA94" s="60"/>
      <c r="VYP94" s="34" t="s">
        <v>885</v>
      </c>
      <c r="VYQ94" s="60"/>
      <c r="VZF94" s="34" t="s">
        <v>885</v>
      </c>
      <c r="VZG94" s="60"/>
      <c r="VZV94" s="34" t="s">
        <v>885</v>
      </c>
      <c r="VZW94" s="60"/>
      <c r="WAL94" s="34" t="s">
        <v>885</v>
      </c>
      <c r="WAM94" s="60"/>
      <c r="WBB94" s="34" t="s">
        <v>885</v>
      </c>
      <c r="WBC94" s="60"/>
      <c r="WBR94" s="34" t="s">
        <v>885</v>
      </c>
      <c r="WBS94" s="60"/>
      <c r="WCH94" s="34" t="s">
        <v>885</v>
      </c>
      <c r="WCI94" s="60"/>
      <c r="WCX94" s="34" t="s">
        <v>885</v>
      </c>
      <c r="WCY94" s="60"/>
      <c r="WDN94" s="34" t="s">
        <v>885</v>
      </c>
      <c r="WDO94" s="60"/>
      <c r="WED94" s="34" t="s">
        <v>885</v>
      </c>
      <c r="WEE94" s="60"/>
      <c r="WET94" s="34" t="s">
        <v>885</v>
      </c>
      <c r="WEU94" s="60"/>
      <c r="WFJ94" s="34" t="s">
        <v>885</v>
      </c>
      <c r="WFK94" s="60"/>
      <c r="WFZ94" s="34" t="s">
        <v>885</v>
      </c>
      <c r="WGA94" s="60"/>
      <c r="WGP94" s="34" t="s">
        <v>885</v>
      </c>
      <c r="WGQ94" s="60"/>
      <c r="WHF94" s="34" t="s">
        <v>885</v>
      </c>
      <c r="WHG94" s="60"/>
      <c r="WHV94" s="34" t="s">
        <v>885</v>
      </c>
      <c r="WHW94" s="60"/>
      <c r="WIL94" s="34" t="s">
        <v>885</v>
      </c>
      <c r="WIM94" s="60"/>
      <c r="WJB94" s="34" t="s">
        <v>885</v>
      </c>
      <c r="WJC94" s="60"/>
      <c r="WJR94" s="34" t="s">
        <v>885</v>
      </c>
      <c r="WJS94" s="60"/>
      <c r="WKH94" s="34" t="s">
        <v>885</v>
      </c>
      <c r="WKI94" s="60"/>
      <c r="WKX94" s="34" t="s">
        <v>885</v>
      </c>
      <c r="WKY94" s="60"/>
      <c r="WLN94" s="34" t="s">
        <v>885</v>
      </c>
      <c r="WLO94" s="60"/>
      <c r="WMD94" s="34" t="s">
        <v>885</v>
      </c>
      <c r="WME94" s="60"/>
      <c r="WMT94" s="34" t="s">
        <v>885</v>
      </c>
      <c r="WMU94" s="60"/>
      <c r="WNJ94" s="34" t="s">
        <v>885</v>
      </c>
      <c r="WNK94" s="60"/>
      <c r="WNZ94" s="34" t="s">
        <v>885</v>
      </c>
      <c r="WOA94" s="60"/>
      <c r="WOP94" s="34" t="s">
        <v>885</v>
      </c>
      <c r="WOQ94" s="60"/>
      <c r="WPF94" s="34" t="s">
        <v>885</v>
      </c>
      <c r="WPG94" s="60"/>
      <c r="WPV94" s="34" t="s">
        <v>885</v>
      </c>
      <c r="WPW94" s="60"/>
      <c r="WQL94" s="34" t="s">
        <v>885</v>
      </c>
      <c r="WQM94" s="60"/>
      <c r="WRB94" s="34" t="s">
        <v>885</v>
      </c>
      <c r="WRC94" s="60"/>
      <c r="WRR94" s="34" t="s">
        <v>885</v>
      </c>
      <c r="WRS94" s="60"/>
      <c r="WSH94" s="34" t="s">
        <v>885</v>
      </c>
      <c r="WSI94" s="60"/>
      <c r="WSX94" s="34" t="s">
        <v>885</v>
      </c>
      <c r="WSY94" s="60"/>
      <c r="WTN94" s="34" t="s">
        <v>885</v>
      </c>
      <c r="WTO94" s="60"/>
      <c r="WUD94" s="34" t="s">
        <v>885</v>
      </c>
      <c r="WUE94" s="60"/>
      <c r="WUT94" s="34" t="s">
        <v>885</v>
      </c>
      <c r="WUU94" s="60"/>
      <c r="WVJ94" s="34" t="s">
        <v>885</v>
      </c>
      <c r="WVK94" s="60"/>
      <c r="WVZ94" s="34" t="s">
        <v>885</v>
      </c>
      <c r="WWA94" s="60"/>
      <c r="WWP94" s="34" t="s">
        <v>885</v>
      </c>
      <c r="WWQ94" s="60"/>
      <c r="WXF94" s="34" t="s">
        <v>885</v>
      </c>
      <c r="WXG94" s="60"/>
      <c r="WXV94" s="34" t="s">
        <v>885</v>
      </c>
      <c r="WXW94" s="60"/>
      <c r="WYL94" s="34" t="s">
        <v>885</v>
      </c>
      <c r="WYM94" s="60"/>
      <c r="WZB94" s="34" t="s">
        <v>885</v>
      </c>
      <c r="WZC94" s="60"/>
      <c r="WZR94" s="34" t="s">
        <v>885</v>
      </c>
      <c r="WZS94" s="60"/>
      <c r="XAH94" s="34" t="s">
        <v>885</v>
      </c>
      <c r="XAI94" s="60"/>
      <c r="XAX94" s="34" t="s">
        <v>885</v>
      </c>
      <c r="XAY94" s="60"/>
      <c r="XBN94" s="34" t="s">
        <v>885</v>
      </c>
      <c r="XBO94" s="60"/>
      <c r="XCD94" s="34" t="s">
        <v>885</v>
      </c>
      <c r="XCE94" s="60"/>
      <c r="XCT94" s="34" t="s">
        <v>885</v>
      </c>
      <c r="XCU94" s="60"/>
      <c r="XDJ94" s="34" t="s">
        <v>885</v>
      </c>
      <c r="XDK94" s="60"/>
      <c r="XDZ94" s="34" t="s">
        <v>885</v>
      </c>
      <c r="XEA94" s="60"/>
      <c r="XEP94" s="34" t="s">
        <v>885</v>
      </c>
      <c r="XEQ94" s="60"/>
    </row>
    <row r="95" spans="2:1011 1026:2035 2050:3059 3074:4083 4098:5107 5122:6131 6146:7155 7170:8179 8194:9203 9218:10227 10242:11251 11266:12275 12290:13299 13314:14323 14338:15347 15362:16371" ht="14.25" x14ac:dyDescent="0.2">
      <c r="R95" s="34"/>
      <c r="S95" s="60"/>
      <c r="AH95" s="34"/>
      <c r="AI95" s="60"/>
      <c r="AX95" s="34"/>
      <c r="AY95" s="60"/>
      <c r="BN95" s="34"/>
      <c r="BO95" s="60"/>
      <c r="CD95" s="34"/>
      <c r="CE95" s="60"/>
      <c r="CT95" s="34"/>
      <c r="CU95" s="60"/>
      <c r="DJ95" s="34"/>
      <c r="DK95" s="60"/>
      <c r="DZ95" s="34"/>
      <c r="EA95" s="60"/>
      <c r="EP95" s="34"/>
      <c r="EQ95" s="60"/>
      <c r="FF95" s="34"/>
      <c r="FG95" s="60"/>
      <c r="FV95" s="34"/>
      <c r="FW95" s="60"/>
      <c r="GL95" s="34"/>
      <c r="GM95" s="60"/>
      <c r="HB95" s="34"/>
      <c r="HC95" s="60"/>
      <c r="HR95" s="34"/>
      <c r="HS95" s="60"/>
      <c r="IH95" s="34"/>
      <c r="II95" s="60"/>
      <c r="IX95" s="34"/>
      <c r="IY95" s="60"/>
      <c r="JN95" s="34"/>
      <c r="JO95" s="60"/>
      <c r="KD95" s="34"/>
      <c r="KE95" s="60"/>
      <c r="KT95" s="34"/>
      <c r="KU95" s="60"/>
      <c r="LJ95" s="34"/>
      <c r="LK95" s="60"/>
      <c r="LZ95" s="34"/>
      <c r="MA95" s="60"/>
      <c r="MP95" s="34"/>
      <c r="MQ95" s="60"/>
      <c r="NF95" s="34"/>
      <c r="NG95" s="60"/>
      <c r="NV95" s="34"/>
      <c r="NW95" s="60"/>
      <c r="OL95" s="34"/>
      <c r="OM95" s="60"/>
      <c r="PB95" s="34"/>
      <c r="PC95" s="60"/>
      <c r="PR95" s="34"/>
      <c r="PS95" s="60"/>
      <c r="QH95" s="34"/>
      <c r="QI95" s="60"/>
      <c r="QX95" s="34"/>
      <c r="QY95" s="60"/>
      <c r="RN95" s="34"/>
      <c r="RO95" s="60"/>
      <c r="SD95" s="34"/>
      <c r="SE95" s="60"/>
      <c r="ST95" s="34"/>
      <c r="SU95" s="60"/>
      <c r="TJ95" s="34"/>
      <c r="TK95" s="60"/>
      <c r="TZ95" s="34"/>
      <c r="UA95" s="60"/>
      <c r="UP95" s="34"/>
      <c r="UQ95" s="60"/>
      <c r="VF95" s="34"/>
      <c r="VG95" s="60"/>
      <c r="VV95" s="34"/>
      <c r="VW95" s="60"/>
      <c r="WL95" s="34"/>
      <c r="WM95" s="60"/>
      <c r="XB95" s="34"/>
      <c r="XC95" s="60"/>
      <c r="XR95" s="34"/>
      <c r="XS95" s="60"/>
      <c r="YH95" s="34"/>
      <c r="YI95" s="60"/>
      <c r="YX95" s="34"/>
      <c r="YY95" s="60"/>
      <c r="ZN95" s="34"/>
      <c r="ZO95" s="60"/>
      <c r="AAD95" s="34"/>
      <c r="AAE95" s="60"/>
      <c r="AAT95" s="34"/>
      <c r="AAU95" s="60"/>
      <c r="ABJ95" s="34"/>
      <c r="ABK95" s="60"/>
      <c r="ABZ95" s="34"/>
      <c r="ACA95" s="60"/>
      <c r="ACP95" s="34"/>
      <c r="ACQ95" s="60"/>
      <c r="ADF95" s="34"/>
      <c r="ADG95" s="60"/>
      <c r="ADV95" s="34"/>
      <c r="ADW95" s="60"/>
      <c r="AEL95" s="34"/>
      <c r="AEM95" s="60"/>
      <c r="AFB95" s="34"/>
      <c r="AFC95" s="60"/>
      <c r="AFR95" s="34"/>
      <c r="AFS95" s="60"/>
      <c r="AGH95" s="34"/>
      <c r="AGI95" s="60"/>
      <c r="AGX95" s="34"/>
      <c r="AGY95" s="60"/>
      <c r="AHN95" s="34"/>
      <c r="AHO95" s="60"/>
      <c r="AID95" s="34"/>
      <c r="AIE95" s="60"/>
      <c r="AIT95" s="34"/>
      <c r="AIU95" s="60"/>
      <c r="AJJ95" s="34"/>
      <c r="AJK95" s="60"/>
      <c r="AJZ95" s="34"/>
      <c r="AKA95" s="60"/>
      <c r="AKP95" s="34"/>
      <c r="AKQ95" s="60"/>
      <c r="ALF95" s="34"/>
      <c r="ALG95" s="60"/>
      <c r="ALV95" s="34"/>
      <c r="ALW95" s="60"/>
      <c r="AML95" s="34"/>
      <c r="AMM95" s="60"/>
      <c r="ANB95" s="34"/>
      <c r="ANC95" s="60"/>
      <c r="ANR95" s="34"/>
      <c r="ANS95" s="60"/>
      <c r="AOH95" s="34"/>
      <c r="AOI95" s="60"/>
      <c r="AOX95" s="34"/>
      <c r="AOY95" s="60"/>
      <c r="APN95" s="34"/>
      <c r="APO95" s="60"/>
      <c r="AQD95" s="34"/>
      <c r="AQE95" s="60"/>
      <c r="AQT95" s="34"/>
      <c r="AQU95" s="60"/>
      <c r="ARJ95" s="34"/>
      <c r="ARK95" s="60"/>
      <c r="ARZ95" s="34"/>
      <c r="ASA95" s="60"/>
      <c r="ASP95" s="34"/>
      <c r="ASQ95" s="60"/>
      <c r="ATF95" s="34"/>
      <c r="ATG95" s="60"/>
      <c r="ATV95" s="34"/>
      <c r="ATW95" s="60"/>
      <c r="AUL95" s="34"/>
      <c r="AUM95" s="60"/>
      <c r="AVB95" s="34"/>
      <c r="AVC95" s="60"/>
      <c r="AVR95" s="34"/>
      <c r="AVS95" s="60"/>
      <c r="AWH95" s="34"/>
      <c r="AWI95" s="60"/>
      <c r="AWX95" s="34"/>
      <c r="AWY95" s="60"/>
      <c r="AXN95" s="34"/>
      <c r="AXO95" s="60"/>
      <c r="AYD95" s="34"/>
      <c r="AYE95" s="60"/>
      <c r="AYT95" s="34"/>
      <c r="AYU95" s="60"/>
      <c r="AZJ95" s="34"/>
      <c r="AZK95" s="60"/>
      <c r="AZZ95" s="34"/>
      <c r="BAA95" s="60"/>
      <c r="BAP95" s="34"/>
      <c r="BAQ95" s="60"/>
      <c r="BBF95" s="34"/>
      <c r="BBG95" s="60"/>
      <c r="BBV95" s="34"/>
      <c r="BBW95" s="60"/>
      <c r="BCL95" s="34"/>
      <c r="BCM95" s="60"/>
      <c r="BDB95" s="34"/>
      <c r="BDC95" s="60"/>
      <c r="BDR95" s="34"/>
      <c r="BDS95" s="60"/>
      <c r="BEH95" s="34"/>
      <c r="BEI95" s="60"/>
      <c r="BEX95" s="34"/>
      <c r="BEY95" s="60"/>
      <c r="BFN95" s="34"/>
      <c r="BFO95" s="60"/>
      <c r="BGD95" s="34"/>
      <c r="BGE95" s="60"/>
      <c r="BGT95" s="34"/>
      <c r="BGU95" s="60"/>
      <c r="BHJ95" s="34"/>
      <c r="BHK95" s="60"/>
      <c r="BHZ95" s="34"/>
      <c r="BIA95" s="60"/>
      <c r="BIP95" s="34"/>
      <c r="BIQ95" s="60"/>
      <c r="BJF95" s="34"/>
      <c r="BJG95" s="60"/>
      <c r="BJV95" s="34"/>
      <c r="BJW95" s="60"/>
      <c r="BKL95" s="34"/>
      <c r="BKM95" s="60"/>
      <c r="BLB95" s="34"/>
      <c r="BLC95" s="60"/>
      <c r="BLR95" s="34"/>
      <c r="BLS95" s="60"/>
      <c r="BMH95" s="34"/>
      <c r="BMI95" s="60"/>
      <c r="BMX95" s="34"/>
      <c r="BMY95" s="60"/>
      <c r="BNN95" s="34"/>
      <c r="BNO95" s="60"/>
      <c r="BOD95" s="34"/>
      <c r="BOE95" s="60"/>
      <c r="BOT95" s="34"/>
      <c r="BOU95" s="60"/>
      <c r="BPJ95" s="34"/>
      <c r="BPK95" s="60"/>
      <c r="BPZ95" s="34"/>
      <c r="BQA95" s="60"/>
      <c r="BQP95" s="34"/>
      <c r="BQQ95" s="60"/>
      <c r="BRF95" s="34"/>
      <c r="BRG95" s="60"/>
      <c r="BRV95" s="34"/>
      <c r="BRW95" s="60"/>
      <c r="BSL95" s="34"/>
      <c r="BSM95" s="60"/>
      <c r="BTB95" s="34"/>
      <c r="BTC95" s="60"/>
      <c r="BTR95" s="34"/>
      <c r="BTS95" s="60"/>
      <c r="BUH95" s="34"/>
      <c r="BUI95" s="60"/>
      <c r="BUX95" s="34"/>
      <c r="BUY95" s="60"/>
      <c r="BVN95" s="34"/>
      <c r="BVO95" s="60"/>
      <c r="BWD95" s="34"/>
      <c r="BWE95" s="60"/>
      <c r="BWT95" s="34"/>
      <c r="BWU95" s="60"/>
      <c r="BXJ95" s="34"/>
      <c r="BXK95" s="60"/>
      <c r="BXZ95" s="34"/>
      <c r="BYA95" s="60"/>
      <c r="BYP95" s="34"/>
      <c r="BYQ95" s="60"/>
      <c r="BZF95" s="34"/>
      <c r="BZG95" s="60"/>
      <c r="BZV95" s="34"/>
      <c r="BZW95" s="60"/>
      <c r="CAL95" s="34"/>
      <c r="CAM95" s="60"/>
      <c r="CBB95" s="34"/>
      <c r="CBC95" s="60"/>
      <c r="CBR95" s="34"/>
      <c r="CBS95" s="60"/>
      <c r="CCH95" s="34"/>
      <c r="CCI95" s="60"/>
      <c r="CCX95" s="34"/>
      <c r="CCY95" s="60"/>
      <c r="CDN95" s="34"/>
      <c r="CDO95" s="60"/>
      <c r="CED95" s="34"/>
      <c r="CEE95" s="60"/>
      <c r="CET95" s="34"/>
      <c r="CEU95" s="60"/>
      <c r="CFJ95" s="34"/>
      <c r="CFK95" s="60"/>
      <c r="CFZ95" s="34"/>
      <c r="CGA95" s="60"/>
      <c r="CGP95" s="34"/>
      <c r="CGQ95" s="60"/>
      <c r="CHF95" s="34"/>
      <c r="CHG95" s="60"/>
      <c r="CHV95" s="34"/>
      <c r="CHW95" s="60"/>
      <c r="CIL95" s="34"/>
      <c r="CIM95" s="60"/>
      <c r="CJB95" s="34"/>
      <c r="CJC95" s="60"/>
      <c r="CJR95" s="34"/>
      <c r="CJS95" s="60"/>
      <c r="CKH95" s="34"/>
      <c r="CKI95" s="60"/>
      <c r="CKX95" s="34"/>
      <c r="CKY95" s="60"/>
      <c r="CLN95" s="34"/>
      <c r="CLO95" s="60"/>
      <c r="CMD95" s="34"/>
      <c r="CME95" s="60"/>
      <c r="CMT95" s="34"/>
      <c r="CMU95" s="60"/>
      <c r="CNJ95" s="34"/>
      <c r="CNK95" s="60"/>
      <c r="CNZ95" s="34"/>
      <c r="COA95" s="60"/>
      <c r="COP95" s="34"/>
      <c r="COQ95" s="60"/>
      <c r="CPF95" s="34"/>
      <c r="CPG95" s="60"/>
      <c r="CPV95" s="34"/>
      <c r="CPW95" s="60"/>
      <c r="CQL95" s="34"/>
      <c r="CQM95" s="60"/>
      <c r="CRB95" s="34"/>
      <c r="CRC95" s="60"/>
      <c r="CRR95" s="34"/>
      <c r="CRS95" s="60"/>
      <c r="CSH95" s="34"/>
      <c r="CSI95" s="60"/>
      <c r="CSX95" s="34"/>
      <c r="CSY95" s="60"/>
      <c r="CTN95" s="34"/>
      <c r="CTO95" s="60"/>
      <c r="CUD95" s="34"/>
      <c r="CUE95" s="60"/>
      <c r="CUT95" s="34"/>
      <c r="CUU95" s="60"/>
      <c r="CVJ95" s="34"/>
      <c r="CVK95" s="60"/>
      <c r="CVZ95" s="34"/>
      <c r="CWA95" s="60"/>
      <c r="CWP95" s="34"/>
      <c r="CWQ95" s="60"/>
      <c r="CXF95" s="34"/>
      <c r="CXG95" s="60"/>
      <c r="CXV95" s="34"/>
      <c r="CXW95" s="60"/>
      <c r="CYL95" s="34"/>
      <c r="CYM95" s="60"/>
      <c r="CZB95" s="34"/>
      <c r="CZC95" s="60"/>
      <c r="CZR95" s="34"/>
      <c r="CZS95" s="60"/>
      <c r="DAH95" s="34"/>
      <c r="DAI95" s="60"/>
      <c r="DAX95" s="34"/>
      <c r="DAY95" s="60"/>
      <c r="DBN95" s="34"/>
      <c r="DBO95" s="60"/>
      <c r="DCD95" s="34"/>
      <c r="DCE95" s="60"/>
      <c r="DCT95" s="34"/>
      <c r="DCU95" s="60"/>
      <c r="DDJ95" s="34"/>
      <c r="DDK95" s="60"/>
      <c r="DDZ95" s="34"/>
      <c r="DEA95" s="60"/>
      <c r="DEP95" s="34"/>
      <c r="DEQ95" s="60"/>
      <c r="DFF95" s="34"/>
      <c r="DFG95" s="60"/>
      <c r="DFV95" s="34"/>
      <c r="DFW95" s="60"/>
      <c r="DGL95" s="34"/>
      <c r="DGM95" s="60"/>
      <c r="DHB95" s="34"/>
      <c r="DHC95" s="60"/>
      <c r="DHR95" s="34"/>
      <c r="DHS95" s="60"/>
      <c r="DIH95" s="34"/>
      <c r="DII95" s="60"/>
      <c r="DIX95" s="34"/>
      <c r="DIY95" s="60"/>
      <c r="DJN95" s="34"/>
      <c r="DJO95" s="60"/>
      <c r="DKD95" s="34"/>
      <c r="DKE95" s="60"/>
      <c r="DKT95" s="34"/>
      <c r="DKU95" s="60"/>
      <c r="DLJ95" s="34"/>
      <c r="DLK95" s="60"/>
      <c r="DLZ95" s="34"/>
      <c r="DMA95" s="60"/>
      <c r="DMP95" s="34"/>
      <c r="DMQ95" s="60"/>
      <c r="DNF95" s="34"/>
      <c r="DNG95" s="60"/>
      <c r="DNV95" s="34"/>
      <c r="DNW95" s="60"/>
      <c r="DOL95" s="34"/>
      <c r="DOM95" s="60"/>
      <c r="DPB95" s="34"/>
      <c r="DPC95" s="60"/>
      <c r="DPR95" s="34"/>
      <c r="DPS95" s="60"/>
      <c r="DQH95" s="34"/>
      <c r="DQI95" s="60"/>
      <c r="DQX95" s="34"/>
      <c r="DQY95" s="60"/>
      <c r="DRN95" s="34"/>
      <c r="DRO95" s="60"/>
      <c r="DSD95" s="34"/>
      <c r="DSE95" s="60"/>
      <c r="DST95" s="34"/>
      <c r="DSU95" s="60"/>
      <c r="DTJ95" s="34"/>
      <c r="DTK95" s="60"/>
      <c r="DTZ95" s="34"/>
      <c r="DUA95" s="60"/>
      <c r="DUP95" s="34"/>
      <c r="DUQ95" s="60"/>
      <c r="DVF95" s="34"/>
      <c r="DVG95" s="60"/>
      <c r="DVV95" s="34"/>
      <c r="DVW95" s="60"/>
      <c r="DWL95" s="34"/>
      <c r="DWM95" s="60"/>
      <c r="DXB95" s="34"/>
      <c r="DXC95" s="60"/>
      <c r="DXR95" s="34"/>
      <c r="DXS95" s="60"/>
      <c r="DYH95" s="34"/>
      <c r="DYI95" s="60"/>
      <c r="DYX95" s="34"/>
      <c r="DYY95" s="60"/>
      <c r="DZN95" s="34"/>
      <c r="DZO95" s="60"/>
      <c r="EAD95" s="34"/>
      <c r="EAE95" s="60"/>
      <c r="EAT95" s="34"/>
      <c r="EAU95" s="60"/>
      <c r="EBJ95" s="34"/>
      <c r="EBK95" s="60"/>
      <c r="EBZ95" s="34"/>
      <c r="ECA95" s="60"/>
      <c r="ECP95" s="34"/>
      <c r="ECQ95" s="60"/>
      <c r="EDF95" s="34"/>
      <c r="EDG95" s="60"/>
      <c r="EDV95" s="34"/>
      <c r="EDW95" s="60"/>
      <c r="EEL95" s="34"/>
      <c r="EEM95" s="60"/>
      <c r="EFB95" s="34"/>
      <c r="EFC95" s="60"/>
      <c r="EFR95" s="34"/>
      <c r="EFS95" s="60"/>
      <c r="EGH95" s="34"/>
      <c r="EGI95" s="60"/>
      <c r="EGX95" s="34"/>
      <c r="EGY95" s="60"/>
      <c r="EHN95" s="34"/>
      <c r="EHO95" s="60"/>
      <c r="EID95" s="34"/>
      <c r="EIE95" s="60"/>
      <c r="EIT95" s="34"/>
      <c r="EIU95" s="60"/>
      <c r="EJJ95" s="34"/>
      <c r="EJK95" s="60"/>
      <c r="EJZ95" s="34"/>
      <c r="EKA95" s="60"/>
      <c r="EKP95" s="34"/>
      <c r="EKQ95" s="60"/>
      <c r="ELF95" s="34"/>
      <c r="ELG95" s="60"/>
      <c r="ELV95" s="34"/>
      <c r="ELW95" s="60"/>
      <c r="EML95" s="34"/>
      <c r="EMM95" s="60"/>
      <c r="ENB95" s="34"/>
      <c r="ENC95" s="60"/>
      <c r="ENR95" s="34"/>
      <c r="ENS95" s="60"/>
      <c r="EOH95" s="34"/>
      <c r="EOI95" s="60"/>
      <c r="EOX95" s="34"/>
      <c r="EOY95" s="60"/>
      <c r="EPN95" s="34"/>
      <c r="EPO95" s="60"/>
      <c r="EQD95" s="34"/>
      <c r="EQE95" s="60"/>
      <c r="EQT95" s="34"/>
      <c r="EQU95" s="60"/>
      <c r="ERJ95" s="34"/>
      <c r="ERK95" s="60"/>
      <c r="ERZ95" s="34"/>
      <c r="ESA95" s="60"/>
      <c r="ESP95" s="34"/>
      <c r="ESQ95" s="60"/>
      <c r="ETF95" s="34"/>
      <c r="ETG95" s="60"/>
      <c r="ETV95" s="34"/>
      <c r="ETW95" s="60"/>
      <c r="EUL95" s="34"/>
      <c r="EUM95" s="60"/>
      <c r="EVB95" s="34"/>
      <c r="EVC95" s="60"/>
      <c r="EVR95" s="34"/>
      <c r="EVS95" s="60"/>
      <c r="EWH95" s="34"/>
      <c r="EWI95" s="60"/>
      <c r="EWX95" s="34"/>
      <c r="EWY95" s="60"/>
      <c r="EXN95" s="34"/>
      <c r="EXO95" s="60"/>
      <c r="EYD95" s="34"/>
      <c r="EYE95" s="60"/>
      <c r="EYT95" s="34"/>
      <c r="EYU95" s="60"/>
      <c r="EZJ95" s="34"/>
      <c r="EZK95" s="60"/>
      <c r="EZZ95" s="34"/>
      <c r="FAA95" s="60"/>
      <c r="FAP95" s="34"/>
      <c r="FAQ95" s="60"/>
      <c r="FBF95" s="34"/>
      <c r="FBG95" s="60"/>
      <c r="FBV95" s="34"/>
      <c r="FBW95" s="60"/>
      <c r="FCL95" s="34"/>
      <c r="FCM95" s="60"/>
      <c r="FDB95" s="34"/>
      <c r="FDC95" s="60"/>
      <c r="FDR95" s="34"/>
      <c r="FDS95" s="60"/>
      <c r="FEH95" s="34"/>
      <c r="FEI95" s="60"/>
      <c r="FEX95" s="34"/>
      <c r="FEY95" s="60"/>
      <c r="FFN95" s="34"/>
      <c r="FFO95" s="60"/>
      <c r="FGD95" s="34"/>
      <c r="FGE95" s="60"/>
      <c r="FGT95" s="34"/>
      <c r="FGU95" s="60"/>
      <c r="FHJ95" s="34"/>
      <c r="FHK95" s="60"/>
      <c r="FHZ95" s="34"/>
      <c r="FIA95" s="60"/>
      <c r="FIP95" s="34"/>
      <c r="FIQ95" s="60"/>
      <c r="FJF95" s="34"/>
      <c r="FJG95" s="60"/>
      <c r="FJV95" s="34"/>
      <c r="FJW95" s="60"/>
      <c r="FKL95" s="34"/>
      <c r="FKM95" s="60"/>
      <c r="FLB95" s="34"/>
      <c r="FLC95" s="60"/>
      <c r="FLR95" s="34"/>
      <c r="FLS95" s="60"/>
      <c r="FMH95" s="34"/>
      <c r="FMI95" s="60"/>
      <c r="FMX95" s="34"/>
      <c r="FMY95" s="60"/>
      <c r="FNN95" s="34"/>
      <c r="FNO95" s="60"/>
      <c r="FOD95" s="34"/>
      <c r="FOE95" s="60"/>
      <c r="FOT95" s="34"/>
      <c r="FOU95" s="60"/>
      <c r="FPJ95" s="34"/>
      <c r="FPK95" s="60"/>
      <c r="FPZ95" s="34"/>
      <c r="FQA95" s="60"/>
      <c r="FQP95" s="34"/>
      <c r="FQQ95" s="60"/>
      <c r="FRF95" s="34"/>
      <c r="FRG95" s="60"/>
      <c r="FRV95" s="34"/>
      <c r="FRW95" s="60"/>
      <c r="FSL95" s="34"/>
      <c r="FSM95" s="60"/>
      <c r="FTB95" s="34"/>
      <c r="FTC95" s="60"/>
      <c r="FTR95" s="34"/>
      <c r="FTS95" s="60"/>
      <c r="FUH95" s="34"/>
      <c r="FUI95" s="60"/>
      <c r="FUX95" s="34"/>
      <c r="FUY95" s="60"/>
      <c r="FVN95" s="34"/>
      <c r="FVO95" s="60"/>
      <c r="FWD95" s="34"/>
      <c r="FWE95" s="60"/>
      <c r="FWT95" s="34"/>
      <c r="FWU95" s="60"/>
      <c r="FXJ95" s="34"/>
      <c r="FXK95" s="60"/>
      <c r="FXZ95" s="34"/>
      <c r="FYA95" s="60"/>
      <c r="FYP95" s="34"/>
      <c r="FYQ95" s="60"/>
      <c r="FZF95" s="34"/>
      <c r="FZG95" s="60"/>
      <c r="FZV95" s="34"/>
      <c r="FZW95" s="60"/>
      <c r="GAL95" s="34"/>
      <c r="GAM95" s="60"/>
      <c r="GBB95" s="34"/>
      <c r="GBC95" s="60"/>
      <c r="GBR95" s="34"/>
      <c r="GBS95" s="60"/>
      <c r="GCH95" s="34"/>
      <c r="GCI95" s="60"/>
      <c r="GCX95" s="34"/>
      <c r="GCY95" s="60"/>
      <c r="GDN95" s="34"/>
      <c r="GDO95" s="60"/>
      <c r="GED95" s="34"/>
      <c r="GEE95" s="60"/>
      <c r="GET95" s="34"/>
      <c r="GEU95" s="60"/>
      <c r="GFJ95" s="34"/>
      <c r="GFK95" s="60"/>
      <c r="GFZ95" s="34"/>
      <c r="GGA95" s="60"/>
      <c r="GGP95" s="34"/>
      <c r="GGQ95" s="60"/>
      <c r="GHF95" s="34"/>
      <c r="GHG95" s="60"/>
      <c r="GHV95" s="34"/>
      <c r="GHW95" s="60"/>
      <c r="GIL95" s="34"/>
      <c r="GIM95" s="60"/>
      <c r="GJB95" s="34"/>
      <c r="GJC95" s="60"/>
      <c r="GJR95" s="34"/>
      <c r="GJS95" s="60"/>
      <c r="GKH95" s="34"/>
      <c r="GKI95" s="60"/>
      <c r="GKX95" s="34"/>
      <c r="GKY95" s="60"/>
      <c r="GLN95" s="34"/>
      <c r="GLO95" s="60"/>
      <c r="GMD95" s="34"/>
      <c r="GME95" s="60"/>
      <c r="GMT95" s="34"/>
      <c r="GMU95" s="60"/>
      <c r="GNJ95" s="34"/>
      <c r="GNK95" s="60"/>
      <c r="GNZ95" s="34"/>
      <c r="GOA95" s="60"/>
      <c r="GOP95" s="34"/>
      <c r="GOQ95" s="60"/>
      <c r="GPF95" s="34"/>
      <c r="GPG95" s="60"/>
      <c r="GPV95" s="34"/>
      <c r="GPW95" s="60"/>
      <c r="GQL95" s="34"/>
      <c r="GQM95" s="60"/>
      <c r="GRB95" s="34"/>
      <c r="GRC95" s="60"/>
      <c r="GRR95" s="34"/>
      <c r="GRS95" s="60"/>
      <c r="GSH95" s="34"/>
      <c r="GSI95" s="60"/>
      <c r="GSX95" s="34"/>
      <c r="GSY95" s="60"/>
      <c r="GTN95" s="34"/>
      <c r="GTO95" s="60"/>
      <c r="GUD95" s="34"/>
      <c r="GUE95" s="60"/>
      <c r="GUT95" s="34"/>
      <c r="GUU95" s="60"/>
      <c r="GVJ95" s="34"/>
      <c r="GVK95" s="60"/>
      <c r="GVZ95" s="34"/>
      <c r="GWA95" s="60"/>
      <c r="GWP95" s="34"/>
      <c r="GWQ95" s="60"/>
      <c r="GXF95" s="34"/>
      <c r="GXG95" s="60"/>
      <c r="GXV95" s="34"/>
      <c r="GXW95" s="60"/>
      <c r="GYL95" s="34"/>
      <c r="GYM95" s="60"/>
      <c r="GZB95" s="34"/>
      <c r="GZC95" s="60"/>
      <c r="GZR95" s="34"/>
      <c r="GZS95" s="60"/>
      <c r="HAH95" s="34"/>
      <c r="HAI95" s="60"/>
      <c r="HAX95" s="34"/>
      <c r="HAY95" s="60"/>
      <c r="HBN95" s="34"/>
      <c r="HBO95" s="60"/>
      <c r="HCD95" s="34"/>
      <c r="HCE95" s="60"/>
      <c r="HCT95" s="34"/>
      <c r="HCU95" s="60"/>
      <c r="HDJ95" s="34"/>
      <c r="HDK95" s="60"/>
      <c r="HDZ95" s="34"/>
      <c r="HEA95" s="60"/>
      <c r="HEP95" s="34"/>
      <c r="HEQ95" s="60"/>
      <c r="HFF95" s="34"/>
      <c r="HFG95" s="60"/>
      <c r="HFV95" s="34"/>
      <c r="HFW95" s="60"/>
      <c r="HGL95" s="34"/>
      <c r="HGM95" s="60"/>
      <c r="HHB95" s="34"/>
      <c r="HHC95" s="60"/>
      <c r="HHR95" s="34"/>
      <c r="HHS95" s="60"/>
      <c r="HIH95" s="34"/>
      <c r="HII95" s="60"/>
      <c r="HIX95" s="34"/>
      <c r="HIY95" s="60"/>
      <c r="HJN95" s="34"/>
      <c r="HJO95" s="60"/>
      <c r="HKD95" s="34"/>
      <c r="HKE95" s="60"/>
      <c r="HKT95" s="34"/>
      <c r="HKU95" s="60"/>
      <c r="HLJ95" s="34"/>
      <c r="HLK95" s="60"/>
      <c r="HLZ95" s="34"/>
      <c r="HMA95" s="60"/>
      <c r="HMP95" s="34"/>
      <c r="HMQ95" s="60"/>
      <c r="HNF95" s="34"/>
      <c r="HNG95" s="60"/>
      <c r="HNV95" s="34"/>
      <c r="HNW95" s="60"/>
      <c r="HOL95" s="34"/>
      <c r="HOM95" s="60"/>
      <c r="HPB95" s="34"/>
      <c r="HPC95" s="60"/>
      <c r="HPR95" s="34"/>
      <c r="HPS95" s="60"/>
      <c r="HQH95" s="34"/>
      <c r="HQI95" s="60"/>
      <c r="HQX95" s="34"/>
      <c r="HQY95" s="60"/>
      <c r="HRN95" s="34"/>
      <c r="HRO95" s="60"/>
      <c r="HSD95" s="34"/>
      <c r="HSE95" s="60"/>
      <c r="HST95" s="34"/>
      <c r="HSU95" s="60"/>
      <c r="HTJ95" s="34"/>
      <c r="HTK95" s="60"/>
      <c r="HTZ95" s="34"/>
      <c r="HUA95" s="60"/>
      <c r="HUP95" s="34"/>
      <c r="HUQ95" s="60"/>
      <c r="HVF95" s="34"/>
      <c r="HVG95" s="60"/>
      <c r="HVV95" s="34"/>
      <c r="HVW95" s="60"/>
      <c r="HWL95" s="34"/>
      <c r="HWM95" s="60"/>
      <c r="HXB95" s="34"/>
      <c r="HXC95" s="60"/>
      <c r="HXR95" s="34"/>
      <c r="HXS95" s="60"/>
      <c r="HYH95" s="34"/>
      <c r="HYI95" s="60"/>
      <c r="HYX95" s="34"/>
      <c r="HYY95" s="60"/>
      <c r="HZN95" s="34"/>
      <c r="HZO95" s="60"/>
      <c r="IAD95" s="34"/>
      <c r="IAE95" s="60"/>
      <c r="IAT95" s="34"/>
      <c r="IAU95" s="60"/>
      <c r="IBJ95" s="34"/>
      <c r="IBK95" s="60"/>
      <c r="IBZ95" s="34"/>
      <c r="ICA95" s="60"/>
      <c r="ICP95" s="34"/>
      <c r="ICQ95" s="60"/>
      <c r="IDF95" s="34"/>
      <c r="IDG95" s="60"/>
      <c r="IDV95" s="34"/>
      <c r="IDW95" s="60"/>
      <c r="IEL95" s="34"/>
      <c r="IEM95" s="60"/>
      <c r="IFB95" s="34"/>
      <c r="IFC95" s="60"/>
      <c r="IFR95" s="34"/>
      <c r="IFS95" s="60"/>
      <c r="IGH95" s="34"/>
      <c r="IGI95" s="60"/>
      <c r="IGX95" s="34"/>
      <c r="IGY95" s="60"/>
      <c r="IHN95" s="34"/>
      <c r="IHO95" s="60"/>
      <c r="IID95" s="34"/>
      <c r="IIE95" s="60"/>
      <c r="IIT95" s="34"/>
      <c r="IIU95" s="60"/>
      <c r="IJJ95" s="34"/>
      <c r="IJK95" s="60"/>
      <c r="IJZ95" s="34"/>
      <c r="IKA95" s="60"/>
      <c r="IKP95" s="34"/>
      <c r="IKQ95" s="60"/>
      <c r="ILF95" s="34"/>
      <c r="ILG95" s="60"/>
      <c r="ILV95" s="34"/>
      <c r="ILW95" s="60"/>
      <c r="IML95" s="34"/>
      <c r="IMM95" s="60"/>
      <c r="INB95" s="34"/>
      <c r="INC95" s="60"/>
      <c r="INR95" s="34"/>
      <c r="INS95" s="60"/>
      <c r="IOH95" s="34"/>
      <c r="IOI95" s="60"/>
      <c r="IOX95" s="34"/>
      <c r="IOY95" s="60"/>
      <c r="IPN95" s="34"/>
      <c r="IPO95" s="60"/>
      <c r="IQD95" s="34"/>
      <c r="IQE95" s="60"/>
      <c r="IQT95" s="34"/>
      <c r="IQU95" s="60"/>
      <c r="IRJ95" s="34"/>
      <c r="IRK95" s="60"/>
      <c r="IRZ95" s="34"/>
      <c r="ISA95" s="60"/>
      <c r="ISP95" s="34"/>
      <c r="ISQ95" s="60"/>
      <c r="ITF95" s="34"/>
      <c r="ITG95" s="60"/>
      <c r="ITV95" s="34"/>
      <c r="ITW95" s="60"/>
      <c r="IUL95" s="34"/>
      <c r="IUM95" s="60"/>
      <c r="IVB95" s="34"/>
      <c r="IVC95" s="60"/>
      <c r="IVR95" s="34"/>
      <c r="IVS95" s="60"/>
      <c r="IWH95" s="34"/>
      <c r="IWI95" s="60"/>
      <c r="IWX95" s="34"/>
      <c r="IWY95" s="60"/>
      <c r="IXN95" s="34"/>
      <c r="IXO95" s="60"/>
      <c r="IYD95" s="34"/>
      <c r="IYE95" s="60"/>
      <c r="IYT95" s="34"/>
      <c r="IYU95" s="60"/>
      <c r="IZJ95" s="34"/>
      <c r="IZK95" s="60"/>
      <c r="IZZ95" s="34"/>
      <c r="JAA95" s="60"/>
      <c r="JAP95" s="34"/>
      <c r="JAQ95" s="60"/>
      <c r="JBF95" s="34"/>
      <c r="JBG95" s="60"/>
      <c r="JBV95" s="34"/>
      <c r="JBW95" s="60"/>
      <c r="JCL95" s="34"/>
      <c r="JCM95" s="60"/>
      <c r="JDB95" s="34"/>
      <c r="JDC95" s="60"/>
      <c r="JDR95" s="34"/>
      <c r="JDS95" s="60"/>
      <c r="JEH95" s="34"/>
      <c r="JEI95" s="60"/>
      <c r="JEX95" s="34"/>
      <c r="JEY95" s="60"/>
      <c r="JFN95" s="34"/>
      <c r="JFO95" s="60"/>
      <c r="JGD95" s="34"/>
      <c r="JGE95" s="60"/>
      <c r="JGT95" s="34"/>
      <c r="JGU95" s="60"/>
      <c r="JHJ95" s="34"/>
      <c r="JHK95" s="60"/>
      <c r="JHZ95" s="34"/>
      <c r="JIA95" s="60"/>
      <c r="JIP95" s="34"/>
      <c r="JIQ95" s="60"/>
      <c r="JJF95" s="34"/>
      <c r="JJG95" s="60"/>
      <c r="JJV95" s="34"/>
      <c r="JJW95" s="60"/>
      <c r="JKL95" s="34"/>
      <c r="JKM95" s="60"/>
      <c r="JLB95" s="34"/>
      <c r="JLC95" s="60"/>
      <c r="JLR95" s="34"/>
      <c r="JLS95" s="60"/>
      <c r="JMH95" s="34"/>
      <c r="JMI95" s="60"/>
      <c r="JMX95" s="34"/>
      <c r="JMY95" s="60"/>
      <c r="JNN95" s="34"/>
      <c r="JNO95" s="60"/>
      <c r="JOD95" s="34"/>
      <c r="JOE95" s="60"/>
      <c r="JOT95" s="34"/>
      <c r="JOU95" s="60"/>
      <c r="JPJ95" s="34"/>
      <c r="JPK95" s="60"/>
      <c r="JPZ95" s="34"/>
      <c r="JQA95" s="60"/>
      <c r="JQP95" s="34"/>
      <c r="JQQ95" s="60"/>
      <c r="JRF95" s="34"/>
      <c r="JRG95" s="60"/>
      <c r="JRV95" s="34"/>
      <c r="JRW95" s="60"/>
      <c r="JSL95" s="34"/>
      <c r="JSM95" s="60"/>
      <c r="JTB95" s="34"/>
      <c r="JTC95" s="60"/>
      <c r="JTR95" s="34"/>
      <c r="JTS95" s="60"/>
      <c r="JUH95" s="34"/>
      <c r="JUI95" s="60"/>
      <c r="JUX95" s="34"/>
      <c r="JUY95" s="60"/>
      <c r="JVN95" s="34"/>
      <c r="JVO95" s="60"/>
      <c r="JWD95" s="34"/>
      <c r="JWE95" s="60"/>
      <c r="JWT95" s="34"/>
      <c r="JWU95" s="60"/>
      <c r="JXJ95" s="34"/>
      <c r="JXK95" s="60"/>
      <c r="JXZ95" s="34"/>
      <c r="JYA95" s="60"/>
      <c r="JYP95" s="34"/>
      <c r="JYQ95" s="60"/>
      <c r="JZF95" s="34"/>
      <c r="JZG95" s="60"/>
      <c r="JZV95" s="34"/>
      <c r="JZW95" s="60"/>
      <c r="KAL95" s="34"/>
      <c r="KAM95" s="60"/>
      <c r="KBB95" s="34"/>
      <c r="KBC95" s="60"/>
      <c r="KBR95" s="34"/>
      <c r="KBS95" s="60"/>
      <c r="KCH95" s="34"/>
      <c r="KCI95" s="60"/>
      <c r="KCX95" s="34"/>
      <c r="KCY95" s="60"/>
      <c r="KDN95" s="34"/>
      <c r="KDO95" s="60"/>
      <c r="KED95" s="34"/>
      <c r="KEE95" s="60"/>
      <c r="KET95" s="34"/>
      <c r="KEU95" s="60"/>
      <c r="KFJ95" s="34"/>
      <c r="KFK95" s="60"/>
      <c r="KFZ95" s="34"/>
      <c r="KGA95" s="60"/>
      <c r="KGP95" s="34"/>
      <c r="KGQ95" s="60"/>
      <c r="KHF95" s="34"/>
      <c r="KHG95" s="60"/>
      <c r="KHV95" s="34"/>
      <c r="KHW95" s="60"/>
      <c r="KIL95" s="34"/>
      <c r="KIM95" s="60"/>
      <c r="KJB95" s="34"/>
      <c r="KJC95" s="60"/>
      <c r="KJR95" s="34"/>
      <c r="KJS95" s="60"/>
      <c r="KKH95" s="34"/>
      <c r="KKI95" s="60"/>
      <c r="KKX95" s="34"/>
      <c r="KKY95" s="60"/>
      <c r="KLN95" s="34"/>
      <c r="KLO95" s="60"/>
      <c r="KMD95" s="34"/>
      <c r="KME95" s="60"/>
      <c r="KMT95" s="34"/>
      <c r="KMU95" s="60"/>
      <c r="KNJ95" s="34"/>
      <c r="KNK95" s="60"/>
      <c r="KNZ95" s="34"/>
      <c r="KOA95" s="60"/>
      <c r="KOP95" s="34"/>
      <c r="KOQ95" s="60"/>
      <c r="KPF95" s="34"/>
      <c r="KPG95" s="60"/>
      <c r="KPV95" s="34"/>
      <c r="KPW95" s="60"/>
      <c r="KQL95" s="34"/>
      <c r="KQM95" s="60"/>
      <c r="KRB95" s="34"/>
      <c r="KRC95" s="60"/>
      <c r="KRR95" s="34"/>
      <c r="KRS95" s="60"/>
      <c r="KSH95" s="34"/>
      <c r="KSI95" s="60"/>
      <c r="KSX95" s="34"/>
      <c r="KSY95" s="60"/>
      <c r="KTN95" s="34"/>
      <c r="KTO95" s="60"/>
      <c r="KUD95" s="34"/>
      <c r="KUE95" s="60"/>
      <c r="KUT95" s="34"/>
      <c r="KUU95" s="60"/>
      <c r="KVJ95" s="34"/>
      <c r="KVK95" s="60"/>
      <c r="KVZ95" s="34"/>
      <c r="KWA95" s="60"/>
      <c r="KWP95" s="34"/>
      <c r="KWQ95" s="60"/>
      <c r="KXF95" s="34"/>
      <c r="KXG95" s="60"/>
      <c r="KXV95" s="34"/>
      <c r="KXW95" s="60"/>
      <c r="KYL95" s="34"/>
      <c r="KYM95" s="60"/>
      <c r="KZB95" s="34"/>
      <c r="KZC95" s="60"/>
      <c r="KZR95" s="34"/>
      <c r="KZS95" s="60"/>
      <c r="LAH95" s="34"/>
      <c r="LAI95" s="60"/>
      <c r="LAX95" s="34"/>
      <c r="LAY95" s="60"/>
      <c r="LBN95" s="34"/>
      <c r="LBO95" s="60"/>
      <c r="LCD95" s="34"/>
      <c r="LCE95" s="60"/>
      <c r="LCT95" s="34"/>
      <c r="LCU95" s="60"/>
      <c r="LDJ95" s="34"/>
      <c r="LDK95" s="60"/>
      <c r="LDZ95" s="34"/>
      <c r="LEA95" s="60"/>
      <c r="LEP95" s="34"/>
      <c r="LEQ95" s="60"/>
      <c r="LFF95" s="34"/>
      <c r="LFG95" s="60"/>
      <c r="LFV95" s="34"/>
      <c r="LFW95" s="60"/>
      <c r="LGL95" s="34"/>
      <c r="LGM95" s="60"/>
      <c r="LHB95" s="34"/>
      <c r="LHC95" s="60"/>
      <c r="LHR95" s="34"/>
      <c r="LHS95" s="60"/>
      <c r="LIH95" s="34"/>
      <c r="LII95" s="60"/>
      <c r="LIX95" s="34"/>
      <c r="LIY95" s="60"/>
      <c r="LJN95" s="34"/>
      <c r="LJO95" s="60"/>
      <c r="LKD95" s="34"/>
      <c r="LKE95" s="60"/>
      <c r="LKT95" s="34"/>
      <c r="LKU95" s="60"/>
      <c r="LLJ95" s="34"/>
      <c r="LLK95" s="60"/>
      <c r="LLZ95" s="34"/>
      <c r="LMA95" s="60"/>
      <c r="LMP95" s="34"/>
      <c r="LMQ95" s="60"/>
      <c r="LNF95" s="34"/>
      <c r="LNG95" s="60"/>
      <c r="LNV95" s="34"/>
      <c r="LNW95" s="60"/>
      <c r="LOL95" s="34"/>
      <c r="LOM95" s="60"/>
      <c r="LPB95" s="34"/>
      <c r="LPC95" s="60"/>
      <c r="LPR95" s="34"/>
      <c r="LPS95" s="60"/>
      <c r="LQH95" s="34"/>
      <c r="LQI95" s="60"/>
      <c r="LQX95" s="34"/>
      <c r="LQY95" s="60"/>
      <c r="LRN95" s="34"/>
      <c r="LRO95" s="60"/>
      <c r="LSD95" s="34"/>
      <c r="LSE95" s="60"/>
      <c r="LST95" s="34"/>
      <c r="LSU95" s="60"/>
      <c r="LTJ95" s="34"/>
      <c r="LTK95" s="60"/>
      <c r="LTZ95" s="34"/>
      <c r="LUA95" s="60"/>
      <c r="LUP95" s="34"/>
      <c r="LUQ95" s="60"/>
      <c r="LVF95" s="34"/>
      <c r="LVG95" s="60"/>
      <c r="LVV95" s="34"/>
      <c r="LVW95" s="60"/>
      <c r="LWL95" s="34"/>
      <c r="LWM95" s="60"/>
      <c r="LXB95" s="34"/>
      <c r="LXC95" s="60"/>
      <c r="LXR95" s="34"/>
      <c r="LXS95" s="60"/>
      <c r="LYH95" s="34"/>
      <c r="LYI95" s="60"/>
      <c r="LYX95" s="34"/>
      <c r="LYY95" s="60"/>
      <c r="LZN95" s="34"/>
      <c r="LZO95" s="60"/>
      <c r="MAD95" s="34"/>
      <c r="MAE95" s="60"/>
      <c r="MAT95" s="34"/>
      <c r="MAU95" s="60"/>
      <c r="MBJ95" s="34"/>
      <c r="MBK95" s="60"/>
      <c r="MBZ95" s="34"/>
      <c r="MCA95" s="60"/>
      <c r="MCP95" s="34"/>
      <c r="MCQ95" s="60"/>
      <c r="MDF95" s="34"/>
      <c r="MDG95" s="60"/>
      <c r="MDV95" s="34"/>
      <c r="MDW95" s="60"/>
      <c r="MEL95" s="34"/>
      <c r="MEM95" s="60"/>
      <c r="MFB95" s="34"/>
      <c r="MFC95" s="60"/>
      <c r="MFR95" s="34"/>
      <c r="MFS95" s="60"/>
      <c r="MGH95" s="34"/>
      <c r="MGI95" s="60"/>
      <c r="MGX95" s="34"/>
      <c r="MGY95" s="60"/>
      <c r="MHN95" s="34"/>
      <c r="MHO95" s="60"/>
      <c r="MID95" s="34"/>
      <c r="MIE95" s="60"/>
      <c r="MIT95" s="34"/>
      <c r="MIU95" s="60"/>
      <c r="MJJ95" s="34"/>
      <c r="MJK95" s="60"/>
      <c r="MJZ95" s="34"/>
      <c r="MKA95" s="60"/>
      <c r="MKP95" s="34"/>
      <c r="MKQ95" s="60"/>
      <c r="MLF95" s="34"/>
      <c r="MLG95" s="60"/>
      <c r="MLV95" s="34"/>
      <c r="MLW95" s="60"/>
      <c r="MML95" s="34"/>
      <c r="MMM95" s="60"/>
      <c r="MNB95" s="34"/>
      <c r="MNC95" s="60"/>
      <c r="MNR95" s="34"/>
      <c r="MNS95" s="60"/>
      <c r="MOH95" s="34"/>
      <c r="MOI95" s="60"/>
      <c r="MOX95" s="34"/>
      <c r="MOY95" s="60"/>
      <c r="MPN95" s="34"/>
      <c r="MPO95" s="60"/>
      <c r="MQD95" s="34"/>
      <c r="MQE95" s="60"/>
      <c r="MQT95" s="34"/>
      <c r="MQU95" s="60"/>
      <c r="MRJ95" s="34"/>
      <c r="MRK95" s="60"/>
      <c r="MRZ95" s="34"/>
      <c r="MSA95" s="60"/>
      <c r="MSP95" s="34"/>
      <c r="MSQ95" s="60"/>
      <c r="MTF95" s="34"/>
      <c r="MTG95" s="60"/>
      <c r="MTV95" s="34"/>
      <c r="MTW95" s="60"/>
      <c r="MUL95" s="34"/>
      <c r="MUM95" s="60"/>
      <c r="MVB95" s="34"/>
      <c r="MVC95" s="60"/>
      <c r="MVR95" s="34"/>
      <c r="MVS95" s="60"/>
      <c r="MWH95" s="34"/>
      <c r="MWI95" s="60"/>
      <c r="MWX95" s="34"/>
      <c r="MWY95" s="60"/>
      <c r="MXN95" s="34"/>
      <c r="MXO95" s="60"/>
      <c r="MYD95" s="34"/>
      <c r="MYE95" s="60"/>
      <c r="MYT95" s="34"/>
      <c r="MYU95" s="60"/>
      <c r="MZJ95" s="34"/>
      <c r="MZK95" s="60"/>
      <c r="MZZ95" s="34"/>
      <c r="NAA95" s="60"/>
      <c r="NAP95" s="34"/>
      <c r="NAQ95" s="60"/>
      <c r="NBF95" s="34"/>
      <c r="NBG95" s="60"/>
      <c r="NBV95" s="34"/>
      <c r="NBW95" s="60"/>
      <c r="NCL95" s="34"/>
      <c r="NCM95" s="60"/>
      <c r="NDB95" s="34"/>
      <c r="NDC95" s="60"/>
      <c r="NDR95" s="34"/>
      <c r="NDS95" s="60"/>
      <c r="NEH95" s="34"/>
      <c r="NEI95" s="60"/>
      <c r="NEX95" s="34"/>
      <c r="NEY95" s="60"/>
      <c r="NFN95" s="34"/>
      <c r="NFO95" s="60"/>
      <c r="NGD95" s="34"/>
      <c r="NGE95" s="60"/>
      <c r="NGT95" s="34"/>
      <c r="NGU95" s="60"/>
      <c r="NHJ95" s="34"/>
      <c r="NHK95" s="60"/>
      <c r="NHZ95" s="34"/>
      <c r="NIA95" s="60"/>
      <c r="NIP95" s="34"/>
      <c r="NIQ95" s="60"/>
      <c r="NJF95" s="34"/>
      <c r="NJG95" s="60"/>
      <c r="NJV95" s="34"/>
      <c r="NJW95" s="60"/>
      <c r="NKL95" s="34"/>
      <c r="NKM95" s="60"/>
      <c r="NLB95" s="34"/>
      <c r="NLC95" s="60"/>
      <c r="NLR95" s="34"/>
      <c r="NLS95" s="60"/>
      <c r="NMH95" s="34"/>
      <c r="NMI95" s="60"/>
      <c r="NMX95" s="34"/>
      <c r="NMY95" s="60"/>
      <c r="NNN95" s="34"/>
      <c r="NNO95" s="60"/>
      <c r="NOD95" s="34"/>
      <c r="NOE95" s="60"/>
      <c r="NOT95" s="34"/>
      <c r="NOU95" s="60"/>
      <c r="NPJ95" s="34"/>
      <c r="NPK95" s="60"/>
      <c r="NPZ95" s="34"/>
      <c r="NQA95" s="60"/>
      <c r="NQP95" s="34"/>
      <c r="NQQ95" s="60"/>
      <c r="NRF95" s="34"/>
      <c r="NRG95" s="60"/>
      <c r="NRV95" s="34"/>
      <c r="NRW95" s="60"/>
      <c r="NSL95" s="34"/>
      <c r="NSM95" s="60"/>
      <c r="NTB95" s="34"/>
      <c r="NTC95" s="60"/>
      <c r="NTR95" s="34"/>
      <c r="NTS95" s="60"/>
      <c r="NUH95" s="34"/>
      <c r="NUI95" s="60"/>
      <c r="NUX95" s="34"/>
      <c r="NUY95" s="60"/>
      <c r="NVN95" s="34"/>
      <c r="NVO95" s="60"/>
      <c r="NWD95" s="34"/>
      <c r="NWE95" s="60"/>
      <c r="NWT95" s="34"/>
      <c r="NWU95" s="60"/>
      <c r="NXJ95" s="34"/>
      <c r="NXK95" s="60"/>
      <c r="NXZ95" s="34"/>
      <c r="NYA95" s="60"/>
      <c r="NYP95" s="34"/>
      <c r="NYQ95" s="60"/>
      <c r="NZF95" s="34"/>
      <c r="NZG95" s="60"/>
      <c r="NZV95" s="34"/>
      <c r="NZW95" s="60"/>
      <c r="OAL95" s="34"/>
      <c r="OAM95" s="60"/>
      <c r="OBB95" s="34"/>
      <c r="OBC95" s="60"/>
      <c r="OBR95" s="34"/>
      <c r="OBS95" s="60"/>
      <c r="OCH95" s="34"/>
      <c r="OCI95" s="60"/>
      <c r="OCX95" s="34"/>
      <c r="OCY95" s="60"/>
      <c r="ODN95" s="34"/>
      <c r="ODO95" s="60"/>
      <c r="OED95" s="34"/>
      <c r="OEE95" s="60"/>
      <c r="OET95" s="34"/>
      <c r="OEU95" s="60"/>
      <c r="OFJ95" s="34"/>
      <c r="OFK95" s="60"/>
      <c r="OFZ95" s="34"/>
      <c r="OGA95" s="60"/>
      <c r="OGP95" s="34"/>
      <c r="OGQ95" s="60"/>
      <c r="OHF95" s="34"/>
      <c r="OHG95" s="60"/>
      <c r="OHV95" s="34"/>
      <c r="OHW95" s="60"/>
      <c r="OIL95" s="34"/>
      <c r="OIM95" s="60"/>
      <c r="OJB95" s="34"/>
      <c r="OJC95" s="60"/>
      <c r="OJR95" s="34"/>
      <c r="OJS95" s="60"/>
      <c r="OKH95" s="34"/>
      <c r="OKI95" s="60"/>
      <c r="OKX95" s="34"/>
      <c r="OKY95" s="60"/>
      <c r="OLN95" s="34"/>
      <c r="OLO95" s="60"/>
      <c r="OMD95" s="34"/>
      <c r="OME95" s="60"/>
      <c r="OMT95" s="34"/>
      <c r="OMU95" s="60"/>
      <c r="ONJ95" s="34"/>
      <c r="ONK95" s="60"/>
      <c r="ONZ95" s="34"/>
      <c r="OOA95" s="60"/>
      <c r="OOP95" s="34"/>
      <c r="OOQ95" s="60"/>
      <c r="OPF95" s="34"/>
      <c r="OPG95" s="60"/>
      <c r="OPV95" s="34"/>
      <c r="OPW95" s="60"/>
      <c r="OQL95" s="34"/>
      <c r="OQM95" s="60"/>
      <c r="ORB95" s="34"/>
      <c r="ORC95" s="60"/>
      <c r="ORR95" s="34"/>
      <c r="ORS95" s="60"/>
      <c r="OSH95" s="34"/>
      <c r="OSI95" s="60"/>
      <c r="OSX95" s="34"/>
      <c r="OSY95" s="60"/>
      <c r="OTN95" s="34"/>
      <c r="OTO95" s="60"/>
      <c r="OUD95" s="34"/>
      <c r="OUE95" s="60"/>
      <c r="OUT95" s="34"/>
      <c r="OUU95" s="60"/>
      <c r="OVJ95" s="34"/>
      <c r="OVK95" s="60"/>
      <c r="OVZ95" s="34"/>
      <c r="OWA95" s="60"/>
      <c r="OWP95" s="34"/>
      <c r="OWQ95" s="60"/>
      <c r="OXF95" s="34"/>
      <c r="OXG95" s="60"/>
      <c r="OXV95" s="34"/>
      <c r="OXW95" s="60"/>
      <c r="OYL95" s="34"/>
      <c r="OYM95" s="60"/>
      <c r="OZB95" s="34"/>
      <c r="OZC95" s="60"/>
      <c r="OZR95" s="34"/>
      <c r="OZS95" s="60"/>
      <c r="PAH95" s="34"/>
      <c r="PAI95" s="60"/>
      <c r="PAX95" s="34"/>
      <c r="PAY95" s="60"/>
      <c r="PBN95" s="34"/>
      <c r="PBO95" s="60"/>
      <c r="PCD95" s="34"/>
      <c r="PCE95" s="60"/>
      <c r="PCT95" s="34"/>
      <c r="PCU95" s="60"/>
      <c r="PDJ95" s="34"/>
      <c r="PDK95" s="60"/>
      <c r="PDZ95" s="34"/>
      <c r="PEA95" s="60"/>
      <c r="PEP95" s="34"/>
      <c r="PEQ95" s="60"/>
      <c r="PFF95" s="34"/>
      <c r="PFG95" s="60"/>
      <c r="PFV95" s="34"/>
      <c r="PFW95" s="60"/>
      <c r="PGL95" s="34"/>
      <c r="PGM95" s="60"/>
      <c r="PHB95" s="34"/>
      <c r="PHC95" s="60"/>
      <c r="PHR95" s="34"/>
      <c r="PHS95" s="60"/>
      <c r="PIH95" s="34"/>
      <c r="PII95" s="60"/>
      <c r="PIX95" s="34"/>
      <c r="PIY95" s="60"/>
      <c r="PJN95" s="34"/>
      <c r="PJO95" s="60"/>
      <c r="PKD95" s="34"/>
      <c r="PKE95" s="60"/>
      <c r="PKT95" s="34"/>
      <c r="PKU95" s="60"/>
      <c r="PLJ95" s="34"/>
      <c r="PLK95" s="60"/>
      <c r="PLZ95" s="34"/>
      <c r="PMA95" s="60"/>
      <c r="PMP95" s="34"/>
      <c r="PMQ95" s="60"/>
      <c r="PNF95" s="34"/>
      <c r="PNG95" s="60"/>
      <c r="PNV95" s="34"/>
      <c r="PNW95" s="60"/>
      <c r="POL95" s="34"/>
      <c r="POM95" s="60"/>
      <c r="PPB95" s="34"/>
      <c r="PPC95" s="60"/>
      <c r="PPR95" s="34"/>
      <c r="PPS95" s="60"/>
      <c r="PQH95" s="34"/>
      <c r="PQI95" s="60"/>
      <c r="PQX95" s="34"/>
      <c r="PQY95" s="60"/>
      <c r="PRN95" s="34"/>
      <c r="PRO95" s="60"/>
      <c r="PSD95" s="34"/>
      <c r="PSE95" s="60"/>
      <c r="PST95" s="34"/>
      <c r="PSU95" s="60"/>
      <c r="PTJ95" s="34"/>
      <c r="PTK95" s="60"/>
      <c r="PTZ95" s="34"/>
      <c r="PUA95" s="60"/>
      <c r="PUP95" s="34"/>
      <c r="PUQ95" s="60"/>
      <c r="PVF95" s="34"/>
      <c r="PVG95" s="60"/>
      <c r="PVV95" s="34"/>
      <c r="PVW95" s="60"/>
      <c r="PWL95" s="34"/>
      <c r="PWM95" s="60"/>
      <c r="PXB95" s="34"/>
      <c r="PXC95" s="60"/>
      <c r="PXR95" s="34"/>
      <c r="PXS95" s="60"/>
      <c r="PYH95" s="34"/>
      <c r="PYI95" s="60"/>
      <c r="PYX95" s="34"/>
      <c r="PYY95" s="60"/>
      <c r="PZN95" s="34"/>
      <c r="PZO95" s="60"/>
      <c r="QAD95" s="34"/>
      <c r="QAE95" s="60"/>
      <c r="QAT95" s="34"/>
      <c r="QAU95" s="60"/>
      <c r="QBJ95" s="34"/>
      <c r="QBK95" s="60"/>
      <c r="QBZ95" s="34"/>
      <c r="QCA95" s="60"/>
      <c r="QCP95" s="34"/>
      <c r="QCQ95" s="60"/>
      <c r="QDF95" s="34"/>
      <c r="QDG95" s="60"/>
      <c r="QDV95" s="34"/>
      <c r="QDW95" s="60"/>
      <c r="QEL95" s="34"/>
      <c r="QEM95" s="60"/>
      <c r="QFB95" s="34"/>
      <c r="QFC95" s="60"/>
      <c r="QFR95" s="34"/>
      <c r="QFS95" s="60"/>
      <c r="QGH95" s="34"/>
      <c r="QGI95" s="60"/>
      <c r="QGX95" s="34"/>
      <c r="QGY95" s="60"/>
      <c r="QHN95" s="34"/>
      <c r="QHO95" s="60"/>
      <c r="QID95" s="34"/>
      <c r="QIE95" s="60"/>
      <c r="QIT95" s="34"/>
      <c r="QIU95" s="60"/>
      <c r="QJJ95" s="34"/>
      <c r="QJK95" s="60"/>
      <c r="QJZ95" s="34"/>
      <c r="QKA95" s="60"/>
      <c r="QKP95" s="34"/>
      <c r="QKQ95" s="60"/>
      <c r="QLF95" s="34"/>
      <c r="QLG95" s="60"/>
      <c r="QLV95" s="34"/>
      <c r="QLW95" s="60"/>
      <c r="QML95" s="34"/>
      <c r="QMM95" s="60"/>
      <c r="QNB95" s="34"/>
      <c r="QNC95" s="60"/>
      <c r="QNR95" s="34"/>
      <c r="QNS95" s="60"/>
      <c r="QOH95" s="34"/>
      <c r="QOI95" s="60"/>
      <c r="QOX95" s="34"/>
      <c r="QOY95" s="60"/>
      <c r="QPN95" s="34"/>
      <c r="QPO95" s="60"/>
      <c r="QQD95" s="34"/>
      <c r="QQE95" s="60"/>
      <c r="QQT95" s="34"/>
      <c r="QQU95" s="60"/>
      <c r="QRJ95" s="34"/>
      <c r="QRK95" s="60"/>
      <c r="QRZ95" s="34"/>
      <c r="QSA95" s="60"/>
      <c r="QSP95" s="34"/>
      <c r="QSQ95" s="60"/>
      <c r="QTF95" s="34"/>
      <c r="QTG95" s="60"/>
      <c r="QTV95" s="34"/>
      <c r="QTW95" s="60"/>
      <c r="QUL95" s="34"/>
      <c r="QUM95" s="60"/>
      <c r="QVB95" s="34"/>
      <c r="QVC95" s="60"/>
      <c r="QVR95" s="34"/>
      <c r="QVS95" s="60"/>
      <c r="QWH95" s="34"/>
      <c r="QWI95" s="60"/>
      <c r="QWX95" s="34"/>
      <c r="QWY95" s="60"/>
      <c r="QXN95" s="34"/>
      <c r="QXO95" s="60"/>
      <c r="QYD95" s="34"/>
      <c r="QYE95" s="60"/>
      <c r="QYT95" s="34"/>
      <c r="QYU95" s="60"/>
      <c r="QZJ95" s="34"/>
      <c r="QZK95" s="60"/>
      <c r="QZZ95" s="34"/>
      <c r="RAA95" s="60"/>
      <c r="RAP95" s="34"/>
      <c r="RAQ95" s="60"/>
      <c r="RBF95" s="34"/>
      <c r="RBG95" s="60"/>
      <c r="RBV95" s="34"/>
      <c r="RBW95" s="60"/>
      <c r="RCL95" s="34"/>
      <c r="RCM95" s="60"/>
      <c r="RDB95" s="34"/>
      <c r="RDC95" s="60"/>
      <c r="RDR95" s="34"/>
      <c r="RDS95" s="60"/>
      <c r="REH95" s="34"/>
      <c r="REI95" s="60"/>
      <c r="REX95" s="34"/>
      <c r="REY95" s="60"/>
      <c r="RFN95" s="34"/>
      <c r="RFO95" s="60"/>
      <c r="RGD95" s="34"/>
      <c r="RGE95" s="60"/>
      <c r="RGT95" s="34"/>
      <c r="RGU95" s="60"/>
      <c r="RHJ95" s="34"/>
      <c r="RHK95" s="60"/>
      <c r="RHZ95" s="34"/>
      <c r="RIA95" s="60"/>
      <c r="RIP95" s="34"/>
      <c r="RIQ95" s="60"/>
      <c r="RJF95" s="34"/>
      <c r="RJG95" s="60"/>
      <c r="RJV95" s="34"/>
      <c r="RJW95" s="60"/>
      <c r="RKL95" s="34"/>
      <c r="RKM95" s="60"/>
      <c r="RLB95" s="34"/>
      <c r="RLC95" s="60"/>
      <c r="RLR95" s="34"/>
      <c r="RLS95" s="60"/>
      <c r="RMH95" s="34"/>
      <c r="RMI95" s="60"/>
      <c r="RMX95" s="34"/>
      <c r="RMY95" s="60"/>
      <c r="RNN95" s="34"/>
      <c r="RNO95" s="60"/>
      <c r="ROD95" s="34"/>
      <c r="ROE95" s="60"/>
      <c r="ROT95" s="34"/>
      <c r="ROU95" s="60"/>
      <c r="RPJ95" s="34"/>
      <c r="RPK95" s="60"/>
      <c r="RPZ95" s="34"/>
      <c r="RQA95" s="60"/>
      <c r="RQP95" s="34"/>
      <c r="RQQ95" s="60"/>
      <c r="RRF95" s="34"/>
      <c r="RRG95" s="60"/>
      <c r="RRV95" s="34"/>
      <c r="RRW95" s="60"/>
      <c r="RSL95" s="34"/>
      <c r="RSM95" s="60"/>
      <c r="RTB95" s="34"/>
      <c r="RTC95" s="60"/>
      <c r="RTR95" s="34"/>
      <c r="RTS95" s="60"/>
      <c r="RUH95" s="34"/>
      <c r="RUI95" s="60"/>
      <c r="RUX95" s="34"/>
      <c r="RUY95" s="60"/>
      <c r="RVN95" s="34"/>
      <c r="RVO95" s="60"/>
      <c r="RWD95" s="34"/>
      <c r="RWE95" s="60"/>
      <c r="RWT95" s="34"/>
      <c r="RWU95" s="60"/>
      <c r="RXJ95" s="34"/>
      <c r="RXK95" s="60"/>
      <c r="RXZ95" s="34"/>
      <c r="RYA95" s="60"/>
      <c r="RYP95" s="34"/>
      <c r="RYQ95" s="60"/>
      <c r="RZF95" s="34"/>
      <c r="RZG95" s="60"/>
      <c r="RZV95" s="34"/>
      <c r="RZW95" s="60"/>
      <c r="SAL95" s="34"/>
      <c r="SAM95" s="60"/>
      <c r="SBB95" s="34"/>
      <c r="SBC95" s="60"/>
      <c r="SBR95" s="34"/>
      <c r="SBS95" s="60"/>
      <c r="SCH95" s="34"/>
      <c r="SCI95" s="60"/>
      <c r="SCX95" s="34"/>
      <c r="SCY95" s="60"/>
      <c r="SDN95" s="34"/>
      <c r="SDO95" s="60"/>
      <c r="SED95" s="34"/>
      <c r="SEE95" s="60"/>
      <c r="SET95" s="34"/>
      <c r="SEU95" s="60"/>
      <c r="SFJ95" s="34"/>
      <c r="SFK95" s="60"/>
      <c r="SFZ95" s="34"/>
      <c r="SGA95" s="60"/>
      <c r="SGP95" s="34"/>
      <c r="SGQ95" s="60"/>
      <c r="SHF95" s="34"/>
      <c r="SHG95" s="60"/>
      <c r="SHV95" s="34"/>
      <c r="SHW95" s="60"/>
      <c r="SIL95" s="34"/>
      <c r="SIM95" s="60"/>
      <c r="SJB95" s="34"/>
      <c r="SJC95" s="60"/>
      <c r="SJR95" s="34"/>
      <c r="SJS95" s="60"/>
      <c r="SKH95" s="34"/>
      <c r="SKI95" s="60"/>
      <c r="SKX95" s="34"/>
      <c r="SKY95" s="60"/>
      <c r="SLN95" s="34"/>
      <c r="SLO95" s="60"/>
      <c r="SMD95" s="34"/>
      <c r="SME95" s="60"/>
      <c r="SMT95" s="34"/>
      <c r="SMU95" s="60"/>
      <c r="SNJ95" s="34"/>
      <c r="SNK95" s="60"/>
      <c r="SNZ95" s="34"/>
      <c r="SOA95" s="60"/>
      <c r="SOP95" s="34"/>
      <c r="SOQ95" s="60"/>
      <c r="SPF95" s="34"/>
      <c r="SPG95" s="60"/>
      <c r="SPV95" s="34"/>
      <c r="SPW95" s="60"/>
      <c r="SQL95" s="34"/>
      <c r="SQM95" s="60"/>
      <c r="SRB95" s="34"/>
      <c r="SRC95" s="60"/>
      <c r="SRR95" s="34"/>
      <c r="SRS95" s="60"/>
      <c r="SSH95" s="34"/>
      <c r="SSI95" s="60"/>
      <c r="SSX95" s="34"/>
      <c r="SSY95" s="60"/>
      <c r="STN95" s="34"/>
      <c r="STO95" s="60"/>
      <c r="SUD95" s="34"/>
      <c r="SUE95" s="60"/>
      <c r="SUT95" s="34"/>
      <c r="SUU95" s="60"/>
      <c r="SVJ95" s="34"/>
      <c r="SVK95" s="60"/>
      <c r="SVZ95" s="34"/>
      <c r="SWA95" s="60"/>
      <c r="SWP95" s="34"/>
      <c r="SWQ95" s="60"/>
      <c r="SXF95" s="34"/>
      <c r="SXG95" s="60"/>
      <c r="SXV95" s="34"/>
      <c r="SXW95" s="60"/>
      <c r="SYL95" s="34"/>
      <c r="SYM95" s="60"/>
      <c r="SZB95" s="34"/>
      <c r="SZC95" s="60"/>
      <c r="SZR95" s="34"/>
      <c r="SZS95" s="60"/>
      <c r="TAH95" s="34"/>
      <c r="TAI95" s="60"/>
      <c r="TAX95" s="34"/>
      <c r="TAY95" s="60"/>
      <c r="TBN95" s="34"/>
      <c r="TBO95" s="60"/>
      <c r="TCD95" s="34"/>
      <c r="TCE95" s="60"/>
      <c r="TCT95" s="34"/>
      <c r="TCU95" s="60"/>
      <c r="TDJ95" s="34"/>
      <c r="TDK95" s="60"/>
      <c r="TDZ95" s="34"/>
      <c r="TEA95" s="60"/>
      <c r="TEP95" s="34"/>
      <c r="TEQ95" s="60"/>
      <c r="TFF95" s="34"/>
      <c r="TFG95" s="60"/>
      <c r="TFV95" s="34"/>
      <c r="TFW95" s="60"/>
      <c r="TGL95" s="34"/>
      <c r="TGM95" s="60"/>
      <c r="THB95" s="34"/>
      <c r="THC95" s="60"/>
      <c r="THR95" s="34"/>
      <c r="THS95" s="60"/>
      <c r="TIH95" s="34"/>
      <c r="TII95" s="60"/>
      <c r="TIX95" s="34"/>
      <c r="TIY95" s="60"/>
      <c r="TJN95" s="34"/>
      <c r="TJO95" s="60"/>
      <c r="TKD95" s="34"/>
      <c r="TKE95" s="60"/>
      <c r="TKT95" s="34"/>
      <c r="TKU95" s="60"/>
      <c r="TLJ95" s="34"/>
      <c r="TLK95" s="60"/>
      <c r="TLZ95" s="34"/>
      <c r="TMA95" s="60"/>
      <c r="TMP95" s="34"/>
      <c r="TMQ95" s="60"/>
      <c r="TNF95" s="34"/>
      <c r="TNG95" s="60"/>
      <c r="TNV95" s="34"/>
      <c r="TNW95" s="60"/>
      <c r="TOL95" s="34"/>
      <c r="TOM95" s="60"/>
      <c r="TPB95" s="34"/>
      <c r="TPC95" s="60"/>
      <c r="TPR95" s="34"/>
      <c r="TPS95" s="60"/>
      <c r="TQH95" s="34"/>
      <c r="TQI95" s="60"/>
      <c r="TQX95" s="34"/>
      <c r="TQY95" s="60"/>
      <c r="TRN95" s="34"/>
      <c r="TRO95" s="60"/>
      <c r="TSD95" s="34"/>
      <c r="TSE95" s="60"/>
      <c r="TST95" s="34"/>
      <c r="TSU95" s="60"/>
      <c r="TTJ95" s="34"/>
      <c r="TTK95" s="60"/>
      <c r="TTZ95" s="34"/>
      <c r="TUA95" s="60"/>
      <c r="TUP95" s="34"/>
      <c r="TUQ95" s="60"/>
      <c r="TVF95" s="34"/>
      <c r="TVG95" s="60"/>
      <c r="TVV95" s="34"/>
      <c r="TVW95" s="60"/>
      <c r="TWL95" s="34"/>
      <c r="TWM95" s="60"/>
      <c r="TXB95" s="34"/>
      <c r="TXC95" s="60"/>
      <c r="TXR95" s="34"/>
      <c r="TXS95" s="60"/>
      <c r="TYH95" s="34"/>
      <c r="TYI95" s="60"/>
      <c r="TYX95" s="34"/>
      <c r="TYY95" s="60"/>
      <c r="TZN95" s="34"/>
      <c r="TZO95" s="60"/>
      <c r="UAD95" s="34"/>
      <c r="UAE95" s="60"/>
      <c r="UAT95" s="34"/>
      <c r="UAU95" s="60"/>
      <c r="UBJ95" s="34"/>
      <c r="UBK95" s="60"/>
      <c r="UBZ95" s="34"/>
      <c r="UCA95" s="60"/>
      <c r="UCP95" s="34"/>
      <c r="UCQ95" s="60"/>
      <c r="UDF95" s="34"/>
      <c r="UDG95" s="60"/>
      <c r="UDV95" s="34"/>
      <c r="UDW95" s="60"/>
      <c r="UEL95" s="34"/>
      <c r="UEM95" s="60"/>
      <c r="UFB95" s="34"/>
      <c r="UFC95" s="60"/>
      <c r="UFR95" s="34"/>
      <c r="UFS95" s="60"/>
      <c r="UGH95" s="34"/>
      <c r="UGI95" s="60"/>
      <c r="UGX95" s="34"/>
      <c r="UGY95" s="60"/>
      <c r="UHN95" s="34"/>
      <c r="UHO95" s="60"/>
      <c r="UID95" s="34"/>
      <c r="UIE95" s="60"/>
      <c r="UIT95" s="34"/>
      <c r="UIU95" s="60"/>
      <c r="UJJ95" s="34"/>
      <c r="UJK95" s="60"/>
      <c r="UJZ95" s="34"/>
      <c r="UKA95" s="60"/>
      <c r="UKP95" s="34"/>
      <c r="UKQ95" s="60"/>
      <c r="ULF95" s="34"/>
      <c r="ULG95" s="60"/>
      <c r="ULV95" s="34"/>
      <c r="ULW95" s="60"/>
      <c r="UML95" s="34"/>
      <c r="UMM95" s="60"/>
      <c r="UNB95" s="34"/>
      <c r="UNC95" s="60"/>
      <c r="UNR95" s="34"/>
      <c r="UNS95" s="60"/>
      <c r="UOH95" s="34"/>
      <c r="UOI95" s="60"/>
      <c r="UOX95" s="34"/>
      <c r="UOY95" s="60"/>
      <c r="UPN95" s="34"/>
      <c r="UPO95" s="60"/>
      <c r="UQD95" s="34"/>
      <c r="UQE95" s="60"/>
      <c r="UQT95" s="34"/>
      <c r="UQU95" s="60"/>
      <c r="URJ95" s="34"/>
      <c r="URK95" s="60"/>
      <c r="URZ95" s="34"/>
      <c r="USA95" s="60"/>
      <c r="USP95" s="34"/>
      <c r="USQ95" s="60"/>
      <c r="UTF95" s="34"/>
      <c r="UTG95" s="60"/>
      <c r="UTV95" s="34"/>
      <c r="UTW95" s="60"/>
      <c r="UUL95" s="34"/>
      <c r="UUM95" s="60"/>
      <c r="UVB95" s="34"/>
      <c r="UVC95" s="60"/>
      <c r="UVR95" s="34"/>
      <c r="UVS95" s="60"/>
      <c r="UWH95" s="34"/>
      <c r="UWI95" s="60"/>
      <c r="UWX95" s="34"/>
      <c r="UWY95" s="60"/>
      <c r="UXN95" s="34"/>
      <c r="UXO95" s="60"/>
      <c r="UYD95" s="34"/>
      <c r="UYE95" s="60"/>
      <c r="UYT95" s="34"/>
      <c r="UYU95" s="60"/>
      <c r="UZJ95" s="34"/>
      <c r="UZK95" s="60"/>
      <c r="UZZ95" s="34"/>
      <c r="VAA95" s="60"/>
      <c r="VAP95" s="34"/>
      <c r="VAQ95" s="60"/>
      <c r="VBF95" s="34"/>
      <c r="VBG95" s="60"/>
      <c r="VBV95" s="34"/>
      <c r="VBW95" s="60"/>
      <c r="VCL95" s="34"/>
      <c r="VCM95" s="60"/>
      <c r="VDB95" s="34"/>
      <c r="VDC95" s="60"/>
      <c r="VDR95" s="34"/>
      <c r="VDS95" s="60"/>
      <c r="VEH95" s="34"/>
      <c r="VEI95" s="60"/>
      <c r="VEX95" s="34"/>
      <c r="VEY95" s="60"/>
      <c r="VFN95" s="34"/>
      <c r="VFO95" s="60"/>
      <c r="VGD95" s="34"/>
      <c r="VGE95" s="60"/>
      <c r="VGT95" s="34"/>
      <c r="VGU95" s="60"/>
      <c r="VHJ95" s="34"/>
      <c r="VHK95" s="60"/>
      <c r="VHZ95" s="34"/>
      <c r="VIA95" s="60"/>
      <c r="VIP95" s="34"/>
      <c r="VIQ95" s="60"/>
      <c r="VJF95" s="34"/>
      <c r="VJG95" s="60"/>
      <c r="VJV95" s="34"/>
      <c r="VJW95" s="60"/>
      <c r="VKL95" s="34"/>
      <c r="VKM95" s="60"/>
      <c r="VLB95" s="34"/>
      <c r="VLC95" s="60"/>
      <c r="VLR95" s="34"/>
      <c r="VLS95" s="60"/>
      <c r="VMH95" s="34"/>
      <c r="VMI95" s="60"/>
      <c r="VMX95" s="34"/>
      <c r="VMY95" s="60"/>
      <c r="VNN95" s="34"/>
      <c r="VNO95" s="60"/>
      <c r="VOD95" s="34"/>
      <c r="VOE95" s="60"/>
      <c r="VOT95" s="34"/>
      <c r="VOU95" s="60"/>
      <c r="VPJ95" s="34"/>
      <c r="VPK95" s="60"/>
      <c r="VPZ95" s="34"/>
      <c r="VQA95" s="60"/>
      <c r="VQP95" s="34"/>
      <c r="VQQ95" s="60"/>
      <c r="VRF95" s="34"/>
      <c r="VRG95" s="60"/>
      <c r="VRV95" s="34"/>
      <c r="VRW95" s="60"/>
      <c r="VSL95" s="34"/>
      <c r="VSM95" s="60"/>
      <c r="VTB95" s="34"/>
      <c r="VTC95" s="60"/>
      <c r="VTR95" s="34"/>
      <c r="VTS95" s="60"/>
      <c r="VUH95" s="34"/>
      <c r="VUI95" s="60"/>
      <c r="VUX95" s="34"/>
      <c r="VUY95" s="60"/>
      <c r="VVN95" s="34"/>
      <c r="VVO95" s="60"/>
      <c r="VWD95" s="34"/>
      <c r="VWE95" s="60"/>
      <c r="VWT95" s="34"/>
      <c r="VWU95" s="60"/>
      <c r="VXJ95" s="34"/>
      <c r="VXK95" s="60"/>
      <c r="VXZ95" s="34"/>
      <c r="VYA95" s="60"/>
      <c r="VYP95" s="34"/>
      <c r="VYQ95" s="60"/>
      <c r="VZF95" s="34"/>
      <c r="VZG95" s="60"/>
      <c r="VZV95" s="34"/>
      <c r="VZW95" s="60"/>
      <c r="WAL95" s="34"/>
      <c r="WAM95" s="60"/>
      <c r="WBB95" s="34"/>
      <c r="WBC95" s="60"/>
      <c r="WBR95" s="34"/>
      <c r="WBS95" s="60"/>
      <c r="WCH95" s="34"/>
      <c r="WCI95" s="60"/>
      <c r="WCX95" s="34"/>
      <c r="WCY95" s="60"/>
      <c r="WDN95" s="34"/>
      <c r="WDO95" s="60"/>
      <c r="WED95" s="34"/>
      <c r="WEE95" s="60"/>
      <c r="WET95" s="34"/>
      <c r="WEU95" s="60"/>
      <c r="WFJ95" s="34"/>
      <c r="WFK95" s="60"/>
      <c r="WFZ95" s="34"/>
      <c r="WGA95" s="60"/>
      <c r="WGP95" s="34"/>
      <c r="WGQ95" s="60"/>
      <c r="WHF95" s="34"/>
      <c r="WHG95" s="60"/>
      <c r="WHV95" s="34"/>
      <c r="WHW95" s="60"/>
      <c r="WIL95" s="34"/>
      <c r="WIM95" s="60"/>
      <c r="WJB95" s="34"/>
      <c r="WJC95" s="60"/>
      <c r="WJR95" s="34"/>
      <c r="WJS95" s="60"/>
      <c r="WKH95" s="34"/>
      <c r="WKI95" s="60"/>
      <c r="WKX95" s="34"/>
      <c r="WKY95" s="60"/>
      <c r="WLN95" s="34"/>
      <c r="WLO95" s="60"/>
      <c r="WMD95" s="34"/>
      <c r="WME95" s="60"/>
      <c r="WMT95" s="34"/>
      <c r="WMU95" s="60"/>
      <c r="WNJ95" s="34"/>
      <c r="WNK95" s="60"/>
      <c r="WNZ95" s="34"/>
      <c r="WOA95" s="60"/>
      <c r="WOP95" s="34"/>
      <c r="WOQ95" s="60"/>
      <c r="WPF95" s="34"/>
      <c r="WPG95" s="60"/>
      <c r="WPV95" s="34"/>
      <c r="WPW95" s="60"/>
      <c r="WQL95" s="34"/>
      <c r="WQM95" s="60"/>
      <c r="WRB95" s="34"/>
      <c r="WRC95" s="60"/>
      <c r="WRR95" s="34"/>
      <c r="WRS95" s="60"/>
      <c r="WSH95" s="34"/>
      <c r="WSI95" s="60"/>
      <c r="WSX95" s="34"/>
      <c r="WSY95" s="60"/>
      <c r="WTN95" s="34"/>
      <c r="WTO95" s="60"/>
      <c r="WUD95" s="34"/>
      <c r="WUE95" s="60"/>
      <c r="WUT95" s="34"/>
      <c r="WUU95" s="60"/>
      <c r="WVJ95" s="34"/>
      <c r="WVK95" s="60"/>
      <c r="WVZ95" s="34"/>
      <c r="WWA95" s="60"/>
      <c r="WWP95" s="34"/>
      <c r="WWQ95" s="60"/>
      <c r="WXF95" s="34"/>
      <c r="WXG95" s="60"/>
      <c r="WXV95" s="34"/>
      <c r="WXW95" s="60"/>
      <c r="WYL95" s="34"/>
      <c r="WYM95" s="60"/>
      <c r="WZB95" s="34"/>
      <c r="WZC95" s="60"/>
      <c r="WZR95" s="34"/>
      <c r="WZS95" s="60"/>
      <c r="XAH95" s="34"/>
      <c r="XAI95" s="60"/>
      <c r="XAX95" s="34"/>
      <c r="XAY95" s="60"/>
      <c r="XBN95" s="34"/>
      <c r="XBO95" s="60"/>
      <c r="XCD95" s="34"/>
      <c r="XCE95" s="60"/>
      <c r="XCT95" s="34"/>
      <c r="XCU95" s="60"/>
      <c r="XDJ95" s="34"/>
      <c r="XDK95" s="60"/>
      <c r="XDZ95" s="34"/>
      <c r="XEA95" s="60"/>
      <c r="XEP95" s="34"/>
      <c r="XEQ95" s="60"/>
    </row>
    <row r="96" spans="2:1011 1026:2035 2050:3059 3074:4083 4098:5107 5122:6131 6146:7155 7170:8179 8194:9203 9218:10227 10242:11251 11266:12275 12290:13299 13314:14323 14338:15347 15362:16371" ht="14.25" x14ac:dyDescent="0.2">
      <c r="B96" s="34"/>
      <c r="C96" s="60"/>
      <c r="R96" s="34"/>
      <c r="S96" s="60"/>
      <c r="AH96" s="34"/>
      <c r="AI96" s="60"/>
      <c r="AX96" s="34"/>
      <c r="AY96" s="60"/>
      <c r="BN96" s="34"/>
      <c r="BO96" s="60"/>
      <c r="CD96" s="34"/>
      <c r="CE96" s="60"/>
      <c r="CT96" s="34"/>
      <c r="CU96" s="60"/>
      <c r="DJ96" s="34"/>
      <c r="DK96" s="60"/>
      <c r="DZ96" s="34"/>
      <c r="EA96" s="60"/>
      <c r="EP96" s="34"/>
      <c r="EQ96" s="60"/>
      <c r="FF96" s="34"/>
      <c r="FG96" s="60"/>
      <c r="FV96" s="34"/>
      <c r="FW96" s="60"/>
      <c r="GL96" s="34"/>
      <c r="GM96" s="60"/>
      <c r="HB96" s="34"/>
      <c r="HC96" s="60"/>
      <c r="HR96" s="34"/>
      <c r="HS96" s="60"/>
      <c r="IH96" s="34"/>
      <c r="II96" s="60"/>
      <c r="IX96" s="34"/>
      <c r="IY96" s="60"/>
      <c r="JN96" s="34"/>
      <c r="JO96" s="60"/>
      <c r="KD96" s="34"/>
      <c r="KE96" s="60"/>
      <c r="KT96" s="34"/>
      <c r="KU96" s="60"/>
      <c r="LJ96" s="34"/>
      <c r="LK96" s="60"/>
      <c r="LZ96" s="34"/>
      <c r="MA96" s="60"/>
      <c r="MP96" s="34"/>
      <c r="MQ96" s="60"/>
      <c r="NF96" s="34"/>
      <c r="NG96" s="60"/>
      <c r="NV96" s="34"/>
      <c r="NW96" s="60"/>
      <c r="OL96" s="34"/>
      <c r="OM96" s="60"/>
      <c r="PB96" s="34"/>
      <c r="PC96" s="60"/>
      <c r="PR96" s="34"/>
      <c r="PS96" s="60"/>
      <c r="QH96" s="34"/>
      <c r="QI96" s="60"/>
      <c r="QX96" s="34"/>
      <c r="QY96" s="60"/>
      <c r="RN96" s="34"/>
      <c r="RO96" s="60"/>
      <c r="SD96" s="34"/>
      <c r="SE96" s="60"/>
      <c r="ST96" s="34"/>
      <c r="SU96" s="60"/>
      <c r="TJ96" s="34"/>
      <c r="TK96" s="60"/>
      <c r="TZ96" s="34"/>
      <c r="UA96" s="60"/>
      <c r="UP96" s="34"/>
      <c r="UQ96" s="60"/>
      <c r="VF96" s="34"/>
      <c r="VG96" s="60"/>
      <c r="VV96" s="34"/>
      <c r="VW96" s="60"/>
      <c r="WL96" s="34"/>
      <c r="WM96" s="60"/>
      <c r="XB96" s="34"/>
      <c r="XC96" s="60"/>
      <c r="XR96" s="34"/>
      <c r="XS96" s="60"/>
      <c r="YH96" s="34"/>
      <c r="YI96" s="60"/>
      <c r="YX96" s="34"/>
      <c r="YY96" s="60"/>
      <c r="ZN96" s="34"/>
      <c r="ZO96" s="60"/>
      <c r="AAD96" s="34"/>
      <c r="AAE96" s="60"/>
      <c r="AAT96" s="34"/>
      <c r="AAU96" s="60"/>
      <c r="ABJ96" s="34"/>
      <c r="ABK96" s="60"/>
      <c r="ABZ96" s="34"/>
      <c r="ACA96" s="60"/>
      <c r="ACP96" s="34"/>
      <c r="ACQ96" s="60"/>
      <c r="ADF96" s="34"/>
      <c r="ADG96" s="60"/>
      <c r="ADV96" s="34"/>
      <c r="ADW96" s="60"/>
      <c r="AEL96" s="34"/>
      <c r="AEM96" s="60"/>
      <c r="AFB96" s="34"/>
      <c r="AFC96" s="60"/>
      <c r="AFR96" s="34"/>
      <c r="AFS96" s="60"/>
      <c r="AGH96" s="34"/>
      <c r="AGI96" s="60"/>
      <c r="AGX96" s="34"/>
      <c r="AGY96" s="60"/>
      <c r="AHN96" s="34"/>
      <c r="AHO96" s="60"/>
      <c r="AID96" s="34"/>
      <c r="AIE96" s="60"/>
      <c r="AIT96" s="34"/>
      <c r="AIU96" s="60"/>
      <c r="AJJ96" s="34"/>
      <c r="AJK96" s="60"/>
      <c r="AJZ96" s="34"/>
      <c r="AKA96" s="60"/>
      <c r="AKP96" s="34"/>
      <c r="AKQ96" s="60"/>
      <c r="ALF96" s="34"/>
      <c r="ALG96" s="60"/>
      <c r="ALV96" s="34"/>
      <c r="ALW96" s="60"/>
      <c r="AML96" s="34"/>
      <c r="AMM96" s="60"/>
      <c r="ANB96" s="34"/>
      <c r="ANC96" s="60"/>
      <c r="ANR96" s="34"/>
      <c r="ANS96" s="60"/>
      <c r="AOH96" s="34"/>
      <c r="AOI96" s="60"/>
      <c r="AOX96" s="34"/>
      <c r="AOY96" s="60"/>
      <c r="APN96" s="34"/>
      <c r="APO96" s="60"/>
      <c r="AQD96" s="34"/>
      <c r="AQE96" s="60"/>
      <c r="AQT96" s="34"/>
      <c r="AQU96" s="60"/>
      <c r="ARJ96" s="34"/>
      <c r="ARK96" s="60"/>
      <c r="ARZ96" s="34"/>
      <c r="ASA96" s="60"/>
      <c r="ASP96" s="34"/>
      <c r="ASQ96" s="60"/>
      <c r="ATF96" s="34"/>
      <c r="ATG96" s="60"/>
      <c r="ATV96" s="34"/>
      <c r="ATW96" s="60"/>
      <c r="AUL96" s="34"/>
      <c r="AUM96" s="60"/>
      <c r="AVB96" s="34"/>
      <c r="AVC96" s="60"/>
      <c r="AVR96" s="34"/>
      <c r="AVS96" s="60"/>
      <c r="AWH96" s="34"/>
      <c r="AWI96" s="60"/>
      <c r="AWX96" s="34"/>
      <c r="AWY96" s="60"/>
      <c r="AXN96" s="34"/>
      <c r="AXO96" s="60"/>
      <c r="AYD96" s="34"/>
      <c r="AYE96" s="60"/>
      <c r="AYT96" s="34"/>
      <c r="AYU96" s="60"/>
      <c r="AZJ96" s="34"/>
      <c r="AZK96" s="60"/>
      <c r="AZZ96" s="34"/>
      <c r="BAA96" s="60"/>
      <c r="BAP96" s="34"/>
      <c r="BAQ96" s="60"/>
      <c r="BBF96" s="34"/>
      <c r="BBG96" s="60"/>
      <c r="BBV96" s="34"/>
      <c r="BBW96" s="60"/>
      <c r="BCL96" s="34"/>
      <c r="BCM96" s="60"/>
      <c r="BDB96" s="34"/>
      <c r="BDC96" s="60"/>
      <c r="BDR96" s="34"/>
      <c r="BDS96" s="60"/>
      <c r="BEH96" s="34"/>
      <c r="BEI96" s="60"/>
      <c r="BEX96" s="34"/>
      <c r="BEY96" s="60"/>
      <c r="BFN96" s="34"/>
      <c r="BFO96" s="60"/>
      <c r="BGD96" s="34"/>
      <c r="BGE96" s="60"/>
      <c r="BGT96" s="34"/>
      <c r="BGU96" s="60"/>
      <c r="BHJ96" s="34"/>
      <c r="BHK96" s="60"/>
      <c r="BHZ96" s="34"/>
      <c r="BIA96" s="60"/>
      <c r="BIP96" s="34"/>
      <c r="BIQ96" s="60"/>
      <c r="BJF96" s="34"/>
      <c r="BJG96" s="60"/>
      <c r="BJV96" s="34"/>
      <c r="BJW96" s="60"/>
      <c r="BKL96" s="34"/>
      <c r="BKM96" s="60"/>
      <c r="BLB96" s="34"/>
      <c r="BLC96" s="60"/>
      <c r="BLR96" s="34"/>
      <c r="BLS96" s="60"/>
      <c r="BMH96" s="34"/>
      <c r="BMI96" s="60"/>
      <c r="BMX96" s="34"/>
      <c r="BMY96" s="60"/>
      <c r="BNN96" s="34"/>
      <c r="BNO96" s="60"/>
      <c r="BOD96" s="34"/>
      <c r="BOE96" s="60"/>
      <c r="BOT96" s="34"/>
      <c r="BOU96" s="60"/>
      <c r="BPJ96" s="34"/>
      <c r="BPK96" s="60"/>
      <c r="BPZ96" s="34"/>
      <c r="BQA96" s="60"/>
      <c r="BQP96" s="34"/>
      <c r="BQQ96" s="60"/>
      <c r="BRF96" s="34"/>
      <c r="BRG96" s="60"/>
      <c r="BRV96" s="34"/>
      <c r="BRW96" s="60"/>
      <c r="BSL96" s="34"/>
      <c r="BSM96" s="60"/>
      <c r="BTB96" s="34"/>
      <c r="BTC96" s="60"/>
      <c r="BTR96" s="34"/>
      <c r="BTS96" s="60"/>
      <c r="BUH96" s="34"/>
      <c r="BUI96" s="60"/>
      <c r="BUX96" s="34"/>
      <c r="BUY96" s="60"/>
      <c r="BVN96" s="34"/>
      <c r="BVO96" s="60"/>
      <c r="BWD96" s="34"/>
      <c r="BWE96" s="60"/>
      <c r="BWT96" s="34"/>
      <c r="BWU96" s="60"/>
      <c r="BXJ96" s="34"/>
      <c r="BXK96" s="60"/>
      <c r="BXZ96" s="34"/>
      <c r="BYA96" s="60"/>
      <c r="BYP96" s="34"/>
      <c r="BYQ96" s="60"/>
      <c r="BZF96" s="34"/>
      <c r="BZG96" s="60"/>
      <c r="BZV96" s="34"/>
      <c r="BZW96" s="60"/>
      <c r="CAL96" s="34"/>
      <c r="CAM96" s="60"/>
      <c r="CBB96" s="34"/>
      <c r="CBC96" s="60"/>
      <c r="CBR96" s="34"/>
      <c r="CBS96" s="60"/>
      <c r="CCH96" s="34"/>
      <c r="CCI96" s="60"/>
      <c r="CCX96" s="34"/>
      <c r="CCY96" s="60"/>
      <c r="CDN96" s="34"/>
      <c r="CDO96" s="60"/>
      <c r="CED96" s="34"/>
      <c r="CEE96" s="60"/>
      <c r="CET96" s="34"/>
      <c r="CEU96" s="60"/>
      <c r="CFJ96" s="34"/>
      <c r="CFK96" s="60"/>
      <c r="CFZ96" s="34"/>
      <c r="CGA96" s="60"/>
      <c r="CGP96" s="34"/>
      <c r="CGQ96" s="60"/>
      <c r="CHF96" s="34"/>
      <c r="CHG96" s="60"/>
      <c r="CHV96" s="34"/>
      <c r="CHW96" s="60"/>
      <c r="CIL96" s="34"/>
      <c r="CIM96" s="60"/>
      <c r="CJB96" s="34"/>
      <c r="CJC96" s="60"/>
      <c r="CJR96" s="34"/>
      <c r="CJS96" s="60"/>
      <c r="CKH96" s="34"/>
      <c r="CKI96" s="60"/>
      <c r="CKX96" s="34"/>
      <c r="CKY96" s="60"/>
      <c r="CLN96" s="34"/>
      <c r="CLO96" s="60"/>
      <c r="CMD96" s="34"/>
      <c r="CME96" s="60"/>
      <c r="CMT96" s="34"/>
      <c r="CMU96" s="60"/>
      <c r="CNJ96" s="34"/>
      <c r="CNK96" s="60"/>
      <c r="CNZ96" s="34"/>
      <c r="COA96" s="60"/>
      <c r="COP96" s="34"/>
      <c r="COQ96" s="60"/>
      <c r="CPF96" s="34"/>
      <c r="CPG96" s="60"/>
      <c r="CPV96" s="34"/>
      <c r="CPW96" s="60"/>
      <c r="CQL96" s="34"/>
      <c r="CQM96" s="60"/>
      <c r="CRB96" s="34"/>
      <c r="CRC96" s="60"/>
      <c r="CRR96" s="34"/>
      <c r="CRS96" s="60"/>
      <c r="CSH96" s="34"/>
      <c r="CSI96" s="60"/>
      <c r="CSX96" s="34"/>
      <c r="CSY96" s="60"/>
      <c r="CTN96" s="34"/>
      <c r="CTO96" s="60"/>
      <c r="CUD96" s="34"/>
      <c r="CUE96" s="60"/>
      <c r="CUT96" s="34"/>
      <c r="CUU96" s="60"/>
      <c r="CVJ96" s="34"/>
      <c r="CVK96" s="60"/>
      <c r="CVZ96" s="34"/>
      <c r="CWA96" s="60"/>
      <c r="CWP96" s="34"/>
      <c r="CWQ96" s="60"/>
      <c r="CXF96" s="34"/>
      <c r="CXG96" s="60"/>
      <c r="CXV96" s="34"/>
      <c r="CXW96" s="60"/>
      <c r="CYL96" s="34"/>
      <c r="CYM96" s="60"/>
      <c r="CZB96" s="34"/>
      <c r="CZC96" s="60"/>
      <c r="CZR96" s="34"/>
      <c r="CZS96" s="60"/>
      <c r="DAH96" s="34"/>
      <c r="DAI96" s="60"/>
      <c r="DAX96" s="34"/>
      <c r="DAY96" s="60"/>
      <c r="DBN96" s="34"/>
      <c r="DBO96" s="60"/>
      <c r="DCD96" s="34"/>
      <c r="DCE96" s="60"/>
      <c r="DCT96" s="34"/>
      <c r="DCU96" s="60"/>
      <c r="DDJ96" s="34"/>
      <c r="DDK96" s="60"/>
      <c r="DDZ96" s="34"/>
      <c r="DEA96" s="60"/>
      <c r="DEP96" s="34"/>
      <c r="DEQ96" s="60"/>
      <c r="DFF96" s="34"/>
      <c r="DFG96" s="60"/>
      <c r="DFV96" s="34"/>
      <c r="DFW96" s="60"/>
      <c r="DGL96" s="34"/>
      <c r="DGM96" s="60"/>
      <c r="DHB96" s="34"/>
      <c r="DHC96" s="60"/>
      <c r="DHR96" s="34"/>
      <c r="DHS96" s="60"/>
      <c r="DIH96" s="34"/>
      <c r="DII96" s="60"/>
      <c r="DIX96" s="34"/>
      <c r="DIY96" s="60"/>
      <c r="DJN96" s="34"/>
      <c r="DJO96" s="60"/>
      <c r="DKD96" s="34"/>
      <c r="DKE96" s="60"/>
      <c r="DKT96" s="34"/>
      <c r="DKU96" s="60"/>
      <c r="DLJ96" s="34"/>
      <c r="DLK96" s="60"/>
      <c r="DLZ96" s="34"/>
      <c r="DMA96" s="60"/>
      <c r="DMP96" s="34"/>
      <c r="DMQ96" s="60"/>
      <c r="DNF96" s="34"/>
      <c r="DNG96" s="60"/>
      <c r="DNV96" s="34"/>
      <c r="DNW96" s="60"/>
      <c r="DOL96" s="34"/>
      <c r="DOM96" s="60"/>
      <c r="DPB96" s="34"/>
      <c r="DPC96" s="60"/>
      <c r="DPR96" s="34"/>
      <c r="DPS96" s="60"/>
      <c r="DQH96" s="34"/>
      <c r="DQI96" s="60"/>
      <c r="DQX96" s="34"/>
      <c r="DQY96" s="60"/>
      <c r="DRN96" s="34"/>
      <c r="DRO96" s="60"/>
      <c r="DSD96" s="34"/>
      <c r="DSE96" s="60"/>
      <c r="DST96" s="34"/>
      <c r="DSU96" s="60"/>
      <c r="DTJ96" s="34"/>
      <c r="DTK96" s="60"/>
      <c r="DTZ96" s="34"/>
      <c r="DUA96" s="60"/>
      <c r="DUP96" s="34"/>
      <c r="DUQ96" s="60"/>
      <c r="DVF96" s="34"/>
      <c r="DVG96" s="60"/>
      <c r="DVV96" s="34"/>
      <c r="DVW96" s="60"/>
      <c r="DWL96" s="34"/>
      <c r="DWM96" s="60"/>
      <c r="DXB96" s="34"/>
      <c r="DXC96" s="60"/>
      <c r="DXR96" s="34"/>
      <c r="DXS96" s="60"/>
      <c r="DYH96" s="34"/>
      <c r="DYI96" s="60"/>
      <c r="DYX96" s="34"/>
      <c r="DYY96" s="60"/>
      <c r="DZN96" s="34"/>
      <c r="DZO96" s="60"/>
      <c r="EAD96" s="34"/>
      <c r="EAE96" s="60"/>
      <c r="EAT96" s="34"/>
      <c r="EAU96" s="60"/>
      <c r="EBJ96" s="34"/>
      <c r="EBK96" s="60"/>
      <c r="EBZ96" s="34"/>
      <c r="ECA96" s="60"/>
      <c r="ECP96" s="34"/>
      <c r="ECQ96" s="60"/>
      <c r="EDF96" s="34"/>
      <c r="EDG96" s="60"/>
      <c r="EDV96" s="34"/>
      <c r="EDW96" s="60"/>
      <c r="EEL96" s="34"/>
      <c r="EEM96" s="60"/>
      <c r="EFB96" s="34"/>
      <c r="EFC96" s="60"/>
      <c r="EFR96" s="34"/>
      <c r="EFS96" s="60"/>
      <c r="EGH96" s="34"/>
      <c r="EGI96" s="60"/>
      <c r="EGX96" s="34"/>
      <c r="EGY96" s="60"/>
      <c r="EHN96" s="34"/>
      <c r="EHO96" s="60"/>
      <c r="EID96" s="34"/>
      <c r="EIE96" s="60"/>
      <c r="EIT96" s="34"/>
      <c r="EIU96" s="60"/>
      <c r="EJJ96" s="34"/>
      <c r="EJK96" s="60"/>
      <c r="EJZ96" s="34"/>
      <c r="EKA96" s="60"/>
      <c r="EKP96" s="34"/>
      <c r="EKQ96" s="60"/>
      <c r="ELF96" s="34"/>
      <c r="ELG96" s="60"/>
      <c r="ELV96" s="34"/>
      <c r="ELW96" s="60"/>
      <c r="EML96" s="34"/>
      <c r="EMM96" s="60"/>
      <c r="ENB96" s="34"/>
      <c r="ENC96" s="60"/>
      <c r="ENR96" s="34"/>
      <c r="ENS96" s="60"/>
      <c r="EOH96" s="34"/>
      <c r="EOI96" s="60"/>
      <c r="EOX96" s="34"/>
      <c r="EOY96" s="60"/>
      <c r="EPN96" s="34"/>
      <c r="EPO96" s="60"/>
      <c r="EQD96" s="34"/>
      <c r="EQE96" s="60"/>
      <c r="EQT96" s="34"/>
      <c r="EQU96" s="60"/>
      <c r="ERJ96" s="34"/>
      <c r="ERK96" s="60"/>
      <c r="ERZ96" s="34"/>
      <c r="ESA96" s="60"/>
      <c r="ESP96" s="34"/>
      <c r="ESQ96" s="60"/>
      <c r="ETF96" s="34"/>
      <c r="ETG96" s="60"/>
      <c r="ETV96" s="34"/>
      <c r="ETW96" s="60"/>
      <c r="EUL96" s="34"/>
      <c r="EUM96" s="60"/>
      <c r="EVB96" s="34"/>
      <c r="EVC96" s="60"/>
      <c r="EVR96" s="34"/>
      <c r="EVS96" s="60"/>
      <c r="EWH96" s="34"/>
      <c r="EWI96" s="60"/>
      <c r="EWX96" s="34"/>
      <c r="EWY96" s="60"/>
      <c r="EXN96" s="34"/>
      <c r="EXO96" s="60"/>
      <c r="EYD96" s="34"/>
      <c r="EYE96" s="60"/>
      <c r="EYT96" s="34"/>
      <c r="EYU96" s="60"/>
      <c r="EZJ96" s="34"/>
      <c r="EZK96" s="60"/>
      <c r="EZZ96" s="34"/>
      <c r="FAA96" s="60"/>
      <c r="FAP96" s="34"/>
      <c r="FAQ96" s="60"/>
      <c r="FBF96" s="34"/>
      <c r="FBG96" s="60"/>
      <c r="FBV96" s="34"/>
      <c r="FBW96" s="60"/>
      <c r="FCL96" s="34"/>
      <c r="FCM96" s="60"/>
      <c r="FDB96" s="34"/>
      <c r="FDC96" s="60"/>
      <c r="FDR96" s="34"/>
      <c r="FDS96" s="60"/>
      <c r="FEH96" s="34"/>
      <c r="FEI96" s="60"/>
      <c r="FEX96" s="34"/>
      <c r="FEY96" s="60"/>
      <c r="FFN96" s="34"/>
      <c r="FFO96" s="60"/>
      <c r="FGD96" s="34"/>
      <c r="FGE96" s="60"/>
      <c r="FGT96" s="34"/>
      <c r="FGU96" s="60"/>
      <c r="FHJ96" s="34"/>
      <c r="FHK96" s="60"/>
      <c r="FHZ96" s="34"/>
      <c r="FIA96" s="60"/>
      <c r="FIP96" s="34"/>
      <c r="FIQ96" s="60"/>
      <c r="FJF96" s="34"/>
      <c r="FJG96" s="60"/>
      <c r="FJV96" s="34"/>
      <c r="FJW96" s="60"/>
      <c r="FKL96" s="34"/>
      <c r="FKM96" s="60"/>
      <c r="FLB96" s="34"/>
      <c r="FLC96" s="60"/>
      <c r="FLR96" s="34"/>
      <c r="FLS96" s="60"/>
      <c r="FMH96" s="34"/>
      <c r="FMI96" s="60"/>
      <c r="FMX96" s="34"/>
      <c r="FMY96" s="60"/>
      <c r="FNN96" s="34"/>
      <c r="FNO96" s="60"/>
      <c r="FOD96" s="34"/>
      <c r="FOE96" s="60"/>
      <c r="FOT96" s="34"/>
      <c r="FOU96" s="60"/>
      <c r="FPJ96" s="34"/>
      <c r="FPK96" s="60"/>
      <c r="FPZ96" s="34"/>
      <c r="FQA96" s="60"/>
      <c r="FQP96" s="34"/>
      <c r="FQQ96" s="60"/>
      <c r="FRF96" s="34"/>
      <c r="FRG96" s="60"/>
      <c r="FRV96" s="34"/>
      <c r="FRW96" s="60"/>
      <c r="FSL96" s="34"/>
      <c r="FSM96" s="60"/>
      <c r="FTB96" s="34"/>
      <c r="FTC96" s="60"/>
      <c r="FTR96" s="34"/>
      <c r="FTS96" s="60"/>
      <c r="FUH96" s="34"/>
      <c r="FUI96" s="60"/>
      <c r="FUX96" s="34"/>
      <c r="FUY96" s="60"/>
      <c r="FVN96" s="34"/>
      <c r="FVO96" s="60"/>
      <c r="FWD96" s="34"/>
      <c r="FWE96" s="60"/>
      <c r="FWT96" s="34"/>
      <c r="FWU96" s="60"/>
      <c r="FXJ96" s="34"/>
      <c r="FXK96" s="60"/>
      <c r="FXZ96" s="34"/>
      <c r="FYA96" s="60"/>
      <c r="FYP96" s="34"/>
      <c r="FYQ96" s="60"/>
      <c r="FZF96" s="34"/>
      <c r="FZG96" s="60"/>
      <c r="FZV96" s="34"/>
      <c r="FZW96" s="60"/>
      <c r="GAL96" s="34"/>
      <c r="GAM96" s="60"/>
      <c r="GBB96" s="34"/>
      <c r="GBC96" s="60"/>
      <c r="GBR96" s="34"/>
      <c r="GBS96" s="60"/>
      <c r="GCH96" s="34"/>
      <c r="GCI96" s="60"/>
      <c r="GCX96" s="34"/>
      <c r="GCY96" s="60"/>
      <c r="GDN96" s="34"/>
      <c r="GDO96" s="60"/>
      <c r="GED96" s="34"/>
      <c r="GEE96" s="60"/>
      <c r="GET96" s="34"/>
      <c r="GEU96" s="60"/>
      <c r="GFJ96" s="34"/>
      <c r="GFK96" s="60"/>
      <c r="GFZ96" s="34"/>
      <c r="GGA96" s="60"/>
      <c r="GGP96" s="34"/>
      <c r="GGQ96" s="60"/>
      <c r="GHF96" s="34"/>
      <c r="GHG96" s="60"/>
      <c r="GHV96" s="34"/>
      <c r="GHW96" s="60"/>
      <c r="GIL96" s="34"/>
      <c r="GIM96" s="60"/>
      <c r="GJB96" s="34"/>
      <c r="GJC96" s="60"/>
      <c r="GJR96" s="34"/>
      <c r="GJS96" s="60"/>
      <c r="GKH96" s="34"/>
      <c r="GKI96" s="60"/>
      <c r="GKX96" s="34"/>
      <c r="GKY96" s="60"/>
      <c r="GLN96" s="34"/>
      <c r="GLO96" s="60"/>
      <c r="GMD96" s="34"/>
      <c r="GME96" s="60"/>
      <c r="GMT96" s="34"/>
      <c r="GMU96" s="60"/>
      <c r="GNJ96" s="34"/>
      <c r="GNK96" s="60"/>
      <c r="GNZ96" s="34"/>
      <c r="GOA96" s="60"/>
      <c r="GOP96" s="34"/>
      <c r="GOQ96" s="60"/>
      <c r="GPF96" s="34"/>
      <c r="GPG96" s="60"/>
      <c r="GPV96" s="34"/>
      <c r="GPW96" s="60"/>
      <c r="GQL96" s="34"/>
      <c r="GQM96" s="60"/>
      <c r="GRB96" s="34"/>
      <c r="GRC96" s="60"/>
      <c r="GRR96" s="34"/>
      <c r="GRS96" s="60"/>
      <c r="GSH96" s="34"/>
      <c r="GSI96" s="60"/>
      <c r="GSX96" s="34"/>
      <c r="GSY96" s="60"/>
      <c r="GTN96" s="34"/>
      <c r="GTO96" s="60"/>
      <c r="GUD96" s="34"/>
      <c r="GUE96" s="60"/>
      <c r="GUT96" s="34"/>
      <c r="GUU96" s="60"/>
      <c r="GVJ96" s="34"/>
      <c r="GVK96" s="60"/>
      <c r="GVZ96" s="34"/>
      <c r="GWA96" s="60"/>
      <c r="GWP96" s="34"/>
      <c r="GWQ96" s="60"/>
      <c r="GXF96" s="34"/>
      <c r="GXG96" s="60"/>
      <c r="GXV96" s="34"/>
      <c r="GXW96" s="60"/>
      <c r="GYL96" s="34"/>
      <c r="GYM96" s="60"/>
      <c r="GZB96" s="34"/>
      <c r="GZC96" s="60"/>
      <c r="GZR96" s="34"/>
      <c r="GZS96" s="60"/>
      <c r="HAH96" s="34"/>
      <c r="HAI96" s="60"/>
      <c r="HAX96" s="34"/>
      <c r="HAY96" s="60"/>
      <c r="HBN96" s="34"/>
      <c r="HBO96" s="60"/>
      <c r="HCD96" s="34"/>
      <c r="HCE96" s="60"/>
      <c r="HCT96" s="34"/>
      <c r="HCU96" s="60"/>
      <c r="HDJ96" s="34"/>
      <c r="HDK96" s="60"/>
      <c r="HDZ96" s="34"/>
      <c r="HEA96" s="60"/>
      <c r="HEP96" s="34"/>
      <c r="HEQ96" s="60"/>
      <c r="HFF96" s="34"/>
      <c r="HFG96" s="60"/>
      <c r="HFV96" s="34"/>
      <c r="HFW96" s="60"/>
      <c r="HGL96" s="34"/>
      <c r="HGM96" s="60"/>
      <c r="HHB96" s="34"/>
      <c r="HHC96" s="60"/>
      <c r="HHR96" s="34"/>
      <c r="HHS96" s="60"/>
      <c r="HIH96" s="34"/>
      <c r="HII96" s="60"/>
      <c r="HIX96" s="34"/>
      <c r="HIY96" s="60"/>
      <c r="HJN96" s="34"/>
      <c r="HJO96" s="60"/>
      <c r="HKD96" s="34"/>
      <c r="HKE96" s="60"/>
      <c r="HKT96" s="34"/>
      <c r="HKU96" s="60"/>
      <c r="HLJ96" s="34"/>
      <c r="HLK96" s="60"/>
      <c r="HLZ96" s="34"/>
      <c r="HMA96" s="60"/>
      <c r="HMP96" s="34"/>
      <c r="HMQ96" s="60"/>
      <c r="HNF96" s="34"/>
      <c r="HNG96" s="60"/>
      <c r="HNV96" s="34"/>
      <c r="HNW96" s="60"/>
      <c r="HOL96" s="34"/>
      <c r="HOM96" s="60"/>
      <c r="HPB96" s="34"/>
      <c r="HPC96" s="60"/>
      <c r="HPR96" s="34"/>
      <c r="HPS96" s="60"/>
      <c r="HQH96" s="34"/>
      <c r="HQI96" s="60"/>
      <c r="HQX96" s="34"/>
      <c r="HQY96" s="60"/>
      <c r="HRN96" s="34"/>
      <c r="HRO96" s="60"/>
      <c r="HSD96" s="34"/>
      <c r="HSE96" s="60"/>
      <c r="HST96" s="34"/>
      <c r="HSU96" s="60"/>
      <c r="HTJ96" s="34"/>
      <c r="HTK96" s="60"/>
      <c r="HTZ96" s="34"/>
      <c r="HUA96" s="60"/>
      <c r="HUP96" s="34"/>
      <c r="HUQ96" s="60"/>
      <c r="HVF96" s="34"/>
      <c r="HVG96" s="60"/>
      <c r="HVV96" s="34"/>
      <c r="HVW96" s="60"/>
      <c r="HWL96" s="34"/>
      <c r="HWM96" s="60"/>
      <c r="HXB96" s="34"/>
      <c r="HXC96" s="60"/>
      <c r="HXR96" s="34"/>
      <c r="HXS96" s="60"/>
      <c r="HYH96" s="34"/>
      <c r="HYI96" s="60"/>
      <c r="HYX96" s="34"/>
      <c r="HYY96" s="60"/>
      <c r="HZN96" s="34"/>
      <c r="HZO96" s="60"/>
      <c r="IAD96" s="34"/>
      <c r="IAE96" s="60"/>
      <c r="IAT96" s="34"/>
      <c r="IAU96" s="60"/>
      <c r="IBJ96" s="34"/>
      <c r="IBK96" s="60"/>
      <c r="IBZ96" s="34"/>
      <c r="ICA96" s="60"/>
      <c r="ICP96" s="34"/>
      <c r="ICQ96" s="60"/>
      <c r="IDF96" s="34"/>
      <c r="IDG96" s="60"/>
      <c r="IDV96" s="34"/>
      <c r="IDW96" s="60"/>
      <c r="IEL96" s="34"/>
      <c r="IEM96" s="60"/>
      <c r="IFB96" s="34"/>
      <c r="IFC96" s="60"/>
      <c r="IFR96" s="34"/>
      <c r="IFS96" s="60"/>
      <c r="IGH96" s="34"/>
      <c r="IGI96" s="60"/>
      <c r="IGX96" s="34"/>
      <c r="IGY96" s="60"/>
      <c r="IHN96" s="34"/>
      <c r="IHO96" s="60"/>
      <c r="IID96" s="34"/>
      <c r="IIE96" s="60"/>
      <c r="IIT96" s="34"/>
      <c r="IIU96" s="60"/>
      <c r="IJJ96" s="34"/>
      <c r="IJK96" s="60"/>
      <c r="IJZ96" s="34"/>
      <c r="IKA96" s="60"/>
      <c r="IKP96" s="34"/>
      <c r="IKQ96" s="60"/>
      <c r="ILF96" s="34"/>
      <c r="ILG96" s="60"/>
      <c r="ILV96" s="34"/>
      <c r="ILW96" s="60"/>
      <c r="IML96" s="34"/>
      <c r="IMM96" s="60"/>
      <c r="INB96" s="34"/>
      <c r="INC96" s="60"/>
      <c r="INR96" s="34"/>
      <c r="INS96" s="60"/>
      <c r="IOH96" s="34"/>
      <c r="IOI96" s="60"/>
      <c r="IOX96" s="34"/>
      <c r="IOY96" s="60"/>
      <c r="IPN96" s="34"/>
      <c r="IPO96" s="60"/>
      <c r="IQD96" s="34"/>
      <c r="IQE96" s="60"/>
      <c r="IQT96" s="34"/>
      <c r="IQU96" s="60"/>
      <c r="IRJ96" s="34"/>
      <c r="IRK96" s="60"/>
      <c r="IRZ96" s="34"/>
      <c r="ISA96" s="60"/>
      <c r="ISP96" s="34"/>
      <c r="ISQ96" s="60"/>
      <c r="ITF96" s="34"/>
      <c r="ITG96" s="60"/>
      <c r="ITV96" s="34"/>
      <c r="ITW96" s="60"/>
      <c r="IUL96" s="34"/>
      <c r="IUM96" s="60"/>
      <c r="IVB96" s="34"/>
      <c r="IVC96" s="60"/>
      <c r="IVR96" s="34"/>
      <c r="IVS96" s="60"/>
      <c r="IWH96" s="34"/>
      <c r="IWI96" s="60"/>
      <c r="IWX96" s="34"/>
      <c r="IWY96" s="60"/>
      <c r="IXN96" s="34"/>
      <c r="IXO96" s="60"/>
      <c r="IYD96" s="34"/>
      <c r="IYE96" s="60"/>
      <c r="IYT96" s="34"/>
      <c r="IYU96" s="60"/>
      <c r="IZJ96" s="34"/>
      <c r="IZK96" s="60"/>
      <c r="IZZ96" s="34"/>
      <c r="JAA96" s="60"/>
      <c r="JAP96" s="34"/>
      <c r="JAQ96" s="60"/>
      <c r="JBF96" s="34"/>
      <c r="JBG96" s="60"/>
      <c r="JBV96" s="34"/>
      <c r="JBW96" s="60"/>
      <c r="JCL96" s="34"/>
      <c r="JCM96" s="60"/>
      <c r="JDB96" s="34"/>
      <c r="JDC96" s="60"/>
      <c r="JDR96" s="34"/>
      <c r="JDS96" s="60"/>
      <c r="JEH96" s="34"/>
      <c r="JEI96" s="60"/>
      <c r="JEX96" s="34"/>
      <c r="JEY96" s="60"/>
      <c r="JFN96" s="34"/>
      <c r="JFO96" s="60"/>
      <c r="JGD96" s="34"/>
      <c r="JGE96" s="60"/>
      <c r="JGT96" s="34"/>
      <c r="JGU96" s="60"/>
      <c r="JHJ96" s="34"/>
      <c r="JHK96" s="60"/>
      <c r="JHZ96" s="34"/>
      <c r="JIA96" s="60"/>
      <c r="JIP96" s="34"/>
      <c r="JIQ96" s="60"/>
      <c r="JJF96" s="34"/>
      <c r="JJG96" s="60"/>
      <c r="JJV96" s="34"/>
      <c r="JJW96" s="60"/>
      <c r="JKL96" s="34"/>
      <c r="JKM96" s="60"/>
      <c r="JLB96" s="34"/>
      <c r="JLC96" s="60"/>
      <c r="JLR96" s="34"/>
      <c r="JLS96" s="60"/>
      <c r="JMH96" s="34"/>
      <c r="JMI96" s="60"/>
      <c r="JMX96" s="34"/>
      <c r="JMY96" s="60"/>
      <c r="JNN96" s="34"/>
      <c r="JNO96" s="60"/>
      <c r="JOD96" s="34"/>
      <c r="JOE96" s="60"/>
      <c r="JOT96" s="34"/>
      <c r="JOU96" s="60"/>
      <c r="JPJ96" s="34"/>
      <c r="JPK96" s="60"/>
      <c r="JPZ96" s="34"/>
      <c r="JQA96" s="60"/>
      <c r="JQP96" s="34"/>
      <c r="JQQ96" s="60"/>
      <c r="JRF96" s="34"/>
      <c r="JRG96" s="60"/>
      <c r="JRV96" s="34"/>
      <c r="JRW96" s="60"/>
      <c r="JSL96" s="34"/>
      <c r="JSM96" s="60"/>
      <c r="JTB96" s="34"/>
      <c r="JTC96" s="60"/>
      <c r="JTR96" s="34"/>
      <c r="JTS96" s="60"/>
      <c r="JUH96" s="34"/>
      <c r="JUI96" s="60"/>
      <c r="JUX96" s="34"/>
      <c r="JUY96" s="60"/>
      <c r="JVN96" s="34"/>
      <c r="JVO96" s="60"/>
      <c r="JWD96" s="34"/>
      <c r="JWE96" s="60"/>
      <c r="JWT96" s="34"/>
      <c r="JWU96" s="60"/>
      <c r="JXJ96" s="34"/>
      <c r="JXK96" s="60"/>
      <c r="JXZ96" s="34"/>
      <c r="JYA96" s="60"/>
      <c r="JYP96" s="34"/>
      <c r="JYQ96" s="60"/>
      <c r="JZF96" s="34"/>
      <c r="JZG96" s="60"/>
      <c r="JZV96" s="34"/>
      <c r="JZW96" s="60"/>
      <c r="KAL96" s="34"/>
      <c r="KAM96" s="60"/>
      <c r="KBB96" s="34"/>
      <c r="KBC96" s="60"/>
      <c r="KBR96" s="34"/>
      <c r="KBS96" s="60"/>
      <c r="KCH96" s="34"/>
      <c r="KCI96" s="60"/>
      <c r="KCX96" s="34"/>
      <c r="KCY96" s="60"/>
      <c r="KDN96" s="34"/>
      <c r="KDO96" s="60"/>
      <c r="KED96" s="34"/>
      <c r="KEE96" s="60"/>
      <c r="KET96" s="34"/>
      <c r="KEU96" s="60"/>
      <c r="KFJ96" s="34"/>
      <c r="KFK96" s="60"/>
      <c r="KFZ96" s="34"/>
      <c r="KGA96" s="60"/>
      <c r="KGP96" s="34"/>
      <c r="KGQ96" s="60"/>
      <c r="KHF96" s="34"/>
      <c r="KHG96" s="60"/>
      <c r="KHV96" s="34"/>
      <c r="KHW96" s="60"/>
      <c r="KIL96" s="34"/>
      <c r="KIM96" s="60"/>
      <c r="KJB96" s="34"/>
      <c r="KJC96" s="60"/>
      <c r="KJR96" s="34"/>
      <c r="KJS96" s="60"/>
      <c r="KKH96" s="34"/>
      <c r="KKI96" s="60"/>
      <c r="KKX96" s="34"/>
      <c r="KKY96" s="60"/>
      <c r="KLN96" s="34"/>
      <c r="KLO96" s="60"/>
      <c r="KMD96" s="34"/>
      <c r="KME96" s="60"/>
      <c r="KMT96" s="34"/>
      <c r="KMU96" s="60"/>
      <c r="KNJ96" s="34"/>
      <c r="KNK96" s="60"/>
      <c r="KNZ96" s="34"/>
      <c r="KOA96" s="60"/>
      <c r="KOP96" s="34"/>
      <c r="KOQ96" s="60"/>
      <c r="KPF96" s="34"/>
      <c r="KPG96" s="60"/>
      <c r="KPV96" s="34"/>
      <c r="KPW96" s="60"/>
      <c r="KQL96" s="34"/>
      <c r="KQM96" s="60"/>
      <c r="KRB96" s="34"/>
      <c r="KRC96" s="60"/>
      <c r="KRR96" s="34"/>
      <c r="KRS96" s="60"/>
      <c r="KSH96" s="34"/>
      <c r="KSI96" s="60"/>
      <c r="KSX96" s="34"/>
      <c r="KSY96" s="60"/>
      <c r="KTN96" s="34"/>
      <c r="KTO96" s="60"/>
      <c r="KUD96" s="34"/>
      <c r="KUE96" s="60"/>
      <c r="KUT96" s="34"/>
      <c r="KUU96" s="60"/>
      <c r="KVJ96" s="34"/>
      <c r="KVK96" s="60"/>
      <c r="KVZ96" s="34"/>
      <c r="KWA96" s="60"/>
      <c r="KWP96" s="34"/>
      <c r="KWQ96" s="60"/>
      <c r="KXF96" s="34"/>
      <c r="KXG96" s="60"/>
      <c r="KXV96" s="34"/>
      <c r="KXW96" s="60"/>
      <c r="KYL96" s="34"/>
      <c r="KYM96" s="60"/>
      <c r="KZB96" s="34"/>
      <c r="KZC96" s="60"/>
      <c r="KZR96" s="34"/>
      <c r="KZS96" s="60"/>
      <c r="LAH96" s="34"/>
      <c r="LAI96" s="60"/>
      <c r="LAX96" s="34"/>
      <c r="LAY96" s="60"/>
      <c r="LBN96" s="34"/>
      <c r="LBO96" s="60"/>
      <c r="LCD96" s="34"/>
      <c r="LCE96" s="60"/>
      <c r="LCT96" s="34"/>
      <c r="LCU96" s="60"/>
      <c r="LDJ96" s="34"/>
      <c r="LDK96" s="60"/>
      <c r="LDZ96" s="34"/>
      <c r="LEA96" s="60"/>
      <c r="LEP96" s="34"/>
      <c r="LEQ96" s="60"/>
      <c r="LFF96" s="34"/>
      <c r="LFG96" s="60"/>
      <c r="LFV96" s="34"/>
      <c r="LFW96" s="60"/>
      <c r="LGL96" s="34"/>
      <c r="LGM96" s="60"/>
      <c r="LHB96" s="34"/>
      <c r="LHC96" s="60"/>
      <c r="LHR96" s="34"/>
      <c r="LHS96" s="60"/>
      <c r="LIH96" s="34"/>
      <c r="LII96" s="60"/>
      <c r="LIX96" s="34"/>
      <c r="LIY96" s="60"/>
      <c r="LJN96" s="34"/>
      <c r="LJO96" s="60"/>
      <c r="LKD96" s="34"/>
      <c r="LKE96" s="60"/>
      <c r="LKT96" s="34"/>
      <c r="LKU96" s="60"/>
      <c r="LLJ96" s="34"/>
      <c r="LLK96" s="60"/>
      <c r="LLZ96" s="34"/>
      <c r="LMA96" s="60"/>
      <c r="LMP96" s="34"/>
      <c r="LMQ96" s="60"/>
      <c r="LNF96" s="34"/>
      <c r="LNG96" s="60"/>
      <c r="LNV96" s="34"/>
      <c r="LNW96" s="60"/>
      <c r="LOL96" s="34"/>
      <c r="LOM96" s="60"/>
      <c r="LPB96" s="34"/>
      <c r="LPC96" s="60"/>
      <c r="LPR96" s="34"/>
      <c r="LPS96" s="60"/>
      <c r="LQH96" s="34"/>
      <c r="LQI96" s="60"/>
      <c r="LQX96" s="34"/>
      <c r="LQY96" s="60"/>
      <c r="LRN96" s="34"/>
      <c r="LRO96" s="60"/>
      <c r="LSD96" s="34"/>
      <c r="LSE96" s="60"/>
      <c r="LST96" s="34"/>
      <c r="LSU96" s="60"/>
      <c r="LTJ96" s="34"/>
      <c r="LTK96" s="60"/>
      <c r="LTZ96" s="34"/>
      <c r="LUA96" s="60"/>
      <c r="LUP96" s="34"/>
      <c r="LUQ96" s="60"/>
      <c r="LVF96" s="34"/>
      <c r="LVG96" s="60"/>
      <c r="LVV96" s="34"/>
      <c r="LVW96" s="60"/>
      <c r="LWL96" s="34"/>
      <c r="LWM96" s="60"/>
      <c r="LXB96" s="34"/>
      <c r="LXC96" s="60"/>
      <c r="LXR96" s="34"/>
      <c r="LXS96" s="60"/>
      <c r="LYH96" s="34"/>
      <c r="LYI96" s="60"/>
      <c r="LYX96" s="34"/>
      <c r="LYY96" s="60"/>
      <c r="LZN96" s="34"/>
      <c r="LZO96" s="60"/>
      <c r="MAD96" s="34"/>
      <c r="MAE96" s="60"/>
      <c r="MAT96" s="34"/>
      <c r="MAU96" s="60"/>
      <c r="MBJ96" s="34"/>
      <c r="MBK96" s="60"/>
      <c r="MBZ96" s="34"/>
      <c r="MCA96" s="60"/>
      <c r="MCP96" s="34"/>
      <c r="MCQ96" s="60"/>
      <c r="MDF96" s="34"/>
      <c r="MDG96" s="60"/>
      <c r="MDV96" s="34"/>
      <c r="MDW96" s="60"/>
      <c r="MEL96" s="34"/>
      <c r="MEM96" s="60"/>
      <c r="MFB96" s="34"/>
      <c r="MFC96" s="60"/>
      <c r="MFR96" s="34"/>
      <c r="MFS96" s="60"/>
      <c r="MGH96" s="34"/>
      <c r="MGI96" s="60"/>
      <c r="MGX96" s="34"/>
      <c r="MGY96" s="60"/>
      <c r="MHN96" s="34"/>
      <c r="MHO96" s="60"/>
      <c r="MID96" s="34"/>
      <c r="MIE96" s="60"/>
      <c r="MIT96" s="34"/>
      <c r="MIU96" s="60"/>
      <c r="MJJ96" s="34"/>
      <c r="MJK96" s="60"/>
      <c r="MJZ96" s="34"/>
      <c r="MKA96" s="60"/>
      <c r="MKP96" s="34"/>
      <c r="MKQ96" s="60"/>
      <c r="MLF96" s="34"/>
      <c r="MLG96" s="60"/>
      <c r="MLV96" s="34"/>
      <c r="MLW96" s="60"/>
      <c r="MML96" s="34"/>
      <c r="MMM96" s="60"/>
      <c r="MNB96" s="34"/>
      <c r="MNC96" s="60"/>
      <c r="MNR96" s="34"/>
      <c r="MNS96" s="60"/>
      <c r="MOH96" s="34"/>
      <c r="MOI96" s="60"/>
      <c r="MOX96" s="34"/>
      <c r="MOY96" s="60"/>
      <c r="MPN96" s="34"/>
      <c r="MPO96" s="60"/>
      <c r="MQD96" s="34"/>
      <c r="MQE96" s="60"/>
      <c r="MQT96" s="34"/>
      <c r="MQU96" s="60"/>
      <c r="MRJ96" s="34"/>
      <c r="MRK96" s="60"/>
      <c r="MRZ96" s="34"/>
      <c r="MSA96" s="60"/>
      <c r="MSP96" s="34"/>
      <c r="MSQ96" s="60"/>
      <c r="MTF96" s="34"/>
      <c r="MTG96" s="60"/>
      <c r="MTV96" s="34"/>
      <c r="MTW96" s="60"/>
      <c r="MUL96" s="34"/>
      <c r="MUM96" s="60"/>
      <c r="MVB96" s="34"/>
      <c r="MVC96" s="60"/>
      <c r="MVR96" s="34"/>
      <c r="MVS96" s="60"/>
      <c r="MWH96" s="34"/>
      <c r="MWI96" s="60"/>
      <c r="MWX96" s="34"/>
      <c r="MWY96" s="60"/>
      <c r="MXN96" s="34"/>
      <c r="MXO96" s="60"/>
      <c r="MYD96" s="34"/>
      <c r="MYE96" s="60"/>
      <c r="MYT96" s="34"/>
      <c r="MYU96" s="60"/>
      <c r="MZJ96" s="34"/>
      <c r="MZK96" s="60"/>
      <c r="MZZ96" s="34"/>
      <c r="NAA96" s="60"/>
      <c r="NAP96" s="34"/>
      <c r="NAQ96" s="60"/>
      <c r="NBF96" s="34"/>
      <c r="NBG96" s="60"/>
      <c r="NBV96" s="34"/>
      <c r="NBW96" s="60"/>
      <c r="NCL96" s="34"/>
      <c r="NCM96" s="60"/>
      <c r="NDB96" s="34"/>
      <c r="NDC96" s="60"/>
      <c r="NDR96" s="34"/>
      <c r="NDS96" s="60"/>
      <c r="NEH96" s="34"/>
      <c r="NEI96" s="60"/>
      <c r="NEX96" s="34"/>
      <c r="NEY96" s="60"/>
      <c r="NFN96" s="34"/>
      <c r="NFO96" s="60"/>
      <c r="NGD96" s="34"/>
      <c r="NGE96" s="60"/>
      <c r="NGT96" s="34"/>
      <c r="NGU96" s="60"/>
      <c r="NHJ96" s="34"/>
      <c r="NHK96" s="60"/>
      <c r="NHZ96" s="34"/>
      <c r="NIA96" s="60"/>
      <c r="NIP96" s="34"/>
      <c r="NIQ96" s="60"/>
      <c r="NJF96" s="34"/>
      <c r="NJG96" s="60"/>
      <c r="NJV96" s="34"/>
      <c r="NJW96" s="60"/>
      <c r="NKL96" s="34"/>
      <c r="NKM96" s="60"/>
      <c r="NLB96" s="34"/>
      <c r="NLC96" s="60"/>
      <c r="NLR96" s="34"/>
      <c r="NLS96" s="60"/>
      <c r="NMH96" s="34"/>
      <c r="NMI96" s="60"/>
      <c r="NMX96" s="34"/>
      <c r="NMY96" s="60"/>
      <c r="NNN96" s="34"/>
      <c r="NNO96" s="60"/>
      <c r="NOD96" s="34"/>
      <c r="NOE96" s="60"/>
      <c r="NOT96" s="34"/>
      <c r="NOU96" s="60"/>
      <c r="NPJ96" s="34"/>
      <c r="NPK96" s="60"/>
      <c r="NPZ96" s="34"/>
      <c r="NQA96" s="60"/>
      <c r="NQP96" s="34"/>
      <c r="NQQ96" s="60"/>
      <c r="NRF96" s="34"/>
      <c r="NRG96" s="60"/>
      <c r="NRV96" s="34"/>
      <c r="NRW96" s="60"/>
      <c r="NSL96" s="34"/>
      <c r="NSM96" s="60"/>
      <c r="NTB96" s="34"/>
      <c r="NTC96" s="60"/>
      <c r="NTR96" s="34"/>
      <c r="NTS96" s="60"/>
      <c r="NUH96" s="34"/>
      <c r="NUI96" s="60"/>
      <c r="NUX96" s="34"/>
      <c r="NUY96" s="60"/>
      <c r="NVN96" s="34"/>
      <c r="NVO96" s="60"/>
      <c r="NWD96" s="34"/>
      <c r="NWE96" s="60"/>
      <c r="NWT96" s="34"/>
      <c r="NWU96" s="60"/>
      <c r="NXJ96" s="34"/>
      <c r="NXK96" s="60"/>
      <c r="NXZ96" s="34"/>
      <c r="NYA96" s="60"/>
      <c r="NYP96" s="34"/>
      <c r="NYQ96" s="60"/>
      <c r="NZF96" s="34"/>
      <c r="NZG96" s="60"/>
      <c r="NZV96" s="34"/>
      <c r="NZW96" s="60"/>
      <c r="OAL96" s="34"/>
      <c r="OAM96" s="60"/>
      <c r="OBB96" s="34"/>
      <c r="OBC96" s="60"/>
      <c r="OBR96" s="34"/>
      <c r="OBS96" s="60"/>
      <c r="OCH96" s="34"/>
      <c r="OCI96" s="60"/>
      <c r="OCX96" s="34"/>
      <c r="OCY96" s="60"/>
      <c r="ODN96" s="34"/>
      <c r="ODO96" s="60"/>
      <c r="OED96" s="34"/>
      <c r="OEE96" s="60"/>
      <c r="OET96" s="34"/>
      <c r="OEU96" s="60"/>
      <c r="OFJ96" s="34"/>
      <c r="OFK96" s="60"/>
      <c r="OFZ96" s="34"/>
      <c r="OGA96" s="60"/>
      <c r="OGP96" s="34"/>
      <c r="OGQ96" s="60"/>
      <c r="OHF96" s="34"/>
      <c r="OHG96" s="60"/>
      <c r="OHV96" s="34"/>
      <c r="OHW96" s="60"/>
      <c r="OIL96" s="34"/>
      <c r="OIM96" s="60"/>
      <c r="OJB96" s="34"/>
      <c r="OJC96" s="60"/>
      <c r="OJR96" s="34"/>
      <c r="OJS96" s="60"/>
      <c r="OKH96" s="34"/>
      <c r="OKI96" s="60"/>
      <c r="OKX96" s="34"/>
      <c r="OKY96" s="60"/>
      <c r="OLN96" s="34"/>
      <c r="OLO96" s="60"/>
      <c r="OMD96" s="34"/>
      <c r="OME96" s="60"/>
      <c r="OMT96" s="34"/>
      <c r="OMU96" s="60"/>
      <c r="ONJ96" s="34"/>
      <c r="ONK96" s="60"/>
      <c r="ONZ96" s="34"/>
      <c r="OOA96" s="60"/>
      <c r="OOP96" s="34"/>
      <c r="OOQ96" s="60"/>
      <c r="OPF96" s="34"/>
      <c r="OPG96" s="60"/>
      <c r="OPV96" s="34"/>
      <c r="OPW96" s="60"/>
      <c r="OQL96" s="34"/>
      <c r="OQM96" s="60"/>
      <c r="ORB96" s="34"/>
      <c r="ORC96" s="60"/>
      <c r="ORR96" s="34"/>
      <c r="ORS96" s="60"/>
      <c r="OSH96" s="34"/>
      <c r="OSI96" s="60"/>
      <c r="OSX96" s="34"/>
      <c r="OSY96" s="60"/>
      <c r="OTN96" s="34"/>
      <c r="OTO96" s="60"/>
      <c r="OUD96" s="34"/>
      <c r="OUE96" s="60"/>
      <c r="OUT96" s="34"/>
      <c r="OUU96" s="60"/>
      <c r="OVJ96" s="34"/>
      <c r="OVK96" s="60"/>
      <c r="OVZ96" s="34"/>
      <c r="OWA96" s="60"/>
      <c r="OWP96" s="34"/>
      <c r="OWQ96" s="60"/>
      <c r="OXF96" s="34"/>
      <c r="OXG96" s="60"/>
      <c r="OXV96" s="34"/>
      <c r="OXW96" s="60"/>
      <c r="OYL96" s="34"/>
      <c r="OYM96" s="60"/>
      <c r="OZB96" s="34"/>
      <c r="OZC96" s="60"/>
      <c r="OZR96" s="34"/>
      <c r="OZS96" s="60"/>
      <c r="PAH96" s="34"/>
      <c r="PAI96" s="60"/>
      <c r="PAX96" s="34"/>
      <c r="PAY96" s="60"/>
      <c r="PBN96" s="34"/>
      <c r="PBO96" s="60"/>
      <c r="PCD96" s="34"/>
      <c r="PCE96" s="60"/>
      <c r="PCT96" s="34"/>
      <c r="PCU96" s="60"/>
      <c r="PDJ96" s="34"/>
      <c r="PDK96" s="60"/>
      <c r="PDZ96" s="34"/>
      <c r="PEA96" s="60"/>
      <c r="PEP96" s="34"/>
      <c r="PEQ96" s="60"/>
      <c r="PFF96" s="34"/>
      <c r="PFG96" s="60"/>
      <c r="PFV96" s="34"/>
      <c r="PFW96" s="60"/>
      <c r="PGL96" s="34"/>
      <c r="PGM96" s="60"/>
      <c r="PHB96" s="34"/>
      <c r="PHC96" s="60"/>
      <c r="PHR96" s="34"/>
      <c r="PHS96" s="60"/>
      <c r="PIH96" s="34"/>
      <c r="PII96" s="60"/>
      <c r="PIX96" s="34"/>
      <c r="PIY96" s="60"/>
      <c r="PJN96" s="34"/>
      <c r="PJO96" s="60"/>
      <c r="PKD96" s="34"/>
      <c r="PKE96" s="60"/>
      <c r="PKT96" s="34"/>
      <c r="PKU96" s="60"/>
      <c r="PLJ96" s="34"/>
      <c r="PLK96" s="60"/>
      <c r="PLZ96" s="34"/>
      <c r="PMA96" s="60"/>
      <c r="PMP96" s="34"/>
      <c r="PMQ96" s="60"/>
      <c r="PNF96" s="34"/>
      <c r="PNG96" s="60"/>
      <c r="PNV96" s="34"/>
      <c r="PNW96" s="60"/>
      <c r="POL96" s="34"/>
      <c r="POM96" s="60"/>
      <c r="PPB96" s="34"/>
      <c r="PPC96" s="60"/>
      <c r="PPR96" s="34"/>
      <c r="PPS96" s="60"/>
      <c r="PQH96" s="34"/>
      <c r="PQI96" s="60"/>
      <c r="PQX96" s="34"/>
      <c r="PQY96" s="60"/>
      <c r="PRN96" s="34"/>
      <c r="PRO96" s="60"/>
      <c r="PSD96" s="34"/>
      <c r="PSE96" s="60"/>
      <c r="PST96" s="34"/>
      <c r="PSU96" s="60"/>
      <c r="PTJ96" s="34"/>
      <c r="PTK96" s="60"/>
      <c r="PTZ96" s="34"/>
      <c r="PUA96" s="60"/>
      <c r="PUP96" s="34"/>
      <c r="PUQ96" s="60"/>
      <c r="PVF96" s="34"/>
      <c r="PVG96" s="60"/>
      <c r="PVV96" s="34"/>
      <c r="PVW96" s="60"/>
      <c r="PWL96" s="34"/>
      <c r="PWM96" s="60"/>
      <c r="PXB96" s="34"/>
      <c r="PXC96" s="60"/>
      <c r="PXR96" s="34"/>
      <c r="PXS96" s="60"/>
      <c r="PYH96" s="34"/>
      <c r="PYI96" s="60"/>
      <c r="PYX96" s="34"/>
      <c r="PYY96" s="60"/>
      <c r="PZN96" s="34"/>
      <c r="PZO96" s="60"/>
      <c r="QAD96" s="34"/>
      <c r="QAE96" s="60"/>
      <c r="QAT96" s="34"/>
      <c r="QAU96" s="60"/>
      <c r="QBJ96" s="34"/>
      <c r="QBK96" s="60"/>
      <c r="QBZ96" s="34"/>
      <c r="QCA96" s="60"/>
      <c r="QCP96" s="34"/>
      <c r="QCQ96" s="60"/>
      <c r="QDF96" s="34"/>
      <c r="QDG96" s="60"/>
      <c r="QDV96" s="34"/>
      <c r="QDW96" s="60"/>
      <c r="QEL96" s="34"/>
      <c r="QEM96" s="60"/>
      <c r="QFB96" s="34"/>
      <c r="QFC96" s="60"/>
      <c r="QFR96" s="34"/>
      <c r="QFS96" s="60"/>
      <c r="QGH96" s="34"/>
      <c r="QGI96" s="60"/>
      <c r="QGX96" s="34"/>
      <c r="QGY96" s="60"/>
      <c r="QHN96" s="34"/>
      <c r="QHO96" s="60"/>
      <c r="QID96" s="34"/>
      <c r="QIE96" s="60"/>
      <c r="QIT96" s="34"/>
      <c r="QIU96" s="60"/>
      <c r="QJJ96" s="34"/>
      <c r="QJK96" s="60"/>
      <c r="QJZ96" s="34"/>
      <c r="QKA96" s="60"/>
      <c r="QKP96" s="34"/>
      <c r="QKQ96" s="60"/>
      <c r="QLF96" s="34"/>
      <c r="QLG96" s="60"/>
      <c r="QLV96" s="34"/>
      <c r="QLW96" s="60"/>
      <c r="QML96" s="34"/>
      <c r="QMM96" s="60"/>
      <c r="QNB96" s="34"/>
      <c r="QNC96" s="60"/>
      <c r="QNR96" s="34"/>
      <c r="QNS96" s="60"/>
      <c r="QOH96" s="34"/>
      <c r="QOI96" s="60"/>
      <c r="QOX96" s="34"/>
      <c r="QOY96" s="60"/>
      <c r="QPN96" s="34"/>
      <c r="QPO96" s="60"/>
      <c r="QQD96" s="34"/>
      <c r="QQE96" s="60"/>
      <c r="QQT96" s="34"/>
      <c r="QQU96" s="60"/>
      <c r="QRJ96" s="34"/>
      <c r="QRK96" s="60"/>
      <c r="QRZ96" s="34"/>
      <c r="QSA96" s="60"/>
      <c r="QSP96" s="34"/>
      <c r="QSQ96" s="60"/>
      <c r="QTF96" s="34"/>
      <c r="QTG96" s="60"/>
      <c r="QTV96" s="34"/>
      <c r="QTW96" s="60"/>
      <c r="QUL96" s="34"/>
      <c r="QUM96" s="60"/>
      <c r="QVB96" s="34"/>
      <c r="QVC96" s="60"/>
      <c r="QVR96" s="34"/>
      <c r="QVS96" s="60"/>
      <c r="QWH96" s="34"/>
      <c r="QWI96" s="60"/>
      <c r="QWX96" s="34"/>
      <c r="QWY96" s="60"/>
      <c r="QXN96" s="34"/>
      <c r="QXO96" s="60"/>
      <c r="QYD96" s="34"/>
      <c r="QYE96" s="60"/>
      <c r="QYT96" s="34"/>
      <c r="QYU96" s="60"/>
      <c r="QZJ96" s="34"/>
      <c r="QZK96" s="60"/>
      <c r="QZZ96" s="34"/>
      <c r="RAA96" s="60"/>
      <c r="RAP96" s="34"/>
      <c r="RAQ96" s="60"/>
      <c r="RBF96" s="34"/>
      <c r="RBG96" s="60"/>
      <c r="RBV96" s="34"/>
      <c r="RBW96" s="60"/>
      <c r="RCL96" s="34"/>
      <c r="RCM96" s="60"/>
      <c r="RDB96" s="34"/>
      <c r="RDC96" s="60"/>
      <c r="RDR96" s="34"/>
      <c r="RDS96" s="60"/>
      <c r="REH96" s="34"/>
      <c r="REI96" s="60"/>
      <c r="REX96" s="34"/>
      <c r="REY96" s="60"/>
      <c r="RFN96" s="34"/>
      <c r="RFO96" s="60"/>
      <c r="RGD96" s="34"/>
      <c r="RGE96" s="60"/>
      <c r="RGT96" s="34"/>
      <c r="RGU96" s="60"/>
      <c r="RHJ96" s="34"/>
      <c r="RHK96" s="60"/>
      <c r="RHZ96" s="34"/>
      <c r="RIA96" s="60"/>
      <c r="RIP96" s="34"/>
      <c r="RIQ96" s="60"/>
      <c r="RJF96" s="34"/>
      <c r="RJG96" s="60"/>
      <c r="RJV96" s="34"/>
      <c r="RJW96" s="60"/>
      <c r="RKL96" s="34"/>
      <c r="RKM96" s="60"/>
      <c r="RLB96" s="34"/>
      <c r="RLC96" s="60"/>
      <c r="RLR96" s="34"/>
      <c r="RLS96" s="60"/>
      <c r="RMH96" s="34"/>
      <c r="RMI96" s="60"/>
      <c r="RMX96" s="34"/>
      <c r="RMY96" s="60"/>
      <c r="RNN96" s="34"/>
      <c r="RNO96" s="60"/>
      <c r="ROD96" s="34"/>
      <c r="ROE96" s="60"/>
      <c r="ROT96" s="34"/>
      <c r="ROU96" s="60"/>
      <c r="RPJ96" s="34"/>
      <c r="RPK96" s="60"/>
      <c r="RPZ96" s="34"/>
      <c r="RQA96" s="60"/>
      <c r="RQP96" s="34"/>
      <c r="RQQ96" s="60"/>
      <c r="RRF96" s="34"/>
      <c r="RRG96" s="60"/>
      <c r="RRV96" s="34"/>
      <c r="RRW96" s="60"/>
      <c r="RSL96" s="34"/>
      <c r="RSM96" s="60"/>
      <c r="RTB96" s="34"/>
      <c r="RTC96" s="60"/>
      <c r="RTR96" s="34"/>
      <c r="RTS96" s="60"/>
      <c r="RUH96" s="34"/>
      <c r="RUI96" s="60"/>
      <c r="RUX96" s="34"/>
      <c r="RUY96" s="60"/>
      <c r="RVN96" s="34"/>
      <c r="RVO96" s="60"/>
      <c r="RWD96" s="34"/>
      <c r="RWE96" s="60"/>
      <c r="RWT96" s="34"/>
      <c r="RWU96" s="60"/>
      <c r="RXJ96" s="34"/>
      <c r="RXK96" s="60"/>
      <c r="RXZ96" s="34"/>
      <c r="RYA96" s="60"/>
      <c r="RYP96" s="34"/>
      <c r="RYQ96" s="60"/>
      <c r="RZF96" s="34"/>
      <c r="RZG96" s="60"/>
      <c r="RZV96" s="34"/>
      <c r="RZW96" s="60"/>
      <c r="SAL96" s="34"/>
      <c r="SAM96" s="60"/>
      <c r="SBB96" s="34"/>
      <c r="SBC96" s="60"/>
      <c r="SBR96" s="34"/>
      <c r="SBS96" s="60"/>
      <c r="SCH96" s="34"/>
      <c r="SCI96" s="60"/>
      <c r="SCX96" s="34"/>
      <c r="SCY96" s="60"/>
      <c r="SDN96" s="34"/>
      <c r="SDO96" s="60"/>
      <c r="SED96" s="34"/>
      <c r="SEE96" s="60"/>
      <c r="SET96" s="34"/>
      <c r="SEU96" s="60"/>
      <c r="SFJ96" s="34"/>
      <c r="SFK96" s="60"/>
      <c r="SFZ96" s="34"/>
      <c r="SGA96" s="60"/>
      <c r="SGP96" s="34"/>
      <c r="SGQ96" s="60"/>
      <c r="SHF96" s="34"/>
      <c r="SHG96" s="60"/>
      <c r="SHV96" s="34"/>
      <c r="SHW96" s="60"/>
      <c r="SIL96" s="34"/>
      <c r="SIM96" s="60"/>
      <c r="SJB96" s="34"/>
      <c r="SJC96" s="60"/>
      <c r="SJR96" s="34"/>
      <c r="SJS96" s="60"/>
      <c r="SKH96" s="34"/>
      <c r="SKI96" s="60"/>
      <c r="SKX96" s="34"/>
      <c r="SKY96" s="60"/>
      <c r="SLN96" s="34"/>
      <c r="SLO96" s="60"/>
      <c r="SMD96" s="34"/>
      <c r="SME96" s="60"/>
      <c r="SMT96" s="34"/>
      <c r="SMU96" s="60"/>
      <c r="SNJ96" s="34"/>
      <c r="SNK96" s="60"/>
      <c r="SNZ96" s="34"/>
      <c r="SOA96" s="60"/>
      <c r="SOP96" s="34"/>
      <c r="SOQ96" s="60"/>
      <c r="SPF96" s="34"/>
      <c r="SPG96" s="60"/>
      <c r="SPV96" s="34"/>
      <c r="SPW96" s="60"/>
      <c r="SQL96" s="34"/>
      <c r="SQM96" s="60"/>
      <c r="SRB96" s="34"/>
      <c r="SRC96" s="60"/>
      <c r="SRR96" s="34"/>
      <c r="SRS96" s="60"/>
      <c r="SSH96" s="34"/>
      <c r="SSI96" s="60"/>
      <c r="SSX96" s="34"/>
      <c r="SSY96" s="60"/>
      <c r="STN96" s="34"/>
      <c r="STO96" s="60"/>
      <c r="SUD96" s="34"/>
      <c r="SUE96" s="60"/>
      <c r="SUT96" s="34"/>
      <c r="SUU96" s="60"/>
      <c r="SVJ96" s="34"/>
      <c r="SVK96" s="60"/>
      <c r="SVZ96" s="34"/>
      <c r="SWA96" s="60"/>
      <c r="SWP96" s="34"/>
      <c r="SWQ96" s="60"/>
      <c r="SXF96" s="34"/>
      <c r="SXG96" s="60"/>
      <c r="SXV96" s="34"/>
      <c r="SXW96" s="60"/>
      <c r="SYL96" s="34"/>
      <c r="SYM96" s="60"/>
      <c r="SZB96" s="34"/>
      <c r="SZC96" s="60"/>
      <c r="SZR96" s="34"/>
      <c r="SZS96" s="60"/>
      <c r="TAH96" s="34"/>
      <c r="TAI96" s="60"/>
      <c r="TAX96" s="34"/>
      <c r="TAY96" s="60"/>
      <c r="TBN96" s="34"/>
      <c r="TBO96" s="60"/>
      <c r="TCD96" s="34"/>
      <c r="TCE96" s="60"/>
      <c r="TCT96" s="34"/>
      <c r="TCU96" s="60"/>
      <c r="TDJ96" s="34"/>
      <c r="TDK96" s="60"/>
      <c r="TDZ96" s="34"/>
      <c r="TEA96" s="60"/>
      <c r="TEP96" s="34"/>
      <c r="TEQ96" s="60"/>
      <c r="TFF96" s="34"/>
      <c r="TFG96" s="60"/>
      <c r="TFV96" s="34"/>
      <c r="TFW96" s="60"/>
      <c r="TGL96" s="34"/>
      <c r="TGM96" s="60"/>
      <c r="THB96" s="34"/>
      <c r="THC96" s="60"/>
      <c r="THR96" s="34"/>
      <c r="THS96" s="60"/>
      <c r="TIH96" s="34"/>
      <c r="TII96" s="60"/>
      <c r="TIX96" s="34"/>
      <c r="TIY96" s="60"/>
      <c r="TJN96" s="34"/>
      <c r="TJO96" s="60"/>
      <c r="TKD96" s="34"/>
      <c r="TKE96" s="60"/>
      <c r="TKT96" s="34"/>
      <c r="TKU96" s="60"/>
      <c r="TLJ96" s="34"/>
      <c r="TLK96" s="60"/>
      <c r="TLZ96" s="34"/>
      <c r="TMA96" s="60"/>
      <c r="TMP96" s="34"/>
      <c r="TMQ96" s="60"/>
      <c r="TNF96" s="34"/>
      <c r="TNG96" s="60"/>
      <c r="TNV96" s="34"/>
      <c r="TNW96" s="60"/>
      <c r="TOL96" s="34"/>
      <c r="TOM96" s="60"/>
      <c r="TPB96" s="34"/>
      <c r="TPC96" s="60"/>
      <c r="TPR96" s="34"/>
      <c r="TPS96" s="60"/>
      <c r="TQH96" s="34"/>
      <c r="TQI96" s="60"/>
      <c r="TQX96" s="34"/>
      <c r="TQY96" s="60"/>
      <c r="TRN96" s="34"/>
      <c r="TRO96" s="60"/>
      <c r="TSD96" s="34"/>
      <c r="TSE96" s="60"/>
      <c r="TST96" s="34"/>
      <c r="TSU96" s="60"/>
      <c r="TTJ96" s="34"/>
      <c r="TTK96" s="60"/>
      <c r="TTZ96" s="34"/>
      <c r="TUA96" s="60"/>
      <c r="TUP96" s="34"/>
      <c r="TUQ96" s="60"/>
      <c r="TVF96" s="34"/>
      <c r="TVG96" s="60"/>
      <c r="TVV96" s="34"/>
      <c r="TVW96" s="60"/>
      <c r="TWL96" s="34"/>
      <c r="TWM96" s="60"/>
      <c r="TXB96" s="34"/>
      <c r="TXC96" s="60"/>
      <c r="TXR96" s="34"/>
      <c r="TXS96" s="60"/>
      <c r="TYH96" s="34"/>
      <c r="TYI96" s="60"/>
      <c r="TYX96" s="34"/>
      <c r="TYY96" s="60"/>
      <c r="TZN96" s="34"/>
      <c r="TZO96" s="60"/>
      <c r="UAD96" s="34"/>
      <c r="UAE96" s="60"/>
      <c r="UAT96" s="34"/>
      <c r="UAU96" s="60"/>
      <c r="UBJ96" s="34"/>
      <c r="UBK96" s="60"/>
      <c r="UBZ96" s="34"/>
      <c r="UCA96" s="60"/>
      <c r="UCP96" s="34"/>
      <c r="UCQ96" s="60"/>
      <c r="UDF96" s="34"/>
      <c r="UDG96" s="60"/>
      <c r="UDV96" s="34"/>
      <c r="UDW96" s="60"/>
      <c r="UEL96" s="34"/>
      <c r="UEM96" s="60"/>
      <c r="UFB96" s="34"/>
      <c r="UFC96" s="60"/>
      <c r="UFR96" s="34"/>
      <c r="UFS96" s="60"/>
      <c r="UGH96" s="34"/>
      <c r="UGI96" s="60"/>
      <c r="UGX96" s="34"/>
      <c r="UGY96" s="60"/>
      <c r="UHN96" s="34"/>
      <c r="UHO96" s="60"/>
      <c r="UID96" s="34"/>
      <c r="UIE96" s="60"/>
      <c r="UIT96" s="34"/>
      <c r="UIU96" s="60"/>
      <c r="UJJ96" s="34"/>
      <c r="UJK96" s="60"/>
      <c r="UJZ96" s="34"/>
      <c r="UKA96" s="60"/>
      <c r="UKP96" s="34"/>
      <c r="UKQ96" s="60"/>
      <c r="ULF96" s="34"/>
      <c r="ULG96" s="60"/>
      <c r="ULV96" s="34"/>
      <c r="ULW96" s="60"/>
      <c r="UML96" s="34"/>
      <c r="UMM96" s="60"/>
      <c r="UNB96" s="34"/>
      <c r="UNC96" s="60"/>
      <c r="UNR96" s="34"/>
      <c r="UNS96" s="60"/>
      <c r="UOH96" s="34"/>
      <c r="UOI96" s="60"/>
      <c r="UOX96" s="34"/>
      <c r="UOY96" s="60"/>
      <c r="UPN96" s="34"/>
      <c r="UPO96" s="60"/>
      <c r="UQD96" s="34"/>
      <c r="UQE96" s="60"/>
      <c r="UQT96" s="34"/>
      <c r="UQU96" s="60"/>
      <c r="URJ96" s="34"/>
      <c r="URK96" s="60"/>
      <c r="URZ96" s="34"/>
      <c r="USA96" s="60"/>
      <c r="USP96" s="34"/>
      <c r="USQ96" s="60"/>
      <c r="UTF96" s="34"/>
      <c r="UTG96" s="60"/>
      <c r="UTV96" s="34"/>
      <c r="UTW96" s="60"/>
      <c r="UUL96" s="34"/>
      <c r="UUM96" s="60"/>
      <c r="UVB96" s="34"/>
      <c r="UVC96" s="60"/>
      <c r="UVR96" s="34"/>
      <c r="UVS96" s="60"/>
      <c r="UWH96" s="34"/>
      <c r="UWI96" s="60"/>
      <c r="UWX96" s="34"/>
      <c r="UWY96" s="60"/>
      <c r="UXN96" s="34"/>
      <c r="UXO96" s="60"/>
      <c r="UYD96" s="34"/>
      <c r="UYE96" s="60"/>
      <c r="UYT96" s="34"/>
      <c r="UYU96" s="60"/>
      <c r="UZJ96" s="34"/>
      <c r="UZK96" s="60"/>
      <c r="UZZ96" s="34"/>
      <c r="VAA96" s="60"/>
      <c r="VAP96" s="34"/>
      <c r="VAQ96" s="60"/>
      <c r="VBF96" s="34"/>
      <c r="VBG96" s="60"/>
      <c r="VBV96" s="34"/>
      <c r="VBW96" s="60"/>
      <c r="VCL96" s="34"/>
      <c r="VCM96" s="60"/>
      <c r="VDB96" s="34"/>
      <c r="VDC96" s="60"/>
      <c r="VDR96" s="34"/>
      <c r="VDS96" s="60"/>
      <c r="VEH96" s="34"/>
      <c r="VEI96" s="60"/>
      <c r="VEX96" s="34"/>
      <c r="VEY96" s="60"/>
      <c r="VFN96" s="34"/>
      <c r="VFO96" s="60"/>
      <c r="VGD96" s="34"/>
      <c r="VGE96" s="60"/>
      <c r="VGT96" s="34"/>
      <c r="VGU96" s="60"/>
      <c r="VHJ96" s="34"/>
      <c r="VHK96" s="60"/>
      <c r="VHZ96" s="34"/>
      <c r="VIA96" s="60"/>
      <c r="VIP96" s="34"/>
      <c r="VIQ96" s="60"/>
      <c r="VJF96" s="34"/>
      <c r="VJG96" s="60"/>
      <c r="VJV96" s="34"/>
      <c r="VJW96" s="60"/>
      <c r="VKL96" s="34"/>
      <c r="VKM96" s="60"/>
      <c r="VLB96" s="34"/>
      <c r="VLC96" s="60"/>
      <c r="VLR96" s="34"/>
      <c r="VLS96" s="60"/>
      <c r="VMH96" s="34"/>
      <c r="VMI96" s="60"/>
      <c r="VMX96" s="34"/>
      <c r="VMY96" s="60"/>
      <c r="VNN96" s="34"/>
      <c r="VNO96" s="60"/>
      <c r="VOD96" s="34"/>
      <c r="VOE96" s="60"/>
      <c r="VOT96" s="34"/>
      <c r="VOU96" s="60"/>
      <c r="VPJ96" s="34"/>
      <c r="VPK96" s="60"/>
      <c r="VPZ96" s="34"/>
      <c r="VQA96" s="60"/>
      <c r="VQP96" s="34"/>
      <c r="VQQ96" s="60"/>
      <c r="VRF96" s="34"/>
      <c r="VRG96" s="60"/>
      <c r="VRV96" s="34"/>
      <c r="VRW96" s="60"/>
      <c r="VSL96" s="34"/>
      <c r="VSM96" s="60"/>
      <c r="VTB96" s="34"/>
      <c r="VTC96" s="60"/>
      <c r="VTR96" s="34"/>
      <c r="VTS96" s="60"/>
      <c r="VUH96" s="34"/>
      <c r="VUI96" s="60"/>
      <c r="VUX96" s="34"/>
      <c r="VUY96" s="60"/>
      <c r="VVN96" s="34"/>
      <c r="VVO96" s="60"/>
      <c r="VWD96" s="34"/>
      <c r="VWE96" s="60"/>
      <c r="VWT96" s="34"/>
      <c r="VWU96" s="60"/>
      <c r="VXJ96" s="34"/>
      <c r="VXK96" s="60"/>
      <c r="VXZ96" s="34"/>
      <c r="VYA96" s="60"/>
      <c r="VYP96" s="34"/>
      <c r="VYQ96" s="60"/>
      <c r="VZF96" s="34"/>
      <c r="VZG96" s="60"/>
      <c r="VZV96" s="34"/>
      <c r="VZW96" s="60"/>
      <c r="WAL96" s="34"/>
      <c r="WAM96" s="60"/>
      <c r="WBB96" s="34"/>
      <c r="WBC96" s="60"/>
      <c r="WBR96" s="34"/>
      <c r="WBS96" s="60"/>
      <c r="WCH96" s="34"/>
      <c r="WCI96" s="60"/>
      <c r="WCX96" s="34"/>
      <c r="WCY96" s="60"/>
      <c r="WDN96" s="34"/>
      <c r="WDO96" s="60"/>
      <c r="WED96" s="34"/>
      <c r="WEE96" s="60"/>
      <c r="WET96" s="34"/>
      <c r="WEU96" s="60"/>
      <c r="WFJ96" s="34"/>
      <c r="WFK96" s="60"/>
      <c r="WFZ96" s="34"/>
      <c r="WGA96" s="60"/>
      <c r="WGP96" s="34"/>
      <c r="WGQ96" s="60"/>
      <c r="WHF96" s="34"/>
      <c r="WHG96" s="60"/>
      <c r="WHV96" s="34"/>
      <c r="WHW96" s="60"/>
      <c r="WIL96" s="34"/>
      <c r="WIM96" s="60"/>
      <c r="WJB96" s="34"/>
      <c r="WJC96" s="60"/>
      <c r="WJR96" s="34"/>
      <c r="WJS96" s="60"/>
      <c r="WKH96" s="34"/>
      <c r="WKI96" s="60"/>
      <c r="WKX96" s="34"/>
      <c r="WKY96" s="60"/>
      <c r="WLN96" s="34"/>
      <c r="WLO96" s="60"/>
      <c r="WMD96" s="34"/>
      <c r="WME96" s="60"/>
      <c r="WMT96" s="34"/>
      <c r="WMU96" s="60"/>
      <c r="WNJ96" s="34"/>
      <c r="WNK96" s="60"/>
      <c r="WNZ96" s="34"/>
      <c r="WOA96" s="60"/>
      <c r="WOP96" s="34"/>
      <c r="WOQ96" s="60"/>
      <c r="WPF96" s="34"/>
      <c r="WPG96" s="60"/>
      <c r="WPV96" s="34"/>
      <c r="WPW96" s="60"/>
      <c r="WQL96" s="34"/>
      <c r="WQM96" s="60"/>
      <c r="WRB96" s="34"/>
      <c r="WRC96" s="60"/>
      <c r="WRR96" s="34"/>
      <c r="WRS96" s="60"/>
      <c r="WSH96" s="34"/>
      <c r="WSI96" s="60"/>
      <c r="WSX96" s="34"/>
      <c r="WSY96" s="60"/>
      <c r="WTN96" s="34"/>
      <c r="WTO96" s="60"/>
      <c r="WUD96" s="34"/>
      <c r="WUE96" s="60"/>
      <c r="WUT96" s="34"/>
      <c r="WUU96" s="60"/>
      <c r="WVJ96" s="34"/>
      <c r="WVK96" s="60"/>
      <c r="WVZ96" s="34"/>
      <c r="WWA96" s="60"/>
      <c r="WWP96" s="34"/>
      <c r="WWQ96" s="60"/>
      <c r="WXF96" s="34"/>
      <c r="WXG96" s="60"/>
      <c r="WXV96" s="34"/>
      <c r="WXW96" s="60"/>
      <c r="WYL96" s="34"/>
      <c r="WYM96" s="60"/>
      <c r="WZB96" s="34"/>
      <c r="WZC96" s="60"/>
      <c r="WZR96" s="34"/>
      <c r="WZS96" s="60"/>
      <c r="XAH96" s="34"/>
      <c r="XAI96" s="60"/>
      <c r="XAX96" s="34"/>
      <c r="XAY96" s="60"/>
      <c r="XBN96" s="34"/>
      <c r="XBO96" s="60"/>
      <c r="XCD96" s="34"/>
      <c r="XCE96" s="60"/>
      <c r="XCT96" s="34"/>
      <c r="XCU96" s="60"/>
      <c r="XDJ96" s="34"/>
      <c r="XDK96" s="60"/>
      <c r="XDZ96" s="34"/>
      <c r="XEA96" s="60"/>
      <c r="XEP96" s="34"/>
      <c r="XEQ96" s="60"/>
    </row>
    <row r="97" spans="2:15" ht="15.75" x14ac:dyDescent="0.25">
      <c r="B97" s="205" t="s">
        <v>532</v>
      </c>
      <c r="C97" s="205"/>
      <c r="D97" s="205"/>
      <c r="E97" s="223"/>
      <c r="F97" s="223"/>
      <c r="G97" s="223"/>
      <c r="H97" s="223"/>
      <c r="I97" s="223"/>
      <c r="J97" s="223"/>
      <c r="K97" s="86"/>
    </row>
    <row r="98" spans="2:15" ht="15" x14ac:dyDescent="0.2">
      <c r="B98" s="223" t="str">
        <f>'Cover Service Sheet'!C182</f>
        <v xml:space="preserve"> </v>
      </c>
      <c r="C98" s="223"/>
      <c r="D98" s="223"/>
      <c r="E98" s="223"/>
      <c r="F98" s="223"/>
      <c r="G98" s="223"/>
      <c r="H98" s="223"/>
      <c r="I98" s="223"/>
      <c r="J98" s="223"/>
    </row>
    <row r="99" spans="2:15" ht="129" customHeight="1" x14ac:dyDescent="0.2">
      <c r="B99" s="605" t="str">
        <f>'Cover Service Sheet'!C183</f>
        <v xml:space="preserve">
</v>
      </c>
      <c r="C99" s="605"/>
      <c r="D99" s="605"/>
      <c r="E99" s="605"/>
      <c r="F99" s="605"/>
      <c r="G99" s="605"/>
      <c r="H99" s="605"/>
      <c r="I99" s="605"/>
      <c r="J99" s="605"/>
      <c r="K99" s="605"/>
      <c r="L99" s="605"/>
      <c r="M99" s="605"/>
      <c r="N99" s="605"/>
      <c r="O99" s="605"/>
    </row>
    <row r="100" spans="2:15" ht="15" x14ac:dyDescent="0.2">
      <c r="B100" s="223"/>
      <c r="C100" s="223"/>
      <c r="D100" s="223"/>
      <c r="E100" s="223"/>
      <c r="F100" s="223"/>
      <c r="G100" s="223"/>
      <c r="H100" s="223"/>
      <c r="I100" s="223"/>
      <c r="J100" s="223"/>
    </row>
    <row r="101" spans="2:15" ht="15.75" x14ac:dyDescent="0.25">
      <c r="B101" s="205" t="s">
        <v>534</v>
      </c>
      <c r="C101" s="223"/>
      <c r="D101" s="223"/>
      <c r="E101" s="223"/>
      <c r="F101" s="223"/>
      <c r="G101" s="223"/>
      <c r="H101" s="223"/>
      <c r="I101" s="223"/>
      <c r="J101" s="223"/>
    </row>
    <row r="102" spans="2:15" ht="15" x14ac:dyDescent="0.2">
      <c r="B102" s="223" t="str">
        <f>'Cover Service Sheet'!C186</f>
        <v/>
      </c>
      <c r="C102" s="223"/>
      <c r="D102" s="223"/>
      <c r="E102" s="223"/>
      <c r="F102" s="223"/>
      <c r="G102" s="223"/>
      <c r="H102" s="223"/>
      <c r="I102" s="223"/>
      <c r="J102" s="223"/>
    </row>
    <row r="103" spans="2:15" ht="141" customHeight="1" x14ac:dyDescent="0.2">
      <c r="B103" s="605">
        <f>'Cover Service Sheet'!C187</f>
        <v>0</v>
      </c>
      <c r="C103" s="605"/>
      <c r="D103" s="605"/>
      <c r="E103" s="605"/>
      <c r="F103" s="605"/>
      <c r="G103" s="605"/>
      <c r="H103" s="605"/>
      <c r="I103" s="605"/>
      <c r="J103" s="605"/>
      <c r="K103" s="605"/>
      <c r="L103" s="605"/>
      <c r="M103" s="605"/>
      <c r="N103" s="605"/>
      <c r="O103" s="605"/>
    </row>
    <row r="104" spans="2:15" ht="15" x14ac:dyDescent="0.2">
      <c r="B104" s="223"/>
      <c r="C104" s="223"/>
      <c r="D104" s="223"/>
      <c r="E104" s="223"/>
      <c r="F104" s="223"/>
      <c r="G104" s="223"/>
      <c r="H104" s="223"/>
      <c r="I104" s="223"/>
      <c r="J104" s="223"/>
    </row>
    <row r="105" spans="2:15" ht="15.75" x14ac:dyDescent="0.25">
      <c r="B105" s="205" t="s">
        <v>535</v>
      </c>
      <c r="C105" s="205"/>
      <c r="D105" s="205"/>
      <c r="E105" s="223"/>
      <c r="F105" s="223"/>
      <c r="G105" s="223"/>
      <c r="H105" s="223"/>
      <c r="I105" s="223"/>
      <c r="J105" s="223"/>
    </row>
    <row r="106" spans="2:15" ht="15" x14ac:dyDescent="0.2">
      <c r="B106" s="223" t="str">
        <f>'Cover Service Sheet'!C190</f>
        <v/>
      </c>
      <c r="C106" s="223"/>
      <c r="D106" s="223"/>
      <c r="E106" s="223"/>
      <c r="F106" s="223"/>
      <c r="G106" s="223"/>
      <c r="H106" s="223"/>
      <c r="I106" s="223"/>
      <c r="J106" s="223"/>
    </row>
    <row r="107" spans="2:15" ht="135" customHeight="1" x14ac:dyDescent="0.2">
      <c r="B107" s="605">
        <f>'Cover Service Sheet'!C191</f>
        <v>0</v>
      </c>
      <c r="C107" s="605"/>
      <c r="D107" s="605"/>
      <c r="E107" s="605"/>
      <c r="F107" s="605"/>
      <c r="G107" s="605"/>
      <c r="H107" s="605"/>
      <c r="I107" s="605"/>
      <c r="J107" s="605"/>
      <c r="K107" s="605"/>
      <c r="L107" s="605"/>
      <c r="M107" s="605"/>
      <c r="N107" s="605"/>
      <c r="O107" s="605"/>
    </row>
    <row r="108" spans="2:15" ht="44.25" customHeight="1" x14ac:dyDescent="0.2">
      <c r="B108" s="223"/>
      <c r="C108" s="223"/>
      <c r="D108" s="223"/>
      <c r="E108" s="223"/>
      <c r="F108" s="223"/>
      <c r="G108" s="223"/>
      <c r="H108" s="223"/>
      <c r="I108" s="223"/>
      <c r="J108" s="223"/>
    </row>
    <row r="109" spans="2:15" ht="15.75" hidden="1" x14ac:dyDescent="0.25">
      <c r="B109" s="205" t="s">
        <v>937</v>
      </c>
      <c r="C109" s="205"/>
      <c r="D109" s="223"/>
      <c r="E109" s="223"/>
      <c r="F109" s="223"/>
      <c r="G109" s="223"/>
      <c r="H109" s="223"/>
      <c r="I109" s="223"/>
      <c r="J109" s="223"/>
    </row>
    <row r="110" spans="2:15" ht="15" hidden="1" x14ac:dyDescent="0.2">
      <c r="B110" s="223" t="str">
        <f>'Cover Service Sheet'!C194</f>
        <v/>
      </c>
      <c r="C110" s="223"/>
      <c r="D110" s="223"/>
      <c r="E110" s="223"/>
      <c r="F110" s="223"/>
      <c r="G110" s="223"/>
      <c r="H110" s="223"/>
      <c r="I110" s="223"/>
      <c r="J110" s="223"/>
    </row>
    <row r="111" spans="2:15" ht="27.75" customHeight="1" x14ac:dyDescent="0.35">
      <c r="B111" s="224" t="s">
        <v>567</v>
      </c>
      <c r="C111" s="223"/>
      <c r="D111" s="223"/>
      <c r="E111" s="223"/>
      <c r="F111" s="223"/>
      <c r="G111" s="223"/>
      <c r="H111" s="223"/>
      <c r="I111" s="223"/>
      <c r="J111" s="223"/>
    </row>
    <row r="112" spans="2:15" ht="23.25" x14ac:dyDescent="0.35">
      <c r="B112" s="225" t="str">
        <f>'Cover Service Sheet'!Q7</f>
        <v>Please note: Where possible, all recalibrations should be booked online at the supplied booking site</v>
      </c>
      <c r="C112" s="223"/>
      <c r="D112" s="223"/>
      <c r="E112" s="223"/>
      <c r="F112" s="223"/>
      <c r="G112" s="223"/>
      <c r="H112" s="223"/>
      <c r="I112" s="223"/>
      <c r="J112" s="223"/>
    </row>
    <row r="113" spans="2:10" ht="23.25" x14ac:dyDescent="0.35">
      <c r="B113" s="225" t="str">
        <f>'Cover Service Sheet'!Q8</f>
        <v>No accessories present to return to end user</v>
      </c>
      <c r="C113" s="223"/>
      <c r="D113" s="223"/>
      <c r="E113" s="223"/>
      <c r="F113" s="223"/>
      <c r="G113" s="223"/>
      <c r="H113" s="223"/>
      <c r="I113" s="223"/>
      <c r="J113" s="223"/>
    </row>
    <row r="114" spans="2:10" ht="23.25" x14ac:dyDescent="0.35">
      <c r="B114" s="225" t="str">
        <f>'Cover Service Sheet'!Q33</f>
        <v>Exterior damage to case upon receipt</v>
      </c>
      <c r="C114" s="223"/>
      <c r="D114" s="223"/>
      <c r="E114" s="223"/>
      <c r="F114" s="223"/>
      <c r="G114" s="223"/>
      <c r="H114" s="223"/>
      <c r="I114" s="223"/>
      <c r="J114" s="223"/>
    </row>
    <row r="115" spans="2:10" ht="23.25" x14ac:dyDescent="0.35">
      <c r="B115" s="225" t="str">
        <f>'Cover Service Sheet'!Q34</f>
        <v>No cap on input test point</v>
      </c>
      <c r="C115" s="223"/>
      <c r="D115" s="223"/>
      <c r="E115" s="223"/>
      <c r="F115" s="223"/>
      <c r="G115" s="223"/>
      <c r="H115" s="223"/>
      <c r="I115" s="223"/>
      <c r="J115" s="223"/>
    </row>
    <row r="116" spans="2:10" ht="23.25" x14ac:dyDescent="0.35">
      <c r="B116" s="225" t="str">
        <f>'Cover Service Sheet'!Q35</f>
        <v>No cap on waste test point</v>
      </c>
      <c r="C116" s="223"/>
      <c r="D116" s="223"/>
      <c r="E116" s="223"/>
      <c r="F116" s="223"/>
      <c r="G116" s="223"/>
      <c r="H116" s="223"/>
      <c r="I116" s="223"/>
      <c r="J116" s="223"/>
    </row>
    <row r="117" spans="2:10" ht="23.25" x14ac:dyDescent="0.35">
      <c r="B117" s="225" t="str">
        <f>'Cover Service Sheet'!Q39</f>
        <v>The screen has been damaged and is not functioning correctly</v>
      </c>
      <c r="C117" s="223"/>
      <c r="D117" s="223"/>
      <c r="E117" s="223"/>
      <c r="F117" s="223"/>
      <c r="G117" s="223"/>
      <c r="H117" s="223"/>
      <c r="I117" s="223"/>
      <c r="J117" s="223"/>
    </row>
    <row r="118" spans="2:10" ht="23.25" x14ac:dyDescent="0.35">
      <c r="B118" s="225" t="str">
        <f>'Cover Service Sheet'!Q42</f>
        <v>Firmware was an older version and needed updating</v>
      </c>
      <c r="C118" s="223"/>
      <c r="D118" s="223"/>
      <c r="E118" s="223"/>
      <c r="F118" s="223"/>
      <c r="G118" s="223"/>
      <c r="H118" s="223"/>
      <c r="I118" s="223"/>
      <c r="J118" s="223"/>
    </row>
    <row r="119" spans="2:10" ht="23.25" x14ac:dyDescent="0.35">
      <c r="B119" s="225" t="e">
        <f>'Cover Service Sheet'!Q71</f>
        <v>#REF!</v>
      </c>
      <c r="C119" s="223"/>
      <c r="D119" s="223"/>
      <c r="E119" s="223"/>
      <c r="F119" s="223"/>
      <c r="G119" s="223"/>
      <c r="H119" s="223"/>
      <c r="I119" s="223"/>
      <c r="J119" s="223"/>
    </row>
    <row r="120" spans="2:10" ht="23.25" x14ac:dyDescent="0.35">
      <c r="B120" s="225" t="e">
        <f>'Cover Service Sheet'!#REF!</f>
        <v>#REF!</v>
      </c>
      <c r="C120" s="223"/>
      <c r="D120" s="223"/>
      <c r="E120" s="223"/>
      <c r="F120" s="223"/>
      <c r="G120" s="223"/>
      <c r="H120" s="223"/>
      <c r="I120" s="223"/>
      <c r="J120" s="223"/>
    </row>
    <row r="121" spans="2:10" ht="23.25" x14ac:dyDescent="0.35">
      <c r="B121" s="225" t="e">
        <f>'Cover Service Sheet'!#REF!</f>
        <v>#REF!</v>
      </c>
      <c r="C121" s="223"/>
      <c r="D121" s="223"/>
      <c r="E121" s="223"/>
      <c r="F121" s="223"/>
      <c r="G121" s="223"/>
      <c r="H121" s="223"/>
      <c r="I121" s="223"/>
      <c r="J121" s="223"/>
    </row>
    <row r="122" spans="2:10" ht="23.25" x14ac:dyDescent="0.35">
      <c r="B122" s="225" t="e">
        <f>'Cover Service Sheet'!#REF!</f>
        <v>#REF!</v>
      </c>
      <c r="C122" s="223"/>
      <c r="D122" s="223"/>
      <c r="E122" s="223"/>
      <c r="F122" s="223"/>
      <c r="G122" s="223"/>
      <c r="H122" s="223"/>
      <c r="I122" s="223"/>
      <c r="J122" s="223"/>
    </row>
    <row r="123" spans="2:10" ht="23.25" x14ac:dyDescent="0.35">
      <c r="B123" s="225" t="str">
        <f>'Cover Service Sheet'!Q77</f>
        <v>Sensor array assembly passed initial inspection</v>
      </c>
      <c r="C123" s="223"/>
      <c r="D123" s="223"/>
      <c r="E123" s="223"/>
      <c r="F123" s="223"/>
      <c r="G123" s="223"/>
      <c r="H123" s="223"/>
      <c r="I123" s="223"/>
      <c r="J123" s="223"/>
    </row>
    <row r="124" spans="2:10" ht="23.25" x14ac:dyDescent="0.35">
      <c r="B124" s="225" t="str">
        <f>'Cover Service Sheet'!Q80</f>
        <v>Initial light source check, output within specification PASS</v>
      </c>
      <c r="C124" s="223"/>
      <c r="D124" s="223"/>
      <c r="E124" s="223"/>
      <c r="F124" s="223"/>
      <c r="G124" s="223"/>
      <c r="H124" s="223"/>
      <c r="I124" s="223"/>
      <c r="J124" s="223"/>
    </row>
    <row r="125" spans="2:10" ht="23.25" x14ac:dyDescent="0.35">
      <c r="B125" s="225" t="str">
        <f>'Cover Service Sheet'!Q81</f>
        <v>Initial Light source electrical noise output within specification PASS</v>
      </c>
      <c r="C125" s="223"/>
      <c r="D125" s="223"/>
      <c r="E125" s="223"/>
      <c r="F125" s="223"/>
      <c r="G125" s="223"/>
      <c r="H125" s="223"/>
      <c r="I125" s="223"/>
      <c r="J125" s="223"/>
    </row>
    <row r="126" spans="2:10" ht="23.25" x14ac:dyDescent="0.35">
      <c r="B126" s="225">
        <f>'Cover Service Sheet'!Q83</f>
        <v>0</v>
      </c>
      <c r="C126" s="223"/>
      <c r="D126" s="223"/>
      <c r="E126" s="223"/>
      <c r="F126" s="223"/>
      <c r="G126" s="223"/>
      <c r="H126" s="223"/>
      <c r="I126" s="223"/>
      <c r="J126" s="223"/>
    </row>
    <row r="127" spans="2:10" ht="23.25" x14ac:dyDescent="0.35">
      <c r="B127" s="225">
        <f>'Cover Service Sheet'!Q84</f>
        <v>0</v>
      </c>
      <c r="C127" s="223"/>
      <c r="D127" s="223"/>
      <c r="E127" s="223"/>
      <c r="F127" s="223"/>
      <c r="G127" s="223"/>
      <c r="H127" s="223"/>
      <c r="I127" s="223"/>
      <c r="J127" s="223"/>
    </row>
    <row r="128" spans="2:10" ht="23.25" x14ac:dyDescent="0.35">
      <c r="B128" s="225"/>
      <c r="C128" s="223"/>
      <c r="D128" s="223"/>
      <c r="E128" s="223"/>
      <c r="F128" s="223"/>
      <c r="G128" s="223"/>
      <c r="H128" s="223"/>
      <c r="I128" s="223"/>
      <c r="J128" s="223"/>
    </row>
    <row r="129" spans="2:10" ht="23.25" x14ac:dyDescent="0.35">
      <c r="B129" s="224" t="s">
        <v>938</v>
      </c>
      <c r="C129" s="223"/>
      <c r="D129" s="223"/>
      <c r="E129" s="223"/>
      <c r="F129" s="223"/>
      <c r="G129" s="223"/>
      <c r="H129" s="223"/>
      <c r="I129" s="223"/>
      <c r="J129" s="223"/>
    </row>
    <row r="130" spans="2:10" ht="23.25" x14ac:dyDescent="0.35">
      <c r="B130" s="225" t="e">
        <f>'Cover Service Sheet'!#REF!</f>
        <v>#REF!</v>
      </c>
      <c r="C130" s="223"/>
      <c r="D130" s="223"/>
      <c r="E130" s="223"/>
      <c r="F130" s="223"/>
      <c r="G130" s="223"/>
      <c r="H130" s="223"/>
      <c r="I130" s="223"/>
      <c r="J130" s="223"/>
    </row>
    <row r="131" spans="2:10" ht="23.25" x14ac:dyDescent="0.35">
      <c r="B131" s="225" t="e">
        <f>'Cover Service Sheet'!#REF!</f>
        <v>#REF!</v>
      </c>
      <c r="C131" s="223"/>
      <c r="D131" s="223"/>
      <c r="E131" s="223"/>
      <c r="F131" s="223"/>
      <c r="G131" s="223"/>
      <c r="H131" s="223"/>
      <c r="I131" s="223"/>
      <c r="J131" s="223"/>
    </row>
    <row r="132" spans="2:10" ht="23.25" x14ac:dyDescent="0.35">
      <c r="B132" s="225" t="e">
        <f>'Cover Service Sheet'!#REF!</f>
        <v>#REF!</v>
      </c>
      <c r="C132" s="223"/>
      <c r="D132" s="223"/>
      <c r="E132" s="223"/>
      <c r="F132" s="223"/>
      <c r="G132" s="223"/>
      <c r="H132" s="223"/>
      <c r="I132" s="223"/>
      <c r="J132" s="223"/>
    </row>
    <row r="133" spans="2:10" ht="23.25" x14ac:dyDescent="0.35">
      <c r="B133" s="225" t="str">
        <f>'Cover Service Sheet'!Q95</f>
        <v>Battery terminal cables of current design</v>
      </c>
      <c r="C133" s="223"/>
      <c r="D133" s="223"/>
      <c r="E133" s="223"/>
      <c r="F133" s="223"/>
      <c r="G133" s="223"/>
      <c r="H133" s="223"/>
      <c r="I133" s="223"/>
      <c r="J133" s="223"/>
    </row>
    <row r="134" spans="2:10" ht="23.25" x14ac:dyDescent="0.35">
      <c r="B134" s="225" t="str">
        <f>'Cover Service Sheet'!Q97</f>
        <v>Battery not secure in brackets, needed to be refurbished</v>
      </c>
      <c r="C134" s="223"/>
      <c r="D134" s="223"/>
      <c r="E134" s="223"/>
      <c r="F134" s="223"/>
      <c r="G134" s="223"/>
      <c r="H134" s="223"/>
      <c r="I134" s="223"/>
      <c r="J134" s="223"/>
    </row>
    <row r="135" spans="2:10" ht="23.25" x14ac:dyDescent="0.35">
      <c r="B135" s="225" t="e">
        <f>'Cover Service Sheet'!#REF!</f>
        <v>#REF!</v>
      </c>
      <c r="C135" s="223"/>
      <c r="D135" s="223"/>
      <c r="E135" s="223"/>
      <c r="F135" s="223"/>
      <c r="G135" s="223"/>
      <c r="H135" s="223"/>
      <c r="I135" s="223"/>
      <c r="J135" s="223"/>
    </row>
    <row r="136" spans="2:10" ht="23.25" x14ac:dyDescent="0.35">
      <c r="B136" s="225">
        <f>'Cover Service Sheet'!Q99</f>
        <v>0</v>
      </c>
      <c r="C136" s="223"/>
      <c r="D136" s="223"/>
      <c r="E136" s="223"/>
      <c r="F136" s="223"/>
      <c r="G136" s="223"/>
      <c r="H136" s="223"/>
      <c r="I136" s="223"/>
      <c r="J136" s="223"/>
    </row>
    <row r="137" spans="2:10" ht="23.25" x14ac:dyDescent="0.35">
      <c r="B137" s="225" t="e">
        <f>'Cover Service Sheet'!#REF!</f>
        <v>#REF!</v>
      </c>
      <c r="C137" s="223"/>
      <c r="D137" s="223"/>
      <c r="E137" s="223"/>
      <c r="F137" s="223"/>
      <c r="G137" s="223"/>
      <c r="H137" s="223"/>
      <c r="I137" s="223"/>
      <c r="J137" s="223"/>
    </row>
    <row r="138" spans="2:10" ht="23.25" x14ac:dyDescent="0.35">
      <c r="B138" s="225" t="str">
        <f>'Cover Service Sheet'!Q100</f>
        <v>High pressure seal integrity test failure, unit requires rework</v>
      </c>
      <c r="C138" s="223"/>
      <c r="D138" s="223"/>
      <c r="E138" s="223"/>
      <c r="F138" s="223"/>
      <c r="G138" s="223"/>
      <c r="H138" s="223"/>
      <c r="I138" s="223"/>
      <c r="J138" s="223"/>
    </row>
    <row r="139" spans="2:10" ht="23.25" x14ac:dyDescent="0.35">
      <c r="B139" s="225"/>
      <c r="C139" s="223"/>
      <c r="D139" s="223"/>
      <c r="E139" s="223"/>
      <c r="F139" s="223"/>
      <c r="G139" s="223"/>
      <c r="H139" s="223"/>
      <c r="I139" s="223"/>
      <c r="J139" s="223"/>
    </row>
    <row r="140" spans="2:10" ht="23.25" x14ac:dyDescent="0.35">
      <c r="B140" s="224" t="s">
        <v>939</v>
      </c>
      <c r="C140" s="223"/>
      <c r="D140" s="223"/>
      <c r="E140" s="223"/>
      <c r="F140" s="223"/>
      <c r="G140" s="223"/>
      <c r="H140" s="223"/>
      <c r="I140" s="223"/>
      <c r="J140" s="223"/>
    </row>
    <row r="141" spans="2:10" ht="23.25" x14ac:dyDescent="0.35">
      <c r="B141" s="225" t="str">
        <f>'Cover Service Sheet'!Q108</f>
        <v xml:space="preserve"> </v>
      </c>
      <c r="C141" s="223"/>
      <c r="D141" s="223"/>
      <c r="E141" s="223"/>
      <c r="F141" s="223"/>
      <c r="G141" s="223"/>
      <c r="H141" s="223"/>
      <c r="I141" s="223"/>
      <c r="J141" s="223"/>
    </row>
    <row r="142" spans="2:10" ht="23.25" x14ac:dyDescent="0.35">
      <c r="B142" s="225" t="str">
        <f>'Cover Service Sheet'!Q116</f>
        <v xml:space="preserve">Thresholds on certificate do not match those programmed in unit </v>
      </c>
      <c r="C142" s="223"/>
      <c r="D142" s="223"/>
      <c r="E142" s="223"/>
      <c r="F142" s="223"/>
      <c r="G142" s="223"/>
      <c r="H142" s="223"/>
      <c r="I142" s="223"/>
      <c r="J142" s="223"/>
    </row>
    <row r="143" spans="2:10" ht="23.25" x14ac:dyDescent="0.35">
      <c r="B143" s="225" t="str">
        <f>'Cover Service Sheet'!Q148</f>
        <v/>
      </c>
      <c r="C143" s="223"/>
      <c r="D143" s="223"/>
      <c r="E143" s="223"/>
      <c r="F143" s="223"/>
      <c r="G143" s="223"/>
      <c r="H143" s="223"/>
      <c r="I143" s="223"/>
      <c r="J143" s="223"/>
    </row>
    <row r="144" spans="2:10" ht="23.25" x14ac:dyDescent="0.35">
      <c r="B144" s="225" t="str">
        <f>'Cover Service Sheet'!Q154</f>
        <v/>
      </c>
      <c r="C144" s="223"/>
      <c r="D144" s="223"/>
      <c r="E144" s="223"/>
      <c r="F144" s="223"/>
      <c r="G144" s="223"/>
      <c r="H144" s="223"/>
      <c r="I144" s="223"/>
      <c r="J144" s="223"/>
    </row>
    <row r="145" spans="2:10" ht="23.25" x14ac:dyDescent="0.35">
      <c r="B145" s="225" t="str">
        <f>'Cover Service Sheet'!Q157</f>
        <v>LANGUAGE NOT CORRECT</v>
      </c>
      <c r="C145" s="223"/>
      <c r="D145" s="223"/>
      <c r="E145" s="223"/>
      <c r="F145" s="223"/>
      <c r="G145" s="223"/>
      <c r="H145" s="223"/>
      <c r="I145" s="223"/>
      <c r="J145" s="223"/>
    </row>
    <row r="146" spans="2:10" ht="23.25" x14ac:dyDescent="0.35">
      <c r="B146" s="225" t="str">
        <f>'Cover Service Sheet'!Q162</f>
        <v/>
      </c>
      <c r="C146" s="223"/>
      <c r="D146" s="223"/>
      <c r="E146" s="223"/>
      <c r="F146" s="223"/>
      <c r="G146" s="223"/>
      <c r="H146" s="223"/>
      <c r="I146" s="223"/>
      <c r="J146" s="223"/>
    </row>
    <row r="147" spans="2:10" ht="23.25" x14ac:dyDescent="0.35">
      <c r="B147" s="225"/>
      <c r="C147" s="223"/>
      <c r="D147" s="223"/>
      <c r="E147" s="223"/>
      <c r="F147" s="223"/>
      <c r="G147" s="223"/>
      <c r="H147" s="223"/>
      <c r="I147" s="223"/>
      <c r="J147" s="223"/>
    </row>
    <row r="148" spans="2:10" ht="23.25" x14ac:dyDescent="0.35">
      <c r="B148" s="225"/>
      <c r="C148" s="223"/>
      <c r="D148" s="223"/>
      <c r="E148" s="223"/>
      <c r="F148" s="223"/>
      <c r="G148" s="223"/>
      <c r="H148" s="223"/>
      <c r="I148" s="223"/>
      <c r="J148" s="223"/>
    </row>
    <row r="149" spans="2:10" ht="15" x14ac:dyDescent="0.2">
      <c r="B149" s="223"/>
      <c r="C149" s="223"/>
      <c r="D149" s="223"/>
      <c r="E149" s="223"/>
      <c r="F149" s="223"/>
      <c r="G149" s="223"/>
      <c r="H149" s="223"/>
      <c r="I149" s="223"/>
      <c r="J149" s="223"/>
    </row>
    <row r="150" spans="2:10" ht="15" x14ac:dyDescent="0.2">
      <c r="B150" s="223"/>
      <c r="C150" s="223"/>
      <c r="D150" s="223"/>
      <c r="E150" s="223"/>
      <c r="F150" s="223"/>
      <c r="G150" s="223"/>
      <c r="H150" s="223"/>
      <c r="I150" s="223"/>
      <c r="J150" s="223"/>
    </row>
    <row r="151" spans="2:10" ht="15.75" x14ac:dyDescent="0.25">
      <c r="B151" s="205" t="s">
        <v>537</v>
      </c>
      <c r="C151" s="205"/>
      <c r="D151" s="223" t="str">
        <f>'Cover Service Sheet'!D166</f>
        <v>-</v>
      </c>
      <c r="E151" s="223"/>
      <c r="F151" s="223"/>
      <c r="G151" s="223"/>
      <c r="H151" s="223"/>
      <c r="I151" s="223"/>
      <c r="J151" s="223"/>
    </row>
    <row r="152" spans="2:10" ht="15.75" x14ac:dyDescent="0.25">
      <c r="B152" s="205" t="s">
        <v>538</v>
      </c>
      <c r="C152" s="223"/>
      <c r="D152" s="226">
        <f>'Cover Service Sheet'!D111</f>
        <v>0</v>
      </c>
      <c r="E152" s="223"/>
      <c r="F152" s="223"/>
      <c r="G152" s="223"/>
      <c r="H152" s="223"/>
      <c r="I152" s="223"/>
      <c r="J152" s="223"/>
    </row>
    <row r="153" spans="2:10" ht="15" x14ac:dyDescent="0.2">
      <c r="B153" s="223"/>
      <c r="C153" s="223"/>
      <c r="D153" s="223"/>
      <c r="E153" s="223"/>
      <c r="F153" s="223"/>
      <c r="G153" s="223"/>
      <c r="H153" s="223"/>
      <c r="I153" s="223"/>
      <c r="J153" s="223"/>
    </row>
    <row r="154" spans="2:10" ht="15" x14ac:dyDescent="0.2">
      <c r="E154" s="223"/>
      <c r="F154" s="223"/>
      <c r="G154" s="223"/>
      <c r="H154" s="223"/>
      <c r="I154" s="223"/>
      <c r="J154" s="223"/>
    </row>
    <row r="155" spans="2:10" ht="15" x14ac:dyDescent="0.2">
      <c r="E155" s="223"/>
      <c r="F155" s="223"/>
      <c r="G155" s="223"/>
      <c r="H155" s="223"/>
      <c r="I155" s="223"/>
      <c r="J155" s="223"/>
    </row>
  </sheetData>
  <sheetProtection formatColumns="0"/>
  <mergeCells count="49">
    <mergeCell ref="H30:I30"/>
    <mergeCell ref="B103:O103"/>
    <mergeCell ref="B107:O107"/>
    <mergeCell ref="B99:O99"/>
    <mergeCell ref="D17:F17"/>
    <mergeCell ref="H26:I26"/>
    <mergeCell ref="H27:I27"/>
    <mergeCell ref="H28:I28"/>
    <mergeCell ref="H29:I29"/>
    <mergeCell ref="F29:G29"/>
    <mergeCell ref="D19:F19"/>
    <mergeCell ref="D18:F18"/>
    <mergeCell ref="G39:H39"/>
    <mergeCell ref="G40:H40"/>
    <mergeCell ref="H34:I34"/>
    <mergeCell ref="H35:I35"/>
    <mergeCell ref="F30:G30"/>
    <mergeCell ref="F31:G31"/>
    <mergeCell ref="F32:G32"/>
    <mergeCell ref="F33:G33"/>
    <mergeCell ref="F28:G28"/>
    <mergeCell ref="L76:O76"/>
    <mergeCell ref="F34:G34"/>
    <mergeCell ref="F35:G35"/>
    <mergeCell ref="G38:H38"/>
    <mergeCell ref="H31:I31"/>
    <mergeCell ref="D76:F76"/>
    <mergeCell ref="D31:E31"/>
    <mergeCell ref="D32:E32"/>
    <mergeCell ref="D33:E33"/>
    <mergeCell ref="D34:E34"/>
    <mergeCell ref="E40:F40"/>
    <mergeCell ref="D35:E35"/>
    <mergeCell ref="B10:P10"/>
    <mergeCell ref="D74:G74"/>
    <mergeCell ref="D26:E26"/>
    <mergeCell ref="D27:E27"/>
    <mergeCell ref="D28:E28"/>
    <mergeCell ref="D29:E29"/>
    <mergeCell ref="D30:E30"/>
    <mergeCell ref="K72:O75"/>
    <mergeCell ref="B13:O13"/>
    <mergeCell ref="B14:O14"/>
    <mergeCell ref="H32:I32"/>
    <mergeCell ref="H33:I33"/>
    <mergeCell ref="E38:F38"/>
    <mergeCell ref="E39:F39"/>
    <mergeCell ref="F26:G26"/>
    <mergeCell ref="F27:G27"/>
  </mergeCells>
  <phoneticPr fontId="13" type="noConversion"/>
  <conditionalFormatting sqref="D72">
    <cfRule type="cellIs" dxfId="69" priority="6" stopIfTrue="1" operator="equal">
      <formula>"PASS"</formula>
    </cfRule>
    <cfRule type="cellIs" dxfId="68" priority="7" stopIfTrue="1" operator="equal">
      <formula>"FAIL"</formula>
    </cfRule>
  </conditionalFormatting>
  <conditionalFormatting sqref="G40">
    <cfRule type="cellIs" dxfId="67" priority="1" stopIfTrue="1" operator="greaterThanOrEqual">
      <formula>1.19</formula>
    </cfRule>
    <cfRule type="cellIs" dxfId="66" priority="2" stopIfTrue="1" operator="lessThan">
      <formula>1.19</formula>
    </cfRule>
  </conditionalFormatting>
  <conditionalFormatting sqref="K72">
    <cfRule type="cellIs" dxfId="65" priority="11" stopIfTrue="1" operator="equal">
      <formula>"FAIL"</formula>
    </cfRule>
    <cfRule type="cellIs" dxfId="64" priority="12" stopIfTrue="1" operator="equal">
      <formula>"PASS - VERIFIED"</formula>
    </cfRule>
  </conditionalFormatting>
  <conditionalFormatting sqref="L28:L33">
    <cfRule type="cellIs" dxfId="63" priority="3" stopIfTrue="1" operator="between">
      <formula>-0.1</formula>
      <formula>0.1</formula>
    </cfRule>
    <cfRule type="cellIs" dxfId="62" priority="4" stopIfTrue="1" operator="greaterThanOrEqual">
      <formula>0.1</formula>
    </cfRule>
    <cfRule type="cellIs" dxfId="61" priority="5" stopIfTrue="1" operator="lessThan">
      <formula>-0.1</formula>
    </cfRule>
  </conditionalFormatting>
  <conditionalFormatting sqref="O22">
    <cfRule type="cellIs" dxfId="60" priority="8" stopIfTrue="1" operator="greaterThan">
      <formula>0</formula>
    </cfRule>
  </conditionalFormatting>
  <dataValidations count="2">
    <dataValidation type="list" allowBlank="1" showInputMessage="1" showErrorMessage="1" sqref="D72" xr:uid="{00000000-0002-0000-0500-000000000000}">
      <formula1>"PASS, FAIL"</formula1>
    </dataValidation>
    <dataValidation type="list" allowBlank="1" showInputMessage="1" showErrorMessage="1" sqref="K72" xr:uid="{00000000-0002-0000-0500-000001000000}">
      <formula1>"PASS - VERIFIED, FAIL"</formula1>
    </dataValidation>
  </dataValidations>
  <hyperlinks>
    <hyperlink ref="B8" r:id="rId1" xr:uid="{00000000-0004-0000-0500-000000000000}"/>
    <hyperlink ref="B90" r:id="rId2" xr:uid="{1E179079-674B-440C-8543-426B42357BFC}"/>
    <hyperlink ref="R94" r:id="rId3" xr:uid="{B6D448E6-E610-459C-9E07-FC30BE8DB8E4}"/>
    <hyperlink ref="AH94" r:id="rId4" xr:uid="{5442F03E-65AB-4EA2-8873-2DB8DF9BEB35}"/>
    <hyperlink ref="AX94" r:id="rId5" xr:uid="{EC746779-8D7A-44A8-BECC-A81F8EE16E3A}"/>
    <hyperlink ref="BN94" r:id="rId6" xr:uid="{D89FAA8D-D701-4CB1-BA73-7FDC8A2F426D}"/>
    <hyperlink ref="CD94" r:id="rId7" xr:uid="{F95634F5-3121-4DF8-B1EF-EF72E140FDA5}"/>
    <hyperlink ref="CT94" r:id="rId8" xr:uid="{66BE4298-92F4-46A2-BA46-81994890B686}"/>
    <hyperlink ref="DJ94" r:id="rId9" xr:uid="{84F01DF1-58A8-4C62-B3E2-24643A2B88CD}"/>
    <hyperlink ref="DZ94" r:id="rId10" xr:uid="{4D5E235A-F359-46FC-AE55-92E60FBCBF0A}"/>
    <hyperlink ref="EP94" r:id="rId11" xr:uid="{E920B27D-1F78-4843-882E-1E63D1975472}"/>
    <hyperlink ref="FF94" r:id="rId12" xr:uid="{570CE82C-2C78-4175-B081-89AC7FEF00FE}"/>
    <hyperlink ref="FV94" r:id="rId13" xr:uid="{32109244-7524-455B-9D6F-DED3CED75E41}"/>
    <hyperlink ref="GL94" r:id="rId14" xr:uid="{90782FA0-22C0-46CD-BF0E-4805531E0D06}"/>
    <hyperlink ref="HB94" r:id="rId15" xr:uid="{2F9429EF-13BE-4A9C-8A8F-CC1536B63F5B}"/>
    <hyperlink ref="HR94" r:id="rId16" xr:uid="{C80A7384-7458-4671-B4FB-A7F2B84B0D99}"/>
    <hyperlink ref="IH94" r:id="rId17" xr:uid="{67F5CCD4-C104-4742-ADA8-20443C54A9AD}"/>
    <hyperlink ref="IX94" r:id="rId18" xr:uid="{01367CB3-05D5-47C7-A44B-D6532CA344C1}"/>
    <hyperlink ref="JN94" r:id="rId19" xr:uid="{FFC723FE-3E3B-4FE5-A1E8-7BF3DC4FF1EE}"/>
    <hyperlink ref="KD94" r:id="rId20" xr:uid="{1BE43E76-A536-4DDE-BE74-F5C5BAD3DC2F}"/>
    <hyperlink ref="KT94" r:id="rId21" xr:uid="{014B1EE6-C2DF-4D37-933B-9A3F6A436FA0}"/>
    <hyperlink ref="LJ94" r:id="rId22" xr:uid="{F1D8F6CD-D561-4844-B444-A62F86F29C40}"/>
    <hyperlink ref="LZ94" r:id="rId23" xr:uid="{5A2701E1-05A5-4AE3-9B32-4AFDBAC352BE}"/>
    <hyperlink ref="MP94" r:id="rId24" xr:uid="{F8587AE8-DD29-4061-93FF-C492720DEC27}"/>
    <hyperlink ref="NF94" r:id="rId25" xr:uid="{7200B901-FDAF-4E75-B662-BA51A2EDD9E3}"/>
    <hyperlink ref="NV94" r:id="rId26" xr:uid="{97B32E39-0AD8-49C2-BF20-377D8785F407}"/>
    <hyperlink ref="OL94" r:id="rId27" xr:uid="{427008A5-724F-4162-9D3A-7AB980AD0635}"/>
    <hyperlink ref="PB94" r:id="rId28" xr:uid="{B7141FD8-DD16-4021-9E2F-1701615B389A}"/>
    <hyperlink ref="PR94" r:id="rId29" xr:uid="{9B1F9DE3-03FF-4EB0-A2FE-140C7804501B}"/>
    <hyperlink ref="QH94" r:id="rId30" xr:uid="{AE44BB23-E91A-42D6-91FC-27E4B280E533}"/>
    <hyperlink ref="QX94" r:id="rId31" xr:uid="{47FAAD13-128E-4942-AD9B-1E230AA2A297}"/>
    <hyperlink ref="RN94" r:id="rId32" xr:uid="{70447E26-69A7-4F2D-BA7F-0DE44A37D4E2}"/>
    <hyperlink ref="SD94" r:id="rId33" xr:uid="{30402A53-63C4-49B1-A239-3B133BA4C6CA}"/>
    <hyperlink ref="ST94" r:id="rId34" xr:uid="{5C8102D8-025D-412C-89F2-B2F1881E44C1}"/>
    <hyperlink ref="TJ94" r:id="rId35" xr:uid="{90912078-BF25-4E22-8C43-45B0149B3B45}"/>
    <hyperlink ref="TZ94" r:id="rId36" xr:uid="{86BA3651-1F47-4713-A5F8-25E47D1CA1B1}"/>
    <hyperlink ref="UP94" r:id="rId37" xr:uid="{95C8EA61-6ECD-411E-B0D4-AB4B3F54F5DA}"/>
    <hyperlink ref="VF94" r:id="rId38" xr:uid="{6693A813-272C-4F40-97BE-8E80C6D85F36}"/>
    <hyperlink ref="VV94" r:id="rId39" xr:uid="{314C21A2-DB0A-4D45-A803-ABD51D21DF2D}"/>
    <hyperlink ref="WL94" r:id="rId40" xr:uid="{D3ACA495-B790-43ED-9203-6831BE11803F}"/>
    <hyperlink ref="XB94" r:id="rId41" xr:uid="{913E3561-4257-4F9E-8722-79C00A465C5A}"/>
    <hyperlink ref="XR94" r:id="rId42" xr:uid="{627387F1-F5A8-4945-8C10-26639C956985}"/>
    <hyperlink ref="YH94" r:id="rId43" xr:uid="{21B39C6A-D702-482C-AD54-9113AFE0AE4C}"/>
    <hyperlink ref="YX94" r:id="rId44" xr:uid="{3AEFBE37-45A8-4D35-86C5-B7BDE74FCD90}"/>
    <hyperlink ref="ZN94" r:id="rId45" xr:uid="{F82826C0-7CBA-4E8E-8811-DC3298EF3F9E}"/>
    <hyperlink ref="AAD94" r:id="rId46" xr:uid="{66F2FA79-566F-4DF7-B2EC-0CF286E92C26}"/>
    <hyperlink ref="AAT94" r:id="rId47" xr:uid="{6A00465C-AD91-4560-8F54-8091A005F1F9}"/>
    <hyperlink ref="ABJ94" r:id="rId48" xr:uid="{0E936B4C-85F9-4FA2-831B-00BAF2640E52}"/>
    <hyperlink ref="ABZ94" r:id="rId49" xr:uid="{CF450D91-B6F5-4A32-96B9-06FB8246CB0E}"/>
    <hyperlink ref="ACP94" r:id="rId50" xr:uid="{D627CB95-8C88-43B8-A4D2-FD34D266D48E}"/>
    <hyperlink ref="ADF94" r:id="rId51" xr:uid="{76AA9839-CED7-4CBA-A8CF-2D13DA8C32DC}"/>
    <hyperlink ref="ADV94" r:id="rId52" xr:uid="{35B207AD-C97B-4745-B17F-38B849F120BF}"/>
    <hyperlink ref="AEL94" r:id="rId53" xr:uid="{A8CF7559-F1C3-41FE-932E-64AE3CF5F39F}"/>
    <hyperlink ref="AFB94" r:id="rId54" xr:uid="{115E87BC-39CC-46CE-BCD4-F717D8C533DE}"/>
    <hyperlink ref="AFR94" r:id="rId55" xr:uid="{E1DE05EA-B8AF-46F7-9A0E-02B7C4A5A5C1}"/>
    <hyperlink ref="AGH94" r:id="rId56" xr:uid="{F4439A00-F3D7-404D-A86E-A5E8672278B0}"/>
    <hyperlink ref="AGX94" r:id="rId57" xr:uid="{C36C81CA-DDF1-4966-9D1D-0159DD85F3ED}"/>
    <hyperlink ref="AHN94" r:id="rId58" xr:uid="{8FB696F7-D2DB-4B73-BA33-BD229354E978}"/>
    <hyperlink ref="AID94" r:id="rId59" xr:uid="{4EE11DFC-283A-4C93-96A3-29BC4BF0AFAE}"/>
    <hyperlink ref="AIT94" r:id="rId60" xr:uid="{53688D9C-5D26-414A-9EEE-BAEDB0D21C14}"/>
    <hyperlink ref="AJJ94" r:id="rId61" xr:uid="{9556FC86-EA59-4726-A4F1-7CD5D97A5B48}"/>
    <hyperlink ref="AJZ94" r:id="rId62" xr:uid="{24D563BF-C213-4D1B-BB1A-CB950A9F5A3E}"/>
    <hyperlink ref="AKP94" r:id="rId63" xr:uid="{11C1CB1A-974D-434B-80D3-77800A190746}"/>
    <hyperlink ref="ALF94" r:id="rId64" xr:uid="{E6F2C50D-9CC9-4EEE-9213-264F38D9BE63}"/>
    <hyperlink ref="ALV94" r:id="rId65" xr:uid="{CEDA794B-09D0-40A4-B7D6-57F5604A7129}"/>
    <hyperlink ref="AML94" r:id="rId66" xr:uid="{67603545-DC13-4952-BAE6-7E453C54312F}"/>
    <hyperlink ref="ANB94" r:id="rId67" xr:uid="{C8C185DE-8093-463E-81CA-86A9EA3BF337}"/>
    <hyperlink ref="ANR94" r:id="rId68" xr:uid="{F7B17B09-56BF-4E3D-9406-C7F6AAE8CC00}"/>
    <hyperlink ref="AOH94" r:id="rId69" xr:uid="{CDACDFDE-1D91-4DEB-BFAA-1460CC50D983}"/>
    <hyperlink ref="AOX94" r:id="rId70" xr:uid="{C004F7AD-9C8A-427E-A60C-B05C7C51B7E7}"/>
    <hyperlink ref="APN94" r:id="rId71" xr:uid="{A564F372-C798-469E-8187-78F8EB5D586D}"/>
    <hyperlink ref="AQD94" r:id="rId72" xr:uid="{55388828-5767-4DF1-B6EE-4DDEA4350260}"/>
    <hyperlink ref="AQT94" r:id="rId73" xr:uid="{0FDA36D7-DCD0-42F9-B16B-4C9AC39A4D98}"/>
    <hyperlink ref="ARJ94" r:id="rId74" xr:uid="{76B568FD-9627-488E-87E2-0D7A890519C8}"/>
    <hyperlink ref="ARZ94" r:id="rId75" xr:uid="{B74FF885-39D0-424B-9248-B2B789D4403B}"/>
    <hyperlink ref="ASP94" r:id="rId76" xr:uid="{03E306CE-5B9A-43DD-9D03-33E53954559C}"/>
    <hyperlink ref="ATF94" r:id="rId77" xr:uid="{9B93F398-5227-4877-B57E-53DB877A42D7}"/>
    <hyperlink ref="ATV94" r:id="rId78" xr:uid="{AAF242AE-D65E-4B99-9FDB-0BB57B6047CF}"/>
    <hyperlink ref="AUL94" r:id="rId79" xr:uid="{4D318C99-BB53-4182-8C3E-FFE60C5212D4}"/>
    <hyperlink ref="AVB94" r:id="rId80" xr:uid="{B4077C6D-FD2D-46DF-AC78-AB8CC619217C}"/>
    <hyperlink ref="AVR94" r:id="rId81" xr:uid="{24C99A3E-94A5-49E1-B70E-7430E3D00348}"/>
    <hyperlink ref="AWH94" r:id="rId82" xr:uid="{7D255711-B430-4478-BB74-C4B9CA7B9F9E}"/>
    <hyperlink ref="AWX94" r:id="rId83" xr:uid="{5F296748-9359-4C49-8D64-DBCF3BFAB2BF}"/>
    <hyperlink ref="AXN94" r:id="rId84" xr:uid="{7DE91D03-36E0-4C14-A6B3-50D3A1CAA4F9}"/>
    <hyperlink ref="AYD94" r:id="rId85" xr:uid="{1251BE74-387F-4ECE-8440-B7C3379D4194}"/>
    <hyperlink ref="AYT94" r:id="rId86" xr:uid="{ADDD3820-4E52-4E1A-8EE7-BC4AE5997759}"/>
    <hyperlink ref="AZJ94" r:id="rId87" xr:uid="{3596AC55-3E7E-4B92-BCF2-000C65A8284A}"/>
    <hyperlink ref="AZZ94" r:id="rId88" xr:uid="{12AE26A3-1176-43C7-AF59-84A9D7A820D3}"/>
    <hyperlink ref="BAP94" r:id="rId89" xr:uid="{B100CF82-C7EE-420F-82A5-6B1E8A537FC1}"/>
    <hyperlink ref="BBF94" r:id="rId90" xr:uid="{FFAABF21-0287-4C25-A687-096657DE099E}"/>
    <hyperlink ref="BBV94" r:id="rId91" xr:uid="{96064DB3-B964-4B7B-A5E1-09BE9B1DEFE4}"/>
    <hyperlink ref="BCL94" r:id="rId92" xr:uid="{6BB63856-6D45-48F1-A742-71001BC27703}"/>
    <hyperlink ref="BDB94" r:id="rId93" xr:uid="{0E26DEA3-251A-4450-8FE0-57CED1AEF7FB}"/>
    <hyperlink ref="BDR94" r:id="rId94" xr:uid="{5E50E6B9-432E-41B5-AD64-E371559C60DB}"/>
    <hyperlink ref="BEH94" r:id="rId95" xr:uid="{37F21F3A-3C7C-4C95-9388-1347BDCECDC6}"/>
    <hyperlink ref="BEX94" r:id="rId96" xr:uid="{9D6F6A5D-358E-4D25-AA17-DDA2A0072A9F}"/>
    <hyperlink ref="BFN94" r:id="rId97" xr:uid="{58C9EBF1-C322-471E-8F4C-D025D6B072D1}"/>
    <hyperlink ref="BGD94" r:id="rId98" xr:uid="{BEA491CA-750B-456B-8790-797DC1B7F76F}"/>
    <hyperlink ref="BGT94" r:id="rId99" xr:uid="{D2EC9D08-AB19-4FC9-8D9D-C5C6B6B5BF4E}"/>
    <hyperlink ref="BHJ94" r:id="rId100" xr:uid="{1B6D8E16-8E12-4EE0-BE44-838B71AF5AD5}"/>
    <hyperlink ref="BHZ94" r:id="rId101" xr:uid="{7D34715C-E275-46FA-B50E-66B145C55648}"/>
    <hyperlink ref="BIP94" r:id="rId102" xr:uid="{0FF20A2B-0899-4BDC-ADB0-1BE9D1FFB39C}"/>
    <hyperlink ref="BJF94" r:id="rId103" xr:uid="{68DBEC2C-1449-4089-90B2-4582EED2D1E7}"/>
    <hyperlink ref="BJV94" r:id="rId104" xr:uid="{D50F0587-F10F-49FA-B8DB-FB2BFA0A7F11}"/>
    <hyperlink ref="BKL94" r:id="rId105" xr:uid="{ED1BA6CB-E931-44EE-A1FF-42623634BF51}"/>
    <hyperlink ref="BLB94" r:id="rId106" xr:uid="{E9D4E11E-5F1D-499F-99A1-EABE1E8EB9EB}"/>
    <hyperlink ref="BLR94" r:id="rId107" xr:uid="{2051FF20-8C8F-46AC-85BE-D23B9BCD68BE}"/>
    <hyperlink ref="BMH94" r:id="rId108" xr:uid="{C5EA4576-32EE-4FF5-925B-B5AC0DCA56BD}"/>
    <hyperlink ref="BMX94" r:id="rId109" xr:uid="{5D4E7BAC-57E5-4577-87B0-D9E96C1FB04D}"/>
    <hyperlink ref="BNN94" r:id="rId110" xr:uid="{62004CE4-E41B-462B-8CFF-B99D16282CEE}"/>
    <hyperlink ref="BOD94" r:id="rId111" xr:uid="{0AC578DB-D3BD-44CE-A35A-3C1B67168BA0}"/>
    <hyperlink ref="BOT94" r:id="rId112" xr:uid="{854F3F6B-7344-43F7-A429-9AF559589200}"/>
    <hyperlink ref="BPJ94" r:id="rId113" xr:uid="{33542AFD-F392-46E0-9408-B60D6F8CD556}"/>
    <hyperlink ref="BPZ94" r:id="rId114" xr:uid="{304F1FE9-489E-4343-81DD-AEB3563C397D}"/>
    <hyperlink ref="BQP94" r:id="rId115" xr:uid="{79CE0D5A-B23E-4F1B-A7B4-0B9E422103DA}"/>
    <hyperlink ref="BRF94" r:id="rId116" xr:uid="{924867D3-72AB-4B0E-B42F-CF0DFBEAEAFE}"/>
    <hyperlink ref="BRV94" r:id="rId117" xr:uid="{43DFB2EB-05A1-4B81-8A54-782C1E6AD2E1}"/>
    <hyperlink ref="BSL94" r:id="rId118" xr:uid="{4C1B03DD-0550-454E-9EF5-4F0A8CBBB925}"/>
    <hyperlink ref="BTB94" r:id="rId119" xr:uid="{584150A6-970C-46C6-9C2E-E7352354F978}"/>
    <hyperlink ref="BTR94" r:id="rId120" xr:uid="{0ABDC34C-180A-4A04-B212-0FF6B1930E58}"/>
    <hyperlink ref="BUH94" r:id="rId121" xr:uid="{0C31E8C2-4B3D-4E40-9FE8-DD18A6428A7A}"/>
    <hyperlink ref="BUX94" r:id="rId122" xr:uid="{98FE4069-C5BE-4E41-823F-2677A78D3529}"/>
    <hyperlink ref="BVN94" r:id="rId123" xr:uid="{065B8FCE-D0F6-4A3B-9658-97CD7320954F}"/>
    <hyperlink ref="BWD94" r:id="rId124" xr:uid="{766DADF3-2766-408C-BDA3-3A971FF7BA6F}"/>
    <hyperlink ref="BWT94" r:id="rId125" xr:uid="{D6FC4128-9C4C-475F-B530-8037A2EE19D5}"/>
    <hyperlink ref="BXJ94" r:id="rId126" xr:uid="{3DEFE878-8937-4201-9D94-14E6BDC861D6}"/>
    <hyperlink ref="BXZ94" r:id="rId127" xr:uid="{D9955DFC-359D-49FE-A726-7488F93D370C}"/>
    <hyperlink ref="BYP94" r:id="rId128" xr:uid="{F5FBC057-405C-4A2B-B439-DFE1F22F4902}"/>
    <hyperlink ref="BZF94" r:id="rId129" xr:uid="{3B954912-02F6-4B5B-BF6D-63B077DF2EDB}"/>
    <hyperlink ref="BZV94" r:id="rId130" xr:uid="{0D820B2C-3448-4A3F-BD19-210600052812}"/>
    <hyperlink ref="CAL94" r:id="rId131" xr:uid="{70AE88E0-28AF-4A91-A276-E4AFB7E96AB8}"/>
    <hyperlink ref="CBB94" r:id="rId132" xr:uid="{419F07A0-1146-4B19-AE7A-44C4FF36F980}"/>
    <hyperlink ref="CBR94" r:id="rId133" xr:uid="{71831BF1-8D4C-409E-9B42-C65435A35664}"/>
    <hyperlink ref="CCH94" r:id="rId134" xr:uid="{EC2237FA-C1C6-43CD-9EAD-84CA87E77E26}"/>
    <hyperlink ref="CCX94" r:id="rId135" xr:uid="{CB22AD8E-97D4-4EDC-AD91-F8B956B0A6E4}"/>
    <hyperlink ref="CDN94" r:id="rId136" xr:uid="{EDBABA39-4CFC-4EAF-8954-8B8D2BCDDB21}"/>
    <hyperlink ref="CED94" r:id="rId137" xr:uid="{C9EEA544-4CA0-4091-803D-75789E0AD4AC}"/>
    <hyperlink ref="CET94" r:id="rId138" xr:uid="{E552191F-B075-44F7-9F99-D4C7C586F19C}"/>
    <hyperlink ref="CFJ94" r:id="rId139" xr:uid="{E4734FD6-B63B-418C-946F-2B169D05E7EB}"/>
    <hyperlink ref="CFZ94" r:id="rId140" xr:uid="{A97C8F1D-53C6-4B50-9BB5-6D61D7E92CB9}"/>
    <hyperlink ref="CGP94" r:id="rId141" xr:uid="{649F7949-2042-434C-8428-BB019EB438CA}"/>
    <hyperlink ref="CHF94" r:id="rId142" xr:uid="{67E5988B-7786-484E-AA15-F8355819B869}"/>
    <hyperlink ref="CHV94" r:id="rId143" xr:uid="{738DABF0-F01C-463D-B549-E7419668F033}"/>
    <hyperlink ref="CIL94" r:id="rId144" xr:uid="{8545A0CD-5D15-4109-BC2B-78AC76603549}"/>
    <hyperlink ref="CJB94" r:id="rId145" xr:uid="{3F11CE75-C45D-4736-A747-01A77A54D710}"/>
    <hyperlink ref="CJR94" r:id="rId146" xr:uid="{EF1E8792-AE69-485F-8A33-574D2239C2C7}"/>
    <hyperlink ref="CKH94" r:id="rId147" xr:uid="{4F47B264-4D86-4E27-9E0A-7460B048849B}"/>
    <hyperlink ref="CKX94" r:id="rId148" xr:uid="{A1724217-D5FE-4BC7-B967-00DFFDD2D85C}"/>
    <hyperlink ref="CLN94" r:id="rId149" xr:uid="{A775B6F1-1914-49D4-AB0B-123F0F4B621A}"/>
    <hyperlink ref="CMD94" r:id="rId150" xr:uid="{37EB9855-ACF1-43EC-B2F7-6CB6DC3EE767}"/>
    <hyperlink ref="CMT94" r:id="rId151" xr:uid="{FAAE82EB-5F91-45B6-9876-7A3D9DD23EA5}"/>
    <hyperlink ref="CNJ94" r:id="rId152" xr:uid="{A2064695-1B0D-47AE-8729-D399771D293A}"/>
    <hyperlink ref="CNZ94" r:id="rId153" xr:uid="{56415023-FEF2-475D-BB57-DCFDD112BEC5}"/>
    <hyperlink ref="COP94" r:id="rId154" xr:uid="{69FA7776-9B4C-4257-8E0C-B9BD8926F62E}"/>
    <hyperlink ref="CPF94" r:id="rId155" xr:uid="{DD80A354-3FEA-4A9F-98EF-6C47E88D9812}"/>
    <hyperlink ref="CPV94" r:id="rId156" xr:uid="{0024D125-CE56-4D3B-A6F3-52E8FA74E9FD}"/>
    <hyperlink ref="CQL94" r:id="rId157" xr:uid="{EF9C01E1-B1E4-4154-9E8D-E4FA1EC56712}"/>
    <hyperlink ref="CRB94" r:id="rId158" xr:uid="{0A6DBEDE-0BD4-4BBE-9467-951B9CC1EFCD}"/>
    <hyperlink ref="CRR94" r:id="rId159" xr:uid="{A48609C5-965D-4813-910C-0CEBC6B2A45D}"/>
    <hyperlink ref="CSH94" r:id="rId160" xr:uid="{8D377D29-2183-4669-8847-9F9A2D3DE740}"/>
    <hyperlink ref="CSX94" r:id="rId161" xr:uid="{5C87D8A2-0FAB-45B9-A866-EFACF30F2CD1}"/>
    <hyperlink ref="CTN94" r:id="rId162" xr:uid="{3D6025BB-FDB8-4656-82EF-B305540208D0}"/>
    <hyperlink ref="CUD94" r:id="rId163" xr:uid="{0CE667BD-EB84-400B-BF0C-32DA8C8125CA}"/>
    <hyperlink ref="CUT94" r:id="rId164" xr:uid="{82BDEAFF-117D-4DBA-82EE-5D3FDACFFF95}"/>
    <hyperlink ref="CVJ94" r:id="rId165" xr:uid="{324EF2A7-1741-426C-B3DD-AB510103B9DD}"/>
    <hyperlink ref="CVZ94" r:id="rId166" xr:uid="{FAE66235-00BE-4433-A21A-EF5035127C2C}"/>
    <hyperlink ref="CWP94" r:id="rId167" xr:uid="{8E90A876-6C74-4D2A-878F-199F306947F9}"/>
    <hyperlink ref="CXF94" r:id="rId168" xr:uid="{F0223AD9-0B3D-446D-BB0E-3CA726AB7703}"/>
    <hyperlink ref="CXV94" r:id="rId169" xr:uid="{8EB93BEA-74E2-4F2A-8D9A-FDEF77381880}"/>
    <hyperlink ref="CYL94" r:id="rId170" xr:uid="{C3408ADD-2715-4E67-A85C-3CB13C55F62C}"/>
    <hyperlink ref="CZB94" r:id="rId171" xr:uid="{A5230CF6-FC03-46C8-B237-F516D31E9A92}"/>
    <hyperlink ref="CZR94" r:id="rId172" xr:uid="{D6B8BC61-33C0-404A-BA60-CD6B9100E9D0}"/>
    <hyperlink ref="DAH94" r:id="rId173" xr:uid="{D253E6F3-DD21-4FEA-B089-52B1E8BE3511}"/>
    <hyperlink ref="DAX94" r:id="rId174" xr:uid="{2087B09D-24B0-4234-A77F-F78713D81DA5}"/>
    <hyperlink ref="DBN94" r:id="rId175" xr:uid="{239A6C51-ED20-4120-A113-658B43F5E727}"/>
    <hyperlink ref="DCD94" r:id="rId176" xr:uid="{02AB4A7E-5647-4C6A-B025-21023E84FD92}"/>
    <hyperlink ref="DCT94" r:id="rId177" xr:uid="{5750F32B-40CD-4AAC-A7BD-4ED6C1C75E8B}"/>
    <hyperlink ref="DDJ94" r:id="rId178" xr:uid="{230DDFE5-1F4B-4032-A85C-3E853DE9C230}"/>
    <hyperlink ref="DDZ94" r:id="rId179" xr:uid="{594A3E80-B982-4A3D-BB00-EDF3A4CAAEAD}"/>
    <hyperlink ref="DEP94" r:id="rId180" xr:uid="{AB2AF1BF-3002-464B-A60F-A96E461F2E82}"/>
    <hyperlink ref="DFF94" r:id="rId181" xr:uid="{F86F4BBC-05C7-465B-A876-6D8E27F62A32}"/>
    <hyperlink ref="DFV94" r:id="rId182" xr:uid="{2EEED848-647E-463C-8018-7A93F9233678}"/>
    <hyperlink ref="DGL94" r:id="rId183" xr:uid="{F31AF18F-F2EB-4DBA-B52A-96F393752058}"/>
    <hyperlink ref="DHB94" r:id="rId184" xr:uid="{94685B26-717E-49AF-A4EE-572E4520ACB3}"/>
    <hyperlink ref="DHR94" r:id="rId185" xr:uid="{F31BAA0E-D290-4790-A5DB-73C899F97807}"/>
    <hyperlink ref="DIH94" r:id="rId186" xr:uid="{E3FF72E9-2A46-49E8-B6A5-C4E6A2367332}"/>
    <hyperlink ref="DIX94" r:id="rId187" xr:uid="{7611E598-8723-42B9-9E59-9758950D654C}"/>
    <hyperlink ref="DJN94" r:id="rId188" xr:uid="{C1D586C2-6BFC-457A-8C3D-0798157DAFA6}"/>
    <hyperlink ref="DKD94" r:id="rId189" xr:uid="{150356DD-901A-4476-85FE-EDD737779DCF}"/>
    <hyperlink ref="DKT94" r:id="rId190" xr:uid="{A416E811-0121-4520-ADA0-BA3447D2F1D8}"/>
    <hyperlink ref="DLJ94" r:id="rId191" xr:uid="{017914F3-87E1-4531-B797-08A90DFE67A2}"/>
    <hyperlink ref="DLZ94" r:id="rId192" xr:uid="{FB321946-CC8E-45BF-9321-34F902942F77}"/>
    <hyperlink ref="DMP94" r:id="rId193" xr:uid="{37056398-2776-4AD3-AC13-64E41395E459}"/>
    <hyperlink ref="DNF94" r:id="rId194" xr:uid="{7F5E5C42-0667-445C-B011-0EA901E10F3E}"/>
    <hyperlink ref="DNV94" r:id="rId195" xr:uid="{36F8ECE1-4484-4C0A-98AD-D9C469D71B76}"/>
    <hyperlink ref="DOL94" r:id="rId196" xr:uid="{84CAB9DD-B4EC-409F-94AA-B5377EF0C606}"/>
    <hyperlink ref="DPB94" r:id="rId197" xr:uid="{D313DA5B-7763-4462-989C-96C4CC4DD377}"/>
    <hyperlink ref="DPR94" r:id="rId198" xr:uid="{546554DC-70B4-4EA5-BC20-C33AED6F95FC}"/>
    <hyperlink ref="DQH94" r:id="rId199" xr:uid="{F7D39CA8-FDFE-4748-99A2-EA1DBFF2FFC5}"/>
    <hyperlink ref="DQX94" r:id="rId200" xr:uid="{6A420F60-F4BC-48BE-A1C9-1704A4F34440}"/>
    <hyperlink ref="DRN94" r:id="rId201" xr:uid="{CC75C9EE-F228-4B41-93EC-E49A6123CAF8}"/>
    <hyperlink ref="DSD94" r:id="rId202" xr:uid="{51EA2074-DA98-43D3-82FB-D5E8B8A70F79}"/>
    <hyperlink ref="DST94" r:id="rId203" xr:uid="{44CE9A14-C2E0-4256-AE1A-9A26D3CC8687}"/>
    <hyperlink ref="DTJ94" r:id="rId204" xr:uid="{8B599E8A-C1E1-49B7-9832-D87134C5865A}"/>
    <hyperlink ref="DTZ94" r:id="rId205" xr:uid="{5A845661-7E00-420D-9811-487AAAFB08EC}"/>
    <hyperlink ref="DUP94" r:id="rId206" xr:uid="{9CEE6793-4CC6-4EAA-9E13-1A3F699AF613}"/>
    <hyperlink ref="DVF94" r:id="rId207" xr:uid="{8CD6E825-3552-47A6-8927-79FF8B950AFB}"/>
    <hyperlink ref="DVV94" r:id="rId208" xr:uid="{4682FEBB-B789-4F28-80D0-333323B15870}"/>
    <hyperlink ref="DWL94" r:id="rId209" xr:uid="{7A55723D-60CA-4CE5-B93D-9EFB99D57625}"/>
    <hyperlink ref="DXB94" r:id="rId210" xr:uid="{F965D73C-C32C-4D60-BA1D-2FACEE230C93}"/>
    <hyperlink ref="DXR94" r:id="rId211" xr:uid="{E20CB698-1900-47FC-BCB2-A644831E297F}"/>
    <hyperlink ref="DYH94" r:id="rId212" xr:uid="{271B8ED5-7880-4A70-BADC-8EBCA034E776}"/>
    <hyperlink ref="DYX94" r:id="rId213" xr:uid="{9B73E4EF-D579-4465-AAA1-54CB53124C3C}"/>
    <hyperlink ref="DZN94" r:id="rId214" xr:uid="{F501A4D3-012B-4AE5-A9E6-E6FAB7E6FD4A}"/>
    <hyperlink ref="EAD94" r:id="rId215" xr:uid="{A72AD221-E4C7-409D-A558-3391DE474B63}"/>
    <hyperlink ref="EAT94" r:id="rId216" xr:uid="{5E31DDC6-88F5-48EF-9D63-8FBE4FDD99C4}"/>
    <hyperlink ref="EBJ94" r:id="rId217" xr:uid="{0CF64B40-E2F0-484C-A27E-252E4CE2D385}"/>
    <hyperlink ref="EBZ94" r:id="rId218" xr:uid="{FE562F16-C7A4-4021-B8F9-33B912158CBD}"/>
    <hyperlink ref="ECP94" r:id="rId219" xr:uid="{03C45D40-860D-4AAB-A20B-45270659F681}"/>
    <hyperlink ref="EDF94" r:id="rId220" xr:uid="{7A5FD49B-ABCB-470E-BFB0-88BC56C0AC37}"/>
    <hyperlink ref="EDV94" r:id="rId221" xr:uid="{B69DD864-0B15-4C84-947F-938EC79948CB}"/>
    <hyperlink ref="EEL94" r:id="rId222" xr:uid="{5F1C313E-39FB-4042-BDE9-879A6F998CA0}"/>
    <hyperlink ref="EFB94" r:id="rId223" xr:uid="{915F0D6B-B88B-4C2C-8EAF-D92FF981377A}"/>
    <hyperlink ref="EFR94" r:id="rId224" xr:uid="{4D8B090C-B0DA-44EE-ABE2-B12C045AA2CE}"/>
    <hyperlink ref="EGH94" r:id="rId225" xr:uid="{194CD535-A36F-4E2B-BF06-D335570C72A3}"/>
    <hyperlink ref="EGX94" r:id="rId226" xr:uid="{0DE3BB33-0222-4C2B-9D40-7951794AF04E}"/>
    <hyperlink ref="EHN94" r:id="rId227" xr:uid="{2D06A64D-2FAD-44AC-BF0E-0E901F4AF8C8}"/>
    <hyperlink ref="EID94" r:id="rId228" xr:uid="{85CBD426-B92A-41D0-A373-3EA6DAE8CFEE}"/>
    <hyperlink ref="EIT94" r:id="rId229" xr:uid="{44696E60-EFAA-4AF3-BD71-95D055BB213D}"/>
    <hyperlink ref="EJJ94" r:id="rId230" xr:uid="{39CCCCC9-0DFF-4FA8-8724-1FBEAC498DDD}"/>
    <hyperlink ref="EJZ94" r:id="rId231" xr:uid="{568CE16C-661D-48B2-AD94-49471146E775}"/>
    <hyperlink ref="EKP94" r:id="rId232" xr:uid="{A4806F0A-7FC6-49DB-98D8-47DA88221539}"/>
    <hyperlink ref="ELF94" r:id="rId233" xr:uid="{28FEEF2C-64EF-4CE2-BE50-19BF7CA62D05}"/>
    <hyperlink ref="ELV94" r:id="rId234" xr:uid="{CF12318B-26BF-4E47-828E-C90421443042}"/>
    <hyperlink ref="EML94" r:id="rId235" xr:uid="{2F3F7967-F8F8-4215-86B6-8AF056C4B77A}"/>
    <hyperlink ref="ENB94" r:id="rId236" xr:uid="{5A445972-17C9-4626-B51D-8740E0D32BA1}"/>
    <hyperlink ref="ENR94" r:id="rId237" xr:uid="{10A889A7-3A26-47C4-A920-9E43C5615754}"/>
    <hyperlink ref="EOH94" r:id="rId238" xr:uid="{A52A07F0-D0C8-4AC9-A712-CD4A3CCED81F}"/>
    <hyperlink ref="EOX94" r:id="rId239" xr:uid="{7683F3F2-9F5D-4260-A62A-B420F5DD9263}"/>
    <hyperlink ref="EPN94" r:id="rId240" xr:uid="{1E1BFA86-7890-4A96-A669-FDF583F8D97A}"/>
    <hyperlink ref="EQD94" r:id="rId241" xr:uid="{BCFB96D7-560C-41C2-BE63-B48FDF3917BF}"/>
    <hyperlink ref="EQT94" r:id="rId242" xr:uid="{5F5D06E2-AA60-4989-9620-2453A8C3C861}"/>
    <hyperlink ref="ERJ94" r:id="rId243" xr:uid="{0C9CA6A2-EE31-40E4-8A04-B8E0256945E3}"/>
    <hyperlink ref="ERZ94" r:id="rId244" xr:uid="{32E4861B-177C-491F-858F-FF9C726B999F}"/>
    <hyperlink ref="ESP94" r:id="rId245" xr:uid="{EFCEB673-D2D4-44A2-A180-7D541CFF1DAB}"/>
    <hyperlink ref="ETF94" r:id="rId246" xr:uid="{93C2C88F-26A5-4D20-BE15-98EF91198395}"/>
    <hyperlink ref="ETV94" r:id="rId247" xr:uid="{EDC65B3E-7C9A-44F8-AE8C-B80276D71C0D}"/>
    <hyperlink ref="EUL94" r:id="rId248" xr:uid="{6941F401-4EE7-4F25-A1E4-3DA16997391F}"/>
    <hyperlink ref="EVB94" r:id="rId249" xr:uid="{0DA6BD46-E726-4F13-B1F0-B733BD03CBA7}"/>
    <hyperlink ref="EVR94" r:id="rId250" xr:uid="{D5349F92-B6DA-4477-A366-F8334CF86976}"/>
    <hyperlink ref="EWH94" r:id="rId251" xr:uid="{97A080E7-A2EB-4046-B50F-2875C22242D0}"/>
    <hyperlink ref="EWX94" r:id="rId252" xr:uid="{90BF8FBD-C453-4FDE-A7AD-DB032607FA67}"/>
    <hyperlink ref="EXN94" r:id="rId253" xr:uid="{3EEF73F8-5B5C-4D75-A50D-ECD78114DD3F}"/>
    <hyperlink ref="EYD94" r:id="rId254" xr:uid="{A29AC93B-01E3-42A1-AE1C-D17F3F0DFA24}"/>
    <hyperlink ref="EYT94" r:id="rId255" xr:uid="{EAB20624-6208-4E46-8143-BE03A48966C5}"/>
    <hyperlink ref="EZJ94" r:id="rId256" xr:uid="{B26D6CCE-A861-4982-B85D-ED8E57657D09}"/>
    <hyperlink ref="EZZ94" r:id="rId257" xr:uid="{E50E9CA8-49E6-491E-A334-5997C664F7E0}"/>
    <hyperlink ref="FAP94" r:id="rId258" xr:uid="{11282D7E-D3C3-46F6-A674-9C99247809D1}"/>
    <hyperlink ref="FBF94" r:id="rId259" xr:uid="{8AD7EB9E-CD09-447A-A59E-53C6E0FA9FB3}"/>
    <hyperlink ref="FBV94" r:id="rId260" xr:uid="{73C4447B-3D11-48A1-90B0-862580B0D9DC}"/>
    <hyperlink ref="FCL94" r:id="rId261" xr:uid="{8F97D3F3-2689-4474-9788-CE69AD84A91D}"/>
    <hyperlink ref="FDB94" r:id="rId262" xr:uid="{EC4FD0E2-5213-4BBA-9AD6-F26A5C11FEEA}"/>
    <hyperlink ref="FDR94" r:id="rId263" xr:uid="{53D4847C-D3BA-4D96-A7B4-20B34870FD9E}"/>
    <hyperlink ref="FEH94" r:id="rId264" xr:uid="{CDD9BBCA-39EF-40FA-8034-DD734225CDCC}"/>
    <hyperlink ref="FEX94" r:id="rId265" xr:uid="{A075A5BA-52CA-42D9-8676-26D806B9B6B6}"/>
    <hyperlink ref="FFN94" r:id="rId266" xr:uid="{03FBDE7F-D5A1-4EAC-A65D-4B5D851F4A06}"/>
    <hyperlink ref="FGD94" r:id="rId267" xr:uid="{9D2656FC-ED00-4407-903A-EBA7AB3080D7}"/>
    <hyperlink ref="FGT94" r:id="rId268" xr:uid="{BC743C4C-1582-4249-AD5B-F5D77EEECFD4}"/>
    <hyperlink ref="FHJ94" r:id="rId269" xr:uid="{85D8719C-F1B3-4350-A718-D0C62BFF8AE6}"/>
    <hyperlink ref="FHZ94" r:id="rId270" xr:uid="{1DF4BD84-3C34-45CD-9D6E-14E704A0B9FF}"/>
    <hyperlink ref="FIP94" r:id="rId271" xr:uid="{284B0824-56B6-4966-AB30-002C185E13EA}"/>
    <hyperlink ref="FJF94" r:id="rId272" xr:uid="{CD91AE98-AFA5-4CF2-9392-D54DE3287928}"/>
    <hyperlink ref="FJV94" r:id="rId273" xr:uid="{82BC4A53-4742-4598-9EF5-1D910F61109F}"/>
    <hyperlink ref="FKL94" r:id="rId274" xr:uid="{852420C1-A22B-4AB8-BEA6-D54E265A1C14}"/>
    <hyperlink ref="FLB94" r:id="rId275" xr:uid="{AFBC9B34-0C53-47A1-B03F-16FD34D8F5D5}"/>
    <hyperlink ref="FLR94" r:id="rId276" xr:uid="{0D7155BD-C3EB-4DF1-9642-DF536BD21AB1}"/>
    <hyperlink ref="FMH94" r:id="rId277" xr:uid="{EAFA2E54-F1FC-4CBB-B6B1-6C3AE190D72E}"/>
    <hyperlink ref="FMX94" r:id="rId278" xr:uid="{AA495A17-4CEA-4E9B-9848-127CFA518303}"/>
    <hyperlink ref="FNN94" r:id="rId279" xr:uid="{9A85C146-D0BA-4C89-96E4-83526949A366}"/>
    <hyperlink ref="FOD94" r:id="rId280" xr:uid="{15FFA6DB-7E3B-4AF9-8E9A-6033BC85E7AD}"/>
    <hyperlink ref="FOT94" r:id="rId281" xr:uid="{1CE58CCC-228D-4580-AE37-4F5EB46492BC}"/>
    <hyperlink ref="FPJ94" r:id="rId282" xr:uid="{E0EC0419-9D68-47CC-B585-3CD26E61AAE1}"/>
    <hyperlink ref="FPZ94" r:id="rId283" xr:uid="{589FC9AD-47BC-4E57-9880-1E713D51D2E2}"/>
    <hyperlink ref="FQP94" r:id="rId284" xr:uid="{F6C5B241-080F-48E7-BB4F-AEE78614CD96}"/>
    <hyperlink ref="FRF94" r:id="rId285" xr:uid="{8A5EBC0F-1567-4DE8-8EF7-35268036FEDB}"/>
    <hyperlink ref="FRV94" r:id="rId286" xr:uid="{2A7F37B4-82C3-4613-B6DC-E4B38C0D7452}"/>
    <hyperlink ref="FSL94" r:id="rId287" xr:uid="{0D70F802-74AE-4ECC-8C2C-27201548FF56}"/>
    <hyperlink ref="FTB94" r:id="rId288" xr:uid="{E1DEA327-612A-4D99-AFB6-5925690B6871}"/>
    <hyperlink ref="FTR94" r:id="rId289" xr:uid="{6E9B46CE-9DEF-46EB-A2CF-6F1EB4505265}"/>
    <hyperlink ref="FUH94" r:id="rId290" xr:uid="{7331E5FA-BA6F-4E1F-848A-5DF0F91DC039}"/>
    <hyperlink ref="FUX94" r:id="rId291" xr:uid="{F4AA12F8-F5DC-49D9-ACE4-28AEEDBBE360}"/>
    <hyperlink ref="FVN94" r:id="rId292" xr:uid="{C057A702-2B3E-453B-B126-F5E13B90DF3B}"/>
    <hyperlink ref="FWD94" r:id="rId293" xr:uid="{8463DF2B-6339-467A-AF51-2A7DC1F8481B}"/>
    <hyperlink ref="FWT94" r:id="rId294" xr:uid="{0351FAED-9D75-485E-8FE2-CC54C9A958FD}"/>
    <hyperlink ref="FXJ94" r:id="rId295" xr:uid="{3A2ADEB3-7B1C-4A5E-97D5-C733856B78A3}"/>
    <hyperlink ref="FXZ94" r:id="rId296" xr:uid="{0C36A2BC-F4B0-43FD-94F9-E044683999BE}"/>
    <hyperlink ref="FYP94" r:id="rId297" xr:uid="{DA01E458-77CA-455C-A2AB-DA8A38D1CC30}"/>
    <hyperlink ref="FZF94" r:id="rId298" xr:uid="{12B620B7-51F3-4DAB-AF99-0275A9B05E8B}"/>
    <hyperlink ref="FZV94" r:id="rId299" xr:uid="{2D58B593-1BBC-472E-AA9F-197A736CCD81}"/>
    <hyperlink ref="GAL94" r:id="rId300" xr:uid="{4707B82A-1ED4-4977-AC85-3010F4B04E3A}"/>
    <hyperlink ref="GBB94" r:id="rId301" xr:uid="{586BBA56-96F9-4C93-9CA6-15D98191F580}"/>
    <hyperlink ref="GBR94" r:id="rId302" xr:uid="{CC3DB075-651E-4696-A60D-89586C2E8561}"/>
    <hyperlink ref="GCH94" r:id="rId303" xr:uid="{DC83A6FC-D3A0-4C96-988C-2CD448E47C33}"/>
    <hyperlink ref="GCX94" r:id="rId304" xr:uid="{2CB7B4D5-B3EF-4BFD-B0AB-F1D6A480363C}"/>
    <hyperlink ref="GDN94" r:id="rId305" xr:uid="{A12B09F1-330F-4E7A-A561-E02DAC008491}"/>
    <hyperlink ref="GED94" r:id="rId306" xr:uid="{296EC540-F7E9-41FC-AE00-5148C3220C8E}"/>
    <hyperlink ref="GET94" r:id="rId307" xr:uid="{13BCE70C-2E35-4ABE-AB3B-AB499FBE4CCD}"/>
    <hyperlink ref="GFJ94" r:id="rId308" xr:uid="{0295AF95-AA29-4D5B-9656-0DF00C934731}"/>
    <hyperlink ref="GFZ94" r:id="rId309" xr:uid="{DF35608A-AF55-45B5-9181-395476A254FA}"/>
    <hyperlink ref="GGP94" r:id="rId310" xr:uid="{E906FA0D-859E-4DCC-B037-B9E1FEF00A10}"/>
    <hyperlink ref="GHF94" r:id="rId311" xr:uid="{5B34FB9C-66FF-43FD-AA51-908C83BC9346}"/>
    <hyperlink ref="GHV94" r:id="rId312" xr:uid="{7F23D139-B8F5-4D62-A5F2-0B6BFB7C5CA4}"/>
    <hyperlink ref="GIL94" r:id="rId313" xr:uid="{74F0BA38-C890-4A4D-984D-58AFC3827FD4}"/>
    <hyperlink ref="GJB94" r:id="rId314" xr:uid="{7AE622B9-7046-4F16-8C05-5FE32B2736DB}"/>
    <hyperlink ref="GJR94" r:id="rId315" xr:uid="{37EE78F9-8ACF-49C8-A678-C1320C8C6820}"/>
    <hyperlink ref="GKH94" r:id="rId316" xr:uid="{7E2ECA1B-7462-41DF-A2F3-BF0CD6FF300D}"/>
    <hyperlink ref="GKX94" r:id="rId317" xr:uid="{7130D878-1DD8-4BED-AA07-79CE15FF575A}"/>
    <hyperlink ref="GLN94" r:id="rId318" xr:uid="{58A3F60D-D59E-43EB-AB7A-31B0C4735DD5}"/>
    <hyperlink ref="GMD94" r:id="rId319" xr:uid="{FADC147A-905B-47D0-B490-F3EEC2FBD4A9}"/>
    <hyperlink ref="GMT94" r:id="rId320" xr:uid="{F3E17B4F-A1F0-4F61-8A6C-B3BB72C7ECAA}"/>
    <hyperlink ref="GNJ94" r:id="rId321" xr:uid="{46E8ECE7-10C6-490B-9D28-18E9E7927266}"/>
    <hyperlink ref="GNZ94" r:id="rId322" xr:uid="{52E6E19F-70A3-4D1F-8B2D-C232B8E097C8}"/>
    <hyperlink ref="GOP94" r:id="rId323" xr:uid="{26584416-E75F-42A2-94EA-B0A981B5AC03}"/>
    <hyperlink ref="GPF94" r:id="rId324" xr:uid="{79DF695A-3A2E-40FD-873A-88F32A53DE7B}"/>
    <hyperlink ref="GPV94" r:id="rId325" xr:uid="{5F2AD8EC-0EB4-421F-B8CB-297B9AEC1DB7}"/>
    <hyperlink ref="GQL94" r:id="rId326" xr:uid="{8AF3B037-88BF-4B1C-8474-2B3E4259B60C}"/>
    <hyperlink ref="GRB94" r:id="rId327" xr:uid="{DC050028-B307-4A09-8648-68C20BCB1311}"/>
    <hyperlink ref="GRR94" r:id="rId328" xr:uid="{C458496B-7B04-4B5F-BE9B-1D01AAF7FD72}"/>
    <hyperlink ref="GSH94" r:id="rId329" xr:uid="{70D8DCC6-029F-417A-8BB1-1BA8096F53DD}"/>
    <hyperlink ref="GSX94" r:id="rId330" xr:uid="{E9FDE3DD-379C-4161-AC95-E947B94C0EE0}"/>
    <hyperlink ref="GTN94" r:id="rId331" xr:uid="{5A91E75E-BB88-4219-B492-10D0CFD607B2}"/>
    <hyperlink ref="GUD94" r:id="rId332" xr:uid="{0DE11D21-F83E-47F9-B69B-23D753F006B2}"/>
    <hyperlink ref="GUT94" r:id="rId333" xr:uid="{D3FBBB12-99C1-40B0-A20C-32F3DFB6DACE}"/>
    <hyperlink ref="GVJ94" r:id="rId334" xr:uid="{2AFA8836-71AF-4D5A-A130-DF31F6BA3664}"/>
    <hyperlink ref="GVZ94" r:id="rId335" xr:uid="{CE51CD16-1FA9-44FB-B63C-57C447651CE9}"/>
    <hyperlink ref="GWP94" r:id="rId336" xr:uid="{7DAF71F6-2E18-43A4-A88C-725BE9B00E50}"/>
    <hyperlink ref="GXF94" r:id="rId337" xr:uid="{8C95C0A9-4189-4E27-915C-18C392A7144D}"/>
    <hyperlink ref="GXV94" r:id="rId338" xr:uid="{4F8B0A98-8A79-4344-ACDA-B37D69DD4D24}"/>
    <hyperlink ref="GYL94" r:id="rId339" xr:uid="{F3D67062-E1C9-4D3F-BAC7-50FD9DA9BB27}"/>
    <hyperlink ref="GZB94" r:id="rId340" xr:uid="{AAF9B745-DF3E-41B5-9AED-C234901EFE25}"/>
    <hyperlink ref="GZR94" r:id="rId341" xr:uid="{6309EABA-D058-408B-A6D3-0A87823BE9A5}"/>
    <hyperlink ref="HAH94" r:id="rId342" xr:uid="{ED8D7950-9146-43CD-8ED7-AAE1DC5B795F}"/>
    <hyperlink ref="HAX94" r:id="rId343" xr:uid="{008C2D47-EFC8-465A-8B5D-A0675AFB8334}"/>
    <hyperlink ref="HBN94" r:id="rId344" xr:uid="{D21BC2D8-465D-41D1-BEEE-A296D1C177F6}"/>
    <hyperlink ref="HCD94" r:id="rId345" xr:uid="{61495876-4C67-4F8C-B0BA-46C594D46BD3}"/>
    <hyperlink ref="HCT94" r:id="rId346" xr:uid="{76BB55CD-A73A-405F-98CE-1CC46A3A4193}"/>
    <hyperlink ref="HDJ94" r:id="rId347" xr:uid="{1C54F200-C620-4D3E-84D3-2367A58134D3}"/>
    <hyperlink ref="HDZ94" r:id="rId348" xr:uid="{D419734C-D172-446A-BBCF-4A55C6B91CC8}"/>
    <hyperlink ref="HEP94" r:id="rId349" xr:uid="{966A58DF-7B58-4077-BBFD-91E1E09EC4AD}"/>
    <hyperlink ref="HFF94" r:id="rId350" xr:uid="{B5F39E24-95DD-4F8A-AEF1-BA29D24D2A22}"/>
    <hyperlink ref="HFV94" r:id="rId351" xr:uid="{36422A2A-CDF5-4487-B201-9DBAF45C0AAC}"/>
    <hyperlink ref="HGL94" r:id="rId352" xr:uid="{FE820E7F-7BEE-4458-B934-BC1711F790DA}"/>
    <hyperlink ref="HHB94" r:id="rId353" xr:uid="{1B4CAF52-DB0E-44B4-9874-E16920482A86}"/>
    <hyperlink ref="HHR94" r:id="rId354" xr:uid="{0D29DB26-CAF8-4A4C-B26C-D3DE99AD18F5}"/>
    <hyperlink ref="HIH94" r:id="rId355" xr:uid="{B1062611-7465-4FF5-BC5E-F98177EC0C55}"/>
    <hyperlink ref="HIX94" r:id="rId356" xr:uid="{03BB6A90-6BD6-4ECC-92BE-0CE745156BA5}"/>
    <hyperlink ref="HJN94" r:id="rId357" xr:uid="{3B57C225-FA13-4E5D-93CD-DC1386FC660D}"/>
    <hyperlink ref="HKD94" r:id="rId358" xr:uid="{A371755E-7FB0-4C13-8495-D9D6DCD1D750}"/>
    <hyperlink ref="HKT94" r:id="rId359" xr:uid="{8DE9B5E4-1C8C-46EE-B008-BE0BB4F1374E}"/>
    <hyperlink ref="HLJ94" r:id="rId360" xr:uid="{8A77CD3A-5317-4F78-82A4-5925F9D68D12}"/>
    <hyperlink ref="HLZ94" r:id="rId361" xr:uid="{B384DDEA-8FA7-40E6-AB87-74CCEA8DB654}"/>
    <hyperlink ref="HMP94" r:id="rId362" xr:uid="{AA3B9CE8-04D2-4CCD-9359-CBC861CCF648}"/>
    <hyperlink ref="HNF94" r:id="rId363" xr:uid="{3DD6E4A5-4E41-4A7E-9EC6-56332A574792}"/>
    <hyperlink ref="HNV94" r:id="rId364" xr:uid="{D54A48E5-B1D5-4613-988A-2BDE56CA137C}"/>
    <hyperlink ref="HOL94" r:id="rId365" xr:uid="{6A57CEED-3185-4181-84E0-9485E4079EF3}"/>
    <hyperlink ref="HPB94" r:id="rId366" xr:uid="{D6E9626D-B25F-452F-9A41-2C99C88C5E8E}"/>
    <hyperlink ref="HPR94" r:id="rId367" xr:uid="{E40AF0DD-18EA-4DA0-B001-37BCD18E63AE}"/>
    <hyperlink ref="HQH94" r:id="rId368" xr:uid="{ADD977AC-8C04-4BFF-A23F-6D231C3ADB0E}"/>
    <hyperlink ref="HQX94" r:id="rId369" xr:uid="{E5638E82-CF59-4F5A-8BC1-6775CA1EFF0D}"/>
    <hyperlink ref="HRN94" r:id="rId370" xr:uid="{9F3B3A97-390A-4278-A263-6D8A757E2D63}"/>
    <hyperlink ref="HSD94" r:id="rId371" xr:uid="{FCB926D5-FC39-41EB-9DB9-1955D613343F}"/>
    <hyperlink ref="HST94" r:id="rId372" xr:uid="{D1186730-B90A-4BE0-A982-0532EE71D04E}"/>
    <hyperlink ref="HTJ94" r:id="rId373" xr:uid="{B06BA30A-528B-429E-917A-AEEC0BDFA579}"/>
    <hyperlink ref="HTZ94" r:id="rId374" xr:uid="{18FFD13B-E76E-4622-8543-84481BD46E21}"/>
    <hyperlink ref="HUP94" r:id="rId375" xr:uid="{AF155C3C-1567-46AC-B27B-F671A1661C06}"/>
    <hyperlink ref="HVF94" r:id="rId376" xr:uid="{1DC91956-2CCD-4736-9193-F0D8946C4B8A}"/>
    <hyperlink ref="HVV94" r:id="rId377" xr:uid="{30217B74-D550-412E-8BD3-C3F8D83B253B}"/>
    <hyperlink ref="HWL94" r:id="rId378" xr:uid="{28FECD63-6457-4031-94F3-61C3F1007D85}"/>
    <hyperlink ref="HXB94" r:id="rId379" xr:uid="{8B6C9014-4404-4414-91EE-B097572BFECA}"/>
    <hyperlink ref="HXR94" r:id="rId380" xr:uid="{9081EE83-C244-4B9A-A987-967CFFD090A2}"/>
    <hyperlink ref="HYH94" r:id="rId381" xr:uid="{6D395342-ADD3-485A-89A8-19522BD3C0BB}"/>
    <hyperlink ref="HYX94" r:id="rId382" xr:uid="{0B9AAC10-9F11-407B-A157-BC606CAE1CC3}"/>
    <hyperlink ref="HZN94" r:id="rId383" xr:uid="{8A6EB90A-7279-4EEB-9F77-A99794669EBE}"/>
    <hyperlink ref="IAD94" r:id="rId384" xr:uid="{DB6B507A-4916-4537-86B7-BD4D9831D824}"/>
    <hyperlink ref="IAT94" r:id="rId385" xr:uid="{8C7B5CB0-1BA1-4514-BC7B-1A737EF61530}"/>
    <hyperlink ref="IBJ94" r:id="rId386" xr:uid="{A23EC981-1BF7-4885-A9CD-E7E491FD3018}"/>
    <hyperlink ref="IBZ94" r:id="rId387" xr:uid="{43A2D688-399D-4307-B69D-4911C0D3B89C}"/>
    <hyperlink ref="ICP94" r:id="rId388" xr:uid="{BFCFE29E-A0F4-4541-904F-0DA8F6D90794}"/>
    <hyperlink ref="IDF94" r:id="rId389" xr:uid="{19399545-7EA0-4E81-B2DE-0EE3B57EBFF0}"/>
    <hyperlink ref="IDV94" r:id="rId390" xr:uid="{626A79BC-755F-4D54-9C1E-DF3C1873F926}"/>
    <hyperlink ref="IEL94" r:id="rId391" xr:uid="{9B718790-5895-48D9-BDF5-20B3ADC8DC2C}"/>
    <hyperlink ref="IFB94" r:id="rId392" xr:uid="{4D7E3822-31E1-43CB-8241-1991156CDDE9}"/>
    <hyperlink ref="IFR94" r:id="rId393" xr:uid="{AC44FF4D-3805-42B7-8BA6-3FCC443AAA85}"/>
    <hyperlink ref="IGH94" r:id="rId394" xr:uid="{DC5B70BB-0A03-4C3B-BEAA-24AAE2A79B5B}"/>
    <hyperlink ref="IGX94" r:id="rId395" xr:uid="{39BAED39-793A-4823-8E24-358B458592A4}"/>
    <hyperlink ref="IHN94" r:id="rId396" xr:uid="{2829105A-8AA9-431B-A74A-17535D1F1B14}"/>
    <hyperlink ref="IID94" r:id="rId397" xr:uid="{8C240580-B07D-4D80-B94B-EFB646EE5A68}"/>
    <hyperlink ref="IIT94" r:id="rId398" xr:uid="{E9953001-D61B-416C-88B6-E0F6BF2292F9}"/>
    <hyperlink ref="IJJ94" r:id="rId399" xr:uid="{92414544-3B06-489C-A348-D9604E35B45F}"/>
    <hyperlink ref="IJZ94" r:id="rId400" xr:uid="{7522267C-876F-4E28-B144-ED8576EF1062}"/>
    <hyperlink ref="IKP94" r:id="rId401" xr:uid="{58E83105-C488-4845-8A08-CCF63DC28704}"/>
    <hyperlink ref="ILF94" r:id="rId402" xr:uid="{EB4FD784-B565-45A6-9A5B-A1E72CB4DDD9}"/>
    <hyperlink ref="ILV94" r:id="rId403" xr:uid="{FDB45933-35A2-49B0-B938-44CDEB6F7841}"/>
    <hyperlink ref="IML94" r:id="rId404" xr:uid="{0E136A9B-330A-4D2B-B05B-8CAA591B6933}"/>
    <hyperlink ref="INB94" r:id="rId405" xr:uid="{461778EF-AB7E-46A8-9530-DC8C49A03400}"/>
    <hyperlink ref="INR94" r:id="rId406" xr:uid="{C2EAE14C-158B-4D71-BB90-C0CC0C705C99}"/>
    <hyperlink ref="IOH94" r:id="rId407" xr:uid="{EFA04AF2-283F-48C8-AC9B-0E654DF47733}"/>
    <hyperlink ref="IOX94" r:id="rId408" xr:uid="{49635056-0160-49BC-AF4F-2977B887177B}"/>
    <hyperlink ref="IPN94" r:id="rId409" xr:uid="{739044CC-9F4A-4AB6-9BE2-05DD81824682}"/>
    <hyperlink ref="IQD94" r:id="rId410" xr:uid="{FD3FB3E7-0A7A-46F9-A121-E0EE33F25471}"/>
    <hyperlink ref="IQT94" r:id="rId411" xr:uid="{0EAADFAF-6FE4-4B67-B4B3-5DE99523CADD}"/>
    <hyperlink ref="IRJ94" r:id="rId412" xr:uid="{69C1FC8F-1E0D-4AA0-8CFE-CA6873D4A84C}"/>
    <hyperlink ref="IRZ94" r:id="rId413" xr:uid="{F901BCC0-D767-4B86-8297-A27335EE05C6}"/>
    <hyperlink ref="ISP94" r:id="rId414" xr:uid="{2535A904-A648-4F94-8822-CF3C9751F895}"/>
    <hyperlink ref="ITF94" r:id="rId415" xr:uid="{065935B9-8F1B-4F17-A464-AAA83F688A5E}"/>
    <hyperlink ref="ITV94" r:id="rId416" xr:uid="{4A55C130-4E23-490C-AB2A-0F17719E9512}"/>
    <hyperlink ref="IUL94" r:id="rId417" xr:uid="{CB1BB12F-4BD6-494E-815A-CA5112C6938E}"/>
    <hyperlink ref="IVB94" r:id="rId418" xr:uid="{8750D272-CD0A-4526-89B3-0929C8813AE9}"/>
    <hyperlink ref="IVR94" r:id="rId419" xr:uid="{3D4E0525-F9D1-4709-8CD9-E29649C92A0A}"/>
    <hyperlink ref="IWH94" r:id="rId420" xr:uid="{FE71B117-51C5-4E46-A709-6A8CA545124C}"/>
    <hyperlink ref="IWX94" r:id="rId421" xr:uid="{F2DFCA0A-DFFD-4E04-8B68-71E39359F9F5}"/>
    <hyperlink ref="IXN94" r:id="rId422" xr:uid="{971AECD3-D67E-48D5-980F-4A8C95C904B7}"/>
    <hyperlink ref="IYD94" r:id="rId423" xr:uid="{0AF0D9B4-F3FD-4108-8F89-E3E0A8ABD9AD}"/>
    <hyperlink ref="IYT94" r:id="rId424" xr:uid="{4D38AB19-7B21-430F-88CE-7EC59F53206A}"/>
    <hyperlink ref="IZJ94" r:id="rId425" xr:uid="{2C543B9E-B503-4318-97C7-280109CEEFCF}"/>
    <hyperlink ref="IZZ94" r:id="rId426" xr:uid="{E4DA43DB-AADD-44E1-B332-2EECB8079A6F}"/>
    <hyperlink ref="JAP94" r:id="rId427" xr:uid="{96161AD8-A1F2-4FBC-8937-933D181617E7}"/>
    <hyperlink ref="JBF94" r:id="rId428" xr:uid="{7C7F06D8-A643-4A62-89B2-12506C408FC1}"/>
    <hyperlink ref="JBV94" r:id="rId429" xr:uid="{A6B01730-A258-483E-9E65-279539A1AF46}"/>
    <hyperlink ref="JCL94" r:id="rId430" xr:uid="{7C7936AC-AB70-467C-85C0-6BD57F70198C}"/>
    <hyperlink ref="JDB94" r:id="rId431" xr:uid="{5812EFC3-FDC0-46CF-B72D-AE3830EFF593}"/>
    <hyperlink ref="JDR94" r:id="rId432" xr:uid="{F488CA8E-4127-4AD1-AEEB-7651C33E27B7}"/>
    <hyperlink ref="JEH94" r:id="rId433" xr:uid="{D96C8401-8A99-416A-8706-D2A2A9401C7D}"/>
    <hyperlink ref="JEX94" r:id="rId434" xr:uid="{5EB682D7-60AB-4495-92F9-02A2B9242332}"/>
    <hyperlink ref="JFN94" r:id="rId435" xr:uid="{C6D68118-2A1C-4EA6-8569-14B28155B635}"/>
    <hyperlink ref="JGD94" r:id="rId436" xr:uid="{525205CF-EC14-4C36-BB30-9494C2CE228E}"/>
    <hyperlink ref="JGT94" r:id="rId437" xr:uid="{E70F6059-CE45-4ABD-B2FE-62B012962959}"/>
    <hyperlink ref="JHJ94" r:id="rId438" xr:uid="{7A16D97E-5FD7-4C05-A68C-494A44ADC025}"/>
    <hyperlink ref="JHZ94" r:id="rId439" xr:uid="{3C0F738C-57E5-45A1-B4E1-43FCBFDDA018}"/>
    <hyperlink ref="JIP94" r:id="rId440" xr:uid="{A9E9B5F2-9AFC-4F93-90A4-561C336D52D8}"/>
    <hyperlink ref="JJF94" r:id="rId441" xr:uid="{FCB752F6-36FA-4C04-AAF7-C4243FB01C8D}"/>
    <hyperlink ref="JJV94" r:id="rId442" xr:uid="{ED87D88C-D84A-4DF9-B124-E44540159585}"/>
    <hyperlink ref="JKL94" r:id="rId443" xr:uid="{F33ACFD1-E9A0-4784-8D96-4AF1EC99A314}"/>
    <hyperlink ref="JLB94" r:id="rId444" xr:uid="{1ABEE530-800F-47BE-AEB0-0B99E906DA6E}"/>
    <hyperlink ref="JLR94" r:id="rId445" xr:uid="{871D7C6E-7B65-4AF1-81B9-506748314F00}"/>
    <hyperlink ref="JMH94" r:id="rId446" xr:uid="{2D3C0706-C07E-4A00-AFBE-0B61E785828F}"/>
    <hyperlink ref="JMX94" r:id="rId447" xr:uid="{0763FD4D-8DBA-4F85-AAE2-3029170DE13F}"/>
    <hyperlink ref="JNN94" r:id="rId448" xr:uid="{AFF4794C-B50D-4D2B-8F2B-EBDEF6D40A74}"/>
    <hyperlink ref="JOD94" r:id="rId449" xr:uid="{E5CEBB3D-00CB-46C3-A0DA-13DD23F12557}"/>
    <hyperlink ref="JOT94" r:id="rId450" xr:uid="{B5633915-947E-4DB9-B26B-78894ECF4C32}"/>
    <hyperlink ref="JPJ94" r:id="rId451" xr:uid="{9280903A-1528-4BEC-8616-CEC6074CAF9D}"/>
    <hyperlink ref="JPZ94" r:id="rId452" xr:uid="{00F62404-A9AE-449E-8840-53EEB82D43A6}"/>
    <hyperlink ref="JQP94" r:id="rId453" xr:uid="{A3B5E1F5-1CD8-4A8E-87E3-910886D4E65B}"/>
    <hyperlink ref="JRF94" r:id="rId454" xr:uid="{CA6D57F8-B1AD-4F0C-970C-E0DBF86DD60C}"/>
    <hyperlink ref="JRV94" r:id="rId455" xr:uid="{D52168E4-5528-46DE-9D59-2E6512B28BAD}"/>
    <hyperlink ref="JSL94" r:id="rId456" xr:uid="{CBF526E4-0DB1-4223-A825-6202FA679A3B}"/>
    <hyperlink ref="JTB94" r:id="rId457" xr:uid="{43572C8B-038C-49E9-BDA8-03EDE3571E7B}"/>
    <hyperlink ref="JTR94" r:id="rId458" xr:uid="{CBE9CBF0-D650-4153-83BA-7EE2BEF2E8D0}"/>
    <hyperlink ref="JUH94" r:id="rId459" xr:uid="{059378F3-A76F-43E4-B994-0A9672C750C3}"/>
    <hyperlink ref="JUX94" r:id="rId460" xr:uid="{336E7D23-4C2A-4F32-B72E-AAC67501C7F3}"/>
    <hyperlink ref="JVN94" r:id="rId461" xr:uid="{521B02AD-1E7C-4A7A-BDC1-26C4426C788C}"/>
    <hyperlink ref="JWD94" r:id="rId462" xr:uid="{9E8D3620-1A16-4D86-9FFC-ED72030D6D28}"/>
    <hyperlink ref="JWT94" r:id="rId463" xr:uid="{AB01684C-7B93-476F-9D63-69C68378B89E}"/>
    <hyperlink ref="JXJ94" r:id="rId464" xr:uid="{19FB3679-912C-43D5-9D8F-C888453AD3B6}"/>
    <hyperlink ref="JXZ94" r:id="rId465" xr:uid="{8748B6EE-817E-4B74-B5E4-24B24F7D5C9B}"/>
    <hyperlink ref="JYP94" r:id="rId466" xr:uid="{9C224820-450B-48E5-B127-5BA84E6854E5}"/>
    <hyperlink ref="JZF94" r:id="rId467" xr:uid="{0487EDCF-17BA-46DA-AD9F-0D2B35D05FD7}"/>
    <hyperlink ref="JZV94" r:id="rId468" xr:uid="{7F117466-0FA0-4539-A94D-8FBA01463809}"/>
    <hyperlink ref="KAL94" r:id="rId469" xr:uid="{B28E24A2-FD1C-4ACF-BAD4-A760625483DD}"/>
    <hyperlink ref="KBB94" r:id="rId470" xr:uid="{BFC82D26-F6DA-47CC-93CA-9B5CD9047A81}"/>
    <hyperlink ref="KBR94" r:id="rId471" xr:uid="{F073F3A9-C21D-4033-A0F7-95C878CDBF3A}"/>
    <hyperlink ref="KCH94" r:id="rId472" xr:uid="{02BBFB92-1340-4FF6-90A7-3B83D6D53324}"/>
    <hyperlink ref="KCX94" r:id="rId473" xr:uid="{44FD28D0-8589-458D-BB03-5A006007E1C4}"/>
    <hyperlink ref="KDN94" r:id="rId474" xr:uid="{C53754E6-38F9-410C-B7AA-C4E48EE65520}"/>
    <hyperlink ref="KED94" r:id="rId475" xr:uid="{48A77F73-3D8F-41DE-BF3D-D8CE493D2C60}"/>
    <hyperlink ref="KET94" r:id="rId476" xr:uid="{F8F5EECD-FA8A-42F0-96D9-3BD502393CCC}"/>
    <hyperlink ref="KFJ94" r:id="rId477" xr:uid="{E8EE008D-5B6A-4943-8CC2-F07CD7FCA536}"/>
    <hyperlink ref="KFZ94" r:id="rId478" xr:uid="{3340F0AB-088D-4223-B016-71453FAE4B79}"/>
    <hyperlink ref="KGP94" r:id="rId479" xr:uid="{5F4CF814-29B6-4B2C-9AF5-519229ADDAAA}"/>
    <hyperlink ref="KHF94" r:id="rId480" xr:uid="{8BF17689-5CB8-4059-90D9-70A8A8A7CEB7}"/>
    <hyperlink ref="KHV94" r:id="rId481" xr:uid="{C299621B-BC8C-4308-A2FB-9BAA061C28BF}"/>
    <hyperlink ref="KIL94" r:id="rId482" xr:uid="{7583E778-7239-47C9-AA36-27E489D5481E}"/>
    <hyperlink ref="KJB94" r:id="rId483" xr:uid="{4A829BA3-F69C-4BA7-A515-421C42E9A14C}"/>
    <hyperlink ref="KJR94" r:id="rId484" xr:uid="{79B39E48-DC90-4F0B-937F-23B0A5C3693C}"/>
    <hyperlink ref="KKH94" r:id="rId485" xr:uid="{CA7E4678-6765-474C-80D0-E85FE5327E46}"/>
    <hyperlink ref="KKX94" r:id="rId486" xr:uid="{F712DB6F-50F8-464D-9A5F-A10D24222E03}"/>
    <hyperlink ref="KLN94" r:id="rId487" xr:uid="{302A12B3-7215-4136-9F90-1CBF6C4A34C0}"/>
    <hyperlink ref="KMD94" r:id="rId488" xr:uid="{4BB6034E-5FF3-48E1-BCC8-B419889D6768}"/>
    <hyperlink ref="KMT94" r:id="rId489" xr:uid="{96AA9CEE-3DE1-4375-BD9D-47BE67531B36}"/>
    <hyperlink ref="KNJ94" r:id="rId490" xr:uid="{A75880C8-A825-4520-83EC-4FE2AA618218}"/>
    <hyperlink ref="KNZ94" r:id="rId491" xr:uid="{B029B4DF-7C93-4340-9C07-E227B123E483}"/>
    <hyperlink ref="KOP94" r:id="rId492" xr:uid="{DF0B1653-8062-4D3F-8441-D0758515A2B2}"/>
    <hyperlink ref="KPF94" r:id="rId493" xr:uid="{6AA3D7D6-13BD-453A-BE60-FFB7CC10D7D9}"/>
    <hyperlink ref="KPV94" r:id="rId494" xr:uid="{8AB2D91E-D7C4-4908-935C-B82D52AA74DF}"/>
    <hyperlink ref="KQL94" r:id="rId495" xr:uid="{B5F6BE28-A949-4539-B256-F7F2D6CD5960}"/>
    <hyperlink ref="KRB94" r:id="rId496" xr:uid="{792050CA-1CB9-45A9-B4B6-9056FA2D6FB0}"/>
    <hyperlink ref="KRR94" r:id="rId497" xr:uid="{7DB2DC32-0444-4FFA-A541-E8A8A4877804}"/>
    <hyperlink ref="KSH94" r:id="rId498" xr:uid="{5BC729CC-8A06-4232-AFB7-6CE12D1760CF}"/>
    <hyperlink ref="KSX94" r:id="rId499" xr:uid="{9406941E-40E3-4FD1-9FBC-C91DD940FB9A}"/>
    <hyperlink ref="KTN94" r:id="rId500" xr:uid="{F769785A-D460-49DD-9B46-A4BDFB27D376}"/>
    <hyperlink ref="KUD94" r:id="rId501" xr:uid="{77ED90B8-3C5A-40CB-915B-8586D0442DBC}"/>
    <hyperlink ref="KUT94" r:id="rId502" xr:uid="{1653F7A9-23F9-4F7F-A67A-35BD0A9ADAA4}"/>
    <hyperlink ref="KVJ94" r:id="rId503" xr:uid="{51E71AA6-89DE-4480-B7B8-62E9763C97E7}"/>
    <hyperlink ref="KVZ94" r:id="rId504" xr:uid="{EB796106-27A7-4CA2-B18E-D39D4F9F671E}"/>
    <hyperlink ref="KWP94" r:id="rId505" xr:uid="{ABC75498-40F8-4D4F-AAA4-BF80989F50A9}"/>
    <hyperlink ref="KXF94" r:id="rId506" xr:uid="{23D54D02-7C9E-41DD-AF8A-2E81A76C27FD}"/>
    <hyperlink ref="KXV94" r:id="rId507" xr:uid="{6CCA3824-8C50-4C49-8C56-69A8C8827D0A}"/>
    <hyperlink ref="KYL94" r:id="rId508" xr:uid="{F0EF2170-698F-4D32-95F2-4B0E91F0EB2B}"/>
    <hyperlink ref="KZB94" r:id="rId509" xr:uid="{E91D63DA-53C6-42F7-A7EE-97C26DEDA597}"/>
    <hyperlink ref="KZR94" r:id="rId510" xr:uid="{01DD6392-4A43-4B05-9502-B68A6D5B811C}"/>
    <hyperlink ref="LAH94" r:id="rId511" xr:uid="{55AFD423-2B95-4BAF-A4D5-DE1282A7942B}"/>
    <hyperlink ref="LAX94" r:id="rId512" xr:uid="{B2B764F3-610E-4F85-A88F-E1D0A7C916D6}"/>
    <hyperlink ref="LBN94" r:id="rId513" xr:uid="{9C592B40-75AA-4EAF-8B91-F2EC708816EE}"/>
    <hyperlink ref="LCD94" r:id="rId514" xr:uid="{70487260-F751-44D2-9ADE-D7156AD43D3F}"/>
    <hyperlink ref="LCT94" r:id="rId515" xr:uid="{F02D573D-F63D-411A-B61F-BBBBD2C4C67A}"/>
    <hyperlink ref="LDJ94" r:id="rId516" xr:uid="{D47C52A1-5DC9-453C-BEFE-5999B34B5B29}"/>
    <hyperlink ref="LDZ94" r:id="rId517" xr:uid="{25C65255-C774-4F4D-8858-7E64BF2F1981}"/>
    <hyperlink ref="LEP94" r:id="rId518" xr:uid="{674500B8-82E6-435A-86CB-CC425A958245}"/>
    <hyperlink ref="LFF94" r:id="rId519" xr:uid="{8843ED30-B752-4B8C-974A-FA964BC3DC2B}"/>
    <hyperlink ref="LFV94" r:id="rId520" xr:uid="{4D18A1DC-C46F-4CE4-A115-58B28E226A87}"/>
    <hyperlink ref="LGL94" r:id="rId521" xr:uid="{665688BD-7CAF-4279-A757-B51903A13FEE}"/>
    <hyperlink ref="LHB94" r:id="rId522" xr:uid="{5E702D4D-E82C-42F9-948C-85C5368D9B1B}"/>
    <hyperlink ref="LHR94" r:id="rId523" xr:uid="{F7F9BEB5-6180-496C-893F-38EC323E5BFC}"/>
    <hyperlink ref="LIH94" r:id="rId524" xr:uid="{54CD988A-5C7E-4DB5-B847-1056A415B866}"/>
    <hyperlink ref="LIX94" r:id="rId525" xr:uid="{E6076104-4C60-421B-AD58-B03E60BBAA21}"/>
    <hyperlink ref="LJN94" r:id="rId526" xr:uid="{CD93E0CD-E9E1-4EFC-BE13-035125B56880}"/>
    <hyperlink ref="LKD94" r:id="rId527" xr:uid="{9972D260-2C7B-4112-A4E3-AD95887A461F}"/>
    <hyperlink ref="LKT94" r:id="rId528" xr:uid="{53DB843F-AF56-474D-9B4E-7F0EE59FF6AB}"/>
    <hyperlink ref="LLJ94" r:id="rId529" xr:uid="{6192FAEB-AAB2-4F06-9818-F63957ED4E26}"/>
    <hyperlink ref="LLZ94" r:id="rId530" xr:uid="{1A61BAB4-4D34-4782-8EA7-C00698E98CC8}"/>
    <hyperlink ref="LMP94" r:id="rId531" xr:uid="{6461873C-860F-401E-8339-7500EE5BD5C1}"/>
    <hyperlink ref="LNF94" r:id="rId532" xr:uid="{5912D36C-924C-4015-9878-917EBD86A3BC}"/>
    <hyperlink ref="LNV94" r:id="rId533" xr:uid="{5ED6C841-5B2B-4EF6-A4F9-210D499E189A}"/>
    <hyperlink ref="LOL94" r:id="rId534" xr:uid="{925755C9-8D54-43AA-8497-ABB8ECAF10F2}"/>
    <hyperlink ref="LPB94" r:id="rId535" xr:uid="{375A0239-D387-44BC-AC97-870E5D35A7F3}"/>
    <hyperlink ref="LPR94" r:id="rId536" xr:uid="{E7847C2E-E8C4-4257-B523-6C65E7BE2341}"/>
    <hyperlink ref="LQH94" r:id="rId537" xr:uid="{1A2BCEAF-253F-4D82-A911-57FD2444FDC1}"/>
    <hyperlink ref="LQX94" r:id="rId538" xr:uid="{F16655EC-B6FF-4685-8C09-4939638746E0}"/>
    <hyperlink ref="LRN94" r:id="rId539" xr:uid="{573F2703-546D-4A83-9824-89514B066151}"/>
    <hyperlink ref="LSD94" r:id="rId540" xr:uid="{C5A1D846-97A6-4CC8-8385-3C54DFB7F5BD}"/>
    <hyperlink ref="LST94" r:id="rId541" xr:uid="{FE0DECB2-808E-4A8D-B130-ABEF13D0085D}"/>
    <hyperlink ref="LTJ94" r:id="rId542" xr:uid="{AD31C4E3-E531-462D-96BD-722493869E71}"/>
    <hyperlink ref="LTZ94" r:id="rId543" xr:uid="{4D1BAFB4-70BD-46A1-9C6C-BD0AB20D9B75}"/>
    <hyperlink ref="LUP94" r:id="rId544" xr:uid="{583E5201-3176-4B1D-904B-7E359A597F5F}"/>
    <hyperlink ref="LVF94" r:id="rId545" xr:uid="{03E8461C-EE63-4ACE-8116-7C498AD3F3A2}"/>
    <hyperlink ref="LVV94" r:id="rId546" xr:uid="{E5EF1F2F-F7F9-40D9-AF53-E335EF1DCE3D}"/>
    <hyperlink ref="LWL94" r:id="rId547" xr:uid="{05A0F4A2-7CD3-4B2C-9D93-937612DA0D4E}"/>
    <hyperlink ref="LXB94" r:id="rId548" xr:uid="{3B5F6013-1273-45A0-BA13-39AEDAE8E88C}"/>
    <hyperlink ref="LXR94" r:id="rId549" xr:uid="{D0378102-062D-482C-B9C8-25DF7F68A583}"/>
    <hyperlink ref="LYH94" r:id="rId550" xr:uid="{BF602502-B1D7-484B-8B47-6C78723B432C}"/>
    <hyperlink ref="LYX94" r:id="rId551" xr:uid="{E60D5822-3D99-4E09-BAC9-0E8FAD36D194}"/>
    <hyperlink ref="LZN94" r:id="rId552" xr:uid="{4DF8B5CB-40A3-42C9-A08C-BE75EA55263D}"/>
    <hyperlink ref="MAD94" r:id="rId553" xr:uid="{77083506-B32D-4514-ABEC-37555028B6D8}"/>
    <hyperlink ref="MAT94" r:id="rId554" xr:uid="{D0ECE56E-289A-4BD7-A737-B50C8ED30A37}"/>
    <hyperlink ref="MBJ94" r:id="rId555" xr:uid="{E3C44497-C47F-47C0-83BF-06C2F85906B0}"/>
    <hyperlink ref="MBZ94" r:id="rId556" xr:uid="{C721DE23-EED8-4883-827F-C525D279F86F}"/>
    <hyperlink ref="MCP94" r:id="rId557" xr:uid="{1E9E8FB2-2637-4280-AF4B-6C887AD5A59B}"/>
    <hyperlink ref="MDF94" r:id="rId558" xr:uid="{A26C02D0-1187-4C1B-875E-A9E11F25653F}"/>
    <hyperlink ref="MDV94" r:id="rId559" xr:uid="{D11E9F72-8734-43DC-B01F-E109C832BE82}"/>
    <hyperlink ref="MEL94" r:id="rId560" xr:uid="{71F09E38-CC09-4A38-BE60-C0B62EBB1EB0}"/>
    <hyperlink ref="MFB94" r:id="rId561" xr:uid="{267A345A-5BB4-48EB-963A-686BFF2037E1}"/>
    <hyperlink ref="MFR94" r:id="rId562" xr:uid="{AD3A4595-E916-4814-886D-2ED922B26D28}"/>
    <hyperlink ref="MGH94" r:id="rId563" xr:uid="{C58A36C7-4BF2-4E10-A61F-D7B021ED2423}"/>
    <hyperlink ref="MGX94" r:id="rId564" xr:uid="{0F98B58E-9AA7-44A4-BFF0-BC4E952A5AD7}"/>
    <hyperlink ref="MHN94" r:id="rId565" xr:uid="{7E2260CC-934C-4EE9-8D19-07156E2E4C3C}"/>
    <hyperlink ref="MID94" r:id="rId566" xr:uid="{4A2E79CB-E633-4261-8AF0-6F99EF27C197}"/>
    <hyperlink ref="MIT94" r:id="rId567" xr:uid="{D5BCB40D-8230-4B96-8781-826CB3F22573}"/>
    <hyperlink ref="MJJ94" r:id="rId568" xr:uid="{A84E3364-72B6-4983-9DB8-646E5F1D0C96}"/>
    <hyperlink ref="MJZ94" r:id="rId569" xr:uid="{DE5C3EC4-B057-4EE8-84D3-A8AF6A83B856}"/>
    <hyperlink ref="MKP94" r:id="rId570" xr:uid="{D1600D03-5BAB-4D3D-A667-586DB7700BFA}"/>
    <hyperlink ref="MLF94" r:id="rId571" xr:uid="{CABA9D3D-EFFA-4DB5-B062-A5BB9D7413A2}"/>
    <hyperlink ref="MLV94" r:id="rId572" xr:uid="{2B2F66E7-1376-4B99-8674-C1FCE70F7815}"/>
    <hyperlink ref="MML94" r:id="rId573" xr:uid="{323AC95A-53BF-4821-B8D8-FECD3889CC87}"/>
    <hyperlink ref="MNB94" r:id="rId574" xr:uid="{2DFA3E7B-84DF-4A2A-A7C2-D9C233C222AE}"/>
    <hyperlink ref="MNR94" r:id="rId575" xr:uid="{F136CF3E-D038-4222-870E-E4A8EF11F1F2}"/>
    <hyperlink ref="MOH94" r:id="rId576" xr:uid="{A8DAC2B0-363A-4642-A1A8-EC9EE7CEE5AF}"/>
    <hyperlink ref="MOX94" r:id="rId577" xr:uid="{3C5DF1EF-5196-4CFD-A8C4-5F34A1FD5FF1}"/>
    <hyperlink ref="MPN94" r:id="rId578" xr:uid="{809C431B-429E-43C0-9A55-55FC99724CEA}"/>
    <hyperlink ref="MQD94" r:id="rId579" xr:uid="{770695E4-7275-455B-920D-1B9ED22660BD}"/>
    <hyperlink ref="MQT94" r:id="rId580" xr:uid="{1C31D52B-BA98-4F5C-BDE5-E1B0830D6D48}"/>
    <hyperlink ref="MRJ94" r:id="rId581" xr:uid="{0D51FB93-0574-4389-838A-24145A08AF8D}"/>
    <hyperlink ref="MRZ94" r:id="rId582" xr:uid="{495C5C13-84E8-43C5-8E4B-C49A053EF618}"/>
    <hyperlink ref="MSP94" r:id="rId583" xr:uid="{D6B57324-442D-4FCD-96E4-B56691CE4B25}"/>
    <hyperlink ref="MTF94" r:id="rId584" xr:uid="{16C17A75-EA41-4993-8DC4-A4A989DF5249}"/>
    <hyperlink ref="MTV94" r:id="rId585" xr:uid="{E8062F9E-F4D9-451A-A8AE-CB8A73169493}"/>
    <hyperlink ref="MUL94" r:id="rId586" xr:uid="{A4AC73CF-704A-41C0-B254-F298C4C54600}"/>
    <hyperlink ref="MVB94" r:id="rId587" xr:uid="{D0FB6A43-79F0-4746-9160-1479F496F353}"/>
    <hyperlink ref="MVR94" r:id="rId588" xr:uid="{A1697BFC-D376-4AF4-8314-A67292E79229}"/>
    <hyperlink ref="MWH94" r:id="rId589" xr:uid="{F49B0DB8-9A5D-471E-9061-C1A6A3B3D089}"/>
    <hyperlink ref="MWX94" r:id="rId590" xr:uid="{6660D483-113B-4510-B1B9-28401853CC8A}"/>
    <hyperlink ref="MXN94" r:id="rId591" xr:uid="{74E3BBBF-8114-42E2-B01B-70661ED48D56}"/>
    <hyperlink ref="MYD94" r:id="rId592" xr:uid="{F43E0A12-36A5-4A42-ADC8-61B54913E432}"/>
    <hyperlink ref="MYT94" r:id="rId593" xr:uid="{2F77182A-133F-472F-BFAA-CC065D70FC3C}"/>
    <hyperlink ref="MZJ94" r:id="rId594" xr:uid="{EE67A8DB-2377-4C36-AD51-1B68B495A67A}"/>
    <hyperlink ref="MZZ94" r:id="rId595" xr:uid="{7ACD0E3E-6402-45BC-B139-0031E48427C7}"/>
    <hyperlink ref="NAP94" r:id="rId596" xr:uid="{A5480FBB-2A75-4EA8-A0D8-1B8DA20AA63A}"/>
    <hyperlink ref="NBF94" r:id="rId597" xr:uid="{05493809-DD3D-43E7-A3DA-ECEB46E76389}"/>
    <hyperlink ref="NBV94" r:id="rId598" xr:uid="{2B574F06-DE31-4819-BEF0-6771DCCB7A77}"/>
    <hyperlink ref="NCL94" r:id="rId599" xr:uid="{E6806576-E3E9-4293-A014-E54A5831712F}"/>
    <hyperlink ref="NDB94" r:id="rId600" xr:uid="{96AF63DF-47F4-4EF2-911C-085E469E812F}"/>
    <hyperlink ref="NDR94" r:id="rId601" xr:uid="{98218226-24EA-4D33-8A5C-2322091199D7}"/>
    <hyperlink ref="NEH94" r:id="rId602" xr:uid="{A032BF16-CA2B-49FA-AE8D-61B587D2FBB3}"/>
    <hyperlink ref="NEX94" r:id="rId603" xr:uid="{B6CFB560-D961-4A74-AAF9-6569B7D08778}"/>
    <hyperlink ref="NFN94" r:id="rId604" xr:uid="{B0962C22-C0EF-491B-B831-A8BA69D20328}"/>
    <hyperlink ref="NGD94" r:id="rId605" xr:uid="{0DF65857-3566-4C0C-9473-29D3825C9974}"/>
    <hyperlink ref="NGT94" r:id="rId606" xr:uid="{C9012360-F678-4BFE-9644-4D885CD609C0}"/>
    <hyperlink ref="NHJ94" r:id="rId607" xr:uid="{E7600FC6-A7D6-469B-9715-43AEEAA053BA}"/>
    <hyperlink ref="NHZ94" r:id="rId608" xr:uid="{B2FDE9E4-3A4A-497F-A8E6-C0C193A292BE}"/>
    <hyperlink ref="NIP94" r:id="rId609" xr:uid="{605ADEF1-C7C9-462C-9B1F-BAEA7204DAB1}"/>
    <hyperlink ref="NJF94" r:id="rId610" xr:uid="{790A5570-1071-4D98-AD56-8D939899569C}"/>
    <hyperlink ref="NJV94" r:id="rId611" xr:uid="{8B3285FB-A48D-457B-A745-F237F6A4E94A}"/>
    <hyperlink ref="NKL94" r:id="rId612" xr:uid="{AFCA717E-4619-4029-B70D-E9BF35604513}"/>
    <hyperlink ref="NLB94" r:id="rId613" xr:uid="{AED601E3-ACD1-4C3E-85D6-31B1A428AAF5}"/>
    <hyperlink ref="NLR94" r:id="rId614" xr:uid="{54394929-496F-4D63-8A2C-F478AD89BC0C}"/>
    <hyperlink ref="NMH94" r:id="rId615" xr:uid="{20791581-3D12-4053-88FB-9624C26F39C7}"/>
    <hyperlink ref="NMX94" r:id="rId616" xr:uid="{B2C54E7D-612D-4917-A30B-028AF916A8EE}"/>
    <hyperlink ref="NNN94" r:id="rId617" xr:uid="{319FEF85-BB7E-4A55-BB56-FA824D265342}"/>
    <hyperlink ref="NOD94" r:id="rId618" xr:uid="{AE9D57D5-9102-4E2C-8A6D-E11AF1411970}"/>
    <hyperlink ref="NOT94" r:id="rId619" xr:uid="{6528C515-3531-4C86-AC98-6753FEDA30B1}"/>
    <hyperlink ref="NPJ94" r:id="rId620" xr:uid="{3196972B-7AA4-41F6-ABF5-75BCD85D52A3}"/>
    <hyperlink ref="NPZ94" r:id="rId621" xr:uid="{95F291EC-30D7-42F0-A5D9-A26727BF376C}"/>
    <hyperlink ref="NQP94" r:id="rId622" xr:uid="{B03CF1A8-235D-49C9-9F7F-6777521E7D85}"/>
    <hyperlink ref="NRF94" r:id="rId623" xr:uid="{F3F2F848-FFCC-4EDD-9424-D3A1EC56221B}"/>
    <hyperlink ref="NRV94" r:id="rId624" xr:uid="{503DE315-4E00-48FC-8EE7-A2B5F0041F4F}"/>
    <hyperlink ref="NSL94" r:id="rId625" xr:uid="{5864ED54-CF61-4778-9FF5-0BAE20CBA6BA}"/>
    <hyperlink ref="NTB94" r:id="rId626" xr:uid="{B03958C5-8273-483D-928A-4D41B13A0B40}"/>
    <hyperlink ref="NTR94" r:id="rId627" xr:uid="{526A46BE-3D57-40C8-840D-38D0BFE47B8C}"/>
    <hyperlink ref="NUH94" r:id="rId628" xr:uid="{463AD396-7D45-4D8A-B6CF-E1AFA452DD7A}"/>
    <hyperlink ref="NUX94" r:id="rId629" xr:uid="{6E53D36C-BB09-4968-AF7E-9F25A961111D}"/>
    <hyperlink ref="NVN94" r:id="rId630" xr:uid="{BB04F63F-5302-4671-BB7F-ED56B3F7D29D}"/>
    <hyperlink ref="NWD94" r:id="rId631" xr:uid="{BB184F36-CE5A-4C58-A985-CEFDF110C132}"/>
    <hyperlink ref="NWT94" r:id="rId632" xr:uid="{B4B03D2A-0990-4AD9-BCEB-F48865FEE745}"/>
    <hyperlink ref="NXJ94" r:id="rId633" xr:uid="{61C59F45-26BE-45BE-A012-01F87137458B}"/>
    <hyperlink ref="NXZ94" r:id="rId634" xr:uid="{C9BE280C-E8F2-4E4D-9DFE-8A7CFCDB6C20}"/>
    <hyperlink ref="NYP94" r:id="rId635" xr:uid="{755514E7-A91A-4C11-86E9-BA51D24DEFBE}"/>
    <hyperlink ref="NZF94" r:id="rId636" xr:uid="{65353537-86A3-4618-B652-DAFFB51A22B8}"/>
    <hyperlink ref="NZV94" r:id="rId637" xr:uid="{14B0EF69-1369-4DD3-8EE7-639E070DD041}"/>
    <hyperlink ref="OAL94" r:id="rId638" xr:uid="{275A5276-1B0A-4125-BD6B-B65A33E85367}"/>
    <hyperlink ref="OBB94" r:id="rId639" xr:uid="{F3B76DBD-BEC1-486C-9194-9708DE1E7246}"/>
    <hyperlink ref="OBR94" r:id="rId640" xr:uid="{83731C10-83FB-4FB7-8FC0-2E163139147A}"/>
    <hyperlink ref="OCH94" r:id="rId641" xr:uid="{36ADDA7B-4441-4AA1-A2E4-5BE8E5FD1575}"/>
    <hyperlink ref="OCX94" r:id="rId642" xr:uid="{50CEE79D-2627-41CE-AB95-B6EA870862AF}"/>
    <hyperlink ref="ODN94" r:id="rId643" xr:uid="{19F37E6F-3696-41F4-BD9C-0ECC45A57A9A}"/>
    <hyperlink ref="OED94" r:id="rId644" xr:uid="{D064996D-91E6-4ABD-8799-F8B82B341470}"/>
    <hyperlink ref="OET94" r:id="rId645" xr:uid="{3279FAF5-10D0-4055-A057-5C10CBB684AA}"/>
    <hyperlink ref="OFJ94" r:id="rId646" xr:uid="{D1BDCFDF-B95B-48AB-8AB4-B9E0B33BFB1A}"/>
    <hyperlink ref="OFZ94" r:id="rId647" xr:uid="{5D51EACE-F043-4EF0-99F7-DFED4B1FD1FB}"/>
    <hyperlink ref="OGP94" r:id="rId648" xr:uid="{C298A053-72C9-4C50-98EC-2E580AC99D96}"/>
    <hyperlink ref="OHF94" r:id="rId649" xr:uid="{FC617745-96E4-4EAC-B97A-ABA5FE004438}"/>
    <hyperlink ref="OHV94" r:id="rId650" xr:uid="{E81F4D0D-0AD4-45DC-A4A3-0BC314C7F295}"/>
    <hyperlink ref="OIL94" r:id="rId651" xr:uid="{87C235AD-2807-437D-969A-C450E27351B3}"/>
    <hyperlink ref="OJB94" r:id="rId652" xr:uid="{EFE3F7B3-32FC-4024-AE61-AFFB7774A495}"/>
    <hyperlink ref="OJR94" r:id="rId653" xr:uid="{9548AFCE-F20A-481C-B02B-9BF91A415B5E}"/>
    <hyperlink ref="OKH94" r:id="rId654" xr:uid="{E73BBE18-F951-477B-8AA2-21BEF4168116}"/>
    <hyperlink ref="OKX94" r:id="rId655" xr:uid="{CBCB6F20-D694-4009-811B-9C5145306255}"/>
    <hyperlink ref="OLN94" r:id="rId656" xr:uid="{A6DB5306-8B1B-4616-8189-F76F73B99CF5}"/>
    <hyperlink ref="OMD94" r:id="rId657" xr:uid="{F4FAF673-375A-4B87-81FD-8A525080278D}"/>
    <hyperlink ref="OMT94" r:id="rId658" xr:uid="{34320EED-20B8-436B-9371-9AE940079CD2}"/>
    <hyperlink ref="ONJ94" r:id="rId659" xr:uid="{EE02F59D-5AB4-4BD0-A85F-E564A458C8C6}"/>
    <hyperlink ref="ONZ94" r:id="rId660" xr:uid="{3F41BD2B-BBF1-4572-825D-C53B31ADF71C}"/>
    <hyperlink ref="OOP94" r:id="rId661" xr:uid="{83294BED-B80E-4DF8-A2F0-2BBB681F7DFE}"/>
    <hyperlink ref="OPF94" r:id="rId662" xr:uid="{2C459941-320C-4BEC-AC0D-F551C6436E9D}"/>
    <hyperlink ref="OPV94" r:id="rId663" xr:uid="{A79E8B1D-81C1-48D7-893B-C9444EF9AF6B}"/>
    <hyperlink ref="OQL94" r:id="rId664" xr:uid="{388CEC45-E28F-4286-B694-89198F1EAB11}"/>
    <hyperlink ref="ORB94" r:id="rId665" xr:uid="{8F93B906-B0A5-4C26-941C-7AAB5801556C}"/>
    <hyperlink ref="ORR94" r:id="rId666" xr:uid="{1E6D3B25-0CF6-4BF5-8AB8-70B733B4C702}"/>
    <hyperlink ref="OSH94" r:id="rId667" xr:uid="{D1C69A42-E584-4312-9B10-CA0766B62C87}"/>
    <hyperlink ref="OSX94" r:id="rId668" xr:uid="{0E172561-273F-4BB7-A0AC-9291A6A3425B}"/>
    <hyperlink ref="OTN94" r:id="rId669" xr:uid="{6D8B8511-90F1-43F0-A0FE-0BB39688B10E}"/>
    <hyperlink ref="OUD94" r:id="rId670" xr:uid="{DE1B3DAB-A2FA-4E46-A64D-ED77BAA5BB00}"/>
    <hyperlink ref="OUT94" r:id="rId671" xr:uid="{81594F7A-FB9B-4948-8E6F-2DC4E8325D0D}"/>
    <hyperlink ref="OVJ94" r:id="rId672" xr:uid="{4A8B3EB8-A864-4D17-BB75-00E7F91CF72B}"/>
    <hyperlink ref="OVZ94" r:id="rId673" xr:uid="{3B9B6515-DCB3-449E-ACEF-C8737299BD50}"/>
    <hyperlink ref="OWP94" r:id="rId674" xr:uid="{13B9D2FE-FC9F-4523-BE35-8577DC7CA7CB}"/>
    <hyperlink ref="OXF94" r:id="rId675" xr:uid="{80DF8127-3396-47C8-B7E9-9E2F69E6782A}"/>
    <hyperlink ref="OXV94" r:id="rId676" xr:uid="{D3E52853-9CEC-4034-9E95-ECAEBB8FAEF2}"/>
    <hyperlink ref="OYL94" r:id="rId677" xr:uid="{817B6E18-79E2-48D6-819D-7E53CAB81CDF}"/>
    <hyperlink ref="OZB94" r:id="rId678" xr:uid="{06A8F7CA-2C3A-48EB-840C-96C57D005FE5}"/>
    <hyperlink ref="OZR94" r:id="rId679" xr:uid="{6B617805-1A4B-4FF2-821B-BEC8C635F2AC}"/>
    <hyperlink ref="PAH94" r:id="rId680" xr:uid="{ACFC5E96-1AF6-45F0-BE16-A24AED76F201}"/>
    <hyperlink ref="PAX94" r:id="rId681" xr:uid="{F2E0808C-86AF-45E7-A677-993728214AC4}"/>
    <hyperlink ref="PBN94" r:id="rId682" xr:uid="{4DEC9C26-7CEB-4B88-B16C-6F8008021893}"/>
    <hyperlink ref="PCD94" r:id="rId683" xr:uid="{E9F0CF42-C62E-489F-AD78-58B3F0515EE8}"/>
    <hyperlink ref="PCT94" r:id="rId684" xr:uid="{63D9505D-599C-4FBE-AF06-CB04B7787516}"/>
    <hyperlink ref="PDJ94" r:id="rId685" xr:uid="{CA698EA4-F272-4E77-B864-43FFE13E1E92}"/>
    <hyperlink ref="PDZ94" r:id="rId686" xr:uid="{00021651-1151-4376-BBB5-36E970CA3A80}"/>
    <hyperlink ref="PEP94" r:id="rId687" xr:uid="{CB08890A-52C8-452E-B60A-834C41A061F9}"/>
    <hyperlink ref="PFF94" r:id="rId688" xr:uid="{C135B71C-9BF6-4A8D-8BFF-3BA7BD022AFB}"/>
    <hyperlink ref="PFV94" r:id="rId689" xr:uid="{3A428CDF-AB65-44DE-9BB4-066B43B930A7}"/>
    <hyperlink ref="PGL94" r:id="rId690" xr:uid="{57199EBF-0D54-4B60-BB9E-DBB836D5D899}"/>
    <hyperlink ref="PHB94" r:id="rId691" xr:uid="{ADFF37FE-C30A-48CC-800A-00E5BCDEC314}"/>
    <hyperlink ref="PHR94" r:id="rId692" xr:uid="{EC4B6AEE-062E-4CA0-B649-89B7796EE589}"/>
    <hyperlink ref="PIH94" r:id="rId693" xr:uid="{8530191A-9B2C-4C0F-904F-81B327092E32}"/>
    <hyperlink ref="PIX94" r:id="rId694" xr:uid="{AE52DD9E-F01B-4D51-A4B0-8EB83735DB32}"/>
    <hyperlink ref="PJN94" r:id="rId695" xr:uid="{C3A695C4-2CC3-4A4C-9634-5FA96A7A31EE}"/>
    <hyperlink ref="PKD94" r:id="rId696" xr:uid="{987B639D-8065-4034-BB87-C30A7A7DAE9C}"/>
    <hyperlink ref="PKT94" r:id="rId697" xr:uid="{9DC27FFB-9241-4162-A1F6-31F2122097FE}"/>
    <hyperlink ref="PLJ94" r:id="rId698" xr:uid="{0D031644-BBB1-49D5-B240-0BAE7DEB22B7}"/>
    <hyperlink ref="PLZ94" r:id="rId699" xr:uid="{7353D489-F41A-4D13-B9BF-F05021F0482D}"/>
    <hyperlink ref="PMP94" r:id="rId700" xr:uid="{4C544840-5186-4323-B4AE-E8C7D22CA0BB}"/>
    <hyperlink ref="PNF94" r:id="rId701" xr:uid="{A0CF3B77-6457-455A-9FCB-88AFEE35FF55}"/>
    <hyperlink ref="PNV94" r:id="rId702" xr:uid="{6D9C0941-1CD8-42B7-8CDF-60BE276BFA36}"/>
    <hyperlink ref="POL94" r:id="rId703" xr:uid="{0CFE2CB1-7AA4-48A8-AFE0-1C988649064E}"/>
    <hyperlink ref="PPB94" r:id="rId704" xr:uid="{513E5820-2256-4817-BC94-E6C80B2A415F}"/>
    <hyperlink ref="PPR94" r:id="rId705" xr:uid="{11D8B29E-7B2C-4D05-9687-9E0DD9D5F1B1}"/>
    <hyperlink ref="PQH94" r:id="rId706" xr:uid="{2C7B645B-7830-488F-AC27-92EBDB2D49C7}"/>
    <hyperlink ref="PQX94" r:id="rId707" xr:uid="{01F7ACCD-4A58-4DF7-93F4-8A84F9B3531C}"/>
    <hyperlink ref="PRN94" r:id="rId708" xr:uid="{A87AD30A-DA7B-40E8-B1B2-B269E4ED8E6C}"/>
    <hyperlink ref="PSD94" r:id="rId709" xr:uid="{0B454CCB-6791-452C-86F5-0EA5EF4E40A1}"/>
    <hyperlink ref="PST94" r:id="rId710" xr:uid="{681D6309-7AD8-4CA3-ADB3-96A89F51E65F}"/>
    <hyperlink ref="PTJ94" r:id="rId711" xr:uid="{B092CBBC-532F-4BF8-B413-2AF7324C449D}"/>
    <hyperlink ref="PTZ94" r:id="rId712" xr:uid="{FD893091-3AE0-4579-9573-7E326E09118B}"/>
    <hyperlink ref="PUP94" r:id="rId713" xr:uid="{91CD5BDA-1ABF-467C-A9A6-1AD1DF00DEF8}"/>
    <hyperlink ref="PVF94" r:id="rId714" xr:uid="{F62C2F75-92AB-4E7F-AC71-DBB2DE23F1EE}"/>
    <hyperlink ref="PVV94" r:id="rId715" xr:uid="{DF3D7F83-4B15-4D51-A34F-4DA24C95207D}"/>
    <hyperlink ref="PWL94" r:id="rId716" xr:uid="{BB65514C-1233-4638-89B6-4F5A8EBCC0C9}"/>
    <hyperlink ref="PXB94" r:id="rId717" xr:uid="{D7956370-D502-4F58-BF7E-610579B96856}"/>
    <hyperlink ref="PXR94" r:id="rId718" xr:uid="{504D884A-7F18-4347-9E17-4872BB6DDAB5}"/>
    <hyperlink ref="PYH94" r:id="rId719" xr:uid="{B0AFA334-165F-4E16-945A-54F7342F8DE0}"/>
    <hyperlink ref="PYX94" r:id="rId720" xr:uid="{E2967F28-C645-4579-8774-8A6994E94CF6}"/>
    <hyperlink ref="PZN94" r:id="rId721" xr:uid="{93240139-6B1A-4825-B272-F2A53DAAC9CD}"/>
    <hyperlink ref="QAD94" r:id="rId722" xr:uid="{E0110083-779B-4F3F-8A37-0AAB7E3C0761}"/>
    <hyperlink ref="QAT94" r:id="rId723" xr:uid="{4CFD7F78-C13E-4D6A-AF6C-F22ABD06D654}"/>
    <hyperlink ref="QBJ94" r:id="rId724" xr:uid="{F55CC2FE-469E-4456-93F9-BFB1584AF43C}"/>
    <hyperlink ref="QBZ94" r:id="rId725" xr:uid="{CF5A2816-FFB7-4FD4-915B-3D038D2994EA}"/>
    <hyperlink ref="QCP94" r:id="rId726" xr:uid="{6C82A315-CD81-4E28-9732-A6917682C1E4}"/>
    <hyperlink ref="QDF94" r:id="rId727" xr:uid="{FFB3DBF8-7728-41CE-911E-362F0AB1CA78}"/>
    <hyperlink ref="QDV94" r:id="rId728" xr:uid="{E618C0EB-6549-4A05-82B4-6DA4B5E921ED}"/>
    <hyperlink ref="QEL94" r:id="rId729" xr:uid="{B4A2E984-2322-44F2-AE90-1B6914AD932E}"/>
    <hyperlink ref="QFB94" r:id="rId730" xr:uid="{BEFBA437-6D14-4D62-BA6F-A9AB1A6DB8E8}"/>
    <hyperlink ref="QFR94" r:id="rId731" xr:uid="{7FC7E0EC-DDC3-4FCA-AA83-7B1BFCCCCF4F}"/>
    <hyperlink ref="QGH94" r:id="rId732" xr:uid="{1716142C-6B0E-4026-880C-177168F776CC}"/>
    <hyperlink ref="QGX94" r:id="rId733" xr:uid="{8BA480D1-460A-4ED5-A6A0-93FDB02A1BB1}"/>
    <hyperlink ref="QHN94" r:id="rId734" xr:uid="{DAEF00C1-A4A2-449B-8CA4-D684296F7BDE}"/>
    <hyperlink ref="QID94" r:id="rId735" xr:uid="{88842DC0-23ED-4240-8445-229AAB7F6D83}"/>
    <hyperlink ref="QIT94" r:id="rId736" xr:uid="{C2851DC8-A51B-4CB2-9EDE-D8CB1E0B26C9}"/>
    <hyperlink ref="QJJ94" r:id="rId737" xr:uid="{15A37C78-8779-476A-AB10-8B6469563A5A}"/>
    <hyperlink ref="QJZ94" r:id="rId738" xr:uid="{4BA06184-0819-44BF-BE21-A496210251BE}"/>
    <hyperlink ref="QKP94" r:id="rId739" xr:uid="{17C1DBD6-F5FA-44ED-A190-188E619AE6E4}"/>
    <hyperlink ref="QLF94" r:id="rId740" xr:uid="{0507A10C-2201-41D9-833D-897D9CEA901A}"/>
    <hyperlink ref="QLV94" r:id="rId741" xr:uid="{EC4D2488-5810-428C-8A16-1DE9A0367A57}"/>
    <hyperlink ref="QML94" r:id="rId742" xr:uid="{9F0545AA-A9B0-4C8E-B467-E963836E324B}"/>
    <hyperlink ref="QNB94" r:id="rId743" xr:uid="{75C90ABD-B3F7-49EC-8D2B-CAA7C8BC6B6A}"/>
    <hyperlink ref="QNR94" r:id="rId744" xr:uid="{93D59991-C679-4616-BB9B-666818B34923}"/>
    <hyperlink ref="QOH94" r:id="rId745" xr:uid="{48A91585-051E-4ACD-B8E0-E5051F528DCA}"/>
    <hyperlink ref="QOX94" r:id="rId746" xr:uid="{30451FD0-9079-401B-8931-2C5B2B11A380}"/>
    <hyperlink ref="QPN94" r:id="rId747" xr:uid="{FF6EF9DD-11C6-4913-9DF5-4560F304610A}"/>
    <hyperlink ref="QQD94" r:id="rId748" xr:uid="{3AF1F5F3-3E4C-413B-972E-41DF3016AB2E}"/>
    <hyperlink ref="QQT94" r:id="rId749" xr:uid="{1129DA05-5117-4A58-BAEA-158CA84AEDCF}"/>
    <hyperlink ref="QRJ94" r:id="rId750" xr:uid="{D8356B51-1745-4800-9974-4596210D148E}"/>
    <hyperlink ref="QRZ94" r:id="rId751" xr:uid="{C4961F49-EA25-4A85-94A1-3F6D2367AE13}"/>
    <hyperlink ref="QSP94" r:id="rId752" xr:uid="{E7882CEB-2B3B-41A0-89DA-BD877FE276A2}"/>
    <hyperlink ref="QTF94" r:id="rId753" xr:uid="{A9263E54-E650-4708-99D6-FC1855174E27}"/>
    <hyperlink ref="QTV94" r:id="rId754" xr:uid="{4B26B085-7B1E-4AB9-8475-230D2372A97A}"/>
    <hyperlink ref="QUL94" r:id="rId755" xr:uid="{2A792967-E875-4904-B9D3-DD0B32F3248F}"/>
    <hyperlink ref="QVB94" r:id="rId756" xr:uid="{9B665C66-1340-4B74-9EBB-CF7F4324F830}"/>
    <hyperlink ref="QVR94" r:id="rId757" xr:uid="{87A62AA2-79B8-4514-AE6E-F980D1F2B7BE}"/>
    <hyperlink ref="QWH94" r:id="rId758" xr:uid="{96F9EB9B-BE7B-42F4-B5A9-146572DBBB9C}"/>
    <hyperlink ref="QWX94" r:id="rId759" xr:uid="{BA4F3C12-5A11-49DD-9931-8EBCD605CE7C}"/>
    <hyperlink ref="QXN94" r:id="rId760" xr:uid="{C82B86B7-3AF0-4C42-A721-8C3920596301}"/>
    <hyperlink ref="QYD94" r:id="rId761" xr:uid="{F75181E3-82E0-43D2-9C92-95402448633C}"/>
    <hyperlink ref="QYT94" r:id="rId762" xr:uid="{88E40548-5A81-4E65-A900-53E53F6845E6}"/>
    <hyperlink ref="QZJ94" r:id="rId763" xr:uid="{C30B02C1-9D7C-413B-8F6F-4AB0BB752597}"/>
    <hyperlink ref="QZZ94" r:id="rId764" xr:uid="{F0C51150-CA97-4E09-9E69-75004ED05C4B}"/>
    <hyperlink ref="RAP94" r:id="rId765" xr:uid="{ADB440BE-A52A-41C2-9B06-80526F702187}"/>
    <hyperlink ref="RBF94" r:id="rId766" xr:uid="{6319F5D1-BD64-4CB0-98BF-070FA6B29AD8}"/>
    <hyperlink ref="RBV94" r:id="rId767" xr:uid="{D69ECF93-EC85-4049-86EF-90E0859646A9}"/>
    <hyperlink ref="RCL94" r:id="rId768" xr:uid="{6AFBA968-8EE4-4A23-848D-2210AB4B21F5}"/>
    <hyperlink ref="RDB94" r:id="rId769" xr:uid="{E899337C-C76A-4B8D-A4CA-3C9B17F48866}"/>
    <hyperlink ref="RDR94" r:id="rId770" xr:uid="{018A6933-18B3-4709-9B91-3C53FC832B55}"/>
    <hyperlink ref="REH94" r:id="rId771" xr:uid="{94834996-0EFA-463C-909E-3813CB8CCE24}"/>
    <hyperlink ref="REX94" r:id="rId772" xr:uid="{05BDF0A7-9B46-4102-8793-9C74075D1D69}"/>
    <hyperlink ref="RFN94" r:id="rId773" xr:uid="{DAA9AA89-903E-4691-BF62-596A306C98BE}"/>
    <hyperlink ref="RGD94" r:id="rId774" xr:uid="{5A257FA3-DD10-4ECB-B88C-6B7626D6D685}"/>
    <hyperlink ref="RGT94" r:id="rId775" xr:uid="{9747496C-0F19-4752-B5D0-2F8479F40917}"/>
    <hyperlink ref="RHJ94" r:id="rId776" xr:uid="{8B0D5C3D-0395-468A-8771-94F4FD8723B5}"/>
    <hyperlink ref="RHZ94" r:id="rId777" xr:uid="{6ECEC6AD-222B-494F-B189-F872F6F239CA}"/>
    <hyperlink ref="RIP94" r:id="rId778" xr:uid="{CF38C2B6-4F53-4429-A66F-B6C9949B473E}"/>
    <hyperlink ref="RJF94" r:id="rId779" xr:uid="{3332AF77-1CBA-4460-A0B9-A5113D3E830E}"/>
    <hyperlink ref="RJV94" r:id="rId780" xr:uid="{D8CEA8C4-6C76-476E-9D98-4A90FBB51B33}"/>
    <hyperlink ref="RKL94" r:id="rId781" xr:uid="{594ED2D5-2B79-4E67-85AA-373B7CEF968E}"/>
    <hyperlink ref="RLB94" r:id="rId782" xr:uid="{1C78FAFE-0E25-407F-B6D6-8BEC6EAA8D00}"/>
    <hyperlink ref="RLR94" r:id="rId783" xr:uid="{60ECEB52-FE77-4C5F-8539-27A2760FAE7D}"/>
    <hyperlink ref="RMH94" r:id="rId784" xr:uid="{73CACA55-6C42-4176-8725-38D5E4348AAA}"/>
    <hyperlink ref="RMX94" r:id="rId785" xr:uid="{CFE6C917-E3F4-4D41-B620-BFBEA6C4A743}"/>
    <hyperlink ref="RNN94" r:id="rId786" xr:uid="{1ED3618C-7FFE-4EDD-9B0A-0561C05C3661}"/>
    <hyperlink ref="ROD94" r:id="rId787" xr:uid="{F9A51FA2-A742-42CB-9458-4EAA9F58CCFB}"/>
    <hyperlink ref="ROT94" r:id="rId788" xr:uid="{9DADFFCE-E161-45FF-8A1D-BA0DAD23D3ED}"/>
    <hyperlink ref="RPJ94" r:id="rId789" xr:uid="{534CCE4D-68D5-439A-9C04-EA2FE044AE69}"/>
    <hyperlink ref="RPZ94" r:id="rId790" xr:uid="{BC183FA2-95C9-4A18-9F8C-1A209D9F056B}"/>
    <hyperlink ref="RQP94" r:id="rId791" xr:uid="{D6BEB95B-80AD-4599-8647-C4746B987809}"/>
    <hyperlink ref="RRF94" r:id="rId792" xr:uid="{8A36B942-1FF0-455B-8E18-77F7296C0ED8}"/>
    <hyperlink ref="RRV94" r:id="rId793" xr:uid="{AF149BB0-EADC-40B7-A28D-EADE74BE349C}"/>
    <hyperlink ref="RSL94" r:id="rId794" xr:uid="{6B23DC7B-3CE1-4444-9507-C390D9881505}"/>
    <hyperlink ref="RTB94" r:id="rId795" xr:uid="{C41E7F2E-95A5-414B-B7F0-2A62409FBFAB}"/>
    <hyperlink ref="RTR94" r:id="rId796" xr:uid="{CD956CF8-3433-40AD-9BE1-0A87A7E0AC3C}"/>
    <hyperlink ref="RUH94" r:id="rId797" xr:uid="{D41C12F1-9B33-4E13-A2D9-A83501D524FD}"/>
    <hyperlink ref="RUX94" r:id="rId798" xr:uid="{E8CAA050-B8E5-438D-A6DA-6268D5843E7A}"/>
    <hyperlink ref="RVN94" r:id="rId799" xr:uid="{66B5C645-ADEF-4237-BFE5-161A3C471EF2}"/>
    <hyperlink ref="RWD94" r:id="rId800" xr:uid="{80137D42-9EF4-4D00-B738-9DDEA9D1B003}"/>
    <hyperlink ref="RWT94" r:id="rId801" xr:uid="{749BF127-F41E-4AB8-97C2-AB0C14FC878A}"/>
    <hyperlink ref="RXJ94" r:id="rId802" xr:uid="{C1C1137E-8CB8-45B6-8A54-63713ED0FCDB}"/>
    <hyperlink ref="RXZ94" r:id="rId803" xr:uid="{43B11815-2FD4-4A5D-BC54-179FFEA6BDA9}"/>
    <hyperlink ref="RYP94" r:id="rId804" xr:uid="{04A4458B-5122-45EA-A69E-359848E41AB0}"/>
    <hyperlink ref="RZF94" r:id="rId805" xr:uid="{67B5A694-EB49-491C-8747-9984F20ADE64}"/>
    <hyperlink ref="RZV94" r:id="rId806" xr:uid="{FD1195A2-AE77-48FB-A7FB-B64B0BCDDA31}"/>
    <hyperlink ref="SAL94" r:id="rId807" xr:uid="{F5D9051E-A4E7-4DF6-B32D-50CA111D80D6}"/>
    <hyperlink ref="SBB94" r:id="rId808" xr:uid="{5AFFB203-B3A7-42E3-A16A-95978CF0B2AA}"/>
    <hyperlink ref="SBR94" r:id="rId809" xr:uid="{8CD86D72-D609-42DA-8E2C-4960D3638ADB}"/>
    <hyperlink ref="SCH94" r:id="rId810" xr:uid="{4CD72C14-2AC1-4CBE-9410-ABB483441C4E}"/>
    <hyperlink ref="SCX94" r:id="rId811" xr:uid="{9F09CEB1-B13F-446A-9AC2-F4F730AEE92B}"/>
    <hyperlink ref="SDN94" r:id="rId812" xr:uid="{91424488-B219-41BF-9855-26147024DF4D}"/>
    <hyperlink ref="SED94" r:id="rId813" xr:uid="{33C258ED-B66A-40AF-A7A7-37ADF60B8E04}"/>
    <hyperlink ref="SET94" r:id="rId814" xr:uid="{CDF77D3C-6BBE-4D44-96B5-0CC8C4D0D207}"/>
    <hyperlink ref="SFJ94" r:id="rId815" xr:uid="{C9EFD9B3-932A-4C3C-A53B-092B397B4EDE}"/>
    <hyperlink ref="SFZ94" r:id="rId816" xr:uid="{6E54F5A2-DFA6-41BB-9600-1E4660F3267C}"/>
    <hyperlink ref="SGP94" r:id="rId817" xr:uid="{EF7E3381-F236-4C7A-B04A-E440FF74C4E7}"/>
    <hyperlink ref="SHF94" r:id="rId818" xr:uid="{6DF73AD7-CFBD-49F7-AE7A-40ED35261051}"/>
    <hyperlink ref="SHV94" r:id="rId819" xr:uid="{7AF69300-551C-45BD-BA5F-A5843683C86F}"/>
    <hyperlink ref="SIL94" r:id="rId820" xr:uid="{182B1E44-AD05-4F2D-8F98-D211EB9AC3B3}"/>
    <hyperlink ref="SJB94" r:id="rId821" xr:uid="{F0D1AF02-3438-4542-BC52-822A88BA7B56}"/>
    <hyperlink ref="SJR94" r:id="rId822" xr:uid="{E0AE90EF-65D8-4677-947D-FB4501D73B22}"/>
    <hyperlink ref="SKH94" r:id="rId823" xr:uid="{4E09DD11-F521-433E-B906-D663D7BEF310}"/>
    <hyperlink ref="SKX94" r:id="rId824" xr:uid="{50AF6A01-D58C-402C-A23D-8B8429CB79D3}"/>
    <hyperlink ref="SLN94" r:id="rId825" xr:uid="{BD7980B8-8FFD-4517-A284-6560087EEEE8}"/>
    <hyperlink ref="SMD94" r:id="rId826" xr:uid="{A5901726-D349-41A9-98C9-11C24CF409DC}"/>
    <hyperlink ref="SMT94" r:id="rId827" xr:uid="{A379E897-48B2-43B5-A05A-FFCCA0FCA1C2}"/>
    <hyperlink ref="SNJ94" r:id="rId828" xr:uid="{57D99AFB-8E50-4E38-A546-BF5FDCE6284B}"/>
    <hyperlink ref="SNZ94" r:id="rId829" xr:uid="{FF322B9D-DFA8-42DB-A7E5-2FFE97FA4FC8}"/>
    <hyperlink ref="SOP94" r:id="rId830" xr:uid="{F0E9D4AA-90DB-44CE-A13D-93A2A9B65330}"/>
    <hyperlink ref="SPF94" r:id="rId831" xr:uid="{D3A8CFAA-AA2C-4557-89B8-CBB34C722BB6}"/>
    <hyperlink ref="SPV94" r:id="rId832" xr:uid="{63D6560F-C6A8-4169-8FCB-914F91A5C18A}"/>
    <hyperlink ref="SQL94" r:id="rId833" xr:uid="{588B2722-9291-4B53-9872-FAA264BD5E59}"/>
    <hyperlink ref="SRB94" r:id="rId834" xr:uid="{11412814-D1DE-4F2C-A18B-891EAF197564}"/>
    <hyperlink ref="SRR94" r:id="rId835" xr:uid="{8724443E-06B6-4D74-9E77-30673D60E161}"/>
    <hyperlink ref="SSH94" r:id="rId836" xr:uid="{8025864B-DC8D-4343-BE19-650DDB818D9E}"/>
    <hyperlink ref="SSX94" r:id="rId837" xr:uid="{5B7BAFD8-D592-4E55-98E7-15C7CF87A6BF}"/>
    <hyperlink ref="STN94" r:id="rId838" xr:uid="{1E1742B2-CBC7-487C-8EE8-EF2E36B1380D}"/>
    <hyperlink ref="SUD94" r:id="rId839" xr:uid="{A0D83FE6-1829-49B0-B40F-36943817496C}"/>
    <hyperlink ref="SUT94" r:id="rId840" xr:uid="{2BDE4E24-018B-45B9-A34E-7BA5D73119A7}"/>
    <hyperlink ref="SVJ94" r:id="rId841" xr:uid="{877B3F5C-649A-424E-B28F-37ADF4DF7FD1}"/>
    <hyperlink ref="SVZ94" r:id="rId842" xr:uid="{8B24FFF7-51C1-4CC1-9A41-00886585FCAB}"/>
    <hyperlink ref="SWP94" r:id="rId843" xr:uid="{DC715C94-A20D-4501-AC3C-8C8B541ABB6D}"/>
    <hyperlink ref="SXF94" r:id="rId844" xr:uid="{301EFE32-8F94-4445-B553-747D04F5CD0F}"/>
    <hyperlink ref="SXV94" r:id="rId845" xr:uid="{D9EBCB3F-AB84-4151-A7B6-DFF9C14818B8}"/>
    <hyperlink ref="SYL94" r:id="rId846" xr:uid="{3A28B0D3-4D0E-4D41-9CA1-0E4713781C7E}"/>
    <hyperlink ref="SZB94" r:id="rId847" xr:uid="{D0345B52-AE96-4628-857B-94DFF7B172BC}"/>
    <hyperlink ref="SZR94" r:id="rId848" xr:uid="{EA328E18-E898-4C13-849F-AC260E690FC1}"/>
    <hyperlink ref="TAH94" r:id="rId849" xr:uid="{95D6F9E2-15F4-49CC-9A1A-AE10CF899384}"/>
    <hyperlink ref="TAX94" r:id="rId850" xr:uid="{A63A6E50-6C12-46BA-9FC8-7B39DB0FEE7A}"/>
    <hyperlink ref="TBN94" r:id="rId851" xr:uid="{CFD8E7D6-7EC9-4FA0-BBCC-B75BCBB64745}"/>
    <hyperlink ref="TCD94" r:id="rId852" xr:uid="{91B55C49-78E9-42D1-B4F3-FBB36F8C55F8}"/>
    <hyperlink ref="TCT94" r:id="rId853" xr:uid="{600C5196-1571-4089-9BE9-B8D872AC7265}"/>
    <hyperlink ref="TDJ94" r:id="rId854" xr:uid="{04B05B82-3D6E-4D08-89AA-83E44006CFE5}"/>
    <hyperlink ref="TDZ94" r:id="rId855" xr:uid="{BD321E4C-1683-4C5C-BF56-FA64F9448FB8}"/>
    <hyperlink ref="TEP94" r:id="rId856" xr:uid="{B19604B1-3D87-4713-B9A5-987243DB7F49}"/>
    <hyperlink ref="TFF94" r:id="rId857" xr:uid="{92CAFA02-A8FF-43E0-A5CA-DCD11847AF11}"/>
    <hyperlink ref="TFV94" r:id="rId858" xr:uid="{4ABF8F46-F995-469C-A6A1-263DEC48AA70}"/>
    <hyperlink ref="TGL94" r:id="rId859" xr:uid="{61EB112C-A95D-4AB2-A4EC-C225383F4181}"/>
    <hyperlink ref="THB94" r:id="rId860" xr:uid="{E040AD7D-A1D9-4D1A-9F32-3BEDA8AC9C1E}"/>
    <hyperlink ref="THR94" r:id="rId861" xr:uid="{C1307382-C10D-404D-9A96-B949A1DCE166}"/>
    <hyperlink ref="TIH94" r:id="rId862" xr:uid="{3A825FA9-1036-45F8-9DC6-18ACAA515E8B}"/>
    <hyperlink ref="TIX94" r:id="rId863" xr:uid="{1DA1901B-A6EC-4461-9C9C-A6A0F188C7E3}"/>
    <hyperlink ref="TJN94" r:id="rId864" xr:uid="{DE4D9F2F-A47C-4E98-85E9-D087292A0ADE}"/>
    <hyperlink ref="TKD94" r:id="rId865" xr:uid="{65211CCF-3E21-4D21-9329-6F2D87FFB07C}"/>
    <hyperlink ref="TKT94" r:id="rId866" xr:uid="{774846AE-575A-4DE9-A085-6B50A4BBB939}"/>
    <hyperlink ref="TLJ94" r:id="rId867" xr:uid="{E0C79134-74C7-4E27-B7E5-5A98DE955EF7}"/>
    <hyperlink ref="TLZ94" r:id="rId868" xr:uid="{DF507046-47FE-414C-8DF0-747C55C60774}"/>
    <hyperlink ref="TMP94" r:id="rId869" xr:uid="{4BC43466-9398-4143-92F8-3939602D60DA}"/>
    <hyperlink ref="TNF94" r:id="rId870" xr:uid="{153133E4-B2D8-476C-B750-1B557E7CA37C}"/>
    <hyperlink ref="TNV94" r:id="rId871" xr:uid="{66C92F5E-ABEF-4DC8-8A98-04A05437B933}"/>
    <hyperlink ref="TOL94" r:id="rId872" xr:uid="{E4D2E22F-7544-4FB5-97DF-0A6A2A54818F}"/>
    <hyperlink ref="TPB94" r:id="rId873" xr:uid="{74545A59-32FB-474D-AC73-9CD6445410B6}"/>
    <hyperlink ref="TPR94" r:id="rId874" xr:uid="{ADF46974-13D8-4505-BA1C-F8C3BA2C566B}"/>
    <hyperlink ref="TQH94" r:id="rId875" xr:uid="{C79DDF40-5560-4260-8EA4-91D47CA38193}"/>
    <hyperlink ref="TQX94" r:id="rId876" xr:uid="{CC283D61-4994-4133-B235-52072A7DC7F6}"/>
    <hyperlink ref="TRN94" r:id="rId877" xr:uid="{F18542AD-176C-47F5-BD87-783118B946FC}"/>
    <hyperlink ref="TSD94" r:id="rId878" xr:uid="{BA89B9DB-6026-4F70-943E-DA4C1D92D9E5}"/>
    <hyperlink ref="TST94" r:id="rId879" xr:uid="{3C19FF29-E398-4A7D-B5FB-61B3885EF1DB}"/>
    <hyperlink ref="TTJ94" r:id="rId880" xr:uid="{CD477C5D-F49B-45C9-ADD9-BF0F35EBE03C}"/>
    <hyperlink ref="TTZ94" r:id="rId881" xr:uid="{6B521952-FDB1-4AFD-97E1-46217038671C}"/>
    <hyperlink ref="TUP94" r:id="rId882" xr:uid="{2AEF0CAF-9241-4B82-A750-CE9C7BAD1B47}"/>
    <hyperlink ref="TVF94" r:id="rId883" xr:uid="{5D27574D-C793-45C2-B00F-EB2650DC302C}"/>
    <hyperlink ref="TVV94" r:id="rId884" xr:uid="{9BC10B70-88E5-467D-9FA8-BDA13C5F31C1}"/>
    <hyperlink ref="TWL94" r:id="rId885" xr:uid="{F9EC55BE-3F0B-4E8F-B203-642DAF450211}"/>
    <hyperlink ref="TXB94" r:id="rId886" xr:uid="{68C75B0F-C57D-4D26-87AE-1E8B14CF5777}"/>
    <hyperlink ref="TXR94" r:id="rId887" xr:uid="{F0253983-DA68-4558-B187-F6D516A1ACCA}"/>
    <hyperlink ref="TYH94" r:id="rId888" xr:uid="{FB2973E6-DE5F-40F0-BF96-1999ECF92B16}"/>
    <hyperlink ref="TYX94" r:id="rId889" xr:uid="{48E8BF67-F7AB-49FB-84D5-E703126EE875}"/>
    <hyperlink ref="TZN94" r:id="rId890" xr:uid="{18E65A13-2F73-4FA6-B15C-D0B68FE17D24}"/>
    <hyperlink ref="UAD94" r:id="rId891" xr:uid="{C4A4E684-B28E-4989-86C9-031EBE1A00A6}"/>
    <hyperlink ref="UAT94" r:id="rId892" xr:uid="{E9C01F9F-E22C-4DF5-A15D-463335F5BA2E}"/>
    <hyperlink ref="UBJ94" r:id="rId893" xr:uid="{26963CE1-17F6-4969-8592-95B835489619}"/>
    <hyperlink ref="UBZ94" r:id="rId894" xr:uid="{44D95564-1FF2-4A48-B88A-039051FBA39A}"/>
    <hyperlink ref="UCP94" r:id="rId895" xr:uid="{A01148E9-C97C-40D0-A861-4EBFFA7AB4FB}"/>
    <hyperlink ref="UDF94" r:id="rId896" xr:uid="{F2E63ADC-E67F-4108-80CD-3FD0DEE1F507}"/>
    <hyperlink ref="UDV94" r:id="rId897" xr:uid="{A449F868-2922-4C7C-BD8E-66BE9B53CA64}"/>
    <hyperlink ref="UEL94" r:id="rId898" xr:uid="{E2D12692-8314-4E22-92E6-8E0D0F26B7BE}"/>
    <hyperlink ref="UFB94" r:id="rId899" xr:uid="{D83CFA81-CA45-4588-994C-0A76D4E3AF73}"/>
    <hyperlink ref="UFR94" r:id="rId900" xr:uid="{1A6D3C4A-D7D9-434A-B47A-46B5200FD3CB}"/>
    <hyperlink ref="UGH94" r:id="rId901" xr:uid="{C668E331-2420-4AA9-9F72-3DD880E8054E}"/>
    <hyperlink ref="UGX94" r:id="rId902" xr:uid="{4F5522ED-3B8B-4628-845E-F9B93367D1C7}"/>
    <hyperlink ref="UHN94" r:id="rId903" xr:uid="{7A4ADC54-BB48-49E7-9C01-BAC7CD109A48}"/>
    <hyperlink ref="UID94" r:id="rId904" xr:uid="{9041D418-DA2A-4FA7-BCB8-506DF1745669}"/>
    <hyperlink ref="UIT94" r:id="rId905" xr:uid="{8CC51A63-D126-493B-85A5-3F03A433CFF4}"/>
    <hyperlink ref="UJJ94" r:id="rId906" xr:uid="{10D61ACD-70FA-43CA-912F-F4CE3FC30631}"/>
    <hyperlink ref="UJZ94" r:id="rId907" xr:uid="{21518BA2-0B9C-4D46-8175-ACCED1F35573}"/>
    <hyperlink ref="UKP94" r:id="rId908" xr:uid="{6D1148BA-36C8-4304-9BB7-15C7330B83DA}"/>
    <hyperlink ref="ULF94" r:id="rId909" xr:uid="{479151DC-0E04-49EE-A742-3C593AD8ECFA}"/>
    <hyperlink ref="ULV94" r:id="rId910" xr:uid="{2DF46CD5-C06D-4170-A603-281596C46497}"/>
    <hyperlink ref="UML94" r:id="rId911" xr:uid="{59B13197-BA37-4FA4-8C60-34E1F6B41898}"/>
    <hyperlink ref="UNB94" r:id="rId912" xr:uid="{AFA08A50-64DD-4FE5-A5B3-9DC1FC7239C2}"/>
    <hyperlink ref="UNR94" r:id="rId913" xr:uid="{CF9BEA8E-BCB0-4BAC-B2B1-FBA4341E176E}"/>
    <hyperlink ref="UOH94" r:id="rId914" xr:uid="{43B69CA4-F968-42DF-A755-1ECBADB45759}"/>
    <hyperlink ref="UOX94" r:id="rId915" xr:uid="{85E34B39-0336-4272-9AC7-79F3664929D8}"/>
    <hyperlink ref="UPN94" r:id="rId916" xr:uid="{4C845B55-0B91-49EC-9152-FA8F197E1624}"/>
    <hyperlink ref="UQD94" r:id="rId917" xr:uid="{B0C2A51F-7C4E-4B8D-80F4-E255086C3831}"/>
    <hyperlink ref="UQT94" r:id="rId918" xr:uid="{EC113842-A225-41FE-9AF9-09E402D58B83}"/>
    <hyperlink ref="URJ94" r:id="rId919" xr:uid="{040C7501-1540-4EF9-8371-5A1B211D61CA}"/>
    <hyperlink ref="URZ94" r:id="rId920" xr:uid="{678CA495-E0D1-407D-BDE3-75A2A33B7169}"/>
    <hyperlink ref="USP94" r:id="rId921" xr:uid="{CE77AF13-86AB-4CFE-9D0F-6DD6A454291C}"/>
    <hyperlink ref="UTF94" r:id="rId922" xr:uid="{7D1564A8-C3F5-4EC3-A6E5-1CB2D69FF106}"/>
    <hyperlink ref="UTV94" r:id="rId923" xr:uid="{18311889-03C8-46AA-86D9-BFCB34338CCC}"/>
    <hyperlink ref="UUL94" r:id="rId924" xr:uid="{C6336233-DCBF-4E2B-8865-168C16FB6712}"/>
    <hyperlink ref="UVB94" r:id="rId925" xr:uid="{26DE7663-FED1-4190-9A1C-561EC03FFB8C}"/>
    <hyperlink ref="UVR94" r:id="rId926" xr:uid="{9239469A-C9B2-4AC1-BA90-69730626EC4B}"/>
    <hyperlink ref="UWH94" r:id="rId927" xr:uid="{7F98C12F-055A-409F-94A1-F0727E8E1405}"/>
    <hyperlink ref="UWX94" r:id="rId928" xr:uid="{17CB9790-7F12-447B-B7C6-A788954EC95D}"/>
    <hyperlink ref="UXN94" r:id="rId929" xr:uid="{7D0B261D-E924-4DEB-A803-19698D07C24E}"/>
    <hyperlink ref="UYD94" r:id="rId930" xr:uid="{2690DFF0-870D-4D73-8155-8C2D23B1B183}"/>
    <hyperlink ref="UYT94" r:id="rId931" xr:uid="{FB58BC26-2DE8-4212-9F7C-A6D1DC175581}"/>
    <hyperlink ref="UZJ94" r:id="rId932" xr:uid="{48DE57E6-82EA-47C7-A0E6-C7A59A629D47}"/>
    <hyperlink ref="UZZ94" r:id="rId933" xr:uid="{FA10D6A8-4EE9-4767-AA41-CD6EAFEE6830}"/>
    <hyperlink ref="VAP94" r:id="rId934" xr:uid="{440B6C38-67F9-444D-9027-31154AF0C46E}"/>
    <hyperlink ref="VBF94" r:id="rId935" xr:uid="{FB5D3315-84F4-4150-BAD3-30542F8F4E44}"/>
    <hyperlink ref="VBV94" r:id="rId936" xr:uid="{BFF585FB-D60B-43A7-B10C-BCBDE83FB985}"/>
    <hyperlink ref="VCL94" r:id="rId937" xr:uid="{4714B8B3-2A51-4ED2-851C-8FA6980EF279}"/>
    <hyperlink ref="VDB94" r:id="rId938" xr:uid="{1EA2F6E0-3524-4FD3-9375-6942ED468B60}"/>
    <hyperlink ref="VDR94" r:id="rId939" xr:uid="{71047131-9145-4CDB-AEDA-CB5715DDA2EB}"/>
    <hyperlink ref="VEH94" r:id="rId940" xr:uid="{4763E990-5197-45E0-8651-998B7ED5E73E}"/>
    <hyperlink ref="VEX94" r:id="rId941" xr:uid="{4E78A0E3-FBB4-4819-ABA4-DE02616C2A74}"/>
    <hyperlink ref="VFN94" r:id="rId942" xr:uid="{36C6CADD-9DCD-4CC2-B6CE-2BDFBBC7E120}"/>
    <hyperlink ref="VGD94" r:id="rId943" xr:uid="{4C5D978E-EFF4-4622-912D-5B95C149BD9B}"/>
    <hyperlink ref="VGT94" r:id="rId944" xr:uid="{4FF93976-3DB2-4464-A172-E3ADCCD1BA45}"/>
    <hyperlink ref="VHJ94" r:id="rId945" xr:uid="{B8708F82-60E8-446B-95E6-2CB03C8461E6}"/>
    <hyperlink ref="VHZ94" r:id="rId946" xr:uid="{49390CC7-EFBD-421B-B19B-9150FF9806D1}"/>
    <hyperlink ref="VIP94" r:id="rId947" xr:uid="{D8E0F110-E1CB-4B63-9199-89901AE81D7B}"/>
    <hyperlink ref="VJF94" r:id="rId948" xr:uid="{8B99286B-9A00-45AD-817E-242B79CA6F82}"/>
    <hyperlink ref="VJV94" r:id="rId949" xr:uid="{471C74E9-5EA9-4E05-828D-6484501E7D14}"/>
    <hyperlink ref="VKL94" r:id="rId950" xr:uid="{7154A6BF-85B0-42BF-BF46-18373ABF1505}"/>
    <hyperlink ref="VLB94" r:id="rId951" xr:uid="{F01BB8C5-553C-4475-83EF-9F9E509A7DEE}"/>
    <hyperlink ref="VLR94" r:id="rId952" xr:uid="{3F6680F9-6D65-4A0D-A65A-45A4AAAB877D}"/>
    <hyperlink ref="VMH94" r:id="rId953" xr:uid="{AD7684CA-9FA8-4B54-9C28-BE82B1746829}"/>
    <hyperlink ref="VMX94" r:id="rId954" xr:uid="{3FCC0266-FDC5-40EE-ABFB-4E94BB74179A}"/>
    <hyperlink ref="VNN94" r:id="rId955" xr:uid="{C2D6D7DD-89EC-481C-9782-184830D9832A}"/>
    <hyperlink ref="VOD94" r:id="rId956" xr:uid="{8D4C29A1-959F-46D2-ADD4-500BF6AE75D8}"/>
    <hyperlink ref="VOT94" r:id="rId957" xr:uid="{043E8566-5E72-4A38-8466-44EC03D22C17}"/>
    <hyperlink ref="VPJ94" r:id="rId958" xr:uid="{DBD10560-44BB-4EFE-99EC-E0DA47E34AF3}"/>
    <hyperlink ref="VPZ94" r:id="rId959" xr:uid="{E0B8CB8D-7A90-4CFC-88EB-EB058607060E}"/>
    <hyperlink ref="VQP94" r:id="rId960" xr:uid="{D9AB0878-C1BD-4BD6-A20B-B770D0FB9A3D}"/>
    <hyperlink ref="VRF94" r:id="rId961" xr:uid="{5BC352DD-08F1-4D34-8F3B-F19AF968FE8E}"/>
    <hyperlink ref="VRV94" r:id="rId962" xr:uid="{91C4D825-41AD-45EC-98B2-30B96829EC0F}"/>
    <hyperlink ref="VSL94" r:id="rId963" xr:uid="{B69BC4DA-21F9-4F02-A158-D7E4FD7A43C3}"/>
    <hyperlink ref="VTB94" r:id="rId964" xr:uid="{AC6796A6-C2F2-45F5-BC78-57B28F8E40FE}"/>
    <hyperlink ref="VTR94" r:id="rId965" xr:uid="{2D88EDD4-336D-4DD7-A3C1-FCBA497E02E6}"/>
    <hyperlink ref="VUH94" r:id="rId966" xr:uid="{488AD3E1-5D08-4E1C-9B98-62ADE4903BBC}"/>
    <hyperlink ref="VUX94" r:id="rId967" xr:uid="{F2FD0384-CB92-4182-9AB0-BFC8657B6A22}"/>
    <hyperlink ref="VVN94" r:id="rId968" xr:uid="{9467A348-01FB-41E2-94A2-67EA5F87B70F}"/>
    <hyperlink ref="VWD94" r:id="rId969" xr:uid="{2E5EFFDF-2E4B-4620-85B4-C9312E5B42C3}"/>
    <hyperlink ref="VWT94" r:id="rId970" xr:uid="{A80E9B86-9180-4DA1-9659-9B5489D84FF1}"/>
    <hyperlink ref="VXJ94" r:id="rId971" xr:uid="{9F828ADE-9508-4649-8B61-F981B87FCD21}"/>
    <hyperlink ref="VXZ94" r:id="rId972" xr:uid="{BAF338F3-BFE3-4327-AF32-4ECEE3F0017C}"/>
    <hyperlink ref="VYP94" r:id="rId973" xr:uid="{E097C612-6351-469C-891B-E5BE225B10D2}"/>
    <hyperlink ref="VZF94" r:id="rId974" xr:uid="{E53DBE2E-44EA-4C51-B0D7-BD10211919A5}"/>
    <hyperlink ref="VZV94" r:id="rId975" xr:uid="{3D9062D6-9DAA-4562-BAFF-3714CA23F4E4}"/>
    <hyperlink ref="WAL94" r:id="rId976" xr:uid="{DD5E04D1-92E4-424F-BD92-3C9D9E01FCFE}"/>
    <hyperlink ref="WBB94" r:id="rId977" xr:uid="{5ACDAD91-3821-4F4F-A498-BFD504F03A8C}"/>
    <hyperlink ref="WBR94" r:id="rId978" xr:uid="{A7F92C18-CE86-4A52-988E-6AFEC89B2703}"/>
    <hyperlink ref="WCH94" r:id="rId979" xr:uid="{59A057A1-EA13-42D9-8117-1BB6F2625F13}"/>
    <hyperlink ref="WCX94" r:id="rId980" xr:uid="{216703B8-5046-49CF-B684-841D1F66D8E5}"/>
    <hyperlink ref="WDN94" r:id="rId981" xr:uid="{982E0086-E1CA-40AF-9FCD-C3E2FEB41E21}"/>
    <hyperlink ref="WED94" r:id="rId982" xr:uid="{83F0EB65-B3B3-4CAC-8BA4-CFE4CC2EAA9A}"/>
    <hyperlink ref="WET94" r:id="rId983" xr:uid="{846A9DE6-9FEC-403E-A2D7-DFFB1784DD60}"/>
    <hyperlink ref="WFJ94" r:id="rId984" xr:uid="{E3F37A6B-F2DE-4B5D-94E8-531450A7D351}"/>
    <hyperlink ref="WFZ94" r:id="rId985" xr:uid="{B706C7B7-04B6-4F4D-9219-7E2D24DD2047}"/>
    <hyperlink ref="WGP94" r:id="rId986" xr:uid="{386A91A0-F0D4-4B8E-9714-7F0000707683}"/>
    <hyperlink ref="WHF94" r:id="rId987" xr:uid="{FC7B1B89-7F5B-4877-BB78-51B0B2DCF8CA}"/>
    <hyperlink ref="WHV94" r:id="rId988" xr:uid="{9484BD7B-56B2-49A2-8289-9DB4496F3D7E}"/>
    <hyperlink ref="WIL94" r:id="rId989" xr:uid="{2C3AFDEB-1A4B-4A9D-ACD8-8ED27AC660EF}"/>
    <hyperlink ref="WJB94" r:id="rId990" xr:uid="{C5E3EA30-A7E9-497A-9898-7D6DE02A0824}"/>
    <hyperlink ref="WJR94" r:id="rId991" xr:uid="{2C0A78D8-DACC-475B-AE9F-D514B0E537C5}"/>
    <hyperlink ref="WKH94" r:id="rId992" xr:uid="{50A1C571-B588-4EFF-B5A0-B09D8135CFF4}"/>
    <hyperlink ref="WKX94" r:id="rId993" xr:uid="{DDC4A79B-2028-47D3-8474-2B6DFD3ABD4D}"/>
    <hyperlink ref="WLN94" r:id="rId994" xr:uid="{0363CD74-F739-4E5B-AB44-D90FF895A837}"/>
    <hyperlink ref="WMD94" r:id="rId995" xr:uid="{1B9F3053-B64E-402A-A1F6-650F614266CE}"/>
    <hyperlink ref="WMT94" r:id="rId996" xr:uid="{7DC23210-698F-45A9-816B-2218E6C790F3}"/>
    <hyperlink ref="WNJ94" r:id="rId997" xr:uid="{9A40692E-FDD0-49C3-8997-9996D7D44B85}"/>
    <hyperlink ref="WNZ94" r:id="rId998" xr:uid="{30D36016-BADB-4517-AD00-4151D9547963}"/>
    <hyperlink ref="WOP94" r:id="rId999" xr:uid="{B1F83B3D-302A-4B34-9870-857C494A1C76}"/>
    <hyperlink ref="WPF94" r:id="rId1000" xr:uid="{9F1E70D4-E817-426E-98E3-925847EC2AE3}"/>
    <hyperlink ref="WPV94" r:id="rId1001" xr:uid="{B98BF222-F263-4DEB-B528-34DC1386E8A7}"/>
    <hyperlink ref="WQL94" r:id="rId1002" xr:uid="{9B7D5375-EA28-4B9E-BBE9-2412B42C2830}"/>
    <hyperlink ref="WRB94" r:id="rId1003" xr:uid="{A0CC08B4-72BD-4663-8D6C-4B70C0D10530}"/>
    <hyperlink ref="WRR94" r:id="rId1004" xr:uid="{86250186-337C-40A4-A993-8976BAA035C9}"/>
    <hyperlink ref="WSH94" r:id="rId1005" xr:uid="{24112266-9294-45B2-868B-4A04E4413CD9}"/>
    <hyperlink ref="WSX94" r:id="rId1006" xr:uid="{10DBEC4A-0B94-4959-A439-CC1DAE4D1EDF}"/>
    <hyperlink ref="WTN94" r:id="rId1007" xr:uid="{19E44546-AB08-4089-B843-D5ACD2339C84}"/>
    <hyperlink ref="WUD94" r:id="rId1008" xr:uid="{965D1766-208E-48B4-8B56-5C70D94529F4}"/>
    <hyperlink ref="WUT94" r:id="rId1009" xr:uid="{71811185-EAAE-4612-98C8-0ABB48B7ECBE}"/>
    <hyperlink ref="WVJ94" r:id="rId1010" xr:uid="{4D9E0ABD-7CCF-4C8D-BC7A-77F2FC1B2D0F}"/>
    <hyperlink ref="WVZ94" r:id="rId1011" xr:uid="{A34790A3-742A-4005-8E32-C5CD956FC4B0}"/>
    <hyperlink ref="WWP94" r:id="rId1012" xr:uid="{F27D3D96-D56A-403D-B0EB-71F40A80E8EE}"/>
    <hyperlink ref="WXF94" r:id="rId1013" xr:uid="{94B74CF0-02AE-4F22-B042-83E42FC14C03}"/>
    <hyperlink ref="WXV94" r:id="rId1014" xr:uid="{DD328EBC-143F-445A-9C3B-5C3987C628D4}"/>
    <hyperlink ref="WYL94" r:id="rId1015" xr:uid="{0903507D-C8C1-4007-99E6-181E13480ABA}"/>
    <hyperlink ref="WZB94" r:id="rId1016" xr:uid="{C7B62DFB-A696-4F07-B94B-7112C643481F}"/>
    <hyperlink ref="WZR94" r:id="rId1017" xr:uid="{B0BA5852-02D6-4101-A6BB-C587D0202CC1}"/>
    <hyperlink ref="XAH94" r:id="rId1018" xr:uid="{4908C128-4050-4B52-921D-0C2DA0BE8E47}"/>
    <hyperlink ref="XAX94" r:id="rId1019" xr:uid="{24803A0C-BB2A-47D4-AB6D-F2E67347F44D}"/>
    <hyperlink ref="XBN94" r:id="rId1020" xr:uid="{8158CC31-C93F-472B-9808-8DB30938649B}"/>
    <hyperlink ref="XCD94" r:id="rId1021" xr:uid="{078CBAA3-10A4-40A6-89CF-68289686E513}"/>
    <hyperlink ref="XCT94" r:id="rId1022" xr:uid="{15A2CA60-4A35-4C9A-9D17-5ACEF197D510}"/>
    <hyperlink ref="XDJ94" r:id="rId1023" xr:uid="{5044AF64-81E9-4727-88AE-CDD717E00217}"/>
    <hyperlink ref="XDZ94" r:id="rId1024" xr:uid="{D885F6BC-6E4C-42A3-BCDE-999304CFDD9E}"/>
    <hyperlink ref="XEP94" r:id="rId1025" xr:uid="{FF31E16F-028C-44EB-A430-1C6F1CE1E68F}"/>
  </hyperlinks>
  <pageMargins left="0.23622047244094491" right="0.23622047244094491" top="0.74803149606299213" bottom="0.74803149606299213" header="0.31496062992125984" footer="0.31496062992125984"/>
  <pageSetup paperSize="9" scale="42" fitToHeight="2" orientation="portrait" r:id="rId1026"/>
  <headerFooter alignWithMargins="0">
    <oddFooter xml:space="preserve">&amp;L&amp;12
</oddFooter>
  </headerFooter>
  <rowBreaks count="1" manualBreakCount="1">
    <brk id="82" max="16383" man="1"/>
  </rowBreaks>
  <drawing r:id="rId1027"/>
  <legacyDrawing r:id="rId1028"/>
  <oleObjects>
    <mc:AlternateContent xmlns:mc="http://schemas.openxmlformats.org/markup-compatibility/2006">
      <mc:Choice Requires="x14">
        <oleObject progId="Paint.Picture" shapeId="2050" r:id="rId1029">
          <objectPr defaultSize="0" autoPict="0" r:id="rId1030">
            <anchor moveWithCells="1">
              <from>
                <xdr:col>11</xdr:col>
                <xdr:colOff>1076325</xdr:colOff>
                <xdr:row>1</xdr:row>
                <xdr:rowOff>76200</xdr:rowOff>
              </from>
              <to>
                <xdr:col>15</xdr:col>
                <xdr:colOff>161925</xdr:colOff>
                <xdr:row>7</xdr:row>
                <xdr:rowOff>19050</xdr:rowOff>
              </to>
            </anchor>
          </objectPr>
        </oleObject>
      </mc:Choice>
      <mc:Fallback>
        <oleObject progId="Paint.Picture" shapeId="2050" r:id="rId1029"/>
      </mc:Fallback>
    </mc:AlternateContent>
    <mc:AlternateContent xmlns:mc="http://schemas.openxmlformats.org/markup-compatibility/2006">
      <mc:Choice Requires="x14">
        <oleObject progId="Paint.Picture" shapeId="2051" r:id="rId1031">
          <objectPr defaultSize="0" autoPict="0" r:id="rId1030">
            <anchor moveWithCells="1">
              <from>
                <xdr:col>11</xdr:col>
                <xdr:colOff>1076325</xdr:colOff>
                <xdr:row>89</xdr:row>
                <xdr:rowOff>76200</xdr:rowOff>
              </from>
              <to>
                <xdr:col>15</xdr:col>
                <xdr:colOff>161925</xdr:colOff>
                <xdr:row>95</xdr:row>
                <xdr:rowOff>57150</xdr:rowOff>
              </to>
            </anchor>
          </objectPr>
        </oleObject>
      </mc:Choice>
      <mc:Fallback>
        <oleObject progId="Paint.Picture" shapeId="2051" r:id="rId1031"/>
      </mc:Fallback>
    </mc:AlternateContent>
  </oleObjec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66C893-ED24-4DFD-8AC3-845C76332533}">
  <sheetPr codeName="Sheet8"/>
  <dimension ref="A1"/>
  <sheetViews>
    <sheetView workbookViewId="0">
      <selection activeCell="A2" sqref="A2:B22"/>
    </sheetView>
  </sheetViews>
  <sheetFormatPr defaultRowHeight="12.75" x14ac:dyDescent="0.2"/>
  <cols>
    <col min="1" max="1" width="42" customWidth="1"/>
    <col min="2" max="2" width="13.85546875" customWidth="1"/>
  </cols>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9"/>
  <dimension ref="A2:L74"/>
  <sheetViews>
    <sheetView showWhiteSpace="0" topLeftCell="A21" zoomScaleNormal="100" workbookViewId="0">
      <selection activeCell="F57" sqref="F57"/>
    </sheetView>
  </sheetViews>
  <sheetFormatPr defaultColWidth="9.140625" defaultRowHeight="12.75" x14ac:dyDescent="0.2"/>
  <cols>
    <col min="1" max="1" width="4.85546875" style="1" customWidth="1"/>
    <col min="2" max="3" width="11.7109375" style="1" customWidth="1"/>
    <col min="4" max="4" width="3.140625" style="1" customWidth="1"/>
    <col min="5" max="5" width="7.85546875" style="1" customWidth="1"/>
    <col min="6" max="6" width="10.7109375" style="1" customWidth="1"/>
    <col min="7" max="7" width="9.85546875" style="1" customWidth="1"/>
    <col min="8" max="8" width="9.85546875" style="1" bestFit="1" customWidth="1"/>
    <col min="9" max="9" width="8.5703125" style="1" customWidth="1"/>
    <col min="10" max="10" width="4.85546875" style="1" customWidth="1"/>
    <col min="11" max="11" width="11.7109375" style="1" customWidth="1"/>
    <col min="12" max="12" width="19.85546875" style="1" customWidth="1"/>
    <col min="13" max="16" width="11.7109375" style="1" customWidth="1"/>
    <col min="17" max="16384" width="9.140625" style="1"/>
  </cols>
  <sheetData>
    <row r="2" spans="1:12" ht="27.75" x14ac:dyDescent="0.4">
      <c r="A2" s="39" t="s">
        <v>940</v>
      </c>
    </row>
    <row r="3" spans="1:12" ht="18" x14ac:dyDescent="0.25">
      <c r="A3" s="40" t="s">
        <v>941</v>
      </c>
    </row>
    <row r="5" spans="1:12" x14ac:dyDescent="0.2">
      <c r="A5" s="41" t="s">
        <v>942</v>
      </c>
      <c r="B5" s="41"/>
      <c r="C5" s="41" t="s">
        <v>943</v>
      </c>
      <c r="D5" s="41"/>
      <c r="E5" s="41" t="s">
        <v>944</v>
      </c>
      <c r="F5" s="41"/>
      <c r="G5" s="41"/>
      <c r="H5" s="41"/>
    </row>
    <row r="6" spans="1:12" ht="27" thickBot="1" x14ac:dyDescent="0.45">
      <c r="A6" s="42"/>
      <c r="B6" s="42"/>
      <c r="C6" s="43" t="s">
        <v>945</v>
      </c>
      <c r="D6" s="42"/>
      <c r="E6" s="42"/>
      <c r="F6" s="42"/>
      <c r="G6" s="42"/>
      <c r="H6" s="42"/>
      <c r="I6" s="38"/>
      <c r="J6" s="38"/>
      <c r="K6" s="38"/>
    </row>
    <row r="7" spans="1:12" ht="13.5" thickTop="1" x14ac:dyDescent="0.2">
      <c r="A7" s="246"/>
      <c r="B7" s="193"/>
      <c r="C7" s="229"/>
      <c r="D7" s="247"/>
      <c r="E7" s="246"/>
      <c r="F7" s="246"/>
      <c r="G7" s="246"/>
      <c r="H7" s="246"/>
      <c r="I7" s="246"/>
      <c r="J7" s="246"/>
      <c r="K7" s="246"/>
      <c r="L7" s="246"/>
    </row>
    <row r="8" spans="1:12" x14ac:dyDescent="0.2">
      <c r="B8" s="193" t="s">
        <v>946</v>
      </c>
      <c r="C8" s="246"/>
      <c r="D8" s="193" t="s">
        <v>947</v>
      </c>
      <c r="E8" s="246"/>
      <c r="G8" s="246"/>
      <c r="H8" s="246"/>
      <c r="I8" s="246"/>
      <c r="J8" s="246"/>
      <c r="K8" s="246"/>
      <c r="L8" s="246"/>
    </row>
    <row r="9" spans="1:12" x14ac:dyDescent="0.2">
      <c r="B9" s="229"/>
      <c r="C9" s="246"/>
      <c r="D9" s="193" t="s">
        <v>942</v>
      </c>
      <c r="E9" s="246"/>
      <c r="G9" s="246"/>
      <c r="H9" s="246"/>
      <c r="I9" s="246"/>
      <c r="J9" s="246"/>
      <c r="K9" s="246"/>
      <c r="L9" s="246"/>
    </row>
    <row r="10" spans="1:12" x14ac:dyDescent="0.2">
      <c r="B10" s="229"/>
      <c r="C10" s="246"/>
      <c r="D10" s="193" t="s">
        <v>948</v>
      </c>
      <c r="E10" s="246"/>
      <c r="G10" s="246"/>
      <c r="H10" s="246"/>
      <c r="I10" s="246"/>
      <c r="J10" s="246"/>
      <c r="K10" s="246"/>
      <c r="L10" s="246"/>
    </row>
    <row r="11" spans="1:12" x14ac:dyDescent="0.2">
      <c r="B11" s="229"/>
      <c r="C11" s="246"/>
      <c r="D11" s="193" t="s">
        <v>949</v>
      </c>
      <c r="E11" s="246"/>
      <c r="G11" s="246"/>
      <c r="H11" s="246"/>
      <c r="I11" s="246"/>
      <c r="J11" s="246"/>
      <c r="K11" s="246"/>
      <c r="L11" s="246"/>
    </row>
    <row r="12" spans="1:12" x14ac:dyDescent="0.2">
      <c r="B12" s="246"/>
      <c r="C12" s="193"/>
      <c r="D12" s="246"/>
      <c r="E12" s="246"/>
      <c r="F12" s="246"/>
      <c r="G12" s="246"/>
      <c r="H12" s="246"/>
      <c r="I12" s="246"/>
      <c r="J12" s="246"/>
      <c r="K12" s="246"/>
      <c r="L12" s="246"/>
    </row>
    <row r="13" spans="1:12" x14ac:dyDescent="0.2">
      <c r="B13" s="193" t="s">
        <v>950</v>
      </c>
      <c r="C13" s="246"/>
      <c r="D13" s="103" t="s">
        <v>951</v>
      </c>
      <c r="E13" s="248">
        <f>'Auto-Calibration record'!J17</f>
        <v>0</v>
      </c>
      <c r="F13" s="234" t="str">
        <f>"0"&amp;('Auto-Calibration record'!H15-200000)</f>
        <v>0-200001</v>
      </c>
      <c r="G13" s="246"/>
      <c r="H13" s="246"/>
      <c r="I13" s="246"/>
      <c r="J13" s="246"/>
      <c r="K13" s="246"/>
      <c r="L13" s="246"/>
    </row>
    <row r="14" spans="1:12" x14ac:dyDescent="0.2">
      <c r="B14" s="193" t="s">
        <v>952</v>
      </c>
      <c r="C14" s="246"/>
      <c r="D14" s="611" t="str">
        <f>'Auto-Calibration record'!H14</f>
        <v>5.6mg/l RM8631b</v>
      </c>
      <c r="E14" s="611"/>
      <c r="F14" s="611"/>
      <c r="G14" s="246"/>
      <c r="H14" s="246"/>
      <c r="I14" s="246"/>
      <c r="J14" s="246"/>
      <c r="K14" s="246"/>
      <c r="L14" s="246"/>
    </row>
    <row r="15" spans="1:12" x14ac:dyDescent="0.2">
      <c r="B15" s="193" t="s">
        <v>331</v>
      </c>
      <c r="C15" s="246"/>
      <c r="D15" s="103" t="s">
        <v>951</v>
      </c>
      <c r="E15" s="249" t="str">
        <f>F13</f>
        <v>0-200001</v>
      </c>
      <c r="F15" s="246"/>
      <c r="G15" s="246"/>
      <c r="H15" s="246"/>
      <c r="I15" s="246"/>
      <c r="J15" s="246"/>
      <c r="K15" s="246"/>
      <c r="L15" s="246"/>
    </row>
    <row r="16" spans="1:12" x14ac:dyDescent="0.2">
      <c r="A16" s="246"/>
      <c r="B16" s="193"/>
      <c r="C16" s="246"/>
      <c r="D16" s="247"/>
      <c r="E16" s="246"/>
      <c r="F16" s="229"/>
      <c r="G16" s="246"/>
      <c r="H16" s="246"/>
      <c r="I16" s="246"/>
      <c r="J16" s="246"/>
      <c r="K16" s="246"/>
      <c r="L16" s="246"/>
    </row>
    <row r="17" spans="1:12" ht="62.25" customHeight="1" x14ac:dyDescent="0.2">
      <c r="B17" s="612" t="s">
        <v>953</v>
      </c>
      <c r="C17" s="612"/>
      <c r="D17" s="612"/>
      <c r="E17" s="612"/>
      <c r="F17" s="612"/>
      <c r="G17" s="612"/>
      <c r="H17" s="612"/>
      <c r="I17" s="612"/>
      <c r="J17" s="250"/>
      <c r="K17" s="250"/>
      <c r="L17" s="250"/>
    </row>
    <row r="18" spans="1:12" ht="28.5" customHeight="1" x14ac:dyDescent="0.2">
      <c r="B18" s="612" t="s">
        <v>954</v>
      </c>
      <c r="C18" s="612"/>
      <c r="D18" s="612"/>
      <c r="E18" s="612"/>
      <c r="F18" s="612"/>
      <c r="G18" s="612"/>
      <c r="H18" s="612"/>
      <c r="I18" s="612"/>
      <c r="J18" s="250"/>
      <c r="K18" s="250"/>
      <c r="L18" s="250"/>
    </row>
    <row r="19" spans="1:12" x14ac:dyDescent="0.2">
      <c r="A19" s="247"/>
      <c r="B19" s="193"/>
      <c r="C19" s="247"/>
      <c r="D19" s="247"/>
      <c r="E19" s="247"/>
      <c r="F19" s="229"/>
      <c r="G19" s="247"/>
      <c r="H19" s="247"/>
      <c r="I19" s="247"/>
      <c r="J19" s="246"/>
      <c r="K19" s="246"/>
      <c r="L19" s="246"/>
    </row>
    <row r="20" spans="1:12" ht="35.25" customHeight="1" x14ac:dyDescent="0.2">
      <c r="B20" s="620" t="s">
        <v>955</v>
      </c>
      <c r="C20" s="620"/>
      <c r="D20" s="620"/>
      <c r="E20" s="620"/>
      <c r="F20" s="620"/>
      <c r="G20" s="620"/>
      <c r="H20" s="620"/>
      <c r="I20" s="620"/>
      <c r="J20" s="251"/>
      <c r="K20" s="251"/>
      <c r="L20" s="251"/>
    </row>
    <row r="21" spans="1:12" x14ac:dyDescent="0.2">
      <c r="A21" s="246"/>
      <c r="B21" s="193"/>
      <c r="C21" s="246"/>
      <c r="D21" s="247"/>
      <c r="E21" s="246"/>
      <c r="F21" s="229"/>
      <c r="G21" s="246"/>
      <c r="H21" s="246"/>
      <c r="I21" s="246"/>
      <c r="J21" s="246"/>
      <c r="K21" s="246"/>
      <c r="L21" s="246"/>
    </row>
    <row r="22" spans="1:12" x14ac:dyDescent="0.2">
      <c r="A22" s="246"/>
      <c r="B22" s="193" t="s">
        <v>956</v>
      </c>
      <c r="C22" s="246"/>
      <c r="D22" s="247"/>
      <c r="E22" s="246"/>
      <c r="F22" s="229"/>
      <c r="G22" s="246"/>
      <c r="H22" s="246"/>
      <c r="I22" s="246"/>
      <c r="J22" s="246"/>
      <c r="K22" s="246"/>
      <c r="L22" s="246"/>
    </row>
    <row r="23" spans="1:12" x14ac:dyDescent="0.2">
      <c r="D23" s="5"/>
      <c r="F23" s="44"/>
    </row>
    <row r="24" spans="1:12" ht="15" x14ac:dyDescent="0.2">
      <c r="B24" s="45"/>
      <c r="D24" s="5"/>
      <c r="F24" s="44"/>
    </row>
    <row r="25" spans="1:12" x14ac:dyDescent="0.2">
      <c r="B25" s="193" t="s">
        <v>957</v>
      </c>
      <c r="D25" s="623">
        <f>'Auto-Calibration record'!H16</f>
        <v>46190.6</v>
      </c>
      <c r="E25" s="623"/>
      <c r="G25" s="193" t="s">
        <v>958</v>
      </c>
    </row>
    <row r="26" spans="1:12" ht="15" x14ac:dyDescent="0.2">
      <c r="B26" s="45"/>
      <c r="D26" s="5"/>
      <c r="G26" s="44"/>
    </row>
    <row r="27" spans="1:12" ht="15" x14ac:dyDescent="0.2">
      <c r="B27" s="45"/>
      <c r="D27" s="5"/>
      <c r="G27" s="44"/>
    </row>
    <row r="28" spans="1:12" x14ac:dyDescent="0.2">
      <c r="D28" s="5"/>
    </row>
    <row r="29" spans="1:12" x14ac:dyDescent="0.2">
      <c r="C29" s="44"/>
      <c r="D29" s="5"/>
      <c r="G29" s="193" t="s">
        <v>959</v>
      </c>
    </row>
    <row r="30" spans="1:12" ht="13.5" x14ac:dyDescent="0.2">
      <c r="A30" s="46" t="s">
        <v>960</v>
      </c>
      <c r="C30" s="44"/>
      <c r="D30" s="5"/>
    </row>
    <row r="32" spans="1:12" ht="27.75" x14ac:dyDescent="0.4">
      <c r="A32" s="39" t="s">
        <v>940</v>
      </c>
    </row>
    <row r="33" spans="1:12" ht="18" x14ac:dyDescent="0.25">
      <c r="A33" s="40" t="s">
        <v>941</v>
      </c>
    </row>
    <row r="35" spans="1:12" x14ac:dyDescent="0.2">
      <c r="A35" s="41" t="s">
        <v>942</v>
      </c>
      <c r="B35" s="41"/>
      <c r="C35" s="41" t="s">
        <v>943</v>
      </c>
      <c r="D35" s="41"/>
      <c r="E35" s="41" t="s">
        <v>944</v>
      </c>
      <c r="F35" s="41"/>
      <c r="G35" s="41"/>
      <c r="H35" s="41"/>
      <c r="I35" s="41"/>
    </row>
    <row r="36" spans="1:12" ht="27" thickBot="1" x14ac:dyDescent="0.45">
      <c r="A36" s="42"/>
      <c r="B36" s="42"/>
      <c r="C36" s="43" t="s">
        <v>945</v>
      </c>
      <c r="D36" s="42"/>
      <c r="E36" s="42"/>
      <c r="F36" s="42"/>
      <c r="G36" s="42"/>
      <c r="H36" s="42"/>
      <c r="I36" s="42"/>
      <c r="J36" s="98"/>
      <c r="K36" s="38"/>
    </row>
    <row r="37" spans="1:12" ht="13.5" thickTop="1" x14ac:dyDescent="0.2"/>
    <row r="39" spans="1:12" s="37" customFormat="1" ht="18.75" thickBot="1" x14ac:dyDescent="0.3">
      <c r="A39" s="48" t="s">
        <v>961</v>
      </c>
      <c r="B39" s="47"/>
      <c r="C39" s="47"/>
      <c r="D39" s="47"/>
      <c r="E39" s="47"/>
      <c r="F39" s="47"/>
      <c r="G39" s="47"/>
      <c r="H39" s="47"/>
      <c r="I39" s="47"/>
      <c r="J39" s="98"/>
    </row>
    <row r="40" spans="1:12" s="37" customFormat="1" ht="13.5" thickTop="1" x14ac:dyDescent="0.2">
      <c r="A40" s="1"/>
      <c r="B40" s="1"/>
      <c r="C40" s="1"/>
      <c r="D40" s="1"/>
      <c r="E40" s="1"/>
      <c r="F40" s="1"/>
    </row>
    <row r="41" spans="1:12" x14ac:dyDescent="0.2">
      <c r="A41" s="37"/>
      <c r="C41" s="61" t="s">
        <v>962</v>
      </c>
      <c r="D41" s="49"/>
      <c r="E41" s="621" t="str">
        <f>'Auto-Calibration record'!H14</f>
        <v>5.6mg/l RM8631b</v>
      </c>
      <c r="F41" s="622"/>
      <c r="G41" s="118"/>
    </row>
    <row r="42" spans="1:12" x14ac:dyDescent="0.2">
      <c r="A42" s="37"/>
      <c r="C42" s="252" t="s">
        <v>963</v>
      </c>
      <c r="D42" s="253"/>
      <c r="E42" s="104" t="s">
        <v>951</v>
      </c>
      <c r="F42" s="96" t="str">
        <f>E15</f>
        <v>0-200001</v>
      </c>
    </row>
    <row r="43" spans="1:12" x14ac:dyDescent="0.2">
      <c r="A43" s="37"/>
      <c r="C43" s="61" t="s">
        <v>964</v>
      </c>
      <c r="D43" s="49"/>
      <c r="E43" s="618" t="s">
        <v>965</v>
      </c>
      <c r="F43" s="619"/>
      <c r="G43" s="37"/>
    </row>
    <row r="44" spans="1:12" x14ac:dyDescent="0.2">
      <c r="C44" s="62" t="s">
        <v>966</v>
      </c>
      <c r="D44" s="51"/>
      <c r="E44" s="618">
        <f>'Auto-Calibration record'!B17</f>
        <v>0</v>
      </c>
      <c r="F44" s="619"/>
      <c r="G44" s="37"/>
      <c r="H44" s="3"/>
      <c r="I44" s="3"/>
      <c r="J44" s="3"/>
      <c r="K44" s="3"/>
      <c r="L44" s="3"/>
    </row>
    <row r="45" spans="1:12" x14ac:dyDescent="0.2">
      <c r="C45" s="61" t="s">
        <v>967</v>
      </c>
      <c r="D45" s="49"/>
      <c r="E45" s="618">
        <f>'Auto-Calibration record'!B11</f>
        <v>31</v>
      </c>
      <c r="F45" s="619"/>
      <c r="G45" s="37"/>
    </row>
    <row r="46" spans="1:12" x14ac:dyDescent="0.2">
      <c r="A46" s="37"/>
      <c r="C46" s="61" t="s">
        <v>968</v>
      </c>
      <c r="D46" s="49"/>
      <c r="E46" s="618" t="s">
        <v>969</v>
      </c>
      <c r="F46" s="619"/>
      <c r="G46" s="37"/>
    </row>
    <row r="47" spans="1:12" s="2" customFormat="1" x14ac:dyDescent="0.2">
      <c r="A47" s="1"/>
      <c r="C47" s="61" t="s">
        <v>970</v>
      </c>
      <c r="D47" s="49"/>
      <c r="E47" s="618" t="s">
        <v>971</v>
      </c>
      <c r="F47" s="619"/>
      <c r="G47" s="37"/>
    </row>
    <row r="48" spans="1:12" x14ac:dyDescent="0.2">
      <c r="B48" s="37"/>
      <c r="C48" s="37"/>
      <c r="D48" s="3"/>
      <c r="E48" s="3"/>
      <c r="F48" s="3"/>
    </row>
    <row r="49" spans="1:10" s="37" customFormat="1" x14ac:dyDescent="0.2">
      <c r="A49" s="52" t="s">
        <v>972</v>
      </c>
      <c r="B49" s="1"/>
      <c r="C49" s="1"/>
      <c r="D49" s="1"/>
      <c r="E49" s="1"/>
      <c r="F49" s="1"/>
    </row>
    <row r="50" spans="1:10" s="37" customFormat="1" x14ac:dyDescent="0.2">
      <c r="A50" s="52"/>
      <c r="B50" s="1"/>
      <c r="C50" s="1"/>
      <c r="D50" s="1"/>
      <c r="E50" s="1"/>
      <c r="F50" s="1"/>
    </row>
    <row r="51" spans="1:10" s="37" customFormat="1" x14ac:dyDescent="0.2">
      <c r="A51" s="52"/>
      <c r="B51" s="1"/>
      <c r="C51" s="1"/>
      <c r="D51" s="1"/>
      <c r="E51" s="1"/>
      <c r="F51" s="1"/>
    </row>
    <row r="52" spans="1:10" s="37" customFormat="1" ht="18.75" thickBot="1" x14ac:dyDescent="0.3">
      <c r="A52" s="48" t="s">
        <v>973</v>
      </c>
      <c r="B52" s="47"/>
      <c r="C52" s="47"/>
      <c r="D52" s="47"/>
      <c r="E52" s="47"/>
      <c r="F52" s="47"/>
      <c r="G52" s="47"/>
      <c r="H52" s="47"/>
      <c r="I52" s="47"/>
      <c r="J52" s="98"/>
    </row>
    <row r="53" spans="1:10" s="37" customFormat="1" ht="13.5" thickTop="1" x14ac:dyDescent="0.2">
      <c r="A53" s="1"/>
      <c r="B53" s="1"/>
      <c r="C53" s="1"/>
    </row>
    <row r="54" spans="1:10" s="37" customFormat="1" ht="13.5" thickBot="1" x14ac:dyDescent="0.25">
      <c r="B54" s="1" t="s">
        <v>974</v>
      </c>
      <c r="C54" s="1"/>
    </row>
    <row r="55" spans="1:10" s="37" customFormat="1" ht="63.75" customHeight="1" x14ac:dyDescent="0.2">
      <c r="B55" s="53" t="s">
        <v>898</v>
      </c>
      <c r="C55" s="54" t="s">
        <v>899</v>
      </c>
      <c r="D55" s="616" t="s">
        <v>975</v>
      </c>
      <c r="E55" s="616"/>
      <c r="F55" s="56" t="s">
        <v>976</v>
      </c>
      <c r="G55" s="55" t="s">
        <v>902</v>
      </c>
      <c r="H55" s="57" t="s">
        <v>902</v>
      </c>
      <c r="I55" s="2"/>
    </row>
    <row r="56" spans="1:10" s="2" customFormat="1" x14ac:dyDescent="0.2">
      <c r="A56" s="37"/>
      <c r="B56" s="384" t="s">
        <v>977</v>
      </c>
      <c r="C56" s="385" t="s">
        <v>905</v>
      </c>
      <c r="D56" s="617" t="s">
        <v>978</v>
      </c>
      <c r="E56" s="617"/>
      <c r="F56" s="387" t="s">
        <v>978</v>
      </c>
      <c r="G56" s="386" t="s">
        <v>978</v>
      </c>
      <c r="H56" s="388" t="s">
        <v>907</v>
      </c>
      <c r="I56" s="58"/>
    </row>
    <row r="57" spans="1:10" x14ac:dyDescent="0.2">
      <c r="A57" s="37"/>
      <c r="B57" s="92">
        <v>4</v>
      </c>
      <c r="C57" s="434">
        <f>'Auto-Calibration record'!B65</f>
        <v>80</v>
      </c>
      <c r="D57" s="614">
        <f>'Auto-Calibration record'!B68</f>
        <v>1056340</v>
      </c>
      <c r="E57" s="615"/>
      <c r="F57" s="435">
        <f>'Auto-Calibration record'!I68</f>
        <v>1065116</v>
      </c>
      <c r="G57" s="434">
        <f t="shared" ref="G57:G62" si="0">F57-D57</f>
        <v>8776</v>
      </c>
      <c r="H57" s="93">
        <f t="shared" ref="H57:H62" si="1">G57/D57</f>
        <v>8.3079311585285039E-3</v>
      </c>
      <c r="I57" s="59"/>
    </row>
    <row r="58" spans="1:10" s="37" customFormat="1" x14ac:dyDescent="0.2">
      <c r="A58" s="2"/>
      <c r="B58" s="92">
        <v>6</v>
      </c>
      <c r="C58" s="434">
        <f>'Auto-Calibration record'!C65</f>
        <v>194</v>
      </c>
      <c r="D58" s="614">
        <f>'Auto-Calibration record'!B69</f>
        <v>459350</v>
      </c>
      <c r="E58" s="615"/>
      <c r="F58" s="435">
        <f>'Auto-Calibration record'!I69</f>
        <v>459710</v>
      </c>
      <c r="G58" s="434">
        <f t="shared" si="0"/>
        <v>360</v>
      </c>
      <c r="H58" s="93">
        <f t="shared" si="1"/>
        <v>7.8371612060520296E-4</v>
      </c>
      <c r="I58" s="59"/>
    </row>
    <row r="59" spans="1:10" x14ac:dyDescent="0.2">
      <c r="B59" s="92">
        <v>14</v>
      </c>
      <c r="C59" s="434">
        <f>'Auto-Calibration record'!D65</f>
        <v>1032</v>
      </c>
      <c r="D59" s="614">
        <f>'Auto-Calibration record'!B71</f>
        <v>36410</v>
      </c>
      <c r="E59" s="615"/>
      <c r="F59" s="435">
        <f>'Auto-Calibration record'!I71</f>
        <v>37720</v>
      </c>
      <c r="G59" s="434">
        <f t="shared" si="0"/>
        <v>1310</v>
      </c>
      <c r="H59" s="93">
        <f t="shared" si="1"/>
        <v>3.5979126613567704E-2</v>
      </c>
      <c r="I59" s="59"/>
    </row>
    <row r="60" spans="1:10" x14ac:dyDescent="0.2">
      <c r="A60" s="37"/>
      <c r="B60" s="92">
        <v>21</v>
      </c>
      <c r="C60" s="434">
        <f>'Auto-Calibration record'!E65</f>
        <v>2064</v>
      </c>
      <c r="D60" s="614">
        <f>'Auto-Calibration record'!B72</f>
        <v>10940</v>
      </c>
      <c r="E60" s="615"/>
      <c r="F60" s="435">
        <f>'Auto-Calibration record'!I72</f>
        <v>11889</v>
      </c>
      <c r="G60" s="434">
        <f t="shared" si="0"/>
        <v>949</v>
      </c>
      <c r="H60" s="93">
        <f t="shared" si="1"/>
        <v>8.6745886654478979E-2</v>
      </c>
      <c r="I60" s="59"/>
    </row>
    <row r="61" spans="1:10" x14ac:dyDescent="0.2">
      <c r="B61" s="92">
        <v>25</v>
      </c>
      <c r="C61" s="434">
        <f>'Auto-Calibration record'!F65</f>
        <v>3012</v>
      </c>
      <c r="D61" s="614">
        <f>'Auto-Calibration record'!B73</f>
        <v>5210</v>
      </c>
      <c r="E61" s="615"/>
      <c r="F61" s="435">
        <f>'Auto-Calibration record'!I73</f>
        <v>5538</v>
      </c>
      <c r="G61" s="434">
        <f t="shared" si="0"/>
        <v>328</v>
      </c>
      <c r="H61" s="93">
        <f t="shared" si="1"/>
        <v>6.2955854126679464E-2</v>
      </c>
      <c r="I61" s="59"/>
    </row>
    <row r="62" spans="1:10" x14ac:dyDescent="0.2">
      <c r="A62" s="2"/>
      <c r="B62" s="92">
        <v>38</v>
      </c>
      <c r="C62" s="434">
        <f>'Auto-Calibration record'!G65</f>
        <v>10314</v>
      </c>
      <c r="D62" s="614">
        <f>'Auto-Calibration record'!B74</f>
        <v>611.721</v>
      </c>
      <c r="E62" s="615"/>
      <c r="F62" s="435">
        <f>'Auto-Calibration record'!I74</f>
        <v>525</v>
      </c>
      <c r="G62" s="434">
        <f t="shared" si="0"/>
        <v>-86.721000000000004</v>
      </c>
      <c r="H62" s="93">
        <f t="shared" si="1"/>
        <v>-0.1417656088314771</v>
      </c>
      <c r="I62" s="59"/>
    </row>
    <row r="63" spans="1:10" x14ac:dyDescent="0.2">
      <c r="B63" s="92" t="s">
        <v>979</v>
      </c>
      <c r="C63" s="434">
        <f>'Auto-Calibration record'!H65</f>
        <v>16352</v>
      </c>
      <c r="D63" s="614">
        <f>'Auto-Calibration record'!B75</f>
        <v>145.303</v>
      </c>
      <c r="E63" s="615"/>
      <c r="F63" s="435">
        <f>'Auto-Calibration record'!I75</f>
        <v>112</v>
      </c>
      <c r="G63" s="436" t="s">
        <v>321</v>
      </c>
      <c r="H63" s="254" t="s">
        <v>321</v>
      </c>
      <c r="I63" s="59"/>
    </row>
    <row r="64" spans="1:10" ht="13.5" thickBot="1" x14ac:dyDescent="0.25">
      <c r="A64" s="37"/>
      <c r="B64" s="94" t="s">
        <v>980</v>
      </c>
      <c r="C64" s="95">
        <f>'Auto-Calibration record'!I65</f>
        <v>25228</v>
      </c>
      <c r="D64" s="614">
        <f>'Auto-Calibration record'!B76</f>
        <v>24.939</v>
      </c>
      <c r="E64" s="615"/>
      <c r="F64" s="102">
        <f>'Auto-Calibration record'!I76</f>
        <v>18</v>
      </c>
      <c r="G64" s="255" t="s">
        <v>321</v>
      </c>
      <c r="H64" s="256" t="s">
        <v>321</v>
      </c>
      <c r="I64" s="59"/>
    </row>
    <row r="65" spans="2:7" x14ac:dyDescent="0.2">
      <c r="B65" s="613" t="s">
        <v>981</v>
      </c>
      <c r="C65" s="613"/>
      <c r="D65" s="613"/>
      <c r="E65" s="613"/>
      <c r="F65" s="613"/>
      <c r="G65" s="613"/>
    </row>
    <row r="67" spans="2:7" x14ac:dyDescent="0.2">
      <c r="B67" s="389" t="s">
        <v>982</v>
      </c>
      <c r="C67" s="390">
        <f>'Auto-Calibration record'!H16</f>
        <v>46190.6</v>
      </c>
    </row>
    <row r="72" spans="2:7" x14ac:dyDescent="0.2">
      <c r="F72" s="5" t="s">
        <v>959</v>
      </c>
    </row>
    <row r="74" spans="2:7" x14ac:dyDescent="0.2">
      <c r="B74" s="60" t="s">
        <v>983</v>
      </c>
    </row>
  </sheetData>
  <sheetProtection sheet="1" objects="1" scenarios="1" selectLockedCells="1"/>
  <mergeCells count="22">
    <mergeCell ref="B20:I20"/>
    <mergeCell ref="E41:F41"/>
    <mergeCell ref="E43:F43"/>
    <mergeCell ref="E44:F44"/>
    <mergeCell ref="E45:F45"/>
    <mergeCell ref="D25:E25"/>
    <mergeCell ref="D14:F14"/>
    <mergeCell ref="B17:I17"/>
    <mergeCell ref="B18:I18"/>
    <mergeCell ref="B65:G65"/>
    <mergeCell ref="D60:E60"/>
    <mergeCell ref="D61:E61"/>
    <mergeCell ref="D62:E62"/>
    <mergeCell ref="D63:E63"/>
    <mergeCell ref="D64:E64"/>
    <mergeCell ref="D55:E55"/>
    <mergeCell ref="D56:E56"/>
    <mergeCell ref="D57:E57"/>
    <mergeCell ref="D58:E58"/>
    <mergeCell ref="D59:E59"/>
    <mergeCell ref="E46:F46"/>
    <mergeCell ref="E47:F47"/>
  </mergeCells>
  <pageMargins left="1" right="1" top="1" bottom="1" header="0.5" footer="0.5"/>
  <pageSetup paperSize="9" fitToHeight="0" orientation="portrait" r:id="rId1"/>
  <rowBreaks count="1" manualBreakCount="1">
    <brk id="30" max="16383" man="1"/>
  </rowBreaks>
  <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0">
    <pageSetUpPr fitToPage="1"/>
  </sheetPr>
  <dimension ref="A2:P94"/>
  <sheetViews>
    <sheetView topLeftCell="A14" zoomScale="85" zoomScaleNormal="85" zoomScalePageLayoutView="55" workbookViewId="0">
      <selection activeCell="O19" sqref="O19"/>
    </sheetView>
  </sheetViews>
  <sheetFormatPr defaultColWidth="0" defaultRowHeight="12.75" x14ac:dyDescent="0.2"/>
  <cols>
    <col min="1" max="1" width="6" style="1" customWidth="1"/>
    <col min="2" max="2" width="16.7109375" style="1" customWidth="1"/>
    <col min="3" max="3" width="19.7109375" style="1" customWidth="1"/>
    <col min="4" max="4" width="22.140625" style="1" customWidth="1"/>
    <col min="5" max="5" width="7.5703125" style="1" customWidth="1"/>
    <col min="6" max="6" width="16.7109375" style="1" customWidth="1"/>
    <col min="7" max="7" width="5.140625" style="1" customWidth="1"/>
    <col min="8" max="8" width="16.85546875" style="1" customWidth="1"/>
    <col min="9" max="9" width="3.85546875" style="1" customWidth="1"/>
    <col min="10" max="10" width="23.7109375" style="1" customWidth="1"/>
    <col min="11" max="11" width="20.7109375" style="1" customWidth="1"/>
    <col min="12" max="12" width="21" style="1" customWidth="1"/>
    <col min="13" max="13" width="18.85546875" style="1" customWidth="1"/>
    <col min="14" max="14" width="3.28515625" style="1" customWidth="1"/>
    <col min="15" max="15" width="19.28515625" style="1" customWidth="1"/>
    <col min="16" max="16" width="6" style="1" customWidth="1"/>
    <col min="17" max="16384" width="0" style="1" hidden="1"/>
  </cols>
  <sheetData>
    <row r="2" spans="1:16" ht="14.25" x14ac:dyDescent="0.2">
      <c r="B2" s="63" t="s">
        <v>879</v>
      </c>
      <c r="C2" s="60"/>
    </row>
    <row r="3" spans="1:16" ht="14.25" x14ac:dyDescent="0.2">
      <c r="B3" s="63" t="s">
        <v>933</v>
      </c>
      <c r="C3" s="60"/>
    </row>
    <row r="4" spans="1:16" ht="14.25" x14ac:dyDescent="0.2">
      <c r="B4" s="63" t="s">
        <v>934</v>
      </c>
      <c r="C4" s="60"/>
    </row>
    <row r="5" spans="1:16" ht="14.25" x14ac:dyDescent="0.2">
      <c r="B5" s="63" t="s">
        <v>882</v>
      </c>
      <c r="C5" s="60"/>
    </row>
    <row r="6" spans="1:16" ht="14.25" x14ac:dyDescent="0.2">
      <c r="B6" s="63" t="s">
        <v>935</v>
      </c>
      <c r="C6" s="60"/>
    </row>
    <row r="7" spans="1:16" ht="15" x14ac:dyDescent="0.2">
      <c r="B7" s="63" t="s">
        <v>936</v>
      </c>
      <c r="C7" s="60"/>
      <c r="D7" s="64"/>
    </row>
    <row r="8" spans="1:16" ht="14.25" x14ac:dyDescent="0.2">
      <c r="B8" s="34" t="s">
        <v>885</v>
      </c>
      <c r="C8" s="60"/>
    </row>
    <row r="9" spans="1:16" ht="14.25" x14ac:dyDescent="0.2">
      <c r="B9" s="34"/>
      <c r="C9" s="60"/>
    </row>
    <row r="10" spans="1:16" ht="37.5" customHeight="1" x14ac:dyDescent="0.5">
      <c r="B10" s="579" t="s">
        <v>886</v>
      </c>
      <c r="C10" s="579"/>
      <c r="D10" s="579"/>
      <c r="E10" s="579"/>
      <c r="F10" s="579"/>
      <c r="G10" s="579"/>
      <c r="H10" s="579"/>
      <c r="I10" s="579"/>
      <c r="J10" s="579"/>
      <c r="K10" s="579"/>
      <c r="L10" s="579"/>
      <c r="M10" s="579"/>
      <c r="N10" s="579"/>
      <c r="O10" s="579"/>
      <c r="P10" s="579"/>
    </row>
    <row r="11" spans="1:16" ht="21" customHeight="1" x14ac:dyDescent="0.4">
      <c r="B11" s="65"/>
      <c r="C11" s="65"/>
      <c r="D11" s="65"/>
      <c r="E11" s="65"/>
      <c r="F11" s="65"/>
      <c r="G11" s="65"/>
      <c r="H11" s="65"/>
      <c r="I11" s="65"/>
      <c r="J11" s="65"/>
      <c r="K11" s="65"/>
      <c r="L11" s="65"/>
      <c r="M11" s="65"/>
      <c r="N11" s="65"/>
      <c r="O11" s="65"/>
      <c r="P11" s="65"/>
    </row>
    <row r="12" spans="1:16" ht="11.25" customHeight="1" x14ac:dyDescent="0.2"/>
    <row r="13" spans="1:16" ht="60.75" customHeight="1" x14ac:dyDescent="0.2">
      <c r="B13" s="595" t="s">
        <v>984</v>
      </c>
      <c r="C13" s="595"/>
      <c r="D13" s="595"/>
      <c r="E13" s="595"/>
      <c r="F13" s="595"/>
      <c r="G13" s="595"/>
      <c r="H13" s="595"/>
      <c r="I13" s="595"/>
      <c r="J13" s="595"/>
      <c r="K13" s="595"/>
      <c r="L13" s="595"/>
      <c r="M13" s="595"/>
      <c r="N13" s="595"/>
      <c r="O13" s="595"/>
      <c r="P13" s="67"/>
    </row>
    <row r="14" spans="1:16" ht="77.25" customHeight="1" x14ac:dyDescent="0.2">
      <c r="A14" s="68"/>
      <c r="B14" s="595" t="s">
        <v>888</v>
      </c>
      <c r="C14" s="595"/>
      <c r="D14" s="595"/>
      <c r="E14" s="595"/>
      <c r="F14" s="595"/>
      <c r="G14" s="595"/>
      <c r="H14" s="595"/>
      <c r="I14" s="595"/>
      <c r="J14" s="595"/>
      <c r="K14" s="595"/>
      <c r="L14" s="595"/>
      <c r="M14" s="595"/>
      <c r="N14" s="595"/>
      <c r="O14" s="595"/>
      <c r="P14" s="67"/>
    </row>
    <row r="15" spans="1:16" ht="18" x14ac:dyDescent="0.2">
      <c r="A15" s="68"/>
      <c r="B15" s="66"/>
      <c r="C15" s="66"/>
      <c r="D15" s="66"/>
      <c r="E15" s="66"/>
      <c r="F15" s="66"/>
      <c r="G15" s="66"/>
      <c r="H15" s="66"/>
      <c r="I15" s="66"/>
      <c r="J15" s="66"/>
      <c r="K15" s="66"/>
      <c r="L15" s="66"/>
      <c r="M15" s="66"/>
      <c r="N15" s="66"/>
      <c r="O15" s="66"/>
      <c r="P15" s="67"/>
    </row>
    <row r="16" spans="1:16" ht="18" x14ac:dyDescent="0.2">
      <c r="A16" s="68"/>
      <c r="B16" s="69"/>
      <c r="C16" s="69"/>
      <c r="D16" s="70"/>
      <c r="E16" s="70"/>
      <c r="F16" s="69"/>
      <c r="G16" s="69"/>
      <c r="H16" s="69"/>
      <c r="I16" s="69"/>
      <c r="J16" s="69"/>
      <c r="K16" s="69"/>
      <c r="L16" s="69"/>
      <c r="M16" s="69"/>
      <c r="N16" s="69"/>
      <c r="O16" s="69"/>
      <c r="P16" s="69"/>
    </row>
    <row r="17" spans="2:15" ht="25.9" customHeight="1" x14ac:dyDescent="0.25">
      <c r="B17" s="414" t="s">
        <v>889</v>
      </c>
      <c r="C17" s="415"/>
      <c r="D17" s="606" t="str">
        <f>'Auto-Calibration record'!H14</f>
        <v>5.6mg/l RM8631b</v>
      </c>
      <c r="E17" s="606"/>
      <c r="F17" s="606"/>
      <c r="K17" s="416" t="s">
        <v>985</v>
      </c>
      <c r="L17" s="417"/>
      <c r="M17" s="417"/>
      <c r="N17" s="418"/>
      <c r="O17" s="437" t="str">
        <f>'Auto-Calibration record'!H18</f>
        <v>RM8631b</v>
      </c>
    </row>
    <row r="18" spans="2:15" ht="25.9" customHeight="1" x14ac:dyDescent="0.25">
      <c r="B18" s="414" t="s">
        <v>891</v>
      </c>
      <c r="C18" s="420"/>
      <c r="D18" s="607" t="e">
        <f>'Auto-Calibration record'!#REF!&amp;'Auto-Calibration record'!H15</f>
        <v>#REF!</v>
      </c>
      <c r="E18" s="608"/>
      <c r="F18" s="609"/>
      <c r="K18" s="380" t="s">
        <v>892</v>
      </c>
      <c r="L18" s="381"/>
      <c r="M18" s="381"/>
      <c r="N18" s="382"/>
      <c r="O18" s="421">
        <f>'Auto-Calibration record'!H16</f>
        <v>46190.6</v>
      </c>
    </row>
    <row r="19" spans="2:15" ht="25.9" customHeight="1" x14ac:dyDescent="0.25">
      <c r="B19" s="414" t="s">
        <v>893</v>
      </c>
      <c r="C19" s="420"/>
      <c r="D19" s="607" t="str">
        <f>'Auto-Calibration record'!H17</f>
        <v>-1 170626</v>
      </c>
      <c r="E19" s="608"/>
      <c r="F19" s="609"/>
      <c r="K19" s="416" t="s">
        <v>894</v>
      </c>
      <c r="L19" s="417"/>
      <c r="M19" s="417"/>
      <c r="N19" s="418"/>
      <c r="O19" s="438" t="str">
        <f>'Auto-Calibration record'!H19</f>
        <v>NOT SET</v>
      </c>
    </row>
    <row r="20" spans="2:15" ht="25.5" customHeight="1" x14ac:dyDescent="0.25">
      <c r="B20" s="71"/>
      <c r="D20" s="87"/>
      <c r="E20" s="90"/>
      <c r="F20" s="88"/>
      <c r="K20" s="71"/>
      <c r="L20" s="72"/>
      <c r="M20" s="72"/>
      <c r="N20" s="72"/>
      <c r="O20" s="36"/>
    </row>
    <row r="21" spans="2:15" ht="34.5" customHeight="1" x14ac:dyDescent="0.25">
      <c r="B21" s="71"/>
      <c r="D21" s="439" t="s">
        <v>986</v>
      </c>
      <c r="E21" s="624" t="s">
        <v>987</v>
      </c>
      <c r="F21" s="624"/>
      <c r="G21" s="624" t="s">
        <v>988</v>
      </c>
      <c r="H21" s="624"/>
      <c r="I21" s="624" t="s">
        <v>989</v>
      </c>
      <c r="J21" s="624"/>
      <c r="M21" s="72"/>
      <c r="N21" s="72"/>
      <c r="O21" s="89"/>
    </row>
    <row r="22" spans="2:15" ht="18" x14ac:dyDescent="0.25">
      <c r="B22" s="71"/>
      <c r="D22" s="440" t="s">
        <v>990</v>
      </c>
      <c r="E22" s="625" t="s">
        <v>991</v>
      </c>
      <c r="F22" s="625"/>
      <c r="G22" s="625" t="s">
        <v>992</v>
      </c>
      <c r="H22" s="625"/>
      <c r="I22" s="625">
        <v>5226</v>
      </c>
      <c r="J22" s="625"/>
      <c r="M22" s="72"/>
      <c r="N22" s="72"/>
      <c r="O22" s="89"/>
    </row>
    <row r="23" spans="2:15" ht="14.25" customHeight="1" x14ac:dyDescent="0.25">
      <c r="B23" s="71"/>
      <c r="D23" s="440" t="s">
        <v>993</v>
      </c>
      <c r="E23" s="625" t="s">
        <v>991</v>
      </c>
      <c r="F23" s="625"/>
      <c r="G23" s="625" t="s">
        <v>992</v>
      </c>
      <c r="H23" s="625"/>
      <c r="I23" s="625">
        <v>5306</v>
      </c>
      <c r="J23" s="625"/>
      <c r="M23" s="72"/>
      <c r="N23" s="72"/>
      <c r="O23" s="89"/>
    </row>
    <row r="24" spans="2:15" ht="14.25" customHeight="1" x14ac:dyDescent="0.25">
      <c r="B24" s="71"/>
      <c r="D24" s="440" t="s">
        <v>994</v>
      </c>
      <c r="E24" s="625" t="s">
        <v>991</v>
      </c>
      <c r="F24" s="625"/>
      <c r="G24" s="625" t="s">
        <v>992</v>
      </c>
      <c r="H24" s="625"/>
      <c r="I24" s="625">
        <v>5326</v>
      </c>
      <c r="J24" s="625"/>
      <c r="M24" s="72"/>
      <c r="N24" s="72"/>
      <c r="O24" s="89"/>
    </row>
    <row r="25" spans="2:15" ht="14.25" customHeight="1" x14ac:dyDescent="0.25">
      <c r="B25" s="71"/>
      <c r="D25" s="440" t="s">
        <v>995</v>
      </c>
      <c r="E25" s="625" t="s">
        <v>991</v>
      </c>
      <c r="F25" s="625"/>
      <c r="G25" s="625" t="s">
        <v>992</v>
      </c>
      <c r="H25" s="625"/>
      <c r="I25" s="625">
        <v>5529</v>
      </c>
      <c r="J25" s="625"/>
      <c r="M25" s="72"/>
      <c r="N25" s="72"/>
      <c r="O25" s="89"/>
    </row>
    <row r="26" spans="2:15" ht="14.25" customHeight="1" x14ac:dyDescent="0.25">
      <c r="B26" s="71"/>
      <c r="D26" s="87"/>
      <c r="E26" s="88"/>
      <c r="K26" s="71"/>
      <c r="L26" s="72"/>
      <c r="M26" s="72"/>
      <c r="N26" s="72"/>
      <c r="O26" s="89"/>
    </row>
    <row r="27" spans="2:15" ht="15.75" x14ac:dyDescent="0.25">
      <c r="B27" s="73" t="s">
        <v>895</v>
      </c>
    </row>
    <row r="28" spans="2:15" ht="15.75" x14ac:dyDescent="0.25">
      <c r="B28" s="73" t="s">
        <v>896</v>
      </c>
      <c r="O28" s="74"/>
    </row>
    <row r="29" spans="2:15" ht="15.75" x14ac:dyDescent="0.25">
      <c r="B29" s="73" t="s">
        <v>897</v>
      </c>
    </row>
    <row r="30" spans="2:15" ht="15.75" x14ac:dyDescent="0.25">
      <c r="B30" s="73"/>
    </row>
    <row r="31" spans="2:15" x14ac:dyDescent="0.2">
      <c r="B31" s="75"/>
    </row>
    <row r="32" spans="2:15" s="76" customFormat="1" ht="67.5" customHeight="1" x14ac:dyDescent="0.2">
      <c r="D32" s="583" t="s">
        <v>898</v>
      </c>
      <c r="E32" s="583"/>
      <c r="F32" s="583" t="s">
        <v>899</v>
      </c>
      <c r="G32" s="583"/>
      <c r="H32" s="583" t="s">
        <v>900</v>
      </c>
      <c r="I32" s="583"/>
      <c r="J32" s="423" t="s">
        <v>901</v>
      </c>
      <c r="K32" s="423" t="s">
        <v>902</v>
      </c>
      <c r="L32" s="423" t="s">
        <v>903</v>
      </c>
    </row>
    <row r="33" spans="2:12" s="77" customFormat="1" ht="25.9" customHeight="1" x14ac:dyDescent="0.2">
      <c r="D33" s="584" t="s">
        <v>904</v>
      </c>
      <c r="E33" s="584"/>
      <c r="F33" s="584" t="s">
        <v>905</v>
      </c>
      <c r="G33" s="584"/>
      <c r="H33" s="584" t="s">
        <v>906</v>
      </c>
      <c r="I33" s="584"/>
      <c r="J33" s="424" t="s">
        <v>906</v>
      </c>
      <c r="K33" s="424" t="s">
        <v>906</v>
      </c>
      <c r="L33" s="424" t="s">
        <v>907</v>
      </c>
    </row>
    <row r="34" spans="2:12" s="77" customFormat="1" ht="25.9" customHeight="1" x14ac:dyDescent="0.2">
      <c r="D34" s="585" t="s">
        <v>908</v>
      </c>
      <c r="E34" s="585"/>
      <c r="F34" s="600">
        <f>'Auto-Calibration record'!B65</f>
        <v>80</v>
      </c>
      <c r="G34" s="600"/>
      <c r="H34" s="596">
        <f>'Auto-Calibration record'!B68</f>
        <v>1056340</v>
      </c>
      <c r="I34" s="626"/>
      <c r="J34" s="442">
        <f>'Auto-Calibration record'!I68</f>
        <v>1065116</v>
      </c>
      <c r="K34" s="425">
        <f t="shared" ref="K34:K39" si="0">J34-H34</f>
        <v>8776</v>
      </c>
      <c r="L34" s="443">
        <f t="shared" ref="L34:L39" si="1">K34/H34</f>
        <v>8.3079311585285039E-3</v>
      </c>
    </row>
    <row r="35" spans="2:12" s="77" customFormat="1" ht="25.9" customHeight="1" x14ac:dyDescent="0.2">
      <c r="D35" s="585" t="s">
        <v>909</v>
      </c>
      <c r="E35" s="585"/>
      <c r="F35" s="600">
        <f>'Auto-Calibration record'!C65</f>
        <v>194</v>
      </c>
      <c r="G35" s="600"/>
      <c r="H35" s="596">
        <f>'Auto-Calibration record'!B69</f>
        <v>459350</v>
      </c>
      <c r="I35" s="626"/>
      <c r="J35" s="442">
        <f>'Auto-Calibration record'!I69</f>
        <v>459710</v>
      </c>
      <c r="K35" s="425">
        <f t="shared" si="0"/>
        <v>360</v>
      </c>
      <c r="L35" s="443">
        <f t="shared" si="1"/>
        <v>7.8371612060520296E-4</v>
      </c>
    </row>
    <row r="36" spans="2:12" s="77" customFormat="1" ht="25.9" customHeight="1" x14ac:dyDescent="0.2">
      <c r="D36" s="585" t="s">
        <v>910</v>
      </c>
      <c r="E36" s="585"/>
      <c r="F36" s="600">
        <f>'Auto-Calibration record'!D65</f>
        <v>1032</v>
      </c>
      <c r="G36" s="600"/>
      <c r="H36" s="596">
        <f>'Auto-Calibration record'!B71</f>
        <v>36410</v>
      </c>
      <c r="I36" s="626"/>
      <c r="J36" s="442">
        <f>'Auto-Calibration record'!I71</f>
        <v>37720</v>
      </c>
      <c r="K36" s="425">
        <f t="shared" si="0"/>
        <v>1310</v>
      </c>
      <c r="L36" s="443">
        <f t="shared" si="1"/>
        <v>3.5979126613567704E-2</v>
      </c>
    </row>
    <row r="37" spans="2:12" s="77" customFormat="1" ht="25.9" customHeight="1" x14ac:dyDescent="0.2">
      <c r="D37" s="585" t="s">
        <v>911</v>
      </c>
      <c r="E37" s="585"/>
      <c r="F37" s="600">
        <f>'Auto-Calibration record'!E65</f>
        <v>2064</v>
      </c>
      <c r="G37" s="600"/>
      <c r="H37" s="596">
        <f>'Auto-Calibration record'!B72</f>
        <v>10940</v>
      </c>
      <c r="I37" s="626"/>
      <c r="J37" s="442">
        <f>'Auto-Calibration record'!I72</f>
        <v>11889</v>
      </c>
      <c r="K37" s="425">
        <f t="shared" si="0"/>
        <v>949</v>
      </c>
      <c r="L37" s="443">
        <f t="shared" si="1"/>
        <v>8.6745886654478979E-2</v>
      </c>
    </row>
    <row r="38" spans="2:12" s="77" customFormat="1" ht="25.9" customHeight="1" x14ac:dyDescent="0.2">
      <c r="D38" s="585" t="s">
        <v>912</v>
      </c>
      <c r="E38" s="585"/>
      <c r="F38" s="600">
        <f>'Auto-Calibration record'!F65</f>
        <v>3012</v>
      </c>
      <c r="G38" s="600"/>
      <c r="H38" s="596">
        <f>'Auto-Calibration record'!B73</f>
        <v>5210</v>
      </c>
      <c r="I38" s="626"/>
      <c r="J38" s="442">
        <f>'Auto-Calibration record'!I73</f>
        <v>5538</v>
      </c>
      <c r="K38" s="425">
        <f t="shared" si="0"/>
        <v>328</v>
      </c>
      <c r="L38" s="443">
        <f t="shared" si="1"/>
        <v>6.2955854126679464E-2</v>
      </c>
    </row>
    <row r="39" spans="2:12" s="77" customFormat="1" ht="25.9" customHeight="1" x14ac:dyDescent="0.2">
      <c r="D39" s="585" t="s">
        <v>913</v>
      </c>
      <c r="E39" s="585"/>
      <c r="F39" s="600">
        <f>'Auto-Calibration record'!G65</f>
        <v>10314</v>
      </c>
      <c r="G39" s="600"/>
      <c r="H39" s="596">
        <f>'Auto-Calibration record'!B74</f>
        <v>611.721</v>
      </c>
      <c r="I39" s="626"/>
      <c r="J39" s="442">
        <f>'Auto-Calibration record'!I74</f>
        <v>525</v>
      </c>
      <c r="K39" s="425">
        <f t="shared" si="0"/>
        <v>-86.721000000000004</v>
      </c>
      <c r="L39" s="443">
        <f t="shared" si="1"/>
        <v>-0.1417656088314771</v>
      </c>
    </row>
    <row r="40" spans="2:12" s="77" customFormat="1" ht="25.9" customHeight="1" x14ac:dyDescent="0.2">
      <c r="D40" s="585" t="s">
        <v>914</v>
      </c>
      <c r="E40" s="585"/>
      <c r="F40" s="600">
        <f>'Auto-Calibration record'!H65</f>
        <v>16352</v>
      </c>
      <c r="G40" s="600"/>
      <c r="H40" s="596">
        <f>'Auto-Calibration record'!B75</f>
        <v>145.303</v>
      </c>
      <c r="I40" s="626"/>
      <c r="J40" s="442">
        <f>'Auto-Calibration record'!I75</f>
        <v>112</v>
      </c>
      <c r="K40" s="425" t="s">
        <v>321</v>
      </c>
      <c r="L40" s="426" t="s">
        <v>321</v>
      </c>
    </row>
    <row r="41" spans="2:12" s="72" customFormat="1" ht="25.9" customHeight="1" x14ac:dyDescent="0.25">
      <c r="D41" s="585" t="s">
        <v>915</v>
      </c>
      <c r="E41" s="585"/>
      <c r="F41" s="601">
        <f>'Auto-Calibration record'!I65</f>
        <v>25228</v>
      </c>
      <c r="G41" s="601"/>
      <c r="H41" s="596">
        <f>'Auto-Calibration record'!B76</f>
        <v>24.939</v>
      </c>
      <c r="I41" s="626"/>
      <c r="J41" s="442">
        <f>'Auto-Calibration record'!I76</f>
        <v>18</v>
      </c>
      <c r="K41" s="425" t="s">
        <v>321</v>
      </c>
      <c r="L41" s="426" t="s">
        <v>321</v>
      </c>
    </row>
    <row r="42" spans="2:12" ht="20.25" x14ac:dyDescent="0.3">
      <c r="D42" s="78" t="s">
        <v>916</v>
      </c>
      <c r="E42" s="79"/>
      <c r="F42" s="79"/>
      <c r="G42" s="79"/>
      <c r="H42" s="79"/>
      <c r="I42" s="79"/>
      <c r="J42" s="79"/>
      <c r="K42" s="79"/>
    </row>
    <row r="43" spans="2:12" ht="20.25" x14ac:dyDescent="0.3">
      <c r="B43" s="80"/>
      <c r="D43" s="79"/>
      <c r="E43" s="79"/>
      <c r="F43" s="79"/>
      <c r="G43" s="79"/>
      <c r="H43" s="79"/>
      <c r="I43" s="79"/>
      <c r="J43" s="79"/>
      <c r="K43" s="79"/>
    </row>
    <row r="44" spans="2:12" ht="81" customHeight="1" x14ac:dyDescent="0.2">
      <c r="B44" s="80"/>
      <c r="D44" s="423" t="s">
        <v>917</v>
      </c>
      <c r="E44" s="583" t="s">
        <v>918</v>
      </c>
      <c r="F44" s="583"/>
      <c r="G44" s="583" t="s">
        <v>919</v>
      </c>
      <c r="H44" s="583"/>
      <c r="I44" s="77"/>
      <c r="J44" s="423" t="s">
        <v>996</v>
      </c>
      <c r="K44" s="423" t="s">
        <v>997</v>
      </c>
      <c r="L44" s="423" t="s">
        <v>919</v>
      </c>
    </row>
    <row r="45" spans="2:12" ht="25.9" customHeight="1" x14ac:dyDescent="0.2">
      <c r="B45" s="80"/>
      <c r="D45" s="424" t="s">
        <v>905</v>
      </c>
      <c r="E45" s="584" t="s">
        <v>905</v>
      </c>
      <c r="F45" s="584"/>
      <c r="G45" s="584" t="s">
        <v>920</v>
      </c>
      <c r="H45" s="584"/>
      <c r="I45" s="81"/>
      <c r="J45" s="424" t="s">
        <v>905</v>
      </c>
      <c r="K45" s="424" t="s">
        <v>905</v>
      </c>
      <c r="L45" s="424" t="s">
        <v>920</v>
      </c>
    </row>
    <row r="46" spans="2:12" ht="25.9" customHeight="1" x14ac:dyDescent="0.2">
      <c r="B46" s="80"/>
      <c r="D46" s="428">
        <f>'Auto-Calibration record'!B17</f>
        <v>0</v>
      </c>
      <c r="E46" s="596">
        <f>F34-D46</f>
        <v>80</v>
      </c>
      <c r="F46" s="596"/>
      <c r="G46" s="610" t="e">
        <f>F34/D46</f>
        <v>#DIV/0!</v>
      </c>
      <c r="H46" s="610"/>
      <c r="I46" s="81"/>
      <c r="J46" s="428">
        <f>'Auto-Calibration record'!B11</f>
        <v>31</v>
      </c>
      <c r="K46" s="425">
        <f>F35-J46</f>
        <v>163</v>
      </c>
      <c r="L46" s="429">
        <f>F35/J46</f>
        <v>6.258064516129032</v>
      </c>
    </row>
    <row r="47" spans="2:12" x14ac:dyDescent="0.2">
      <c r="B47" s="80"/>
    </row>
    <row r="48" spans="2:12" x14ac:dyDescent="0.2">
      <c r="B48" s="80"/>
    </row>
    <row r="49" spans="2:2" x14ac:dyDescent="0.2">
      <c r="B49" s="80"/>
    </row>
    <row r="50" spans="2:2" x14ac:dyDescent="0.2">
      <c r="B50" s="80"/>
    </row>
    <row r="51" spans="2:2" x14ac:dyDescent="0.2">
      <c r="B51" s="80"/>
    </row>
    <row r="52" spans="2:2" x14ac:dyDescent="0.2">
      <c r="B52" s="80"/>
    </row>
    <row r="53" spans="2:2" x14ac:dyDescent="0.2">
      <c r="B53" s="80"/>
    </row>
    <row r="54" spans="2:2" x14ac:dyDescent="0.2">
      <c r="B54" s="80"/>
    </row>
    <row r="55" spans="2:2" x14ac:dyDescent="0.2">
      <c r="B55" s="80"/>
    </row>
    <row r="56" spans="2:2" x14ac:dyDescent="0.2">
      <c r="B56" s="80"/>
    </row>
    <row r="57" spans="2:2" x14ac:dyDescent="0.2">
      <c r="B57" s="80"/>
    </row>
    <row r="58" spans="2:2" x14ac:dyDescent="0.2">
      <c r="B58" s="80"/>
    </row>
    <row r="59" spans="2:2" x14ac:dyDescent="0.2">
      <c r="B59" s="80"/>
    </row>
    <row r="60" spans="2:2" x14ac:dyDescent="0.2">
      <c r="B60" s="80"/>
    </row>
    <row r="61" spans="2:2" x14ac:dyDescent="0.2">
      <c r="B61" s="80"/>
    </row>
    <row r="62" spans="2:2" x14ac:dyDescent="0.2">
      <c r="B62" s="80"/>
    </row>
    <row r="63" spans="2:2" x14ac:dyDescent="0.2">
      <c r="B63" s="80"/>
    </row>
    <row r="64" spans="2:2" x14ac:dyDescent="0.2">
      <c r="B64" s="80"/>
    </row>
    <row r="65" spans="2:16" x14ac:dyDescent="0.2">
      <c r="B65" s="80"/>
    </row>
    <row r="66" spans="2:16" x14ac:dyDescent="0.2">
      <c r="B66" s="80"/>
    </row>
    <row r="67" spans="2:16" x14ac:dyDescent="0.2">
      <c r="B67" s="80"/>
    </row>
    <row r="68" spans="2:16" x14ac:dyDescent="0.2">
      <c r="B68" s="80"/>
    </row>
    <row r="69" spans="2:16" x14ac:dyDescent="0.2">
      <c r="B69" s="80"/>
    </row>
    <row r="70" spans="2:16" x14ac:dyDescent="0.2">
      <c r="B70" s="80"/>
    </row>
    <row r="71" spans="2:16" x14ac:dyDescent="0.2">
      <c r="B71" s="80"/>
    </row>
    <row r="72" spans="2:16" x14ac:dyDescent="0.2">
      <c r="B72" s="80"/>
    </row>
    <row r="73" spans="2:16" x14ac:dyDescent="0.2">
      <c r="B73" s="80"/>
    </row>
    <row r="74" spans="2:16" x14ac:dyDescent="0.2">
      <c r="B74" s="80"/>
    </row>
    <row r="75" spans="2:16" ht="13.5" thickBot="1" x14ac:dyDescent="0.25">
      <c r="B75" s="82"/>
      <c r="C75" s="83"/>
      <c r="D75" s="83"/>
      <c r="E75" s="83"/>
      <c r="F75" s="83"/>
      <c r="G75" s="83"/>
      <c r="H75" s="83"/>
      <c r="I75" s="83"/>
      <c r="J75" s="83"/>
      <c r="K75" s="83"/>
      <c r="L75" s="83"/>
      <c r="M75" s="83"/>
      <c r="N75" s="83"/>
      <c r="O75" s="83"/>
      <c r="P75" s="83"/>
    </row>
    <row r="76" spans="2:16" ht="13.5" thickTop="1" x14ac:dyDescent="0.2">
      <c r="B76" s="80"/>
    </row>
    <row r="77" spans="2:16" ht="25.9" customHeight="1" x14ac:dyDescent="0.2"/>
    <row r="78" spans="2:16" s="64" customFormat="1" ht="25.9" customHeight="1" x14ac:dyDescent="0.2">
      <c r="B78" s="430" t="s">
        <v>921</v>
      </c>
      <c r="C78" s="431"/>
      <c r="D78" s="432" t="s">
        <v>922</v>
      </c>
      <c r="H78" s="1"/>
      <c r="I78" s="1"/>
      <c r="K78" s="586" t="s">
        <v>923</v>
      </c>
      <c r="L78" s="587"/>
      <c r="M78" s="587"/>
      <c r="N78" s="587"/>
      <c r="O78" s="588"/>
    </row>
    <row r="79" spans="2:16" s="64" customFormat="1" ht="25.9" customHeight="1" x14ac:dyDescent="0.2">
      <c r="H79" s="1"/>
      <c r="I79" s="1"/>
      <c r="K79" s="589"/>
      <c r="L79" s="590"/>
      <c r="M79" s="590"/>
      <c r="N79" s="590"/>
      <c r="O79" s="591"/>
    </row>
    <row r="80" spans="2:16" s="64" customFormat="1" ht="25.9" customHeight="1" x14ac:dyDescent="0.2">
      <c r="B80" s="430" t="s">
        <v>924</v>
      </c>
      <c r="C80" s="431"/>
      <c r="D80" s="627" t="s">
        <v>925</v>
      </c>
      <c r="E80" s="628"/>
      <c r="F80" s="628"/>
      <c r="G80" s="629"/>
      <c r="H80" s="1"/>
      <c r="I80" s="1"/>
      <c r="K80" s="589"/>
      <c r="L80" s="590"/>
      <c r="M80" s="590"/>
      <c r="N80" s="590"/>
      <c r="O80" s="591"/>
    </row>
    <row r="81" spans="2:16" s="64" customFormat="1" ht="25.9" customHeight="1" x14ac:dyDescent="0.2">
      <c r="K81" s="592"/>
      <c r="L81" s="593"/>
      <c r="M81" s="593"/>
      <c r="N81" s="593"/>
      <c r="O81" s="594"/>
    </row>
    <row r="82" spans="2:16" s="64" customFormat="1" ht="25.9" customHeight="1" x14ac:dyDescent="0.2">
      <c r="B82" s="430" t="s">
        <v>926</v>
      </c>
      <c r="C82" s="431"/>
      <c r="D82" s="602"/>
      <c r="E82" s="603"/>
      <c r="F82" s="604"/>
      <c r="K82" s="433" t="s">
        <v>927</v>
      </c>
      <c r="L82" s="597" t="s">
        <v>928</v>
      </c>
      <c r="M82" s="598"/>
      <c r="N82" s="598"/>
      <c r="O82" s="599"/>
      <c r="P82" s="84"/>
    </row>
    <row r="83" spans="2:16" ht="25.9" customHeight="1" x14ac:dyDescent="0.2">
      <c r="H83" s="64"/>
      <c r="I83" s="64"/>
      <c r="J83" s="64"/>
      <c r="K83" s="64"/>
    </row>
    <row r="84" spans="2:16" ht="15" x14ac:dyDescent="0.2">
      <c r="B84" s="80" t="s">
        <v>929</v>
      </c>
      <c r="H84" s="64"/>
      <c r="I84" s="64"/>
      <c r="J84" s="64"/>
      <c r="K84" s="64"/>
    </row>
    <row r="85" spans="2:16" ht="15" x14ac:dyDescent="0.2">
      <c r="B85" s="80" t="s">
        <v>930</v>
      </c>
      <c r="H85" s="64"/>
      <c r="I85" s="64"/>
      <c r="J85" s="64"/>
      <c r="K85" s="64"/>
    </row>
    <row r="86" spans="2:16" x14ac:dyDescent="0.2">
      <c r="B86" s="80" t="s">
        <v>931</v>
      </c>
    </row>
    <row r="89" spans="2:16" x14ac:dyDescent="0.2">
      <c r="O89" s="85" t="s">
        <v>932</v>
      </c>
    </row>
    <row r="90" spans="2:16" x14ac:dyDescent="0.2">
      <c r="O90" s="85" t="s">
        <v>841</v>
      </c>
    </row>
    <row r="91" spans="2:16" x14ac:dyDescent="0.2">
      <c r="O91" s="85" t="s">
        <v>19</v>
      </c>
    </row>
    <row r="92" spans="2:16" x14ac:dyDescent="0.2">
      <c r="B92" s="86" t="s">
        <v>998</v>
      </c>
      <c r="C92" s="86"/>
      <c r="L92" s="86"/>
      <c r="N92" s="86"/>
      <c r="O92" s="85" t="s">
        <v>20</v>
      </c>
    </row>
    <row r="94" spans="2:16" x14ac:dyDescent="0.2">
      <c r="D94" s="86"/>
      <c r="E94" s="86"/>
      <c r="F94" s="86"/>
      <c r="G94" s="86"/>
      <c r="H94" s="86"/>
      <c r="I94" s="86"/>
      <c r="J94" s="86"/>
      <c r="K94" s="86"/>
    </row>
  </sheetData>
  <sheetProtection sheet="1" objects="1" scenarios="1" selectLockedCells="1" autoFilter="0"/>
  <autoFilter ref="D21:J25" xr:uid="{00000000-0009-0000-0000-000007000000}">
    <filterColumn colId="1" showButton="0"/>
    <filterColumn colId="3" showButton="0"/>
    <filterColumn colId="5" showButton="0"/>
  </autoFilter>
  <mergeCells count="61">
    <mergeCell ref="D19:F19"/>
    <mergeCell ref="I24:J24"/>
    <mergeCell ref="I25:J25"/>
    <mergeCell ref="D39:E39"/>
    <mergeCell ref="F39:G39"/>
    <mergeCell ref="H39:I39"/>
    <mergeCell ref="D37:E37"/>
    <mergeCell ref="F37:G37"/>
    <mergeCell ref="H37:I37"/>
    <mergeCell ref="D38:E38"/>
    <mergeCell ref="F38:G38"/>
    <mergeCell ref="H38:I38"/>
    <mergeCell ref="D35:E35"/>
    <mergeCell ref="F35:G35"/>
    <mergeCell ref="H35:I35"/>
    <mergeCell ref="D36:E36"/>
    <mergeCell ref="F36:G36"/>
    <mergeCell ref="D40:E40"/>
    <mergeCell ref="F40:G40"/>
    <mergeCell ref="H40:I40"/>
    <mergeCell ref="D82:F82"/>
    <mergeCell ref="H36:I36"/>
    <mergeCell ref="L82:O82"/>
    <mergeCell ref="D41:E41"/>
    <mergeCell ref="F41:G41"/>
    <mergeCell ref="H41:I41"/>
    <mergeCell ref="E44:F44"/>
    <mergeCell ref="G44:H44"/>
    <mergeCell ref="E45:F45"/>
    <mergeCell ref="G45:H45"/>
    <mergeCell ref="E46:F46"/>
    <mergeCell ref="G46:H46"/>
    <mergeCell ref="K78:O81"/>
    <mergeCell ref="D80:G80"/>
    <mergeCell ref="D33:E33"/>
    <mergeCell ref="F33:G33"/>
    <mergeCell ref="H33:I33"/>
    <mergeCell ref="D34:E34"/>
    <mergeCell ref="F34:G34"/>
    <mergeCell ref="H34:I34"/>
    <mergeCell ref="B10:P10"/>
    <mergeCell ref="B13:O13"/>
    <mergeCell ref="B14:O14"/>
    <mergeCell ref="D17:F17"/>
    <mergeCell ref="D18:F18"/>
    <mergeCell ref="D32:E32"/>
    <mergeCell ref="F32:G32"/>
    <mergeCell ref="H32:I32"/>
    <mergeCell ref="E21:F21"/>
    <mergeCell ref="E22:F22"/>
    <mergeCell ref="E23:F23"/>
    <mergeCell ref="E24:F24"/>
    <mergeCell ref="E25:F25"/>
    <mergeCell ref="G21:H21"/>
    <mergeCell ref="G22:H22"/>
    <mergeCell ref="G23:H23"/>
    <mergeCell ref="G24:H24"/>
    <mergeCell ref="G25:H25"/>
    <mergeCell ref="I21:J21"/>
    <mergeCell ref="I22:J22"/>
    <mergeCell ref="I23:J23"/>
  </mergeCells>
  <conditionalFormatting sqref="D78">
    <cfRule type="cellIs" dxfId="59" priority="4" stopIfTrue="1" operator="equal">
      <formula>"PASS"</formula>
    </cfRule>
    <cfRule type="cellIs" dxfId="58" priority="5" stopIfTrue="1" operator="equal">
      <formula>"FAIL"</formula>
    </cfRule>
  </conditionalFormatting>
  <conditionalFormatting sqref="G46 L46">
    <cfRule type="cellIs" dxfId="57" priority="7" stopIfTrue="1" operator="greaterThanOrEqual">
      <formula>1.19</formula>
    </cfRule>
    <cfRule type="cellIs" dxfId="56" priority="8" stopIfTrue="1" operator="lessThan">
      <formula>1.19</formula>
    </cfRule>
  </conditionalFormatting>
  <conditionalFormatting sqref="K78">
    <cfRule type="cellIs" dxfId="55" priority="9" stopIfTrue="1" operator="equal">
      <formula>"FAIL"</formula>
    </cfRule>
    <cfRule type="cellIs" dxfId="54" priority="10" stopIfTrue="1" operator="equal">
      <formula>"PASS - VERIFIED"</formula>
    </cfRule>
  </conditionalFormatting>
  <conditionalFormatting sqref="L34:L39">
    <cfRule type="cellIs" dxfId="53" priority="1" operator="between">
      <formula>-0.1</formula>
      <formula>0.1</formula>
    </cfRule>
    <cfRule type="cellIs" dxfId="52" priority="2" operator="lessThan">
      <formula>-0.1</formula>
    </cfRule>
    <cfRule type="cellIs" dxfId="51" priority="3" operator="greaterThan">
      <formula>0.1</formula>
    </cfRule>
  </conditionalFormatting>
  <conditionalFormatting sqref="O28">
    <cfRule type="cellIs" dxfId="50" priority="6" stopIfTrue="1" operator="greaterThan">
      <formula>0</formula>
    </cfRule>
  </conditionalFormatting>
  <dataValidations count="2">
    <dataValidation type="list" allowBlank="1" showInputMessage="1" showErrorMessage="1" sqref="K78" xr:uid="{00000000-0002-0000-0700-000000000000}">
      <formula1>"PASS - VERIFIED, FAIL"</formula1>
    </dataValidation>
    <dataValidation type="list" allowBlank="1" showInputMessage="1" showErrorMessage="1" sqref="D78" xr:uid="{00000000-0002-0000-0700-000001000000}">
      <formula1>"PASS, FAIL"</formula1>
    </dataValidation>
  </dataValidations>
  <hyperlinks>
    <hyperlink ref="B8" r:id="rId1" xr:uid="{00000000-0004-0000-0700-000000000000}"/>
  </hyperlinks>
  <pageMargins left="0.7" right="0.7" top="0.75" bottom="0.75" header="0.3" footer="0.3"/>
  <pageSetup paperSize="9" scale="39" orientation="portrait" r:id="rId2"/>
  <drawing r:id="rId3"/>
  <legacyDrawing r:id="rId4"/>
  <oleObjects>
    <mc:AlternateContent xmlns:mc="http://schemas.openxmlformats.org/markup-compatibility/2006">
      <mc:Choice Requires="x14">
        <oleObject progId="Paint.Picture" shapeId="117761" r:id="rId5">
          <objectPr defaultSize="0" autoPict="0" r:id="rId6">
            <anchor moveWithCells="1">
              <from>
                <xdr:col>11</xdr:col>
                <xdr:colOff>1085850</xdr:colOff>
                <xdr:row>1</xdr:row>
                <xdr:rowOff>76200</xdr:rowOff>
              </from>
              <to>
                <xdr:col>15</xdr:col>
                <xdr:colOff>161925</xdr:colOff>
                <xdr:row>7</xdr:row>
                <xdr:rowOff>66675</xdr:rowOff>
              </to>
            </anchor>
          </objectPr>
        </oleObject>
      </mc:Choice>
      <mc:Fallback>
        <oleObject progId="Paint.Picture" shapeId="117761" r:id="rId5"/>
      </mc:Fallback>
    </mc:AlternateContent>
  </oleObjec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
    <pageSetUpPr fitToPage="1"/>
  </sheetPr>
  <dimension ref="A2:P88"/>
  <sheetViews>
    <sheetView zoomScale="55" zoomScaleNormal="55" zoomScalePageLayoutView="55" workbookViewId="0">
      <selection activeCell="F57" sqref="F57"/>
    </sheetView>
  </sheetViews>
  <sheetFormatPr defaultColWidth="0" defaultRowHeight="12.75" x14ac:dyDescent="0.2"/>
  <cols>
    <col min="1" max="1" width="6" style="1" customWidth="1"/>
    <col min="2" max="2" width="16.7109375" style="1" customWidth="1"/>
    <col min="3" max="3" width="19.7109375" style="1" customWidth="1"/>
    <col min="4" max="4" width="22.140625" style="1" customWidth="1"/>
    <col min="5" max="5" width="7.5703125" style="1" customWidth="1"/>
    <col min="6" max="6" width="16.7109375" style="1" customWidth="1"/>
    <col min="7" max="7" width="5.140625" style="1" customWidth="1"/>
    <col min="8" max="8" width="16.85546875" style="1" customWidth="1"/>
    <col min="9" max="9" width="3.85546875" style="1" customWidth="1"/>
    <col min="10" max="10" width="23.7109375" style="1" customWidth="1"/>
    <col min="11" max="11" width="20.7109375" style="1" customWidth="1"/>
    <col min="12" max="12" width="21" style="1" customWidth="1"/>
    <col min="13" max="13" width="18.85546875" style="1" customWidth="1"/>
    <col min="14" max="14" width="3.28515625" style="1" customWidth="1"/>
    <col min="15" max="15" width="19.28515625" style="1" customWidth="1"/>
    <col min="16" max="16" width="6" style="1" customWidth="1"/>
    <col min="17" max="16384" width="0" style="1" hidden="1"/>
  </cols>
  <sheetData>
    <row r="2" spans="1:16" ht="14.25" x14ac:dyDescent="0.2">
      <c r="B2" s="63" t="s">
        <v>879</v>
      </c>
      <c r="C2" s="60"/>
    </row>
    <row r="3" spans="1:16" ht="14.25" x14ac:dyDescent="0.2">
      <c r="B3" s="63" t="s">
        <v>933</v>
      </c>
      <c r="C3" s="60"/>
    </row>
    <row r="4" spans="1:16" ht="14.25" x14ac:dyDescent="0.2">
      <c r="B4" s="63" t="s">
        <v>934</v>
      </c>
      <c r="C4" s="60"/>
    </row>
    <row r="5" spans="1:16" ht="14.25" x14ac:dyDescent="0.2">
      <c r="B5" s="63" t="s">
        <v>882</v>
      </c>
      <c r="C5" s="60"/>
    </row>
    <row r="6" spans="1:16" ht="14.25" x14ac:dyDescent="0.2">
      <c r="B6" s="63" t="s">
        <v>935</v>
      </c>
      <c r="C6" s="60"/>
    </row>
    <row r="7" spans="1:16" ht="15" x14ac:dyDescent="0.2">
      <c r="B7" s="63" t="s">
        <v>936</v>
      </c>
      <c r="C7" s="60"/>
      <c r="D7" s="64"/>
    </row>
    <row r="8" spans="1:16" ht="14.25" x14ac:dyDescent="0.2">
      <c r="B8" s="34" t="s">
        <v>885</v>
      </c>
      <c r="C8" s="60"/>
    </row>
    <row r="9" spans="1:16" ht="14.25" x14ac:dyDescent="0.2">
      <c r="B9" s="34"/>
      <c r="C9" s="60"/>
    </row>
    <row r="10" spans="1:16" ht="37.5" customHeight="1" x14ac:dyDescent="0.5">
      <c r="B10" s="579" t="s">
        <v>886</v>
      </c>
      <c r="C10" s="579"/>
      <c r="D10" s="579"/>
      <c r="E10" s="579"/>
      <c r="F10" s="579"/>
      <c r="G10" s="579"/>
      <c r="H10" s="579"/>
      <c r="I10" s="579"/>
      <c r="J10" s="579"/>
      <c r="K10" s="579"/>
      <c r="L10" s="579"/>
      <c r="M10" s="579"/>
      <c r="N10" s="579"/>
      <c r="O10" s="579"/>
      <c r="P10" s="579"/>
    </row>
    <row r="11" spans="1:16" ht="21" customHeight="1" x14ac:dyDescent="0.4">
      <c r="B11" s="65"/>
      <c r="C11" s="65"/>
      <c r="D11" s="65"/>
      <c r="E11" s="65"/>
      <c r="F11" s="65"/>
      <c r="G11" s="65"/>
      <c r="H11" s="65"/>
      <c r="I11" s="65"/>
      <c r="J11" s="65"/>
      <c r="K11" s="65"/>
      <c r="L11" s="65"/>
      <c r="M11" s="65"/>
      <c r="N11" s="65"/>
      <c r="O11" s="65"/>
      <c r="P11" s="65"/>
    </row>
    <row r="12" spans="1:16" ht="11.25" customHeight="1" x14ac:dyDescent="0.2"/>
    <row r="13" spans="1:16" ht="60.75" customHeight="1" x14ac:dyDescent="0.2">
      <c r="B13" s="595" t="s">
        <v>999</v>
      </c>
      <c r="C13" s="595"/>
      <c r="D13" s="595"/>
      <c r="E13" s="595"/>
      <c r="F13" s="595"/>
      <c r="G13" s="595"/>
      <c r="H13" s="595"/>
      <c r="I13" s="595"/>
      <c r="J13" s="595"/>
      <c r="K13" s="595"/>
      <c r="L13" s="595"/>
      <c r="M13" s="595"/>
      <c r="N13" s="595"/>
      <c r="O13" s="595"/>
      <c r="P13" s="67"/>
    </row>
    <row r="14" spans="1:16" ht="77.25" customHeight="1" x14ac:dyDescent="0.2">
      <c r="A14" s="68"/>
      <c r="B14" s="595" t="s">
        <v>888</v>
      </c>
      <c r="C14" s="595"/>
      <c r="D14" s="595"/>
      <c r="E14" s="595"/>
      <c r="F14" s="595"/>
      <c r="G14" s="595"/>
      <c r="H14" s="595"/>
      <c r="I14" s="595"/>
      <c r="J14" s="595"/>
      <c r="K14" s="595"/>
      <c r="L14" s="595"/>
      <c r="M14" s="595"/>
      <c r="N14" s="595"/>
      <c r="O14" s="595"/>
      <c r="P14" s="67"/>
    </row>
    <row r="15" spans="1:16" ht="18" x14ac:dyDescent="0.2">
      <c r="A15" s="68"/>
      <c r="B15" s="66"/>
      <c r="C15" s="66"/>
      <c r="D15" s="66"/>
      <c r="E15" s="66"/>
      <c r="F15" s="66"/>
      <c r="G15" s="66"/>
      <c r="H15" s="66"/>
      <c r="I15" s="66"/>
      <c r="J15" s="66"/>
      <c r="K15" s="66"/>
      <c r="L15" s="66"/>
      <c r="M15" s="66"/>
      <c r="N15" s="66"/>
      <c r="O15" s="66"/>
      <c r="P15" s="67"/>
    </row>
    <row r="16" spans="1:16" ht="18" x14ac:dyDescent="0.2">
      <c r="A16" s="68"/>
      <c r="B16" s="69"/>
      <c r="C16" s="69"/>
      <c r="D16" s="70"/>
      <c r="E16" s="70"/>
      <c r="F16" s="69"/>
      <c r="G16" s="69"/>
      <c r="H16" s="69"/>
      <c r="I16" s="69"/>
      <c r="J16" s="69"/>
      <c r="K16" s="69"/>
      <c r="L16" s="69"/>
      <c r="M16" s="69"/>
      <c r="N16" s="69"/>
      <c r="O16" s="69"/>
      <c r="P16" s="69"/>
    </row>
    <row r="17" spans="2:15" ht="25.9" customHeight="1" x14ac:dyDescent="0.25">
      <c r="B17" s="414" t="s">
        <v>889</v>
      </c>
      <c r="C17" s="415"/>
      <c r="D17" s="606" t="str">
        <f>'Auto-Calibration record'!H14</f>
        <v>5.6mg/l RM8631b</v>
      </c>
      <c r="E17" s="606"/>
      <c r="F17" s="606"/>
      <c r="K17" s="416" t="s">
        <v>985</v>
      </c>
      <c r="L17" s="417"/>
      <c r="M17" s="417"/>
      <c r="N17" s="418"/>
      <c r="O17" s="437" t="str">
        <f>'Auto-Calibration record'!H18</f>
        <v>RM8631b</v>
      </c>
    </row>
    <row r="18" spans="2:15" ht="25.9" customHeight="1" x14ac:dyDescent="0.25">
      <c r="B18" s="414" t="s">
        <v>891</v>
      </c>
      <c r="C18" s="420"/>
      <c r="D18" s="607" t="e">
        <f>'Auto-Calibration record'!#REF!&amp;'Auto-Calibration record'!H15</f>
        <v>#REF!</v>
      </c>
      <c r="E18" s="608"/>
      <c r="F18" s="609"/>
      <c r="K18" s="380" t="s">
        <v>892</v>
      </c>
      <c r="L18" s="381"/>
      <c r="M18" s="381"/>
      <c r="N18" s="382"/>
      <c r="O18" s="421">
        <f>'Auto-Calibration record'!H16</f>
        <v>46190.6</v>
      </c>
    </row>
    <row r="19" spans="2:15" ht="25.9" customHeight="1" x14ac:dyDescent="0.25">
      <c r="B19" s="414" t="s">
        <v>893</v>
      </c>
      <c r="C19" s="420"/>
      <c r="D19" s="607" t="str">
        <f>'Auto-Calibration record'!H17</f>
        <v>-1 170626</v>
      </c>
      <c r="E19" s="608"/>
      <c r="F19" s="609"/>
      <c r="K19" s="416" t="s">
        <v>894</v>
      </c>
      <c r="L19" s="417"/>
      <c r="M19" s="417"/>
      <c r="N19" s="418"/>
      <c r="O19" s="444" t="str">
        <f>'Auto-Calibration record'!H19</f>
        <v>NOT SET</v>
      </c>
    </row>
    <row r="20" spans="2:15" ht="14.25" customHeight="1" x14ac:dyDescent="0.25">
      <c r="B20" s="71"/>
      <c r="D20" s="87"/>
      <c r="E20" s="88"/>
      <c r="K20" s="71"/>
      <c r="L20" s="72"/>
      <c r="M20" s="72"/>
      <c r="N20" s="72"/>
      <c r="O20" s="89"/>
    </row>
    <row r="21" spans="2:15" ht="15.75" x14ac:dyDescent="0.25">
      <c r="B21" s="73" t="s">
        <v>895</v>
      </c>
    </row>
    <row r="22" spans="2:15" ht="15.75" x14ac:dyDescent="0.25">
      <c r="B22" s="73" t="s">
        <v>896</v>
      </c>
      <c r="O22" s="74"/>
    </row>
    <row r="23" spans="2:15" ht="15.75" x14ac:dyDescent="0.25">
      <c r="B23" s="73" t="s">
        <v>897</v>
      </c>
    </row>
    <row r="24" spans="2:15" ht="15.75" x14ac:dyDescent="0.25">
      <c r="B24" s="73"/>
    </row>
    <row r="25" spans="2:15" x14ac:dyDescent="0.2">
      <c r="B25" s="75"/>
    </row>
    <row r="26" spans="2:15" s="76" customFormat="1" ht="67.5" customHeight="1" x14ac:dyDescent="0.2">
      <c r="D26" s="583" t="s">
        <v>898</v>
      </c>
      <c r="E26" s="583"/>
      <c r="F26" s="583" t="s">
        <v>899</v>
      </c>
      <c r="G26" s="583"/>
      <c r="H26" s="583" t="s">
        <v>900</v>
      </c>
      <c r="I26" s="583"/>
      <c r="J26" s="423" t="s">
        <v>901</v>
      </c>
      <c r="K26" s="423" t="s">
        <v>902</v>
      </c>
      <c r="L26" s="423" t="s">
        <v>903</v>
      </c>
    </row>
    <row r="27" spans="2:15" s="77" customFormat="1" ht="25.9" customHeight="1" x14ac:dyDescent="0.2">
      <c r="D27" s="584" t="s">
        <v>904</v>
      </c>
      <c r="E27" s="584"/>
      <c r="F27" s="584" t="s">
        <v>905</v>
      </c>
      <c r="G27" s="584"/>
      <c r="H27" s="584" t="s">
        <v>906</v>
      </c>
      <c r="I27" s="584"/>
      <c r="J27" s="424" t="s">
        <v>906</v>
      </c>
      <c r="K27" s="424" t="s">
        <v>906</v>
      </c>
      <c r="L27" s="424" t="s">
        <v>907</v>
      </c>
    </row>
    <row r="28" spans="2:15" s="77" customFormat="1" ht="25.9" customHeight="1" x14ac:dyDescent="0.2">
      <c r="D28" s="585" t="s">
        <v>908</v>
      </c>
      <c r="E28" s="585"/>
      <c r="F28" s="600">
        <f>'Auto-Calibration record'!B65</f>
        <v>80</v>
      </c>
      <c r="G28" s="600"/>
      <c r="H28" s="596">
        <f>'Auto-Calibration record'!B68</f>
        <v>1056340</v>
      </c>
      <c r="I28" s="626"/>
      <c r="J28" s="442">
        <f>'Auto-Calibration record'!I68</f>
        <v>1065116</v>
      </c>
      <c r="K28" s="425">
        <f t="shared" ref="K28:K33" si="0">J28-H28</f>
        <v>8776</v>
      </c>
      <c r="L28" s="443">
        <f t="shared" ref="L28:L33" si="1">K28/H28</f>
        <v>8.3079311585285039E-3</v>
      </c>
    </row>
    <row r="29" spans="2:15" s="77" customFormat="1" ht="25.9" customHeight="1" x14ac:dyDescent="0.2">
      <c r="D29" s="585" t="s">
        <v>909</v>
      </c>
      <c r="E29" s="585"/>
      <c r="F29" s="600">
        <f>'Auto-Calibration record'!C65</f>
        <v>194</v>
      </c>
      <c r="G29" s="600"/>
      <c r="H29" s="596">
        <f>'Auto-Calibration record'!B69</f>
        <v>459350</v>
      </c>
      <c r="I29" s="626"/>
      <c r="J29" s="442">
        <f>'Auto-Calibration record'!I69</f>
        <v>459710</v>
      </c>
      <c r="K29" s="425">
        <f t="shared" si="0"/>
        <v>360</v>
      </c>
      <c r="L29" s="443">
        <f t="shared" si="1"/>
        <v>7.8371612060520296E-4</v>
      </c>
    </row>
    <row r="30" spans="2:15" s="77" customFormat="1" ht="25.9" customHeight="1" x14ac:dyDescent="0.2">
      <c r="D30" s="585" t="s">
        <v>910</v>
      </c>
      <c r="E30" s="585"/>
      <c r="F30" s="600">
        <f>'Auto-Calibration record'!D65</f>
        <v>1032</v>
      </c>
      <c r="G30" s="600"/>
      <c r="H30" s="596">
        <f>'Auto-Calibration record'!B71</f>
        <v>36410</v>
      </c>
      <c r="I30" s="626"/>
      <c r="J30" s="442">
        <f>'Auto-Calibration record'!I71</f>
        <v>37720</v>
      </c>
      <c r="K30" s="425">
        <f t="shared" si="0"/>
        <v>1310</v>
      </c>
      <c r="L30" s="443">
        <f t="shared" si="1"/>
        <v>3.5979126613567704E-2</v>
      </c>
    </row>
    <row r="31" spans="2:15" s="77" customFormat="1" ht="25.9" customHeight="1" x14ac:dyDescent="0.2">
      <c r="D31" s="585" t="s">
        <v>911</v>
      </c>
      <c r="E31" s="585"/>
      <c r="F31" s="600">
        <f>'Auto-Calibration record'!E65</f>
        <v>2064</v>
      </c>
      <c r="G31" s="600"/>
      <c r="H31" s="596">
        <f>'Auto-Calibration record'!B72</f>
        <v>10940</v>
      </c>
      <c r="I31" s="626"/>
      <c r="J31" s="442">
        <f>'Auto-Calibration record'!I72</f>
        <v>11889</v>
      </c>
      <c r="K31" s="425">
        <f t="shared" si="0"/>
        <v>949</v>
      </c>
      <c r="L31" s="443">
        <f t="shared" si="1"/>
        <v>8.6745886654478979E-2</v>
      </c>
    </row>
    <row r="32" spans="2:15" s="77" customFormat="1" ht="25.9" customHeight="1" x14ac:dyDescent="0.2">
      <c r="D32" s="585" t="s">
        <v>912</v>
      </c>
      <c r="E32" s="585"/>
      <c r="F32" s="600">
        <f>'Auto-Calibration record'!F65</f>
        <v>3012</v>
      </c>
      <c r="G32" s="600"/>
      <c r="H32" s="596">
        <f>'Auto-Calibration record'!B73</f>
        <v>5210</v>
      </c>
      <c r="I32" s="626"/>
      <c r="J32" s="442">
        <f>'Auto-Calibration record'!I73</f>
        <v>5538</v>
      </c>
      <c r="K32" s="425">
        <f t="shared" si="0"/>
        <v>328</v>
      </c>
      <c r="L32" s="443">
        <f t="shared" si="1"/>
        <v>6.2955854126679464E-2</v>
      </c>
    </row>
    <row r="33" spans="2:14" s="77" customFormat="1" ht="25.9" customHeight="1" x14ac:dyDescent="0.2">
      <c r="D33" s="585" t="s">
        <v>913</v>
      </c>
      <c r="E33" s="585"/>
      <c r="F33" s="600">
        <f>'Auto-Calibration record'!G65</f>
        <v>10314</v>
      </c>
      <c r="G33" s="600"/>
      <c r="H33" s="596">
        <f>'Auto-Calibration record'!B74</f>
        <v>611.721</v>
      </c>
      <c r="I33" s="626"/>
      <c r="J33" s="442">
        <f>'Auto-Calibration record'!I74</f>
        <v>525</v>
      </c>
      <c r="K33" s="425">
        <f t="shared" si="0"/>
        <v>-86.721000000000004</v>
      </c>
      <c r="L33" s="443">
        <f t="shared" si="1"/>
        <v>-0.1417656088314771</v>
      </c>
    </row>
    <row r="34" spans="2:14" s="77" customFormat="1" ht="25.9" customHeight="1" x14ac:dyDescent="0.2">
      <c r="D34" s="585" t="s">
        <v>914</v>
      </c>
      <c r="E34" s="585"/>
      <c r="F34" s="600">
        <f>'Auto-Calibration record'!H65</f>
        <v>16352</v>
      </c>
      <c r="G34" s="600"/>
      <c r="H34" s="596">
        <f>'Auto-Calibration record'!B75</f>
        <v>145.303</v>
      </c>
      <c r="I34" s="626"/>
      <c r="J34" s="442">
        <f>'Auto-Calibration record'!I75</f>
        <v>112</v>
      </c>
      <c r="K34" s="425" t="s">
        <v>321</v>
      </c>
      <c r="L34" s="426" t="s">
        <v>321</v>
      </c>
    </row>
    <row r="35" spans="2:14" s="72" customFormat="1" ht="25.9" customHeight="1" x14ac:dyDescent="0.25">
      <c r="D35" s="585" t="s">
        <v>915</v>
      </c>
      <c r="E35" s="585"/>
      <c r="F35" s="601">
        <f>'Auto-Calibration record'!I65</f>
        <v>25228</v>
      </c>
      <c r="G35" s="601"/>
      <c r="H35" s="596">
        <f>'Auto-Calibration record'!B76</f>
        <v>24.939</v>
      </c>
      <c r="I35" s="626"/>
      <c r="J35" s="442">
        <f>'Auto-Calibration record'!I76</f>
        <v>18</v>
      </c>
      <c r="K35" s="425" t="s">
        <v>321</v>
      </c>
      <c r="L35" s="426" t="s">
        <v>321</v>
      </c>
    </row>
    <row r="36" spans="2:14" ht="20.25" x14ac:dyDescent="0.3">
      <c r="D36" s="78" t="s">
        <v>916</v>
      </c>
      <c r="E36" s="79"/>
      <c r="F36" s="79"/>
      <c r="G36" s="79"/>
      <c r="H36" s="79"/>
      <c r="I36" s="79"/>
      <c r="J36" s="79"/>
      <c r="K36" s="79"/>
    </row>
    <row r="37" spans="2:14" ht="20.25" x14ac:dyDescent="0.3">
      <c r="B37" s="80"/>
      <c r="D37" s="79"/>
      <c r="E37" s="79"/>
      <c r="F37" s="79"/>
      <c r="G37" s="79"/>
      <c r="H37" s="79"/>
      <c r="I37" s="79"/>
      <c r="J37" s="79"/>
      <c r="K37" s="79"/>
    </row>
    <row r="38" spans="2:14" ht="81" customHeight="1" x14ac:dyDescent="0.2">
      <c r="B38" s="80"/>
      <c r="D38" s="423" t="s">
        <v>917</v>
      </c>
      <c r="E38" s="583" t="s">
        <v>918</v>
      </c>
      <c r="F38" s="583"/>
      <c r="G38" s="583" t="s">
        <v>919</v>
      </c>
      <c r="H38" s="583"/>
      <c r="I38" s="77"/>
      <c r="J38" s="423" t="s">
        <v>996</v>
      </c>
      <c r="K38" s="423" t="s">
        <v>997</v>
      </c>
      <c r="L38" s="423" t="s">
        <v>919</v>
      </c>
      <c r="N38" s="97"/>
    </row>
    <row r="39" spans="2:14" ht="25.9" customHeight="1" x14ac:dyDescent="0.2">
      <c r="B39" s="80"/>
      <c r="D39" s="424" t="s">
        <v>905</v>
      </c>
      <c r="E39" s="584" t="s">
        <v>905</v>
      </c>
      <c r="F39" s="584"/>
      <c r="G39" s="584" t="s">
        <v>920</v>
      </c>
      <c r="H39" s="584"/>
      <c r="I39" s="81"/>
      <c r="J39" s="424" t="s">
        <v>905</v>
      </c>
      <c r="K39" s="424" t="s">
        <v>905</v>
      </c>
      <c r="L39" s="424" t="s">
        <v>920</v>
      </c>
    </row>
    <row r="40" spans="2:14" ht="25.9" customHeight="1" x14ac:dyDescent="0.2">
      <c r="B40" s="80"/>
      <c r="D40" s="428">
        <f>'Auto-Calibration record'!B17</f>
        <v>0</v>
      </c>
      <c r="E40" s="596">
        <f>F28-D40</f>
        <v>80</v>
      </c>
      <c r="F40" s="596"/>
      <c r="G40" s="610" t="e">
        <f>F28/D40</f>
        <v>#DIV/0!</v>
      </c>
      <c r="H40" s="610"/>
      <c r="I40" s="81"/>
      <c r="J40" s="428">
        <f>'Auto-Calibration record'!B11</f>
        <v>31</v>
      </c>
      <c r="K40" s="425">
        <f>F29-J40</f>
        <v>163</v>
      </c>
      <c r="L40" s="429">
        <f>F29/J40</f>
        <v>6.258064516129032</v>
      </c>
    </row>
    <row r="41" spans="2:14" x14ac:dyDescent="0.2">
      <c r="B41" s="80"/>
    </row>
    <row r="42" spans="2:14" x14ac:dyDescent="0.2">
      <c r="B42" s="80"/>
    </row>
    <row r="43" spans="2:14" x14ac:dyDescent="0.2">
      <c r="B43" s="80"/>
    </row>
    <row r="44" spans="2:14" x14ac:dyDescent="0.2">
      <c r="B44" s="80"/>
    </row>
    <row r="45" spans="2:14" x14ac:dyDescent="0.2">
      <c r="B45" s="80"/>
    </row>
    <row r="46" spans="2:14" x14ac:dyDescent="0.2">
      <c r="B46" s="80"/>
    </row>
    <row r="47" spans="2:14" x14ac:dyDescent="0.2">
      <c r="B47" s="80"/>
    </row>
    <row r="48" spans="2:14" x14ac:dyDescent="0.2">
      <c r="B48" s="80"/>
    </row>
    <row r="49" spans="2:2" x14ac:dyDescent="0.2">
      <c r="B49" s="80"/>
    </row>
    <row r="50" spans="2:2" x14ac:dyDescent="0.2">
      <c r="B50" s="80"/>
    </row>
    <row r="51" spans="2:2" x14ac:dyDescent="0.2">
      <c r="B51" s="80"/>
    </row>
    <row r="52" spans="2:2" x14ac:dyDescent="0.2">
      <c r="B52" s="80"/>
    </row>
    <row r="53" spans="2:2" x14ac:dyDescent="0.2">
      <c r="B53" s="80"/>
    </row>
    <row r="54" spans="2:2" x14ac:dyDescent="0.2">
      <c r="B54" s="80"/>
    </row>
    <row r="55" spans="2:2" x14ac:dyDescent="0.2">
      <c r="B55" s="80"/>
    </row>
    <row r="56" spans="2:2" x14ac:dyDescent="0.2">
      <c r="B56" s="80"/>
    </row>
    <row r="57" spans="2:2" x14ac:dyDescent="0.2">
      <c r="B57" s="80"/>
    </row>
    <row r="58" spans="2:2" x14ac:dyDescent="0.2">
      <c r="B58" s="80"/>
    </row>
    <row r="59" spans="2:2" x14ac:dyDescent="0.2">
      <c r="B59" s="80"/>
    </row>
    <row r="60" spans="2:2" x14ac:dyDescent="0.2">
      <c r="B60" s="80"/>
    </row>
    <row r="61" spans="2:2" x14ac:dyDescent="0.2">
      <c r="B61" s="80"/>
    </row>
    <row r="62" spans="2:2" x14ac:dyDescent="0.2">
      <c r="B62" s="80"/>
    </row>
    <row r="63" spans="2:2" x14ac:dyDescent="0.2">
      <c r="B63" s="80"/>
    </row>
    <row r="64" spans="2:2" x14ac:dyDescent="0.2">
      <c r="B64" s="80"/>
    </row>
    <row r="65" spans="2:16" x14ac:dyDescent="0.2">
      <c r="B65" s="80"/>
    </row>
    <row r="66" spans="2:16" x14ac:dyDescent="0.2">
      <c r="B66" s="80"/>
    </row>
    <row r="67" spans="2:16" x14ac:dyDescent="0.2">
      <c r="B67" s="80"/>
    </row>
    <row r="68" spans="2:16" x14ac:dyDescent="0.2">
      <c r="B68" s="80"/>
    </row>
    <row r="69" spans="2:16" ht="13.5" thickBot="1" x14ac:dyDescent="0.25">
      <c r="B69" s="82"/>
      <c r="C69" s="83"/>
      <c r="D69" s="83"/>
      <c r="E69" s="83"/>
      <c r="F69" s="83"/>
      <c r="G69" s="83"/>
      <c r="H69" s="83"/>
      <c r="I69" s="83"/>
      <c r="J69" s="83"/>
      <c r="K69" s="83"/>
      <c r="L69" s="83"/>
      <c r="M69" s="83"/>
      <c r="N69" s="83"/>
      <c r="O69" s="83"/>
      <c r="P69" s="83"/>
    </row>
    <row r="70" spans="2:16" ht="13.5" thickTop="1" x14ac:dyDescent="0.2">
      <c r="B70" s="80"/>
    </row>
    <row r="71" spans="2:16" ht="25.9" customHeight="1" x14ac:dyDescent="0.2"/>
    <row r="72" spans="2:16" s="64" customFormat="1" ht="25.9" customHeight="1" x14ac:dyDescent="0.2">
      <c r="B72" s="430" t="s">
        <v>921</v>
      </c>
      <c r="C72" s="431"/>
      <c r="D72" s="432" t="s">
        <v>922</v>
      </c>
      <c r="H72" s="1"/>
      <c r="I72" s="1"/>
      <c r="K72" s="586" t="s">
        <v>923</v>
      </c>
      <c r="L72" s="587"/>
      <c r="M72" s="587"/>
      <c r="N72" s="587"/>
      <c r="O72" s="588"/>
    </row>
    <row r="73" spans="2:16" s="64" customFormat="1" ht="25.9" customHeight="1" x14ac:dyDescent="0.2">
      <c r="H73" s="1"/>
      <c r="I73" s="1"/>
      <c r="K73" s="589"/>
      <c r="L73" s="590"/>
      <c r="M73" s="590"/>
      <c r="N73" s="590"/>
      <c r="O73" s="591"/>
    </row>
    <row r="74" spans="2:16" s="64" customFormat="1" ht="25.9" customHeight="1" x14ac:dyDescent="0.2">
      <c r="B74" s="430" t="s">
        <v>924</v>
      </c>
      <c r="C74" s="431"/>
      <c r="D74" s="627" t="s">
        <v>925</v>
      </c>
      <c r="E74" s="628"/>
      <c r="F74" s="628"/>
      <c r="G74" s="629"/>
      <c r="H74" s="1"/>
      <c r="I74" s="1"/>
      <c r="K74" s="589"/>
      <c r="L74" s="590"/>
      <c r="M74" s="590"/>
      <c r="N74" s="590"/>
      <c r="O74" s="591"/>
    </row>
    <row r="75" spans="2:16" s="64" customFormat="1" ht="25.9" customHeight="1" x14ac:dyDescent="0.2">
      <c r="K75" s="592"/>
      <c r="L75" s="593"/>
      <c r="M75" s="593"/>
      <c r="N75" s="593"/>
      <c r="O75" s="594"/>
    </row>
    <row r="76" spans="2:16" s="64" customFormat="1" ht="25.9" customHeight="1" x14ac:dyDescent="0.2">
      <c r="B76" s="430" t="s">
        <v>926</v>
      </c>
      <c r="C76" s="431"/>
      <c r="D76" s="602"/>
      <c r="E76" s="603"/>
      <c r="F76" s="604"/>
      <c r="K76" s="433" t="s">
        <v>927</v>
      </c>
      <c r="L76" s="597" t="s">
        <v>928</v>
      </c>
      <c r="M76" s="598"/>
      <c r="N76" s="598"/>
      <c r="O76" s="599"/>
      <c r="P76" s="84"/>
    </row>
    <row r="77" spans="2:16" ht="25.9" customHeight="1" x14ac:dyDescent="0.2">
      <c r="H77" s="64"/>
      <c r="I77" s="64"/>
      <c r="J77" s="64"/>
      <c r="K77" s="64"/>
    </row>
    <row r="78" spans="2:16" ht="15" x14ac:dyDescent="0.2">
      <c r="B78" s="80" t="s">
        <v>929</v>
      </c>
      <c r="H78" s="64"/>
      <c r="I78" s="64"/>
      <c r="J78" s="64"/>
      <c r="K78" s="64"/>
    </row>
    <row r="79" spans="2:16" ht="15" x14ac:dyDescent="0.2">
      <c r="B79" s="80" t="s">
        <v>930</v>
      </c>
      <c r="H79" s="64"/>
      <c r="I79" s="64"/>
      <c r="J79" s="64"/>
      <c r="K79" s="64"/>
    </row>
    <row r="80" spans="2:16" x14ac:dyDescent="0.2">
      <c r="B80" s="80" t="s">
        <v>931</v>
      </c>
    </row>
    <row r="83" spans="2:15" x14ac:dyDescent="0.2">
      <c r="O83" s="85" t="s">
        <v>932</v>
      </c>
    </row>
    <row r="84" spans="2:15" x14ac:dyDescent="0.2">
      <c r="O84" s="85" t="s">
        <v>841</v>
      </c>
    </row>
    <row r="85" spans="2:15" x14ac:dyDescent="0.2">
      <c r="O85" s="85" t="s">
        <v>19</v>
      </c>
    </row>
    <row r="86" spans="2:15" x14ac:dyDescent="0.2">
      <c r="B86" s="86" t="s">
        <v>998</v>
      </c>
      <c r="C86" s="86"/>
      <c r="L86" s="86"/>
      <c r="N86" s="86"/>
      <c r="O86" s="85" t="s">
        <v>20</v>
      </c>
    </row>
    <row r="88" spans="2:15" x14ac:dyDescent="0.2">
      <c r="D88" s="86"/>
      <c r="E88" s="86"/>
      <c r="F88" s="86"/>
      <c r="G88" s="86"/>
      <c r="H88" s="86"/>
      <c r="I88" s="86"/>
      <c r="J88" s="86"/>
      <c r="K88" s="86"/>
    </row>
  </sheetData>
  <sheetProtection selectLockedCells="1"/>
  <mergeCells count="46">
    <mergeCell ref="E40:F40"/>
    <mergeCell ref="G40:H40"/>
    <mergeCell ref="K72:O75"/>
    <mergeCell ref="D74:G74"/>
    <mergeCell ref="D76:F76"/>
    <mergeCell ref="L76:O76"/>
    <mergeCell ref="E39:F39"/>
    <mergeCell ref="G39:H39"/>
    <mergeCell ref="D33:E33"/>
    <mergeCell ref="F33:G33"/>
    <mergeCell ref="H33:I33"/>
    <mergeCell ref="D34:E34"/>
    <mergeCell ref="F34:G34"/>
    <mergeCell ref="H34:I34"/>
    <mergeCell ref="D35:E35"/>
    <mergeCell ref="F35:G35"/>
    <mergeCell ref="H35:I35"/>
    <mergeCell ref="E38:F38"/>
    <mergeCell ref="G38:H38"/>
    <mergeCell ref="D31:E31"/>
    <mergeCell ref="F31:G31"/>
    <mergeCell ref="H31:I31"/>
    <mergeCell ref="D32:E32"/>
    <mergeCell ref="F32:G32"/>
    <mergeCell ref="H32:I32"/>
    <mergeCell ref="D29:E29"/>
    <mergeCell ref="F29:G29"/>
    <mergeCell ref="H29:I29"/>
    <mergeCell ref="D30:E30"/>
    <mergeCell ref="F30:G30"/>
    <mergeCell ref="H30:I30"/>
    <mergeCell ref="D27:E27"/>
    <mergeCell ref="F27:G27"/>
    <mergeCell ref="H27:I27"/>
    <mergeCell ref="D28:E28"/>
    <mergeCell ref="F28:G28"/>
    <mergeCell ref="H28:I28"/>
    <mergeCell ref="D26:E26"/>
    <mergeCell ref="F26:G26"/>
    <mergeCell ref="H26:I26"/>
    <mergeCell ref="B10:P10"/>
    <mergeCell ref="B13:O13"/>
    <mergeCell ref="B14:O14"/>
    <mergeCell ref="D17:F17"/>
    <mergeCell ref="D19:F19"/>
    <mergeCell ref="D18:F18"/>
  </mergeCells>
  <conditionalFormatting sqref="D72">
    <cfRule type="cellIs" dxfId="49" priority="2" stopIfTrue="1" operator="equal">
      <formula>"PASS"</formula>
    </cfRule>
    <cfRule type="cellIs" dxfId="48" priority="3" stopIfTrue="1" operator="equal">
      <formula>"FAIL"</formula>
    </cfRule>
  </conditionalFormatting>
  <conditionalFormatting sqref="G40 L40">
    <cfRule type="cellIs" dxfId="47" priority="5" stopIfTrue="1" operator="greaterThanOrEqual">
      <formula>1.19</formula>
    </cfRule>
    <cfRule type="cellIs" dxfId="46" priority="6" stopIfTrue="1" operator="lessThan">
      <formula>1.19</formula>
    </cfRule>
  </conditionalFormatting>
  <conditionalFormatting sqref="K72">
    <cfRule type="cellIs" dxfId="45" priority="7" stopIfTrue="1" operator="equal">
      <formula>"FAIL"</formula>
    </cfRule>
    <cfRule type="cellIs" dxfId="44" priority="8" stopIfTrue="1" operator="equal">
      <formula>"PASS - VERIFIED"</formula>
    </cfRule>
  </conditionalFormatting>
  <conditionalFormatting sqref="L28:L33">
    <cfRule type="cellIs" dxfId="43" priority="1" operator="between">
      <formula>-0.1</formula>
      <formula>0.1</formula>
    </cfRule>
  </conditionalFormatting>
  <conditionalFormatting sqref="O22">
    <cfRule type="cellIs" dxfId="42" priority="4" stopIfTrue="1" operator="greaterThan">
      <formula>0</formula>
    </cfRule>
  </conditionalFormatting>
  <dataValidations count="2">
    <dataValidation type="list" allowBlank="1" showInputMessage="1" showErrorMessage="1" sqref="K72" xr:uid="{00000000-0002-0000-0800-000000000000}">
      <formula1>"PASS - VERIFIED, FAIL"</formula1>
    </dataValidation>
    <dataValidation type="list" allowBlank="1" showInputMessage="1" showErrorMessage="1" sqref="D72" xr:uid="{00000000-0002-0000-0800-000001000000}">
      <formula1>"PASS, FAIL"</formula1>
    </dataValidation>
  </dataValidations>
  <hyperlinks>
    <hyperlink ref="B8" r:id="rId1" xr:uid="{00000000-0004-0000-0800-000000000000}"/>
  </hyperlinks>
  <pageMargins left="0.7" right="0.7" top="0.75" bottom="0.75" header="0.3" footer="0.3"/>
  <pageSetup paperSize="9" scale="39" orientation="portrait" r:id="rId2"/>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2">
    <pageSetUpPr fitToPage="1"/>
  </sheetPr>
  <dimension ref="A2:P88"/>
  <sheetViews>
    <sheetView zoomScale="55" zoomScaleNormal="55" zoomScalePageLayoutView="40" workbookViewId="0">
      <selection activeCell="F57" sqref="F57"/>
    </sheetView>
  </sheetViews>
  <sheetFormatPr defaultColWidth="0" defaultRowHeight="12.75" x14ac:dyDescent="0.2"/>
  <cols>
    <col min="1" max="1" width="6" style="1" customWidth="1"/>
    <col min="2" max="2" width="16.7109375" style="1" customWidth="1"/>
    <col min="3" max="3" width="19.7109375" style="1" customWidth="1"/>
    <col min="4" max="4" width="22.140625" style="1" customWidth="1"/>
    <col min="5" max="5" width="7.5703125" style="1" customWidth="1"/>
    <col min="6" max="6" width="16.7109375" style="1" customWidth="1"/>
    <col min="7" max="7" width="5.140625" style="1" customWidth="1"/>
    <col min="8" max="8" width="16.85546875" style="1" customWidth="1"/>
    <col min="9" max="9" width="3.85546875" style="1" customWidth="1"/>
    <col min="10" max="10" width="23.7109375" style="1" customWidth="1"/>
    <col min="11" max="11" width="20.7109375" style="1" customWidth="1"/>
    <col min="12" max="12" width="21" style="1" customWidth="1"/>
    <col min="13" max="13" width="18.85546875" style="1" customWidth="1"/>
    <col min="14" max="14" width="3.28515625" style="1" customWidth="1"/>
    <col min="15" max="15" width="19.28515625" style="1" customWidth="1"/>
    <col min="16" max="16" width="6" style="1" customWidth="1"/>
    <col min="17" max="16384" width="0" style="1" hidden="1"/>
  </cols>
  <sheetData>
    <row r="2" spans="1:16" ht="14.25" x14ac:dyDescent="0.2">
      <c r="B2" s="63"/>
      <c r="C2" s="60"/>
    </row>
    <row r="3" spans="1:16" ht="14.25" x14ac:dyDescent="0.2">
      <c r="B3" s="63"/>
      <c r="C3" s="60"/>
    </row>
    <row r="4" spans="1:16" ht="14.25" x14ac:dyDescent="0.2">
      <c r="B4" s="63"/>
      <c r="C4" s="60"/>
    </row>
    <row r="5" spans="1:16" ht="14.25" x14ac:dyDescent="0.2">
      <c r="B5" s="63"/>
      <c r="C5" s="60"/>
    </row>
    <row r="6" spans="1:16" ht="14.25" x14ac:dyDescent="0.2">
      <c r="B6" s="63"/>
      <c r="C6" s="60"/>
    </row>
    <row r="7" spans="1:16" ht="15" x14ac:dyDescent="0.2">
      <c r="B7" s="63"/>
      <c r="C7" s="60"/>
      <c r="D7" s="64"/>
    </row>
    <row r="8" spans="1:16" ht="14.25" x14ac:dyDescent="0.2">
      <c r="B8" s="34"/>
      <c r="C8" s="60"/>
    </row>
    <row r="9" spans="1:16" ht="14.25" x14ac:dyDescent="0.2">
      <c r="B9" s="34"/>
      <c r="C9" s="60"/>
    </row>
    <row r="10" spans="1:16" ht="37.5" customHeight="1" x14ac:dyDescent="0.5">
      <c r="B10" s="579" t="s">
        <v>886</v>
      </c>
      <c r="C10" s="579"/>
      <c r="D10" s="579"/>
      <c r="E10" s="579"/>
      <c r="F10" s="579"/>
      <c r="G10" s="579"/>
      <c r="H10" s="579"/>
      <c r="I10" s="579"/>
      <c r="J10" s="579"/>
      <c r="K10" s="579"/>
      <c r="L10" s="579"/>
      <c r="M10" s="579"/>
      <c r="N10" s="579"/>
      <c r="O10" s="579"/>
      <c r="P10" s="579"/>
    </row>
    <row r="11" spans="1:16" ht="21" customHeight="1" x14ac:dyDescent="0.4">
      <c r="B11" s="65"/>
      <c r="C11" s="65"/>
      <c r="D11" s="65"/>
      <c r="E11" s="65"/>
      <c r="F11" s="65"/>
      <c r="G11" s="65"/>
      <c r="H11" s="65"/>
      <c r="I11" s="65"/>
      <c r="J11" s="65"/>
      <c r="K11" s="65"/>
      <c r="L11" s="65"/>
      <c r="M11" s="65"/>
      <c r="N11" s="65"/>
      <c r="O11" s="65"/>
      <c r="P11" s="65"/>
    </row>
    <row r="12" spans="1:16" ht="11.25" customHeight="1" x14ac:dyDescent="0.2"/>
    <row r="13" spans="1:16" ht="60.75" customHeight="1" x14ac:dyDescent="0.2">
      <c r="B13" s="595" t="s">
        <v>999</v>
      </c>
      <c r="C13" s="595"/>
      <c r="D13" s="595"/>
      <c r="E13" s="595"/>
      <c r="F13" s="595"/>
      <c r="G13" s="595"/>
      <c r="H13" s="595"/>
      <c r="I13" s="595"/>
      <c r="J13" s="595"/>
      <c r="K13" s="595"/>
      <c r="L13" s="595"/>
      <c r="M13" s="595"/>
      <c r="N13" s="595"/>
      <c r="O13" s="595"/>
      <c r="P13" s="67"/>
    </row>
    <row r="14" spans="1:16" ht="77.25" customHeight="1" x14ac:dyDescent="0.2">
      <c r="A14" s="68"/>
      <c r="B14" s="595" t="s">
        <v>888</v>
      </c>
      <c r="C14" s="595"/>
      <c r="D14" s="595"/>
      <c r="E14" s="595"/>
      <c r="F14" s="595"/>
      <c r="G14" s="595"/>
      <c r="H14" s="595"/>
      <c r="I14" s="595"/>
      <c r="J14" s="595"/>
      <c r="K14" s="595"/>
      <c r="L14" s="595"/>
      <c r="M14" s="595"/>
      <c r="N14" s="595"/>
      <c r="O14" s="595"/>
      <c r="P14" s="67"/>
    </row>
    <row r="15" spans="1:16" ht="18" x14ac:dyDescent="0.2">
      <c r="A15" s="68"/>
      <c r="B15" s="66"/>
      <c r="C15" s="66"/>
      <c r="D15" s="66"/>
      <c r="E15" s="66"/>
      <c r="F15" s="66"/>
      <c r="G15" s="66"/>
      <c r="H15" s="66"/>
      <c r="I15" s="66"/>
      <c r="J15" s="66"/>
      <c r="K15" s="66"/>
      <c r="L15" s="66"/>
      <c r="M15" s="66"/>
      <c r="N15" s="66"/>
      <c r="O15" s="66"/>
      <c r="P15" s="67"/>
    </row>
    <row r="16" spans="1:16" ht="18" x14ac:dyDescent="0.2">
      <c r="A16" s="68"/>
      <c r="B16" s="69"/>
      <c r="C16" s="69"/>
      <c r="D16" s="70"/>
      <c r="E16" s="70"/>
      <c r="F16" s="69"/>
      <c r="G16" s="69"/>
      <c r="H16" s="69"/>
      <c r="I16" s="69"/>
      <c r="J16" s="69"/>
      <c r="K16" s="69"/>
      <c r="L16" s="69"/>
      <c r="M16" s="69"/>
      <c r="N16" s="69"/>
      <c r="O16" s="69"/>
      <c r="P16" s="69"/>
    </row>
    <row r="17" spans="2:15" ht="25.9" customHeight="1" x14ac:dyDescent="0.25">
      <c r="B17" s="414" t="s">
        <v>889</v>
      </c>
      <c r="C17" s="415"/>
      <c r="D17" s="606" t="str">
        <f>'Auto-Calibration record'!H14</f>
        <v>5.6mg/l RM8631b</v>
      </c>
      <c r="E17" s="606"/>
      <c r="F17" s="606"/>
      <c r="K17" s="416" t="s">
        <v>985</v>
      </c>
      <c r="L17" s="417"/>
      <c r="M17" s="417"/>
      <c r="N17" s="418"/>
      <c r="O17" s="437" t="str">
        <f>'Auto-Calibration record'!H18</f>
        <v>RM8631b</v>
      </c>
    </row>
    <row r="18" spans="2:15" ht="25.9" customHeight="1" x14ac:dyDescent="0.25">
      <c r="B18" s="414" t="s">
        <v>891</v>
      </c>
      <c r="C18" s="420"/>
      <c r="D18" s="607" t="e">
        <f>'Auto-Calibration record'!#REF!&amp;'Auto-Calibration record'!H15</f>
        <v>#REF!</v>
      </c>
      <c r="E18" s="608"/>
      <c r="F18" s="609"/>
      <c r="K18" s="380" t="s">
        <v>892</v>
      </c>
      <c r="L18" s="381"/>
      <c r="M18" s="381"/>
      <c r="N18" s="382"/>
      <c r="O18" s="421">
        <f>'Auto-Calibration record'!H16</f>
        <v>46190.6</v>
      </c>
    </row>
    <row r="19" spans="2:15" ht="25.9" customHeight="1" x14ac:dyDescent="0.25">
      <c r="B19" s="414" t="s">
        <v>893</v>
      </c>
      <c r="C19" s="420"/>
      <c r="D19" s="607" t="str">
        <f>'Auto-Calibration record'!H17</f>
        <v>-1 170626</v>
      </c>
      <c r="E19" s="608"/>
      <c r="F19" s="609"/>
      <c r="K19" s="416" t="s">
        <v>894</v>
      </c>
      <c r="L19" s="417"/>
      <c r="M19" s="417"/>
      <c r="N19" s="418"/>
      <c r="O19" s="444" t="str">
        <f>'Auto-Calibration record'!H19</f>
        <v>NOT SET</v>
      </c>
    </row>
    <row r="20" spans="2:15" ht="14.25" customHeight="1" x14ac:dyDescent="0.25">
      <c r="B20" s="71"/>
      <c r="D20" s="87"/>
      <c r="E20" s="88"/>
      <c r="K20" s="71"/>
      <c r="L20" s="72"/>
      <c r="M20" s="72"/>
      <c r="N20" s="72"/>
      <c r="O20" s="89"/>
    </row>
    <row r="21" spans="2:15" ht="15.75" x14ac:dyDescent="0.25">
      <c r="B21" s="73" t="s">
        <v>895</v>
      </c>
    </row>
    <row r="22" spans="2:15" ht="15.75" x14ac:dyDescent="0.25">
      <c r="B22" s="73" t="s">
        <v>896</v>
      </c>
      <c r="O22" s="74"/>
    </row>
    <row r="23" spans="2:15" ht="15.75" x14ac:dyDescent="0.25">
      <c r="B23" s="73" t="s">
        <v>897</v>
      </c>
    </row>
    <row r="24" spans="2:15" ht="15.75" x14ac:dyDescent="0.25">
      <c r="B24" s="73"/>
    </row>
    <row r="25" spans="2:15" x14ac:dyDescent="0.2">
      <c r="B25" s="75"/>
    </row>
    <row r="26" spans="2:15" s="76" customFormat="1" ht="67.5" customHeight="1" x14ac:dyDescent="0.2">
      <c r="D26" s="583" t="s">
        <v>898</v>
      </c>
      <c r="E26" s="583"/>
      <c r="F26" s="583" t="s">
        <v>899</v>
      </c>
      <c r="G26" s="583"/>
      <c r="H26" s="583" t="s">
        <v>900</v>
      </c>
      <c r="I26" s="583"/>
      <c r="J26" s="423" t="s">
        <v>901</v>
      </c>
      <c r="K26" s="423" t="s">
        <v>902</v>
      </c>
      <c r="L26" s="423" t="s">
        <v>903</v>
      </c>
    </row>
    <row r="27" spans="2:15" s="77" customFormat="1" ht="25.9" customHeight="1" x14ac:dyDescent="0.2">
      <c r="D27" s="584" t="s">
        <v>904</v>
      </c>
      <c r="E27" s="584"/>
      <c r="F27" s="584" t="s">
        <v>905</v>
      </c>
      <c r="G27" s="584"/>
      <c r="H27" s="584" t="s">
        <v>906</v>
      </c>
      <c r="I27" s="584"/>
      <c r="J27" s="424" t="s">
        <v>906</v>
      </c>
      <c r="K27" s="424" t="s">
        <v>906</v>
      </c>
      <c r="L27" s="424" t="s">
        <v>907</v>
      </c>
    </row>
    <row r="28" spans="2:15" s="77" customFormat="1" ht="25.9" customHeight="1" x14ac:dyDescent="0.2">
      <c r="D28" s="585" t="s">
        <v>908</v>
      </c>
      <c r="E28" s="585"/>
      <c r="F28" s="600">
        <f>'Auto-Calibration record'!B65</f>
        <v>80</v>
      </c>
      <c r="G28" s="600"/>
      <c r="H28" s="596">
        <f>'Auto-Calibration record'!B68</f>
        <v>1056340</v>
      </c>
      <c r="I28" s="626"/>
      <c r="J28" s="442">
        <f>'Auto-Calibration record'!I68</f>
        <v>1065116</v>
      </c>
      <c r="K28" s="425">
        <f t="shared" ref="K28:K33" si="0">J28-H28</f>
        <v>8776</v>
      </c>
      <c r="L28" s="443">
        <f t="shared" ref="L28:L33" si="1">K28/H28</f>
        <v>8.3079311585285039E-3</v>
      </c>
    </row>
    <row r="29" spans="2:15" s="77" customFormat="1" ht="25.9" customHeight="1" x14ac:dyDescent="0.2">
      <c r="D29" s="585" t="s">
        <v>909</v>
      </c>
      <c r="E29" s="585"/>
      <c r="F29" s="600">
        <f>'Auto-Calibration record'!C65</f>
        <v>194</v>
      </c>
      <c r="G29" s="600"/>
      <c r="H29" s="596">
        <f>'Auto-Calibration record'!B69</f>
        <v>459350</v>
      </c>
      <c r="I29" s="626"/>
      <c r="J29" s="442">
        <f>'Auto-Calibration record'!I69</f>
        <v>459710</v>
      </c>
      <c r="K29" s="425">
        <f t="shared" si="0"/>
        <v>360</v>
      </c>
      <c r="L29" s="443">
        <f t="shared" si="1"/>
        <v>7.8371612060520296E-4</v>
      </c>
    </row>
    <row r="30" spans="2:15" s="77" customFormat="1" ht="25.9" customHeight="1" x14ac:dyDescent="0.2">
      <c r="D30" s="585" t="s">
        <v>910</v>
      </c>
      <c r="E30" s="585"/>
      <c r="F30" s="600">
        <f>'Auto-Calibration record'!D65</f>
        <v>1032</v>
      </c>
      <c r="G30" s="600"/>
      <c r="H30" s="596">
        <f>'Auto-Calibration record'!B71</f>
        <v>36410</v>
      </c>
      <c r="I30" s="626"/>
      <c r="J30" s="442">
        <f>'Auto-Calibration record'!I71</f>
        <v>37720</v>
      </c>
      <c r="K30" s="425">
        <f t="shared" si="0"/>
        <v>1310</v>
      </c>
      <c r="L30" s="443">
        <f t="shared" si="1"/>
        <v>3.5979126613567704E-2</v>
      </c>
    </row>
    <row r="31" spans="2:15" s="77" customFormat="1" ht="25.9" customHeight="1" x14ac:dyDescent="0.2">
      <c r="D31" s="585" t="s">
        <v>911</v>
      </c>
      <c r="E31" s="585"/>
      <c r="F31" s="600">
        <f>'Auto-Calibration record'!E65</f>
        <v>2064</v>
      </c>
      <c r="G31" s="600"/>
      <c r="H31" s="596">
        <f>'Auto-Calibration record'!B72</f>
        <v>10940</v>
      </c>
      <c r="I31" s="626"/>
      <c r="J31" s="442">
        <f>'Auto-Calibration record'!I72</f>
        <v>11889</v>
      </c>
      <c r="K31" s="425">
        <f t="shared" si="0"/>
        <v>949</v>
      </c>
      <c r="L31" s="443">
        <f t="shared" si="1"/>
        <v>8.6745886654478979E-2</v>
      </c>
    </row>
    <row r="32" spans="2:15" s="77" customFormat="1" ht="25.9" customHeight="1" x14ac:dyDescent="0.2">
      <c r="D32" s="585" t="s">
        <v>912</v>
      </c>
      <c r="E32" s="585"/>
      <c r="F32" s="600">
        <f>'Auto-Calibration record'!F65</f>
        <v>3012</v>
      </c>
      <c r="G32" s="600"/>
      <c r="H32" s="596">
        <f>'Auto-Calibration record'!B73</f>
        <v>5210</v>
      </c>
      <c r="I32" s="626"/>
      <c r="J32" s="442">
        <f>'Auto-Calibration record'!I73</f>
        <v>5538</v>
      </c>
      <c r="K32" s="425">
        <f t="shared" si="0"/>
        <v>328</v>
      </c>
      <c r="L32" s="443">
        <f t="shared" si="1"/>
        <v>6.2955854126679464E-2</v>
      </c>
    </row>
    <row r="33" spans="2:12" s="77" customFormat="1" ht="25.9" customHeight="1" x14ac:dyDescent="0.2">
      <c r="D33" s="585" t="s">
        <v>913</v>
      </c>
      <c r="E33" s="585"/>
      <c r="F33" s="600">
        <f>'Auto-Calibration record'!G65</f>
        <v>10314</v>
      </c>
      <c r="G33" s="600"/>
      <c r="H33" s="596">
        <f>'Auto-Calibration record'!B74</f>
        <v>611.721</v>
      </c>
      <c r="I33" s="626"/>
      <c r="J33" s="442">
        <f>'Auto-Calibration record'!I74</f>
        <v>525</v>
      </c>
      <c r="K33" s="425">
        <f t="shared" si="0"/>
        <v>-86.721000000000004</v>
      </c>
      <c r="L33" s="443">
        <f t="shared" si="1"/>
        <v>-0.1417656088314771</v>
      </c>
    </row>
    <row r="34" spans="2:12" s="77" customFormat="1" ht="25.9" customHeight="1" x14ac:dyDescent="0.2">
      <c r="D34" s="585" t="s">
        <v>914</v>
      </c>
      <c r="E34" s="585"/>
      <c r="F34" s="600">
        <f>'Auto-Calibration record'!H65</f>
        <v>16352</v>
      </c>
      <c r="G34" s="600"/>
      <c r="H34" s="596">
        <f>'Auto-Calibration record'!B75</f>
        <v>145.303</v>
      </c>
      <c r="I34" s="626"/>
      <c r="J34" s="442">
        <f>'Auto-Calibration record'!I75</f>
        <v>112</v>
      </c>
      <c r="K34" s="425" t="s">
        <v>321</v>
      </c>
      <c r="L34" s="426" t="s">
        <v>321</v>
      </c>
    </row>
    <row r="35" spans="2:12" s="72" customFormat="1" ht="25.9" customHeight="1" x14ac:dyDescent="0.25">
      <c r="D35" s="585" t="s">
        <v>915</v>
      </c>
      <c r="E35" s="585"/>
      <c r="F35" s="601">
        <f>'Auto-Calibration record'!I65</f>
        <v>25228</v>
      </c>
      <c r="G35" s="601"/>
      <c r="H35" s="596">
        <f>'Auto-Calibration record'!B76</f>
        <v>24.939</v>
      </c>
      <c r="I35" s="626"/>
      <c r="J35" s="442">
        <f>'Auto-Calibration record'!I76</f>
        <v>18</v>
      </c>
      <c r="K35" s="425" t="s">
        <v>321</v>
      </c>
      <c r="L35" s="426" t="s">
        <v>321</v>
      </c>
    </row>
    <row r="36" spans="2:12" ht="20.25" x14ac:dyDescent="0.3">
      <c r="D36" s="78" t="s">
        <v>916</v>
      </c>
      <c r="E36" s="79"/>
      <c r="F36" s="79"/>
      <c r="G36" s="79"/>
      <c r="H36" s="79"/>
      <c r="I36" s="79"/>
      <c r="J36" s="79"/>
      <c r="K36" s="79"/>
    </row>
    <row r="37" spans="2:12" ht="20.25" x14ac:dyDescent="0.3">
      <c r="B37" s="80"/>
      <c r="D37" s="79"/>
      <c r="E37" s="79"/>
      <c r="F37" s="79"/>
      <c r="G37" s="79"/>
      <c r="H37" s="79"/>
      <c r="I37" s="79"/>
      <c r="J37" s="79"/>
      <c r="K37" s="79"/>
    </row>
    <row r="38" spans="2:12" ht="81" customHeight="1" x14ac:dyDescent="0.2">
      <c r="B38" s="80"/>
      <c r="D38" s="423" t="s">
        <v>917</v>
      </c>
      <c r="E38" s="583" t="s">
        <v>918</v>
      </c>
      <c r="F38" s="583"/>
      <c r="G38" s="583" t="s">
        <v>919</v>
      </c>
      <c r="H38" s="583"/>
      <c r="I38" s="77"/>
      <c r="J38" s="423" t="s">
        <v>996</v>
      </c>
      <c r="K38" s="423" t="s">
        <v>997</v>
      </c>
      <c r="L38" s="423" t="s">
        <v>919</v>
      </c>
    </row>
    <row r="39" spans="2:12" ht="25.9" customHeight="1" x14ac:dyDescent="0.2">
      <c r="B39" s="80"/>
      <c r="D39" s="424" t="s">
        <v>905</v>
      </c>
      <c r="E39" s="584" t="s">
        <v>905</v>
      </c>
      <c r="F39" s="584"/>
      <c r="G39" s="584" t="s">
        <v>920</v>
      </c>
      <c r="H39" s="584"/>
      <c r="I39" s="81"/>
      <c r="J39" s="424" t="s">
        <v>905</v>
      </c>
      <c r="K39" s="424" t="s">
        <v>905</v>
      </c>
      <c r="L39" s="424" t="s">
        <v>920</v>
      </c>
    </row>
    <row r="40" spans="2:12" ht="25.9" customHeight="1" x14ac:dyDescent="0.2">
      <c r="B40" s="80"/>
      <c r="D40" s="428">
        <f>'Auto-Calibration record'!B17</f>
        <v>0</v>
      </c>
      <c r="E40" s="596">
        <f>F28-D40</f>
        <v>80</v>
      </c>
      <c r="F40" s="596"/>
      <c r="G40" s="610" t="e">
        <f>F28/D40</f>
        <v>#DIV/0!</v>
      </c>
      <c r="H40" s="610"/>
      <c r="I40" s="81"/>
      <c r="J40" s="428">
        <f>'Auto-Calibration record'!B11</f>
        <v>31</v>
      </c>
      <c r="K40" s="425">
        <f>F29-J40</f>
        <v>163</v>
      </c>
      <c r="L40" s="429">
        <f>F29/J40</f>
        <v>6.258064516129032</v>
      </c>
    </row>
    <row r="41" spans="2:12" x14ac:dyDescent="0.2">
      <c r="B41" s="80"/>
    </row>
    <row r="42" spans="2:12" x14ac:dyDescent="0.2">
      <c r="B42" s="80"/>
    </row>
    <row r="43" spans="2:12" x14ac:dyDescent="0.2">
      <c r="B43" s="80"/>
    </row>
    <row r="44" spans="2:12" x14ac:dyDescent="0.2">
      <c r="B44" s="80"/>
    </row>
    <row r="45" spans="2:12" x14ac:dyDescent="0.2">
      <c r="B45" s="80"/>
    </row>
    <row r="46" spans="2:12" x14ac:dyDescent="0.2">
      <c r="B46" s="80"/>
    </row>
    <row r="47" spans="2:12" x14ac:dyDescent="0.2">
      <c r="B47" s="80"/>
    </row>
    <row r="48" spans="2:12" x14ac:dyDescent="0.2">
      <c r="B48" s="80"/>
    </row>
    <row r="49" spans="2:2" x14ac:dyDescent="0.2">
      <c r="B49" s="80"/>
    </row>
    <row r="50" spans="2:2" x14ac:dyDescent="0.2">
      <c r="B50" s="80"/>
    </row>
    <row r="51" spans="2:2" x14ac:dyDescent="0.2">
      <c r="B51" s="80"/>
    </row>
    <row r="52" spans="2:2" x14ac:dyDescent="0.2">
      <c r="B52" s="80"/>
    </row>
    <row r="53" spans="2:2" x14ac:dyDescent="0.2">
      <c r="B53" s="80"/>
    </row>
    <row r="54" spans="2:2" x14ac:dyDescent="0.2">
      <c r="B54" s="80"/>
    </row>
    <row r="55" spans="2:2" x14ac:dyDescent="0.2">
      <c r="B55" s="80"/>
    </row>
    <row r="56" spans="2:2" x14ac:dyDescent="0.2">
      <c r="B56" s="80"/>
    </row>
    <row r="57" spans="2:2" x14ac:dyDescent="0.2">
      <c r="B57" s="80"/>
    </row>
    <row r="58" spans="2:2" x14ac:dyDescent="0.2">
      <c r="B58" s="80"/>
    </row>
    <row r="59" spans="2:2" x14ac:dyDescent="0.2">
      <c r="B59" s="80"/>
    </row>
    <row r="60" spans="2:2" x14ac:dyDescent="0.2">
      <c r="B60" s="80"/>
    </row>
    <row r="61" spans="2:2" x14ac:dyDescent="0.2">
      <c r="B61" s="80"/>
    </row>
    <row r="62" spans="2:2" x14ac:dyDescent="0.2">
      <c r="B62" s="80"/>
    </row>
    <row r="63" spans="2:2" x14ac:dyDescent="0.2">
      <c r="B63" s="80"/>
    </row>
    <row r="64" spans="2:2" x14ac:dyDescent="0.2">
      <c r="B64" s="80"/>
    </row>
    <row r="65" spans="2:16" x14ac:dyDescent="0.2">
      <c r="B65" s="80"/>
    </row>
    <row r="66" spans="2:16" x14ac:dyDescent="0.2">
      <c r="B66" s="80"/>
    </row>
    <row r="67" spans="2:16" x14ac:dyDescent="0.2">
      <c r="B67" s="80"/>
    </row>
    <row r="68" spans="2:16" x14ac:dyDescent="0.2">
      <c r="B68" s="80"/>
    </row>
    <row r="69" spans="2:16" ht="13.5" thickBot="1" x14ac:dyDescent="0.25">
      <c r="B69" s="82"/>
      <c r="C69" s="83"/>
      <c r="D69" s="83"/>
      <c r="E69" s="83"/>
      <c r="F69" s="83"/>
      <c r="G69" s="83"/>
      <c r="H69" s="83"/>
      <c r="I69" s="83"/>
      <c r="J69" s="83"/>
      <c r="K69" s="83"/>
      <c r="L69" s="83"/>
      <c r="M69" s="83"/>
      <c r="N69" s="83"/>
      <c r="O69" s="83"/>
      <c r="P69" s="83"/>
    </row>
    <row r="70" spans="2:16" ht="13.5" thickTop="1" x14ac:dyDescent="0.2">
      <c r="B70" s="80"/>
    </row>
    <row r="71" spans="2:16" ht="25.9" customHeight="1" x14ac:dyDescent="0.2"/>
    <row r="72" spans="2:16" s="64" customFormat="1" ht="25.9" customHeight="1" x14ac:dyDescent="0.2">
      <c r="B72" s="430" t="s">
        <v>921</v>
      </c>
      <c r="C72" s="431"/>
      <c r="D72" s="432" t="s">
        <v>922</v>
      </c>
      <c r="H72" s="1"/>
      <c r="I72" s="1"/>
      <c r="K72" s="586" t="s">
        <v>923</v>
      </c>
      <c r="L72" s="587"/>
      <c r="M72" s="587"/>
      <c r="N72" s="587"/>
      <c r="O72" s="588"/>
    </row>
    <row r="73" spans="2:16" s="64" customFormat="1" ht="25.9" customHeight="1" x14ac:dyDescent="0.2">
      <c r="H73" s="1"/>
      <c r="I73" s="1"/>
      <c r="K73" s="589"/>
      <c r="L73" s="590"/>
      <c r="M73" s="590"/>
      <c r="N73" s="590"/>
      <c r="O73" s="591"/>
    </row>
    <row r="74" spans="2:16" s="64" customFormat="1" ht="25.9" customHeight="1" x14ac:dyDescent="0.2">
      <c r="B74" s="430" t="s">
        <v>924</v>
      </c>
      <c r="C74" s="431"/>
      <c r="D74" s="627" t="s">
        <v>925</v>
      </c>
      <c r="E74" s="628"/>
      <c r="F74" s="628"/>
      <c r="G74" s="629"/>
      <c r="H74" s="1"/>
      <c r="I74" s="1"/>
      <c r="K74" s="589"/>
      <c r="L74" s="590"/>
      <c r="M74" s="590"/>
      <c r="N74" s="590"/>
      <c r="O74" s="591"/>
    </row>
    <row r="75" spans="2:16" s="64" customFormat="1" ht="25.9" customHeight="1" x14ac:dyDescent="0.2">
      <c r="K75" s="592"/>
      <c r="L75" s="593"/>
      <c r="M75" s="593"/>
      <c r="N75" s="593"/>
      <c r="O75" s="594"/>
    </row>
    <row r="76" spans="2:16" s="64" customFormat="1" ht="25.9" customHeight="1" x14ac:dyDescent="0.2">
      <c r="B76" s="430" t="s">
        <v>926</v>
      </c>
      <c r="C76" s="431"/>
      <c r="D76" s="602"/>
      <c r="E76" s="603"/>
      <c r="F76" s="604"/>
      <c r="K76" s="433" t="s">
        <v>927</v>
      </c>
      <c r="L76" s="597" t="s">
        <v>928</v>
      </c>
      <c r="M76" s="598"/>
      <c r="N76" s="598"/>
      <c r="O76" s="599"/>
      <c r="P76" s="84"/>
    </row>
    <row r="77" spans="2:16" ht="25.9" customHeight="1" x14ac:dyDescent="0.2">
      <c r="H77" s="64"/>
      <c r="I77" s="64"/>
      <c r="J77" s="64"/>
      <c r="K77" s="64"/>
    </row>
    <row r="78" spans="2:16" ht="15" x14ac:dyDescent="0.2">
      <c r="B78" s="80" t="s">
        <v>929</v>
      </c>
      <c r="H78" s="64"/>
      <c r="I78" s="64"/>
      <c r="J78" s="64"/>
      <c r="K78" s="64"/>
    </row>
    <row r="79" spans="2:16" ht="15" x14ac:dyDescent="0.2">
      <c r="B79" s="80" t="s">
        <v>930</v>
      </c>
      <c r="H79" s="64"/>
      <c r="I79" s="64"/>
      <c r="J79" s="64"/>
      <c r="K79" s="64"/>
    </row>
    <row r="80" spans="2:16" x14ac:dyDescent="0.2">
      <c r="B80" s="80" t="s">
        <v>931</v>
      </c>
    </row>
    <row r="83" spans="2:15" x14ac:dyDescent="0.2">
      <c r="O83" s="85" t="s">
        <v>932</v>
      </c>
    </row>
    <row r="84" spans="2:15" x14ac:dyDescent="0.2">
      <c r="O84" s="85" t="s">
        <v>841</v>
      </c>
    </row>
    <row r="85" spans="2:15" x14ac:dyDescent="0.2">
      <c r="O85" s="85" t="s">
        <v>19</v>
      </c>
    </row>
    <row r="86" spans="2:15" x14ac:dyDescent="0.2">
      <c r="B86" s="86" t="s">
        <v>998</v>
      </c>
      <c r="C86" s="86"/>
      <c r="L86" s="86"/>
      <c r="N86" s="86"/>
      <c r="O86" s="85" t="s">
        <v>20</v>
      </c>
    </row>
    <row r="88" spans="2:15" x14ac:dyDescent="0.2">
      <c r="D88" s="86"/>
      <c r="E88" s="86"/>
      <c r="F88" s="86"/>
      <c r="G88" s="86"/>
      <c r="H88" s="86"/>
      <c r="I88" s="86"/>
      <c r="J88" s="86"/>
      <c r="K88" s="86"/>
    </row>
  </sheetData>
  <sheetProtection selectLockedCells="1"/>
  <mergeCells count="46">
    <mergeCell ref="E40:F40"/>
    <mergeCell ref="G40:H40"/>
    <mergeCell ref="K72:O75"/>
    <mergeCell ref="D74:G74"/>
    <mergeCell ref="D76:F76"/>
    <mergeCell ref="L76:O76"/>
    <mergeCell ref="E39:F39"/>
    <mergeCell ref="G39:H39"/>
    <mergeCell ref="D33:E33"/>
    <mergeCell ref="F33:G33"/>
    <mergeCell ref="H33:I33"/>
    <mergeCell ref="D34:E34"/>
    <mergeCell ref="F34:G34"/>
    <mergeCell ref="H34:I34"/>
    <mergeCell ref="D35:E35"/>
    <mergeCell ref="F35:G35"/>
    <mergeCell ref="H35:I35"/>
    <mergeCell ref="E38:F38"/>
    <mergeCell ref="G38:H38"/>
    <mergeCell ref="D31:E31"/>
    <mergeCell ref="F31:G31"/>
    <mergeCell ref="H31:I31"/>
    <mergeCell ref="D32:E32"/>
    <mergeCell ref="F32:G32"/>
    <mergeCell ref="H32:I32"/>
    <mergeCell ref="D29:E29"/>
    <mergeCell ref="F29:G29"/>
    <mergeCell ref="H29:I29"/>
    <mergeCell ref="D30:E30"/>
    <mergeCell ref="F30:G30"/>
    <mergeCell ref="H30:I30"/>
    <mergeCell ref="D27:E27"/>
    <mergeCell ref="F27:G27"/>
    <mergeCell ref="H27:I27"/>
    <mergeCell ref="D28:E28"/>
    <mergeCell ref="F28:G28"/>
    <mergeCell ref="H28:I28"/>
    <mergeCell ref="D26:E26"/>
    <mergeCell ref="F26:G26"/>
    <mergeCell ref="H26:I26"/>
    <mergeCell ref="B10:P10"/>
    <mergeCell ref="B13:O13"/>
    <mergeCell ref="B14:O14"/>
    <mergeCell ref="D17:F17"/>
    <mergeCell ref="D19:F19"/>
    <mergeCell ref="D18:F18"/>
  </mergeCells>
  <conditionalFormatting sqref="D72">
    <cfRule type="cellIs" dxfId="41" priority="2" stopIfTrue="1" operator="equal">
      <formula>"PASS"</formula>
    </cfRule>
    <cfRule type="cellIs" dxfId="40" priority="3" stopIfTrue="1" operator="equal">
      <formula>"FAIL"</formula>
    </cfRule>
  </conditionalFormatting>
  <conditionalFormatting sqref="G40 L40">
    <cfRule type="cellIs" dxfId="39" priority="5" stopIfTrue="1" operator="greaterThanOrEqual">
      <formula>1.19</formula>
    </cfRule>
    <cfRule type="cellIs" dxfId="38" priority="6" stopIfTrue="1" operator="lessThan">
      <formula>1.19</formula>
    </cfRule>
  </conditionalFormatting>
  <conditionalFormatting sqref="K72">
    <cfRule type="cellIs" dxfId="37" priority="7" stopIfTrue="1" operator="equal">
      <formula>"FAIL"</formula>
    </cfRule>
    <cfRule type="cellIs" dxfId="36" priority="8" stopIfTrue="1" operator="equal">
      <formula>"PASS - VERIFIED"</formula>
    </cfRule>
  </conditionalFormatting>
  <conditionalFormatting sqref="L28:L33">
    <cfRule type="cellIs" dxfId="35" priority="1" operator="between">
      <formula>-0.1</formula>
      <formula>0.1</formula>
    </cfRule>
  </conditionalFormatting>
  <conditionalFormatting sqref="O22">
    <cfRule type="cellIs" dxfId="34" priority="4" stopIfTrue="1" operator="greaterThan">
      <formula>0</formula>
    </cfRule>
  </conditionalFormatting>
  <dataValidations count="2">
    <dataValidation type="list" allowBlank="1" showInputMessage="1" showErrorMessage="1" sqref="K72" xr:uid="{00000000-0002-0000-0900-000000000000}">
      <formula1>"PASS - VERIFIED, FAIL"</formula1>
    </dataValidation>
    <dataValidation type="list" allowBlank="1" showInputMessage="1" showErrorMessage="1" sqref="D72" xr:uid="{00000000-0002-0000-0900-000001000000}">
      <formula1>"PASS, FAIL"</formula1>
    </dataValidation>
  </dataValidations>
  <pageMargins left="0.7" right="0.7" top="0.75" bottom="0.75" header="0.3" footer="0.3"/>
  <pageSetup scale="40" orientation="portrait" r:id="rId1"/>
  <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3">
    <pageSetUpPr fitToPage="1"/>
  </sheetPr>
  <dimension ref="A2:P88"/>
  <sheetViews>
    <sheetView topLeftCell="A13" zoomScale="55" zoomScaleNormal="55" workbookViewId="0">
      <selection activeCell="O19" sqref="O19"/>
    </sheetView>
  </sheetViews>
  <sheetFormatPr defaultColWidth="0" defaultRowHeight="12.75" x14ac:dyDescent="0.2"/>
  <cols>
    <col min="1" max="1" width="6" style="1" customWidth="1"/>
    <col min="2" max="2" width="16.7109375" style="1" customWidth="1"/>
    <col min="3" max="3" width="19.7109375" style="1" customWidth="1"/>
    <col min="4" max="4" width="22.140625" style="1" customWidth="1"/>
    <col min="5" max="5" width="7.5703125" style="1" customWidth="1"/>
    <col min="6" max="6" width="16.7109375" style="1" customWidth="1"/>
    <col min="7" max="7" width="5.140625" style="1" customWidth="1"/>
    <col min="8" max="8" width="16.85546875" style="1" customWidth="1"/>
    <col min="9" max="9" width="3.85546875" style="1" customWidth="1"/>
    <col min="10" max="10" width="23.7109375" style="1" customWidth="1"/>
    <col min="11" max="11" width="20.7109375" style="1" customWidth="1"/>
    <col min="12" max="12" width="21" style="1" customWidth="1"/>
    <col min="13" max="13" width="18.85546875" style="1" customWidth="1"/>
    <col min="14" max="14" width="3.28515625" style="1" customWidth="1"/>
    <col min="15" max="15" width="19.28515625" style="1" customWidth="1"/>
    <col min="16" max="16" width="6" style="1" customWidth="1"/>
    <col min="17" max="16384" width="0" style="1" hidden="1"/>
  </cols>
  <sheetData>
    <row r="2" spans="1:16" ht="14.25" x14ac:dyDescent="0.2">
      <c r="B2" s="63" t="s">
        <v>879</v>
      </c>
      <c r="C2" s="60"/>
    </row>
    <row r="3" spans="1:16" ht="14.25" x14ac:dyDescent="0.2">
      <c r="B3" s="63" t="s">
        <v>933</v>
      </c>
      <c r="C3" s="60"/>
    </row>
    <row r="4" spans="1:16" ht="14.25" x14ac:dyDescent="0.2">
      <c r="B4" s="63" t="s">
        <v>934</v>
      </c>
      <c r="C4" s="60"/>
    </row>
    <row r="5" spans="1:16" ht="14.25" x14ac:dyDescent="0.2">
      <c r="B5" s="63" t="s">
        <v>882</v>
      </c>
      <c r="C5" s="60"/>
    </row>
    <row r="6" spans="1:16" ht="14.25" x14ac:dyDescent="0.2">
      <c r="B6" s="63" t="s">
        <v>935</v>
      </c>
      <c r="C6" s="60"/>
    </row>
    <row r="7" spans="1:16" ht="15" x14ac:dyDescent="0.2">
      <c r="B7" s="63" t="s">
        <v>936</v>
      </c>
      <c r="C7" s="60"/>
      <c r="D7" s="64"/>
    </row>
    <row r="8" spans="1:16" ht="14.25" x14ac:dyDescent="0.2">
      <c r="B8" s="34" t="s">
        <v>885</v>
      </c>
      <c r="C8" s="60"/>
    </row>
    <row r="9" spans="1:16" ht="14.25" x14ac:dyDescent="0.2">
      <c r="B9" s="34"/>
      <c r="C9" s="60"/>
    </row>
    <row r="10" spans="1:16" ht="37.5" customHeight="1" x14ac:dyDescent="0.5">
      <c r="B10" s="579" t="s">
        <v>886</v>
      </c>
      <c r="C10" s="579"/>
      <c r="D10" s="579"/>
      <c r="E10" s="579"/>
      <c r="F10" s="579"/>
      <c r="G10" s="579"/>
      <c r="H10" s="579"/>
      <c r="I10" s="579"/>
      <c r="J10" s="579"/>
      <c r="K10" s="579"/>
      <c r="L10" s="579"/>
      <c r="M10" s="579"/>
      <c r="N10" s="579"/>
      <c r="O10" s="579"/>
      <c r="P10" s="579"/>
    </row>
    <row r="11" spans="1:16" ht="21" customHeight="1" x14ac:dyDescent="0.4">
      <c r="B11" s="65"/>
      <c r="C11" s="65"/>
      <c r="D11" s="65"/>
      <c r="E11" s="65"/>
      <c r="F11" s="65"/>
      <c r="G11" s="65"/>
      <c r="H11" s="65"/>
      <c r="I11" s="65"/>
      <c r="J11" s="65"/>
      <c r="K11" s="65"/>
      <c r="L11" s="65"/>
      <c r="M11" s="65"/>
      <c r="N11" s="65"/>
      <c r="O11" s="65"/>
      <c r="P11" s="65"/>
    </row>
    <row r="12" spans="1:16" ht="11.25" customHeight="1" x14ac:dyDescent="0.2"/>
    <row r="13" spans="1:16" ht="60.75" customHeight="1" x14ac:dyDescent="0.2">
      <c r="B13" s="595" t="s">
        <v>984</v>
      </c>
      <c r="C13" s="595"/>
      <c r="D13" s="595"/>
      <c r="E13" s="595"/>
      <c r="F13" s="595"/>
      <c r="G13" s="595"/>
      <c r="H13" s="595"/>
      <c r="I13" s="595"/>
      <c r="J13" s="595"/>
      <c r="K13" s="595"/>
      <c r="L13" s="595"/>
      <c r="M13" s="595"/>
      <c r="N13" s="595"/>
      <c r="O13" s="595"/>
      <c r="P13" s="67"/>
    </row>
    <row r="14" spans="1:16" ht="77.25" customHeight="1" x14ac:dyDescent="0.2">
      <c r="A14" s="68"/>
      <c r="B14" s="595" t="s">
        <v>888</v>
      </c>
      <c r="C14" s="595"/>
      <c r="D14" s="595"/>
      <c r="E14" s="595"/>
      <c r="F14" s="595"/>
      <c r="G14" s="595"/>
      <c r="H14" s="595"/>
      <c r="I14" s="595"/>
      <c r="J14" s="595"/>
      <c r="K14" s="595"/>
      <c r="L14" s="595"/>
      <c r="M14" s="595"/>
      <c r="N14" s="595"/>
      <c r="O14" s="595"/>
      <c r="P14" s="67"/>
    </row>
    <row r="15" spans="1:16" ht="18" x14ac:dyDescent="0.2">
      <c r="A15" s="68"/>
      <c r="B15" s="66"/>
      <c r="C15" s="66"/>
      <c r="D15" s="66"/>
      <c r="E15" s="66"/>
      <c r="F15" s="66"/>
      <c r="G15" s="66"/>
      <c r="H15" s="66"/>
      <c r="I15" s="66"/>
      <c r="J15" s="66"/>
      <c r="K15" s="66"/>
      <c r="L15" s="66"/>
      <c r="M15" s="66"/>
      <c r="N15" s="66"/>
      <c r="O15" s="66"/>
      <c r="P15" s="67"/>
    </row>
    <row r="16" spans="1:16" ht="18" x14ac:dyDescent="0.2">
      <c r="A16" s="68"/>
      <c r="B16" s="69"/>
      <c r="C16" s="69"/>
      <c r="D16" s="70"/>
      <c r="E16" s="70"/>
      <c r="F16" s="69"/>
      <c r="G16" s="69"/>
      <c r="H16" s="69"/>
      <c r="I16" s="69"/>
      <c r="J16" s="69"/>
      <c r="K16" s="69"/>
      <c r="L16" s="69"/>
      <c r="M16" s="69"/>
      <c r="N16" s="69"/>
      <c r="O16" s="69"/>
      <c r="P16" s="69"/>
    </row>
    <row r="17" spans="2:15" ht="25.9" customHeight="1" x14ac:dyDescent="0.25">
      <c r="B17" s="414" t="s">
        <v>889</v>
      </c>
      <c r="C17" s="415"/>
      <c r="D17" s="606" t="str">
        <f>'Auto-Calibration record'!H14</f>
        <v>5.6mg/l RM8631b</v>
      </c>
      <c r="E17" s="606"/>
      <c r="F17" s="606"/>
      <c r="K17" s="416" t="s">
        <v>985</v>
      </c>
      <c r="L17" s="417"/>
      <c r="M17" s="417"/>
      <c r="N17" s="418"/>
      <c r="O17" s="437" t="str">
        <f>'Auto-Calibration record'!H18</f>
        <v>RM8631b</v>
      </c>
    </row>
    <row r="18" spans="2:15" ht="25.9" customHeight="1" x14ac:dyDescent="0.25">
      <c r="B18" s="414" t="s">
        <v>891</v>
      </c>
      <c r="C18" s="420"/>
      <c r="D18" s="607" t="e">
        <f>'Auto-Calibration record'!#REF!&amp;'Auto-Calibration record'!H15</f>
        <v>#REF!</v>
      </c>
      <c r="E18" s="608"/>
      <c r="F18" s="609"/>
      <c r="K18" s="380" t="s">
        <v>892</v>
      </c>
      <c r="L18" s="381"/>
      <c r="M18" s="381"/>
      <c r="N18" s="382"/>
      <c r="O18" s="421">
        <f>'Auto-Calibration record'!H16</f>
        <v>46190.6</v>
      </c>
    </row>
    <row r="19" spans="2:15" ht="25.9" customHeight="1" x14ac:dyDescent="0.25">
      <c r="B19" s="414" t="s">
        <v>893</v>
      </c>
      <c r="C19" s="420"/>
      <c r="D19" s="607" t="str">
        <f>'Auto-Calibration record'!H17</f>
        <v>-1 170626</v>
      </c>
      <c r="E19" s="608"/>
      <c r="F19" s="609"/>
      <c r="K19" s="416" t="s">
        <v>894</v>
      </c>
      <c r="L19" s="417"/>
      <c r="M19" s="417"/>
      <c r="N19" s="418"/>
      <c r="O19" s="444" t="str">
        <f>'Auto-Calibration record'!H19</f>
        <v>NOT SET</v>
      </c>
    </row>
    <row r="20" spans="2:15" ht="14.25" customHeight="1" x14ac:dyDescent="0.25">
      <c r="B20" s="71"/>
      <c r="D20" s="87"/>
      <c r="E20" s="88"/>
      <c r="K20" s="71"/>
      <c r="L20" s="72"/>
      <c r="M20" s="72"/>
      <c r="N20" s="72"/>
      <c r="O20" s="89"/>
    </row>
    <row r="21" spans="2:15" ht="15.75" x14ac:dyDescent="0.25">
      <c r="B21" s="73" t="s">
        <v>895</v>
      </c>
    </row>
    <row r="22" spans="2:15" ht="15.75" x14ac:dyDescent="0.25">
      <c r="B22" s="73" t="s">
        <v>896</v>
      </c>
      <c r="O22" s="74"/>
    </row>
    <row r="23" spans="2:15" ht="15.75" x14ac:dyDescent="0.25">
      <c r="B23" s="73" t="s">
        <v>897</v>
      </c>
    </row>
    <row r="24" spans="2:15" ht="15.75" x14ac:dyDescent="0.25">
      <c r="B24" s="73"/>
    </row>
    <row r="25" spans="2:15" x14ac:dyDescent="0.2">
      <c r="B25" s="75"/>
    </row>
    <row r="26" spans="2:15" s="76" customFormat="1" ht="67.5" customHeight="1" x14ac:dyDescent="0.2">
      <c r="D26" s="583" t="s">
        <v>898</v>
      </c>
      <c r="E26" s="583"/>
      <c r="F26" s="583" t="s">
        <v>899</v>
      </c>
      <c r="G26" s="583"/>
      <c r="H26" s="583" t="s">
        <v>900</v>
      </c>
      <c r="I26" s="583"/>
      <c r="J26" s="423" t="s">
        <v>901</v>
      </c>
      <c r="K26" s="423" t="s">
        <v>902</v>
      </c>
      <c r="L26" s="423" t="s">
        <v>903</v>
      </c>
    </row>
    <row r="27" spans="2:15" s="77" customFormat="1" ht="25.9" customHeight="1" x14ac:dyDescent="0.2">
      <c r="D27" s="584" t="s">
        <v>904</v>
      </c>
      <c r="E27" s="584"/>
      <c r="F27" s="584" t="s">
        <v>905</v>
      </c>
      <c r="G27" s="584"/>
      <c r="H27" s="584" t="s">
        <v>906</v>
      </c>
      <c r="I27" s="584"/>
      <c r="J27" s="424" t="s">
        <v>906</v>
      </c>
      <c r="K27" s="424" t="s">
        <v>906</v>
      </c>
      <c r="L27" s="424" t="s">
        <v>907</v>
      </c>
    </row>
    <row r="28" spans="2:15" s="77" customFormat="1" ht="25.9" customHeight="1" x14ac:dyDescent="0.2">
      <c r="D28" s="585" t="s">
        <v>908</v>
      </c>
      <c r="E28" s="585"/>
      <c r="F28" s="600">
        <f>'Auto-Calibration record'!B65</f>
        <v>80</v>
      </c>
      <c r="G28" s="600"/>
      <c r="H28" s="596">
        <f>'Auto-Calibration record'!B68</f>
        <v>1056340</v>
      </c>
      <c r="I28" s="626"/>
      <c r="J28" s="442">
        <f>'Auto-Calibration record'!I68</f>
        <v>1065116</v>
      </c>
      <c r="K28" s="425">
        <f t="shared" ref="K28:K33" si="0">J28-H28</f>
        <v>8776</v>
      </c>
      <c r="L28" s="443">
        <f t="shared" ref="L28:L33" si="1">K28/H28</f>
        <v>8.3079311585285039E-3</v>
      </c>
    </row>
    <row r="29" spans="2:15" s="77" customFormat="1" ht="25.9" customHeight="1" x14ac:dyDescent="0.2">
      <c r="D29" s="585" t="s">
        <v>909</v>
      </c>
      <c r="E29" s="585"/>
      <c r="F29" s="600">
        <f>'Auto-Calibration record'!C65</f>
        <v>194</v>
      </c>
      <c r="G29" s="600"/>
      <c r="H29" s="596">
        <f>'Auto-Calibration record'!B69</f>
        <v>459350</v>
      </c>
      <c r="I29" s="626"/>
      <c r="J29" s="442">
        <f>'Auto-Calibration record'!I69</f>
        <v>459710</v>
      </c>
      <c r="K29" s="425">
        <f t="shared" si="0"/>
        <v>360</v>
      </c>
      <c r="L29" s="443">
        <f t="shared" si="1"/>
        <v>7.8371612060520296E-4</v>
      </c>
    </row>
    <row r="30" spans="2:15" s="77" customFormat="1" ht="25.9" customHeight="1" x14ac:dyDescent="0.2">
      <c r="D30" s="585" t="s">
        <v>910</v>
      </c>
      <c r="E30" s="585"/>
      <c r="F30" s="600">
        <f>'Auto-Calibration record'!D65</f>
        <v>1032</v>
      </c>
      <c r="G30" s="600"/>
      <c r="H30" s="596">
        <f>'Auto-Calibration record'!B71</f>
        <v>36410</v>
      </c>
      <c r="I30" s="626"/>
      <c r="J30" s="442">
        <f>'Auto-Calibration record'!I71</f>
        <v>37720</v>
      </c>
      <c r="K30" s="425">
        <f t="shared" si="0"/>
        <v>1310</v>
      </c>
      <c r="L30" s="443">
        <f t="shared" si="1"/>
        <v>3.5979126613567704E-2</v>
      </c>
    </row>
    <row r="31" spans="2:15" s="77" customFormat="1" ht="25.9" customHeight="1" x14ac:dyDescent="0.2">
      <c r="D31" s="585" t="s">
        <v>911</v>
      </c>
      <c r="E31" s="585"/>
      <c r="F31" s="600">
        <f>'Auto-Calibration record'!E65</f>
        <v>2064</v>
      </c>
      <c r="G31" s="600"/>
      <c r="H31" s="596">
        <f>'Auto-Calibration record'!B72</f>
        <v>10940</v>
      </c>
      <c r="I31" s="626"/>
      <c r="J31" s="442">
        <f>'Auto-Calibration record'!I72</f>
        <v>11889</v>
      </c>
      <c r="K31" s="425">
        <f t="shared" si="0"/>
        <v>949</v>
      </c>
      <c r="L31" s="443">
        <f t="shared" si="1"/>
        <v>8.6745886654478979E-2</v>
      </c>
    </row>
    <row r="32" spans="2:15" s="77" customFormat="1" ht="25.9" customHeight="1" x14ac:dyDescent="0.2">
      <c r="D32" s="585" t="s">
        <v>912</v>
      </c>
      <c r="E32" s="585"/>
      <c r="F32" s="600">
        <f>'Auto-Calibration record'!F65</f>
        <v>3012</v>
      </c>
      <c r="G32" s="600"/>
      <c r="H32" s="596">
        <f>'Auto-Calibration record'!B73</f>
        <v>5210</v>
      </c>
      <c r="I32" s="626"/>
      <c r="J32" s="442">
        <f>'Auto-Calibration record'!I73</f>
        <v>5538</v>
      </c>
      <c r="K32" s="425">
        <f t="shared" si="0"/>
        <v>328</v>
      </c>
      <c r="L32" s="443">
        <f t="shared" si="1"/>
        <v>6.2955854126679464E-2</v>
      </c>
    </row>
    <row r="33" spans="2:12" s="77" customFormat="1" ht="25.9" customHeight="1" x14ac:dyDescent="0.2">
      <c r="D33" s="585" t="s">
        <v>913</v>
      </c>
      <c r="E33" s="585"/>
      <c r="F33" s="600">
        <f>'Auto-Calibration record'!G65</f>
        <v>10314</v>
      </c>
      <c r="G33" s="600"/>
      <c r="H33" s="596">
        <f>'Auto-Calibration record'!B74</f>
        <v>611.721</v>
      </c>
      <c r="I33" s="626"/>
      <c r="J33" s="442">
        <f>'Auto-Calibration record'!I74</f>
        <v>525</v>
      </c>
      <c r="K33" s="425">
        <f t="shared" si="0"/>
        <v>-86.721000000000004</v>
      </c>
      <c r="L33" s="443">
        <f t="shared" si="1"/>
        <v>-0.1417656088314771</v>
      </c>
    </row>
    <row r="34" spans="2:12" s="77" customFormat="1" ht="25.9" customHeight="1" x14ac:dyDescent="0.2">
      <c r="D34" s="585" t="s">
        <v>914</v>
      </c>
      <c r="E34" s="585"/>
      <c r="F34" s="600">
        <f>'Auto-Calibration record'!H65</f>
        <v>16352</v>
      </c>
      <c r="G34" s="600"/>
      <c r="H34" s="596">
        <f>'Auto-Calibration record'!B75</f>
        <v>145.303</v>
      </c>
      <c r="I34" s="626"/>
      <c r="J34" s="442">
        <f>'Auto-Calibration record'!I75</f>
        <v>112</v>
      </c>
      <c r="K34" s="425" t="s">
        <v>321</v>
      </c>
      <c r="L34" s="426" t="s">
        <v>321</v>
      </c>
    </row>
    <row r="35" spans="2:12" s="72" customFormat="1" ht="25.9" customHeight="1" x14ac:dyDescent="0.25">
      <c r="D35" s="585" t="s">
        <v>915</v>
      </c>
      <c r="E35" s="585"/>
      <c r="F35" s="601">
        <f>'Auto-Calibration record'!I65</f>
        <v>25228</v>
      </c>
      <c r="G35" s="601"/>
      <c r="H35" s="596">
        <f>'Auto-Calibration record'!B76</f>
        <v>24.939</v>
      </c>
      <c r="I35" s="626"/>
      <c r="J35" s="442">
        <f>'Auto-Calibration record'!I76</f>
        <v>18</v>
      </c>
      <c r="K35" s="425" t="s">
        <v>321</v>
      </c>
      <c r="L35" s="426" t="s">
        <v>321</v>
      </c>
    </row>
    <row r="36" spans="2:12" ht="20.25" x14ac:dyDescent="0.3">
      <c r="D36" s="78" t="s">
        <v>916</v>
      </c>
      <c r="E36" s="79"/>
      <c r="F36" s="79"/>
      <c r="G36" s="79"/>
      <c r="H36" s="79"/>
      <c r="I36" s="79"/>
      <c r="J36" s="79"/>
      <c r="K36" s="79"/>
    </row>
    <row r="37" spans="2:12" ht="20.25" x14ac:dyDescent="0.3">
      <c r="B37" s="80"/>
      <c r="D37" s="79"/>
      <c r="E37" s="79"/>
      <c r="F37" s="79"/>
      <c r="G37" s="79"/>
      <c r="H37" s="79"/>
      <c r="I37" s="79"/>
      <c r="J37" s="79"/>
      <c r="K37" s="79"/>
    </row>
    <row r="38" spans="2:12" ht="81" customHeight="1" x14ac:dyDescent="0.2">
      <c r="B38" s="80"/>
      <c r="D38" s="423" t="s">
        <v>917</v>
      </c>
      <c r="E38" s="583" t="s">
        <v>918</v>
      </c>
      <c r="F38" s="583"/>
      <c r="G38" s="583" t="s">
        <v>919</v>
      </c>
      <c r="H38" s="583"/>
      <c r="I38" s="77"/>
      <c r="J38" s="423" t="s">
        <v>996</v>
      </c>
      <c r="K38" s="423" t="s">
        <v>997</v>
      </c>
      <c r="L38" s="423" t="s">
        <v>919</v>
      </c>
    </row>
    <row r="39" spans="2:12" ht="25.9" customHeight="1" x14ac:dyDescent="0.2">
      <c r="B39" s="80"/>
      <c r="D39" s="424" t="s">
        <v>905</v>
      </c>
      <c r="E39" s="584" t="s">
        <v>905</v>
      </c>
      <c r="F39" s="584"/>
      <c r="G39" s="584" t="s">
        <v>920</v>
      </c>
      <c r="H39" s="584"/>
      <c r="I39" s="81"/>
      <c r="J39" s="424" t="s">
        <v>905</v>
      </c>
      <c r="K39" s="424" t="s">
        <v>905</v>
      </c>
      <c r="L39" s="424" t="s">
        <v>920</v>
      </c>
    </row>
    <row r="40" spans="2:12" ht="25.9" customHeight="1" x14ac:dyDescent="0.2">
      <c r="B40" s="80"/>
      <c r="D40" s="428">
        <f>'Auto-Calibration record'!B17</f>
        <v>0</v>
      </c>
      <c r="E40" s="596">
        <f>F28-D40</f>
        <v>80</v>
      </c>
      <c r="F40" s="596"/>
      <c r="G40" s="610" t="e">
        <f>F28/D40</f>
        <v>#DIV/0!</v>
      </c>
      <c r="H40" s="610"/>
      <c r="I40" s="81"/>
      <c r="J40" s="428">
        <f>'Auto-Calibration record'!B11</f>
        <v>31</v>
      </c>
      <c r="K40" s="425">
        <f>F29-J40</f>
        <v>163</v>
      </c>
      <c r="L40" s="429">
        <f>F29/J40</f>
        <v>6.258064516129032</v>
      </c>
    </row>
    <row r="41" spans="2:12" x14ac:dyDescent="0.2">
      <c r="B41" s="80"/>
    </row>
    <row r="42" spans="2:12" x14ac:dyDescent="0.2">
      <c r="B42" s="80"/>
    </row>
    <row r="43" spans="2:12" x14ac:dyDescent="0.2">
      <c r="B43" s="80"/>
    </row>
    <row r="44" spans="2:12" x14ac:dyDescent="0.2">
      <c r="B44" s="80"/>
    </row>
    <row r="45" spans="2:12" x14ac:dyDescent="0.2">
      <c r="B45" s="80"/>
    </row>
    <row r="46" spans="2:12" x14ac:dyDescent="0.2">
      <c r="B46" s="80"/>
    </row>
    <row r="47" spans="2:12" x14ac:dyDescent="0.2">
      <c r="B47" s="80"/>
    </row>
    <row r="48" spans="2:12" x14ac:dyDescent="0.2">
      <c r="B48" s="80"/>
    </row>
    <row r="49" spans="2:2" x14ac:dyDescent="0.2">
      <c r="B49" s="80"/>
    </row>
    <row r="50" spans="2:2" x14ac:dyDescent="0.2">
      <c r="B50" s="80"/>
    </row>
    <row r="51" spans="2:2" x14ac:dyDescent="0.2">
      <c r="B51" s="80"/>
    </row>
    <row r="52" spans="2:2" x14ac:dyDescent="0.2">
      <c r="B52" s="80"/>
    </row>
    <row r="53" spans="2:2" x14ac:dyDescent="0.2">
      <c r="B53" s="80"/>
    </row>
    <row r="54" spans="2:2" x14ac:dyDescent="0.2">
      <c r="B54" s="80"/>
    </row>
    <row r="55" spans="2:2" x14ac:dyDescent="0.2">
      <c r="B55" s="80"/>
    </row>
    <row r="56" spans="2:2" x14ac:dyDescent="0.2">
      <c r="B56" s="80"/>
    </row>
    <row r="57" spans="2:2" x14ac:dyDescent="0.2">
      <c r="B57" s="80"/>
    </row>
    <row r="58" spans="2:2" x14ac:dyDescent="0.2">
      <c r="B58" s="80"/>
    </row>
    <row r="59" spans="2:2" x14ac:dyDescent="0.2">
      <c r="B59" s="80"/>
    </row>
    <row r="60" spans="2:2" x14ac:dyDescent="0.2">
      <c r="B60" s="80"/>
    </row>
    <row r="61" spans="2:2" x14ac:dyDescent="0.2">
      <c r="B61" s="80"/>
    </row>
    <row r="62" spans="2:2" x14ac:dyDescent="0.2">
      <c r="B62" s="80"/>
    </row>
    <row r="63" spans="2:2" x14ac:dyDescent="0.2">
      <c r="B63" s="80"/>
    </row>
    <row r="64" spans="2:2" x14ac:dyDescent="0.2">
      <c r="B64" s="80"/>
    </row>
    <row r="65" spans="2:16" x14ac:dyDescent="0.2">
      <c r="B65" s="80"/>
    </row>
    <row r="66" spans="2:16" x14ac:dyDescent="0.2">
      <c r="B66" s="80"/>
    </row>
    <row r="67" spans="2:16" x14ac:dyDescent="0.2">
      <c r="B67" s="80"/>
    </row>
    <row r="68" spans="2:16" x14ac:dyDescent="0.2">
      <c r="B68" s="80"/>
    </row>
    <row r="69" spans="2:16" ht="13.5" thickBot="1" x14ac:dyDescent="0.25">
      <c r="B69" s="82"/>
      <c r="C69" s="83"/>
      <c r="D69" s="83"/>
      <c r="E69" s="83"/>
      <c r="F69" s="83"/>
      <c r="G69" s="83"/>
      <c r="H69" s="83"/>
      <c r="I69" s="83"/>
      <c r="J69" s="83"/>
      <c r="K69" s="83"/>
      <c r="L69" s="83"/>
      <c r="M69" s="83"/>
      <c r="N69" s="83"/>
      <c r="O69" s="83"/>
      <c r="P69" s="83"/>
    </row>
    <row r="70" spans="2:16" ht="13.5" thickTop="1" x14ac:dyDescent="0.2">
      <c r="B70" s="80"/>
    </row>
    <row r="71" spans="2:16" ht="25.9" customHeight="1" x14ac:dyDescent="0.2"/>
    <row r="72" spans="2:16" s="64" customFormat="1" ht="25.9" customHeight="1" x14ac:dyDescent="0.2">
      <c r="B72" s="430" t="s">
        <v>921</v>
      </c>
      <c r="C72" s="431"/>
      <c r="D72" s="432" t="s">
        <v>922</v>
      </c>
      <c r="H72" s="1"/>
      <c r="I72" s="1"/>
      <c r="K72" s="586" t="s">
        <v>923</v>
      </c>
      <c r="L72" s="587"/>
      <c r="M72" s="587"/>
      <c r="N72" s="587"/>
      <c r="O72" s="588"/>
    </row>
    <row r="73" spans="2:16" s="64" customFormat="1" ht="25.9" customHeight="1" x14ac:dyDescent="0.2">
      <c r="H73" s="1"/>
      <c r="I73" s="1"/>
      <c r="K73" s="589"/>
      <c r="L73" s="590"/>
      <c r="M73" s="590"/>
      <c r="N73" s="590"/>
      <c r="O73" s="591"/>
    </row>
    <row r="74" spans="2:16" s="64" customFormat="1" ht="25.9" customHeight="1" x14ac:dyDescent="0.2">
      <c r="B74" s="430" t="s">
        <v>924</v>
      </c>
      <c r="C74" s="431"/>
      <c r="D74" s="627" t="s">
        <v>925</v>
      </c>
      <c r="E74" s="628"/>
      <c r="F74" s="628"/>
      <c r="G74" s="629"/>
      <c r="H74" s="1"/>
      <c r="I74" s="1"/>
      <c r="K74" s="589"/>
      <c r="L74" s="590"/>
      <c r="M74" s="590"/>
      <c r="N74" s="590"/>
      <c r="O74" s="591"/>
    </row>
    <row r="75" spans="2:16" s="64" customFormat="1" ht="25.9" customHeight="1" x14ac:dyDescent="0.2">
      <c r="K75" s="592"/>
      <c r="L75" s="593"/>
      <c r="M75" s="593"/>
      <c r="N75" s="593"/>
      <c r="O75" s="594"/>
    </row>
    <row r="76" spans="2:16" s="64" customFormat="1" ht="25.9" customHeight="1" x14ac:dyDescent="0.2">
      <c r="B76" s="430" t="s">
        <v>926</v>
      </c>
      <c r="C76" s="431"/>
      <c r="D76" s="602"/>
      <c r="E76" s="603"/>
      <c r="F76" s="604"/>
      <c r="K76" s="433" t="s">
        <v>927</v>
      </c>
      <c r="L76" s="597" t="s">
        <v>928</v>
      </c>
      <c r="M76" s="598"/>
      <c r="N76" s="598"/>
      <c r="O76" s="599"/>
      <c r="P76" s="84"/>
    </row>
    <row r="77" spans="2:16" ht="25.9" customHeight="1" x14ac:dyDescent="0.2">
      <c r="H77" s="64"/>
      <c r="I77" s="64"/>
      <c r="J77" s="64"/>
      <c r="K77" s="64"/>
    </row>
    <row r="78" spans="2:16" ht="18.75" x14ac:dyDescent="0.2">
      <c r="B78" s="80" t="s">
        <v>929</v>
      </c>
      <c r="H78" s="64"/>
      <c r="I78" s="64"/>
      <c r="J78" s="91" t="s">
        <v>1000</v>
      </c>
      <c r="M78" s="630" t="s">
        <v>1001</v>
      </c>
      <c r="N78" s="631"/>
      <c r="O78" s="632"/>
    </row>
    <row r="79" spans="2:16" ht="15" x14ac:dyDescent="0.2">
      <c r="B79" s="80" t="s">
        <v>930</v>
      </c>
      <c r="H79" s="64"/>
      <c r="I79" s="64"/>
      <c r="M79" s="633" t="s">
        <v>1002</v>
      </c>
      <c r="N79" s="634"/>
      <c r="O79" s="635"/>
    </row>
    <row r="80" spans="2:16" x14ac:dyDescent="0.2">
      <c r="B80" s="80" t="s">
        <v>931</v>
      </c>
      <c r="M80" s="633" t="s">
        <v>1003</v>
      </c>
      <c r="N80" s="634"/>
      <c r="O80" s="635"/>
    </row>
    <row r="81" spans="2:15" x14ac:dyDescent="0.2">
      <c r="M81" s="636" t="s">
        <v>1004</v>
      </c>
      <c r="N81" s="637"/>
      <c r="O81" s="638"/>
    </row>
    <row r="83" spans="2:15" x14ac:dyDescent="0.2">
      <c r="O83" s="85" t="s">
        <v>932</v>
      </c>
    </row>
    <row r="84" spans="2:15" x14ac:dyDescent="0.2">
      <c r="O84" s="85" t="s">
        <v>841</v>
      </c>
    </row>
    <row r="85" spans="2:15" x14ac:dyDescent="0.2">
      <c r="O85" s="85" t="s">
        <v>19</v>
      </c>
    </row>
    <row r="86" spans="2:15" x14ac:dyDescent="0.2">
      <c r="B86" s="86" t="s">
        <v>998</v>
      </c>
      <c r="C86" s="86"/>
      <c r="L86" s="86"/>
      <c r="N86" s="86"/>
      <c r="O86" s="85" t="s">
        <v>20</v>
      </c>
    </row>
    <row r="88" spans="2:15" x14ac:dyDescent="0.2">
      <c r="D88" s="86"/>
      <c r="E88" s="86"/>
      <c r="F88" s="86"/>
      <c r="G88" s="86"/>
      <c r="H88" s="86"/>
      <c r="I88" s="86"/>
      <c r="J88" s="86"/>
      <c r="K88" s="86"/>
    </row>
  </sheetData>
  <sheetProtection sheet="1" objects="1" scenarios="1" selectLockedCells="1"/>
  <mergeCells count="50">
    <mergeCell ref="M78:O78"/>
    <mergeCell ref="M79:O79"/>
    <mergeCell ref="M80:O80"/>
    <mergeCell ref="M81:O81"/>
    <mergeCell ref="E40:F40"/>
    <mergeCell ref="G40:H40"/>
    <mergeCell ref="K72:O75"/>
    <mergeCell ref="D74:G74"/>
    <mergeCell ref="D76:F76"/>
    <mergeCell ref="L76:O76"/>
    <mergeCell ref="E39:F39"/>
    <mergeCell ref="G39:H39"/>
    <mergeCell ref="D33:E33"/>
    <mergeCell ref="F33:G33"/>
    <mergeCell ref="H33:I33"/>
    <mergeCell ref="D34:E34"/>
    <mergeCell ref="F34:G34"/>
    <mergeCell ref="H34:I34"/>
    <mergeCell ref="D35:E35"/>
    <mergeCell ref="F35:G35"/>
    <mergeCell ref="H35:I35"/>
    <mergeCell ref="E38:F38"/>
    <mergeCell ref="G38:H38"/>
    <mergeCell ref="D31:E31"/>
    <mergeCell ref="F31:G31"/>
    <mergeCell ref="H31:I31"/>
    <mergeCell ref="D32:E32"/>
    <mergeCell ref="F32:G32"/>
    <mergeCell ref="H32:I32"/>
    <mergeCell ref="D29:E29"/>
    <mergeCell ref="F29:G29"/>
    <mergeCell ref="H29:I29"/>
    <mergeCell ref="D30:E30"/>
    <mergeCell ref="F30:G30"/>
    <mergeCell ref="H30:I30"/>
    <mergeCell ref="D27:E27"/>
    <mergeCell ref="F27:G27"/>
    <mergeCell ref="H27:I27"/>
    <mergeCell ref="D28:E28"/>
    <mergeCell ref="F28:G28"/>
    <mergeCell ref="H28:I28"/>
    <mergeCell ref="D26:E26"/>
    <mergeCell ref="F26:G26"/>
    <mergeCell ref="H26:I26"/>
    <mergeCell ref="B10:P10"/>
    <mergeCell ref="B13:O13"/>
    <mergeCell ref="B14:O14"/>
    <mergeCell ref="D17:F17"/>
    <mergeCell ref="D18:F18"/>
    <mergeCell ref="D19:F19"/>
  </mergeCells>
  <conditionalFormatting sqref="D72">
    <cfRule type="cellIs" dxfId="33" priority="2" stopIfTrue="1" operator="equal">
      <formula>"PASS"</formula>
    </cfRule>
    <cfRule type="cellIs" dxfId="32" priority="3" stopIfTrue="1" operator="equal">
      <formula>"FAIL"</formula>
    </cfRule>
  </conditionalFormatting>
  <conditionalFormatting sqref="G40 L40">
    <cfRule type="cellIs" dxfId="31" priority="5" stopIfTrue="1" operator="greaterThanOrEqual">
      <formula>1.19</formula>
    </cfRule>
    <cfRule type="cellIs" dxfId="30" priority="6" stopIfTrue="1" operator="lessThan">
      <formula>1.19</formula>
    </cfRule>
  </conditionalFormatting>
  <conditionalFormatting sqref="K72">
    <cfRule type="cellIs" dxfId="29" priority="7" stopIfTrue="1" operator="equal">
      <formula>"FAIL"</formula>
    </cfRule>
    <cfRule type="cellIs" dxfId="28" priority="8" stopIfTrue="1" operator="equal">
      <formula>"PASS - VERIFIED"</formula>
    </cfRule>
  </conditionalFormatting>
  <conditionalFormatting sqref="L28:L33">
    <cfRule type="cellIs" dxfId="27" priority="1" operator="between">
      <formula>-0.1</formula>
      <formula>0.1</formula>
    </cfRule>
  </conditionalFormatting>
  <conditionalFormatting sqref="O22">
    <cfRule type="cellIs" dxfId="26" priority="4" stopIfTrue="1" operator="greaterThan">
      <formula>0</formula>
    </cfRule>
  </conditionalFormatting>
  <dataValidations count="2">
    <dataValidation type="list" allowBlank="1" showInputMessage="1" showErrorMessage="1" sqref="K72" xr:uid="{00000000-0002-0000-0A00-000000000000}">
      <formula1>"PASS - VERIFIED, FAIL"</formula1>
    </dataValidation>
    <dataValidation type="list" allowBlank="1" showInputMessage="1" showErrorMessage="1" sqref="D72" xr:uid="{00000000-0002-0000-0A00-000001000000}">
      <formula1>"PASS, FAIL"</formula1>
    </dataValidation>
  </dataValidations>
  <hyperlinks>
    <hyperlink ref="B8" r:id="rId1" xr:uid="{00000000-0004-0000-0A00-000000000000}"/>
  </hyperlinks>
  <pageMargins left="0.7" right="0.7" top="0.75" bottom="0.75" header="0.3" footer="0.3"/>
  <pageSetup paperSize="9" scale="39" orientation="portrait" r:id="rId2"/>
  <drawing r:id="rId3"/>
  <legacyDrawing r:id="rId4"/>
  <oleObjects>
    <mc:AlternateContent xmlns:mc="http://schemas.openxmlformats.org/markup-compatibility/2006">
      <mc:Choice Requires="x14">
        <oleObject progId="Paint.Picture" shapeId="199681" r:id="rId5">
          <objectPr defaultSize="0" autoPict="0" r:id="rId6">
            <anchor moveWithCells="1">
              <from>
                <xdr:col>11</xdr:col>
                <xdr:colOff>1076325</xdr:colOff>
                <xdr:row>1</xdr:row>
                <xdr:rowOff>76200</xdr:rowOff>
              </from>
              <to>
                <xdr:col>15</xdr:col>
                <xdr:colOff>161925</xdr:colOff>
                <xdr:row>7</xdr:row>
                <xdr:rowOff>19050</xdr:rowOff>
              </to>
            </anchor>
          </objectPr>
        </oleObject>
      </mc:Choice>
      <mc:Fallback>
        <oleObject progId="Paint.Picture" shapeId="199681" r:id="rId5"/>
      </mc:Fallback>
    </mc:AlternateContent>
    <mc:AlternateContent xmlns:mc="http://schemas.openxmlformats.org/markup-compatibility/2006">
      <mc:Choice Requires="x14">
        <oleObject progId="MSPhotoEd.3" shapeId="199682" r:id="rId7">
          <objectPr defaultSize="0" autoPict="0" r:id="rId8">
            <anchor moveWithCells="1" sizeWithCells="1">
              <from>
                <xdr:col>11</xdr:col>
                <xdr:colOff>257175</xdr:colOff>
                <xdr:row>76</xdr:row>
                <xdr:rowOff>266700</xdr:rowOff>
              </from>
              <to>
                <xdr:col>11</xdr:col>
                <xdr:colOff>876300</xdr:colOff>
                <xdr:row>78</xdr:row>
                <xdr:rowOff>161925</xdr:rowOff>
              </to>
            </anchor>
          </objectPr>
        </oleObject>
      </mc:Choice>
      <mc:Fallback>
        <oleObject progId="MSPhotoEd.3" shapeId="199682" r:id="rId7"/>
      </mc:Fallback>
    </mc:AlternateContent>
  </oleObjec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4">
    <pageSetUpPr fitToPage="1"/>
  </sheetPr>
  <dimension ref="A2:P88"/>
  <sheetViews>
    <sheetView topLeftCell="A2" zoomScale="50" zoomScaleNormal="50" workbookViewId="0">
      <selection activeCell="F28" sqref="F28:G28"/>
    </sheetView>
  </sheetViews>
  <sheetFormatPr defaultColWidth="0" defaultRowHeight="12.75" x14ac:dyDescent="0.2"/>
  <cols>
    <col min="1" max="1" width="6" style="1" customWidth="1"/>
    <col min="2" max="2" width="16.7109375" style="1" customWidth="1"/>
    <col min="3" max="3" width="19.7109375" style="1" customWidth="1"/>
    <col min="4" max="4" width="22.140625" style="1" customWidth="1"/>
    <col min="5" max="5" width="7.5703125" style="1" customWidth="1"/>
    <col min="6" max="6" width="16.7109375" style="1" customWidth="1"/>
    <col min="7" max="7" width="5.140625" style="1" customWidth="1"/>
    <col min="8" max="8" width="16.85546875" style="1" customWidth="1"/>
    <col min="9" max="9" width="3.85546875" style="1" customWidth="1"/>
    <col min="10" max="10" width="23.7109375" style="1" customWidth="1"/>
    <col min="11" max="11" width="20.7109375" style="1" customWidth="1"/>
    <col min="12" max="12" width="21" style="1" customWidth="1"/>
    <col min="13" max="13" width="18.85546875" style="1" customWidth="1"/>
    <col min="14" max="14" width="3.28515625" style="1" customWidth="1"/>
    <col min="15" max="15" width="19.28515625" style="1" customWidth="1"/>
    <col min="16" max="16" width="6" style="1" customWidth="1"/>
    <col min="17" max="16384" width="0" style="1" hidden="1"/>
  </cols>
  <sheetData>
    <row r="2" spans="1:16" ht="14.25" x14ac:dyDescent="0.2">
      <c r="B2" s="63"/>
      <c r="C2" s="60"/>
    </row>
    <row r="3" spans="1:16" ht="14.25" x14ac:dyDescent="0.2">
      <c r="B3" s="63"/>
      <c r="C3" s="60"/>
    </row>
    <row r="4" spans="1:16" ht="14.25" x14ac:dyDescent="0.2">
      <c r="B4" s="63"/>
      <c r="C4" s="60"/>
    </row>
    <row r="5" spans="1:16" ht="14.25" x14ac:dyDescent="0.2">
      <c r="B5" s="63"/>
      <c r="C5" s="60"/>
    </row>
    <row r="6" spans="1:16" ht="14.25" x14ac:dyDescent="0.2">
      <c r="B6" s="63"/>
      <c r="C6" s="60"/>
    </row>
    <row r="7" spans="1:16" ht="15" x14ac:dyDescent="0.2">
      <c r="B7" s="63"/>
      <c r="C7" s="60"/>
      <c r="D7" s="64"/>
    </row>
    <row r="8" spans="1:16" ht="14.25" x14ac:dyDescent="0.2">
      <c r="B8" s="34"/>
      <c r="C8" s="60"/>
    </row>
    <row r="9" spans="1:16" ht="14.25" x14ac:dyDescent="0.2">
      <c r="B9" s="34"/>
      <c r="C9" s="60"/>
    </row>
    <row r="10" spans="1:16" ht="37.5" customHeight="1" x14ac:dyDescent="0.5">
      <c r="B10" s="579" t="s">
        <v>886</v>
      </c>
      <c r="C10" s="579"/>
      <c r="D10" s="579"/>
      <c r="E10" s="579"/>
      <c r="F10" s="579"/>
      <c r="G10" s="579"/>
      <c r="H10" s="579"/>
      <c r="I10" s="579"/>
      <c r="J10" s="579"/>
      <c r="K10" s="579"/>
      <c r="L10" s="579"/>
      <c r="M10" s="579"/>
      <c r="N10" s="579"/>
      <c r="O10" s="579"/>
      <c r="P10" s="579"/>
    </row>
    <row r="11" spans="1:16" ht="21" customHeight="1" x14ac:dyDescent="0.4">
      <c r="B11" s="65"/>
      <c r="C11" s="65"/>
      <c r="D11" s="65"/>
      <c r="E11" s="65"/>
      <c r="F11" s="65"/>
      <c r="G11" s="65"/>
      <c r="H11" s="65"/>
      <c r="I11" s="65"/>
      <c r="J11" s="65"/>
      <c r="K11" s="65"/>
      <c r="L11" s="65"/>
      <c r="M11" s="65"/>
      <c r="N11" s="65"/>
      <c r="O11" s="65"/>
      <c r="P11" s="65"/>
    </row>
    <row r="12" spans="1:16" ht="11.25" customHeight="1" x14ac:dyDescent="0.2"/>
    <row r="13" spans="1:16" ht="51" customHeight="1" x14ac:dyDescent="0.2">
      <c r="B13" s="595" t="s">
        <v>999</v>
      </c>
      <c r="C13" s="595"/>
      <c r="D13" s="595"/>
      <c r="E13" s="595"/>
      <c r="F13" s="595"/>
      <c r="G13" s="595"/>
      <c r="H13" s="595"/>
      <c r="I13" s="595"/>
      <c r="J13" s="595"/>
      <c r="K13" s="595"/>
      <c r="L13" s="595"/>
      <c r="M13" s="595"/>
      <c r="N13" s="595"/>
      <c r="O13" s="595"/>
      <c r="P13" s="67"/>
    </row>
    <row r="14" spans="1:16" ht="66" customHeight="1" x14ac:dyDescent="0.2">
      <c r="A14" s="68"/>
      <c r="B14" s="595" t="s">
        <v>888</v>
      </c>
      <c r="C14" s="595"/>
      <c r="D14" s="595"/>
      <c r="E14" s="595"/>
      <c r="F14" s="595"/>
      <c r="G14" s="595"/>
      <c r="H14" s="595"/>
      <c r="I14" s="595"/>
      <c r="J14" s="595"/>
      <c r="K14" s="595"/>
      <c r="L14" s="595"/>
      <c r="M14" s="595"/>
      <c r="N14" s="595"/>
      <c r="O14" s="595"/>
      <c r="P14" s="67"/>
    </row>
    <row r="15" spans="1:16" ht="18" x14ac:dyDescent="0.2">
      <c r="A15" s="68"/>
      <c r="B15" s="66"/>
      <c r="C15" s="66"/>
      <c r="D15" s="66"/>
      <c r="E15" s="66"/>
      <c r="F15" s="66"/>
      <c r="G15" s="66"/>
      <c r="H15" s="66"/>
      <c r="I15" s="66"/>
      <c r="J15" s="66"/>
      <c r="K15" s="66"/>
      <c r="L15" s="66"/>
      <c r="M15" s="66"/>
      <c r="N15" s="66"/>
      <c r="O15" s="66"/>
      <c r="P15" s="67"/>
    </row>
    <row r="16" spans="1:16" ht="18" x14ac:dyDescent="0.2">
      <c r="A16" s="68"/>
      <c r="B16" s="69"/>
      <c r="C16" s="69"/>
      <c r="D16" s="70"/>
      <c r="E16" s="70"/>
      <c r="F16" s="69"/>
      <c r="G16" s="69"/>
      <c r="H16" s="69"/>
      <c r="I16" s="69"/>
      <c r="J16" s="69"/>
      <c r="K16" s="69"/>
      <c r="L16" s="69"/>
      <c r="M16" s="69"/>
      <c r="N16" s="69"/>
      <c r="O16" s="69"/>
      <c r="P16" s="69"/>
    </row>
    <row r="17" spans="2:15" ht="25.9" customHeight="1" x14ac:dyDescent="0.25">
      <c r="B17" s="414" t="s">
        <v>889</v>
      </c>
      <c r="C17" s="415"/>
      <c r="D17" s="606" t="str">
        <f>'Auto-Calibration record'!H14</f>
        <v>5.6mg/l RM8631b</v>
      </c>
      <c r="E17" s="606"/>
      <c r="F17" s="606"/>
      <c r="K17" s="416" t="s">
        <v>985</v>
      </c>
      <c r="L17" s="417"/>
      <c r="M17" s="417"/>
      <c r="N17" s="418"/>
      <c r="O17" s="437" t="str">
        <f>'Auto-Calibration record'!H18</f>
        <v>RM8631b</v>
      </c>
    </row>
    <row r="18" spans="2:15" ht="25.9" customHeight="1" x14ac:dyDescent="0.25">
      <c r="B18" s="414" t="s">
        <v>891</v>
      </c>
      <c r="C18" s="420"/>
      <c r="D18" s="607" t="e">
        <f>'Auto-Calibration record'!#REF!&amp;'Auto-Calibration record'!H15</f>
        <v>#REF!</v>
      </c>
      <c r="E18" s="608"/>
      <c r="F18" s="609"/>
      <c r="K18" s="380" t="s">
        <v>892</v>
      </c>
      <c r="L18" s="381"/>
      <c r="M18" s="381"/>
      <c r="N18" s="382"/>
      <c r="O18" s="421">
        <f>'Auto-Calibration record'!H16</f>
        <v>46190.6</v>
      </c>
    </row>
    <row r="19" spans="2:15" ht="25.9" customHeight="1" x14ac:dyDescent="0.25">
      <c r="B19" s="414" t="s">
        <v>893</v>
      </c>
      <c r="C19" s="420"/>
      <c r="D19" s="607" t="str">
        <f>'Auto-Calibration record'!H17</f>
        <v>-1 170626</v>
      </c>
      <c r="E19" s="608"/>
      <c r="F19" s="609"/>
      <c r="K19" s="416" t="s">
        <v>894</v>
      </c>
      <c r="L19" s="417"/>
      <c r="M19" s="417"/>
      <c r="N19" s="418"/>
      <c r="O19" s="444" t="str">
        <f>'Auto-Calibration record'!H19</f>
        <v>NOT SET</v>
      </c>
    </row>
    <row r="20" spans="2:15" ht="14.25" customHeight="1" x14ac:dyDescent="0.25">
      <c r="B20" s="71"/>
      <c r="D20" s="87"/>
      <c r="E20" s="88"/>
      <c r="K20" s="71"/>
      <c r="L20" s="72"/>
      <c r="M20" s="72"/>
      <c r="N20" s="72"/>
      <c r="O20" s="89"/>
    </row>
    <row r="21" spans="2:15" ht="15.75" x14ac:dyDescent="0.25">
      <c r="B21" s="73" t="s">
        <v>895</v>
      </c>
    </row>
    <row r="22" spans="2:15" ht="15.75" x14ac:dyDescent="0.25">
      <c r="B22" s="73" t="s">
        <v>896</v>
      </c>
      <c r="O22" s="74"/>
    </row>
    <row r="23" spans="2:15" ht="15.75" x14ac:dyDescent="0.25">
      <c r="B23" s="73" t="s">
        <v>897</v>
      </c>
    </row>
    <row r="24" spans="2:15" ht="15.75" x14ac:dyDescent="0.25">
      <c r="B24" s="73"/>
    </row>
    <row r="25" spans="2:15" x14ac:dyDescent="0.2">
      <c r="B25" s="75"/>
    </row>
    <row r="26" spans="2:15" s="76" customFormat="1" ht="67.5" customHeight="1" x14ac:dyDescent="0.2">
      <c r="D26" s="583" t="s">
        <v>898</v>
      </c>
      <c r="E26" s="583"/>
      <c r="F26" s="583" t="s">
        <v>899</v>
      </c>
      <c r="G26" s="583"/>
      <c r="H26" s="583" t="s">
        <v>900</v>
      </c>
      <c r="I26" s="583"/>
      <c r="J26" s="423" t="s">
        <v>901</v>
      </c>
      <c r="K26" s="423" t="s">
        <v>902</v>
      </c>
      <c r="L26" s="423" t="s">
        <v>903</v>
      </c>
    </row>
    <row r="27" spans="2:15" s="77" customFormat="1" ht="25.9" customHeight="1" x14ac:dyDescent="0.2">
      <c r="D27" s="584" t="s">
        <v>904</v>
      </c>
      <c r="E27" s="584"/>
      <c r="F27" s="584" t="s">
        <v>905</v>
      </c>
      <c r="G27" s="584"/>
      <c r="H27" s="584" t="s">
        <v>906</v>
      </c>
      <c r="I27" s="584"/>
      <c r="J27" s="424" t="s">
        <v>906</v>
      </c>
      <c r="K27" s="424" t="s">
        <v>906</v>
      </c>
      <c r="L27" s="424" t="s">
        <v>907</v>
      </c>
    </row>
    <row r="28" spans="2:15" s="77" customFormat="1" ht="25.9" customHeight="1" x14ac:dyDescent="0.2">
      <c r="D28" s="585" t="s">
        <v>908</v>
      </c>
      <c r="E28" s="585"/>
      <c r="F28" s="600">
        <f>'Auto-Calibration record'!B65</f>
        <v>80</v>
      </c>
      <c r="G28" s="600"/>
      <c r="H28" s="596">
        <f>'Auto-Calibration record'!B68</f>
        <v>1056340</v>
      </c>
      <c r="I28" s="626"/>
      <c r="J28" s="442">
        <f>'MP Calibration Certificate'!J28</f>
        <v>1065116</v>
      </c>
      <c r="K28" s="425">
        <f t="shared" ref="K28:K33" si="0">J28-H28</f>
        <v>8776</v>
      </c>
      <c r="L28" s="443">
        <f t="shared" ref="L28:L33" si="1">K28/H28</f>
        <v>8.3079311585285039E-3</v>
      </c>
    </row>
    <row r="29" spans="2:15" s="77" customFormat="1" ht="25.9" customHeight="1" x14ac:dyDescent="0.2">
      <c r="D29" s="585" t="s">
        <v>909</v>
      </c>
      <c r="E29" s="585"/>
      <c r="F29" s="600">
        <f>'Auto-Calibration record'!C65</f>
        <v>194</v>
      </c>
      <c r="G29" s="600"/>
      <c r="H29" s="596">
        <f>'Auto-Calibration record'!B69</f>
        <v>459350</v>
      </c>
      <c r="I29" s="626"/>
      <c r="J29" s="442">
        <f>'MP Calibration Certificate'!J29</f>
        <v>459710</v>
      </c>
      <c r="K29" s="425">
        <f t="shared" si="0"/>
        <v>360</v>
      </c>
      <c r="L29" s="443">
        <f t="shared" si="1"/>
        <v>7.8371612060520296E-4</v>
      </c>
    </row>
    <row r="30" spans="2:15" s="77" customFormat="1" ht="25.9" customHeight="1" x14ac:dyDescent="0.2">
      <c r="D30" s="585" t="s">
        <v>910</v>
      </c>
      <c r="E30" s="585"/>
      <c r="F30" s="600">
        <f>'Auto-Calibration record'!D65</f>
        <v>1032</v>
      </c>
      <c r="G30" s="600"/>
      <c r="H30" s="596">
        <f>'Auto-Calibration record'!B71</f>
        <v>36410</v>
      </c>
      <c r="I30" s="626"/>
      <c r="J30" s="442">
        <f>'MP Calibration Certificate'!J30</f>
        <v>37720</v>
      </c>
      <c r="K30" s="425">
        <f t="shared" si="0"/>
        <v>1310</v>
      </c>
      <c r="L30" s="443">
        <f t="shared" si="1"/>
        <v>3.5979126613567704E-2</v>
      </c>
    </row>
    <row r="31" spans="2:15" s="77" customFormat="1" ht="25.9" customHeight="1" x14ac:dyDescent="0.2">
      <c r="D31" s="585" t="s">
        <v>911</v>
      </c>
      <c r="E31" s="585"/>
      <c r="F31" s="600">
        <f>'Auto-Calibration record'!E65</f>
        <v>2064</v>
      </c>
      <c r="G31" s="600"/>
      <c r="H31" s="596">
        <f>'Auto-Calibration record'!B72</f>
        <v>10940</v>
      </c>
      <c r="I31" s="626"/>
      <c r="J31" s="442">
        <f>'MP Calibration Certificate'!J31</f>
        <v>11889</v>
      </c>
      <c r="K31" s="425">
        <f t="shared" si="0"/>
        <v>949</v>
      </c>
      <c r="L31" s="443">
        <f t="shared" si="1"/>
        <v>8.6745886654478979E-2</v>
      </c>
    </row>
    <row r="32" spans="2:15" s="77" customFormat="1" ht="25.9" customHeight="1" x14ac:dyDescent="0.2">
      <c r="D32" s="585" t="s">
        <v>912</v>
      </c>
      <c r="E32" s="585"/>
      <c r="F32" s="600">
        <f>'Auto-Calibration record'!F65</f>
        <v>3012</v>
      </c>
      <c r="G32" s="600"/>
      <c r="H32" s="596">
        <f>'Auto-Calibration record'!B73</f>
        <v>5210</v>
      </c>
      <c r="I32" s="626"/>
      <c r="J32" s="442">
        <f>'MP Calibration Certificate'!J32</f>
        <v>5538</v>
      </c>
      <c r="K32" s="425">
        <f t="shared" si="0"/>
        <v>328</v>
      </c>
      <c r="L32" s="443">
        <f t="shared" si="1"/>
        <v>6.2955854126679464E-2</v>
      </c>
    </row>
    <row r="33" spans="2:12" s="77" customFormat="1" ht="25.9" customHeight="1" x14ac:dyDescent="0.2">
      <c r="D33" s="585" t="s">
        <v>913</v>
      </c>
      <c r="E33" s="585"/>
      <c r="F33" s="600">
        <f>'Auto-Calibration record'!G65</f>
        <v>10314</v>
      </c>
      <c r="G33" s="600"/>
      <c r="H33" s="596">
        <f>'Auto-Calibration record'!B74</f>
        <v>611.721</v>
      </c>
      <c r="I33" s="626"/>
      <c r="J33" s="442">
        <f>'MP Calibration Certificate'!J33</f>
        <v>525</v>
      </c>
      <c r="K33" s="425">
        <f t="shared" si="0"/>
        <v>-86.721000000000004</v>
      </c>
      <c r="L33" s="443">
        <f t="shared" si="1"/>
        <v>-0.1417656088314771</v>
      </c>
    </row>
    <row r="34" spans="2:12" s="77" customFormat="1" ht="25.9" customHeight="1" x14ac:dyDescent="0.2">
      <c r="D34" s="585" t="s">
        <v>914</v>
      </c>
      <c r="E34" s="585"/>
      <c r="F34" s="600">
        <f>'Auto-Calibration record'!H65</f>
        <v>16352</v>
      </c>
      <c r="G34" s="600"/>
      <c r="H34" s="596">
        <f>'Auto-Calibration record'!B75</f>
        <v>145.303</v>
      </c>
      <c r="I34" s="626"/>
      <c r="J34" s="442">
        <f>'MP Calibration Certificate'!J34</f>
        <v>112</v>
      </c>
      <c r="K34" s="425" t="s">
        <v>321</v>
      </c>
      <c r="L34" s="426" t="s">
        <v>321</v>
      </c>
    </row>
    <row r="35" spans="2:12" s="72" customFormat="1" ht="25.9" customHeight="1" x14ac:dyDescent="0.25">
      <c r="D35" s="585" t="s">
        <v>915</v>
      </c>
      <c r="E35" s="585"/>
      <c r="F35" s="601">
        <f>'Auto-Calibration record'!I65</f>
        <v>25228</v>
      </c>
      <c r="G35" s="601"/>
      <c r="H35" s="596">
        <f>'Auto-Calibration record'!B76</f>
        <v>24.939</v>
      </c>
      <c r="I35" s="626"/>
      <c r="J35" s="442">
        <f>'MP Calibration Certificate'!J35</f>
        <v>18</v>
      </c>
      <c r="K35" s="425" t="s">
        <v>321</v>
      </c>
      <c r="L35" s="426" t="s">
        <v>321</v>
      </c>
    </row>
    <row r="36" spans="2:12" ht="20.25" x14ac:dyDescent="0.3">
      <c r="D36" s="78" t="s">
        <v>916</v>
      </c>
      <c r="E36" s="79"/>
      <c r="F36" s="79"/>
      <c r="G36" s="79"/>
      <c r="H36" s="79"/>
      <c r="I36" s="79"/>
      <c r="J36" s="79"/>
      <c r="K36" s="79"/>
    </row>
    <row r="37" spans="2:12" ht="20.25" x14ac:dyDescent="0.3">
      <c r="B37" s="80"/>
      <c r="D37" s="79"/>
      <c r="E37" s="79"/>
      <c r="F37" s="79"/>
      <c r="G37" s="79"/>
      <c r="H37" s="79"/>
      <c r="I37" s="79"/>
      <c r="J37" s="79"/>
      <c r="K37" s="79"/>
    </row>
    <row r="38" spans="2:12" ht="81" customHeight="1" x14ac:dyDescent="0.2">
      <c r="B38" s="80"/>
      <c r="D38" s="423" t="s">
        <v>917</v>
      </c>
      <c r="E38" s="583" t="s">
        <v>918</v>
      </c>
      <c r="F38" s="583"/>
      <c r="G38" s="583" t="s">
        <v>919</v>
      </c>
      <c r="H38" s="583"/>
      <c r="I38" s="77"/>
      <c r="J38" s="423" t="s">
        <v>996</v>
      </c>
      <c r="K38" s="423" t="s">
        <v>997</v>
      </c>
      <c r="L38" s="423" t="s">
        <v>919</v>
      </c>
    </row>
    <row r="39" spans="2:12" ht="25.9" customHeight="1" x14ac:dyDescent="0.2">
      <c r="B39" s="80"/>
      <c r="D39" s="424" t="s">
        <v>905</v>
      </c>
      <c r="E39" s="584" t="s">
        <v>905</v>
      </c>
      <c r="F39" s="584"/>
      <c r="G39" s="584" t="s">
        <v>920</v>
      </c>
      <c r="H39" s="584"/>
      <c r="I39" s="81"/>
      <c r="J39" s="424" t="s">
        <v>905</v>
      </c>
      <c r="K39" s="424" t="s">
        <v>905</v>
      </c>
      <c r="L39" s="424" t="s">
        <v>920</v>
      </c>
    </row>
    <row r="40" spans="2:12" ht="25.9" customHeight="1" x14ac:dyDescent="0.2">
      <c r="B40" s="80"/>
      <c r="D40" s="428">
        <f>'Auto-Calibration record'!B17</f>
        <v>0</v>
      </c>
      <c r="E40" s="596">
        <f>F28-D40</f>
        <v>80</v>
      </c>
      <c r="F40" s="596"/>
      <c r="G40" s="610" t="e">
        <f>F28/D40</f>
        <v>#DIV/0!</v>
      </c>
      <c r="H40" s="610"/>
      <c r="I40" s="81"/>
      <c r="J40" s="428">
        <f>'Auto-Calibration record'!B11</f>
        <v>31</v>
      </c>
      <c r="K40" s="425">
        <f>F29-J40</f>
        <v>163</v>
      </c>
      <c r="L40" s="429">
        <f>F29/J40</f>
        <v>6.258064516129032</v>
      </c>
    </row>
    <row r="41" spans="2:12" x14ac:dyDescent="0.2">
      <c r="B41" s="80"/>
    </row>
    <row r="42" spans="2:12" x14ac:dyDescent="0.2">
      <c r="B42" s="80"/>
    </row>
    <row r="43" spans="2:12" x14ac:dyDescent="0.2">
      <c r="B43" s="80"/>
    </row>
    <row r="44" spans="2:12" x14ac:dyDescent="0.2">
      <c r="B44" s="80"/>
    </row>
    <row r="45" spans="2:12" x14ac:dyDescent="0.2">
      <c r="B45" s="80"/>
    </row>
    <row r="46" spans="2:12" x14ac:dyDescent="0.2">
      <c r="B46" s="80"/>
    </row>
    <row r="47" spans="2:12" x14ac:dyDescent="0.2">
      <c r="B47" s="80"/>
    </row>
    <row r="48" spans="2:12" x14ac:dyDescent="0.2">
      <c r="B48" s="80"/>
    </row>
    <row r="49" spans="2:2" x14ac:dyDescent="0.2">
      <c r="B49" s="80"/>
    </row>
    <row r="50" spans="2:2" x14ac:dyDescent="0.2">
      <c r="B50" s="80"/>
    </row>
    <row r="51" spans="2:2" x14ac:dyDescent="0.2">
      <c r="B51" s="80"/>
    </row>
    <row r="52" spans="2:2" x14ac:dyDescent="0.2">
      <c r="B52" s="80"/>
    </row>
    <row r="53" spans="2:2" x14ac:dyDescent="0.2">
      <c r="B53" s="80"/>
    </row>
    <row r="54" spans="2:2" x14ac:dyDescent="0.2">
      <c r="B54" s="80"/>
    </row>
    <row r="55" spans="2:2" x14ac:dyDescent="0.2">
      <c r="B55" s="80"/>
    </row>
    <row r="56" spans="2:2" x14ac:dyDescent="0.2">
      <c r="B56" s="80"/>
    </row>
    <row r="57" spans="2:2" x14ac:dyDescent="0.2">
      <c r="B57" s="80"/>
    </row>
    <row r="58" spans="2:2" x14ac:dyDescent="0.2">
      <c r="B58" s="80"/>
    </row>
    <row r="59" spans="2:2" x14ac:dyDescent="0.2">
      <c r="B59" s="80"/>
    </row>
    <row r="60" spans="2:2" x14ac:dyDescent="0.2">
      <c r="B60" s="80"/>
    </row>
    <row r="61" spans="2:2" x14ac:dyDescent="0.2">
      <c r="B61" s="80"/>
    </row>
    <row r="62" spans="2:2" x14ac:dyDescent="0.2">
      <c r="B62" s="80"/>
    </row>
    <row r="63" spans="2:2" x14ac:dyDescent="0.2">
      <c r="B63" s="80"/>
    </row>
    <row r="64" spans="2:2" x14ac:dyDescent="0.2">
      <c r="B64" s="80"/>
    </row>
    <row r="65" spans="2:16" x14ac:dyDescent="0.2">
      <c r="B65" s="80"/>
    </row>
    <row r="66" spans="2:16" x14ac:dyDescent="0.2">
      <c r="B66" s="80"/>
    </row>
    <row r="67" spans="2:16" x14ac:dyDescent="0.2">
      <c r="B67" s="80"/>
    </row>
    <row r="68" spans="2:16" x14ac:dyDescent="0.2">
      <c r="B68" s="80"/>
    </row>
    <row r="69" spans="2:16" ht="13.5" thickBot="1" x14ac:dyDescent="0.25">
      <c r="B69" s="82"/>
      <c r="C69" s="83"/>
      <c r="D69" s="83"/>
      <c r="E69" s="83"/>
      <c r="F69" s="83"/>
      <c r="G69" s="83"/>
      <c r="H69" s="83"/>
      <c r="I69" s="83"/>
      <c r="J69" s="83"/>
      <c r="K69" s="83"/>
      <c r="L69" s="83"/>
      <c r="M69" s="83"/>
      <c r="N69" s="83"/>
      <c r="O69" s="83"/>
      <c r="P69" s="83"/>
    </row>
    <row r="70" spans="2:16" ht="13.5" thickTop="1" x14ac:dyDescent="0.2">
      <c r="B70" s="80"/>
    </row>
    <row r="71" spans="2:16" ht="25.9" customHeight="1" x14ac:dyDescent="0.2"/>
    <row r="72" spans="2:16" s="64" customFormat="1" ht="25.9" customHeight="1" x14ac:dyDescent="0.2">
      <c r="B72" s="430" t="s">
        <v>921</v>
      </c>
      <c r="C72" s="431"/>
      <c r="D72" s="432" t="s">
        <v>922</v>
      </c>
      <c r="H72" s="1"/>
      <c r="I72" s="1"/>
      <c r="K72" s="586" t="s">
        <v>923</v>
      </c>
      <c r="L72" s="587"/>
      <c r="M72" s="587"/>
      <c r="N72" s="587"/>
      <c r="O72" s="588"/>
    </row>
    <row r="73" spans="2:16" s="64" customFormat="1" ht="25.9" customHeight="1" x14ac:dyDescent="0.2">
      <c r="H73" s="1"/>
      <c r="I73" s="1"/>
      <c r="K73" s="589"/>
      <c r="L73" s="590"/>
      <c r="M73" s="590"/>
      <c r="N73" s="590"/>
      <c r="O73" s="591"/>
    </row>
    <row r="74" spans="2:16" s="64" customFormat="1" ht="25.9" customHeight="1" x14ac:dyDescent="0.2">
      <c r="B74" s="430" t="s">
        <v>924</v>
      </c>
      <c r="C74" s="431"/>
      <c r="D74" s="627" t="s">
        <v>925</v>
      </c>
      <c r="E74" s="628"/>
      <c r="F74" s="628"/>
      <c r="G74" s="629"/>
      <c r="H74" s="1"/>
      <c r="I74" s="1"/>
      <c r="K74" s="589"/>
      <c r="L74" s="590"/>
      <c r="M74" s="590"/>
      <c r="N74" s="590"/>
      <c r="O74" s="591"/>
    </row>
    <row r="75" spans="2:16" s="64" customFormat="1" ht="25.9" customHeight="1" x14ac:dyDescent="0.2">
      <c r="K75" s="592"/>
      <c r="L75" s="593"/>
      <c r="M75" s="593"/>
      <c r="N75" s="593"/>
      <c r="O75" s="594"/>
    </row>
    <row r="76" spans="2:16" s="64" customFormat="1" ht="25.9" customHeight="1" x14ac:dyDescent="0.2">
      <c r="B76" s="430" t="s">
        <v>926</v>
      </c>
      <c r="C76" s="431"/>
      <c r="D76" s="602"/>
      <c r="E76" s="603"/>
      <c r="F76" s="604"/>
      <c r="K76" s="433" t="s">
        <v>927</v>
      </c>
      <c r="L76" s="597" t="s">
        <v>928</v>
      </c>
      <c r="M76" s="598"/>
      <c r="N76" s="598"/>
      <c r="O76" s="599"/>
      <c r="P76" s="84"/>
    </row>
    <row r="77" spans="2:16" ht="25.9" customHeight="1" x14ac:dyDescent="0.2">
      <c r="H77" s="64"/>
      <c r="I77" s="64"/>
      <c r="J77" s="64"/>
      <c r="K77" s="64"/>
    </row>
    <row r="78" spans="2:16" ht="15" x14ac:dyDescent="0.2">
      <c r="B78" s="80" t="s">
        <v>929</v>
      </c>
      <c r="H78" s="64"/>
      <c r="I78" s="64"/>
      <c r="J78" s="64"/>
      <c r="K78" s="64"/>
    </row>
    <row r="79" spans="2:16" ht="15" x14ac:dyDescent="0.2">
      <c r="B79" s="80" t="s">
        <v>930</v>
      </c>
      <c r="H79" s="64"/>
      <c r="I79" s="64"/>
      <c r="J79" s="64"/>
      <c r="K79" s="64"/>
    </row>
    <row r="80" spans="2:16" x14ac:dyDescent="0.2">
      <c r="B80" s="80" t="s">
        <v>931</v>
      </c>
    </row>
    <row r="83" spans="2:15" x14ac:dyDescent="0.2">
      <c r="O83" s="85" t="s">
        <v>932</v>
      </c>
    </row>
    <row r="84" spans="2:15" x14ac:dyDescent="0.2">
      <c r="O84" s="85" t="s">
        <v>841</v>
      </c>
    </row>
    <row r="85" spans="2:15" x14ac:dyDescent="0.2">
      <c r="O85" s="85" t="s">
        <v>19</v>
      </c>
    </row>
    <row r="86" spans="2:15" x14ac:dyDescent="0.2">
      <c r="B86" s="86" t="s">
        <v>998</v>
      </c>
      <c r="C86" s="86"/>
      <c r="L86" s="86"/>
      <c r="N86" s="86"/>
      <c r="O86" s="85" t="s">
        <v>20</v>
      </c>
    </row>
    <row r="88" spans="2:15" x14ac:dyDescent="0.2">
      <c r="D88" s="86"/>
      <c r="E88" s="86"/>
      <c r="F88" s="86"/>
      <c r="G88" s="86"/>
      <c r="H88" s="86"/>
      <c r="I88" s="86"/>
      <c r="J88" s="86"/>
      <c r="K88" s="86"/>
    </row>
  </sheetData>
  <sheetProtection selectLockedCells="1"/>
  <mergeCells count="46">
    <mergeCell ref="E40:F40"/>
    <mergeCell ref="G40:H40"/>
    <mergeCell ref="K72:O75"/>
    <mergeCell ref="D74:G74"/>
    <mergeCell ref="D76:F76"/>
    <mergeCell ref="L76:O76"/>
    <mergeCell ref="E39:F39"/>
    <mergeCell ref="G39:H39"/>
    <mergeCell ref="D33:E33"/>
    <mergeCell ref="F33:G33"/>
    <mergeCell ref="H33:I33"/>
    <mergeCell ref="D34:E34"/>
    <mergeCell ref="F34:G34"/>
    <mergeCell ref="H34:I34"/>
    <mergeCell ref="D35:E35"/>
    <mergeCell ref="F35:G35"/>
    <mergeCell ref="H35:I35"/>
    <mergeCell ref="E38:F38"/>
    <mergeCell ref="G38:H38"/>
    <mergeCell ref="D31:E31"/>
    <mergeCell ref="F31:G31"/>
    <mergeCell ref="H31:I31"/>
    <mergeCell ref="D32:E32"/>
    <mergeCell ref="F32:G32"/>
    <mergeCell ref="H32:I32"/>
    <mergeCell ref="D29:E29"/>
    <mergeCell ref="F29:G29"/>
    <mergeCell ref="H29:I29"/>
    <mergeCell ref="D30:E30"/>
    <mergeCell ref="F30:G30"/>
    <mergeCell ref="H30:I30"/>
    <mergeCell ref="D27:E27"/>
    <mergeCell ref="F27:G27"/>
    <mergeCell ref="H27:I27"/>
    <mergeCell ref="D28:E28"/>
    <mergeCell ref="F28:G28"/>
    <mergeCell ref="H28:I28"/>
    <mergeCell ref="D26:E26"/>
    <mergeCell ref="F26:G26"/>
    <mergeCell ref="H26:I26"/>
    <mergeCell ref="B10:P10"/>
    <mergeCell ref="B13:O13"/>
    <mergeCell ref="B14:O14"/>
    <mergeCell ref="D17:F17"/>
    <mergeCell ref="D18:F18"/>
    <mergeCell ref="D19:F19"/>
  </mergeCells>
  <conditionalFormatting sqref="D72">
    <cfRule type="cellIs" dxfId="25" priority="2" stopIfTrue="1" operator="equal">
      <formula>"PASS"</formula>
    </cfRule>
    <cfRule type="cellIs" dxfId="24" priority="3" stopIfTrue="1" operator="equal">
      <formula>"FAIL"</formula>
    </cfRule>
  </conditionalFormatting>
  <conditionalFormatting sqref="G40 L40">
    <cfRule type="cellIs" dxfId="23" priority="5" stopIfTrue="1" operator="greaterThanOrEqual">
      <formula>1.19</formula>
    </cfRule>
    <cfRule type="cellIs" dxfId="22" priority="6" stopIfTrue="1" operator="lessThan">
      <formula>1.19</formula>
    </cfRule>
  </conditionalFormatting>
  <conditionalFormatting sqref="K72">
    <cfRule type="cellIs" dxfId="21" priority="7" stopIfTrue="1" operator="equal">
      <formula>"FAIL"</formula>
    </cfRule>
    <cfRule type="cellIs" dxfId="20" priority="8" stopIfTrue="1" operator="equal">
      <formula>"PASS - VERIFIED"</formula>
    </cfRule>
  </conditionalFormatting>
  <conditionalFormatting sqref="L28:L33">
    <cfRule type="cellIs" dxfId="19" priority="1" operator="between">
      <formula>-0.1</formula>
      <formula>0.1</formula>
    </cfRule>
  </conditionalFormatting>
  <conditionalFormatting sqref="O22">
    <cfRule type="cellIs" dxfId="18" priority="4" stopIfTrue="1" operator="greaterThan">
      <formula>0</formula>
    </cfRule>
  </conditionalFormatting>
  <dataValidations count="2">
    <dataValidation type="list" allowBlank="1" showInputMessage="1" showErrorMessage="1" sqref="K72" xr:uid="{00000000-0002-0000-0B00-000000000000}">
      <formula1>"PASS - VERIFIED, FAIL"</formula1>
    </dataValidation>
    <dataValidation type="list" allowBlank="1" showInputMessage="1" showErrorMessage="1" sqref="D72" xr:uid="{00000000-0002-0000-0B00-000001000000}">
      <formula1>"PASS, FAIL"</formula1>
    </dataValidation>
  </dataValidations>
  <pageMargins left="0.7" right="0.7" top="0.75" bottom="0.75" header="0.3" footer="0.3"/>
  <pageSetup paperSize="9" scale="39" orientation="portrait" r:id="rId1"/>
  <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5">
    <pageSetUpPr fitToPage="1"/>
  </sheetPr>
  <dimension ref="A2:P88"/>
  <sheetViews>
    <sheetView topLeftCell="A28" zoomScale="55" zoomScaleNormal="55" workbookViewId="0">
      <selection activeCell="F28" sqref="F28:G28"/>
    </sheetView>
  </sheetViews>
  <sheetFormatPr defaultColWidth="0" defaultRowHeight="12.75" x14ac:dyDescent="0.2"/>
  <cols>
    <col min="1" max="1" width="6" style="1" customWidth="1"/>
    <col min="2" max="2" width="16.7109375" style="1" customWidth="1"/>
    <col min="3" max="3" width="19.7109375" style="1" customWidth="1"/>
    <col min="4" max="4" width="22.140625" style="1" customWidth="1"/>
    <col min="5" max="5" width="7.5703125" style="1" customWidth="1"/>
    <col min="6" max="6" width="16.7109375" style="1" customWidth="1"/>
    <col min="7" max="7" width="5.140625" style="1" customWidth="1"/>
    <col min="8" max="8" width="16.85546875" style="1" customWidth="1"/>
    <col min="9" max="9" width="3.85546875" style="1" customWidth="1"/>
    <col min="10" max="10" width="23.7109375" style="1" customWidth="1"/>
    <col min="11" max="11" width="20.7109375" style="1" customWidth="1"/>
    <col min="12" max="12" width="21" style="1" customWidth="1"/>
    <col min="13" max="13" width="18.85546875" style="1" customWidth="1"/>
    <col min="14" max="14" width="3.28515625" style="1" customWidth="1"/>
    <col min="15" max="15" width="19.28515625" style="1" customWidth="1"/>
    <col min="16" max="16" width="6" style="1" customWidth="1"/>
    <col min="17" max="16384" width="0" style="1" hidden="1"/>
  </cols>
  <sheetData>
    <row r="2" spans="1:16" ht="14.25" x14ac:dyDescent="0.2">
      <c r="B2" s="63" t="s">
        <v>879</v>
      </c>
      <c r="C2" s="60"/>
    </row>
    <row r="3" spans="1:16" ht="14.25" x14ac:dyDescent="0.2">
      <c r="B3" s="63" t="s">
        <v>933</v>
      </c>
      <c r="C3" s="60"/>
    </row>
    <row r="4" spans="1:16" ht="14.25" x14ac:dyDescent="0.2">
      <c r="B4" s="63" t="s">
        <v>934</v>
      </c>
      <c r="C4" s="60"/>
    </row>
    <row r="5" spans="1:16" ht="14.25" x14ac:dyDescent="0.2">
      <c r="B5" s="63" t="s">
        <v>882</v>
      </c>
      <c r="C5" s="60"/>
    </row>
    <row r="6" spans="1:16" ht="14.25" x14ac:dyDescent="0.2">
      <c r="B6" s="63" t="s">
        <v>935</v>
      </c>
      <c r="C6" s="60"/>
    </row>
    <row r="7" spans="1:16" ht="15" x14ac:dyDescent="0.2">
      <c r="B7" s="63" t="s">
        <v>936</v>
      </c>
      <c r="C7" s="60"/>
      <c r="D7" s="64"/>
    </row>
    <row r="8" spans="1:16" ht="14.25" x14ac:dyDescent="0.2">
      <c r="B8" s="34" t="s">
        <v>885</v>
      </c>
      <c r="C8" s="60"/>
    </row>
    <row r="9" spans="1:16" ht="14.25" x14ac:dyDescent="0.2">
      <c r="B9" s="34"/>
      <c r="C9" s="60"/>
    </row>
    <row r="10" spans="1:16" ht="37.5" customHeight="1" x14ac:dyDescent="0.5">
      <c r="B10" s="579" t="s">
        <v>886</v>
      </c>
      <c r="C10" s="579"/>
      <c r="D10" s="579"/>
      <c r="E10" s="579"/>
      <c r="F10" s="579"/>
      <c r="G10" s="579"/>
      <c r="H10" s="579"/>
      <c r="I10" s="579"/>
      <c r="J10" s="579"/>
      <c r="K10" s="579"/>
      <c r="L10" s="579"/>
      <c r="M10" s="579"/>
      <c r="N10" s="579"/>
      <c r="O10" s="579"/>
      <c r="P10" s="579"/>
    </row>
    <row r="11" spans="1:16" ht="21" customHeight="1" x14ac:dyDescent="0.4">
      <c r="B11" s="65"/>
      <c r="C11" s="65"/>
      <c r="D11" s="65"/>
      <c r="E11" s="65"/>
      <c r="F11" s="65"/>
      <c r="G11" s="65"/>
      <c r="H11" s="65"/>
      <c r="I11" s="65"/>
      <c r="J11" s="65"/>
      <c r="K11" s="65"/>
      <c r="L11" s="65"/>
      <c r="M11" s="65"/>
      <c r="N11" s="65"/>
      <c r="O11" s="65"/>
      <c r="P11" s="65"/>
    </row>
    <row r="12" spans="1:16" ht="11.25" customHeight="1" x14ac:dyDescent="0.2"/>
    <row r="13" spans="1:16" ht="60.75" customHeight="1" x14ac:dyDescent="0.2">
      <c r="B13" s="595" t="s">
        <v>984</v>
      </c>
      <c r="C13" s="595"/>
      <c r="D13" s="595"/>
      <c r="E13" s="595"/>
      <c r="F13" s="595"/>
      <c r="G13" s="595"/>
      <c r="H13" s="595"/>
      <c r="I13" s="595"/>
      <c r="J13" s="595"/>
      <c r="K13" s="595"/>
      <c r="L13" s="595"/>
      <c r="M13" s="595"/>
      <c r="N13" s="595"/>
      <c r="O13" s="595"/>
      <c r="P13" s="67"/>
    </row>
    <row r="14" spans="1:16" ht="77.25" customHeight="1" x14ac:dyDescent="0.2">
      <c r="A14" s="68"/>
      <c r="B14" s="595" t="s">
        <v>888</v>
      </c>
      <c r="C14" s="595"/>
      <c r="D14" s="595"/>
      <c r="E14" s="595"/>
      <c r="F14" s="595"/>
      <c r="G14" s="595"/>
      <c r="H14" s="595"/>
      <c r="I14" s="595"/>
      <c r="J14" s="595"/>
      <c r="K14" s="595"/>
      <c r="L14" s="595"/>
      <c r="M14" s="595"/>
      <c r="N14" s="595"/>
      <c r="O14" s="595"/>
      <c r="P14" s="67"/>
    </row>
    <row r="15" spans="1:16" ht="18" x14ac:dyDescent="0.2">
      <c r="A15" s="68"/>
      <c r="B15" s="66"/>
      <c r="C15" s="66"/>
      <c r="D15" s="66"/>
      <c r="E15" s="66"/>
      <c r="F15" s="66"/>
      <c r="G15" s="66"/>
      <c r="H15" s="66"/>
      <c r="I15" s="66"/>
      <c r="J15" s="66"/>
      <c r="K15" s="66"/>
      <c r="L15" s="66"/>
      <c r="M15" s="66"/>
      <c r="N15" s="66"/>
      <c r="O15" s="66"/>
      <c r="P15" s="67"/>
    </row>
    <row r="16" spans="1:16" ht="18" x14ac:dyDescent="0.2">
      <c r="A16" s="68"/>
      <c r="B16" s="69"/>
      <c r="C16" s="69"/>
      <c r="D16" s="70"/>
      <c r="E16" s="70"/>
      <c r="F16" s="69"/>
      <c r="G16" s="69"/>
      <c r="H16" s="69"/>
      <c r="I16" s="69"/>
      <c r="J16" s="69"/>
      <c r="K16" s="69"/>
      <c r="L16" s="69"/>
      <c r="M16" s="69"/>
      <c r="N16" s="69"/>
      <c r="O16" s="69"/>
      <c r="P16" s="69"/>
    </row>
    <row r="17" spans="2:15" ht="25.9" customHeight="1" x14ac:dyDescent="0.25">
      <c r="B17" s="414" t="s">
        <v>889</v>
      </c>
      <c r="C17" s="415"/>
      <c r="D17" s="606" t="str">
        <f>'Auto-Calibration record'!H14</f>
        <v>5.6mg/l RM8631b</v>
      </c>
      <c r="E17" s="606"/>
      <c r="F17" s="606"/>
      <c r="K17" s="416" t="s">
        <v>985</v>
      </c>
      <c r="L17" s="417"/>
      <c r="M17" s="417"/>
      <c r="N17" s="418"/>
      <c r="O17" s="437" t="str">
        <f>'Auto-Calibration record'!H18</f>
        <v>RM8631b</v>
      </c>
    </row>
    <row r="18" spans="2:15" ht="25.9" customHeight="1" x14ac:dyDescent="0.25">
      <c r="B18" s="414" t="s">
        <v>891</v>
      </c>
      <c r="C18" s="420"/>
      <c r="D18" s="607" t="e">
        <f>'Auto-Calibration record'!#REF!&amp;'Auto-Calibration record'!H15</f>
        <v>#REF!</v>
      </c>
      <c r="E18" s="608"/>
      <c r="F18" s="609"/>
      <c r="K18" s="380" t="s">
        <v>892</v>
      </c>
      <c r="L18" s="381"/>
      <c r="M18" s="381"/>
      <c r="N18" s="382"/>
      <c r="O18" s="421">
        <f>'Auto-Calibration record'!H16</f>
        <v>46190.6</v>
      </c>
    </row>
    <row r="19" spans="2:15" ht="25.9" customHeight="1" x14ac:dyDescent="0.25">
      <c r="B19" s="414" t="s">
        <v>893</v>
      </c>
      <c r="C19" s="420"/>
      <c r="D19" s="607" t="str">
        <f>'Auto-Calibration record'!H17</f>
        <v>-1 170626</v>
      </c>
      <c r="E19" s="608"/>
      <c r="F19" s="609"/>
      <c r="K19" s="416" t="s">
        <v>894</v>
      </c>
      <c r="L19" s="417"/>
      <c r="M19" s="417"/>
      <c r="N19" s="418"/>
      <c r="O19" s="444" t="str">
        <f>'Auto-Calibration record'!H19</f>
        <v>NOT SET</v>
      </c>
    </row>
    <row r="20" spans="2:15" ht="14.25" customHeight="1" x14ac:dyDescent="0.25">
      <c r="B20" s="71"/>
      <c r="D20" s="87"/>
      <c r="E20" s="88"/>
      <c r="K20" s="71"/>
      <c r="L20" s="72"/>
      <c r="M20" s="72"/>
      <c r="N20" s="72"/>
      <c r="O20" s="89"/>
    </row>
    <row r="21" spans="2:15" ht="15.75" x14ac:dyDescent="0.25">
      <c r="B21" s="73" t="s">
        <v>895</v>
      </c>
    </row>
    <row r="22" spans="2:15" ht="15.75" x14ac:dyDescent="0.25">
      <c r="B22" s="73" t="s">
        <v>896</v>
      </c>
      <c r="O22" s="74"/>
    </row>
    <row r="23" spans="2:15" ht="15.75" x14ac:dyDescent="0.25">
      <c r="B23" s="73" t="s">
        <v>897</v>
      </c>
    </row>
    <row r="24" spans="2:15" ht="15.75" x14ac:dyDescent="0.25">
      <c r="B24" s="73"/>
    </row>
    <row r="25" spans="2:15" x14ac:dyDescent="0.2">
      <c r="B25" s="75"/>
    </row>
    <row r="26" spans="2:15" s="76" customFormat="1" ht="67.5" customHeight="1" x14ac:dyDescent="0.2">
      <c r="D26" s="583" t="s">
        <v>898</v>
      </c>
      <c r="E26" s="583"/>
      <c r="F26" s="583" t="s">
        <v>899</v>
      </c>
      <c r="G26" s="583"/>
      <c r="H26" s="583" t="s">
        <v>900</v>
      </c>
      <c r="I26" s="583"/>
      <c r="J26" s="423" t="s">
        <v>901</v>
      </c>
      <c r="K26" s="423" t="s">
        <v>902</v>
      </c>
      <c r="L26" s="423" t="s">
        <v>903</v>
      </c>
    </row>
    <row r="27" spans="2:15" s="77" customFormat="1" ht="25.9" customHeight="1" x14ac:dyDescent="0.2">
      <c r="D27" s="584" t="s">
        <v>904</v>
      </c>
      <c r="E27" s="584"/>
      <c r="F27" s="584" t="s">
        <v>905</v>
      </c>
      <c r="G27" s="584"/>
      <c r="H27" s="584" t="s">
        <v>906</v>
      </c>
      <c r="I27" s="584"/>
      <c r="J27" s="424" t="s">
        <v>906</v>
      </c>
      <c r="K27" s="424" t="s">
        <v>906</v>
      </c>
      <c r="L27" s="424" t="s">
        <v>907</v>
      </c>
    </row>
    <row r="28" spans="2:15" s="77" customFormat="1" ht="25.9" customHeight="1" x14ac:dyDescent="0.2">
      <c r="D28" s="585" t="s">
        <v>908</v>
      </c>
      <c r="E28" s="585"/>
      <c r="F28" s="600">
        <f>'Auto-Calibration record'!B65</f>
        <v>80</v>
      </c>
      <c r="G28" s="600"/>
      <c r="H28" s="596">
        <f>'Auto-Calibration record'!B68</f>
        <v>1056340</v>
      </c>
      <c r="I28" s="626"/>
      <c r="J28" s="442">
        <f>'Auto-Calibration record'!I68</f>
        <v>1065116</v>
      </c>
      <c r="K28" s="425">
        <f t="shared" ref="K28:K33" si="0">J28-H28</f>
        <v>8776</v>
      </c>
      <c r="L28" s="443">
        <f t="shared" ref="L28:L33" si="1">K28/H28</f>
        <v>8.3079311585285039E-3</v>
      </c>
    </row>
    <row r="29" spans="2:15" s="77" customFormat="1" ht="25.9" customHeight="1" x14ac:dyDescent="0.2">
      <c r="D29" s="585" t="s">
        <v>909</v>
      </c>
      <c r="E29" s="585"/>
      <c r="F29" s="600">
        <f>'Auto-Calibration record'!C65</f>
        <v>194</v>
      </c>
      <c r="G29" s="600"/>
      <c r="H29" s="596">
        <f>'Auto-Calibration record'!B69</f>
        <v>459350</v>
      </c>
      <c r="I29" s="626"/>
      <c r="J29" s="442">
        <f>'Auto-Calibration record'!I69</f>
        <v>459710</v>
      </c>
      <c r="K29" s="425">
        <f t="shared" si="0"/>
        <v>360</v>
      </c>
      <c r="L29" s="443">
        <f t="shared" si="1"/>
        <v>7.8371612060520296E-4</v>
      </c>
    </row>
    <row r="30" spans="2:15" s="77" customFormat="1" ht="25.9" customHeight="1" x14ac:dyDescent="0.2">
      <c r="D30" s="585" t="s">
        <v>910</v>
      </c>
      <c r="E30" s="585"/>
      <c r="F30" s="600">
        <f>'Auto-Calibration record'!D65</f>
        <v>1032</v>
      </c>
      <c r="G30" s="600"/>
      <c r="H30" s="596">
        <f>'Auto-Calibration record'!B71</f>
        <v>36410</v>
      </c>
      <c r="I30" s="626"/>
      <c r="J30" s="442">
        <f>'Auto-Calibration record'!I71</f>
        <v>37720</v>
      </c>
      <c r="K30" s="425">
        <f t="shared" si="0"/>
        <v>1310</v>
      </c>
      <c r="L30" s="443">
        <f t="shared" si="1"/>
        <v>3.5979126613567704E-2</v>
      </c>
    </row>
    <row r="31" spans="2:15" s="77" customFormat="1" ht="25.9" customHeight="1" x14ac:dyDescent="0.2">
      <c r="D31" s="585" t="s">
        <v>911</v>
      </c>
      <c r="E31" s="585"/>
      <c r="F31" s="600">
        <f>'Auto-Calibration record'!E65</f>
        <v>2064</v>
      </c>
      <c r="G31" s="600"/>
      <c r="H31" s="596">
        <f>'Auto-Calibration record'!B72</f>
        <v>10940</v>
      </c>
      <c r="I31" s="626"/>
      <c r="J31" s="442">
        <f>'Auto-Calibration record'!I72</f>
        <v>11889</v>
      </c>
      <c r="K31" s="425">
        <f t="shared" si="0"/>
        <v>949</v>
      </c>
      <c r="L31" s="443">
        <f t="shared" si="1"/>
        <v>8.6745886654478979E-2</v>
      </c>
    </row>
    <row r="32" spans="2:15" s="77" customFormat="1" ht="25.9" customHeight="1" x14ac:dyDescent="0.2">
      <c r="D32" s="585" t="s">
        <v>912</v>
      </c>
      <c r="E32" s="585"/>
      <c r="F32" s="600">
        <f>'Auto-Calibration record'!F65</f>
        <v>3012</v>
      </c>
      <c r="G32" s="600"/>
      <c r="H32" s="596">
        <f>'Auto-Calibration record'!B73</f>
        <v>5210</v>
      </c>
      <c r="I32" s="626"/>
      <c r="J32" s="442">
        <f>'Auto-Calibration record'!I73</f>
        <v>5538</v>
      </c>
      <c r="K32" s="425">
        <f t="shared" si="0"/>
        <v>328</v>
      </c>
      <c r="L32" s="443">
        <f t="shared" si="1"/>
        <v>6.2955854126679464E-2</v>
      </c>
    </row>
    <row r="33" spans="2:12" s="77" customFormat="1" ht="25.9" customHeight="1" x14ac:dyDescent="0.2">
      <c r="D33" s="585" t="s">
        <v>913</v>
      </c>
      <c r="E33" s="585"/>
      <c r="F33" s="600">
        <f>'Auto-Calibration record'!G65</f>
        <v>10314</v>
      </c>
      <c r="G33" s="600"/>
      <c r="H33" s="596">
        <f>'Auto-Calibration record'!B74</f>
        <v>611.721</v>
      </c>
      <c r="I33" s="626"/>
      <c r="J33" s="442">
        <f>'Auto-Calibration record'!I74</f>
        <v>525</v>
      </c>
      <c r="K33" s="425">
        <f t="shared" si="0"/>
        <v>-86.721000000000004</v>
      </c>
      <c r="L33" s="443">
        <f t="shared" si="1"/>
        <v>-0.1417656088314771</v>
      </c>
    </row>
    <row r="34" spans="2:12" s="77" customFormat="1" ht="25.9" customHeight="1" x14ac:dyDescent="0.2">
      <c r="D34" s="585" t="s">
        <v>914</v>
      </c>
      <c r="E34" s="585"/>
      <c r="F34" s="600">
        <f>'Auto-Calibration record'!H65</f>
        <v>16352</v>
      </c>
      <c r="G34" s="600"/>
      <c r="H34" s="596">
        <f>'Auto-Calibration record'!B75</f>
        <v>145.303</v>
      </c>
      <c r="I34" s="626"/>
      <c r="J34" s="442">
        <f>'Auto-Calibration record'!I75</f>
        <v>112</v>
      </c>
      <c r="K34" s="425" t="s">
        <v>321</v>
      </c>
      <c r="L34" s="426" t="s">
        <v>321</v>
      </c>
    </row>
    <row r="35" spans="2:12" s="72" customFormat="1" ht="25.9" customHeight="1" x14ac:dyDescent="0.25">
      <c r="D35" s="585" t="s">
        <v>915</v>
      </c>
      <c r="E35" s="585"/>
      <c r="F35" s="601">
        <f>'Auto-Calibration record'!I65</f>
        <v>25228</v>
      </c>
      <c r="G35" s="601"/>
      <c r="H35" s="596">
        <f>'Auto-Calibration record'!B76</f>
        <v>24.939</v>
      </c>
      <c r="I35" s="626"/>
      <c r="J35" s="442">
        <f>'Auto-Calibration record'!I76</f>
        <v>18</v>
      </c>
      <c r="K35" s="425" t="s">
        <v>321</v>
      </c>
      <c r="L35" s="426" t="s">
        <v>321</v>
      </c>
    </row>
    <row r="36" spans="2:12" ht="20.25" x14ac:dyDescent="0.3">
      <c r="D36" s="78" t="s">
        <v>916</v>
      </c>
      <c r="E36" s="79"/>
      <c r="F36" s="79"/>
      <c r="G36" s="79"/>
      <c r="H36" s="79"/>
      <c r="I36" s="79"/>
      <c r="J36" s="79"/>
      <c r="K36" s="79"/>
    </row>
    <row r="37" spans="2:12" ht="20.25" x14ac:dyDescent="0.3">
      <c r="B37" s="80"/>
      <c r="D37" s="79"/>
      <c r="E37" s="79"/>
      <c r="F37" s="79"/>
      <c r="G37" s="79"/>
      <c r="H37" s="79"/>
      <c r="I37" s="79"/>
      <c r="J37" s="79"/>
      <c r="K37" s="79"/>
    </row>
    <row r="38" spans="2:12" ht="81" customHeight="1" x14ac:dyDescent="0.2">
      <c r="B38" s="80"/>
      <c r="D38" s="423" t="s">
        <v>917</v>
      </c>
      <c r="E38" s="583" t="s">
        <v>918</v>
      </c>
      <c r="F38" s="583"/>
      <c r="G38" s="583" t="s">
        <v>919</v>
      </c>
      <c r="H38" s="583"/>
      <c r="I38" s="77"/>
      <c r="J38" s="423" t="s">
        <v>996</v>
      </c>
      <c r="K38" s="423" t="s">
        <v>997</v>
      </c>
      <c r="L38" s="423" t="s">
        <v>919</v>
      </c>
    </row>
    <row r="39" spans="2:12" ht="25.9" customHeight="1" x14ac:dyDescent="0.2">
      <c r="B39" s="80"/>
      <c r="D39" s="424" t="s">
        <v>905</v>
      </c>
      <c r="E39" s="584" t="s">
        <v>905</v>
      </c>
      <c r="F39" s="584"/>
      <c r="G39" s="584" t="s">
        <v>920</v>
      </c>
      <c r="H39" s="584"/>
      <c r="I39" s="81"/>
      <c r="J39" s="424" t="s">
        <v>905</v>
      </c>
      <c r="K39" s="424" t="s">
        <v>905</v>
      </c>
      <c r="L39" s="424" t="s">
        <v>920</v>
      </c>
    </row>
    <row r="40" spans="2:12" ht="25.9" customHeight="1" x14ac:dyDescent="0.2">
      <c r="B40" s="80"/>
      <c r="D40" s="428">
        <f>'Auto-Calibration record'!B17</f>
        <v>0</v>
      </c>
      <c r="E40" s="626">
        <f>F28-D40</f>
        <v>80</v>
      </c>
      <c r="F40" s="626"/>
      <c r="G40" s="639" t="e">
        <f>F28/D40</f>
        <v>#DIV/0!</v>
      </c>
      <c r="H40" s="639"/>
      <c r="I40" s="81"/>
      <c r="J40" s="428">
        <f>'Auto-Calibration record'!B11</f>
        <v>31</v>
      </c>
      <c r="K40" s="441">
        <f>F29-J40</f>
        <v>163</v>
      </c>
      <c r="L40" s="445">
        <f>F29/J40</f>
        <v>6.258064516129032</v>
      </c>
    </row>
    <row r="41" spans="2:12" x14ac:dyDescent="0.2">
      <c r="B41" s="80"/>
    </row>
    <row r="42" spans="2:12" x14ac:dyDescent="0.2">
      <c r="B42" s="80"/>
    </row>
    <row r="43" spans="2:12" x14ac:dyDescent="0.2">
      <c r="B43" s="80"/>
    </row>
    <row r="44" spans="2:12" x14ac:dyDescent="0.2">
      <c r="B44" s="80"/>
    </row>
    <row r="45" spans="2:12" x14ac:dyDescent="0.2">
      <c r="B45" s="80"/>
    </row>
    <row r="46" spans="2:12" x14ac:dyDescent="0.2">
      <c r="B46" s="80"/>
    </row>
    <row r="47" spans="2:12" x14ac:dyDescent="0.2">
      <c r="B47" s="80"/>
    </row>
    <row r="48" spans="2:12" x14ac:dyDescent="0.2">
      <c r="B48" s="80"/>
    </row>
    <row r="49" spans="2:2" x14ac:dyDescent="0.2">
      <c r="B49" s="80"/>
    </row>
    <row r="50" spans="2:2" x14ac:dyDescent="0.2">
      <c r="B50" s="80"/>
    </row>
    <row r="51" spans="2:2" x14ac:dyDescent="0.2">
      <c r="B51" s="80"/>
    </row>
    <row r="52" spans="2:2" x14ac:dyDescent="0.2">
      <c r="B52" s="80"/>
    </row>
    <row r="53" spans="2:2" x14ac:dyDescent="0.2">
      <c r="B53" s="80"/>
    </row>
    <row r="54" spans="2:2" x14ac:dyDescent="0.2">
      <c r="B54" s="80"/>
    </row>
    <row r="55" spans="2:2" x14ac:dyDescent="0.2">
      <c r="B55" s="80"/>
    </row>
    <row r="56" spans="2:2" x14ac:dyDescent="0.2">
      <c r="B56" s="80"/>
    </row>
    <row r="57" spans="2:2" x14ac:dyDescent="0.2">
      <c r="B57" s="80"/>
    </row>
    <row r="58" spans="2:2" x14ac:dyDescent="0.2">
      <c r="B58" s="80"/>
    </row>
    <row r="59" spans="2:2" x14ac:dyDescent="0.2">
      <c r="B59" s="80"/>
    </row>
    <row r="60" spans="2:2" x14ac:dyDescent="0.2">
      <c r="B60" s="80"/>
    </row>
    <row r="61" spans="2:2" x14ac:dyDescent="0.2">
      <c r="B61" s="80"/>
    </row>
    <row r="62" spans="2:2" x14ac:dyDescent="0.2">
      <c r="B62" s="80"/>
    </row>
    <row r="63" spans="2:2" x14ac:dyDescent="0.2">
      <c r="B63" s="80"/>
    </row>
    <row r="64" spans="2:2" x14ac:dyDescent="0.2">
      <c r="B64" s="80"/>
    </row>
    <row r="65" spans="2:16" x14ac:dyDescent="0.2">
      <c r="B65" s="80"/>
    </row>
    <row r="66" spans="2:16" x14ac:dyDescent="0.2">
      <c r="B66" s="80"/>
    </row>
    <row r="67" spans="2:16" x14ac:dyDescent="0.2">
      <c r="B67" s="80"/>
    </row>
    <row r="68" spans="2:16" x14ac:dyDescent="0.2">
      <c r="B68" s="80"/>
    </row>
    <row r="69" spans="2:16" ht="13.5" thickBot="1" x14ac:dyDescent="0.25">
      <c r="B69" s="82"/>
      <c r="C69" s="83"/>
      <c r="D69" s="83"/>
      <c r="E69" s="83"/>
      <c r="F69" s="83"/>
      <c r="G69" s="83"/>
      <c r="H69" s="83"/>
      <c r="I69" s="83"/>
      <c r="J69" s="83"/>
      <c r="K69" s="83"/>
      <c r="L69" s="83"/>
      <c r="M69" s="83"/>
      <c r="N69" s="83"/>
      <c r="O69" s="83"/>
      <c r="P69" s="83"/>
    </row>
    <row r="70" spans="2:16" ht="13.5" thickTop="1" x14ac:dyDescent="0.2">
      <c r="B70" s="80"/>
    </row>
    <row r="71" spans="2:16" ht="25.9" customHeight="1" x14ac:dyDescent="0.2"/>
    <row r="72" spans="2:16" s="64" customFormat="1" ht="25.9" customHeight="1" x14ac:dyDescent="0.2">
      <c r="B72" s="430" t="s">
        <v>921</v>
      </c>
      <c r="C72" s="431"/>
      <c r="D72" s="432" t="s">
        <v>922</v>
      </c>
      <c r="H72" s="1"/>
      <c r="I72" s="1"/>
      <c r="K72" s="586" t="s">
        <v>923</v>
      </c>
      <c r="L72" s="587"/>
      <c r="M72" s="587"/>
      <c r="N72" s="587"/>
      <c r="O72" s="588"/>
    </row>
    <row r="73" spans="2:16" s="64" customFormat="1" ht="25.9" customHeight="1" x14ac:dyDescent="0.2">
      <c r="H73" s="1"/>
      <c r="I73" s="1"/>
      <c r="K73" s="589"/>
      <c r="L73" s="590"/>
      <c r="M73" s="590"/>
      <c r="N73" s="590"/>
      <c r="O73" s="591"/>
    </row>
    <row r="74" spans="2:16" s="64" customFormat="1" ht="25.9" customHeight="1" x14ac:dyDescent="0.2">
      <c r="B74" s="430" t="s">
        <v>924</v>
      </c>
      <c r="C74" s="431"/>
      <c r="D74" s="627" t="s">
        <v>925</v>
      </c>
      <c r="E74" s="628"/>
      <c r="F74" s="628"/>
      <c r="G74" s="629"/>
      <c r="H74" s="1"/>
      <c r="I74" s="1"/>
      <c r="K74" s="589"/>
      <c r="L74" s="590"/>
      <c r="M74" s="590"/>
      <c r="N74" s="590"/>
      <c r="O74" s="591"/>
    </row>
    <row r="75" spans="2:16" s="64" customFormat="1" ht="25.9" customHeight="1" x14ac:dyDescent="0.2">
      <c r="K75" s="592"/>
      <c r="L75" s="593"/>
      <c r="M75" s="593"/>
      <c r="N75" s="593"/>
      <c r="O75" s="594"/>
    </row>
    <row r="76" spans="2:16" s="64" customFormat="1" ht="25.9" customHeight="1" x14ac:dyDescent="0.2">
      <c r="B76" s="430" t="s">
        <v>926</v>
      </c>
      <c r="C76" s="431"/>
      <c r="D76" s="602"/>
      <c r="E76" s="603"/>
      <c r="F76" s="604"/>
      <c r="K76" s="433" t="s">
        <v>927</v>
      </c>
      <c r="L76" s="597" t="s">
        <v>928</v>
      </c>
      <c r="M76" s="598"/>
      <c r="N76" s="598"/>
      <c r="O76" s="599"/>
      <c r="P76" s="84"/>
    </row>
    <row r="77" spans="2:16" ht="25.9" customHeight="1" x14ac:dyDescent="0.2">
      <c r="B77" s="91" t="s">
        <v>1005</v>
      </c>
      <c r="H77" s="64"/>
      <c r="I77" s="64"/>
      <c r="J77" s="64"/>
    </row>
    <row r="78" spans="2:16" ht="15" x14ac:dyDescent="0.2">
      <c r="B78" s="80" t="s">
        <v>929</v>
      </c>
      <c r="H78" s="64"/>
      <c r="I78" s="64"/>
      <c r="J78" s="64"/>
      <c r="K78" s="64"/>
    </row>
    <row r="79" spans="2:16" ht="15" x14ac:dyDescent="0.2">
      <c r="B79" s="80" t="s">
        <v>930</v>
      </c>
      <c r="H79" s="64"/>
      <c r="I79" s="64"/>
      <c r="J79" s="64"/>
      <c r="K79" s="64"/>
    </row>
    <row r="80" spans="2:16" x14ac:dyDescent="0.2">
      <c r="B80" s="80" t="s">
        <v>931</v>
      </c>
    </row>
    <row r="83" spans="2:15" x14ac:dyDescent="0.2">
      <c r="O83" s="85" t="s">
        <v>932</v>
      </c>
    </row>
    <row r="84" spans="2:15" x14ac:dyDescent="0.2">
      <c r="O84" s="85" t="s">
        <v>841</v>
      </c>
    </row>
    <row r="85" spans="2:15" x14ac:dyDescent="0.2">
      <c r="O85" s="85" t="s">
        <v>19</v>
      </c>
    </row>
    <row r="86" spans="2:15" x14ac:dyDescent="0.2">
      <c r="B86" s="86" t="s">
        <v>998</v>
      </c>
      <c r="C86" s="86"/>
      <c r="L86" s="86"/>
      <c r="N86" s="86"/>
      <c r="O86" s="85" t="s">
        <v>20</v>
      </c>
    </row>
    <row r="88" spans="2:15" x14ac:dyDescent="0.2">
      <c r="D88" s="86"/>
      <c r="E88" s="86"/>
      <c r="F88" s="86"/>
      <c r="G88" s="86"/>
      <c r="H88" s="86"/>
      <c r="I88" s="86"/>
      <c r="J88" s="86"/>
      <c r="K88" s="86"/>
    </row>
  </sheetData>
  <sheetProtection sheet="1" objects="1" scenarios="1" selectLockedCells="1"/>
  <mergeCells count="46">
    <mergeCell ref="E40:F40"/>
    <mergeCell ref="G40:H40"/>
    <mergeCell ref="K72:O75"/>
    <mergeCell ref="D74:G74"/>
    <mergeCell ref="D76:F76"/>
    <mergeCell ref="L76:O76"/>
    <mergeCell ref="E39:F39"/>
    <mergeCell ref="G39:H39"/>
    <mergeCell ref="D33:E33"/>
    <mergeCell ref="F33:G33"/>
    <mergeCell ref="H33:I33"/>
    <mergeCell ref="D34:E34"/>
    <mergeCell ref="F34:G34"/>
    <mergeCell ref="H34:I34"/>
    <mergeCell ref="D35:E35"/>
    <mergeCell ref="F35:G35"/>
    <mergeCell ref="H35:I35"/>
    <mergeCell ref="E38:F38"/>
    <mergeCell ref="G38:H38"/>
    <mergeCell ref="D31:E31"/>
    <mergeCell ref="F31:G31"/>
    <mergeCell ref="H31:I31"/>
    <mergeCell ref="D32:E32"/>
    <mergeCell ref="F32:G32"/>
    <mergeCell ref="H32:I32"/>
    <mergeCell ref="D29:E29"/>
    <mergeCell ref="F29:G29"/>
    <mergeCell ref="H29:I29"/>
    <mergeCell ref="D30:E30"/>
    <mergeCell ref="F30:G30"/>
    <mergeCell ref="H30:I30"/>
    <mergeCell ref="D27:E27"/>
    <mergeCell ref="F27:G27"/>
    <mergeCell ref="H27:I27"/>
    <mergeCell ref="D28:E28"/>
    <mergeCell ref="F28:G28"/>
    <mergeCell ref="H28:I28"/>
    <mergeCell ref="D26:E26"/>
    <mergeCell ref="F26:G26"/>
    <mergeCell ref="H26:I26"/>
    <mergeCell ref="B10:P10"/>
    <mergeCell ref="B13:O13"/>
    <mergeCell ref="B14:O14"/>
    <mergeCell ref="D17:F17"/>
    <mergeCell ref="D18:F18"/>
    <mergeCell ref="D19:F19"/>
  </mergeCells>
  <conditionalFormatting sqref="D72">
    <cfRule type="cellIs" dxfId="17" priority="2" stopIfTrue="1" operator="equal">
      <formula>"PASS"</formula>
    </cfRule>
    <cfRule type="cellIs" dxfId="16" priority="3" stopIfTrue="1" operator="equal">
      <formula>"FAIL"</formula>
    </cfRule>
  </conditionalFormatting>
  <conditionalFormatting sqref="G40 L40">
    <cfRule type="cellIs" dxfId="15" priority="5" stopIfTrue="1" operator="greaterThanOrEqual">
      <formula>1.19</formula>
    </cfRule>
    <cfRule type="cellIs" dxfId="14" priority="6" stopIfTrue="1" operator="lessThan">
      <formula>1.19</formula>
    </cfRule>
  </conditionalFormatting>
  <conditionalFormatting sqref="K72">
    <cfRule type="cellIs" dxfId="13" priority="7" stopIfTrue="1" operator="equal">
      <formula>"FAIL"</formula>
    </cfRule>
    <cfRule type="cellIs" dxfId="12" priority="8" stopIfTrue="1" operator="equal">
      <formula>"PASS - VERIFIED"</formula>
    </cfRule>
  </conditionalFormatting>
  <conditionalFormatting sqref="L28:L33">
    <cfRule type="cellIs" dxfId="11" priority="1" operator="between">
      <formula>-0.1</formula>
      <formula>0.1</formula>
    </cfRule>
  </conditionalFormatting>
  <conditionalFormatting sqref="O22">
    <cfRule type="cellIs" dxfId="10" priority="4" stopIfTrue="1" operator="greaterThan">
      <formula>0</formula>
    </cfRule>
  </conditionalFormatting>
  <dataValidations count="2">
    <dataValidation type="list" allowBlank="1" showInputMessage="1" showErrorMessage="1" sqref="K72" xr:uid="{00000000-0002-0000-0C00-000000000000}">
      <formula1>"PASS - VERIFIED, FAIL"</formula1>
    </dataValidation>
    <dataValidation type="list" allowBlank="1" showInputMessage="1" showErrorMessage="1" sqref="D72" xr:uid="{00000000-0002-0000-0C00-000001000000}">
      <formula1>"PASS, FAIL"</formula1>
    </dataValidation>
  </dataValidations>
  <hyperlinks>
    <hyperlink ref="B8" r:id="rId1" xr:uid="{00000000-0004-0000-0C00-000000000000}"/>
  </hyperlinks>
  <pageMargins left="0.7" right="0.7" top="0.75" bottom="0.75" header="0.3" footer="0.3"/>
  <pageSetup scale="40" orientation="portrait" r:id="rId2"/>
  <drawing r:id="rId3"/>
  <legacyDrawing r:id="rId4"/>
  <oleObjects>
    <mc:AlternateContent xmlns:mc="http://schemas.openxmlformats.org/markup-compatibility/2006">
      <mc:Choice Requires="x14">
        <oleObject progId="Paint.Picture" shapeId="232449" r:id="rId5">
          <objectPr defaultSize="0" autoPict="0" r:id="rId6">
            <anchor moveWithCells="1">
              <from>
                <xdr:col>11</xdr:col>
                <xdr:colOff>1085850</xdr:colOff>
                <xdr:row>1</xdr:row>
                <xdr:rowOff>76200</xdr:rowOff>
              </from>
              <to>
                <xdr:col>15</xdr:col>
                <xdr:colOff>161925</xdr:colOff>
                <xdr:row>7</xdr:row>
                <xdr:rowOff>66675</xdr:rowOff>
              </to>
            </anchor>
          </objectPr>
        </oleObject>
      </mc:Choice>
      <mc:Fallback>
        <oleObject progId="Paint.Picture" shapeId="232449" r:id="rId5"/>
      </mc:Fallback>
    </mc:AlternateContent>
  </oleObject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30C45-327F-4806-AD74-A5EA3455F00D}">
  <dimension ref="A2:XEQ155"/>
  <sheetViews>
    <sheetView zoomScale="55" zoomScaleNormal="55" zoomScaleSheetLayoutView="55" zoomScalePageLayoutView="40" workbookViewId="0">
      <selection activeCell="D17" sqref="D17:F17"/>
    </sheetView>
  </sheetViews>
  <sheetFormatPr defaultColWidth="0" defaultRowHeight="12.75" x14ac:dyDescent="0.2"/>
  <cols>
    <col min="1" max="1" width="6" style="1" customWidth="1"/>
    <col min="2" max="2" width="16.7109375" style="1" customWidth="1"/>
    <col min="3" max="3" width="19.7109375" style="1" customWidth="1"/>
    <col min="4" max="4" width="22.140625" style="1" customWidth="1"/>
    <col min="5" max="5" width="7.5703125" style="1" customWidth="1"/>
    <col min="6" max="6" width="16.7109375" style="1" customWidth="1"/>
    <col min="7" max="7" width="5.140625" style="1" customWidth="1"/>
    <col min="8" max="8" width="16.85546875" style="1" customWidth="1"/>
    <col min="9" max="9" width="3.85546875" style="1" customWidth="1"/>
    <col min="10" max="10" width="23.7109375" style="1" customWidth="1"/>
    <col min="11" max="11" width="20.7109375" style="1" customWidth="1"/>
    <col min="12" max="12" width="21" style="1" customWidth="1"/>
    <col min="13" max="13" width="18.85546875" style="1" customWidth="1"/>
    <col min="14" max="14" width="3.28515625" style="1" customWidth="1"/>
    <col min="15" max="15" width="19.28515625" style="1" customWidth="1"/>
    <col min="16" max="16" width="6" style="1" customWidth="1"/>
    <col min="17" max="16384" width="0" style="1" hidden="1"/>
  </cols>
  <sheetData>
    <row r="2" spans="1:16" ht="14.25" x14ac:dyDescent="0.2">
      <c r="B2" s="63" t="s">
        <v>879</v>
      </c>
      <c r="C2" s="60"/>
    </row>
    <row r="3" spans="1:16" ht="14.25" x14ac:dyDescent="0.2">
      <c r="B3" s="63" t="s">
        <v>880</v>
      </c>
      <c r="C3" s="60"/>
    </row>
    <row r="4" spans="1:16" ht="14.25" x14ac:dyDescent="0.2">
      <c r="B4" s="63" t="s">
        <v>881</v>
      </c>
      <c r="C4" s="60"/>
    </row>
    <row r="5" spans="1:16" ht="14.25" x14ac:dyDescent="0.2">
      <c r="B5" s="63" t="s">
        <v>882</v>
      </c>
      <c r="C5" s="60"/>
    </row>
    <row r="6" spans="1:16" ht="14.25" x14ac:dyDescent="0.2">
      <c r="B6" s="63" t="s">
        <v>883</v>
      </c>
      <c r="C6" s="60"/>
    </row>
    <row r="7" spans="1:16" ht="15" x14ac:dyDescent="0.2">
      <c r="B7" s="63" t="s">
        <v>884</v>
      </c>
      <c r="C7" s="60"/>
      <c r="D7" s="64"/>
    </row>
    <row r="8" spans="1:16" ht="14.25" x14ac:dyDescent="0.2">
      <c r="B8" s="34" t="s">
        <v>885</v>
      </c>
      <c r="C8" s="60"/>
    </row>
    <row r="9" spans="1:16" ht="14.25" x14ac:dyDescent="0.2">
      <c r="B9" s="34"/>
      <c r="C9" s="60"/>
    </row>
    <row r="10" spans="1:16" ht="37.5" customHeight="1" x14ac:dyDescent="0.5">
      <c r="B10" s="579" t="s">
        <v>886</v>
      </c>
      <c r="C10" s="579"/>
      <c r="D10" s="579"/>
      <c r="E10" s="579"/>
      <c r="F10" s="579"/>
      <c r="G10" s="579"/>
      <c r="H10" s="579"/>
      <c r="I10" s="579"/>
      <c r="J10" s="579"/>
      <c r="K10" s="579"/>
      <c r="L10" s="579"/>
      <c r="M10" s="579"/>
      <c r="N10" s="579"/>
      <c r="O10" s="579"/>
      <c r="P10" s="579"/>
    </row>
    <row r="11" spans="1:16" ht="21" customHeight="1" x14ac:dyDescent="0.4">
      <c r="B11" s="65"/>
      <c r="C11" s="65"/>
      <c r="D11" s="65"/>
      <c r="E11" s="65"/>
      <c r="F11" s="65"/>
      <c r="G11" s="65"/>
      <c r="H11" s="65"/>
      <c r="I11" s="65"/>
      <c r="J11" s="65"/>
      <c r="K11" s="65"/>
      <c r="L11" s="65"/>
      <c r="M11" s="65"/>
      <c r="N11" s="65"/>
      <c r="O11" s="65"/>
      <c r="P11" s="65"/>
    </row>
    <row r="12" spans="1:16" ht="11.25" customHeight="1" x14ac:dyDescent="0.2"/>
    <row r="13" spans="1:16" ht="60.75" customHeight="1" x14ac:dyDescent="0.2">
      <c r="B13" s="595" t="s">
        <v>887</v>
      </c>
      <c r="C13" s="595"/>
      <c r="D13" s="595"/>
      <c r="E13" s="595"/>
      <c r="F13" s="595"/>
      <c r="G13" s="595"/>
      <c r="H13" s="595"/>
      <c r="I13" s="595"/>
      <c r="J13" s="595"/>
      <c r="K13" s="595"/>
      <c r="L13" s="595"/>
      <c r="M13" s="595"/>
      <c r="N13" s="595"/>
      <c r="O13" s="595"/>
      <c r="P13" s="67"/>
    </row>
    <row r="14" spans="1:16" ht="77.25" customHeight="1" x14ac:dyDescent="0.2">
      <c r="A14" s="68"/>
      <c r="B14" s="595" t="s">
        <v>888</v>
      </c>
      <c r="C14" s="595"/>
      <c r="D14" s="595"/>
      <c r="E14" s="595"/>
      <c r="F14" s="595"/>
      <c r="G14" s="595"/>
      <c r="H14" s="595"/>
      <c r="I14" s="595"/>
      <c r="J14" s="595"/>
      <c r="K14" s="595"/>
      <c r="L14" s="595"/>
      <c r="M14" s="595"/>
      <c r="N14" s="595"/>
      <c r="O14" s="595"/>
      <c r="P14" s="67"/>
    </row>
    <row r="15" spans="1:16" ht="18" x14ac:dyDescent="0.2">
      <c r="A15" s="68"/>
      <c r="B15" s="66"/>
      <c r="C15" s="66"/>
      <c r="D15" s="66"/>
      <c r="E15" s="66"/>
      <c r="F15" s="66"/>
      <c r="G15" s="66"/>
      <c r="H15" s="66"/>
      <c r="I15" s="66"/>
      <c r="J15" s="66"/>
      <c r="K15" s="66"/>
      <c r="L15" s="66"/>
      <c r="M15" s="66"/>
      <c r="N15" s="66"/>
      <c r="O15" s="66"/>
      <c r="P15" s="67"/>
    </row>
    <row r="16" spans="1:16" ht="18" x14ac:dyDescent="0.2">
      <c r="A16" s="68"/>
      <c r="B16" s="69"/>
      <c r="C16" s="69"/>
      <c r="D16" s="70"/>
      <c r="E16" s="70"/>
      <c r="F16" s="69"/>
      <c r="G16" s="69"/>
      <c r="H16" s="69"/>
      <c r="I16" s="69"/>
      <c r="J16" s="69"/>
      <c r="K16" s="69"/>
      <c r="L16" s="69"/>
      <c r="M16" s="69"/>
      <c r="N16" s="69"/>
      <c r="O16" s="69"/>
      <c r="P16" s="69"/>
    </row>
    <row r="17" spans="2:15" ht="25.9" customHeight="1" x14ac:dyDescent="0.25">
      <c r="B17" s="414" t="s">
        <v>889</v>
      </c>
      <c r="C17" s="415"/>
      <c r="D17" s="606" t="str">
        <f>'Auto-Calibration record'!H14</f>
        <v>5.6mg/l RM8631b</v>
      </c>
      <c r="E17" s="606"/>
      <c r="F17" s="606"/>
      <c r="K17" s="416" t="s">
        <v>890</v>
      </c>
      <c r="L17" s="417"/>
      <c r="M17" s="417"/>
      <c r="N17" s="418"/>
      <c r="O17" s="419" t="str">
        <f>'Auto-Calibration record'!H18</f>
        <v>RM8631b</v>
      </c>
    </row>
    <row r="18" spans="2:15" ht="25.9" customHeight="1" x14ac:dyDescent="0.25">
      <c r="B18" s="414" t="s">
        <v>891</v>
      </c>
      <c r="C18" s="420"/>
      <c r="D18" s="607">
        <f>'Auto-Calibration record'!H15</f>
        <v>-1</v>
      </c>
      <c r="E18" s="608"/>
      <c r="F18" s="609"/>
      <c r="K18" s="380" t="s">
        <v>892</v>
      </c>
      <c r="L18" s="381"/>
      <c r="M18" s="381"/>
      <c r="N18" s="382"/>
      <c r="O18" s="421">
        <f>'Auto-Calibration record'!H16</f>
        <v>46190.6</v>
      </c>
    </row>
    <row r="19" spans="2:15" ht="25.9" customHeight="1" x14ac:dyDescent="0.25">
      <c r="B19" s="414" t="s">
        <v>893</v>
      </c>
      <c r="C19" s="420"/>
      <c r="D19" s="607" t="str">
        <f>'Auto-Calibration record'!H17</f>
        <v>-1 170626</v>
      </c>
      <c r="E19" s="608"/>
      <c r="F19" s="609"/>
      <c r="K19" s="416" t="s">
        <v>894</v>
      </c>
      <c r="L19" s="417"/>
      <c r="M19" s="417"/>
      <c r="N19" s="418"/>
      <c r="O19" s="422" t="str">
        <f>'Auto-Calibration record'!H19</f>
        <v>NOT SET</v>
      </c>
    </row>
    <row r="20" spans="2:15" ht="14.25" customHeight="1" x14ac:dyDescent="0.25">
      <c r="B20" s="71"/>
      <c r="D20" s="87"/>
      <c r="E20" s="88"/>
      <c r="K20" s="71"/>
      <c r="L20" s="72"/>
      <c r="M20" s="72"/>
      <c r="N20" s="72"/>
      <c r="O20" s="89"/>
    </row>
    <row r="21" spans="2:15" ht="15.75" x14ac:dyDescent="0.25">
      <c r="B21" s="73" t="s">
        <v>895</v>
      </c>
    </row>
    <row r="22" spans="2:15" ht="15.75" x14ac:dyDescent="0.25">
      <c r="B22" s="73" t="s">
        <v>896</v>
      </c>
      <c r="O22" s="74"/>
    </row>
    <row r="23" spans="2:15" ht="15.75" x14ac:dyDescent="0.25">
      <c r="B23" s="73" t="s">
        <v>897</v>
      </c>
    </row>
    <row r="24" spans="2:15" ht="15.75" x14ac:dyDescent="0.25">
      <c r="B24" s="73"/>
    </row>
    <row r="25" spans="2:15" x14ac:dyDescent="0.2">
      <c r="B25" s="75"/>
    </row>
    <row r="26" spans="2:15" s="76" customFormat="1" ht="67.5" customHeight="1" x14ac:dyDescent="0.2">
      <c r="D26" s="583" t="s">
        <v>898</v>
      </c>
      <c r="E26" s="583"/>
      <c r="F26" s="583" t="s">
        <v>899</v>
      </c>
      <c r="G26" s="583"/>
      <c r="H26" s="583" t="s">
        <v>900</v>
      </c>
      <c r="I26" s="583"/>
      <c r="J26" s="423" t="s">
        <v>901</v>
      </c>
      <c r="K26" s="423" t="s">
        <v>902</v>
      </c>
      <c r="L26" s="423" t="s">
        <v>903</v>
      </c>
    </row>
    <row r="27" spans="2:15" s="77" customFormat="1" ht="25.9" customHeight="1" x14ac:dyDescent="0.2">
      <c r="D27" s="584" t="s">
        <v>904</v>
      </c>
      <c r="E27" s="584"/>
      <c r="F27" s="584" t="s">
        <v>905</v>
      </c>
      <c r="G27" s="584"/>
      <c r="H27" s="584" t="s">
        <v>906</v>
      </c>
      <c r="I27" s="584"/>
      <c r="J27" s="424" t="s">
        <v>906</v>
      </c>
      <c r="K27" s="424" t="s">
        <v>906</v>
      </c>
      <c r="L27" s="424" t="s">
        <v>907</v>
      </c>
    </row>
    <row r="28" spans="2:15" s="77" customFormat="1" ht="25.9" customHeight="1" x14ac:dyDescent="0.2">
      <c r="D28" s="585" t="s">
        <v>908</v>
      </c>
      <c r="E28" s="585"/>
      <c r="F28" s="600">
        <f>'Auto-Calibration record'!B65</f>
        <v>80</v>
      </c>
      <c r="G28" s="600"/>
      <c r="H28" s="596">
        <f>'Auto-Calibration record'!B68</f>
        <v>1056340</v>
      </c>
      <c r="I28" s="596"/>
      <c r="J28" s="425">
        <f>'Auto-Calibration record'!I68</f>
        <v>1065116</v>
      </c>
      <c r="K28" s="425">
        <f t="shared" ref="K28:K35" si="0">J28-H28</f>
        <v>8776</v>
      </c>
      <c r="L28" s="383">
        <f t="shared" ref="L28:L35" si="1">K28/H28</f>
        <v>8.3079311585285039E-3</v>
      </c>
    </row>
    <row r="29" spans="2:15" s="77" customFormat="1" ht="25.9" customHeight="1" x14ac:dyDescent="0.2">
      <c r="D29" s="585" t="s">
        <v>909</v>
      </c>
      <c r="E29" s="585"/>
      <c r="F29" s="600">
        <f>'Auto-Calibration record'!C65</f>
        <v>194</v>
      </c>
      <c r="G29" s="600"/>
      <c r="H29" s="596">
        <f>'Auto-Calibration record'!B69</f>
        <v>459350</v>
      </c>
      <c r="I29" s="596"/>
      <c r="J29" s="425">
        <f>'Auto-Calibration record'!I69</f>
        <v>459710</v>
      </c>
      <c r="K29" s="425">
        <f t="shared" si="0"/>
        <v>360</v>
      </c>
      <c r="L29" s="383">
        <f t="shared" si="1"/>
        <v>7.8371612060520296E-4</v>
      </c>
    </row>
    <row r="30" spans="2:15" s="77" customFormat="1" ht="25.9" customHeight="1" x14ac:dyDescent="0.2">
      <c r="D30" s="585" t="s">
        <v>910</v>
      </c>
      <c r="E30" s="585"/>
      <c r="F30" s="600">
        <f>'Auto-Calibration record'!D65</f>
        <v>1032</v>
      </c>
      <c r="G30" s="600"/>
      <c r="H30" s="596">
        <f>'Auto-Calibration record'!B71</f>
        <v>36410</v>
      </c>
      <c r="I30" s="596"/>
      <c r="J30" s="425">
        <f>'Auto-Calibration record'!I71</f>
        <v>37720</v>
      </c>
      <c r="K30" s="425">
        <f t="shared" si="0"/>
        <v>1310</v>
      </c>
      <c r="L30" s="383">
        <f t="shared" si="1"/>
        <v>3.5979126613567704E-2</v>
      </c>
    </row>
    <row r="31" spans="2:15" s="77" customFormat="1" ht="25.9" customHeight="1" x14ac:dyDescent="0.2">
      <c r="D31" s="585" t="s">
        <v>911</v>
      </c>
      <c r="E31" s="585"/>
      <c r="F31" s="600">
        <f>'Auto-Calibration record'!E65</f>
        <v>2064</v>
      </c>
      <c r="G31" s="600"/>
      <c r="H31" s="596">
        <f>'Auto-Calibration record'!B72</f>
        <v>10940</v>
      </c>
      <c r="I31" s="596"/>
      <c r="J31" s="425">
        <f>'Auto-Calibration record'!I72</f>
        <v>11889</v>
      </c>
      <c r="K31" s="425">
        <f t="shared" si="0"/>
        <v>949</v>
      </c>
      <c r="L31" s="383">
        <f t="shared" si="1"/>
        <v>8.6745886654478979E-2</v>
      </c>
    </row>
    <row r="32" spans="2:15" s="77" customFormat="1" ht="25.9" customHeight="1" x14ac:dyDescent="0.2">
      <c r="D32" s="585" t="s">
        <v>912</v>
      </c>
      <c r="E32" s="585"/>
      <c r="F32" s="600">
        <f>'Auto-Calibration record'!F65</f>
        <v>3012</v>
      </c>
      <c r="G32" s="600"/>
      <c r="H32" s="596">
        <f>'Auto-Calibration record'!B73</f>
        <v>5210</v>
      </c>
      <c r="I32" s="596"/>
      <c r="J32" s="425">
        <f>'Auto-Calibration record'!I73</f>
        <v>5538</v>
      </c>
      <c r="K32" s="425">
        <f t="shared" si="0"/>
        <v>328</v>
      </c>
      <c r="L32" s="383">
        <f t="shared" si="1"/>
        <v>6.2955854126679464E-2</v>
      </c>
    </row>
    <row r="33" spans="2:12" s="77" customFormat="1" ht="25.9" customHeight="1" x14ac:dyDescent="0.2">
      <c r="D33" s="585" t="s">
        <v>913</v>
      </c>
      <c r="E33" s="585"/>
      <c r="F33" s="600">
        <f>'Auto-Calibration record'!G65</f>
        <v>10314</v>
      </c>
      <c r="G33" s="600"/>
      <c r="H33" s="596">
        <f>'Auto-Calibration record'!B74</f>
        <v>611.721</v>
      </c>
      <c r="I33" s="596"/>
      <c r="J33" s="425">
        <f>'Auto-Calibration record'!I74</f>
        <v>525</v>
      </c>
      <c r="K33" s="425">
        <f t="shared" si="0"/>
        <v>-86.721000000000004</v>
      </c>
      <c r="L33" s="383">
        <f t="shared" si="1"/>
        <v>-0.1417656088314771</v>
      </c>
    </row>
    <row r="34" spans="2:12" s="77" customFormat="1" ht="25.9" customHeight="1" x14ac:dyDescent="0.2">
      <c r="D34" s="585" t="s">
        <v>1006</v>
      </c>
      <c r="E34" s="585"/>
      <c r="F34" s="600">
        <f>'Auto-Calibration record'!H65</f>
        <v>16352</v>
      </c>
      <c r="G34" s="600"/>
      <c r="H34" s="596">
        <f>'Auto-Calibration record'!B75</f>
        <v>145.303</v>
      </c>
      <c r="I34" s="596"/>
      <c r="J34" s="425">
        <f>'Auto-Calibration record'!I75</f>
        <v>112</v>
      </c>
      <c r="K34" s="425">
        <f t="shared" si="0"/>
        <v>-33.302999999999997</v>
      </c>
      <c r="L34" s="383">
        <f t="shared" si="1"/>
        <v>-0.2291969195405463</v>
      </c>
    </row>
    <row r="35" spans="2:12" s="72" customFormat="1" ht="25.9" customHeight="1" x14ac:dyDescent="0.25">
      <c r="D35" s="585" t="s">
        <v>1007</v>
      </c>
      <c r="E35" s="585"/>
      <c r="F35" s="601">
        <f>'Auto-Calibration record'!I65</f>
        <v>25228</v>
      </c>
      <c r="G35" s="601"/>
      <c r="H35" s="596">
        <f>'Auto-Calibration record'!B76</f>
        <v>24.939</v>
      </c>
      <c r="I35" s="596"/>
      <c r="J35" s="427">
        <f>'Auto-Calibration record'!I76</f>
        <v>18</v>
      </c>
      <c r="K35" s="425">
        <f t="shared" si="0"/>
        <v>-6.9390000000000001</v>
      </c>
      <c r="L35" s="383">
        <f t="shared" si="1"/>
        <v>-0.27823890292313247</v>
      </c>
    </row>
    <row r="36" spans="2:12" ht="20.25" x14ac:dyDescent="0.3">
      <c r="D36" s="78" t="s">
        <v>916</v>
      </c>
      <c r="E36" s="79"/>
      <c r="F36" s="79"/>
      <c r="G36" s="79"/>
      <c r="H36" s="79"/>
      <c r="I36" s="79"/>
      <c r="J36" s="79"/>
      <c r="K36" s="79"/>
    </row>
    <row r="37" spans="2:12" ht="20.25" x14ac:dyDescent="0.3">
      <c r="B37" s="80"/>
      <c r="D37" s="79"/>
      <c r="E37" s="79"/>
      <c r="F37" s="79"/>
      <c r="G37" s="79"/>
      <c r="H37" s="79"/>
      <c r="I37" s="79"/>
      <c r="J37" s="79"/>
      <c r="K37" s="79"/>
    </row>
    <row r="38" spans="2:12" ht="81" customHeight="1" x14ac:dyDescent="0.2">
      <c r="B38" s="80"/>
      <c r="D38" s="423" t="s">
        <v>917</v>
      </c>
      <c r="E38" s="583" t="s">
        <v>918</v>
      </c>
      <c r="F38" s="583"/>
      <c r="G38" s="583" t="s">
        <v>919</v>
      </c>
      <c r="H38" s="583"/>
      <c r="I38" s="77"/>
      <c r="J38" s="106"/>
      <c r="K38" s="106"/>
      <c r="L38" s="106"/>
    </row>
    <row r="39" spans="2:12" ht="25.9" customHeight="1" x14ac:dyDescent="0.2">
      <c r="B39" s="80"/>
      <c r="D39" s="424" t="s">
        <v>905</v>
      </c>
      <c r="E39" s="584" t="s">
        <v>905</v>
      </c>
      <c r="F39" s="584"/>
      <c r="G39" s="584" t="s">
        <v>920</v>
      </c>
      <c r="H39" s="584"/>
      <c r="I39" s="81"/>
      <c r="J39" s="107"/>
      <c r="K39" s="107"/>
      <c r="L39" s="107"/>
    </row>
    <row r="40" spans="2:12" ht="25.9" customHeight="1" x14ac:dyDescent="0.2">
      <c r="B40" s="80"/>
      <c r="D40" s="428">
        <f>'Auto-Calibration record'!B11</f>
        <v>31</v>
      </c>
      <c r="E40" s="596">
        <f>F28-D40</f>
        <v>49</v>
      </c>
      <c r="F40" s="596"/>
      <c r="G40" s="610">
        <f>F28/D40</f>
        <v>2.5806451612903225</v>
      </c>
      <c r="H40" s="610"/>
      <c r="I40" s="81"/>
      <c r="J40" s="108"/>
      <c r="K40" s="109"/>
      <c r="L40" s="110"/>
    </row>
    <row r="41" spans="2:12" x14ac:dyDescent="0.2">
      <c r="B41" s="80"/>
      <c r="D41" s="227"/>
    </row>
    <row r="42" spans="2:12" x14ac:dyDescent="0.2">
      <c r="B42" s="80"/>
      <c r="D42" s="227"/>
    </row>
    <row r="43" spans="2:12" x14ac:dyDescent="0.2">
      <c r="B43" s="80"/>
      <c r="D43" s="227"/>
    </row>
    <row r="44" spans="2:12" x14ac:dyDescent="0.2">
      <c r="B44" s="80"/>
      <c r="D44" s="227"/>
    </row>
    <row r="45" spans="2:12" x14ac:dyDescent="0.2">
      <c r="B45" s="80"/>
      <c r="D45" s="227"/>
    </row>
    <row r="46" spans="2:12" x14ac:dyDescent="0.2">
      <c r="B46" s="80"/>
    </row>
    <row r="47" spans="2:12" x14ac:dyDescent="0.2">
      <c r="B47" s="80"/>
    </row>
    <row r="48" spans="2:12" x14ac:dyDescent="0.2">
      <c r="B48" s="80"/>
    </row>
    <row r="49" spans="2:2" x14ac:dyDescent="0.2">
      <c r="B49" s="80"/>
    </row>
    <row r="50" spans="2:2" x14ac:dyDescent="0.2">
      <c r="B50" s="80"/>
    </row>
    <row r="51" spans="2:2" x14ac:dyDescent="0.2">
      <c r="B51" s="80"/>
    </row>
    <row r="52" spans="2:2" x14ac:dyDescent="0.2">
      <c r="B52" s="80"/>
    </row>
    <row r="53" spans="2:2" x14ac:dyDescent="0.2">
      <c r="B53" s="80"/>
    </row>
    <row r="54" spans="2:2" x14ac:dyDescent="0.2">
      <c r="B54" s="80"/>
    </row>
    <row r="55" spans="2:2" x14ac:dyDescent="0.2">
      <c r="B55" s="80"/>
    </row>
    <row r="56" spans="2:2" x14ac:dyDescent="0.2">
      <c r="B56" s="80"/>
    </row>
    <row r="57" spans="2:2" x14ac:dyDescent="0.2">
      <c r="B57" s="80"/>
    </row>
    <row r="58" spans="2:2" x14ac:dyDescent="0.2">
      <c r="B58" s="80"/>
    </row>
    <row r="59" spans="2:2" x14ac:dyDescent="0.2">
      <c r="B59" s="80"/>
    </row>
    <row r="60" spans="2:2" x14ac:dyDescent="0.2">
      <c r="B60" s="80"/>
    </row>
    <row r="61" spans="2:2" x14ac:dyDescent="0.2">
      <c r="B61" s="80"/>
    </row>
    <row r="62" spans="2:2" x14ac:dyDescent="0.2">
      <c r="B62" s="80"/>
    </row>
    <row r="63" spans="2:2" x14ac:dyDescent="0.2">
      <c r="B63" s="80"/>
    </row>
    <row r="64" spans="2:2" x14ac:dyDescent="0.2">
      <c r="B64" s="80"/>
    </row>
    <row r="65" spans="2:16" x14ac:dyDescent="0.2">
      <c r="B65" s="80"/>
    </row>
    <row r="66" spans="2:16" x14ac:dyDescent="0.2">
      <c r="B66" s="80"/>
    </row>
    <row r="67" spans="2:16" x14ac:dyDescent="0.2">
      <c r="B67" s="80"/>
    </row>
    <row r="68" spans="2:16" x14ac:dyDescent="0.2">
      <c r="B68" s="80"/>
    </row>
    <row r="69" spans="2:16" ht="13.5" thickBot="1" x14ac:dyDescent="0.25">
      <c r="B69" s="82"/>
      <c r="C69" s="83"/>
      <c r="D69" s="83"/>
      <c r="E69" s="83"/>
      <c r="F69" s="83"/>
      <c r="G69" s="83"/>
      <c r="H69" s="83"/>
      <c r="I69" s="83"/>
      <c r="J69" s="83"/>
      <c r="K69" s="83"/>
      <c r="L69" s="83"/>
      <c r="M69" s="83"/>
      <c r="N69" s="83"/>
      <c r="O69" s="83"/>
      <c r="P69" s="83"/>
    </row>
    <row r="70" spans="2:16" ht="13.5" thickTop="1" x14ac:dyDescent="0.2">
      <c r="B70" s="80"/>
    </row>
    <row r="71" spans="2:16" ht="25.9" customHeight="1" x14ac:dyDescent="0.2"/>
    <row r="72" spans="2:16" s="64" customFormat="1" ht="25.9" customHeight="1" x14ac:dyDescent="0.2">
      <c r="B72" s="430" t="s">
        <v>921</v>
      </c>
      <c r="C72" s="431"/>
      <c r="D72" s="432" t="s">
        <v>922</v>
      </c>
      <c r="H72" s="1"/>
      <c r="I72" s="1"/>
      <c r="K72" s="586" t="s">
        <v>923</v>
      </c>
      <c r="L72" s="587"/>
      <c r="M72" s="587"/>
      <c r="N72" s="587"/>
      <c r="O72" s="588"/>
    </row>
    <row r="73" spans="2:16" s="64" customFormat="1" ht="25.9" customHeight="1" x14ac:dyDescent="0.2">
      <c r="H73" s="1"/>
      <c r="I73" s="1"/>
      <c r="K73" s="589"/>
      <c r="L73" s="590"/>
      <c r="M73" s="590"/>
      <c r="N73" s="590"/>
      <c r="O73" s="591"/>
    </row>
    <row r="74" spans="2:16" s="64" customFormat="1" ht="25.9" customHeight="1" x14ac:dyDescent="0.2">
      <c r="B74" s="430" t="s">
        <v>924</v>
      </c>
      <c r="C74" s="431"/>
      <c r="D74" s="580" t="s">
        <v>925</v>
      </c>
      <c r="E74" s="581"/>
      <c r="F74" s="581"/>
      <c r="G74" s="582"/>
      <c r="H74" s="1"/>
      <c r="I74" s="1"/>
      <c r="K74" s="589"/>
      <c r="L74" s="590"/>
      <c r="M74" s="590"/>
      <c r="N74" s="590"/>
      <c r="O74" s="591"/>
    </row>
    <row r="75" spans="2:16" s="64" customFormat="1" ht="25.9" customHeight="1" x14ac:dyDescent="0.2">
      <c r="K75" s="592"/>
      <c r="L75" s="593"/>
      <c r="M75" s="593"/>
      <c r="N75" s="593"/>
      <c r="O75" s="594"/>
    </row>
    <row r="76" spans="2:16" s="64" customFormat="1" ht="25.9" customHeight="1" x14ac:dyDescent="0.2">
      <c r="B76" s="430" t="s">
        <v>926</v>
      </c>
      <c r="C76" s="431"/>
      <c r="D76" s="602" t="str">
        <f>'Auto-Calibration record'!H26</f>
        <v>John Devereux</v>
      </c>
      <c r="E76" s="603"/>
      <c r="F76" s="604"/>
      <c r="K76" s="433" t="s">
        <v>927</v>
      </c>
      <c r="L76" s="597" t="s">
        <v>928</v>
      </c>
      <c r="M76" s="598"/>
      <c r="N76" s="598"/>
      <c r="O76" s="599"/>
      <c r="P76" s="84"/>
    </row>
    <row r="77" spans="2:16" ht="25.9" customHeight="1" x14ac:dyDescent="0.2">
      <c r="H77" s="64"/>
      <c r="I77" s="64"/>
      <c r="J77" s="64"/>
      <c r="K77" s="64"/>
    </row>
    <row r="78" spans="2:16" ht="15" x14ac:dyDescent="0.2">
      <c r="B78" s="80" t="s">
        <v>929</v>
      </c>
      <c r="H78" s="64"/>
      <c r="I78" s="64"/>
      <c r="J78" s="64"/>
      <c r="K78" s="64"/>
    </row>
    <row r="79" spans="2:16" ht="15" x14ac:dyDescent="0.2">
      <c r="B79" s="80" t="s">
        <v>930</v>
      </c>
      <c r="H79" s="64"/>
      <c r="I79" s="64"/>
      <c r="J79" s="64"/>
      <c r="K79" s="64"/>
    </row>
    <row r="80" spans="2:16" x14ac:dyDescent="0.2">
      <c r="B80" s="80" t="s">
        <v>931</v>
      </c>
    </row>
    <row r="83" spans="2:1011 1026:2035 2050:3059 3074:4083 4098:5107 5122:6131 6146:7155 7170:8179 8194:9203 9218:10227 10242:11251 11266:12275 12290:13299 13314:14323 14338:15347 15362:16371" x14ac:dyDescent="0.2">
      <c r="O83" s="85" t="s">
        <v>932</v>
      </c>
    </row>
    <row r="84" spans="2:1011 1026:2035 2050:3059 3074:4083 4098:5107 5122:6131 6146:7155 7170:8179 8194:9203 9218:10227 10242:11251 11266:12275 12290:13299 13314:14323 14338:15347 15362:16371" ht="15.6" customHeight="1" x14ac:dyDescent="0.2">
      <c r="B84" s="63" t="s">
        <v>879</v>
      </c>
      <c r="C84" s="60"/>
      <c r="O84" s="85" t="s">
        <v>841</v>
      </c>
    </row>
    <row r="85" spans="2:1011 1026:2035 2050:3059 3074:4083 4098:5107 5122:6131 6146:7155 7170:8179 8194:9203 9218:10227 10242:11251 11266:12275 12290:13299 13314:14323 14338:15347 15362:16371" ht="14.25" x14ac:dyDescent="0.2">
      <c r="B85" s="63" t="s">
        <v>933</v>
      </c>
      <c r="C85" s="60"/>
      <c r="O85" s="85" t="s">
        <v>19</v>
      </c>
    </row>
    <row r="86" spans="2:1011 1026:2035 2050:3059 3074:4083 4098:5107 5122:6131 6146:7155 7170:8179 8194:9203 9218:10227 10242:11251 11266:12275 12290:13299 13314:14323 14338:15347 15362:16371" ht="14.25" x14ac:dyDescent="0.2">
      <c r="B86" s="63" t="s">
        <v>934</v>
      </c>
      <c r="C86" s="60"/>
      <c r="L86" s="86"/>
      <c r="N86" s="86"/>
      <c r="O86" s="85" t="s">
        <v>20</v>
      </c>
    </row>
    <row r="87" spans="2:1011 1026:2035 2050:3059 3074:4083 4098:5107 5122:6131 6146:7155 7170:8179 8194:9203 9218:10227 10242:11251 11266:12275 12290:13299 13314:14323 14338:15347 15362:16371" ht="14.25" x14ac:dyDescent="0.2">
      <c r="B87" s="63" t="s">
        <v>882</v>
      </c>
      <c r="C87" s="60"/>
    </row>
    <row r="88" spans="2:1011 1026:2035 2050:3059 3074:4083 4098:5107 5122:6131 6146:7155 7170:8179 8194:9203 9218:10227 10242:11251 11266:12275 12290:13299 13314:14323 14338:15347 15362:16371" ht="14.25" x14ac:dyDescent="0.2">
      <c r="B88" s="63" t="s">
        <v>935</v>
      </c>
      <c r="C88" s="60"/>
    </row>
    <row r="89" spans="2:1011 1026:2035 2050:3059 3074:4083 4098:5107 5122:6131 6146:7155 7170:8179 8194:9203 9218:10227 10242:11251 11266:12275 12290:13299 13314:14323 14338:15347 15362:16371" ht="14.25" x14ac:dyDescent="0.2">
      <c r="B89" s="63" t="s">
        <v>936</v>
      </c>
      <c r="C89" s="60"/>
    </row>
    <row r="90" spans="2:1011 1026:2035 2050:3059 3074:4083 4098:5107 5122:6131 6146:7155 7170:8179 8194:9203 9218:10227 10242:11251 11266:12275 12290:13299 13314:14323 14338:15347 15362:16371" ht="14.25" x14ac:dyDescent="0.2">
      <c r="B90" s="34" t="s">
        <v>885</v>
      </c>
      <c r="C90" s="60"/>
      <c r="R90" s="63" t="s">
        <v>879</v>
      </c>
      <c r="S90" s="60"/>
      <c r="AH90" s="63" t="s">
        <v>879</v>
      </c>
      <c r="AI90" s="60"/>
      <c r="AX90" s="63" t="s">
        <v>879</v>
      </c>
      <c r="AY90" s="60"/>
      <c r="BN90" s="63" t="s">
        <v>879</v>
      </c>
      <c r="BO90" s="60"/>
      <c r="CD90" s="63" t="s">
        <v>879</v>
      </c>
      <c r="CE90" s="60"/>
      <c r="CT90" s="63" t="s">
        <v>879</v>
      </c>
      <c r="CU90" s="60"/>
      <c r="DJ90" s="63" t="s">
        <v>879</v>
      </c>
      <c r="DK90" s="60"/>
      <c r="DZ90" s="63" t="s">
        <v>879</v>
      </c>
      <c r="EA90" s="60"/>
      <c r="EP90" s="63" t="s">
        <v>879</v>
      </c>
      <c r="EQ90" s="60"/>
      <c r="FF90" s="63" t="s">
        <v>879</v>
      </c>
      <c r="FG90" s="60"/>
      <c r="FV90" s="63" t="s">
        <v>879</v>
      </c>
      <c r="FW90" s="60"/>
      <c r="GL90" s="63" t="s">
        <v>879</v>
      </c>
      <c r="GM90" s="60"/>
      <c r="HB90" s="63" t="s">
        <v>879</v>
      </c>
      <c r="HC90" s="60"/>
      <c r="HR90" s="63" t="s">
        <v>879</v>
      </c>
      <c r="HS90" s="60"/>
      <c r="IH90" s="63" t="s">
        <v>879</v>
      </c>
      <c r="II90" s="60"/>
      <c r="IX90" s="63" t="s">
        <v>879</v>
      </c>
      <c r="IY90" s="60"/>
      <c r="JN90" s="63" t="s">
        <v>879</v>
      </c>
      <c r="JO90" s="60"/>
      <c r="KD90" s="63" t="s">
        <v>879</v>
      </c>
      <c r="KE90" s="60"/>
      <c r="KT90" s="63" t="s">
        <v>879</v>
      </c>
      <c r="KU90" s="60"/>
      <c r="LJ90" s="63" t="s">
        <v>879</v>
      </c>
      <c r="LK90" s="60"/>
      <c r="LZ90" s="63" t="s">
        <v>879</v>
      </c>
      <c r="MA90" s="60"/>
      <c r="MP90" s="63" t="s">
        <v>879</v>
      </c>
      <c r="MQ90" s="60"/>
      <c r="NF90" s="63" t="s">
        <v>879</v>
      </c>
      <c r="NG90" s="60"/>
      <c r="NV90" s="63" t="s">
        <v>879</v>
      </c>
      <c r="NW90" s="60"/>
      <c r="OL90" s="63" t="s">
        <v>879</v>
      </c>
      <c r="OM90" s="60"/>
      <c r="PB90" s="63" t="s">
        <v>879</v>
      </c>
      <c r="PC90" s="60"/>
      <c r="PR90" s="63" t="s">
        <v>879</v>
      </c>
      <c r="PS90" s="60"/>
      <c r="QH90" s="63" t="s">
        <v>879</v>
      </c>
      <c r="QI90" s="60"/>
      <c r="QX90" s="63" t="s">
        <v>879</v>
      </c>
      <c r="QY90" s="60"/>
      <c r="RN90" s="63" t="s">
        <v>879</v>
      </c>
      <c r="RO90" s="60"/>
      <c r="SD90" s="63" t="s">
        <v>879</v>
      </c>
      <c r="SE90" s="60"/>
      <c r="ST90" s="63" t="s">
        <v>879</v>
      </c>
      <c r="SU90" s="60"/>
      <c r="TJ90" s="63" t="s">
        <v>879</v>
      </c>
      <c r="TK90" s="60"/>
      <c r="TZ90" s="63" t="s">
        <v>879</v>
      </c>
      <c r="UA90" s="60"/>
      <c r="UP90" s="63" t="s">
        <v>879</v>
      </c>
      <c r="UQ90" s="60"/>
      <c r="VF90" s="63" t="s">
        <v>879</v>
      </c>
      <c r="VG90" s="60"/>
      <c r="VV90" s="63" t="s">
        <v>879</v>
      </c>
      <c r="VW90" s="60"/>
      <c r="WL90" s="63" t="s">
        <v>879</v>
      </c>
      <c r="WM90" s="60"/>
      <c r="XB90" s="63" t="s">
        <v>879</v>
      </c>
      <c r="XC90" s="60"/>
      <c r="XR90" s="63" t="s">
        <v>879</v>
      </c>
      <c r="XS90" s="60"/>
      <c r="YH90" s="63" t="s">
        <v>879</v>
      </c>
      <c r="YI90" s="60"/>
      <c r="YX90" s="63" t="s">
        <v>879</v>
      </c>
      <c r="YY90" s="60"/>
      <c r="ZN90" s="63" t="s">
        <v>879</v>
      </c>
      <c r="ZO90" s="60"/>
      <c r="AAD90" s="63" t="s">
        <v>879</v>
      </c>
      <c r="AAE90" s="60"/>
      <c r="AAT90" s="63" t="s">
        <v>879</v>
      </c>
      <c r="AAU90" s="60"/>
      <c r="ABJ90" s="63" t="s">
        <v>879</v>
      </c>
      <c r="ABK90" s="60"/>
      <c r="ABZ90" s="63" t="s">
        <v>879</v>
      </c>
      <c r="ACA90" s="60"/>
      <c r="ACP90" s="63" t="s">
        <v>879</v>
      </c>
      <c r="ACQ90" s="60"/>
      <c r="ADF90" s="63" t="s">
        <v>879</v>
      </c>
      <c r="ADG90" s="60"/>
      <c r="ADV90" s="63" t="s">
        <v>879</v>
      </c>
      <c r="ADW90" s="60"/>
      <c r="AEL90" s="63" t="s">
        <v>879</v>
      </c>
      <c r="AEM90" s="60"/>
      <c r="AFB90" s="63" t="s">
        <v>879</v>
      </c>
      <c r="AFC90" s="60"/>
      <c r="AFR90" s="63" t="s">
        <v>879</v>
      </c>
      <c r="AFS90" s="60"/>
      <c r="AGH90" s="63" t="s">
        <v>879</v>
      </c>
      <c r="AGI90" s="60"/>
      <c r="AGX90" s="63" t="s">
        <v>879</v>
      </c>
      <c r="AGY90" s="60"/>
      <c r="AHN90" s="63" t="s">
        <v>879</v>
      </c>
      <c r="AHO90" s="60"/>
      <c r="AID90" s="63" t="s">
        <v>879</v>
      </c>
      <c r="AIE90" s="60"/>
      <c r="AIT90" s="63" t="s">
        <v>879</v>
      </c>
      <c r="AIU90" s="60"/>
      <c r="AJJ90" s="63" t="s">
        <v>879</v>
      </c>
      <c r="AJK90" s="60"/>
      <c r="AJZ90" s="63" t="s">
        <v>879</v>
      </c>
      <c r="AKA90" s="60"/>
      <c r="AKP90" s="63" t="s">
        <v>879</v>
      </c>
      <c r="AKQ90" s="60"/>
      <c r="ALF90" s="63" t="s">
        <v>879</v>
      </c>
      <c r="ALG90" s="60"/>
      <c r="ALV90" s="63" t="s">
        <v>879</v>
      </c>
      <c r="ALW90" s="60"/>
      <c r="AML90" s="63" t="s">
        <v>879</v>
      </c>
      <c r="AMM90" s="60"/>
      <c r="ANB90" s="63" t="s">
        <v>879</v>
      </c>
      <c r="ANC90" s="60"/>
      <c r="ANR90" s="63" t="s">
        <v>879</v>
      </c>
      <c r="ANS90" s="60"/>
      <c r="AOH90" s="63" t="s">
        <v>879</v>
      </c>
      <c r="AOI90" s="60"/>
      <c r="AOX90" s="63" t="s">
        <v>879</v>
      </c>
      <c r="AOY90" s="60"/>
      <c r="APN90" s="63" t="s">
        <v>879</v>
      </c>
      <c r="APO90" s="60"/>
      <c r="AQD90" s="63" t="s">
        <v>879</v>
      </c>
      <c r="AQE90" s="60"/>
      <c r="AQT90" s="63" t="s">
        <v>879</v>
      </c>
      <c r="AQU90" s="60"/>
      <c r="ARJ90" s="63" t="s">
        <v>879</v>
      </c>
      <c r="ARK90" s="60"/>
      <c r="ARZ90" s="63" t="s">
        <v>879</v>
      </c>
      <c r="ASA90" s="60"/>
      <c r="ASP90" s="63" t="s">
        <v>879</v>
      </c>
      <c r="ASQ90" s="60"/>
      <c r="ATF90" s="63" t="s">
        <v>879</v>
      </c>
      <c r="ATG90" s="60"/>
      <c r="ATV90" s="63" t="s">
        <v>879</v>
      </c>
      <c r="ATW90" s="60"/>
      <c r="AUL90" s="63" t="s">
        <v>879</v>
      </c>
      <c r="AUM90" s="60"/>
      <c r="AVB90" s="63" t="s">
        <v>879</v>
      </c>
      <c r="AVC90" s="60"/>
      <c r="AVR90" s="63" t="s">
        <v>879</v>
      </c>
      <c r="AVS90" s="60"/>
      <c r="AWH90" s="63" t="s">
        <v>879</v>
      </c>
      <c r="AWI90" s="60"/>
      <c r="AWX90" s="63" t="s">
        <v>879</v>
      </c>
      <c r="AWY90" s="60"/>
      <c r="AXN90" s="63" t="s">
        <v>879</v>
      </c>
      <c r="AXO90" s="60"/>
      <c r="AYD90" s="63" t="s">
        <v>879</v>
      </c>
      <c r="AYE90" s="60"/>
      <c r="AYT90" s="63" t="s">
        <v>879</v>
      </c>
      <c r="AYU90" s="60"/>
      <c r="AZJ90" s="63" t="s">
        <v>879</v>
      </c>
      <c r="AZK90" s="60"/>
      <c r="AZZ90" s="63" t="s">
        <v>879</v>
      </c>
      <c r="BAA90" s="60"/>
      <c r="BAP90" s="63" t="s">
        <v>879</v>
      </c>
      <c r="BAQ90" s="60"/>
      <c r="BBF90" s="63" t="s">
        <v>879</v>
      </c>
      <c r="BBG90" s="60"/>
      <c r="BBV90" s="63" t="s">
        <v>879</v>
      </c>
      <c r="BBW90" s="60"/>
      <c r="BCL90" s="63" t="s">
        <v>879</v>
      </c>
      <c r="BCM90" s="60"/>
      <c r="BDB90" s="63" t="s">
        <v>879</v>
      </c>
      <c r="BDC90" s="60"/>
      <c r="BDR90" s="63" t="s">
        <v>879</v>
      </c>
      <c r="BDS90" s="60"/>
      <c r="BEH90" s="63" t="s">
        <v>879</v>
      </c>
      <c r="BEI90" s="60"/>
      <c r="BEX90" s="63" t="s">
        <v>879</v>
      </c>
      <c r="BEY90" s="60"/>
      <c r="BFN90" s="63" t="s">
        <v>879</v>
      </c>
      <c r="BFO90" s="60"/>
      <c r="BGD90" s="63" t="s">
        <v>879</v>
      </c>
      <c r="BGE90" s="60"/>
      <c r="BGT90" s="63" t="s">
        <v>879</v>
      </c>
      <c r="BGU90" s="60"/>
      <c r="BHJ90" s="63" t="s">
        <v>879</v>
      </c>
      <c r="BHK90" s="60"/>
      <c r="BHZ90" s="63" t="s">
        <v>879</v>
      </c>
      <c r="BIA90" s="60"/>
      <c r="BIP90" s="63" t="s">
        <v>879</v>
      </c>
      <c r="BIQ90" s="60"/>
      <c r="BJF90" s="63" t="s">
        <v>879</v>
      </c>
      <c r="BJG90" s="60"/>
      <c r="BJV90" s="63" t="s">
        <v>879</v>
      </c>
      <c r="BJW90" s="60"/>
      <c r="BKL90" s="63" t="s">
        <v>879</v>
      </c>
      <c r="BKM90" s="60"/>
      <c r="BLB90" s="63" t="s">
        <v>879</v>
      </c>
      <c r="BLC90" s="60"/>
      <c r="BLR90" s="63" t="s">
        <v>879</v>
      </c>
      <c r="BLS90" s="60"/>
      <c r="BMH90" s="63" t="s">
        <v>879</v>
      </c>
      <c r="BMI90" s="60"/>
      <c r="BMX90" s="63" t="s">
        <v>879</v>
      </c>
      <c r="BMY90" s="60"/>
      <c r="BNN90" s="63" t="s">
        <v>879</v>
      </c>
      <c r="BNO90" s="60"/>
      <c r="BOD90" s="63" t="s">
        <v>879</v>
      </c>
      <c r="BOE90" s="60"/>
      <c r="BOT90" s="63" t="s">
        <v>879</v>
      </c>
      <c r="BOU90" s="60"/>
      <c r="BPJ90" s="63" t="s">
        <v>879</v>
      </c>
      <c r="BPK90" s="60"/>
      <c r="BPZ90" s="63" t="s">
        <v>879</v>
      </c>
      <c r="BQA90" s="60"/>
      <c r="BQP90" s="63" t="s">
        <v>879</v>
      </c>
      <c r="BQQ90" s="60"/>
      <c r="BRF90" s="63" t="s">
        <v>879</v>
      </c>
      <c r="BRG90" s="60"/>
      <c r="BRV90" s="63" t="s">
        <v>879</v>
      </c>
      <c r="BRW90" s="60"/>
      <c r="BSL90" s="63" t="s">
        <v>879</v>
      </c>
      <c r="BSM90" s="60"/>
      <c r="BTB90" s="63" t="s">
        <v>879</v>
      </c>
      <c r="BTC90" s="60"/>
      <c r="BTR90" s="63" t="s">
        <v>879</v>
      </c>
      <c r="BTS90" s="60"/>
      <c r="BUH90" s="63" t="s">
        <v>879</v>
      </c>
      <c r="BUI90" s="60"/>
      <c r="BUX90" s="63" t="s">
        <v>879</v>
      </c>
      <c r="BUY90" s="60"/>
      <c r="BVN90" s="63" t="s">
        <v>879</v>
      </c>
      <c r="BVO90" s="60"/>
      <c r="BWD90" s="63" t="s">
        <v>879</v>
      </c>
      <c r="BWE90" s="60"/>
      <c r="BWT90" s="63" t="s">
        <v>879</v>
      </c>
      <c r="BWU90" s="60"/>
      <c r="BXJ90" s="63" t="s">
        <v>879</v>
      </c>
      <c r="BXK90" s="60"/>
      <c r="BXZ90" s="63" t="s">
        <v>879</v>
      </c>
      <c r="BYA90" s="60"/>
      <c r="BYP90" s="63" t="s">
        <v>879</v>
      </c>
      <c r="BYQ90" s="60"/>
      <c r="BZF90" s="63" t="s">
        <v>879</v>
      </c>
      <c r="BZG90" s="60"/>
      <c r="BZV90" s="63" t="s">
        <v>879</v>
      </c>
      <c r="BZW90" s="60"/>
      <c r="CAL90" s="63" t="s">
        <v>879</v>
      </c>
      <c r="CAM90" s="60"/>
      <c r="CBB90" s="63" t="s">
        <v>879</v>
      </c>
      <c r="CBC90" s="60"/>
      <c r="CBR90" s="63" t="s">
        <v>879</v>
      </c>
      <c r="CBS90" s="60"/>
      <c r="CCH90" s="63" t="s">
        <v>879</v>
      </c>
      <c r="CCI90" s="60"/>
      <c r="CCX90" s="63" t="s">
        <v>879</v>
      </c>
      <c r="CCY90" s="60"/>
      <c r="CDN90" s="63" t="s">
        <v>879</v>
      </c>
      <c r="CDO90" s="60"/>
      <c r="CED90" s="63" t="s">
        <v>879</v>
      </c>
      <c r="CEE90" s="60"/>
      <c r="CET90" s="63" t="s">
        <v>879</v>
      </c>
      <c r="CEU90" s="60"/>
      <c r="CFJ90" s="63" t="s">
        <v>879</v>
      </c>
      <c r="CFK90" s="60"/>
      <c r="CFZ90" s="63" t="s">
        <v>879</v>
      </c>
      <c r="CGA90" s="60"/>
      <c r="CGP90" s="63" t="s">
        <v>879</v>
      </c>
      <c r="CGQ90" s="60"/>
      <c r="CHF90" s="63" t="s">
        <v>879</v>
      </c>
      <c r="CHG90" s="60"/>
      <c r="CHV90" s="63" t="s">
        <v>879</v>
      </c>
      <c r="CHW90" s="60"/>
      <c r="CIL90" s="63" t="s">
        <v>879</v>
      </c>
      <c r="CIM90" s="60"/>
      <c r="CJB90" s="63" t="s">
        <v>879</v>
      </c>
      <c r="CJC90" s="60"/>
      <c r="CJR90" s="63" t="s">
        <v>879</v>
      </c>
      <c r="CJS90" s="60"/>
      <c r="CKH90" s="63" t="s">
        <v>879</v>
      </c>
      <c r="CKI90" s="60"/>
      <c r="CKX90" s="63" t="s">
        <v>879</v>
      </c>
      <c r="CKY90" s="60"/>
      <c r="CLN90" s="63" t="s">
        <v>879</v>
      </c>
      <c r="CLO90" s="60"/>
      <c r="CMD90" s="63" t="s">
        <v>879</v>
      </c>
      <c r="CME90" s="60"/>
      <c r="CMT90" s="63" t="s">
        <v>879</v>
      </c>
      <c r="CMU90" s="60"/>
      <c r="CNJ90" s="63" t="s">
        <v>879</v>
      </c>
      <c r="CNK90" s="60"/>
      <c r="CNZ90" s="63" t="s">
        <v>879</v>
      </c>
      <c r="COA90" s="60"/>
      <c r="COP90" s="63" t="s">
        <v>879</v>
      </c>
      <c r="COQ90" s="60"/>
      <c r="CPF90" s="63" t="s">
        <v>879</v>
      </c>
      <c r="CPG90" s="60"/>
      <c r="CPV90" s="63" t="s">
        <v>879</v>
      </c>
      <c r="CPW90" s="60"/>
      <c r="CQL90" s="63" t="s">
        <v>879</v>
      </c>
      <c r="CQM90" s="60"/>
      <c r="CRB90" s="63" t="s">
        <v>879</v>
      </c>
      <c r="CRC90" s="60"/>
      <c r="CRR90" s="63" t="s">
        <v>879</v>
      </c>
      <c r="CRS90" s="60"/>
      <c r="CSH90" s="63" t="s">
        <v>879</v>
      </c>
      <c r="CSI90" s="60"/>
      <c r="CSX90" s="63" t="s">
        <v>879</v>
      </c>
      <c r="CSY90" s="60"/>
      <c r="CTN90" s="63" t="s">
        <v>879</v>
      </c>
      <c r="CTO90" s="60"/>
      <c r="CUD90" s="63" t="s">
        <v>879</v>
      </c>
      <c r="CUE90" s="60"/>
      <c r="CUT90" s="63" t="s">
        <v>879</v>
      </c>
      <c r="CUU90" s="60"/>
      <c r="CVJ90" s="63" t="s">
        <v>879</v>
      </c>
      <c r="CVK90" s="60"/>
      <c r="CVZ90" s="63" t="s">
        <v>879</v>
      </c>
      <c r="CWA90" s="60"/>
      <c r="CWP90" s="63" t="s">
        <v>879</v>
      </c>
      <c r="CWQ90" s="60"/>
      <c r="CXF90" s="63" t="s">
        <v>879</v>
      </c>
      <c r="CXG90" s="60"/>
      <c r="CXV90" s="63" t="s">
        <v>879</v>
      </c>
      <c r="CXW90" s="60"/>
      <c r="CYL90" s="63" t="s">
        <v>879</v>
      </c>
      <c r="CYM90" s="60"/>
      <c r="CZB90" s="63" t="s">
        <v>879</v>
      </c>
      <c r="CZC90" s="60"/>
      <c r="CZR90" s="63" t="s">
        <v>879</v>
      </c>
      <c r="CZS90" s="60"/>
      <c r="DAH90" s="63" t="s">
        <v>879</v>
      </c>
      <c r="DAI90" s="60"/>
      <c r="DAX90" s="63" t="s">
        <v>879</v>
      </c>
      <c r="DAY90" s="60"/>
      <c r="DBN90" s="63" t="s">
        <v>879</v>
      </c>
      <c r="DBO90" s="60"/>
      <c r="DCD90" s="63" t="s">
        <v>879</v>
      </c>
      <c r="DCE90" s="60"/>
      <c r="DCT90" s="63" t="s">
        <v>879</v>
      </c>
      <c r="DCU90" s="60"/>
      <c r="DDJ90" s="63" t="s">
        <v>879</v>
      </c>
      <c r="DDK90" s="60"/>
      <c r="DDZ90" s="63" t="s">
        <v>879</v>
      </c>
      <c r="DEA90" s="60"/>
      <c r="DEP90" s="63" t="s">
        <v>879</v>
      </c>
      <c r="DEQ90" s="60"/>
      <c r="DFF90" s="63" t="s">
        <v>879</v>
      </c>
      <c r="DFG90" s="60"/>
      <c r="DFV90" s="63" t="s">
        <v>879</v>
      </c>
      <c r="DFW90" s="60"/>
      <c r="DGL90" s="63" t="s">
        <v>879</v>
      </c>
      <c r="DGM90" s="60"/>
      <c r="DHB90" s="63" t="s">
        <v>879</v>
      </c>
      <c r="DHC90" s="60"/>
      <c r="DHR90" s="63" t="s">
        <v>879</v>
      </c>
      <c r="DHS90" s="60"/>
      <c r="DIH90" s="63" t="s">
        <v>879</v>
      </c>
      <c r="DII90" s="60"/>
      <c r="DIX90" s="63" t="s">
        <v>879</v>
      </c>
      <c r="DIY90" s="60"/>
      <c r="DJN90" s="63" t="s">
        <v>879</v>
      </c>
      <c r="DJO90" s="60"/>
      <c r="DKD90" s="63" t="s">
        <v>879</v>
      </c>
      <c r="DKE90" s="60"/>
      <c r="DKT90" s="63" t="s">
        <v>879</v>
      </c>
      <c r="DKU90" s="60"/>
      <c r="DLJ90" s="63" t="s">
        <v>879</v>
      </c>
      <c r="DLK90" s="60"/>
      <c r="DLZ90" s="63" t="s">
        <v>879</v>
      </c>
      <c r="DMA90" s="60"/>
      <c r="DMP90" s="63" t="s">
        <v>879</v>
      </c>
      <c r="DMQ90" s="60"/>
      <c r="DNF90" s="63" t="s">
        <v>879</v>
      </c>
      <c r="DNG90" s="60"/>
      <c r="DNV90" s="63" t="s">
        <v>879</v>
      </c>
      <c r="DNW90" s="60"/>
      <c r="DOL90" s="63" t="s">
        <v>879</v>
      </c>
      <c r="DOM90" s="60"/>
      <c r="DPB90" s="63" t="s">
        <v>879</v>
      </c>
      <c r="DPC90" s="60"/>
      <c r="DPR90" s="63" t="s">
        <v>879</v>
      </c>
      <c r="DPS90" s="60"/>
      <c r="DQH90" s="63" t="s">
        <v>879</v>
      </c>
      <c r="DQI90" s="60"/>
      <c r="DQX90" s="63" t="s">
        <v>879</v>
      </c>
      <c r="DQY90" s="60"/>
      <c r="DRN90" s="63" t="s">
        <v>879</v>
      </c>
      <c r="DRO90" s="60"/>
      <c r="DSD90" s="63" t="s">
        <v>879</v>
      </c>
      <c r="DSE90" s="60"/>
      <c r="DST90" s="63" t="s">
        <v>879</v>
      </c>
      <c r="DSU90" s="60"/>
      <c r="DTJ90" s="63" t="s">
        <v>879</v>
      </c>
      <c r="DTK90" s="60"/>
      <c r="DTZ90" s="63" t="s">
        <v>879</v>
      </c>
      <c r="DUA90" s="60"/>
      <c r="DUP90" s="63" t="s">
        <v>879</v>
      </c>
      <c r="DUQ90" s="60"/>
      <c r="DVF90" s="63" t="s">
        <v>879</v>
      </c>
      <c r="DVG90" s="60"/>
      <c r="DVV90" s="63" t="s">
        <v>879</v>
      </c>
      <c r="DVW90" s="60"/>
      <c r="DWL90" s="63" t="s">
        <v>879</v>
      </c>
      <c r="DWM90" s="60"/>
      <c r="DXB90" s="63" t="s">
        <v>879</v>
      </c>
      <c r="DXC90" s="60"/>
      <c r="DXR90" s="63" t="s">
        <v>879</v>
      </c>
      <c r="DXS90" s="60"/>
      <c r="DYH90" s="63" t="s">
        <v>879</v>
      </c>
      <c r="DYI90" s="60"/>
      <c r="DYX90" s="63" t="s">
        <v>879</v>
      </c>
      <c r="DYY90" s="60"/>
      <c r="DZN90" s="63" t="s">
        <v>879</v>
      </c>
      <c r="DZO90" s="60"/>
      <c r="EAD90" s="63" t="s">
        <v>879</v>
      </c>
      <c r="EAE90" s="60"/>
      <c r="EAT90" s="63" t="s">
        <v>879</v>
      </c>
      <c r="EAU90" s="60"/>
      <c r="EBJ90" s="63" t="s">
        <v>879</v>
      </c>
      <c r="EBK90" s="60"/>
      <c r="EBZ90" s="63" t="s">
        <v>879</v>
      </c>
      <c r="ECA90" s="60"/>
      <c r="ECP90" s="63" t="s">
        <v>879</v>
      </c>
      <c r="ECQ90" s="60"/>
      <c r="EDF90" s="63" t="s">
        <v>879</v>
      </c>
      <c r="EDG90" s="60"/>
      <c r="EDV90" s="63" t="s">
        <v>879</v>
      </c>
      <c r="EDW90" s="60"/>
      <c r="EEL90" s="63" t="s">
        <v>879</v>
      </c>
      <c r="EEM90" s="60"/>
      <c r="EFB90" s="63" t="s">
        <v>879</v>
      </c>
      <c r="EFC90" s="60"/>
      <c r="EFR90" s="63" t="s">
        <v>879</v>
      </c>
      <c r="EFS90" s="60"/>
      <c r="EGH90" s="63" t="s">
        <v>879</v>
      </c>
      <c r="EGI90" s="60"/>
      <c r="EGX90" s="63" t="s">
        <v>879</v>
      </c>
      <c r="EGY90" s="60"/>
      <c r="EHN90" s="63" t="s">
        <v>879</v>
      </c>
      <c r="EHO90" s="60"/>
      <c r="EID90" s="63" t="s">
        <v>879</v>
      </c>
      <c r="EIE90" s="60"/>
      <c r="EIT90" s="63" t="s">
        <v>879</v>
      </c>
      <c r="EIU90" s="60"/>
      <c r="EJJ90" s="63" t="s">
        <v>879</v>
      </c>
      <c r="EJK90" s="60"/>
      <c r="EJZ90" s="63" t="s">
        <v>879</v>
      </c>
      <c r="EKA90" s="60"/>
      <c r="EKP90" s="63" t="s">
        <v>879</v>
      </c>
      <c r="EKQ90" s="60"/>
      <c r="ELF90" s="63" t="s">
        <v>879</v>
      </c>
      <c r="ELG90" s="60"/>
      <c r="ELV90" s="63" t="s">
        <v>879</v>
      </c>
      <c r="ELW90" s="60"/>
      <c r="EML90" s="63" t="s">
        <v>879</v>
      </c>
      <c r="EMM90" s="60"/>
      <c r="ENB90" s="63" t="s">
        <v>879</v>
      </c>
      <c r="ENC90" s="60"/>
      <c r="ENR90" s="63" t="s">
        <v>879</v>
      </c>
      <c r="ENS90" s="60"/>
      <c r="EOH90" s="63" t="s">
        <v>879</v>
      </c>
      <c r="EOI90" s="60"/>
      <c r="EOX90" s="63" t="s">
        <v>879</v>
      </c>
      <c r="EOY90" s="60"/>
      <c r="EPN90" s="63" t="s">
        <v>879</v>
      </c>
      <c r="EPO90" s="60"/>
      <c r="EQD90" s="63" t="s">
        <v>879</v>
      </c>
      <c r="EQE90" s="60"/>
      <c r="EQT90" s="63" t="s">
        <v>879</v>
      </c>
      <c r="EQU90" s="60"/>
      <c r="ERJ90" s="63" t="s">
        <v>879</v>
      </c>
      <c r="ERK90" s="60"/>
      <c r="ERZ90" s="63" t="s">
        <v>879</v>
      </c>
      <c r="ESA90" s="60"/>
      <c r="ESP90" s="63" t="s">
        <v>879</v>
      </c>
      <c r="ESQ90" s="60"/>
      <c r="ETF90" s="63" t="s">
        <v>879</v>
      </c>
      <c r="ETG90" s="60"/>
      <c r="ETV90" s="63" t="s">
        <v>879</v>
      </c>
      <c r="ETW90" s="60"/>
      <c r="EUL90" s="63" t="s">
        <v>879</v>
      </c>
      <c r="EUM90" s="60"/>
      <c r="EVB90" s="63" t="s">
        <v>879</v>
      </c>
      <c r="EVC90" s="60"/>
      <c r="EVR90" s="63" t="s">
        <v>879</v>
      </c>
      <c r="EVS90" s="60"/>
      <c r="EWH90" s="63" t="s">
        <v>879</v>
      </c>
      <c r="EWI90" s="60"/>
      <c r="EWX90" s="63" t="s">
        <v>879</v>
      </c>
      <c r="EWY90" s="60"/>
      <c r="EXN90" s="63" t="s">
        <v>879</v>
      </c>
      <c r="EXO90" s="60"/>
      <c r="EYD90" s="63" t="s">
        <v>879</v>
      </c>
      <c r="EYE90" s="60"/>
      <c r="EYT90" s="63" t="s">
        <v>879</v>
      </c>
      <c r="EYU90" s="60"/>
      <c r="EZJ90" s="63" t="s">
        <v>879</v>
      </c>
      <c r="EZK90" s="60"/>
      <c r="EZZ90" s="63" t="s">
        <v>879</v>
      </c>
      <c r="FAA90" s="60"/>
      <c r="FAP90" s="63" t="s">
        <v>879</v>
      </c>
      <c r="FAQ90" s="60"/>
      <c r="FBF90" s="63" t="s">
        <v>879</v>
      </c>
      <c r="FBG90" s="60"/>
      <c r="FBV90" s="63" t="s">
        <v>879</v>
      </c>
      <c r="FBW90" s="60"/>
      <c r="FCL90" s="63" t="s">
        <v>879</v>
      </c>
      <c r="FCM90" s="60"/>
      <c r="FDB90" s="63" t="s">
        <v>879</v>
      </c>
      <c r="FDC90" s="60"/>
      <c r="FDR90" s="63" t="s">
        <v>879</v>
      </c>
      <c r="FDS90" s="60"/>
      <c r="FEH90" s="63" t="s">
        <v>879</v>
      </c>
      <c r="FEI90" s="60"/>
      <c r="FEX90" s="63" t="s">
        <v>879</v>
      </c>
      <c r="FEY90" s="60"/>
      <c r="FFN90" s="63" t="s">
        <v>879</v>
      </c>
      <c r="FFO90" s="60"/>
      <c r="FGD90" s="63" t="s">
        <v>879</v>
      </c>
      <c r="FGE90" s="60"/>
      <c r="FGT90" s="63" t="s">
        <v>879</v>
      </c>
      <c r="FGU90" s="60"/>
      <c r="FHJ90" s="63" t="s">
        <v>879</v>
      </c>
      <c r="FHK90" s="60"/>
      <c r="FHZ90" s="63" t="s">
        <v>879</v>
      </c>
      <c r="FIA90" s="60"/>
      <c r="FIP90" s="63" t="s">
        <v>879</v>
      </c>
      <c r="FIQ90" s="60"/>
      <c r="FJF90" s="63" t="s">
        <v>879</v>
      </c>
      <c r="FJG90" s="60"/>
      <c r="FJV90" s="63" t="s">
        <v>879</v>
      </c>
      <c r="FJW90" s="60"/>
      <c r="FKL90" s="63" t="s">
        <v>879</v>
      </c>
      <c r="FKM90" s="60"/>
      <c r="FLB90" s="63" t="s">
        <v>879</v>
      </c>
      <c r="FLC90" s="60"/>
      <c r="FLR90" s="63" t="s">
        <v>879</v>
      </c>
      <c r="FLS90" s="60"/>
      <c r="FMH90" s="63" t="s">
        <v>879</v>
      </c>
      <c r="FMI90" s="60"/>
      <c r="FMX90" s="63" t="s">
        <v>879</v>
      </c>
      <c r="FMY90" s="60"/>
      <c r="FNN90" s="63" t="s">
        <v>879</v>
      </c>
      <c r="FNO90" s="60"/>
      <c r="FOD90" s="63" t="s">
        <v>879</v>
      </c>
      <c r="FOE90" s="60"/>
      <c r="FOT90" s="63" t="s">
        <v>879</v>
      </c>
      <c r="FOU90" s="60"/>
      <c r="FPJ90" s="63" t="s">
        <v>879</v>
      </c>
      <c r="FPK90" s="60"/>
      <c r="FPZ90" s="63" t="s">
        <v>879</v>
      </c>
      <c r="FQA90" s="60"/>
      <c r="FQP90" s="63" t="s">
        <v>879</v>
      </c>
      <c r="FQQ90" s="60"/>
      <c r="FRF90" s="63" t="s">
        <v>879</v>
      </c>
      <c r="FRG90" s="60"/>
      <c r="FRV90" s="63" t="s">
        <v>879</v>
      </c>
      <c r="FRW90" s="60"/>
      <c r="FSL90" s="63" t="s">
        <v>879</v>
      </c>
      <c r="FSM90" s="60"/>
      <c r="FTB90" s="63" t="s">
        <v>879</v>
      </c>
      <c r="FTC90" s="60"/>
      <c r="FTR90" s="63" t="s">
        <v>879</v>
      </c>
      <c r="FTS90" s="60"/>
      <c r="FUH90" s="63" t="s">
        <v>879</v>
      </c>
      <c r="FUI90" s="60"/>
      <c r="FUX90" s="63" t="s">
        <v>879</v>
      </c>
      <c r="FUY90" s="60"/>
      <c r="FVN90" s="63" t="s">
        <v>879</v>
      </c>
      <c r="FVO90" s="60"/>
      <c r="FWD90" s="63" t="s">
        <v>879</v>
      </c>
      <c r="FWE90" s="60"/>
      <c r="FWT90" s="63" t="s">
        <v>879</v>
      </c>
      <c r="FWU90" s="60"/>
      <c r="FXJ90" s="63" t="s">
        <v>879</v>
      </c>
      <c r="FXK90" s="60"/>
      <c r="FXZ90" s="63" t="s">
        <v>879</v>
      </c>
      <c r="FYA90" s="60"/>
      <c r="FYP90" s="63" t="s">
        <v>879</v>
      </c>
      <c r="FYQ90" s="60"/>
      <c r="FZF90" s="63" t="s">
        <v>879</v>
      </c>
      <c r="FZG90" s="60"/>
      <c r="FZV90" s="63" t="s">
        <v>879</v>
      </c>
      <c r="FZW90" s="60"/>
      <c r="GAL90" s="63" t="s">
        <v>879</v>
      </c>
      <c r="GAM90" s="60"/>
      <c r="GBB90" s="63" t="s">
        <v>879</v>
      </c>
      <c r="GBC90" s="60"/>
      <c r="GBR90" s="63" t="s">
        <v>879</v>
      </c>
      <c r="GBS90" s="60"/>
      <c r="GCH90" s="63" t="s">
        <v>879</v>
      </c>
      <c r="GCI90" s="60"/>
      <c r="GCX90" s="63" t="s">
        <v>879</v>
      </c>
      <c r="GCY90" s="60"/>
      <c r="GDN90" s="63" t="s">
        <v>879</v>
      </c>
      <c r="GDO90" s="60"/>
      <c r="GED90" s="63" t="s">
        <v>879</v>
      </c>
      <c r="GEE90" s="60"/>
      <c r="GET90" s="63" t="s">
        <v>879</v>
      </c>
      <c r="GEU90" s="60"/>
      <c r="GFJ90" s="63" t="s">
        <v>879</v>
      </c>
      <c r="GFK90" s="60"/>
      <c r="GFZ90" s="63" t="s">
        <v>879</v>
      </c>
      <c r="GGA90" s="60"/>
      <c r="GGP90" s="63" t="s">
        <v>879</v>
      </c>
      <c r="GGQ90" s="60"/>
      <c r="GHF90" s="63" t="s">
        <v>879</v>
      </c>
      <c r="GHG90" s="60"/>
      <c r="GHV90" s="63" t="s">
        <v>879</v>
      </c>
      <c r="GHW90" s="60"/>
      <c r="GIL90" s="63" t="s">
        <v>879</v>
      </c>
      <c r="GIM90" s="60"/>
      <c r="GJB90" s="63" t="s">
        <v>879</v>
      </c>
      <c r="GJC90" s="60"/>
      <c r="GJR90" s="63" t="s">
        <v>879</v>
      </c>
      <c r="GJS90" s="60"/>
      <c r="GKH90" s="63" t="s">
        <v>879</v>
      </c>
      <c r="GKI90" s="60"/>
      <c r="GKX90" s="63" t="s">
        <v>879</v>
      </c>
      <c r="GKY90" s="60"/>
      <c r="GLN90" s="63" t="s">
        <v>879</v>
      </c>
      <c r="GLO90" s="60"/>
      <c r="GMD90" s="63" t="s">
        <v>879</v>
      </c>
      <c r="GME90" s="60"/>
      <c r="GMT90" s="63" t="s">
        <v>879</v>
      </c>
      <c r="GMU90" s="60"/>
      <c r="GNJ90" s="63" t="s">
        <v>879</v>
      </c>
      <c r="GNK90" s="60"/>
      <c r="GNZ90" s="63" t="s">
        <v>879</v>
      </c>
      <c r="GOA90" s="60"/>
      <c r="GOP90" s="63" t="s">
        <v>879</v>
      </c>
      <c r="GOQ90" s="60"/>
      <c r="GPF90" s="63" t="s">
        <v>879</v>
      </c>
      <c r="GPG90" s="60"/>
      <c r="GPV90" s="63" t="s">
        <v>879</v>
      </c>
      <c r="GPW90" s="60"/>
      <c r="GQL90" s="63" t="s">
        <v>879</v>
      </c>
      <c r="GQM90" s="60"/>
      <c r="GRB90" s="63" t="s">
        <v>879</v>
      </c>
      <c r="GRC90" s="60"/>
      <c r="GRR90" s="63" t="s">
        <v>879</v>
      </c>
      <c r="GRS90" s="60"/>
      <c r="GSH90" s="63" t="s">
        <v>879</v>
      </c>
      <c r="GSI90" s="60"/>
      <c r="GSX90" s="63" t="s">
        <v>879</v>
      </c>
      <c r="GSY90" s="60"/>
      <c r="GTN90" s="63" t="s">
        <v>879</v>
      </c>
      <c r="GTO90" s="60"/>
      <c r="GUD90" s="63" t="s">
        <v>879</v>
      </c>
      <c r="GUE90" s="60"/>
      <c r="GUT90" s="63" t="s">
        <v>879</v>
      </c>
      <c r="GUU90" s="60"/>
      <c r="GVJ90" s="63" t="s">
        <v>879</v>
      </c>
      <c r="GVK90" s="60"/>
      <c r="GVZ90" s="63" t="s">
        <v>879</v>
      </c>
      <c r="GWA90" s="60"/>
      <c r="GWP90" s="63" t="s">
        <v>879</v>
      </c>
      <c r="GWQ90" s="60"/>
      <c r="GXF90" s="63" t="s">
        <v>879</v>
      </c>
      <c r="GXG90" s="60"/>
      <c r="GXV90" s="63" t="s">
        <v>879</v>
      </c>
      <c r="GXW90" s="60"/>
      <c r="GYL90" s="63" t="s">
        <v>879</v>
      </c>
      <c r="GYM90" s="60"/>
      <c r="GZB90" s="63" t="s">
        <v>879</v>
      </c>
      <c r="GZC90" s="60"/>
      <c r="GZR90" s="63" t="s">
        <v>879</v>
      </c>
      <c r="GZS90" s="60"/>
      <c r="HAH90" s="63" t="s">
        <v>879</v>
      </c>
      <c r="HAI90" s="60"/>
      <c r="HAX90" s="63" t="s">
        <v>879</v>
      </c>
      <c r="HAY90" s="60"/>
      <c r="HBN90" s="63" t="s">
        <v>879</v>
      </c>
      <c r="HBO90" s="60"/>
      <c r="HCD90" s="63" t="s">
        <v>879</v>
      </c>
      <c r="HCE90" s="60"/>
      <c r="HCT90" s="63" t="s">
        <v>879</v>
      </c>
      <c r="HCU90" s="60"/>
      <c r="HDJ90" s="63" t="s">
        <v>879</v>
      </c>
      <c r="HDK90" s="60"/>
      <c r="HDZ90" s="63" t="s">
        <v>879</v>
      </c>
      <c r="HEA90" s="60"/>
      <c r="HEP90" s="63" t="s">
        <v>879</v>
      </c>
      <c r="HEQ90" s="60"/>
      <c r="HFF90" s="63" t="s">
        <v>879</v>
      </c>
      <c r="HFG90" s="60"/>
      <c r="HFV90" s="63" t="s">
        <v>879</v>
      </c>
      <c r="HFW90" s="60"/>
      <c r="HGL90" s="63" t="s">
        <v>879</v>
      </c>
      <c r="HGM90" s="60"/>
      <c r="HHB90" s="63" t="s">
        <v>879</v>
      </c>
      <c r="HHC90" s="60"/>
      <c r="HHR90" s="63" t="s">
        <v>879</v>
      </c>
      <c r="HHS90" s="60"/>
      <c r="HIH90" s="63" t="s">
        <v>879</v>
      </c>
      <c r="HII90" s="60"/>
      <c r="HIX90" s="63" t="s">
        <v>879</v>
      </c>
      <c r="HIY90" s="60"/>
      <c r="HJN90" s="63" t="s">
        <v>879</v>
      </c>
      <c r="HJO90" s="60"/>
      <c r="HKD90" s="63" t="s">
        <v>879</v>
      </c>
      <c r="HKE90" s="60"/>
      <c r="HKT90" s="63" t="s">
        <v>879</v>
      </c>
      <c r="HKU90" s="60"/>
      <c r="HLJ90" s="63" t="s">
        <v>879</v>
      </c>
      <c r="HLK90" s="60"/>
      <c r="HLZ90" s="63" t="s">
        <v>879</v>
      </c>
      <c r="HMA90" s="60"/>
      <c r="HMP90" s="63" t="s">
        <v>879</v>
      </c>
      <c r="HMQ90" s="60"/>
      <c r="HNF90" s="63" t="s">
        <v>879</v>
      </c>
      <c r="HNG90" s="60"/>
      <c r="HNV90" s="63" t="s">
        <v>879</v>
      </c>
      <c r="HNW90" s="60"/>
      <c r="HOL90" s="63" t="s">
        <v>879</v>
      </c>
      <c r="HOM90" s="60"/>
      <c r="HPB90" s="63" t="s">
        <v>879</v>
      </c>
      <c r="HPC90" s="60"/>
      <c r="HPR90" s="63" t="s">
        <v>879</v>
      </c>
      <c r="HPS90" s="60"/>
      <c r="HQH90" s="63" t="s">
        <v>879</v>
      </c>
      <c r="HQI90" s="60"/>
      <c r="HQX90" s="63" t="s">
        <v>879</v>
      </c>
      <c r="HQY90" s="60"/>
      <c r="HRN90" s="63" t="s">
        <v>879</v>
      </c>
      <c r="HRO90" s="60"/>
      <c r="HSD90" s="63" t="s">
        <v>879</v>
      </c>
      <c r="HSE90" s="60"/>
      <c r="HST90" s="63" t="s">
        <v>879</v>
      </c>
      <c r="HSU90" s="60"/>
      <c r="HTJ90" s="63" t="s">
        <v>879</v>
      </c>
      <c r="HTK90" s="60"/>
      <c r="HTZ90" s="63" t="s">
        <v>879</v>
      </c>
      <c r="HUA90" s="60"/>
      <c r="HUP90" s="63" t="s">
        <v>879</v>
      </c>
      <c r="HUQ90" s="60"/>
      <c r="HVF90" s="63" t="s">
        <v>879</v>
      </c>
      <c r="HVG90" s="60"/>
      <c r="HVV90" s="63" t="s">
        <v>879</v>
      </c>
      <c r="HVW90" s="60"/>
      <c r="HWL90" s="63" t="s">
        <v>879</v>
      </c>
      <c r="HWM90" s="60"/>
      <c r="HXB90" s="63" t="s">
        <v>879</v>
      </c>
      <c r="HXC90" s="60"/>
      <c r="HXR90" s="63" t="s">
        <v>879</v>
      </c>
      <c r="HXS90" s="60"/>
      <c r="HYH90" s="63" t="s">
        <v>879</v>
      </c>
      <c r="HYI90" s="60"/>
      <c r="HYX90" s="63" t="s">
        <v>879</v>
      </c>
      <c r="HYY90" s="60"/>
      <c r="HZN90" s="63" t="s">
        <v>879</v>
      </c>
      <c r="HZO90" s="60"/>
      <c r="IAD90" s="63" t="s">
        <v>879</v>
      </c>
      <c r="IAE90" s="60"/>
      <c r="IAT90" s="63" t="s">
        <v>879</v>
      </c>
      <c r="IAU90" s="60"/>
      <c r="IBJ90" s="63" t="s">
        <v>879</v>
      </c>
      <c r="IBK90" s="60"/>
      <c r="IBZ90" s="63" t="s">
        <v>879</v>
      </c>
      <c r="ICA90" s="60"/>
      <c r="ICP90" s="63" t="s">
        <v>879</v>
      </c>
      <c r="ICQ90" s="60"/>
      <c r="IDF90" s="63" t="s">
        <v>879</v>
      </c>
      <c r="IDG90" s="60"/>
      <c r="IDV90" s="63" t="s">
        <v>879</v>
      </c>
      <c r="IDW90" s="60"/>
      <c r="IEL90" s="63" t="s">
        <v>879</v>
      </c>
      <c r="IEM90" s="60"/>
      <c r="IFB90" s="63" t="s">
        <v>879</v>
      </c>
      <c r="IFC90" s="60"/>
      <c r="IFR90" s="63" t="s">
        <v>879</v>
      </c>
      <c r="IFS90" s="60"/>
      <c r="IGH90" s="63" t="s">
        <v>879</v>
      </c>
      <c r="IGI90" s="60"/>
      <c r="IGX90" s="63" t="s">
        <v>879</v>
      </c>
      <c r="IGY90" s="60"/>
      <c r="IHN90" s="63" t="s">
        <v>879</v>
      </c>
      <c r="IHO90" s="60"/>
      <c r="IID90" s="63" t="s">
        <v>879</v>
      </c>
      <c r="IIE90" s="60"/>
      <c r="IIT90" s="63" t="s">
        <v>879</v>
      </c>
      <c r="IIU90" s="60"/>
      <c r="IJJ90" s="63" t="s">
        <v>879</v>
      </c>
      <c r="IJK90" s="60"/>
      <c r="IJZ90" s="63" t="s">
        <v>879</v>
      </c>
      <c r="IKA90" s="60"/>
      <c r="IKP90" s="63" t="s">
        <v>879</v>
      </c>
      <c r="IKQ90" s="60"/>
      <c r="ILF90" s="63" t="s">
        <v>879</v>
      </c>
      <c r="ILG90" s="60"/>
      <c r="ILV90" s="63" t="s">
        <v>879</v>
      </c>
      <c r="ILW90" s="60"/>
      <c r="IML90" s="63" t="s">
        <v>879</v>
      </c>
      <c r="IMM90" s="60"/>
      <c r="INB90" s="63" t="s">
        <v>879</v>
      </c>
      <c r="INC90" s="60"/>
      <c r="INR90" s="63" t="s">
        <v>879</v>
      </c>
      <c r="INS90" s="60"/>
      <c r="IOH90" s="63" t="s">
        <v>879</v>
      </c>
      <c r="IOI90" s="60"/>
      <c r="IOX90" s="63" t="s">
        <v>879</v>
      </c>
      <c r="IOY90" s="60"/>
      <c r="IPN90" s="63" t="s">
        <v>879</v>
      </c>
      <c r="IPO90" s="60"/>
      <c r="IQD90" s="63" t="s">
        <v>879</v>
      </c>
      <c r="IQE90" s="60"/>
      <c r="IQT90" s="63" t="s">
        <v>879</v>
      </c>
      <c r="IQU90" s="60"/>
      <c r="IRJ90" s="63" t="s">
        <v>879</v>
      </c>
      <c r="IRK90" s="60"/>
      <c r="IRZ90" s="63" t="s">
        <v>879</v>
      </c>
      <c r="ISA90" s="60"/>
      <c r="ISP90" s="63" t="s">
        <v>879</v>
      </c>
      <c r="ISQ90" s="60"/>
      <c r="ITF90" s="63" t="s">
        <v>879</v>
      </c>
      <c r="ITG90" s="60"/>
      <c r="ITV90" s="63" t="s">
        <v>879</v>
      </c>
      <c r="ITW90" s="60"/>
      <c r="IUL90" s="63" t="s">
        <v>879</v>
      </c>
      <c r="IUM90" s="60"/>
      <c r="IVB90" s="63" t="s">
        <v>879</v>
      </c>
      <c r="IVC90" s="60"/>
      <c r="IVR90" s="63" t="s">
        <v>879</v>
      </c>
      <c r="IVS90" s="60"/>
      <c r="IWH90" s="63" t="s">
        <v>879</v>
      </c>
      <c r="IWI90" s="60"/>
      <c r="IWX90" s="63" t="s">
        <v>879</v>
      </c>
      <c r="IWY90" s="60"/>
      <c r="IXN90" s="63" t="s">
        <v>879</v>
      </c>
      <c r="IXO90" s="60"/>
      <c r="IYD90" s="63" t="s">
        <v>879</v>
      </c>
      <c r="IYE90" s="60"/>
      <c r="IYT90" s="63" t="s">
        <v>879</v>
      </c>
      <c r="IYU90" s="60"/>
      <c r="IZJ90" s="63" t="s">
        <v>879</v>
      </c>
      <c r="IZK90" s="60"/>
      <c r="IZZ90" s="63" t="s">
        <v>879</v>
      </c>
      <c r="JAA90" s="60"/>
      <c r="JAP90" s="63" t="s">
        <v>879</v>
      </c>
      <c r="JAQ90" s="60"/>
      <c r="JBF90" s="63" t="s">
        <v>879</v>
      </c>
      <c r="JBG90" s="60"/>
      <c r="JBV90" s="63" t="s">
        <v>879</v>
      </c>
      <c r="JBW90" s="60"/>
      <c r="JCL90" s="63" t="s">
        <v>879</v>
      </c>
      <c r="JCM90" s="60"/>
      <c r="JDB90" s="63" t="s">
        <v>879</v>
      </c>
      <c r="JDC90" s="60"/>
      <c r="JDR90" s="63" t="s">
        <v>879</v>
      </c>
      <c r="JDS90" s="60"/>
      <c r="JEH90" s="63" t="s">
        <v>879</v>
      </c>
      <c r="JEI90" s="60"/>
      <c r="JEX90" s="63" t="s">
        <v>879</v>
      </c>
      <c r="JEY90" s="60"/>
      <c r="JFN90" s="63" t="s">
        <v>879</v>
      </c>
      <c r="JFO90" s="60"/>
      <c r="JGD90" s="63" t="s">
        <v>879</v>
      </c>
      <c r="JGE90" s="60"/>
      <c r="JGT90" s="63" t="s">
        <v>879</v>
      </c>
      <c r="JGU90" s="60"/>
      <c r="JHJ90" s="63" t="s">
        <v>879</v>
      </c>
      <c r="JHK90" s="60"/>
      <c r="JHZ90" s="63" t="s">
        <v>879</v>
      </c>
      <c r="JIA90" s="60"/>
      <c r="JIP90" s="63" t="s">
        <v>879</v>
      </c>
      <c r="JIQ90" s="60"/>
      <c r="JJF90" s="63" t="s">
        <v>879</v>
      </c>
      <c r="JJG90" s="60"/>
      <c r="JJV90" s="63" t="s">
        <v>879</v>
      </c>
      <c r="JJW90" s="60"/>
      <c r="JKL90" s="63" t="s">
        <v>879</v>
      </c>
      <c r="JKM90" s="60"/>
      <c r="JLB90" s="63" t="s">
        <v>879</v>
      </c>
      <c r="JLC90" s="60"/>
      <c r="JLR90" s="63" t="s">
        <v>879</v>
      </c>
      <c r="JLS90" s="60"/>
      <c r="JMH90" s="63" t="s">
        <v>879</v>
      </c>
      <c r="JMI90" s="60"/>
      <c r="JMX90" s="63" t="s">
        <v>879</v>
      </c>
      <c r="JMY90" s="60"/>
      <c r="JNN90" s="63" t="s">
        <v>879</v>
      </c>
      <c r="JNO90" s="60"/>
      <c r="JOD90" s="63" t="s">
        <v>879</v>
      </c>
      <c r="JOE90" s="60"/>
      <c r="JOT90" s="63" t="s">
        <v>879</v>
      </c>
      <c r="JOU90" s="60"/>
      <c r="JPJ90" s="63" t="s">
        <v>879</v>
      </c>
      <c r="JPK90" s="60"/>
      <c r="JPZ90" s="63" t="s">
        <v>879</v>
      </c>
      <c r="JQA90" s="60"/>
      <c r="JQP90" s="63" t="s">
        <v>879</v>
      </c>
      <c r="JQQ90" s="60"/>
      <c r="JRF90" s="63" t="s">
        <v>879</v>
      </c>
      <c r="JRG90" s="60"/>
      <c r="JRV90" s="63" t="s">
        <v>879</v>
      </c>
      <c r="JRW90" s="60"/>
      <c r="JSL90" s="63" t="s">
        <v>879</v>
      </c>
      <c r="JSM90" s="60"/>
      <c r="JTB90" s="63" t="s">
        <v>879</v>
      </c>
      <c r="JTC90" s="60"/>
      <c r="JTR90" s="63" t="s">
        <v>879</v>
      </c>
      <c r="JTS90" s="60"/>
      <c r="JUH90" s="63" t="s">
        <v>879</v>
      </c>
      <c r="JUI90" s="60"/>
      <c r="JUX90" s="63" t="s">
        <v>879</v>
      </c>
      <c r="JUY90" s="60"/>
      <c r="JVN90" s="63" t="s">
        <v>879</v>
      </c>
      <c r="JVO90" s="60"/>
      <c r="JWD90" s="63" t="s">
        <v>879</v>
      </c>
      <c r="JWE90" s="60"/>
      <c r="JWT90" s="63" t="s">
        <v>879</v>
      </c>
      <c r="JWU90" s="60"/>
      <c r="JXJ90" s="63" t="s">
        <v>879</v>
      </c>
      <c r="JXK90" s="60"/>
      <c r="JXZ90" s="63" t="s">
        <v>879</v>
      </c>
      <c r="JYA90" s="60"/>
      <c r="JYP90" s="63" t="s">
        <v>879</v>
      </c>
      <c r="JYQ90" s="60"/>
      <c r="JZF90" s="63" t="s">
        <v>879</v>
      </c>
      <c r="JZG90" s="60"/>
      <c r="JZV90" s="63" t="s">
        <v>879</v>
      </c>
      <c r="JZW90" s="60"/>
      <c r="KAL90" s="63" t="s">
        <v>879</v>
      </c>
      <c r="KAM90" s="60"/>
      <c r="KBB90" s="63" t="s">
        <v>879</v>
      </c>
      <c r="KBC90" s="60"/>
      <c r="KBR90" s="63" t="s">
        <v>879</v>
      </c>
      <c r="KBS90" s="60"/>
      <c r="KCH90" s="63" t="s">
        <v>879</v>
      </c>
      <c r="KCI90" s="60"/>
      <c r="KCX90" s="63" t="s">
        <v>879</v>
      </c>
      <c r="KCY90" s="60"/>
      <c r="KDN90" s="63" t="s">
        <v>879</v>
      </c>
      <c r="KDO90" s="60"/>
      <c r="KED90" s="63" t="s">
        <v>879</v>
      </c>
      <c r="KEE90" s="60"/>
      <c r="KET90" s="63" t="s">
        <v>879</v>
      </c>
      <c r="KEU90" s="60"/>
      <c r="KFJ90" s="63" t="s">
        <v>879</v>
      </c>
      <c r="KFK90" s="60"/>
      <c r="KFZ90" s="63" t="s">
        <v>879</v>
      </c>
      <c r="KGA90" s="60"/>
      <c r="KGP90" s="63" t="s">
        <v>879</v>
      </c>
      <c r="KGQ90" s="60"/>
      <c r="KHF90" s="63" t="s">
        <v>879</v>
      </c>
      <c r="KHG90" s="60"/>
      <c r="KHV90" s="63" t="s">
        <v>879</v>
      </c>
      <c r="KHW90" s="60"/>
      <c r="KIL90" s="63" t="s">
        <v>879</v>
      </c>
      <c r="KIM90" s="60"/>
      <c r="KJB90" s="63" t="s">
        <v>879</v>
      </c>
      <c r="KJC90" s="60"/>
      <c r="KJR90" s="63" t="s">
        <v>879</v>
      </c>
      <c r="KJS90" s="60"/>
      <c r="KKH90" s="63" t="s">
        <v>879</v>
      </c>
      <c r="KKI90" s="60"/>
      <c r="KKX90" s="63" t="s">
        <v>879</v>
      </c>
      <c r="KKY90" s="60"/>
      <c r="KLN90" s="63" t="s">
        <v>879</v>
      </c>
      <c r="KLO90" s="60"/>
      <c r="KMD90" s="63" t="s">
        <v>879</v>
      </c>
      <c r="KME90" s="60"/>
      <c r="KMT90" s="63" t="s">
        <v>879</v>
      </c>
      <c r="KMU90" s="60"/>
      <c r="KNJ90" s="63" t="s">
        <v>879</v>
      </c>
      <c r="KNK90" s="60"/>
      <c r="KNZ90" s="63" t="s">
        <v>879</v>
      </c>
      <c r="KOA90" s="60"/>
      <c r="KOP90" s="63" t="s">
        <v>879</v>
      </c>
      <c r="KOQ90" s="60"/>
      <c r="KPF90" s="63" t="s">
        <v>879</v>
      </c>
      <c r="KPG90" s="60"/>
      <c r="KPV90" s="63" t="s">
        <v>879</v>
      </c>
      <c r="KPW90" s="60"/>
      <c r="KQL90" s="63" t="s">
        <v>879</v>
      </c>
      <c r="KQM90" s="60"/>
      <c r="KRB90" s="63" t="s">
        <v>879</v>
      </c>
      <c r="KRC90" s="60"/>
      <c r="KRR90" s="63" t="s">
        <v>879</v>
      </c>
      <c r="KRS90" s="60"/>
      <c r="KSH90" s="63" t="s">
        <v>879</v>
      </c>
      <c r="KSI90" s="60"/>
      <c r="KSX90" s="63" t="s">
        <v>879</v>
      </c>
      <c r="KSY90" s="60"/>
      <c r="KTN90" s="63" t="s">
        <v>879</v>
      </c>
      <c r="KTO90" s="60"/>
      <c r="KUD90" s="63" t="s">
        <v>879</v>
      </c>
      <c r="KUE90" s="60"/>
      <c r="KUT90" s="63" t="s">
        <v>879</v>
      </c>
      <c r="KUU90" s="60"/>
      <c r="KVJ90" s="63" t="s">
        <v>879</v>
      </c>
      <c r="KVK90" s="60"/>
      <c r="KVZ90" s="63" t="s">
        <v>879</v>
      </c>
      <c r="KWA90" s="60"/>
      <c r="KWP90" s="63" t="s">
        <v>879</v>
      </c>
      <c r="KWQ90" s="60"/>
      <c r="KXF90" s="63" t="s">
        <v>879</v>
      </c>
      <c r="KXG90" s="60"/>
      <c r="KXV90" s="63" t="s">
        <v>879</v>
      </c>
      <c r="KXW90" s="60"/>
      <c r="KYL90" s="63" t="s">
        <v>879</v>
      </c>
      <c r="KYM90" s="60"/>
      <c r="KZB90" s="63" t="s">
        <v>879</v>
      </c>
      <c r="KZC90" s="60"/>
      <c r="KZR90" s="63" t="s">
        <v>879</v>
      </c>
      <c r="KZS90" s="60"/>
      <c r="LAH90" s="63" t="s">
        <v>879</v>
      </c>
      <c r="LAI90" s="60"/>
      <c r="LAX90" s="63" t="s">
        <v>879</v>
      </c>
      <c r="LAY90" s="60"/>
      <c r="LBN90" s="63" t="s">
        <v>879</v>
      </c>
      <c r="LBO90" s="60"/>
      <c r="LCD90" s="63" t="s">
        <v>879</v>
      </c>
      <c r="LCE90" s="60"/>
      <c r="LCT90" s="63" t="s">
        <v>879</v>
      </c>
      <c r="LCU90" s="60"/>
      <c r="LDJ90" s="63" t="s">
        <v>879</v>
      </c>
      <c r="LDK90" s="60"/>
      <c r="LDZ90" s="63" t="s">
        <v>879</v>
      </c>
      <c r="LEA90" s="60"/>
      <c r="LEP90" s="63" t="s">
        <v>879</v>
      </c>
      <c r="LEQ90" s="60"/>
      <c r="LFF90" s="63" t="s">
        <v>879</v>
      </c>
      <c r="LFG90" s="60"/>
      <c r="LFV90" s="63" t="s">
        <v>879</v>
      </c>
      <c r="LFW90" s="60"/>
      <c r="LGL90" s="63" t="s">
        <v>879</v>
      </c>
      <c r="LGM90" s="60"/>
      <c r="LHB90" s="63" t="s">
        <v>879</v>
      </c>
      <c r="LHC90" s="60"/>
      <c r="LHR90" s="63" t="s">
        <v>879</v>
      </c>
      <c r="LHS90" s="60"/>
      <c r="LIH90" s="63" t="s">
        <v>879</v>
      </c>
      <c r="LII90" s="60"/>
      <c r="LIX90" s="63" t="s">
        <v>879</v>
      </c>
      <c r="LIY90" s="60"/>
      <c r="LJN90" s="63" t="s">
        <v>879</v>
      </c>
      <c r="LJO90" s="60"/>
      <c r="LKD90" s="63" t="s">
        <v>879</v>
      </c>
      <c r="LKE90" s="60"/>
      <c r="LKT90" s="63" t="s">
        <v>879</v>
      </c>
      <c r="LKU90" s="60"/>
      <c r="LLJ90" s="63" t="s">
        <v>879</v>
      </c>
      <c r="LLK90" s="60"/>
      <c r="LLZ90" s="63" t="s">
        <v>879</v>
      </c>
      <c r="LMA90" s="60"/>
      <c r="LMP90" s="63" t="s">
        <v>879</v>
      </c>
      <c r="LMQ90" s="60"/>
      <c r="LNF90" s="63" t="s">
        <v>879</v>
      </c>
      <c r="LNG90" s="60"/>
      <c r="LNV90" s="63" t="s">
        <v>879</v>
      </c>
      <c r="LNW90" s="60"/>
      <c r="LOL90" s="63" t="s">
        <v>879</v>
      </c>
      <c r="LOM90" s="60"/>
      <c r="LPB90" s="63" t="s">
        <v>879</v>
      </c>
      <c r="LPC90" s="60"/>
      <c r="LPR90" s="63" t="s">
        <v>879</v>
      </c>
      <c r="LPS90" s="60"/>
      <c r="LQH90" s="63" t="s">
        <v>879</v>
      </c>
      <c r="LQI90" s="60"/>
      <c r="LQX90" s="63" t="s">
        <v>879</v>
      </c>
      <c r="LQY90" s="60"/>
      <c r="LRN90" s="63" t="s">
        <v>879</v>
      </c>
      <c r="LRO90" s="60"/>
      <c r="LSD90" s="63" t="s">
        <v>879</v>
      </c>
      <c r="LSE90" s="60"/>
      <c r="LST90" s="63" t="s">
        <v>879</v>
      </c>
      <c r="LSU90" s="60"/>
      <c r="LTJ90" s="63" t="s">
        <v>879</v>
      </c>
      <c r="LTK90" s="60"/>
      <c r="LTZ90" s="63" t="s">
        <v>879</v>
      </c>
      <c r="LUA90" s="60"/>
      <c r="LUP90" s="63" t="s">
        <v>879</v>
      </c>
      <c r="LUQ90" s="60"/>
      <c r="LVF90" s="63" t="s">
        <v>879</v>
      </c>
      <c r="LVG90" s="60"/>
      <c r="LVV90" s="63" t="s">
        <v>879</v>
      </c>
      <c r="LVW90" s="60"/>
      <c r="LWL90" s="63" t="s">
        <v>879</v>
      </c>
      <c r="LWM90" s="60"/>
      <c r="LXB90" s="63" t="s">
        <v>879</v>
      </c>
      <c r="LXC90" s="60"/>
      <c r="LXR90" s="63" t="s">
        <v>879</v>
      </c>
      <c r="LXS90" s="60"/>
      <c r="LYH90" s="63" t="s">
        <v>879</v>
      </c>
      <c r="LYI90" s="60"/>
      <c r="LYX90" s="63" t="s">
        <v>879</v>
      </c>
      <c r="LYY90" s="60"/>
      <c r="LZN90" s="63" t="s">
        <v>879</v>
      </c>
      <c r="LZO90" s="60"/>
      <c r="MAD90" s="63" t="s">
        <v>879</v>
      </c>
      <c r="MAE90" s="60"/>
      <c r="MAT90" s="63" t="s">
        <v>879</v>
      </c>
      <c r="MAU90" s="60"/>
      <c r="MBJ90" s="63" t="s">
        <v>879</v>
      </c>
      <c r="MBK90" s="60"/>
      <c r="MBZ90" s="63" t="s">
        <v>879</v>
      </c>
      <c r="MCA90" s="60"/>
      <c r="MCP90" s="63" t="s">
        <v>879</v>
      </c>
      <c r="MCQ90" s="60"/>
      <c r="MDF90" s="63" t="s">
        <v>879</v>
      </c>
      <c r="MDG90" s="60"/>
      <c r="MDV90" s="63" t="s">
        <v>879</v>
      </c>
      <c r="MDW90" s="60"/>
      <c r="MEL90" s="63" t="s">
        <v>879</v>
      </c>
      <c r="MEM90" s="60"/>
      <c r="MFB90" s="63" t="s">
        <v>879</v>
      </c>
      <c r="MFC90" s="60"/>
      <c r="MFR90" s="63" t="s">
        <v>879</v>
      </c>
      <c r="MFS90" s="60"/>
      <c r="MGH90" s="63" t="s">
        <v>879</v>
      </c>
      <c r="MGI90" s="60"/>
      <c r="MGX90" s="63" t="s">
        <v>879</v>
      </c>
      <c r="MGY90" s="60"/>
      <c r="MHN90" s="63" t="s">
        <v>879</v>
      </c>
      <c r="MHO90" s="60"/>
      <c r="MID90" s="63" t="s">
        <v>879</v>
      </c>
      <c r="MIE90" s="60"/>
      <c r="MIT90" s="63" t="s">
        <v>879</v>
      </c>
      <c r="MIU90" s="60"/>
      <c r="MJJ90" s="63" t="s">
        <v>879</v>
      </c>
      <c r="MJK90" s="60"/>
      <c r="MJZ90" s="63" t="s">
        <v>879</v>
      </c>
      <c r="MKA90" s="60"/>
      <c r="MKP90" s="63" t="s">
        <v>879</v>
      </c>
      <c r="MKQ90" s="60"/>
      <c r="MLF90" s="63" t="s">
        <v>879</v>
      </c>
      <c r="MLG90" s="60"/>
      <c r="MLV90" s="63" t="s">
        <v>879</v>
      </c>
      <c r="MLW90" s="60"/>
      <c r="MML90" s="63" t="s">
        <v>879</v>
      </c>
      <c r="MMM90" s="60"/>
      <c r="MNB90" s="63" t="s">
        <v>879</v>
      </c>
      <c r="MNC90" s="60"/>
      <c r="MNR90" s="63" t="s">
        <v>879</v>
      </c>
      <c r="MNS90" s="60"/>
      <c r="MOH90" s="63" t="s">
        <v>879</v>
      </c>
      <c r="MOI90" s="60"/>
      <c r="MOX90" s="63" t="s">
        <v>879</v>
      </c>
      <c r="MOY90" s="60"/>
      <c r="MPN90" s="63" t="s">
        <v>879</v>
      </c>
      <c r="MPO90" s="60"/>
      <c r="MQD90" s="63" t="s">
        <v>879</v>
      </c>
      <c r="MQE90" s="60"/>
      <c r="MQT90" s="63" t="s">
        <v>879</v>
      </c>
      <c r="MQU90" s="60"/>
      <c r="MRJ90" s="63" t="s">
        <v>879</v>
      </c>
      <c r="MRK90" s="60"/>
      <c r="MRZ90" s="63" t="s">
        <v>879</v>
      </c>
      <c r="MSA90" s="60"/>
      <c r="MSP90" s="63" t="s">
        <v>879</v>
      </c>
      <c r="MSQ90" s="60"/>
      <c r="MTF90" s="63" t="s">
        <v>879</v>
      </c>
      <c r="MTG90" s="60"/>
      <c r="MTV90" s="63" t="s">
        <v>879</v>
      </c>
      <c r="MTW90" s="60"/>
      <c r="MUL90" s="63" t="s">
        <v>879</v>
      </c>
      <c r="MUM90" s="60"/>
      <c r="MVB90" s="63" t="s">
        <v>879</v>
      </c>
      <c r="MVC90" s="60"/>
      <c r="MVR90" s="63" t="s">
        <v>879</v>
      </c>
      <c r="MVS90" s="60"/>
      <c r="MWH90" s="63" t="s">
        <v>879</v>
      </c>
      <c r="MWI90" s="60"/>
      <c r="MWX90" s="63" t="s">
        <v>879</v>
      </c>
      <c r="MWY90" s="60"/>
      <c r="MXN90" s="63" t="s">
        <v>879</v>
      </c>
      <c r="MXO90" s="60"/>
      <c r="MYD90" s="63" t="s">
        <v>879</v>
      </c>
      <c r="MYE90" s="60"/>
      <c r="MYT90" s="63" t="s">
        <v>879</v>
      </c>
      <c r="MYU90" s="60"/>
      <c r="MZJ90" s="63" t="s">
        <v>879</v>
      </c>
      <c r="MZK90" s="60"/>
      <c r="MZZ90" s="63" t="s">
        <v>879</v>
      </c>
      <c r="NAA90" s="60"/>
      <c r="NAP90" s="63" t="s">
        <v>879</v>
      </c>
      <c r="NAQ90" s="60"/>
      <c r="NBF90" s="63" t="s">
        <v>879</v>
      </c>
      <c r="NBG90" s="60"/>
      <c r="NBV90" s="63" t="s">
        <v>879</v>
      </c>
      <c r="NBW90" s="60"/>
      <c r="NCL90" s="63" t="s">
        <v>879</v>
      </c>
      <c r="NCM90" s="60"/>
      <c r="NDB90" s="63" t="s">
        <v>879</v>
      </c>
      <c r="NDC90" s="60"/>
      <c r="NDR90" s="63" t="s">
        <v>879</v>
      </c>
      <c r="NDS90" s="60"/>
      <c r="NEH90" s="63" t="s">
        <v>879</v>
      </c>
      <c r="NEI90" s="60"/>
      <c r="NEX90" s="63" t="s">
        <v>879</v>
      </c>
      <c r="NEY90" s="60"/>
      <c r="NFN90" s="63" t="s">
        <v>879</v>
      </c>
      <c r="NFO90" s="60"/>
      <c r="NGD90" s="63" t="s">
        <v>879</v>
      </c>
      <c r="NGE90" s="60"/>
      <c r="NGT90" s="63" t="s">
        <v>879</v>
      </c>
      <c r="NGU90" s="60"/>
      <c r="NHJ90" s="63" t="s">
        <v>879</v>
      </c>
      <c r="NHK90" s="60"/>
      <c r="NHZ90" s="63" t="s">
        <v>879</v>
      </c>
      <c r="NIA90" s="60"/>
      <c r="NIP90" s="63" t="s">
        <v>879</v>
      </c>
      <c r="NIQ90" s="60"/>
      <c r="NJF90" s="63" t="s">
        <v>879</v>
      </c>
      <c r="NJG90" s="60"/>
      <c r="NJV90" s="63" t="s">
        <v>879</v>
      </c>
      <c r="NJW90" s="60"/>
      <c r="NKL90" s="63" t="s">
        <v>879</v>
      </c>
      <c r="NKM90" s="60"/>
      <c r="NLB90" s="63" t="s">
        <v>879</v>
      </c>
      <c r="NLC90" s="60"/>
      <c r="NLR90" s="63" t="s">
        <v>879</v>
      </c>
      <c r="NLS90" s="60"/>
      <c r="NMH90" s="63" t="s">
        <v>879</v>
      </c>
      <c r="NMI90" s="60"/>
      <c r="NMX90" s="63" t="s">
        <v>879</v>
      </c>
      <c r="NMY90" s="60"/>
      <c r="NNN90" s="63" t="s">
        <v>879</v>
      </c>
      <c r="NNO90" s="60"/>
      <c r="NOD90" s="63" t="s">
        <v>879</v>
      </c>
      <c r="NOE90" s="60"/>
      <c r="NOT90" s="63" t="s">
        <v>879</v>
      </c>
      <c r="NOU90" s="60"/>
      <c r="NPJ90" s="63" t="s">
        <v>879</v>
      </c>
      <c r="NPK90" s="60"/>
      <c r="NPZ90" s="63" t="s">
        <v>879</v>
      </c>
      <c r="NQA90" s="60"/>
      <c r="NQP90" s="63" t="s">
        <v>879</v>
      </c>
      <c r="NQQ90" s="60"/>
      <c r="NRF90" s="63" t="s">
        <v>879</v>
      </c>
      <c r="NRG90" s="60"/>
      <c r="NRV90" s="63" t="s">
        <v>879</v>
      </c>
      <c r="NRW90" s="60"/>
      <c r="NSL90" s="63" t="s">
        <v>879</v>
      </c>
      <c r="NSM90" s="60"/>
      <c r="NTB90" s="63" t="s">
        <v>879</v>
      </c>
      <c r="NTC90" s="60"/>
      <c r="NTR90" s="63" t="s">
        <v>879</v>
      </c>
      <c r="NTS90" s="60"/>
      <c r="NUH90" s="63" t="s">
        <v>879</v>
      </c>
      <c r="NUI90" s="60"/>
      <c r="NUX90" s="63" t="s">
        <v>879</v>
      </c>
      <c r="NUY90" s="60"/>
      <c r="NVN90" s="63" t="s">
        <v>879</v>
      </c>
      <c r="NVO90" s="60"/>
      <c r="NWD90" s="63" t="s">
        <v>879</v>
      </c>
      <c r="NWE90" s="60"/>
      <c r="NWT90" s="63" t="s">
        <v>879</v>
      </c>
      <c r="NWU90" s="60"/>
      <c r="NXJ90" s="63" t="s">
        <v>879</v>
      </c>
      <c r="NXK90" s="60"/>
      <c r="NXZ90" s="63" t="s">
        <v>879</v>
      </c>
      <c r="NYA90" s="60"/>
      <c r="NYP90" s="63" t="s">
        <v>879</v>
      </c>
      <c r="NYQ90" s="60"/>
      <c r="NZF90" s="63" t="s">
        <v>879</v>
      </c>
      <c r="NZG90" s="60"/>
      <c r="NZV90" s="63" t="s">
        <v>879</v>
      </c>
      <c r="NZW90" s="60"/>
      <c r="OAL90" s="63" t="s">
        <v>879</v>
      </c>
      <c r="OAM90" s="60"/>
      <c r="OBB90" s="63" t="s">
        <v>879</v>
      </c>
      <c r="OBC90" s="60"/>
      <c r="OBR90" s="63" t="s">
        <v>879</v>
      </c>
      <c r="OBS90" s="60"/>
      <c r="OCH90" s="63" t="s">
        <v>879</v>
      </c>
      <c r="OCI90" s="60"/>
      <c r="OCX90" s="63" t="s">
        <v>879</v>
      </c>
      <c r="OCY90" s="60"/>
      <c r="ODN90" s="63" t="s">
        <v>879</v>
      </c>
      <c r="ODO90" s="60"/>
      <c r="OED90" s="63" t="s">
        <v>879</v>
      </c>
      <c r="OEE90" s="60"/>
      <c r="OET90" s="63" t="s">
        <v>879</v>
      </c>
      <c r="OEU90" s="60"/>
      <c r="OFJ90" s="63" t="s">
        <v>879</v>
      </c>
      <c r="OFK90" s="60"/>
      <c r="OFZ90" s="63" t="s">
        <v>879</v>
      </c>
      <c r="OGA90" s="60"/>
      <c r="OGP90" s="63" t="s">
        <v>879</v>
      </c>
      <c r="OGQ90" s="60"/>
      <c r="OHF90" s="63" t="s">
        <v>879</v>
      </c>
      <c r="OHG90" s="60"/>
      <c r="OHV90" s="63" t="s">
        <v>879</v>
      </c>
      <c r="OHW90" s="60"/>
      <c r="OIL90" s="63" t="s">
        <v>879</v>
      </c>
      <c r="OIM90" s="60"/>
      <c r="OJB90" s="63" t="s">
        <v>879</v>
      </c>
      <c r="OJC90" s="60"/>
      <c r="OJR90" s="63" t="s">
        <v>879</v>
      </c>
      <c r="OJS90" s="60"/>
      <c r="OKH90" s="63" t="s">
        <v>879</v>
      </c>
      <c r="OKI90" s="60"/>
      <c r="OKX90" s="63" t="s">
        <v>879</v>
      </c>
      <c r="OKY90" s="60"/>
      <c r="OLN90" s="63" t="s">
        <v>879</v>
      </c>
      <c r="OLO90" s="60"/>
      <c r="OMD90" s="63" t="s">
        <v>879</v>
      </c>
      <c r="OME90" s="60"/>
      <c r="OMT90" s="63" t="s">
        <v>879</v>
      </c>
      <c r="OMU90" s="60"/>
      <c r="ONJ90" s="63" t="s">
        <v>879</v>
      </c>
      <c r="ONK90" s="60"/>
      <c r="ONZ90" s="63" t="s">
        <v>879</v>
      </c>
      <c r="OOA90" s="60"/>
      <c r="OOP90" s="63" t="s">
        <v>879</v>
      </c>
      <c r="OOQ90" s="60"/>
      <c r="OPF90" s="63" t="s">
        <v>879</v>
      </c>
      <c r="OPG90" s="60"/>
      <c r="OPV90" s="63" t="s">
        <v>879</v>
      </c>
      <c r="OPW90" s="60"/>
      <c r="OQL90" s="63" t="s">
        <v>879</v>
      </c>
      <c r="OQM90" s="60"/>
      <c r="ORB90" s="63" t="s">
        <v>879</v>
      </c>
      <c r="ORC90" s="60"/>
      <c r="ORR90" s="63" t="s">
        <v>879</v>
      </c>
      <c r="ORS90" s="60"/>
      <c r="OSH90" s="63" t="s">
        <v>879</v>
      </c>
      <c r="OSI90" s="60"/>
      <c r="OSX90" s="63" t="s">
        <v>879</v>
      </c>
      <c r="OSY90" s="60"/>
      <c r="OTN90" s="63" t="s">
        <v>879</v>
      </c>
      <c r="OTO90" s="60"/>
      <c r="OUD90" s="63" t="s">
        <v>879</v>
      </c>
      <c r="OUE90" s="60"/>
      <c r="OUT90" s="63" t="s">
        <v>879</v>
      </c>
      <c r="OUU90" s="60"/>
      <c r="OVJ90" s="63" t="s">
        <v>879</v>
      </c>
      <c r="OVK90" s="60"/>
      <c r="OVZ90" s="63" t="s">
        <v>879</v>
      </c>
      <c r="OWA90" s="60"/>
      <c r="OWP90" s="63" t="s">
        <v>879</v>
      </c>
      <c r="OWQ90" s="60"/>
      <c r="OXF90" s="63" t="s">
        <v>879</v>
      </c>
      <c r="OXG90" s="60"/>
      <c r="OXV90" s="63" t="s">
        <v>879</v>
      </c>
      <c r="OXW90" s="60"/>
      <c r="OYL90" s="63" t="s">
        <v>879</v>
      </c>
      <c r="OYM90" s="60"/>
      <c r="OZB90" s="63" t="s">
        <v>879</v>
      </c>
      <c r="OZC90" s="60"/>
      <c r="OZR90" s="63" t="s">
        <v>879</v>
      </c>
      <c r="OZS90" s="60"/>
      <c r="PAH90" s="63" t="s">
        <v>879</v>
      </c>
      <c r="PAI90" s="60"/>
      <c r="PAX90" s="63" t="s">
        <v>879</v>
      </c>
      <c r="PAY90" s="60"/>
      <c r="PBN90" s="63" t="s">
        <v>879</v>
      </c>
      <c r="PBO90" s="60"/>
      <c r="PCD90" s="63" t="s">
        <v>879</v>
      </c>
      <c r="PCE90" s="60"/>
      <c r="PCT90" s="63" t="s">
        <v>879</v>
      </c>
      <c r="PCU90" s="60"/>
      <c r="PDJ90" s="63" t="s">
        <v>879</v>
      </c>
      <c r="PDK90" s="60"/>
      <c r="PDZ90" s="63" t="s">
        <v>879</v>
      </c>
      <c r="PEA90" s="60"/>
      <c r="PEP90" s="63" t="s">
        <v>879</v>
      </c>
      <c r="PEQ90" s="60"/>
      <c r="PFF90" s="63" t="s">
        <v>879</v>
      </c>
      <c r="PFG90" s="60"/>
      <c r="PFV90" s="63" t="s">
        <v>879</v>
      </c>
      <c r="PFW90" s="60"/>
      <c r="PGL90" s="63" t="s">
        <v>879</v>
      </c>
      <c r="PGM90" s="60"/>
      <c r="PHB90" s="63" t="s">
        <v>879</v>
      </c>
      <c r="PHC90" s="60"/>
      <c r="PHR90" s="63" t="s">
        <v>879</v>
      </c>
      <c r="PHS90" s="60"/>
      <c r="PIH90" s="63" t="s">
        <v>879</v>
      </c>
      <c r="PII90" s="60"/>
      <c r="PIX90" s="63" t="s">
        <v>879</v>
      </c>
      <c r="PIY90" s="60"/>
      <c r="PJN90" s="63" t="s">
        <v>879</v>
      </c>
      <c r="PJO90" s="60"/>
      <c r="PKD90" s="63" t="s">
        <v>879</v>
      </c>
      <c r="PKE90" s="60"/>
      <c r="PKT90" s="63" t="s">
        <v>879</v>
      </c>
      <c r="PKU90" s="60"/>
      <c r="PLJ90" s="63" t="s">
        <v>879</v>
      </c>
      <c r="PLK90" s="60"/>
      <c r="PLZ90" s="63" t="s">
        <v>879</v>
      </c>
      <c r="PMA90" s="60"/>
      <c r="PMP90" s="63" t="s">
        <v>879</v>
      </c>
      <c r="PMQ90" s="60"/>
      <c r="PNF90" s="63" t="s">
        <v>879</v>
      </c>
      <c r="PNG90" s="60"/>
      <c r="PNV90" s="63" t="s">
        <v>879</v>
      </c>
      <c r="PNW90" s="60"/>
      <c r="POL90" s="63" t="s">
        <v>879</v>
      </c>
      <c r="POM90" s="60"/>
      <c r="PPB90" s="63" t="s">
        <v>879</v>
      </c>
      <c r="PPC90" s="60"/>
      <c r="PPR90" s="63" t="s">
        <v>879</v>
      </c>
      <c r="PPS90" s="60"/>
      <c r="PQH90" s="63" t="s">
        <v>879</v>
      </c>
      <c r="PQI90" s="60"/>
      <c r="PQX90" s="63" t="s">
        <v>879</v>
      </c>
      <c r="PQY90" s="60"/>
      <c r="PRN90" s="63" t="s">
        <v>879</v>
      </c>
      <c r="PRO90" s="60"/>
      <c r="PSD90" s="63" t="s">
        <v>879</v>
      </c>
      <c r="PSE90" s="60"/>
      <c r="PST90" s="63" t="s">
        <v>879</v>
      </c>
      <c r="PSU90" s="60"/>
      <c r="PTJ90" s="63" t="s">
        <v>879</v>
      </c>
      <c r="PTK90" s="60"/>
      <c r="PTZ90" s="63" t="s">
        <v>879</v>
      </c>
      <c r="PUA90" s="60"/>
      <c r="PUP90" s="63" t="s">
        <v>879</v>
      </c>
      <c r="PUQ90" s="60"/>
      <c r="PVF90" s="63" t="s">
        <v>879</v>
      </c>
      <c r="PVG90" s="60"/>
      <c r="PVV90" s="63" t="s">
        <v>879</v>
      </c>
      <c r="PVW90" s="60"/>
      <c r="PWL90" s="63" t="s">
        <v>879</v>
      </c>
      <c r="PWM90" s="60"/>
      <c r="PXB90" s="63" t="s">
        <v>879</v>
      </c>
      <c r="PXC90" s="60"/>
      <c r="PXR90" s="63" t="s">
        <v>879</v>
      </c>
      <c r="PXS90" s="60"/>
      <c r="PYH90" s="63" t="s">
        <v>879</v>
      </c>
      <c r="PYI90" s="60"/>
      <c r="PYX90" s="63" t="s">
        <v>879</v>
      </c>
      <c r="PYY90" s="60"/>
      <c r="PZN90" s="63" t="s">
        <v>879</v>
      </c>
      <c r="PZO90" s="60"/>
      <c r="QAD90" s="63" t="s">
        <v>879</v>
      </c>
      <c r="QAE90" s="60"/>
      <c r="QAT90" s="63" t="s">
        <v>879</v>
      </c>
      <c r="QAU90" s="60"/>
      <c r="QBJ90" s="63" t="s">
        <v>879</v>
      </c>
      <c r="QBK90" s="60"/>
      <c r="QBZ90" s="63" t="s">
        <v>879</v>
      </c>
      <c r="QCA90" s="60"/>
      <c r="QCP90" s="63" t="s">
        <v>879</v>
      </c>
      <c r="QCQ90" s="60"/>
      <c r="QDF90" s="63" t="s">
        <v>879</v>
      </c>
      <c r="QDG90" s="60"/>
      <c r="QDV90" s="63" t="s">
        <v>879</v>
      </c>
      <c r="QDW90" s="60"/>
      <c r="QEL90" s="63" t="s">
        <v>879</v>
      </c>
      <c r="QEM90" s="60"/>
      <c r="QFB90" s="63" t="s">
        <v>879</v>
      </c>
      <c r="QFC90" s="60"/>
      <c r="QFR90" s="63" t="s">
        <v>879</v>
      </c>
      <c r="QFS90" s="60"/>
      <c r="QGH90" s="63" t="s">
        <v>879</v>
      </c>
      <c r="QGI90" s="60"/>
      <c r="QGX90" s="63" t="s">
        <v>879</v>
      </c>
      <c r="QGY90" s="60"/>
      <c r="QHN90" s="63" t="s">
        <v>879</v>
      </c>
      <c r="QHO90" s="60"/>
      <c r="QID90" s="63" t="s">
        <v>879</v>
      </c>
      <c r="QIE90" s="60"/>
      <c r="QIT90" s="63" t="s">
        <v>879</v>
      </c>
      <c r="QIU90" s="60"/>
      <c r="QJJ90" s="63" t="s">
        <v>879</v>
      </c>
      <c r="QJK90" s="60"/>
      <c r="QJZ90" s="63" t="s">
        <v>879</v>
      </c>
      <c r="QKA90" s="60"/>
      <c r="QKP90" s="63" t="s">
        <v>879</v>
      </c>
      <c r="QKQ90" s="60"/>
      <c r="QLF90" s="63" t="s">
        <v>879</v>
      </c>
      <c r="QLG90" s="60"/>
      <c r="QLV90" s="63" t="s">
        <v>879</v>
      </c>
      <c r="QLW90" s="60"/>
      <c r="QML90" s="63" t="s">
        <v>879</v>
      </c>
      <c r="QMM90" s="60"/>
      <c r="QNB90" s="63" t="s">
        <v>879</v>
      </c>
      <c r="QNC90" s="60"/>
      <c r="QNR90" s="63" t="s">
        <v>879</v>
      </c>
      <c r="QNS90" s="60"/>
      <c r="QOH90" s="63" t="s">
        <v>879</v>
      </c>
      <c r="QOI90" s="60"/>
      <c r="QOX90" s="63" t="s">
        <v>879</v>
      </c>
      <c r="QOY90" s="60"/>
      <c r="QPN90" s="63" t="s">
        <v>879</v>
      </c>
      <c r="QPO90" s="60"/>
      <c r="QQD90" s="63" t="s">
        <v>879</v>
      </c>
      <c r="QQE90" s="60"/>
      <c r="QQT90" s="63" t="s">
        <v>879</v>
      </c>
      <c r="QQU90" s="60"/>
      <c r="QRJ90" s="63" t="s">
        <v>879</v>
      </c>
      <c r="QRK90" s="60"/>
      <c r="QRZ90" s="63" t="s">
        <v>879</v>
      </c>
      <c r="QSA90" s="60"/>
      <c r="QSP90" s="63" t="s">
        <v>879</v>
      </c>
      <c r="QSQ90" s="60"/>
      <c r="QTF90" s="63" t="s">
        <v>879</v>
      </c>
      <c r="QTG90" s="60"/>
      <c r="QTV90" s="63" t="s">
        <v>879</v>
      </c>
      <c r="QTW90" s="60"/>
      <c r="QUL90" s="63" t="s">
        <v>879</v>
      </c>
      <c r="QUM90" s="60"/>
      <c r="QVB90" s="63" t="s">
        <v>879</v>
      </c>
      <c r="QVC90" s="60"/>
      <c r="QVR90" s="63" t="s">
        <v>879</v>
      </c>
      <c r="QVS90" s="60"/>
      <c r="QWH90" s="63" t="s">
        <v>879</v>
      </c>
      <c r="QWI90" s="60"/>
      <c r="QWX90" s="63" t="s">
        <v>879</v>
      </c>
      <c r="QWY90" s="60"/>
      <c r="QXN90" s="63" t="s">
        <v>879</v>
      </c>
      <c r="QXO90" s="60"/>
      <c r="QYD90" s="63" t="s">
        <v>879</v>
      </c>
      <c r="QYE90" s="60"/>
      <c r="QYT90" s="63" t="s">
        <v>879</v>
      </c>
      <c r="QYU90" s="60"/>
      <c r="QZJ90" s="63" t="s">
        <v>879</v>
      </c>
      <c r="QZK90" s="60"/>
      <c r="QZZ90" s="63" t="s">
        <v>879</v>
      </c>
      <c r="RAA90" s="60"/>
      <c r="RAP90" s="63" t="s">
        <v>879</v>
      </c>
      <c r="RAQ90" s="60"/>
      <c r="RBF90" s="63" t="s">
        <v>879</v>
      </c>
      <c r="RBG90" s="60"/>
      <c r="RBV90" s="63" t="s">
        <v>879</v>
      </c>
      <c r="RBW90" s="60"/>
      <c r="RCL90" s="63" t="s">
        <v>879</v>
      </c>
      <c r="RCM90" s="60"/>
      <c r="RDB90" s="63" t="s">
        <v>879</v>
      </c>
      <c r="RDC90" s="60"/>
      <c r="RDR90" s="63" t="s">
        <v>879</v>
      </c>
      <c r="RDS90" s="60"/>
      <c r="REH90" s="63" t="s">
        <v>879</v>
      </c>
      <c r="REI90" s="60"/>
      <c r="REX90" s="63" t="s">
        <v>879</v>
      </c>
      <c r="REY90" s="60"/>
      <c r="RFN90" s="63" t="s">
        <v>879</v>
      </c>
      <c r="RFO90" s="60"/>
      <c r="RGD90" s="63" t="s">
        <v>879</v>
      </c>
      <c r="RGE90" s="60"/>
      <c r="RGT90" s="63" t="s">
        <v>879</v>
      </c>
      <c r="RGU90" s="60"/>
      <c r="RHJ90" s="63" t="s">
        <v>879</v>
      </c>
      <c r="RHK90" s="60"/>
      <c r="RHZ90" s="63" t="s">
        <v>879</v>
      </c>
      <c r="RIA90" s="60"/>
      <c r="RIP90" s="63" t="s">
        <v>879</v>
      </c>
      <c r="RIQ90" s="60"/>
      <c r="RJF90" s="63" t="s">
        <v>879</v>
      </c>
      <c r="RJG90" s="60"/>
      <c r="RJV90" s="63" t="s">
        <v>879</v>
      </c>
      <c r="RJW90" s="60"/>
      <c r="RKL90" s="63" t="s">
        <v>879</v>
      </c>
      <c r="RKM90" s="60"/>
      <c r="RLB90" s="63" t="s">
        <v>879</v>
      </c>
      <c r="RLC90" s="60"/>
      <c r="RLR90" s="63" t="s">
        <v>879</v>
      </c>
      <c r="RLS90" s="60"/>
      <c r="RMH90" s="63" t="s">
        <v>879</v>
      </c>
      <c r="RMI90" s="60"/>
      <c r="RMX90" s="63" t="s">
        <v>879</v>
      </c>
      <c r="RMY90" s="60"/>
      <c r="RNN90" s="63" t="s">
        <v>879</v>
      </c>
      <c r="RNO90" s="60"/>
      <c r="ROD90" s="63" t="s">
        <v>879</v>
      </c>
      <c r="ROE90" s="60"/>
      <c r="ROT90" s="63" t="s">
        <v>879</v>
      </c>
      <c r="ROU90" s="60"/>
      <c r="RPJ90" s="63" t="s">
        <v>879</v>
      </c>
      <c r="RPK90" s="60"/>
      <c r="RPZ90" s="63" t="s">
        <v>879</v>
      </c>
      <c r="RQA90" s="60"/>
      <c r="RQP90" s="63" t="s">
        <v>879</v>
      </c>
      <c r="RQQ90" s="60"/>
      <c r="RRF90" s="63" t="s">
        <v>879</v>
      </c>
      <c r="RRG90" s="60"/>
      <c r="RRV90" s="63" t="s">
        <v>879</v>
      </c>
      <c r="RRW90" s="60"/>
      <c r="RSL90" s="63" t="s">
        <v>879</v>
      </c>
      <c r="RSM90" s="60"/>
      <c r="RTB90" s="63" t="s">
        <v>879</v>
      </c>
      <c r="RTC90" s="60"/>
      <c r="RTR90" s="63" t="s">
        <v>879</v>
      </c>
      <c r="RTS90" s="60"/>
      <c r="RUH90" s="63" t="s">
        <v>879</v>
      </c>
      <c r="RUI90" s="60"/>
      <c r="RUX90" s="63" t="s">
        <v>879</v>
      </c>
      <c r="RUY90" s="60"/>
      <c r="RVN90" s="63" t="s">
        <v>879</v>
      </c>
      <c r="RVO90" s="60"/>
      <c r="RWD90" s="63" t="s">
        <v>879</v>
      </c>
      <c r="RWE90" s="60"/>
      <c r="RWT90" s="63" t="s">
        <v>879</v>
      </c>
      <c r="RWU90" s="60"/>
      <c r="RXJ90" s="63" t="s">
        <v>879</v>
      </c>
      <c r="RXK90" s="60"/>
      <c r="RXZ90" s="63" t="s">
        <v>879</v>
      </c>
      <c r="RYA90" s="60"/>
      <c r="RYP90" s="63" t="s">
        <v>879</v>
      </c>
      <c r="RYQ90" s="60"/>
      <c r="RZF90" s="63" t="s">
        <v>879</v>
      </c>
      <c r="RZG90" s="60"/>
      <c r="RZV90" s="63" t="s">
        <v>879</v>
      </c>
      <c r="RZW90" s="60"/>
      <c r="SAL90" s="63" t="s">
        <v>879</v>
      </c>
      <c r="SAM90" s="60"/>
      <c r="SBB90" s="63" t="s">
        <v>879</v>
      </c>
      <c r="SBC90" s="60"/>
      <c r="SBR90" s="63" t="s">
        <v>879</v>
      </c>
      <c r="SBS90" s="60"/>
      <c r="SCH90" s="63" t="s">
        <v>879</v>
      </c>
      <c r="SCI90" s="60"/>
      <c r="SCX90" s="63" t="s">
        <v>879</v>
      </c>
      <c r="SCY90" s="60"/>
      <c r="SDN90" s="63" t="s">
        <v>879</v>
      </c>
      <c r="SDO90" s="60"/>
      <c r="SED90" s="63" t="s">
        <v>879</v>
      </c>
      <c r="SEE90" s="60"/>
      <c r="SET90" s="63" t="s">
        <v>879</v>
      </c>
      <c r="SEU90" s="60"/>
      <c r="SFJ90" s="63" t="s">
        <v>879</v>
      </c>
      <c r="SFK90" s="60"/>
      <c r="SFZ90" s="63" t="s">
        <v>879</v>
      </c>
      <c r="SGA90" s="60"/>
      <c r="SGP90" s="63" t="s">
        <v>879</v>
      </c>
      <c r="SGQ90" s="60"/>
      <c r="SHF90" s="63" t="s">
        <v>879</v>
      </c>
      <c r="SHG90" s="60"/>
      <c r="SHV90" s="63" t="s">
        <v>879</v>
      </c>
      <c r="SHW90" s="60"/>
      <c r="SIL90" s="63" t="s">
        <v>879</v>
      </c>
      <c r="SIM90" s="60"/>
      <c r="SJB90" s="63" t="s">
        <v>879</v>
      </c>
      <c r="SJC90" s="60"/>
      <c r="SJR90" s="63" t="s">
        <v>879</v>
      </c>
      <c r="SJS90" s="60"/>
      <c r="SKH90" s="63" t="s">
        <v>879</v>
      </c>
      <c r="SKI90" s="60"/>
      <c r="SKX90" s="63" t="s">
        <v>879</v>
      </c>
      <c r="SKY90" s="60"/>
      <c r="SLN90" s="63" t="s">
        <v>879</v>
      </c>
      <c r="SLO90" s="60"/>
      <c r="SMD90" s="63" t="s">
        <v>879</v>
      </c>
      <c r="SME90" s="60"/>
      <c r="SMT90" s="63" t="s">
        <v>879</v>
      </c>
      <c r="SMU90" s="60"/>
      <c r="SNJ90" s="63" t="s">
        <v>879</v>
      </c>
      <c r="SNK90" s="60"/>
      <c r="SNZ90" s="63" t="s">
        <v>879</v>
      </c>
      <c r="SOA90" s="60"/>
      <c r="SOP90" s="63" t="s">
        <v>879</v>
      </c>
      <c r="SOQ90" s="60"/>
      <c r="SPF90" s="63" t="s">
        <v>879</v>
      </c>
      <c r="SPG90" s="60"/>
      <c r="SPV90" s="63" t="s">
        <v>879</v>
      </c>
      <c r="SPW90" s="60"/>
      <c r="SQL90" s="63" t="s">
        <v>879</v>
      </c>
      <c r="SQM90" s="60"/>
      <c r="SRB90" s="63" t="s">
        <v>879</v>
      </c>
      <c r="SRC90" s="60"/>
      <c r="SRR90" s="63" t="s">
        <v>879</v>
      </c>
      <c r="SRS90" s="60"/>
      <c r="SSH90" s="63" t="s">
        <v>879</v>
      </c>
      <c r="SSI90" s="60"/>
      <c r="SSX90" s="63" t="s">
        <v>879</v>
      </c>
      <c r="SSY90" s="60"/>
      <c r="STN90" s="63" t="s">
        <v>879</v>
      </c>
      <c r="STO90" s="60"/>
      <c r="SUD90" s="63" t="s">
        <v>879</v>
      </c>
      <c r="SUE90" s="60"/>
      <c r="SUT90" s="63" t="s">
        <v>879</v>
      </c>
      <c r="SUU90" s="60"/>
      <c r="SVJ90" s="63" t="s">
        <v>879</v>
      </c>
      <c r="SVK90" s="60"/>
      <c r="SVZ90" s="63" t="s">
        <v>879</v>
      </c>
      <c r="SWA90" s="60"/>
      <c r="SWP90" s="63" t="s">
        <v>879</v>
      </c>
      <c r="SWQ90" s="60"/>
      <c r="SXF90" s="63" t="s">
        <v>879</v>
      </c>
      <c r="SXG90" s="60"/>
      <c r="SXV90" s="63" t="s">
        <v>879</v>
      </c>
      <c r="SXW90" s="60"/>
      <c r="SYL90" s="63" t="s">
        <v>879</v>
      </c>
      <c r="SYM90" s="60"/>
      <c r="SZB90" s="63" t="s">
        <v>879</v>
      </c>
      <c r="SZC90" s="60"/>
      <c r="SZR90" s="63" t="s">
        <v>879</v>
      </c>
      <c r="SZS90" s="60"/>
      <c r="TAH90" s="63" t="s">
        <v>879</v>
      </c>
      <c r="TAI90" s="60"/>
      <c r="TAX90" s="63" t="s">
        <v>879</v>
      </c>
      <c r="TAY90" s="60"/>
      <c r="TBN90" s="63" t="s">
        <v>879</v>
      </c>
      <c r="TBO90" s="60"/>
      <c r="TCD90" s="63" t="s">
        <v>879</v>
      </c>
      <c r="TCE90" s="60"/>
      <c r="TCT90" s="63" t="s">
        <v>879</v>
      </c>
      <c r="TCU90" s="60"/>
      <c r="TDJ90" s="63" t="s">
        <v>879</v>
      </c>
      <c r="TDK90" s="60"/>
      <c r="TDZ90" s="63" t="s">
        <v>879</v>
      </c>
      <c r="TEA90" s="60"/>
      <c r="TEP90" s="63" t="s">
        <v>879</v>
      </c>
      <c r="TEQ90" s="60"/>
      <c r="TFF90" s="63" t="s">
        <v>879</v>
      </c>
      <c r="TFG90" s="60"/>
      <c r="TFV90" s="63" t="s">
        <v>879</v>
      </c>
      <c r="TFW90" s="60"/>
      <c r="TGL90" s="63" t="s">
        <v>879</v>
      </c>
      <c r="TGM90" s="60"/>
      <c r="THB90" s="63" t="s">
        <v>879</v>
      </c>
      <c r="THC90" s="60"/>
      <c r="THR90" s="63" t="s">
        <v>879</v>
      </c>
      <c r="THS90" s="60"/>
      <c r="TIH90" s="63" t="s">
        <v>879</v>
      </c>
      <c r="TII90" s="60"/>
      <c r="TIX90" s="63" t="s">
        <v>879</v>
      </c>
      <c r="TIY90" s="60"/>
      <c r="TJN90" s="63" t="s">
        <v>879</v>
      </c>
      <c r="TJO90" s="60"/>
      <c r="TKD90" s="63" t="s">
        <v>879</v>
      </c>
      <c r="TKE90" s="60"/>
      <c r="TKT90" s="63" t="s">
        <v>879</v>
      </c>
      <c r="TKU90" s="60"/>
      <c r="TLJ90" s="63" t="s">
        <v>879</v>
      </c>
      <c r="TLK90" s="60"/>
      <c r="TLZ90" s="63" t="s">
        <v>879</v>
      </c>
      <c r="TMA90" s="60"/>
      <c r="TMP90" s="63" t="s">
        <v>879</v>
      </c>
      <c r="TMQ90" s="60"/>
      <c r="TNF90" s="63" t="s">
        <v>879</v>
      </c>
      <c r="TNG90" s="60"/>
      <c r="TNV90" s="63" t="s">
        <v>879</v>
      </c>
      <c r="TNW90" s="60"/>
      <c r="TOL90" s="63" t="s">
        <v>879</v>
      </c>
      <c r="TOM90" s="60"/>
      <c r="TPB90" s="63" t="s">
        <v>879</v>
      </c>
      <c r="TPC90" s="60"/>
      <c r="TPR90" s="63" t="s">
        <v>879</v>
      </c>
      <c r="TPS90" s="60"/>
      <c r="TQH90" s="63" t="s">
        <v>879</v>
      </c>
      <c r="TQI90" s="60"/>
      <c r="TQX90" s="63" t="s">
        <v>879</v>
      </c>
      <c r="TQY90" s="60"/>
      <c r="TRN90" s="63" t="s">
        <v>879</v>
      </c>
      <c r="TRO90" s="60"/>
      <c r="TSD90" s="63" t="s">
        <v>879</v>
      </c>
      <c r="TSE90" s="60"/>
      <c r="TST90" s="63" t="s">
        <v>879</v>
      </c>
      <c r="TSU90" s="60"/>
      <c r="TTJ90" s="63" t="s">
        <v>879</v>
      </c>
      <c r="TTK90" s="60"/>
      <c r="TTZ90" s="63" t="s">
        <v>879</v>
      </c>
      <c r="TUA90" s="60"/>
      <c r="TUP90" s="63" t="s">
        <v>879</v>
      </c>
      <c r="TUQ90" s="60"/>
      <c r="TVF90" s="63" t="s">
        <v>879</v>
      </c>
      <c r="TVG90" s="60"/>
      <c r="TVV90" s="63" t="s">
        <v>879</v>
      </c>
      <c r="TVW90" s="60"/>
      <c r="TWL90" s="63" t="s">
        <v>879</v>
      </c>
      <c r="TWM90" s="60"/>
      <c r="TXB90" s="63" t="s">
        <v>879</v>
      </c>
      <c r="TXC90" s="60"/>
      <c r="TXR90" s="63" t="s">
        <v>879</v>
      </c>
      <c r="TXS90" s="60"/>
      <c r="TYH90" s="63" t="s">
        <v>879</v>
      </c>
      <c r="TYI90" s="60"/>
      <c r="TYX90" s="63" t="s">
        <v>879</v>
      </c>
      <c r="TYY90" s="60"/>
      <c r="TZN90" s="63" t="s">
        <v>879</v>
      </c>
      <c r="TZO90" s="60"/>
      <c r="UAD90" s="63" t="s">
        <v>879</v>
      </c>
      <c r="UAE90" s="60"/>
      <c r="UAT90" s="63" t="s">
        <v>879</v>
      </c>
      <c r="UAU90" s="60"/>
      <c r="UBJ90" s="63" t="s">
        <v>879</v>
      </c>
      <c r="UBK90" s="60"/>
      <c r="UBZ90" s="63" t="s">
        <v>879</v>
      </c>
      <c r="UCA90" s="60"/>
      <c r="UCP90" s="63" t="s">
        <v>879</v>
      </c>
      <c r="UCQ90" s="60"/>
      <c r="UDF90" s="63" t="s">
        <v>879</v>
      </c>
      <c r="UDG90" s="60"/>
      <c r="UDV90" s="63" t="s">
        <v>879</v>
      </c>
      <c r="UDW90" s="60"/>
      <c r="UEL90" s="63" t="s">
        <v>879</v>
      </c>
      <c r="UEM90" s="60"/>
      <c r="UFB90" s="63" t="s">
        <v>879</v>
      </c>
      <c r="UFC90" s="60"/>
      <c r="UFR90" s="63" t="s">
        <v>879</v>
      </c>
      <c r="UFS90" s="60"/>
      <c r="UGH90" s="63" t="s">
        <v>879</v>
      </c>
      <c r="UGI90" s="60"/>
      <c r="UGX90" s="63" t="s">
        <v>879</v>
      </c>
      <c r="UGY90" s="60"/>
      <c r="UHN90" s="63" t="s">
        <v>879</v>
      </c>
      <c r="UHO90" s="60"/>
      <c r="UID90" s="63" t="s">
        <v>879</v>
      </c>
      <c r="UIE90" s="60"/>
      <c r="UIT90" s="63" t="s">
        <v>879</v>
      </c>
      <c r="UIU90" s="60"/>
      <c r="UJJ90" s="63" t="s">
        <v>879</v>
      </c>
      <c r="UJK90" s="60"/>
      <c r="UJZ90" s="63" t="s">
        <v>879</v>
      </c>
      <c r="UKA90" s="60"/>
      <c r="UKP90" s="63" t="s">
        <v>879</v>
      </c>
      <c r="UKQ90" s="60"/>
      <c r="ULF90" s="63" t="s">
        <v>879</v>
      </c>
      <c r="ULG90" s="60"/>
      <c r="ULV90" s="63" t="s">
        <v>879</v>
      </c>
      <c r="ULW90" s="60"/>
      <c r="UML90" s="63" t="s">
        <v>879</v>
      </c>
      <c r="UMM90" s="60"/>
      <c r="UNB90" s="63" t="s">
        <v>879</v>
      </c>
      <c r="UNC90" s="60"/>
      <c r="UNR90" s="63" t="s">
        <v>879</v>
      </c>
      <c r="UNS90" s="60"/>
      <c r="UOH90" s="63" t="s">
        <v>879</v>
      </c>
      <c r="UOI90" s="60"/>
      <c r="UOX90" s="63" t="s">
        <v>879</v>
      </c>
      <c r="UOY90" s="60"/>
      <c r="UPN90" s="63" t="s">
        <v>879</v>
      </c>
      <c r="UPO90" s="60"/>
      <c r="UQD90" s="63" t="s">
        <v>879</v>
      </c>
      <c r="UQE90" s="60"/>
      <c r="UQT90" s="63" t="s">
        <v>879</v>
      </c>
      <c r="UQU90" s="60"/>
      <c r="URJ90" s="63" t="s">
        <v>879</v>
      </c>
      <c r="URK90" s="60"/>
      <c r="URZ90" s="63" t="s">
        <v>879</v>
      </c>
      <c r="USA90" s="60"/>
      <c r="USP90" s="63" t="s">
        <v>879</v>
      </c>
      <c r="USQ90" s="60"/>
      <c r="UTF90" s="63" t="s">
        <v>879</v>
      </c>
      <c r="UTG90" s="60"/>
      <c r="UTV90" s="63" t="s">
        <v>879</v>
      </c>
      <c r="UTW90" s="60"/>
      <c r="UUL90" s="63" t="s">
        <v>879</v>
      </c>
      <c r="UUM90" s="60"/>
      <c r="UVB90" s="63" t="s">
        <v>879</v>
      </c>
      <c r="UVC90" s="60"/>
      <c r="UVR90" s="63" t="s">
        <v>879</v>
      </c>
      <c r="UVS90" s="60"/>
      <c r="UWH90" s="63" t="s">
        <v>879</v>
      </c>
      <c r="UWI90" s="60"/>
      <c r="UWX90" s="63" t="s">
        <v>879</v>
      </c>
      <c r="UWY90" s="60"/>
      <c r="UXN90" s="63" t="s">
        <v>879</v>
      </c>
      <c r="UXO90" s="60"/>
      <c r="UYD90" s="63" t="s">
        <v>879</v>
      </c>
      <c r="UYE90" s="60"/>
      <c r="UYT90" s="63" t="s">
        <v>879</v>
      </c>
      <c r="UYU90" s="60"/>
      <c r="UZJ90" s="63" t="s">
        <v>879</v>
      </c>
      <c r="UZK90" s="60"/>
      <c r="UZZ90" s="63" t="s">
        <v>879</v>
      </c>
      <c r="VAA90" s="60"/>
      <c r="VAP90" s="63" t="s">
        <v>879</v>
      </c>
      <c r="VAQ90" s="60"/>
      <c r="VBF90" s="63" t="s">
        <v>879</v>
      </c>
      <c r="VBG90" s="60"/>
      <c r="VBV90" s="63" t="s">
        <v>879</v>
      </c>
      <c r="VBW90" s="60"/>
      <c r="VCL90" s="63" t="s">
        <v>879</v>
      </c>
      <c r="VCM90" s="60"/>
      <c r="VDB90" s="63" t="s">
        <v>879</v>
      </c>
      <c r="VDC90" s="60"/>
      <c r="VDR90" s="63" t="s">
        <v>879</v>
      </c>
      <c r="VDS90" s="60"/>
      <c r="VEH90" s="63" t="s">
        <v>879</v>
      </c>
      <c r="VEI90" s="60"/>
      <c r="VEX90" s="63" t="s">
        <v>879</v>
      </c>
      <c r="VEY90" s="60"/>
      <c r="VFN90" s="63" t="s">
        <v>879</v>
      </c>
      <c r="VFO90" s="60"/>
      <c r="VGD90" s="63" t="s">
        <v>879</v>
      </c>
      <c r="VGE90" s="60"/>
      <c r="VGT90" s="63" t="s">
        <v>879</v>
      </c>
      <c r="VGU90" s="60"/>
      <c r="VHJ90" s="63" t="s">
        <v>879</v>
      </c>
      <c r="VHK90" s="60"/>
      <c r="VHZ90" s="63" t="s">
        <v>879</v>
      </c>
      <c r="VIA90" s="60"/>
      <c r="VIP90" s="63" t="s">
        <v>879</v>
      </c>
      <c r="VIQ90" s="60"/>
      <c r="VJF90" s="63" t="s">
        <v>879</v>
      </c>
      <c r="VJG90" s="60"/>
      <c r="VJV90" s="63" t="s">
        <v>879</v>
      </c>
      <c r="VJW90" s="60"/>
      <c r="VKL90" s="63" t="s">
        <v>879</v>
      </c>
      <c r="VKM90" s="60"/>
      <c r="VLB90" s="63" t="s">
        <v>879</v>
      </c>
      <c r="VLC90" s="60"/>
      <c r="VLR90" s="63" t="s">
        <v>879</v>
      </c>
      <c r="VLS90" s="60"/>
      <c r="VMH90" s="63" t="s">
        <v>879</v>
      </c>
      <c r="VMI90" s="60"/>
      <c r="VMX90" s="63" t="s">
        <v>879</v>
      </c>
      <c r="VMY90" s="60"/>
      <c r="VNN90" s="63" t="s">
        <v>879</v>
      </c>
      <c r="VNO90" s="60"/>
      <c r="VOD90" s="63" t="s">
        <v>879</v>
      </c>
      <c r="VOE90" s="60"/>
      <c r="VOT90" s="63" t="s">
        <v>879</v>
      </c>
      <c r="VOU90" s="60"/>
      <c r="VPJ90" s="63" t="s">
        <v>879</v>
      </c>
      <c r="VPK90" s="60"/>
      <c r="VPZ90" s="63" t="s">
        <v>879</v>
      </c>
      <c r="VQA90" s="60"/>
      <c r="VQP90" s="63" t="s">
        <v>879</v>
      </c>
      <c r="VQQ90" s="60"/>
      <c r="VRF90" s="63" t="s">
        <v>879</v>
      </c>
      <c r="VRG90" s="60"/>
      <c r="VRV90" s="63" t="s">
        <v>879</v>
      </c>
      <c r="VRW90" s="60"/>
      <c r="VSL90" s="63" t="s">
        <v>879</v>
      </c>
      <c r="VSM90" s="60"/>
      <c r="VTB90" s="63" t="s">
        <v>879</v>
      </c>
      <c r="VTC90" s="60"/>
      <c r="VTR90" s="63" t="s">
        <v>879</v>
      </c>
      <c r="VTS90" s="60"/>
      <c r="VUH90" s="63" t="s">
        <v>879</v>
      </c>
      <c r="VUI90" s="60"/>
      <c r="VUX90" s="63" t="s">
        <v>879</v>
      </c>
      <c r="VUY90" s="60"/>
      <c r="VVN90" s="63" t="s">
        <v>879</v>
      </c>
      <c r="VVO90" s="60"/>
      <c r="VWD90" s="63" t="s">
        <v>879</v>
      </c>
      <c r="VWE90" s="60"/>
      <c r="VWT90" s="63" t="s">
        <v>879</v>
      </c>
      <c r="VWU90" s="60"/>
      <c r="VXJ90" s="63" t="s">
        <v>879</v>
      </c>
      <c r="VXK90" s="60"/>
      <c r="VXZ90" s="63" t="s">
        <v>879</v>
      </c>
      <c r="VYA90" s="60"/>
      <c r="VYP90" s="63" t="s">
        <v>879</v>
      </c>
      <c r="VYQ90" s="60"/>
      <c r="VZF90" s="63" t="s">
        <v>879</v>
      </c>
      <c r="VZG90" s="60"/>
      <c r="VZV90" s="63" t="s">
        <v>879</v>
      </c>
      <c r="VZW90" s="60"/>
      <c r="WAL90" s="63" t="s">
        <v>879</v>
      </c>
      <c r="WAM90" s="60"/>
      <c r="WBB90" s="63" t="s">
        <v>879</v>
      </c>
      <c r="WBC90" s="60"/>
      <c r="WBR90" s="63" t="s">
        <v>879</v>
      </c>
      <c r="WBS90" s="60"/>
      <c r="WCH90" s="63" t="s">
        <v>879</v>
      </c>
      <c r="WCI90" s="60"/>
      <c r="WCX90" s="63" t="s">
        <v>879</v>
      </c>
      <c r="WCY90" s="60"/>
      <c r="WDN90" s="63" t="s">
        <v>879</v>
      </c>
      <c r="WDO90" s="60"/>
      <c r="WED90" s="63" t="s">
        <v>879</v>
      </c>
      <c r="WEE90" s="60"/>
      <c r="WET90" s="63" t="s">
        <v>879</v>
      </c>
      <c r="WEU90" s="60"/>
      <c r="WFJ90" s="63" t="s">
        <v>879</v>
      </c>
      <c r="WFK90" s="60"/>
      <c r="WFZ90" s="63" t="s">
        <v>879</v>
      </c>
      <c r="WGA90" s="60"/>
      <c r="WGP90" s="63" t="s">
        <v>879</v>
      </c>
      <c r="WGQ90" s="60"/>
      <c r="WHF90" s="63" t="s">
        <v>879</v>
      </c>
      <c r="WHG90" s="60"/>
      <c r="WHV90" s="63" t="s">
        <v>879</v>
      </c>
      <c r="WHW90" s="60"/>
      <c r="WIL90" s="63" t="s">
        <v>879</v>
      </c>
      <c r="WIM90" s="60"/>
      <c r="WJB90" s="63" t="s">
        <v>879</v>
      </c>
      <c r="WJC90" s="60"/>
      <c r="WJR90" s="63" t="s">
        <v>879</v>
      </c>
      <c r="WJS90" s="60"/>
      <c r="WKH90" s="63" t="s">
        <v>879</v>
      </c>
      <c r="WKI90" s="60"/>
      <c r="WKX90" s="63" t="s">
        <v>879</v>
      </c>
      <c r="WKY90" s="60"/>
      <c r="WLN90" s="63" t="s">
        <v>879</v>
      </c>
      <c r="WLO90" s="60"/>
      <c r="WMD90" s="63" t="s">
        <v>879</v>
      </c>
      <c r="WME90" s="60"/>
      <c r="WMT90" s="63" t="s">
        <v>879</v>
      </c>
      <c r="WMU90" s="60"/>
      <c r="WNJ90" s="63" t="s">
        <v>879</v>
      </c>
      <c r="WNK90" s="60"/>
      <c r="WNZ90" s="63" t="s">
        <v>879</v>
      </c>
      <c r="WOA90" s="60"/>
      <c r="WOP90" s="63" t="s">
        <v>879</v>
      </c>
      <c r="WOQ90" s="60"/>
      <c r="WPF90" s="63" t="s">
        <v>879</v>
      </c>
      <c r="WPG90" s="60"/>
      <c r="WPV90" s="63" t="s">
        <v>879</v>
      </c>
      <c r="WPW90" s="60"/>
      <c r="WQL90" s="63" t="s">
        <v>879</v>
      </c>
      <c r="WQM90" s="60"/>
      <c r="WRB90" s="63" t="s">
        <v>879</v>
      </c>
      <c r="WRC90" s="60"/>
      <c r="WRR90" s="63" t="s">
        <v>879</v>
      </c>
      <c r="WRS90" s="60"/>
      <c r="WSH90" s="63" t="s">
        <v>879</v>
      </c>
      <c r="WSI90" s="60"/>
      <c r="WSX90" s="63" t="s">
        <v>879</v>
      </c>
      <c r="WSY90" s="60"/>
      <c r="WTN90" s="63" t="s">
        <v>879</v>
      </c>
      <c r="WTO90" s="60"/>
      <c r="WUD90" s="63" t="s">
        <v>879</v>
      </c>
      <c r="WUE90" s="60"/>
      <c r="WUT90" s="63" t="s">
        <v>879</v>
      </c>
      <c r="WUU90" s="60"/>
      <c r="WVJ90" s="63" t="s">
        <v>879</v>
      </c>
      <c r="WVK90" s="60"/>
      <c r="WVZ90" s="63" t="s">
        <v>879</v>
      </c>
      <c r="WWA90" s="60"/>
      <c r="WWP90" s="63" t="s">
        <v>879</v>
      </c>
      <c r="WWQ90" s="60"/>
      <c r="WXF90" s="63" t="s">
        <v>879</v>
      </c>
      <c r="WXG90" s="60"/>
      <c r="WXV90" s="63" t="s">
        <v>879</v>
      </c>
      <c r="WXW90" s="60"/>
      <c r="WYL90" s="63" t="s">
        <v>879</v>
      </c>
      <c r="WYM90" s="60"/>
      <c r="WZB90" s="63" t="s">
        <v>879</v>
      </c>
      <c r="WZC90" s="60"/>
      <c r="WZR90" s="63" t="s">
        <v>879</v>
      </c>
      <c r="WZS90" s="60"/>
      <c r="XAH90" s="63" t="s">
        <v>879</v>
      </c>
      <c r="XAI90" s="60"/>
      <c r="XAX90" s="63" t="s">
        <v>879</v>
      </c>
      <c r="XAY90" s="60"/>
      <c r="XBN90" s="63" t="s">
        <v>879</v>
      </c>
      <c r="XBO90" s="60"/>
      <c r="XCD90" s="63" t="s">
        <v>879</v>
      </c>
      <c r="XCE90" s="60"/>
      <c r="XCT90" s="63" t="s">
        <v>879</v>
      </c>
      <c r="XCU90" s="60"/>
      <c r="XDJ90" s="63" t="s">
        <v>879</v>
      </c>
      <c r="XDK90" s="60"/>
      <c r="XDZ90" s="63" t="s">
        <v>879</v>
      </c>
      <c r="XEA90" s="60"/>
      <c r="XEP90" s="63" t="s">
        <v>879</v>
      </c>
      <c r="XEQ90" s="60"/>
    </row>
    <row r="91" spans="2:1011 1026:2035 2050:3059 3074:4083 4098:5107 5122:6131 6146:7155 7170:8179 8194:9203 9218:10227 10242:11251 11266:12275 12290:13299 13314:14323 14338:15347 15362:16371" ht="14.25" x14ac:dyDescent="0.2">
      <c r="B91" s="34"/>
      <c r="C91" s="60"/>
      <c r="R91" s="63" t="s">
        <v>933</v>
      </c>
      <c r="S91" s="60"/>
      <c r="AH91" s="63" t="s">
        <v>933</v>
      </c>
      <c r="AI91" s="60"/>
      <c r="AX91" s="63" t="s">
        <v>933</v>
      </c>
      <c r="AY91" s="60"/>
      <c r="BN91" s="63" t="s">
        <v>933</v>
      </c>
      <c r="BO91" s="60"/>
      <c r="CD91" s="63" t="s">
        <v>933</v>
      </c>
      <c r="CE91" s="60"/>
      <c r="CT91" s="63" t="s">
        <v>933</v>
      </c>
      <c r="CU91" s="60"/>
      <c r="DJ91" s="63" t="s">
        <v>933</v>
      </c>
      <c r="DK91" s="60"/>
      <c r="DZ91" s="63" t="s">
        <v>933</v>
      </c>
      <c r="EA91" s="60"/>
      <c r="EP91" s="63" t="s">
        <v>933</v>
      </c>
      <c r="EQ91" s="60"/>
      <c r="FF91" s="63" t="s">
        <v>933</v>
      </c>
      <c r="FG91" s="60"/>
      <c r="FV91" s="63" t="s">
        <v>933</v>
      </c>
      <c r="FW91" s="60"/>
      <c r="GL91" s="63" t="s">
        <v>933</v>
      </c>
      <c r="GM91" s="60"/>
      <c r="HB91" s="63" t="s">
        <v>933</v>
      </c>
      <c r="HC91" s="60"/>
      <c r="HR91" s="63" t="s">
        <v>933</v>
      </c>
      <c r="HS91" s="60"/>
      <c r="IH91" s="63" t="s">
        <v>933</v>
      </c>
      <c r="II91" s="60"/>
      <c r="IX91" s="63" t="s">
        <v>933</v>
      </c>
      <c r="IY91" s="60"/>
      <c r="JN91" s="63" t="s">
        <v>933</v>
      </c>
      <c r="JO91" s="60"/>
      <c r="KD91" s="63" t="s">
        <v>933</v>
      </c>
      <c r="KE91" s="60"/>
      <c r="KT91" s="63" t="s">
        <v>933</v>
      </c>
      <c r="KU91" s="60"/>
      <c r="LJ91" s="63" t="s">
        <v>933</v>
      </c>
      <c r="LK91" s="60"/>
      <c r="LZ91" s="63" t="s">
        <v>933</v>
      </c>
      <c r="MA91" s="60"/>
      <c r="MP91" s="63" t="s">
        <v>933</v>
      </c>
      <c r="MQ91" s="60"/>
      <c r="NF91" s="63" t="s">
        <v>933</v>
      </c>
      <c r="NG91" s="60"/>
      <c r="NV91" s="63" t="s">
        <v>933</v>
      </c>
      <c r="NW91" s="60"/>
      <c r="OL91" s="63" t="s">
        <v>933</v>
      </c>
      <c r="OM91" s="60"/>
      <c r="PB91" s="63" t="s">
        <v>933</v>
      </c>
      <c r="PC91" s="60"/>
      <c r="PR91" s="63" t="s">
        <v>933</v>
      </c>
      <c r="PS91" s="60"/>
      <c r="QH91" s="63" t="s">
        <v>933</v>
      </c>
      <c r="QI91" s="60"/>
      <c r="QX91" s="63" t="s">
        <v>933</v>
      </c>
      <c r="QY91" s="60"/>
      <c r="RN91" s="63" t="s">
        <v>933</v>
      </c>
      <c r="RO91" s="60"/>
      <c r="SD91" s="63" t="s">
        <v>933</v>
      </c>
      <c r="SE91" s="60"/>
      <c r="ST91" s="63" t="s">
        <v>933</v>
      </c>
      <c r="SU91" s="60"/>
      <c r="TJ91" s="63" t="s">
        <v>933</v>
      </c>
      <c r="TK91" s="60"/>
      <c r="TZ91" s="63" t="s">
        <v>933</v>
      </c>
      <c r="UA91" s="60"/>
      <c r="UP91" s="63" t="s">
        <v>933</v>
      </c>
      <c r="UQ91" s="60"/>
      <c r="VF91" s="63" t="s">
        <v>933</v>
      </c>
      <c r="VG91" s="60"/>
      <c r="VV91" s="63" t="s">
        <v>933</v>
      </c>
      <c r="VW91" s="60"/>
      <c r="WL91" s="63" t="s">
        <v>933</v>
      </c>
      <c r="WM91" s="60"/>
      <c r="XB91" s="63" t="s">
        <v>933</v>
      </c>
      <c r="XC91" s="60"/>
      <c r="XR91" s="63" t="s">
        <v>933</v>
      </c>
      <c r="XS91" s="60"/>
      <c r="YH91" s="63" t="s">
        <v>933</v>
      </c>
      <c r="YI91" s="60"/>
      <c r="YX91" s="63" t="s">
        <v>933</v>
      </c>
      <c r="YY91" s="60"/>
      <c r="ZN91" s="63" t="s">
        <v>933</v>
      </c>
      <c r="ZO91" s="60"/>
      <c r="AAD91" s="63" t="s">
        <v>933</v>
      </c>
      <c r="AAE91" s="60"/>
      <c r="AAT91" s="63" t="s">
        <v>933</v>
      </c>
      <c r="AAU91" s="60"/>
      <c r="ABJ91" s="63" t="s">
        <v>933</v>
      </c>
      <c r="ABK91" s="60"/>
      <c r="ABZ91" s="63" t="s">
        <v>933</v>
      </c>
      <c r="ACA91" s="60"/>
      <c r="ACP91" s="63" t="s">
        <v>933</v>
      </c>
      <c r="ACQ91" s="60"/>
      <c r="ADF91" s="63" t="s">
        <v>933</v>
      </c>
      <c r="ADG91" s="60"/>
      <c r="ADV91" s="63" t="s">
        <v>933</v>
      </c>
      <c r="ADW91" s="60"/>
      <c r="AEL91" s="63" t="s">
        <v>933</v>
      </c>
      <c r="AEM91" s="60"/>
      <c r="AFB91" s="63" t="s">
        <v>933</v>
      </c>
      <c r="AFC91" s="60"/>
      <c r="AFR91" s="63" t="s">
        <v>933</v>
      </c>
      <c r="AFS91" s="60"/>
      <c r="AGH91" s="63" t="s">
        <v>933</v>
      </c>
      <c r="AGI91" s="60"/>
      <c r="AGX91" s="63" t="s">
        <v>933</v>
      </c>
      <c r="AGY91" s="60"/>
      <c r="AHN91" s="63" t="s">
        <v>933</v>
      </c>
      <c r="AHO91" s="60"/>
      <c r="AID91" s="63" t="s">
        <v>933</v>
      </c>
      <c r="AIE91" s="60"/>
      <c r="AIT91" s="63" t="s">
        <v>933</v>
      </c>
      <c r="AIU91" s="60"/>
      <c r="AJJ91" s="63" t="s">
        <v>933</v>
      </c>
      <c r="AJK91" s="60"/>
      <c r="AJZ91" s="63" t="s">
        <v>933</v>
      </c>
      <c r="AKA91" s="60"/>
      <c r="AKP91" s="63" t="s">
        <v>933</v>
      </c>
      <c r="AKQ91" s="60"/>
      <c r="ALF91" s="63" t="s">
        <v>933</v>
      </c>
      <c r="ALG91" s="60"/>
      <c r="ALV91" s="63" t="s">
        <v>933</v>
      </c>
      <c r="ALW91" s="60"/>
      <c r="AML91" s="63" t="s">
        <v>933</v>
      </c>
      <c r="AMM91" s="60"/>
      <c r="ANB91" s="63" t="s">
        <v>933</v>
      </c>
      <c r="ANC91" s="60"/>
      <c r="ANR91" s="63" t="s">
        <v>933</v>
      </c>
      <c r="ANS91" s="60"/>
      <c r="AOH91" s="63" t="s">
        <v>933</v>
      </c>
      <c r="AOI91" s="60"/>
      <c r="AOX91" s="63" t="s">
        <v>933</v>
      </c>
      <c r="AOY91" s="60"/>
      <c r="APN91" s="63" t="s">
        <v>933</v>
      </c>
      <c r="APO91" s="60"/>
      <c r="AQD91" s="63" t="s">
        <v>933</v>
      </c>
      <c r="AQE91" s="60"/>
      <c r="AQT91" s="63" t="s">
        <v>933</v>
      </c>
      <c r="AQU91" s="60"/>
      <c r="ARJ91" s="63" t="s">
        <v>933</v>
      </c>
      <c r="ARK91" s="60"/>
      <c r="ARZ91" s="63" t="s">
        <v>933</v>
      </c>
      <c r="ASA91" s="60"/>
      <c r="ASP91" s="63" t="s">
        <v>933</v>
      </c>
      <c r="ASQ91" s="60"/>
      <c r="ATF91" s="63" t="s">
        <v>933</v>
      </c>
      <c r="ATG91" s="60"/>
      <c r="ATV91" s="63" t="s">
        <v>933</v>
      </c>
      <c r="ATW91" s="60"/>
      <c r="AUL91" s="63" t="s">
        <v>933</v>
      </c>
      <c r="AUM91" s="60"/>
      <c r="AVB91" s="63" t="s">
        <v>933</v>
      </c>
      <c r="AVC91" s="60"/>
      <c r="AVR91" s="63" t="s">
        <v>933</v>
      </c>
      <c r="AVS91" s="60"/>
      <c r="AWH91" s="63" t="s">
        <v>933</v>
      </c>
      <c r="AWI91" s="60"/>
      <c r="AWX91" s="63" t="s">
        <v>933</v>
      </c>
      <c r="AWY91" s="60"/>
      <c r="AXN91" s="63" t="s">
        <v>933</v>
      </c>
      <c r="AXO91" s="60"/>
      <c r="AYD91" s="63" t="s">
        <v>933</v>
      </c>
      <c r="AYE91" s="60"/>
      <c r="AYT91" s="63" t="s">
        <v>933</v>
      </c>
      <c r="AYU91" s="60"/>
      <c r="AZJ91" s="63" t="s">
        <v>933</v>
      </c>
      <c r="AZK91" s="60"/>
      <c r="AZZ91" s="63" t="s">
        <v>933</v>
      </c>
      <c r="BAA91" s="60"/>
      <c r="BAP91" s="63" t="s">
        <v>933</v>
      </c>
      <c r="BAQ91" s="60"/>
      <c r="BBF91" s="63" t="s">
        <v>933</v>
      </c>
      <c r="BBG91" s="60"/>
      <c r="BBV91" s="63" t="s">
        <v>933</v>
      </c>
      <c r="BBW91" s="60"/>
      <c r="BCL91" s="63" t="s">
        <v>933</v>
      </c>
      <c r="BCM91" s="60"/>
      <c r="BDB91" s="63" t="s">
        <v>933</v>
      </c>
      <c r="BDC91" s="60"/>
      <c r="BDR91" s="63" t="s">
        <v>933</v>
      </c>
      <c r="BDS91" s="60"/>
      <c r="BEH91" s="63" t="s">
        <v>933</v>
      </c>
      <c r="BEI91" s="60"/>
      <c r="BEX91" s="63" t="s">
        <v>933</v>
      </c>
      <c r="BEY91" s="60"/>
      <c r="BFN91" s="63" t="s">
        <v>933</v>
      </c>
      <c r="BFO91" s="60"/>
      <c r="BGD91" s="63" t="s">
        <v>933</v>
      </c>
      <c r="BGE91" s="60"/>
      <c r="BGT91" s="63" t="s">
        <v>933</v>
      </c>
      <c r="BGU91" s="60"/>
      <c r="BHJ91" s="63" t="s">
        <v>933</v>
      </c>
      <c r="BHK91" s="60"/>
      <c r="BHZ91" s="63" t="s">
        <v>933</v>
      </c>
      <c r="BIA91" s="60"/>
      <c r="BIP91" s="63" t="s">
        <v>933</v>
      </c>
      <c r="BIQ91" s="60"/>
      <c r="BJF91" s="63" t="s">
        <v>933</v>
      </c>
      <c r="BJG91" s="60"/>
      <c r="BJV91" s="63" t="s">
        <v>933</v>
      </c>
      <c r="BJW91" s="60"/>
      <c r="BKL91" s="63" t="s">
        <v>933</v>
      </c>
      <c r="BKM91" s="60"/>
      <c r="BLB91" s="63" t="s">
        <v>933</v>
      </c>
      <c r="BLC91" s="60"/>
      <c r="BLR91" s="63" t="s">
        <v>933</v>
      </c>
      <c r="BLS91" s="60"/>
      <c r="BMH91" s="63" t="s">
        <v>933</v>
      </c>
      <c r="BMI91" s="60"/>
      <c r="BMX91" s="63" t="s">
        <v>933</v>
      </c>
      <c r="BMY91" s="60"/>
      <c r="BNN91" s="63" t="s">
        <v>933</v>
      </c>
      <c r="BNO91" s="60"/>
      <c r="BOD91" s="63" t="s">
        <v>933</v>
      </c>
      <c r="BOE91" s="60"/>
      <c r="BOT91" s="63" t="s">
        <v>933</v>
      </c>
      <c r="BOU91" s="60"/>
      <c r="BPJ91" s="63" t="s">
        <v>933</v>
      </c>
      <c r="BPK91" s="60"/>
      <c r="BPZ91" s="63" t="s">
        <v>933</v>
      </c>
      <c r="BQA91" s="60"/>
      <c r="BQP91" s="63" t="s">
        <v>933</v>
      </c>
      <c r="BQQ91" s="60"/>
      <c r="BRF91" s="63" t="s">
        <v>933</v>
      </c>
      <c r="BRG91" s="60"/>
      <c r="BRV91" s="63" t="s">
        <v>933</v>
      </c>
      <c r="BRW91" s="60"/>
      <c r="BSL91" s="63" t="s">
        <v>933</v>
      </c>
      <c r="BSM91" s="60"/>
      <c r="BTB91" s="63" t="s">
        <v>933</v>
      </c>
      <c r="BTC91" s="60"/>
      <c r="BTR91" s="63" t="s">
        <v>933</v>
      </c>
      <c r="BTS91" s="60"/>
      <c r="BUH91" s="63" t="s">
        <v>933</v>
      </c>
      <c r="BUI91" s="60"/>
      <c r="BUX91" s="63" t="s">
        <v>933</v>
      </c>
      <c r="BUY91" s="60"/>
      <c r="BVN91" s="63" t="s">
        <v>933</v>
      </c>
      <c r="BVO91" s="60"/>
      <c r="BWD91" s="63" t="s">
        <v>933</v>
      </c>
      <c r="BWE91" s="60"/>
      <c r="BWT91" s="63" t="s">
        <v>933</v>
      </c>
      <c r="BWU91" s="60"/>
      <c r="BXJ91" s="63" t="s">
        <v>933</v>
      </c>
      <c r="BXK91" s="60"/>
      <c r="BXZ91" s="63" t="s">
        <v>933</v>
      </c>
      <c r="BYA91" s="60"/>
      <c r="BYP91" s="63" t="s">
        <v>933</v>
      </c>
      <c r="BYQ91" s="60"/>
      <c r="BZF91" s="63" t="s">
        <v>933</v>
      </c>
      <c r="BZG91" s="60"/>
      <c r="BZV91" s="63" t="s">
        <v>933</v>
      </c>
      <c r="BZW91" s="60"/>
      <c r="CAL91" s="63" t="s">
        <v>933</v>
      </c>
      <c r="CAM91" s="60"/>
      <c r="CBB91" s="63" t="s">
        <v>933</v>
      </c>
      <c r="CBC91" s="60"/>
      <c r="CBR91" s="63" t="s">
        <v>933</v>
      </c>
      <c r="CBS91" s="60"/>
      <c r="CCH91" s="63" t="s">
        <v>933</v>
      </c>
      <c r="CCI91" s="60"/>
      <c r="CCX91" s="63" t="s">
        <v>933</v>
      </c>
      <c r="CCY91" s="60"/>
      <c r="CDN91" s="63" t="s">
        <v>933</v>
      </c>
      <c r="CDO91" s="60"/>
      <c r="CED91" s="63" t="s">
        <v>933</v>
      </c>
      <c r="CEE91" s="60"/>
      <c r="CET91" s="63" t="s">
        <v>933</v>
      </c>
      <c r="CEU91" s="60"/>
      <c r="CFJ91" s="63" t="s">
        <v>933</v>
      </c>
      <c r="CFK91" s="60"/>
      <c r="CFZ91" s="63" t="s">
        <v>933</v>
      </c>
      <c r="CGA91" s="60"/>
      <c r="CGP91" s="63" t="s">
        <v>933</v>
      </c>
      <c r="CGQ91" s="60"/>
      <c r="CHF91" s="63" t="s">
        <v>933</v>
      </c>
      <c r="CHG91" s="60"/>
      <c r="CHV91" s="63" t="s">
        <v>933</v>
      </c>
      <c r="CHW91" s="60"/>
      <c r="CIL91" s="63" t="s">
        <v>933</v>
      </c>
      <c r="CIM91" s="60"/>
      <c r="CJB91" s="63" t="s">
        <v>933</v>
      </c>
      <c r="CJC91" s="60"/>
      <c r="CJR91" s="63" t="s">
        <v>933</v>
      </c>
      <c r="CJS91" s="60"/>
      <c r="CKH91" s="63" t="s">
        <v>933</v>
      </c>
      <c r="CKI91" s="60"/>
      <c r="CKX91" s="63" t="s">
        <v>933</v>
      </c>
      <c r="CKY91" s="60"/>
      <c r="CLN91" s="63" t="s">
        <v>933</v>
      </c>
      <c r="CLO91" s="60"/>
      <c r="CMD91" s="63" t="s">
        <v>933</v>
      </c>
      <c r="CME91" s="60"/>
      <c r="CMT91" s="63" t="s">
        <v>933</v>
      </c>
      <c r="CMU91" s="60"/>
      <c r="CNJ91" s="63" t="s">
        <v>933</v>
      </c>
      <c r="CNK91" s="60"/>
      <c r="CNZ91" s="63" t="s">
        <v>933</v>
      </c>
      <c r="COA91" s="60"/>
      <c r="COP91" s="63" t="s">
        <v>933</v>
      </c>
      <c r="COQ91" s="60"/>
      <c r="CPF91" s="63" t="s">
        <v>933</v>
      </c>
      <c r="CPG91" s="60"/>
      <c r="CPV91" s="63" t="s">
        <v>933</v>
      </c>
      <c r="CPW91" s="60"/>
      <c r="CQL91" s="63" t="s">
        <v>933</v>
      </c>
      <c r="CQM91" s="60"/>
      <c r="CRB91" s="63" t="s">
        <v>933</v>
      </c>
      <c r="CRC91" s="60"/>
      <c r="CRR91" s="63" t="s">
        <v>933</v>
      </c>
      <c r="CRS91" s="60"/>
      <c r="CSH91" s="63" t="s">
        <v>933</v>
      </c>
      <c r="CSI91" s="60"/>
      <c r="CSX91" s="63" t="s">
        <v>933</v>
      </c>
      <c r="CSY91" s="60"/>
      <c r="CTN91" s="63" t="s">
        <v>933</v>
      </c>
      <c r="CTO91" s="60"/>
      <c r="CUD91" s="63" t="s">
        <v>933</v>
      </c>
      <c r="CUE91" s="60"/>
      <c r="CUT91" s="63" t="s">
        <v>933</v>
      </c>
      <c r="CUU91" s="60"/>
      <c r="CVJ91" s="63" t="s">
        <v>933</v>
      </c>
      <c r="CVK91" s="60"/>
      <c r="CVZ91" s="63" t="s">
        <v>933</v>
      </c>
      <c r="CWA91" s="60"/>
      <c r="CWP91" s="63" t="s">
        <v>933</v>
      </c>
      <c r="CWQ91" s="60"/>
      <c r="CXF91" s="63" t="s">
        <v>933</v>
      </c>
      <c r="CXG91" s="60"/>
      <c r="CXV91" s="63" t="s">
        <v>933</v>
      </c>
      <c r="CXW91" s="60"/>
      <c r="CYL91" s="63" t="s">
        <v>933</v>
      </c>
      <c r="CYM91" s="60"/>
      <c r="CZB91" s="63" t="s">
        <v>933</v>
      </c>
      <c r="CZC91" s="60"/>
      <c r="CZR91" s="63" t="s">
        <v>933</v>
      </c>
      <c r="CZS91" s="60"/>
      <c r="DAH91" s="63" t="s">
        <v>933</v>
      </c>
      <c r="DAI91" s="60"/>
      <c r="DAX91" s="63" t="s">
        <v>933</v>
      </c>
      <c r="DAY91" s="60"/>
      <c r="DBN91" s="63" t="s">
        <v>933</v>
      </c>
      <c r="DBO91" s="60"/>
      <c r="DCD91" s="63" t="s">
        <v>933</v>
      </c>
      <c r="DCE91" s="60"/>
      <c r="DCT91" s="63" t="s">
        <v>933</v>
      </c>
      <c r="DCU91" s="60"/>
      <c r="DDJ91" s="63" t="s">
        <v>933</v>
      </c>
      <c r="DDK91" s="60"/>
      <c r="DDZ91" s="63" t="s">
        <v>933</v>
      </c>
      <c r="DEA91" s="60"/>
      <c r="DEP91" s="63" t="s">
        <v>933</v>
      </c>
      <c r="DEQ91" s="60"/>
      <c r="DFF91" s="63" t="s">
        <v>933</v>
      </c>
      <c r="DFG91" s="60"/>
      <c r="DFV91" s="63" t="s">
        <v>933</v>
      </c>
      <c r="DFW91" s="60"/>
      <c r="DGL91" s="63" t="s">
        <v>933</v>
      </c>
      <c r="DGM91" s="60"/>
      <c r="DHB91" s="63" t="s">
        <v>933</v>
      </c>
      <c r="DHC91" s="60"/>
      <c r="DHR91" s="63" t="s">
        <v>933</v>
      </c>
      <c r="DHS91" s="60"/>
      <c r="DIH91" s="63" t="s">
        <v>933</v>
      </c>
      <c r="DII91" s="60"/>
      <c r="DIX91" s="63" t="s">
        <v>933</v>
      </c>
      <c r="DIY91" s="60"/>
      <c r="DJN91" s="63" t="s">
        <v>933</v>
      </c>
      <c r="DJO91" s="60"/>
      <c r="DKD91" s="63" t="s">
        <v>933</v>
      </c>
      <c r="DKE91" s="60"/>
      <c r="DKT91" s="63" t="s">
        <v>933</v>
      </c>
      <c r="DKU91" s="60"/>
      <c r="DLJ91" s="63" t="s">
        <v>933</v>
      </c>
      <c r="DLK91" s="60"/>
      <c r="DLZ91" s="63" t="s">
        <v>933</v>
      </c>
      <c r="DMA91" s="60"/>
      <c r="DMP91" s="63" t="s">
        <v>933</v>
      </c>
      <c r="DMQ91" s="60"/>
      <c r="DNF91" s="63" t="s">
        <v>933</v>
      </c>
      <c r="DNG91" s="60"/>
      <c r="DNV91" s="63" t="s">
        <v>933</v>
      </c>
      <c r="DNW91" s="60"/>
      <c r="DOL91" s="63" t="s">
        <v>933</v>
      </c>
      <c r="DOM91" s="60"/>
      <c r="DPB91" s="63" t="s">
        <v>933</v>
      </c>
      <c r="DPC91" s="60"/>
      <c r="DPR91" s="63" t="s">
        <v>933</v>
      </c>
      <c r="DPS91" s="60"/>
      <c r="DQH91" s="63" t="s">
        <v>933</v>
      </c>
      <c r="DQI91" s="60"/>
      <c r="DQX91" s="63" t="s">
        <v>933</v>
      </c>
      <c r="DQY91" s="60"/>
      <c r="DRN91" s="63" t="s">
        <v>933</v>
      </c>
      <c r="DRO91" s="60"/>
      <c r="DSD91" s="63" t="s">
        <v>933</v>
      </c>
      <c r="DSE91" s="60"/>
      <c r="DST91" s="63" t="s">
        <v>933</v>
      </c>
      <c r="DSU91" s="60"/>
      <c r="DTJ91" s="63" t="s">
        <v>933</v>
      </c>
      <c r="DTK91" s="60"/>
      <c r="DTZ91" s="63" t="s">
        <v>933</v>
      </c>
      <c r="DUA91" s="60"/>
      <c r="DUP91" s="63" t="s">
        <v>933</v>
      </c>
      <c r="DUQ91" s="60"/>
      <c r="DVF91" s="63" t="s">
        <v>933</v>
      </c>
      <c r="DVG91" s="60"/>
      <c r="DVV91" s="63" t="s">
        <v>933</v>
      </c>
      <c r="DVW91" s="60"/>
      <c r="DWL91" s="63" t="s">
        <v>933</v>
      </c>
      <c r="DWM91" s="60"/>
      <c r="DXB91" s="63" t="s">
        <v>933</v>
      </c>
      <c r="DXC91" s="60"/>
      <c r="DXR91" s="63" t="s">
        <v>933</v>
      </c>
      <c r="DXS91" s="60"/>
      <c r="DYH91" s="63" t="s">
        <v>933</v>
      </c>
      <c r="DYI91" s="60"/>
      <c r="DYX91" s="63" t="s">
        <v>933</v>
      </c>
      <c r="DYY91" s="60"/>
      <c r="DZN91" s="63" t="s">
        <v>933</v>
      </c>
      <c r="DZO91" s="60"/>
      <c r="EAD91" s="63" t="s">
        <v>933</v>
      </c>
      <c r="EAE91" s="60"/>
      <c r="EAT91" s="63" t="s">
        <v>933</v>
      </c>
      <c r="EAU91" s="60"/>
      <c r="EBJ91" s="63" t="s">
        <v>933</v>
      </c>
      <c r="EBK91" s="60"/>
      <c r="EBZ91" s="63" t="s">
        <v>933</v>
      </c>
      <c r="ECA91" s="60"/>
      <c r="ECP91" s="63" t="s">
        <v>933</v>
      </c>
      <c r="ECQ91" s="60"/>
      <c r="EDF91" s="63" t="s">
        <v>933</v>
      </c>
      <c r="EDG91" s="60"/>
      <c r="EDV91" s="63" t="s">
        <v>933</v>
      </c>
      <c r="EDW91" s="60"/>
      <c r="EEL91" s="63" t="s">
        <v>933</v>
      </c>
      <c r="EEM91" s="60"/>
      <c r="EFB91" s="63" t="s">
        <v>933</v>
      </c>
      <c r="EFC91" s="60"/>
      <c r="EFR91" s="63" t="s">
        <v>933</v>
      </c>
      <c r="EFS91" s="60"/>
      <c r="EGH91" s="63" t="s">
        <v>933</v>
      </c>
      <c r="EGI91" s="60"/>
      <c r="EGX91" s="63" t="s">
        <v>933</v>
      </c>
      <c r="EGY91" s="60"/>
      <c r="EHN91" s="63" t="s">
        <v>933</v>
      </c>
      <c r="EHO91" s="60"/>
      <c r="EID91" s="63" t="s">
        <v>933</v>
      </c>
      <c r="EIE91" s="60"/>
      <c r="EIT91" s="63" t="s">
        <v>933</v>
      </c>
      <c r="EIU91" s="60"/>
      <c r="EJJ91" s="63" t="s">
        <v>933</v>
      </c>
      <c r="EJK91" s="60"/>
      <c r="EJZ91" s="63" t="s">
        <v>933</v>
      </c>
      <c r="EKA91" s="60"/>
      <c r="EKP91" s="63" t="s">
        <v>933</v>
      </c>
      <c r="EKQ91" s="60"/>
      <c r="ELF91" s="63" t="s">
        <v>933</v>
      </c>
      <c r="ELG91" s="60"/>
      <c r="ELV91" s="63" t="s">
        <v>933</v>
      </c>
      <c r="ELW91" s="60"/>
      <c r="EML91" s="63" t="s">
        <v>933</v>
      </c>
      <c r="EMM91" s="60"/>
      <c r="ENB91" s="63" t="s">
        <v>933</v>
      </c>
      <c r="ENC91" s="60"/>
      <c r="ENR91" s="63" t="s">
        <v>933</v>
      </c>
      <c r="ENS91" s="60"/>
      <c r="EOH91" s="63" t="s">
        <v>933</v>
      </c>
      <c r="EOI91" s="60"/>
      <c r="EOX91" s="63" t="s">
        <v>933</v>
      </c>
      <c r="EOY91" s="60"/>
      <c r="EPN91" s="63" t="s">
        <v>933</v>
      </c>
      <c r="EPO91" s="60"/>
      <c r="EQD91" s="63" t="s">
        <v>933</v>
      </c>
      <c r="EQE91" s="60"/>
      <c r="EQT91" s="63" t="s">
        <v>933</v>
      </c>
      <c r="EQU91" s="60"/>
      <c r="ERJ91" s="63" t="s">
        <v>933</v>
      </c>
      <c r="ERK91" s="60"/>
      <c r="ERZ91" s="63" t="s">
        <v>933</v>
      </c>
      <c r="ESA91" s="60"/>
      <c r="ESP91" s="63" t="s">
        <v>933</v>
      </c>
      <c r="ESQ91" s="60"/>
      <c r="ETF91" s="63" t="s">
        <v>933</v>
      </c>
      <c r="ETG91" s="60"/>
      <c r="ETV91" s="63" t="s">
        <v>933</v>
      </c>
      <c r="ETW91" s="60"/>
      <c r="EUL91" s="63" t="s">
        <v>933</v>
      </c>
      <c r="EUM91" s="60"/>
      <c r="EVB91" s="63" t="s">
        <v>933</v>
      </c>
      <c r="EVC91" s="60"/>
      <c r="EVR91" s="63" t="s">
        <v>933</v>
      </c>
      <c r="EVS91" s="60"/>
      <c r="EWH91" s="63" t="s">
        <v>933</v>
      </c>
      <c r="EWI91" s="60"/>
      <c r="EWX91" s="63" t="s">
        <v>933</v>
      </c>
      <c r="EWY91" s="60"/>
      <c r="EXN91" s="63" t="s">
        <v>933</v>
      </c>
      <c r="EXO91" s="60"/>
      <c r="EYD91" s="63" t="s">
        <v>933</v>
      </c>
      <c r="EYE91" s="60"/>
      <c r="EYT91" s="63" t="s">
        <v>933</v>
      </c>
      <c r="EYU91" s="60"/>
      <c r="EZJ91" s="63" t="s">
        <v>933</v>
      </c>
      <c r="EZK91" s="60"/>
      <c r="EZZ91" s="63" t="s">
        <v>933</v>
      </c>
      <c r="FAA91" s="60"/>
      <c r="FAP91" s="63" t="s">
        <v>933</v>
      </c>
      <c r="FAQ91" s="60"/>
      <c r="FBF91" s="63" t="s">
        <v>933</v>
      </c>
      <c r="FBG91" s="60"/>
      <c r="FBV91" s="63" t="s">
        <v>933</v>
      </c>
      <c r="FBW91" s="60"/>
      <c r="FCL91" s="63" t="s">
        <v>933</v>
      </c>
      <c r="FCM91" s="60"/>
      <c r="FDB91" s="63" t="s">
        <v>933</v>
      </c>
      <c r="FDC91" s="60"/>
      <c r="FDR91" s="63" t="s">
        <v>933</v>
      </c>
      <c r="FDS91" s="60"/>
      <c r="FEH91" s="63" t="s">
        <v>933</v>
      </c>
      <c r="FEI91" s="60"/>
      <c r="FEX91" s="63" t="s">
        <v>933</v>
      </c>
      <c r="FEY91" s="60"/>
      <c r="FFN91" s="63" t="s">
        <v>933</v>
      </c>
      <c r="FFO91" s="60"/>
      <c r="FGD91" s="63" t="s">
        <v>933</v>
      </c>
      <c r="FGE91" s="60"/>
      <c r="FGT91" s="63" t="s">
        <v>933</v>
      </c>
      <c r="FGU91" s="60"/>
      <c r="FHJ91" s="63" t="s">
        <v>933</v>
      </c>
      <c r="FHK91" s="60"/>
      <c r="FHZ91" s="63" t="s">
        <v>933</v>
      </c>
      <c r="FIA91" s="60"/>
      <c r="FIP91" s="63" t="s">
        <v>933</v>
      </c>
      <c r="FIQ91" s="60"/>
      <c r="FJF91" s="63" t="s">
        <v>933</v>
      </c>
      <c r="FJG91" s="60"/>
      <c r="FJV91" s="63" t="s">
        <v>933</v>
      </c>
      <c r="FJW91" s="60"/>
      <c r="FKL91" s="63" t="s">
        <v>933</v>
      </c>
      <c r="FKM91" s="60"/>
      <c r="FLB91" s="63" t="s">
        <v>933</v>
      </c>
      <c r="FLC91" s="60"/>
      <c r="FLR91" s="63" t="s">
        <v>933</v>
      </c>
      <c r="FLS91" s="60"/>
      <c r="FMH91" s="63" t="s">
        <v>933</v>
      </c>
      <c r="FMI91" s="60"/>
      <c r="FMX91" s="63" t="s">
        <v>933</v>
      </c>
      <c r="FMY91" s="60"/>
      <c r="FNN91" s="63" t="s">
        <v>933</v>
      </c>
      <c r="FNO91" s="60"/>
      <c r="FOD91" s="63" t="s">
        <v>933</v>
      </c>
      <c r="FOE91" s="60"/>
      <c r="FOT91" s="63" t="s">
        <v>933</v>
      </c>
      <c r="FOU91" s="60"/>
      <c r="FPJ91" s="63" t="s">
        <v>933</v>
      </c>
      <c r="FPK91" s="60"/>
      <c r="FPZ91" s="63" t="s">
        <v>933</v>
      </c>
      <c r="FQA91" s="60"/>
      <c r="FQP91" s="63" t="s">
        <v>933</v>
      </c>
      <c r="FQQ91" s="60"/>
      <c r="FRF91" s="63" t="s">
        <v>933</v>
      </c>
      <c r="FRG91" s="60"/>
      <c r="FRV91" s="63" t="s">
        <v>933</v>
      </c>
      <c r="FRW91" s="60"/>
      <c r="FSL91" s="63" t="s">
        <v>933</v>
      </c>
      <c r="FSM91" s="60"/>
      <c r="FTB91" s="63" t="s">
        <v>933</v>
      </c>
      <c r="FTC91" s="60"/>
      <c r="FTR91" s="63" t="s">
        <v>933</v>
      </c>
      <c r="FTS91" s="60"/>
      <c r="FUH91" s="63" t="s">
        <v>933</v>
      </c>
      <c r="FUI91" s="60"/>
      <c r="FUX91" s="63" t="s">
        <v>933</v>
      </c>
      <c r="FUY91" s="60"/>
      <c r="FVN91" s="63" t="s">
        <v>933</v>
      </c>
      <c r="FVO91" s="60"/>
      <c r="FWD91" s="63" t="s">
        <v>933</v>
      </c>
      <c r="FWE91" s="60"/>
      <c r="FWT91" s="63" t="s">
        <v>933</v>
      </c>
      <c r="FWU91" s="60"/>
      <c r="FXJ91" s="63" t="s">
        <v>933</v>
      </c>
      <c r="FXK91" s="60"/>
      <c r="FXZ91" s="63" t="s">
        <v>933</v>
      </c>
      <c r="FYA91" s="60"/>
      <c r="FYP91" s="63" t="s">
        <v>933</v>
      </c>
      <c r="FYQ91" s="60"/>
      <c r="FZF91" s="63" t="s">
        <v>933</v>
      </c>
      <c r="FZG91" s="60"/>
      <c r="FZV91" s="63" t="s">
        <v>933</v>
      </c>
      <c r="FZW91" s="60"/>
      <c r="GAL91" s="63" t="s">
        <v>933</v>
      </c>
      <c r="GAM91" s="60"/>
      <c r="GBB91" s="63" t="s">
        <v>933</v>
      </c>
      <c r="GBC91" s="60"/>
      <c r="GBR91" s="63" t="s">
        <v>933</v>
      </c>
      <c r="GBS91" s="60"/>
      <c r="GCH91" s="63" t="s">
        <v>933</v>
      </c>
      <c r="GCI91" s="60"/>
      <c r="GCX91" s="63" t="s">
        <v>933</v>
      </c>
      <c r="GCY91" s="60"/>
      <c r="GDN91" s="63" t="s">
        <v>933</v>
      </c>
      <c r="GDO91" s="60"/>
      <c r="GED91" s="63" t="s">
        <v>933</v>
      </c>
      <c r="GEE91" s="60"/>
      <c r="GET91" s="63" t="s">
        <v>933</v>
      </c>
      <c r="GEU91" s="60"/>
      <c r="GFJ91" s="63" t="s">
        <v>933</v>
      </c>
      <c r="GFK91" s="60"/>
      <c r="GFZ91" s="63" t="s">
        <v>933</v>
      </c>
      <c r="GGA91" s="60"/>
      <c r="GGP91" s="63" t="s">
        <v>933</v>
      </c>
      <c r="GGQ91" s="60"/>
      <c r="GHF91" s="63" t="s">
        <v>933</v>
      </c>
      <c r="GHG91" s="60"/>
      <c r="GHV91" s="63" t="s">
        <v>933</v>
      </c>
      <c r="GHW91" s="60"/>
      <c r="GIL91" s="63" t="s">
        <v>933</v>
      </c>
      <c r="GIM91" s="60"/>
      <c r="GJB91" s="63" t="s">
        <v>933</v>
      </c>
      <c r="GJC91" s="60"/>
      <c r="GJR91" s="63" t="s">
        <v>933</v>
      </c>
      <c r="GJS91" s="60"/>
      <c r="GKH91" s="63" t="s">
        <v>933</v>
      </c>
      <c r="GKI91" s="60"/>
      <c r="GKX91" s="63" t="s">
        <v>933</v>
      </c>
      <c r="GKY91" s="60"/>
      <c r="GLN91" s="63" t="s">
        <v>933</v>
      </c>
      <c r="GLO91" s="60"/>
      <c r="GMD91" s="63" t="s">
        <v>933</v>
      </c>
      <c r="GME91" s="60"/>
      <c r="GMT91" s="63" t="s">
        <v>933</v>
      </c>
      <c r="GMU91" s="60"/>
      <c r="GNJ91" s="63" t="s">
        <v>933</v>
      </c>
      <c r="GNK91" s="60"/>
      <c r="GNZ91" s="63" t="s">
        <v>933</v>
      </c>
      <c r="GOA91" s="60"/>
      <c r="GOP91" s="63" t="s">
        <v>933</v>
      </c>
      <c r="GOQ91" s="60"/>
      <c r="GPF91" s="63" t="s">
        <v>933</v>
      </c>
      <c r="GPG91" s="60"/>
      <c r="GPV91" s="63" t="s">
        <v>933</v>
      </c>
      <c r="GPW91" s="60"/>
      <c r="GQL91" s="63" t="s">
        <v>933</v>
      </c>
      <c r="GQM91" s="60"/>
      <c r="GRB91" s="63" t="s">
        <v>933</v>
      </c>
      <c r="GRC91" s="60"/>
      <c r="GRR91" s="63" t="s">
        <v>933</v>
      </c>
      <c r="GRS91" s="60"/>
      <c r="GSH91" s="63" t="s">
        <v>933</v>
      </c>
      <c r="GSI91" s="60"/>
      <c r="GSX91" s="63" t="s">
        <v>933</v>
      </c>
      <c r="GSY91" s="60"/>
      <c r="GTN91" s="63" t="s">
        <v>933</v>
      </c>
      <c r="GTO91" s="60"/>
      <c r="GUD91" s="63" t="s">
        <v>933</v>
      </c>
      <c r="GUE91" s="60"/>
      <c r="GUT91" s="63" t="s">
        <v>933</v>
      </c>
      <c r="GUU91" s="60"/>
      <c r="GVJ91" s="63" t="s">
        <v>933</v>
      </c>
      <c r="GVK91" s="60"/>
      <c r="GVZ91" s="63" t="s">
        <v>933</v>
      </c>
      <c r="GWA91" s="60"/>
      <c r="GWP91" s="63" t="s">
        <v>933</v>
      </c>
      <c r="GWQ91" s="60"/>
      <c r="GXF91" s="63" t="s">
        <v>933</v>
      </c>
      <c r="GXG91" s="60"/>
      <c r="GXV91" s="63" t="s">
        <v>933</v>
      </c>
      <c r="GXW91" s="60"/>
      <c r="GYL91" s="63" t="s">
        <v>933</v>
      </c>
      <c r="GYM91" s="60"/>
      <c r="GZB91" s="63" t="s">
        <v>933</v>
      </c>
      <c r="GZC91" s="60"/>
      <c r="GZR91" s="63" t="s">
        <v>933</v>
      </c>
      <c r="GZS91" s="60"/>
      <c r="HAH91" s="63" t="s">
        <v>933</v>
      </c>
      <c r="HAI91" s="60"/>
      <c r="HAX91" s="63" t="s">
        <v>933</v>
      </c>
      <c r="HAY91" s="60"/>
      <c r="HBN91" s="63" t="s">
        <v>933</v>
      </c>
      <c r="HBO91" s="60"/>
      <c r="HCD91" s="63" t="s">
        <v>933</v>
      </c>
      <c r="HCE91" s="60"/>
      <c r="HCT91" s="63" t="s">
        <v>933</v>
      </c>
      <c r="HCU91" s="60"/>
      <c r="HDJ91" s="63" t="s">
        <v>933</v>
      </c>
      <c r="HDK91" s="60"/>
      <c r="HDZ91" s="63" t="s">
        <v>933</v>
      </c>
      <c r="HEA91" s="60"/>
      <c r="HEP91" s="63" t="s">
        <v>933</v>
      </c>
      <c r="HEQ91" s="60"/>
      <c r="HFF91" s="63" t="s">
        <v>933</v>
      </c>
      <c r="HFG91" s="60"/>
      <c r="HFV91" s="63" t="s">
        <v>933</v>
      </c>
      <c r="HFW91" s="60"/>
      <c r="HGL91" s="63" t="s">
        <v>933</v>
      </c>
      <c r="HGM91" s="60"/>
      <c r="HHB91" s="63" t="s">
        <v>933</v>
      </c>
      <c r="HHC91" s="60"/>
      <c r="HHR91" s="63" t="s">
        <v>933</v>
      </c>
      <c r="HHS91" s="60"/>
      <c r="HIH91" s="63" t="s">
        <v>933</v>
      </c>
      <c r="HII91" s="60"/>
      <c r="HIX91" s="63" t="s">
        <v>933</v>
      </c>
      <c r="HIY91" s="60"/>
      <c r="HJN91" s="63" t="s">
        <v>933</v>
      </c>
      <c r="HJO91" s="60"/>
      <c r="HKD91" s="63" t="s">
        <v>933</v>
      </c>
      <c r="HKE91" s="60"/>
      <c r="HKT91" s="63" t="s">
        <v>933</v>
      </c>
      <c r="HKU91" s="60"/>
      <c r="HLJ91" s="63" t="s">
        <v>933</v>
      </c>
      <c r="HLK91" s="60"/>
      <c r="HLZ91" s="63" t="s">
        <v>933</v>
      </c>
      <c r="HMA91" s="60"/>
      <c r="HMP91" s="63" t="s">
        <v>933</v>
      </c>
      <c r="HMQ91" s="60"/>
      <c r="HNF91" s="63" t="s">
        <v>933</v>
      </c>
      <c r="HNG91" s="60"/>
      <c r="HNV91" s="63" t="s">
        <v>933</v>
      </c>
      <c r="HNW91" s="60"/>
      <c r="HOL91" s="63" t="s">
        <v>933</v>
      </c>
      <c r="HOM91" s="60"/>
      <c r="HPB91" s="63" t="s">
        <v>933</v>
      </c>
      <c r="HPC91" s="60"/>
      <c r="HPR91" s="63" t="s">
        <v>933</v>
      </c>
      <c r="HPS91" s="60"/>
      <c r="HQH91" s="63" t="s">
        <v>933</v>
      </c>
      <c r="HQI91" s="60"/>
      <c r="HQX91" s="63" t="s">
        <v>933</v>
      </c>
      <c r="HQY91" s="60"/>
      <c r="HRN91" s="63" t="s">
        <v>933</v>
      </c>
      <c r="HRO91" s="60"/>
      <c r="HSD91" s="63" t="s">
        <v>933</v>
      </c>
      <c r="HSE91" s="60"/>
      <c r="HST91" s="63" t="s">
        <v>933</v>
      </c>
      <c r="HSU91" s="60"/>
      <c r="HTJ91" s="63" t="s">
        <v>933</v>
      </c>
      <c r="HTK91" s="60"/>
      <c r="HTZ91" s="63" t="s">
        <v>933</v>
      </c>
      <c r="HUA91" s="60"/>
      <c r="HUP91" s="63" t="s">
        <v>933</v>
      </c>
      <c r="HUQ91" s="60"/>
      <c r="HVF91" s="63" t="s">
        <v>933</v>
      </c>
      <c r="HVG91" s="60"/>
      <c r="HVV91" s="63" t="s">
        <v>933</v>
      </c>
      <c r="HVW91" s="60"/>
      <c r="HWL91" s="63" t="s">
        <v>933</v>
      </c>
      <c r="HWM91" s="60"/>
      <c r="HXB91" s="63" t="s">
        <v>933</v>
      </c>
      <c r="HXC91" s="60"/>
      <c r="HXR91" s="63" t="s">
        <v>933</v>
      </c>
      <c r="HXS91" s="60"/>
      <c r="HYH91" s="63" t="s">
        <v>933</v>
      </c>
      <c r="HYI91" s="60"/>
      <c r="HYX91" s="63" t="s">
        <v>933</v>
      </c>
      <c r="HYY91" s="60"/>
      <c r="HZN91" s="63" t="s">
        <v>933</v>
      </c>
      <c r="HZO91" s="60"/>
      <c r="IAD91" s="63" t="s">
        <v>933</v>
      </c>
      <c r="IAE91" s="60"/>
      <c r="IAT91" s="63" t="s">
        <v>933</v>
      </c>
      <c r="IAU91" s="60"/>
      <c r="IBJ91" s="63" t="s">
        <v>933</v>
      </c>
      <c r="IBK91" s="60"/>
      <c r="IBZ91" s="63" t="s">
        <v>933</v>
      </c>
      <c r="ICA91" s="60"/>
      <c r="ICP91" s="63" t="s">
        <v>933</v>
      </c>
      <c r="ICQ91" s="60"/>
      <c r="IDF91" s="63" t="s">
        <v>933</v>
      </c>
      <c r="IDG91" s="60"/>
      <c r="IDV91" s="63" t="s">
        <v>933</v>
      </c>
      <c r="IDW91" s="60"/>
      <c r="IEL91" s="63" t="s">
        <v>933</v>
      </c>
      <c r="IEM91" s="60"/>
      <c r="IFB91" s="63" t="s">
        <v>933</v>
      </c>
      <c r="IFC91" s="60"/>
      <c r="IFR91" s="63" t="s">
        <v>933</v>
      </c>
      <c r="IFS91" s="60"/>
      <c r="IGH91" s="63" t="s">
        <v>933</v>
      </c>
      <c r="IGI91" s="60"/>
      <c r="IGX91" s="63" t="s">
        <v>933</v>
      </c>
      <c r="IGY91" s="60"/>
      <c r="IHN91" s="63" t="s">
        <v>933</v>
      </c>
      <c r="IHO91" s="60"/>
      <c r="IID91" s="63" t="s">
        <v>933</v>
      </c>
      <c r="IIE91" s="60"/>
      <c r="IIT91" s="63" t="s">
        <v>933</v>
      </c>
      <c r="IIU91" s="60"/>
      <c r="IJJ91" s="63" t="s">
        <v>933</v>
      </c>
      <c r="IJK91" s="60"/>
      <c r="IJZ91" s="63" t="s">
        <v>933</v>
      </c>
      <c r="IKA91" s="60"/>
      <c r="IKP91" s="63" t="s">
        <v>933</v>
      </c>
      <c r="IKQ91" s="60"/>
      <c r="ILF91" s="63" t="s">
        <v>933</v>
      </c>
      <c r="ILG91" s="60"/>
      <c r="ILV91" s="63" t="s">
        <v>933</v>
      </c>
      <c r="ILW91" s="60"/>
      <c r="IML91" s="63" t="s">
        <v>933</v>
      </c>
      <c r="IMM91" s="60"/>
      <c r="INB91" s="63" t="s">
        <v>933</v>
      </c>
      <c r="INC91" s="60"/>
      <c r="INR91" s="63" t="s">
        <v>933</v>
      </c>
      <c r="INS91" s="60"/>
      <c r="IOH91" s="63" t="s">
        <v>933</v>
      </c>
      <c r="IOI91" s="60"/>
      <c r="IOX91" s="63" t="s">
        <v>933</v>
      </c>
      <c r="IOY91" s="60"/>
      <c r="IPN91" s="63" t="s">
        <v>933</v>
      </c>
      <c r="IPO91" s="60"/>
      <c r="IQD91" s="63" t="s">
        <v>933</v>
      </c>
      <c r="IQE91" s="60"/>
      <c r="IQT91" s="63" t="s">
        <v>933</v>
      </c>
      <c r="IQU91" s="60"/>
      <c r="IRJ91" s="63" t="s">
        <v>933</v>
      </c>
      <c r="IRK91" s="60"/>
      <c r="IRZ91" s="63" t="s">
        <v>933</v>
      </c>
      <c r="ISA91" s="60"/>
      <c r="ISP91" s="63" t="s">
        <v>933</v>
      </c>
      <c r="ISQ91" s="60"/>
      <c r="ITF91" s="63" t="s">
        <v>933</v>
      </c>
      <c r="ITG91" s="60"/>
      <c r="ITV91" s="63" t="s">
        <v>933</v>
      </c>
      <c r="ITW91" s="60"/>
      <c r="IUL91" s="63" t="s">
        <v>933</v>
      </c>
      <c r="IUM91" s="60"/>
      <c r="IVB91" s="63" t="s">
        <v>933</v>
      </c>
      <c r="IVC91" s="60"/>
      <c r="IVR91" s="63" t="s">
        <v>933</v>
      </c>
      <c r="IVS91" s="60"/>
      <c r="IWH91" s="63" t="s">
        <v>933</v>
      </c>
      <c r="IWI91" s="60"/>
      <c r="IWX91" s="63" t="s">
        <v>933</v>
      </c>
      <c r="IWY91" s="60"/>
      <c r="IXN91" s="63" t="s">
        <v>933</v>
      </c>
      <c r="IXO91" s="60"/>
      <c r="IYD91" s="63" t="s">
        <v>933</v>
      </c>
      <c r="IYE91" s="60"/>
      <c r="IYT91" s="63" t="s">
        <v>933</v>
      </c>
      <c r="IYU91" s="60"/>
      <c r="IZJ91" s="63" t="s">
        <v>933</v>
      </c>
      <c r="IZK91" s="60"/>
      <c r="IZZ91" s="63" t="s">
        <v>933</v>
      </c>
      <c r="JAA91" s="60"/>
      <c r="JAP91" s="63" t="s">
        <v>933</v>
      </c>
      <c r="JAQ91" s="60"/>
      <c r="JBF91" s="63" t="s">
        <v>933</v>
      </c>
      <c r="JBG91" s="60"/>
      <c r="JBV91" s="63" t="s">
        <v>933</v>
      </c>
      <c r="JBW91" s="60"/>
      <c r="JCL91" s="63" t="s">
        <v>933</v>
      </c>
      <c r="JCM91" s="60"/>
      <c r="JDB91" s="63" t="s">
        <v>933</v>
      </c>
      <c r="JDC91" s="60"/>
      <c r="JDR91" s="63" t="s">
        <v>933</v>
      </c>
      <c r="JDS91" s="60"/>
      <c r="JEH91" s="63" t="s">
        <v>933</v>
      </c>
      <c r="JEI91" s="60"/>
      <c r="JEX91" s="63" t="s">
        <v>933</v>
      </c>
      <c r="JEY91" s="60"/>
      <c r="JFN91" s="63" t="s">
        <v>933</v>
      </c>
      <c r="JFO91" s="60"/>
      <c r="JGD91" s="63" t="s">
        <v>933</v>
      </c>
      <c r="JGE91" s="60"/>
      <c r="JGT91" s="63" t="s">
        <v>933</v>
      </c>
      <c r="JGU91" s="60"/>
      <c r="JHJ91" s="63" t="s">
        <v>933</v>
      </c>
      <c r="JHK91" s="60"/>
      <c r="JHZ91" s="63" t="s">
        <v>933</v>
      </c>
      <c r="JIA91" s="60"/>
      <c r="JIP91" s="63" t="s">
        <v>933</v>
      </c>
      <c r="JIQ91" s="60"/>
      <c r="JJF91" s="63" t="s">
        <v>933</v>
      </c>
      <c r="JJG91" s="60"/>
      <c r="JJV91" s="63" t="s">
        <v>933</v>
      </c>
      <c r="JJW91" s="60"/>
      <c r="JKL91" s="63" t="s">
        <v>933</v>
      </c>
      <c r="JKM91" s="60"/>
      <c r="JLB91" s="63" t="s">
        <v>933</v>
      </c>
      <c r="JLC91" s="60"/>
      <c r="JLR91" s="63" t="s">
        <v>933</v>
      </c>
      <c r="JLS91" s="60"/>
      <c r="JMH91" s="63" t="s">
        <v>933</v>
      </c>
      <c r="JMI91" s="60"/>
      <c r="JMX91" s="63" t="s">
        <v>933</v>
      </c>
      <c r="JMY91" s="60"/>
      <c r="JNN91" s="63" t="s">
        <v>933</v>
      </c>
      <c r="JNO91" s="60"/>
      <c r="JOD91" s="63" t="s">
        <v>933</v>
      </c>
      <c r="JOE91" s="60"/>
      <c r="JOT91" s="63" t="s">
        <v>933</v>
      </c>
      <c r="JOU91" s="60"/>
      <c r="JPJ91" s="63" t="s">
        <v>933</v>
      </c>
      <c r="JPK91" s="60"/>
      <c r="JPZ91" s="63" t="s">
        <v>933</v>
      </c>
      <c r="JQA91" s="60"/>
      <c r="JQP91" s="63" t="s">
        <v>933</v>
      </c>
      <c r="JQQ91" s="60"/>
      <c r="JRF91" s="63" t="s">
        <v>933</v>
      </c>
      <c r="JRG91" s="60"/>
      <c r="JRV91" s="63" t="s">
        <v>933</v>
      </c>
      <c r="JRW91" s="60"/>
      <c r="JSL91" s="63" t="s">
        <v>933</v>
      </c>
      <c r="JSM91" s="60"/>
      <c r="JTB91" s="63" t="s">
        <v>933</v>
      </c>
      <c r="JTC91" s="60"/>
      <c r="JTR91" s="63" t="s">
        <v>933</v>
      </c>
      <c r="JTS91" s="60"/>
      <c r="JUH91" s="63" t="s">
        <v>933</v>
      </c>
      <c r="JUI91" s="60"/>
      <c r="JUX91" s="63" t="s">
        <v>933</v>
      </c>
      <c r="JUY91" s="60"/>
      <c r="JVN91" s="63" t="s">
        <v>933</v>
      </c>
      <c r="JVO91" s="60"/>
      <c r="JWD91" s="63" t="s">
        <v>933</v>
      </c>
      <c r="JWE91" s="60"/>
      <c r="JWT91" s="63" t="s">
        <v>933</v>
      </c>
      <c r="JWU91" s="60"/>
      <c r="JXJ91" s="63" t="s">
        <v>933</v>
      </c>
      <c r="JXK91" s="60"/>
      <c r="JXZ91" s="63" t="s">
        <v>933</v>
      </c>
      <c r="JYA91" s="60"/>
      <c r="JYP91" s="63" t="s">
        <v>933</v>
      </c>
      <c r="JYQ91" s="60"/>
      <c r="JZF91" s="63" t="s">
        <v>933</v>
      </c>
      <c r="JZG91" s="60"/>
      <c r="JZV91" s="63" t="s">
        <v>933</v>
      </c>
      <c r="JZW91" s="60"/>
      <c r="KAL91" s="63" t="s">
        <v>933</v>
      </c>
      <c r="KAM91" s="60"/>
      <c r="KBB91" s="63" t="s">
        <v>933</v>
      </c>
      <c r="KBC91" s="60"/>
      <c r="KBR91" s="63" t="s">
        <v>933</v>
      </c>
      <c r="KBS91" s="60"/>
      <c r="KCH91" s="63" t="s">
        <v>933</v>
      </c>
      <c r="KCI91" s="60"/>
      <c r="KCX91" s="63" t="s">
        <v>933</v>
      </c>
      <c r="KCY91" s="60"/>
      <c r="KDN91" s="63" t="s">
        <v>933</v>
      </c>
      <c r="KDO91" s="60"/>
      <c r="KED91" s="63" t="s">
        <v>933</v>
      </c>
      <c r="KEE91" s="60"/>
      <c r="KET91" s="63" t="s">
        <v>933</v>
      </c>
      <c r="KEU91" s="60"/>
      <c r="KFJ91" s="63" t="s">
        <v>933</v>
      </c>
      <c r="KFK91" s="60"/>
      <c r="KFZ91" s="63" t="s">
        <v>933</v>
      </c>
      <c r="KGA91" s="60"/>
      <c r="KGP91" s="63" t="s">
        <v>933</v>
      </c>
      <c r="KGQ91" s="60"/>
      <c r="KHF91" s="63" t="s">
        <v>933</v>
      </c>
      <c r="KHG91" s="60"/>
      <c r="KHV91" s="63" t="s">
        <v>933</v>
      </c>
      <c r="KHW91" s="60"/>
      <c r="KIL91" s="63" t="s">
        <v>933</v>
      </c>
      <c r="KIM91" s="60"/>
      <c r="KJB91" s="63" t="s">
        <v>933</v>
      </c>
      <c r="KJC91" s="60"/>
      <c r="KJR91" s="63" t="s">
        <v>933</v>
      </c>
      <c r="KJS91" s="60"/>
      <c r="KKH91" s="63" t="s">
        <v>933</v>
      </c>
      <c r="KKI91" s="60"/>
      <c r="KKX91" s="63" t="s">
        <v>933</v>
      </c>
      <c r="KKY91" s="60"/>
      <c r="KLN91" s="63" t="s">
        <v>933</v>
      </c>
      <c r="KLO91" s="60"/>
      <c r="KMD91" s="63" t="s">
        <v>933</v>
      </c>
      <c r="KME91" s="60"/>
      <c r="KMT91" s="63" t="s">
        <v>933</v>
      </c>
      <c r="KMU91" s="60"/>
      <c r="KNJ91" s="63" t="s">
        <v>933</v>
      </c>
      <c r="KNK91" s="60"/>
      <c r="KNZ91" s="63" t="s">
        <v>933</v>
      </c>
      <c r="KOA91" s="60"/>
      <c r="KOP91" s="63" t="s">
        <v>933</v>
      </c>
      <c r="KOQ91" s="60"/>
      <c r="KPF91" s="63" t="s">
        <v>933</v>
      </c>
      <c r="KPG91" s="60"/>
      <c r="KPV91" s="63" t="s">
        <v>933</v>
      </c>
      <c r="KPW91" s="60"/>
      <c r="KQL91" s="63" t="s">
        <v>933</v>
      </c>
      <c r="KQM91" s="60"/>
      <c r="KRB91" s="63" t="s">
        <v>933</v>
      </c>
      <c r="KRC91" s="60"/>
      <c r="KRR91" s="63" t="s">
        <v>933</v>
      </c>
      <c r="KRS91" s="60"/>
      <c r="KSH91" s="63" t="s">
        <v>933</v>
      </c>
      <c r="KSI91" s="60"/>
      <c r="KSX91" s="63" t="s">
        <v>933</v>
      </c>
      <c r="KSY91" s="60"/>
      <c r="KTN91" s="63" t="s">
        <v>933</v>
      </c>
      <c r="KTO91" s="60"/>
      <c r="KUD91" s="63" t="s">
        <v>933</v>
      </c>
      <c r="KUE91" s="60"/>
      <c r="KUT91" s="63" t="s">
        <v>933</v>
      </c>
      <c r="KUU91" s="60"/>
      <c r="KVJ91" s="63" t="s">
        <v>933</v>
      </c>
      <c r="KVK91" s="60"/>
      <c r="KVZ91" s="63" t="s">
        <v>933</v>
      </c>
      <c r="KWA91" s="60"/>
      <c r="KWP91" s="63" t="s">
        <v>933</v>
      </c>
      <c r="KWQ91" s="60"/>
      <c r="KXF91" s="63" t="s">
        <v>933</v>
      </c>
      <c r="KXG91" s="60"/>
      <c r="KXV91" s="63" t="s">
        <v>933</v>
      </c>
      <c r="KXW91" s="60"/>
      <c r="KYL91" s="63" t="s">
        <v>933</v>
      </c>
      <c r="KYM91" s="60"/>
      <c r="KZB91" s="63" t="s">
        <v>933</v>
      </c>
      <c r="KZC91" s="60"/>
      <c r="KZR91" s="63" t="s">
        <v>933</v>
      </c>
      <c r="KZS91" s="60"/>
      <c r="LAH91" s="63" t="s">
        <v>933</v>
      </c>
      <c r="LAI91" s="60"/>
      <c r="LAX91" s="63" t="s">
        <v>933</v>
      </c>
      <c r="LAY91" s="60"/>
      <c r="LBN91" s="63" t="s">
        <v>933</v>
      </c>
      <c r="LBO91" s="60"/>
      <c r="LCD91" s="63" t="s">
        <v>933</v>
      </c>
      <c r="LCE91" s="60"/>
      <c r="LCT91" s="63" t="s">
        <v>933</v>
      </c>
      <c r="LCU91" s="60"/>
      <c r="LDJ91" s="63" t="s">
        <v>933</v>
      </c>
      <c r="LDK91" s="60"/>
      <c r="LDZ91" s="63" t="s">
        <v>933</v>
      </c>
      <c r="LEA91" s="60"/>
      <c r="LEP91" s="63" t="s">
        <v>933</v>
      </c>
      <c r="LEQ91" s="60"/>
      <c r="LFF91" s="63" t="s">
        <v>933</v>
      </c>
      <c r="LFG91" s="60"/>
      <c r="LFV91" s="63" t="s">
        <v>933</v>
      </c>
      <c r="LFW91" s="60"/>
      <c r="LGL91" s="63" t="s">
        <v>933</v>
      </c>
      <c r="LGM91" s="60"/>
      <c r="LHB91" s="63" t="s">
        <v>933</v>
      </c>
      <c r="LHC91" s="60"/>
      <c r="LHR91" s="63" t="s">
        <v>933</v>
      </c>
      <c r="LHS91" s="60"/>
      <c r="LIH91" s="63" t="s">
        <v>933</v>
      </c>
      <c r="LII91" s="60"/>
      <c r="LIX91" s="63" t="s">
        <v>933</v>
      </c>
      <c r="LIY91" s="60"/>
      <c r="LJN91" s="63" t="s">
        <v>933</v>
      </c>
      <c r="LJO91" s="60"/>
      <c r="LKD91" s="63" t="s">
        <v>933</v>
      </c>
      <c r="LKE91" s="60"/>
      <c r="LKT91" s="63" t="s">
        <v>933</v>
      </c>
      <c r="LKU91" s="60"/>
      <c r="LLJ91" s="63" t="s">
        <v>933</v>
      </c>
      <c r="LLK91" s="60"/>
      <c r="LLZ91" s="63" t="s">
        <v>933</v>
      </c>
      <c r="LMA91" s="60"/>
      <c r="LMP91" s="63" t="s">
        <v>933</v>
      </c>
      <c r="LMQ91" s="60"/>
      <c r="LNF91" s="63" t="s">
        <v>933</v>
      </c>
      <c r="LNG91" s="60"/>
      <c r="LNV91" s="63" t="s">
        <v>933</v>
      </c>
      <c r="LNW91" s="60"/>
      <c r="LOL91" s="63" t="s">
        <v>933</v>
      </c>
      <c r="LOM91" s="60"/>
      <c r="LPB91" s="63" t="s">
        <v>933</v>
      </c>
      <c r="LPC91" s="60"/>
      <c r="LPR91" s="63" t="s">
        <v>933</v>
      </c>
      <c r="LPS91" s="60"/>
      <c r="LQH91" s="63" t="s">
        <v>933</v>
      </c>
      <c r="LQI91" s="60"/>
      <c r="LQX91" s="63" t="s">
        <v>933</v>
      </c>
      <c r="LQY91" s="60"/>
      <c r="LRN91" s="63" t="s">
        <v>933</v>
      </c>
      <c r="LRO91" s="60"/>
      <c r="LSD91" s="63" t="s">
        <v>933</v>
      </c>
      <c r="LSE91" s="60"/>
      <c r="LST91" s="63" t="s">
        <v>933</v>
      </c>
      <c r="LSU91" s="60"/>
      <c r="LTJ91" s="63" t="s">
        <v>933</v>
      </c>
      <c r="LTK91" s="60"/>
      <c r="LTZ91" s="63" t="s">
        <v>933</v>
      </c>
      <c r="LUA91" s="60"/>
      <c r="LUP91" s="63" t="s">
        <v>933</v>
      </c>
      <c r="LUQ91" s="60"/>
      <c r="LVF91" s="63" t="s">
        <v>933</v>
      </c>
      <c r="LVG91" s="60"/>
      <c r="LVV91" s="63" t="s">
        <v>933</v>
      </c>
      <c r="LVW91" s="60"/>
      <c r="LWL91" s="63" t="s">
        <v>933</v>
      </c>
      <c r="LWM91" s="60"/>
      <c r="LXB91" s="63" t="s">
        <v>933</v>
      </c>
      <c r="LXC91" s="60"/>
      <c r="LXR91" s="63" t="s">
        <v>933</v>
      </c>
      <c r="LXS91" s="60"/>
      <c r="LYH91" s="63" t="s">
        <v>933</v>
      </c>
      <c r="LYI91" s="60"/>
      <c r="LYX91" s="63" t="s">
        <v>933</v>
      </c>
      <c r="LYY91" s="60"/>
      <c r="LZN91" s="63" t="s">
        <v>933</v>
      </c>
      <c r="LZO91" s="60"/>
      <c r="MAD91" s="63" t="s">
        <v>933</v>
      </c>
      <c r="MAE91" s="60"/>
      <c r="MAT91" s="63" t="s">
        <v>933</v>
      </c>
      <c r="MAU91" s="60"/>
      <c r="MBJ91" s="63" t="s">
        <v>933</v>
      </c>
      <c r="MBK91" s="60"/>
      <c r="MBZ91" s="63" t="s">
        <v>933</v>
      </c>
      <c r="MCA91" s="60"/>
      <c r="MCP91" s="63" t="s">
        <v>933</v>
      </c>
      <c r="MCQ91" s="60"/>
      <c r="MDF91" s="63" t="s">
        <v>933</v>
      </c>
      <c r="MDG91" s="60"/>
      <c r="MDV91" s="63" t="s">
        <v>933</v>
      </c>
      <c r="MDW91" s="60"/>
      <c r="MEL91" s="63" t="s">
        <v>933</v>
      </c>
      <c r="MEM91" s="60"/>
      <c r="MFB91" s="63" t="s">
        <v>933</v>
      </c>
      <c r="MFC91" s="60"/>
      <c r="MFR91" s="63" t="s">
        <v>933</v>
      </c>
      <c r="MFS91" s="60"/>
      <c r="MGH91" s="63" t="s">
        <v>933</v>
      </c>
      <c r="MGI91" s="60"/>
      <c r="MGX91" s="63" t="s">
        <v>933</v>
      </c>
      <c r="MGY91" s="60"/>
      <c r="MHN91" s="63" t="s">
        <v>933</v>
      </c>
      <c r="MHO91" s="60"/>
      <c r="MID91" s="63" t="s">
        <v>933</v>
      </c>
      <c r="MIE91" s="60"/>
      <c r="MIT91" s="63" t="s">
        <v>933</v>
      </c>
      <c r="MIU91" s="60"/>
      <c r="MJJ91" s="63" t="s">
        <v>933</v>
      </c>
      <c r="MJK91" s="60"/>
      <c r="MJZ91" s="63" t="s">
        <v>933</v>
      </c>
      <c r="MKA91" s="60"/>
      <c r="MKP91" s="63" t="s">
        <v>933</v>
      </c>
      <c r="MKQ91" s="60"/>
      <c r="MLF91" s="63" t="s">
        <v>933</v>
      </c>
      <c r="MLG91" s="60"/>
      <c r="MLV91" s="63" t="s">
        <v>933</v>
      </c>
      <c r="MLW91" s="60"/>
      <c r="MML91" s="63" t="s">
        <v>933</v>
      </c>
      <c r="MMM91" s="60"/>
      <c r="MNB91" s="63" t="s">
        <v>933</v>
      </c>
      <c r="MNC91" s="60"/>
      <c r="MNR91" s="63" t="s">
        <v>933</v>
      </c>
      <c r="MNS91" s="60"/>
      <c r="MOH91" s="63" t="s">
        <v>933</v>
      </c>
      <c r="MOI91" s="60"/>
      <c r="MOX91" s="63" t="s">
        <v>933</v>
      </c>
      <c r="MOY91" s="60"/>
      <c r="MPN91" s="63" t="s">
        <v>933</v>
      </c>
      <c r="MPO91" s="60"/>
      <c r="MQD91" s="63" t="s">
        <v>933</v>
      </c>
      <c r="MQE91" s="60"/>
      <c r="MQT91" s="63" t="s">
        <v>933</v>
      </c>
      <c r="MQU91" s="60"/>
      <c r="MRJ91" s="63" t="s">
        <v>933</v>
      </c>
      <c r="MRK91" s="60"/>
      <c r="MRZ91" s="63" t="s">
        <v>933</v>
      </c>
      <c r="MSA91" s="60"/>
      <c r="MSP91" s="63" t="s">
        <v>933</v>
      </c>
      <c r="MSQ91" s="60"/>
      <c r="MTF91" s="63" t="s">
        <v>933</v>
      </c>
      <c r="MTG91" s="60"/>
      <c r="MTV91" s="63" t="s">
        <v>933</v>
      </c>
      <c r="MTW91" s="60"/>
      <c r="MUL91" s="63" t="s">
        <v>933</v>
      </c>
      <c r="MUM91" s="60"/>
      <c r="MVB91" s="63" t="s">
        <v>933</v>
      </c>
      <c r="MVC91" s="60"/>
      <c r="MVR91" s="63" t="s">
        <v>933</v>
      </c>
      <c r="MVS91" s="60"/>
      <c r="MWH91" s="63" t="s">
        <v>933</v>
      </c>
      <c r="MWI91" s="60"/>
      <c r="MWX91" s="63" t="s">
        <v>933</v>
      </c>
      <c r="MWY91" s="60"/>
      <c r="MXN91" s="63" t="s">
        <v>933</v>
      </c>
      <c r="MXO91" s="60"/>
      <c r="MYD91" s="63" t="s">
        <v>933</v>
      </c>
      <c r="MYE91" s="60"/>
      <c r="MYT91" s="63" t="s">
        <v>933</v>
      </c>
      <c r="MYU91" s="60"/>
      <c r="MZJ91" s="63" t="s">
        <v>933</v>
      </c>
      <c r="MZK91" s="60"/>
      <c r="MZZ91" s="63" t="s">
        <v>933</v>
      </c>
      <c r="NAA91" s="60"/>
      <c r="NAP91" s="63" t="s">
        <v>933</v>
      </c>
      <c r="NAQ91" s="60"/>
      <c r="NBF91" s="63" t="s">
        <v>933</v>
      </c>
      <c r="NBG91" s="60"/>
      <c r="NBV91" s="63" t="s">
        <v>933</v>
      </c>
      <c r="NBW91" s="60"/>
      <c r="NCL91" s="63" t="s">
        <v>933</v>
      </c>
      <c r="NCM91" s="60"/>
      <c r="NDB91" s="63" t="s">
        <v>933</v>
      </c>
      <c r="NDC91" s="60"/>
      <c r="NDR91" s="63" t="s">
        <v>933</v>
      </c>
      <c r="NDS91" s="60"/>
      <c r="NEH91" s="63" t="s">
        <v>933</v>
      </c>
      <c r="NEI91" s="60"/>
      <c r="NEX91" s="63" t="s">
        <v>933</v>
      </c>
      <c r="NEY91" s="60"/>
      <c r="NFN91" s="63" t="s">
        <v>933</v>
      </c>
      <c r="NFO91" s="60"/>
      <c r="NGD91" s="63" t="s">
        <v>933</v>
      </c>
      <c r="NGE91" s="60"/>
      <c r="NGT91" s="63" t="s">
        <v>933</v>
      </c>
      <c r="NGU91" s="60"/>
      <c r="NHJ91" s="63" t="s">
        <v>933</v>
      </c>
      <c r="NHK91" s="60"/>
      <c r="NHZ91" s="63" t="s">
        <v>933</v>
      </c>
      <c r="NIA91" s="60"/>
      <c r="NIP91" s="63" t="s">
        <v>933</v>
      </c>
      <c r="NIQ91" s="60"/>
      <c r="NJF91" s="63" t="s">
        <v>933</v>
      </c>
      <c r="NJG91" s="60"/>
      <c r="NJV91" s="63" t="s">
        <v>933</v>
      </c>
      <c r="NJW91" s="60"/>
      <c r="NKL91" s="63" t="s">
        <v>933</v>
      </c>
      <c r="NKM91" s="60"/>
      <c r="NLB91" s="63" t="s">
        <v>933</v>
      </c>
      <c r="NLC91" s="60"/>
      <c r="NLR91" s="63" t="s">
        <v>933</v>
      </c>
      <c r="NLS91" s="60"/>
      <c r="NMH91" s="63" t="s">
        <v>933</v>
      </c>
      <c r="NMI91" s="60"/>
      <c r="NMX91" s="63" t="s">
        <v>933</v>
      </c>
      <c r="NMY91" s="60"/>
      <c r="NNN91" s="63" t="s">
        <v>933</v>
      </c>
      <c r="NNO91" s="60"/>
      <c r="NOD91" s="63" t="s">
        <v>933</v>
      </c>
      <c r="NOE91" s="60"/>
      <c r="NOT91" s="63" t="s">
        <v>933</v>
      </c>
      <c r="NOU91" s="60"/>
      <c r="NPJ91" s="63" t="s">
        <v>933</v>
      </c>
      <c r="NPK91" s="60"/>
      <c r="NPZ91" s="63" t="s">
        <v>933</v>
      </c>
      <c r="NQA91" s="60"/>
      <c r="NQP91" s="63" t="s">
        <v>933</v>
      </c>
      <c r="NQQ91" s="60"/>
      <c r="NRF91" s="63" t="s">
        <v>933</v>
      </c>
      <c r="NRG91" s="60"/>
      <c r="NRV91" s="63" t="s">
        <v>933</v>
      </c>
      <c r="NRW91" s="60"/>
      <c r="NSL91" s="63" t="s">
        <v>933</v>
      </c>
      <c r="NSM91" s="60"/>
      <c r="NTB91" s="63" t="s">
        <v>933</v>
      </c>
      <c r="NTC91" s="60"/>
      <c r="NTR91" s="63" t="s">
        <v>933</v>
      </c>
      <c r="NTS91" s="60"/>
      <c r="NUH91" s="63" t="s">
        <v>933</v>
      </c>
      <c r="NUI91" s="60"/>
      <c r="NUX91" s="63" t="s">
        <v>933</v>
      </c>
      <c r="NUY91" s="60"/>
      <c r="NVN91" s="63" t="s">
        <v>933</v>
      </c>
      <c r="NVO91" s="60"/>
      <c r="NWD91" s="63" t="s">
        <v>933</v>
      </c>
      <c r="NWE91" s="60"/>
      <c r="NWT91" s="63" t="s">
        <v>933</v>
      </c>
      <c r="NWU91" s="60"/>
      <c r="NXJ91" s="63" t="s">
        <v>933</v>
      </c>
      <c r="NXK91" s="60"/>
      <c r="NXZ91" s="63" t="s">
        <v>933</v>
      </c>
      <c r="NYA91" s="60"/>
      <c r="NYP91" s="63" t="s">
        <v>933</v>
      </c>
      <c r="NYQ91" s="60"/>
      <c r="NZF91" s="63" t="s">
        <v>933</v>
      </c>
      <c r="NZG91" s="60"/>
      <c r="NZV91" s="63" t="s">
        <v>933</v>
      </c>
      <c r="NZW91" s="60"/>
      <c r="OAL91" s="63" t="s">
        <v>933</v>
      </c>
      <c r="OAM91" s="60"/>
      <c r="OBB91" s="63" t="s">
        <v>933</v>
      </c>
      <c r="OBC91" s="60"/>
      <c r="OBR91" s="63" t="s">
        <v>933</v>
      </c>
      <c r="OBS91" s="60"/>
      <c r="OCH91" s="63" t="s">
        <v>933</v>
      </c>
      <c r="OCI91" s="60"/>
      <c r="OCX91" s="63" t="s">
        <v>933</v>
      </c>
      <c r="OCY91" s="60"/>
      <c r="ODN91" s="63" t="s">
        <v>933</v>
      </c>
      <c r="ODO91" s="60"/>
      <c r="OED91" s="63" t="s">
        <v>933</v>
      </c>
      <c r="OEE91" s="60"/>
      <c r="OET91" s="63" t="s">
        <v>933</v>
      </c>
      <c r="OEU91" s="60"/>
      <c r="OFJ91" s="63" t="s">
        <v>933</v>
      </c>
      <c r="OFK91" s="60"/>
      <c r="OFZ91" s="63" t="s">
        <v>933</v>
      </c>
      <c r="OGA91" s="60"/>
      <c r="OGP91" s="63" t="s">
        <v>933</v>
      </c>
      <c r="OGQ91" s="60"/>
      <c r="OHF91" s="63" t="s">
        <v>933</v>
      </c>
      <c r="OHG91" s="60"/>
      <c r="OHV91" s="63" t="s">
        <v>933</v>
      </c>
      <c r="OHW91" s="60"/>
      <c r="OIL91" s="63" t="s">
        <v>933</v>
      </c>
      <c r="OIM91" s="60"/>
      <c r="OJB91" s="63" t="s">
        <v>933</v>
      </c>
      <c r="OJC91" s="60"/>
      <c r="OJR91" s="63" t="s">
        <v>933</v>
      </c>
      <c r="OJS91" s="60"/>
      <c r="OKH91" s="63" t="s">
        <v>933</v>
      </c>
      <c r="OKI91" s="60"/>
      <c r="OKX91" s="63" t="s">
        <v>933</v>
      </c>
      <c r="OKY91" s="60"/>
      <c r="OLN91" s="63" t="s">
        <v>933</v>
      </c>
      <c r="OLO91" s="60"/>
      <c r="OMD91" s="63" t="s">
        <v>933</v>
      </c>
      <c r="OME91" s="60"/>
      <c r="OMT91" s="63" t="s">
        <v>933</v>
      </c>
      <c r="OMU91" s="60"/>
      <c r="ONJ91" s="63" t="s">
        <v>933</v>
      </c>
      <c r="ONK91" s="60"/>
      <c r="ONZ91" s="63" t="s">
        <v>933</v>
      </c>
      <c r="OOA91" s="60"/>
      <c r="OOP91" s="63" t="s">
        <v>933</v>
      </c>
      <c r="OOQ91" s="60"/>
      <c r="OPF91" s="63" t="s">
        <v>933</v>
      </c>
      <c r="OPG91" s="60"/>
      <c r="OPV91" s="63" t="s">
        <v>933</v>
      </c>
      <c r="OPW91" s="60"/>
      <c r="OQL91" s="63" t="s">
        <v>933</v>
      </c>
      <c r="OQM91" s="60"/>
      <c r="ORB91" s="63" t="s">
        <v>933</v>
      </c>
      <c r="ORC91" s="60"/>
      <c r="ORR91" s="63" t="s">
        <v>933</v>
      </c>
      <c r="ORS91" s="60"/>
      <c r="OSH91" s="63" t="s">
        <v>933</v>
      </c>
      <c r="OSI91" s="60"/>
      <c r="OSX91" s="63" t="s">
        <v>933</v>
      </c>
      <c r="OSY91" s="60"/>
      <c r="OTN91" s="63" t="s">
        <v>933</v>
      </c>
      <c r="OTO91" s="60"/>
      <c r="OUD91" s="63" t="s">
        <v>933</v>
      </c>
      <c r="OUE91" s="60"/>
      <c r="OUT91" s="63" t="s">
        <v>933</v>
      </c>
      <c r="OUU91" s="60"/>
      <c r="OVJ91" s="63" t="s">
        <v>933</v>
      </c>
      <c r="OVK91" s="60"/>
      <c r="OVZ91" s="63" t="s">
        <v>933</v>
      </c>
      <c r="OWA91" s="60"/>
      <c r="OWP91" s="63" t="s">
        <v>933</v>
      </c>
      <c r="OWQ91" s="60"/>
      <c r="OXF91" s="63" t="s">
        <v>933</v>
      </c>
      <c r="OXG91" s="60"/>
      <c r="OXV91" s="63" t="s">
        <v>933</v>
      </c>
      <c r="OXW91" s="60"/>
      <c r="OYL91" s="63" t="s">
        <v>933</v>
      </c>
      <c r="OYM91" s="60"/>
      <c r="OZB91" s="63" t="s">
        <v>933</v>
      </c>
      <c r="OZC91" s="60"/>
      <c r="OZR91" s="63" t="s">
        <v>933</v>
      </c>
      <c r="OZS91" s="60"/>
      <c r="PAH91" s="63" t="s">
        <v>933</v>
      </c>
      <c r="PAI91" s="60"/>
      <c r="PAX91" s="63" t="s">
        <v>933</v>
      </c>
      <c r="PAY91" s="60"/>
      <c r="PBN91" s="63" t="s">
        <v>933</v>
      </c>
      <c r="PBO91" s="60"/>
      <c r="PCD91" s="63" t="s">
        <v>933</v>
      </c>
      <c r="PCE91" s="60"/>
      <c r="PCT91" s="63" t="s">
        <v>933</v>
      </c>
      <c r="PCU91" s="60"/>
      <c r="PDJ91" s="63" t="s">
        <v>933</v>
      </c>
      <c r="PDK91" s="60"/>
      <c r="PDZ91" s="63" t="s">
        <v>933</v>
      </c>
      <c r="PEA91" s="60"/>
      <c r="PEP91" s="63" t="s">
        <v>933</v>
      </c>
      <c r="PEQ91" s="60"/>
      <c r="PFF91" s="63" t="s">
        <v>933</v>
      </c>
      <c r="PFG91" s="60"/>
      <c r="PFV91" s="63" t="s">
        <v>933</v>
      </c>
      <c r="PFW91" s="60"/>
      <c r="PGL91" s="63" t="s">
        <v>933</v>
      </c>
      <c r="PGM91" s="60"/>
      <c r="PHB91" s="63" t="s">
        <v>933</v>
      </c>
      <c r="PHC91" s="60"/>
      <c r="PHR91" s="63" t="s">
        <v>933</v>
      </c>
      <c r="PHS91" s="60"/>
      <c r="PIH91" s="63" t="s">
        <v>933</v>
      </c>
      <c r="PII91" s="60"/>
      <c r="PIX91" s="63" t="s">
        <v>933</v>
      </c>
      <c r="PIY91" s="60"/>
      <c r="PJN91" s="63" t="s">
        <v>933</v>
      </c>
      <c r="PJO91" s="60"/>
      <c r="PKD91" s="63" t="s">
        <v>933</v>
      </c>
      <c r="PKE91" s="60"/>
      <c r="PKT91" s="63" t="s">
        <v>933</v>
      </c>
      <c r="PKU91" s="60"/>
      <c r="PLJ91" s="63" t="s">
        <v>933</v>
      </c>
      <c r="PLK91" s="60"/>
      <c r="PLZ91" s="63" t="s">
        <v>933</v>
      </c>
      <c r="PMA91" s="60"/>
      <c r="PMP91" s="63" t="s">
        <v>933</v>
      </c>
      <c r="PMQ91" s="60"/>
      <c r="PNF91" s="63" t="s">
        <v>933</v>
      </c>
      <c r="PNG91" s="60"/>
      <c r="PNV91" s="63" t="s">
        <v>933</v>
      </c>
      <c r="PNW91" s="60"/>
      <c r="POL91" s="63" t="s">
        <v>933</v>
      </c>
      <c r="POM91" s="60"/>
      <c r="PPB91" s="63" t="s">
        <v>933</v>
      </c>
      <c r="PPC91" s="60"/>
      <c r="PPR91" s="63" t="s">
        <v>933</v>
      </c>
      <c r="PPS91" s="60"/>
      <c r="PQH91" s="63" t="s">
        <v>933</v>
      </c>
      <c r="PQI91" s="60"/>
      <c r="PQX91" s="63" t="s">
        <v>933</v>
      </c>
      <c r="PQY91" s="60"/>
      <c r="PRN91" s="63" t="s">
        <v>933</v>
      </c>
      <c r="PRO91" s="60"/>
      <c r="PSD91" s="63" t="s">
        <v>933</v>
      </c>
      <c r="PSE91" s="60"/>
      <c r="PST91" s="63" t="s">
        <v>933</v>
      </c>
      <c r="PSU91" s="60"/>
      <c r="PTJ91" s="63" t="s">
        <v>933</v>
      </c>
      <c r="PTK91" s="60"/>
      <c r="PTZ91" s="63" t="s">
        <v>933</v>
      </c>
      <c r="PUA91" s="60"/>
      <c r="PUP91" s="63" t="s">
        <v>933</v>
      </c>
      <c r="PUQ91" s="60"/>
      <c r="PVF91" s="63" t="s">
        <v>933</v>
      </c>
      <c r="PVG91" s="60"/>
      <c r="PVV91" s="63" t="s">
        <v>933</v>
      </c>
      <c r="PVW91" s="60"/>
      <c r="PWL91" s="63" t="s">
        <v>933</v>
      </c>
      <c r="PWM91" s="60"/>
      <c r="PXB91" s="63" t="s">
        <v>933</v>
      </c>
      <c r="PXC91" s="60"/>
      <c r="PXR91" s="63" t="s">
        <v>933</v>
      </c>
      <c r="PXS91" s="60"/>
      <c r="PYH91" s="63" t="s">
        <v>933</v>
      </c>
      <c r="PYI91" s="60"/>
      <c r="PYX91" s="63" t="s">
        <v>933</v>
      </c>
      <c r="PYY91" s="60"/>
      <c r="PZN91" s="63" t="s">
        <v>933</v>
      </c>
      <c r="PZO91" s="60"/>
      <c r="QAD91" s="63" t="s">
        <v>933</v>
      </c>
      <c r="QAE91" s="60"/>
      <c r="QAT91" s="63" t="s">
        <v>933</v>
      </c>
      <c r="QAU91" s="60"/>
      <c r="QBJ91" s="63" t="s">
        <v>933</v>
      </c>
      <c r="QBK91" s="60"/>
      <c r="QBZ91" s="63" t="s">
        <v>933</v>
      </c>
      <c r="QCA91" s="60"/>
      <c r="QCP91" s="63" t="s">
        <v>933</v>
      </c>
      <c r="QCQ91" s="60"/>
      <c r="QDF91" s="63" t="s">
        <v>933</v>
      </c>
      <c r="QDG91" s="60"/>
      <c r="QDV91" s="63" t="s">
        <v>933</v>
      </c>
      <c r="QDW91" s="60"/>
      <c r="QEL91" s="63" t="s">
        <v>933</v>
      </c>
      <c r="QEM91" s="60"/>
      <c r="QFB91" s="63" t="s">
        <v>933</v>
      </c>
      <c r="QFC91" s="60"/>
      <c r="QFR91" s="63" t="s">
        <v>933</v>
      </c>
      <c r="QFS91" s="60"/>
      <c r="QGH91" s="63" t="s">
        <v>933</v>
      </c>
      <c r="QGI91" s="60"/>
      <c r="QGX91" s="63" t="s">
        <v>933</v>
      </c>
      <c r="QGY91" s="60"/>
      <c r="QHN91" s="63" t="s">
        <v>933</v>
      </c>
      <c r="QHO91" s="60"/>
      <c r="QID91" s="63" t="s">
        <v>933</v>
      </c>
      <c r="QIE91" s="60"/>
      <c r="QIT91" s="63" t="s">
        <v>933</v>
      </c>
      <c r="QIU91" s="60"/>
      <c r="QJJ91" s="63" t="s">
        <v>933</v>
      </c>
      <c r="QJK91" s="60"/>
      <c r="QJZ91" s="63" t="s">
        <v>933</v>
      </c>
      <c r="QKA91" s="60"/>
      <c r="QKP91" s="63" t="s">
        <v>933</v>
      </c>
      <c r="QKQ91" s="60"/>
      <c r="QLF91" s="63" t="s">
        <v>933</v>
      </c>
      <c r="QLG91" s="60"/>
      <c r="QLV91" s="63" t="s">
        <v>933</v>
      </c>
      <c r="QLW91" s="60"/>
      <c r="QML91" s="63" t="s">
        <v>933</v>
      </c>
      <c r="QMM91" s="60"/>
      <c r="QNB91" s="63" t="s">
        <v>933</v>
      </c>
      <c r="QNC91" s="60"/>
      <c r="QNR91" s="63" t="s">
        <v>933</v>
      </c>
      <c r="QNS91" s="60"/>
      <c r="QOH91" s="63" t="s">
        <v>933</v>
      </c>
      <c r="QOI91" s="60"/>
      <c r="QOX91" s="63" t="s">
        <v>933</v>
      </c>
      <c r="QOY91" s="60"/>
      <c r="QPN91" s="63" t="s">
        <v>933</v>
      </c>
      <c r="QPO91" s="60"/>
      <c r="QQD91" s="63" t="s">
        <v>933</v>
      </c>
      <c r="QQE91" s="60"/>
      <c r="QQT91" s="63" t="s">
        <v>933</v>
      </c>
      <c r="QQU91" s="60"/>
      <c r="QRJ91" s="63" t="s">
        <v>933</v>
      </c>
      <c r="QRK91" s="60"/>
      <c r="QRZ91" s="63" t="s">
        <v>933</v>
      </c>
      <c r="QSA91" s="60"/>
      <c r="QSP91" s="63" t="s">
        <v>933</v>
      </c>
      <c r="QSQ91" s="60"/>
      <c r="QTF91" s="63" t="s">
        <v>933</v>
      </c>
      <c r="QTG91" s="60"/>
      <c r="QTV91" s="63" t="s">
        <v>933</v>
      </c>
      <c r="QTW91" s="60"/>
      <c r="QUL91" s="63" t="s">
        <v>933</v>
      </c>
      <c r="QUM91" s="60"/>
      <c r="QVB91" s="63" t="s">
        <v>933</v>
      </c>
      <c r="QVC91" s="60"/>
      <c r="QVR91" s="63" t="s">
        <v>933</v>
      </c>
      <c r="QVS91" s="60"/>
      <c r="QWH91" s="63" t="s">
        <v>933</v>
      </c>
      <c r="QWI91" s="60"/>
      <c r="QWX91" s="63" t="s">
        <v>933</v>
      </c>
      <c r="QWY91" s="60"/>
      <c r="QXN91" s="63" t="s">
        <v>933</v>
      </c>
      <c r="QXO91" s="60"/>
      <c r="QYD91" s="63" t="s">
        <v>933</v>
      </c>
      <c r="QYE91" s="60"/>
      <c r="QYT91" s="63" t="s">
        <v>933</v>
      </c>
      <c r="QYU91" s="60"/>
      <c r="QZJ91" s="63" t="s">
        <v>933</v>
      </c>
      <c r="QZK91" s="60"/>
      <c r="QZZ91" s="63" t="s">
        <v>933</v>
      </c>
      <c r="RAA91" s="60"/>
      <c r="RAP91" s="63" t="s">
        <v>933</v>
      </c>
      <c r="RAQ91" s="60"/>
      <c r="RBF91" s="63" t="s">
        <v>933</v>
      </c>
      <c r="RBG91" s="60"/>
      <c r="RBV91" s="63" t="s">
        <v>933</v>
      </c>
      <c r="RBW91" s="60"/>
      <c r="RCL91" s="63" t="s">
        <v>933</v>
      </c>
      <c r="RCM91" s="60"/>
      <c r="RDB91" s="63" t="s">
        <v>933</v>
      </c>
      <c r="RDC91" s="60"/>
      <c r="RDR91" s="63" t="s">
        <v>933</v>
      </c>
      <c r="RDS91" s="60"/>
      <c r="REH91" s="63" t="s">
        <v>933</v>
      </c>
      <c r="REI91" s="60"/>
      <c r="REX91" s="63" t="s">
        <v>933</v>
      </c>
      <c r="REY91" s="60"/>
      <c r="RFN91" s="63" t="s">
        <v>933</v>
      </c>
      <c r="RFO91" s="60"/>
      <c r="RGD91" s="63" t="s">
        <v>933</v>
      </c>
      <c r="RGE91" s="60"/>
      <c r="RGT91" s="63" t="s">
        <v>933</v>
      </c>
      <c r="RGU91" s="60"/>
      <c r="RHJ91" s="63" t="s">
        <v>933</v>
      </c>
      <c r="RHK91" s="60"/>
      <c r="RHZ91" s="63" t="s">
        <v>933</v>
      </c>
      <c r="RIA91" s="60"/>
      <c r="RIP91" s="63" t="s">
        <v>933</v>
      </c>
      <c r="RIQ91" s="60"/>
      <c r="RJF91" s="63" t="s">
        <v>933</v>
      </c>
      <c r="RJG91" s="60"/>
      <c r="RJV91" s="63" t="s">
        <v>933</v>
      </c>
      <c r="RJW91" s="60"/>
      <c r="RKL91" s="63" t="s">
        <v>933</v>
      </c>
      <c r="RKM91" s="60"/>
      <c r="RLB91" s="63" t="s">
        <v>933</v>
      </c>
      <c r="RLC91" s="60"/>
      <c r="RLR91" s="63" t="s">
        <v>933</v>
      </c>
      <c r="RLS91" s="60"/>
      <c r="RMH91" s="63" t="s">
        <v>933</v>
      </c>
      <c r="RMI91" s="60"/>
      <c r="RMX91" s="63" t="s">
        <v>933</v>
      </c>
      <c r="RMY91" s="60"/>
      <c r="RNN91" s="63" t="s">
        <v>933</v>
      </c>
      <c r="RNO91" s="60"/>
      <c r="ROD91" s="63" t="s">
        <v>933</v>
      </c>
      <c r="ROE91" s="60"/>
      <c r="ROT91" s="63" t="s">
        <v>933</v>
      </c>
      <c r="ROU91" s="60"/>
      <c r="RPJ91" s="63" t="s">
        <v>933</v>
      </c>
      <c r="RPK91" s="60"/>
      <c r="RPZ91" s="63" t="s">
        <v>933</v>
      </c>
      <c r="RQA91" s="60"/>
      <c r="RQP91" s="63" t="s">
        <v>933</v>
      </c>
      <c r="RQQ91" s="60"/>
      <c r="RRF91" s="63" t="s">
        <v>933</v>
      </c>
      <c r="RRG91" s="60"/>
      <c r="RRV91" s="63" t="s">
        <v>933</v>
      </c>
      <c r="RRW91" s="60"/>
      <c r="RSL91" s="63" t="s">
        <v>933</v>
      </c>
      <c r="RSM91" s="60"/>
      <c r="RTB91" s="63" t="s">
        <v>933</v>
      </c>
      <c r="RTC91" s="60"/>
      <c r="RTR91" s="63" t="s">
        <v>933</v>
      </c>
      <c r="RTS91" s="60"/>
      <c r="RUH91" s="63" t="s">
        <v>933</v>
      </c>
      <c r="RUI91" s="60"/>
      <c r="RUX91" s="63" t="s">
        <v>933</v>
      </c>
      <c r="RUY91" s="60"/>
      <c r="RVN91" s="63" t="s">
        <v>933</v>
      </c>
      <c r="RVO91" s="60"/>
      <c r="RWD91" s="63" t="s">
        <v>933</v>
      </c>
      <c r="RWE91" s="60"/>
      <c r="RWT91" s="63" t="s">
        <v>933</v>
      </c>
      <c r="RWU91" s="60"/>
      <c r="RXJ91" s="63" t="s">
        <v>933</v>
      </c>
      <c r="RXK91" s="60"/>
      <c r="RXZ91" s="63" t="s">
        <v>933</v>
      </c>
      <c r="RYA91" s="60"/>
      <c r="RYP91" s="63" t="s">
        <v>933</v>
      </c>
      <c r="RYQ91" s="60"/>
      <c r="RZF91" s="63" t="s">
        <v>933</v>
      </c>
      <c r="RZG91" s="60"/>
      <c r="RZV91" s="63" t="s">
        <v>933</v>
      </c>
      <c r="RZW91" s="60"/>
      <c r="SAL91" s="63" t="s">
        <v>933</v>
      </c>
      <c r="SAM91" s="60"/>
      <c r="SBB91" s="63" t="s">
        <v>933</v>
      </c>
      <c r="SBC91" s="60"/>
      <c r="SBR91" s="63" t="s">
        <v>933</v>
      </c>
      <c r="SBS91" s="60"/>
      <c r="SCH91" s="63" t="s">
        <v>933</v>
      </c>
      <c r="SCI91" s="60"/>
      <c r="SCX91" s="63" t="s">
        <v>933</v>
      </c>
      <c r="SCY91" s="60"/>
      <c r="SDN91" s="63" t="s">
        <v>933</v>
      </c>
      <c r="SDO91" s="60"/>
      <c r="SED91" s="63" t="s">
        <v>933</v>
      </c>
      <c r="SEE91" s="60"/>
      <c r="SET91" s="63" t="s">
        <v>933</v>
      </c>
      <c r="SEU91" s="60"/>
      <c r="SFJ91" s="63" t="s">
        <v>933</v>
      </c>
      <c r="SFK91" s="60"/>
      <c r="SFZ91" s="63" t="s">
        <v>933</v>
      </c>
      <c r="SGA91" s="60"/>
      <c r="SGP91" s="63" t="s">
        <v>933</v>
      </c>
      <c r="SGQ91" s="60"/>
      <c r="SHF91" s="63" t="s">
        <v>933</v>
      </c>
      <c r="SHG91" s="60"/>
      <c r="SHV91" s="63" t="s">
        <v>933</v>
      </c>
      <c r="SHW91" s="60"/>
      <c r="SIL91" s="63" t="s">
        <v>933</v>
      </c>
      <c r="SIM91" s="60"/>
      <c r="SJB91" s="63" t="s">
        <v>933</v>
      </c>
      <c r="SJC91" s="60"/>
      <c r="SJR91" s="63" t="s">
        <v>933</v>
      </c>
      <c r="SJS91" s="60"/>
      <c r="SKH91" s="63" t="s">
        <v>933</v>
      </c>
      <c r="SKI91" s="60"/>
      <c r="SKX91" s="63" t="s">
        <v>933</v>
      </c>
      <c r="SKY91" s="60"/>
      <c r="SLN91" s="63" t="s">
        <v>933</v>
      </c>
      <c r="SLO91" s="60"/>
      <c r="SMD91" s="63" t="s">
        <v>933</v>
      </c>
      <c r="SME91" s="60"/>
      <c r="SMT91" s="63" t="s">
        <v>933</v>
      </c>
      <c r="SMU91" s="60"/>
      <c r="SNJ91" s="63" t="s">
        <v>933</v>
      </c>
      <c r="SNK91" s="60"/>
      <c r="SNZ91" s="63" t="s">
        <v>933</v>
      </c>
      <c r="SOA91" s="60"/>
      <c r="SOP91" s="63" t="s">
        <v>933</v>
      </c>
      <c r="SOQ91" s="60"/>
      <c r="SPF91" s="63" t="s">
        <v>933</v>
      </c>
      <c r="SPG91" s="60"/>
      <c r="SPV91" s="63" t="s">
        <v>933</v>
      </c>
      <c r="SPW91" s="60"/>
      <c r="SQL91" s="63" t="s">
        <v>933</v>
      </c>
      <c r="SQM91" s="60"/>
      <c r="SRB91" s="63" t="s">
        <v>933</v>
      </c>
      <c r="SRC91" s="60"/>
      <c r="SRR91" s="63" t="s">
        <v>933</v>
      </c>
      <c r="SRS91" s="60"/>
      <c r="SSH91" s="63" t="s">
        <v>933</v>
      </c>
      <c r="SSI91" s="60"/>
      <c r="SSX91" s="63" t="s">
        <v>933</v>
      </c>
      <c r="SSY91" s="60"/>
      <c r="STN91" s="63" t="s">
        <v>933</v>
      </c>
      <c r="STO91" s="60"/>
      <c r="SUD91" s="63" t="s">
        <v>933</v>
      </c>
      <c r="SUE91" s="60"/>
      <c r="SUT91" s="63" t="s">
        <v>933</v>
      </c>
      <c r="SUU91" s="60"/>
      <c r="SVJ91" s="63" t="s">
        <v>933</v>
      </c>
      <c r="SVK91" s="60"/>
      <c r="SVZ91" s="63" t="s">
        <v>933</v>
      </c>
      <c r="SWA91" s="60"/>
      <c r="SWP91" s="63" t="s">
        <v>933</v>
      </c>
      <c r="SWQ91" s="60"/>
      <c r="SXF91" s="63" t="s">
        <v>933</v>
      </c>
      <c r="SXG91" s="60"/>
      <c r="SXV91" s="63" t="s">
        <v>933</v>
      </c>
      <c r="SXW91" s="60"/>
      <c r="SYL91" s="63" t="s">
        <v>933</v>
      </c>
      <c r="SYM91" s="60"/>
      <c r="SZB91" s="63" t="s">
        <v>933</v>
      </c>
      <c r="SZC91" s="60"/>
      <c r="SZR91" s="63" t="s">
        <v>933</v>
      </c>
      <c r="SZS91" s="60"/>
      <c r="TAH91" s="63" t="s">
        <v>933</v>
      </c>
      <c r="TAI91" s="60"/>
      <c r="TAX91" s="63" t="s">
        <v>933</v>
      </c>
      <c r="TAY91" s="60"/>
      <c r="TBN91" s="63" t="s">
        <v>933</v>
      </c>
      <c r="TBO91" s="60"/>
      <c r="TCD91" s="63" t="s">
        <v>933</v>
      </c>
      <c r="TCE91" s="60"/>
      <c r="TCT91" s="63" t="s">
        <v>933</v>
      </c>
      <c r="TCU91" s="60"/>
      <c r="TDJ91" s="63" t="s">
        <v>933</v>
      </c>
      <c r="TDK91" s="60"/>
      <c r="TDZ91" s="63" t="s">
        <v>933</v>
      </c>
      <c r="TEA91" s="60"/>
      <c r="TEP91" s="63" t="s">
        <v>933</v>
      </c>
      <c r="TEQ91" s="60"/>
      <c r="TFF91" s="63" t="s">
        <v>933</v>
      </c>
      <c r="TFG91" s="60"/>
      <c r="TFV91" s="63" t="s">
        <v>933</v>
      </c>
      <c r="TFW91" s="60"/>
      <c r="TGL91" s="63" t="s">
        <v>933</v>
      </c>
      <c r="TGM91" s="60"/>
      <c r="THB91" s="63" t="s">
        <v>933</v>
      </c>
      <c r="THC91" s="60"/>
      <c r="THR91" s="63" t="s">
        <v>933</v>
      </c>
      <c r="THS91" s="60"/>
      <c r="TIH91" s="63" t="s">
        <v>933</v>
      </c>
      <c r="TII91" s="60"/>
      <c r="TIX91" s="63" t="s">
        <v>933</v>
      </c>
      <c r="TIY91" s="60"/>
      <c r="TJN91" s="63" t="s">
        <v>933</v>
      </c>
      <c r="TJO91" s="60"/>
      <c r="TKD91" s="63" t="s">
        <v>933</v>
      </c>
      <c r="TKE91" s="60"/>
      <c r="TKT91" s="63" t="s">
        <v>933</v>
      </c>
      <c r="TKU91" s="60"/>
      <c r="TLJ91" s="63" t="s">
        <v>933</v>
      </c>
      <c r="TLK91" s="60"/>
      <c r="TLZ91" s="63" t="s">
        <v>933</v>
      </c>
      <c r="TMA91" s="60"/>
      <c r="TMP91" s="63" t="s">
        <v>933</v>
      </c>
      <c r="TMQ91" s="60"/>
      <c r="TNF91" s="63" t="s">
        <v>933</v>
      </c>
      <c r="TNG91" s="60"/>
      <c r="TNV91" s="63" t="s">
        <v>933</v>
      </c>
      <c r="TNW91" s="60"/>
      <c r="TOL91" s="63" t="s">
        <v>933</v>
      </c>
      <c r="TOM91" s="60"/>
      <c r="TPB91" s="63" t="s">
        <v>933</v>
      </c>
      <c r="TPC91" s="60"/>
      <c r="TPR91" s="63" t="s">
        <v>933</v>
      </c>
      <c r="TPS91" s="60"/>
      <c r="TQH91" s="63" t="s">
        <v>933</v>
      </c>
      <c r="TQI91" s="60"/>
      <c r="TQX91" s="63" t="s">
        <v>933</v>
      </c>
      <c r="TQY91" s="60"/>
      <c r="TRN91" s="63" t="s">
        <v>933</v>
      </c>
      <c r="TRO91" s="60"/>
      <c r="TSD91" s="63" t="s">
        <v>933</v>
      </c>
      <c r="TSE91" s="60"/>
      <c r="TST91" s="63" t="s">
        <v>933</v>
      </c>
      <c r="TSU91" s="60"/>
      <c r="TTJ91" s="63" t="s">
        <v>933</v>
      </c>
      <c r="TTK91" s="60"/>
      <c r="TTZ91" s="63" t="s">
        <v>933</v>
      </c>
      <c r="TUA91" s="60"/>
      <c r="TUP91" s="63" t="s">
        <v>933</v>
      </c>
      <c r="TUQ91" s="60"/>
      <c r="TVF91" s="63" t="s">
        <v>933</v>
      </c>
      <c r="TVG91" s="60"/>
      <c r="TVV91" s="63" t="s">
        <v>933</v>
      </c>
      <c r="TVW91" s="60"/>
      <c r="TWL91" s="63" t="s">
        <v>933</v>
      </c>
      <c r="TWM91" s="60"/>
      <c r="TXB91" s="63" t="s">
        <v>933</v>
      </c>
      <c r="TXC91" s="60"/>
      <c r="TXR91" s="63" t="s">
        <v>933</v>
      </c>
      <c r="TXS91" s="60"/>
      <c r="TYH91" s="63" t="s">
        <v>933</v>
      </c>
      <c r="TYI91" s="60"/>
      <c r="TYX91" s="63" t="s">
        <v>933</v>
      </c>
      <c r="TYY91" s="60"/>
      <c r="TZN91" s="63" t="s">
        <v>933</v>
      </c>
      <c r="TZO91" s="60"/>
      <c r="UAD91" s="63" t="s">
        <v>933</v>
      </c>
      <c r="UAE91" s="60"/>
      <c r="UAT91" s="63" t="s">
        <v>933</v>
      </c>
      <c r="UAU91" s="60"/>
      <c r="UBJ91" s="63" t="s">
        <v>933</v>
      </c>
      <c r="UBK91" s="60"/>
      <c r="UBZ91" s="63" t="s">
        <v>933</v>
      </c>
      <c r="UCA91" s="60"/>
      <c r="UCP91" s="63" t="s">
        <v>933</v>
      </c>
      <c r="UCQ91" s="60"/>
      <c r="UDF91" s="63" t="s">
        <v>933</v>
      </c>
      <c r="UDG91" s="60"/>
      <c r="UDV91" s="63" t="s">
        <v>933</v>
      </c>
      <c r="UDW91" s="60"/>
      <c r="UEL91" s="63" t="s">
        <v>933</v>
      </c>
      <c r="UEM91" s="60"/>
      <c r="UFB91" s="63" t="s">
        <v>933</v>
      </c>
      <c r="UFC91" s="60"/>
      <c r="UFR91" s="63" t="s">
        <v>933</v>
      </c>
      <c r="UFS91" s="60"/>
      <c r="UGH91" s="63" t="s">
        <v>933</v>
      </c>
      <c r="UGI91" s="60"/>
      <c r="UGX91" s="63" t="s">
        <v>933</v>
      </c>
      <c r="UGY91" s="60"/>
      <c r="UHN91" s="63" t="s">
        <v>933</v>
      </c>
      <c r="UHO91" s="60"/>
      <c r="UID91" s="63" t="s">
        <v>933</v>
      </c>
      <c r="UIE91" s="60"/>
      <c r="UIT91" s="63" t="s">
        <v>933</v>
      </c>
      <c r="UIU91" s="60"/>
      <c r="UJJ91" s="63" t="s">
        <v>933</v>
      </c>
      <c r="UJK91" s="60"/>
      <c r="UJZ91" s="63" t="s">
        <v>933</v>
      </c>
      <c r="UKA91" s="60"/>
      <c r="UKP91" s="63" t="s">
        <v>933</v>
      </c>
      <c r="UKQ91" s="60"/>
      <c r="ULF91" s="63" t="s">
        <v>933</v>
      </c>
      <c r="ULG91" s="60"/>
      <c r="ULV91" s="63" t="s">
        <v>933</v>
      </c>
      <c r="ULW91" s="60"/>
      <c r="UML91" s="63" t="s">
        <v>933</v>
      </c>
      <c r="UMM91" s="60"/>
      <c r="UNB91" s="63" t="s">
        <v>933</v>
      </c>
      <c r="UNC91" s="60"/>
      <c r="UNR91" s="63" t="s">
        <v>933</v>
      </c>
      <c r="UNS91" s="60"/>
      <c r="UOH91" s="63" t="s">
        <v>933</v>
      </c>
      <c r="UOI91" s="60"/>
      <c r="UOX91" s="63" t="s">
        <v>933</v>
      </c>
      <c r="UOY91" s="60"/>
      <c r="UPN91" s="63" t="s">
        <v>933</v>
      </c>
      <c r="UPO91" s="60"/>
      <c r="UQD91" s="63" t="s">
        <v>933</v>
      </c>
      <c r="UQE91" s="60"/>
      <c r="UQT91" s="63" t="s">
        <v>933</v>
      </c>
      <c r="UQU91" s="60"/>
      <c r="URJ91" s="63" t="s">
        <v>933</v>
      </c>
      <c r="URK91" s="60"/>
      <c r="URZ91" s="63" t="s">
        <v>933</v>
      </c>
      <c r="USA91" s="60"/>
      <c r="USP91" s="63" t="s">
        <v>933</v>
      </c>
      <c r="USQ91" s="60"/>
      <c r="UTF91" s="63" t="s">
        <v>933</v>
      </c>
      <c r="UTG91" s="60"/>
      <c r="UTV91" s="63" t="s">
        <v>933</v>
      </c>
      <c r="UTW91" s="60"/>
      <c r="UUL91" s="63" t="s">
        <v>933</v>
      </c>
      <c r="UUM91" s="60"/>
      <c r="UVB91" s="63" t="s">
        <v>933</v>
      </c>
      <c r="UVC91" s="60"/>
      <c r="UVR91" s="63" t="s">
        <v>933</v>
      </c>
      <c r="UVS91" s="60"/>
      <c r="UWH91" s="63" t="s">
        <v>933</v>
      </c>
      <c r="UWI91" s="60"/>
      <c r="UWX91" s="63" t="s">
        <v>933</v>
      </c>
      <c r="UWY91" s="60"/>
      <c r="UXN91" s="63" t="s">
        <v>933</v>
      </c>
      <c r="UXO91" s="60"/>
      <c r="UYD91" s="63" t="s">
        <v>933</v>
      </c>
      <c r="UYE91" s="60"/>
      <c r="UYT91" s="63" t="s">
        <v>933</v>
      </c>
      <c r="UYU91" s="60"/>
      <c r="UZJ91" s="63" t="s">
        <v>933</v>
      </c>
      <c r="UZK91" s="60"/>
      <c r="UZZ91" s="63" t="s">
        <v>933</v>
      </c>
      <c r="VAA91" s="60"/>
      <c r="VAP91" s="63" t="s">
        <v>933</v>
      </c>
      <c r="VAQ91" s="60"/>
      <c r="VBF91" s="63" t="s">
        <v>933</v>
      </c>
      <c r="VBG91" s="60"/>
      <c r="VBV91" s="63" t="s">
        <v>933</v>
      </c>
      <c r="VBW91" s="60"/>
      <c r="VCL91" s="63" t="s">
        <v>933</v>
      </c>
      <c r="VCM91" s="60"/>
      <c r="VDB91" s="63" t="s">
        <v>933</v>
      </c>
      <c r="VDC91" s="60"/>
      <c r="VDR91" s="63" t="s">
        <v>933</v>
      </c>
      <c r="VDS91" s="60"/>
      <c r="VEH91" s="63" t="s">
        <v>933</v>
      </c>
      <c r="VEI91" s="60"/>
      <c r="VEX91" s="63" t="s">
        <v>933</v>
      </c>
      <c r="VEY91" s="60"/>
      <c r="VFN91" s="63" t="s">
        <v>933</v>
      </c>
      <c r="VFO91" s="60"/>
      <c r="VGD91" s="63" t="s">
        <v>933</v>
      </c>
      <c r="VGE91" s="60"/>
      <c r="VGT91" s="63" t="s">
        <v>933</v>
      </c>
      <c r="VGU91" s="60"/>
      <c r="VHJ91" s="63" t="s">
        <v>933</v>
      </c>
      <c r="VHK91" s="60"/>
      <c r="VHZ91" s="63" t="s">
        <v>933</v>
      </c>
      <c r="VIA91" s="60"/>
      <c r="VIP91" s="63" t="s">
        <v>933</v>
      </c>
      <c r="VIQ91" s="60"/>
      <c r="VJF91" s="63" t="s">
        <v>933</v>
      </c>
      <c r="VJG91" s="60"/>
      <c r="VJV91" s="63" t="s">
        <v>933</v>
      </c>
      <c r="VJW91" s="60"/>
      <c r="VKL91" s="63" t="s">
        <v>933</v>
      </c>
      <c r="VKM91" s="60"/>
      <c r="VLB91" s="63" t="s">
        <v>933</v>
      </c>
      <c r="VLC91" s="60"/>
      <c r="VLR91" s="63" t="s">
        <v>933</v>
      </c>
      <c r="VLS91" s="60"/>
      <c r="VMH91" s="63" t="s">
        <v>933</v>
      </c>
      <c r="VMI91" s="60"/>
      <c r="VMX91" s="63" t="s">
        <v>933</v>
      </c>
      <c r="VMY91" s="60"/>
      <c r="VNN91" s="63" t="s">
        <v>933</v>
      </c>
      <c r="VNO91" s="60"/>
      <c r="VOD91" s="63" t="s">
        <v>933</v>
      </c>
      <c r="VOE91" s="60"/>
      <c r="VOT91" s="63" t="s">
        <v>933</v>
      </c>
      <c r="VOU91" s="60"/>
      <c r="VPJ91" s="63" t="s">
        <v>933</v>
      </c>
      <c r="VPK91" s="60"/>
      <c r="VPZ91" s="63" t="s">
        <v>933</v>
      </c>
      <c r="VQA91" s="60"/>
      <c r="VQP91" s="63" t="s">
        <v>933</v>
      </c>
      <c r="VQQ91" s="60"/>
      <c r="VRF91" s="63" t="s">
        <v>933</v>
      </c>
      <c r="VRG91" s="60"/>
      <c r="VRV91" s="63" t="s">
        <v>933</v>
      </c>
      <c r="VRW91" s="60"/>
      <c r="VSL91" s="63" t="s">
        <v>933</v>
      </c>
      <c r="VSM91" s="60"/>
      <c r="VTB91" s="63" t="s">
        <v>933</v>
      </c>
      <c r="VTC91" s="60"/>
      <c r="VTR91" s="63" t="s">
        <v>933</v>
      </c>
      <c r="VTS91" s="60"/>
      <c r="VUH91" s="63" t="s">
        <v>933</v>
      </c>
      <c r="VUI91" s="60"/>
      <c r="VUX91" s="63" t="s">
        <v>933</v>
      </c>
      <c r="VUY91" s="60"/>
      <c r="VVN91" s="63" t="s">
        <v>933</v>
      </c>
      <c r="VVO91" s="60"/>
      <c r="VWD91" s="63" t="s">
        <v>933</v>
      </c>
      <c r="VWE91" s="60"/>
      <c r="VWT91" s="63" t="s">
        <v>933</v>
      </c>
      <c r="VWU91" s="60"/>
      <c r="VXJ91" s="63" t="s">
        <v>933</v>
      </c>
      <c r="VXK91" s="60"/>
      <c r="VXZ91" s="63" t="s">
        <v>933</v>
      </c>
      <c r="VYA91" s="60"/>
      <c r="VYP91" s="63" t="s">
        <v>933</v>
      </c>
      <c r="VYQ91" s="60"/>
      <c r="VZF91" s="63" t="s">
        <v>933</v>
      </c>
      <c r="VZG91" s="60"/>
      <c r="VZV91" s="63" t="s">
        <v>933</v>
      </c>
      <c r="VZW91" s="60"/>
      <c r="WAL91" s="63" t="s">
        <v>933</v>
      </c>
      <c r="WAM91" s="60"/>
      <c r="WBB91" s="63" t="s">
        <v>933</v>
      </c>
      <c r="WBC91" s="60"/>
      <c r="WBR91" s="63" t="s">
        <v>933</v>
      </c>
      <c r="WBS91" s="60"/>
      <c r="WCH91" s="63" t="s">
        <v>933</v>
      </c>
      <c r="WCI91" s="60"/>
      <c r="WCX91" s="63" t="s">
        <v>933</v>
      </c>
      <c r="WCY91" s="60"/>
      <c r="WDN91" s="63" t="s">
        <v>933</v>
      </c>
      <c r="WDO91" s="60"/>
      <c r="WED91" s="63" t="s">
        <v>933</v>
      </c>
      <c r="WEE91" s="60"/>
      <c r="WET91" s="63" t="s">
        <v>933</v>
      </c>
      <c r="WEU91" s="60"/>
      <c r="WFJ91" s="63" t="s">
        <v>933</v>
      </c>
      <c r="WFK91" s="60"/>
      <c r="WFZ91" s="63" t="s">
        <v>933</v>
      </c>
      <c r="WGA91" s="60"/>
      <c r="WGP91" s="63" t="s">
        <v>933</v>
      </c>
      <c r="WGQ91" s="60"/>
      <c r="WHF91" s="63" t="s">
        <v>933</v>
      </c>
      <c r="WHG91" s="60"/>
      <c r="WHV91" s="63" t="s">
        <v>933</v>
      </c>
      <c r="WHW91" s="60"/>
      <c r="WIL91" s="63" t="s">
        <v>933</v>
      </c>
      <c r="WIM91" s="60"/>
      <c r="WJB91" s="63" t="s">
        <v>933</v>
      </c>
      <c r="WJC91" s="60"/>
      <c r="WJR91" s="63" t="s">
        <v>933</v>
      </c>
      <c r="WJS91" s="60"/>
      <c r="WKH91" s="63" t="s">
        <v>933</v>
      </c>
      <c r="WKI91" s="60"/>
      <c r="WKX91" s="63" t="s">
        <v>933</v>
      </c>
      <c r="WKY91" s="60"/>
      <c r="WLN91" s="63" t="s">
        <v>933</v>
      </c>
      <c r="WLO91" s="60"/>
      <c r="WMD91" s="63" t="s">
        <v>933</v>
      </c>
      <c r="WME91" s="60"/>
      <c r="WMT91" s="63" t="s">
        <v>933</v>
      </c>
      <c r="WMU91" s="60"/>
      <c r="WNJ91" s="63" t="s">
        <v>933</v>
      </c>
      <c r="WNK91" s="60"/>
      <c r="WNZ91" s="63" t="s">
        <v>933</v>
      </c>
      <c r="WOA91" s="60"/>
      <c r="WOP91" s="63" t="s">
        <v>933</v>
      </c>
      <c r="WOQ91" s="60"/>
      <c r="WPF91" s="63" t="s">
        <v>933</v>
      </c>
      <c r="WPG91" s="60"/>
      <c r="WPV91" s="63" t="s">
        <v>933</v>
      </c>
      <c r="WPW91" s="60"/>
      <c r="WQL91" s="63" t="s">
        <v>933</v>
      </c>
      <c r="WQM91" s="60"/>
      <c r="WRB91" s="63" t="s">
        <v>933</v>
      </c>
      <c r="WRC91" s="60"/>
      <c r="WRR91" s="63" t="s">
        <v>933</v>
      </c>
      <c r="WRS91" s="60"/>
      <c r="WSH91" s="63" t="s">
        <v>933</v>
      </c>
      <c r="WSI91" s="60"/>
      <c r="WSX91" s="63" t="s">
        <v>933</v>
      </c>
      <c r="WSY91" s="60"/>
      <c r="WTN91" s="63" t="s">
        <v>933</v>
      </c>
      <c r="WTO91" s="60"/>
      <c r="WUD91" s="63" t="s">
        <v>933</v>
      </c>
      <c r="WUE91" s="60"/>
      <c r="WUT91" s="63" t="s">
        <v>933</v>
      </c>
      <c r="WUU91" s="60"/>
      <c r="WVJ91" s="63" t="s">
        <v>933</v>
      </c>
      <c r="WVK91" s="60"/>
      <c r="WVZ91" s="63" t="s">
        <v>933</v>
      </c>
      <c r="WWA91" s="60"/>
      <c r="WWP91" s="63" t="s">
        <v>933</v>
      </c>
      <c r="WWQ91" s="60"/>
      <c r="WXF91" s="63" t="s">
        <v>933</v>
      </c>
      <c r="WXG91" s="60"/>
      <c r="WXV91" s="63" t="s">
        <v>933</v>
      </c>
      <c r="WXW91" s="60"/>
      <c r="WYL91" s="63" t="s">
        <v>933</v>
      </c>
      <c r="WYM91" s="60"/>
      <c r="WZB91" s="63" t="s">
        <v>933</v>
      </c>
      <c r="WZC91" s="60"/>
      <c r="WZR91" s="63" t="s">
        <v>933</v>
      </c>
      <c r="WZS91" s="60"/>
      <c r="XAH91" s="63" t="s">
        <v>933</v>
      </c>
      <c r="XAI91" s="60"/>
      <c r="XAX91" s="63" t="s">
        <v>933</v>
      </c>
      <c r="XAY91" s="60"/>
      <c r="XBN91" s="63" t="s">
        <v>933</v>
      </c>
      <c r="XBO91" s="60"/>
      <c r="XCD91" s="63" t="s">
        <v>933</v>
      </c>
      <c r="XCE91" s="60"/>
      <c r="XCT91" s="63" t="s">
        <v>933</v>
      </c>
      <c r="XCU91" s="60"/>
      <c r="XDJ91" s="63" t="s">
        <v>933</v>
      </c>
      <c r="XDK91" s="60"/>
      <c r="XDZ91" s="63" t="s">
        <v>933</v>
      </c>
      <c r="XEA91" s="60"/>
      <c r="XEP91" s="63" t="s">
        <v>933</v>
      </c>
      <c r="XEQ91" s="60"/>
    </row>
    <row r="92" spans="2:1011 1026:2035 2050:3059 3074:4083 4098:5107 5122:6131 6146:7155 7170:8179 8194:9203 9218:10227 10242:11251 11266:12275 12290:13299 13314:14323 14338:15347 15362:16371" ht="14.25" x14ac:dyDescent="0.2">
      <c r="R92" s="63" t="s">
        <v>934</v>
      </c>
      <c r="S92" s="60"/>
      <c r="AH92" s="63" t="s">
        <v>934</v>
      </c>
      <c r="AI92" s="60"/>
      <c r="AX92" s="63" t="s">
        <v>934</v>
      </c>
      <c r="AY92" s="60"/>
      <c r="BN92" s="63" t="s">
        <v>934</v>
      </c>
      <c r="BO92" s="60"/>
      <c r="CD92" s="63" t="s">
        <v>934</v>
      </c>
      <c r="CE92" s="60"/>
      <c r="CT92" s="63" t="s">
        <v>934</v>
      </c>
      <c r="CU92" s="60"/>
      <c r="DJ92" s="63" t="s">
        <v>934</v>
      </c>
      <c r="DK92" s="60"/>
      <c r="DZ92" s="63" t="s">
        <v>934</v>
      </c>
      <c r="EA92" s="60"/>
      <c r="EP92" s="63" t="s">
        <v>934</v>
      </c>
      <c r="EQ92" s="60"/>
      <c r="FF92" s="63" t="s">
        <v>934</v>
      </c>
      <c r="FG92" s="60"/>
      <c r="FV92" s="63" t="s">
        <v>934</v>
      </c>
      <c r="FW92" s="60"/>
      <c r="GL92" s="63" t="s">
        <v>934</v>
      </c>
      <c r="GM92" s="60"/>
      <c r="HB92" s="63" t="s">
        <v>934</v>
      </c>
      <c r="HC92" s="60"/>
      <c r="HR92" s="63" t="s">
        <v>934</v>
      </c>
      <c r="HS92" s="60"/>
      <c r="IH92" s="63" t="s">
        <v>934</v>
      </c>
      <c r="II92" s="60"/>
      <c r="IX92" s="63" t="s">
        <v>934</v>
      </c>
      <c r="IY92" s="60"/>
      <c r="JN92" s="63" t="s">
        <v>934</v>
      </c>
      <c r="JO92" s="60"/>
      <c r="KD92" s="63" t="s">
        <v>934</v>
      </c>
      <c r="KE92" s="60"/>
      <c r="KT92" s="63" t="s">
        <v>934</v>
      </c>
      <c r="KU92" s="60"/>
      <c r="LJ92" s="63" t="s">
        <v>934</v>
      </c>
      <c r="LK92" s="60"/>
      <c r="LZ92" s="63" t="s">
        <v>934</v>
      </c>
      <c r="MA92" s="60"/>
      <c r="MP92" s="63" t="s">
        <v>934</v>
      </c>
      <c r="MQ92" s="60"/>
      <c r="NF92" s="63" t="s">
        <v>934</v>
      </c>
      <c r="NG92" s="60"/>
      <c r="NV92" s="63" t="s">
        <v>934</v>
      </c>
      <c r="NW92" s="60"/>
      <c r="OL92" s="63" t="s">
        <v>934</v>
      </c>
      <c r="OM92" s="60"/>
      <c r="PB92" s="63" t="s">
        <v>934</v>
      </c>
      <c r="PC92" s="60"/>
      <c r="PR92" s="63" t="s">
        <v>934</v>
      </c>
      <c r="PS92" s="60"/>
      <c r="QH92" s="63" t="s">
        <v>934</v>
      </c>
      <c r="QI92" s="60"/>
      <c r="QX92" s="63" t="s">
        <v>934</v>
      </c>
      <c r="QY92" s="60"/>
      <c r="RN92" s="63" t="s">
        <v>934</v>
      </c>
      <c r="RO92" s="60"/>
      <c r="SD92" s="63" t="s">
        <v>934</v>
      </c>
      <c r="SE92" s="60"/>
      <c r="ST92" s="63" t="s">
        <v>934</v>
      </c>
      <c r="SU92" s="60"/>
      <c r="TJ92" s="63" t="s">
        <v>934</v>
      </c>
      <c r="TK92" s="60"/>
      <c r="TZ92" s="63" t="s">
        <v>934</v>
      </c>
      <c r="UA92" s="60"/>
      <c r="UP92" s="63" t="s">
        <v>934</v>
      </c>
      <c r="UQ92" s="60"/>
      <c r="VF92" s="63" t="s">
        <v>934</v>
      </c>
      <c r="VG92" s="60"/>
      <c r="VV92" s="63" t="s">
        <v>934</v>
      </c>
      <c r="VW92" s="60"/>
      <c r="WL92" s="63" t="s">
        <v>934</v>
      </c>
      <c r="WM92" s="60"/>
      <c r="XB92" s="63" t="s">
        <v>934</v>
      </c>
      <c r="XC92" s="60"/>
      <c r="XR92" s="63" t="s">
        <v>934</v>
      </c>
      <c r="XS92" s="60"/>
      <c r="YH92" s="63" t="s">
        <v>934</v>
      </c>
      <c r="YI92" s="60"/>
      <c r="YX92" s="63" t="s">
        <v>934</v>
      </c>
      <c r="YY92" s="60"/>
      <c r="ZN92" s="63" t="s">
        <v>934</v>
      </c>
      <c r="ZO92" s="60"/>
      <c r="AAD92" s="63" t="s">
        <v>934</v>
      </c>
      <c r="AAE92" s="60"/>
      <c r="AAT92" s="63" t="s">
        <v>934</v>
      </c>
      <c r="AAU92" s="60"/>
      <c r="ABJ92" s="63" t="s">
        <v>934</v>
      </c>
      <c r="ABK92" s="60"/>
      <c r="ABZ92" s="63" t="s">
        <v>934</v>
      </c>
      <c r="ACA92" s="60"/>
      <c r="ACP92" s="63" t="s">
        <v>934</v>
      </c>
      <c r="ACQ92" s="60"/>
      <c r="ADF92" s="63" t="s">
        <v>934</v>
      </c>
      <c r="ADG92" s="60"/>
      <c r="ADV92" s="63" t="s">
        <v>934</v>
      </c>
      <c r="ADW92" s="60"/>
      <c r="AEL92" s="63" t="s">
        <v>934</v>
      </c>
      <c r="AEM92" s="60"/>
      <c r="AFB92" s="63" t="s">
        <v>934</v>
      </c>
      <c r="AFC92" s="60"/>
      <c r="AFR92" s="63" t="s">
        <v>934</v>
      </c>
      <c r="AFS92" s="60"/>
      <c r="AGH92" s="63" t="s">
        <v>934</v>
      </c>
      <c r="AGI92" s="60"/>
      <c r="AGX92" s="63" t="s">
        <v>934</v>
      </c>
      <c r="AGY92" s="60"/>
      <c r="AHN92" s="63" t="s">
        <v>934</v>
      </c>
      <c r="AHO92" s="60"/>
      <c r="AID92" s="63" t="s">
        <v>934</v>
      </c>
      <c r="AIE92" s="60"/>
      <c r="AIT92" s="63" t="s">
        <v>934</v>
      </c>
      <c r="AIU92" s="60"/>
      <c r="AJJ92" s="63" t="s">
        <v>934</v>
      </c>
      <c r="AJK92" s="60"/>
      <c r="AJZ92" s="63" t="s">
        <v>934</v>
      </c>
      <c r="AKA92" s="60"/>
      <c r="AKP92" s="63" t="s">
        <v>934</v>
      </c>
      <c r="AKQ92" s="60"/>
      <c r="ALF92" s="63" t="s">
        <v>934</v>
      </c>
      <c r="ALG92" s="60"/>
      <c r="ALV92" s="63" t="s">
        <v>934</v>
      </c>
      <c r="ALW92" s="60"/>
      <c r="AML92" s="63" t="s">
        <v>934</v>
      </c>
      <c r="AMM92" s="60"/>
      <c r="ANB92" s="63" t="s">
        <v>934</v>
      </c>
      <c r="ANC92" s="60"/>
      <c r="ANR92" s="63" t="s">
        <v>934</v>
      </c>
      <c r="ANS92" s="60"/>
      <c r="AOH92" s="63" t="s">
        <v>934</v>
      </c>
      <c r="AOI92" s="60"/>
      <c r="AOX92" s="63" t="s">
        <v>934</v>
      </c>
      <c r="AOY92" s="60"/>
      <c r="APN92" s="63" t="s">
        <v>934</v>
      </c>
      <c r="APO92" s="60"/>
      <c r="AQD92" s="63" t="s">
        <v>934</v>
      </c>
      <c r="AQE92" s="60"/>
      <c r="AQT92" s="63" t="s">
        <v>934</v>
      </c>
      <c r="AQU92" s="60"/>
      <c r="ARJ92" s="63" t="s">
        <v>934</v>
      </c>
      <c r="ARK92" s="60"/>
      <c r="ARZ92" s="63" t="s">
        <v>934</v>
      </c>
      <c r="ASA92" s="60"/>
      <c r="ASP92" s="63" t="s">
        <v>934</v>
      </c>
      <c r="ASQ92" s="60"/>
      <c r="ATF92" s="63" t="s">
        <v>934</v>
      </c>
      <c r="ATG92" s="60"/>
      <c r="ATV92" s="63" t="s">
        <v>934</v>
      </c>
      <c r="ATW92" s="60"/>
      <c r="AUL92" s="63" t="s">
        <v>934</v>
      </c>
      <c r="AUM92" s="60"/>
      <c r="AVB92" s="63" t="s">
        <v>934</v>
      </c>
      <c r="AVC92" s="60"/>
      <c r="AVR92" s="63" t="s">
        <v>934</v>
      </c>
      <c r="AVS92" s="60"/>
      <c r="AWH92" s="63" t="s">
        <v>934</v>
      </c>
      <c r="AWI92" s="60"/>
      <c r="AWX92" s="63" t="s">
        <v>934</v>
      </c>
      <c r="AWY92" s="60"/>
      <c r="AXN92" s="63" t="s">
        <v>934</v>
      </c>
      <c r="AXO92" s="60"/>
      <c r="AYD92" s="63" t="s">
        <v>934</v>
      </c>
      <c r="AYE92" s="60"/>
      <c r="AYT92" s="63" t="s">
        <v>934</v>
      </c>
      <c r="AYU92" s="60"/>
      <c r="AZJ92" s="63" t="s">
        <v>934</v>
      </c>
      <c r="AZK92" s="60"/>
      <c r="AZZ92" s="63" t="s">
        <v>934</v>
      </c>
      <c r="BAA92" s="60"/>
      <c r="BAP92" s="63" t="s">
        <v>934</v>
      </c>
      <c r="BAQ92" s="60"/>
      <c r="BBF92" s="63" t="s">
        <v>934</v>
      </c>
      <c r="BBG92" s="60"/>
      <c r="BBV92" s="63" t="s">
        <v>934</v>
      </c>
      <c r="BBW92" s="60"/>
      <c r="BCL92" s="63" t="s">
        <v>934</v>
      </c>
      <c r="BCM92" s="60"/>
      <c r="BDB92" s="63" t="s">
        <v>934</v>
      </c>
      <c r="BDC92" s="60"/>
      <c r="BDR92" s="63" t="s">
        <v>934</v>
      </c>
      <c r="BDS92" s="60"/>
      <c r="BEH92" s="63" t="s">
        <v>934</v>
      </c>
      <c r="BEI92" s="60"/>
      <c r="BEX92" s="63" t="s">
        <v>934</v>
      </c>
      <c r="BEY92" s="60"/>
      <c r="BFN92" s="63" t="s">
        <v>934</v>
      </c>
      <c r="BFO92" s="60"/>
      <c r="BGD92" s="63" t="s">
        <v>934</v>
      </c>
      <c r="BGE92" s="60"/>
      <c r="BGT92" s="63" t="s">
        <v>934</v>
      </c>
      <c r="BGU92" s="60"/>
      <c r="BHJ92" s="63" t="s">
        <v>934</v>
      </c>
      <c r="BHK92" s="60"/>
      <c r="BHZ92" s="63" t="s">
        <v>934</v>
      </c>
      <c r="BIA92" s="60"/>
      <c r="BIP92" s="63" t="s">
        <v>934</v>
      </c>
      <c r="BIQ92" s="60"/>
      <c r="BJF92" s="63" t="s">
        <v>934</v>
      </c>
      <c r="BJG92" s="60"/>
      <c r="BJV92" s="63" t="s">
        <v>934</v>
      </c>
      <c r="BJW92" s="60"/>
      <c r="BKL92" s="63" t="s">
        <v>934</v>
      </c>
      <c r="BKM92" s="60"/>
      <c r="BLB92" s="63" t="s">
        <v>934</v>
      </c>
      <c r="BLC92" s="60"/>
      <c r="BLR92" s="63" t="s">
        <v>934</v>
      </c>
      <c r="BLS92" s="60"/>
      <c r="BMH92" s="63" t="s">
        <v>934</v>
      </c>
      <c r="BMI92" s="60"/>
      <c r="BMX92" s="63" t="s">
        <v>934</v>
      </c>
      <c r="BMY92" s="60"/>
      <c r="BNN92" s="63" t="s">
        <v>934</v>
      </c>
      <c r="BNO92" s="60"/>
      <c r="BOD92" s="63" t="s">
        <v>934</v>
      </c>
      <c r="BOE92" s="60"/>
      <c r="BOT92" s="63" t="s">
        <v>934</v>
      </c>
      <c r="BOU92" s="60"/>
      <c r="BPJ92" s="63" t="s">
        <v>934</v>
      </c>
      <c r="BPK92" s="60"/>
      <c r="BPZ92" s="63" t="s">
        <v>934</v>
      </c>
      <c r="BQA92" s="60"/>
      <c r="BQP92" s="63" t="s">
        <v>934</v>
      </c>
      <c r="BQQ92" s="60"/>
      <c r="BRF92" s="63" t="s">
        <v>934</v>
      </c>
      <c r="BRG92" s="60"/>
      <c r="BRV92" s="63" t="s">
        <v>934</v>
      </c>
      <c r="BRW92" s="60"/>
      <c r="BSL92" s="63" t="s">
        <v>934</v>
      </c>
      <c r="BSM92" s="60"/>
      <c r="BTB92" s="63" t="s">
        <v>934</v>
      </c>
      <c r="BTC92" s="60"/>
      <c r="BTR92" s="63" t="s">
        <v>934</v>
      </c>
      <c r="BTS92" s="60"/>
      <c r="BUH92" s="63" t="s">
        <v>934</v>
      </c>
      <c r="BUI92" s="60"/>
      <c r="BUX92" s="63" t="s">
        <v>934</v>
      </c>
      <c r="BUY92" s="60"/>
      <c r="BVN92" s="63" t="s">
        <v>934</v>
      </c>
      <c r="BVO92" s="60"/>
      <c r="BWD92" s="63" t="s">
        <v>934</v>
      </c>
      <c r="BWE92" s="60"/>
      <c r="BWT92" s="63" t="s">
        <v>934</v>
      </c>
      <c r="BWU92" s="60"/>
      <c r="BXJ92" s="63" t="s">
        <v>934</v>
      </c>
      <c r="BXK92" s="60"/>
      <c r="BXZ92" s="63" t="s">
        <v>934</v>
      </c>
      <c r="BYA92" s="60"/>
      <c r="BYP92" s="63" t="s">
        <v>934</v>
      </c>
      <c r="BYQ92" s="60"/>
      <c r="BZF92" s="63" t="s">
        <v>934</v>
      </c>
      <c r="BZG92" s="60"/>
      <c r="BZV92" s="63" t="s">
        <v>934</v>
      </c>
      <c r="BZW92" s="60"/>
      <c r="CAL92" s="63" t="s">
        <v>934</v>
      </c>
      <c r="CAM92" s="60"/>
      <c r="CBB92" s="63" t="s">
        <v>934</v>
      </c>
      <c r="CBC92" s="60"/>
      <c r="CBR92" s="63" t="s">
        <v>934</v>
      </c>
      <c r="CBS92" s="60"/>
      <c r="CCH92" s="63" t="s">
        <v>934</v>
      </c>
      <c r="CCI92" s="60"/>
      <c r="CCX92" s="63" t="s">
        <v>934</v>
      </c>
      <c r="CCY92" s="60"/>
      <c r="CDN92" s="63" t="s">
        <v>934</v>
      </c>
      <c r="CDO92" s="60"/>
      <c r="CED92" s="63" t="s">
        <v>934</v>
      </c>
      <c r="CEE92" s="60"/>
      <c r="CET92" s="63" t="s">
        <v>934</v>
      </c>
      <c r="CEU92" s="60"/>
      <c r="CFJ92" s="63" t="s">
        <v>934</v>
      </c>
      <c r="CFK92" s="60"/>
      <c r="CFZ92" s="63" t="s">
        <v>934</v>
      </c>
      <c r="CGA92" s="60"/>
      <c r="CGP92" s="63" t="s">
        <v>934</v>
      </c>
      <c r="CGQ92" s="60"/>
      <c r="CHF92" s="63" t="s">
        <v>934</v>
      </c>
      <c r="CHG92" s="60"/>
      <c r="CHV92" s="63" t="s">
        <v>934</v>
      </c>
      <c r="CHW92" s="60"/>
      <c r="CIL92" s="63" t="s">
        <v>934</v>
      </c>
      <c r="CIM92" s="60"/>
      <c r="CJB92" s="63" t="s">
        <v>934</v>
      </c>
      <c r="CJC92" s="60"/>
      <c r="CJR92" s="63" t="s">
        <v>934</v>
      </c>
      <c r="CJS92" s="60"/>
      <c r="CKH92" s="63" t="s">
        <v>934</v>
      </c>
      <c r="CKI92" s="60"/>
      <c r="CKX92" s="63" t="s">
        <v>934</v>
      </c>
      <c r="CKY92" s="60"/>
      <c r="CLN92" s="63" t="s">
        <v>934</v>
      </c>
      <c r="CLO92" s="60"/>
      <c r="CMD92" s="63" t="s">
        <v>934</v>
      </c>
      <c r="CME92" s="60"/>
      <c r="CMT92" s="63" t="s">
        <v>934</v>
      </c>
      <c r="CMU92" s="60"/>
      <c r="CNJ92" s="63" t="s">
        <v>934</v>
      </c>
      <c r="CNK92" s="60"/>
      <c r="CNZ92" s="63" t="s">
        <v>934</v>
      </c>
      <c r="COA92" s="60"/>
      <c r="COP92" s="63" t="s">
        <v>934</v>
      </c>
      <c r="COQ92" s="60"/>
      <c r="CPF92" s="63" t="s">
        <v>934</v>
      </c>
      <c r="CPG92" s="60"/>
      <c r="CPV92" s="63" t="s">
        <v>934</v>
      </c>
      <c r="CPW92" s="60"/>
      <c r="CQL92" s="63" t="s">
        <v>934</v>
      </c>
      <c r="CQM92" s="60"/>
      <c r="CRB92" s="63" t="s">
        <v>934</v>
      </c>
      <c r="CRC92" s="60"/>
      <c r="CRR92" s="63" t="s">
        <v>934</v>
      </c>
      <c r="CRS92" s="60"/>
      <c r="CSH92" s="63" t="s">
        <v>934</v>
      </c>
      <c r="CSI92" s="60"/>
      <c r="CSX92" s="63" t="s">
        <v>934</v>
      </c>
      <c r="CSY92" s="60"/>
      <c r="CTN92" s="63" t="s">
        <v>934</v>
      </c>
      <c r="CTO92" s="60"/>
      <c r="CUD92" s="63" t="s">
        <v>934</v>
      </c>
      <c r="CUE92" s="60"/>
      <c r="CUT92" s="63" t="s">
        <v>934</v>
      </c>
      <c r="CUU92" s="60"/>
      <c r="CVJ92" s="63" t="s">
        <v>934</v>
      </c>
      <c r="CVK92" s="60"/>
      <c r="CVZ92" s="63" t="s">
        <v>934</v>
      </c>
      <c r="CWA92" s="60"/>
      <c r="CWP92" s="63" t="s">
        <v>934</v>
      </c>
      <c r="CWQ92" s="60"/>
      <c r="CXF92" s="63" t="s">
        <v>934</v>
      </c>
      <c r="CXG92" s="60"/>
      <c r="CXV92" s="63" t="s">
        <v>934</v>
      </c>
      <c r="CXW92" s="60"/>
      <c r="CYL92" s="63" t="s">
        <v>934</v>
      </c>
      <c r="CYM92" s="60"/>
      <c r="CZB92" s="63" t="s">
        <v>934</v>
      </c>
      <c r="CZC92" s="60"/>
      <c r="CZR92" s="63" t="s">
        <v>934</v>
      </c>
      <c r="CZS92" s="60"/>
      <c r="DAH92" s="63" t="s">
        <v>934</v>
      </c>
      <c r="DAI92" s="60"/>
      <c r="DAX92" s="63" t="s">
        <v>934</v>
      </c>
      <c r="DAY92" s="60"/>
      <c r="DBN92" s="63" t="s">
        <v>934</v>
      </c>
      <c r="DBO92" s="60"/>
      <c r="DCD92" s="63" t="s">
        <v>934</v>
      </c>
      <c r="DCE92" s="60"/>
      <c r="DCT92" s="63" t="s">
        <v>934</v>
      </c>
      <c r="DCU92" s="60"/>
      <c r="DDJ92" s="63" t="s">
        <v>934</v>
      </c>
      <c r="DDK92" s="60"/>
      <c r="DDZ92" s="63" t="s">
        <v>934</v>
      </c>
      <c r="DEA92" s="60"/>
      <c r="DEP92" s="63" t="s">
        <v>934</v>
      </c>
      <c r="DEQ92" s="60"/>
      <c r="DFF92" s="63" t="s">
        <v>934</v>
      </c>
      <c r="DFG92" s="60"/>
      <c r="DFV92" s="63" t="s">
        <v>934</v>
      </c>
      <c r="DFW92" s="60"/>
      <c r="DGL92" s="63" t="s">
        <v>934</v>
      </c>
      <c r="DGM92" s="60"/>
      <c r="DHB92" s="63" t="s">
        <v>934</v>
      </c>
      <c r="DHC92" s="60"/>
      <c r="DHR92" s="63" t="s">
        <v>934</v>
      </c>
      <c r="DHS92" s="60"/>
      <c r="DIH92" s="63" t="s">
        <v>934</v>
      </c>
      <c r="DII92" s="60"/>
      <c r="DIX92" s="63" t="s">
        <v>934</v>
      </c>
      <c r="DIY92" s="60"/>
      <c r="DJN92" s="63" t="s">
        <v>934</v>
      </c>
      <c r="DJO92" s="60"/>
      <c r="DKD92" s="63" t="s">
        <v>934</v>
      </c>
      <c r="DKE92" s="60"/>
      <c r="DKT92" s="63" t="s">
        <v>934</v>
      </c>
      <c r="DKU92" s="60"/>
      <c r="DLJ92" s="63" t="s">
        <v>934</v>
      </c>
      <c r="DLK92" s="60"/>
      <c r="DLZ92" s="63" t="s">
        <v>934</v>
      </c>
      <c r="DMA92" s="60"/>
      <c r="DMP92" s="63" t="s">
        <v>934</v>
      </c>
      <c r="DMQ92" s="60"/>
      <c r="DNF92" s="63" t="s">
        <v>934</v>
      </c>
      <c r="DNG92" s="60"/>
      <c r="DNV92" s="63" t="s">
        <v>934</v>
      </c>
      <c r="DNW92" s="60"/>
      <c r="DOL92" s="63" t="s">
        <v>934</v>
      </c>
      <c r="DOM92" s="60"/>
      <c r="DPB92" s="63" t="s">
        <v>934</v>
      </c>
      <c r="DPC92" s="60"/>
      <c r="DPR92" s="63" t="s">
        <v>934</v>
      </c>
      <c r="DPS92" s="60"/>
      <c r="DQH92" s="63" t="s">
        <v>934</v>
      </c>
      <c r="DQI92" s="60"/>
      <c r="DQX92" s="63" t="s">
        <v>934</v>
      </c>
      <c r="DQY92" s="60"/>
      <c r="DRN92" s="63" t="s">
        <v>934</v>
      </c>
      <c r="DRO92" s="60"/>
      <c r="DSD92" s="63" t="s">
        <v>934</v>
      </c>
      <c r="DSE92" s="60"/>
      <c r="DST92" s="63" t="s">
        <v>934</v>
      </c>
      <c r="DSU92" s="60"/>
      <c r="DTJ92" s="63" t="s">
        <v>934</v>
      </c>
      <c r="DTK92" s="60"/>
      <c r="DTZ92" s="63" t="s">
        <v>934</v>
      </c>
      <c r="DUA92" s="60"/>
      <c r="DUP92" s="63" t="s">
        <v>934</v>
      </c>
      <c r="DUQ92" s="60"/>
      <c r="DVF92" s="63" t="s">
        <v>934</v>
      </c>
      <c r="DVG92" s="60"/>
      <c r="DVV92" s="63" t="s">
        <v>934</v>
      </c>
      <c r="DVW92" s="60"/>
      <c r="DWL92" s="63" t="s">
        <v>934</v>
      </c>
      <c r="DWM92" s="60"/>
      <c r="DXB92" s="63" t="s">
        <v>934</v>
      </c>
      <c r="DXC92" s="60"/>
      <c r="DXR92" s="63" t="s">
        <v>934</v>
      </c>
      <c r="DXS92" s="60"/>
      <c r="DYH92" s="63" t="s">
        <v>934</v>
      </c>
      <c r="DYI92" s="60"/>
      <c r="DYX92" s="63" t="s">
        <v>934</v>
      </c>
      <c r="DYY92" s="60"/>
      <c r="DZN92" s="63" t="s">
        <v>934</v>
      </c>
      <c r="DZO92" s="60"/>
      <c r="EAD92" s="63" t="s">
        <v>934</v>
      </c>
      <c r="EAE92" s="60"/>
      <c r="EAT92" s="63" t="s">
        <v>934</v>
      </c>
      <c r="EAU92" s="60"/>
      <c r="EBJ92" s="63" t="s">
        <v>934</v>
      </c>
      <c r="EBK92" s="60"/>
      <c r="EBZ92" s="63" t="s">
        <v>934</v>
      </c>
      <c r="ECA92" s="60"/>
      <c r="ECP92" s="63" t="s">
        <v>934</v>
      </c>
      <c r="ECQ92" s="60"/>
      <c r="EDF92" s="63" t="s">
        <v>934</v>
      </c>
      <c r="EDG92" s="60"/>
      <c r="EDV92" s="63" t="s">
        <v>934</v>
      </c>
      <c r="EDW92" s="60"/>
      <c r="EEL92" s="63" t="s">
        <v>934</v>
      </c>
      <c r="EEM92" s="60"/>
      <c r="EFB92" s="63" t="s">
        <v>934</v>
      </c>
      <c r="EFC92" s="60"/>
      <c r="EFR92" s="63" t="s">
        <v>934</v>
      </c>
      <c r="EFS92" s="60"/>
      <c r="EGH92" s="63" t="s">
        <v>934</v>
      </c>
      <c r="EGI92" s="60"/>
      <c r="EGX92" s="63" t="s">
        <v>934</v>
      </c>
      <c r="EGY92" s="60"/>
      <c r="EHN92" s="63" t="s">
        <v>934</v>
      </c>
      <c r="EHO92" s="60"/>
      <c r="EID92" s="63" t="s">
        <v>934</v>
      </c>
      <c r="EIE92" s="60"/>
      <c r="EIT92" s="63" t="s">
        <v>934</v>
      </c>
      <c r="EIU92" s="60"/>
      <c r="EJJ92" s="63" t="s">
        <v>934</v>
      </c>
      <c r="EJK92" s="60"/>
      <c r="EJZ92" s="63" t="s">
        <v>934</v>
      </c>
      <c r="EKA92" s="60"/>
      <c r="EKP92" s="63" t="s">
        <v>934</v>
      </c>
      <c r="EKQ92" s="60"/>
      <c r="ELF92" s="63" t="s">
        <v>934</v>
      </c>
      <c r="ELG92" s="60"/>
      <c r="ELV92" s="63" t="s">
        <v>934</v>
      </c>
      <c r="ELW92" s="60"/>
      <c r="EML92" s="63" t="s">
        <v>934</v>
      </c>
      <c r="EMM92" s="60"/>
      <c r="ENB92" s="63" t="s">
        <v>934</v>
      </c>
      <c r="ENC92" s="60"/>
      <c r="ENR92" s="63" t="s">
        <v>934</v>
      </c>
      <c r="ENS92" s="60"/>
      <c r="EOH92" s="63" t="s">
        <v>934</v>
      </c>
      <c r="EOI92" s="60"/>
      <c r="EOX92" s="63" t="s">
        <v>934</v>
      </c>
      <c r="EOY92" s="60"/>
      <c r="EPN92" s="63" t="s">
        <v>934</v>
      </c>
      <c r="EPO92" s="60"/>
      <c r="EQD92" s="63" t="s">
        <v>934</v>
      </c>
      <c r="EQE92" s="60"/>
      <c r="EQT92" s="63" t="s">
        <v>934</v>
      </c>
      <c r="EQU92" s="60"/>
      <c r="ERJ92" s="63" t="s">
        <v>934</v>
      </c>
      <c r="ERK92" s="60"/>
      <c r="ERZ92" s="63" t="s">
        <v>934</v>
      </c>
      <c r="ESA92" s="60"/>
      <c r="ESP92" s="63" t="s">
        <v>934</v>
      </c>
      <c r="ESQ92" s="60"/>
      <c r="ETF92" s="63" t="s">
        <v>934</v>
      </c>
      <c r="ETG92" s="60"/>
      <c r="ETV92" s="63" t="s">
        <v>934</v>
      </c>
      <c r="ETW92" s="60"/>
      <c r="EUL92" s="63" t="s">
        <v>934</v>
      </c>
      <c r="EUM92" s="60"/>
      <c r="EVB92" s="63" t="s">
        <v>934</v>
      </c>
      <c r="EVC92" s="60"/>
      <c r="EVR92" s="63" t="s">
        <v>934</v>
      </c>
      <c r="EVS92" s="60"/>
      <c r="EWH92" s="63" t="s">
        <v>934</v>
      </c>
      <c r="EWI92" s="60"/>
      <c r="EWX92" s="63" t="s">
        <v>934</v>
      </c>
      <c r="EWY92" s="60"/>
      <c r="EXN92" s="63" t="s">
        <v>934</v>
      </c>
      <c r="EXO92" s="60"/>
      <c r="EYD92" s="63" t="s">
        <v>934</v>
      </c>
      <c r="EYE92" s="60"/>
      <c r="EYT92" s="63" t="s">
        <v>934</v>
      </c>
      <c r="EYU92" s="60"/>
      <c r="EZJ92" s="63" t="s">
        <v>934</v>
      </c>
      <c r="EZK92" s="60"/>
      <c r="EZZ92" s="63" t="s">
        <v>934</v>
      </c>
      <c r="FAA92" s="60"/>
      <c r="FAP92" s="63" t="s">
        <v>934</v>
      </c>
      <c r="FAQ92" s="60"/>
      <c r="FBF92" s="63" t="s">
        <v>934</v>
      </c>
      <c r="FBG92" s="60"/>
      <c r="FBV92" s="63" t="s">
        <v>934</v>
      </c>
      <c r="FBW92" s="60"/>
      <c r="FCL92" s="63" t="s">
        <v>934</v>
      </c>
      <c r="FCM92" s="60"/>
      <c r="FDB92" s="63" t="s">
        <v>934</v>
      </c>
      <c r="FDC92" s="60"/>
      <c r="FDR92" s="63" t="s">
        <v>934</v>
      </c>
      <c r="FDS92" s="60"/>
      <c r="FEH92" s="63" t="s">
        <v>934</v>
      </c>
      <c r="FEI92" s="60"/>
      <c r="FEX92" s="63" t="s">
        <v>934</v>
      </c>
      <c r="FEY92" s="60"/>
      <c r="FFN92" s="63" t="s">
        <v>934</v>
      </c>
      <c r="FFO92" s="60"/>
      <c r="FGD92" s="63" t="s">
        <v>934</v>
      </c>
      <c r="FGE92" s="60"/>
      <c r="FGT92" s="63" t="s">
        <v>934</v>
      </c>
      <c r="FGU92" s="60"/>
      <c r="FHJ92" s="63" t="s">
        <v>934</v>
      </c>
      <c r="FHK92" s="60"/>
      <c r="FHZ92" s="63" t="s">
        <v>934</v>
      </c>
      <c r="FIA92" s="60"/>
      <c r="FIP92" s="63" t="s">
        <v>934</v>
      </c>
      <c r="FIQ92" s="60"/>
      <c r="FJF92" s="63" t="s">
        <v>934</v>
      </c>
      <c r="FJG92" s="60"/>
      <c r="FJV92" s="63" t="s">
        <v>934</v>
      </c>
      <c r="FJW92" s="60"/>
      <c r="FKL92" s="63" t="s">
        <v>934</v>
      </c>
      <c r="FKM92" s="60"/>
      <c r="FLB92" s="63" t="s">
        <v>934</v>
      </c>
      <c r="FLC92" s="60"/>
      <c r="FLR92" s="63" t="s">
        <v>934</v>
      </c>
      <c r="FLS92" s="60"/>
      <c r="FMH92" s="63" t="s">
        <v>934</v>
      </c>
      <c r="FMI92" s="60"/>
      <c r="FMX92" s="63" t="s">
        <v>934</v>
      </c>
      <c r="FMY92" s="60"/>
      <c r="FNN92" s="63" t="s">
        <v>934</v>
      </c>
      <c r="FNO92" s="60"/>
      <c r="FOD92" s="63" t="s">
        <v>934</v>
      </c>
      <c r="FOE92" s="60"/>
      <c r="FOT92" s="63" t="s">
        <v>934</v>
      </c>
      <c r="FOU92" s="60"/>
      <c r="FPJ92" s="63" t="s">
        <v>934</v>
      </c>
      <c r="FPK92" s="60"/>
      <c r="FPZ92" s="63" t="s">
        <v>934</v>
      </c>
      <c r="FQA92" s="60"/>
      <c r="FQP92" s="63" t="s">
        <v>934</v>
      </c>
      <c r="FQQ92" s="60"/>
      <c r="FRF92" s="63" t="s">
        <v>934</v>
      </c>
      <c r="FRG92" s="60"/>
      <c r="FRV92" s="63" t="s">
        <v>934</v>
      </c>
      <c r="FRW92" s="60"/>
      <c r="FSL92" s="63" t="s">
        <v>934</v>
      </c>
      <c r="FSM92" s="60"/>
      <c r="FTB92" s="63" t="s">
        <v>934</v>
      </c>
      <c r="FTC92" s="60"/>
      <c r="FTR92" s="63" t="s">
        <v>934</v>
      </c>
      <c r="FTS92" s="60"/>
      <c r="FUH92" s="63" t="s">
        <v>934</v>
      </c>
      <c r="FUI92" s="60"/>
      <c r="FUX92" s="63" t="s">
        <v>934</v>
      </c>
      <c r="FUY92" s="60"/>
      <c r="FVN92" s="63" t="s">
        <v>934</v>
      </c>
      <c r="FVO92" s="60"/>
      <c r="FWD92" s="63" t="s">
        <v>934</v>
      </c>
      <c r="FWE92" s="60"/>
      <c r="FWT92" s="63" t="s">
        <v>934</v>
      </c>
      <c r="FWU92" s="60"/>
      <c r="FXJ92" s="63" t="s">
        <v>934</v>
      </c>
      <c r="FXK92" s="60"/>
      <c r="FXZ92" s="63" t="s">
        <v>934</v>
      </c>
      <c r="FYA92" s="60"/>
      <c r="FYP92" s="63" t="s">
        <v>934</v>
      </c>
      <c r="FYQ92" s="60"/>
      <c r="FZF92" s="63" t="s">
        <v>934</v>
      </c>
      <c r="FZG92" s="60"/>
      <c r="FZV92" s="63" t="s">
        <v>934</v>
      </c>
      <c r="FZW92" s="60"/>
      <c r="GAL92" s="63" t="s">
        <v>934</v>
      </c>
      <c r="GAM92" s="60"/>
      <c r="GBB92" s="63" t="s">
        <v>934</v>
      </c>
      <c r="GBC92" s="60"/>
      <c r="GBR92" s="63" t="s">
        <v>934</v>
      </c>
      <c r="GBS92" s="60"/>
      <c r="GCH92" s="63" t="s">
        <v>934</v>
      </c>
      <c r="GCI92" s="60"/>
      <c r="GCX92" s="63" t="s">
        <v>934</v>
      </c>
      <c r="GCY92" s="60"/>
      <c r="GDN92" s="63" t="s">
        <v>934</v>
      </c>
      <c r="GDO92" s="60"/>
      <c r="GED92" s="63" t="s">
        <v>934</v>
      </c>
      <c r="GEE92" s="60"/>
      <c r="GET92" s="63" t="s">
        <v>934</v>
      </c>
      <c r="GEU92" s="60"/>
      <c r="GFJ92" s="63" t="s">
        <v>934</v>
      </c>
      <c r="GFK92" s="60"/>
      <c r="GFZ92" s="63" t="s">
        <v>934</v>
      </c>
      <c r="GGA92" s="60"/>
      <c r="GGP92" s="63" t="s">
        <v>934</v>
      </c>
      <c r="GGQ92" s="60"/>
      <c r="GHF92" s="63" t="s">
        <v>934</v>
      </c>
      <c r="GHG92" s="60"/>
      <c r="GHV92" s="63" t="s">
        <v>934</v>
      </c>
      <c r="GHW92" s="60"/>
      <c r="GIL92" s="63" t="s">
        <v>934</v>
      </c>
      <c r="GIM92" s="60"/>
      <c r="GJB92" s="63" t="s">
        <v>934</v>
      </c>
      <c r="GJC92" s="60"/>
      <c r="GJR92" s="63" t="s">
        <v>934</v>
      </c>
      <c r="GJS92" s="60"/>
      <c r="GKH92" s="63" t="s">
        <v>934</v>
      </c>
      <c r="GKI92" s="60"/>
      <c r="GKX92" s="63" t="s">
        <v>934</v>
      </c>
      <c r="GKY92" s="60"/>
      <c r="GLN92" s="63" t="s">
        <v>934</v>
      </c>
      <c r="GLO92" s="60"/>
      <c r="GMD92" s="63" t="s">
        <v>934</v>
      </c>
      <c r="GME92" s="60"/>
      <c r="GMT92" s="63" t="s">
        <v>934</v>
      </c>
      <c r="GMU92" s="60"/>
      <c r="GNJ92" s="63" t="s">
        <v>934</v>
      </c>
      <c r="GNK92" s="60"/>
      <c r="GNZ92" s="63" t="s">
        <v>934</v>
      </c>
      <c r="GOA92" s="60"/>
      <c r="GOP92" s="63" t="s">
        <v>934</v>
      </c>
      <c r="GOQ92" s="60"/>
      <c r="GPF92" s="63" t="s">
        <v>934</v>
      </c>
      <c r="GPG92" s="60"/>
      <c r="GPV92" s="63" t="s">
        <v>934</v>
      </c>
      <c r="GPW92" s="60"/>
      <c r="GQL92" s="63" t="s">
        <v>934</v>
      </c>
      <c r="GQM92" s="60"/>
      <c r="GRB92" s="63" t="s">
        <v>934</v>
      </c>
      <c r="GRC92" s="60"/>
      <c r="GRR92" s="63" t="s">
        <v>934</v>
      </c>
      <c r="GRS92" s="60"/>
      <c r="GSH92" s="63" t="s">
        <v>934</v>
      </c>
      <c r="GSI92" s="60"/>
      <c r="GSX92" s="63" t="s">
        <v>934</v>
      </c>
      <c r="GSY92" s="60"/>
      <c r="GTN92" s="63" t="s">
        <v>934</v>
      </c>
      <c r="GTO92" s="60"/>
      <c r="GUD92" s="63" t="s">
        <v>934</v>
      </c>
      <c r="GUE92" s="60"/>
      <c r="GUT92" s="63" t="s">
        <v>934</v>
      </c>
      <c r="GUU92" s="60"/>
      <c r="GVJ92" s="63" t="s">
        <v>934</v>
      </c>
      <c r="GVK92" s="60"/>
      <c r="GVZ92" s="63" t="s">
        <v>934</v>
      </c>
      <c r="GWA92" s="60"/>
      <c r="GWP92" s="63" t="s">
        <v>934</v>
      </c>
      <c r="GWQ92" s="60"/>
      <c r="GXF92" s="63" t="s">
        <v>934</v>
      </c>
      <c r="GXG92" s="60"/>
      <c r="GXV92" s="63" t="s">
        <v>934</v>
      </c>
      <c r="GXW92" s="60"/>
      <c r="GYL92" s="63" t="s">
        <v>934</v>
      </c>
      <c r="GYM92" s="60"/>
      <c r="GZB92" s="63" t="s">
        <v>934</v>
      </c>
      <c r="GZC92" s="60"/>
      <c r="GZR92" s="63" t="s">
        <v>934</v>
      </c>
      <c r="GZS92" s="60"/>
      <c r="HAH92" s="63" t="s">
        <v>934</v>
      </c>
      <c r="HAI92" s="60"/>
      <c r="HAX92" s="63" t="s">
        <v>934</v>
      </c>
      <c r="HAY92" s="60"/>
      <c r="HBN92" s="63" t="s">
        <v>934</v>
      </c>
      <c r="HBO92" s="60"/>
      <c r="HCD92" s="63" t="s">
        <v>934</v>
      </c>
      <c r="HCE92" s="60"/>
      <c r="HCT92" s="63" t="s">
        <v>934</v>
      </c>
      <c r="HCU92" s="60"/>
      <c r="HDJ92" s="63" t="s">
        <v>934</v>
      </c>
      <c r="HDK92" s="60"/>
      <c r="HDZ92" s="63" t="s">
        <v>934</v>
      </c>
      <c r="HEA92" s="60"/>
      <c r="HEP92" s="63" t="s">
        <v>934</v>
      </c>
      <c r="HEQ92" s="60"/>
      <c r="HFF92" s="63" t="s">
        <v>934</v>
      </c>
      <c r="HFG92" s="60"/>
      <c r="HFV92" s="63" t="s">
        <v>934</v>
      </c>
      <c r="HFW92" s="60"/>
      <c r="HGL92" s="63" t="s">
        <v>934</v>
      </c>
      <c r="HGM92" s="60"/>
      <c r="HHB92" s="63" t="s">
        <v>934</v>
      </c>
      <c r="HHC92" s="60"/>
      <c r="HHR92" s="63" t="s">
        <v>934</v>
      </c>
      <c r="HHS92" s="60"/>
      <c r="HIH92" s="63" t="s">
        <v>934</v>
      </c>
      <c r="HII92" s="60"/>
      <c r="HIX92" s="63" t="s">
        <v>934</v>
      </c>
      <c r="HIY92" s="60"/>
      <c r="HJN92" s="63" t="s">
        <v>934</v>
      </c>
      <c r="HJO92" s="60"/>
      <c r="HKD92" s="63" t="s">
        <v>934</v>
      </c>
      <c r="HKE92" s="60"/>
      <c r="HKT92" s="63" t="s">
        <v>934</v>
      </c>
      <c r="HKU92" s="60"/>
      <c r="HLJ92" s="63" t="s">
        <v>934</v>
      </c>
      <c r="HLK92" s="60"/>
      <c r="HLZ92" s="63" t="s">
        <v>934</v>
      </c>
      <c r="HMA92" s="60"/>
      <c r="HMP92" s="63" t="s">
        <v>934</v>
      </c>
      <c r="HMQ92" s="60"/>
      <c r="HNF92" s="63" t="s">
        <v>934</v>
      </c>
      <c r="HNG92" s="60"/>
      <c r="HNV92" s="63" t="s">
        <v>934</v>
      </c>
      <c r="HNW92" s="60"/>
      <c r="HOL92" s="63" t="s">
        <v>934</v>
      </c>
      <c r="HOM92" s="60"/>
      <c r="HPB92" s="63" t="s">
        <v>934</v>
      </c>
      <c r="HPC92" s="60"/>
      <c r="HPR92" s="63" t="s">
        <v>934</v>
      </c>
      <c r="HPS92" s="60"/>
      <c r="HQH92" s="63" t="s">
        <v>934</v>
      </c>
      <c r="HQI92" s="60"/>
      <c r="HQX92" s="63" t="s">
        <v>934</v>
      </c>
      <c r="HQY92" s="60"/>
      <c r="HRN92" s="63" t="s">
        <v>934</v>
      </c>
      <c r="HRO92" s="60"/>
      <c r="HSD92" s="63" t="s">
        <v>934</v>
      </c>
      <c r="HSE92" s="60"/>
      <c r="HST92" s="63" t="s">
        <v>934</v>
      </c>
      <c r="HSU92" s="60"/>
      <c r="HTJ92" s="63" t="s">
        <v>934</v>
      </c>
      <c r="HTK92" s="60"/>
      <c r="HTZ92" s="63" t="s">
        <v>934</v>
      </c>
      <c r="HUA92" s="60"/>
      <c r="HUP92" s="63" t="s">
        <v>934</v>
      </c>
      <c r="HUQ92" s="60"/>
      <c r="HVF92" s="63" t="s">
        <v>934</v>
      </c>
      <c r="HVG92" s="60"/>
      <c r="HVV92" s="63" t="s">
        <v>934</v>
      </c>
      <c r="HVW92" s="60"/>
      <c r="HWL92" s="63" t="s">
        <v>934</v>
      </c>
      <c r="HWM92" s="60"/>
      <c r="HXB92" s="63" t="s">
        <v>934</v>
      </c>
      <c r="HXC92" s="60"/>
      <c r="HXR92" s="63" t="s">
        <v>934</v>
      </c>
      <c r="HXS92" s="60"/>
      <c r="HYH92" s="63" t="s">
        <v>934</v>
      </c>
      <c r="HYI92" s="60"/>
      <c r="HYX92" s="63" t="s">
        <v>934</v>
      </c>
      <c r="HYY92" s="60"/>
      <c r="HZN92" s="63" t="s">
        <v>934</v>
      </c>
      <c r="HZO92" s="60"/>
      <c r="IAD92" s="63" t="s">
        <v>934</v>
      </c>
      <c r="IAE92" s="60"/>
      <c r="IAT92" s="63" t="s">
        <v>934</v>
      </c>
      <c r="IAU92" s="60"/>
      <c r="IBJ92" s="63" t="s">
        <v>934</v>
      </c>
      <c r="IBK92" s="60"/>
      <c r="IBZ92" s="63" t="s">
        <v>934</v>
      </c>
      <c r="ICA92" s="60"/>
      <c r="ICP92" s="63" t="s">
        <v>934</v>
      </c>
      <c r="ICQ92" s="60"/>
      <c r="IDF92" s="63" t="s">
        <v>934</v>
      </c>
      <c r="IDG92" s="60"/>
      <c r="IDV92" s="63" t="s">
        <v>934</v>
      </c>
      <c r="IDW92" s="60"/>
      <c r="IEL92" s="63" t="s">
        <v>934</v>
      </c>
      <c r="IEM92" s="60"/>
      <c r="IFB92" s="63" t="s">
        <v>934</v>
      </c>
      <c r="IFC92" s="60"/>
      <c r="IFR92" s="63" t="s">
        <v>934</v>
      </c>
      <c r="IFS92" s="60"/>
      <c r="IGH92" s="63" t="s">
        <v>934</v>
      </c>
      <c r="IGI92" s="60"/>
      <c r="IGX92" s="63" t="s">
        <v>934</v>
      </c>
      <c r="IGY92" s="60"/>
      <c r="IHN92" s="63" t="s">
        <v>934</v>
      </c>
      <c r="IHO92" s="60"/>
      <c r="IID92" s="63" t="s">
        <v>934</v>
      </c>
      <c r="IIE92" s="60"/>
      <c r="IIT92" s="63" t="s">
        <v>934</v>
      </c>
      <c r="IIU92" s="60"/>
      <c r="IJJ92" s="63" t="s">
        <v>934</v>
      </c>
      <c r="IJK92" s="60"/>
      <c r="IJZ92" s="63" t="s">
        <v>934</v>
      </c>
      <c r="IKA92" s="60"/>
      <c r="IKP92" s="63" t="s">
        <v>934</v>
      </c>
      <c r="IKQ92" s="60"/>
      <c r="ILF92" s="63" t="s">
        <v>934</v>
      </c>
      <c r="ILG92" s="60"/>
      <c r="ILV92" s="63" t="s">
        <v>934</v>
      </c>
      <c r="ILW92" s="60"/>
      <c r="IML92" s="63" t="s">
        <v>934</v>
      </c>
      <c r="IMM92" s="60"/>
      <c r="INB92" s="63" t="s">
        <v>934</v>
      </c>
      <c r="INC92" s="60"/>
      <c r="INR92" s="63" t="s">
        <v>934</v>
      </c>
      <c r="INS92" s="60"/>
      <c r="IOH92" s="63" t="s">
        <v>934</v>
      </c>
      <c r="IOI92" s="60"/>
      <c r="IOX92" s="63" t="s">
        <v>934</v>
      </c>
      <c r="IOY92" s="60"/>
      <c r="IPN92" s="63" t="s">
        <v>934</v>
      </c>
      <c r="IPO92" s="60"/>
      <c r="IQD92" s="63" t="s">
        <v>934</v>
      </c>
      <c r="IQE92" s="60"/>
      <c r="IQT92" s="63" t="s">
        <v>934</v>
      </c>
      <c r="IQU92" s="60"/>
      <c r="IRJ92" s="63" t="s">
        <v>934</v>
      </c>
      <c r="IRK92" s="60"/>
      <c r="IRZ92" s="63" t="s">
        <v>934</v>
      </c>
      <c r="ISA92" s="60"/>
      <c r="ISP92" s="63" t="s">
        <v>934</v>
      </c>
      <c r="ISQ92" s="60"/>
      <c r="ITF92" s="63" t="s">
        <v>934</v>
      </c>
      <c r="ITG92" s="60"/>
      <c r="ITV92" s="63" t="s">
        <v>934</v>
      </c>
      <c r="ITW92" s="60"/>
      <c r="IUL92" s="63" t="s">
        <v>934</v>
      </c>
      <c r="IUM92" s="60"/>
      <c r="IVB92" s="63" t="s">
        <v>934</v>
      </c>
      <c r="IVC92" s="60"/>
      <c r="IVR92" s="63" t="s">
        <v>934</v>
      </c>
      <c r="IVS92" s="60"/>
      <c r="IWH92" s="63" t="s">
        <v>934</v>
      </c>
      <c r="IWI92" s="60"/>
      <c r="IWX92" s="63" t="s">
        <v>934</v>
      </c>
      <c r="IWY92" s="60"/>
      <c r="IXN92" s="63" t="s">
        <v>934</v>
      </c>
      <c r="IXO92" s="60"/>
      <c r="IYD92" s="63" t="s">
        <v>934</v>
      </c>
      <c r="IYE92" s="60"/>
      <c r="IYT92" s="63" t="s">
        <v>934</v>
      </c>
      <c r="IYU92" s="60"/>
      <c r="IZJ92" s="63" t="s">
        <v>934</v>
      </c>
      <c r="IZK92" s="60"/>
      <c r="IZZ92" s="63" t="s">
        <v>934</v>
      </c>
      <c r="JAA92" s="60"/>
      <c r="JAP92" s="63" t="s">
        <v>934</v>
      </c>
      <c r="JAQ92" s="60"/>
      <c r="JBF92" s="63" t="s">
        <v>934</v>
      </c>
      <c r="JBG92" s="60"/>
      <c r="JBV92" s="63" t="s">
        <v>934</v>
      </c>
      <c r="JBW92" s="60"/>
      <c r="JCL92" s="63" t="s">
        <v>934</v>
      </c>
      <c r="JCM92" s="60"/>
      <c r="JDB92" s="63" t="s">
        <v>934</v>
      </c>
      <c r="JDC92" s="60"/>
      <c r="JDR92" s="63" t="s">
        <v>934</v>
      </c>
      <c r="JDS92" s="60"/>
      <c r="JEH92" s="63" t="s">
        <v>934</v>
      </c>
      <c r="JEI92" s="60"/>
      <c r="JEX92" s="63" t="s">
        <v>934</v>
      </c>
      <c r="JEY92" s="60"/>
      <c r="JFN92" s="63" t="s">
        <v>934</v>
      </c>
      <c r="JFO92" s="60"/>
      <c r="JGD92" s="63" t="s">
        <v>934</v>
      </c>
      <c r="JGE92" s="60"/>
      <c r="JGT92" s="63" t="s">
        <v>934</v>
      </c>
      <c r="JGU92" s="60"/>
      <c r="JHJ92" s="63" t="s">
        <v>934</v>
      </c>
      <c r="JHK92" s="60"/>
      <c r="JHZ92" s="63" t="s">
        <v>934</v>
      </c>
      <c r="JIA92" s="60"/>
      <c r="JIP92" s="63" t="s">
        <v>934</v>
      </c>
      <c r="JIQ92" s="60"/>
      <c r="JJF92" s="63" t="s">
        <v>934</v>
      </c>
      <c r="JJG92" s="60"/>
      <c r="JJV92" s="63" t="s">
        <v>934</v>
      </c>
      <c r="JJW92" s="60"/>
      <c r="JKL92" s="63" t="s">
        <v>934</v>
      </c>
      <c r="JKM92" s="60"/>
      <c r="JLB92" s="63" t="s">
        <v>934</v>
      </c>
      <c r="JLC92" s="60"/>
      <c r="JLR92" s="63" t="s">
        <v>934</v>
      </c>
      <c r="JLS92" s="60"/>
      <c r="JMH92" s="63" t="s">
        <v>934</v>
      </c>
      <c r="JMI92" s="60"/>
      <c r="JMX92" s="63" t="s">
        <v>934</v>
      </c>
      <c r="JMY92" s="60"/>
      <c r="JNN92" s="63" t="s">
        <v>934</v>
      </c>
      <c r="JNO92" s="60"/>
      <c r="JOD92" s="63" t="s">
        <v>934</v>
      </c>
      <c r="JOE92" s="60"/>
      <c r="JOT92" s="63" t="s">
        <v>934</v>
      </c>
      <c r="JOU92" s="60"/>
      <c r="JPJ92" s="63" t="s">
        <v>934</v>
      </c>
      <c r="JPK92" s="60"/>
      <c r="JPZ92" s="63" t="s">
        <v>934</v>
      </c>
      <c r="JQA92" s="60"/>
      <c r="JQP92" s="63" t="s">
        <v>934</v>
      </c>
      <c r="JQQ92" s="60"/>
      <c r="JRF92" s="63" t="s">
        <v>934</v>
      </c>
      <c r="JRG92" s="60"/>
      <c r="JRV92" s="63" t="s">
        <v>934</v>
      </c>
      <c r="JRW92" s="60"/>
      <c r="JSL92" s="63" t="s">
        <v>934</v>
      </c>
      <c r="JSM92" s="60"/>
      <c r="JTB92" s="63" t="s">
        <v>934</v>
      </c>
      <c r="JTC92" s="60"/>
      <c r="JTR92" s="63" t="s">
        <v>934</v>
      </c>
      <c r="JTS92" s="60"/>
      <c r="JUH92" s="63" t="s">
        <v>934</v>
      </c>
      <c r="JUI92" s="60"/>
      <c r="JUX92" s="63" t="s">
        <v>934</v>
      </c>
      <c r="JUY92" s="60"/>
      <c r="JVN92" s="63" t="s">
        <v>934</v>
      </c>
      <c r="JVO92" s="60"/>
      <c r="JWD92" s="63" t="s">
        <v>934</v>
      </c>
      <c r="JWE92" s="60"/>
      <c r="JWT92" s="63" t="s">
        <v>934</v>
      </c>
      <c r="JWU92" s="60"/>
      <c r="JXJ92" s="63" t="s">
        <v>934</v>
      </c>
      <c r="JXK92" s="60"/>
      <c r="JXZ92" s="63" t="s">
        <v>934</v>
      </c>
      <c r="JYA92" s="60"/>
      <c r="JYP92" s="63" t="s">
        <v>934</v>
      </c>
      <c r="JYQ92" s="60"/>
      <c r="JZF92" s="63" t="s">
        <v>934</v>
      </c>
      <c r="JZG92" s="60"/>
      <c r="JZV92" s="63" t="s">
        <v>934</v>
      </c>
      <c r="JZW92" s="60"/>
      <c r="KAL92" s="63" t="s">
        <v>934</v>
      </c>
      <c r="KAM92" s="60"/>
      <c r="KBB92" s="63" t="s">
        <v>934</v>
      </c>
      <c r="KBC92" s="60"/>
      <c r="KBR92" s="63" t="s">
        <v>934</v>
      </c>
      <c r="KBS92" s="60"/>
      <c r="KCH92" s="63" t="s">
        <v>934</v>
      </c>
      <c r="KCI92" s="60"/>
      <c r="KCX92" s="63" t="s">
        <v>934</v>
      </c>
      <c r="KCY92" s="60"/>
      <c r="KDN92" s="63" t="s">
        <v>934</v>
      </c>
      <c r="KDO92" s="60"/>
      <c r="KED92" s="63" t="s">
        <v>934</v>
      </c>
      <c r="KEE92" s="60"/>
      <c r="KET92" s="63" t="s">
        <v>934</v>
      </c>
      <c r="KEU92" s="60"/>
      <c r="KFJ92" s="63" t="s">
        <v>934</v>
      </c>
      <c r="KFK92" s="60"/>
      <c r="KFZ92" s="63" t="s">
        <v>934</v>
      </c>
      <c r="KGA92" s="60"/>
      <c r="KGP92" s="63" t="s">
        <v>934</v>
      </c>
      <c r="KGQ92" s="60"/>
      <c r="KHF92" s="63" t="s">
        <v>934</v>
      </c>
      <c r="KHG92" s="60"/>
      <c r="KHV92" s="63" t="s">
        <v>934</v>
      </c>
      <c r="KHW92" s="60"/>
      <c r="KIL92" s="63" t="s">
        <v>934</v>
      </c>
      <c r="KIM92" s="60"/>
      <c r="KJB92" s="63" t="s">
        <v>934</v>
      </c>
      <c r="KJC92" s="60"/>
      <c r="KJR92" s="63" t="s">
        <v>934</v>
      </c>
      <c r="KJS92" s="60"/>
      <c r="KKH92" s="63" t="s">
        <v>934</v>
      </c>
      <c r="KKI92" s="60"/>
      <c r="KKX92" s="63" t="s">
        <v>934</v>
      </c>
      <c r="KKY92" s="60"/>
      <c r="KLN92" s="63" t="s">
        <v>934</v>
      </c>
      <c r="KLO92" s="60"/>
      <c r="KMD92" s="63" t="s">
        <v>934</v>
      </c>
      <c r="KME92" s="60"/>
      <c r="KMT92" s="63" t="s">
        <v>934</v>
      </c>
      <c r="KMU92" s="60"/>
      <c r="KNJ92" s="63" t="s">
        <v>934</v>
      </c>
      <c r="KNK92" s="60"/>
      <c r="KNZ92" s="63" t="s">
        <v>934</v>
      </c>
      <c r="KOA92" s="60"/>
      <c r="KOP92" s="63" t="s">
        <v>934</v>
      </c>
      <c r="KOQ92" s="60"/>
      <c r="KPF92" s="63" t="s">
        <v>934</v>
      </c>
      <c r="KPG92" s="60"/>
      <c r="KPV92" s="63" t="s">
        <v>934</v>
      </c>
      <c r="KPW92" s="60"/>
      <c r="KQL92" s="63" t="s">
        <v>934</v>
      </c>
      <c r="KQM92" s="60"/>
      <c r="KRB92" s="63" t="s">
        <v>934</v>
      </c>
      <c r="KRC92" s="60"/>
      <c r="KRR92" s="63" t="s">
        <v>934</v>
      </c>
      <c r="KRS92" s="60"/>
      <c r="KSH92" s="63" t="s">
        <v>934</v>
      </c>
      <c r="KSI92" s="60"/>
      <c r="KSX92" s="63" t="s">
        <v>934</v>
      </c>
      <c r="KSY92" s="60"/>
      <c r="KTN92" s="63" t="s">
        <v>934</v>
      </c>
      <c r="KTO92" s="60"/>
      <c r="KUD92" s="63" t="s">
        <v>934</v>
      </c>
      <c r="KUE92" s="60"/>
      <c r="KUT92" s="63" t="s">
        <v>934</v>
      </c>
      <c r="KUU92" s="60"/>
      <c r="KVJ92" s="63" t="s">
        <v>934</v>
      </c>
      <c r="KVK92" s="60"/>
      <c r="KVZ92" s="63" t="s">
        <v>934</v>
      </c>
      <c r="KWA92" s="60"/>
      <c r="KWP92" s="63" t="s">
        <v>934</v>
      </c>
      <c r="KWQ92" s="60"/>
      <c r="KXF92" s="63" t="s">
        <v>934</v>
      </c>
      <c r="KXG92" s="60"/>
      <c r="KXV92" s="63" t="s">
        <v>934</v>
      </c>
      <c r="KXW92" s="60"/>
      <c r="KYL92" s="63" t="s">
        <v>934</v>
      </c>
      <c r="KYM92" s="60"/>
      <c r="KZB92" s="63" t="s">
        <v>934</v>
      </c>
      <c r="KZC92" s="60"/>
      <c r="KZR92" s="63" t="s">
        <v>934</v>
      </c>
      <c r="KZS92" s="60"/>
      <c r="LAH92" s="63" t="s">
        <v>934</v>
      </c>
      <c r="LAI92" s="60"/>
      <c r="LAX92" s="63" t="s">
        <v>934</v>
      </c>
      <c r="LAY92" s="60"/>
      <c r="LBN92" s="63" t="s">
        <v>934</v>
      </c>
      <c r="LBO92" s="60"/>
      <c r="LCD92" s="63" t="s">
        <v>934</v>
      </c>
      <c r="LCE92" s="60"/>
      <c r="LCT92" s="63" t="s">
        <v>934</v>
      </c>
      <c r="LCU92" s="60"/>
      <c r="LDJ92" s="63" t="s">
        <v>934</v>
      </c>
      <c r="LDK92" s="60"/>
      <c r="LDZ92" s="63" t="s">
        <v>934</v>
      </c>
      <c r="LEA92" s="60"/>
      <c r="LEP92" s="63" t="s">
        <v>934</v>
      </c>
      <c r="LEQ92" s="60"/>
      <c r="LFF92" s="63" t="s">
        <v>934</v>
      </c>
      <c r="LFG92" s="60"/>
      <c r="LFV92" s="63" t="s">
        <v>934</v>
      </c>
      <c r="LFW92" s="60"/>
      <c r="LGL92" s="63" t="s">
        <v>934</v>
      </c>
      <c r="LGM92" s="60"/>
      <c r="LHB92" s="63" t="s">
        <v>934</v>
      </c>
      <c r="LHC92" s="60"/>
      <c r="LHR92" s="63" t="s">
        <v>934</v>
      </c>
      <c r="LHS92" s="60"/>
      <c r="LIH92" s="63" t="s">
        <v>934</v>
      </c>
      <c r="LII92" s="60"/>
      <c r="LIX92" s="63" t="s">
        <v>934</v>
      </c>
      <c r="LIY92" s="60"/>
      <c r="LJN92" s="63" t="s">
        <v>934</v>
      </c>
      <c r="LJO92" s="60"/>
      <c r="LKD92" s="63" t="s">
        <v>934</v>
      </c>
      <c r="LKE92" s="60"/>
      <c r="LKT92" s="63" t="s">
        <v>934</v>
      </c>
      <c r="LKU92" s="60"/>
      <c r="LLJ92" s="63" t="s">
        <v>934</v>
      </c>
      <c r="LLK92" s="60"/>
      <c r="LLZ92" s="63" t="s">
        <v>934</v>
      </c>
      <c r="LMA92" s="60"/>
      <c r="LMP92" s="63" t="s">
        <v>934</v>
      </c>
      <c r="LMQ92" s="60"/>
      <c r="LNF92" s="63" t="s">
        <v>934</v>
      </c>
      <c r="LNG92" s="60"/>
      <c r="LNV92" s="63" t="s">
        <v>934</v>
      </c>
      <c r="LNW92" s="60"/>
      <c r="LOL92" s="63" t="s">
        <v>934</v>
      </c>
      <c r="LOM92" s="60"/>
      <c r="LPB92" s="63" t="s">
        <v>934</v>
      </c>
      <c r="LPC92" s="60"/>
      <c r="LPR92" s="63" t="s">
        <v>934</v>
      </c>
      <c r="LPS92" s="60"/>
      <c r="LQH92" s="63" t="s">
        <v>934</v>
      </c>
      <c r="LQI92" s="60"/>
      <c r="LQX92" s="63" t="s">
        <v>934</v>
      </c>
      <c r="LQY92" s="60"/>
      <c r="LRN92" s="63" t="s">
        <v>934</v>
      </c>
      <c r="LRO92" s="60"/>
      <c r="LSD92" s="63" t="s">
        <v>934</v>
      </c>
      <c r="LSE92" s="60"/>
      <c r="LST92" s="63" t="s">
        <v>934</v>
      </c>
      <c r="LSU92" s="60"/>
      <c r="LTJ92" s="63" t="s">
        <v>934</v>
      </c>
      <c r="LTK92" s="60"/>
      <c r="LTZ92" s="63" t="s">
        <v>934</v>
      </c>
      <c r="LUA92" s="60"/>
      <c r="LUP92" s="63" t="s">
        <v>934</v>
      </c>
      <c r="LUQ92" s="60"/>
      <c r="LVF92" s="63" t="s">
        <v>934</v>
      </c>
      <c r="LVG92" s="60"/>
      <c r="LVV92" s="63" t="s">
        <v>934</v>
      </c>
      <c r="LVW92" s="60"/>
      <c r="LWL92" s="63" t="s">
        <v>934</v>
      </c>
      <c r="LWM92" s="60"/>
      <c r="LXB92" s="63" t="s">
        <v>934</v>
      </c>
      <c r="LXC92" s="60"/>
      <c r="LXR92" s="63" t="s">
        <v>934</v>
      </c>
      <c r="LXS92" s="60"/>
      <c r="LYH92" s="63" t="s">
        <v>934</v>
      </c>
      <c r="LYI92" s="60"/>
      <c r="LYX92" s="63" t="s">
        <v>934</v>
      </c>
      <c r="LYY92" s="60"/>
      <c r="LZN92" s="63" t="s">
        <v>934</v>
      </c>
      <c r="LZO92" s="60"/>
      <c r="MAD92" s="63" t="s">
        <v>934</v>
      </c>
      <c r="MAE92" s="60"/>
      <c r="MAT92" s="63" t="s">
        <v>934</v>
      </c>
      <c r="MAU92" s="60"/>
      <c r="MBJ92" s="63" t="s">
        <v>934</v>
      </c>
      <c r="MBK92" s="60"/>
      <c r="MBZ92" s="63" t="s">
        <v>934</v>
      </c>
      <c r="MCA92" s="60"/>
      <c r="MCP92" s="63" t="s">
        <v>934</v>
      </c>
      <c r="MCQ92" s="60"/>
      <c r="MDF92" s="63" t="s">
        <v>934</v>
      </c>
      <c r="MDG92" s="60"/>
      <c r="MDV92" s="63" t="s">
        <v>934</v>
      </c>
      <c r="MDW92" s="60"/>
      <c r="MEL92" s="63" t="s">
        <v>934</v>
      </c>
      <c r="MEM92" s="60"/>
      <c r="MFB92" s="63" t="s">
        <v>934</v>
      </c>
      <c r="MFC92" s="60"/>
      <c r="MFR92" s="63" t="s">
        <v>934</v>
      </c>
      <c r="MFS92" s="60"/>
      <c r="MGH92" s="63" t="s">
        <v>934</v>
      </c>
      <c r="MGI92" s="60"/>
      <c r="MGX92" s="63" t="s">
        <v>934</v>
      </c>
      <c r="MGY92" s="60"/>
      <c r="MHN92" s="63" t="s">
        <v>934</v>
      </c>
      <c r="MHO92" s="60"/>
      <c r="MID92" s="63" t="s">
        <v>934</v>
      </c>
      <c r="MIE92" s="60"/>
      <c r="MIT92" s="63" t="s">
        <v>934</v>
      </c>
      <c r="MIU92" s="60"/>
      <c r="MJJ92" s="63" t="s">
        <v>934</v>
      </c>
      <c r="MJK92" s="60"/>
      <c r="MJZ92" s="63" t="s">
        <v>934</v>
      </c>
      <c r="MKA92" s="60"/>
      <c r="MKP92" s="63" t="s">
        <v>934</v>
      </c>
      <c r="MKQ92" s="60"/>
      <c r="MLF92" s="63" t="s">
        <v>934</v>
      </c>
      <c r="MLG92" s="60"/>
      <c r="MLV92" s="63" t="s">
        <v>934</v>
      </c>
      <c r="MLW92" s="60"/>
      <c r="MML92" s="63" t="s">
        <v>934</v>
      </c>
      <c r="MMM92" s="60"/>
      <c r="MNB92" s="63" t="s">
        <v>934</v>
      </c>
      <c r="MNC92" s="60"/>
      <c r="MNR92" s="63" t="s">
        <v>934</v>
      </c>
      <c r="MNS92" s="60"/>
      <c r="MOH92" s="63" t="s">
        <v>934</v>
      </c>
      <c r="MOI92" s="60"/>
      <c r="MOX92" s="63" t="s">
        <v>934</v>
      </c>
      <c r="MOY92" s="60"/>
      <c r="MPN92" s="63" t="s">
        <v>934</v>
      </c>
      <c r="MPO92" s="60"/>
      <c r="MQD92" s="63" t="s">
        <v>934</v>
      </c>
      <c r="MQE92" s="60"/>
      <c r="MQT92" s="63" t="s">
        <v>934</v>
      </c>
      <c r="MQU92" s="60"/>
      <c r="MRJ92" s="63" t="s">
        <v>934</v>
      </c>
      <c r="MRK92" s="60"/>
      <c r="MRZ92" s="63" t="s">
        <v>934</v>
      </c>
      <c r="MSA92" s="60"/>
      <c r="MSP92" s="63" t="s">
        <v>934</v>
      </c>
      <c r="MSQ92" s="60"/>
      <c r="MTF92" s="63" t="s">
        <v>934</v>
      </c>
      <c r="MTG92" s="60"/>
      <c r="MTV92" s="63" t="s">
        <v>934</v>
      </c>
      <c r="MTW92" s="60"/>
      <c r="MUL92" s="63" t="s">
        <v>934</v>
      </c>
      <c r="MUM92" s="60"/>
      <c r="MVB92" s="63" t="s">
        <v>934</v>
      </c>
      <c r="MVC92" s="60"/>
      <c r="MVR92" s="63" t="s">
        <v>934</v>
      </c>
      <c r="MVS92" s="60"/>
      <c r="MWH92" s="63" t="s">
        <v>934</v>
      </c>
      <c r="MWI92" s="60"/>
      <c r="MWX92" s="63" t="s">
        <v>934</v>
      </c>
      <c r="MWY92" s="60"/>
      <c r="MXN92" s="63" t="s">
        <v>934</v>
      </c>
      <c r="MXO92" s="60"/>
      <c r="MYD92" s="63" t="s">
        <v>934</v>
      </c>
      <c r="MYE92" s="60"/>
      <c r="MYT92" s="63" t="s">
        <v>934</v>
      </c>
      <c r="MYU92" s="60"/>
      <c r="MZJ92" s="63" t="s">
        <v>934</v>
      </c>
      <c r="MZK92" s="60"/>
      <c r="MZZ92" s="63" t="s">
        <v>934</v>
      </c>
      <c r="NAA92" s="60"/>
      <c r="NAP92" s="63" t="s">
        <v>934</v>
      </c>
      <c r="NAQ92" s="60"/>
      <c r="NBF92" s="63" t="s">
        <v>934</v>
      </c>
      <c r="NBG92" s="60"/>
      <c r="NBV92" s="63" t="s">
        <v>934</v>
      </c>
      <c r="NBW92" s="60"/>
      <c r="NCL92" s="63" t="s">
        <v>934</v>
      </c>
      <c r="NCM92" s="60"/>
      <c r="NDB92" s="63" t="s">
        <v>934</v>
      </c>
      <c r="NDC92" s="60"/>
      <c r="NDR92" s="63" t="s">
        <v>934</v>
      </c>
      <c r="NDS92" s="60"/>
      <c r="NEH92" s="63" t="s">
        <v>934</v>
      </c>
      <c r="NEI92" s="60"/>
      <c r="NEX92" s="63" t="s">
        <v>934</v>
      </c>
      <c r="NEY92" s="60"/>
      <c r="NFN92" s="63" t="s">
        <v>934</v>
      </c>
      <c r="NFO92" s="60"/>
      <c r="NGD92" s="63" t="s">
        <v>934</v>
      </c>
      <c r="NGE92" s="60"/>
      <c r="NGT92" s="63" t="s">
        <v>934</v>
      </c>
      <c r="NGU92" s="60"/>
      <c r="NHJ92" s="63" t="s">
        <v>934</v>
      </c>
      <c r="NHK92" s="60"/>
      <c r="NHZ92" s="63" t="s">
        <v>934</v>
      </c>
      <c r="NIA92" s="60"/>
      <c r="NIP92" s="63" t="s">
        <v>934</v>
      </c>
      <c r="NIQ92" s="60"/>
      <c r="NJF92" s="63" t="s">
        <v>934</v>
      </c>
      <c r="NJG92" s="60"/>
      <c r="NJV92" s="63" t="s">
        <v>934</v>
      </c>
      <c r="NJW92" s="60"/>
      <c r="NKL92" s="63" t="s">
        <v>934</v>
      </c>
      <c r="NKM92" s="60"/>
      <c r="NLB92" s="63" t="s">
        <v>934</v>
      </c>
      <c r="NLC92" s="60"/>
      <c r="NLR92" s="63" t="s">
        <v>934</v>
      </c>
      <c r="NLS92" s="60"/>
      <c r="NMH92" s="63" t="s">
        <v>934</v>
      </c>
      <c r="NMI92" s="60"/>
      <c r="NMX92" s="63" t="s">
        <v>934</v>
      </c>
      <c r="NMY92" s="60"/>
      <c r="NNN92" s="63" t="s">
        <v>934</v>
      </c>
      <c r="NNO92" s="60"/>
      <c r="NOD92" s="63" t="s">
        <v>934</v>
      </c>
      <c r="NOE92" s="60"/>
      <c r="NOT92" s="63" t="s">
        <v>934</v>
      </c>
      <c r="NOU92" s="60"/>
      <c r="NPJ92" s="63" t="s">
        <v>934</v>
      </c>
      <c r="NPK92" s="60"/>
      <c r="NPZ92" s="63" t="s">
        <v>934</v>
      </c>
      <c r="NQA92" s="60"/>
      <c r="NQP92" s="63" t="s">
        <v>934</v>
      </c>
      <c r="NQQ92" s="60"/>
      <c r="NRF92" s="63" t="s">
        <v>934</v>
      </c>
      <c r="NRG92" s="60"/>
      <c r="NRV92" s="63" t="s">
        <v>934</v>
      </c>
      <c r="NRW92" s="60"/>
      <c r="NSL92" s="63" t="s">
        <v>934</v>
      </c>
      <c r="NSM92" s="60"/>
      <c r="NTB92" s="63" t="s">
        <v>934</v>
      </c>
      <c r="NTC92" s="60"/>
      <c r="NTR92" s="63" t="s">
        <v>934</v>
      </c>
      <c r="NTS92" s="60"/>
      <c r="NUH92" s="63" t="s">
        <v>934</v>
      </c>
      <c r="NUI92" s="60"/>
      <c r="NUX92" s="63" t="s">
        <v>934</v>
      </c>
      <c r="NUY92" s="60"/>
      <c r="NVN92" s="63" t="s">
        <v>934</v>
      </c>
      <c r="NVO92" s="60"/>
      <c r="NWD92" s="63" t="s">
        <v>934</v>
      </c>
      <c r="NWE92" s="60"/>
      <c r="NWT92" s="63" t="s">
        <v>934</v>
      </c>
      <c r="NWU92" s="60"/>
      <c r="NXJ92" s="63" t="s">
        <v>934</v>
      </c>
      <c r="NXK92" s="60"/>
      <c r="NXZ92" s="63" t="s">
        <v>934</v>
      </c>
      <c r="NYA92" s="60"/>
      <c r="NYP92" s="63" t="s">
        <v>934</v>
      </c>
      <c r="NYQ92" s="60"/>
      <c r="NZF92" s="63" t="s">
        <v>934</v>
      </c>
      <c r="NZG92" s="60"/>
      <c r="NZV92" s="63" t="s">
        <v>934</v>
      </c>
      <c r="NZW92" s="60"/>
      <c r="OAL92" s="63" t="s">
        <v>934</v>
      </c>
      <c r="OAM92" s="60"/>
      <c r="OBB92" s="63" t="s">
        <v>934</v>
      </c>
      <c r="OBC92" s="60"/>
      <c r="OBR92" s="63" t="s">
        <v>934</v>
      </c>
      <c r="OBS92" s="60"/>
      <c r="OCH92" s="63" t="s">
        <v>934</v>
      </c>
      <c r="OCI92" s="60"/>
      <c r="OCX92" s="63" t="s">
        <v>934</v>
      </c>
      <c r="OCY92" s="60"/>
      <c r="ODN92" s="63" t="s">
        <v>934</v>
      </c>
      <c r="ODO92" s="60"/>
      <c r="OED92" s="63" t="s">
        <v>934</v>
      </c>
      <c r="OEE92" s="60"/>
      <c r="OET92" s="63" t="s">
        <v>934</v>
      </c>
      <c r="OEU92" s="60"/>
      <c r="OFJ92" s="63" t="s">
        <v>934</v>
      </c>
      <c r="OFK92" s="60"/>
      <c r="OFZ92" s="63" t="s">
        <v>934</v>
      </c>
      <c r="OGA92" s="60"/>
      <c r="OGP92" s="63" t="s">
        <v>934</v>
      </c>
      <c r="OGQ92" s="60"/>
      <c r="OHF92" s="63" t="s">
        <v>934</v>
      </c>
      <c r="OHG92" s="60"/>
      <c r="OHV92" s="63" t="s">
        <v>934</v>
      </c>
      <c r="OHW92" s="60"/>
      <c r="OIL92" s="63" t="s">
        <v>934</v>
      </c>
      <c r="OIM92" s="60"/>
      <c r="OJB92" s="63" t="s">
        <v>934</v>
      </c>
      <c r="OJC92" s="60"/>
      <c r="OJR92" s="63" t="s">
        <v>934</v>
      </c>
      <c r="OJS92" s="60"/>
      <c r="OKH92" s="63" t="s">
        <v>934</v>
      </c>
      <c r="OKI92" s="60"/>
      <c r="OKX92" s="63" t="s">
        <v>934</v>
      </c>
      <c r="OKY92" s="60"/>
      <c r="OLN92" s="63" t="s">
        <v>934</v>
      </c>
      <c r="OLO92" s="60"/>
      <c r="OMD92" s="63" t="s">
        <v>934</v>
      </c>
      <c r="OME92" s="60"/>
      <c r="OMT92" s="63" t="s">
        <v>934</v>
      </c>
      <c r="OMU92" s="60"/>
      <c r="ONJ92" s="63" t="s">
        <v>934</v>
      </c>
      <c r="ONK92" s="60"/>
      <c r="ONZ92" s="63" t="s">
        <v>934</v>
      </c>
      <c r="OOA92" s="60"/>
      <c r="OOP92" s="63" t="s">
        <v>934</v>
      </c>
      <c r="OOQ92" s="60"/>
      <c r="OPF92" s="63" t="s">
        <v>934</v>
      </c>
      <c r="OPG92" s="60"/>
      <c r="OPV92" s="63" t="s">
        <v>934</v>
      </c>
      <c r="OPW92" s="60"/>
      <c r="OQL92" s="63" t="s">
        <v>934</v>
      </c>
      <c r="OQM92" s="60"/>
      <c r="ORB92" s="63" t="s">
        <v>934</v>
      </c>
      <c r="ORC92" s="60"/>
      <c r="ORR92" s="63" t="s">
        <v>934</v>
      </c>
      <c r="ORS92" s="60"/>
      <c r="OSH92" s="63" t="s">
        <v>934</v>
      </c>
      <c r="OSI92" s="60"/>
      <c r="OSX92" s="63" t="s">
        <v>934</v>
      </c>
      <c r="OSY92" s="60"/>
      <c r="OTN92" s="63" t="s">
        <v>934</v>
      </c>
      <c r="OTO92" s="60"/>
      <c r="OUD92" s="63" t="s">
        <v>934</v>
      </c>
      <c r="OUE92" s="60"/>
      <c r="OUT92" s="63" t="s">
        <v>934</v>
      </c>
      <c r="OUU92" s="60"/>
      <c r="OVJ92" s="63" t="s">
        <v>934</v>
      </c>
      <c r="OVK92" s="60"/>
      <c r="OVZ92" s="63" t="s">
        <v>934</v>
      </c>
      <c r="OWA92" s="60"/>
      <c r="OWP92" s="63" t="s">
        <v>934</v>
      </c>
      <c r="OWQ92" s="60"/>
      <c r="OXF92" s="63" t="s">
        <v>934</v>
      </c>
      <c r="OXG92" s="60"/>
      <c r="OXV92" s="63" t="s">
        <v>934</v>
      </c>
      <c r="OXW92" s="60"/>
      <c r="OYL92" s="63" t="s">
        <v>934</v>
      </c>
      <c r="OYM92" s="60"/>
      <c r="OZB92" s="63" t="s">
        <v>934</v>
      </c>
      <c r="OZC92" s="60"/>
      <c r="OZR92" s="63" t="s">
        <v>934</v>
      </c>
      <c r="OZS92" s="60"/>
      <c r="PAH92" s="63" t="s">
        <v>934</v>
      </c>
      <c r="PAI92" s="60"/>
      <c r="PAX92" s="63" t="s">
        <v>934</v>
      </c>
      <c r="PAY92" s="60"/>
      <c r="PBN92" s="63" t="s">
        <v>934</v>
      </c>
      <c r="PBO92" s="60"/>
      <c r="PCD92" s="63" t="s">
        <v>934</v>
      </c>
      <c r="PCE92" s="60"/>
      <c r="PCT92" s="63" t="s">
        <v>934</v>
      </c>
      <c r="PCU92" s="60"/>
      <c r="PDJ92" s="63" t="s">
        <v>934</v>
      </c>
      <c r="PDK92" s="60"/>
      <c r="PDZ92" s="63" t="s">
        <v>934</v>
      </c>
      <c r="PEA92" s="60"/>
      <c r="PEP92" s="63" t="s">
        <v>934</v>
      </c>
      <c r="PEQ92" s="60"/>
      <c r="PFF92" s="63" t="s">
        <v>934</v>
      </c>
      <c r="PFG92" s="60"/>
      <c r="PFV92" s="63" t="s">
        <v>934</v>
      </c>
      <c r="PFW92" s="60"/>
      <c r="PGL92" s="63" t="s">
        <v>934</v>
      </c>
      <c r="PGM92" s="60"/>
      <c r="PHB92" s="63" t="s">
        <v>934</v>
      </c>
      <c r="PHC92" s="60"/>
      <c r="PHR92" s="63" t="s">
        <v>934</v>
      </c>
      <c r="PHS92" s="60"/>
      <c r="PIH92" s="63" t="s">
        <v>934</v>
      </c>
      <c r="PII92" s="60"/>
      <c r="PIX92" s="63" t="s">
        <v>934</v>
      </c>
      <c r="PIY92" s="60"/>
      <c r="PJN92" s="63" t="s">
        <v>934</v>
      </c>
      <c r="PJO92" s="60"/>
      <c r="PKD92" s="63" t="s">
        <v>934</v>
      </c>
      <c r="PKE92" s="60"/>
      <c r="PKT92" s="63" t="s">
        <v>934</v>
      </c>
      <c r="PKU92" s="60"/>
      <c r="PLJ92" s="63" t="s">
        <v>934</v>
      </c>
      <c r="PLK92" s="60"/>
      <c r="PLZ92" s="63" t="s">
        <v>934</v>
      </c>
      <c r="PMA92" s="60"/>
      <c r="PMP92" s="63" t="s">
        <v>934</v>
      </c>
      <c r="PMQ92" s="60"/>
      <c r="PNF92" s="63" t="s">
        <v>934</v>
      </c>
      <c r="PNG92" s="60"/>
      <c r="PNV92" s="63" t="s">
        <v>934</v>
      </c>
      <c r="PNW92" s="60"/>
      <c r="POL92" s="63" t="s">
        <v>934</v>
      </c>
      <c r="POM92" s="60"/>
      <c r="PPB92" s="63" t="s">
        <v>934</v>
      </c>
      <c r="PPC92" s="60"/>
      <c r="PPR92" s="63" t="s">
        <v>934</v>
      </c>
      <c r="PPS92" s="60"/>
      <c r="PQH92" s="63" t="s">
        <v>934</v>
      </c>
      <c r="PQI92" s="60"/>
      <c r="PQX92" s="63" t="s">
        <v>934</v>
      </c>
      <c r="PQY92" s="60"/>
      <c r="PRN92" s="63" t="s">
        <v>934</v>
      </c>
      <c r="PRO92" s="60"/>
      <c r="PSD92" s="63" t="s">
        <v>934</v>
      </c>
      <c r="PSE92" s="60"/>
      <c r="PST92" s="63" t="s">
        <v>934</v>
      </c>
      <c r="PSU92" s="60"/>
      <c r="PTJ92" s="63" t="s">
        <v>934</v>
      </c>
      <c r="PTK92" s="60"/>
      <c r="PTZ92" s="63" t="s">
        <v>934</v>
      </c>
      <c r="PUA92" s="60"/>
      <c r="PUP92" s="63" t="s">
        <v>934</v>
      </c>
      <c r="PUQ92" s="60"/>
      <c r="PVF92" s="63" t="s">
        <v>934</v>
      </c>
      <c r="PVG92" s="60"/>
      <c r="PVV92" s="63" t="s">
        <v>934</v>
      </c>
      <c r="PVW92" s="60"/>
      <c r="PWL92" s="63" t="s">
        <v>934</v>
      </c>
      <c r="PWM92" s="60"/>
      <c r="PXB92" s="63" t="s">
        <v>934</v>
      </c>
      <c r="PXC92" s="60"/>
      <c r="PXR92" s="63" t="s">
        <v>934</v>
      </c>
      <c r="PXS92" s="60"/>
      <c r="PYH92" s="63" t="s">
        <v>934</v>
      </c>
      <c r="PYI92" s="60"/>
      <c r="PYX92" s="63" t="s">
        <v>934</v>
      </c>
      <c r="PYY92" s="60"/>
      <c r="PZN92" s="63" t="s">
        <v>934</v>
      </c>
      <c r="PZO92" s="60"/>
      <c r="QAD92" s="63" t="s">
        <v>934</v>
      </c>
      <c r="QAE92" s="60"/>
      <c r="QAT92" s="63" t="s">
        <v>934</v>
      </c>
      <c r="QAU92" s="60"/>
      <c r="QBJ92" s="63" t="s">
        <v>934</v>
      </c>
      <c r="QBK92" s="60"/>
      <c r="QBZ92" s="63" t="s">
        <v>934</v>
      </c>
      <c r="QCA92" s="60"/>
      <c r="QCP92" s="63" t="s">
        <v>934</v>
      </c>
      <c r="QCQ92" s="60"/>
      <c r="QDF92" s="63" t="s">
        <v>934</v>
      </c>
      <c r="QDG92" s="60"/>
      <c r="QDV92" s="63" t="s">
        <v>934</v>
      </c>
      <c r="QDW92" s="60"/>
      <c r="QEL92" s="63" t="s">
        <v>934</v>
      </c>
      <c r="QEM92" s="60"/>
      <c r="QFB92" s="63" t="s">
        <v>934</v>
      </c>
      <c r="QFC92" s="60"/>
      <c r="QFR92" s="63" t="s">
        <v>934</v>
      </c>
      <c r="QFS92" s="60"/>
      <c r="QGH92" s="63" t="s">
        <v>934</v>
      </c>
      <c r="QGI92" s="60"/>
      <c r="QGX92" s="63" t="s">
        <v>934</v>
      </c>
      <c r="QGY92" s="60"/>
      <c r="QHN92" s="63" t="s">
        <v>934</v>
      </c>
      <c r="QHO92" s="60"/>
      <c r="QID92" s="63" t="s">
        <v>934</v>
      </c>
      <c r="QIE92" s="60"/>
      <c r="QIT92" s="63" t="s">
        <v>934</v>
      </c>
      <c r="QIU92" s="60"/>
      <c r="QJJ92" s="63" t="s">
        <v>934</v>
      </c>
      <c r="QJK92" s="60"/>
      <c r="QJZ92" s="63" t="s">
        <v>934</v>
      </c>
      <c r="QKA92" s="60"/>
      <c r="QKP92" s="63" t="s">
        <v>934</v>
      </c>
      <c r="QKQ92" s="60"/>
      <c r="QLF92" s="63" t="s">
        <v>934</v>
      </c>
      <c r="QLG92" s="60"/>
      <c r="QLV92" s="63" t="s">
        <v>934</v>
      </c>
      <c r="QLW92" s="60"/>
      <c r="QML92" s="63" t="s">
        <v>934</v>
      </c>
      <c r="QMM92" s="60"/>
      <c r="QNB92" s="63" t="s">
        <v>934</v>
      </c>
      <c r="QNC92" s="60"/>
      <c r="QNR92" s="63" t="s">
        <v>934</v>
      </c>
      <c r="QNS92" s="60"/>
      <c r="QOH92" s="63" t="s">
        <v>934</v>
      </c>
      <c r="QOI92" s="60"/>
      <c r="QOX92" s="63" t="s">
        <v>934</v>
      </c>
      <c r="QOY92" s="60"/>
      <c r="QPN92" s="63" t="s">
        <v>934</v>
      </c>
      <c r="QPO92" s="60"/>
      <c r="QQD92" s="63" t="s">
        <v>934</v>
      </c>
      <c r="QQE92" s="60"/>
      <c r="QQT92" s="63" t="s">
        <v>934</v>
      </c>
      <c r="QQU92" s="60"/>
      <c r="QRJ92" s="63" t="s">
        <v>934</v>
      </c>
      <c r="QRK92" s="60"/>
      <c r="QRZ92" s="63" t="s">
        <v>934</v>
      </c>
      <c r="QSA92" s="60"/>
      <c r="QSP92" s="63" t="s">
        <v>934</v>
      </c>
      <c r="QSQ92" s="60"/>
      <c r="QTF92" s="63" t="s">
        <v>934</v>
      </c>
      <c r="QTG92" s="60"/>
      <c r="QTV92" s="63" t="s">
        <v>934</v>
      </c>
      <c r="QTW92" s="60"/>
      <c r="QUL92" s="63" t="s">
        <v>934</v>
      </c>
      <c r="QUM92" s="60"/>
      <c r="QVB92" s="63" t="s">
        <v>934</v>
      </c>
      <c r="QVC92" s="60"/>
      <c r="QVR92" s="63" t="s">
        <v>934</v>
      </c>
      <c r="QVS92" s="60"/>
      <c r="QWH92" s="63" t="s">
        <v>934</v>
      </c>
      <c r="QWI92" s="60"/>
      <c r="QWX92" s="63" t="s">
        <v>934</v>
      </c>
      <c r="QWY92" s="60"/>
      <c r="QXN92" s="63" t="s">
        <v>934</v>
      </c>
      <c r="QXO92" s="60"/>
      <c r="QYD92" s="63" t="s">
        <v>934</v>
      </c>
      <c r="QYE92" s="60"/>
      <c r="QYT92" s="63" t="s">
        <v>934</v>
      </c>
      <c r="QYU92" s="60"/>
      <c r="QZJ92" s="63" t="s">
        <v>934</v>
      </c>
      <c r="QZK92" s="60"/>
      <c r="QZZ92" s="63" t="s">
        <v>934</v>
      </c>
      <c r="RAA92" s="60"/>
      <c r="RAP92" s="63" t="s">
        <v>934</v>
      </c>
      <c r="RAQ92" s="60"/>
      <c r="RBF92" s="63" t="s">
        <v>934</v>
      </c>
      <c r="RBG92" s="60"/>
      <c r="RBV92" s="63" t="s">
        <v>934</v>
      </c>
      <c r="RBW92" s="60"/>
      <c r="RCL92" s="63" t="s">
        <v>934</v>
      </c>
      <c r="RCM92" s="60"/>
      <c r="RDB92" s="63" t="s">
        <v>934</v>
      </c>
      <c r="RDC92" s="60"/>
      <c r="RDR92" s="63" t="s">
        <v>934</v>
      </c>
      <c r="RDS92" s="60"/>
      <c r="REH92" s="63" t="s">
        <v>934</v>
      </c>
      <c r="REI92" s="60"/>
      <c r="REX92" s="63" t="s">
        <v>934</v>
      </c>
      <c r="REY92" s="60"/>
      <c r="RFN92" s="63" t="s">
        <v>934</v>
      </c>
      <c r="RFO92" s="60"/>
      <c r="RGD92" s="63" t="s">
        <v>934</v>
      </c>
      <c r="RGE92" s="60"/>
      <c r="RGT92" s="63" t="s">
        <v>934</v>
      </c>
      <c r="RGU92" s="60"/>
      <c r="RHJ92" s="63" t="s">
        <v>934</v>
      </c>
      <c r="RHK92" s="60"/>
      <c r="RHZ92" s="63" t="s">
        <v>934</v>
      </c>
      <c r="RIA92" s="60"/>
      <c r="RIP92" s="63" t="s">
        <v>934</v>
      </c>
      <c r="RIQ92" s="60"/>
      <c r="RJF92" s="63" t="s">
        <v>934</v>
      </c>
      <c r="RJG92" s="60"/>
      <c r="RJV92" s="63" t="s">
        <v>934</v>
      </c>
      <c r="RJW92" s="60"/>
      <c r="RKL92" s="63" t="s">
        <v>934</v>
      </c>
      <c r="RKM92" s="60"/>
      <c r="RLB92" s="63" t="s">
        <v>934</v>
      </c>
      <c r="RLC92" s="60"/>
      <c r="RLR92" s="63" t="s">
        <v>934</v>
      </c>
      <c r="RLS92" s="60"/>
      <c r="RMH92" s="63" t="s">
        <v>934</v>
      </c>
      <c r="RMI92" s="60"/>
      <c r="RMX92" s="63" t="s">
        <v>934</v>
      </c>
      <c r="RMY92" s="60"/>
      <c r="RNN92" s="63" t="s">
        <v>934</v>
      </c>
      <c r="RNO92" s="60"/>
      <c r="ROD92" s="63" t="s">
        <v>934</v>
      </c>
      <c r="ROE92" s="60"/>
      <c r="ROT92" s="63" t="s">
        <v>934</v>
      </c>
      <c r="ROU92" s="60"/>
      <c r="RPJ92" s="63" t="s">
        <v>934</v>
      </c>
      <c r="RPK92" s="60"/>
      <c r="RPZ92" s="63" t="s">
        <v>934</v>
      </c>
      <c r="RQA92" s="60"/>
      <c r="RQP92" s="63" t="s">
        <v>934</v>
      </c>
      <c r="RQQ92" s="60"/>
      <c r="RRF92" s="63" t="s">
        <v>934</v>
      </c>
      <c r="RRG92" s="60"/>
      <c r="RRV92" s="63" t="s">
        <v>934</v>
      </c>
      <c r="RRW92" s="60"/>
      <c r="RSL92" s="63" t="s">
        <v>934</v>
      </c>
      <c r="RSM92" s="60"/>
      <c r="RTB92" s="63" t="s">
        <v>934</v>
      </c>
      <c r="RTC92" s="60"/>
      <c r="RTR92" s="63" t="s">
        <v>934</v>
      </c>
      <c r="RTS92" s="60"/>
      <c r="RUH92" s="63" t="s">
        <v>934</v>
      </c>
      <c r="RUI92" s="60"/>
      <c r="RUX92" s="63" t="s">
        <v>934</v>
      </c>
      <c r="RUY92" s="60"/>
      <c r="RVN92" s="63" t="s">
        <v>934</v>
      </c>
      <c r="RVO92" s="60"/>
      <c r="RWD92" s="63" t="s">
        <v>934</v>
      </c>
      <c r="RWE92" s="60"/>
      <c r="RWT92" s="63" t="s">
        <v>934</v>
      </c>
      <c r="RWU92" s="60"/>
      <c r="RXJ92" s="63" t="s">
        <v>934</v>
      </c>
      <c r="RXK92" s="60"/>
      <c r="RXZ92" s="63" t="s">
        <v>934</v>
      </c>
      <c r="RYA92" s="60"/>
      <c r="RYP92" s="63" t="s">
        <v>934</v>
      </c>
      <c r="RYQ92" s="60"/>
      <c r="RZF92" s="63" t="s">
        <v>934</v>
      </c>
      <c r="RZG92" s="60"/>
      <c r="RZV92" s="63" t="s">
        <v>934</v>
      </c>
      <c r="RZW92" s="60"/>
      <c r="SAL92" s="63" t="s">
        <v>934</v>
      </c>
      <c r="SAM92" s="60"/>
      <c r="SBB92" s="63" t="s">
        <v>934</v>
      </c>
      <c r="SBC92" s="60"/>
      <c r="SBR92" s="63" t="s">
        <v>934</v>
      </c>
      <c r="SBS92" s="60"/>
      <c r="SCH92" s="63" t="s">
        <v>934</v>
      </c>
      <c r="SCI92" s="60"/>
      <c r="SCX92" s="63" t="s">
        <v>934</v>
      </c>
      <c r="SCY92" s="60"/>
      <c r="SDN92" s="63" t="s">
        <v>934</v>
      </c>
      <c r="SDO92" s="60"/>
      <c r="SED92" s="63" t="s">
        <v>934</v>
      </c>
      <c r="SEE92" s="60"/>
      <c r="SET92" s="63" t="s">
        <v>934</v>
      </c>
      <c r="SEU92" s="60"/>
      <c r="SFJ92" s="63" t="s">
        <v>934</v>
      </c>
      <c r="SFK92" s="60"/>
      <c r="SFZ92" s="63" t="s">
        <v>934</v>
      </c>
      <c r="SGA92" s="60"/>
      <c r="SGP92" s="63" t="s">
        <v>934</v>
      </c>
      <c r="SGQ92" s="60"/>
      <c r="SHF92" s="63" t="s">
        <v>934</v>
      </c>
      <c r="SHG92" s="60"/>
      <c r="SHV92" s="63" t="s">
        <v>934</v>
      </c>
      <c r="SHW92" s="60"/>
      <c r="SIL92" s="63" t="s">
        <v>934</v>
      </c>
      <c r="SIM92" s="60"/>
      <c r="SJB92" s="63" t="s">
        <v>934</v>
      </c>
      <c r="SJC92" s="60"/>
      <c r="SJR92" s="63" t="s">
        <v>934</v>
      </c>
      <c r="SJS92" s="60"/>
      <c r="SKH92" s="63" t="s">
        <v>934</v>
      </c>
      <c r="SKI92" s="60"/>
      <c r="SKX92" s="63" t="s">
        <v>934</v>
      </c>
      <c r="SKY92" s="60"/>
      <c r="SLN92" s="63" t="s">
        <v>934</v>
      </c>
      <c r="SLO92" s="60"/>
      <c r="SMD92" s="63" t="s">
        <v>934</v>
      </c>
      <c r="SME92" s="60"/>
      <c r="SMT92" s="63" t="s">
        <v>934</v>
      </c>
      <c r="SMU92" s="60"/>
      <c r="SNJ92" s="63" t="s">
        <v>934</v>
      </c>
      <c r="SNK92" s="60"/>
      <c r="SNZ92" s="63" t="s">
        <v>934</v>
      </c>
      <c r="SOA92" s="60"/>
      <c r="SOP92" s="63" t="s">
        <v>934</v>
      </c>
      <c r="SOQ92" s="60"/>
      <c r="SPF92" s="63" t="s">
        <v>934</v>
      </c>
      <c r="SPG92" s="60"/>
      <c r="SPV92" s="63" t="s">
        <v>934</v>
      </c>
      <c r="SPW92" s="60"/>
      <c r="SQL92" s="63" t="s">
        <v>934</v>
      </c>
      <c r="SQM92" s="60"/>
      <c r="SRB92" s="63" t="s">
        <v>934</v>
      </c>
      <c r="SRC92" s="60"/>
      <c r="SRR92" s="63" t="s">
        <v>934</v>
      </c>
      <c r="SRS92" s="60"/>
      <c r="SSH92" s="63" t="s">
        <v>934</v>
      </c>
      <c r="SSI92" s="60"/>
      <c r="SSX92" s="63" t="s">
        <v>934</v>
      </c>
      <c r="SSY92" s="60"/>
      <c r="STN92" s="63" t="s">
        <v>934</v>
      </c>
      <c r="STO92" s="60"/>
      <c r="SUD92" s="63" t="s">
        <v>934</v>
      </c>
      <c r="SUE92" s="60"/>
      <c r="SUT92" s="63" t="s">
        <v>934</v>
      </c>
      <c r="SUU92" s="60"/>
      <c r="SVJ92" s="63" t="s">
        <v>934</v>
      </c>
      <c r="SVK92" s="60"/>
      <c r="SVZ92" s="63" t="s">
        <v>934</v>
      </c>
      <c r="SWA92" s="60"/>
      <c r="SWP92" s="63" t="s">
        <v>934</v>
      </c>
      <c r="SWQ92" s="60"/>
      <c r="SXF92" s="63" t="s">
        <v>934</v>
      </c>
      <c r="SXG92" s="60"/>
      <c r="SXV92" s="63" t="s">
        <v>934</v>
      </c>
      <c r="SXW92" s="60"/>
      <c r="SYL92" s="63" t="s">
        <v>934</v>
      </c>
      <c r="SYM92" s="60"/>
      <c r="SZB92" s="63" t="s">
        <v>934</v>
      </c>
      <c r="SZC92" s="60"/>
      <c r="SZR92" s="63" t="s">
        <v>934</v>
      </c>
      <c r="SZS92" s="60"/>
      <c r="TAH92" s="63" t="s">
        <v>934</v>
      </c>
      <c r="TAI92" s="60"/>
      <c r="TAX92" s="63" t="s">
        <v>934</v>
      </c>
      <c r="TAY92" s="60"/>
      <c r="TBN92" s="63" t="s">
        <v>934</v>
      </c>
      <c r="TBO92" s="60"/>
      <c r="TCD92" s="63" t="s">
        <v>934</v>
      </c>
      <c r="TCE92" s="60"/>
      <c r="TCT92" s="63" t="s">
        <v>934</v>
      </c>
      <c r="TCU92" s="60"/>
      <c r="TDJ92" s="63" t="s">
        <v>934</v>
      </c>
      <c r="TDK92" s="60"/>
      <c r="TDZ92" s="63" t="s">
        <v>934</v>
      </c>
      <c r="TEA92" s="60"/>
      <c r="TEP92" s="63" t="s">
        <v>934</v>
      </c>
      <c r="TEQ92" s="60"/>
      <c r="TFF92" s="63" t="s">
        <v>934</v>
      </c>
      <c r="TFG92" s="60"/>
      <c r="TFV92" s="63" t="s">
        <v>934</v>
      </c>
      <c r="TFW92" s="60"/>
      <c r="TGL92" s="63" t="s">
        <v>934</v>
      </c>
      <c r="TGM92" s="60"/>
      <c r="THB92" s="63" t="s">
        <v>934</v>
      </c>
      <c r="THC92" s="60"/>
      <c r="THR92" s="63" t="s">
        <v>934</v>
      </c>
      <c r="THS92" s="60"/>
      <c r="TIH92" s="63" t="s">
        <v>934</v>
      </c>
      <c r="TII92" s="60"/>
      <c r="TIX92" s="63" t="s">
        <v>934</v>
      </c>
      <c r="TIY92" s="60"/>
      <c r="TJN92" s="63" t="s">
        <v>934</v>
      </c>
      <c r="TJO92" s="60"/>
      <c r="TKD92" s="63" t="s">
        <v>934</v>
      </c>
      <c r="TKE92" s="60"/>
      <c r="TKT92" s="63" t="s">
        <v>934</v>
      </c>
      <c r="TKU92" s="60"/>
      <c r="TLJ92" s="63" t="s">
        <v>934</v>
      </c>
      <c r="TLK92" s="60"/>
      <c r="TLZ92" s="63" t="s">
        <v>934</v>
      </c>
      <c r="TMA92" s="60"/>
      <c r="TMP92" s="63" t="s">
        <v>934</v>
      </c>
      <c r="TMQ92" s="60"/>
      <c r="TNF92" s="63" t="s">
        <v>934</v>
      </c>
      <c r="TNG92" s="60"/>
      <c r="TNV92" s="63" t="s">
        <v>934</v>
      </c>
      <c r="TNW92" s="60"/>
      <c r="TOL92" s="63" t="s">
        <v>934</v>
      </c>
      <c r="TOM92" s="60"/>
      <c r="TPB92" s="63" t="s">
        <v>934</v>
      </c>
      <c r="TPC92" s="60"/>
      <c r="TPR92" s="63" t="s">
        <v>934</v>
      </c>
      <c r="TPS92" s="60"/>
      <c r="TQH92" s="63" t="s">
        <v>934</v>
      </c>
      <c r="TQI92" s="60"/>
      <c r="TQX92" s="63" t="s">
        <v>934</v>
      </c>
      <c r="TQY92" s="60"/>
      <c r="TRN92" s="63" t="s">
        <v>934</v>
      </c>
      <c r="TRO92" s="60"/>
      <c r="TSD92" s="63" t="s">
        <v>934</v>
      </c>
      <c r="TSE92" s="60"/>
      <c r="TST92" s="63" t="s">
        <v>934</v>
      </c>
      <c r="TSU92" s="60"/>
      <c r="TTJ92" s="63" t="s">
        <v>934</v>
      </c>
      <c r="TTK92" s="60"/>
      <c r="TTZ92" s="63" t="s">
        <v>934</v>
      </c>
      <c r="TUA92" s="60"/>
      <c r="TUP92" s="63" t="s">
        <v>934</v>
      </c>
      <c r="TUQ92" s="60"/>
      <c r="TVF92" s="63" t="s">
        <v>934</v>
      </c>
      <c r="TVG92" s="60"/>
      <c r="TVV92" s="63" t="s">
        <v>934</v>
      </c>
      <c r="TVW92" s="60"/>
      <c r="TWL92" s="63" t="s">
        <v>934</v>
      </c>
      <c r="TWM92" s="60"/>
      <c r="TXB92" s="63" t="s">
        <v>934</v>
      </c>
      <c r="TXC92" s="60"/>
      <c r="TXR92" s="63" t="s">
        <v>934</v>
      </c>
      <c r="TXS92" s="60"/>
      <c r="TYH92" s="63" t="s">
        <v>934</v>
      </c>
      <c r="TYI92" s="60"/>
      <c r="TYX92" s="63" t="s">
        <v>934</v>
      </c>
      <c r="TYY92" s="60"/>
      <c r="TZN92" s="63" t="s">
        <v>934</v>
      </c>
      <c r="TZO92" s="60"/>
      <c r="UAD92" s="63" t="s">
        <v>934</v>
      </c>
      <c r="UAE92" s="60"/>
      <c r="UAT92" s="63" t="s">
        <v>934</v>
      </c>
      <c r="UAU92" s="60"/>
      <c r="UBJ92" s="63" t="s">
        <v>934</v>
      </c>
      <c r="UBK92" s="60"/>
      <c r="UBZ92" s="63" t="s">
        <v>934</v>
      </c>
      <c r="UCA92" s="60"/>
      <c r="UCP92" s="63" t="s">
        <v>934</v>
      </c>
      <c r="UCQ92" s="60"/>
      <c r="UDF92" s="63" t="s">
        <v>934</v>
      </c>
      <c r="UDG92" s="60"/>
      <c r="UDV92" s="63" t="s">
        <v>934</v>
      </c>
      <c r="UDW92" s="60"/>
      <c r="UEL92" s="63" t="s">
        <v>934</v>
      </c>
      <c r="UEM92" s="60"/>
      <c r="UFB92" s="63" t="s">
        <v>934</v>
      </c>
      <c r="UFC92" s="60"/>
      <c r="UFR92" s="63" t="s">
        <v>934</v>
      </c>
      <c r="UFS92" s="60"/>
      <c r="UGH92" s="63" t="s">
        <v>934</v>
      </c>
      <c r="UGI92" s="60"/>
      <c r="UGX92" s="63" t="s">
        <v>934</v>
      </c>
      <c r="UGY92" s="60"/>
      <c r="UHN92" s="63" t="s">
        <v>934</v>
      </c>
      <c r="UHO92" s="60"/>
      <c r="UID92" s="63" t="s">
        <v>934</v>
      </c>
      <c r="UIE92" s="60"/>
      <c r="UIT92" s="63" t="s">
        <v>934</v>
      </c>
      <c r="UIU92" s="60"/>
      <c r="UJJ92" s="63" t="s">
        <v>934</v>
      </c>
      <c r="UJK92" s="60"/>
      <c r="UJZ92" s="63" t="s">
        <v>934</v>
      </c>
      <c r="UKA92" s="60"/>
      <c r="UKP92" s="63" t="s">
        <v>934</v>
      </c>
      <c r="UKQ92" s="60"/>
      <c r="ULF92" s="63" t="s">
        <v>934</v>
      </c>
      <c r="ULG92" s="60"/>
      <c r="ULV92" s="63" t="s">
        <v>934</v>
      </c>
      <c r="ULW92" s="60"/>
      <c r="UML92" s="63" t="s">
        <v>934</v>
      </c>
      <c r="UMM92" s="60"/>
      <c r="UNB92" s="63" t="s">
        <v>934</v>
      </c>
      <c r="UNC92" s="60"/>
      <c r="UNR92" s="63" t="s">
        <v>934</v>
      </c>
      <c r="UNS92" s="60"/>
      <c r="UOH92" s="63" t="s">
        <v>934</v>
      </c>
      <c r="UOI92" s="60"/>
      <c r="UOX92" s="63" t="s">
        <v>934</v>
      </c>
      <c r="UOY92" s="60"/>
      <c r="UPN92" s="63" t="s">
        <v>934</v>
      </c>
      <c r="UPO92" s="60"/>
      <c r="UQD92" s="63" t="s">
        <v>934</v>
      </c>
      <c r="UQE92" s="60"/>
      <c r="UQT92" s="63" t="s">
        <v>934</v>
      </c>
      <c r="UQU92" s="60"/>
      <c r="URJ92" s="63" t="s">
        <v>934</v>
      </c>
      <c r="URK92" s="60"/>
      <c r="URZ92" s="63" t="s">
        <v>934</v>
      </c>
      <c r="USA92" s="60"/>
      <c r="USP92" s="63" t="s">
        <v>934</v>
      </c>
      <c r="USQ92" s="60"/>
      <c r="UTF92" s="63" t="s">
        <v>934</v>
      </c>
      <c r="UTG92" s="60"/>
      <c r="UTV92" s="63" t="s">
        <v>934</v>
      </c>
      <c r="UTW92" s="60"/>
      <c r="UUL92" s="63" t="s">
        <v>934</v>
      </c>
      <c r="UUM92" s="60"/>
      <c r="UVB92" s="63" t="s">
        <v>934</v>
      </c>
      <c r="UVC92" s="60"/>
      <c r="UVR92" s="63" t="s">
        <v>934</v>
      </c>
      <c r="UVS92" s="60"/>
      <c r="UWH92" s="63" t="s">
        <v>934</v>
      </c>
      <c r="UWI92" s="60"/>
      <c r="UWX92" s="63" t="s">
        <v>934</v>
      </c>
      <c r="UWY92" s="60"/>
      <c r="UXN92" s="63" t="s">
        <v>934</v>
      </c>
      <c r="UXO92" s="60"/>
      <c r="UYD92" s="63" t="s">
        <v>934</v>
      </c>
      <c r="UYE92" s="60"/>
      <c r="UYT92" s="63" t="s">
        <v>934</v>
      </c>
      <c r="UYU92" s="60"/>
      <c r="UZJ92" s="63" t="s">
        <v>934</v>
      </c>
      <c r="UZK92" s="60"/>
      <c r="UZZ92" s="63" t="s">
        <v>934</v>
      </c>
      <c r="VAA92" s="60"/>
      <c r="VAP92" s="63" t="s">
        <v>934</v>
      </c>
      <c r="VAQ92" s="60"/>
      <c r="VBF92" s="63" t="s">
        <v>934</v>
      </c>
      <c r="VBG92" s="60"/>
      <c r="VBV92" s="63" t="s">
        <v>934</v>
      </c>
      <c r="VBW92" s="60"/>
      <c r="VCL92" s="63" t="s">
        <v>934</v>
      </c>
      <c r="VCM92" s="60"/>
      <c r="VDB92" s="63" t="s">
        <v>934</v>
      </c>
      <c r="VDC92" s="60"/>
      <c r="VDR92" s="63" t="s">
        <v>934</v>
      </c>
      <c r="VDS92" s="60"/>
      <c r="VEH92" s="63" t="s">
        <v>934</v>
      </c>
      <c r="VEI92" s="60"/>
      <c r="VEX92" s="63" t="s">
        <v>934</v>
      </c>
      <c r="VEY92" s="60"/>
      <c r="VFN92" s="63" t="s">
        <v>934</v>
      </c>
      <c r="VFO92" s="60"/>
      <c r="VGD92" s="63" t="s">
        <v>934</v>
      </c>
      <c r="VGE92" s="60"/>
      <c r="VGT92" s="63" t="s">
        <v>934</v>
      </c>
      <c r="VGU92" s="60"/>
      <c r="VHJ92" s="63" t="s">
        <v>934</v>
      </c>
      <c r="VHK92" s="60"/>
      <c r="VHZ92" s="63" t="s">
        <v>934</v>
      </c>
      <c r="VIA92" s="60"/>
      <c r="VIP92" s="63" t="s">
        <v>934</v>
      </c>
      <c r="VIQ92" s="60"/>
      <c r="VJF92" s="63" t="s">
        <v>934</v>
      </c>
      <c r="VJG92" s="60"/>
      <c r="VJV92" s="63" t="s">
        <v>934</v>
      </c>
      <c r="VJW92" s="60"/>
      <c r="VKL92" s="63" t="s">
        <v>934</v>
      </c>
      <c r="VKM92" s="60"/>
      <c r="VLB92" s="63" t="s">
        <v>934</v>
      </c>
      <c r="VLC92" s="60"/>
      <c r="VLR92" s="63" t="s">
        <v>934</v>
      </c>
      <c r="VLS92" s="60"/>
      <c r="VMH92" s="63" t="s">
        <v>934</v>
      </c>
      <c r="VMI92" s="60"/>
      <c r="VMX92" s="63" t="s">
        <v>934</v>
      </c>
      <c r="VMY92" s="60"/>
      <c r="VNN92" s="63" t="s">
        <v>934</v>
      </c>
      <c r="VNO92" s="60"/>
      <c r="VOD92" s="63" t="s">
        <v>934</v>
      </c>
      <c r="VOE92" s="60"/>
      <c r="VOT92" s="63" t="s">
        <v>934</v>
      </c>
      <c r="VOU92" s="60"/>
      <c r="VPJ92" s="63" t="s">
        <v>934</v>
      </c>
      <c r="VPK92" s="60"/>
      <c r="VPZ92" s="63" t="s">
        <v>934</v>
      </c>
      <c r="VQA92" s="60"/>
      <c r="VQP92" s="63" t="s">
        <v>934</v>
      </c>
      <c r="VQQ92" s="60"/>
      <c r="VRF92" s="63" t="s">
        <v>934</v>
      </c>
      <c r="VRG92" s="60"/>
      <c r="VRV92" s="63" t="s">
        <v>934</v>
      </c>
      <c r="VRW92" s="60"/>
      <c r="VSL92" s="63" t="s">
        <v>934</v>
      </c>
      <c r="VSM92" s="60"/>
      <c r="VTB92" s="63" t="s">
        <v>934</v>
      </c>
      <c r="VTC92" s="60"/>
      <c r="VTR92" s="63" t="s">
        <v>934</v>
      </c>
      <c r="VTS92" s="60"/>
      <c r="VUH92" s="63" t="s">
        <v>934</v>
      </c>
      <c r="VUI92" s="60"/>
      <c r="VUX92" s="63" t="s">
        <v>934</v>
      </c>
      <c r="VUY92" s="60"/>
      <c r="VVN92" s="63" t="s">
        <v>934</v>
      </c>
      <c r="VVO92" s="60"/>
      <c r="VWD92" s="63" t="s">
        <v>934</v>
      </c>
      <c r="VWE92" s="60"/>
      <c r="VWT92" s="63" t="s">
        <v>934</v>
      </c>
      <c r="VWU92" s="60"/>
      <c r="VXJ92" s="63" t="s">
        <v>934</v>
      </c>
      <c r="VXK92" s="60"/>
      <c r="VXZ92" s="63" t="s">
        <v>934</v>
      </c>
      <c r="VYA92" s="60"/>
      <c r="VYP92" s="63" t="s">
        <v>934</v>
      </c>
      <c r="VYQ92" s="60"/>
      <c r="VZF92" s="63" t="s">
        <v>934</v>
      </c>
      <c r="VZG92" s="60"/>
      <c r="VZV92" s="63" t="s">
        <v>934</v>
      </c>
      <c r="VZW92" s="60"/>
      <c r="WAL92" s="63" t="s">
        <v>934</v>
      </c>
      <c r="WAM92" s="60"/>
      <c r="WBB92" s="63" t="s">
        <v>934</v>
      </c>
      <c r="WBC92" s="60"/>
      <c r="WBR92" s="63" t="s">
        <v>934</v>
      </c>
      <c r="WBS92" s="60"/>
      <c r="WCH92" s="63" t="s">
        <v>934</v>
      </c>
      <c r="WCI92" s="60"/>
      <c r="WCX92" s="63" t="s">
        <v>934</v>
      </c>
      <c r="WCY92" s="60"/>
      <c r="WDN92" s="63" t="s">
        <v>934</v>
      </c>
      <c r="WDO92" s="60"/>
      <c r="WED92" s="63" t="s">
        <v>934</v>
      </c>
      <c r="WEE92" s="60"/>
      <c r="WET92" s="63" t="s">
        <v>934</v>
      </c>
      <c r="WEU92" s="60"/>
      <c r="WFJ92" s="63" t="s">
        <v>934</v>
      </c>
      <c r="WFK92" s="60"/>
      <c r="WFZ92" s="63" t="s">
        <v>934</v>
      </c>
      <c r="WGA92" s="60"/>
      <c r="WGP92" s="63" t="s">
        <v>934</v>
      </c>
      <c r="WGQ92" s="60"/>
      <c r="WHF92" s="63" t="s">
        <v>934</v>
      </c>
      <c r="WHG92" s="60"/>
      <c r="WHV92" s="63" t="s">
        <v>934</v>
      </c>
      <c r="WHW92" s="60"/>
      <c r="WIL92" s="63" t="s">
        <v>934</v>
      </c>
      <c r="WIM92" s="60"/>
      <c r="WJB92" s="63" t="s">
        <v>934</v>
      </c>
      <c r="WJC92" s="60"/>
      <c r="WJR92" s="63" t="s">
        <v>934</v>
      </c>
      <c r="WJS92" s="60"/>
      <c r="WKH92" s="63" t="s">
        <v>934</v>
      </c>
      <c r="WKI92" s="60"/>
      <c r="WKX92" s="63" t="s">
        <v>934</v>
      </c>
      <c r="WKY92" s="60"/>
      <c r="WLN92" s="63" t="s">
        <v>934</v>
      </c>
      <c r="WLO92" s="60"/>
      <c r="WMD92" s="63" t="s">
        <v>934</v>
      </c>
      <c r="WME92" s="60"/>
      <c r="WMT92" s="63" t="s">
        <v>934</v>
      </c>
      <c r="WMU92" s="60"/>
      <c r="WNJ92" s="63" t="s">
        <v>934</v>
      </c>
      <c r="WNK92" s="60"/>
      <c r="WNZ92" s="63" t="s">
        <v>934</v>
      </c>
      <c r="WOA92" s="60"/>
      <c r="WOP92" s="63" t="s">
        <v>934</v>
      </c>
      <c r="WOQ92" s="60"/>
      <c r="WPF92" s="63" t="s">
        <v>934</v>
      </c>
      <c r="WPG92" s="60"/>
      <c r="WPV92" s="63" t="s">
        <v>934</v>
      </c>
      <c r="WPW92" s="60"/>
      <c r="WQL92" s="63" t="s">
        <v>934</v>
      </c>
      <c r="WQM92" s="60"/>
      <c r="WRB92" s="63" t="s">
        <v>934</v>
      </c>
      <c r="WRC92" s="60"/>
      <c r="WRR92" s="63" t="s">
        <v>934</v>
      </c>
      <c r="WRS92" s="60"/>
      <c r="WSH92" s="63" t="s">
        <v>934</v>
      </c>
      <c r="WSI92" s="60"/>
      <c r="WSX92" s="63" t="s">
        <v>934</v>
      </c>
      <c r="WSY92" s="60"/>
      <c r="WTN92" s="63" t="s">
        <v>934</v>
      </c>
      <c r="WTO92" s="60"/>
      <c r="WUD92" s="63" t="s">
        <v>934</v>
      </c>
      <c r="WUE92" s="60"/>
      <c r="WUT92" s="63" t="s">
        <v>934</v>
      </c>
      <c r="WUU92" s="60"/>
      <c r="WVJ92" s="63" t="s">
        <v>934</v>
      </c>
      <c r="WVK92" s="60"/>
      <c r="WVZ92" s="63" t="s">
        <v>934</v>
      </c>
      <c r="WWA92" s="60"/>
      <c r="WWP92" s="63" t="s">
        <v>934</v>
      </c>
      <c r="WWQ92" s="60"/>
      <c r="WXF92" s="63" t="s">
        <v>934</v>
      </c>
      <c r="WXG92" s="60"/>
      <c r="WXV92" s="63" t="s">
        <v>934</v>
      </c>
      <c r="WXW92" s="60"/>
      <c r="WYL92" s="63" t="s">
        <v>934</v>
      </c>
      <c r="WYM92" s="60"/>
      <c r="WZB92" s="63" t="s">
        <v>934</v>
      </c>
      <c r="WZC92" s="60"/>
      <c r="WZR92" s="63" t="s">
        <v>934</v>
      </c>
      <c r="WZS92" s="60"/>
      <c r="XAH92" s="63" t="s">
        <v>934</v>
      </c>
      <c r="XAI92" s="60"/>
      <c r="XAX92" s="63" t="s">
        <v>934</v>
      </c>
      <c r="XAY92" s="60"/>
      <c r="XBN92" s="63" t="s">
        <v>934</v>
      </c>
      <c r="XBO92" s="60"/>
      <c r="XCD92" s="63" t="s">
        <v>934</v>
      </c>
      <c r="XCE92" s="60"/>
      <c r="XCT92" s="63" t="s">
        <v>934</v>
      </c>
      <c r="XCU92" s="60"/>
      <c r="XDJ92" s="63" t="s">
        <v>934</v>
      </c>
      <c r="XDK92" s="60"/>
      <c r="XDZ92" s="63" t="s">
        <v>934</v>
      </c>
      <c r="XEA92" s="60"/>
      <c r="XEP92" s="63" t="s">
        <v>934</v>
      </c>
      <c r="XEQ92" s="60"/>
    </row>
    <row r="93" spans="2:1011 1026:2035 2050:3059 3074:4083 4098:5107 5122:6131 6146:7155 7170:8179 8194:9203 9218:10227 10242:11251 11266:12275 12290:13299 13314:14323 14338:15347 15362:16371" ht="14.25" x14ac:dyDescent="0.2">
      <c r="R93" s="63" t="s">
        <v>882</v>
      </c>
      <c r="S93" s="60"/>
      <c r="AH93" s="63" t="s">
        <v>882</v>
      </c>
      <c r="AI93" s="60"/>
      <c r="AX93" s="63" t="s">
        <v>882</v>
      </c>
      <c r="AY93" s="60"/>
      <c r="BN93" s="63" t="s">
        <v>882</v>
      </c>
      <c r="BO93" s="60"/>
      <c r="CD93" s="63" t="s">
        <v>882</v>
      </c>
      <c r="CE93" s="60"/>
      <c r="CT93" s="63" t="s">
        <v>882</v>
      </c>
      <c r="CU93" s="60"/>
      <c r="DJ93" s="63" t="s">
        <v>882</v>
      </c>
      <c r="DK93" s="60"/>
      <c r="DZ93" s="63" t="s">
        <v>882</v>
      </c>
      <c r="EA93" s="60"/>
      <c r="EP93" s="63" t="s">
        <v>882</v>
      </c>
      <c r="EQ93" s="60"/>
      <c r="FF93" s="63" t="s">
        <v>882</v>
      </c>
      <c r="FG93" s="60"/>
      <c r="FV93" s="63" t="s">
        <v>882</v>
      </c>
      <c r="FW93" s="60"/>
      <c r="GL93" s="63" t="s">
        <v>882</v>
      </c>
      <c r="GM93" s="60"/>
      <c r="HB93" s="63" t="s">
        <v>882</v>
      </c>
      <c r="HC93" s="60"/>
      <c r="HR93" s="63" t="s">
        <v>882</v>
      </c>
      <c r="HS93" s="60"/>
      <c r="IH93" s="63" t="s">
        <v>882</v>
      </c>
      <c r="II93" s="60"/>
      <c r="IX93" s="63" t="s">
        <v>882</v>
      </c>
      <c r="IY93" s="60"/>
      <c r="JN93" s="63" t="s">
        <v>882</v>
      </c>
      <c r="JO93" s="60"/>
      <c r="KD93" s="63" t="s">
        <v>882</v>
      </c>
      <c r="KE93" s="60"/>
      <c r="KT93" s="63" t="s">
        <v>882</v>
      </c>
      <c r="KU93" s="60"/>
      <c r="LJ93" s="63" t="s">
        <v>882</v>
      </c>
      <c r="LK93" s="60"/>
      <c r="LZ93" s="63" t="s">
        <v>882</v>
      </c>
      <c r="MA93" s="60"/>
      <c r="MP93" s="63" t="s">
        <v>882</v>
      </c>
      <c r="MQ93" s="60"/>
      <c r="NF93" s="63" t="s">
        <v>882</v>
      </c>
      <c r="NG93" s="60"/>
      <c r="NV93" s="63" t="s">
        <v>882</v>
      </c>
      <c r="NW93" s="60"/>
      <c r="OL93" s="63" t="s">
        <v>882</v>
      </c>
      <c r="OM93" s="60"/>
      <c r="PB93" s="63" t="s">
        <v>882</v>
      </c>
      <c r="PC93" s="60"/>
      <c r="PR93" s="63" t="s">
        <v>882</v>
      </c>
      <c r="PS93" s="60"/>
      <c r="QH93" s="63" t="s">
        <v>882</v>
      </c>
      <c r="QI93" s="60"/>
      <c r="QX93" s="63" t="s">
        <v>882</v>
      </c>
      <c r="QY93" s="60"/>
      <c r="RN93" s="63" t="s">
        <v>882</v>
      </c>
      <c r="RO93" s="60"/>
      <c r="SD93" s="63" t="s">
        <v>882</v>
      </c>
      <c r="SE93" s="60"/>
      <c r="ST93" s="63" t="s">
        <v>882</v>
      </c>
      <c r="SU93" s="60"/>
      <c r="TJ93" s="63" t="s">
        <v>882</v>
      </c>
      <c r="TK93" s="60"/>
      <c r="TZ93" s="63" t="s">
        <v>882</v>
      </c>
      <c r="UA93" s="60"/>
      <c r="UP93" s="63" t="s">
        <v>882</v>
      </c>
      <c r="UQ93" s="60"/>
      <c r="VF93" s="63" t="s">
        <v>882</v>
      </c>
      <c r="VG93" s="60"/>
      <c r="VV93" s="63" t="s">
        <v>882</v>
      </c>
      <c r="VW93" s="60"/>
      <c r="WL93" s="63" t="s">
        <v>882</v>
      </c>
      <c r="WM93" s="60"/>
      <c r="XB93" s="63" t="s">
        <v>882</v>
      </c>
      <c r="XC93" s="60"/>
      <c r="XR93" s="63" t="s">
        <v>882</v>
      </c>
      <c r="XS93" s="60"/>
      <c r="YH93" s="63" t="s">
        <v>882</v>
      </c>
      <c r="YI93" s="60"/>
      <c r="YX93" s="63" t="s">
        <v>882</v>
      </c>
      <c r="YY93" s="60"/>
      <c r="ZN93" s="63" t="s">
        <v>882</v>
      </c>
      <c r="ZO93" s="60"/>
      <c r="AAD93" s="63" t="s">
        <v>882</v>
      </c>
      <c r="AAE93" s="60"/>
      <c r="AAT93" s="63" t="s">
        <v>882</v>
      </c>
      <c r="AAU93" s="60"/>
      <c r="ABJ93" s="63" t="s">
        <v>882</v>
      </c>
      <c r="ABK93" s="60"/>
      <c r="ABZ93" s="63" t="s">
        <v>882</v>
      </c>
      <c r="ACA93" s="60"/>
      <c r="ACP93" s="63" t="s">
        <v>882</v>
      </c>
      <c r="ACQ93" s="60"/>
      <c r="ADF93" s="63" t="s">
        <v>882</v>
      </c>
      <c r="ADG93" s="60"/>
      <c r="ADV93" s="63" t="s">
        <v>882</v>
      </c>
      <c r="ADW93" s="60"/>
      <c r="AEL93" s="63" t="s">
        <v>882</v>
      </c>
      <c r="AEM93" s="60"/>
      <c r="AFB93" s="63" t="s">
        <v>882</v>
      </c>
      <c r="AFC93" s="60"/>
      <c r="AFR93" s="63" t="s">
        <v>882</v>
      </c>
      <c r="AFS93" s="60"/>
      <c r="AGH93" s="63" t="s">
        <v>882</v>
      </c>
      <c r="AGI93" s="60"/>
      <c r="AGX93" s="63" t="s">
        <v>882</v>
      </c>
      <c r="AGY93" s="60"/>
      <c r="AHN93" s="63" t="s">
        <v>882</v>
      </c>
      <c r="AHO93" s="60"/>
      <c r="AID93" s="63" t="s">
        <v>882</v>
      </c>
      <c r="AIE93" s="60"/>
      <c r="AIT93" s="63" t="s">
        <v>882</v>
      </c>
      <c r="AIU93" s="60"/>
      <c r="AJJ93" s="63" t="s">
        <v>882</v>
      </c>
      <c r="AJK93" s="60"/>
      <c r="AJZ93" s="63" t="s">
        <v>882</v>
      </c>
      <c r="AKA93" s="60"/>
      <c r="AKP93" s="63" t="s">
        <v>882</v>
      </c>
      <c r="AKQ93" s="60"/>
      <c r="ALF93" s="63" t="s">
        <v>882</v>
      </c>
      <c r="ALG93" s="60"/>
      <c r="ALV93" s="63" t="s">
        <v>882</v>
      </c>
      <c r="ALW93" s="60"/>
      <c r="AML93" s="63" t="s">
        <v>882</v>
      </c>
      <c r="AMM93" s="60"/>
      <c r="ANB93" s="63" t="s">
        <v>882</v>
      </c>
      <c r="ANC93" s="60"/>
      <c r="ANR93" s="63" t="s">
        <v>882</v>
      </c>
      <c r="ANS93" s="60"/>
      <c r="AOH93" s="63" t="s">
        <v>882</v>
      </c>
      <c r="AOI93" s="60"/>
      <c r="AOX93" s="63" t="s">
        <v>882</v>
      </c>
      <c r="AOY93" s="60"/>
      <c r="APN93" s="63" t="s">
        <v>882</v>
      </c>
      <c r="APO93" s="60"/>
      <c r="AQD93" s="63" t="s">
        <v>882</v>
      </c>
      <c r="AQE93" s="60"/>
      <c r="AQT93" s="63" t="s">
        <v>882</v>
      </c>
      <c r="AQU93" s="60"/>
      <c r="ARJ93" s="63" t="s">
        <v>882</v>
      </c>
      <c r="ARK93" s="60"/>
      <c r="ARZ93" s="63" t="s">
        <v>882</v>
      </c>
      <c r="ASA93" s="60"/>
      <c r="ASP93" s="63" t="s">
        <v>882</v>
      </c>
      <c r="ASQ93" s="60"/>
      <c r="ATF93" s="63" t="s">
        <v>882</v>
      </c>
      <c r="ATG93" s="60"/>
      <c r="ATV93" s="63" t="s">
        <v>882</v>
      </c>
      <c r="ATW93" s="60"/>
      <c r="AUL93" s="63" t="s">
        <v>882</v>
      </c>
      <c r="AUM93" s="60"/>
      <c r="AVB93" s="63" t="s">
        <v>882</v>
      </c>
      <c r="AVC93" s="60"/>
      <c r="AVR93" s="63" t="s">
        <v>882</v>
      </c>
      <c r="AVS93" s="60"/>
      <c r="AWH93" s="63" t="s">
        <v>882</v>
      </c>
      <c r="AWI93" s="60"/>
      <c r="AWX93" s="63" t="s">
        <v>882</v>
      </c>
      <c r="AWY93" s="60"/>
      <c r="AXN93" s="63" t="s">
        <v>882</v>
      </c>
      <c r="AXO93" s="60"/>
      <c r="AYD93" s="63" t="s">
        <v>882</v>
      </c>
      <c r="AYE93" s="60"/>
      <c r="AYT93" s="63" t="s">
        <v>882</v>
      </c>
      <c r="AYU93" s="60"/>
      <c r="AZJ93" s="63" t="s">
        <v>882</v>
      </c>
      <c r="AZK93" s="60"/>
      <c r="AZZ93" s="63" t="s">
        <v>882</v>
      </c>
      <c r="BAA93" s="60"/>
      <c r="BAP93" s="63" t="s">
        <v>882</v>
      </c>
      <c r="BAQ93" s="60"/>
      <c r="BBF93" s="63" t="s">
        <v>882</v>
      </c>
      <c r="BBG93" s="60"/>
      <c r="BBV93" s="63" t="s">
        <v>882</v>
      </c>
      <c r="BBW93" s="60"/>
      <c r="BCL93" s="63" t="s">
        <v>882</v>
      </c>
      <c r="BCM93" s="60"/>
      <c r="BDB93" s="63" t="s">
        <v>882</v>
      </c>
      <c r="BDC93" s="60"/>
      <c r="BDR93" s="63" t="s">
        <v>882</v>
      </c>
      <c r="BDS93" s="60"/>
      <c r="BEH93" s="63" t="s">
        <v>882</v>
      </c>
      <c r="BEI93" s="60"/>
      <c r="BEX93" s="63" t="s">
        <v>882</v>
      </c>
      <c r="BEY93" s="60"/>
      <c r="BFN93" s="63" t="s">
        <v>882</v>
      </c>
      <c r="BFO93" s="60"/>
      <c r="BGD93" s="63" t="s">
        <v>882</v>
      </c>
      <c r="BGE93" s="60"/>
      <c r="BGT93" s="63" t="s">
        <v>882</v>
      </c>
      <c r="BGU93" s="60"/>
      <c r="BHJ93" s="63" t="s">
        <v>882</v>
      </c>
      <c r="BHK93" s="60"/>
      <c r="BHZ93" s="63" t="s">
        <v>882</v>
      </c>
      <c r="BIA93" s="60"/>
      <c r="BIP93" s="63" t="s">
        <v>882</v>
      </c>
      <c r="BIQ93" s="60"/>
      <c r="BJF93" s="63" t="s">
        <v>882</v>
      </c>
      <c r="BJG93" s="60"/>
      <c r="BJV93" s="63" t="s">
        <v>882</v>
      </c>
      <c r="BJW93" s="60"/>
      <c r="BKL93" s="63" t="s">
        <v>882</v>
      </c>
      <c r="BKM93" s="60"/>
      <c r="BLB93" s="63" t="s">
        <v>882</v>
      </c>
      <c r="BLC93" s="60"/>
      <c r="BLR93" s="63" t="s">
        <v>882</v>
      </c>
      <c r="BLS93" s="60"/>
      <c r="BMH93" s="63" t="s">
        <v>882</v>
      </c>
      <c r="BMI93" s="60"/>
      <c r="BMX93" s="63" t="s">
        <v>882</v>
      </c>
      <c r="BMY93" s="60"/>
      <c r="BNN93" s="63" t="s">
        <v>882</v>
      </c>
      <c r="BNO93" s="60"/>
      <c r="BOD93" s="63" t="s">
        <v>882</v>
      </c>
      <c r="BOE93" s="60"/>
      <c r="BOT93" s="63" t="s">
        <v>882</v>
      </c>
      <c r="BOU93" s="60"/>
      <c r="BPJ93" s="63" t="s">
        <v>882</v>
      </c>
      <c r="BPK93" s="60"/>
      <c r="BPZ93" s="63" t="s">
        <v>882</v>
      </c>
      <c r="BQA93" s="60"/>
      <c r="BQP93" s="63" t="s">
        <v>882</v>
      </c>
      <c r="BQQ93" s="60"/>
      <c r="BRF93" s="63" t="s">
        <v>882</v>
      </c>
      <c r="BRG93" s="60"/>
      <c r="BRV93" s="63" t="s">
        <v>882</v>
      </c>
      <c r="BRW93" s="60"/>
      <c r="BSL93" s="63" t="s">
        <v>882</v>
      </c>
      <c r="BSM93" s="60"/>
      <c r="BTB93" s="63" t="s">
        <v>882</v>
      </c>
      <c r="BTC93" s="60"/>
      <c r="BTR93" s="63" t="s">
        <v>882</v>
      </c>
      <c r="BTS93" s="60"/>
      <c r="BUH93" s="63" t="s">
        <v>882</v>
      </c>
      <c r="BUI93" s="60"/>
      <c r="BUX93" s="63" t="s">
        <v>882</v>
      </c>
      <c r="BUY93" s="60"/>
      <c r="BVN93" s="63" t="s">
        <v>882</v>
      </c>
      <c r="BVO93" s="60"/>
      <c r="BWD93" s="63" t="s">
        <v>882</v>
      </c>
      <c r="BWE93" s="60"/>
      <c r="BWT93" s="63" t="s">
        <v>882</v>
      </c>
      <c r="BWU93" s="60"/>
      <c r="BXJ93" s="63" t="s">
        <v>882</v>
      </c>
      <c r="BXK93" s="60"/>
      <c r="BXZ93" s="63" t="s">
        <v>882</v>
      </c>
      <c r="BYA93" s="60"/>
      <c r="BYP93" s="63" t="s">
        <v>882</v>
      </c>
      <c r="BYQ93" s="60"/>
      <c r="BZF93" s="63" t="s">
        <v>882</v>
      </c>
      <c r="BZG93" s="60"/>
      <c r="BZV93" s="63" t="s">
        <v>882</v>
      </c>
      <c r="BZW93" s="60"/>
      <c r="CAL93" s="63" t="s">
        <v>882</v>
      </c>
      <c r="CAM93" s="60"/>
      <c r="CBB93" s="63" t="s">
        <v>882</v>
      </c>
      <c r="CBC93" s="60"/>
      <c r="CBR93" s="63" t="s">
        <v>882</v>
      </c>
      <c r="CBS93" s="60"/>
      <c r="CCH93" s="63" t="s">
        <v>882</v>
      </c>
      <c r="CCI93" s="60"/>
      <c r="CCX93" s="63" t="s">
        <v>882</v>
      </c>
      <c r="CCY93" s="60"/>
      <c r="CDN93" s="63" t="s">
        <v>882</v>
      </c>
      <c r="CDO93" s="60"/>
      <c r="CED93" s="63" t="s">
        <v>882</v>
      </c>
      <c r="CEE93" s="60"/>
      <c r="CET93" s="63" t="s">
        <v>882</v>
      </c>
      <c r="CEU93" s="60"/>
      <c r="CFJ93" s="63" t="s">
        <v>882</v>
      </c>
      <c r="CFK93" s="60"/>
      <c r="CFZ93" s="63" t="s">
        <v>882</v>
      </c>
      <c r="CGA93" s="60"/>
      <c r="CGP93" s="63" t="s">
        <v>882</v>
      </c>
      <c r="CGQ93" s="60"/>
      <c r="CHF93" s="63" t="s">
        <v>882</v>
      </c>
      <c r="CHG93" s="60"/>
      <c r="CHV93" s="63" t="s">
        <v>882</v>
      </c>
      <c r="CHW93" s="60"/>
      <c r="CIL93" s="63" t="s">
        <v>882</v>
      </c>
      <c r="CIM93" s="60"/>
      <c r="CJB93" s="63" t="s">
        <v>882</v>
      </c>
      <c r="CJC93" s="60"/>
      <c r="CJR93" s="63" t="s">
        <v>882</v>
      </c>
      <c r="CJS93" s="60"/>
      <c r="CKH93" s="63" t="s">
        <v>882</v>
      </c>
      <c r="CKI93" s="60"/>
      <c r="CKX93" s="63" t="s">
        <v>882</v>
      </c>
      <c r="CKY93" s="60"/>
      <c r="CLN93" s="63" t="s">
        <v>882</v>
      </c>
      <c r="CLO93" s="60"/>
      <c r="CMD93" s="63" t="s">
        <v>882</v>
      </c>
      <c r="CME93" s="60"/>
      <c r="CMT93" s="63" t="s">
        <v>882</v>
      </c>
      <c r="CMU93" s="60"/>
      <c r="CNJ93" s="63" t="s">
        <v>882</v>
      </c>
      <c r="CNK93" s="60"/>
      <c r="CNZ93" s="63" t="s">
        <v>882</v>
      </c>
      <c r="COA93" s="60"/>
      <c r="COP93" s="63" t="s">
        <v>882</v>
      </c>
      <c r="COQ93" s="60"/>
      <c r="CPF93" s="63" t="s">
        <v>882</v>
      </c>
      <c r="CPG93" s="60"/>
      <c r="CPV93" s="63" t="s">
        <v>882</v>
      </c>
      <c r="CPW93" s="60"/>
      <c r="CQL93" s="63" t="s">
        <v>882</v>
      </c>
      <c r="CQM93" s="60"/>
      <c r="CRB93" s="63" t="s">
        <v>882</v>
      </c>
      <c r="CRC93" s="60"/>
      <c r="CRR93" s="63" t="s">
        <v>882</v>
      </c>
      <c r="CRS93" s="60"/>
      <c r="CSH93" s="63" t="s">
        <v>882</v>
      </c>
      <c r="CSI93" s="60"/>
      <c r="CSX93" s="63" t="s">
        <v>882</v>
      </c>
      <c r="CSY93" s="60"/>
      <c r="CTN93" s="63" t="s">
        <v>882</v>
      </c>
      <c r="CTO93" s="60"/>
      <c r="CUD93" s="63" t="s">
        <v>882</v>
      </c>
      <c r="CUE93" s="60"/>
      <c r="CUT93" s="63" t="s">
        <v>882</v>
      </c>
      <c r="CUU93" s="60"/>
      <c r="CVJ93" s="63" t="s">
        <v>882</v>
      </c>
      <c r="CVK93" s="60"/>
      <c r="CVZ93" s="63" t="s">
        <v>882</v>
      </c>
      <c r="CWA93" s="60"/>
      <c r="CWP93" s="63" t="s">
        <v>882</v>
      </c>
      <c r="CWQ93" s="60"/>
      <c r="CXF93" s="63" t="s">
        <v>882</v>
      </c>
      <c r="CXG93" s="60"/>
      <c r="CXV93" s="63" t="s">
        <v>882</v>
      </c>
      <c r="CXW93" s="60"/>
      <c r="CYL93" s="63" t="s">
        <v>882</v>
      </c>
      <c r="CYM93" s="60"/>
      <c r="CZB93" s="63" t="s">
        <v>882</v>
      </c>
      <c r="CZC93" s="60"/>
      <c r="CZR93" s="63" t="s">
        <v>882</v>
      </c>
      <c r="CZS93" s="60"/>
      <c r="DAH93" s="63" t="s">
        <v>882</v>
      </c>
      <c r="DAI93" s="60"/>
      <c r="DAX93" s="63" t="s">
        <v>882</v>
      </c>
      <c r="DAY93" s="60"/>
      <c r="DBN93" s="63" t="s">
        <v>882</v>
      </c>
      <c r="DBO93" s="60"/>
      <c r="DCD93" s="63" t="s">
        <v>882</v>
      </c>
      <c r="DCE93" s="60"/>
      <c r="DCT93" s="63" t="s">
        <v>882</v>
      </c>
      <c r="DCU93" s="60"/>
      <c r="DDJ93" s="63" t="s">
        <v>882</v>
      </c>
      <c r="DDK93" s="60"/>
      <c r="DDZ93" s="63" t="s">
        <v>882</v>
      </c>
      <c r="DEA93" s="60"/>
      <c r="DEP93" s="63" t="s">
        <v>882</v>
      </c>
      <c r="DEQ93" s="60"/>
      <c r="DFF93" s="63" t="s">
        <v>882</v>
      </c>
      <c r="DFG93" s="60"/>
      <c r="DFV93" s="63" t="s">
        <v>882</v>
      </c>
      <c r="DFW93" s="60"/>
      <c r="DGL93" s="63" t="s">
        <v>882</v>
      </c>
      <c r="DGM93" s="60"/>
      <c r="DHB93" s="63" t="s">
        <v>882</v>
      </c>
      <c r="DHC93" s="60"/>
      <c r="DHR93" s="63" t="s">
        <v>882</v>
      </c>
      <c r="DHS93" s="60"/>
      <c r="DIH93" s="63" t="s">
        <v>882</v>
      </c>
      <c r="DII93" s="60"/>
      <c r="DIX93" s="63" t="s">
        <v>882</v>
      </c>
      <c r="DIY93" s="60"/>
      <c r="DJN93" s="63" t="s">
        <v>882</v>
      </c>
      <c r="DJO93" s="60"/>
      <c r="DKD93" s="63" t="s">
        <v>882</v>
      </c>
      <c r="DKE93" s="60"/>
      <c r="DKT93" s="63" t="s">
        <v>882</v>
      </c>
      <c r="DKU93" s="60"/>
      <c r="DLJ93" s="63" t="s">
        <v>882</v>
      </c>
      <c r="DLK93" s="60"/>
      <c r="DLZ93" s="63" t="s">
        <v>882</v>
      </c>
      <c r="DMA93" s="60"/>
      <c r="DMP93" s="63" t="s">
        <v>882</v>
      </c>
      <c r="DMQ93" s="60"/>
      <c r="DNF93" s="63" t="s">
        <v>882</v>
      </c>
      <c r="DNG93" s="60"/>
      <c r="DNV93" s="63" t="s">
        <v>882</v>
      </c>
      <c r="DNW93" s="60"/>
      <c r="DOL93" s="63" t="s">
        <v>882</v>
      </c>
      <c r="DOM93" s="60"/>
      <c r="DPB93" s="63" t="s">
        <v>882</v>
      </c>
      <c r="DPC93" s="60"/>
      <c r="DPR93" s="63" t="s">
        <v>882</v>
      </c>
      <c r="DPS93" s="60"/>
      <c r="DQH93" s="63" t="s">
        <v>882</v>
      </c>
      <c r="DQI93" s="60"/>
      <c r="DQX93" s="63" t="s">
        <v>882</v>
      </c>
      <c r="DQY93" s="60"/>
      <c r="DRN93" s="63" t="s">
        <v>882</v>
      </c>
      <c r="DRO93" s="60"/>
      <c r="DSD93" s="63" t="s">
        <v>882</v>
      </c>
      <c r="DSE93" s="60"/>
      <c r="DST93" s="63" t="s">
        <v>882</v>
      </c>
      <c r="DSU93" s="60"/>
      <c r="DTJ93" s="63" t="s">
        <v>882</v>
      </c>
      <c r="DTK93" s="60"/>
      <c r="DTZ93" s="63" t="s">
        <v>882</v>
      </c>
      <c r="DUA93" s="60"/>
      <c r="DUP93" s="63" t="s">
        <v>882</v>
      </c>
      <c r="DUQ93" s="60"/>
      <c r="DVF93" s="63" t="s">
        <v>882</v>
      </c>
      <c r="DVG93" s="60"/>
      <c r="DVV93" s="63" t="s">
        <v>882</v>
      </c>
      <c r="DVW93" s="60"/>
      <c r="DWL93" s="63" t="s">
        <v>882</v>
      </c>
      <c r="DWM93" s="60"/>
      <c r="DXB93" s="63" t="s">
        <v>882</v>
      </c>
      <c r="DXC93" s="60"/>
      <c r="DXR93" s="63" t="s">
        <v>882</v>
      </c>
      <c r="DXS93" s="60"/>
      <c r="DYH93" s="63" t="s">
        <v>882</v>
      </c>
      <c r="DYI93" s="60"/>
      <c r="DYX93" s="63" t="s">
        <v>882</v>
      </c>
      <c r="DYY93" s="60"/>
      <c r="DZN93" s="63" t="s">
        <v>882</v>
      </c>
      <c r="DZO93" s="60"/>
      <c r="EAD93" s="63" t="s">
        <v>882</v>
      </c>
      <c r="EAE93" s="60"/>
      <c r="EAT93" s="63" t="s">
        <v>882</v>
      </c>
      <c r="EAU93" s="60"/>
      <c r="EBJ93" s="63" t="s">
        <v>882</v>
      </c>
      <c r="EBK93" s="60"/>
      <c r="EBZ93" s="63" t="s">
        <v>882</v>
      </c>
      <c r="ECA93" s="60"/>
      <c r="ECP93" s="63" t="s">
        <v>882</v>
      </c>
      <c r="ECQ93" s="60"/>
      <c r="EDF93" s="63" t="s">
        <v>882</v>
      </c>
      <c r="EDG93" s="60"/>
      <c r="EDV93" s="63" t="s">
        <v>882</v>
      </c>
      <c r="EDW93" s="60"/>
      <c r="EEL93" s="63" t="s">
        <v>882</v>
      </c>
      <c r="EEM93" s="60"/>
      <c r="EFB93" s="63" t="s">
        <v>882</v>
      </c>
      <c r="EFC93" s="60"/>
      <c r="EFR93" s="63" t="s">
        <v>882</v>
      </c>
      <c r="EFS93" s="60"/>
      <c r="EGH93" s="63" t="s">
        <v>882</v>
      </c>
      <c r="EGI93" s="60"/>
      <c r="EGX93" s="63" t="s">
        <v>882</v>
      </c>
      <c r="EGY93" s="60"/>
      <c r="EHN93" s="63" t="s">
        <v>882</v>
      </c>
      <c r="EHO93" s="60"/>
      <c r="EID93" s="63" t="s">
        <v>882</v>
      </c>
      <c r="EIE93" s="60"/>
      <c r="EIT93" s="63" t="s">
        <v>882</v>
      </c>
      <c r="EIU93" s="60"/>
      <c r="EJJ93" s="63" t="s">
        <v>882</v>
      </c>
      <c r="EJK93" s="60"/>
      <c r="EJZ93" s="63" t="s">
        <v>882</v>
      </c>
      <c r="EKA93" s="60"/>
      <c r="EKP93" s="63" t="s">
        <v>882</v>
      </c>
      <c r="EKQ93" s="60"/>
      <c r="ELF93" s="63" t="s">
        <v>882</v>
      </c>
      <c r="ELG93" s="60"/>
      <c r="ELV93" s="63" t="s">
        <v>882</v>
      </c>
      <c r="ELW93" s="60"/>
      <c r="EML93" s="63" t="s">
        <v>882</v>
      </c>
      <c r="EMM93" s="60"/>
      <c r="ENB93" s="63" t="s">
        <v>882</v>
      </c>
      <c r="ENC93" s="60"/>
      <c r="ENR93" s="63" t="s">
        <v>882</v>
      </c>
      <c r="ENS93" s="60"/>
      <c r="EOH93" s="63" t="s">
        <v>882</v>
      </c>
      <c r="EOI93" s="60"/>
      <c r="EOX93" s="63" t="s">
        <v>882</v>
      </c>
      <c r="EOY93" s="60"/>
      <c r="EPN93" s="63" t="s">
        <v>882</v>
      </c>
      <c r="EPO93" s="60"/>
      <c r="EQD93" s="63" t="s">
        <v>882</v>
      </c>
      <c r="EQE93" s="60"/>
      <c r="EQT93" s="63" t="s">
        <v>882</v>
      </c>
      <c r="EQU93" s="60"/>
      <c r="ERJ93" s="63" t="s">
        <v>882</v>
      </c>
      <c r="ERK93" s="60"/>
      <c r="ERZ93" s="63" t="s">
        <v>882</v>
      </c>
      <c r="ESA93" s="60"/>
      <c r="ESP93" s="63" t="s">
        <v>882</v>
      </c>
      <c r="ESQ93" s="60"/>
      <c r="ETF93" s="63" t="s">
        <v>882</v>
      </c>
      <c r="ETG93" s="60"/>
      <c r="ETV93" s="63" t="s">
        <v>882</v>
      </c>
      <c r="ETW93" s="60"/>
      <c r="EUL93" s="63" t="s">
        <v>882</v>
      </c>
      <c r="EUM93" s="60"/>
      <c r="EVB93" s="63" t="s">
        <v>882</v>
      </c>
      <c r="EVC93" s="60"/>
      <c r="EVR93" s="63" t="s">
        <v>882</v>
      </c>
      <c r="EVS93" s="60"/>
      <c r="EWH93" s="63" t="s">
        <v>882</v>
      </c>
      <c r="EWI93" s="60"/>
      <c r="EWX93" s="63" t="s">
        <v>882</v>
      </c>
      <c r="EWY93" s="60"/>
      <c r="EXN93" s="63" t="s">
        <v>882</v>
      </c>
      <c r="EXO93" s="60"/>
      <c r="EYD93" s="63" t="s">
        <v>882</v>
      </c>
      <c r="EYE93" s="60"/>
      <c r="EYT93" s="63" t="s">
        <v>882</v>
      </c>
      <c r="EYU93" s="60"/>
      <c r="EZJ93" s="63" t="s">
        <v>882</v>
      </c>
      <c r="EZK93" s="60"/>
      <c r="EZZ93" s="63" t="s">
        <v>882</v>
      </c>
      <c r="FAA93" s="60"/>
      <c r="FAP93" s="63" t="s">
        <v>882</v>
      </c>
      <c r="FAQ93" s="60"/>
      <c r="FBF93" s="63" t="s">
        <v>882</v>
      </c>
      <c r="FBG93" s="60"/>
      <c r="FBV93" s="63" t="s">
        <v>882</v>
      </c>
      <c r="FBW93" s="60"/>
      <c r="FCL93" s="63" t="s">
        <v>882</v>
      </c>
      <c r="FCM93" s="60"/>
      <c r="FDB93" s="63" t="s">
        <v>882</v>
      </c>
      <c r="FDC93" s="60"/>
      <c r="FDR93" s="63" t="s">
        <v>882</v>
      </c>
      <c r="FDS93" s="60"/>
      <c r="FEH93" s="63" t="s">
        <v>882</v>
      </c>
      <c r="FEI93" s="60"/>
      <c r="FEX93" s="63" t="s">
        <v>882</v>
      </c>
      <c r="FEY93" s="60"/>
      <c r="FFN93" s="63" t="s">
        <v>882</v>
      </c>
      <c r="FFO93" s="60"/>
      <c r="FGD93" s="63" t="s">
        <v>882</v>
      </c>
      <c r="FGE93" s="60"/>
      <c r="FGT93" s="63" t="s">
        <v>882</v>
      </c>
      <c r="FGU93" s="60"/>
      <c r="FHJ93" s="63" t="s">
        <v>882</v>
      </c>
      <c r="FHK93" s="60"/>
      <c r="FHZ93" s="63" t="s">
        <v>882</v>
      </c>
      <c r="FIA93" s="60"/>
      <c r="FIP93" s="63" t="s">
        <v>882</v>
      </c>
      <c r="FIQ93" s="60"/>
      <c r="FJF93" s="63" t="s">
        <v>882</v>
      </c>
      <c r="FJG93" s="60"/>
      <c r="FJV93" s="63" t="s">
        <v>882</v>
      </c>
      <c r="FJW93" s="60"/>
      <c r="FKL93" s="63" t="s">
        <v>882</v>
      </c>
      <c r="FKM93" s="60"/>
      <c r="FLB93" s="63" t="s">
        <v>882</v>
      </c>
      <c r="FLC93" s="60"/>
      <c r="FLR93" s="63" t="s">
        <v>882</v>
      </c>
      <c r="FLS93" s="60"/>
      <c r="FMH93" s="63" t="s">
        <v>882</v>
      </c>
      <c r="FMI93" s="60"/>
      <c r="FMX93" s="63" t="s">
        <v>882</v>
      </c>
      <c r="FMY93" s="60"/>
      <c r="FNN93" s="63" t="s">
        <v>882</v>
      </c>
      <c r="FNO93" s="60"/>
      <c r="FOD93" s="63" t="s">
        <v>882</v>
      </c>
      <c r="FOE93" s="60"/>
      <c r="FOT93" s="63" t="s">
        <v>882</v>
      </c>
      <c r="FOU93" s="60"/>
      <c r="FPJ93" s="63" t="s">
        <v>882</v>
      </c>
      <c r="FPK93" s="60"/>
      <c r="FPZ93" s="63" t="s">
        <v>882</v>
      </c>
      <c r="FQA93" s="60"/>
      <c r="FQP93" s="63" t="s">
        <v>882</v>
      </c>
      <c r="FQQ93" s="60"/>
      <c r="FRF93" s="63" t="s">
        <v>882</v>
      </c>
      <c r="FRG93" s="60"/>
      <c r="FRV93" s="63" t="s">
        <v>882</v>
      </c>
      <c r="FRW93" s="60"/>
      <c r="FSL93" s="63" t="s">
        <v>882</v>
      </c>
      <c r="FSM93" s="60"/>
      <c r="FTB93" s="63" t="s">
        <v>882</v>
      </c>
      <c r="FTC93" s="60"/>
      <c r="FTR93" s="63" t="s">
        <v>882</v>
      </c>
      <c r="FTS93" s="60"/>
      <c r="FUH93" s="63" t="s">
        <v>882</v>
      </c>
      <c r="FUI93" s="60"/>
      <c r="FUX93" s="63" t="s">
        <v>882</v>
      </c>
      <c r="FUY93" s="60"/>
      <c r="FVN93" s="63" t="s">
        <v>882</v>
      </c>
      <c r="FVO93" s="60"/>
      <c r="FWD93" s="63" t="s">
        <v>882</v>
      </c>
      <c r="FWE93" s="60"/>
      <c r="FWT93" s="63" t="s">
        <v>882</v>
      </c>
      <c r="FWU93" s="60"/>
      <c r="FXJ93" s="63" t="s">
        <v>882</v>
      </c>
      <c r="FXK93" s="60"/>
      <c r="FXZ93" s="63" t="s">
        <v>882</v>
      </c>
      <c r="FYA93" s="60"/>
      <c r="FYP93" s="63" t="s">
        <v>882</v>
      </c>
      <c r="FYQ93" s="60"/>
      <c r="FZF93" s="63" t="s">
        <v>882</v>
      </c>
      <c r="FZG93" s="60"/>
      <c r="FZV93" s="63" t="s">
        <v>882</v>
      </c>
      <c r="FZW93" s="60"/>
      <c r="GAL93" s="63" t="s">
        <v>882</v>
      </c>
      <c r="GAM93" s="60"/>
      <c r="GBB93" s="63" t="s">
        <v>882</v>
      </c>
      <c r="GBC93" s="60"/>
      <c r="GBR93" s="63" t="s">
        <v>882</v>
      </c>
      <c r="GBS93" s="60"/>
      <c r="GCH93" s="63" t="s">
        <v>882</v>
      </c>
      <c r="GCI93" s="60"/>
      <c r="GCX93" s="63" t="s">
        <v>882</v>
      </c>
      <c r="GCY93" s="60"/>
      <c r="GDN93" s="63" t="s">
        <v>882</v>
      </c>
      <c r="GDO93" s="60"/>
      <c r="GED93" s="63" t="s">
        <v>882</v>
      </c>
      <c r="GEE93" s="60"/>
      <c r="GET93" s="63" t="s">
        <v>882</v>
      </c>
      <c r="GEU93" s="60"/>
      <c r="GFJ93" s="63" t="s">
        <v>882</v>
      </c>
      <c r="GFK93" s="60"/>
      <c r="GFZ93" s="63" t="s">
        <v>882</v>
      </c>
      <c r="GGA93" s="60"/>
      <c r="GGP93" s="63" t="s">
        <v>882</v>
      </c>
      <c r="GGQ93" s="60"/>
      <c r="GHF93" s="63" t="s">
        <v>882</v>
      </c>
      <c r="GHG93" s="60"/>
      <c r="GHV93" s="63" t="s">
        <v>882</v>
      </c>
      <c r="GHW93" s="60"/>
      <c r="GIL93" s="63" t="s">
        <v>882</v>
      </c>
      <c r="GIM93" s="60"/>
      <c r="GJB93" s="63" t="s">
        <v>882</v>
      </c>
      <c r="GJC93" s="60"/>
      <c r="GJR93" s="63" t="s">
        <v>882</v>
      </c>
      <c r="GJS93" s="60"/>
      <c r="GKH93" s="63" t="s">
        <v>882</v>
      </c>
      <c r="GKI93" s="60"/>
      <c r="GKX93" s="63" t="s">
        <v>882</v>
      </c>
      <c r="GKY93" s="60"/>
      <c r="GLN93" s="63" t="s">
        <v>882</v>
      </c>
      <c r="GLO93" s="60"/>
      <c r="GMD93" s="63" t="s">
        <v>882</v>
      </c>
      <c r="GME93" s="60"/>
      <c r="GMT93" s="63" t="s">
        <v>882</v>
      </c>
      <c r="GMU93" s="60"/>
      <c r="GNJ93" s="63" t="s">
        <v>882</v>
      </c>
      <c r="GNK93" s="60"/>
      <c r="GNZ93" s="63" t="s">
        <v>882</v>
      </c>
      <c r="GOA93" s="60"/>
      <c r="GOP93" s="63" t="s">
        <v>882</v>
      </c>
      <c r="GOQ93" s="60"/>
      <c r="GPF93" s="63" t="s">
        <v>882</v>
      </c>
      <c r="GPG93" s="60"/>
      <c r="GPV93" s="63" t="s">
        <v>882</v>
      </c>
      <c r="GPW93" s="60"/>
      <c r="GQL93" s="63" t="s">
        <v>882</v>
      </c>
      <c r="GQM93" s="60"/>
      <c r="GRB93" s="63" t="s">
        <v>882</v>
      </c>
      <c r="GRC93" s="60"/>
      <c r="GRR93" s="63" t="s">
        <v>882</v>
      </c>
      <c r="GRS93" s="60"/>
      <c r="GSH93" s="63" t="s">
        <v>882</v>
      </c>
      <c r="GSI93" s="60"/>
      <c r="GSX93" s="63" t="s">
        <v>882</v>
      </c>
      <c r="GSY93" s="60"/>
      <c r="GTN93" s="63" t="s">
        <v>882</v>
      </c>
      <c r="GTO93" s="60"/>
      <c r="GUD93" s="63" t="s">
        <v>882</v>
      </c>
      <c r="GUE93" s="60"/>
      <c r="GUT93" s="63" t="s">
        <v>882</v>
      </c>
      <c r="GUU93" s="60"/>
      <c r="GVJ93" s="63" t="s">
        <v>882</v>
      </c>
      <c r="GVK93" s="60"/>
      <c r="GVZ93" s="63" t="s">
        <v>882</v>
      </c>
      <c r="GWA93" s="60"/>
      <c r="GWP93" s="63" t="s">
        <v>882</v>
      </c>
      <c r="GWQ93" s="60"/>
      <c r="GXF93" s="63" t="s">
        <v>882</v>
      </c>
      <c r="GXG93" s="60"/>
      <c r="GXV93" s="63" t="s">
        <v>882</v>
      </c>
      <c r="GXW93" s="60"/>
      <c r="GYL93" s="63" t="s">
        <v>882</v>
      </c>
      <c r="GYM93" s="60"/>
      <c r="GZB93" s="63" t="s">
        <v>882</v>
      </c>
      <c r="GZC93" s="60"/>
      <c r="GZR93" s="63" t="s">
        <v>882</v>
      </c>
      <c r="GZS93" s="60"/>
      <c r="HAH93" s="63" t="s">
        <v>882</v>
      </c>
      <c r="HAI93" s="60"/>
      <c r="HAX93" s="63" t="s">
        <v>882</v>
      </c>
      <c r="HAY93" s="60"/>
      <c r="HBN93" s="63" t="s">
        <v>882</v>
      </c>
      <c r="HBO93" s="60"/>
      <c r="HCD93" s="63" t="s">
        <v>882</v>
      </c>
      <c r="HCE93" s="60"/>
      <c r="HCT93" s="63" t="s">
        <v>882</v>
      </c>
      <c r="HCU93" s="60"/>
      <c r="HDJ93" s="63" t="s">
        <v>882</v>
      </c>
      <c r="HDK93" s="60"/>
      <c r="HDZ93" s="63" t="s">
        <v>882</v>
      </c>
      <c r="HEA93" s="60"/>
      <c r="HEP93" s="63" t="s">
        <v>882</v>
      </c>
      <c r="HEQ93" s="60"/>
      <c r="HFF93" s="63" t="s">
        <v>882</v>
      </c>
      <c r="HFG93" s="60"/>
      <c r="HFV93" s="63" t="s">
        <v>882</v>
      </c>
      <c r="HFW93" s="60"/>
      <c r="HGL93" s="63" t="s">
        <v>882</v>
      </c>
      <c r="HGM93" s="60"/>
      <c r="HHB93" s="63" t="s">
        <v>882</v>
      </c>
      <c r="HHC93" s="60"/>
      <c r="HHR93" s="63" t="s">
        <v>882</v>
      </c>
      <c r="HHS93" s="60"/>
      <c r="HIH93" s="63" t="s">
        <v>882</v>
      </c>
      <c r="HII93" s="60"/>
      <c r="HIX93" s="63" t="s">
        <v>882</v>
      </c>
      <c r="HIY93" s="60"/>
      <c r="HJN93" s="63" t="s">
        <v>882</v>
      </c>
      <c r="HJO93" s="60"/>
      <c r="HKD93" s="63" t="s">
        <v>882</v>
      </c>
      <c r="HKE93" s="60"/>
      <c r="HKT93" s="63" t="s">
        <v>882</v>
      </c>
      <c r="HKU93" s="60"/>
      <c r="HLJ93" s="63" t="s">
        <v>882</v>
      </c>
      <c r="HLK93" s="60"/>
      <c r="HLZ93" s="63" t="s">
        <v>882</v>
      </c>
      <c r="HMA93" s="60"/>
      <c r="HMP93" s="63" t="s">
        <v>882</v>
      </c>
      <c r="HMQ93" s="60"/>
      <c r="HNF93" s="63" t="s">
        <v>882</v>
      </c>
      <c r="HNG93" s="60"/>
      <c r="HNV93" s="63" t="s">
        <v>882</v>
      </c>
      <c r="HNW93" s="60"/>
      <c r="HOL93" s="63" t="s">
        <v>882</v>
      </c>
      <c r="HOM93" s="60"/>
      <c r="HPB93" s="63" t="s">
        <v>882</v>
      </c>
      <c r="HPC93" s="60"/>
      <c r="HPR93" s="63" t="s">
        <v>882</v>
      </c>
      <c r="HPS93" s="60"/>
      <c r="HQH93" s="63" t="s">
        <v>882</v>
      </c>
      <c r="HQI93" s="60"/>
      <c r="HQX93" s="63" t="s">
        <v>882</v>
      </c>
      <c r="HQY93" s="60"/>
      <c r="HRN93" s="63" t="s">
        <v>882</v>
      </c>
      <c r="HRO93" s="60"/>
      <c r="HSD93" s="63" t="s">
        <v>882</v>
      </c>
      <c r="HSE93" s="60"/>
      <c r="HST93" s="63" t="s">
        <v>882</v>
      </c>
      <c r="HSU93" s="60"/>
      <c r="HTJ93" s="63" t="s">
        <v>882</v>
      </c>
      <c r="HTK93" s="60"/>
      <c r="HTZ93" s="63" t="s">
        <v>882</v>
      </c>
      <c r="HUA93" s="60"/>
      <c r="HUP93" s="63" t="s">
        <v>882</v>
      </c>
      <c r="HUQ93" s="60"/>
      <c r="HVF93" s="63" t="s">
        <v>882</v>
      </c>
      <c r="HVG93" s="60"/>
      <c r="HVV93" s="63" t="s">
        <v>882</v>
      </c>
      <c r="HVW93" s="60"/>
      <c r="HWL93" s="63" t="s">
        <v>882</v>
      </c>
      <c r="HWM93" s="60"/>
      <c r="HXB93" s="63" t="s">
        <v>882</v>
      </c>
      <c r="HXC93" s="60"/>
      <c r="HXR93" s="63" t="s">
        <v>882</v>
      </c>
      <c r="HXS93" s="60"/>
      <c r="HYH93" s="63" t="s">
        <v>882</v>
      </c>
      <c r="HYI93" s="60"/>
      <c r="HYX93" s="63" t="s">
        <v>882</v>
      </c>
      <c r="HYY93" s="60"/>
      <c r="HZN93" s="63" t="s">
        <v>882</v>
      </c>
      <c r="HZO93" s="60"/>
      <c r="IAD93" s="63" t="s">
        <v>882</v>
      </c>
      <c r="IAE93" s="60"/>
      <c r="IAT93" s="63" t="s">
        <v>882</v>
      </c>
      <c r="IAU93" s="60"/>
      <c r="IBJ93" s="63" t="s">
        <v>882</v>
      </c>
      <c r="IBK93" s="60"/>
      <c r="IBZ93" s="63" t="s">
        <v>882</v>
      </c>
      <c r="ICA93" s="60"/>
      <c r="ICP93" s="63" t="s">
        <v>882</v>
      </c>
      <c r="ICQ93" s="60"/>
      <c r="IDF93" s="63" t="s">
        <v>882</v>
      </c>
      <c r="IDG93" s="60"/>
      <c r="IDV93" s="63" t="s">
        <v>882</v>
      </c>
      <c r="IDW93" s="60"/>
      <c r="IEL93" s="63" t="s">
        <v>882</v>
      </c>
      <c r="IEM93" s="60"/>
      <c r="IFB93" s="63" t="s">
        <v>882</v>
      </c>
      <c r="IFC93" s="60"/>
      <c r="IFR93" s="63" t="s">
        <v>882</v>
      </c>
      <c r="IFS93" s="60"/>
      <c r="IGH93" s="63" t="s">
        <v>882</v>
      </c>
      <c r="IGI93" s="60"/>
      <c r="IGX93" s="63" t="s">
        <v>882</v>
      </c>
      <c r="IGY93" s="60"/>
      <c r="IHN93" s="63" t="s">
        <v>882</v>
      </c>
      <c r="IHO93" s="60"/>
      <c r="IID93" s="63" t="s">
        <v>882</v>
      </c>
      <c r="IIE93" s="60"/>
      <c r="IIT93" s="63" t="s">
        <v>882</v>
      </c>
      <c r="IIU93" s="60"/>
      <c r="IJJ93" s="63" t="s">
        <v>882</v>
      </c>
      <c r="IJK93" s="60"/>
      <c r="IJZ93" s="63" t="s">
        <v>882</v>
      </c>
      <c r="IKA93" s="60"/>
      <c r="IKP93" s="63" t="s">
        <v>882</v>
      </c>
      <c r="IKQ93" s="60"/>
      <c r="ILF93" s="63" t="s">
        <v>882</v>
      </c>
      <c r="ILG93" s="60"/>
      <c r="ILV93" s="63" t="s">
        <v>882</v>
      </c>
      <c r="ILW93" s="60"/>
      <c r="IML93" s="63" t="s">
        <v>882</v>
      </c>
      <c r="IMM93" s="60"/>
      <c r="INB93" s="63" t="s">
        <v>882</v>
      </c>
      <c r="INC93" s="60"/>
      <c r="INR93" s="63" t="s">
        <v>882</v>
      </c>
      <c r="INS93" s="60"/>
      <c r="IOH93" s="63" t="s">
        <v>882</v>
      </c>
      <c r="IOI93" s="60"/>
      <c r="IOX93" s="63" t="s">
        <v>882</v>
      </c>
      <c r="IOY93" s="60"/>
      <c r="IPN93" s="63" t="s">
        <v>882</v>
      </c>
      <c r="IPO93" s="60"/>
      <c r="IQD93" s="63" t="s">
        <v>882</v>
      </c>
      <c r="IQE93" s="60"/>
      <c r="IQT93" s="63" t="s">
        <v>882</v>
      </c>
      <c r="IQU93" s="60"/>
      <c r="IRJ93" s="63" t="s">
        <v>882</v>
      </c>
      <c r="IRK93" s="60"/>
      <c r="IRZ93" s="63" t="s">
        <v>882</v>
      </c>
      <c r="ISA93" s="60"/>
      <c r="ISP93" s="63" t="s">
        <v>882</v>
      </c>
      <c r="ISQ93" s="60"/>
      <c r="ITF93" s="63" t="s">
        <v>882</v>
      </c>
      <c r="ITG93" s="60"/>
      <c r="ITV93" s="63" t="s">
        <v>882</v>
      </c>
      <c r="ITW93" s="60"/>
      <c r="IUL93" s="63" t="s">
        <v>882</v>
      </c>
      <c r="IUM93" s="60"/>
      <c r="IVB93" s="63" t="s">
        <v>882</v>
      </c>
      <c r="IVC93" s="60"/>
      <c r="IVR93" s="63" t="s">
        <v>882</v>
      </c>
      <c r="IVS93" s="60"/>
      <c r="IWH93" s="63" t="s">
        <v>882</v>
      </c>
      <c r="IWI93" s="60"/>
      <c r="IWX93" s="63" t="s">
        <v>882</v>
      </c>
      <c r="IWY93" s="60"/>
      <c r="IXN93" s="63" t="s">
        <v>882</v>
      </c>
      <c r="IXO93" s="60"/>
      <c r="IYD93" s="63" t="s">
        <v>882</v>
      </c>
      <c r="IYE93" s="60"/>
      <c r="IYT93" s="63" t="s">
        <v>882</v>
      </c>
      <c r="IYU93" s="60"/>
      <c r="IZJ93" s="63" t="s">
        <v>882</v>
      </c>
      <c r="IZK93" s="60"/>
      <c r="IZZ93" s="63" t="s">
        <v>882</v>
      </c>
      <c r="JAA93" s="60"/>
      <c r="JAP93" s="63" t="s">
        <v>882</v>
      </c>
      <c r="JAQ93" s="60"/>
      <c r="JBF93" s="63" t="s">
        <v>882</v>
      </c>
      <c r="JBG93" s="60"/>
      <c r="JBV93" s="63" t="s">
        <v>882</v>
      </c>
      <c r="JBW93" s="60"/>
      <c r="JCL93" s="63" t="s">
        <v>882</v>
      </c>
      <c r="JCM93" s="60"/>
      <c r="JDB93" s="63" t="s">
        <v>882</v>
      </c>
      <c r="JDC93" s="60"/>
      <c r="JDR93" s="63" t="s">
        <v>882</v>
      </c>
      <c r="JDS93" s="60"/>
      <c r="JEH93" s="63" t="s">
        <v>882</v>
      </c>
      <c r="JEI93" s="60"/>
      <c r="JEX93" s="63" t="s">
        <v>882</v>
      </c>
      <c r="JEY93" s="60"/>
      <c r="JFN93" s="63" t="s">
        <v>882</v>
      </c>
      <c r="JFO93" s="60"/>
      <c r="JGD93" s="63" t="s">
        <v>882</v>
      </c>
      <c r="JGE93" s="60"/>
      <c r="JGT93" s="63" t="s">
        <v>882</v>
      </c>
      <c r="JGU93" s="60"/>
      <c r="JHJ93" s="63" t="s">
        <v>882</v>
      </c>
      <c r="JHK93" s="60"/>
      <c r="JHZ93" s="63" t="s">
        <v>882</v>
      </c>
      <c r="JIA93" s="60"/>
      <c r="JIP93" s="63" t="s">
        <v>882</v>
      </c>
      <c r="JIQ93" s="60"/>
      <c r="JJF93" s="63" t="s">
        <v>882</v>
      </c>
      <c r="JJG93" s="60"/>
      <c r="JJV93" s="63" t="s">
        <v>882</v>
      </c>
      <c r="JJW93" s="60"/>
      <c r="JKL93" s="63" t="s">
        <v>882</v>
      </c>
      <c r="JKM93" s="60"/>
      <c r="JLB93" s="63" t="s">
        <v>882</v>
      </c>
      <c r="JLC93" s="60"/>
      <c r="JLR93" s="63" t="s">
        <v>882</v>
      </c>
      <c r="JLS93" s="60"/>
      <c r="JMH93" s="63" t="s">
        <v>882</v>
      </c>
      <c r="JMI93" s="60"/>
      <c r="JMX93" s="63" t="s">
        <v>882</v>
      </c>
      <c r="JMY93" s="60"/>
      <c r="JNN93" s="63" t="s">
        <v>882</v>
      </c>
      <c r="JNO93" s="60"/>
      <c r="JOD93" s="63" t="s">
        <v>882</v>
      </c>
      <c r="JOE93" s="60"/>
      <c r="JOT93" s="63" t="s">
        <v>882</v>
      </c>
      <c r="JOU93" s="60"/>
      <c r="JPJ93" s="63" t="s">
        <v>882</v>
      </c>
      <c r="JPK93" s="60"/>
      <c r="JPZ93" s="63" t="s">
        <v>882</v>
      </c>
      <c r="JQA93" s="60"/>
      <c r="JQP93" s="63" t="s">
        <v>882</v>
      </c>
      <c r="JQQ93" s="60"/>
      <c r="JRF93" s="63" t="s">
        <v>882</v>
      </c>
      <c r="JRG93" s="60"/>
      <c r="JRV93" s="63" t="s">
        <v>882</v>
      </c>
      <c r="JRW93" s="60"/>
      <c r="JSL93" s="63" t="s">
        <v>882</v>
      </c>
      <c r="JSM93" s="60"/>
      <c r="JTB93" s="63" t="s">
        <v>882</v>
      </c>
      <c r="JTC93" s="60"/>
      <c r="JTR93" s="63" t="s">
        <v>882</v>
      </c>
      <c r="JTS93" s="60"/>
      <c r="JUH93" s="63" t="s">
        <v>882</v>
      </c>
      <c r="JUI93" s="60"/>
      <c r="JUX93" s="63" t="s">
        <v>882</v>
      </c>
      <c r="JUY93" s="60"/>
      <c r="JVN93" s="63" t="s">
        <v>882</v>
      </c>
      <c r="JVO93" s="60"/>
      <c r="JWD93" s="63" t="s">
        <v>882</v>
      </c>
      <c r="JWE93" s="60"/>
      <c r="JWT93" s="63" t="s">
        <v>882</v>
      </c>
      <c r="JWU93" s="60"/>
      <c r="JXJ93" s="63" t="s">
        <v>882</v>
      </c>
      <c r="JXK93" s="60"/>
      <c r="JXZ93" s="63" t="s">
        <v>882</v>
      </c>
      <c r="JYA93" s="60"/>
      <c r="JYP93" s="63" t="s">
        <v>882</v>
      </c>
      <c r="JYQ93" s="60"/>
      <c r="JZF93" s="63" t="s">
        <v>882</v>
      </c>
      <c r="JZG93" s="60"/>
      <c r="JZV93" s="63" t="s">
        <v>882</v>
      </c>
      <c r="JZW93" s="60"/>
      <c r="KAL93" s="63" t="s">
        <v>882</v>
      </c>
      <c r="KAM93" s="60"/>
      <c r="KBB93" s="63" t="s">
        <v>882</v>
      </c>
      <c r="KBC93" s="60"/>
      <c r="KBR93" s="63" t="s">
        <v>882</v>
      </c>
      <c r="KBS93" s="60"/>
      <c r="KCH93" s="63" t="s">
        <v>882</v>
      </c>
      <c r="KCI93" s="60"/>
      <c r="KCX93" s="63" t="s">
        <v>882</v>
      </c>
      <c r="KCY93" s="60"/>
      <c r="KDN93" s="63" t="s">
        <v>882</v>
      </c>
      <c r="KDO93" s="60"/>
      <c r="KED93" s="63" t="s">
        <v>882</v>
      </c>
      <c r="KEE93" s="60"/>
      <c r="KET93" s="63" t="s">
        <v>882</v>
      </c>
      <c r="KEU93" s="60"/>
      <c r="KFJ93" s="63" t="s">
        <v>882</v>
      </c>
      <c r="KFK93" s="60"/>
      <c r="KFZ93" s="63" t="s">
        <v>882</v>
      </c>
      <c r="KGA93" s="60"/>
      <c r="KGP93" s="63" t="s">
        <v>882</v>
      </c>
      <c r="KGQ93" s="60"/>
      <c r="KHF93" s="63" t="s">
        <v>882</v>
      </c>
      <c r="KHG93" s="60"/>
      <c r="KHV93" s="63" t="s">
        <v>882</v>
      </c>
      <c r="KHW93" s="60"/>
      <c r="KIL93" s="63" t="s">
        <v>882</v>
      </c>
      <c r="KIM93" s="60"/>
      <c r="KJB93" s="63" t="s">
        <v>882</v>
      </c>
      <c r="KJC93" s="60"/>
      <c r="KJR93" s="63" t="s">
        <v>882</v>
      </c>
      <c r="KJS93" s="60"/>
      <c r="KKH93" s="63" t="s">
        <v>882</v>
      </c>
      <c r="KKI93" s="60"/>
      <c r="KKX93" s="63" t="s">
        <v>882</v>
      </c>
      <c r="KKY93" s="60"/>
      <c r="KLN93" s="63" t="s">
        <v>882</v>
      </c>
      <c r="KLO93" s="60"/>
      <c r="KMD93" s="63" t="s">
        <v>882</v>
      </c>
      <c r="KME93" s="60"/>
      <c r="KMT93" s="63" t="s">
        <v>882</v>
      </c>
      <c r="KMU93" s="60"/>
      <c r="KNJ93" s="63" t="s">
        <v>882</v>
      </c>
      <c r="KNK93" s="60"/>
      <c r="KNZ93" s="63" t="s">
        <v>882</v>
      </c>
      <c r="KOA93" s="60"/>
      <c r="KOP93" s="63" t="s">
        <v>882</v>
      </c>
      <c r="KOQ93" s="60"/>
      <c r="KPF93" s="63" t="s">
        <v>882</v>
      </c>
      <c r="KPG93" s="60"/>
      <c r="KPV93" s="63" t="s">
        <v>882</v>
      </c>
      <c r="KPW93" s="60"/>
      <c r="KQL93" s="63" t="s">
        <v>882</v>
      </c>
      <c r="KQM93" s="60"/>
      <c r="KRB93" s="63" t="s">
        <v>882</v>
      </c>
      <c r="KRC93" s="60"/>
      <c r="KRR93" s="63" t="s">
        <v>882</v>
      </c>
      <c r="KRS93" s="60"/>
      <c r="KSH93" s="63" t="s">
        <v>882</v>
      </c>
      <c r="KSI93" s="60"/>
      <c r="KSX93" s="63" t="s">
        <v>882</v>
      </c>
      <c r="KSY93" s="60"/>
      <c r="KTN93" s="63" t="s">
        <v>882</v>
      </c>
      <c r="KTO93" s="60"/>
      <c r="KUD93" s="63" t="s">
        <v>882</v>
      </c>
      <c r="KUE93" s="60"/>
      <c r="KUT93" s="63" t="s">
        <v>882</v>
      </c>
      <c r="KUU93" s="60"/>
      <c r="KVJ93" s="63" t="s">
        <v>882</v>
      </c>
      <c r="KVK93" s="60"/>
      <c r="KVZ93" s="63" t="s">
        <v>882</v>
      </c>
      <c r="KWA93" s="60"/>
      <c r="KWP93" s="63" t="s">
        <v>882</v>
      </c>
      <c r="KWQ93" s="60"/>
      <c r="KXF93" s="63" t="s">
        <v>882</v>
      </c>
      <c r="KXG93" s="60"/>
      <c r="KXV93" s="63" t="s">
        <v>882</v>
      </c>
      <c r="KXW93" s="60"/>
      <c r="KYL93" s="63" t="s">
        <v>882</v>
      </c>
      <c r="KYM93" s="60"/>
      <c r="KZB93" s="63" t="s">
        <v>882</v>
      </c>
      <c r="KZC93" s="60"/>
      <c r="KZR93" s="63" t="s">
        <v>882</v>
      </c>
      <c r="KZS93" s="60"/>
      <c r="LAH93" s="63" t="s">
        <v>882</v>
      </c>
      <c r="LAI93" s="60"/>
      <c r="LAX93" s="63" t="s">
        <v>882</v>
      </c>
      <c r="LAY93" s="60"/>
      <c r="LBN93" s="63" t="s">
        <v>882</v>
      </c>
      <c r="LBO93" s="60"/>
      <c r="LCD93" s="63" t="s">
        <v>882</v>
      </c>
      <c r="LCE93" s="60"/>
      <c r="LCT93" s="63" t="s">
        <v>882</v>
      </c>
      <c r="LCU93" s="60"/>
      <c r="LDJ93" s="63" t="s">
        <v>882</v>
      </c>
      <c r="LDK93" s="60"/>
      <c r="LDZ93" s="63" t="s">
        <v>882</v>
      </c>
      <c r="LEA93" s="60"/>
      <c r="LEP93" s="63" t="s">
        <v>882</v>
      </c>
      <c r="LEQ93" s="60"/>
      <c r="LFF93" s="63" t="s">
        <v>882</v>
      </c>
      <c r="LFG93" s="60"/>
      <c r="LFV93" s="63" t="s">
        <v>882</v>
      </c>
      <c r="LFW93" s="60"/>
      <c r="LGL93" s="63" t="s">
        <v>882</v>
      </c>
      <c r="LGM93" s="60"/>
      <c r="LHB93" s="63" t="s">
        <v>882</v>
      </c>
      <c r="LHC93" s="60"/>
      <c r="LHR93" s="63" t="s">
        <v>882</v>
      </c>
      <c r="LHS93" s="60"/>
      <c r="LIH93" s="63" t="s">
        <v>882</v>
      </c>
      <c r="LII93" s="60"/>
      <c r="LIX93" s="63" t="s">
        <v>882</v>
      </c>
      <c r="LIY93" s="60"/>
      <c r="LJN93" s="63" t="s">
        <v>882</v>
      </c>
      <c r="LJO93" s="60"/>
      <c r="LKD93" s="63" t="s">
        <v>882</v>
      </c>
      <c r="LKE93" s="60"/>
      <c r="LKT93" s="63" t="s">
        <v>882</v>
      </c>
      <c r="LKU93" s="60"/>
      <c r="LLJ93" s="63" t="s">
        <v>882</v>
      </c>
      <c r="LLK93" s="60"/>
      <c r="LLZ93" s="63" t="s">
        <v>882</v>
      </c>
      <c r="LMA93" s="60"/>
      <c r="LMP93" s="63" t="s">
        <v>882</v>
      </c>
      <c r="LMQ93" s="60"/>
      <c r="LNF93" s="63" t="s">
        <v>882</v>
      </c>
      <c r="LNG93" s="60"/>
      <c r="LNV93" s="63" t="s">
        <v>882</v>
      </c>
      <c r="LNW93" s="60"/>
      <c r="LOL93" s="63" t="s">
        <v>882</v>
      </c>
      <c r="LOM93" s="60"/>
      <c r="LPB93" s="63" t="s">
        <v>882</v>
      </c>
      <c r="LPC93" s="60"/>
      <c r="LPR93" s="63" t="s">
        <v>882</v>
      </c>
      <c r="LPS93" s="60"/>
      <c r="LQH93" s="63" t="s">
        <v>882</v>
      </c>
      <c r="LQI93" s="60"/>
      <c r="LQX93" s="63" t="s">
        <v>882</v>
      </c>
      <c r="LQY93" s="60"/>
      <c r="LRN93" s="63" t="s">
        <v>882</v>
      </c>
      <c r="LRO93" s="60"/>
      <c r="LSD93" s="63" t="s">
        <v>882</v>
      </c>
      <c r="LSE93" s="60"/>
      <c r="LST93" s="63" t="s">
        <v>882</v>
      </c>
      <c r="LSU93" s="60"/>
      <c r="LTJ93" s="63" t="s">
        <v>882</v>
      </c>
      <c r="LTK93" s="60"/>
      <c r="LTZ93" s="63" t="s">
        <v>882</v>
      </c>
      <c r="LUA93" s="60"/>
      <c r="LUP93" s="63" t="s">
        <v>882</v>
      </c>
      <c r="LUQ93" s="60"/>
      <c r="LVF93" s="63" t="s">
        <v>882</v>
      </c>
      <c r="LVG93" s="60"/>
      <c r="LVV93" s="63" t="s">
        <v>882</v>
      </c>
      <c r="LVW93" s="60"/>
      <c r="LWL93" s="63" t="s">
        <v>882</v>
      </c>
      <c r="LWM93" s="60"/>
      <c r="LXB93" s="63" t="s">
        <v>882</v>
      </c>
      <c r="LXC93" s="60"/>
      <c r="LXR93" s="63" t="s">
        <v>882</v>
      </c>
      <c r="LXS93" s="60"/>
      <c r="LYH93" s="63" t="s">
        <v>882</v>
      </c>
      <c r="LYI93" s="60"/>
      <c r="LYX93" s="63" t="s">
        <v>882</v>
      </c>
      <c r="LYY93" s="60"/>
      <c r="LZN93" s="63" t="s">
        <v>882</v>
      </c>
      <c r="LZO93" s="60"/>
      <c r="MAD93" s="63" t="s">
        <v>882</v>
      </c>
      <c r="MAE93" s="60"/>
      <c r="MAT93" s="63" t="s">
        <v>882</v>
      </c>
      <c r="MAU93" s="60"/>
      <c r="MBJ93" s="63" t="s">
        <v>882</v>
      </c>
      <c r="MBK93" s="60"/>
      <c r="MBZ93" s="63" t="s">
        <v>882</v>
      </c>
      <c r="MCA93" s="60"/>
      <c r="MCP93" s="63" t="s">
        <v>882</v>
      </c>
      <c r="MCQ93" s="60"/>
      <c r="MDF93" s="63" t="s">
        <v>882</v>
      </c>
      <c r="MDG93" s="60"/>
      <c r="MDV93" s="63" t="s">
        <v>882</v>
      </c>
      <c r="MDW93" s="60"/>
      <c r="MEL93" s="63" t="s">
        <v>882</v>
      </c>
      <c r="MEM93" s="60"/>
      <c r="MFB93" s="63" t="s">
        <v>882</v>
      </c>
      <c r="MFC93" s="60"/>
      <c r="MFR93" s="63" t="s">
        <v>882</v>
      </c>
      <c r="MFS93" s="60"/>
      <c r="MGH93" s="63" t="s">
        <v>882</v>
      </c>
      <c r="MGI93" s="60"/>
      <c r="MGX93" s="63" t="s">
        <v>882</v>
      </c>
      <c r="MGY93" s="60"/>
      <c r="MHN93" s="63" t="s">
        <v>882</v>
      </c>
      <c r="MHO93" s="60"/>
      <c r="MID93" s="63" t="s">
        <v>882</v>
      </c>
      <c r="MIE93" s="60"/>
      <c r="MIT93" s="63" t="s">
        <v>882</v>
      </c>
      <c r="MIU93" s="60"/>
      <c r="MJJ93" s="63" t="s">
        <v>882</v>
      </c>
      <c r="MJK93" s="60"/>
      <c r="MJZ93" s="63" t="s">
        <v>882</v>
      </c>
      <c r="MKA93" s="60"/>
      <c r="MKP93" s="63" t="s">
        <v>882</v>
      </c>
      <c r="MKQ93" s="60"/>
      <c r="MLF93" s="63" t="s">
        <v>882</v>
      </c>
      <c r="MLG93" s="60"/>
      <c r="MLV93" s="63" t="s">
        <v>882</v>
      </c>
      <c r="MLW93" s="60"/>
      <c r="MML93" s="63" t="s">
        <v>882</v>
      </c>
      <c r="MMM93" s="60"/>
      <c r="MNB93" s="63" t="s">
        <v>882</v>
      </c>
      <c r="MNC93" s="60"/>
      <c r="MNR93" s="63" t="s">
        <v>882</v>
      </c>
      <c r="MNS93" s="60"/>
      <c r="MOH93" s="63" t="s">
        <v>882</v>
      </c>
      <c r="MOI93" s="60"/>
      <c r="MOX93" s="63" t="s">
        <v>882</v>
      </c>
      <c r="MOY93" s="60"/>
      <c r="MPN93" s="63" t="s">
        <v>882</v>
      </c>
      <c r="MPO93" s="60"/>
      <c r="MQD93" s="63" t="s">
        <v>882</v>
      </c>
      <c r="MQE93" s="60"/>
      <c r="MQT93" s="63" t="s">
        <v>882</v>
      </c>
      <c r="MQU93" s="60"/>
      <c r="MRJ93" s="63" t="s">
        <v>882</v>
      </c>
      <c r="MRK93" s="60"/>
      <c r="MRZ93" s="63" t="s">
        <v>882</v>
      </c>
      <c r="MSA93" s="60"/>
      <c r="MSP93" s="63" t="s">
        <v>882</v>
      </c>
      <c r="MSQ93" s="60"/>
      <c r="MTF93" s="63" t="s">
        <v>882</v>
      </c>
      <c r="MTG93" s="60"/>
      <c r="MTV93" s="63" t="s">
        <v>882</v>
      </c>
      <c r="MTW93" s="60"/>
      <c r="MUL93" s="63" t="s">
        <v>882</v>
      </c>
      <c r="MUM93" s="60"/>
      <c r="MVB93" s="63" t="s">
        <v>882</v>
      </c>
      <c r="MVC93" s="60"/>
      <c r="MVR93" s="63" t="s">
        <v>882</v>
      </c>
      <c r="MVS93" s="60"/>
      <c r="MWH93" s="63" t="s">
        <v>882</v>
      </c>
      <c r="MWI93" s="60"/>
      <c r="MWX93" s="63" t="s">
        <v>882</v>
      </c>
      <c r="MWY93" s="60"/>
      <c r="MXN93" s="63" t="s">
        <v>882</v>
      </c>
      <c r="MXO93" s="60"/>
      <c r="MYD93" s="63" t="s">
        <v>882</v>
      </c>
      <c r="MYE93" s="60"/>
      <c r="MYT93" s="63" t="s">
        <v>882</v>
      </c>
      <c r="MYU93" s="60"/>
      <c r="MZJ93" s="63" t="s">
        <v>882</v>
      </c>
      <c r="MZK93" s="60"/>
      <c r="MZZ93" s="63" t="s">
        <v>882</v>
      </c>
      <c r="NAA93" s="60"/>
      <c r="NAP93" s="63" t="s">
        <v>882</v>
      </c>
      <c r="NAQ93" s="60"/>
      <c r="NBF93" s="63" t="s">
        <v>882</v>
      </c>
      <c r="NBG93" s="60"/>
      <c r="NBV93" s="63" t="s">
        <v>882</v>
      </c>
      <c r="NBW93" s="60"/>
      <c r="NCL93" s="63" t="s">
        <v>882</v>
      </c>
      <c r="NCM93" s="60"/>
      <c r="NDB93" s="63" t="s">
        <v>882</v>
      </c>
      <c r="NDC93" s="60"/>
      <c r="NDR93" s="63" t="s">
        <v>882</v>
      </c>
      <c r="NDS93" s="60"/>
      <c r="NEH93" s="63" t="s">
        <v>882</v>
      </c>
      <c r="NEI93" s="60"/>
      <c r="NEX93" s="63" t="s">
        <v>882</v>
      </c>
      <c r="NEY93" s="60"/>
      <c r="NFN93" s="63" t="s">
        <v>882</v>
      </c>
      <c r="NFO93" s="60"/>
      <c r="NGD93" s="63" t="s">
        <v>882</v>
      </c>
      <c r="NGE93" s="60"/>
      <c r="NGT93" s="63" t="s">
        <v>882</v>
      </c>
      <c r="NGU93" s="60"/>
      <c r="NHJ93" s="63" t="s">
        <v>882</v>
      </c>
      <c r="NHK93" s="60"/>
      <c r="NHZ93" s="63" t="s">
        <v>882</v>
      </c>
      <c r="NIA93" s="60"/>
      <c r="NIP93" s="63" t="s">
        <v>882</v>
      </c>
      <c r="NIQ93" s="60"/>
      <c r="NJF93" s="63" t="s">
        <v>882</v>
      </c>
      <c r="NJG93" s="60"/>
      <c r="NJV93" s="63" t="s">
        <v>882</v>
      </c>
      <c r="NJW93" s="60"/>
      <c r="NKL93" s="63" t="s">
        <v>882</v>
      </c>
      <c r="NKM93" s="60"/>
      <c r="NLB93" s="63" t="s">
        <v>882</v>
      </c>
      <c r="NLC93" s="60"/>
      <c r="NLR93" s="63" t="s">
        <v>882</v>
      </c>
      <c r="NLS93" s="60"/>
      <c r="NMH93" s="63" t="s">
        <v>882</v>
      </c>
      <c r="NMI93" s="60"/>
      <c r="NMX93" s="63" t="s">
        <v>882</v>
      </c>
      <c r="NMY93" s="60"/>
      <c r="NNN93" s="63" t="s">
        <v>882</v>
      </c>
      <c r="NNO93" s="60"/>
      <c r="NOD93" s="63" t="s">
        <v>882</v>
      </c>
      <c r="NOE93" s="60"/>
      <c r="NOT93" s="63" t="s">
        <v>882</v>
      </c>
      <c r="NOU93" s="60"/>
      <c r="NPJ93" s="63" t="s">
        <v>882</v>
      </c>
      <c r="NPK93" s="60"/>
      <c r="NPZ93" s="63" t="s">
        <v>882</v>
      </c>
      <c r="NQA93" s="60"/>
      <c r="NQP93" s="63" t="s">
        <v>882</v>
      </c>
      <c r="NQQ93" s="60"/>
      <c r="NRF93" s="63" t="s">
        <v>882</v>
      </c>
      <c r="NRG93" s="60"/>
      <c r="NRV93" s="63" t="s">
        <v>882</v>
      </c>
      <c r="NRW93" s="60"/>
      <c r="NSL93" s="63" t="s">
        <v>882</v>
      </c>
      <c r="NSM93" s="60"/>
      <c r="NTB93" s="63" t="s">
        <v>882</v>
      </c>
      <c r="NTC93" s="60"/>
      <c r="NTR93" s="63" t="s">
        <v>882</v>
      </c>
      <c r="NTS93" s="60"/>
      <c r="NUH93" s="63" t="s">
        <v>882</v>
      </c>
      <c r="NUI93" s="60"/>
      <c r="NUX93" s="63" t="s">
        <v>882</v>
      </c>
      <c r="NUY93" s="60"/>
      <c r="NVN93" s="63" t="s">
        <v>882</v>
      </c>
      <c r="NVO93" s="60"/>
      <c r="NWD93" s="63" t="s">
        <v>882</v>
      </c>
      <c r="NWE93" s="60"/>
      <c r="NWT93" s="63" t="s">
        <v>882</v>
      </c>
      <c r="NWU93" s="60"/>
      <c r="NXJ93" s="63" t="s">
        <v>882</v>
      </c>
      <c r="NXK93" s="60"/>
      <c r="NXZ93" s="63" t="s">
        <v>882</v>
      </c>
      <c r="NYA93" s="60"/>
      <c r="NYP93" s="63" t="s">
        <v>882</v>
      </c>
      <c r="NYQ93" s="60"/>
      <c r="NZF93" s="63" t="s">
        <v>882</v>
      </c>
      <c r="NZG93" s="60"/>
      <c r="NZV93" s="63" t="s">
        <v>882</v>
      </c>
      <c r="NZW93" s="60"/>
      <c r="OAL93" s="63" t="s">
        <v>882</v>
      </c>
      <c r="OAM93" s="60"/>
      <c r="OBB93" s="63" t="s">
        <v>882</v>
      </c>
      <c r="OBC93" s="60"/>
      <c r="OBR93" s="63" t="s">
        <v>882</v>
      </c>
      <c r="OBS93" s="60"/>
      <c r="OCH93" s="63" t="s">
        <v>882</v>
      </c>
      <c r="OCI93" s="60"/>
      <c r="OCX93" s="63" t="s">
        <v>882</v>
      </c>
      <c r="OCY93" s="60"/>
      <c r="ODN93" s="63" t="s">
        <v>882</v>
      </c>
      <c r="ODO93" s="60"/>
      <c r="OED93" s="63" t="s">
        <v>882</v>
      </c>
      <c r="OEE93" s="60"/>
      <c r="OET93" s="63" t="s">
        <v>882</v>
      </c>
      <c r="OEU93" s="60"/>
      <c r="OFJ93" s="63" t="s">
        <v>882</v>
      </c>
      <c r="OFK93" s="60"/>
      <c r="OFZ93" s="63" t="s">
        <v>882</v>
      </c>
      <c r="OGA93" s="60"/>
      <c r="OGP93" s="63" t="s">
        <v>882</v>
      </c>
      <c r="OGQ93" s="60"/>
      <c r="OHF93" s="63" t="s">
        <v>882</v>
      </c>
      <c r="OHG93" s="60"/>
      <c r="OHV93" s="63" t="s">
        <v>882</v>
      </c>
      <c r="OHW93" s="60"/>
      <c r="OIL93" s="63" t="s">
        <v>882</v>
      </c>
      <c r="OIM93" s="60"/>
      <c r="OJB93" s="63" t="s">
        <v>882</v>
      </c>
      <c r="OJC93" s="60"/>
      <c r="OJR93" s="63" t="s">
        <v>882</v>
      </c>
      <c r="OJS93" s="60"/>
      <c r="OKH93" s="63" t="s">
        <v>882</v>
      </c>
      <c r="OKI93" s="60"/>
      <c r="OKX93" s="63" t="s">
        <v>882</v>
      </c>
      <c r="OKY93" s="60"/>
      <c r="OLN93" s="63" t="s">
        <v>882</v>
      </c>
      <c r="OLO93" s="60"/>
      <c r="OMD93" s="63" t="s">
        <v>882</v>
      </c>
      <c r="OME93" s="60"/>
      <c r="OMT93" s="63" t="s">
        <v>882</v>
      </c>
      <c r="OMU93" s="60"/>
      <c r="ONJ93" s="63" t="s">
        <v>882</v>
      </c>
      <c r="ONK93" s="60"/>
      <c r="ONZ93" s="63" t="s">
        <v>882</v>
      </c>
      <c r="OOA93" s="60"/>
      <c r="OOP93" s="63" t="s">
        <v>882</v>
      </c>
      <c r="OOQ93" s="60"/>
      <c r="OPF93" s="63" t="s">
        <v>882</v>
      </c>
      <c r="OPG93" s="60"/>
      <c r="OPV93" s="63" t="s">
        <v>882</v>
      </c>
      <c r="OPW93" s="60"/>
      <c r="OQL93" s="63" t="s">
        <v>882</v>
      </c>
      <c r="OQM93" s="60"/>
      <c r="ORB93" s="63" t="s">
        <v>882</v>
      </c>
      <c r="ORC93" s="60"/>
      <c r="ORR93" s="63" t="s">
        <v>882</v>
      </c>
      <c r="ORS93" s="60"/>
      <c r="OSH93" s="63" t="s">
        <v>882</v>
      </c>
      <c r="OSI93" s="60"/>
      <c r="OSX93" s="63" t="s">
        <v>882</v>
      </c>
      <c r="OSY93" s="60"/>
      <c r="OTN93" s="63" t="s">
        <v>882</v>
      </c>
      <c r="OTO93" s="60"/>
      <c r="OUD93" s="63" t="s">
        <v>882</v>
      </c>
      <c r="OUE93" s="60"/>
      <c r="OUT93" s="63" t="s">
        <v>882</v>
      </c>
      <c r="OUU93" s="60"/>
      <c r="OVJ93" s="63" t="s">
        <v>882</v>
      </c>
      <c r="OVK93" s="60"/>
      <c r="OVZ93" s="63" t="s">
        <v>882</v>
      </c>
      <c r="OWA93" s="60"/>
      <c r="OWP93" s="63" t="s">
        <v>882</v>
      </c>
      <c r="OWQ93" s="60"/>
      <c r="OXF93" s="63" t="s">
        <v>882</v>
      </c>
      <c r="OXG93" s="60"/>
      <c r="OXV93" s="63" t="s">
        <v>882</v>
      </c>
      <c r="OXW93" s="60"/>
      <c r="OYL93" s="63" t="s">
        <v>882</v>
      </c>
      <c r="OYM93" s="60"/>
      <c r="OZB93" s="63" t="s">
        <v>882</v>
      </c>
      <c r="OZC93" s="60"/>
      <c r="OZR93" s="63" t="s">
        <v>882</v>
      </c>
      <c r="OZS93" s="60"/>
      <c r="PAH93" s="63" t="s">
        <v>882</v>
      </c>
      <c r="PAI93" s="60"/>
      <c r="PAX93" s="63" t="s">
        <v>882</v>
      </c>
      <c r="PAY93" s="60"/>
      <c r="PBN93" s="63" t="s">
        <v>882</v>
      </c>
      <c r="PBO93" s="60"/>
      <c r="PCD93" s="63" t="s">
        <v>882</v>
      </c>
      <c r="PCE93" s="60"/>
      <c r="PCT93" s="63" t="s">
        <v>882</v>
      </c>
      <c r="PCU93" s="60"/>
      <c r="PDJ93" s="63" t="s">
        <v>882</v>
      </c>
      <c r="PDK93" s="60"/>
      <c r="PDZ93" s="63" t="s">
        <v>882</v>
      </c>
      <c r="PEA93" s="60"/>
      <c r="PEP93" s="63" t="s">
        <v>882</v>
      </c>
      <c r="PEQ93" s="60"/>
      <c r="PFF93" s="63" t="s">
        <v>882</v>
      </c>
      <c r="PFG93" s="60"/>
      <c r="PFV93" s="63" t="s">
        <v>882</v>
      </c>
      <c r="PFW93" s="60"/>
      <c r="PGL93" s="63" t="s">
        <v>882</v>
      </c>
      <c r="PGM93" s="60"/>
      <c r="PHB93" s="63" t="s">
        <v>882</v>
      </c>
      <c r="PHC93" s="60"/>
      <c r="PHR93" s="63" t="s">
        <v>882</v>
      </c>
      <c r="PHS93" s="60"/>
      <c r="PIH93" s="63" t="s">
        <v>882</v>
      </c>
      <c r="PII93" s="60"/>
      <c r="PIX93" s="63" t="s">
        <v>882</v>
      </c>
      <c r="PIY93" s="60"/>
      <c r="PJN93" s="63" t="s">
        <v>882</v>
      </c>
      <c r="PJO93" s="60"/>
      <c r="PKD93" s="63" t="s">
        <v>882</v>
      </c>
      <c r="PKE93" s="60"/>
      <c r="PKT93" s="63" t="s">
        <v>882</v>
      </c>
      <c r="PKU93" s="60"/>
      <c r="PLJ93" s="63" t="s">
        <v>882</v>
      </c>
      <c r="PLK93" s="60"/>
      <c r="PLZ93" s="63" t="s">
        <v>882</v>
      </c>
      <c r="PMA93" s="60"/>
      <c r="PMP93" s="63" t="s">
        <v>882</v>
      </c>
      <c r="PMQ93" s="60"/>
      <c r="PNF93" s="63" t="s">
        <v>882</v>
      </c>
      <c r="PNG93" s="60"/>
      <c r="PNV93" s="63" t="s">
        <v>882</v>
      </c>
      <c r="PNW93" s="60"/>
      <c r="POL93" s="63" t="s">
        <v>882</v>
      </c>
      <c r="POM93" s="60"/>
      <c r="PPB93" s="63" t="s">
        <v>882</v>
      </c>
      <c r="PPC93" s="60"/>
      <c r="PPR93" s="63" t="s">
        <v>882</v>
      </c>
      <c r="PPS93" s="60"/>
      <c r="PQH93" s="63" t="s">
        <v>882</v>
      </c>
      <c r="PQI93" s="60"/>
      <c r="PQX93" s="63" t="s">
        <v>882</v>
      </c>
      <c r="PQY93" s="60"/>
      <c r="PRN93" s="63" t="s">
        <v>882</v>
      </c>
      <c r="PRO93" s="60"/>
      <c r="PSD93" s="63" t="s">
        <v>882</v>
      </c>
      <c r="PSE93" s="60"/>
      <c r="PST93" s="63" t="s">
        <v>882</v>
      </c>
      <c r="PSU93" s="60"/>
      <c r="PTJ93" s="63" t="s">
        <v>882</v>
      </c>
      <c r="PTK93" s="60"/>
      <c r="PTZ93" s="63" t="s">
        <v>882</v>
      </c>
      <c r="PUA93" s="60"/>
      <c r="PUP93" s="63" t="s">
        <v>882</v>
      </c>
      <c r="PUQ93" s="60"/>
      <c r="PVF93" s="63" t="s">
        <v>882</v>
      </c>
      <c r="PVG93" s="60"/>
      <c r="PVV93" s="63" t="s">
        <v>882</v>
      </c>
      <c r="PVW93" s="60"/>
      <c r="PWL93" s="63" t="s">
        <v>882</v>
      </c>
      <c r="PWM93" s="60"/>
      <c r="PXB93" s="63" t="s">
        <v>882</v>
      </c>
      <c r="PXC93" s="60"/>
      <c r="PXR93" s="63" t="s">
        <v>882</v>
      </c>
      <c r="PXS93" s="60"/>
      <c r="PYH93" s="63" t="s">
        <v>882</v>
      </c>
      <c r="PYI93" s="60"/>
      <c r="PYX93" s="63" t="s">
        <v>882</v>
      </c>
      <c r="PYY93" s="60"/>
      <c r="PZN93" s="63" t="s">
        <v>882</v>
      </c>
      <c r="PZO93" s="60"/>
      <c r="QAD93" s="63" t="s">
        <v>882</v>
      </c>
      <c r="QAE93" s="60"/>
      <c r="QAT93" s="63" t="s">
        <v>882</v>
      </c>
      <c r="QAU93" s="60"/>
      <c r="QBJ93" s="63" t="s">
        <v>882</v>
      </c>
      <c r="QBK93" s="60"/>
      <c r="QBZ93" s="63" t="s">
        <v>882</v>
      </c>
      <c r="QCA93" s="60"/>
      <c r="QCP93" s="63" t="s">
        <v>882</v>
      </c>
      <c r="QCQ93" s="60"/>
      <c r="QDF93" s="63" t="s">
        <v>882</v>
      </c>
      <c r="QDG93" s="60"/>
      <c r="QDV93" s="63" t="s">
        <v>882</v>
      </c>
      <c r="QDW93" s="60"/>
      <c r="QEL93" s="63" t="s">
        <v>882</v>
      </c>
      <c r="QEM93" s="60"/>
      <c r="QFB93" s="63" t="s">
        <v>882</v>
      </c>
      <c r="QFC93" s="60"/>
      <c r="QFR93" s="63" t="s">
        <v>882</v>
      </c>
      <c r="QFS93" s="60"/>
      <c r="QGH93" s="63" t="s">
        <v>882</v>
      </c>
      <c r="QGI93" s="60"/>
      <c r="QGX93" s="63" t="s">
        <v>882</v>
      </c>
      <c r="QGY93" s="60"/>
      <c r="QHN93" s="63" t="s">
        <v>882</v>
      </c>
      <c r="QHO93" s="60"/>
      <c r="QID93" s="63" t="s">
        <v>882</v>
      </c>
      <c r="QIE93" s="60"/>
      <c r="QIT93" s="63" t="s">
        <v>882</v>
      </c>
      <c r="QIU93" s="60"/>
      <c r="QJJ93" s="63" t="s">
        <v>882</v>
      </c>
      <c r="QJK93" s="60"/>
      <c r="QJZ93" s="63" t="s">
        <v>882</v>
      </c>
      <c r="QKA93" s="60"/>
      <c r="QKP93" s="63" t="s">
        <v>882</v>
      </c>
      <c r="QKQ93" s="60"/>
      <c r="QLF93" s="63" t="s">
        <v>882</v>
      </c>
      <c r="QLG93" s="60"/>
      <c r="QLV93" s="63" t="s">
        <v>882</v>
      </c>
      <c r="QLW93" s="60"/>
      <c r="QML93" s="63" t="s">
        <v>882</v>
      </c>
      <c r="QMM93" s="60"/>
      <c r="QNB93" s="63" t="s">
        <v>882</v>
      </c>
      <c r="QNC93" s="60"/>
      <c r="QNR93" s="63" t="s">
        <v>882</v>
      </c>
      <c r="QNS93" s="60"/>
      <c r="QOH93" s="63" t="s">
        <v>882</v>
      </c>
      <c r="QOI93" s="60"/>
      <c r="QOX93" s="63" t="s">
        <v>882</v>
      </c>
      <c r="QOY93" s="60"/>
      <c r="QPN93" s="63" t="s">
        <v>882</v>
      </c>
      <c r="QPO93" s="60"/>
      <c r="QQD93" s="63" t="s">
        <v>882</v>
      </c>
      <c r="QQE93" s="60"/>
      <c r="QQT93" s="63" t="s">
        <v>882</v>
      </c>
      <c r="QQU93" s="60"/>
      <c r="QRJ93" s="63" t="s">
        <v>882</v>
      </c>
      <c r="QRK93" s="60"/>
      <c r="QRZ93" s="63" t="s">
        <v>882</v>
      </c>
      <c r="QSA93" s="60"/>
      <c r="QSP93" s="63" t="s">
        <v>882</v>
      </c>
      <c r="QSQ93" s="60"/>
      <c r="QTF93" s="63" t="s">
        <v>882</v>
      </c>
      <c r="QTG93" s="60"/>
      <c r="QTV93" s="63" t="s">
        <v>882</v>
      </c>
      <c r="QTW93" s="60"/>
      <c r="QUL93" s="63" t="s">
        <v>882</v>
      </c>
      <c r="QUM93" s="60"/>
      <c r="QVB93" s="63" t="s">
        <v>882</v>
      </c>
      <c r="QVC93" s="60"/>
      <c r="QVR93" s="63" t="s">
        <v>882</v>
      </c>
      <c r="QVS93" s="60"/>
      <c r="QWH93" s="63" t="s">
        <v>882</v>
      </c>
      <c r="QWI93" s="60"/>
      <c r="QWX93" s="63" t="s">
        <v>882</v>
      </c>
      <c r="QWY93" s="60"/>
      <c r="QXN93" s="63" t="s">
        <v>882</v>
      </c>
      <c r="QXO93" s="60"/>
      <c r="QYD93" s="63" t="s">
        <v>882</v>
      </c>
      <c r="QYE93" s="60"/>
      <c r="QYT93" s="63" t="s">
        <v>882</v>
      </c>
      <c r="QYU93" s="60"/>
      <c r="QZJ93" s="63" t="s">
        <v>882</v>
      </c>
      <c r="QZK93" s="60"/>
      <c r="QZZ93" s="63" t="s">
        <v>882</v>
      </c>
      <c r="RAA93" s="60"/>
      <c r="RAP93" s="63" t="s">
        <v>882</v>
      </c>
      <c r="RAQ93" s="60"/>
      <c r="RBF93" s="63" t="s">
        <v>882</v>
      </c>
      <c r="RBG93" s="60"/>
      <c r="RBV93" s="63" t="s">
        <v>882</v>
      </c>
      <c r="RBW93" s="60"/>
      <c r="RCL93" s="63" t="s">
        <v>882</v>
      </c>
      <c r="RCM93" s="60"/>
      <c r="RDB93" s="63" t="s">
        <v>882</v>
      </c>
      <c r="RDC93" s="60"/>
      <c r="RDR93" s="63" t="s">
        <v>882</v>
      </c>
      <c r="RDS93" s="60"/>
      <c r="REH93" s="63" t="s">
        <v>882</v>
      </c>
      <c r="REI93" s="60"/>
      <c r="REX93" s="63" t="s">
        <v>882</v>
      </c>
      <c r="REY93" s="60"/>
      <c r="RFN93" s="63" t="s">
        <v>882</v>
      </c>
      <c r="RFO93" s="60"/>
      <c r="RGD93" s="63" t="s">
        <v>882</v>
      </c>
      <c r="RGE93" s="60"/>
      <c r="RGT93" s="63" t="s">
        <v>882</v>
      </c>
      <c r="RGU93" s="60"/>
      <c r="RHJ93" s="63" t="s">
        <v>882</v>
      </c>
      <c r="RHK93" s="60"/>
      <c r="RHZ93" s="63" t="s">
        <v>882</v>
      </c>
      <c r="RIA93" s="60"/>
      <c r="RIP93" s="63" t="s">
        <v>882</v>
      </c>
      <c r="RIQ93" s="60"/>
      <c r="RJF93" s="63" t="s">
        <v>882</v>
      </c>
      <c r="RJG93" s="60"/>
      <c r="RJV93" s="63" t="s">
        <v>882</v>
      </c>
      <c r="RJW93" s="60"/>
      <c r="RKL93" s="63" t="s">
        <v>882</v>
      </c>
      <c r="RKM93" s="60"/>
      <c r="RLB93" s="63" t="s">
        <v>882</v>
      </c>
      <c r="RLC93" s="60"/>
      <c r="RLR93" s="63" t="s">
        <v>882</v>
      </c>
      <c r="RLS93" s="60"/>
      <c r="RMH93" s="63" t="s">
        <v>882</v>
      </c>
      <c r="RMI93" s="60"/>
      <c r="RMX93" s="63" t="s">
        <v>882</v>
      </c>
      <c r="RMY93" s="60"/>
      <c r="RNN93" s="63" t="s">
        <v>882</v>
      </c>
      <c r="RNO93" s="60"/>
      <c r="ROD93" s="63" t="s">
        <v>882</v>
      </c>
      <c r="ROE93" s="60"/>
      <c r="ROT93" s="63" t="s">
        <v>882</v>
      </c>
      <c r="ROU93" s="60"/>
      <c r="RPJ93" s="63" t="s">
        <v>882</v>
      </c>
      <c r="RPK93" s="60"/>
      <c r="RPZ93" s="63" t="s">
        <v>882</v>
      </c>
      <c r="RQA93" s="60"/>
      <c r="RQP93" s="63" t="s">
        <v>882</v>
      </c>
      <c r="RQQ93" s="60"/>
      <c r="RRF93" s="63" t="s">
        <v>882</v>
      </c>
      <c r="RRG93" s="60"/>
      <c r="RRV93" s="63" t="s">
        <v>882</v>
      </c>
      <c r="RRW93" s="60"/>
      <c r="RSL93" s="63" t="s">
        <v>882</v>
      </c>
      <c r="RSM93" s="60"/>
      <c r="RTB93" s="63" t="s">
        <v>882</v>
      </c>
      <c r="RTC93" s="60"/>
      <c r="RTR93" s="63" t="s">
        <v>882</v>
      </c>
      <c r="RTS93" s="60"/>
      <c r="RUH93" s="63" t="s">
        <v>882</v>
      </c>
      <c r="RUI93" s="60"/>
      <c r="RUX93" s="63" t="s">
        <v>882</v>
      </c>
      <c r="RUY93" s="60"/>
      <c r="RVN93" s="63" t="s">
        <v>882</v>
      </c>
      <c r="RVO93" s="60"/>
      <c r="RWD93" s="63" t="s">
        <v>882</v>
      </c>
      <c r="RWE93" s="60"/>
      <c r="RWT93" s="63" t="s">
        <v>882</v>
      </c>
      <c r="RWU93" s="60"/>
      <c r="RXJ93" s="63" t="s">
        <v>882</v>
      </c>
      <c r="RXK93" s="60"/>
      <c r="RXZ93" s="63" t="s">
        <v>882</v>
      </c>
      <c r="RYA93" s="60"/>
      <c r="RYP93" s="63" t="s">
        <v>882</v>
      </c>
      <c r="RYQ93" s="60"/>
      <c r="RZF93" s="63" t="s">
        <v>882</v>
      </c>
      <c r="RZG93" s="60"/>
      <c r="RZV93" s="63" t="s">
        <v>882</v>
      </c>
      <c r="RZW93" s="60"/>
      <c r="SAL93" s="63" t="s">
        <v>882</v>
      </c>
      <c r="SAM93" s="60"/>
      <c r="SBB93" s="63" t="s">
        <v>882</v>
      </c>
      <c r="SBC93" s="60"/>
      <c r="SBR93" s="63" t="s">
        <v>882</v>
      </c>
      <c r="SBS93" s="60"/>
      <c r="SCH93" s="63" t="s">
        <v>882</v>
      </c>
      <c r="SCI93" s="60"/>
      <c r="SCX93" s="63" t="s">
        <v>882</v>
      </c>
      <c r="SCY93" s="60"/>
      <c r="SDN93" s="63" t="s">
        <v>882</v>
      </c>
      <c r="SDO93" s="60"/>
      <c r="SED93" s="63" t="s">
        <v>882</v>
      </c>
      <c r="SEE93" s="60"/>
      <c r="SET93" s="63" t="s">
        <v>882</v>
      </c>
      <c r="SEU93" s="60"/>
      <c r="SFJ93" s="63" t="s">
        <v>882</v>
      </c>
      <c r="SFK93" s="60"/>
      <c r="SFZ93" s="63" t="s">
        <v>882</v>
      </c>
      <c r="SGA93" s="60"/>
      <c r="SGP93" s="63" t="s">
        <v>882</v>
      </c>
      <c r="SGQ93" s="60"/>
      <c r="SHF93" s="63" t="s">
        <v>882</v>
      </c>
      <c r="SHG93" s="60"/>
      <c r="SHV93" s="63" t="s">
        <v>882</v>
      </c>
      <c r="SHW93" s="60"/>
      <c r="SIL93" s="63" t="s">
        <v>882</v>
      </c>
      <c r="SIM93" s="60"/>
      <c r="SJB93" s="63" t="s">
        <v>882</v>
      </c>
      <c r="SJC93" s="60"/>
      <c r="SJR93" s="63" t="s">
        <v>882</v>
      </c>
      <c r="SJS93" s="60"/>
      <c r="SKH93" s="63" t="s">
        <v>882</v>
      </c>
      <c r="SKI93" s="60"/>
      <c r="SKX93" s="63" t="s">
        <v>882</v>
      </c>
      <c r="SKY93" s="60"/>
      <c r="SLN93" s="63" t="s">
        <v>882</v>
      </c>
      <c r="SLO93" s="60"/>
      <c r="SMD93" s="63" t="s">
        <v>882</v>
      </c>
      <c r="SME93" s="60"/>
      <c r="SMT93" s="63" t="s">
        <v>882</v>
      </c>
      <c r="SMU93" s="60"/>
      <c r="SNJ93" s="63" t="s">
        <v>882</v>
      </c>
      <c r="SNK93" s="60"/>
      <c r="SNZ93" s="63" t="s">
        <v>882</v>
      </c>
      <c r="SOA93" s="60"/>
      <c r="SOP93" s="63" t="s">
        <v>882</v>
      </c>
      <c r="SOQ93" s="60"/>
      <c r="SPF93" s="63" t="s">
        <v>882</v>
      </c>
      <c r="SPG93" s="60"/>
      <c r="SPV93" s="63" t="s">
        <v>882</v>
      </c>
      <c r="SPW93" s="60"/>
      <c r="SQL93" s="63" t="s">
        <v>882</v>
      </c>
      <c r="SQM93" s="60"/>
      <c r="SRB93" s="63" t="s">
        <v>882</v>
      </c>
      <c r="SRC93" s="60"/>
      <c r="SRR93" s="63" t="s">
        <v>882</v>
      </c>
      <c r="SRS93" s="60"/>
      <c r="SSH93" s="63" t="s">
        <v>882</v>
      </c>
      <c r="SSI93" s="60"/>
      <c r="SSX93" s="63" t="s">
        <v>882</v>
      </c>
      <c r="SSY93" s="60"/>
      <c r="STN93" s="63" t="s">
        <v>882</v>
      </c>
      <c r="STO93" s="60"/>
      <c r="SUD93" s="63" t="s">
        <v>882</v>
      </c>
      <c r="SUE93" s="60"/>
      <c r="SUT93" s="63" t="s">
        <v>882</v>
      </c>
      <c r="SUU93" s="60"/>
      <c r="SVJ93" s="63" t="s">
        <v>882</v>
      </c>
      <c r="SVK93" s="60"/>
      <c r="SVZ93" s="63" t="s">
        <v>882</v>
      </c>
      <c r="SWA93" s="60"/>
      <c r="SWP93" s="63" t="s">
        <v>882</v>
      </c>
      <c r="SWQ93" s="60"/>
      <c r="SXF93" s="63" t="s">
        <v>882</v>
      </c>
      <c r="SXG93" s="60"/>
      <c r="SXV93" s="63" t="s">
        <v>882</v>
      </c>
      <c r="SXW93" s="60"/>
      <c r="SYL93" s="63" t="s">
        <v>882</v>
      </c>
      <c r="SYM93" s="60"/>
      <c r="SZB93" s="63" t="s">
        <v>882</v>
      </c>
      <c r="SZC93" s="60"/>
      <c r="SZR93" s="63" t="s">
        <v>882</v>
      </c>
      <c r="SZS93" s="60"/>
      <c r="TAH93" s="63" t="s">
        <v>882</v>
      </c>
      <c r="TAI93" s="60"/>
      <c r="TAX93" s="63" t="s">
        <v>882</v>
      </c>
      <c r="TAY93" s="60"/>
      <c r="TBN93" s="63" t="s">
        <v>882</v>
      </c>
      <c r="TBO93" s="60"/>
      <c r="TCD93" s="63" t="s">
        <v>882</v>
      </c>
      <c r="TCE93" s="60"/>
      <c r="TCT93" s="63" t="s">
        <v>882</v>
      </c>
      <c r="TCU93" s="60"/>
      <c r="TDJ93" s="63" t="s">
        <v>882</v>
      </c>
      <c r="TDK93" s="60"/>
      <c r="TDZ93" s="63" t="s">
        <v>882</v>
      </c>
      <c r="TEA93" s="60"/>
      <c r="TEP93" s="63" t="s">
        <v>882</v>
      </c>
      <c r="TEQ93" s="60"/>
      <c r="TFF93" s="63" t="s">
        <v>882</v>
      </c>
      <c r="TFG93" s="60"/>
      <c r="TFV93" s="63" t="s">
        <v>882</v>
      </c>
      <c r="TFW93" s="60"/>
      <c r="TGL93" s="63" t="s">
        <v>882</v>
      </c>
      <c r="TGM93" s="60"/>
      <c r="THB93" s="63" t="s">
        <v>882</v>
      </c>
      <c r="THC93" s="60"/>
      <c r="THR93" s="63" t="s">
        <v>882</v>
      </c>
      <c r="THS93" s="60"/>
      <c r="TIH93" s="63" t="s">
        <v>882</v>
      </c>
      <c r="TII93" s="60"/>
      <c r="TIX93" s="63" t="s">
        <v>882</v>
      </c>
      <c r="TIY93" s="60"/>
      <c r="TJN93" s="63" t="s">
        <v>882</v>
      </c>
      <c r="TJO93" s="60"/>
      <c r="TKD93" s="63" t="s">
        <v>882</v>
      </c>
      <c r="TKE93" s="60"/>
      <c r="TKT93" s="63" t="s">
        <v>882</v>
      </c>
      <c r="TKU93" s="60"/>
      <c r="TLJ93" s="63" t="s">
        <v>882</v>
      </c>
      <c r="TLK93" s="60"/>
      <c r="TLZ93" s="63" t="s">
        <v>882</v>
      </c>
      <c r="TMA93" s="60"/>
      <c r="TMP93" s="63" t="s">
        <v>882</v>
      </c>
      <c r="TMQ93" s="60"/>
      <c r="TNF93" s="63" t="s">
        <v>882</v>
      </c>
      <c r="TNG93" s="60"/>
      <c r="TNV93" s="63" t="s">
        <v>882</v>
      </c>
      <c r="TNW93" s="60"/>
      <c r="TOL93" s="63" t="s">
        <v>882</v>
      </c>
      <c r="TOM93" s="60"/>
      <c r="TPB93" s="63" t="s">
        <v>882</v>
      </c>
      <c r="TPC93" s="60"/>
      <c r="TPR93" s="63" t="s">
        <v>882</v>
      </c>
      <c r="TPS93" s="60"/>
      <c r="TQH93" s="63" t="s">
        <v>882</v>
      </c>
      <c r="TQI93" s="60"/>
      <c r="TQX93" s="63" t="s">
        <v>882</v>
      </c>
      <c r="TQY93" s="60"/>
      <c r="TRN93" s="63" t="s">
        <v>882</v>
      </c>
      <c r="TRO93" s="60"/>
      <c r="TSD93" s="63" t="s">
        <v>882</v>
      </c>
      <c r="TSE93" s="60"/>
      <c r="TST93" s="63" t="s">
        <v>882</v>
      </c>
      <c r="TSU93" s="60"/>
      <c r="TTJ93" s="63" t="s">
        <v>882</v>
      </c>
      <c r="TTK93" s="60"/>
      <c r="TTZ93" s="63" t="s">
        <v>882</v>
      </c>
      <c r="TUA93" s="60"/>
      <c r="TUP93" s="63" t="s">
        <v>882</v>
      </c>
      <c r="TUQ93" s="60"/>
      <c r="TVF93" s="63" t="s">
        <v>882</v>
      </c>
      <c r="TVG93" s="60"/>
      <c r="TVV93" s="63" t="s">
        <v>882</v>
      </c>
      <c r="TVW93" s="60"/>
      <c r="TWL93" s="63" t="s">
        <v>882</v>
      </c>
      <c r="TWM93" s="60"/>
      <c r="TXB93" s="63" t="s">
        <v>882</v>
      </c>
      <c r="TXC93" s="60"/>
      <c r="TXR93" s="63" t="s">
        <v>882</v>
      </c>
      <c r="TXS93" s="60"/>
      <c r="TYH93" s="63" t="s">
        <v>882</v>
      </c>
      <c r="TYI93" s="60"/>
      <c r="TYX93" s="63" t="s">
        <v>882</v>
      </c>
      <c r="TYY93" s="60"/>
      <c r="TZN93" s="63" t="s">
        <v>882</v>
      </c>
      <c r="TZO93" s="60"/>
      <c r="UAD93" s="63" t="s">
        <v>882</v>
      </c>
      <c r="UAE93" s="60"/>
      <c r="UAT93" s="63" t="s">
        <v>882</v>
      </c>
      <c r="UAU93" s="60"/>
      <c r="UBJ93" s="63" t="s">
        <v>882</v>
      </c>
      <c r="UBK93" s="60"/>
      <c r="UBZ93" s="63" t="s">
        <v>882</v>
      </c>
      <c r="UCA93" s="60"/>
      <c r="UCP93" s="63" t="s">
        <v>882</v>
      </c>
      <c r="UCQ93" s="60"/>
      <c r="UDF93" s="63" t="s">
        <v>882</v>
      </c>
      <c r="UDG93" s="60"/>
      <c r="UDV93" s="63" t="s">
        <v>882</v>
      </c>
      <c r="UDW93" s="60"/>
      <c r="UEL93" s="63" t="s">
        <v>882</v>
      </c>
      <c r="UEM93" s="60"/>
      <c r="UFB93" s="63" t="s">
        <v>882</v>
      </c>
      <c r="UFC93" s="60"/>
      <c r="UFR93" s="63" t="s">
        <v>882</v>
      </c>
      <c r="UFS93" s="60"/>
      <c r="UGH93" s="63" t="s">
        <v>882</v>
      </c>
      <c r="UGI93" s="60"/>
      <c r="UGX93" s="63" t="s">
        <v>882</v>
      </c>
      <c r="UGY93" s="60"/>
      <c r="UHN93" s="63" t="s">
        <v>882</v>
      </c>
      <c r="UHO93" s="60"/>
      <c r="UID93" s="63" t="s">
        <v>882</v>
      </c>
      <c r="UIE93" s="60"/>
      <c r="UIT93" s="63" t="s">
        <v>882</v>
      </c>
      <c r="UIU93" s="60"/>
      <c r="UJJ93" s="63" t="s">
        <v>882</v>
      </c>
      <c r="UJK93" s="60"/>
      <c r="UJZ93" s="63" t="s">
        <v>882</v>
      </c>
      <c r="UKA93" s="60"/>
      <c r="UKP93" s="63" t="s">
        <v>882</v>
      </c>
      <c r="UKQ93" s="60"/>
      <c r="ULF93" s="63" t="s">
        <v>882</v>
      </c>
      <c r="ULG93" s="60"/>
      <c r="ULV93" s="63" t="s">
        <v>882</v>
      </c>
      <c r="ULW93" s="60"/>
      <c r="UML93" s="63" t="s">
        <v>882</v>
      </c>
      <c r="UMM93" s="60"/>
      <c r="UNB93" s="63" t="s">
        <v>882</v>
      </c>
      <c r="UNC93" s="60"/>
      <c r="UNR93" s="63" t="s">
        <v>882</v>
      </c>
      <c r="UNS93" s="60"/>
      <c r="UOH93" s="63" t="s">
        <v>882</v>
      </c>
      <c r="UOI93" s="60"/>
      <c r="UOX93" s="63" t="s">
        <v>882</v>
      </c>
      <c r="UOY93" s="60"/>
      <c r="UPN93" s="63" t="s">
        <v>882</v>
      </c>
      <c r="UPO93" s="60"/>
      <c r="UQD93" s="63" t="s">
        <v>882</v>
      </c>
      <c r="UQE93" s="60"/>
      <c r="UQT93" s="63" t="s">
        <v>882</v>
      </c>
      <c r="UQU93" s="60"/>
      <c r="URJ93" s="63" t="s">
        <v>882</v>
      </c>
      <c r="URK93" s="60"/>
      <c r="URZ93" s="63" t="s">
        <v>882</v>
      </c>
      <c r="USA93" s="60"/>
      <c r="USP93" s="63" t="s">
        <v>882</v>
      </c>
      <c r="USQ93" s="60"/>
      <c r="UTF93" s="63" t="s">
        <v>882</v>
      </c>
      <c r="UTG93" s="60"/>
      <c r="UTV93" s="63" t="s">
        <v>882</v>
      </c>
      <c r="UTW93" s="60"/>
      <c r="UUL93" s="63" t="s">
        <v>882</v>
      </c>
      <c r="UUM93" s="60"/>
      <c r="UVB93" s="63" t="s">
        <v>882</v>
      </c>
      <c r="UVC93" s="60"/>
      <c r="UVR93" s="63" t="s">
        <v>882</v>
      </c>
      <c r="UVS93" s="60"/>
      <c r="UWH93" s="63" t="s">
        <v>882</v>
      </c>
      <c r="UWI93" s="60"/>
      <c r="UWX93" s="63" t="s">
        <v>882</v>
      </c>
      <c r="UWY93" s="60"/>
      <c r="UXN93" s="63" t="s">
        <v>882</v>
      </c>
      <c r="UXO93" s="60"/>
      <c r="UYD93" s="63" t="s">
        <v>882</v>
      </c>
      <c r="UYE93" s="60"/>
      <c r="UYT93" s="63" t="s">
        <v>882</v>
      </c>
      <c r="UYU93" s="60"/>
      <c r="UZJ93" s="63" t="s">
        <v>882</v>
      </c>
      <c r="UZK93" s="60"/>
      <c r="UZZ93" s="63" t="s">
        <v>882</v>
      </c>
      <c r="VAA93" s="60"/>
      <c r="VAP93" s="63" t="s">
        <v>882</v>
      </c>
      <c r="VAQ93" s="60"/>
      <c r="VBF93" s="63" t="s">
        <v>882</v>
      </c>
      <c r="VBG93" s="60"/>
      <c r="VBV93" s="63" t="s">
        <v>882</v>
      </c>
      <c r="VBW93" s="60"/>
      <c r="VCL93" s="63" t="s">
        <v>882</v>
      </c>
      <c r="VCM93" s="60"/>
      <c r="VDB93" s="63" t="s">
        <v>882</v>
      </c>
      <c r="VDC93" s="60"/>
      <c r="VDR93" s="63" t="s">
        <v>882</v>
      </c>
      <c r="VDS93" s="60"/>
      <c r="VEH93" s="63" t="s">
        <v>882</v>
      </c>
      <c r="VEI93" s="60"/>
      <c r="VEX93" s="63" t="s">
        <v>882</v>
      </c>
      <c r="VEY93" s="60"/>
      <c r="VFN93" s="63" t="s">
        <v>882</v>
      </c>
      <c r="VFO93" s="60"/>
      <c r="VGD93" s="63" t="s">
        <v>882</v>
      </c>
      <c r="VGE93" s="60"/>
      <c r="VGT93" s="63" t="s">
        <v>882</v>
      </c>
      <c r="VGU93" s="60"/>
      <c r="VHJ93" s="63" t="s">
        <v>882</v>
      </c>
      <c r="VHK93" s="60"/>
      <c r="VHZ93" s="63" t="s">
        <v>882</v>
      </c>
      <c r="VIA93" s="60"/>
      <c r="VIP93" s="63" t="s">
        <v>882</v>
      </c>
      <c r="VIQ93" s="60"/>
      <c r="VJF93" s="63" t="s">
        <v>882</v>
      </c>
      <c r="VJG93" s="60"/>
      <c r="VJV93" s="63" t="s">
        <v>882</v>
      </c>
      <c r="VJW93" s="60"/>
      <c r="VKL93" s="63" t="s">
        <v>882</v>
      </c>
      <c r="VKM93" s="60"/>
      <c r="VLB93" s="63" t="s">
        <v>882</v>
      </c>
      <c r="VLC93" s="60"/>
      <c r="VLR93" s="63" t="s">
        <v>882</v>
      </c>
      <c r="VLS93" s="60"/>
      <c r="VMH93" s="63" t="s">
        <v>882</v>
      </c>
      <c r="VMI93" s="60"/>
      <c r="VMX93" s="63" t="s">
        <v>882</v>
      </c>
      <c r="VMY93" s="60"/>
      <c r="VNN93" s="63" t="s">
        <v>882</v>
      </c>
      <c r="VNO93" s="60"/>
      <c r="VOD93" s="63" t="s">
        <v>882</v>
      </c>
      <c r="VOE93" s="60"/>
      <c r="VOT93" s="63" t="s">
        <v>882</v>
      </c>
      <c r="VOU93" s="60"/>
      <c r="VPJ93" s="63" t="s">
        <v>882</v>
      </c>
      <c r="VPK93" s="60"/>
      <c r="VPZ93" s="63" t="s">
        <v>882</v>
      </c>
      <c r="VQA93" s="60"/>
      <c r="VQP93" s="63" t="s">
        <v>882</v>
      </c>
      <c r="VQQ93" s="60"/>
      <c r="VRF93" s="63" t="s">
        <v>882</v>
      </c>
      <c r="VRG93" s="60"/>
      <c r="VRV93" s="63" t="s">
        <v>882</v>
      </c>
      <c r="VRW93" s="60"/>
      <c r="VSL93" s="63" t="s">
        <v>882</v>
      </c>
      <c r="VSM93" s="60"/>
      <c r="VTB93" s="63" t="s">
        <v>882</v>
      </c>
      <c r="VTC93" s="60"/>
      <c r="VTR93" s="63" t="s">
        <v>882</v>
      </c>
      <c r="VTS93" s="60"/>
      <c r="VUH93" s="63" t="s">
        <v>882</v>
      </c>
      <c r="VUI93" s="60"/>
      <c r="VUX93" s="63" t="s">
        <v>882</v>
      </c>
      <c r="VUY93" s="60"/>
      <c r="VVN93" s="63" t="s">
        <v>882</v>
      </c>
      <c r="VVO93" s="60"/>
      <c r="VWD93" s="63" t="s">
        <v>882</v>
      </c>
      <c r="VWE93" s="60"/>
      <c r="VWT93" s="63" t="s">
        <v>882</v>
      </c>
      <c r="VWU93" s="60"/>
      <c r="VXJ93" s="63" t="s">
        <v>882</v>
      </c>
      <c r="VXK93" s="60"/>
      <c r="VXZ93" s="63" t="s">
        <v>882</v>
      </c>
      <c r="VYA93" s="60"/>
      <c r="VYP93" s="63" t="s">
        <v>882</v>
      </c>
      <c r="VYQ93" s="60"/>
      <c r="VZF93" s="63" t="s">
        <v>882</v>
      </c>
      <c r="VZG93" s="60"/>
      <c r="VZV93" s="63" t="s">
        <v>882</v>
      </c>
      <c r="VZW93" s="60"/>
      <c r="WAL93" s="63" t="s">
        <v>882</v>
      </c>
      <c r="WAM93" s="60"/>
      <c r="WBB93" s="63" t="s">
        <v>882</v>
      </c>
      <c r="WBC93" s="60"/>
      <c r="WBR93" s="63" t="s">
        <v>882</v>
      </c>
      <c r="WBS93" s="60"/>
      <c r="WCH93" s="63" t="s">
        <v>882</v>
      </c>
      <c r="WCI93" s="60"/>
      <c r="WCX93" s="63" t="s">
        <v>882</v>
      </c>
      <c r="WCY93" s="60"/>
      <c r="WDN93" s="63" t="s">
        <v>882</v>
      </c>
      <c r="WDO93" s="60"/>
      <c r="WED93" s="63" t="s">
        <v>882</v>
      </c>
      <c r="WEE93" s="60"/>
      <c r="WET93" s="63" t="s">
        <v>882</v>
      </c>
      <c r="WEU93" s="60"/>
      <c r="WFJ93" s="63" t="s">
        <v>882</v>
      </c>
      <c r="WFK93" s="60"/>
      <c r="WFZ93" s="63" t="s">
        <v>882</v>
      </c>
      <c r="WGA93" s="60"/>
      <c r="WGP93" s="63" t="s">
        <v>882</v>
      </c>
      <c r="WGQ93" s="60"/>
      <c r="WHF93" s="63" t="s">
        <v>882</v>
      </c>
      <c r="WHG93" s="60"/>
      <c r="WHV93" s="63" t="s">
        <v>882</v>
      </c>
      <c r="WHW93" s="60"/>
      <c r="WIL93" s="63" t="s">
        <v>882</v>
      </c>
      <c r="WIM93" s="60"/>
      <c r="WJB93" s="63" t="s">
        <v>882</v>
      </c>
      <c r="WJC93" s="60"/>
      <c r="WJR93" s="63" t="s">
        <v>882</v>
      </c>
      <c r="WJS93" s="60"/>
      <c r="WKH93" s="63" t="s">
        <v>882</v>
      </c>
      <c r="WKI93" s="60"/>
      <c r="WKX93" s="63" t="s">
        <v>882</v>
      </c>
      <c r="WKY93" s="60"/>
      <c r="WLN93" s="63" t="s">
        <v>882</v>
      </c>
      <c r="WLO93" s="60"/>
      <c r="WMD93" s="63" t="s">
        <v>882</v>
      </c>
      <c r="WME93" s="60"/>
      <c r="WMT93" s="63" t="s">
        <v>882</v>
      </c>
      <c r="WMU93" s="60"/>
      <c r="WNJ93" s="63" t="s">
        <v>882</v>
      </c>
      <c r="WNK93" s="60"/>
      <c r="WNZ93" s="63" t="s">
        <v>882</v>
      </c>
      <c r="WOA93" s="60"/>
      <c r="WOP93" s="63" t="s">
        <v>882</v>
      </c>
      <c r="WOQ93" s="60"/>
      <c r="WPF93" s="63" t="s">
        <v>882</v>
      </c>
      <c r="WPG93" s="60"/>
      <c r="WPV93" s="63" t="s">
        <v>882</v>
      </c>
      <c r="WPW93" s="60"/>
      <c r="WQL93" s="63" t="s">
        <v>882</v>
      </c>
      <c r="WQM93" s="60"/>
      <c r="WRB93" s="63" t="s">
        <v>882</v>
      </c>
      <c r="WRC93" s="60"/>
      <c r="WRR93" s="63" t="s">
        <v>882</v>
      </c>
      <c r="WRS93" s="60"/>
      <c r="WSH93" s="63" t="s">
        <v>882</v>
      </c>
      <c r="WSI93" s="60"/>
      <c r="WSX93" s="63" t="s">
        <v>882</v>
      </c>
      <c r="WSY93" s="60"/>
      <c r="WTN93" s="63" t="s">
        <v>882</v>
      </c>
      <c r="WTO93" s="60"/>
      <c r="WUD93" s="63" t="s">
        <v>882</v>
      </c>
      <c r="WUE93" s="60"/>
      <c r="WUT93" s="63" t="s">
        <v>882</v>
      </c>
      <c r="WUU93" s="60"/>
      <c r="WVJ93" s="63" t="s">
        <v>882</v>
      </c>
      <c r="WVK93" s="60"/>
      <c r="WVZ93" s="63" t="s">
        <v>882</v>
      </c>
      <c r="WWA93" s="60"/>
      <c r="WWP93" s="63" t="s">
        <v>882</v>
      </c>
      <c r="WWQ93" s="60"/>
      <c r="WXF93" s="63" t="s">
        <v>882</v>
      </c>
      <c r="WXG93" s="60"/>
      <c r="WXV93" s="63" t="s">
        <v>882</v>
      </c>
      <c r="WXW93" s="60"/>
      <c r="WYL93" s="63" t="s">
        <v>882</v>
      </c>
      <c r="WYM93" s="60"/>
      <c r="WZB93" s="63" t="s">
        <v>882</v>
      </c>
      <c r="WZC93" s="60"/>
      <c r="WZR93" s="63" t="s">
        <v>882</v>
      </c>
      <c r="WZS93" s="60"/>
      <c r="XAH93" s="63" t="s">
        <v>882</v>
      </c>
      <c r="XAI93" s="60"/>
      <c r="XAX93" s="63" t="s">
        <v>882</v>
      </c>
      <c r="XAY93" s="60"/>
      <c r="XBN93" s="63" t="s">
        <v>882</v>
      </c>
      <c r="XBO93" s="60"/>
      <c r="XCD93" s="63" t="s">
        <v>882</v>
      </c>
      <c r="XCE93" s="60"/>
      <c r="XCT93" s="63" t="s">
        <v>882</v>
      </c>
      <c r="XCU93" s="60"/>
      <c r="XDJ93" s="63" t="s">
        <v>882</v>
      </c>
      <c r="XDK93" s="60"/>
      <c r="XDZ93" s="63" t="s">
        <v>882</v>
      </c>
      <c r="XEA93" s="60"/>
      <c r="XEP93" s="63" t="s">
        <v>882</v>
      </c>
      <c r="XEQ93" s="60"/>
    </row>
    <row r="94" spans="2:1011 1026:2035 2050:3059 3074:4083 4098:5107 5122:6131 6146:7155 7170:8179 8194:9203 9218:10227 10242:11251 11266:12275 12290:13299 13314:14323 14338:15347 15362:16371" ht="14.25" x14ac:dyDescent="0.2">
      <c r="R94" s="34" t="s">
        <v>885</v>
      </c>
      <c r="S94" s="60"/>
      <c r="AH94" s="34" t="s">
        <v>885</v>
      </c>
      <c r="AI94" s="60"/>
      <c r="AX94" s="34" t="s">
        <v>885</v>
      </c>
      <c r="AY94" s="60"/>
      <c r="BN94" s="34" t="s">
        <v>885</v>
      </c>
      <c r="BO94" s="60"/>
      <c r="CD94" s="34" t="s">
        <v>885</v>
      </c>
      <c r="CE94" s="60"/>
      <c r="CT94" s="34" t="s">
        <v>885</v>
      </c>
      <c r="CU94" s="60"/>
      <c r="DJ94" s="34" t="s">
        <v>885</v>
      </c>
      <c r="DK94" s="60"/>
      <c r="DZ94" s="34" t="s">
        <v>885</v>
      </c>
      <c r="EA94" s="60"/>
      <c r="EP94" s="34" t="s">
        <v>885</v>
      </c>
      <c r="EQ94" s="60"/>
      <c r="FF94" s="34" t="s">
        <v>885</v>
      </c>
      <c r="FG94" s="60"/>
      <c r="FV94" s="34" t="s">
        <v>885</v>
      </c>
      <c r="FW94" s="60"/>
      <c r="GL94" s="34" t="s">
        <v>885</v>
      </c>
      <c r="GM94" s="60"/>
      <c r="HB94" s="34" t="s">
        <v>885</v>
      </c>
      <c r="HC94" s="60"/>
      <c r="HR94" s="34" t="s">
        <v>885</v>
      </c>
      <c r="HS94" s="60"/>
      <c r="IH94" s="34" t="s">
        <v>885</v>
      </c>
      <c r="II94" s="60"/>
      <c r="IX94" s="34" t="s">
        <v>885</v>
      </c>
      <c r="IY94" s="60"/>
      <c r="JN94" s="34" t="s">
        <v>885</v>
      </c>
      <c r="JO94" s="60"/>
      <c r="KD94" s="34" t="s">
        <v>885</v>
      </c>
      <c r="KE94" s="60"/>
      <c r="KT94" s="34" t="s">
        <v>885</v>
      </c>
      <c r="KU94" s="60"/>
      <c r="LJ94" s="34" t="s">
        <v>885</v>
      </c>
      <c r="LK94" s="60"/>
      <c r="LZ94" s="34" t="s">
        <v>885</v>
      </c>
      <c r="MA94" s="60"/>
      <c r="MP94" s="34" t="s">
        <v>885</v>
      </c>
      <c r="MQ94" s="60"/>
      <c r="NF94" s="34" t="s">
        <v>885</v>
      </c>
      <c r="NG94" s="60"/>
      <c r="NV94" s="34" t="s">
        <v>885</v>
      </c>
      <c r="NW94" s="60"/>
      <c r="OL94" s="34" t="s">
        <v>885</v>
      </c>
      <c r="OM94" s="60"/>
      <c r="PB94" s="34" t="s">
        <v>885</v>
      </c>
      <c r="PC94" s="60"/>
      <c r="PR94" s="34" t="s">
        <v>885</v>
      </c>
      <c r="PS94" s="60"/>
      <c r="QH94" s="34" t="s">
        <v>885</v>
      </c>
      <c r="QI94" s="60"/>
      <c r="QX94" s="34" t="s">
        <v>885</v>
      </c>
      <c r="QY94" s="60"/>
      <c r="RN94" s="34" t="s">
        <v>885</v>
      </c>
      <c r="RO94" s="60"/>
      <c r="SD94" s="34" t="s">
        <v>885</v>
      </c>
      <c r="SE94" s="60"/>
      <c r="ST94" s="34" t="s">
        <v>885</v>
      </c>
      <c r="SU94" s="60"/>
      <c r="TJ94" s="34" t="s">
        <v>885</v>
      </c>
      <c r="TK94" s="60"/>
      <c r="TZ94" s="34" t="s">
        <v>885</v>
      </c>
      <c r="UA94" s="60"/>
      <c r="UP94" s="34" t="s">
        <v>885</v>
      </c>
      <c r="UQ94" s="60"/>
      <c r="VF94" s="34" t="s">
        <v>885</v>
      </c>
      <c r="VG94" s="60"/>
      <c r="VV94" s="34" t="s">
        <v>885</v>
      </c>
      <c r="VW94" s="60"/>
      <c r="WL94" s="34" t="s">
        <v>885</v>
      </c>
      <c r="WM94" s="60"/>
      <c r="XB94" s="34" t="s">
        <v>885</v>
      </c>
      <c r="XC94" s="60"/>
      <c r="XR94" s="34" t="s">
        <v>885</v>
      </c>
      <c r="XS94" s="60"/>
      <c r="YH94" s="34" t="s">
        <v>885</v>
      </c>
      <c r="YI94" s="60"/>
      <c r="YX94" s="34" t="s">
        <v>885</v>
      </c>
      <c r="YY94" s="60"/>
      <c r="ZN94" s="34" t="s">
        <v>885</v>
      </c>
      <c r="ZO94" s="60"/>
      <c r="AAD94" s="34" t="s">
        <v>885</v>
      </c>
      <c r="AAE94" s="60"/>
      <c r="AAT94" s="34" t="s">
        <v>885</v>
      </c>
      <c r="AAU94" s="60"/>
      <c r="ABJ94" s="34" t="s">
        <v>885</v>
      </c>
      <c r="ABK94" s="60"/>
      <c r="ABZ94" s="34" t="s">
        <v>885</v>
      </c>
      <c r="ACA94" s="60"/>
      <c r="ACP94" s="34" t="s">
        <v>885</v>
      </c>
      <c r="ACQ94" s="60"/>
      <c r="ADF94" s="34" t="s">
        <v>885</v>
      </c>
      <c r="ADG94" s="60"/>
      <c r="ADV94" s="34" t="s">
        <v>885</v>
      </c>
      <c r="ADW94" s="60"/>
      <c r="AEL94" s="34" t="s">
        <v>885</v>
      </c>
      <c r="AEM94" s="60"/>
      <c r="AFB94" s="34" t="s">
        <v>885</v>
      </c>
      <c r="AFC94" s="60"/>
      <c r="AFR94" s="34" t="s">
        <v>885</v>
      </c>
      <c r="AFS94" s="60"/>
      <c r="AGH94" s="34" t="s">
        <v>885</v>
      </c>
      <c r="AGI94" s="60"/>
      <c r="AGX94" s="34" t="s">
        <v>885</v>
      </c>
      <c r="AGY94" s="60"/>
      <c r="AHN94" s="34" t="s">
        <v>885</v>
      </c>
      <c r="AHO94" s="60"/>
      <c r="AID94" s="34" t="s">
        <v>885</v>
      </c>
      <c r="AIE94" s="60"/>
      <c r="AIT94" s="34" t="s">
        <v>885</v>
      </c>
      <c r="AIU94" s="60"/>
      <c r="AJJ94" s="34" t="s">
        <v>885</v>
      </c>
      <c r="AJK94" s="60"/>
      <c r="AJZ94" s="34" t="s">
        <v>885</v>
      </c>
      <c r="AKA94" s="60"/>
      <c r="AKP94" s="34" t="s">
        <v>885</v>
      </c>
      <c r="AKQ94" s="60"/>
      <c r="ALF94" s="34" t="s">
        <v>885</v>
      </c>
      <c r="ALG94" s="60"/>
      <c r="ALV94" s="34" t="s">
        <v>885</v>
      </c>
      <c r="ALW94" s="60"/>
      <c r="AML94" s="34" t="s">
        <v>885</v>
      </c>
      <c r="AMM94" s="60"/>
      <c r="ANB94" s="34" t="s">
        <v>885</v>
      </c>
      <c r="ANC94" s="60"/>
      <c r="ANR94" s="34" t="s">
        <v>885</v>
      </c>
      <c r="ANS94" s="60"/>
      <c r="AOH94" s="34" t="s">
        <v>885</v>
      </c>
      <c r="AOI94" s="60"/>
      <c r="AOX94" s="34" t="s">
        <v>885</v>
      </c>
      <c r="AOY94" s="60"/>
      <c r="APN94" s="34" t="s">
        <v>885</v>
      </c>
      <c r="APO94" s="60"/>
      <c r="AQD94" s="34" t="s">
        <v>885</v>
      </c>
      <c r="AQE94" s="60"/>
      <c r="AQT94" s="34" t="s">
        <v>885</v>
      </c>
      <c r="AQU94" s="60"/>
      <c r="ARJ94" s="34" t="s">
        <v>885</v>
      </c>
      <c r="ARK94" s="60"/>
      <c r="ARZ94" s="34" t="s">
        <v>885</v>
      </c>
      <c r="ASA94" s="60"/>
      <c r="ASP94" s="34" t="s">
        <v>885</v>
      </c>
      <c r="ASQ94" s="60"/>
      <c r="ATF94" s="34" t="s">
        <v>885</v>
      </c>
      <c r="ATG94" s="60"/>
      <c r="ATV94" s="34" t="s">
        <v>885</v>
      </c>
      <c r="ATW94" s="60"/>
      <c r="AUL94" s="34" t="s">
        <v>885</v>
      </c>
      <c r="AUM94" s="60"/>
      <c r="AVB94" s="34" t="s">
        <v>885</v>
      </c>
      <c r="AVC94" s="60"/>
      <c r="AVR94" s="34" t="s">
        <v>885</v>
      </c>
      <c r="AVS94" s="60"/>
      <c r="AWH94" s="34" t="s">
        <v>885</v>
      </c>
      <c r="AWI94" s="60"/>
      <c r="AWX94" s="34" t="s">
        <v>885</v>
      </c>
      <c r="AWY94" s="60"/>
      <c r="AXN94" s="34" t="s">
        <v>885</v>
      </c>
      <c r="AXO94" s="60"/>
      <c r="AYD94" s="34" t="s">
        <v>885</v>
      </c>
      <c r="AYE94" s="60"/>
      <c r="AYT94" s="34" t="s">
        <v>885</v>
      </c>
      <c r="AYU94" s="60"/>
      <c r="AZJ94" s="34" t="s">
        <v>885</v>
      </c>
      <c r="AZK94" s="60"/>
      <c r="AZZ94" s="34" t="s">
        <v>885</v>
      </c>
      <c r="BAA94" s="60"/>
      <c r="BAP94" s="34" t="s">
        <v>885</v>
      </c>
      <c r="BAQ94" s="60"/>
      <c r="BBF94" s="34" t="s">
        <v>885</v>
      </c>
      <c r="BBG94" s="60"/>
      <c r="BBV94" s="34" t="s">
        <v>885</v>
      </c>
      <c r="BBW94" s="60"/>
      <c r="BCL94" s="34" t="s">
        <v>885</v>
      </c>
      <c r="BCM94" s="60"/>
      <c r="BDB94" s="34" t="s">
        <v>885</v>
      </c>
      <c r="BDC94" s="60"/>
      <c r="BDR94" s="34" t="s">
        <v>885</v>
      </c>
      <c r="BDS94" s="60"/>
      <c r="BEH94" s="34" t="s">
        <v>885</v>
      </c>
      <c r="BEI94" s="60"/>
      <c r="BEX94" s="34" t="s">
        <v>885</v>
      </c>
      <c r="BEY94" s="60"/>
      <c r="BFN94" s="34" t="s">
        <v>885</v>
      </c>
      <c r="BFO94" s="60"/>
      <c r="BGD94" s="34" t="s">
        <v>885</v>
      </c>
      <c r="BGE94" s="60"/>
      <c r="BGT94" s="34" t="s">
        <v>885</v>
      </c>
      <c r="BGU94" s="60"/>
      <c r="BHJ94" s="34" t="s">
        <v>885</v>
      </c>
      <c r="BHK94" s="60"/>
      <c r="BHZ94" s="34" t="s">
        <v>885</v>
      </c>
      <c r="BIA94" s="60"/>
      <c r="BIP94" s="34" t="s">
        <v>885</v>
      </c>
      <c r="BIQ94" s="60"/>
      <c r="BJF94" s="34" t="s">
        <v>885</v>
      </c>
      <c r="BJG94" s="60"/>
      <c r="BJV94" s="34" t="s">
        <v>885</v>
      </c>
      <c r="BJW94" s="60"/>
      <c r="BKL94" s="34" t="s">
        <v>885</v>
      </c>
      <c r="BKM94" s="60"/>
      <c r="BLB94" s="34" t="s">
        <v>885</v>
      </c>
      <c r="BLC94" s="60"/>
      <c r="BLR94" s="34" t="s">
        <v>885</v>
      </c>
      <c r="BLS94" s="60"/>
      <c r="BMH94" s="34" t="s">
        <v>885</v>
      </c>
      <c r="BMI94" s="60"/>
      <c r="BMX94" s="34" t="s">
        <v>885</v>
      </c>
      <c r="BMY94" s="60"/>
      <c r="BNN94" s="34" t="s">
        <v>885</v>
      </c>
      <c r="BNO94" s="60"/>
      <c r="BOD94" s="34" t="s">
        <v>885</v>
      </c>
      <c r="BOE94" s="60"/>
      <c r="BOT94" s="34" t="s">
        <v>885</v>
      </c>
      <c r="BOU94" s="60"/>
      <c r="BPJ94" s="34" t="s">
        <v>885</v>
      </c>
      <c r="BPK94" s="60"/>
      <c r="BPZ94" s="34" t="s">
        <v>885</v>
      </c>
      <c r="BQA94" s="60"/>
      <c r="BQP94" s="34" t="s">
        <v>885</v>
      </c>
      <c r="BQQ94" s="60"/>
      <c r="BRF94" s="34" t="s">
        <v>885</v>
      </c>
      <c r="BRG94" s="60"/>
      <c r="BRV94" s="34" t="s">
        <v>885</v>
      </c>
      <c r="BRW94" s="60"/>
      <c r="BSL94" s="34" t="s">
        <v>885</v>
      </c>
      <c r="BSM94" s="60"/>
      <c r="BTB94" s="34" t="s">
        <v>885</v>
      </c>
      <c r="BTC94" s="60"/>
      <c r="BTR94" s="34" t="s">
        <v>885</v>
      </c>
      <c r="BTS94" s="60"/>
      <c r="BUH94" s="34" t="s">
        <v>885</v>
      </c>
      <c r="BUI94" s="60"/>
      <c r="BUX94" s="34" t="s">
        <v>885</v>
      </c>
      <c r="BUY94" s="60"/>
      <c r="BVN94" s="34" t="s">
        <v>885</v>
      </c>
      <c r="BVO94" s="60"/>
      <c r="BWD94" s="34" t="s">
        <v>885</v>
      </c>
      <c r="BWE94" s="60"/>
      <c r="BWT94" s="34" t="s">
        <v>885</v>
      </c>
      <c r="BWU94" s="60"/>
      <c r="BXJ94" s="34" t="s">
        <v>885</v>
      </c>
      <c r="BXK94" s="60"/>
      <c r="BXZ94" s="34" t="s">
        <v>885</v>
      </c>
      <c r="BYA94" s="60"/>
      <c r="BYP94" s="34" t="s">
        <v>885</v>
      </c>
      <c r="BYQ94" s="60"/>
      <c r="BZF94" s="34" t="s">
        <v>885</v>
      </c>
      <c r="BZG94" s="60"/>
      <c r="BZV94" s="34" t="s">
        <v>885</v>
      </c>
      <c r="BZW94" s="60"/>
      <c r="CAL94" s="34" t="s">
        <v>885</v>
      </c>
      <c r="CAM94" s="60"/>
      <c r="CBB94" s="34" t="s">
        <v>885</v>
      </c>
      <c r="CBC94" s="60"/>
      <c r="CBR94" s="34" t="s">
        <v>885</v>
      </c>
      <c r="CBS94" s="60"/>
      <c r="CCH94" s="34" t="s">
        <v>885</v>
      </c>
      <c r="CCI94" s="60"/>
      <c r="CCX94" s="34" t="s">
        <v>885</v>
      </c>
      <c r="CCY94" s="60"/>
      <c r="CDN94" s="34" t="s">
        <v>885</v>
      </c>
      <c r="CDO94" s="60"/>
      <c r="CED94" s="34" t="s">
        <v>885</v>
      </c>
      <c r="CEE94" s="60"/>
      <c r="CET94" s="34" t="s">
        <v>885</v>
      </c>
      <c r="CEU94" s="60"/>
      <c r="CFJ94" s="34" t="s">
        <v>885</v>
      </c>
      <c r="CFK94" s="60"/>
      <c r="CFZ94" s="34" t="s">
        <v>885</v>
      </c>
      <c r="CGA94" s="60"/>
      <c r="CGP94" s="34" t="s">
        <v>885</v>
      </c>
      <c r="CGQ94" s="60"/>
      <c r="CHF94" s="34" t="s">
        <v>885</v>
      </c>
      <c r="CHG94" s="60"/>
      <c r="CHV94" s="34" t="s">
        <v>885</v>
      </c>
      <c r="CHW94" s="60"/>
      <c r="CIL94" s="34" t="s">
        <v>885</v>
      </c>
      <c r="CIM94" s="60"/>
      <c r="CJB94" s="34" t="s">
        <v>885</v>
      </c>
      <c r="CJC94" s="60"/>
      <c r="CJR94" s="34" t="s">
        <v>885</v>
      </c>
      <c r="CJS94" s="60"/>
      <c r="CKH94" s="34" t="s">
        <v>885</v>
      </c>
      <c r="CKI94" s="60"/>
      <c r="CKX94" s="34" t="s">
        <v>885</v>
      </c>
      <c r="CKY94" s="60"/>
      <c r="CLN94" s="34" t="s">
        <v>885</v>
      </c>
      <c r="CLO94" s="60"/>
      <c r="CMD94" s="34" t="s">
        <v>885</v>
      </c>
      <c r="CME94" s="60"/>
      <c r="CMT94" s="34" t="s">
        <v>885</v>
      </c>
      <c r="CMU94" s="60"/>
      <c r="CNJ94" s="34" t="s">
        <v>885</v>
      </c>
      <c r="CNK94" s="60"/>
      <c r="CNZ94" s="34" t="s">
        <v>885</v>
      </c>
      <c r="COA94" s="60"/>
      <c r="COP94" s="34" t="s">
        <v>885</v>
      </c>
      <c r="COQ94" s="60"/>
      <c r="CPF94" s="34" t="s">
        <v>885</v>
      </c>
      <c r="CPG94" s="60"/>
      <c r="CPV94" s="34" t="s">
        <v>885</v>
      </c>
      <c r="CPW94" s="60"/>
      <c r="CQL94" s="34" t="s">
        <v>885</v>
      </c>
      <c r="CQM94" s="60"/>
      <c r="CRB94" s="34" t="s">
        <v>885</v>
      </c>
      <c r="CRC94" s="60"/>
      <c r="CRR94" s="34" t="s">
        <v>885</v>
      </c>
      <c r="CRS94" s="60"/>
      <c r="CSH94" s="34" t="s">
        <v>885</v>
      </c>
      <c r="CSI94" s="60"/>
      <c r="CSX94" s="34" t="s">
        <v>885</v>
      </c>
      <c r="CSY94" s="60"/>
      <c r="CTN94" s="34" t="s">
        <v>885</v>
      </c>
      <c r="CTO94" s="60"/>
      <c r="CUD94" s="34" t="s">
        <v>885</v>
      </c>
      <c r="CUE94" s="60"/>
      <c r="CUT94" s="34" t="s">
        <v>885</v>
      </c>
      <c r="CUU94" s="60"/>
      <c r="CVJ94" s="34" t="s">
        <v>885</v>
      </c>
      <c r="CVK94" s="60"/>
      <c r="CVZ94" s="34" t="s">
        <v>885</v>
      </c>
      <c r="CWA94" s="60"/>
      <c r="CWP94" s="34" t="s">
        <v>885</v>
      </c>
      <c r="CWQ94" s="60"/>
      <c r="CXF94" s="34" t="s">
        <v>885</v>
      </c>
      <c r="CXG94" s="60"/>
      <c r="CXV94" s="34" t="s">
        <v>885</v>
      </c>
      <c r="CXW94" s="60"/>
      <c r="CYL94" s="34" t="s">
        <v>885</v>
      </c>
      <c r="CYM94" s="60"/>
      <c r="CZB94" s="34" t="s">
        <v>885</v>
      </c>
      <c r="CZC94" s="60"/>
      <c r="CZR94" s="34" t="s">
        <v>885</v>
      </c>
      <c r="CZS94" s="60"/>
      <c r="DAH94" s="34" t="s">
        <v>885</v>
      </c>
      <c r="DAI94" s="60"/>
      <c r="DAX94" s="34" t="s">
        <v>885</v>
      </c>
      <c r="DAY94" s="60"/>
      <c r="DBN94" s="34" t="s">
        <v>885</v>
      </c>
      <c r="DBO94" s="60"/>
      <c r="DCD94" s="34" t="s">
        <v>885</v>
      </c>
      <c r="DCE94" s="60"/>
      <c r="DCT94" s="34" t="s">
        <v>885</v>
      </c>
      <c r="DCU94" s="60"/>
      <c r="DDJ94" s="34" t="s">
        <v>885</v>
      </c>
      <c r="DDK94" s="60"/>
      <c r="DDZ94" s="34" t="s">
        <v>885</v>
      </c>
      <c r="DEA94" s="60"/>
      <c r="DEP94" s="34" t="s">
        <v>885</v>
      </c>
      <c r="DEQ94" s="60"/>
      <c r="DFF94" s="34" t="s">
        <v>885</v>
      </c>
      <c r="DFG94" s="60"/>
      <c r="DFV94" s="34" t="s">
        <v>885</v>
      </c>
      <c r="DFW94" s="60"/>
      <c r="DGL94" s="34" t="s">
        <v>885</v>
      </c>
      <c r="DGM94" s="60"/>
      <c r="DHB94" s="34" t="s">
        <v>885</v>
      </c>
      <c r="DHC94" s="60"/>
      <c r="DHR94" s="34" t="s">
        <v>885</v>
      </c>
      <c r="DHS94" s="60"/>
      <c r="DIH94" s="34" t="s">
        <v>885</v>
      </c>
      <c r="DII94" s="60"/>
      <c r="DIX94" s="34" t="s">
        <v>885</v>
      </c>
      <c r="DIY94" s="60"/>
      <c r="DJN94" s="34" t="s">
        <v>885</v>
      </c>
      <c r="DJO94" s="60"/>
      <c r="DKD94" s="34" t="s">
        <v>885</v>
      </c>
      <c r="DKE94" s="60"/>
      <c r="DKT94" s="34" t="s">
        <v>885</v>
      </c>
      <c r="DKU94" s="60"/>
      <c r="DLJ94" s="34" t="s">
        <v>885</v>
      </c>
      <c r="DLK94" s="60"/>
      <c r="DLZ94" s="34" t="s">
        <v>885</v>
      </c>
      <c r="DMA94" s="60"/>
      <c r="DMP94" s="34" t="s">
        <v>885</v>
      </c>
      <c r="DMQ94" s="60"/>
      <c r="DNF94" s="34" t="s">
        <v>885</v>
      </c>
      <c r="DNG94" s="60"/>
      <c r="DNV94" s="34" t="s">
        <v>885</v>
      </c>
      <c r="DNW94" s="60"/>
      <c r="DOL94" s="34" t="s">
        <v>885</v>
      </c>
      <c r="DOM94" s="60"/>
      <c r="DPB94" s="34" t="s">
        <v>885</v>
      </c>
      <c r="DPC94" s="60"/>
      <c r="DPR94" s="34" t="s">
        <v>885</v>
      </c>
      <c r="DPS94" s="60"/>
      <c r="DQH94" s="34" t="s">
        <v>885</v>
      </c>
      <c r="DQI94" s="60"/>
      <c r="DQX94" s="34" t="s">
        <v>885</v>
      </c>
      <c r="DQY94" s="60"/>
      <c r="DRN94" s="34" t="s">
        <v>885</v>
      </c>
      <c r="DRO94" s="60"/>
      <c r="DSD94" s="34" t="s">
        <v>885</v>
      </c>
      <c r="DSE94" s="60"/>
      <c r="DST94" s="34" t="s">
        <v>885</v>
      </c>
      <c r="DSU94" s="60"/>
      <c r="DTJ94" s="34" t="s">
        <v>885</v>
      </c>
      <c r="DTK94" s="60"/>
      <c r="DTZ94" s="34" t="s">
        <v>885</v>
      </c>
      <c r="DUA94" s="60"/>
      <c r="DUP94" s="34" t="s">
        <v>885</v>
      </c>
      <c r="DUQ94" s="60"/>
      <c r="DVF94" s="34" t="s">
        <v>885</v>
      </c>
      <c r="DVG94" s="60"/>
      <c r="DVV94" s="34" t="s">
        <v>885</v>
      </c>
      <c r="DVW94" s="60"/>
      <c r="DWL94" s="34" t="s">
        <v>885</v>
      </c>
      <c r="DWM94" s="60"/>
      <c r="DXB94" s="34" t="s">
        <v>885</v>
      </c>
      <c r="DXC94" s="60"/>
      <c r="DXR94" s="34" t="s">
        <v>885</v>
      </c>
      <c r="DXS94" s="60"/>
      <c r="DYH94" s="34" t="s">
        <v>885</v>
      </c>
      <c r="DYI94" s="60"/>
      <c r="DYX94" s="34" t="s">
        <v>885</v>
      </c>
      <c r="DYY94" s="60"/>
      <c r="DZN94" s="34" t="s">
        <v>885</v>
      </c>
      <c r="DZO94" s="60"/>
      <c r="EAD94" s="34" t="s">
        <v>885</v>
      </c>
      <c r="EAE94" s="60"/>
      <c r="EAT94" s="34" t="s">
        <v>885</v>
      </c>
      <c r="EAU94" s="60"/>
      <c r="EBJ94" s="34" t="s">
        <v>885</v>
      </c>
      <c r="EBK94" s="60"/>
      <c r="EBZ94" s="34" t="s">
        <v>885</v>
      </c>
      <c r="ECA94" s="60"/>
      <c r="ECP94" s="34" t="s">
        <v>885</v>
      </c>
      <c r="ECQ94" s="60"/>
      <c r="EDF94" s="34" t="s">
        <v>885</v>
      </c>
      <c r="EDG94" s="60"/>
      <c r="EDV94" s="34" t="s">
        <v>885</v>
      </c>
      <c r="EDW94" s="60"/>
      <c r="EEL94" s="34" t="s">
        <v>885</v>
      </c>
      <c r="EEM94" s="60"/>
      <c r="EFB94" s="34" t="s">
        <v>885</v>
      </c>
      <c r="EFC94" s="60"/>
      <c r="EFR94" s="34" t="s">
        <v>885</v>
      </c>
      <c r="EFS94" s="60"/>
      <c r="EGH94" s="34" t="s">
        <v>885</v>
      </c>
      <c r="EGI94" s="60"/>
      <c r="EGX94" s="34" t="s">
        <v>885</v>
      </c>
      <c r="EGY94" s="60"/>
      <c r="EHN94" s="34" t="s">
        <v>885</v>
      </c>
      <c r="EHO94" s="60"/>
      <c r="EID94" s="34" t="s">
        <v>885</v>
      </c>
      <c r="EIE94" s="60"/>
      <c r="EIT94" s="34" t="s">
        <v>885</v>
      </c>
      <c r="EIU94" s="60"/>
      <c r="EJJ94" s="34" t="s">
        <v>885</v>
      </c>
      <c r="EJK94" s="60"/>
      <c r="EJZ94" s="34" t="s">
        <v>885</v>
      </c>
      <c r="EKA94" s="60"/>
      <c r="EKP94" s="34" t="s">
        <v>885</v>
      </c>
      <c r="EKQ94" s="60"/>
      <c r="ELF94" s="34" t="s">
        <v>885</v>
      </c>
      <c r="ELG94" s="60"/>
      <c r="ELV94" s="34" t="s">
        <v>885</v>
      </c>
      <c r="ELW94" s="60"/>
      <c r="EML94" s="34" t="s">
        <v>885</v>
      </c>
      <c r="EMM94" s="60"/>
      <c r="ENB94" s="34" t="s">
        <v>885</v>
      </c>
      <c r="ENC94" s="60"/>
      <c r="ENR94" s="34" t="s">
        <v>885</v>
      </c>
      <c r="ENS94" s="60"/>
      <c r="EOH94" s="34" t="s">
        <v>885</v>
      </c>
      <c r="EOI94" s="60"/>
      <c r="EOX94" s="34" t="s">
        <v>885</v>
      </c>
      <c r="EOY94" s="60"/>
      <c r="EPN94" s="34" t="s">
        <v>885</v>
      </c>
      <c r="EPO94" s="60"/>
      <c r="EQD94" s="34" t="s">
        <v>885</v>
      </c>
      <c r="EQE94" s="60"/>
      <c r="EQT94" s="34" t="s">
        <v>885</v>
      </c>
      <c r="EQU94" s="60"/>
      <c r="ERJ94" s="34" t="s">
        <v>885</v>
      </c>
      <c r="ERK94" s="60"/>
      <c r="ERZ94" s="34" t="s">
        <v>885</v>
      </c>
      <c r="ESA94" s="60"/>
      <c r="ESP94" s="34" t="s">
        <v>885</v>
      </c>
      <c r="ESQ94" s="60"/>
      <c r="ETF94" s="34" t="s">
        <v>885</v>
      </c>
      <c r="ETG94" s="60"/>
      <c r="ETV94" s="34" t="s">
        <v>885</v>
      </c>
      <c r="ETW94" s="60"/>
      <c r="EUL94" s="34" t="s">
        <v>885</v>
      </c>
      <c r="EUM94" s="60"/>
      <c r="EVB94" s="34" t="s">
        <v>885</v>
      </c>
      <c r="EVC94" s="60"/>
      <c r="EVR94" s="34" t="s">
        <v>885</v>
      </c>
      <c r="EVS94" s="60"/>
      <c r="EWH94" s="34" t="s">
        <v>885</v>
      </c>
      <c r="EWI94" s="60"/>
      <c r="EWX94" s="34" t="s">
        <v>885</v>
      </c>
      <c r="EWY94" s="60"/>
      <c r="EXN94" s="34" t="s">
        <v>885</v>
      </c>
      <c r="EXO94" s="60"/>
      <c r="EYD94" s="34" t="s">
        <v>885</v>
      </c>
      <c r="EYE94" s="60"/>
      <c r="EYT94" s="34" t="s">
        <v>885</v>
      </c>
      <c r="EYU94" s="60"/>
      <c r="EZJ94" s="34" t="s">
        <v>885</v>
      </c>
      <c r="EZK94" s="60"/>
      <c r="EZZ94" s="34" t="s">
        <v>885</v>
      </c>
      <c r="FAA94" s="60"/>
      <c r="FAP94" s="34" t="s">
        <v>885</v>
      </c>
      <c r="FAQ94" s="60"/>
      <c r="FBF94" s="34" t="s">
        <v>885</v>
      </c>
      <c r="FBG94" s="60"/>
      <c r="FBV94" s="34" t="s">
        <v>885</v>
      </c>
      <c r="FBW94" s="60"/>
      <c r="FCL94" s="34" t="s">
        <v>885</v>
      </c>
      <c r="FCM94" s="60"/>
      <c r="FDB94" s="34" t="s">
        <v>885</v>
      </c>
      <c r="FDC94" s="60"/>
      <c r="FDR94" s="34" t="s">
        <v>885</v>
      </c>
      <c r="FDS94" s="60"/>
      <c r="FEH94" s="34" t="s">
        <v>885</v>
      </c>
      <c r="FEI94" s="60"/>
      <c r="FEX94" s="34" t="s">
        <v>885</v>
      </c>
      <c r="FEY94" s="60"/>
      <c r="FFN94" s="34" t="s">
        <v>885</v>
      </c>
      <c r="FFO94" s="60"/>
      <c r="FGD94" s="34" t="s">
        <v>885</v>
      </c>
      <c r="FGE94" s="60"/>
      <c r="FGT94" s="34" t="s">
        <v>885</v>
      </c>
      <c r="FGU94" s="60"/>
      <c r="FHJ94" s="34" t="s">
        <v>885</v>
      </c>
      <c r="FHK94" s="60"/>
      <c r="FHZ94" s="34" t="s">
        <v>885</v>
      </c>
      <c r="FIA94" s="60"/>
      <c r="FIP94" s="34" t="s">
        <v>885</v>
      </c>
      <c r="FIQ94" s="60"/>
      <c r="FJF94" s="34" t="s">
        <v>885</v>
      </c>
      <c r="FJG94" s="60"/>
      <c r="FJV94" s="34" t="s">
        <v>885</v>
      </c>
      <c r="FJW94" s="60"/>
      <c r="FKL94" s="34" t="s">
        <v>885</v>
      </c>
      <c r="FKM94" s="60"/>
      <c r="FLB94" s="34" t="s">
        <v>885</v>
      </c>
      <c r="FLC94" s="60"/>
      <c r="FLR94" s="34" t="s">
        <v>885</v>
      </c>
      <c r="FLS94" s="60"/>
      <c r="FMH94" s="34" t="s">
        <v>885</v>
      </c>
      <c r="FMI94" s="60"/>
      <c r="FMX94" s="34" t="s">
        <v>885</v>
      </c>
      <c r="FMY94" s="60"/>
      <c r="FNN94" s="34" t="s">
        <v>885</v>
      </c>
      <c r="FNO94" s="60"/>
      <c r="FOD94" s="34" t="s">
        <v>885</v>
      </c>
      <c r="FOE94" s="60"/>
      <c r="FOT94" s="34" t="s">
        <v>885</v>
      </c>
      <c r="FOU94" s="60"/>
      <c r="FPJ94" s="34" t="s">
        <v>885</v>
      </c>
      <c r="FPK94" s="60"/>
      <c r="FPZ94" s="34" t="s">
        <v>885</v>
      </c>
      <c r="FQA94" s="60"/>
      <c r="FQP94" s="34" t="s">
        <v>885</v>
      </c>
      <c r="FQQ94" s="60"/>
      <c r="FRF94" s="34" t="s">
        <v>885</v>
      </c>
      <c r="FRG94" s="60"/>
      <c r="FRV94" s="34" t="s">
        <v>885</v>
      </c>
      <c r="FRW94" s="60"/>
      <c r="FSL94" s="34" t="s">
        <v>885</v>
      </c>
      <c r="FSM94" s="60"/>
      <c r="FTB94" s="34" t="s">
        <v>885</v>
      </c>
      <c r="FTC94" s="60"/>
      <c r="FTR94" s="34" t="s">
        <v>885</v>
      </c>
      <c r="FTS94" s="60"/>
      <c r="FUH94" s="34" t="s">
        <v>885</v>
      </c>
      <c r="FUI94" s="60"/>
      <c r="FUX94" s="34" t="s">
        <v>885</v>
      </c>
      <c r="FUY94" s="60"/>
      <c r="FVN94" s="34" t="s">
        <v>885</v>
      </c>
      <c r="FVO94" s="60"/>
      <c r="FWD94" s="34" t="s">
        <v>885</v>
      </c>
      <c r="FWE94" s="60"/>
      <c r="FWT94" s="34" t="s">
        <v>885</v>
      </c>
      <c r="FWU94" s="60"/>
      <c r="FXJ94" s="34" t="s">
        <v>885</v>
      </c>
      <c r="FXK94" s="60"/>
      <c r="FXZ94" s="34" t="s">
        <v>885</v>
      </c>
      <c r="FYA94" s="60"/>
      <c r="FYP94" s="34" t="s">
        <v>885</v>
      </c>
      <c r="FYQ94" s="60"/>
      <c r="FZF94" s="34" t="s">
        <v>885</v>
      </c>
      <c r="FZG94" s="60"/>
      <c r="FZV94" s="34" t="s">
        <v>885</v>
      </c>
      <c r="FZW94" s="60"/>
      <c r="GAL94" s="34" t="s">
        <v>885</v>
      </c>
      <c r="GAM94" s="60"/>
      <c r="GBB94" s="34" t="s">
        <v>885</v>
      </c>
      <c r="GBC94" s="60"/>
      <c r="GBR94" s="34" t="s">
        <v>885</v>
      </c>
      <c r="GBS94" s="60"/>
      <c r="GCH94" s="34" t="s">
        <v>885</v>
      </c>
      <c r="GCI94" s="60"/>
      <c r="GCX94" s="34" t="s">
        <v>885</v>
      </c>
      <c r="GCY94" s="60"/>
      <c r="GDN94" s="34" t="s">
        <v>885</v>
      </c>
      <c r="GDO94" s="60"/>
      <c r="GED94" s="34" t="s">
        <v>885</v>
      </c>
      <c r="GEE94" s="60"/>
      <c r="GET94" s="34" t="s">
        <v>885</v>
      </c>
      <c r="GEU94" s="60"/>
      <c r="GFJ94" s="34" t="s">
        <v>885</v>
      </c>
      <c r="GFK94" s="60"/>
      <c r="GFZ94" s="34" t="s">
        <v>885</v>
      </c>
      <c r="GGA94" s="60"/>
      <c r="GGP94" s="34" t="s">
        <v>885</v>
      </c>
      <c r="GGQ94" s="60"/>
      <c r="GHF94" s="34" t="s">
        <v>885</v>
      </c>
      <c r="GHG94" s="60"/>
      <c r="GHV94" s="34" t="s">
        <v>885</v>
      </c>
      <c r="GHW94" s="60"/>
      <c r="GIL94" s="34" t="s">
        <v>885</v>
      </c>
      <c r="GIM94" s="60"/>
      <c r="GJB94" s="34" t="s">
        <v>885</v>
      </c>
      <c r="GJC94" s="60"/>
      <c r="GJR94" s="34" t="s">
        <v>885</v>
      </c>
      <c r="GJS94" s="60"/>
      <c r="GKH94" s="34" t="s">
        <v>885</v>
      </c>
      <c r="GKI94" s="60"/>
      <c r="GKX94" s="34" t="s">
        <v>885</v>
      </c>
      <c r="GKY94" s="60"/>
      <c r="GLN94" s="34" t="s">
        <v>885</v>
      </c>
      <c r="GLO94" s="60"/>
      <c r="GMD94" s="34" t="s">
        <v>885</v>
      </c>
      <c r="GME94" s="60"/>
      <c r="GMT94" s="34" t="s">
        <v>885</v>
      </c>
      <c r="GMU94" s="60"/>
      <c r="GNJ94" s="34" t="s">
        <v>885</v>
      </c>
      <c r="GNK94" s="60"/>
      <c r="GNZ94" s="34" t="s">
        <v>885</v>
      </c>
      <c r="GOA94" s="60"/>
      <c r="GOP94" s="34" t="s">
        <v>885</v>
      </c>
      <c r="GOQ94" s="60"/>
      <c r="GPF94" s="34" t="s">
        <v>885</v>
      </c>
      <c r="GPG94" s="60"/>
      <c r="GPV94" s="34" t="s">
        <v>885</v>
      </c>
      <c r="GPW94" s="60"/>
      <c r="GQL94" s="34" t="s">
        <v>885</v>
      </c>
      <c r="GQM94" s="60"/>
      <c r="GRB94" s="34" t="s">
        <v>885</v>
      </c>
      <c r="GRC94" s="60"/>
      <c r="GRR94" s="34" t="s">
        <v>885</v>
      </c>
      <c r="GRS94" s="60"/>
      <c r="GSH94" s="34" t="s">
        <v>885</v>
      </c>
      <c r="GSI94" s="60"/>
      <c r="GSX94" s="34" t="s">
        <v>885</v>
      </c>
      <c r="GSY94" s="60"/>
      <c r="GTN94" s="34" t="s">
        <v>885</v>
      </c>
      <c r="GTO94" s="60"/>
      <c r="GUD94" s="34" t="s">
        <v>885</v>
      </c>
      <c r="GUE94" s="60"/>
      <c r="GUT94" s="34" t="s">
        <v>885</v>
      </c>
      <c r="GUU94" s="60"/>
      <c r="GVJ94" s="34" t="s">
        <v>885</v>
      </c>
      <c r="GVK94" s="60"/>
      <c r="GVZ94" s="34" t="s">
        <v>885</v>
      </c>
      <c r="GWA94" s="60"/>
      <c r="GWP94" s="34" t="s">
        <v>885</v>
      </c>
      <c r="GWQ94" s="60"/>
      <c r="GXF94" s="34" t="s">
        <v>885</v>
      </c>
      <c r="GXG94" s="60"/>
      <c r="GXV94" s="34" t="s">
        <v>885</v>
      </c>
      <c r="GXW94" s="60"/>
      <c r="GYL94" s="34" t="s">
        <v>885</v>
      </c>
      <c r="GYM94" s="60"/>
      <c r="GZB94" s="34" t="s">
        <v>885</v>
      </c>
      <c r="GZC94" s="60"/>
      <c r="GZR94" s="34" t="s">
        <v>885</v>
      </c>
      <c r="GZS94" s="60"/>
      <c r="HAH94" s="34" t="s">
        <v>885</v>
      </c>
      <c r="HAI94" s="60"/>
      <c r="HAX94" s="34" t="s">
        <v>885</v>
      </c>
      <c r="HAY94" s="60"/>
      <c r="HBN94" s="34" t="s">
        <v>885</v>
      </c>
      <c r="HBO94" s="60"/>
      <c r="HCD94" s="34" t="s">
        <v>885</v>
      </c>
      <c r="HCE94" s="60"/>
      <c r="HCT94" s="34" t="s">
        <v>885</v>
      </c>
      <c r="HCU94" s="60"/>
      <c r="HDJ94" s="34" t="s">
        <v>885</v>
      </c>
      <c r="HDK94" s="60"/>
      <c r="HDZ94" s="34" t="s">
        <v>885</v>
      </c>
      <c r="HEA94" s="60"/>
      <c r="HEP94" s="34" t="s">
        <v>885</v>
      </c>
      <c r="HEQ94" s="60"/>
      <c r="HFF94" s="34" t="s">
        <v>885</v>
      </c>
      <c r="HFG94" s="60"/>
      <c r="HFV94" s="34" t="s">
        <v>885</v>
      </c>
      <c r="HFW94" s="60"/>
      <c r="HGL94" s="34" t="s">
        <v>885</v>
      </c>
      <c r="HGM94" s="60"/>
      <c r="HHB94" s="34" t="s">
        <v>885</v>
      </c>
      <c r="HHC94" s="60"/>
      <c r="HHR94" s="34" t="s">
        <v>885</v>
      </c>
      <c r="HHS94" s="60"/>
      <c r="HIH94" s="34" t="s">
        <v>885</v>
      </c>
      <c r="HII94" s="60"/>
      <c r="HIX94" s="34" t="s">
        <v>885</v>
      </c>
      <c r="HIY94" s="60"/>
      <c r="HJN94" s="34" t="s">
        <v>885</v>
      </c>
      <c r="HJO94" s="60"/>
      <c r="HKD94" s="34" t="s">
        <v>885</v>
      </c>
      <c r="HKE94" s="60"/>
      <c r="HKT94" s="34" t="s">
        <v>885</v>
      </c>
      <c r="HKU94" s="60"/>
      <c r="HLJ94" s="34" t="s">
        <v>885</v>
      </c>
      <c r="HLK94" s="60"/>
      <c r="HLZ94" s="34" t="s">
        <v>885</v>
      </c>
      <c r="HMA94" s="60"/>
      <c r="HMP94" s="34" t="s">
        <v>885</v>
      </c>
      <c r="HMQ94" s="60"/>
      <c r="HNF94" s="34" t="s">
        <v>885</v>
      </c>
      <c r="HNG94" s="60"/>
      <c r="HNV94" s="34" t="s">
        <v>885</v>
      </c>
      <c r="HNW94" s="60"/>
      <c r="HOL94" s="34" t="s">
        <v>885</v>
      </c>
      <c r="HOM94" s="60"/>
      <c r="HPB94" s="34" t="s">
        <v>885</v>
      </c>
      <c r="HPC94" s="60"/>
      <c r="HPR94" s="34" t="s">
        <v>885</v>
      </c>
      <c r="HPS94" s="60"/>
      <c r="HQH94" s="34" t="s">
        <v>885</v>
      </c>
      <c r="HQI94" s="60"/>
      <c r="HQX94" s="34" t="s">
        <v>885</v>
      </c>
      <c r="HQY94" s="60"/>
      <c r="HRN94" s="34" t="s">
        <v>885</v>
      </c>
      <c r="HRO94" s="60"/>
      <c r="HSD94" s="34" t="s">
        <v>885</v>
      </c>
      <c r="HSE94" s="60"/>
      <c r="HST94" s="34" t="s">
        <v>885</v>
      </c>
      <c r="HSU94" s="60"/>
      <c r="HTJ94" s="34" t="s">
        <v>885</v>
      </c>
      <c r="HTK94" s="60"/>
      <c r="HTZ94" s="34" t="s">
        <v>885</v>
      </c>
      <c r="HUA94" s="60"/>
      <c r="HUP94" s="34" t="s">
        <v>885</v>
      </c>
      <c r="HUQ94" s="60"/>
      <c r="HVF94" s="34" t="s">
        <v>885</v>
      </c>
      <c r="HVG94" s="60"/>
      <c r="HVV94" s="34" t="s">
        <v>885</v>
      </c>
      <c r="HVW94" s="60"/>
      <c r="HWL94" s="34" t="s">
        <v>885</v>
      </c>
      <c r="HWM94" s="60"/>
      <c r="HXB94" s="34" t="s">
        <v>885</v>
      </c>
      <c r="HXC94" s="60"/>
      <c r="HXR94" s="34" t="s">
        <v>885</v>
      </c>
      <c r="HXS94" s="60"/>
      <c r="HYH94" s="34" t="s">
        <v>885</v>
      </c>
      <c r="HYI94" s="60"/>
      <c r="HYX94" s="34" t="s">
        <v>885</v>
      </c>
      <c r="HYY94" s="60"/>
      <c r="HZN94" s="34" t="s">
        <v>885</v>
      </c>
      <c r="HZO94" s="60"/>
      <c r="IAD94" s="34" t="s">
        <v>885</v>
      </c>
      <c r="IAE94" s="60"/>
      <c r="IAT94" s="34" t="s">
        <v>885</v>
      </c>
      <c r="IAU94" s="60"/>
      <c r="IBJ94" s="34" t="s">
        <v>885</v>
      </c>
      <c r="IBK94" s="60"/>
      <c r="IBZ94" s="34" t="s">
        <v>885</v>
      </c>
      <c r="ICA94" s="60"/>
      <c r="ICP94" s="34" t="s">
        <v>885</v>
      </c>
      <c r="ICQ94" s="60"/>
      <c r="IDF94" s="34" t="s">
        <v>885</v>
      </c>
      <c r="IDG94" s="60"/>
      <c r="IDV94" s="34" t="s">
        <v>885</v>
      </c>
      <c r="IDW94" s="60"/>
      <c r="IEL94" s="34" t="s">
        <v>885</v>
      </c>
      <c r="IEM94" s="60"/>
      <c r="IFB94" s="34" t="s">
        <v>885</v>
      </c>
      <c r="IFC94" s="60"/>
      <c r="IFR94" s="34" t="s">
        <v>885</v>
      </c>
      <c r="IFS94" s="60"/>
      <c r="IGH94" s="34" t="s">
        <v>885</v>
      </c>
      <c r="IGI94" s="60"/>
      <c r="IGX94" s="34" t="s">
        <v>885</v>
      </c>
      <c r="IGY94" s="60"/>
      <c r="IHN94" s="34" t="s">
        <v>885</v>
      </c>
      <c r="IHO94" s="60"/>
      <c r="IID94" s="34" t="s">
        <v>885</v>
      </c>
      <c r="IIE94" s="60"/>
      <c r="IIT94" s="34" t="s">
        <v>885</v>
      </c>
      <c r="IIU94" s="60"/>
      <c r="IJJ94" s="34" t="s">
        <v>885</v>
      </c>
      <c r="IJK94" s="60"/>
      <c r="IJZ94" s="34" t="s">
        <v>885</v>
      </c>
      <c r="IKA94" s="60"/>
      <c r="IKP94" s="34" t="s">
        <v>885</v>
      </c>
      <c r="IKQ94" s="60"/>
      <c r="ILF94" s="34" t="s">
        <v>885</v>
      </c>
      <c r="ILG94" s="60"/>
      <c r="ILV94" s="34" t="s">
        <v>885</v>
      </c>
      <c r="ILW94" s="60"/>
      <c r="IML94" s="34" t="s">
        <v>885</v>
      </c>
      <c r="IMM94" s="60"/>
      <c r="INB94" s="34" t="s">
        <v>885</v>
      </c>
      <c r="INC94" s="60"/>
      <c r="INR94" s="34" t="s">
        <v>885</v>
      </c>
      <c r="INS94" s="60"/>
      <c r="IOH94" s="34" t="s">
        <v>885</v>
      </c>
      <c r="IOI94" s="60"/>
      <c r="IOX94" s="34" t="s">
        <v>885</v>
      </c>
      <c r="IOY94" s="60"/>
      <c r="IPN94" s="34" t="s">
        <v>885</v>
      </c>
      <c r="IPO94" s="60"/>
      <c r="IQD94" s="34" t="s">
        <v>885</v>
      </c>
      <c r="IQE94" s="60"/>
      <c r="IQT94" s="34" t="s">
        <v>885</v>
      </c>
      <c r="IQU94" s="60"/>
      <c r="IRJ94" s="34" t="s">
        <v>885</v>
      </c>
      <c r="IRK94" s="60"/>
      <c r="IRZ94" s="34" t="s">
        <v>885</v>
      </c>
      <c r="ISA94" s="60"/>
      <c r="ISP94" s="34" t="s">
        <v>885</v>
      </c>
      <c r="ISQ94" s="60"/>
      <c r="ITF94" s="34" t="s">
        <v>885</v>
      </c>
      <c r="ITG94" s="60"/>
      <c r="ITV94" s="34" t="s">
        <v>885</v>
      </c>
      <c r="ITW94" s="60"/>
      <c r="IUL94" s="34" t="s">
        <v>885</v>
      </c>
      <c r="IUM94" s="60"/>
      <c r="IVB94" s="34" t="s">
        <v>885</v>
      </c>
      <c r="IVC94" s="60"/>
      <c r="IVR94" s="34" t="s">
        <v>885</v>
      </c>
      <c r="IVS94" s="60"/>
      <c r="IWH94" s="34" t="s">
        <v>885</v>
      </c>
      <c r="IWI94" s="60"/>
      <c r="IWX94" s="34" t="s">
        <v>885</v>
      </c>
      <c r="IWY94" s="60"/>
      <c r="IXN94" s="34" t="s">
        <v>885</v>
      </c>
      <c r="IXO94" s="60"/>
      <c r="IYD94" s="34" t="s">
        <v>885</v>
      </c>
      <c r="IYE94" s="60"/>
      <c r="IYT94" s="34" t="s">
        <v>885</v>
      </c>
      <c r="IYU94" s="60"/>
      <c r="IZJ94" s="34" t="s">
        <v>885</v>
      </c>
      <c r="IZK94" s="60"/>
      <c r="IZZ94" s="34" t="s">
        <v>885</v>
      </c>
      <c r="JAA94" s="60"/>
      <c r="JAP94" s="34" t="s">
        <v>885</v>
      </c>
      <c r="JAQ94" s="60"/>
      <c r="JBF94" s="34" t="s">
        <v>885</v>
      </c>
      <c r="JBG94" s="60"/>
      <c r="JBV94" s="34" t="s">
        <v>885</v>
      </c>
      <c r="JBW94" s="60"/>
      <c r="JCL94" s="34" t="s">
        <v>885</v>
      </c>
      <c r="JCM94" s="60"/>
      <c r="JDB94" s="34" t="s">
        <v>885</v>
      </c>
      <c r="JDC94" s="60"/>
      <c r="JDR94" s="34" t="s">
        <v>885</v>
      </c>
      <c r="JDS94" s="60"/>
      <c r="JEH94" s="34" t="s">
        <v>885</v>
      </c>
      <c r="JEI94" s="60"/>
      <c r="JEX94" s="34" t="s">
        <v>885</v>
      </c>
      <c r="JEY94" s="60"/>
      <c r="JFN94" s="34" t="s">
        <v>885</v>
      </c>
      <c r="JFO94" s="60"/>
      <c r="JGD94" s="34" t="s">
        <v>885</v>
      </c>
      <c r="JGE94" s="60"/>
      <c r="JGT94" s="34" t="s">
        <v>885</v>
      </c>
      <c r="JGU94" s="60"/>
      <c r="JHJ94" s="34" t="s">
        <v>885</v>
      </c>
      <c r="JHK94" s="60"/>
      <c r="JHZ94" s="34" t="s">
        <v>885</v>
      </c>
      <c r="JIA94" s="60"/>
      <c r="JIP94" s="34" t="s">
        <v>885</v>
      </c>
      <c r="JIQ94" s="60"/>
      <c r="JJF94" s="34" t="s">
        <v>885</v>
      </c>
      <c r="JJG94" s="60"/>
      <c r="JJV94" s="34" t="s">
        <v>885</v>
      </c>
      <c r="JJW94" s="60"/>
      <c r="JKL94" s="34" t="s">
        <v>885</v>
      </c>
      <c r="JKM94" s="60"/>
      <c r="JLB94" s="34" t="s">
        <v>885</v>
      </c>
      <c r="JLC94" s="60"/>
      <c r="JLR94" s="34" t="s">
        <v>885</v>
      </c>
      <c r="JLS94" s="60"/>
      <c r="JMH94" s="34" t="s">
        <v>885</v>
      </c>
      <c r="JMI94" s="60"/>
      <c r="JMX94" s="34" t="s">
        <v>885</v>
      </c>
      <c r="JMY94" s="60"/>
      <c r="JNN94" s="34" t="s">
        <v>885</v>
      </c>
      <c r="JNO94" s="60"/>
      <c r="JOD94" s="34" t="s">
        <v>885</v>
      </c>
      <c r="JOE94" s="60"/>
      <c r="JOT94" s="34" t="s">
        <v>885</v>
      </c>
      <c r="JOU94" s="60"/>
      <c r="JPJ94" s="34" t="s">
        <v>885</v>
      </c>
      <c r="JPK94" s="60"/>
      <c r="JPZ94" s="34" t="s">
        <v>885</v>
      </c>
      <c r="JQA94" s="60"/>
      <c r="JQP94" s="34" t="s">
        <v>885</v>
      </c>
      <c r="JQQ94" s="60"/>
      <c r="JRF94" s="34" t="s">
        <v>885</v>
      </c>
      <c r="JRG94" s="60"/>
      <c r="JRV94" s="34" t="s">
        <v>885</v>
      </c>
      <c r="JRW94" s="60"/>
      <c r="JSL94" s="34" t="s">
        <v>885</v>
      </c>
      <c r="JSM94" s="60"/>
      <c r="JTB94" s="34" t="s">
        <v>885</v>
      </c>
      <c r="JTC94" s="60"/>
      <c r="JTR94" s="34" t="s">
        <v>885</v>
      </c>
      <c r="JTS94" s="60"/>
      <c r="JUH94" s="34" t="s">
        <v>885</v>
      </c>
      <c r="JUI94" s="60"/>
      <c r="JUX94" s="34" t="s">
        <v>885</v>
      </c>
      <c r="JUY94" s="60"/>
      <c r="JVN94" s="34" t="s">
        <v>885</v>
      </c>
      <c r="JVO94" s="60"/>
      <c r="JWD94" s="34" t="s">
        <v>885</v>
      </c>
      <c r="JWE94" s="60"/>
      <c r="JWT94" s="34" t="s">
        <v>885</v>
      </c>
      <c r="JWU94" s="60"/>
      <c r="JXJ94" s="34" t="s">
        <v>885</v>
      </c>
      <c r="JXK94" s="60"/>
      <c r="JXZ94" s="34" t="s">
        <v>885</v>
      </c>
      <c r="JYA94" s="60"/>
      <c r="JYP94" s="34" t="s">
        <v>885</v>
      </c>
      <c r="JYQ94" s="60"/>
      <c r="JZF94" s="34" t="s">
        <v>885</v>
      </c>
      <c r="JZG94" s="60"/>
      <c r="JZV94" s="34" t="s">
        <v>885</v>
      </c>
      <c r="JZW94" s="60"/>
      <c r="KAL94" s="34" t="s">
        <v>885</v>
      </c>
      <c r="KAM94" s="60"/>
      <c r="KBB94" s="34" t="s">
        <v>885</v>
      </c>
      <c r="KBC94" s="60"/>
      <c r="KBR94" s="34" t="s">
        <v>885</v>
      </c>
      <c r="KBS94" s="60"/>
      <c r="KCH94" s="34" t="s">
        <v>885</v>
      </c>
      <c r="KCI94" s="60"/>
      <c r="KCX94" s="34" t="s">
        <v>885</v>
      </c>
      <c r="KCY94" s="60"/>
      <c r="KDN94" s="34" t="s">
        <v>885</v>
      </c>
      <c r="KDO94" s="60"/>
      <c r="KED94" s="34" t="s">
        <v>885</v>
      </c>
      <c r="KEE94" s="60"/>
      <c r="KET94" s="34" t="s">
        <v>885</v>
      </c>
      <c r="KEU94" s="60"/>
      <c r="KFJ94" s="34" t="s">
        <v>885</v>
      </c>
      <c r="KFK94" s="60"/>
      <c r="KFZ94" s="34" t="s">
        <v>885</v>
      </c>
      <c r="KGA94" s="60"/>
      <c r="KGP94" s="34" t="s">
        <v>885</v>
      </c>
      <c r="KGQ94" s="60"/>
      <c r="KHF94" s="34" t="s">
        <v>885</v>
      </c>
      <c r="KHG94" s="60"/>
      <c r="KHV94" s="34" t="s">
        <v>885</v>
      </c>
      <c r="KHW94" s="60"/>
      <c r="KIL94" s="34" t="s">
        <v>885</v>
      </c>
      <c r="KIM94" s="60"/>
      <c r="KJB94" s="34" t="s">
        <v>885</v>
      </c>
      <c r="KJC94" s="60"/>
      <c r="KJR94" s="34" t="s">
        <v>885</v>
      </c>
      <c r="KJS94" s="60"/>
      <c r="KKH94" s="34" t="s">
        <v>885</v>
      </c>
      <c r="KKI94" s="60"/>
      <c r="KKX94" s="34" t="s">
        <v>885</v>
      </c>
      <c r="KKY94" s="60"/>
      <c r="KLN94" s="34" t="s">
        <v>885</v>
      </c>
      <c r="KLO94" s="60"/>
      <c r="KMD94" s="34" t="s">
        <v>885</v>
      </c>
      <c r="KME94" s="60"/>
      <c r="KMT94" s="34" t="s">
        <v>885</v>
      </c>
      <c r="KMU94" s="60"/>
      <c r="KNJ94" s="34" t="s">
        <v>885</v>
      </c>
      <c r="KNK94" s="60"/>
      <c r="KNZ94" s="34" t="s">
        <v>885</v>
      </c>
      <c r="KOA94" s="60"/>
      <c r="KOP94" s="34" t="s">
        <v>885</v>
      </c>
      <c r="KOQ94" s="60"/>
      <c r="KPF94" s="34" t="s">
        <v>885</v>
      </c>
      <c r="KPG94" s="60"/>
      <c r="KPV94" s="34" t="s">
        <v>885</v>
      </c>
      <c r="KPW94" s="60"/>
      <c r="KQL94" s="34" t="s">
        <v>885</v>
      </c>
      <c r="KQM94" s="60"/>
      <c r="KRB94" s="34" t="s">
        <v>885</v>
      </c>
      <c r="KRC94" s="60"/>
      <c r="KRR94" s="34" t="s">
        <v>885</v>
      </c>
      <c r="KRS94" s="60"/>
      <c r="KSH94" s="34" t="s">
        <v>885</v>
      </c>
      <c r="KSI94" s="60"/>
      <c r="KSX94" s="34" t="s">
        <v>885</v>
      </c>
      <c r="KSY94" s="60"/>
      <c r="KTN94" s="34" t="s">
        <v>885</v>
      </c>
      <c r="KTO94" s="60"/>
      <c r="KUD94" s="34" t="s">
        <v>885</v>
      </c>
      <c r="KUE94" s="60"/>
      <c r="KUT94" s="34" t="s">
        <v>885</v>
      </c>
      <c r="KUU94" s="60"/>
      <c r="KVJ94" s="34" t="s">
        <v>885</v>
      </c>
      <c r="KVK94" s="60"/>
      <c r="KVZ94" s="34" t="s">
        <v>885</v>
      </c>
      <c r="KWA94" s="60"/>
      <c r="KWP94" s="34" t="s">
        <v>885</v>
      </c>
      <c r="KWQ94" s="60"/>
      <c r="KXF94" s="34" t="s">
        <v>885</v>
      </c>
      <c r="KXG94" s="60"/>
      <c r="KXV94" s="34" t="s">
        <v>885</v>
      </c>
      <c r="KXW94" s="60"/>
      <c r="KYL94" s="34" t="s">
        <v>885</v>
      </c>
      <c r="KYM94" s="60"/>
      <c r="KZB94" s="34" t="s">
        <v>885</v>
      </c>
      <c r="KZC94" s="60"/>
      <c r="KZR94" s="34" t="s">
        <v>885</v>
      </c>
      <c r="KZS94" s="60"/>
      <c r="LAH94" s="34" t="s">
        <v>885</v>
      </c>
      <c r="LAI94" s="60"/>
      <c r="LAX94" s="34" t="s">
        <v>885</v>
      </c>
      <c r="LAY94" s="60"/>
      <c r="LBN94" s="34" t="s">
        <v>885</v>
      </c>
      <c r="LBO94" s="60"/>
      <c r="LCD94" s="34" t="s">
        <v>885</v>
      </c>
      <c r="LCE94" s="60"/>
      <c r="LCT94" s="34" t="s">
        <v>885</v>
      </c>
      <c r="LCU94" s="60"/>
      <c r="LDJ94" s="34" t="s">
        <v>885</v>
      </c>
      <c r="LDK94" s="60"/>
      <c r="LDZ94" s="34" t="s">
        <v>885</v>
      </c>
      <c r="LEA94" s="60"/>
      <c r="LEP94" s="34" t="s">
        <v>885</v>
      </c>
      <c r="LEQ94" s="60"/>
      <c r="LFF94" s="34" t="s">
        <v>885</v>
      </c>
      <c r="LFG94" s="60"/>
      <c r="LFV94" s="34" t="s">
        <v>885</v>
      </c>
      <c r="LFW94" s="60"/>
      <c r="LGL94" s="34" t="s">
        <v>885</v>
      </c>
      <c r="LGM94" s="60"/>
      <c r="LHB94" s="34" t="s">
        <v>885</v>
      </c>
      <c r="LHC94" s="60"/>
      <c r="LHR94" s="34" t="s">
        <v>885</v>
      </c>
      <c r="LHS94" s="60"/>
      <c r="LIH94" s="34" t="s">
        <v>885</v>
      </c>
      <c r="LII94" s="60"/>
      <c r="LIX94" s="34" t="s">
        <v>885</v>
      </c>
      <c r="LIY94" s="60"/>
      <c r="LJN94" s="34" t="s">
        <v>885</v>
      </c>
      <c r="LJO94" s="60"/>
      <c r="LKD94" s="34" t="s">
        <v>885</v>
      </c>
      <c r="LKE94" s="60"/>
      <c r="LKT94" s="34" t="s">
        <v>885</v>
      </c>
      <c r="LKU94" s="60"/>
      <c r="LLJ94" s="34" t="s">
        <v>885</v>
      </c>
      <c r="LLK94" s="60"/>
      <c r="LLZ94" s="34" t="s">
        <v>885</v>
      </c>
      <c r="LMA94" s="60"/>
      <c r="LMP94" s="34" t="s">
        <v>885</v>
      </c>
      <c r="LMQ94" s="60"/>
      <c r="LNF94" s="34" t="s">
        <v>885</v>
      </c>
      <c r="LNG94" s="60"/>
      <c r="LNV94" s="34" t="s">
        <v>885</v>
      </c>
      <c r="LNW94" s="60"/>
      <c r="LOL94" s="34" t="s">
        <v>885</v>
      </c>
      <c r="LOM94" s="60"/>
      <c r="LPB94" s="34" t="s">
        <v>885</v>
      </c>
      <c r="LPC94" s="60"/>
      <c r="LPR94" s="34" t="s">
        <v>885</v>
      </c>
      <c r="LPS94" s="60"/>
      <c r="LQH94" s="34" t="s">
        <v>885</v>
      </c>
      <c r="LQI94" s="60"/>
      <c r="LQX94" s="34" t="s">
        <v>885</v>
      </c>
      <c r="LQY94" s="60"/>
      <c r="LRN94" s="34" t="s">
        <v>885</v>
      </c>
      <c r="LRO94" s="60"/>
      <c r="LSD94" s="34" t="s">
        <v>885</v>
      </c>
      <c r="LSE94" s="60"/>
      <c r="LST94" s="34" t="s">
        <v>885</v>
      </c>
      <c r="LSU94" s="60"/>
      <c r="LTJ94" s="34" t="s">
        <v>885</v>
      </c>
      <c r="LTK94" s="60"/>
      <c r="LTZ94" s="34" t="s">
        <v>885</v>
      </c>
      <c r="LUA94" s="60"/>
      <c r="LUP94" s="34" t="s">
        <v>885</v>
      </c>
      <c r="LUQ94" s="60"/>
      <c r="LVF94" s="34" t="s">
        <v>885</v>
      </c>
      <c r="LVG94" s="60"/>
      <c r="LVV94" s="34" t="s">
        <v>885</v>
      </c>
      <c r="LVW94" s="60"/>
      <c r="LWL94" s="34" t="s">
        <v>885</v>
      </c>
      <c r="LWM94" s="60"/>
      <c r="LXB94" s="34" t="s">
        <v>885</v>
      </c>
      <c r="LXC94" s="60"/>
      <c r="LXR94" s="34" t="s">
        <v>885</v>
      </c>
      <c r="LXS94" s="60"/>
      <c r="LYH94" s="34" t="s">
        <v>885</v>
      </c>
      <c r="LYI94" s="60"/>
      <c r="LYX94" s="34" t="s">
        <v>885</v>
      </c>
      <c r="LYY94" s="60"/>
      <c r="LZN94" s="34" t="s">
        <v>885</v>
      </c>
      <c r="LZO94" s="60"/>
      <c r="MAD94" s="34" t="s">
        <v>885</v>
      </c>
      <c r="MAE94" s="60"/>
      <c r="MAT94" s="34" t="s">
        <v>885</v>
      </c>
      <c r="MAU94" s="60"/>
      <c r="MBJ94" s="34" t="s">
        <v>885</v>
      </c>
      <c r="MBK94" s="60"/>
      <c r="MBZ94" s="34" t="s">
        <v>885</v>
      </c>
      <c r="MCA94" s="60"/>
      <c r="MCP94" s="34" t="s">
        <v>885</v>
      </c>
      <c r="MCQ94" s="60"/>
      <c r="MDF94" s="34" t="s">
        <v>885</v>
      </c>
      <c r="MDG94" s="60"/>
      <c r="MDV94" s="34" t="s">
        <v>885</v>
      </c>
      <c r="MDW94" s="60"/>
      <c r="MEL94" s="34" t="s">
        <v>885</v>
      </c>
      <c r="MEM94" s="60"/>
      <c r="MFB94" s="34" t="s">
        <v>885</v>
      </c>
      <c r="MFC94" s="60"/>
      <c r="MFR94" s="34" t="s">
        <v>885</v>
      </c>
      <c r="MFS94" s="60"/>
      <c r="MGH94" s="34" t="s">
        <v>885</v>
      </c>
      <c r="MGI94" s="60"/>
      <c r="MGX94" s="34" t="s">
        <v>885</v>
      </c>
      <c r="MGY94" s="60"/>
      <c r="MHN94" s="34" t="s">
        <v>885</v>
      </c>
      <c r="MHO94" s="60"/>
      <c r="MID94" s="34" t="s">
        <v>885</v>
      </c>
      <c r="MIE94" s="60"/>
      <c r="MIT94" s="34" t="s">
        <v>885</v>
      </c>
      <c r="MIU94" s="60"/>
      <c r="MJJ94" s="34" t="s">
        <v>885</v>
      </c>
      <c r="MJK94" s="60"/>
      <c r="MJZ94" s="34" t="s">
        <v>885</v>
      </c>
      <c r="MKA94" s="60"/>
      <c r="MKP94" s="34" t="s">
        <v>885</v>
      </c>
      <c r="MKQ94" s="60"/>
      <c r="MLF94" s="34" t="s">
        <v>885</v>
      </c>
      <c r="MLG94" s="60"/>
      <c r="MLV94" s="34" t="s">
        <v>885</v>
      </c>
      <c r="MLW94" s="60"/>
      <c r="MML94" s="34" t="s">
        <v>885</v>
      </c>
      <c r="MMM94" s="60"/>
      <c r="MNB94" s="34" t="s">
        <v>885</v>
      </c>
      <c r="MNC94" s="60"/>
      <c r="MNR94" s="34" t="s">
        <v>885</v>
      </c>
      <c r="MNS94" s="60"/>
      <c r="MOH94" s="34" t="s">
        <v>885</v>
      </c>
      <c r="MOI94" s="60"/>
      <c r="MOX94" s="34" t="s">
        <v>885</v>
      </c>
      <c r="MOY94" s="60"/>
      <c r="MPN94" s="34" t="s">
        <v>885</v>
      </c>
      <c r="MPO94" s="60"/>
      <c r="MQD94" s="34" t="s">
        <v>885</v>
      </c>
      <c r="MQE94" s="60"/>
      <c r="MQT94" s="34" t="s">
        <v>885</v>
      </c>
      <c r="MQU94" s="60"/>
      <c r="MRJ94" s="34" t="s">
        <v>885</v>
      </c>
      <c r="MRK94" s="60"/>
      <c r="MRZ94" s="34" t="s">
        <v>885</v>
      </c>
      <c r="MSA94" s="60"/>
      <c r="MSP94" s="34" t="s">
        <v>885</v>
      </c>
      <c r="MSQ94" s="60"/>
      <c r="MTF94" s="34" t="s">
        <v>885</v>
      </c>
      <c r="MTG94" s="60"/>
      <c r="MTV94" s="34" t="s">
        <v>885</v>
      </c>
      <c r="MTW94" s="60"/>
      <c r="MUL94" s="34" t="s">
        <v>885</v>
      </c>
      <c r="MUM94" s="60"/>
      <c r="MVB94" s="34" t="s">
        <v>885</v>
      </c>
      <c r="MVC94" s="60"/>
      <c r="MVR94" s="34" t="s">
        <v>885</v>
      </c>
      <c r="MVS94" s="60"/>
      <c r="MWH94" s="34" t="s">
        <v>885</v>
      </c>
      <c r="MWI94" s="60"/>
      <c r="MWX94" s="34" t="s">
        <v>885</v>
      </c>
      <c r="MWY94" s="60"/>
      <c r="MXN94" s="34" t="s">
        <v>885</v>
      </c>
      <c r="MXO94" s="60"/>
      <c r="MYD94" s="34" t="s">
        <v>885</v>
      </c>
      <c r="MYE94" s="60"/>
      <c r="MYT94" s="34" t="s">
        <v>885</v>
      </c>
      <c r="MYU94" s="60"/>
      <c r="MZJ94" s="34" t="s">
        <v>885</v>
      </c>
      <c r="MZK94" s="60"/>
      <c r="MZZ94" s="34" t="s">
        <v>885</v>
      </c>
      <c r="NAA94" s="60"/>
      <c r="NAP94" s="34" t="s">
        <v>885</v>
      </c>
      <c r="NAQ94" s="60"/>
      <c r="NBF94" s="34" t="s">
        <v>885</v>
      </c>
      <c r="NBG94" s="60"/>
      <c r="NBV94" s="34" t="s">
        <v>885</v>
      </c>
      <c r="NBW94" s="60"/>
      <c r="NCL94" s="34" t="s">
        <v>885</v>
      </c>
      <c r="NCM94" s="60"/>
      <c r="NDB94" s="34" t="s">
        <v>885</v>
      </c>
      <c r="NDC94" s="60"/>
      <c r="NDR94" s="34" t="s">
        <v>885</v>
      </c>
      <c r="NDS94" s="60"/>
      <c r="NEH94" s="34" t="s">
        <v>885</v>
      </c>
      <c r="NEI94" s="60"/>
      <c r="NEX94" s="34" t="s">
        <v>885</v>
      </c>
      <c r="NEY94" s="60"/>
      <c r="NFN94" s="34" t="s">
        <v>885</v>
      </c>
      <c r="NFO94" s="60"/>
      <c r="NGD94" s="34" t="s">
        <v>885</v>
      </c>
      <c r="NGE94" s="60"/>
      <c r="NGT94" s="34" t="s">
        <v>885</v>
      </c>
      <c r="NGU94" s="60"/>
      <c r="NHJ94" s="34" t="s">
        <v>885</v>
      </c>
      <c r="NHK94" s="60"/>
      <c r="NHZ94" s="34" t="s">
        <v>885</v>
      </c>
      <c r="NIA94" s="60"/>
      <c r="NIP94" s="34" t="s">
        <v>885</v>
      </c>
      <c r="NIQ94" s="60"/>
      <c r="NJF94" s="34" t="s">
        <v>885</v>
      </c>
      <c r="NJG94" s="60"/>
      <c r="NJV94" s="34" t="s">
        <v>885</v>
      </c>
      <c r="NJW94" s="60"/>
      <c r="NKL94" s="34" t="s">
        <v>885</v>
      </c>
      <c r="NKM94" s="60"/>
      <c r="NLB94" s="34" t="s">
        <v>885</v>
      </c>
      <c r="NLC94" s="60"/>
      <c r="NLR94" s="34" t="s">
        <v>885</v>
      </c>
      <c r="NLS94" s="60"/>
      <c r="NMH94" s="34" t="s">
        <v>885</v>
      </c>
      <c r="NMI94" s="60"/>
      <c r="NMX94" s="34" t="s">
        <v>885</v>
      </c>
      <c r="NMY94" s="60"/>
      <c r="NNN94" s="34" t="s">
        <v>885</v>
      </c>
      <c r="NNO94" s="60"/>
      <c r="NOD94" s="34" t="s">
        <v>885</v>
      </c>
      <c r="NOE94" s="60"/>
      <c r="NOT94" s="34" t="s">
        <v>885</v>
      </c>
      <c r="NOU94" s="60"/>
      <c r="NPJ94" s="34" t="s">
        <v>885</v>
      </c>
      <c r="NPK94" s="60"/>
      <c r="NPZ94" s="34" t="s">
        <v>885</v>
      </c>
      <c r="NQA94" s="60"/>
      <c r="NQP94" s="34" t="s">
        <v>885</v>
      </c>
      <c r="NQQ94" s="60"/>
      <c r="NRF94" s="34" t="s">
        <v>885</v>
      </c>
      <c r="NRG94" s="60"/>
      <c r="NRV94" s="34" t="s">
        <v>885</v>
      </c>
      <c r="NRW94" s="60"/>
      <c r="NSL94" s="34" t="s">
        <v>885</v>
      </c>
      <c r="NSM94" s="60"/>
      <c r="NTB94" s="34" t="s">
        <v>885</v>
      </c>
      <c r="NTC94" s="60"/>
      <c r="NTR94" s="34" t="s">
        <v>885</v>
      </c>
      <c r="NTS94" s="60"/>
      <c r="NUH94" s="34" t="s">
        <v>885</v>
      </c>
      <c r="NUI94" s="60"/>
      <c r="NUX94" s="34" t="s">
        <v>885</v>
      </c>
      <c r="NUY94" s="60"/>
      <c r="NVN94" s="34" t="s">
        <v>885</v>
      </c>
      <c r="NVO94" s="60"/>
      <c r="NWD94" s="34" t="s">
        <v>885</v>
      </c>
      <c r="NWE94" s="60"/>
      <c r="NWT94" s="34" t="s">
        <v>885</v>
      </c>
      <c r="NWU94" s="60"/>
      <c r="NXJ94" s="34" t="s">
        <v>885</v>
      </c>
      <c r="NXK94" s="60"/>
      <c r="NXZ94" s="34" t="s">
        <v>885</v>
      </c>
      <c r="NYA94" s="60"/>
      <c r="NYP94" s="34" t="s">
        <v>885</v>
      </c>
      <c r="NYQ94" s="60"/>
      <c r="NZF94" s="34" t="s">
        <v>885</v>
      </c>
      <c r="NZG94" s="60"/>
      <c r="NZV94" s="34" t="s">
        <v>885</v>
      </c>
      <c r="NZW94" s="60"/>
      <c r="OAL94" s="34" t="s">
        <v>885</v>
      </c>
      <c r="OAM94" s="60"/>
      <c r="OBB94" s="34" t="s">
        <v>885</v>
      </c>
      <c r="OBC94" s="60"/>
      <c r="OBR94" s="34" t="s">
        <v>885</v>
      </c>
      <c r="OBS94" s="60"/>
      <c r="OCH94" s="34" t="s">
        <v>885</v>
      </c>
      <c r="OCI94" s="60"/>
      <c r="OCX94" s="34" t="s">
        <v>885</v>
      </c>
      <c r="OCY94" s="60"/>
      <c r="ODN94" s="34" t="s">
        <v>885</v>
      </c>
      <c r="ODO94" s="60"/>
      <c r="OED94" s="34" t="s">
        <v>885</v>
      </c>
      <c r="OEE94" s="60"/>
      <c r="OET94" s="34" t="s">
        <v>885</v>
      </c>
      <c r="OEU94" s="60"/>
      <c r="OFJ94" s="34" t="s">
        <v>885</v>
      </c>
      <c r="OFK94" s="60"/>
      <c r="OFZ94" s="34" t="s">
        <v>885</v>
      </c>
      <c r="OGA94" s="60"/>
      <c r="OGP94" s="34" t="s">
        <v>885</v>
      </c>
      <c r="OGQ94" s="60"/>
      <c r="OHF94" s="34" t="s">
        <v>885</v>
      </c>
      <c r="OHG94" s="60"/>
      <c r="OHV94" s="34" t="s">
        <v>885</v>
      </c>
      <c r="OHW94" s="60"/>
      <c r="OIL94" s="34" t="s">
        <v>885</v>
      </c>
      <c r="OIM94" s="60"/>
      <c r="OJB94" s="34" t="s">
        <v>885</v>
      </c>
      <c r="OJC94" s="60"/>
      <c r="OJR94" s="34" t="s">
        <v>885</v>
      </c>
      <c r="OJS94" s="60"/>
      <c r="OKH94" s="34" t="s">
        <v>885</v>
      </c>
      <c r="OKI94" s="60"/>
      <c r="OKX94" s="34" t="s">
        <v>885</v>
      </c>
      <c r="OKY94" s="60"/>
      <c r="OLN94" s="34" t="s">
        <v>885</v>
      </c>
      <c r="OLO94" s="60"/>
      <c r="OMD94" s="34" t="s">
        <v>885</v>
      </c>
      <c r="OME94" s="60"/>
      <c r="OMT94" s="34" t="s">
        <v>885</v>
      </c>
      <c r="OMU94" s="60"/>
      <c r="ONJ94" s="34" t="s">
        <v>885</v>
      </c>
      <c r="ONK94" s="60"/>
      <c r="ONZ94" s="34" t="s">
        <v>885</v>
      </c>
      <c r="OOA94" s="60"/>
      <c r="OOP94" s="34" t="s">
        <v>885</v>
      </c>
      <c r="OOQ94" s="60"/>
      <c r="OPF94" s="34" t="s">
        <v>885</v>
      </c>
      <c r="OPG94" s="60"/>
      <c r="OPV94" s="34" t="s">
        <v>885</v>
      </c>
      <c r="OPW94" s="60"/>
      <c r="OQL94" s="34" t="s">
        <v>885</v>
      </c>
      <c r="OQM94" s="60"/>
      <c r="ORB94" s="34" t="s">
        <v>885</v>
      </c>
      <c r="ORC94" s="60"/>
      <c r="ORR94" s="34" t="s">
        <v>885</v>
      </c>
      <c r="ORS94" s="60"/>
      <c r="OSH94" s="34" t="s">
        <v>885</v>
      </c>
      <c r="OSI94" s="60"/>
      <c r="OSX94" s="34" t="s">
        <v>885</v>
      </c>
      <c r="OSY94" s="60"/>
      <c r="OTN94" s="34" t="s">
        <v>885</v>
      </c>
      <c r="OTO94" s="60"/>
      <c r="OUD94" s="34" t="s">
        <v>885</v>
      </c>
      <c r="OUE94" s="60"/>
      <c r="OUT94" s="34" t="s">
        <v>885</v>
      </c>
      <c r="OUU94" s="60"/>
      <c r="OVJ94" s="34" t="s">
        <v>885</v>
      </c>
      <c r="OVK94" s="60"/>
      <c r="OVZ94" s="34" t="s">
        <v>885</v>
      </c>
      <c r="OWA94" s="60"/>
      <c r="OWP94" s="34" t="s">
        <v>885</v>
      </c>
      <c r="OWQ94" s="60"/>
      <c r="OXF94" s="34" t="s">
        <v>885</v>
      </c>
      <c r="OXG94" s="60"/>
      <c r="OXV94" s="34" t="s">
        <v>885</v>
      </c>
      <c r="OXW94" s="60"/>
      <c r="OYL94" s="34" t="s">
        <v>885</v>
      </c>
      <c r="OYM94" s="60"/>
      <c r="OZB94" s="34" t="s">
        <v>885</v>
      </c>
      <c r="OZC94" s="60"/>
      <c r="OZR94" s="34" t="s">
        <v>885</v>
      </c>
      <c r="OZS94" s="60"/>
      <c r="PAH94" s="34" t="s">
        <v>885</v>
      </c>
      <c r="PAI94" s="60"/>
      <c r="PAX94" s="34" t="s">
        <v>885</v>
      </c>
      <c r="PAY94" s="60"/>
      <c r="PBN94" s="34" t="s">
        <v>885</v>
      </c>
      <c r="PBO94" s="60"/>
      <c r="PCD94" s="34" t="s">
        <v>885</v>
      </c>
      <c r="PCE94" s="60"/>
      <c r="PCT94" s="34" t="s">
        <v>885</v>
      </c>
      <c r="PCU94" s="60"/>
      <c r="PDJ94" s="34" t="s">
        <v>885</v>
      </c>
      <c r="PDK94" s="60"/>
      <c r="PDZ94" s="34" t="s">
        <v>885</v>
      </c>
      <c r="PEA94" s="60"/>
      <c r="PEP94" s="34" t="s">
        <v>885</v>
      </c>
      <c r="PEQ94" s="60"/>
      <c r="PFF94" s="34" t="s">
        <v>885</v>
      </c>
      <c r="PFG94" s="60"/>
      <c r="PFV94" s="34" t="s">
        <v>885</v>
      </c>
      <c r="PFW94" s="60"/>
      <c r="PGL94" s="34" t="s">
        <v>885</v>
      </c>
      <c r="PGM94" s="60"/>
      <c r="PHB94" s="34" t="s">
        <v>885</v>
      </c>
      <c r="PHC94" s="60"/>
      <c r="PHR94" s="34" t="s">
        <v>885</v>
      </c>
      <c r="PHS94" s="60"/>
      <c r="PIH94" s="34" t="s">
        <v>885</v>
      </c>
      <c r="PII94" s="60"/>
      <c r="PIX94" s="34" t="s">
        <v>885</v>
      </c>
      <c r="PIY94" s="60"/>
      <c r="PJN94" s="34" t="s">
        <v>885</v>
      </c>
      <c r="PJO94" s="60"/>
      <c r="PKD94" s="34" t="s">
        <v>885</v>
      </c>
      <c r="PKE94" s="60"/>
      <c r="PKT94" s="34" t="s">
        <v>885</v>
      </c>
      <c r="PKU94" s="60"/>
      <c r="PLJ94" s="34" t="s">
        <v>885</v>
      </c>
      <c r="PLK94" s="60"/>
      <c r="PLZ94" s="34" t="s">
        <v>885</v>
      </c>
      <c r="PMA94" s="60"/>
      <c r="PMP94" s="34" t="s">
        <v>885</v>
      </c>
      <c r="PMQ94" s="60"/>
      <c r="PNF94" s="34" t="s">
        <v>885</v>
      </c>
      <c r="PNG94" s="60"/>
      <c r="PNV94" s="34" t="s">
        <v>885</v>
      </c>
      <c r="PNW94" s="60"/>
      <c r="POL94" s="34" t="s">
        <v>885</v>
      </c>
      <c r="POM94" s="60"/>
      <c r="PPB94" s="34" t="s">
        <v>885</v>
      </c>
      <c r="PPC94" s="60"/>
      <c r="PPR94" s="34" t="s">
        <v>885</v>
      </c>
      <c r="PPS94" s="60"/>
      <c r="PQH94" s="34" t="s">
        <v>885</v>
      </c>
      <c r="PQI94" s="60"/>
      <c r="PQX94" s="34" t="s">
        <v>885</v>
      </c>
      <c r="PQY94" s="60"/>
      <c r="PRN94" s="34" t="s">
        <v>885</v>
      </c>
      <c r="PRO94" s="60"/>
      <c r="PSD94" s="34" t="s">
        <v>885</v>
      </c>
      <c r="PSE94" s="60"/>
      <c r="PST94" s="34" t="s">
        <v>885</v>
      </c>
      <c r="PSU94" s="60"/>
      <c r="PTJ94" s="34" t="s">
        <v>885</v>
      </c>
      <c r="PTK94" s="60"/>
      <c r="PTZ94" s="34" t="s">
        <v>885</v>
      </c>
      <c r="PUA94" s="60"/>
      <c r="PUP94" s="34" t="s">
        <v>885</v>
      </c>
      <c r="PUQ94" s="60"/>
      <c r="PVF94" s="34" t="s">
        <v>885</v>
      </c>
      <c r="PVG94" s="60"/>
      <c r="PVV94" s="34" t="s">
        <v>885</v>
      </c>
      <c r="PVW94" s="60"/>
      <c r="PWL94" s="34" t="s">
        <v>885</v>
      </c>
      <c r="PWM94" s="60"/>
      <c r="PXB94" s="34" t="s">
        <v>885</v>
      </c>
      <c r="PXC94" s="60"/>
      <c r="PXR94" s="34" t="s">
        <v>885</v>
      </c>
      <c r="PXS94" s="60"/>
      <c r="PYH94" s="34" t="s">
        <v>885</v>
      </c>
      <c r="PYI94" s="60"/>
      <c r="PYX94" s="34" t="s">
        <v>885</v>
      </c>
      <c r="PYY94" s="60"/>
      <c r="PZN94" s="34" t="s">
        <v>885</v>
      </c>
      <c r="PZO94" s="60"/>
      <c r="QAD94" s="34" t="s">
        <v>885</v>
      </c>
      <c r="QAE94" s="60"/>
      <c r="QAT94" s="34" t="s">
        <v>885</v>
      </c>
      <c r="QAU94" s="60"/>
      <c r="QBJ94" s="34" t="s">
        <v>885</v>
      </c>
      <c r="QBK94" s="60"/>
      <c r="QBZ94" s="34" t="s">
        <v>885</v>
      </c>
      <c r="QCA94" s="60"/>
      <c r="QCP94" s="34" t="s">
        <v>885</v>
      </c>
      <c r="QCQ94" s="60"/>
      <c r="QDF94" s="34" t="s">
        <v>885</v>
      </c>
      <c r="QDG94" s="60"/>
      <c r="QDV94" s="34" t="s">
        <v>885</v>
      </c>
      <c r="QDW94" s="60"/>
      <c r="QEL94" s="34" t="s">
        <v>885</v>
      </c>
      <c r="QEM94" s="60"/>
      <c r="QFB94" s="34" t="s">
        <v>885</v>
      </c>
      <c r="QFC94" s="60"/>
      <c r="QFR94" s="34" t="s">
        <v>885</v>
      </c>
      <c r="QFS94" s="60"/>
      <c r="QGH94" s="34" t="s">
        <v>885</v>
      </c>
      <c r="QGI94" s="60"/>
      <c r="QGX94" s="34" t="s">
        <v>885</v>
      </c>
      <c r="QGY94" s="60"/>
      <c r="QHN94" s="34" t="s">
        <v>885</v>
      </c>
      <c r="QHO94" s="60"/>
      <c r="QID94" s="34" t="s">
        <v>885</v>
      </c>
      <c r="QIE94" s="60"/>
      <c r="QIT94" s="34" t="s">
        <v>885</v>
      </c>
      <c r="QIU94" s="60"/>
      <c r="QJJ94" s="34" t="s">
        <v>885</v>
      </c>
      <c r="QJK94" s="60"/>
      <c r="QJZ94" s="34" t="s">
        <v>885</v>
      </c>
      <c r="QKA94" s="60"/>
      <c r="QKP94" s="34" t="s">
        <v>885</v>
      </c>
      <c r="QKQ94" s="60"/>
      <c r="QLF94" s="34" t="s">
        <v>885</v>
      </c>
      <c r="QLG94" s="60"/>
      <c r="QLV94" s="34" t="s">
        <v>885</v>
      </c>
      <c r="QLW94" s="60"/>
      <c r="QML94" s="34" t="s">
        <v>885</v>
      </c>
      <c r="QMM94" s="60"/>
      <c r="QNB94" s="34" t="s">
        <v>885</v>
      </c>
      <c r="QNC94" s="60"/>
      <c r="QNR94" s="34" t="s">
        <v>885</v>
      </c>
      <c r="QNS94" s="60"/>
      <c r="QOH94" s="34" t="s">
        <v>885</v>
      </c>
      <c r="QOI94" s="60"/>
      <c r="QOX94" s="34" t="s">
        <v>885</v>
      </c>
      <c r="QOY94" s="60"/>
      <c r="QPN94" s="34" t="s">
        <v>885</v>
      </c>
      <c r="QPO94" s="60"/>
      <c r="QQD94" s="34" t="s">
        <v>885</v>
      </c>
      <c r="QQE94" s="60"/>
      <c r="QQT94" s="34" t="s">
        <v>885</v>
      </c>
      <c r="QQU94" s="60"/>
      <c r="QRJ94" s="34" t="s">
        <v>885</v>
      </c>
      <c r="QRK94" s="60"/>
      <c r="QRZ94" s="34" t="s">
        <v>885</v>
      </c>
      <c r="QSA94" s="60"/>
      <c r="QSP94" s="34" t="s">
        <v>885</v>
      </c>
      <c r="QSQ94" s="60"/>
      <c r="QTF94" s="34" t="s">
        <v>885</v>
      </c>
      <c r="QTG94" s="60"/>
      <c r="QTV94" s="34" t="s">
        <v>885</v>
      </c>
      <c r="QTW94" s="60"/>
      <c r="QUL94" s="34" t="s">
        <v>885</v>
      </c>
      <c r="QUM94" s="60"/>
      <c r="QVB94" s="34" t="s">
        <v>885</v>
      </c>
      <c r="QVC94" s="60"/>
      <c r="QVR94" s="34" t="s">
        <v>885</v>
      </c>
      <c r="QVS94" s="60"/>
      <c r="QWH94" s="34" t="s">
        <v>885</v>
      </c>
      <c r="QWI94" s="60"/>
      <c r="QWX94" s="34" t="s">
        <v>885</v>
      </c>
      <c r="QWY94" s="60"/>
      <c r="QXN94" s="34" t="s">
        <v>885</v>
      </c>
      <c r="QXO94" s="60"/>
      <c r="QYD94" s="34" t="s">
        <v>885</v>
      </c>
      <c r="QYE94" s="60"/>
      <c r="QYT94" s="34" t="s">
        <v>885</v>
      </c>
      <c r="QYU94" s="60"/>
      <c r="QZJ94" s="34" t="s">
        <v>885</v>
      </c>
      <c r="QZK94" s="60"/>
      <c r="QZZ94" s="34" t="s">
        <v>885</v>
      </c>
      <c r="RAA94" s="60"/>
      <c r="RAP94" s="34" t="s">
        <v>885</v>
      </c>
      <c r="RAQ94" s="60"/>
      <c r="RBF94" s="34" t="s">
        <v>885</v>
      </c>
      <c r="RBG94" s="60"/>
      <c r="RBV94" s="34" t="s">
        <v>885</v>
      </c>
      <c r="RBW94" s="60"/>
      <c r="RCL94" s="34" t="s">
        <v>885</v>
      </c>
      <c r="RCM94" s="60"/>
      <c r="RDB94" s="34" t="s">
        <v>885</v>
      </c>
      <c r="RDC94" s="60"/>
      <c r="RDR94" s="34" t="s">
        <v>885</v>
      </c>
      <c r="RDS94" s="60"/>
      <c r="REH94" s="34" t="s">
        <v>885</v>
      </c>
      <c r="REI94" s="60"/>
      <c r="REX94" s="34" t="s">
        <v>885</v>
      </c>
      <c r="REY94" s="60"/>
      <c r="RFN94" s="34" t="s">
        <v>885</v>
      </c>
      <c r="RFO94" s="60"/>
      <c r="RGD94" s="34" t="s">
        <v>885</v>
      </c>
      <c r="RGE94" s="60"/>
      <c r="RGT94" s="34" t="s">
        <v>885</v>
      </c>
      <c r="RGU94" s="60"/>
      <c r="RHJ94" s="34" t="s">
        <v>885</v>
      </c>
      <c r="RHK94" s="60"/>
      <c r="RHZ94" s="34" t="s">
        <v>885</v>
      </c>
      <c r="RIA94" s="60"/>
      <c r="RIP94" s="34" t="s">
        <v>885</v>
      </c>
      <c r="RIQ94" s="60"/>
      <c r="RJF94" s="34" t="s">
        <v>885</v>
      </c>
      <c r="RJG94" s="60"/>
      <c r="RJV94" s="34" t="s">
        <v>885</v>
      </c>
      <c r="RJW94" s="60"/>
      <c r="RKL94" s="34" t="s">
        <v>885</v>
      </c>
      <c r="RKM94" s="60"/>
      <c r="RLB94" s="34" t="s">
        <v>885</v>
      </c>
      <c r="RLC94" s="60"/>
      <c r="RLR94" s="34" t="s">
        <v>885</v>
      </c>
      <c r="RLS94" s="60"/>
      <c r="RMH94" s="34" t="s">
        <v>885</v>
      </c>
      <c r="RMI94" s="60"/>
      <c r="RMX94" s="34" t="s">
        <v>885</v>
      </c>
      <c r="RMY94" s="60"/>
      <c r="RNN94" s="34" t="s">
        <v>885</v>
      </c>
      <c r="RNO94" s="60"/>
      <c r="ROD94" s="34" t="s">
        <v>885</v>
      </c>
      <c r="ROE94" s="60"/>
      <c r="ROT94" s="34" t="s">
        <v>885</v>
      </c>
      <c r="ROU94" s="60"/>
      <c r="RPJ94" s="34" t="s">
        <v>885</v>
      </c>
      <c r="RPK94" s="60"/>
      <c r="RPZ94" s="34" t="s">
        <v>885</v>
      </c>
      <c r="RQA94" s="60"/>
      <c r="RQP94" s="34" t="s">
        <v>885</v>
      </c>
      <c r="RQQ94" s="60"/>
      <c r="RRF94" s="34" t="s">
        <v>885</v>
      </c>
      <c r="RRG94" s="60"/>
      <c r="RRV94" s="34" t="s">
        <v>885</v>
      </c>
      <c r="RRW94" s="60"/>
      <c r="RSL94" s="34" t="s">
        <v>885</v>
      </c>
      <c r="RSM94" s="60"/>
      <c r="RTB94" s="34" t="s">
        <v>885</v>
      </c>
      <c r="RTC94" s="60"/>
      <c r="RTR94" s="34" t="s">
        <v>885</v>
      </c>
      <c r="RTS94" s="60"/>
      <c r="RUH94" s="34" t="s">
        <v>885</v>
      </c>
      <c r="RUI94" s="60"/>
      <c r="RUX94" s="34" t="s">
        <v>885</v>
      </c>
      <c r="RUY94" s="60"/>
      <c r="RVN94" s="34" t="s">
        <v>885</v>
      </c>
      <c r="RVO94" s="60"/>
      <c r="RWD94" s="34" t="s">
        <v>885</v>
      </c>
      <c r="RWE94" s="60"/>
      <c r="RWT94" s="34" t="s">
        <v>885</v>
      </c>
      <c r="RWU94" s="60"/>
      <c r="RXJ94" s="34" t="s">
        <v>885</v>
      </c>
      <c r="RXK94" s="60"/>
      <c r="RXZ94" s="34" t="s">
        <v>885</v>
      </c>
      <c r="RYA94" s="60"/>
      <c r="RYP94" s="34" t="s">
        <v>885</v>
      </c>
      <c r="RYQ94" s="60"/>
      <c r="RZF94" s="34" t="s">
        <v>885</v>
      </c>
      <c r="RZG94" s="60"/>
      <c r="RZV94" s="34" t="s">
        <v>885</v>
      </c>
      <c r="RZW94" s="60"/>
      <c r="SAL94" s="34" t="s">
        <v>885</v>
      </c>
      <c r="SAM94" s="60"/>
      <c r="SBB94" s="34" t="s">
        <v>885</v>
      </c>
      <c r="SBC94" s="60"/>
      <c r="SBR94" s="34" t="s">
        <v>885</v>
      </c>
      <c r="SBS94" s="60"/>
      <c r="SCH94" s="34" t="s">
        <v>885</v>
      </c>
      <c r="SCI94" s="60"/>
      <c r="SCX94" s="34" t="s">
        <v>885</v>
      </c>
      <c r="SCY94" s="60"/>
      <c r="SDN94" s="34" t="s">
        <v>885</v>
      </c>
      <c r="SDO94" s="60"/>
      <c r="SED94" s="34" t="s">
        <v>885</v>
      </c>
      <c r="SEE94" s="60"/>
      <c r="SET94" s="34" t="s">
        <v>885</v>
      </c>
      <c r="SEU94" s="60"/>
      <c r="SFJ94" s="34" t="s">
        <v>885</v>
      </c>
      <c r="SFK94" s="60"/>
      <c r="SFZ94" s="34" t="s">
        <v>885</v>
      </c>
      <c r="SGA94" s="60"/>
      <c r="SGP94" s="34" t="s">
        <v>885</v>
      </c>
      <c r="SGQ94" s="60"/>
      <c r="SHF94" s="34" t="s">
        <v>885</v>
      </c>
      <c r="SHG94" s="60"/>
      <c r="SHV94" s="34" t="s">
        <v>885</v>
      </c>
      <c r="SHW94" s="60"/>
      <c r="SIL94" s="34" t="s">
        <v>885</v>
      </c>
      <c r="SIM94" s="60"/>
      <c r="SJB94" s="34" t="s">
        <v>885</v>
      </c>
      <c r="SJC94" s="60"/>
      <c r="SJR94" s="34" t="s">
        <v>885</v>
      </c>
      <c r="SJS94" s="60"/>
      <c r="SKH94" s="34" t="s">
        <v>885</v>
      </c>
      <c r="SKI94" s="60"/>
      <c r="SKX94" s="34" t="s">
        <v>885</v>
      </c>
      <c r="SKY94" s="60"/>
      <c r="SLN94" s="34" t="s">
        <v>885</v>
      </c>
      <c r="SLO94" s="60"/>
      <c r="SMD94" s="34" t="s">
        <v>885</v>
      </c>
      <c r="SME94" s="60"/>
      <c r="SMT94" s="34" t="s">
        <v>885</v>
      </c>
      <c r="SMU94" s="60"/>
      <c r="SNJ94" s="34" t="s">
        <v>885</v>
      </c>
      <c r="SNK94" s="60"/>
      <c r="SNZ94" s="34" t="s">
        <v>885</v>
      </c>
      <c r="SOA94" s="60"/>
      <c r="SOP94" s="34" t="s">
        <v>885</v>
      </c>
      <c r="SOQ94" s="60"/>
      <c r="SPF94" s="34" t="s">
        <v>885</v>
      </c>
      <c r="SPG94" s="60"/>
      <c r="SPV94" s="34" t="s">
        <v>885</v>
      </c>
      <c r="SPW94" s="60"/>
      <c r="SQL94" s="34" t="s">
        <v>885</v>
      </c>
      <c r="SQM94" s="60"/>
      <c r="SRB94" s="34" t="s">
        <v>885</v>
      </c>
      <c r="SRC94" s="60"/>
      <c r="SRR94" s="34" t="s">
        <v>885</v>
      </c>
      <c r="SRS94" s="60"/>
      <c r="SSH94" s="34" t="s">
        <v>885</v>
      </c>
      <c r="SSI94" s="60"/>
      <c r="SSX94" s="34" t="s">
        <v>885</v>
      </c>
      <c r="SSY94" s="60"/>
      <c r="STN94" s="34" t="s">
        <v>885</v>
      </c>
      <c r="STO94" s="60"/>
      <c r="SUD94" s="34" t="s">
        <v>885</v>
      </c>
      <c r="SUE94" s="60"/>
      <c r="SUT94" s="34" t="s">
        <v>885</v>
      </c>
      <c r="SUU94" s="60"/>
      <c r="SVJ94" s="34" t="s">
        <v>885</v>
      </c>
      <c r="SVK94" s="60"/>
      <c r="SVZ94" s="34" t="s">
        <v>885</v>
      </c>
      <c r="SWA94" s="60"/>
      <c r="SWP94" s="34" t="s">
        <v>885</v>
      </c>
      <c r="SWQ94" s="60"/>
      <c r="SXF94" s="34" t="s">
        <v>885</v>
      </c>
      <c r="SXG94" s="60"/>
      <c r="SXV94" s="34" t="s">
        <v>885</v>
      </c>
      <c r="SXW94" s="60"/>
      <c r="SYL94" s="34" t="s">
        <v>885</v>
      </c>
      <c r="SYM94" s="60"/>
      <c r="SZB94" s="34" t="s">
        <v>885</v>
      </c>
      <c r="SZC94" s="60"/>
      <c r="SZR94" s="34" t="s">
        <v>885</v>
      </c>
      <c r="SZS94" s="60"/>
      <c r="TAH94" s="34" t="s">
        <v>885</v>
      </c>
      <c r="TAI94" s="60"/>
      <c r="TAX94" s="34" t="s">
        <v>885</v>
      </c>
      <c r="TAY94" s="60"/>
      <c r="TBN94" s="34" t="s">
        <v>885</v>
      </c>
      <c r="TBO94" s="60"/>
      <c r="TCD94" s="34" t="s">
        <v>885</v>
      </c>
      <c r="TCE94" s="60"/>
      <c r="TCT94" s="34" t="s">
        <v>885</v>
      </c>
      <c r="TCU94" s="60"/>
      <c r="TDJ94" s="34" t="s">
        <v>885</v>
      </c>
      <c r="TDK94" s="60"/>
      <c r="TDZ94" s="34" t="s">
        <v>885</v>
      </c>
      <c r="TEA94" s="60"/>
      <c r="TEP94" s="34" t="s">
        <v>885</v>
      </c>
      <c r="TEQ94" s="60"/>
      <c r="TFF94" s="34" t="s">
        <v>885</v>
      </c>
      <c r="TFG94" s="60"/>
      <c r="TFV94" s="34" t="s">
        <v>885</v>
      </c>
      <c r="TFW94" s="60"/>
      <c r="TGL94" s="34" t="s">
        <v>885</v>
      </c>
      <c r="TGM94" s="60"/>
      <c r="THB94" s="34" t="s">
        <v>885</v>
      </c>
      <c r="THC94" s="60"/>
      <c r="THR94" s="34" t="s">
        <v>885</v>
      </c>
      <c r="THS94" s="60"/>
      <c r="TIH94" s="34" t="s">
        <v>885</v>
      </c>
      <c r="TII94" s="60"/>
      <c r="TIX94" s="34" t="s">
        <v>885</v>
      </c>
      <c r="TIY94" s="60"/>
      <c r="TJN94" s="34" t="s">
        <v>885</v>
      </c>
      <c r="TJO94" s="60"/>
      <c r="TKD94" s="34" t="s">
        <v>885</v>
      </c>
      <c r="TKE94" s="60"/>
      <c r="TKT94" s="34" t="s">
        <v>885</v>
      </c>
      <c r="TKU94" s="60"/>
      <c r="TLJ94" s="34" t="s">
        <v>885</v>
      </c>
      <c r="TLK94" s="60"/>
      <c r="TLZ94" s="34" t="s">
        <v>885</v>
      </c>
      <c r="TMA94" s="60"/>
      <c r="TMP94" s="34" t="s">
        <v>885</v>
      </c>
      <c r="TMQ94" s="60"/>
      <c r="TNF94" s="34" t="s">
        <v>885</v>
      </c>
      <c r="TNG94" s="60"/>
      <c r="TNV94" s="34" t="s">
        <v>885</v>
      </c>
      <c r="TNW94" s="60"/>
      <c r="TOL94" s="34" t="s">
        <v>885</v>
      </c>
      <c r="TOM94" s="60"/>
      <c r="TPB94" s="34" t="s">
        <v>885</v>
      </c>
      <c r="TPC94" s="60"/>
      <c r="TPR94" s="34" t="s">
        <v>885</v>
      </c>
      <c r="TPS94" s="60"/>
      <c r="TQH94" s="34" t="s">
        <v>885</v>
      </c>
      <c r="TQI94" s="60"/>
      <c r="TQX94" s="34" t="s">
        <v>885</v>
      </c>
      <c r="TQY94" s="60"/>
      <c r="TRN94" s="34" t="s">
        <v>885</v>
      </c>
      <c r="TRO94" s="60"/>
      <c r="TSD94" s="34" t="s">
        <v>885</v>
      </c>
      <c r="TSE94" s="60"/>
      <c r="TST94" s="34" t="s">
        <v>885</v>
      </c>
      <c r="TSU94" s="60"/>
      <c r="TTJ94" s="34" t="s">
        <v>885</v>
      </c>
      <c r="TTK94" s="60"/>
      <c r="TTZ94" s="34" t="s">
        <v>885</v>
      </c>
      <c r="TUA94" s="60"/>
      <c r="TUP94" s="34" t="s">
        <v>885</v>
      </c>
      <c r="TUQ94" s="60"/>
      <c r="TVF94" s="34" t="s">
        <v>885</v>
      </c>
      <c r="TVG94" s="60"/>
      <c r="TVV94" s="34" t="s">
        <v>885</v>
      </c>
      <c r="TVW94" s="60"/>
      <c r="TWL94" s="34" t="s">
        <v>885</v>
      </c>
      <c r="TWM94" s="60"/>
      <c r="TXB94" s="34" t="s">
        <v>885</v>
      </c>
      <c r="TXC94" s="60"/>
      <c r="TXR94" s="34" t="s">
        <v>885</v>
      </c>
      <c r="TXS94" s="60"/>
      <c r="TYH94" s="34" t="s">
        <v>885</v>
      </c>
      <c r="TYI94" s="60"/>
      <c r="TYX94" s="34" t="s">
        <v>885</v>
      </c>
      <c r="TYY94" s="60"/>
      <c r="TZN94" s="34" t="s">
        <v>885</v>
      </c>
      <c r="TZO94" s="60"/>
      <c r="UAD94" s="34" t="s">
        <v>885</v>
      </c>
      <c r="UAE94" s="60"/>
      <c r="UAT94" s="34" t="s">
        <v>885</v>
      </c>
      <c r="UAU94" s="60"/>
      <c r="UBJ94" s="34" t="s">
        <v>885</v>
      </c>
      <c r="UBK94" s="60"/>
      <c r="UBZ94" s="34" t="s">
        <v>885</v>
      </c>
      <c r="UCA94" s="60"/>
      <c r="UCP94" s="34" t="s">
        <v>885</v>
      </c>
      <c r="UCQ94" s="60"/>
      <c r="UDF94" s="34" t="s">
        <v>885</v>
      </c>
      <c r="UDG94" s="60"/>
      <c r="UDV94" s="34" t="s">
        <v>885</v>
      </c>
      <c r="UDW94" s="60"/>
      <c r="UEL94" s="34" t="s">
        <v>885</v>
      </c>
      <c r="UEM94" s="60"/>
      <c r="UFB94" s="34" t="s">
        <v>885</v>
      </c>
      <c r="UFC94" s="60"/>
      <c r="UFR94" s="34" t="s">
        <v>885</v>
      </c>
      <c r="UFS94" s="60"/>
      <c r="UGH94" s="34" t="s">
        <v>885</v>
      </c>
      <c r="UGI94" s="60"/>
      <c r="UGX94" s="34" t="s">
        <v>885</v>
      </c>
      <c r="UGY94" s="60"/>
      <c r="UHN94" s="34" t="s">
        <v>885</v>
      </c>
      <c r="UHO94" s="60"/>
      <c r="UID94" s="34" t="s">
        <v>885</v>
      </c>
      <c r="UIE94" s="60"/>
      <c r="UIT94" s="34" t="s">
        <v>885</v>
      </c>
      <c r="UIU94" s="60"/>
      <c r="UJJ94" s="34" t="s">
        <v>885</v>
      </c>
      <c r="UJK94" s="60"/>
      <c r="UJZ94" s="34" t="s">
        <v>885</v>
      </c>
      <c r="UKA94" s="60"/>
      <c r="UKP94" s="34" t="s">
        <v>885</v>
      </c>
      <c r="UKQ94" s="60"/>
      <c r="ULF94" s="34" t="s">
        <v>885</v>
      </c>
      <c r="ULG94" s="60"/>
      <c r="ULV94" s="34" t="s">
        <v>885</v>
      </c>
      <c r="ULW94" s="60"/>
      <c r="UML94" s="34" t="s">
        <v>885</v>
      </c>
      <c r="UMM94" s="60"/>
      <c r="UNB94" s="34" t="s">
        <v>885</v>
      </c>
      <c r="UNC94" s="60"/>
      <c r="UNR94" s="34" t="s">
        <v>885</v>
      </c>
      <c r="UNS94" s="60"/>
      <c r="UOH94" s="34" t="s">
        <v>885</v>
      </c>
      <c r="UOI94" s="60"/>
      <c r="UOX94" s="34" t="s">
        <v>885</v>
      </c>
      <c r="UOY94" s="60"/>
      <c r="UPN94" s="34" t="s">
        <v>885</v>
      </c>
      <c r="UPO94" s="60"/>
      <c r="UQD94" s="34" t="s">
        <v>885</v>
      </c>
      <c r="UQE94" s="60"/>
      <c r="UQT94" s="34" t="s">
        <v>885</v>
      </c>
      <c r="UQU94" s="60"/>
      <c r="URJ94" s="34" t="s">
        <v>885</v>
      </c>
      <c r="URK94" s="60"/>
      <c r="URZ94" s="34" t="s">
        <v>885</v>
      </c>
      <c r="USA94" s="60"/>
      <c r="USP94" s="34" t="s">
        <v>885</v>
      </c>
      <c r="USQ94" s="60"/>
      <c r="UTF94" s="34" t="s">
        <v>885</v>
      </c>
      <c r="UTG94" s="60"/>
      <c r="UTV94" s="34" t="s">
        <v>885</v>
      </c>
      <c r="UTW94" s="60"/>
      <c r="UUL94" s="34" t="s">
        <v>885</v>
      </c>
      <c r="UUM94" s="60"/>
      <c r="UVB94" s="34" t="s">
        <v>885</v>
      </c>
      <c r="UVC94" s="60"/>
      <c r="UVR94" s="34" t="s">
        <v>885</v>
      </c>
      <c r="UVS94" s="60"/>
      <c r="UWH94" s="34" t="s">
        <v>885</v>
      </c>
      <c r="UWI94" s="60"/>
      <c r="UWX94" s="34" t="s">
        <v>885</v>
      </c>
      <c r="UWY94" s="60"/>
      <c r="UXN94" s="34" t="s">
        <v>885</v>
      </c>
      <c r="UXO94" s="60"/>
      <c r="UYD94" s="34" t="s">
        <v>885</v>
      </c>
      <c r="UYE94" s="60"/>
      <c r="UYT94" s="34" t="s">
        <v>885</v>
      </c>
      <c r="UYU94" s="60"/>
      <c r="UZJ94" s="34" t="s">
        <v>885</v>
      </c>
      <c r="UZK94" s="60"/>
      <c r="UZZ94" s="34" t="s">
        <v>885</v>
      </c>
      <c r="VAA94" s="60"/>
      <c r="VAP94" s="34" t="s">
        <v>885</v>
      </c>
      <c r="VAQ94" s="60"/>
      <c r="VBF94" s="34" t="s">
        <v>885</v>
      </c>
      <c r="VBG94" s="60"/>
      <c r="VBV94" s="34" t="s">
        <v>885</v>
      </c>
      <c r="VBW94" s="60"/>
      <c r="VCL94" s="34" t="s">
        <v>885</v>
      </c>
      <c r="VCM94" s="60"/>
      <c r="VDB94" s="34" t="s">
        <v>885</v>
      </c>
      <c r="VDC94" s="60"/>
      <c r="VDR94" s="34" t="s">
        <v>885</v>
      </c>
      <c r="VDS94" s="60"/>
      <c r="VEH94" s="34" t="s">
        <v>885</v>
      </c>
      <c r="VEI94" s="60"/>
      <c r="VEX94" s="34" t="s">
        <v>885</v>
      </c>
      <c r="VEY94" s="60"/>
      <c r="VFN94" s="34" t="s">
        <v>885</v>
      </c>
      <c r="VFO94" s="60"/>
      <c r="VGD94" s="34" t="s">
        <v>885</v>
      </c>
      <c r="VGE94" s="60"/>
      <c r="VGT94" s="34" t="s">
        <v>885</v>
      </c>
      <c r="VGU94" s="60"/>
      <c r="VHJ94" s="34" t="s">
        <v>885</v>
      </c>
      <c r="VHK94" s="60"/>
      <c r="VHZ94" s="34" t="s">
        <v>885</v>
      </c>
      <c r="VIA94" s="60"/>
      <c r="VIP94" s="34" t="s">
        <v>885</v>
      </c>
      <c r="VIQ94" s="60"/>
      <c r="VJF94" s="34" t="s">
        <v>885</v>
      </c>
      <c r="VJG94" s="60"/>
      <c r="VJV94" s="34" t="s">
        <v>885</v>
      </c>
      <c r="VJW94" s="60"/>
      <c r="VKL94" s="34" t="s">
        <v>885</v>
      </c>
      <c r="VKM94" s="60"/>
      <c r="VLB94" s="34" t="s">
        <v>885</v>
      </c>
      <c r="VLC94" s="60"/>
      <c r="VLR94" s="34" t="s">
        <v>885</v>
      </c>
      <c r="VLS94" s="60"/>
      <c r="VMH94" s="34" t="s">
        <v>885</v>
      </c>
      <c r="VMI94" s="60"/>
      <c r="VMX94" s="34" t="s">
        <v>885</v>
      </c>
      <c r="VMY94" s="60"/>
      <c r="VNN94" s="34" t="s">
        <v>885</v>
      </c>
      <c r="VNO94" s="60"/>
      <c r="VOD94" s="34" t="s">
        <v>885</v>
      </c>
      <c r="VOE94" s="60"/>
      <c r="VOT94" s="34" t="s">
        <v>885</v>
      </c>
      <c r="VOU94" s="60"/>
      <c r="VPJ94" s="34" t="s">
        <v>885</v>
      </c>
      <c r="VPK94" s="60"/>
      <c r="VPZ94" s="34" t="s">
        <v>885</v>
      </c>
      <c r="VQA94" s="60"/>
      <c r="VQP94" s="34" t="s">
        <v>885</v>
      </c>
      <c r="VQQ94" s="60"/>
      <c r="VRF94" s="34" t="s">
        <v>885</v>
      </c>
      <c r="VRG94" s="60"/>
      <c r="VRV94" s="34" t="s">
        <v>885</v>
      </c>
      <c r="VRW94" s="60"/>
      <c r="VSL94" s="34" t="s">
        <v>885</v>
      </c>
      <c r="VSM94" s="60"/>
      <c r="VTB94" s="34" t="s">
        <v>885</v>
      </c>
      <c r="VTC94" s="60"/>
      <c r="VTR94" s="34" t="s">
        <v>885</v>
      </c>
      <c r="VTS94" s="60"/>
      <c r="VUH94" s="34" t="s">
        <v>885</v>
      </c>
      <c r="VUI94" s="60"/>
      <c r="VUX94" s="34" t="s">
        <v>885</v>
      </c>
      <c r="VUY94" s="60"/>
      <c r="VVN94" s="34" t="s">
        <v>885</v>
      </c>
      <c r="VVO94" s="60"/>
      <c r="VWD94" s="34" t="s">
        <v>885</v>
      </c>
      <c r="VWE94" s="60"/>
      <c r="VWT94" s="34" t="s">
        <v>885</v>
      </c>
      <c r="VWU94" s="60"/>
      <c r="VXJ94" s="34" t="s">
        <v>885</v>
      </c>
      <c r="VXK94" s="60"/>
      <c r="VXZ94" s="34" t="s">
        <v>885</v>
      </c>
      <c r="VYA94" s="60"/>
      <c r="VYP94" s="34" t="s">
        <v>885</v>
      </c>
      <c r="VYQ94" s="60"/>
      <c r="VZF94" s="34" t="s">
        <v>885</v>
      </c>
      <c r="VZG94" s="60"/>
      <c r="VZV94" s="34" t="s">
        <v>885</v>
      </c>
      <c r="VZW94" s="60"/>
      <c r="WAL94" s="34" t="s">
        <v>885</v>
      </c>
      <c r="WAM94" s="60"/>
      <c r="WBB94" s="34" t="s">
        <v>885</v>
      </c>
      <c r="WBC94" s="60"/>
      <c r="WBR94" s="34" t="s">
        <v>885</v>
      </c>
      <c r="WBS94" s="60"/>
      <c r="WCH94" s="34" t="s">
        <v>885</v>
      </c>
      <c r="WCI94" s="60"/>
      <c r="WCX94" s="34" t="s">
        <v>885</v>
      </c>
      <c r="WCY94" s="60"/>
      <c r="WDN94" s="34" t="s">
        <v>885</v>
      </c>
      <c r="WDO94" s="60"/>
      <c r="WED94" s="34" t="s">
        <v>885</v>
      </c>
      <c r="WEE94" s="60"/>
      <c r="WET94" s="34" t="s">
        <v>885</v>
      </c>
      <c r="WEU94" s="60"/>
      <c r="WFJ94" s="34" t="s">
        <v>885</v>
      </c>
      <c r="WFK94" s="60"/>
      <c r="WFZ94" s="34" t="s">
        <v>885</v>
      </c>
      <c r="WGA94" s="60"/>
      <c r="WGP94" s="34" t="s">
        <v>885</v>
      </c>
      <c r="WGQ94" s="60"/>
      <c r="WHF94" s="34" t="s">
        <v>885</v>
      </c>
      <c r="WHG94" s="60"/>
      <c r="WHV94" s="34" t="s">
        <v>885</v>
      </c>
      <c r="WHW94" s="60"/>
      <c r="WIL94" s="34" t="s">
        <v>885</v>
      </c>
      <c r="WIM94" s="60"/>
      <c r="WJB94" s="34" t="s">
        <v>885</v>
      </c>
      <c r="WJC94" s="60"/>
      <c r="WJR94" s="34" t="s">
        <v>885</v>
      </c>
      <c r="WJS94" s="60"/>
      <c r="WKH94" s="34" t="s">
        <v>885</v>
      </c>
      <c r="WKI94" s="60"/>
      <c r="WKX94" s="34" t="s">
        <v>885</v>
      </c>
      <c r="WKY94" s="60"/>
      <c r="WLN94" s="34" t="s">
        <v>885</v>
      </c>
      <c r="WLO94" s="60"/>
      <c r="WMD94" s="34" t="s">
        <v>885</v>
      </c>
      <c r="WME94" s="60"/>
      <c r="WMT94" s="34" t="s">
        <v>885</v>
      </c>
      <c r="WMU94" s="60"/>
      <c r="WNJ94" s="34" t="s">
        <v>885</v>
      </c>
      <c r="WNK94" s="60"/>
      <c r="WNZ94" s="34" t="s">
        <v>885</v>
      </c>
      <c r="WOA94" s="60"/>
      <c r="WOP94" s="34" t="s">
        <v>885</v>
      </c>
      <c r="WOQ94" s="60"/>
      <c r="WPF94" s="34" t="s">
        <v>885</v>
      </c>
      <c r="WPG94" s="60"/>
      <c r="WPV94" s="34" t="s">
        <v>885</v>
      </c>
      <c r="WPW94" s="60"/>
      <c r="WQL94" s="34" t="s">
        <v>885</v>
      </c>
      <c r="WQM94" s="60"/>
      <c r="WRB94" s="34" t="s">
        <v>885</v>
      </c>
      <c r="WRC94" s="60"/>
      <c r="WRR94" s="34" t="s">
        <v>885</v>
      </c>
      <c r="WRS94" s="60"/>
      <c r="WSH94" s="34" t="s">
        <v>885</v>
      </c>
      <c r="WSI94" s="60"/>
      <c r="WSX94" s="34" t="s">
        <v>885</v>
      </c>
      <c r="WSY94" s="60"/>
      <c r="WTN94" s="34" t="s">
        <v>885</v>
      </c>
      <c r="WTO94" s="60"/>
      <c r="WUD94" s="34" t="s">
        <v>885</v>
      </c>
      <c r="WUE94" s="60"/>
      <c r="WUT94" s="34" t="s">
        <v>885</v>
      </c>
      <c r="WUU94" s="60"/>
      <c r="WVJ94" s="34" t="s">
        <v>885</v>
      </c>
      <c r="WVK94" s="60"/>
      <c r="WVZ94" s="34" t="s">
        <v>885</v>
      </c>
      <c r="WWA94" s="60"/>
      <c r="WWP94" s="34" t="s">
        <v>885</v>
      </c>
      <c r="WWQ94" s="60"/>
      <c r="WXF94" s="34" t="s">
        <v>885</v>
      </c>
      <c r="WXG94" s="60"/>
      <c r="WXV94" s="34" t="s">
        <v>885</v>
      </c>
      <c r="WXW94" s="60"/>
      <c r="WYL94" s="34" t="s">
        <v>885</v>
      </c>
      <c r="WYM94" s="60"/>
      <c r="WZB94" s="34" t="s">
        <v>885</v>
      </c>
      <c r="WZC94" s="60"/>
      <c r="WZR94" s="34" t="s">
        <v>885</v>
      </c>
      <c r="WZS94" s="60"/>
      <c r="XAH94" s="34" t="s">
        <v>885</v>
      </c>
      <c r="XAI94" s="60"/>
      <c r="XAX94" s="34" t="s">
        <v>885</v>
      </c>
      <c r="XAY94" s="60"/>
      <c r="XBN94" s="34" t="s">
        <v>885</v>
      </c>
      <c r="XBO94" s="60"/>
      <c r="XCD94" s="34" t="s">
        <v>885</v>
      </c>
      <c r="XCE94" s="60"/>
      <c r="XCT94" s="34" t="s">
        <v>885</v>
      </c>
      <c r="XCU94" s="60"/>
      <c r="XDJ94" s="34" t="s">
        <v>885</v>
      </c>
      <c r="XDK94" s="60"/>
      <c r="XDZ94" s="34" t="s">
        <v>885</v>
      </c>
      <c r="XEA94" s="60"/>
      <c r="XEP94" s="34" t="s">
        <v>885</v>
      </c>
      <c r="XEQ94" s="60"/>
    </row>
    <row r="95" spans="2:1011 1026:2035 2050:3059 3074:4083 4098:5107 5122:6131 6146:7155 7170:8179 8194:9203 9218:10227 10242:11251 11266:12275 12290:13299 13314:14323 14338:15347 15362:16371" ht="14.25" x14ac:dyDescent="0.2">
      <c r="R95" s="34"/>
      <c r="S95" s="60"/>
      <c r="AH95" s="34"/>
      <c r="AI95" s="60"/>
      <c r="AX95" s="34"/>
      <c r="AY95" s="60"/>
      <c r="BN95" s="34"/>
      <c r="BO95" s="60"/>
      <c r="CD95" s="34"/>
      <c r="CE95" s="60"/>
      <c r="CT95" s="34"/>
      <c r="CU95" s="60"/>
      <c r="DJ95" s="34"/>
      <c r="DK95" s="60"/>
      <c r="DZ95" s="34"/>
      <c r="EA95" s="60"/>
      <c r="EP95" s="34"/>
      <c r="EQ95" s="60"/>
      <c r="FF95" s="34"/>
      <c r="FG95" s="60"/>
      <c r="FV95" s="34"/>
      <c r="FW95" s="60"/>
      <c r="GL95" s="34"/>
      <c r="GM95" s="60"/>
      <c r="HB95" s="34"/>
      <c r="HC95" s="60"/>
      <c r="HR95" s="34"/>
      <c r="HS95" s="60"/>
      <c r="IH95" s="34"/>
      <c r="II95" s="60"/>
      <c r="IX95" s="34"/>
      <c r="IY95" s="60"/>
      <c r="JN95" s="34"/>
      <c r="JO95" s="60"/>
      <c r="KD95" s="34"/>
      <c r="KE95" s="60"/>
      <c r="KT95" s="34"/>
      <c r="KU95" s="60"/>
      <c r="LJ95" s="34"/>
      <c r="LK95" s="60"/>
      <c r="LZ95" s="34"/>
      <c r="MA95" s="60"/>
      <c r="MP95" s="34"/>
      <c r="MQ95" s="60"/>
      <c r="NF95" s="34"/>
      <c r="NG95" s="60"/>
      <c r="NV95" s="34"/>
      <c r="NW95" s="60"/>
      <c r="OL95" s="34"/>
      <c r="OM95" s="60"/>
      <c r="PB95" s="34"/>
      <c r="PC95" s="60"/>
      <c r="PR95" s="34"/>
      <c r="PS95" s="60"/>
      <c r="QH95" s="34"/>
      <c r="QI95" s="60"/>
      <c r="QX95" s="34"/>
      <c r="QY95" s="60"/>
      <c r="RN95" s="34"/>
      <c r="RO95" s="60"/>
      <c r="SD95" s="34"/>
      <c r="SE95" s="60"/>
      <c r="ST95" s="34"/>
      <c r="SU95" s="60"/>
      <c r="TJ95" s="34"/>
      <c r="TK95" s="60"/>
      <c r="TZ95" s="34"/>
      <c r="UA95" s="60"/>
      <c r="UP95" s="34"/>
      <c r="UQ95" s="60"/>
      <c r="VF95" s="34"/>
      <c r="VG95" s="60"/>
      <c r="VV95" s="34"/>
      <c r="VW95" s="60"/>
      <c r="WL95" s="34"/>
      <c r="WM95" s="60"/>
      <c r="XB95" s="34"/>
      <c r="XC95" s="60"/>
      <c r="XR95" s="34"/>
      <c r="XS95" s="60"/>
      <c r="YH95" s="34"/>
      <c r="YI95" s="60"/>
      <c r="YX95" s="34"/>
      <c r="YY95" s="60"/>
      <c r="ZN95" s="34"/>
      <c r="ZO95" s="60"/>
      <c r="AAD95" s="34"/>
      <c r="AAE95" s="60"/>
      <c r="AAT95" s="34"/>
      <c r="AAU95" s="60"/>
      <c r="ABJ95" s="34"/>
      <c r="ABK95" s="60"/>
      <c r="ABZ95" s="34"/>
      <c r="ACA95" s="60"/>
      <c r="ACP95" s="34"/>
      <c r="ACQ95" s="60"/>
      <c r="ADF95" s="34"/>
      <c r="ADG95" s="60"/>
      <c r="ADV95" s="34"/>
      <c r="ADW95" s="60"/>
      <c r="AEL95" s="34"/>
      <c r="AEM95" s="60"/>
      <c r="AFB95" s="34"/>
      <c r="AFC95" s="60"/>
      <c r="AFR95" s="34"/>
      <c r="AFS95" s="60"/>
      <c r="AGH95" s="34"/>
      <c r="AGI95" s="60"/>
      <c r="AGX95" s="34"/>
      <c r="AGY95" s="60"/>
      <c r="AHN95" s="34"/>
      <c r="AHO95" s="60"/>
      <c r="AID95" s="34"/>
      <c r="AIE95" s="60"/>
      <c r="AIT95" s="34"/>
      <c r="AIU95" s="60"/>
      <c r="AJJ95" s="34"/>
      <c r="AJK95" s="60"/>
      <c r="AJZ95" s="34"/>
      <c r="AKA95" s="60"/>
      <c r="AKP95" s="34"/>
      <c r="AKQ95" s="60"/>
      <c r="ALF95" s="34"/>
      <c r="ALG95" s="60"/>
      <c r="ALV95" s="34"/>
      <c r="ALW95" s="60"/>
      <c r="AML95" s="34"/>
      <c r="AMM95" s="60"/>
      <c r="ANB95" s="34"/>
      <c r="ANC95" s="60"/>
      <c r="ANR95" s="34"/>
      <c r="ANS95" s="60"/>
      <c r="AOH95" s="34"/>
      <c r="AOI95" s="60"/>
      <c r="AOX95" s="34"/>
      <c r="AOY95" s="60"/>
      <c r="APN95" s="34"/>
      <c r="APO95" s="60"/>
      <c r="AQD95" s="34"/>
      <c r="AQE95" s="60"/>
      <c r="AQT95" s="34"/>
      <c r="AQU95" s="60"/>
      <c r="ARJ95" s="34"/>
      <c r="ARK95" s="60"/>
      <c r="ARZ95" s="34"/>
      <c r="ASA95" s="60"/>
      <c r="ASP95" s="34"/>
      <c r="ASQ95" s="60"/>
      <c r="ATF95" s="34"/>
      <c r="ATG95" s="60"/>
      <c r="ATV95" s="34"/>
      <c r="ATW95" s="60"/>
      <c r="AUL95" s="34"/>
      <c r="AUM95" s="60"/>
      <c r="AVB95" s="34"/>
      <c r="AVC95" s="60"/>
      <c r="AVR95" s="34"/>
      <c r="AVS95" s="60"/>
      <c r="AWH95" s="34"/>
      <c r="AWI95" s="60"/>
      <c r="AWX95" s="34"/>
      <c r="AWY95" s="60"/>
      <c r="AXN95" s="34"/>
      <c r="AXO95" s="60"/>
      <c r="AYD95" s="34"/>
      <c r="AYE95" s="60"/>
      <c r="AYT95" s="34"/>
      <c r="AYU95" s="60"/>
      <c r="AZJ95" s="34"/>
      <c r="AZK95" s="60"/>
      <c r="AZZ95" s="34"/>
      <c r="BAA95" s="60"/>
      <c r="BAP95" s="34"/>
      <c r="BAQ95" s="60"/>
      <c r="BBF95" s="34"/>
      <c r="BBG95" s="60"/>
      <c r="BBV95" s="34"/>
      <c r="BBW95" s="60"/>
      <c r="BCL95" s="34"/>
      <c r="BCM95" s="60"/>
      <c r="BDB95" s="34"/>
      <c r="BDC95" s="60"/>
      <c r="BDR95" s="34"/>
      <c r="BDS95" s="60"/>
      <c r="BEH95" s="34"/>
      <c r="BEI95" s="60"/>
      <c r="BEX95" s="34"/>
      <c r="BEY95" s="60"/>
      <c r="BFN95" s="34"/>
      <c r="BFO95" s="60"/>
      <c r="BGD95" s="34"/>
      <c r="BGE95" s="60"/>
      <c r="BGT95" s="34"/>
      <c r="BGU95" s="60"/>
      <c r="BHJ95" s="34"/>
      <c r="BHK95" s="60"/>
      <c r="BHZ95" s="34"/>
      <c r="BIA95" s="60"/>
      <c r="BIP95" s="34"/>
      <c r="BIQ95" s="60"/>
      <c r="BJF95" s="34"/>
      <c r="BJG95" s="60"/>
      <c r="BJV95" s="34"/>
      <c r="BJW95" s="60"/>
      <c r="BKL95" s="34"/>
      <c r="BKM95" s="60"/>
      <c r="BLB95" s="34"/>
      <c r="BLC95" s="60"/>
      <c r="BLR95" s="34"/>
      <c r="BLS95" s="60"/>
      <c r="BMH95" s="34"/>
      <c r="BMI95" s="60"/>
      <c r="BMX95" s="34"/>
      <c r="BMY95" s="60"/>
      <c r="BNN95" s="34"/>
      <c r="BNO95" s="60"/>
      <c r="BOD95" s="34"/>
      <c r="BOE95" s="60"/>
      <c r="BOT95" s="34"/>
      <c r="BOU95" s="60"/>
      <c r="BPJ95" s="34"/>
      <c r="BPK95" s="60"/>
      <c r="BPZ95" s="34"/>
      <c r="BQA95" s="60"/>
      <c r="BQP95" s="34"/>
      <c r="BQQ95" s="60"/>
      <c r="BRF95" s="34"/>
      <c r="BRG95" s="60"/>
      <c r="BRV95" s="34"/>
      <c r="BRW95" s="60"/>
      <c r="BSL95" s="34"/>
      <c r="BSM95" s="60"/>
      <c r="BTB95" s="34"/>
      <c r="BTC95" s="60"/>
      <c r="BTR95" s="34"/>
      <c r="BTS95" s="60"/>
      <c r="BUH95" s="34"/>
      <c r="BUI95" s="60"/>
      <c r="BUX95" s="34"/>
      <c r="BUY95" s="60"/>
      <c r="BVN95" s="34"/>
      <c r="BVO95" s="60"/>
      <c r="BWD95" s="34"/>
      <c r="BWE95" s="60"/>
      <c r="BWT95" s="34"/>
      <c r="BWU95" s="60"/>
      <c r="BXJ95" s="34"/>
      <c r="BXK95" s="60"/>
      <c r="BXZ95" s="34"/>
      <c r="BYA95" s="60"/>
      <c r="BYP95" s="34"/>
      <c r="BYQ95" s="60"/>
      <c r="BZF95" s="34"/>
      <c r="BZG95" s="60"/>
      <c r="BZV95" s="34"/>
      <c r="BZW95" s="60"/>
      <c r="CAL95" s="34"/>
      <c r="CAM95" s="60"/>
      <c r="CBB95" s="34"/>
      <c r="CBC95" s="60"/>
      <c r="CBR95" s="34"/>
      <c r="CBS95" s="60"/>
      <c r="CCH95" s="34"/>
      <c r="CCI95" s="60"/>
      <c r="CCX95" s="34"/>
      <c r="CCY95" s="60"/>
      <c r="CDN95" s="34"/>
      <c r="CDO95" s="60"/>
      <c r="CED95" s="34"/>
      <c r="CEE95" s="60"/>
      <c r="CET95" s="34"/>
      <c r="CEU95" s="60"/>
      <c r="CFJ95" s="34"/>
      <c r="CFK95" s="60"/>
      <c r="CFZ95" s="34"/>
      <c r="CGA95" s="60"/>
      <c r="CGP95" s="34"/>
      <c r="CGQ95" s="60"/>
      <c r="CHF95" s="34"/>
      <c r="CHG95" s="60"/>
      <c r="CHV95" s="34"/>
      <c r="CHW95" s="60"/>
      <c r="CIL95" s="34"/>
      <c r="CIM95" s="60"/>
      <c r="CJB95" s="34"/>
      <c r="CJC95" s="60"/>
      <c r="CJR95" s="34"/>
      <c r="CJS95" s="60"/>
      <c r="CKH95" s="34"/>
      <c r="CKI95" s="60"/>
      <c r="CKX95" s="34"/>
      <c r="CKY95" s="60"/>
      <c r="CLN95" s="34"/>
      <c r="CLO95" s="60"/>
      <c r="CMD95" s="34"/>
      <c r="CME95" s="60"/>
      <c r="CMT95" s="34"/>
      <c r="CMU95" s="60"/>
      <c r="CNJ95" s="34"/>
      <c r="CNK95" s="60"/>
      <c r="CNZ95" s="34"/>
      <c r="COA95" s="60"/>
      <c r="COP95" s="34"/>
      <c r="COQ95" s="60"/>
      <c r="CPF95" s="34"/>
      <c r="CPG95" s="60"/>
      <c r="CPV95" s="34"/>
      <c r="CPW95" s="60"/>
      <c r="CQL95" s="34"/>
      <c r="CQM95" s="60"/>
      <c r="CRB95" s="34"/>
      <c r="CRC95" s="60"/>
      <c r="CRR95" s="34"/>
      <c r="CRS95" s="60"/>
      <c r="CSH95" s="34"/>
      <c r="CSI95" s="60"/>
      <c r="CSX95" s="34"/>
      <c r="CSY95" s="60"/>
      <c r="CTN95" s="34"/>
      <c r="CTO95" s="60"/>
      <c r="CUD95" s="34"/>
      <c r="CUE95" s="60"/>
      <c r="CUT95" s="34"/>
      <c r="CUU95" s="60"/>
      <c r="CVJ95" s="34"/>
      <c r="CVK95" s="60"/>
      <c r="CVZ95" s="34"/>
      <c r="CWA95" s="60"/>
      <c r="CWP95" s="34"/>
      <c r="CWQ95" s="60"/>
      <c r="CXF95" s="34"/>
      <c r="CXG95" s="60"/>
      <c r="CXV95" s="34"/>
      <c r="CXW95" s="60"/>
      <c r="CYL95" s="34"/>
      <c r="CYM95" s="60"/>
      <c r="CZB95" s="34"/>
      <c r="CZC95" s="60"/>
      <c r="CZR95" s="34"/>
      <c r="CZS95" s="60"/>
      <c r="DAH95" s="34"/>
      <c r="DAI95" s="60"/>
      <c r="DAX95" s="34"/>
      <c r="DAY95" s="60"/>
      <c r="DBN95" s="34"/>
      <c r="DBO95" s="60"/>
      <c r="DCD95" s="34"/>
      <c r="DCE95" s="60"/>
      <c r="DCT95" s="34"/>
      <c r="DCU95" s="60"/>
      <c r="DDJ95" s="34"/>
      <c r="DDK95" s="60"/>
      <c r="DDZ95" s="34"/>
      <c r="DEA95" s="60"/>
      <c r="DEP95" s="34"/>
      <c r="DEQ95" s="60"/>
      <c r="DFF95" s="34"/>
      <c r="DFG95" s="60"/>
      <c r="DFV95" s="34"/>
      <c r="DFW95" s="60"/>
      <c r="DGL95" s="34"/>
      <c r="DGM95" s="60"/>
      <c r="DHB95" s="34"/>
      <c r="DHC95" s="60"/>
      <c r="DHR95" s="34"/>
      <c r="DHS95" s="60"/>
      <c r="DIH95" s="34"/>
      <c r="DII95" s="60"/>
      <c r="DIX95" s="34"/>
      <c r="DIY95" s="60"/>
      <c r="DJN95" s="34"/>
      <c r="DJO95" s="60"/>
      <c r="DKD95" s="34"/>
      <c r="DKE95" s="60"/>
      <c r="DKT95" s="34"/>
      <c r="DKU95" s="60"/>
      <c r="DLJ95" s="34"/>
      <c r="DLK95" s="60"/>
      <c r="DLZ95" s="34"/>
      <c r="DMA95" s="60"/>
      <c r="DMP95" s="34"/>
      <c r="DMQ95" s="60"/>
      <c r="DNF95" s="34"/>
      <c r="DNG95" s="60"/>
      <c r="DNV95" s="34"/>
      <c r="DNW95" s="60"/>
      <c r="DOL95" s="34"/>
      <c r="DOM95" s="60"/>
      <c r="DPB95" s="34"/>
      <c r="DPC95" s="60"/>
      <c r="DPR95" s="34"/>
      <c r="DPS95" s="60"/>
      <c r="DQH95" s="34"/>
      <c r="DQI95" s="60"/>
      <c r="DQX95" s="34"/>
      <c r="DQY95" s="60"/>
      <c r="DRN95" s="34"/>
      <c r="DRO95" s="60"/>
      <c r="DSD95" s="34"/>
      <c r="DSE95" s="60"/>
      <c r="DST95" s="34"/>
      <c r="DSU95" s="60"/>
      <c r="DTJ95" s="34"/>
      <c r="DTK95" s="60"/>
      <c r="DTZ95" s="34"/>
      <c r="DUA95" s="60"/>
      <c r="DUP95" s="34"/>
      <c r="DUQ95" s="60"/>
      <c r="DVF95" s="34"/>
      <c r="DVG95" s="60"/>
      <c r="DVV95" s="34"/>
      <c r="DVW95" s="60"/>
      <c r="DWL95" s="34"/>
      <c r="DWM95" s="60"/>
      <c r="DXB95" s="34"/>
      <c r="DXC95" s="60"/>
      <c r="DXR95" s="34"/>
      <c r="DXS95" s="60"/>
      <c r="DYH95" s="34"/>
      <c r="DYI95" s="60"/>
      <c r="DYX95" s="34"/>
      <c r="DYY95" s="60"/>
      <c r="DZN95" s="34"/>
      <c r="DZO95" s="60"/>
      <c r="EAD95" s="34"/>
      <c r="EAE95" s="60"/>
      <c r="EAT95" s="34"/>
      <c r="EAU95" s="60"/>
      <c r="EBJ95" s="34"/>
      <c r="EBK95" s="60"/>
      <c r="EBZ95" s="34"/>
      <c r="ECA95" s="60"/>
      <c r="ECP95" s="34"/>
      <c r="ECQ95" s="60"/>
      <c r="EDF95" s="34"/>
      <c r="EDG95" s="60"/>
      <c r="EDV95" s="34"/>
      <c r="EDW95" s="60"/>
      <c r="EEL95" s="34"/>
      <c r="EEM95" s="60"/>
      <c r="EFB95" s="34"/>
      <c r="EFC95" s="60"/>
      <c r="EFR95" s="34"/>
      <c r="EFS95" s="60"/>
      <c r="EGH95" s="34"/>
      <c r="EGI95" s="60"/>
      <c r="EGX95" s="34"/>
      <c r="EGY95" s="60"/>
      <c r="EHN95" s="34"/>
      <c r="EHO95" s="60"/>
      <c r="EID95" s="34"/>
      <c r="EIE95" s="60"/>
      <c r="EIT95" s="34"/>
      <c r="EIU95" s="60"/>
      <c r="EJJ95" s="34"/>
      <c r="EJK95" s="60"/>
      <c r="EJZ95" s="34"/>
      <c r="EKA95" s="60"/>
      <c r="EKP95" s="34"/>
      <c r="EKQ95" s="60"/>
      <c r="ELF95" s="34"/>
      <c r="ELG95" s="60"/>
      <c r="ELV95" s="34"/>
      <c r="ELW95" s="60"/>
      <c r="EML95" s="34"/>
      <c r="EMM95" s="60"/>
      <c r="ENB95" s="34"/>
      <c r="ENC95" s="60"/>
      <c r="ENR95" s="34"/>
      <c r="ENS95" s="60"/>
      <c r="EOH95" s="34"/>
      <c r="EOI95" s="60"/>
      <c r="EOX95" s="34"/>
      <c r="EOY95" s="60"/>
      <c r="EPN95" s="34"/>
      <c r="EPO95" s="60"/>
      <c r="EQD95" s="34"/>
      <c r="EQE95" s="60"/>
      <c r="EQT95" s="34"/>
      <c r="EQU95" s="60"/>
      <c r="ERJ95" s="34"/>
      <c r="ERK95" s="60"/>
      <c r="ERZ95" s="34"/>
      <c r="ESA95" s="60"/>
      <c r="ESP95" s="34"/>
      <c r="ESQ95" s="60"/>
      <c r="ETF95" s="34"/>
      <c r="ETG95" s="60"/>
      <c r="ETV95" s="34"/>
      <c r="ETW95" s="60"/>
      <c r="EUL95" s="34"/>
      <c r="EUM95" s="60"/>
      <c r="EVB95" s="34"/>
      <c r="EVC95" s="60"/>
      <c r="EVR95" s="34"/>
      <c r="EVS95" s="60"/>
      <c r="EWH95" s="34"/>
      <c r="EWI95" s="60"/>
      <c r="EWX95" s="34"/>
      <c r="EWY95" s="60"/>
      <c r="EXN95" s="34"/>
      <c r="EXO95" s="60"/>
      <c r="EYD95" s="34"/>
      <c r="EYE95" s="60"/>
      <c r="EYT95" s="34"/>
      <c r="EYU95" s="60"/>
      <c r="EZJ95" s="34"/>
      <c r="EZK95" s="60"/>
      <c r="EZZ95" s="34"/>
      <c r="FAA95" s="60"/>
      <c r="FAP95" s="34"/>
      <c r="FAQ95" s="60"/>
      <c r="FBF95" s="34"/>
      <c r="FBG95" s="60"/>
      <c r="FBV95" s="34"/>
      <c r="FBW95" s="60"/>
      <c r="FCL95" s="34"/>
      <c r="FCM95" s="60"/>
      <c r="FDB95" s="34"/>
      <c r="FDC95" s="60"/>
      <c r="FDR95" s="34"/>
      <c r="FDS95" s="60"/>
      <c r="FEH95" s="34"/>
      <c r="FEI95" s="60"/>
      <c r="FEX95" s="34"/>
      <c r="FEY95" s="60"/>
      <c r="FFN95" s="34"/>
      <c r="FFO95" s="60"/>
      <c r="FGD95" s="34"/>
      <c r="FGE95" s="60"/>
      <c r="FGT95" s="34"/>
      <c r="FGU95" s="60"/>
      <c r="FHJ95" s="34"/>
      <c r="FHK95" s="60"/>
      <c r="FHZ95" s="34"/>
      <c r="FIA95" s="60"/>
      <c r="FIP95" s="34"/>
      <c r="FIQ95" s="60"/>
      <c r="FJF95" s="34"/>
      <c r="FJG95" s="60"/>
      <c r="FJV95" s="34"/>
      <c r="FJW95" s="60"/>
      <c r="FKL95" s="34"/>
      <c r="FKM95" s="60"/>
      <c r="FLB95" s="34"/>
      <c r="FLC95" s="60"/>
      <c r="FLR95" s="34"/>
      <c r="FLS95" s="60"/>
      <c r="FMH95" s="34"/>
      <c r="FMI95" s="60"/>
      <c r="FMX95" s="34"/>
      <c r="FMY95" s="60"/>
      <c r="FNN95" s="34"/>
      <c r="FNO95" s="60"/>
      <c r="FOD95" s="34"/>
      <c r="FOE95" s="60"/>
      <c r="FOT95" s="34"/>
      <c r="FOU95" s="60"/>
      <c r="FPJ95" s="34"/>
      <c r="FPK95" s="60"/>
      <c r="FPZ95" s="34"/>
      <c r="FQA95" s="60"/>
      <c r="FQP95" s="34"/>
      <c r="FQQ95" s="60"/>
      <c r="FRF95" s="34"/>
      <c r="FRG95" s="60"/>
      <c r="FRV95" s="34"/>
      <c r="FRW95" s="60"/>
      <c r="FSL95" s="34"/>
      <c r="FSM95" s="60"/>
      <c r="FTB95" s="34"/>
      <c r="FTC95" s="60"/>
      <c r="FTR95" s="34"/>
      <c r="FTS95" s="60"/>
      <c r="FUH95" s="34"/>
      <c r="FUI95" s="60"/>
      <c r="FUX95" s="34"/>
      <c r="FUY95" s="60"/>
      <c r="FVN95" s="34"/>
      <c r="FVO95" s="60"/>
      <c r="FWD95" s="34"/>
      <c r="FWE95" s="60"/>
      <c r="FWT95" s="34"/>
      <c r="FWU95" s="60"/>
      <c r="FXJ95" s="34"/>
      <c r="FXK95" s="60"/>
      <c r="FXZ95" s="34"/>
      <c r="FYA95" s="60"/>
      <c r="FYP95" s="34"/>
      <c r="FYQ95" s="60"/>
      <c r="FZF95" s="34"/>
      <c r="FZG95" s="60"/>
      <c r="FZV95" s="34"/>
      <c r="FZW95" s="60"/>
      <c r="GAL95" s="34"/>
      <c r="GAM95" s="60"/>
      <c r="GBB95" s="34"/>
      <c r="GBC95" s="60"/>
      <c r="GBR95" s="34"/>
      <c r="GBS95" s="60"/>
      <c r="GCH95" s="34"/>
      <c r="GCI95" s="60"/>
      <c r="GCX95" s="34"/>
      <c r="GCY95" s="60"/>
      <c r="GDN95" s="34"/>
      <c r="GDO95" s="60"/>
      <c r="GED95" s="34"/>
      <c r="GEE95" s="60"/>
      <c r="GET95" s="34"/>
      <c r="GEU95" s="60"/>
      <c r="GFJ95" s="34"/>
      <c r="GFK95" s="60"/>
      <c r="GFZ95" s="34"/>
      <c r="GGA95" s="60"/>
      <c r="GGP95" s="34"/>
      <c r="GGQ95" s="60"/>
      <c r="GHF95" s="34"/>
      <c r="GHG95" s="60"/>
      <c r="GHV95" s="34"/>
      <c r="GHW95" s="60"/>
      <c r="GIL95" s="34"/>
      <c r="GIM95" s="60"/>
      <c r="GJB95" s="34"/>
      <c r="GJC95" s="60"/>
      <c r="GJR95" s="34"/>
      <c r="GJS95" s="60"/>
      <c r="GKH95" s="34"/>
      <c r="GKI95" s="60"/>
      <c r="GKX95" s="34"/>
      <c r="GKY95" s="60"/>
      <c r="GLN95" s="34"/>
      <c r="GLO95" s="60"/>
      <c r="GMD95" s="34"/>
      <c r="GME95" s="60"/>
      <c r="GMT95" s="34"/>
      <c r="GMU95" s="60"/>
      <c r="GNJ95" s="34"/>
      <c r="GNK95" s="60"/>
      <c r="GNZ95" s="34"/>
      <c r="GOA95" s="60"/>
      <c r="GOP95" s="34"/>
      <c r="GOQ95" s="60"/>
      <c r="GPF95" s="34"/>
      <c r="GPG95" s="60"/>
      <c r="GPV95" s="34"/>
      <c r="GPW95" s="60"/>
      <c r="GQL95" s="34"/>
      <c r="GQM95" s="60"/>
      <c r="GRB95" s="34"/>
      <c r="GRC95" s="60"/>
      <c r="GRR95" s="34"/>
      <c r="GRS95" s="60"/>
      <c r="GSH95" s="34"/>
      <c r="GSI95" s="60"/>
      <c r="GSX95" s="34"/>
      <c r="GSY95" s="60"/>
      <c r="GTN95" s="34"/>
      <c r="GTO95" s="60"/>
      <c r="GUD95" s="34"/>
      <c r="GUE95" s="60"/>
      <c r="GUT95" s="34"/>
      <c r="GUU95" s="60"/>
      <c r="GVJ95" s="34"/>
      <c r="GVK95" s="60"/>
      <c r="GVZ95" s="34"/>
      <c r="GWA95" s="60"/>
      <c r="GWP95" s="34"/>
      <c r="GWQ95" s="60"/>
      <c r="GXF95" s="34"/>
      <c r="GXG95" s="60"/>
      <c r="GXV95" s="34"/>
      <c r="GXW95" s="60"/>
      <c r="GYL95" s="34"/>
      <c r="GYM95" s="60"/>
      <c r="GZB95" s="34"/>
      <c r="GZC95" s="60"/>
      <c r="GZR95" s="34"/>
      <c r="GZS95" s="60"/>
      <c r="HAH95" s="34"/>
      <c r="HAI95" s="60"/>
      <c r="HAX95" s="34"/>
      <c r="HAY95" s="60"/>
      <c r="HBN95" s="34"/>
      <c r="HBO95" s="60"/>
      <c r="HCD95" s="34"/>
      <c r="HCE95" s="60"/>
      <c r="HCT95" s="34"/>
      <c r="HCU95" s="60"/>
      <c r="HDJ95" s="34"/>
      <c r="HDK95" s="60"/>
      <c r="HDZ95" s="34"/>
      <c r="HEA95" s="60"/>
      <c r="HEP95" s="34"/>
      <c r="HEQ95" s="60"/>
      <c r="HFF95" s="34"/>
      <c r="HFG95" s="60"/>
      <c r="HFV95" s="34"/>
      <c r="HFW95" s="60"/>
      <c r="HGL95" s="34"/>
      <c r="HGM95" s="60"/>
      <c r="HHB95" s="34"/>
      <c r="HHC95" s="60"/>
      <c r="HHR95" s="34"/>
      <c r="HHS95" s="60"/>
      <c r="HIH95" s="34"/>
      <c r="HII95" s="60"/>
      <c r="HIX95" s="34"/>
      <c r="HIY95" s="60"/>
      <c r="HJN95" s="34"/>
      <c r="HJO95" s="60"/>
      <c r="HKD95" s="34"/>
      <c r="HKE95" s="60"/>
      <c r="HKT95" s="34"/>
      <c r="HKU95" s="60"/>
      <c r="HLJ95" s="34"/>
      <c r="HLK95" s="60"/>
      <c r="HLZ95" s="34"/>
      <c r="HMA95" s="60"/>
      <c r="HMP95" s="34"/>
      <c r="HMQ95" s="60"/>
      <c r="HNF95" s="34"/>
      <c r="HNG95" s="60"/>
      <c r="HNV95" s="34"/>
      <c r="HNW95" s="60"/>
      <c r="HOL95" s="34"/>
      <c r="HOM95" s="60"/>
      <c r="HPB95" s="34"/>
      <c r="HPC95" s="60"/>
      <c r="HPR95" s="34"/>
      <c r="HPS95" s="60"/>
      <c r="HQH95" s="34"/>
      <c r="HQI95" s="60"/>
      <c r="HQX95" s="34"/>
      <c r="HQY95" s="60"/>
      <c r="HRN95" s="34"/>
      <c r="HRO95" s="60"/>
      <c r="HSD95" s="34"/>
      <c r="HSE95" s="60"/>
      <c r="HST95" s="34"/>
      <c r="HSU95" s="60"/>
      <c r="HTJ95" s="34"/>
      <c r="HTK95" s="60"/>
      <c r="HTZ95" s="34"/>
      <c r="HUA95" s="60"/>
      <c r="HUP95" s="34"/>
      <c r="HUQ95" s="60"/>
      <c r="HVF95" s="34"/>
      <c r="HVG95" s="60"/>
      <c r="HVV95" s="34"/>
      <c r="HVW95" s="60"/>
      <c r="HWL95" s="34"/>
      <c r="HWM95" s="60"/>
      <c r="HXB95" s="34"/>
      <c r="HXC95" s="60"/>
      <c r="HXR95" s="34"/>
      <c r="HXS95" s="60"/>
      <c r="HYH95" s="34"/>
      <c r="HYI95" s="60"/>
      <c r="HYX95" s="34"/>
      <c r="HYY95" s="60"/>
      <c r="HZN95" s="34"/>
      <c r="HZO95" s="60"/>
      <c r="IAD95" s="34"/>
      <c r="IAE95" s="60"/>
      <c r="IAT95" s="34"/>
      <c r="IAU95" s="60"/>
      <c r="IBJ95" s="34"/>
      <c r="IBK95" s="60"/>
      <c r="IBZ95" s="34"/>
      <c r="ICA95" s="60"/>
      <c r="ICP95" s="34"/>
      <c r="ICQ95" s="60"/>
      <c r="IDF95" s="34"/>
      <c r="IDG95" s="60"/>
      <c r="IDV95" s="34"/>
      <c r="IDW95" s="60"/>
      <c r="IEL95" s="34"/>
      <c r="IEM95" s="60"/>
      <c r="IFB95" s="34"/>
      <c r="IFC95" s="60"/>
      <c r="IFR95" s="34"/>
      <c r="IFS95" s="60"/>
      <c r="IGH95" s="34"/>
      <c r="IGI95" s="60"/>
      <c r="IGX95" s="34"/>
      <c r="IGY95" s="60"/>
      <c r="IHN95" s="34"/>
      <c r="IHO95" s="60"/>
      <c r="IID95" s="34"/>
      <c r="IIE95" s="60"/>
      <c r="IIT95" s="34"/>
      <c r="IIU95" s="60"/>
      <c r="IJJ95" s="34"/>
      <c r="IJK95" s="60"/>
      <c r="IJZ95" s="34"/>
      <c r="IKA95" s="60"/>
      <c r="IKP95" s="34"/>
      <c r="IKQ95" s="60"/>
      <c r="ILF95" s="34"/>
      <c r="ILG95" s="60"/>
      <c r="ILV95" s="34"/>
      <c r="ILW95" s="60"/>
      <c r="IML95" s="34"/>
      <c r="IMM95" s="60"/>
      <c r="INB95" s="34"/>
      <c r="INC95" s="60"/>
      <c r="INR95" s="34"/>
      <c r="INS95" s="60"/>
      <c r="IOH95" s="34"/>
      <c r="IOI95" s="60"/>
      <c r="IOX95" s="34"/>
      <c r="IOY95" s="60"/>
      <c r="IPN95" s="34"/>
      <c r="IPO95" s="60"/>
      <c r="IQD95" s="34"/>
      <c r="IQE95" s="60"/>
      <c r="IQT95" s="34"/>
      <c r="IQU95" s="60"/>
      <c r="IRJ95" s="34"/>
      <c r="IRK95" s="60"/>
      <c r="IRZ95" s="34"/>
      <c r="ISA95" s="60"/>
      <c r="ISP95" s="34"/>
      <c r="ISQ95" s="60"/>
      <c r="ITF95" s="34"/>
      <c r="ITG95" s="60"/>
      <c r="ITV95" s="34"/>
      <c r="ITW95" s="60"/>
      <c r="IUL95" s="34"/>
      <c r="IUM95" s="60"/>
      <c r="IVB95" s="34"/>
      <c r="IVC95" s="60"/>
      <c r="IVR95" s="34"/>
      <c r="IVS95" s="60"/>
      <c r="IWH95" s="34"/>
      <c r="IWI95" s="60"/>
      <c r="IWX95" s="34"/>
      <c r="IWY95" s="60"/>
      <c r="IXN95" s="34"/>
      <c r="IXO95" s="60"/>
      <c r="IYD95" s="34"/>
      <c r="IYE95" s="60"/>
      <c r="IYT95" s="34"/>
      <c r="IYU95" s="60"/>
      <c r="IZJ95" s="34"/>
      <c r="IZK95" s="60"/>
      <c r="IZZ95" s="34"/>
      <c r="JAA95" s="60"/>
      <c r="JAP95" s="34"/>
      <c r="JAQ95" s="60"/>
      <c r="JBF95" s="34"/>
      <c r="JBG95" s="60"/>
      <c r="JBV95" s="34"/>
      <c r="JBW95" s="60"/>
      <c r="JCL95" s="34"/>
      <c r="JCM95" s="60"/>
      <c r="JDB95" s="34"/>
      <c r="JDC95" s="60"/>
      <c r="JDR95" s="34"/>
      <c r="JDS95" s="60"/>
      <c r="JEH95" s="34"/>
      <c r="JEI95" s="60"/>
      <c r="JEX95" s="34"/>
      <c r="JEY95" s="60"/>
      <c r="JFN95" s="34"/>
      <c r="JFO95" s="60"/>
      <c r="JGD95" s="34"/>
      <c r="JGE95" s="60"/>
      <c r="JGT95" s="34"/>
      <c r="JGU95" s="60"/>
      <c r="JHJ95" s="34"/>
      <c r="JHK95" s="60"/>
      <c r="JHZ95" s="34"/>
      <c r="JIA95" s="60"/>
      <c r="JIP95" s="34"/>
      <c r="JIQ95" s="60"/>
      <c r="JJF95" s="34"/>
      <c r="JJG95" s="60"/>
      <c r="JJV95" s="34"/>
      <c r="JJW95" s="60"/>
      <c r="JKL95" s="34"/>
      <c r="JKM95" s="60"/>
      <c r="JLB95" s="34"/>
      <c r="JLC95" s="60"/>
      <c r="JLR95" s="34"/>
      <c r="JLS95" s="60"/>
      <c r="JMH95" s="34"/>
      <c r="JMI95" s="60"/>
      <c r="JMX95" s="34"/>
      <c r="JMY95" s="60"/>
      <c r="JNN95" s="34"/>
      <c r="JNO95" s="60"/>
      <c r="JOD95" s="34"/>
      <c r="JOE95" s="60"/>
      <c r="JOT95" s="34"/>
      <c r="JOU95" s="60"/>
      <c r="JPJ95" s="34"/>
      <c r="JPK95" s="60"/>
      <c r="JPZ95" s="34"/>
      <c r="JQA95" s="60"/>
      <c r="JQP95" s="34"/>
      <c r="JQQ95" s="60"/>
      <c r="JRF95" s="34"/>
      <c r="JRG95" s="60"/>
      <c r="JRV95" s="34"/>
      <c r="JRW95" s="60"/>
      <c r="JSL95" s="34"/>
      <c r="JSM95" s="60"/>
      <c r="JTB95" s="34"/>
      <c r="JTC95" s="60"/>
      <c r="JTR95" s="34"/>
      <c r="JTS95" s="60"/>
      <c r="JUH95" s="34"/>
      <c r="JUI95" s="60"/>
      <c r="JUX95" s="34"/>
      <c r="JUY95" s="60"/>
      <c r="JVN95" s="34"/>
      <c r="JVO95" s="60"/>
      <c r="JWD95" s="34"/>
      <c r="JWE95" s="60"/>
      <c r="JWT95" s="34"/>
      <c r="JWU95" s="60"/>
      <c r="JXJ95" s="34"/>
      <c r="JXK95" s="60"/>
      <c r="JXZ95" s="34"/>
      <c r="JYA95" s="60"/>
      <c r="JYP95" s="34"/>
      <c r="JYQ95" s="60"/>
      <c r="JZF95" s="34"/>
      <c r="JZG95" s="60"/>
      <c r="JZV95" s="34"/>
      <c r="JZW95" s="60"/>
      <c r="KAL95" s="34"/>
      <c r="KAM95" s="60"/>
      <c r="KBB95" s="34"/>
      <c r="KBC95" s="60"/>
      <c r="KBR95" s="34"/>
      <c r="KBS95" s="60"/>
      <c r="KCH95" s="34"/>
      <c r="KCI95" s="60"/>
      <c r="KCX95" s="34"/>
      <c r="KCY95" s="60"/>
      <c r="KDN95" s="34"/>
      <c r="KDO95" s="60"/>
      <c r="KED95" s="34"/>
      <c r="KEE95" s="60"/>
      <c r="KET95" s="34"/>
      <c r="KEU95" s="60"/>
      <c r="KFJ95" s="34"/>
      <c r="KFK95" s="60"/>
      <c r="KFZ95" s="34"/>
      <c r="KGA95" s="60"/>
      <c r="KGP95" s="34"/>
      <c r="KGQ95" s="60"/>
      <c r="KHF95" s="34"/>
      <c r="KHG95" s="60"/>
      <c r="KHV95" s="34"/>
      <c r="KHW95" s="60"/>
      <c r="KIL95" s="34"/>
      <c r="KIM95" s="60"/>
      <c r="KJB95" s="34"/>
      <c r="KJC95" s="60"/>
      <c r="KJR95" s="34"/>
      <c r="KJS95" s="60"/>
      <c r="KKH95" s="34"/>
      <c r="KKI95" s="60"/>
      <c r="KKX95" s="34"/>
      <c r="KKY95" s="60"/>
      <c r="KLN95" s="34"/>
      <c r="KLO95" s="60"/>
      <c r="KMD95" s="34"/>
      <c r="KME95" s="60"/>
      <c r="KMT95" s="34"/>
      <c r="KMU95" s="60"/>
      <c r="KNJ95" s="34"/>
      <c r="KNK95" s="60"/>
      <c r="KNZ95" s="34"/>
      <c r="KOA95" s="60"/>
      <c r="KOP95" s="34"/>
      <c r="KOQ95" s="60"/>
      <c r="KPF95" s="34"/>
      <c r="KPG95" s="60"/>
      <c r="KPV95" s="34"/>
      <c r="KPW95" s="60"/>
      <c r="KQL95" s="34"/>
      <c r="KQM95" s="60"/>
      <c r="KRB95" s="34"/>
      <c r="KRC95" s="60"/>
      <c r="KRR95" s="34"/>
      <c r="KRS95" s="60"/>
      <c r="KSH95" s="34"/>
      <c r="KSI95" s="60"/>
      <c r="KSX95" s="34"/>
      <c r="KSY95" s="60"/>
      <c r="KTN95" s="34"/>
      <c r="KTO95" s="60"/>
      <c r="KUD95" s="34"/>
      <c r="KUE95" s="60"/>
      <c r="KUT95" s="34"/>
      <c r="KUU95" s="60"/>
      <c r="KVJ95" s="34"/>
      <c r="KVK95" s="60"/>
      <c r="KVZ95" s="34"/>
      <c r="KWA95" s="60"/>
      <c r="KWP95" s="34"/>
      <c r="KWQ95" s="60"/>
      <c r="KXF95" s="34"/>
      <c r="KXG95" s="60"/>
      <c r="KXV95" s="34"/>
      <c r="KXW95" s="60"/>
      <c r="KYL95" s="34"/>
      <c r="KYM95" s="60"/>
      <c r="KZB95" s="34"/>
      <c r="KZC95" s="60"/>
      <c r="KZR95" s="34"/>
      <c r="KZS95" s="60"/>
      <c r="LAH95" s="34"/>
      <c r="LAI95" s="60"/>
      <c r="LAX95" s="34"/>
      <c r="LAY95" s="60"/>
      <c r="LBN95" s="34"/>
      <c r="LBO95" s="60"/>
      <c r="LCD95" s="34"/>
      <c r="LCE95" s="60"/>
      <c r="LCT95" s="34"/>
      <c r="LCU95" s="60"/>
      <c r="LDJ95" s="34"/>
      <c r="LDK95" s="60"/>
      <c r="LDZ95" s="34"/>
      <c r="LEA95" s="60"/>
      <c r="LEP95" s="34"/>
      <c r="LEQ95" s="60"/>
      <c r="LFF95" s="34"/>
      <c r="LFG95" s="60"/>
      <c r="LFV95" s="34"/>
      <c r="LFW95" s="60"/>
      <c r="LGL95" s="34"/>
      <c r="LGM95" s="60"/>
      <c r="LHB95" s="34"/>
      <c r="LHC95" s="60"/>
      <c r="LHR95" s="34"/>
      <c r="LHS95" s="60"/>
      <c r="LIH95" s="34"/>
      <c r="LII95" s="60"/>
      <c r="LIX95" s="34"/>
      <c r="LIY95" s="60"/>
      <c r="LJN95" s="34"/>
      <c r="LJO95" s="60"/>
      <c r="LKD95" s="34"/>
      <c r="LKE95" s="60"/>
      <c r="LKT95" s="34"/>
      <c r="LKU95" s="60"/>
      <c r="LLJ95" s="34"/>
      <c r="LLK95" s="60"/>
      <c r="LLZ95" s="34"/>
      <c r="LMA95" s="60"/>
      <c r="LMP95" s="34"/>
      <c r="LMQ95" s="60"/>
      <c r="LNF95" s="34"/>
      <c r="LNG95" s="60"/>
      <c r="LNV95" s="34"/>
      <c r="LNW95" s="60"/>
      <c r="LOL95" s="34"/>
      <c r="LOM95" s="60"/>
      <c r="LPB95" s="34"/>
      <c r="LPC95" s="60"/>
      <c r="LPR95" s="34"/>
      <c r="LPS95" s="60"/>
      <c r="LQH95" s="34"/>
      <c r="LQI95" s="60"/>
      <c r="LQX95" s="34"/>
      <c r="LQY95" s="60"/>
      <c r="LRN95" s="34"/>
      <c r="LRO95" s="60"/>
      <c r="LSD95" s="34"/>
      <c r="LSE95" s="60"/>
      <c r="LST95" s="34"/>
      <c r="LSU95" s="60"/>
      <c r="LTJ95" s="34"/>
      <c r="LTK95" s="60"/>
      <c r="LTZ95" s="34"/>
      <c r="LUA95" s="60"/>
      <c r="LUP95" s="34"/>
      <c r="LUQ95" s="60"/>
      <c r="LVF95" s="34"/>
      <c r="LVG95" s="60"/>
      <c r="LVV95" s="34"/>
      <c r="LVW95" s="60"/>
      <c r="LWL95" s="34"/>
      <c r="LWM95" s="60"/>
      <c r="LXB95" s="34"/>
      <c r="LXC95" s="60"/>
      <c r="LXR95" s="34"/>
      <c r="LXS95" s="60"/>
      <c r="LYH95" s="34"/>
      <c r="LYI95" s="60"/>
      <c r="LYX95" s="34"/>
      <c r="LYY95" s="60"/>
      <c r="LZN95" s="34"/>
      <c r="LZO95" s="60"/>
      <c r="MAD95" s="34"/>
      <c r="MAE95" s="60"/>
      <c r="MAT95" s="34"/>
      <c r="MAU95" s="60"/>
      <c r="MBJ95" s="34"/>
      <c r="MBK95" s="60"/>
      <c r="MBZ95" s="34"/>
      <c r="MCA95" s="60"/>
      <c r="MCP95" s="34"/>
      <c r="MCQ95" s="60"/>
      <c r="MDF95" s="34"/>
      <c r="MDG95" s="60"/>
      <c r="MDV95" s="34"/>
      <c r="MDW95" s="60"/>
      <c r="MEL95" s="34"/>
      <c r="MEM95" s="60"/>
      <c r="MFB95" s="34"/>
      <c r="MFC95" s="60"/>
      <c r="MFR95" s="34"/>
      <c r="MFS95" s="60"/>
      <c r="MGH95" s="34"/>
      <c r="MGI95" s="60"/>
      <c r="MGX95" s="34"/>
      <c r="MGY95" s="60"/>
      <c r="MHN95" s="34"/>
      <c r="MHO95" s="60"/>
      <c r="MID95" s="34"/>
      <c r="MIE95" s="60"/>
      <c r="MIT95" s="34"/>
      <c r="MIU95" s="60"/>
      <c r="MJJ95" s="34"/>
      <c r="MJK95" s="60"/>
      <c r="MJZ95" s="34"/>
      <c r="MKA95" s="60"/>
      <c r="MKP95" s="34"/>
      <c r="MKQ95" s="60"/>
      <c r="MLF95" s="34"/>
      <c r="MLG95" s="60"/>
      <c r="MLV95" s="34"/>
      <c r="MLW95" s="60"/>
      <c r="MML95" s="34"/>
      <c r="MMM95" s="60"/>
      <c r="MNB95" s="34"/>
      <c r="MNC95" s="60"/>
      <c r="MNR95" s="34"/>
      <c r="MNS95" s="60"/>
      <c r="MOH95" s="34"/>
      <c r="MOI95" s="60"/>
      <c r="MOX95" s="34"/>
      <c r="MOY95" s="60"/>
      <c r="MPN95" s="34"/>
      <c r="MPO95" s="60"/>
      <c r="MQD95" s="34"/>
      <c r="MQE95" s="60"/>
      <c r="MQT95" s="34"/>
      <c r="MQU95" s="60"/>
      <c r="MRJ95" s="34"/>
      <c r="MRK95" s="60"/>
      <c r="MRZ95" s="34"/>
      <c r="MSA95" s="60"/>
      <c r="MSP95" s="34"/>
      <c r="MSQ95" s="60"/>
      <c r="MTF95" s="34"/>
      <c r="MTG95" s="60"/>
      <c r="MTV95" s="34"/>
      <c r="MTW95" s="60"/>
      <c r="MUL95" s="34"/>
      <c r="MUM95" s="60"/>
      <c r="MVB95" s="34"/>
      <c r="MVC95" s="60"/>
      <c r="MVR95" s="34"/>
      <c r="MVS95" s="60"/>
      <c r="MWH95" s="34"/>
      <c r="MWI95" s="60"/>
      <c r="MWX95" s="34"/>
      <c r="MWY95" s="60"/>
      <c r="MXN95" s="34"/>
      <c r="MXO95" s="60"/>
      <c r="MYD95" s="34"/>
      <c r="MYE95" s="60"/>
      <c r="MYT95" s="34"/>
      <c r="MYU95" s="60"/>
      <c r="MZJ95" s="34"/>
      <c r="MZK95" s="60"/>
      <c r="MZZ95" s="34"/>
      <c r="NAA95" s="60"/>
      <c r="NAP95" s="34"/>
      <c r="NAQ95" s="60"/>
      <c r="NBF95" s="34"/>
      <c r="NBG95" s="60"/>
      <c r="NBV95" s="34"/>
      <c r="NBW95" s="60"/>
      <c r="NCL95" s="34"/>
      <c r="NCM95" s="60"/>
      <c r="NDB95" s="34"/>
      <c r="NDC95" s="60"/>
      <c r="NDR95" s="34"/>
      <c r="NDS95" s="60"/>
      <c r="NEH95" s="34"/>
      <c r="NEI95" s="60"/>
      <c r="NEX95" s="34"/>
      <c r="NEY95" s="60"/>
      <c r="NFN95" s="34"/>
      <c r="NFO95" s="60"/>
      <c r="NGD95" s="34"/>
      <c r="NGE95" s="60"/>
      <c r="NGT95" s="34"/>
      <c r="NGU95" s="60"/>
      <c r="NHJ95" s="34"/>
      <c r="NHK95" s="60"/>
      <c r="NHZ95" s="34"/>
      <c r="NIA95" s="60"/>
      <c r="NIP95" s="34"/>
      <c r="NIQ95" s="60"/>
      <c r="NJF95" s="34"/>
      <c r="NJG95" s="60"/>
      <c r="NJV95" s="34"/>
      <c r="NJW95" s="60"/>
      <c r="NKL95" s="34"/>
      <c r="NKM95" s="60"/>
      <c r="NLB95" s="34"/>
      <c r="NLC95" s="60"/>
      <c r="NLR95" s="34"/>
      <c r="NLS95" s="60"/>
      <c r="NMH95" s="34"/>
      <c r="NMI95" s="60"/>
      <c r="NMX95" s="34"/>
      <c r="NMY95" s="60"/>
      <c r="NNN95" s="34"/>
      <c r="NNO95" s="60"/>
      <c r="NOD95" s="34"/>
      <c r="NOE95" s="60"/>
      <c r="NOT95" s="34"/>
      <c r="NOU95" s="60"/>
      <c r="NPJ95" s="34"/>
      <c r="NPK95" s="60"/>
      <c r="NPZ95" s="34"/>
      <c r="NQA95" s="60"/>
      <c r="NQP95" s="34"/>
      <c r="NQQ95" s="60"/>
      <c r="NRF95" s="34"/>
      <c r="NRG95" s="60"/>
      <c r="NRV95" s="34"/>
      <c r="NRW95" s="60"/>
      <c r="NSL95" s="34"/>
      <c r="NSM95" s="60"/>
      <c r="NTB95" s="34"/>
      <c r="NTC95" s="60"/>
      <c r="NTR95" s="34"/>
      <c r="NTS95" s="60"/>
      <c r="NUH95" s="34"/>
      <c r="NUI95" s="60"/>
      <c r="NUX95" s="34"/>
      <c r="NUY95" s="60"/>
      <c r="NVN95" s="34"/>
      <c r="NVO95" s="60"/>
      <c r="NWD95" s="34"/>
      <c r="NWE95" s="60"/>
      <c r="NWT95" s="34"/>
      <c r="NWU95" s="60"/>
      <c r="NXJ95" s="34"/>
      <c r="NXK95" s="60"/>
      <c r="NXZ95" s="34"/>
      <c r="NYA95" s="60"/>
      <c r="NYP95" s="34"/>
      <c r="NYQ95" s="60"/>
      <c r="NZF95" s="34"/>
      <c r="NZG95" s="60"/>
      <c r="NZV95" s="34"/>
      <c r="NZW95" s="60"/>
      <c r="OAL95" s="34"/>
      <c r="OAM95" s="60"/>
      <c r="OBB95" s="34"/>
      <c r="OBC95" s="60"/>
      <c r="OBR95" s="34"/>
      <c r="OBS95" s="60"/>
      <c r="OCH95" s="34"/>
      <c r="OCI95" s="60"/>
      <c r="OCX95" s="34"/>
      <c r="OCY95" s="60"/>
      <c r="ODN95" s="34"/>
      <c r="ODO95" s="60"/>
      <c r="OED95" s="34"/>
      <c r="OEE95" s="60"/>
      <c r="OET95" s="34"/>
      <c r="OEU95" s="60"/>
      <c r="OFJ95" s="34"/>
      <c r="OFK95" s="60"/>
      <c r="OFZ95" s="34"/>
      <c r="OGA95" s="60"/>
      <c r="OGP95" s="34"/>
      <c r="OGQ95" s="60"/>
      <c r="OHF95" s="34"/>
      <c r="OHG95" s="60"/>
      <c r="OHV95" s="34"/>
      <c r="OHW95" s="60"/>
      <c r="OIL95" s="34"/>
      <c r="OIM95" s="60"/>
      <c r="OJB95" s="34"/>
      <c r="OJC95" s="60"/>
      <c r="OJR95" s="34"/>
      <c r="OJS95" s="60"/>
      <c r="OKH95" s="34"/>
      <c r="OKI95" s="60"/>
      <c r="OKX95" s="34"/>
      <c r="OKY95" s="60"/>
      <c r="OLN95" s="34"/>
      <c r="OLO95" s="60"/>
      <c r="OMD95" s="34"/>
      <c r="OME95" s="60"/>
      <c r="OMT95" s="34"/>
      <c r="OMU95" s="60"/>
      <c r="ONJ95" s="34"/>
      <c r="ONK95" s="60"/>
      <c r="ONZ95" s="34"/>
      <c r="OOA95" s="60"/>
      <c r="OOP95" s="34"/>
      <c r="OOQ95" s="60"/>
      <c r="OPF95" s="34"/>
      <c r="OPG95" s="60"/>
      <c r="OPV95" s="34"/>
      <c r="OPW95" s="60"/>
      <c r="OQL95" s="34"/>
      <c r="OQM95" s="60"/>
      <c r="ORB95" s="34"/>
      <c r="ORC95" s="60"/>
      <c r="ORR95" s="34"/>
      <c r="ORS95" s="60"/>
      <c r="OSH95" s="34"/>
      <c r="OSI95" s="60"/>
      <c r="OSX95" s="34"/>
      <c r="OSY95" s="60"/>
      <c r="OTN95" s="34"/>
      <c r="OTO95" s="60"/>
      <c r="OUD95" s="34"/>
      <c r="OUE95" s="60"/>
      <c r="OUT95" s="34"/>
      <c r="OUU95" s="60"/>
      <c r="OVJ95" s="34"/>
      <c r="OVK95" s="60"/>
      <c r="OVZ95" s="34"/>
      <c r="OWA95" s="60"/>
      <c r="OWP95" s="34"/>
      <c r="OWQ95" s="60"/>
      <c r="OXF95" s="34"/>
      <c r="OXG95" s="60"/>
      <c r="OXV95" s="34"/>
      <c r="OXW95" s="60"/>
      <c r="OYL95" s="34"/>
      <c r="OYM95" s="60"/>
      <c r="OZB95" s="34"/>
      <c r="OZC95" s="60"/>
      <c r="OZR95" s="34"/>
      <c r="OZS95" s="60"/>
      <c r="PAH95" s="34"/>
      <c r="PAI95" s="60"/>
      <c r="PAX95" s="34"/>
      <c r="PAY95" s="60"/>
      <c r="PBN95" s="34"/>
      <c r="PBO95" s="60"/>
      <c r="PCD95" s="34"/>
      <c r="PCE95" s="60"/>
      <c r="PCT95" s="34"/>
      <c r="PCU95" s="60"/>
      <c r="PDJ95" s="34"/>
      <c r="PDK95" s="60"/>
      <c r="PDZ95" s="34"/>
      <c r="PEA95" s="60"/>
      <c r="PEP95" s="34"/>
      <c r="PEQ95" s="60"/>
      <c r="PFF95" s="34"/>
      <c r="PFG95" s="60"/>
      <c r="PFV95" s="34"/>
      <c r="PFW95" s="60"/>
      <c r="PGL95" s="34"/>
      <c r="PGM95" s="60"/>
      <c r="PHB95" s="34"/>
      <c r="PHC95" s="60"/>
      <c r="PHR95" s="34"/>
      <c r="PHS95" s="60"/>
      <c r="PIH95" s="34"/>
      <c r="PII95" s="60"/>
      <c r="PIX95" s="34"/>
      <c r="PIY95" s="60"/>
      <c r="PJN95" s="34"/>
      <c r="PJO95" s="60"/>
      <c r="PKD95" s="34"/>
      <c r="PKE95" s="60"/>
      <c r="PKT95" s="34"/>
      <c r="PKU95" s="60"/>
      <c r="PLJ95" s="34"/>
      <c r="PLK95" s="60"/>
      <c r="PLZ95" s="34"/>
      <c r="PMA95" s="60"/>
      <c r="PMP95" s="34"/>
      <c r="PMQ95" s="60"/>
      <c r="PNF95" s="34"/>
      <c r="PNG95" s="60"/>
      <c r="PNV95" s="34"/>
      <c r="PNW95" s="60"/>
      <c r="POL95" s="34"/>
      <c r="POM95" s="60"/>
      <c r="PPB95" s="34"/>
      <c r="PPC95" s="60"/>
      <c r="PPR95" s="34"/>
      <c r="PPS95" s="60"/>
      <c r="PQH95" s="34"/>
      <c r="PQI95" s="60"/>
      <c r="PQX95" s="34"/>
      <c r="PQY95" s="60"/>
      <c r="PRN95" s="34"/>
      <c r="PRO95" s="60"/>
      <c r="PSD95" s="34"/>
      <c r="PSE95" s="60"/>
      <c r="PST95" s="34"/>
      <c r="PSU95" s="60"/>
      <c r="PTJ95" s="34"/>
      <c r="PTK95" s="60"/>
      <c r="PTZ95" s="34"/>
      <c r="PUA95" s="60"/>
      <c r="PUP95" s="34"/>
      <c r="PUQ95" s="60"/>
      <c r="PVF95" s="34"/>
      <c r="PVG95" s="60"/>
      <c r="PVV95" s="34"/>
      <c r="PVW95" s="60"/>
      <c r="PWL95" s="34"/>
      <c r="PWM95" s="60"/>
      <c r="PXB95" s="34"/>
      <c r="PXC95" s="60"/>
      <c r="PXR95" s="34"/>
      <c r="PXS95" s="60"/>
      <c r="PYH95" s="34"/>
      <c r="PYI95" s="60"/>
      <c r="PYX95" s="34"/>
      <c r="PYY95" s="60"/>
      <c r="PZN95" s="34"/>
      <c r="PZO95" s="60"/>
      <c r="QAD95" s="34"/>
      <c r="QAE95" s="60"/>
      <c r="QAT95" s="34"/>
      <c r="QAU95" s="60"/>
      <c r="QBJ95" s="34"/>
      <c r="QBK95" s="60"/>
      <c r="QBZ95" s="34"/>
      <c r="QCA95" s="60"/>
      <c r="QCP95" s="34"/>
      <c r="QCQ95" s="60"/>
      <c r="QDF95" s="34"/>
      <c r="QDG95" s="60"/>
      <c r="QDV95" s="34"/>
      <c r="QDW95" s="60"/>
      <c r="QEL95" s="34"/>
      <c r="QEM95" s="60"/>
      <c r="QFB95" s="34"/>
      <c r="QFC95" s="60"/>
      <c r="QFR95" s="34"/>
      <c r="QFS95" s="60"/>
      <c r="QGH95" s="34"/>
      <c r="QGI95" s="60"/>
      <c r="QGX95" s="34"/>
      <c r="QGY95" s="60"/>
      <c r="QHN95" s="34"/>
      <c r="QHO95" s="60"/>
      <c r="QID95" s="34"/>
      <c r="QIE95" s="60"/>
      <c r="QIT95" s="34"/>
      <c r="QIU95" s="60"/>
      <c r="QJJ95" s="34"/>
      <c r="QJK95" s="60"/>
      <c r="QJZ95" s="34"/>
      <c r="QKA95" s="60"/>
      <c r="QKP95" s="34"/>
      <c r="QKQ95" s="60"/>
      <c r="QLF95" s="34"/>
      <c r="QLG95" s="60"/>
      <c r="QLV95" s="34"/>
      <c r="QLW95" s="60"/>
      <c r="QML95" s="34"/>
      <c r="QMM95" s="60"/>
      <c r="QNB95" s="34"/>
      <c r="QNC95" s="60"/>
      <c r="QNR95" s="34"/>
      <c r="QNS95" s="60"/>
      <c r="QOH95" s="34"/>
      <c r="QOI95" s="60"/>
      <c r="QOX95" s="34"/>
      <c r="QOY95" s="60"/>
      <c r="QPN95" s="34"/>
      <c r="QPO95" s="60"/>
      <c r="QQD95" s="34"/>
      <c r="QQE95" s="60"/>
      <c r="QQT95" s="34"/>
      <c r="QQU95" s="60"/>
      <c r="QRJ95" s="34"/>
      <c r="QRK95" s="60"/>
      <c r="QRZ95" s="34"/>
      <c r="QSA95" s="60"/>
      <c r="QSP95" s="34"/>
      <c r="QSQ95" s="60"/>
      <c r="QTF95" s="34"/>
      <c r="QTG95" s="60"/>
      <c r="QTV95" s="34"/>
      <c r="QTW95" s="60"/>
      <c r="QUL95" s="34"/>
      <c r="QUM95" s="60"/>
      <c r="QVB95" s="34"/>
      <c r="QVC95" s="60"/>
      <c r="QVR95" s="34"/>
      <c r="QVS95" s="60"/>
      <c r="QWH95" s="34"/>
      <c r="QWI95" s="60"/>
      <c r="QWX95" s="34"/>
      <c r="QWY95" s="60"/>
      <c r="QXN95" s="34"/>
      <c r="QXO95" s="60"/>
      <c r="QYD95" s="34"/>
      <c r="QYE95" s="60"/>
      <c r="QYT95" s="34"/>
      <c r="QYU95" s="60"/>
      <c r="QZJ95" s="34"/>
      <c r="QZK95" s="60"/>
      <c r="QZZ95" s="34"/>
      <c r="RAA95" s="60"/>
      <c r="RAP95" s="34"/>
      <c r="RAQ95" s="60"/>
      <c r="RBF95" s="34"/>
      <c r="RBG95" s="60"/>
      <c r="RBV95" s="34"/>
      <c r="RBW95" s="60"/>
      <c r="RCL95" s="34"/>
      <c r="RCM95" s="60"/>
      <c r="RDB95" s="34"/>
      <c r="RDC95" s="60"/>
      <c r="RDR95" s="34"/>
      <c r="RDS95" s="60"/>
      <c r="REH95" s="34"/>
      <c r="REI95" s="60"/>
      <c r="REX95" s="34"/>
      <c r="REY95" s="60"/>
      <c r="RFN95" s="34"/>
      <c r="RFO95" s="60"/>
      <c r="RGD95" s="34"/>
      <c r="RGE95" s="60"/>
      <c r="RGT95" s="34"/>
      <c r="RGU95" s="60"/>
      <c r="RHJ95" s="34"/>
      <c r="RHK95" s="60"/>
      <c r="RHZ95" s="34"/>
      <c r="RIA95" s="60"/>
      <c r="RIP95" s="34"/>
      <c r="RIQ95" s="60"/>
      <c r="RJF95" s="34"/>
      <c r="RJG95" s="60"/>
      <c r="RJV95" s="34"/>
      <c r="RJW95" s="60"/>
      <c r="RKL95" s="34"/>
      <c r="RKM95" s="60"/>
      <c r="RLB95" s="34"/>
      <c r="RLC95" s="60"/>
      <c r="RLR95" s="34"/>
      <c r="RLS95" s="60"/>
      <c r="RMH95" s="34"/>
      <c r="RMI95" s="60"/>
      <c r="RMX95" s="34"/>
      <c r="RMY95" s="60"/>
      <c r="RNN95" s="34"/>
      <c r="RNO95" s="60"/>
      <c r="ROD95" s="34"/>
      <c r="ROE95" s="60"/>
      <c r="ROT95" s="34"/>
      <c r="ROU95" s="60"/>
      <c r="RPJ95" s="34"/>
      <c r="RPK95" s="60"/>
      <c r="RPZ95" s="34"/>
      <c r="RQA95" s="60"/>
      <c r="RQP95" s="34"/>
      <c r="RQQ95" s="60"/>
      <c r="RRF95" s="34"/>
      <c r="RRG95" s="60"/>
      <c r="RRV95" s="34"/>
      <c r="RRW95" s="60"/>
      <c r="RSL95" s="34"/>
      <c r="RSM95" s="60"/>
      <c r="RTB95" s="34"/>
      <c r="RTC95" s="60"/>
      <c r="RTR95" s="34"/>
      <c r="RTS95" s="60"/>
      <c r="RUH95" s="34"/>
      <c r="RUI95" s="60"/>
      <c r="RUX95" s="34"/>
      <c r="RUY95" s="60"/>
      <c r="RVN95" s="34"/>
      <c r="RVO95" s="60"/>
      <c r="RWD95" s="34"/>
      <c r="RWE95" s="60"/>
      <c r="RWT95" s="34"/>
      <c r="RWU95" s="60"/>
      <c r="RXJ95" s="34"/>
      <c r="RXK95" s="60"/>
      <c r="RXZ95" s="34"/>
      <c r="RYA95" s="60"/>
      <c r="RYP95" s="34"/>
      <c r="RYQ95" s="60"/>
      <c r="RZF95" s="34"/>
      <c r="RZG95" s="60"/>
      <c r="RZV95" s="34"/>
      <c r="RZW95" s="60"/>
      <c r="SAL95" s="34"/>
      <c r="SAM95" s="60"/>
      <c r="SBB95" s="34"/>
      <c r="SBC95" s="60"/>
      <c r="SBR95" s="34"/>
      <c r="SBS95" s="60"/>
      <c r="SCH95" s="34"/>
      <c r="SCI95" s="60"/>
      <c r="SCX95" s="34"/>
      <c r="SCY95" s="60"/>
      <c r="SDN95" s="34"/>
      <c r="SDO95" s="60"/>
      <c r="SED95" s="34"/>
      <c r="SEE95" s="60"/>
      <c r="SET95" s="34"/>
      <c r="SEU95" s="60"/>
      <c r="SFJ95" s="34"/>
      <c r="SFK95" s="60"/>
      <c r="SFZ95" s="34"/>
      <c r="SGA95" s="60"/>
      <c r="SGP95" s="34"/>
      <c r="SGQ95" s="60"/>
      <c r="SHF95" s="34"/>
      <c r="SHG95" s="60"/>
      <c r="SHV95" s="34"/>
      <c r="SHW95" s="60"/>
      <c r="SIL95" s="34"/>
      <c r="SIM95" s="60"/>
      <c r="SJB95" s="34"/>
      <c r="SJC95" s="60"/>
      <c r="SJR95" s="34"/>
      <c r="SJS95" s="60"/>
      <c r="SKH95" s="34"/>
      <c r="SKI95" s="60"/>
      <c r="SKX95" s="34"/>
      <c r="SKY95" s="60"/>
      <c r="SLN95" s="34"/>
      <c r="SLO95" s="60"/>
      <c r="SMD95" s="34"/>
      <c r="SME95" s="60"/>
      <c r="SMT95" s="34"/>
      <c r="SMU95" s="60"/>
      <c r="SNJ95" s="34"/>
      <c r="SNK95" s="60"/>
      <c r="SNZ95" s="34"/>
      <c r="SOA95" s="60"/>
      <c r="SOP95" s="34"/>
      <c r="SOQ95" s="60"/>
      <c r="SPF95" s="34"/>
      <c r="SPG95" s="60"/>
      <c r="SPV95" s="34"/>
      <c r="SPW95" s="60"/>
      <c r="SQL95" s="34"/>
      <c r="SQM95" s="60"/>
      <c r="SRB95" s="34"/>
      <c r="SRC95" s="60"/>
      <c r="SRR95" s="34"/>
      <c r="SRS95" s="60"/>
      <c r="SSH95" s="34"/>
      <c r="SSI95" s="60"/>
      <c r="SSX95" s="34"/>
      <c r="SSY95" s="60"/>
      <c r="STN95" s="34"/>
      <c r="STO95" s="60"/>
      <c r="SUD95" s="34"/>
      <c r="SUE95" s="60"/>
      <c r="SUT95" s="34"/>
      <c r="SUU95" s="60"/>
      <c r="SVJ95" s="34"/>
      <c r="SVK95" s="60"/>
      <c r="SVZ95" s="34"/>
      <c r="SWA95" s="60"/>
      <c r="SWP95" s="34"/>
      <c r="SWQ95" s="60"/>
      <c r="SXF95" s="34"/>
      <c r="SXG95" s="60"/>
      <c r="SXV95" s="34"/>
      <c r="SXW95" s="60"/>
      <c r="SYL95" s="34"/>
      <c r="SYM95" s="60"/>
      <c r="SZB95" s="34"/>
      <c r="SZC95" s="60"/>
      <c r="SZR95" s="34"/>
      <c r="SZS95" s="60"/>
      <c r="TAH95" s="34"/>
      <c r="TAI95" s="60"/>
      <c r="TAX95" s="34"/>
      <c r="TAY95" s="60"/>
      <c r="TBN95" s="34"/>
      <c r="TBO95" s="60"/>
      <c r="TCD95" s="34"/>
      <c r="TCE95" s="60"/>
      <c r="TCT95" s="34"/>
      <c r="TCU95" s="60"/>
      <c r="TDJ95" s="34"/>
      <c r="TDK95" s="60"/>
      <c r="TDZ95" s="34"/>
      <c r="TEA95" s="60"/>
      <c r="TEP95" s="34"/>
      <c r="TEQ95" s="60"/>
      <c r="TFF95" s="34"/>
      <c r="TFG95" s="60"/>
      <c r="TFV95" s="34"/>
      <c r="TFW95" s="60"/>
      <c r="TGL95" s="34"/>
      <c r="TGM95" s="60"/>
      <c r="THB95" s="34"/>
      <c r="THC95" s="60"/>
      <c r="THR95" s="34"/>
      <c r="THS95" s="60"/>
      <c r="TIH95" s="34"/>
      <c r="TII95" s="60"/>
      <c r="TIX95" s="34"/>
      <c r="TIY95" s="60"/>
      <c r="TJN95" s="34"/>
      <c r="TJO95" s="60"/>
      <c r="TKD95" s="34"/>
      <c r="TKE95" s="60"/>
      <c r="TKT95" s="34"/>
      <c r="TKU95" s="60"/>
      <c r="TLJ95" s="34"/>
      <c r="TLK95" s="60"/>
      <c r="TLZ95" s="34"/>
      <c r="TMA95" s="60"/>
      <c r="TMP95" s="34"/>
      <c r="TMQ95" s="60"/>
      <c r="TNF95" s="34"/>
      <c r="TNG95" s="60"/>
      <c r="TNV95" s="34"/>
      <c r="TNW95" s="60"/>
      <c r="TOL95" s="34"/>
      <c r="TOM95" s="60"/>
      <c r="TPB95" s="34"/>
      <c r="TPC95" s="60"/>
      <c r="TPR95" s="34"/>
      <c r="TPS95" s="60"/>
      <c r="TQH95" s="34"/>
      <c r="TQI95" s="60"/>
      <c r="TQX95" s="34"/>
      <c r="TQY95" s="60"/>
      <c r="TRN95" s="34"/>
      <c r="TRO95" s="60"/>
      <c r="TSD95" s="34"/>
      <c r="TSE95" s="60"/>
      <c r="TST95" s="34"/>
      <c r="TSU95" s="60"/>
      <c r="TTJ95" s="34"/>
      <c r="TTK95" s="60"/>
      <c r="TTZ95" s="34"/>
      <c r="TUA95" s="60"/>
      <c r="TUP95" s="34"/>
      <c r="TUQ95" s="60"/>
      <c r="TVF95" s="34"/>
      <c r="TVG95" s="60"/>
      <c r="TVV95" s="34"/>
      <c r="TVW95" s="60"/>
      <c r="TWL95" s="34"/>
      <c r="TWM95" s="60"/>
      <c r="TXB95" s="34"/>
      <c r="TXC95" s="60"/>
      <c r="TXR95" s="34"/>
      <c r="TXS95" s="60"/>
      <c r="TYH95" s="34"/>
      <c r="TYI95" s="60"/>
      <c r="TYX95" s="34"/>
      <c r="TYY95" s="60"/>
      <c r="TZN95" s="34"/>
      <c r="TZO95" s="60"/>
      <c r="UAD95" s="34"/>
      <c r="UAE95" s="60"/>
      <c r="UAT95" s="34"/>
      <c r="UAU95" s="60"/>
      <c r="UBJ95" s="34"/>
      <c r="UBK95" s="60"/>
      <c r="UBZ95" s="34"/>
      <c r="UCA95" s="60"/>
      <c r="UCP95" s="34"/>
      <c r="UCQ95" s="60"/>
      <c r="UDF95" s="34"/>
      <c r="UDG95" s="60"/>
      <c r="UDV95" s="34"/>
      <c r="UDW95" s="60"/>
      <c r="UEL95" s="34"/>
      <c r="UEM95" s="60"/>
      <c r="UFB95" s="34"/>
      <c r="UFC95" s="60"/>
      <c r="UFR95" s="34"/>
      <c r="UFS95" s="60"/>
      <c r="UGH95" s="34"/>
      <c r="UGI95" s="60"/>
      <c r="UGX95" s="34"/>
      <c r="UGY95" s="60"/>
      <c r="UHN95" s="34"/>
      <c r="UHO95" s="60"/>
      <c r="UID95" s="34"/>
      <c r="UIE95" s="60"/>
      <c r="UIT95" s="34"/>
      <c r="UIU95" s="60"/>
      <c r="UJJ95" s="34"/>
      <c r="UJK95" s="60"/>
      <c r="UJZ95" s="34"/>
      <c r="UKA95" s="60"/>
      <c r="UKP95" s="34"/>
      <c r="UKQ95" s="60"/>
      <c r="ULF95" s="34"/>
      <c r="ULG95" s="60"/>
      <c r="ULV95" s="34"/>
      <c r="ULW95" s="60"/>
      <c r="UML95" s="34"/>
      <c r="UMM95" s="60"/>
      <c r="UNB95" s="34"/>
      <c r="UNC95" s="60"/>
      <c r="UNR95" s="34"/>
      <c r="UNS95" s="60"/>
      <c r="UOH95" s="34"/>
      <c r="UOI95" s="60"/>
      <c r="UOX95" s="34"/>
      <c r="UOY95" s="60"/>
      <c r="UPN95" s="34"/>
      <c r="UPO95" s="60"/>
      <c r="UQD95" s="34"/>
      <c r="UQE95" s="60"/>
      <c r="UQT95" s="34"/>
      <c r="UQU95" s="60"/>
      <c r="URJ95" s="34"/>
      <c r="URK95" s="60"/>
      <c r="URZ95" s="34"/>
      <c r="USA95" s="60"/>
      <c r="USP95" s="34"/>
      <c r="USQ95" s="60"/>
      <c r="UTF95" s="34"/>
      <c r="UTG95" s="60"/>
      <c r="UTV95" s="34"/>
      <c r="UTW95" s="60"/>
      <c r="UUL95" s="34"/>
      <c r="UUM95" s="60"/>
      <c r="UVB95" s="34"/>
      <c r="UVC95" s="60"/>
      <c r="UVR95" s="34"/>
      <c r="UVS95" s="60"/>
      <c r="UWH95" s="34"/>
      <c r="UWI95" s="60"/>
      <c r="UWX95" s="34"/>
      <c r="UWY95" s="60"/>
      <c r="UXN95" s="34"/>
      <c r="UXO95" s="60"/>
      <c r="UYD95" s="34"/>
      <c r="UYE95" s="60"/>
      <c r="UYT95" s="34"/>
      <c r="UYU95" s="60"/>
      <c r="UZJ95" s="34"/>
      <c r="UZK95" s="60"/>
      <c r="UZZ95" s="34"/>
      <c r="VAA95" s="60"/>
      <c r="VAP95" s="34"/>
      <c r="VAQ95" s="60"/>
      <c r="VBF95" s="34"/>
      <c r="VBG95" s="60"/>
      <c r="VBV95" s="34"/>
      <c r="VBW95" s="60"/>
      <c r="VCL95" s="34"/>
      <c r="VCM95" s="60"/>
      <c r="VDB95" s="34"/>
      <c r="VDC95" s="60"/>
      <c r="VDR95" s="34"/>
      <c r="VDS95" s="60"/>
      <c r="VEH95" s="34"/>
      <c r="VEI95" s="60"/>
      <c r="VEX95" s="34"/>
      <c r="VEY95" s="60"/>
      <c r="VFN95" s="34"/>
      <c r="VFO95" s="60"/>
      <c r="VGD95" s="34"/>
      <c r="VGE95" s="60"/>
      <c r="VGT95" s="34"/>
      <c r="VGU95" s="60"/>
      <c r="VHJ95" s="34"/>
      <c r="VHK95" s="60"/>
      <c r="VHZ95" s="34"/>
      <c r="VIA95" s="60"/>
      <c r="VIP95" s="34"/>
      <c r="VIQ95" s="60"/>
      <c r="VJF95" s="34"/>
      <c r="VJG95" s="60"/>
      <c r="VJV95" s="34"/>
      <c r="VJW95" s="60"/>
      <c r="VKL95" s="34"/>
      <c r="VKM95" s="60"/>
      <c r="VLB95" s="34"/>
      <c r="VLC95" s="60"/>
      <c r="VLR95" s="34"/>
      <c r="VLS95" s="60"/>
      <c r="VMH95" s="34"/>
      <c r="VMI95" s="60"/>
      <c r="VMX95" s="34"/>
      <c r="VMY95" s="60"/>
      <c r="VNN95" s="34"/>
      <c r="VNO95" s="60"/>
      <c r="VOD95" s="34"/>
      <c r="VOE95" s="60"/>
      <c r="VOT95" s="34"/>
      <c r="VOU95" s="60"/>
      <c r="VPJ95" s="34"/>
      <c r="VPK95" s="60"/>
      <c r="VPZ95" s="34"/>
      <c r="VQA95" s="60"/>
      <c r="VQP95" s="34"/>
      <c r="VQQ95" s="60"/>
      <c r="VRF95" s="34"/>
      <c r="VRG95" s="60"/>
      <c r="VRV95" s="34"/>
      <c r="VRW95" s="60"/>
      <c r="VSL95" s="34"/>
      <c r="VSM95" s="60"/>
      <c r="VTB95" s="34"/>
      <c r="VTC95" s="60"/>
      <c r="VTR95" s="34"/>
      <c r="VTS95" s="60"/>
      <c r="VUH95" s="34"/>
      <c r="VUI95" s="60"/>
      <c r="VUX95" s="34"/>
      <c r="VUY95" s="60"/>
      <c r="VVN95" s="34"/>
      <c r="VVO95" s="60"/>
      <c r="VWD95" s="34"/>
      <c r="VWE95" s="60"/>
      <c r="VWT95" s="34"/>
      <c r="VWU95" s="60"/>
      <c r="VXJ95" s="34"/>
      <c r="VXK95" s="60"/>
      <c r="VXZ95" s="34"/>
      <c r="VYA95" s="60"/>
      <c r="VYP95" s="34"/>
      <c r="VYQ95" s="60"/>
      <c r="VZF95" s="34"/>
      <c r="VZG95" s="60"/>
      <c r="VZV95" s="34"/>
      <c r="VZW95" s="60"/>
      <c r="WAL95" s="34"/>
      <c r="WAM95" s="60"/>
      <c r="WBB95" s="34"/>
      <c r="WBC95" s="60"/>
      <c r="WBR95" s="34"/>
      <c r="WBS95" s="60"/>
      <c r="WCH95" s="34"/>
      <c r="WCI95" s="60"/>
      <c r="WCX95" s="34"/>
      <c r="WCY95" s="60"/>
      <c r="WDN95" s="34"/>
      <c r="WDO95" s="60"/>
      <c r="WED95" s="34"/>
      <c r="WEE95" s="60"/>
      <c r="WET95" s="34"/>
      <c r="WEU95" s="60"/>
      <c r="WFJ95" s="34"/>
      <c r="WFK95" s="60"/>
      <c r="WFZ95" s="34"/>
      <c r="WGA95" s="60"/>
      <c r="WGP95" s="34"/>
      <c r="WGQ95" s="60"/>
      <c r="WHF95" s="34"/>
      <c r="WHG95" s="60"/>
      <c r="WHV95" s="34"/>
      <c r="WHW95" s="60"/>
      <c r="WIL95" s="34"/>
      <c r="WIM95" s="60"/>
      <c r="WJB95" s="34"/>
      <c r="WJC95" s="60"/>
      <c r="WJR95" s="34"/>
      <c r="WJS95" s="60"/>
      <c r="WKH95" s="34"/>
      <c r="WKI95" s="60"/>
      <c r="WKX95" s="34"/>
      <c r="WKY95" s="60"/>
      <c r="WLN95" s="34"/>
      <c r="WLO95" s="60"/>
      <c r="WMD95" s="34"/>
      <c r="WME95" s="60"/>
      <c r="WMT95" s="34"/>
      <c r="WMU95" s="60"/>
      <c r="WNJ95" s="34"/>
      <c r="WNK95" s="60"/>
      <c r="WNZ95" s="34"/>
      <c r="WOA95" s="60"/>
      <c r="WOP95" s="34"/>
      <c r="WOQ95" s="60"/>
      <c r="WPF95" s="34"/>
      <c r="WPG95" s="60"/>
      <c r="WPV95" s="34"/>
      <c r="WPW95" s="60"/>
      <c r="WQL95" s="34"/>
      <c r="WQM95" s="60"/>
      <c r="WRB95" s="34"/>
      <c r="WRC95" s="60"/>
      <c r="WRR95" s="34"/>
      <c r="WRS95" s="60"/>
      <c r="WSH95" s="34"/>
      <c r="WSI95" s="60"/>
      <c r="WSX95" s="34"/>
      <c r="WSY95" s="60"/>
      <c r="WTN95" s="34"/>
      <c r="WTO95" s="60"/>
      <c r="WUD95" s="34"/>
      <c r="WUE95" s="60"/>
      <c r="WUT95" s="34"/>
      <c r="WUU95" s="60"/>
      <c r="WVJ95" s="34"/>
      <c r="WVK95" s="60"/>
      <c r="WVZ95" s="34"/>
      <c r="WWA95" s="60"/>
      <c r="WWP95" s="34"/>
      <c r="WWQ95" s="60"/>
      <c r="WXF95" s="34"/>
      <c r="WXG95" s="60"/>
      <c r="WXV95" s="34"/>
      <c r="WXW95" s="60"/>
      <c r="WYL95" s="34"/>
      <c r="WYM95" s="60"/>
      <c r="WZB95" s="34"/>
      <c r="WZC95" s="60"/>
      <c r="WZR95" s="34"/>
      <c r="WZS95" s="60"/>
      <c r="XAH95" s="34"/>
      <c r="XAI95" s="60"/>
      <c r="XAX95" s="34"/>
      <c r="XAY95" s="60"/>
      <c r="XBN95" s="34"/>
      <c r="XBO95" s="60"/>
      <c r="XCD95" s="34"/>
      <c r="XCE95" s="60"/>
      <c r="XCT95" s="34"/>
      <c r="XCU95" s="60"/>
      <c r="XDJ95" s="34"/>
      <c r="XDK95" s="60"/>
      <c r="XDZ95" s="34"/>
      <c r="XEA95" s="60"/>
      <c r="XEP95" s="34"/>
      <c r="XEQ95" s="60"/>
    </row>
    <row r="96" spans="2:1011 1026:2035 2050:3059 3074:4083 4098:5107 5122:6131 6146:7155 7170:8179 8194:9203 9218:10227 10242:11251 11266:12275 12290:13299 13314:14323 14338:15347 15362:16371" ht="14.25" x14ac:dyDescent="0.2">
      <c r="B96" s="34"/>
      <c r="C96" s="60"/>
      <c r="R96" s="34"/>
      <c r="S96" s="60"/>
      <c r="AH96" s="34"/>
      <c r="AI96" s="60"/>
      <c r="AX96" s="34"/>
      <c r="AY96" s="60"/>
      <c r="BN96" s="34"/>
      <c r="BO96" s="60"/>
      <c r="CD96" s="34"/>
      <c r="CE96" s="60"/>
      <c r="CT96" s="34"/>
      <c r="CU96" s="60"/>
      <c r="DJ96" s="34"/>
      <c r="DK96" s="60"/>
      <c r="DZ96" s="34"/>
      <c r="EA96" s="60"/>
      <c r="EP96" s="34"/>
      <c r="EQ96" s="60"/>
      <c r="FF96" s="34"/>
      <c r="FG96" s="60"/>
      <c r="FV96" s="34"/>
      <c r="FW96" s="60"/>
      <c r="GL96" s="34"/>
      <c r="GM96" s="60"/>
      <c r="HB96" s="34"/>
      <c r="HC96" s="60"/>
      <c r="HR96" s="34"/>
      <c r="HS96" s="60"/>
      <c r="IH96" s="34"/>
      <c r="II96" s="60"/>
      <c r="IX96" s="34"/>
      <c r="IY96" s="60"/>
      <c r="JN96" s="34"/>
      <c r="JO96" s="60"/>
      <c r="KD96" s="34"/>
      <c r="KE96" s="60"/>
      <c r="KT96" s="34"/>
      <c r="KU96" s="60"/>
      <c r="LJ96" s="34"/>
      <c r="LK96" s="60"/>
      <c r="LZ96" s="34"/>
      <c r="MA96" s="60"/>
      <c r="MP96" s="34"/>
      <c r="MQ96" s="60"/>
      <c r="NF96" s="34"/>
      <c r="NG96" s="60"/>
      <c r="NV96" s="34"/>
      <c r="NW96" s="60"/>
      <c r="OL96" s="34"/>
      <c r="OM96" s="60"/>
      <c r="PB96" s="34"/>
      <c r="PC96" s="60"/>
      <c r="PR96" s="34"/>
      <c r="PS96" s="60"/>
      <c r="QH96" s="34"/>
      <c r="QI96" s="60"/>
      <c r="QX96" s="34"/>
      <c r="QY96" s="60"/>
      <c r="RN96" s="34"/>
      <c r="RO96" s="60"/>
      <c r="SD96" s="34"/>
      <c r="SE96" s="60"/>
      <c r="ST96" s="34"/>
      <c r="SU96" s="60"/>
      <c r="TJ96" s="34"/>
      <c r="TK96" s="60"/>
      <c r="TZ96" s="34"/>
      <c r="UA96" s="60"/>
      <c r="UP96" s="34"/>
      <c r="UQ96" s="60"/>
      <c r="VF96" s="34"/>
      <c r="VG96" s="60"/>
      <c r="VV96" s="34"/>
      <c r="VW96" s="60"/>
      <c r="WL96" s="34"/>
      <c r="WM96" s="60"/>
      <c r="XB96" s="34"/>
      <c r="XC96" s="60"/>
      <c r="XR96" s="34"/>
      <c r="XS96" s="60"/>
      <c r="YH96" s="34"/>
      <c r="YI96" s="60"/>
      <c r="YX96" s="34"/>
      <c r="YY96" s="60"/>
      <c r="ZN96" s="34"/>
      <c r="ZO96" s="60"/>
      <c r="AAD96" s="34"/>
      <c r="AAE96" s="60"/>
      <c r="AAT96" s="34"/>
      <c r="AAU96" s="60"/>
      <c r="ABJ96" s="34"/>
      <c r="ABK96" s="60"/>
      <c r="ABZ96" s="34"/>
      <c r="ACA96" s="60"/>
      <c r="ACP96" s="34"/>
      <c r="ACQ96" s="60"/>
      <c r="ADF96" s="34"/>
      <c r="ADG96" s="60"/>
      <c r="ADV96" s="34"/>
      <c r="ADW96" s="60"/>
      <c r="AEL96" s="34"/>
      <c r="AEM96" s="60"/>
      <c r="AFB96" s="34"/>
      <c r="AFC96" s="60"/>
      <c r="AFR96" s="34"/>
      <c r="AFS96" s="60"/>
      <c r="AGH96" s="34"/>
      <c r="AGI96" s="60"/>
      <c r="AGX96" s="34"/>
      <c r="AGY96" s="60"/>
      <c r="AHN96" s="34"/>
      <c r="AHO96" s="60"/>
      <c r="AID96" s="34"/>
      <c r="AIE96" s="60"/>
      <c r="AIT96" s="34"/>
      <c r="AIU96" s="60"/>
      <c r="AJJ96" s="34"/>
      <c r="AJK96" s="60"/>
      <c r="AJZ96" s="34"/>
      <c r="AKA96" s="60"/>
      <c r="AKP96" s="34"/>
      <c r="AKQ96" s="60"/>
      <c r="ALF96" s="34"/>
      <c r="ALG96" s="60"/>
      <c r="ALV96" s="34"/>
      <c r="ALW96" s="60"/>
      <c r="AML96" s="34"/>
      <c r="AMM96" s="60"/>
      <c r="ANB96" s="34"/>
      <c r="ANC96" s="60"/>
      <c r="ANR96" s="34"/>
      <c r="ANS96" s="60"/>
      <c r="AOH96" s="34"/>
      <c r="AOI96" s="60"/>
      <c r="AOX96" s="34"/>
      <c r="AOY96" s="60"/>
      <c r="APN96" s="34"/>
      <c r="APO96" s="60"/>
      <c r="AQD96" s="34"/>
      <c r="AQE96" s="60"/>
      <c r="AQT96" s="34"/>
      <c r="AQU96" s="60"/>
      <c r="ARJ96" s="34"/>
      <c r="ARK96" s="60"/>
      <c r="ARZ96" s="34"/>
      <c r="ASA96" s="60"/>
      <c r="ASP96" s="34"/>
      <c r="ASQ96" s="60"/>
      <c r="ATF96" s="34"/>
      <c r="ATG96" s="60"/>
      <c r="ATV96" s="34"/>
      <c r="ATW96" s="60"/>
      <c r="AUL96" s="34"/>
      <c r="AUM96" s="60"/>
      <c r="AVB96" s="34"/>
      <c r="AVC96" s="60"/>
      <c r="AVR96" s="34"/>
      <c r="AVS96" s="60"/>
      <c r="AWH96" s="34"/>
      <c r="AWI96" s="60"/>
      <c r="AWX96" s="34"/>
      <c r="AWY96" s="60"/>
      <c r="AXN96" s="34"/>
      <c r="AXO96" s="60"/>
      <c r="AYD96" s="34"/>
      <c r="AYE96" s="60"/>
      <c r="AYT96" s="34"/>
      <c r="AYU96" s="60"/>
      <c r="AZJ96" s="34"/>
      <c r="AZK96" s="60"/>
      <c r="AZZ96" s="34"/>
      <c r="BAA96" s="60"/>
      <c r="BAP96" s="34"/>
      <c r="BAQ96" s="60"/>
      <c r="BBF96" s="34"/>
      <c r="BBG96" s="60"/>
      <c r="BBV96" s="34"/>
      <c r="BBW96" s="60"/>
      <c r="BCL96" s="34"/>
      <c r="BCM96" s="60"/>
      <c r="BDB96" s="34"/>
      <c r="BDC96" s="60"/>
      <c r="BDR96" s="34"/>
      <c r="BDS96" s="60"/>
      <c r="BEH96" s="34"/>
      <c r="BEI96" s="60"/>
      <c r="BEX96" s="34"/>
      <c r="BEY96" s="60"/>
      <c r="BFN96" s="34"/>
      <c r="BFO96" s="60"/>
      <c r="BGD96" s="34"/>
      <c r="BGE96" s="60"/>
      <c r="BGT96" s="34"/>
      <c r="BGU96" s="60"/>
      <c r="BHJ96" s="34"/>
      <c r="BHK96" s="60"/>
      <c r="BHZ96" s="34"/>
      <c r="BIA96" s="60"/>
      <c r="BIP96" s="34"/>
      <c r="BIQ96" s="60"/>
      <c r="BJF96" s="34"/>
      <c r="BJG96" s="60"/>
      <c r="BJV96" s="34"/>
      <c r="BJW96" s="60"/>
      <c r="BKL96" s="34"/>
      <c r="BKM96" s="60"/>
      <c r="BLB96" s="34"/>
      <c r="BLC96" s="60"/>
      <c r="BLR96" s="34"/>
      <c r="BLS96" s="60"/>
      <c r="BMH96" s="34"/>
      <c r="BMI96" s="60"/>
      <c r="BMX96" s="34"/>
      <c r="BMY96" s="60"/>
      <c r="BNN96" s="34"/>
      <c r="BNO96" s="60"/>
      <c r="BOD96" s="34"/>
      <c r="BOE96" s="60"/>
      <c r="BOT96" s="34"/>
      <c r="BOU96" s="60"/>
      <c r="BPJ96" s="34"/>
      <c r="BPK96" s="60"/>
      <c r="BPZ96" s="34"/>
      <c r="BQA96" s="60"/>
      <c r="BQP96" s="34"/>
      <c r="BQQ96" s="60"/>
      <c r="BRF96" s="34"/>
      <c r="BRG96" s="60"/>
      <c r="BRV96" s="34"/>
      <c r="BRW96" s="60"/>
      <c r="BSL96" s="34"/>
      <c r="BSM96" s="60"/>
      <c r="BTB96" s="34"/>
      <c r="BTC96" s="60"/>
      <c r="BTR96" s="34"/>
      <c r="BTS96" s="60"/>
      <c r="BUH96" s="34"/>
      <c r="BUI96" s="60"/>
      <c r="BUX96" s="34"/>
      <c r="BUY96" s="60"/>
      <c r="BVN96" s="34"/>
      <c r="BVO96" s="60"/>
      <c r="BWD96" s="34"/>
      <c r="BWE96" s="60"/>
      <c r="BWT96" s="34"/>
      <c r="BWU96" s="60"/>
      <c r="BXJ96" s="34"/>
      <c r="BXK96" s="60"/>
      <c r="BXZ96" s="34"/>
      <c r="BYA96" s="60"/>
      <c r="BYP96" s="34"/>
      <c r="BYQ96" s="60"/>
      <c r="BZF96" s="34"/>
      <c r="BZG96" s="60"/>
      <c r="BZV96" s="34"/>
      <c r="BZW96" s="60"/>
      <c r="CAL96" s="34"/>
      <c r="CAM96" s="60"/>
      <c r="CBB96" s="34"/>
      <c r="CBC96" s="60"/>
      <c r="CBR96" s="34"/>
      <c r="CBS96" s="60"/>
      <c r="CCH96" s="34"/>
      <c r="CCI96" s="60"/>
      <c r="CCX96" s="34"/>
      <c r="CCY96" s="60"/>
      <c r="CDN96" s="34"/>
      <c r="CDO96" s="60"/>
      <c r="CED96" s="34"/>
      <c r="CEE96" s="60"/>
      <c r="CET96" s="34"/>
      <c r="CEU96" s="60"/>
      <c r="CFJ96" s="34"/>
      <c r="CFK96" s="60"/>
      <c r="CFZ96" s="34"/>
      <c r="CGA96" s="60"/>
      <c r="CGP96" s="34"/>
      <c r="CGQ96" s="60"/>
      <c r="CHF96" s="34"/>
      <c r="CHG96" s="60"/>
      <c r="CHV96" s="34"/>
      <c r="CHW96" s="60"/>
      <c r="CIL96" s="34"/>
      <c r="CIM96" s="60"/>
      <c r="CJB96" s="34"/>
      <c r="CJC96" s="60"/>
      <c r="CJR96" s="34"/>
      <c r="CJS96" s="60"/>
      <c r="CKH96" s="34"/>
      <c r="CKI96" s="60"/>
      <c r="CKX96" s="34"/>
      <c r="CKY96" s="60"/>
      <c r="CLN96" s="34"/>
      <c r="CLO96" s="60"/>
      <c r="CMD96" s="34"/>
      <c r="CME96" s="60"/>
      <c r="CMT96" s="34"/>
      <c r="CMU96" s="60"/>
      <c r="CNJ96" s="34"/>
      <c r="CNK96" s="60"/>
      <c r="CNZ96" s="34"/>
      <c r="COA96" s="60"/>
      <c r="COP96" s="34"/>
      <c r="COQ96" s="60"/>
      <c r="CPF96" s="34"/>
      <c r="CPG96" s="60"/>
      <c r="CPV96" s="34"/>
      <c r="CPW96" s="60"/>
      <c r="CQL96" s="34"/>
      <c r="CQM96" s="60"/>
      <c r="CRB96" s="34"/>
      <c r="CRC96" s="60"/>
      <c r="CRR96" s="34"/>
      <c r="CRS96" s="60"/>
      <c r="CSH96" s="34"/>
      <c r="CSI96" s="60"/>
      <c r="CSX96" s="34"/>
      <c r="CSY96" s="60"/>
      <c r="CTN96" s="34"/>
      <c r="CTO96" s="60"/>
      <c r="CUD96" s="34"/>
      <c r="CUE96" s="60"/>
      <c r="CUT96" s="34"/>
      <c r="CUU96" s="60"/>
      <c r="CVJ96" s="34"/>
      <c r="CVK96" s="60"/>
      <c r="CVZ96" s="34"/>
      <c r="CWA96" s="60"/>
      <c r="CWP96" s="34"/>
      <c r="CWQ96" s="60"/>
      <c r="CXF96" s="34"/>
      <c r="CXG96" s="60"/>
      <c r="CXV96" s="34"/>
      <c r="CXW96" s="60"/>
      <c r="CYL96" s="34"/>
      <c r="CYM96" s="60"/>
      <c r="CZB96" s="34"/>
      <c r="CZC96" s="60"/>
      <c r="CZR96" s="34"/>
      <c r="CZS96" s="60"/>
      <c r="DAH96" s="34"/>
      <c r="DAI96" s="60"/>
      <c r="DAX96" s="34"/>
      <c r="DAY96" s="60"/>
      <c r="DBN96" s="34"/>
      <c r="DBO96" s="60"/>
      <c r="DCD96" s="34"/>
      <c r="DCE96" s="60"/>
      <c r="DCT96" s="34"/>
      <c r="DCU96" s="60"/>
      <c r="DDJ96" s="34"/>
      <c r="DDK96" s="60"/>
      <c r="DDZ96" s="34"/>
      <c r="DEA96" s="60"/>
      <c r="DEP96" s="34"/>
      <c r="DEQ96" s="60"/>
      <c r="DFF96" s="34"/>
      <c r="DFG96" s="60"/>
      <c r="DFV96" s="34"/>
      <c r="DFW96" s="60"/>
      <c r="DGL96" s="34"/>
      <c r="DGM96" s="60"/>
      <c r="DHB96" s="34"/>
      <c r="DHC96" s="60"/>
      <c r="DHR96" s="34"/>
      <c r="DHS96" s="60"/>
      <c r="DIH96" s="34"/>
      <c r="DII96" s="60"/>
      <c r="DIX96" s="34"/>
      <c r="DIY96" s="60"/>
      <c r="DJN96" s="34"/>
      <c r="DJO96" s="60"/>
      <c r="DKD96" s="34"/>
      <c r="DKE96" s="60"/>
      <c r="DKT96" s="34"/>
      <c r="DKU96" s="60"/>
      <c r="DLJ96" s="34"/>
      <c r="DLK96" s="60"/>
      <c r="DLZ96" s="34"/>
      <c r="DMA96" s="60"/>
      <c r="DMP96" s="34"/>
      <c r="DMQ96" s="60"/>
      <c r="DNF96" s="34"/>
      <c r="DNG96" s="60"/>
      <c r="DNV96" s="34"/>
      <c r="DNW96" s="60"/>
      <c r="DOL96" s="34"/>
      <c r="DOM96" s="60"/>
      <c r="DPB96" s="34"/>
      <c r="DPC96" s="60"/>
      <c r="DPR96" s="34"/>
      <c r="DPS96" s="60"/>
      <c r="DQH96" s="34"/>
      <c r="DQI96" s="60"/>
      <c r="DQX96" s="34"/>
      <c r="DQY96" s="60"/>
      <c r="DRN96" s="34"/>
      <c r="DRO96" s="60"/>
      <c r="DSD96" s="34"/>
      <c r="DSE96" s="60"/>
      <c r="DST96" s="34"/>
      <c r="DSU96" s="60"/>
      <c r="DTJ96" s="34"/>
      <c r="DTK96" s="60"/>
      <c r="DTZ96" s="34"/>
      <c r="DUA96" s="60"/>
      <c r="DUP96" s="34"/>
      <c r="DUQ96" s="60"/>
      <c r="DVF96" s="34"/>
      <c r="DVG96" s="60"/>
      <c r="DVV96" s="34"/>
      <c r="DVW96" s="60"/>
      <c r="DWL96" s="34"/>
      <c r="DWM96" s="60"/>
      <c r="DXB96" s="34"/>
      <c r="DXC96" s="60"/>
      <c r="DXR96" s="34"/>
      <c r="DXS96" s="60"/>
      <c r="DYH96" s="34"/>
      <c r="DYI96" s="60"/>
      <c r="DYX96" s="34"/>
      <c r="DYY96" s="60"/>
      <c r="DZN96" s="34"/>
      <c r="DZO96" s="60"/>
      <c r="EAD96" s="34"/>
      <c r="EAE96" s="60"/>
      <c r="EAT96" s="34"/>
      <c r="EAU96" s="60"/>
      <c r="EBJ96" s="34"/>
      <c r="EBK96" s="60"/>
      <c r="EBZ96" s="34"/>
      <c r="ECA96" s="60"/>
      <c r="ECP96" s="34"/>
      <c r="ECQ96" s="60"/>
      <c r="EDF96" s="34"/>
      <c r="EDG96" s="60"/>
      <c r="EDV96" s="34"/>
      <c r="EDW96" s="60"/>
      <c r="EEL96" s="34"/>
      <c r="EEM96" s="60"/>
      <c r="EFB96" s="34"/>
      <c r="EFC96" s="60"/>
      <c r="EFR96" s="34"/>
      <c r="EFS96" s="60"/>
      <c r="EGH96" s="34"/>
      <c r="EGI96" s="60"/>
      <c r="EGX96" s="34"/>
      <c r="EGY96" s="60"/>
      <c r="EHN96" s="34"/>
      <c r="EHO96" s="60"/>
      <c r="EID96" s="34"/>
      <c r="EIE96" s="60"/>
      <c r="EIT96" s="34"/>
      <c r="EIU96" s="60"/>
      <c r="EJJ96" s="34"/>
      <c r="EJK96" s="60"/>
      <c r="EJZ96" s="34"/>
      <c r="EKA96" s="60"/>
      <c r="EKP96" s="34"/>
      <c r="EKQ96" s="60"/>
      <c r="ELF96" s="34"/>
      <c r="ELG96" s="60"/>
      <c r="ELV96" s="34"/>
      <c r="ELW96" s="60"/>
      <c r="EML96" s="34"/>
      <c r="EMM96" s="60"/>
      <c r="ENB96" s="34"/>
      <c r="ENC96" s="60"/>
      <c r="ENR96" s="34"/>
      <c r="ENS96" s="60"/>
      <c r="EOH96" s="34"/>
      <c r="EOI96" s="60"/>
      <c r="EOX96" s="34"/>
      <c r="EOY96" s="60"/>
      <c r="EPN96" s="34"/>
      <c r="EPO96" s="60"/>
      <c r="EQD96" s="34"/>
      <c r="EQE96" s="60"/>
      <c r="EQT96" s="34"/>
      <c r="EQU96" s="60"/>
      <c r="ERJ96" s="34"/>
      <c r="ERK96" s="60"/>
      <c r="ERZ96" s="34"/>
      <c r="ESA96" s="60"/>
      <c r="ESP96" s="34"/>
      <c r="ESQ96" s="60"/>
      <c r="ETF96" s="34"/>
      <c r="ETG96" s="60"/>
      <c r="ETV96" s="34"/>
      <c r="ETW96" s="60"/>
      <c r="EUL96" s="34"/>
      <c r="EUM96" s="60"/>
      <c r="EVB96" s="34"/>
      <c r="EVC96" s="60"/>
      <c r="EVR96" s="34"/>
      <c r="EVS96" s="60"/>
      <c r="EWH96" s="34"/>
      <c r="EWI96" s="60"/>
      <c r="EWX96" s="34"/>
      <c r="EWY96" s="60"/>
      <c r="EXN96" s="34"/>
      <c r="EXO96" s="60"/>
      <c r="EYD96" s="34"/>
      <c r="EYE96" s="60"/>
      <c r="EYT96" s="34"/>
      <c r="EYU96" s="60"/>
      <c r="EZJ96" s="34"/>
      <c r="EZK96" s="60"/>
      <c r="EZZ96" s="34"/>
      <c r="FAA96" s="60"/>
      <c r="FAP96" s="34"/>
      <c r="FAQ96" s="60"/>
      <c r="FBF96" s="34"/>
      <c r="FBG96" s="60"/>
      <c r="FBV96" s="34"/>
      <c r="FBW96" s="60"/>
      <c r="FCL96" s="34"/>
      <c r="FCM96" s="60"/>
      <c r="FDB96" s="34"/>
      <c r="FDC96" s="60"/>
      <c r="FDR96" s="34"/>
      <c r="FDS96" s="60"/>
      <c r="FEH96" s="34"/>
      <c r="FEI96" s="60"/>
      <c r="FEX96" s="34"/>
      <c r="FEY96" s="60"/>
      <c r="FFN96" s="34"/>
      <c r="FFO96" s="60"/>
      <c r="FGD96" s="34"/>
      <c r="FGE96" s="60"/>
      <c r="FGT96" s="34"/>
      <c r="FGU96" s="60"/>
      <c r="FHJ96" s="34"/>
      <c r="FHK96" s="60"/>
      <c r="FHZ96" s="34"/>
      <c r="FIA96" s="60"/>
      <c r="FIP96" s="34"/>
      <c r="FIQ96" s="60"/>
      <c r="FJF96" s="34"/>
      <c r="FJG96" s="60"/>
      <c r="FJV96" s="34"/>
      <c r="FJW96" s="60"/>
      <c r="FKL96" s="34"/>
      <c r="FKM96" s="60"/>
      <c r="FLB96" s="34"/>
      <c r="FLC96" s="60"/>
      <c r="FLR96" s="34"/>
      <c r="FLS96" s="60"/>
      <c r="FMH96" s="34"/>
      <c r="FMI96" s="60"/>
      <c r="FMX96" s="34"/>
      <c r="FMY96" s="60"/>
      <c r="FNN96" s="34"/>
      <c r="FNO96" s="60"/>
      <c r="FOD96" s="34"/>
      <c r="FOE96" s="60"/>
      <c r="FOT96" s="34"/>
      <c r="FOU96" s="60"/>
      <c r="FPJ96" s="34"/>
      <c r="FPK96" s="60"/>
      <c r="FPZ96" s="34"/>
      <c r="FQA96" s="60"/>
      <c r="FQP96" s="34"/>
      <c r="FQQ96" s="60"/>
      <c r="FRF96" s="34"/>
      <c r="FRG96" s="60"/>
      <c r="FRV96" s="34"/>
      <c r="FRW96" s="60"/>
      <c r="FSL96" s="34"/>
      <c r="FSM96" s="60"/>
      <c r="FTB96" s="34"/>
      <c r="FTC96" s="60"/>
      <c r="FTR96" s="34"/>
      <c r="FTS96" s="60"/>
      <c r="FUH96" s="34"/>
      <c r="FUI96" s="60"/>
      <c r="FUX96" s="34"/>
      <c r="FUY96" s="60"/>
      <c r="FVN96" s="34"/>
      <c r="FVO96" s="60"/>
      <c r="FWD96" s="34"/>
      <c r="FWE96" s="60"/>
      <c r="FWT96" s="34"/>
      <c r="FWU96" s="60"/>
      <c r="FXJ96" s="34"/>
      <c r="FXK96" s="60"/>
      <c r="FXZ96" s="34"/>
      <c r="FYA96" s="60"/>
      <c r="FYP96" s="34"/>
      <c r="FYQ96" s="60"/>
      <c r="FZF96" s="34"/>
      <c r="FZG96" s="60"/>
      <c r="FZV96" s="34"/>
      <c r="FZW96" s="60"/>
      <c r="GAL96" s="34"/>
      <c r="GAM96" s="60"/>
      <c r="GBB96" s="34"/>
      <c r="GBC96" s="60"/>
      <c r="GBR96" s="34"/>
      <c r="GBS96" s="60"/>
      <c r="GCH96" s="34"/>
      <c r="GCI96" s="60"/>
      <c r="GCX96" s="34"/>
      <c r="GCY96" s="60"/>
      <c r="GDN96" s="34"/>
      <c r="GDO96" s="60"/>
      <c r="GED96" s="34"/>
      <c r="GEE96" s="60"/>
      <c r="GET96" s="34"/>
      <c r="GEU96" s="60"/>
      <c r="GFJ96" s="34"/>
      <c r="GFK96" s="60"/>
      <c r="GFZ96" s="34"/>
      <c r="GGA96" s="60"/>
      <c r="GGP96" s="34"/>
      <c r="GGQ96" s="60"/>
      <c r="GHF96" s="34"/>
      <c r="GHG96" s="60"/>
      <c r="GHV96" s="34"/>
      <c r="GHW96" s="60"/>
      <c r="GIL96" s="34"/>
      <c r="GIM96" s="60"/>
      <c r="GJB96" s="34"/>
      <c r="GJC96" s="60"/>
      <c r="GJR96" s="34"/>
      <c r="GJS96" s="60"/>
      <c r="GKH96" s="34"/>
      <c r="GKI96" s="60"/>
      <c r="GKX96" s="34"/>
      <c r="GKY96" s="60"/>
      <c r="GLN96" s="34"/>
      <c r="GLO96" s="60"/>
      <c r="GMD96" s="34"/>
      <c r="GME96" s="60"/>
      <c r="GMT96" s="34"/>
      <c r="GMU96" s="60"/>
      <c r="GNJ96" s="34"/>
      <c r="GNK96" s="60"/>
      <c r="GNZ96" s="34"/>
      <c r="GOA96" s="60"/>
      <c r="GOP96" s="34"/>
      <c r="GOQ96" s="60"/>
      <c r="GPF96" s="34"/>
      <c r="GPG96" s="60"/>
      <c r="GPV96" s="34"/>
      <c r="GPW96" s="60"/>
      <c r="GQL96" s="34"/>
      <c r="GQM96" s="60"/>
      <c r="GRB96" s="34"/>
      <c r="GRC96" s="60"/>
      <c r="GRR96" s="34"/>
      <c r="GRS96" s="60"/>
      <c r="GSH96" s="34"/>
      <c r="GSI96" s="60"/>
      <c r="GSX96" s="34"/>
      <c r="GSY96" s="60"/>
      <c r="GTN96" s="34"/>
      <c r="GTO96" s="60"/>
      <c r="GUD96" s="34"/>
      <c r="GUE96" s="60"/>
      <c r="GUT96" s="34"/>
      <c r="GUU96" s="60"/>
      <c r="GVJ96" s="34"/>
      <c r="GVK96" s="60"/>
      <c r="GVZ96" s="34"/>
      <c r="GWA96" s="60"/>
      <c r="GWP96" s="34"/>
      <c r="GWQ96" s="60"/>
      <c r="GXF96" s="34"/>
      <c r="GXG96" s="60"/>
      <c r="GXV96" s="34"/>
      <c r="GXW96" s="60"/>
      <c r="GYL96" s="34"/>
      <c r="GYM96" s="60"/>
      <c r="GZB96" s="34"/>
      <c r="GZC96" s="60"/>
      <c r="GZR96" s="34"/>
      <c r="GZS96" s="60"/>
      <c r="HAH96" s="34"/>
      <c r="HAI96" s="60"/>
      <c r="HAX96" s="34"/>
      <c r="HAY96" s="60"/>
      <c r="HBN96" s="34"/>
      <c r="HBO96" s="60"/>
      <c r="HCD96" s="34"/>
      <c r="HCE96" s="60"/>
      <c r="HCT96" s="34"/>
      <c r="HCU96" s="60"/>
      <c r="HDJ96" s="34"/>
      <c r="HDK96" s="60"/>
      <c r="HDZ96" s="34"/>
      <c r="HEA96" s="60"/>
      <c r="HEP96" s="34"/>
      <c r="HEQ96" s="60"/>
      <c r="HFF96" s="34"/>
      <c r="HFG96" s="60"/>
      <c r="HFV96" s="34"/>
      <c r="HFW96" s="60"/>
      <c r="HGL96" s="34"/>
      <c r="HGM96" s="60"/>
      <c r="HHB96" s="34"/>
      <c r="HHC96" s="60"/>
      <c r="HHR96" s="34"/>
      <c r="HHS96" s="60"/>
      <c r="HIH96" s="34"/>
      <c r="HII96" s="60"/>
      <c r="HIX96" s="34"/>
      <c r="HIY96" s="60"/>
      <c r="HJN96" s="34"/>
      <c r="HJO96" s="60"/>
      <c r="HKD96" s="34"/>
      <c r="HKE96" s="60"/>
      <c r="HKT96" s="34"/>
      <c r="HKU96" s="60"/>
      <c r="HLJ96" s="34"/>
      <c r="HLK96" s="60"/>
      <c r="HLZ96" s="34"/>
      <c r="HMA96" s="60"/>
      <c r="HMP96" s="34"/>
      <c r="HMQ96" s="60"/>
      <c r="HNF96" s="34"/>
      <c r="HNG96" s="60"/>
      <c r="HNV96" s="34"/>
      <c r="HNW96" s="60"/>
      <c r="HOL96" s="34"/>
      <c r="HOM96" s="60"/>
      <c r="HPB96" s="34"/>
      <c r="HPC96" s="60"/>
      <c r="HPR96" s="34"/>
      <c r="HPS96" s="60"/>
      <c r="HQH96" s="34"/>
      <c r="HQI96" s="60"/>
      <c r="HQX96" s="34"/>
      <c r="HQY96" s="60"/>
      <c r="HRN96" s="34"/>
      <c r="HRO96" s="60"/>
      <c r="HSD96" s="34"/>
      <c r="HSE96" s="60"/>
      <c r="HST96" s="34"/>
      <c r="HSU96" s="60"/>
      <c r="HTJ96" s="34"/>
      <c r="HTK96" s="60"/>
      <c r="HTZ96" s="34"/>
      <c r="HUA96" s="60"/>
      <c r="HUP96" s="34"/>
      <c r="HUQ96" s="60"/>
      <c r="HVF96" s="34"/>
      <c r="HVG96" s="60"/>
      <c r="HVV96" s="34"/>
      <c r="HVW96" s="60"/>
      <c r="HWL96" s="34"/>
      <c r="HWM96" s="60"/>
      <c r="HXB96" s="34"/>
      <c r="HXC96" s="60"/>
      <c r="HXR96" s="34"/>
      <c r="HXS96" s="60"/>
      <c r="HYH96" s="34"/>
      <c r="HYI96" s="60"/>
      <c r="HYX96" s="34"/>
      <c r="HYY96" s="60"/>
      <c r="HZN96" s="34"/>
      <c r="HZO96" s="60"/>
      <c r="IAD96" s="34"/>
      <c r="IAE96" s="60"/>
      <c r="IAT96" s="34"/>
      <c r="IAU96" s="60"/>
      <c r="IBJ96" s="34"/>
      <c r="IBK96" s="60"/>
      <c r="IBZ96" s="34"/>
      <c r="ICA96" s="60"/>
      <c r="ICP96" s="34"/>
      <c r="ICQ96" s="60"/>
      <c r="IDF96" s="34"/>
      <c r="IDG96" s="60"/>
      <c r="IDV96" s="34"/>
      <c r="IDW96" s="60"/>
      <c r="IEL96" s="34"/>
      <c r="IEM96" s="60"/>
      <c r="IFB96" s="34"/>
      <c r="IFC96" s="60"/>
      <c r="IFR96" s="34"/>
      <c r="IFS96" s="60"/>
      <c r="IGH96" s="34"/>
      <c r="IGI96" s="60"/>
      <c r="IGX96" s="34"/>
      <c r="IGY96" s="60"/>
      <c r="IHN96" s="34"/>
      <c r="IHO96" s="60"/>
      <c r="IID96" s="34"/>
      <c r="IIE96" s="60"/>
      <c r="IIT96" s="34"/>
      <c r="IIU96" s="60"/>
      <c r="IJJ96" s="34"/>
      <c r="IJK96" s="60"/>
      <c r="IJZ96" s="34"/>
      <c r="IKA96" s="60"/>
      <c r="IKP96" s="34"/>
      <c r="IKQ96" s="60"/>
      <c r="ILF96" s="34"/>
      <c r="ILG96" s="60"/>
      <c r="ILV96" s="34"/>
      <c r="ILW96" s="60"/>
      <c r="IML96" s="34"/>
      <c r="IMM96" s="60"/>
      <c r="INB96" s="34"/>
      <c r="INC96" s="60"/>
      <c r="INR96" s="34"/>
      <c r="INS96" s="60"/>
      <c r="IOH96" s="34"/>
      <c r="IOI96" s="60"/>
      <c r="IOX96" s="34"/>
      <c r="IOY96" s="60"/>
      <c r="IPN96" s="34"/>
      <c r="IPO96" s="60"/>
      <c r="IQD96" s="34"/>
      <c r="IQE96" s="60"/>
      <c r="IQT96" s="34"/>
      <c r="IQU96" s="60"/>
      <c r="IRJ96" s="34"/>
      <c r="IRK96" s="60"/>
      <c r="IRZ96" s="34"/>
      <c r="ISA96" s="60"/>
      <c r="ISP96" s="34"/>
      <c r="ISQ96" s="60"/>
      <c r="ITF96" s="34"/>
      <c r="ITG96" s="60"/>
      <c r="ITV96" s="34"/>
      <c r="ITW96" s="60"/>
      <c r="IUL96" s="34"/>
      <c r="IUM96" s="60"/>
      <c r="IVB96" s="34"/>
      <c r="IVC96" s="60"/>
      <c r="IVR96" s="34"/>
      <c r="IVS96" s="60"/>
      <c r="IWH96" s="34"/>
      <c r="IWI96" s="60"/>
      <c r="IWX96" s="34"/>
      <c r="IWY96" s="60"/>
      <c r="IXN96" s="34"/>
      <c r="IXO96" s="60"/>
      <c r="IYD96" s="34"/>
      <c r="IYE96" s="60"/>
      <c r="IYT96" s="34"/>
      <c r="IYU96" s="60"/>
      <c r="IZJ96" s="34"/>
      <c r="IZK96" s="60"/>
      <c r="IZZ96" s="34"/>
      <c r="JAA96" s="60"/>
      <c r="JAP96" s="34"/>
      <c r="JAQ96" s="60"/>
      <c r="JBF96" s="34"/>
      <c r="JBG96" s="60"/>
      <c r="JBV96" s="34"/>
      <c r="JBW96" s="60"/>
      <c r="JCL96" s="34"/>
      <c r="JCM96" s="60"/>
      <c r="JDB96" s="34"/>
      <c r="JDC96" s="60"/>
      <c r="JDR96" s="34"/>
      <c r="JDS96" s="60"/>
      <c r="JEH96" s="34"/>
      <c r="JEI96" s="60"/>
      <c r="JEX96" s="34"/>
      <c r="JEY96" s="60"/>
      <c r="JFN96" s="34"/>
      <c r="JFO96" s="60"/>
      <c r="JGD96" s="34"/>
      <c r="JGE96" s="60"/>
      <c r="JGT96" s="34"/>
      <c r="JGU96" s="60"/>
      <c r="JHJ96" s="34"/>
      <c r="JHK96" s="60"/>
      <c r="JHZ96" s="34"/>
      <c r="JIA96" s="60"/>
      <c r="JIP96" s="34"/>
      <c r="JIQ96" s="60"/>
      <c r="JJF96" s="34"/>
      <c r="JJG96" s="60"/>
      <c r="JJV96" s="34"/>
      <c r="JJW96" s="60"/>
      <c r="JKL96" s="34"/>
      <c r="JKM96" s="60"/>
      <c r="JLB96" s="34"/>
      <c r="JLC96" s="60"/>
      <c r="JLR96" s="34"/>
      <c r="JLS96" s="60"/>
      <c r="JMH96" s="34"/>
      <c r="JMI96" s="60"/>
      <c r="JMX96" s="34"/>
      <c r="JMY96" s="60"/>
      <c r="JNN96" s="34"/>
      <c r="JNO96" s="60"/>
      <c r="JOD96" s="34"/>
      <c r="JOE96" s="60"/>
      <c r="JOT96" s="34"/>
      <c r="JOU96" s="60"/>
      <c r="JPJ96" s="34"/>
      <c r="JPK96" s="60"/>
      <c r="JPZ96" s="34"/>
      <c r="JQA96" s="60"/>
      <c r="JQP96" s="34"/>
      <c r="JQQ96" s="60"/>
      <c r="JRF96" s="34"/>
      <c r="JRG96" s="60"/>
      <c r="JRV96" s="34"/>
      <c r="JRW96" s="60"/>
      <c r="JSL96" s="34"/>
      <c r="JSM96" s="60"/>
      <c r="JTB96" s="34"/>
      <c r="JTC96" s="60"/>
      <c r="JTR96" s="34"/>
      <c r="JTS96" s="60"/>
      <c r="JUH96" s="34"/>
      <c r="JUI96" s="60"/>
      <c r="JUX96" s="34"/>
      <c r="JUY96" s="60"/>
      <c r="JVN96" s="34"/>
      <c r="JVO96" s="60"/>
      <c r="JWD96" s="34"/>
      <c r="JWE96" s="60"/>
      <c r="JWT96" s="34"/>
      <c r="JWU96" s="60"/>
      <c r="JXJ96" s="34"/>
      <c r="JXK96" s="60"/>
      <c r="JXZ96" s="34"/>
      <c r="JYA96" s="60"/>
      <c r="JYP96" s="34"/>
      <c r="JYQ96" s="60"/>
      <c r="JZF96" s="34"/>
      <c r="JZG96" s="60"/>
      <c r="JZV96" s="34"/>
      <c r="JZW96" s="60"/>
      <c r="KAL96" s="34"/>
      <c r="KAM96" s="60"/>
      <c r="KBB96" s="34"/>
      <c r="KBC96" s="60"/>
      <c r="KBR96" s="34"/>
      <c r="KBS96" s="60"/>
      <c r="KCH96" s="34"/>
      <c r="KCI96" s="60"/>
      <c r="KCX96" s="34"/>
      <c r="KCY96" s="60"/>
      <c r="KDN96" s="34"/>
      <c r="KDO96" s="60"/>
      <c r="KED96" s="34"/>
      <c r="KEE96" s="60"/>
      <c r="KET96" s="34"/>
      <c r="KEU96" s="60"/>
      <c r="KFJ96" s="34"/>
      <c r="KFK96" s="60"/>
      <c r="KFZ96" s="34"/>
      <c r="KGA96" s="60"/>
      <c r="KGP96" s="34"/>
      <c r="KGQ96" s="60"/>
      <c r="KHF96" s="34"/>
      <c r="KHG96" s="60"/>
      <c r="KHV96" s="34"/>
      <c r="KHW96" s="60"/>
      <c r="KIL96" s="34"/>
      <c r="KIM96" s="60"/>
      <c r="KJB96" s="34"/>
      <c r="KJC96" s="60"/>
      <c r="KJR96" s="34"/>
      <c r="KJS96" s="60"/>
      <c r="KKH96" s="34"/>
      <c r="KKI96" s="60"/>
      <c r="KKX96" s="34"/>
      <c r="KKY96" s="60"/>
      <c r="KLN96" s="34"/>
      <c r="KLO96" s="60"/>
      <c r="KMD96" s="34"/>
      <c r="KME96" s="60"/>
      <c r="KMT96" s="34"/>
      <c r="KMU96" s="60"/>
      <c r="KNJ96" s="34"/>
      <c r="KNK96" s="60"/>
      <c r="KNZ96" s="34"/>
      <c r="KOA96" s="60"/>
      <c r="KOP96" s="34"/>
      <c r="KOQ96" s="60"/>
      <c r="KPF96" s="34"/>
      <c r="KPG96" s="60"/>
      <c r="KPV96" s="34"/>
      <c r="KPW96" s="60"/>
      <c r="KQL96" s="34"/>
      <c r="KQM96" s="60"/>
      <c r="KRB96" s="34"/>
      <c r="KRC96" s="60"/>
      <c r="KRR96" s="34"/>
      <c r="KRS96" s="60"/>
      <c r="KSH96" s="34"/>
      <c r="KSI96" s="60"/>
      <c r="KSX96" s="34"/>
      <c r="KSY96" s="60"/>
      <c r="KTN96" s="34"/>
      <c r="KTO96" s="60"/>
      <c r="KUD96" s="34"/>
      <c r="KUE96" s="60"/>
      <c r="KUT96" s="34"/>
      <c r="KUU96" s="60"/>
      <c r="KVJ96" s="34"/>
      <c r="KVK96" s="60"/>
      <c r="KVZ96" s="34"/>
      <c r="KWA96" s="60"/>
      <c r="KWP96" s="34"/>
      <c r="KWQ96" s="60"/>
      <c r="KXF96" s="34"/>
      <c r="KXG96" s="60"/>
      <c r="KXV96" s="34"/>
      <c r="KXW96" s="60"/>
      <c r="KYL96" s="34"/>
      <c r="KYM96" s="60"/>
      <c r="KZB96" s="34"/>
      <c r="KZC96" s="60"/>
      <c r="KZR96" s="34"/>
      <c r="KZS96" s="60"/>
      <c r="LAH96" s="34"/>
      <c r="LAI96" s="60"/>
      <c r="LAX96" s="34"/>
      <c r="LAY96" s="60"/>
      <c r="LBN96" s="34"/>
      <c r="LBO96" s="60"/>
      <c r="LCD96" s="34"/>
      <c r="LCE96" s="60"/>
      <c r="LCT96" s="34"/>
      <c r="LCU96" s="60"/>
      <c r="LDJ96" s="34"/>
      <c r="LDK96" s="60"/>
      <c r="LDZ96" s="34"/>
      <c r="LEA96" s="60"/>
      <c r="LEP96" s="34"/>
      <c r="LEQ96" s="60"/>
      <c r="LFF96" s="34"/>
      <c r="LFG96" s="60"/>
      <c r="LFV96" s="34"/>
      <c r="LFW96" s="60"/>
      <c r="LGL96" s="34"/>
      <c r="LGM96" s="60"/>
      <c r="LHB96" s="34"/>
      <c r="LHC96" s="60"/>
      <c r="LHR96" s="34"/>
      <c r="LHS96" s="60"/>
      <c r="LIH96" s="34"/>
      <c r="LII96" s="60"/>
      <c r="LIX96" s="34"/>
      <c r="LIY96" s="60"/>
      <c r="LJN96" s="34"/>
      <c r="LJO96" s="60"/>
      <c r="LKD96" s="34"/>
      <c r="LKE96" s="60"/>
      <c r="LKT96" s="34"/>
      <c r="LKU96" s="60"/>
      <c r="LLJ96" s="34"/>
      <c r="LLK96" s="60"/>
      <c r="LLZ96" s="34"/>
      <c r="LMA96" s="60"/>
      <c r="LMP96" s="34"/>
      <c r="LMQ96" s="60"/>
      <c r="LNF96" s="34"/>
      <c r="LNG96" s="60"/>
      <c r="LNV96" s="34"/>
      <c r="LNW96" s="60"/>
      <c r="LOL96" s="34"/>
      <c r="LOM96" s="60"/>
      <c r="LPB96" s="34"/>
      <c r="LPC96" s="60"/>
      <c r="LPR96" s="34"/>
      <c r="LPS96" s="60"/>
      <c r="LQH96" s="34"/>
      <c r="LQI96" s="60"/>
      <c r="LQX96" s="34"/>
      <c r="LQY96" s="60"/>
      <c r="LRN96" s="34"/>
      <c r="LRO96" s="60"/>
      <c r="LSD96" s="34"/>
      <c r="LSE96" s="60"/>
      <c r="LST96" s="34"/>
      <c r="LSU96" s="60"/>
      <c r="LTJ96" s="34"/>
      <c r="LTK96" s="60"/>
      <c r="LTZ96" s="34"/>
      <c r="LUA96" s="60"/>
      <c r="LUP96" s="34"/>
      <c r="LUQ96" s="60"/>
      <c r="LVF96" s="34"/>
      <c r="LVG96" s="60"/>
      <c r="LVV96" s="34"/>
      <c r="LVW96" s="60"/>
      <c r="LWL96" s="34"/>
      <c r="LWM96" s="60"/>
      <c r="LXB96" s="34"/>
      <c r="LXC96" s="60"/>
      <c r="LXR96" s="34"/>
      <c r="LXS96" s="60"/>
      <c r="LYH96" s="34"/>
      <c r="LYI96" s="60"/>
      <c r="LYX96" s="34"/>
      <c r="LYY96" s="60"/>
      <c r="LZN96" s="34"/>
      <c r="LZO96" s="60"/>
      <c r="MAD96" s="34"/>
      <c r="MAE96" s="60"/>
      <c r="MAT96" s="34"/>
      <c r="MAU96" s="60"/>
      <c r="MBJ96" s="34"/>
      <c r="MBK96" s="60"/>
      <c r="MBZ96" s="34"/>
      <c r="MCA96" s="60"/>
      <c r="MCP96" s="34"/>
      <c r="MCQ96" s="60"/>
      <c r="MDF96" s="34"/>
      <c r="MDG96" s="60"/>
      <c r="MDV96" s="34"/>
      <c r="MDW96" s="60"/>
      <c r="MEL96" s="34"/>
      <c r="MEM96" s="60"/>
      <c r="MFB96" s="34"/>
      <c r="MFC96" s="60"/>
      <c r="MFR96" s="34"/>
      <c r="MFS96" s="60"/>
      <c r="MGH96" s="34"/>
      <c r="MGI96" s="60"/>
      <c r="MGX96" s="34"/>
      <c r="MGY96" s="60"/>
      <c r="MHN96" s="34"/>
      <c r="MHO96" s="60"/>
      <c r="MID96" s="34"/>
      <c r="MIE96" s="60"/>
      <c r="MIT96" s="34"/>
      <c r="MIU96" s="60"/>
      <c r="MJJ96" s="34"/>
      <c r="MJK96" s="60"/>
      <c r="MJZ96" s="34"/>
      <c r="MKA96" s="60"/>
      <c r="MKP96" s="34"/>
      <c r="MKQ96" s="60"/>
      <c r="MLF96" s="34"/>
      <c r="MLG96" s="60"/>
      <c r="MLV96" s="34"/>
      <c r="MLW96" s="60"/>
      <c r="MML96" s="34"/>
      <c r="MMM96" s="60"/>
      <c r="MNB96" s="34"/>
      <c r="MNC96" s="60"/>
      <c r="MNR96" s="34"/>
      <c r="MNS96" s="60"/>
      <c r="MOH96" s="34"/>
      <c r="MOI96" s="60"/>
      <c r="MOX96" s="34"/>
      <c r="MOY96" s="60"/>
      <c r="MPN96" s="34"/>
      <c r="MPO96" s="60"/>
      <c r="MQD96" s="34"/>
      <c r="MQE96" s="60"/>
      <c r="MQT96" s="34"/>
      <c r="MQU96" s="60"/>
      <c r="MRJ96" s="34"/>
      <c r="MRK96" s="60"/>
      <c r="MRZ96" s="34"/>
      <c r="MSA96" s="60"/>
      <c r="MSP96" s="34"/>
      <c r="MSQ96" s="60"/>
      <c r="MTF96" s="34"/>
      <c r="MTG96" s="60"/>
      <c r="MTV96" s="34"/>
      <c r="MTW96" s="60"/>
      <c r="MUL96" s="34"/>
      <c r="MUM96" s="60"/>
      <c r="MVB96" s="34"/>
      <c r="MVC96" s="60"/>
      <c r="MVR96" s="34"/>
      <c r="MVS96" s="60"/>
      <c r="MWH96" s="34"/>
      <c r="MWI96" s="60"/>
      <c r="MWX96" s="34"/>
      <c r="MWY96" s="60"/>
      <c r="MXN96" s="34"/>
      <c r="MXO96" s="60"/>
      <c r="MYD96" s="34"/>
      <c r="MYE96" s="60"/>
      <c r="MYT96" s="34"/>
      <c r="MYU96" s="60"/>
      <c r="MZJ96" s="34"/>
      <c r="MZK96" s="60"/>
      <c r="MZZ96" s="34"/>
      <c r="NAA96" s="60"/>
      <c r="NAP96" s="34"/>
      <c r="NAQ96" s="60"/>
      <c r="NBF96" s="34"/>
      <c r="NBG96" s="60"/>
      <c r="NBV96" s="34"/>
      <c r="NBW96" s="60"/>
      <c r="NCL96" s="34"/>
      <c r="NCM96" s="60"/>
      <c r="NDB96" s="34"/>
      <c r="NDC96" s="60"/>
      <c r="NDR96" s="34"/>
      <c r="NDS96" s="60"/>
      <c r="NEH96" s="34"/>
      <c r="NEI96" s="60"/>
      <c r="NEX96" s="34"/>
      <c r="NEY96" s="60"/>
      <c r="NFN96" s="34"/>
      <c r="NFO96" s="60"/>
      <c r="NGD96" s="34"/>
      <c r="NGE96" s="60"/>
      <c r="NGT96" s="34"/>
      <c r="NGU96" s="60"/>
      <c r="NHJ96" s="34"/>
      <c r="NHK96" s="60"/>
      <c r="NHZ96" s="34"/>
      <c r="NIA96" s="60"/>
      <c r="NIP96" s="34"/>
      <c r="NIQ96" s="60"/>
      <c r="NJF96" s="34"/>
      <c r="NJG96" s="60"/>
      <c r="NJV96" s="34"/>
      <c r="NJW96" s="60"/>
      <c r="NKL96" s="34"/>
      <c r="NKM96" s="60"/>
      <c r="NLB96" s="34"/>
      <c r="NLC96" s="60"/>
      <c r="NLR96" s="34"/>
      <c r="NLS96" s="60"/>
      <c r="NMH96" s="34"/>
      <c r="NMI96" s="60"/>
      <c r="NMX96" s="34"/>
      <c r="NMY96" s="60"/>
      <c r="NNN96" s="34"/>
      <c r="NNO96" s="60"/>
      <c r="NOD96" s="34"/>
      <c r="NOE96" s="60"/>
      <c r="NOT96" s="34"/>
      <c r="NOU96" s="60"/>
      <c r="NPJ96" s="34"/>
      <c r="NPK96" s="60"/>
      <c r="NPZ96" s="34"/>
      <c r="NQA96" s="60"/>
      <c r="NQP96" s="34"/>
      <c r="NQQ96" s="60"/>
      <c r="NRF96" s="34"/>
      <c r="NRG96" s="60"/>
      <c r="NRV96" s="34"/>
      <c r="NRW96" s="60"/>
      <c r="NSL96" s="34"/>
      <c r="NSM96" s="60"/>
      <c r="NTB96" s="34"/>
      <c r="NTC96" s="60"/>
      <c r="NTR96" s="34"/>
      <c r="NTS96" s="60"/>
      <c r="NUH96" s="34"/>
      <c r="NUI96" s="60"/>
      <c r="NUX96" s="34"/>
      <c r="NUY96" s="60"/>
      <c r="NVN96" s="34"/>
      <c r="NVO96" s="60"/>
      <c r="NWD96" s="34"/>
      <c r="NWE96" s="60"/>
      <c r="NWT96" s="34"/>
      <c r="NWU96" s="60"/>
      <c r="NXJ96" s="34"/>
      <c r="NXK96" s="60"/>
      <c r="NXZ96" s="34"/>
      <c r="NYA96" s="60"/>
      <c r="NYP96" s="34"/>
      <c r="NYQ96" s="60"/>
      <c r="NZF96" s="34"/>
      <c r="NZG96" s="60"/>
      <c r="NZV96" s="34"/>
      <c r="NZW96" s="60"/>
      <c r="OAL96" s="34"/>
      <c r="OAM96" s="60"/>
      <c r="OBB96" s="34"/>
      <c r="OBC96" s="60"/>
      <c r="OBR96" s="34"/>
      <c r="OBS96" s="60"/>
      <c r="OCH96" s="34"/>
      <c r="OCI96" s="60"/>
      <c r="OCX96" s="34"/>
      <c r="OCY96" s="60"/>
      <c r="ODN96" s="34"/>
      <c r="ODO96" s="60"/>
      <c r="OED96" s="34"/>
      <c r="OEE96" s="60"/>
      <c r="OET96" s="34"/>
      <c r="OEU96" s="60"/>
      <c r="OFJ96" s="34"/>
      <c r="OFK96" s="60"/>
      <c r="OFZ96" s="34"/>
      <c r="OGA96" s="60"/>
      <c r="OGP96" s="34"/>
      <c r="OGQ96" s="60"/>
      <c r="OHF96" s="34"/>
      <c r="OHG96" s="60"/>
      <c r="OHV96" s="34"/>
      <c r="OHW96" s="60"/>
      <c r="OIL96" s="34"/>
      <c r="OIM96" s="60"/>
      <c r="OJB96" s="34"/>
      <c r="OJC96" s="60"/>
      <c r="OJR96" s="34"/>
      <c r="OJS96" s="60"/>
      <c r="OKH96" s="34"/>
      <c r="OKI96" s="60"/>
      <c r="OKX96" s="34"/>
      <c r="OKY96" s="60"/>
      <c r="OLN96" s="34"/>
      <c r="OLO96" s="60"/>
      <c r="OMD96" s="34"/>
      <c r="OME96" s="60"/>
      <c r="OMT96" s="34"/>
      <c r="OMU96" s="60"/>
      <c r="ONJ96" s="34"/>
      <c r="ONK96" s="60"/>
      <c r="ONZ96" s="34"/>
      <c r="OOA96" s="60"/>
      <c r="OOP96" s="34"/>
      <c r="OOQ96" s="60"/>
      <c r="OPF96" s="34"/>
      <c r="OPG96" s="60"/>
      <c r="OPV96" s="34"/>
      <c r="OPW96" s="60"/>
      <c r="OQL96" s="34"/>
      <c r="OQM96" s="60"/>
      <c r="ORB96" s="34"/>
      <c r="ORC96" s="60"/>
      <c r="ORR96" s="34"/>
      <c r="ORS96" s="60"/>
      <c r="OSH96" s="34"/>
      <c r="OSI96" s="60"/>
      <c r="OSX96" s="34"/>
      <c r="OSY96" s="60"/>
      <c r="OTN96" s="34"/>
      <c r="OTO96" s="60"/>
      <c r="OUD96" s="34"/>
      <c r="OUE96" s="60"/>
      <c r="OUT96" s="34"/>
      <c r="OUU96" s="60"/>
      <c r="OVJ96" s="34"/>
      <c r="OVK96" s="60"/>
      <c r="OVZ96" s="34"/>
      <c r="OWA96" s="60"/>
      <c r="OWP96" s="34"/>
      <c r="OWQ96" s="60"/>
      <c r="OXF96" s="34"/>
      <c r="OXG96" s="60"/>
      <c r="OXV96" s="34"/>
      <c r="OXW96" s="60"/>
      <c r="OYL96" s="34"/>
      <c r="OYM96" s="60"/>
      <c r="OZB96" s="34"/>
      <c r="OZC96" s="60"/>
      <c r="OZR96" s="34"/>
      <c r="OZS96" s="60"/>
      <c r="PAH96" s="34"/>
      <c r="PAI96" s="60"/>
      <c r="PAX96" s="34"/>
      <c r="PAY96" s="60"/>
      <c r="PBN96" s="34"/>
      <c r="PBO96" s="60"/>
      <c r="PCD96" s="34"/>
      <c r="PCE96" s="60"/>
      <c r="PCT96" s="34"/>
      <c r="PCU96" s="60"/>
      <c r="PDJ96" s="34"/>
      <c r="PDK96" s="60"/>
      <c r="PDZ96" s="34"/>
      <c r="PEA96" s="60"/>
      <c r="PEP96" s="34"/>
      <c r="PEQ96" s="60"/>
      <c r="PFF96" s="34"/>
      <c r="PFG96" s="60"/>
      <c r="PFV96" s="34"/>
      <c r="PFW96" s="60"/>
      <c r="PGL96" s="34"/>
      <c r="PGM96" s="60"/>
      <c r="PHB96" s="34"/>
      <c r="PHC96" s="60"/>
      <c r="PHR96" s="34"/>
      <c r="PHS96" s="60"/>
      <c r="PIH96" s="34"/>
      <c r="PII96" s="60"/>
      <c r="PIX96" s="34"/>
      <c r="PIY96" s="60"/>
      <c r="PJN96" s="34"/>
      <c r="PJO96" s="60"/>
      <c r="PKD96" s="34"/>
      <c r="PKE96" s="60"/>
      <c r="PKT96" s="34"/>
      <c r="PKU96" s="60"/>
      <c r="PLJ96" s="34"/>
      <c r="PLK96" s="60"/>
      <c r="PLZ96" s="34"/>
      <c r="PMA96" s="60"/>
      <c r="PMP96" s="34"/>
      <c r="PMQ96" s="60"/>
      <c r="PNF96" s="34"/>
      <c r="PNG96" s="60"/>
      <c r="PNV96" s="34"/>
      <c r="PNW96" s="60"/>
      <c r="POL96" s="34"/>
      <c r="POM96" s="60"/>
      <c r="PPB96" s="34"/>
      <c r="PPC96" s="60"/>
      <c r="PPR96" s="34"/>
      <c r="PPS96" s="60"/>
      <c r="PQH96" s="34"/>
      <c r="PQI96" s="60"/>
      <c r="PQX96" s="34"/>
      <c r="PQY96" s="60"/>
      <c r="PRN96" s="34"/>
      <c r="PRO96" s="60"/>
      <c r="PSD96" s="34"/>
      <c r="PSE96" s="60"/>
      <c r="PST96" s="34"/>
      <c r="PSU96" s="60"/>
      <c r="PTJ96" s="34"/>
      <c r="PTK96" s="60"/>
      <c r="PTZ96" s="34"/>
      <c r="PUA96" s="60"/>
      <c r="PUP96" s="34"/>
      <c r="PUQ96" s="60"/>
      <c r="PVF96" s="34"/>
      <c r="PVG96" s="60"/>
      <c r="PVV96" s="34"/>
      <c r="PVW96" s="60"/>
      <c r="PWL96" s="34"/>
      <c r="PWM96" s="60"/>
      <c r="PXB96" s="34"/>
      <c r="PXC96" s="60"/>
      <c r="PXR96" s="34"/>
      <c r="PXS96" s="60"/>
      <c r="PYH96" s="34"/>
      <c r="PYI96" s="60"/>
      <c r="PYX96" s="34"/>
      <c r="PYY96" s="60"/>
      <c r="PZN96" s="34"/>
      <c r="PZO96" s="60"/>
      <c r="QAD96" s="34"/>
      <c r="QAE96" s="60"/>
      <c r="QAT96" s="34"/>
      <c r="QAU96" s="60"/>
      <c r="QBJ96" s="34"/>
      <c r="QBK96" s="60"/>
      <c r="QBZ96" s="34"/>
      <c r="QCA96" s="60"/>
      <c r="QCP96" s="34"/>
      <c r="QCQ96" s="60"/>
      <c r="QDF96" s="34"/>
      <c r="QDG96" s="60"/>
      <c r="QDV96" s="34"/>
      <c r="QDW96" s="60"/>
      <c r="QEL96" s="34"/>
      <c r="QEM96" s="60"/>
      <c r="QFB96" s="34"/>
      <c r="QFC96" s="60"/>
      <c r="QFR96" s="34"/>
      <c r="QFS96" s="60"/>
      <c r="QGH96" s="34"/>
      <c r="QGI96" s="60"/>
      <c r="QGX96" s="34"/>
      <c r="QGY96" s="60"/>
      <c r="QHN96" s="34"/>
      <c r="QHO96" s="60"/>
      <c r="QID96" s="34"/>
      <c r="QIE96" s="60"/>
      <c r="QIT96" s="34"/>
      <c r="QIU96" s="60"/>
      <c r="QJJ96" s="34"/>
      <c r="QJK96" s="60"/>
      <c r="QJZ96" s="34"/>
      <c r="QKA96" s="60"/>
      <c r="QKP96" s="34"/>
      <c r="QKQ96" s="60"/>
      <c r="QLF96" s="34"/>
      <c r="QLG96" s="60"/>
      <c r="QLV96" s="34"/>
      <c r="QLW96" s="60"/>
      <c r="QML96" s="34"/>
      <c r="QMM96" s="60"/>
      <c r="QNB96" s="34"/>
      <c r="QNC96" s="60"/>
      <c r="QNR96" s="34"/>
      <c r="QNS96" s="60"/>
      <c r="QOH96" s="34"/>
      <c r="QOI96" s="60"/>
      <c r="QOX96" s="34"/>
      <c r="QOY96" s="60"/>
      <c r="QPN96" s="34"/>
      <c r="QPO96" s="60"/>
      <c r="QQD96" s="34"/>
      <c r="QQE96" s="60"/>
      <c r="QQT96" s="34"/>
      <c r="QQU96" s="60"/>
      <c r="QRJ96" s="34"/>
      <c r="QRK96" s="60"/>
      <c r="QRZ96" s="34"/>
      <c r="QSA96" s="60"/>
      <c r="QSP96" s="34"/>
      <c r="QSQ96" s="60"/>
      <c r="QTF96" s="34"/>
      <c r="QTG96" s="60"/>
      <c r="QTV96" s="34"/>
      <c r="QTW96" s="60"/>
      <c r="QUL96" s="34"/>
      <c r="QUM96" s="60"/>
      <c r="QVB96" s="34"/>
      <c r="QVC96" s="60"/>
      <c r="QVR96" s="34"/>
      <c r="QVS96" s="60"/>
      <c r="QWH96" s="34"/>
      <c r="QWI96" s="60"/>
      <c r="QWX96" s="34"/>
      <c r="QWY96" s="60"/>
      <c r="QXN96" s="34"/>
      <c r="QXO96" s="60"/>
      <c r="QYD96" s="34"/>
      <c r="QYE96" s="60"/>
      <c r="QYT96" s="34"/>
      <c r="QYU96" s="60"/>
      <c r="QZJ96" s="34"/>
      <c r="QZK96" s="60"/>
      <c r="QZZ96" s="34"/>
      <c r="RAA96" s="60"/>
      <c r="RAP96" s="34"/>
      <c r="RAQ96" s="60"/>
      <c r="RBF96" s="34"/>
      <c r="RBG96" s="60"/>
      <c r="RBV96" s="34"/>
      <c r="RBW96" s="60"/>
      <c r="RCL96" s="34"/>
      <c r="RCM96" s="60"/>
      <c r="RDB96" s="34"/>
      <c r="RDC96" s="60"/>
      <c r="RDR96" s="34"/>
      <c r="RDS96" s="60"/>
      <c r="REH96" s="34"/>
      <c r="REI96" s="60"/>
      <c r="REX96" s="34"/>
      <c r="REY96" s="60"/>
      <c r="RFN96" s="34"/>
      <c r="RFO96" s="60"/>
      <c r="RGD96" s="34"/>
      <c r="RGE96" s="60"/>
      <c r="RGT96" s="34"/>
      <c r="RGU96" s="60"/>
      <c r="RHJ96" s="34"/>
      <c r="RHK96" s="60"/>
      <c r="RHZ96" s="34"/>
      <c r="RIA96" s="60"/>
      <c r="RIP96" s="34"/>
      <c r="RIQ96" s="60"/>
      <c r="RJF96" s="34"/>
      <c r="RJG96" s="60"/>
      <c r="RJV96" s="34"/>
      <c r="RJW96" s="60"/>
      <c r="RKL96" s="34"/>
      <c r="RKM96" s="60"/>
      <c r="RLB96" s="34"/>
      <c r="RLC96" s="60"/>
      <c r="RLR96" s="34"/>
      <c r="RLS96" s="60"/>
      <c r="RMH96" s="34"/>
      <c r="RMI96" s="60"/>
      <c r="RMX96" s="34"/>
      <c r="RMY96" s="60"/>
      <c r="RNN96" s="34"/>
      <c r="RNO96" s="60"/>
      <c r="ROD96" s="34"/>
      <c r="ROE96" s="60"/>
      <c r="ROT96" s="34"/>
      <c r="ROU96" s="60"/>
      <c r="RPJ96" s="34"/>
      <c r="RPK96" s="60"/>
      <c r="RPZ96" s="34"/>
      <c r="RQA96" s="60"/>
      <c r="RQP96" s="34"/>
      <c r="RQQ96" s="60"/>
      <c r="RRF96" s="34"/>
      <c r="RRG96" s="60"/>
      <c r="RRV96" s="34"/>
      <c r="RRW96" s="60"/>
      <c r="RSL96" s="34"/>
      <c r="RSM96" s="60"/>
      <c r="RTB96" s="34"/>
      <c r="RTC96" s="60"/>
      <c r="RTR96" s="34"/>
      <c r="RTS96" s="60"/>
      <c r="RUH96" s="34"/>
      <c r="RUI96" s="60"/>
      <c r="RUX96" s="34"/>
      <c r="RUY96" s="60"/>
      <c r="RVN96" s="34"/>
      <c r="RVO96" s="60"/>
      <c r="RWD96" s="34"/>
      <c r="RWE96" s="60"/>
      <c r="RWT96" s="34"/>
      <c r="RWU96" s="60"/>
      <c r="RXJ96" s="34"/>
      <c r="RXK96" s="60"/>
      <c r="RXZ96" s="34"/>
      <c r="RYA96" s="60"/>
      <c r="RYP96" s="34"/>
      <c r="RYQ96" s="60"/>
      <c r="RZF96" s="34"/>
      <c r="RZG96" s="60"/>
      <c r="RZV96" s="34"/>
      <c r="RZW96" s="60"/>
      <c r="SAL96" s="34"/>
      <c r="SAM96" s="60"/>
      <c r="SBB96" s="34"/>
      <c r="SBC96" s="60"/>
      <c r="SBR96" s="34"/>
      <c r="SBS96" s="60"/>
      <c r="SCH96" s="34"/>
      <c r="SCI96" s="60"/>
      <c r="SCX96" s="34"/>
      <c r="SCY96" s="60"/>
      <c r="SDN96" s="34"/>
      <c r="SDO96" s="60"/>
      <c r="SED96" s="34"/>
      <c r="SEE96" s="60"/>
      <c r="SET96" s="34"/>
      <c r="SEU96" s="60"/>
      <c r="SFJ96" s="34"/>
      <c r="SFK96" s="60"/>
      <c r="SFZ96" s="34"/>
      <c r="SGA96" s="60"/>
      <c r="SGP96" s="34"/>
      <c r="SGQ96" s="60"/>
      <c r="SHF96" s="34"/>
      <c r="SHG96" s="60"/>
      <c r="SHV96" s="34"/>
      <c r="SHW96" s="60"/>
      <c r="SIL96" s="34"/>
      <c r="SIM96" s="60"/>
      <c r="SJB96" s="34"/>
      <c r="SJC96" s="60"/>
      <c r="SJR96" s="34"/>
      <c r="SJS96" s="60"/>
      <c r="SKH96" s="34"/>
      <c r="SKI96" s="60"/>
      <c r="SKX96" s="34"/>
      <c r="SKY96" s="60"/>
      <c r="SLN96" s="34"/>
      <c r="SLO96" s="60"/>
      <c r="SMD96" s="34"/>
      <c r="SME96" s="60"/>
      <c r="SMT96" s="34"/>
      <c r="SMU96" s="60"/>
      <c r="SNJ96" s="34"/>
      <c r="SNK96" s="60"/>
      <c r="SNZ96" s="34"/>
      <c r="SOA96" s="60"/>
      <c r="SOP96" s="34"/>
      <c r="SOQ96" s="60"/>
      <c r="SPF96" s="34"/>
      <c r="SPG96" s="60"/>
      <c r="SPV96" s="34"/>
      <c r="SPW96" s="60"/>
      <c r="SQL96" s="34"/>
      <c r="SQM96" s="60"/>
      <c r="SRB96" s="34"/>
      <c r="SRC96" s="60"/>
      <c r="SRR96" s="34"/>
      <c r="SRS96" s="60"/>
      <c r="SSH96" s="34"/>
      <c r="SSI96" s="60"/>
      <c r="SSX96" s="34"/>
      <c r="SSY96" s="60"/>
      <c r="STN96" s="34"/>
      <c r="STO96" s="60"/>
      <c r="SUD96" s="34"/>
      <c r="SUE96" s="60"/>
      <c r="SUT96" s="34"/>
      <c r="SUU96" s="60"/>
      <c r="SVJ96" s="34"/>
      <c r="SVK96" s="60"/>
      <c r="SVZ96" s="34"/>
      <c r="SWA96" s="60"/>
      <c r="SWP96" s="34"/>
      <c r="SWQ96" s="60"/>
      <c r="SXF96" s="34"/>
      <c r="SXG96" s="60"/>
      <c r="SXV96" s="34"/>
      <c r="SXW96" s="60"/>
      <c r="SYL96" s="34"/>
      <c r="SYM96" s="60"/>
      <c r="SZB96" s="34"/>
      <c r="SZC96" s="60"/>
      <c r="SZR96" s="34"/>
      <c r="SZS96" s="60"/>
      <c r="TAH96" s="34"/>
      <c r="TAI96" s="60"/>
      <c r="TAX96" s="34"/>
      <c r="TAY96" s="60"/>
      <c r="TBN96" s="34"/>
      <c r="TBO96" s="60"/>
      <c r="TCD96" s="34"/>
      <c r="TCE96" s="60"/>
      <c r="TCT96" s="34"/>
      <c r="TCU96" s="60"/>
      <c r="TDJ96" s="34"/>
      <c r="TDK96" s="60"/>
      <c r="TDZ96" s="34"/>
      <c r="TEA96" s="60"/>
      <c r="TEP96" s="34"/>
      <c r="TEQ96" s="60"/>
      <c r="TFF96" s="34"/>
      <c r="TFG96" s="60"/>
      <c r="TFV96" s="34"/>
      <c r="TFW96" s="60"/>
      <c r="TGL96" s="34"/>
      <c r="TGM96" s="60"/>
      <c r="THB96" s="34"/>
      <c r="THC96" s="60"/>
      <c r="THR96" s="34"/>
      <c r="THS96" s="60"/>
      <c r="TIH96" s="34"/>
      <c r="TII96" s="60"/>
      <c r="TIX96" s="34"/>
      <c r="TIY96" s="60"/>
      <c r="TJN96" s="34"/>
      <c r="TJO96" s="60"/>
      <c r="TKD96" s="34"/>
      <c r="TKE96" s="60"/>
      <c r="TKT96" s="34"/>
      <c r="TKU96" s="60"/>
      <c r="TLJ96" s="34"/>
      <c r="TLK96" s="60"/>
      <c r="TLZ96" s="34"/>
      <c r="TMA96" s="60"/>
      <c r="TMP96" s="34"/>
      <c r="TMQ96" s="60"/>
      <c r="TNF96" s="34"/>
      <c r="TNG96" s="60"/>
      <c r="TNV96" s="34"/>
      <c r="TNW96" s="60"/>
      <c r="TOL96" s="34"/>
      <c r="TOM96" s="60"/>
      <c r="TPB96" s="34"/>
      <c r="TPC96" s="60"/>
      <c r="TPR96" s="34"/>
      <c r="TPS96" s="60"/>
      <c r="TQH96" s="34"/>
      <c r="TQI96" s="60"/>
      <c r="TQX96" s="34"/>
      <c r="TQY96" s="60"/>
      <c r="TRN96" s="34"/>
      <c r="TRO96" s="60"/>
      <c r="TSD96" s="34"/>
      <c r="TSE96" s="60"/>
      <c r="TST96" s="34"/>
      <c r="TSU96" s="60"/>
      <c r="TTJ96" s="34"/>
      <c r="TTK96" s="60"/>
      <c r="TTZ96" s="34"/>
      <c r="TUA96" s="60"/>
      <c r="TUP96" s="34"/>
      <c r="TUQ96" s="60"/>
      <c r="TVF96" s="34"/>
      <c r="TVG96" s="60"/>
      <c r="TVV96" s="34"/>
      <c r="TVW96" s="60"/>
      <c r="TWL96" s="34"/>
      <c r="TWM96" s="60"/>
      <c r="TXB96" s="34"/>
      <c r="TXC96" s="60"/>
      <c r="TXR96" s="34"/>
      <c r="TXS96" s="60"/>
      <c r="TYH96" s="34"/>
      <c r="TYI96" s="60"/>
      <c r="TYX96" s="34"/>
      <c r="TYY96" s="60"/>
      <c r="TZN96" s="34"/>
      <c r="TZO96" s="60"/>
      <c r="UAD96" s="34"/>
      <c r="UAE96" s="60"/>
      <c r="UAT96" s="34"/>
      <c r="UAU96" s="60"/>
      <c r="UBJ96" s="34"/>
      <c r="UBK96" s="60"/>
      <c r="UBZ96" s="34"/>
      <c r="UCA96" s="60"/>
      <c r="UCP96" s="34"/>
      <c r="UCQ96" s="60"/>
      <c r="UDF96" s="34"/>
      <c r="UDG96" s="60"/>
      <c r="UDV96" s="34"/>
      <c r="UDW96" s="60"/>
      <c r="UEL96" s="34"/>
      <c r="UEM96" s="60"/>
      <c r="UFB96" s="34"/>
      <c r="UFC96" s="60"/>
      <c r="UFR96" s="34"/>
      <c r="UFS96" s="60"/>
      <c r="UGH96" s="34"/>
      <c r="UGI96" s="60"/>
      <c r="UGX96" s="34"/>
      <c r="UGY96" s="60"/>
      <c r="UHN96" s="34"/>
      <c r="UHO96" s="60"/>
      <c r="UID96" s="34"/>
      <c r="UIE96" s="60"/>
      <c r="UIT96" s="34"/>
      <c r="UIU96" s="60"/>
      <c r="UJJ96" s="34"/>
      <c r="UJK96" s="60"/>
      <c r="UJZ96" s="34"/>
      <c r="UKA96" s="60"/>
      <c r="UKP96" s="34"/>
      <c r="UKQ96" s="60"/>
      <c r="ULF96" s="34"/>
      <c r="ULG96" s="60"/>
      <c r="ULV96" s="34"/>
      <c r="ULW96" s="60"/>
      <c r="UML96" s="34"/>
      <c r="UMM96" s="60"/>
      <c r="UNB96" s="34"/>
      <c r="UNC96" s="60"/>
      <c r="UNR96" s="34"/>
      <c r="UNS96" s="60"/>
      <c r="UOH96" s="34"/>
      <c r="UOI96" s="60"/>
      <c r="UOX96" s="34"/>
      <c r="UOY96" s="60"/>
      <c r="UPN96" s="34"/>
      <c r="UPO96" s="60"/>
      <c r="UQD96" s="34"/>
      <c r="UQE96" s="60"/>
      <c r="UQT96" s="34"/>
      <c r="UQU96" s="60"/>
      <c r="URJ96" s="34"/>
      <c r="URK96" s="60"/>
      <c r="URZ96" s="34"/>
      <c r="USA96" s="60"/>
      <c r="USP96" s="34"/>
      <c r="USQ96" s="60"/>
      <c r="UTF96" s="34"/>
      <c r="UTG96" s="60"/>
      <c r="UTV96" s="34"/>
      <c r="UTW96" s="60"/>
      <c r="UUL96" s="34"/>
      <c r="UUM96" s="60"/>
      <c r="UVB96" s="34"/>
      <c r="UVC96" s="60"/>
      <c r="UVR96" s="34"/>
      <c r="UVS96" s="60"/>
      <c r="UWH96" s="34"/>
      <c r="UWI96" s="60"/>
      <c r="UWX96" s="34"/>
      <c r="UWY96" s="60"/>
      <c r="UXN96" s="34"/>
      <c r="UXO96" s="60"/>
      <c r="UYD96" s="34"/>
      <c r="UYE96" s="60"/>
      <c r="UYT96" s="34"/>
      <c r="UYU96" s="60"/>
      <c r="UZJ96" s="34"/>
      <c r="UZK96" s="60"/>
      <c r="UZZ96" s="34"/>
      <c r="VAA96" s="60"/>
      <c r="VAP96" s="34"/>
      <c r="VAQ96" s="60"/>
      <c r="VBF96" s="34"/>
      <c r="VBG96" s="60"/>
      <c r="VBV96" s="34"/>
      <c r="VBW96" s="60"/>
      <c r="VCL96" s="34"/>
      <c r="VCM96" s="60"/>
      <c r="VDB96" s="34"/>
      <c r="VDC96" s="60"/>
      <c r="VDR96" s="34"/>
      <c r="VDS96" s="60"/>
      <c r="VEH96" s="34"/>
      <c r="VEI96" s="60"/>
      <c r="VEX96" s="34"/>
      <c r="VEY96" s="60"/>
      <c r="VFN96" s="34"/>
      <c r="VFO96" s="60"/>
      <c r="VGD96" s="34"/>
      <c r="VGE96" s="60"/>
      <c r="VGT96" s="34"/>
      <c r="VGU96" s="60"/>
      <c r="VHJ96" s="34"/>
      <c r="VHK96" s="60"/>
      <c r="VHZ96" s="34"/>
      <c r="VIA96" s="60"/>
      <c r="VIP96" s="34"/>
      <c r="VIQ96" s="60"/>
      <c r="VJF96" s="34"/>
      <c r="VJG96" s="60"/>
      <c r="VJV96" s="34"/>
      <c r="VJW96" s="60"/>
      <c r="VKL96" s="34"/>
      <c r="VKM96" s="60"/>
      <c r="VLB96" s="34"/>
      <c r="VLC96" s="60"/>
      <c r="VLR96" s="34"/>
      <c r="VLS96" s="60"/>
      <c r="VMH96" s="34"/>
      <c r="VMI96" s="60"/>
      <c r="VMX96" s="34"/>
      <c r="VMY96" s="60"/>
      <c r="VNN96" s="34"/>
      <c r="VNO96" s="60"/>
      <c r="VOD96" s="34"/>
      <c r="VOE96" s="60"/>
      <c r="VOT96" s="34"/>
      <c r="VOU96" s="60"/>
      <c r="VPJ96" s="34"/>
      <c r="VPK96" s="60"/>
      <c r="VPZ96" s="34"/>
      <c r="VQA96" s="60"/>
      <c r="VQP96" s="34"/>
      <c r="VQQ96" s="60"/>
      <c r="VRF96" s="34"/>
      <c r="VRG96" s="60"/>
      <c r="VRV96" s="34"/>
      <c r="VRW96" s="60"/>
      <c r="VSL96" s="34"/>
      <c r="VSM96" s="60"/>
      <c r="VTB96" s="34"/>
      <c r="VTC96" s="60"/>
      <c r="VTR96" s="34"/>
      <c r="VTS96" s="60"/>
      <c r="VUH96" s="34"/>
      <c r="VUI96" s="60"/>
      <c r="VUX96" s="34"/>
      <c r="VUY96" s="60"/>
      <c r="VVN96" s="34"/>
      <c r="VVO96" s="60"/>
      <c r="VWD96" s="34"/>
      <c r="VWE96" s="60"/>
      <c r="VWT96" s="34"/>
      <c r="VWU96" s="60"/>
      <c r="VXJ96" s="34"/>
      <c r="VXK96" s="60"/>
      <c r="VXZ96" s="34"/>
      <c r="VYA96" s="60"/>
      <c r="VYP96" s="34"/>
      <c r="VYQ96" s="60"/>
      <c r="VZF96" s="34"/>
      <c r="VZG96" s="60"/>
      <c r="VZV96" s="34"/>
      <c r="VZW96" s="60"/>
      <c r="WAL96" s="34"/>
      <c r="WAM96" s="60"/>
      <c r="WBB96" s="34"/>
      <c r="WBC96" s="60"/>
      <c r="WBR96" s="34"/>
      <c r="WBS96" s="60"/>
      <c r="WCH96" s="34"/>
      <c r="WCI96" s="60"/>
      <c r="WCX96" s="34"/>
      <c r="WCY96" s="60"/>
      <c r="WDN96" s="34"/>
      <c r="WDO96" s="60"/>
      <c r="WED96" s="34"/>
      <c r="WEE96" s="60"/>
      <c r="WET96" s="34"/>
      <c r="WEU96" s="60"/>
      <c r="WFJ96" s="34"/>
      <c r="WFK96" s="60"/>
      <c r="WFZ96" s="34"/>
      <c r="WGA96" s="60"/>
      <c r="WGP96" s="34"/>
      <c r="WGQ96" s="60"/>
      <c r="WHF96" s="34"/>
      <c r="WHG96" s="60"/>
      <c r="WHV96" s="34"/>
      <c r="WHW96" s="60"/>
      <c r="WIL96" s="34"/>
      <c r="WIM96" s="60"/>
      <c r="WJB96" s="34"/>
      <c r="WJC96" s="60"/>
      <c r="WJR96" s="34"/>
      <c r="WJS96" s="60"/>
      <c r="WKH96" s="34"/>
      <c r="WKI96" s="60"/>
      <c r="WKX96" s="34"/>
      <c r="WKY96" s="60"/>
      <c r="WLN96" s="34"/>
      <c r="WLO96" s="60"/>
      <c r="WMD96" s="34"/>
      <c r="WME96" s="60"/>
      <c r="WMT96" s="34"/>
      <c r="WMU96" s="60"/>
      <c r="WNJ96" s="34"/>
      <c r="WNK96" s="60"/>
      <c r="WNZ96" s="34"/>
      <c r="WOA96" s="60"/>
      <c r="WOP96" s="34"/>
      <c r="WOQ96" s="60"/>
      <c r="WPF96" s="34"/>
      <c r="WPG96" s="60"/>
      <c r="WPV96" s="34"/>
      <c r="WPW96" s="60"/>
      <c r="WQL96" s="34"/>
      <c r="WQM96" s="60"/>
      <c r="WRB96" s="34"/>
      <c r="WRC96" s="60"/>
      <c r="WRR96" s="34"/>
      <c r="WRS96" s="60"/>
      <c r="WSH96" s="34"/>
      <c r="WSI96" s="60"/>
      <c r="WSX96" s="34"/>
      <c r="WSY96" s="60"/>
      <c r="WTN96" s="34"/>
      <c r="WTO96" s="60"/>
      <c r="WUD96" s="34"/>
      <c r="WUE96" s="60"/>
      <c r="WUT96" s="34"/>
      <c r="WUU96" s="60"/>
      <c r="WVJ96" s="34"/>
      <c r="WVK96" s="60"/>
      <c r="WVZ96" s="34"/>
      <c r="WWA96" s="60"/>
      <c r="WWP96" s="34"/>
      <c r="WWQ96" s="60"/>
      <c r="WXF96" s="34"/>
      <c r="WXG96" s="60"/>
      <c r="WXV96" s="34"/>
      <c r="WXW96" s="60"/>
      <c r="WYL96" s="34"/>
      <c r="WYM96" s="60"/>
      <c r="WZB96" s="34"/>
      <c r="WZC96" s="60"/>
      <c r="WZR96" s="34"/>
      <c r="WZS96" s="60"/>
      <c r="XAH96" s="34"/>
      <c r="XAI96" s="60"/>
      <c r="XAX96" s="34"/>
      <c r="XAY96" s="60"/>
      <c r="XBN96" s="34"/>
      <c r="XBO96" s="60"/>
      <c r="XCD96" s="34"/>
      <c r="XCE96" s="60"/>
      <c r="XCT96" s="34"/>
      <c r="XCU96" s="60"/>
      <c r="XDJ96" s="34"/>
      <c r="XDK96" s="60"/>
      <c r="XDZ96" s="34"/>
      <c r="XEA96" s="60"/>
      <c r="XEP96" s="34"/>
      <c r="XEQ96" s="60"/>
    </row>
    <row r="97" spans="2:15" ht="15.75" x14ac:dyDescent="0.25">
      <c r="B97" s="205" t="s">
        <v>532</v>
      </c>
      <c r="C97" s="205"/>
      <c r="D97" s="205"/>
      <c r="E97" s="223"/>
      <c r="F97" s="223"/>
      <c r="G97" s="223"/>
      <c r="H97" s="223"/>
      <c r="I97" s="223"/>
      <c r="J97" s="223"/>
      <c r="K97" s="86"/>
    </row>
    <row r="98" spans="2:15" ht="15" x14ac:dyDescent="0.2">
      <c r="B98" s="223" t="str">
        <f>'Cover Service Sheet'!C182</f>
        <v xml:space="preserve"> </v>
      </c>
      <c r="C98" s="223"/>
      <c r="D98" s="223"/>
      <c r="E98" s="223"/>
      <c r="F98" s="223"/>
      <c r="G98" s="223"/>
      <c r="H98" s="223"/>
      <c r="I98" s="223"/>
      <c r="J98" s="223"/>
    </row>
    <row r="99" spans="2:15" ht="129" customHeight="1" x14ac:dyDescent="0.2">
      <c r="B99" s="605" t="str">
        <f>'Cover Service Sheet'!C183</f>
        <v xml:space="preserve">
</v>
      </c>
      <c r="C99" s="605"/>
      <c r="D99" s="605"/>
      <c r="E99" s="605"/>
      <c r="F99" s="605"/>
      <c r="G99" s="605"/>
      <c r="H99" s="605"/>
      <c r="I99" s="605"/>
      <c r="J99" s="605"/>
      <c r="K99" s="605"/>
      <c r="L99" s="605"/>
      <c r="M99" s="605"/>
      <c r="N99" s="605"/>
      <c r="O99" s="605"/>
    </row>
    <row r="100" spans="2:15" ht="15" x14ac:dyDescent="0.2">
      <c r="B100" s="223"/>
      <c r="C100" s="223"/>
      <c r="D100" s="223"/>
      <c r="E100" s="223"/>
      <c r="F100" s="223"/>
      <c r="G100" s="223"/>
      <c r="H100" s="223"/>
      <c r="I100" s="223"/>
      <c r="J100" s="223"/>
    </row>
    <row r="101" spans="2:15" ht="15.75" x14ac:dyDescent="0.25">
      <c r="B101" s="205" t="s">
        <v>534</v>
      </c>
      <c r="C101" s="223"/>
      <c r="D101" s="223"/>
      <c r="E101" s="223"/>
      <c r="F101" s="223"/>
      <c r="G101" s="223"/>
      <c r="H101" s="223"/>
      <c r="I101" s="223"/>
      <c r="J101" s="223"/>
    </row>
    <row r="102" spans="2:15" ht="15" x14ac:dyDescent="0.2">
      <c r="B102" s="223" t="str">
        <f>'Cover Service Sheet'!C186</f>
        <v/>
      </c>
      <c r="C102" s="223"/>
      <c r="D102" s="223"/>
      <c r="E102" s="223"/>
      <c r="F102" s="223"/>
      <c r="G102" s="223"/>
      <c r="H102" s="223"/>
      <c r="I102" s="223"/>
      <c r="J102" s="223"/>
    </row>
    <row r="103" spans="2:15" ht="141" customHeight="1" x14ac:dyDescent="0.2">
      <c r="B103" s="605">
        <f>'Cover Service Sheet'!C187</f>
        <v>0</v>
      </c>
      <c r="C103" s="605"/>
      <c r="D103" s="605"/>
      <c r="E103" s="605"/>
      <c r="F103" s="605"/>
      <c r="G103" s="605"/>
      <c r="H103" s="605"/>
      <c r="I103" s="605"/>
      <c r="J103" s="605"/>
      <c r="K103" s="605"/>
      <c r="L103" s="605"/>
      <c r="M103" s="605"/>
      <c r="N103" s="605"/>
      <c r="O103" s="605"/>
    </row>
    <row r="104" spans="2:15" ht="15" x14ac:dyDescent="0.2">
      <c r="B104" s="223"/>
      <c r="C104" s="223"/>
      <c r="D104" s="223"/>
      <c r="E104" s="223"/>
      <c r="F104" s="223"/>
      <c r="G104" s="223"/>
      <c r="H104" s="223"/>
      <c r="I104" s="223"/>
      <c r="J104" s="223"/>
    </row>
    <row r="105" spans="2:15" ht="15.75" x14ac:dyDescent="0.25">
      <c r="B105" s="205" t="s">
        <v>535</v>
      </c>
      <c r="C105" s="205"/>
      <c r="D105" s="205"/>
      <c r="E105" s="223"/>
      <c r="F105" s="223"/>
      <c r="G105" s="223"/>
      <c r="H105" s="223"/>
      <c r="I105" s="223"/>
      <c r="J105" s="223"/>
    </row>
    <row r="106" spans="2:15" ht="15" x14ac:dyDescent="0.2">
      <c r="B106" s="223" t="str">
        <f>'Cover Service Sheet'!C190</f>
        <v/>
      </c>
      <c r="C106" s="223"/>
      <c r="D106" s="223"/>
      <c r="E106" s="223"/>
      <c r="F106" s="223"/>
      <c r="G106" s="223"/>
      <c r="H106" s="223"/>
      <c r="I106" s="223"/>
      <c r="J106" s="223"/>
    </row>
    <row r="107" spans="2:15" ht="135" customHeight="1" x14ac:dyDescent="0.2">
      <c r="B107" s="605">
        <f>'Cover Service Sheet'!C191</f>
        <v>0</v>
      </c>
      <c r="C107" s="605"/>
      <c r="D107" s="605"/>
      <c r="E107" s="605"/>
      <c r="F107" s="605"/>
      <c r="G107" s="605"/>
      <c r="H107" s="605"/>
      <c r="I107" s="605"/>
      <c r="J107" s="605"/>
      <c r="K107" s="605"/>
      <c r="L107" s="605"/>
      <c r="M107" s="605"/>
      <c r="N107" s="605"/>
      <c r="O107" s="605"/>
    </row>
    <row r="108" spans="2:15" ht="44.25" customHeight="1" x14ac:dyDescent="0.2">
      <c r="B108" s="223"/>
      <c r="C108" s="223"/>
      <c r="D108" s="223"/>
      <c r="E108" s="223"/>
      <c r="F108" s="223"/>
      <c r="G108" s="223"/>
      <c r="H108" s="223"/>
      <c r="I108" s="223"/>
      <c r="J108" s="223"/>
    </row>
    <row r="109" spans="2:15" ht="15.75" hidden="1" x14ac:dyDescent="0.25">
      <c r="B109" s="205" t="s">
        <v>937</v>
      </c>
      <c r="C109" s="205"/>
      <c r="D109" s="223"/>
      <c r="E109" s="223"/>
      <c r="F109" s="223"/>
      <c r="G109" s="223"/>
      <c r="H109" s="223"/>
      <c r="I109" s="223"/>
      <c r="J109" s="223"/>
    </row>
    <row r="110" spans="2:15" ht="15" hidden="1" x14ac:dyDescent="0.2">
      <c r="B110" s="223" t="str">
        <f>'Cover Service Sheet'!C194</f>
        <v/>
      </c>
      <c r="C110" s="223"/>
      <c r="D110" s="223"/>
      <c r="E110" s="223"/>
      <c r="F110" s="223"/>
      <c r="G110" s="223"/>
      <c r="H110" s="223"/>
      <c r="I110" s="223"/>
      <c r="J110" s="223"/>
    </row>
    <row r="111" spans="2:15" ht="27.75" customHeight="1" x14ac:dyDescent="0.35">
      <c r="B111" s="224" t="s">
        <v>567</v>
      </c>
      <c r="C111" s="223"/>
      <c r="D111" s="223"/>
      <c r="E111" s="223"/>
      <c r="F111" s="223"/>
      <c r="G111" s="223"/>
      <c r="H111" s="223"/>
      <c r="I111" s="223"/>
      <c r="J111" s="223"/>
    </row>
    <row r="112" spans="2:15" ht="23.25" x14ac:dyDescent="0.35">
      <c r="B112" s="225" t="str">
        <f>'Cover Service Sheet'!Q7</f>
        <v>Please note: Where possible, all recalibrations should be booked online at the supplied booking site</v>
      </c>
      <c r="C112" s="223"/>
      <c r="D112" s="223"/>
      <c r="E112" s="223"/>
      <c r="F112" s="223"/>
      <c r="G112" s="223"/>
      <c r="H112" s="223"/>
      <c r="I112" s="223"/>
      <c r="J112" s="223"/>
    </row>
    <row r="113" spans="2:10" ht="23.25" x14ac:dyDescent="0.35">
      <c r="B113" s="225" t="str">
        <f>'Cover Service Sheet'!Q8</f>
        <v>No accessories present to return to end user</v>
      </c>
      <c r="C113" s="223"/>
      <c r="D113" s="223"/>
      <c r="E113" s="223"/>
      <c r="F113" s="223"/>
      <c r="G113" s="223"/>
      <c r="H113" s="223"/>
      <c r="I113" s="223"/>
      <c r="J113" s="223"/>
    </row>
    <row r="114" spans="2:10" ht="23.25" x14ac:dyDescent="0.35">
      <c r="B114" s="225" t="str">
        <f>'Cover Service Sheet'!Q33</f>
        <v>Exterior damage to case upon receipt</v>
      </c>
      <c r="C114" s="223"/>
      <c r="D114" s="223"/>
      <c r="E114" s="223"/>
      <c r="F114" s="223"/>
      <c r="G114" s="223"/>
      <c r="H114" s="223"/>
      <c r="I114" s="223"/>
      <c r="J114" s="223"/>
    </row>
    <row r="115" spans="2:10" ht="23.25" x14ac:dyDescent="0.35">
      <c r="B115" s="225" t="str">
        <f>'Cover Service Sheet'!Q34</f>
        <v>No cap on input test point</v>
      </c>
      <c r="C115" s="223"/>
      <c r="D115" s="223"/>
      <c r="E115" s="223"/>
      <c r="F115" s="223"/>
      <c r="G115" s="223"/>
      <c r="H115" s="223"/>
      <c r="I115" s="223"/>
      <c r="J115" s="223"/>
    </row>
    <row r="116" spans="2:10" ht="23.25" x14ac:dyDescent="0.35">
      <c r="B116" s="225" t="str">
        <f>'Cover Service Sheet'!Q35</f>
        <v>No cap on waste test point</v>
      </c>
      <c r="C116" s="223"/>
      <c r="D116" s="223"/>
      <c r="E116" s="223"/>
      <c r="F116" s="223"/>
      <c r="G116" s="223"/>
      <c r="H116" s="223"/>
      <c r="I116" s="223"/>
      <c r="J116" s="223"/>
    </row>
    <row r="117" spans="2:10" ht="23.25" x14ac:dyDescent="0.35">
      <c r="B117" s="225" t="str">
        <f>'Cover Service Sheet'!Q39</f>
        <v>The screen has been damaged and is not functioning correctly</v>
      </c>
      <c r="C117" s="223"/>
      <c r="D117" s="223"/>
      <c r="E117" s="223"/>
      <c r="F117" s="223"/>
      <c r="G117" s="223"/>
      <c r="H117" s="223"/>
      <c r="I117" s="223"/>
      <c r="J117" s="223"/>
    </row>
    <row r="118" spans="2:10" ht="23.25" x14ac:dyDescent="0.35">
      <c r="B118" s="225" t="str">
        <f>'Cover Service Sheet'!Q42</f>
        <v>Firmware was an older version and needed updating</v>
      </c>
      <c r="C118" s="223"/>
      <c r="D118" s="223"/>
      <c r="E118" s="223"/>
      <c r="F118" s="223"/>
      <c r="G118" s="223"/>
      <c r="H118" s="223"/>
      <c r="I118" s="223"/>
      <c r="J118" s="223"/>
    </row>
    <row r="119" spans="2:10" ht="23.25" x14ac:dyDescent="0.35">
      <c r="B119" s="225" t="e">
        <f>'Cover Service Sheet'!Q71</f>
        <v>#REF!</v>
      </c>
      <c r="C119" s="223"/>
      <c r="D119" s="223"/>
      <c r="E119" s="223"/>
      <c r="F119" s="223"/>
      <c r="G119" s="223"/>
      <c r="H119" s="223"/>
      <c r="I119" s="223"/>
      <c r="J119" s="223"/>
    </row>
    <row r="120" spans="2:10" ht="23.25" x14ac:dyDescent="0.35">
      <c r="B120" s="225" t="e">
        <f>'Cover Service Sheet'!#REF!</f>
        <v>#REF!</v>
      </c>
      <c r="C120" s="223"/>
      <c r="D120" s="223"/>
      <c r="E120" s="223"/>
      <c r="F120" s="223"/>
      <c r="G120" s="223"/>
      <c r="H120" s="223"/>
      <c r="I120" s="223"/>
      <c r="J120" s="223"/>
    </row>
    <row r="121" spans="2:10" ht="23.25" x14ac:dyDescent="0.35">
      <c r="B121" s="225" t="e">
        <f>'Cover Service Sheet'!#REF!</f>
        <v>#REF!</v>
      </c>
      <c r="C121" s="223"/>
      <c r="D121" s="223"/>
      <c r="E121" s="223"/>
      <c r="F121" s="223"/>
      <c r="G121" s="223"/>
      <c r="H121" s="223"/>
      <c r="I121" s="223"/>
      <c r="J121" s="223"/>
    </row>
    <row r="122" spans="2:10" ht="23.25" x14ac:dyDescent="0.35">
      <c r="B122" s="225" t="e">
        <f>'Cover Service Sheet'!#REF!</f>
        <v>#REF!</v>
      </c>
      <c r="C122" s="223"/>
      <c r="D122" s="223"/>
      <c r="E122" s="223"/>
      <c r="F122" s="223"/>
      <c r="G122" s="223"/>
      <c r="H122" s="223"/>
      <c r="I122" s="223"/>
      <c r="J122" s="223"/>
    </row>
    <row r="123" spans="2:10" ht="23.25" x14ac:dyDescent="0.35">
      <c r="B123" s="225" t="str">
        <f>'Cover Service Sheet'!Q77</f>
        <v>Sensor array assembly passed initial inspection</v>
      </c>
      <c r="C123" s="223"/>
      <c r="D123" s="223"/>
      <c r="E123" s="223"/>
      <c r="F123" s="223"/>
      <c r="G123" s="223"/>
      <c r="H123" s="223"/>
      <c r="I123" s="223"/>
      <c r="J123" s="223"/>
    </row>
    <row r="124" spans="2:10" ht="23.25" x14ac:dyDescent="0.35">
      <c r="B124" s="225" t="str">
        <f>'Cover Service Sheet'!Q80</f>
        <v>Initial light source check, output within specification PASS</v>
      </c>
      <c r="C124" s="223"/>
      <c r="D124" s="223"/>
      <c r="E124" s="223"/>
      <c r="F124" s="223"/>
      <c r="G124" s="223"/>
      <c r="H124" s="223"/>
      <c r="I124" s="223"/>
      <c r="J124" s="223"/>
    </row>
    <row r="125" spans="2:10" ht="23.25" x14ac:dyDescent="0.35">
      <c r="B125" s="225" t="str">
        <f>'Cover Service Sheet'!Q81</f>
        <v>Initial Light source electrical noise output within specification PASS</v>
      </c>
      <c r="C125" s="223"/>
      <c r="D125" s="223"/>
      <c r="E125" s="223"/>
      <c r="F125" s="223"/>
      <c r="G125" s="223"/>
      <c r="H125" s="223"/>
      <c r="I125" s="223"/>
      <c r="J125" s="223"/>
    </row>
    <row r="126" spans="2:10" ht="23.25" x14ac:dyDescent="0.35">
      <c r="B126" s="225">
        <f>'Cover Service Sheet'!Q83</f>
        <v>0</v>
      </c>
      <c r="C126" s="223"/>
      <c r="D126" s="223"/>
      <c r="E126" s="223"/>
      <c r="F126" s="223"/>
      <c r="G126" s="223"/>
      <c r="H126" s="223"/>
      <c r="I126" s="223"/>
      <c r="J126" s="223"/>
    </row>
    <row r="127" spans="2:10" ht="23.25" x14ac:dyDescent="0.35">
      <c r="B127" s="225">
        <f>'Cover Service Sheet'!Q84</f>
        <v>0</v>
      </c>
      <c r="C127" s="223"/>
      <c r="D127" s="223"/>
      <c r="E127" s="223"/>
      <c r="F127" s="223"/>
      <c r="G127" s="223"/>
      <c r="H127" s="223"/>
      <c r="I127" s="223"/>
      <c r="J127" s="223"/>
    </row>
    <row r="128" spans="2:10" ht="23.25" x14ac:dyDescent="0.35">
      <c r="B128" s="225"/>
      <c r="C128" s="223"/>
      <c r="D128" s="223"/>
      <c r="E128" s="223"/>
      <c r="F128" s="223"/>
      <c r="G128" s="223"/>
      <c r="H128" s="223"/>
      <c r="I128" s="223"/>
      <c r="J128" s="223"/>
    </row>
    <row r="129" spans="2:10" ht="23.25" x14ac:dyDescent="0.35">
      <c r="B129" s="224" t="s">
        <v>938</v>
      </c>
      <c r="C129" s="223"/>
      <c r="D129" s="223"/>
      <c r="E129" s="223"/>
      <c r="F129" s="223"/>
      <c r="G129" s="223"/>
      <c r="H129" s="223"/>
      <c r="I129" s="223"/>
      <c r="J129" s="223"/>
    </row>
    <row r="130" spans="2:10" ht="23.25" x14ac:dyDescent="0.35">
      <c r="B130" s="225" t="e">
        <f>'Cover Service Sheet'!#REF!</f>
        <v>#REF!</v>
      </c>
      <c r="C130" s="223"/>
      <c r="D130" s="223"/>
      <c r="E130" s="223"/>
      <c r="F130" s="223"/>
      <c r="G130" s="223"/>
      <c r="H130" s="223"/>
      <c r="I130" s="223"/>
      <c r="J130" s="223"/>
    </row>
    <row r="131" spans="2:10" ht="23.25" x14ac:dyDescent="0.35">
      <c r="B131" s="225" t="e">
        <f>'Cover Service Sheet'!#REF!</f>
        <v>#REF!</v>
      </c>
      <c r="C131" s="223"/>
      <c r="D131" s="223"/>
      <c r="E131" s="223"/>
      <c r="F131" s="223"/>
      <c r="G131" s="223"/>
      <c r="H131" s="223"/>
      <c r="I131" s="223"/>
      <c r="J131" s="223"/>
    </row>
    <row r="132" spans="2:10" ht="23.25" x14ac:dyDescent="0.35">
      <c r="B132" s="225" t="e">
        <f>'Cover Service Sheet'!#REF!</f>
        <v>#REF!</v>
      </c>
      <c r="C132" s="223"/>
      <c r="D132" s="223"/>
      <c r="E132" s="223"/>
      <c r="F132" s="223"/>
      <c r="G132" s="223"/>
      <c r="H132" s="223"/>
      <c r="I132" s="223"/>
      <c r="J132" s="223"/>
    </row>
    <row r="133" spans="2:10" ht="23.25" x14ac:dyDescent="0.35">
      <c r="B133" s="225" t="str">
        <f>'Cover Service Sheet'!Q95</f>
        <v>Battery terminal cables of current design</v>
      </c>
      <c r="C133" s="223"/>
      <c r="D133" s="223"/>
      <c r="E133" s="223"/>
      <c r="F133" s="223"/>
      <c r="G133" s="223"/>
      <c r="H133" s="223"/>
      <c r="I133" s="223"/>
      <c r="J133" s="223"/>
    </row>
    <row r="134" spans="2:10" ht="23.25" x14ac:dyDescent="0.35">
      <c r="B134" s="225" t="str">
        <f>'Cover Service Sheet'!Q97</f>
        <v>Battery not secure in brackets, needed to be refurbished</v>
      </c>
      <c r="C134" s="223"/>
      <c r="D134" s="223"/>
      <c r="E134" s="223"/>
      <c r="F134" s="223"/>
      <c r="G134" s="223"/>
      <c r="H134" s="223"/>
      <c r="I134" s="223"/>
      <c r="J134" s="223"/>
    </row>
    <row r="135" spans="2:10" ht="23.25" x14ac:dyDescent="0.35">
      <c r="B135" s="225" t="e">
        <f>'Cover Service Sheet'!#REF!</f>
        <v>#REF!</v>
      </c>
      <c r="C135" s="223"/>
      <c r="D135" s="223"/>
      <c r="E135" s="223"/>
      <c r="F135" s="223"/>
      <c r="G135" s="223"/>
      <c r="H135" s="223"/>
      <c r="I135" s="223"/>
      <c r="J135" s="223"/>
    </row>
    <row r="136" spans="2:10" ht="23.25" x14ac:dyDescent="0.35">
      <c r="B136" s="225">
        <f>'Cover Service Sheet'!Q99</f>
        <v>0</v>
      </c>
      <c r="C136" s="223"/>
      <c r="D136" s="223"/>
      <c r="E136" s="223"/>
      <c r="F136" s="223"/>
      <c r="G136" s="223"/>
      <c r="H136" s="223"/>
      <c r="I136" s="223"/>
      <c r="J136" s="223"/>
    </row>
    <row r="137" spans="2:10" ht="23.25" x14ac:dyDescent="0.35">
      <c r="B137" s="225" t="e">
        <f>'Cover Service Sheet'!#REF!</f>
        <v>#REF!</v>
      </c>
      <c r="C137" s="223"/>
      <c r="D137" s="223"/>
      <c r="E137" s="223"/>
      <c r="F137" s="223"/>
      <c r="G137" s="223"/>
      <c r="H137" s="223"/>
      <c r="I137" s="223"/>
      <c r="J137" s="223"/>
    </row>
    <row r="138" spans="2:10" ht="23.25" x14ac:dyDescent="0.35">
      <c r="B138" s="225" t="str">
        <f>'Cover Service Sheet'!Q100</f>
        <v>High pressure seal integrity test failure, unit requires rework</v>
      </c>
      <c r="C138" s="223"/>
      <c r="D138" s="223"/>
      <c r="E138" s="223"/>
      <c r="F138" s="223"/>
      <c r="G138" s="223"/>
      <c r="H138" s="223"/>
      <c r="I138" s="223"/>
      <c r="J138" s="223"/>
    </row>
    <row r="139" spans="2:10" ht="23.25" x14ac:dyDescent="0.35">
      <c r="B139" s="225"/>
      <c r="C139" s="223"/>
      <c r="D139" s="223"/>
      <c r="E139" s="223"/>
      <c r="F139" s="223"/>
      <c r="G139" s="223"/>
      <c r="H139" s="223"/>
      <c r="I139" s="223"/>
      <c r="J139" s="223"/>
    </row>
    <row r="140" spans="2:10" ht="23.25" x14ac:dyDescent="0.35">
      <c r="B140" s="224" t="s">
        <v>939</v>
      </c>
      <c r="C140" s="223"/>
      <c r="D140" s="223"/>
      <c r="E140" s="223"/>
      <c r="F140" s="223"/>
      <c r="G140" s="223"/>
      <c r="H140" s="223"/>
      <c r="I140" s="223"/>
      <c r="J140" s="223"/>
    </row>
    <row r="141" spans="2:10" ht="23.25" x14ac:dyDescent="0.35">
      <c r="B141" s="225" t="str">
        <f>'Cover Service Sheet'!Q108</f>
        <v xml:space="preserve"> </v>
      </c>
      <c r="C141" s="223"/>
      <c r="D141" s="223"/>
      <c r="E141" s="223"/>
      <c r="F141" s="223"/>
      <c r="G141" s="223"/>
      <c r="H141" s="223"/>
      <c r="I141" s="223"/>
      <c r="J141" s="223"/>
    </row>
    <row r="142" spans="2:10" ht="23.25" x14ac:dyDescent="0.35">
      <c r="B142" s="225" t="str">
        <f>'Cover Service Sheet'!Q116</f>
        <v xml:space="preserve">Thresholds on certificate do not match those programmed in unit </v>
      </c>
      <c r="C142" s="223"/>
      <c r="D142" s="223"/>
      <c r="E142" s="223"/>
      <c r="F142" s="223"/>
      <c r="G142" s="223"/>
      <c r="H142" s="223"/>
      <c r="I142" s="223"/>
      <c r="J142" s="223"/>
    </row>
    <row r="143" spans="2:10" ht="23.25" x14ac:dyDescent="0.35">
      <c r="B143" s="225" t="str">
        <f>'Cover Service Sheet'!Q148</f>
        <v/>
      </c>
      <c r="C143" s="223"/>
      <c r="D143" s="223"/>
      <c r="E143" s="223"/>
      <c r="F143" s="223"/>
      <c r="G143" s="223"/>
      <c r="H143" s="223"/>
      <c r="I143" s="223"/>
      <c r="J143" s="223"/>
    </row>
    <row r="144" spans="2:10" ht="23.25" x14ac:dyDescent="0.35">
      <c r="B144" s="225" t="str">
        <f>'Cover Service Sheet'!Q154</f>
        <v/>
      </c>
      <c r="C144" s="223"/>
      <c r="D144" s="223"/>
      <c r="E144" s="223"/>
      <c r="F144" s="223"/>
      <c r="G144" s="223"/>
      <c r="H144" s="223"/>
      <c r="I144" s="223"/>
      <c r="J144" s="223"/>
    </row>
    <row r="145" spans="2:10" ht="23.25" x14ac:dyDescent="0.35">
      <c r="B145" s="225" t="str">
        <f>'Cover Service Sheet'!Q157</f>
        <v>LANGUAGE NOT CORRECT</v>
      </c>
      <c r="C145" s="223"/>
      <c r="D145" s="223"/>
      <c r="E145" s="223"/>
      <c r="F145" s="223"/>
      <c r="G145" s="223"/>
      <c r="H145" s="223"/>
      <c r="I145" s="223"/>
      <c r="J145" s="223"/>
    </row>
    <row r="146" spans="2:10" ht="23.25" x14ac:dyDescent="0.35">
      <c r="B146" s="225" t="str">
        <f>'Cover Service Sheet'!Q162</f>
        <v/>
      </c>
      <c r="C146" s="223"/>
      <c r="D146" s="223"/>
      <c r="E146" s="223"/>
      <c r="F146" s="223"/>
      <c r="G146" s="223"/>
      <c r="H146" s="223"/>
      <c r="I146" s="223"/>
      <c r="J146" s="223"/>
    </row>
    <row r="147" spans="2:10" ht="23.25" x14ac:dyDescent="0.35">
      <c r="B147" s="225"/>
      <c r="C147" s="223"/>
      <c r="D147" s="223"/>
      <c r="E147" s="223"/>
      <c r="F147" s="223"/>
      <c r="G147" s="223"/>
      <c r="H147" s="223"/>
      <c r="I147" s="223"/>
      <c r="J147" s="223"/>
    </row>
    <row r="148" spans="2:10" ht="23.25" x14ac:dyDescent="0.35">
      <c r="B148" s="225"/>
      <c r="C148" s="223"/>
      <c r="D148" s="223"/>
      <c r="E148" s="223"/>
      <c r="F148" s="223"/>
      <c r="G148" s="223"/>
      <c r="H148" s="223"/>
      <c r="I148" s="223"/>
      <c r="J148" s="223"/>
    </row>
    <row r="149" spans="2:10" ht="15" x14ac:dyDescent="0.2">
      <c r="B149" s="223"/>
      <c r="C149" s="223"/>
      <c r="D149" s="223"/>
      <c r="E149" s="223"/>
      <c r="F149" s="223"/>
      <c r="G149" s="223"/>
      <c r="H149" s="223"/>
      <c r="I149" s="223"/>
      <c r="J149" s="223"/>
    </row>
    <row r="150" spans="2:10" ht="15" x14ac:dyDescent="0.2">
      <c r="B150" s="223"/>
      <c r="C150" s="223"/>
      <c r="D150" s="223"/>
      <c r="E150" s="223"/>
      <c r="F150" s="223"/>
      <c r="G150" s="223"/>
      <c r="H150" s="223"/>
      <c r="I150" s="223"/>
      <c r="J150" s="223"/>
    </row>
    <row r="151" spans="2:10" ht="15.75" x14ac:dyDescent="0.25">
      <c r="B151" s="205" t="s">
        <v>537</v>
      </c>
      <c r="C151" s="205"/>
      <c r="D151" s="223" t="str">
        <f>'Cover Service Sheet'!D166</f>
        <v>-</v>
      </c>
      <c r="E151" s="223"/>
      <c r="F151" s="223"/>
      <c r="G151" s="223"/>
      <c r="H151" s="223"/>
      <c r="I151" s="223"/>
      <c r="J151" s="223"/>
    </row>
    <row r="152" spans="2:10" ht="15.75" x14ac:dyDescent="0.25">
      <c r="B152" s="205" t="s">
        <v>538</v>
      </c>
      <c r="C152" s="223"/>
      <c r="D152" s="226">
        <f>'Cover Service Sheet'!D111</f>
        <v>0</v>
      </c>
      <c r="E152" s="223"/>
      <c r="F152" s="223"/>
      <c r="G152" s="223"/>
      <c r="H152" s="223"/>
      <c r="I152" s="223"/>
      <c r="J152" s="223"/>
    </row>
    <row r="153" spans="2:10" ht="15" x14ac:dyDescent="0.2">
      <c r="B153" s="223"/>
      <c r="C153" s="223"/>
      <c r="D153" s="223"/>
      <c r="E153" s="223"/>
      <c r="F153" s="223"/>
      <c r="G153" s="223"/>
      <c r="H153" s="223"/>
      <c r="I153" s="223"/>
      <c r="J153" s="223"/>
    </row>
    <row r="154" spans="2:10" ht="15" x14ac:dyDescent="0.2">
      <c r="E154" s="223"/>
      <c r="F154" s="223"/>
      <c r="G154" s="223"/>
      <c r="H154" s="223"/>
      <c r="I154" s="223"/>
      <c r="J154" s="223"/>
    </row>
    <row r="155" spans="2:10" ht="15" x14ac:dyDescent="0.2">
      <c r="E155" s="223"/>
      <c r="F155" s="223"/>
      <c r="G155" s="223"/>
      <c r="H155" s="223"/>
      <c r="I155" s="223"/>
      <c r="J155" s="223"/>
    </row>
  </sheetData>
  <sheetProtection formatColumns="0"/>
  <mergeCells count="49">
    <mergeCell ref="B107:O107"/>
    <mergeCell ref="K72:O75"/>
    <mergeCell ref="D74:G74"/>
    <mergeCell ref="D76:F76"/>
    <mergeCell ref="L76:O76"/>
    <mergeCell ref="B99:O99"/>
    <mergeCell ref="B103:O103"/>
    <mergeCell ref="E38:F38"/>
    <mergeCell ref="G38:H38"/>
    <mergeCell ref="E39:F39"/>
    <mergeCell ref="G39:H39"/>
    <mergeCell ref="E40:F40"/>
    <mergeCell ref="G40:H40"/>
    <mergeCell ref="D34:E34"/>
    <mergeCell ref="F34:G34"/>
    <mergeCell ref="H34:I34"/>
    <mergeCell ref="D35:E35"/>
    <mergeCell ref="F35:G35"/>
    <mergeCell ref="H35:I35"/>
    <mergeCell ref="D32:E32"/>
    <mergeCell ref="F32:G32"/>
    <mergeCell ref="H32:I32"/>
    <mergeCell ref="D33:E33"/>
    <mergeCell ref="F33:G33"/>
    <mergeCell ref="H33:I33"/>
    <mergeCell ref="D30:E30"/>
    <mergeCell ref="F30:G30"/>
    <mergeCell ref="H30:I30"/>
    <mergeCell ref="D31:E31"/>
    <mergeCell ref="F31:G31"/>
    <mergeCell ref="H31:I31"/>
    <mergeCell ref="D28:E28"/>
    <mergeCell ref="F28:G28"/>
    <mergeCell ref="H28:I28"/>
    <mergeCell ref="D29:E29"/>
    <mergeCell ref="F29:G29"/>
    <mergeCell ref="H29:I29"/>
    <mergeCell ref="D26:E26"/>
    <mergeCell ref="F26:G26"/>
    <mergeCell ref="H26:I26"/>
    <mergeCell ref="D27:E27"/>
    <mergeCell ref="F27:G27"/>
    <mergeCell ref="H27:I27"/>
    <mergeCell ref="D19:F19"/>
    <mergeCell ref="B10:P10"/>
    <mergeCell ref="B13:O13"/>
    <mergeCell ref="B14:O14"/>
    <mergeCell ref="D17:F17"/>
    <mergeCell ref="D18:F18"/>
  </mergeCells>
  <conditionalFormatting sqref="D72">
    <cfRule type="cellIs" dxfId="9" priority="6" stopIfTrue="1" operator="equal">
      <formula>"PASS"</formula>
    </cfRule>
    <cfRule type="cellIs" dxfId="8" priority="7" stopIfTrue="1" operator="equal">
      <formula>"FAIL"</formula>
    </cfRule>
  </conditionalFormatting>
  <conditionalFormatting sqref="G40">
    <cfRule type="cellIs" dxfId="7" priority="1" stopIfTrue="1" operator="greaterThanOrEqual">
      <formula>1.19</formula>
    </cfRule>
    <cfRule type="cellIs" dxfId="6" priority="2" stopIfTrue="1" operator="lessThan">
      <formula>1.19</formula>
    </cfRule>
  </conditionalFormatting>
  <conditionalFormatting sqref="K72">
    <cfRule type="cellIs" dxfId="5" priority="9" stopIfTrue="1" operator="equal">
      <formula>"FAIL"</formula>
    </cfRule>
    <cfRule type="cellIs" dxfId="4" priority="10" stopIfTrue="1" operator="equal">
      <formula>"PASS - VERIFIED"</formula>
    </cfRule>
  </conditionalFormatting>
  <conditionalFormatting sqref="L28:L35">
    <cfRule type="cellIs" dxfId="3" priority="3" stopIfTrue="1" operator="between">
      <formula>-0.1</formula>
      <formula>0.1</formula>
    </cfRule>
    <cfRule type="cellIs" dxfId="2" priority="4" stopIfTrue="1" operator="greaterThanOrEqual">
      <formula>0.1</formula>
    </cfRule>
    <cfRule type="cellIs" dxfId="1" priority="5" stopIfTrue="1" operator="lessThan">
      <formula>-0.1</formula>
    </cfRule>
  </conditionalFormatting>
  <conditionalFormatting sqref="O22">
    <cfRule type="cellIs" dxfId="0" priority="8" stopIfTrue="1" operator="greaterThan">
      <formula>0</formula>
    </cfRule>
  </conditionalFormatting>
  <dataValidations count="2">
    <dataValidation type="list" allowBlank="1" showInputMessage="1" showErrorMessage="1" sqref="K72" xr:uid="{BA914334-66B8-4628-9DAA-2EA9646F6892}">
      <formula1>"PASS - VERIFIED, FAIL"</formula1>
    </dataValidation>
    <dataValidation type="list" allowBlank="1" showInputMessage="1" showErrorMessage="1" sqref="D72" xr:uid="{C4334644-5D15-4C6B-B9BF-96FEDC68C611}">
      <formula1>"PASS, FAIL"</formula1>
    </dataValidation>
  </dataValidations>
  <hyperlinks>
    <hyperlink ref="B8" r:id="rId1" xr:uid="{64A32334-D03B-4E14-878B-AC3E3F278620}"/>
    <hyperlink ref="B90" r:id="rId2" xr:uid="{0EF987B2-022B-4452-8419-BA258CDD24F6}"/>
    <hyperlink ref="R94" r:id="rId3" xr:uid="{46F42E65-7EEC-49C1-A92B-EAAFB487335D}"/>
    <hyperlink ref="AH94" r:id="rId4" xr:uid="{DBEEBF46-DAA8-437F-9288-ED37A85015E9}"/>
    <hyperlink ref="AX94" r:id="rId5" xr:uid="{EBC2CF4D-DD2E-4CEA-A573-2D3E8CCD07C2}"/>
    <hyperlink ref="BN94" r:id="rId6" xr:uid="{D213D1BA-AEAD-4DDD-92D6-FDB229365B97}"/>
    <hyperlink ref="CD94" r:id="rId7" xr:uid="{7A89C20D-A19C-4BE4-BEFB-184C4555469D}"/>
    <hyperlink ref="CT94" r:id="rId8" xr:uid="{5664BFC8-D907-47AC-A665-1B57BECC5EFD}"/>
    <hyperlink ref="DJ94" r:id="rId9" xr:uid="{FCAF65D8-C9D3-4319-8864-D9E5025B6AAE}"/>
    <hyperlink ref="DZ94" r:id="rId10" xr:uid="{F9E1D56A-3068-4D02-8E0D-CB4D43A46270}"/>
    <hyperlink ref="EP94" r:id="rId11" xr:uid="{1B18853B-309C-43AB-8184-55DAC79E4025}"/>
    <hyperlink ref="FF94" r:id="rId12" xr:uid="{BDDDDBF4-87E0-480E-A17B-348120E4B12D}"/>
    <hyperlink ref="FV94" r:id="rId13" xr:uid="{CEEB2E2F-70C8-418B-AD34-FF11EFDD3236}"/>
    <hyperlink ref="GL94" r:id="rId14" xr:uid="{4FC5AB58-68E8-42ED-8DE2-F8F3C6E71F33}"/>
    <hyperlink ref="HB94" r:id="rId15" xr:uid="{E6CC7AFC-470B-4C05-A190-564060D6A9C2}"/>
    <hyperlink ref="HR94" r:id="rId16" xr:uid="{E2663A7B-421F-411E-8885-EABA9B901EF5}"/>
    <hyperlink ref="IH94" r:id="rId17" xr:uid="{24F36C79-37F3-4271-B2D0-A6AE08967E79}"/>
    <hyperlink ref="IX94" r:id="rId18" xr:uid="{D746844F-6A81-4DB7-8328-0542950A7E06}"/>
    <hyperlink ref="JN94" r:id="rId19" xr:uid="{ACBC9073-63F9-4F1A-A678-B051B6F5B6D9}"/>
    <hyperlink ref="KD94" r:id="rId20" xr:uid="{4F837BB5-D12D-4850-8D54-D20C34AEF2CA}"/>
    <hyperlink ref="KT94" r:id="rId21" xr:uid="{E227BAEC-47E2-4BE1-B6BA-CBD9A81AE5A0}"/>
    <hyperlink ref="LJ94" r:id="rId22" xr:uid="{786BAADB-D169-467F-8D86-CD3CA00F2463}"/>
    <hyperlink ref="LZ94" r:id="rId23" xr:uid="{3094F71F-BDB3-41DA-BA84-980EFFBF4139}"/>
    <hyperlink ref="MP94" r:id="rId24" xr:uid="{122BB955-2DEC-4083-B5DF-1C11B9DDF0C6}"/>
    <hyperlink ref="NF94" r:id="rId25" xr:uid="{D12782B2-676F-4EBF-BDF6-9E0356D73833}"/>
    <hyperlink ref="NV94" r:id="rId26" xr:uid="{976B5915-8025-407E-B661-2DBBF0012437}"/>
    <hyperlink ref="OL94" r:id="rId27" xr:uid="{71C0D04A-440E-42D2-A412-3A2923D750E9}"/>
    <hyperlink ref="PB94" r:id="rId28" xr:uid="{F0F81E6B-C9CD-496A-A4E9-789ABE885142}"/>
    <hyperlink ref="PR94" r:id="rId29" xr:uid="{19CFCFE8-F4C2-4740-986D-A919E08F4C97}"/>
    <hyperlink ref="QH94" r:id="rId30" xr:uid="{D231EF43-384E-4022-A5F9-5DEF8793F7A2}"/>
    <hyperlink ref="QX94" r:id="rId31" xr:uid="{B1C90EEB-114F-48BF-A5F4-46B9A1CF95E9}"/>
    <hyperlink ref="RN94" r:id="rId32" xr:uid="{F20395E0-C592-4D5A-B50A-5FE6023962B3}"/>
    <hyperlink ref="SD94" r:id="rId33" xr:uid="{6D55E0AF-A18C-4D06-A1A8-32564FC3C456}"/>
    <hyperlink ref="ST94" r:id="rId34" xr:uid="{A6AF9AE1-E58C-45D8-85EB-0180A187E500}"/>
    <hyperlink ref="TJ94" r:id="rId35" xr:uid="{068D27B0-7586-43F9-82C1-FF7E0DDB6D69}"/>
    <hyperlink ref="TZ94" r:id="rId36" xr:uid="{56DA76DE-2E08-4848-B66E-80F3FD252C39}"/>
    <hyperlink ref="UP94" r:id="rId37" xr:uid="{AC2EDF69-EA0D-41A0-8A42-63B364454122}"/>
    <hyperlink ref="VF94" r:id="rId38" xr:uid="{9F2D89C5-857C-4394-9FB8-0858F791FFF5}"/>
    <hyperlink ref="VV94" r:id="rId39" xr:uid="{F61922E4-805A-4F56-8A6E-C180E0D1831B}"/>
    <hyperlink ref="WL94" r:id="rId40" xr:uid="{509B2869-EC94-48A3-A098-7ECA0FCB8963}"/>
    <hyperlink ref="XB94" r:id="rId41" xr:uid="{BBE36254-2C73-4230-800E-370109EA78A3}"/>
    <hyperlink ref="XR94" r:id="rId42" xr:uid="{99F0F8F5-128C-4113-934A-F02B0A30DD44}"/>
    <hyperlink ref="YH94" r:id="rId43" xr:uid="{6B83A29B-5685-41AE-8C6B-C5AFB1BA23D5}"/>
    <hyperlink ref="YX94" r:id="rId44" xr:uid="{0757658B-6D19-471A-A580-29126D04CA0F}"/>
    <hyperlink ref="ZN94" r:id="rId45" xr:uid="{74F5CF12-3E6A-49F4-8D5D-CF072FD5AFE8}"/>
    <hyperlink ref="AAD94" r:id="rId46" xr:uid="{03C91668-E29F-4662-B0F8-7E18E8644CD1}"/>
    <hyperlink ref="AAT94" r:id="rId47" xr:uid="{4CDB3974-5221-46D5-8FBA-BB79FDCF31DF}"/>
    <hyperlink ref="ABJ94" r:id="rId48" xr:uid="{3B8D837D-C049-4CAD-B4C0-09721F9C5F7E}"/>
    <hyperlink ref="ABZ94" r:id="rId49" xr:uid="{24BA8911-3574-4347-AF8D-E6FF177622BA}"/>
    <hyperlink ref="ACP94" r:id="rId50" xr:uid="{7E996726-8769-4090-8721-95FA0730AB62}"/>
    <hyperlink ref="ADF94" r:id="rId51" xr:uid="{F31FA018-B9FC-48BF-8D6B-A52EF61879C4}"/>
    <hyperlink ref="ADV94" r:id="rId52" xr:uid="{EA7FE0F4-98A7-4B15-BB2E-202968CC6AC6}"/>
    <hyperlink ref="AEL94" r:id="rId53" xr:uid="{BF3B1DBC-1F6F-4D90-B4D0-41E4EF7B0050}"/>
    <hyperlink ref="AFB94" r:id="rId54" xr:uid="{C649B87F-0A70-413D-A408-FD40AB2274E9}"/>
    <hyperlink ref="AFR94" r:id="rId55" xr:uid="{B3517C4C-30F9-4640-BAF5-56A40918F96F}"/>
    <hyperlink ref="AGH94" r:id="rId56" xr:uid="{A2D6A7F1-23E2-4362-B436-698EF907FDF7}"/>
    <hyperlink ref="AGX94" r:id="rId57" xr:uid="{2CC8444D-3EAF-4021-B5C5-F6FCA6AB5B47}"/>
    <hyperlink ref="AHN94" r:id="rId58" xr:uid="{628111F0-9984-4A12-96A8-6D5F35177F0D}"/>
    <hyperlink ref="AID94" r:id="rId59" xr:uid="{C83B7D34-0287-427A-935D-AEE2BB55E9AF}"/>
    <hyperlink ref="AIT94" r:id="rId60" xr:uid="{347DE9E1-1252-421B-BBD4-08F51DCEAD7A}"/>
    <hyperlink ref="AJJ94" r:id="rId61" xr:uid="{4DD43B15-B091-4296-8245-B49652BE0611}"/>
    <hyperlink ref="AJZ94" r:id="rId62" xr:uid="{614A4748-502B-4D28-920F-2677698A4A7D}"/>
    <hyperlink ref="AKP94" r:id="rId63" xr:uid="{64C7A7A3-E711-4459-A2F7-CBA1D3A59C7C}"/>
    <hyperlink ref="ALF94" r:id="rId64" xr:uid="{672DAAF3-5443-4073-8603-40CC3AA2A839}"/>
    <hyperlink ref="ALV94" r:id="rId65" xr:uid="{8553785D-2CDA-4245-96D6-BDBFF64B6D97}"/>
    <hyperlink ref="AML94" r:id="rId66" xr:uid="{6FA05A16-5B06-492E-ABF7-E89785E5FC4E}"/>
    <hyperlink ref="ANB94" r:id="rId67" xr:uid="{87DF2402-BD8C-457B-ACF5-E3503913E641}"/>
    <hyperlink ref="ANR94" r:id="rId68" xr:uid="{0ADC9A46-24D7-4BB8-9734-1C7352899BCF}"/>
    <hyperlink ref="AOH94" r:id="rId69" xr:uid="{4CA8266B-5923-4778-9511-5615D459F8DB}"/>
    <hyperlink ref="AOX94" r:id="rId70" xr:uid="{8BB08E8A-0B1C-4C44-99CC-27D6D5A27402}"/>
    <hyperlink ref="APN94" r:id="rId71" xr:uid="{C17949A7-F1C4-4EB2-85AF-43649608D0E7}"/>
    <hyperlink ref="AQD94" r:id="rId72" xr:uid="{321E0963-3815-4D92-B0BE-90862425A450}"/>
    <hyperlink ref="AQT94" r:id="rId73" xr:uid="{C183D4A4-306C-4271-BD76-EEEA0E366289}"/>
    <hyperlink ref="ARJ94" r:id="rId74" xr:uid="{523FC963-CC33-410E-954F-970AC7D91357}"/>
    <hyperlink ref="ARZ94" r:id="rId75" xr:uid="{40E0F4D9-6538-4B91-B831-5A3BF39D0BCB}"/>
    <hyperlink ref="ASP94" r:id="rId76" xr:uid="{36D6E171-E0BE-4AB4-A3A4-60D85462434B}"/>
    <hyperlink ref="ATF94" r:id="rId77" xr:uid="{DFE078F5-B674-4A3F-A63B-B622A1C4658A}"/>
    <hyperlink ref="ATV94" r:id="rId78" xr:uid="{50A692EB-E6F4-426B-A922-A7170E086DCA}"/>
    <hyperlink ref="AUL94" r:id="rId79" xr:uid="{2AF8C771-9CA7-4F07-906D-C6B50C69A07D}"/>
    <hyperlink ref="AVB94" r:id="rId80" xr:uid="{C6A43583-31B0-4C50-8475-B3660C8F6605}"/>
    <hyperlink ref="AVR94" r:id="rId81" xr:uid="{9D529949-2BA1-4764-852B-BAF38966F1FB}"/>
    <hyperlink ref="AWH94" r:id="rId82" xr:uid="{26457E72-82B0-4656-A142-76B7DA829218}"/>
    <hyperlink ref="AWX94" r:id="rId83" xr:uid="{EEED8DA6-EEFE-4733-B96B-6A13C74E10A4}"/>
    <hyperlink ref="AXN94" r:id="rId84" xr:uid="{AA06F199-0F8E-4144-89B2-2BE23BB33DB5}"/>
    <hyperlink ref="AYD94" r:id="rId85" xr:uid="{EC9C44E8-9DA9-407F-8273-5680DD342269}"/>
    <hyperlink ref="AYT94" r:id="rId86" xr:uid="{9855A0D7-C563-43B9-AFBA-761EB8C48CF1}"/>
    <hyperlink ref="AZJ94" r:id="rId87" xr:uid="{C472D5A6-D737-4B34-8216-CB420700B059}"/>
    <hyperlink ref="AZZ94" r:id="rId88" xr:uid="{FD67CE76-C8A1-47EE-A553-99AD41CBB88B}"/>
    <hyperlink ref="BAP94" r:id="rId89" xr:uid="{9F335F99-2B9C-4BC3-8EF6-4DA8B393C11E}"/>
    <hyperlink ref="BBF94" r:id="rId90" xr:uid="{8A1EEE2B-7EA7-4B74-A0F7-DDE0FBB24EC8}"/>
    <hyperlink ref="BBV94" r:id="rId91" xr:uid="{B7E7C830-B3B0-4EB5-A36F-461538384173}"/>
    <hyperlink ref="BCL94" r:id="rId92" xr:uid="{A0B134F0-E00D-4492-AFE5-2A18CD5F60AD}"/>
    <hyperlink ref="BDB94" r:id="rId93" xr:uid="{CCD7179D-6063-472C-A18F-2F60361C1B1D}"/>
    <hyperlink ref="BDR94" r:id="rId94" xr:uid="{621A6E93-9228-492B-AB72-4E608C966993}"/>
    <hyperlink ref="BEH94" r:id="rId95" xr:uid="{5B695E88-4F31-4170-A739-628783C4A67E}"/>
    <hyperlink ref="BEX94" r:id="rId96" xr:uid="{A806E7AC-933C-4B11-9066-681C0990FCF7}"/>
    <hyperlink ref="BFN94" r:id="rId97" xr:uid="{9CFAF0D9-0AE8-4F76-A1E1-C5B08B9496EF}"/>
    <hyperlink ref="BGD94" r:id="rId98" xr:uid="{9127227E-67F5-41C8-9364-0D11BDE8B497}"/>
    <hyperlink ref="BGT94" r:id="rId99" xr:uid="{67AD9FAF-38ED-488C-84EC-4083438D37C7}"/>
    <hyperlink ref="BHJ94" r:id="rId100" xr:uid="{C6CF2CD1-08AD-46AB-ADB9-0D9C65A59A50}"/>
    <hyperlink ref="BHZ94" r:id="rId101" xr:uid="{42916334-9CCE-4851-82BE-599725C6C767}"/>
    <hyperlink ref="BIP94" r:id="rId102" xr:uid="{2C78770F-46E0-44E7-8E25-6041ADB9F904}"/>
    <hyperlink ref="BJF94" r:id="rId103" xr:uid="{3A97D9B3-BEAC-431B-9BC9-29E1D5B68660}"/>
    <hyperlink ref="BJV94" r:id="rId104" xr:uid="{CE2E6EB9-1510-4E9F-8B8E-2452EBAD2264}"/>
    <hyperlink ref="BKL94" r:id="rId105" xr:uid="{423EC38C-AC78-4475-B04C-A8D1E6600D48}"/>
    <hyperlink ref="BLB94" r:id="rId106" xr:uid="{D56BDD3B-9C6C-46D1-8138-FCBCEF37B759}"/>
    <hyperlink ref="BLR94" r:id="rId107" xr:uid="{49266E4D-D012-45DF-89F4-17FB4FC7FFC4}"/>
    <hyperlink ref="BMH94" r:id="rId108" xr:uid="{016272D2-790C-4C58-A3BC-A1BC2AB9BC77}"/>
    <hyperlink ref="BMX94" r:id="rId109" xr:uid="{4983C529-3CC1-4E40-8D91-8943B5D22318}"/>
    <hyperlink ref="BNN94" r:id="rId110" xr:uid="{827335EE-B573-4A95-B696-42C4592AC1AC}"/>
    <hyperlink ref="BOD94" r:id="rId111" xr:uid="{2D77AFB9-4340-4EFF-BEDC-60C863619456}"/>
    <hyperlink ref="BOT94" r:id="rId112" xr:uid="{D5AAD067-E8DF-4507-9076-CA7EE12B5B2A}"/>
    <hyperlink ref="BPJ94" r:id="rId113" xr:uid="{A5A746FC-5B9F-427C-B8DD-90FEB97BF192}"/>
    <hyperlink ref="BPZ94" r:id="rId114" xr:uid="{B4E0EB83-01DC-4F2F-B5EB-E859E3F805D0}"/>
    <hyperlink ref="BQP94" r:id="rId115" xr:uid="{BA60B0E4-8480-4C84-BB01-3BFFA0E75AF9}"/>
    <hyperlink ref="BRF94" r:id="rId116" xr:uid="{D47E9329-5371-455B-B53A-0AB4D230D764}"/>
    <hyperlink ref="BRV94" r:id="rId117" xr:uid="{C56E7A87-B077-42EC-8910-00C56D4D63CF}"/>
    <hyperlink ref="BSL94" r:id="rId118" xr:uid="{4132E49F-1ED0-4014-BBD7-5DF9B71B3DDB}"/>
    <hyperlink ref="BTB94" r:id="rId119" xr:uid="{D268C274-A871-4C0E-AE19-038BC50CB6D2}"/>
    <hyperlink ref="BTR94" r:id="rId120" xr:uid="{1359B867-8B9D-4329-86B9-50A556F141CD}"/>
    <hyperlink ref="BUH94" r:id="rId121" xr:uid="{CE291B0D-9B97-4650-8FB1-905AC6C2387C}"/>
    <hyperlink ref="BUX94" r:id="rId122" xr:uid="{E90F0DDA-EEF3-4DD5-8433-D88FE75FB3B7}"/>
    <hyperlink ref="BVN94" r:id="rId123" xr:uid="{520AF443-A631-48D3-9533-13D11196FC3D}"/>
    <hyperlink ref="BWD94" r:id="rId124" xr:uid="{3E3765EA-2AAD-46F8-9DF8-4BB6F156FD02}"/>
    <hyperlink ref="BWT94" r:id="rId125" xr:uid="{FD5680EE-B752-45B3-BA33-72FC9193129D}"/>
    <hyperlink ref="BXJ94" r:id="rId126" xr:uid="{14CA2944-4138-4B39-841A-5C3B0EC22559}"/>
    <hyperlink ref="BXZ94" r:id="rId127" xr:uid="{D8CA7D82-70A6-4EE6-A5DE-D6CD659A29AE}"/>
    <hyperlink ref="BYP94" r:id="rId128" xr:uid="{BF17B83F-DFC2-4BB9-ADAF-8B423D7F905B}"/>
    <hyperlink ref="BZF94" r:id="rId129" xr:uid="{119AD23D-63D3-4E35-A347-187D8D16D170}"/>
    <hyperlink ref="BZV94" r:id="rId130" xr:uid="{9E23E62F-1001-4208-9014-2633D87CCD38}"/>
    <hyperlink ref="CAL94" r:id="rId131" xr:uid="{EF8869E3-6694-44A2-AB49-F02107ABC376}"/>
    <hyperlink ref="CBB94" r:id="rId132" xr:uid="{36403219-B906-45E1-AA82-98F045928BD5}"/>
    <hyperlink ref="CBR94" r:id="rId133" xr:uid="{53F36D81-136F-46C4-995D-ED7A3EF68B7E}"/>
    <hyperlink ref="CCH94" r:id="rId134" xr:uid="{75EDD3BB-F9C1-48DF-8414-E44240DB0D59}"/>
    <hyperlink ref="CCX94" r:id="rId135" xr:uid="{6249F4CC-7386-44CA-8290-82E3D6B6DEA5}"/>
    <hyperlink ref="CDN94" r:id="rId136" xr:uid="{D7CBE8EC-4B4E-4DDC-AFB9-12BB344B3380}"/>
    <hyperlink ref="CED94" r:id="rId137" xr:uid="{BE1FCE8A-99DC-4202-BEAA-08E3A0F94A97}"/>
    <hyperlink ref="CET94" r:id="rId138" xr:uid="{510BE829-3442-4E68-848B-7D345D1D196D}"/>
    <hyperlink ref="CFJ94" r:id="rId139" xr:uid="{A3BF6BD6-2B2C-40F5-BEE6-877490ABD642}"/>
    <hyperlink ref="CFZ94" r:id="rId140" xr:uid="{009189E7-0410-4E22-AD49-AEED0EE744C3}"/>
    <hyperlink ref="CGP94" r:id="rId141" xr:uid="{D1270A25-22BE-495A-B9A7-EDB90B8A3D7D}"/>
    <hyperlink ref="CHF94" r:id="rId142" xr:uid="{752B2B36-6488-4ED9-8332-4FC7587D9E2A}"/>
    <hyperlink ref="CHV94" r:id="rId143" xr:uid="{5AE62E92-2DF2-4B76-A60F-54B8BD491042}"/>
    <hyperlink ref="CIL94" r:id="rId144" xr:uid="{25EC133C-3A9E-40A1-905B-48AA41EB04F3}"/>
    <hyperlink ref="CJB94" r:id="rId145" xr:uid="{C5AA0895-AFEE-402D-B6FB-E4E4139626CB}"/>
    <hyperlink ref="CJR94" r:id="rId146" xr:uid="{BDCC143B-1B1A-4CD0-8948-B9341E388D75}"/>
    <hyperlink ref="CKH94" r:id="rId147" xr:uid="{6B67510A-4378-4CC8-B59A-0B2D5A57E5EB}"/>
    <hyperlink ref="CKX94" r:id="rId148" xr:uid="{6B087493-E19E-45DD-A6C4-47AE0C904BD6}"/>
    <hyperlink ref="CLN94" r:id="rId149" xr:uid="{ED8F5249-3559-423D-A107-A458436B2A2A}"/>
    <hyperlink ref="CMD94" r:id="rId150" xr:uid="{D9767A3D-89D8-4A48-A136-98FA24611777}"/>
    <hyperlink ref="CMT94" r:id="rId151" xr:uid="{3B9094D0-0D87-4DDF-9487-369BCC0832A3}"/>
    <hyperlink ref="CNJ94" r:id="rId152" xr:uid="{88BF82B8-AE90-4876-BD4D-9E1A1E79C4CE}"/>
    <hyperlink ref="CNZ94" r:id="rId153" xr:uid="{829AF51A-303F-4821-9592-A7303B4FC988}"/>
    <hyperlink ref="COP94" r:id="rId154" xr:uid="{AD749CA4-E8A2-41C6-AFD1-D00D35D723ED}"/>
    <hyperlink ref="CPF94" r:id="rId155" xr:uid="{19D3CD0C-8A63-41FB-8293-12330B312A1F}"/>
    <hyperlink ref="CPV94" r:id="rId156" xr:uid="{78C07CA2-D4CC-4802-BE33-8262E0B2C8A3}"/>
    <hyperlink ref="CQL94" r:id="rId157" xr:uid="{F4D058C3-649F-4217-9A93-EA853E2EE22F}"/>
    <hyperlink ref="CRB94" r:id="rId158" xr:uid="{FA9A253D-75FE-44A0-B9FD-44B4865FB088}"/>
    <hyperlink ref="CRR94" r:id="rId159" xr:uid="{C515134F-B155-4692-AC81-76440816E89A}"/>
    <hyperlink ref="CSH94" r:id="rId160" xr:uid="{56A64522-3912-4D9F-9EC2-CA0366426CA9}"/>
    <hyperlink ref="CSX94" r:id="rId161" xr:uid="{7C12DF1D-664A-455A-9551-B6D208811FCF}"/>
    <hyperlink ref="CTN94" r:id="rId162" xr:uid="{0121E60E-1963-4EAC-B8EA-7375326FA123}"/>
    <hyperlink ref="CUD94" r:id="rId163" xr:uid="{261EB810-4A1B-4F90-9A2D-EA3F8343B649}"/>
    <hyperlink ref="CUT94" r:id="rId164" xr:uid="{43325F31-C7CF-4F1E-ABB8-2A2724458CCB}"/>
    <hyperlink ref="CVJ94" r:id="rId165" xr:uid="{C2D08502-FE60-417D-A0F3-36B6A70AD439}"/>
    <hyperlink ref="CVZ94" r:id="rId166" xr:uid="{DAD10C74-6E74-47A4-BC9B-3647B01522E7}"/>
    <hyperlink ref="CWP94" r:id="rId167" xr:uid="{B1411BAC-C247-48A3-9314-046657A7F9F6}"/>
    <hyperlink ref="CXF94" r:id="rId168" xr:uid="{8E65D494-A4D6-41AD-8A41-B6B2BE980686}"/>
    <hyperlink ref="CXV94" r:id="rId169" xr:uid="{FA8CA58B-3FC8-4E5E-8FB4-FBC0A57EC64D}"/>
    <hyperlink ref="CYL94" r:id="rId170" xr:uid="{E1197F5E-A75B-4E34-AC08-4EBD09992365}"/>
    <hyperlink ref="CZB94" r:id="rId171" xr:uid="{5BD8921B-E5E5-4E88-8B5B-E8FE46192029}"/>
    <hyperlink ref="CZR94" r:id="rId172" xr:uid="{900C58CE-84D0-4A68-B162-6EBDDE9CAEC2}"/>
    <hyperlink ref="DAH94" r:id="rId173" xr:uid="{7F28EB60-3E56-4EBC-B1DB-44DA02247463}"/>
    <hyperlink ref="DAX94" r:id="rId174" xr:uid="{D95C3F62-B472-42C4-84C9-5E61E0841D53}"/>
    <hyperlink ref="DBN94" r:id="rId175" xr:uid="{E6552966-C922-4DDE-ABA0-32E759483BE7}"/>
    <hyperlink ref="DCD94" r:id="rId176" xr:uid="{39CE7156-8439-4457-BF34-B89AB5CEE9E0}"/>
    <hyperlink ref="DCT94" r:id="rId177" xr:uid="{75F7372F-C1A3-4604-82CA-C3CD7771C6F2}"/>
    <hyperlink ref="DDJ94" r:id="rId178" xr:uid="{B071CB19-9D98-454C-A058-46BDA7CA8DC7}"/>
    <hyperlink ref="DDZ94" r:id="rId179" xr:uid="{211FCC19-6850-40A6-92AE-587DFB9D420F}"/>
    <hyperlink ref="DEP94" r:id="rId180" xr:uid="{DB316711-029B-47C7-B1A0-DEEF11C0F3D8}"/>
    <hyperlink ref="DFF94" r:id="rId181" xr:uid="{E92C0D6E-BB1D-4745-BA7E-7C89C9D8CA22}"/>
    <hyperlink ref="DFV94" r:id="rId182" xr:uid="{49096497-0352-4B15-BADA-8736D2FA1CFF}"/>
    <hyperlink ref="DGL94" r:id="rId183" xr:uid="{17223577-D9F8-4E02-B9B3-2A45DCB79CA8}"/>
    <hyperlink ref="DHB94" r:id="rId184" xr:uid="{F319DF35-3130-4455-8888-F8E5E6067D1B}"/>
    <hyperlink ref="DHR94" r:id="rId185" xr:uid="{C4F8EA84-3F33-429F-BD9E-F69DF3AFF120}"/>
    <hyperlink ref="DIH94" r:id="rId186" xr:uid="{027D377F-8FD5-407A-BA36-000C45C60D65}"/>
    <hyperlink ref="DIX94" r:id="rId187" xr:uid="{EDDE657A-C138-4F6D-B583-A3FFD8AF7BB3}"/>
    <hyperlink ref="DJN94" r:id="rId188" xr:uid="{5031DD37-FB57-4B0C-9627-7A09ABEBC200}"/>
    <hyperlink ref="DKD94" r:id="rId189" xr:uid="{2B772F8B-6918-45D8-B77C-D684E238A35A}"/>
    <hyperlink ref="DKT94" r:id="rId190" xr:uid="{859E1601-5014-4B6E-AA37-EE18A52FC793}"/>
    <hyperlink ref="DLJ94" r:id="rId191" xr:uid="{8B57E202-C805-4D33-B493-EB5D27A3B312}"/>
    <hyperlink ref="DLZ94" r:id="rId192" xr:uid="{D2CF020A-87C8-48F7-9BDB-B24164895089}"/>
    <hyperlink ref="DMP94" r:id="rId193" xr:uid="{F2DFD0B7-5E25-4CED-B300-37AEFA942625}"/>
    <hyperlink ref="DNF94" r:id="rId194" xr:uid="{8E7A88A8-036F-4F24-9414-0338B2079A26}"/>
    <hyperlink ref="DNV94" r:id="rId195" xr:uid="{B15F9C5B-4BBA-4350-B954-250F030CFCF0}"/>
    <hyperlink ref="DOL94" r:id="rId196" xr:uid="{E1838AE2-2542-4DCB-81E8-4A6AAB5742BA}"/>
    <hyperlink ref="DPB94" r:id="rId197" xr:uid="{277CCCA3-BC9C-4A97-9895-A0DDCD2B92B0}"/>
    <hyperlink ref="DPR94" r:id="rId198" xr:uid="{62ADF435-2DD5-4F16-BC75-11FF7891DEA2}"/>
    <hyperlink ref="DQH94" r:id="rId199" xr:uid="{6D89747B-62C1-4A5D-B793-500CEFAFFD3B}"/>
    <hyperlink ref="DQX94" r:id="rId200" xr:uid="{0B85505A-8FFF-4A4A-A75B-E26CD5ED6EF6}"/>
    <hyperlink ref="DRN94" r:id="rId201" xr:uid="{92987812-2656-4253-BAAC-77730C872901}"/>
    <hyperlink ref="DSD94" r:id="rId202" xr:uid="{12CC97BB-A788-4A88-A92F-2614B57E38C0}"/>
    <hyperlink ref="DST94" r:id="rId203" xr:uid="{BFD0080D-CDBF-40E6-BAC5-C441B91CAB4E}"/>
    <hyperlink ref="DTJ94" r:id="rId204" xr:uid="{9995EECA-D9B6-46C6-90D2-BCAE88C62B35}"/>
    <hyperlink ref="DTZ94" r:id="rId205" xr:uid="{0815BB72-AAD1-4E36-9545-05F0F45A110F}"/>
    <hyperlink ref="DUP94" r:id="rId206" xr:uid="{EA5B0D29-5ADF-4AB3-97A4-E49F18C1D1A9}"/>
    <hyperlink ref="DVF94" r:id="rId207" xr:uid="{1DFE273F-80C3-438C-84F6-674A1AB38ED5}"/>
    <hyperlink ref="DVV94" r:id="rId208" xr:uid="{DC1ACB08-3E18-43BD-94BF-870888B3A523}"/>
    <hyperlink ref="DWL94" r:id="rId209" xr:uid="{0C9929D1-B32D-43FA-B758-26D40ECB0FB9}"/>
    <hyperlink ref="DXB94" r:id="rId210" xr:uid="{5D7DE5B0-51E3-4884-8217-144077D35D31}"/>
    <hyperlink ref="DXR94" r:id="rId211" xr:uid="{732CB112-AD96-495C-A25C-6D18BFD4CD69}"/>
    <hyperlink ref="DYH94" r:id="rId212" xr:uid="{D8DC9846-F19F-439D-A4C4-C8E10A42E155}"/>
    <hyperlink ref="DYX94" r:id="rId213" xr:uid="{5E30FC3F-856D-4B46-994C-8A7540D24E2C}"/>
    <hyperlink ref="DZN94" r:id="rId214" xr:uid="{4404B0AC-D939-4C5A-AB4C-24EFCF18AC60}"/>
    <hyperlink ref="EAD94" r:id="rId215" xr:uid="{E86ADFF1-6C51-497B-A18A-C6E0B0CD3636}"/>
    <hyperlink ref="EAT94" r:id="rId216" xr:uid="{805F6749-52C8-44B8-ACC8-75CE1F7C27BB}"/>
    <hyperlink ref="EBJ94" r:id="rId217" xr:uid="{7E56920F-6626-4112-81FE-2DF7C723987A}"/>
    <hyperlink ref="EBZ94" r:id="rId218" xr:uid="{27A9744A-7AFB-4C84-B317-E828C4B8D908}"/>
    <hyperlink ref="ECP94" r:id="rId219" xr:uid="{B23BC891-A2EA-4322-B49F-ACE0D72845BB}"/>
    <hyperlink ref="EDF94" r:id="rId220" xr:uid="{E8ACDD3C-3D19-41BC-86EB-0EAF507BDBC0}"/>
    <hyperlink ref="EDV94" r:id="rId221" xr:uid="{767135DF-FADB-47F5-9295-3F820936CE4B}"/>
    <hyperlink ref="EEL94" r:id="rId222" xr:uid="{4F617A5C-A725-40CF-9F4D-809EDF4BC005}"/>
    <hyperlink ref="EFB94" r:id="rId223" xr:uid="{97767E6E-B208-4E63-82B2-26F82814F9AB}"/>
    <hyperlink ref="EFR94" r:id="rId224" xr:uid="{BF5D09F0-5067-42D9-810B-DD2E92F83FE3}"/>
    <hyperlink ref="EGH94" r:id="rId225" xr:uid="{16DAC64A-FEB3-401C-B9CB-4929E33660C2}"/>
    <hyperlink ref="EGX94" r:id="rId226" xr:uid="{88E60320-0240-4BE3-AEFE-C9099E592E1D}"/>
    <hyperlink ref="EHN94" r:id="rId227" xr:uid="{DA92F2D5-5A35-48E1-8222-C5970B2ABCF2}"/>
    <hyperlink ref="EID94" r:id="rId228" xr:uid="{04633286-4BC1-4FE3-A8A6-74D557DA6990}"/>
    <hyperlink ref="EIT94" r:id="rId229" xr:uid="{CDC7F40D-CB71-4F73-A44D-92193EA3EEB7}"/>
    <hyperlink ref="EJJ94" r:id="rId230" xr:uid="{FE1CCB3A-E8E4-4681-889E-FCBBCD6B1525}"/>
    <hyperlink ref="EJZ94" r:id="rId231" xr:uid="{7F5C93A2-DC46-446C-9C46-D8B088E07F25}"/>
    <hyperlink ref="EKP94" r:id="rId232" xr:uid="{2106AC69-6BA2-4A98-9DC1-92C65CABFAE6}"/>
    <hyperlink ref="ELF94" r:id="rId233" xr:uid="{D89D4A82-9D37-485D-BE7F-EF3B0F79B7C6}"/>
    <hyperlink ref="ELV94" r:id="rId234" xr:uid="{283CA91B-B448-4FE8-8AE5-1BBD49548092}"/>
    <hyperlink ref="EML94" r:id="rId235" xr:uid="{5A84E688-89D0-4137-A28B-08A3E971DD9F}"/>
    <hyperlink ref="ENB94" r:id="rId236" xr:uid="{AAB48936-473C-43FF-A49E-620C564C4FEF}"/>
    <hyperlink ref="ENR94" r:id="rId237" xr:uid="{5D46D34F-544D-4C84-80BF-E42694A733C9}"/>
    <hyperlink ref="EOH94" r:id="rId238" xr:uid="{627F2CB3-3FDE-48DA-8258-27FE830841C5}"/>
    <hyperlink ref="EOX94" r:id="rId239" xr:uid="{D403964B-C245-478D-B5E3-5BEDDF9DC774}"/>
    <hyperlink ref="EPN94" r:id="rId240" xr:uid="{5590F630-DCB6-484B-882F-18EA597A7684}"/>
    <hyperlink ref="EQD94" r:id="rId241" xr:uid="{356E66A7-3E8F-413D-9DFF-BECAAB12F221}"/>
    <hyperlink ref="EQT94" r:id="rId242" xr:uid="{BECEA720-BFC3-44DC-A7FC-20C22B0972A6}"/>
    <hyperlink ref="ERJ94" r:id="rId243" xr:uid="{8B752C2A-5F8D-476B-9454-04050C668532}"/>
    <hyperlink ref="ERZ94" r:id="rId244" xr:uid="{18DFA339-62AF-4800-A9F9-F2A2ED76975B}"/>
    <hyperlink ref="ESP94" r:id="rId245" xr:uid="{2E2853CD-D7A0-47A7-B6C2-79E767FEF070}"/>
    <hyperlink ref="ETF94" r:id="rId246" xr:uid="{134D5574-C8F5-4A9E-9AC6-4D68E5F6A334}"/>
    <hyperlink ref="ETV94" r:id="rId247" xr:uid="{7E39D6E5-742F-4D24-9D3B-7CE9D8944372}"/>
    <hyperlink ref="EUL94" r:id="rId248" xr:uid="{AAFD4E23-24D7-4030-B1EE-12F4A024AB68}"/>
    <hyperlink ref="EVB94" r:id="rId249" xr:uid="{A89B334B-2220-4081-9418-9F41AEC986CC}"/>
    <hyperlink ref="EVR94" r:id="rId250" xr:uid="{15E48F66-8EF8-4364-8E63-D37229AEE398}"/>
    <hyperlink ref="EWH94" r:id="rId251" xr:uid="{70DDD7A9-4F07-4595-AD65-A8D2E7D079D6}"/>
    <hyperlink ref="EWX94" r:id="rId252" xr:uid="{995345B1-DEF0-4B65-A379-9F31126AC43D}"/>
    <hyperlink ref="EXN94" r:id="rId253" xr:uid="{E1B1B6B1-6FAF-4AE7-8FEC-E718F9E1AF11}"/>
    <hyperlink ref="EYD94" r:id="rId254" xr:uid="{754E2AAE-066D-4B38-8BB3-369A49E23A54}"/>
    <hyperlink ref="EYT94" r:id="rId255" xr:uid="{0C338175-98AF-4E6A-AF0A-C33CF192CE8F}"/>
    <hyperlink ref="EZJ94" r:id="rId256" xr:uid="{BB9805A4-8C0A-41CE-8F24-BD803E9573CC}"/>
    <hyperlink ref="EZZ94" r:id="rId257" xr:uid="{C08F463A-0AAA-44EC-B894-0271CC3F079D}"/>
    <hyperlink ref="FAP94" r:id="rId258" xr:uid="{7A38BD1B-8510-4886-9BDD-B440C510CBAC}"/>
    <hyperlink ref="FBF94" r:id="rId259" xr:uid="{7A5660F4-6509-4B4B-A79D-AC8C7A13F3CB}"/>
    <hyperlink ref="FBV94" r:id="rId260" xr:uid="{73AE2AD2-5AAD-4D49-B8F7-49EA025DB952}"/>
    <hyperlink ref="FCL94" r:id="rId261" xr:uid="{2A3A42AB-1252-4D3F-8104-3248E61DB893}"/>
    <hyperlink ref="FDB94" r:id="rId262" xr:uid="{1ACA3C51-5E2D-4D15-97A8-FFC85BAA5FCD}"/>
    <hyperlink ref="FDR94" r:id="rId263" xr:uid="{14482A35-461B-4273-890C-DA1BCC766C7F}"/>
    <hyperlink ref="FEH94" r:id="rId264" xr:uid="{B6D8AE2F-49F3-48D0-84AE-D3DAFBAF5A59}"/>
    <hyperlink ref="FEX94" r:id="rId265" xr:uid="{46A9DB53-9EAC-40ED-AC5F-C74C9238F7F5}"/>
    <hyperlink ref="FFN94" r:id="rId266" xr:uid="{6DD8D4A2-4DB7-4135-BDBB-34FB02980901}"/>
    <hyperlink ref="FGD94" r:id="rId267" xr:uid="{9AEB93FB-E136-42CB-916C-0FF65FA4928A}"/>
    <hyperlink ref="FGT94" r:id="rId268" xr:uid="{5DD51AEC-F6B2-43F4-ABFD-878EDBC81914}"/>
    <hyperlink ref="FHJ94" r:id="rId269" xr:uid="{6520ECEA-5122-4BDC-9662-431308C49D54}"/>
    <hyperlink ref="FHZ94" r:id="rId270" xr:uid="{FD4D8B56-C382-44A6-8C21-E725BD08E570}"/>
    <hyperlink ref="FIP94" r:id="rId271" xr:uid="{5A720EC1-4E0F-4D97-8090-0FB05C139289}"/>
    <hyperlink ref="FJF94" r:id="rId272" xr:uid="{E5B2F3A1-BF88-42C3-95DF-A12950599116}"/>
    <hyperlink ref="FJV94" r:id="rId273" xr:uid="{0E0D3411-235B-4BC2-B3DF-E39590A3D563}"/>
    <hyperlink ref="FKL94" r:id="rId274" xr:uid="{BABFF295-7E2A-4F13-933A-9D918D9E5043}"/>
    <hyperlink ref="FLB94" r:id="rId275" xr:uid="{EA2B90CE-0CF5-47BE-AD2B-E85F96C04968}"/>
    <hyperlink ref="FLR94" r:id="rId276" xr:uid="{83722C3A-9F6F-4284-9E65-FBD9D0947164}"/>
    <hyperlink ref="FMH94" r:id="rId277" xr:uid="{61548571-61C2-4E8F-992F-97642820D61A}"/>
    <hyperlink ref="FMX94" r:id="rId278" xr:uid="{71B4D61E-3D4B-468F-9ACE-3CB8301F6A99}"/>
    <hyperlink ref="FNN94" r:id="rId279" xr:uid="{9BE87B56-B6C2-42DD-B062-FF57AE59E959}"/>
    <hyperlink ref="FOD94" r:id="rId280" xr:uid="{B4563B08-17DC-4748-A89D-FAB79A5087E4}"/>
    <hyperlink ref="FOT94" r:id="rId281" xr:uid="{12399331-87B6-4E4B-8C39-05C23A14FD58}"/>
    <hyperlink ref="FPJ94" r:id="rId282" xr:uid="{1A065A5E-C0F8-491B-9DE5-A38A60CC3184}"/>
    <hyperlink ref="FPZ94" r:id="rId283" xr:uid="{68CFE4E6-486E-40D3-B395-24A0D923578E}"/>
    <hyperlink ref="FQP94" r:id="rId284" xr:uid="{E3B624ED-F476-462D-A4AA-D03A539A69BB}"/>
    <hyperlink ref="FRF94" r:id="rId285" xr:uid="{C5095F2E-42B9-4B2E-BAC8-B5550890965C}"/>
    <hyperlink ref="FRV94" r:id="rId286" xr:uid="{C4775759-5FA9-44E8-AC10-F9E7C026F38A}"/>
    <hyperlink ref="FSL94" r:id="rId287" xr:uid="{3D9A7885-DB0D-40AE-BA36-8C477F172087}"/>
    <hyperlink ref="FTB94" r:id="rId288" xr:uid="{E7813BD0-FE94-4C43-86B1-72E3377BF211}"/>
    <hyperlink ref="FTR94" r:id="rId289" xr:uid="{32F2A46D-C4A8-445E-9992-FCC3B764EFA7}"/>
    <hyperlink ref="FUH94" r:id="rId290" xr:uid="{6EC4B9D3-B852-4F84-B1A6-973658BC99DB}"/>
    <hyperlink ref="FUX94" r:id="rId291" xr:uid="{1874D8A5-270D-4E51-BF85-32ACBF7B7BA7}"/>
    <hyperlink ref="FVN94" r:id="rId292" xr:uid="{68F18327-72D2-4E36-9A5F-65AABB898DF3}"/>
    <hyperlink ref="FWD94" r:id="rId293" xr:uid="{333E53A4-04A1-40BD-B53F-D556105F5909}"/>
    <hyperlink ref="FWT94" r:id="rId294" xr:uid="{2A553220-A29C-4951-AA02-47310F29D669}"/>
    <hyperlink ref="FXJ94" r:id="rId295" xr:uid="{44655E33-A22B-436D-8EC4-268EE3F401E0}"/>
    <hyperlink ref="FXZ94" r:id="rId296" xr:uid="{2D5CE720-29C8-461C-BBA7-4EA4B3E2B40F}"/>
    <hyperlink ref="FYP94" r:id="rId297" xr:uid="{028F6025-5270-4B93-B395-C14682C2AFF1}"/>
    <hyperlink ref="FZF94" r:id="rId298" xr:uid="{0403DF14-AE57-4032-9D2C-B214B68355E9}"/>
    <hyperlink ref="FZV94" r:id="rId299" xr:uid="{62A87293-FAA7-4173-9A2D-4344582A5E95}"/>
    <hyperlink ref="GAL94" r:id="rId300" xr:uid="{E9D0E494-4F95-4468-863C-B83E61D2FA75}"/>
    <hyperlink ref="GBB94" r:id="rId301" xr:uid="{76E71496-E39D-47AD-940E-5842F3335D90}"/>
    <hyperlink ref="GBR94" r:id="rId302" xr:uid="{2F61D480-2E5F-43FF-AC55-E1F1ABEE897E}"/>
    <hyperlink ref="GCH94" r:id="rId303" xr:uid="{09CA3FDA-9061-4A5F-8297-43651DAD98C2}"/>
    <hyperlink ref="GCX94" r:id="rId304" xr:uid="{D7870BBF-366D-49F9-9FA7-17E951B709EC}"/>
    <hyperlink ref="GDN94" r:id="rId305" xr:uid="{803C37E8-B47E-457F-8D9C-FFFDD58DFD3A}"/>
    <hyperlink ref="GED94" r:id="rId306" xr:uid="{AD966DCF-52AA-4179-BC11-8220D95AFA48}"/>
    <hyperlink ref="GET94" r:id="rId307" xr:uid="{EC00A9FA-0EE8-4B29-8D65-92FF6272C71C}"/>
    <hyperlink ref="GFJ94" r:id="rId308" xr:uid="{34C64E77-3494-4980-9420-C3241EDF0093}"/>
    <hyperlink ref="GFZ94" r:id="rId309" xr:uid="{49EC0E4A-BA58-40A4-82F1-BE12122CC1AE}"/>
    <hyperlink ref="GGP94" r:id="rId310" xr:uid="{CF0614F4-11EC-4345-BEA2-30D6E5BFBCCF}"/>
    <hyperlink ref="GHF94" r:id="rId311" xr:uid="{DFCE5580-C0EB-4F70-A55B-20A9F712A03D}"/>
    <hyperlink ref="GHV94" r:id="rId312" xr:uid="{70E5277C-3AA6-417F-BFF3-DECA2F838572}"/>
    <hyperlink ref="GIL94" r:id="rId313" xr:uid="{5924C250-75C2-46BB-8283-1BD69E46EA0B}"/>
    <hyperlink ref="GJB94" r:id="rId314" xr:uid="{07553280-D951-47C8-BF04-2A8CBDD4B585}"/>
    <hyperlink ref="GJR94" r:id="rId315" xr:uid="{24D79CF4-EE5C-4B95-8B76-1C785B5CEAC0}"/>
    <hyperlink ref="GKH94" r:id="rId316" xr:uid="{BEB91D28-365A-48F2-A41E-61ADA7286FF1}"/>
    <hyperlink ref="GKX94" r:id="rId317" xr:uid="{F970A8BE-42BD-4986-8EAF-7096767F17FA}"/>
    <hyperlink ref="GLN94" r:id="rId318" xr:uid="{0278268E-2140-4119-BD25-8B8DB8015A83}"/>
    <hyperlink ref="GMD94" r:id="rId319" xr:uid="{7C94B6E7-7C3C-4B12-B519-B7C8AD40A0EC}"/>
    <hyperlink ref="GMT94" r:id="rId320" xr:uid="{A1D115DC-7F49-406C-BE54-804798731D43}"/>
    <hyperlink ref="GNJ94" r:id="rId321" xr:uid="{E677BBD9-CDDA-44E3-A746-6AA4C65A12C8}"/>
    <hyperlink ref="GNZ94" r:id="rId322" xr:uid="{E27CBC54-54A3-488F-AD1A-0C5FAF285AFA}"/>
    <hyperlink ref="GOP94" r:id="rId323" xr:uid="{3C385998-BC09-4911-B570-9B823AA197AE}"/>
    <hyperlink ref="GPF94" r:id="rId324" xr:uid="{545CE93D-E5FA-49F2-A099-A95F1C443D6E}"/>
    <hyperlink ref="GPV94" r:id="rId325" xr:uid="{DE7F8490-6519-4C15-AC0D-C5F1607381DD}"/>
    <hyperlink ref="GQL94" r:id="rId326" xr:uid="{C7BC8624-9DCE-4A1B-8FB7-C125A8A3371D}"/>
    <hyperlink ref="GRB94" r:id="rId327" xr:uid="{885E9E0B-8DEB-4CCB-B4C9-FA8C36A4777A}"/>
    <hyperlink ref="GRR94" r:id="rId328" xr:uid="{97FFA2C3-7BD3-43CC-B662-0FFEAD77456F}"/>
    <hyperlink ref="GSH94" r:id="rId329" xr:uid="{A1B4F920-4AFC-45BD-8A60-38DB378C4EF2}"/>
    <hyperlink ref="GSX94" r:id="rId330" xr:uid="{EEA977AF-EC6B-45EE-85B3-6EA2D56B2389}"/>
    <hyperlink ref="GTN94" r:id="rId331" xr:uid="{50225570-8207-46E6-A33C-C784D4D28C37}"/>
    <hyperlink ref="GUD94" r:id="rId332" xr:uid="{B7DBAD50-A0ED-40C7-8704-24E3BF7544D5}"/>
    <hyperlink ref="GUT94" r:id="rId333" xr:uid="{F25C8C4E-8690-45D4-9C99-4BBD35655085}"/>
    <hyperlink ref="GVJ94" r:id="rId334" xr:uid="{6CF64CB3-3E31-4190-BDE7-2A50C7017B55}"/>
    <hyperlink ref="GVZ94" r:id="rId335" xr:uid="{528E5F3D-83E0-4D64-A7F3-FA6A35E2C92D}"/>
    <hyperlink ref="GWP94" r:id="rId336" xr:uid="{6E1532A3-ADDE-414C-88AF-2BACE6FF6056}"/>
    <hyperlink ref="GXF94" r:id="rId337" xr:uid="{F0220954-F610-4327-B51C-07650E5914D1}"/>
    <hyperlink ref="GXV94" r:id="rId338" xr:uid="{3DBBDA97-E660-4700-8994-276E32FC04A1}"/>
    <hyperlink ref="GYL94" r:id="rId339" xr:uid="{166B3A1F-B7CF-41C7-A963-D16942C6E375}"/>
    <hyperlink ref="GZB94" r:id="rId340" xr:uid="{F4E3A6C2-FE87-44DB-B921-50ACD37CD2BA}"/>
    <hyperlink ref="GZR94" r:id="rId341" xr:uid="{E8BA3C55-C1CA-4CF5-B747-5E4AA2BBDE26}"/>
    <hyperlink ref="HAH94" r:id="rId342" xr:uid="{92ED6E75-C206-471A-A7AD-002CC7B96E66}"/>
    <hyperlink ref="HAX94" r:id="rId343" xr:uid="{CE0799BA-4CFB-4161-B1CD-DB4ADAF56F93}"/>
    <hyperlink ref="HBN94" r:id="rId344" xr:uid="{6C858E9F-003A-4C17-94DF-678DCE9EB1AD}"/>
    <hyperlink ref="HCD94" r:id="rId345" xr:uid="{E1E2B13D-45D8-429D-8311-AACD34192A34}"/>
    <hyperlink ref="HCT94" r:id="rId346" xr:uid="{40EFE622-0020-45BD-9C01-F611DDBC288D}"/>
    <hyperlink ref="HDJ94" r:id="rId347" xr:uid="{E02824BD-F209-4308-94E7-C80C898E5B31}"/>
    <hyperlink ref="HDZ94" r:id="rId348" xr:uid="{52EA08ED-68A3-412C-895D-5DA9CFC0C0D8}"/>
    <hyperlink ref="HEP94" r:id="rId349" xr:uid="{42C3E6EC-CA3E-453A-B9A5-635F2CE687F3}"/>
    <hyperlink ref="HFF94" r:id="rId350" xr:uid="{6DF1048E-011E-4601-A892-E13602C14567}"/>
    <hyperlink ref="HFV94" r:id="rId351" xr:uid="{9498CCE5-27BD-4A6A-A062-598936E0F062}"/>
    <hyperlink ref="HGL94" r:id="rId352" xr:uid="{2A65B27B-7674-444C-8444-226F47D0DAEA}"/>
    <hyperlink ref="HHB94" r:id="rId353" xr:uid="{E45A8D39-CC90-4E41-B6EB-542B09E334C4}"/>
    <hyperlink ref="HHR94" r:id="rId354" xr:uid="{3BCB537D-7007-4921-80E2-280E190B00FF}"/>
    <hyperlink ref="HIH94" r:id="rId355" xr:uid="{883E27DB-5A8C-4DD8-94E4-F5D9675412CF}"/>
    <hyperlink ref="HIX94" r:id="rId356" xr:uid="{FA4233A0-33CD-4855-83DB-657FBC133593}"/>
    <hyperlink ref="HJN94" r:id="rId357" xr:uid="{B5EA609F-FA17-40F0-882B-A80B16D93D5B}"/>
    <hyperlink ref="HKD94" r:id="rId358" xr:uid="{EF496B28-9FD3-48D9-9272-6D272DC36474}"/>
    <hyperlink ref="HKT94" r:id="rId359" xr:uid="{37A27081-0523-4B8B-A05A-592DB71694FF}"/>
    <hyperlink ref="HLJ94" r:id="rId360" xr:uid="{8421E36C-FF8B-484A-9A38-F3E5CB50E27F}"/>
    <hyperlink ref="HLZ94" r:id="rId361" xr:uid="{3BCDB50C-6E55-4FD7-86BB-506ABEE2C722}"/>
    <hyperlink ref="HMP94" r:id="rId362" xr:uid="{50029C06-21BE-4604-A565-4E20D2ADEFAE}"/>
    <hyperlink ref="HNF94" r:id="rId363" xr:uid="{FB5F2766-0742-4233-B01A-1C7E396F694B}"/>
    <hyperlink ref="HNV94" r:id="rId364" xr:uid="{E4A14CAC-3DEA-4000-BE1D-382246E1230E}"/>
    <hyperlink ref="HOL94" r:id="rId365" xr:uid="{907A32CE-7642-47B3-AF3C-08EF61AD40D7}"/>
    <hyperlink ref="HPB94" r:id="rId366" xr:uid="{9F769C0A-C380-40CC-ACC7-E554F22638E0}"/>
    <hyperlink ref="HPR94" r:id="rId367" xr:uid="{FC983D2B-E758-4620-A085-BA8BC5BBE7FD}"/>
    <hyperlink ref="HQH94" r:id="rId368" xr:uid="{3C0A8C2C-38F0-4AF0-BDA0-485FB985957F}"/>
    <hyperlink ref="HQX94" r:id="rId369" xr:uid="{8BDBA6A7-07C7-46A1-8952-3213B3B15B03}"/>
    <hyperlink ref="HRN94" r:id="rId370" xr:uid="{1AEDBAF4-D67D-49BB-B199-6FE93395A8DF}"/>
    <hyperlink ref="HSD94" r:id="rId371" xr:uid="{C9914E3C-52B5-4AC6-A946-F7E0FA7E2128}"/>
    <hyperlink ref="HST94" r:id="rId372" xr:uid="{3C217384-4D68-462E-AC1D-ABE58A5AB0A6}"/>
    <hyperlink ref="HTJ94" r:id="rId373" xr:uid="{79E54D9B-8D55-4150-BEBA-E6F7DD30FF86}"/>
    <hyperlink ref="HTZ94" r:id="rId374" xr:uid="{1D677E89-00AF-4CE7-90FF-9C90C657507E}"/>
    <hyperlink ref="HUP94" r:id="rId375" xr:uid="{7ECA49B9-06EC-4C21-9A33-A4DD041C846F}"/>
    <hyperlink ref="HVF94" r:id="rId376" xr:uid="{F5252FE2-E3FF-44AE-B365-F255BAC4F448}"/>
    <hyperlink ref="HVV94" r:id="rId377" xr:uid="{772AB9F5-8034-470B-8CA7-F37D544A3540}"/>
    <hyperlink ref="HWL94" r:id="rId378" xr:uid="{B22E9C8F-DD70-4371-9FFF-275478CE2000}"/>
    <hyperlink ref="HXB94" r:id="rId379" xr:uid="{A65CA510-E1F7-4A8C-91A0-28F159152D74}"/>
    <hyperlink ref="HXR94" r:id="rId380" xr:uid="{BBB27D9E-6917-4ADF-A533-361A93CD1898}"/>
    <hyperlink ref="HYH94" r:id="rId381" xr:uid="{84A1A4BF-C1E6-4ED5-A986-CEE7F98827A0}"/>
    <hyperlink ref="HYX94" r:id="rId382" xr:uid="{68AD4B53-0C46-4D12-966B-51718AA3861E}"/>
    <hyperlink ref="HZN94" r:id="rId383" xr:uid="{6BA7E980-A683-4B65-BA14-35ECEB9F22A4}"/>
    <hyperlink ref="IAD94" r:id="rId384" xr:uid="{31143CAC-D8F7-4B3D-B5A1-269CEBD6A04C}"/>
    <hyperlink ref="IAT94" r:id="rId385" xr:uid="{A918AD65-FDFB-4D01-A7F0-A69416BBEFA8}"/>
    <hyperlink ref="IBJ94" r:id="rId386" xr:uid="{B21CA2E0-0A72-45E5-9734-B3226D0DD9C5}"/>
    <hyperlink ref="IBZ94" r:id="rId387" xr:uid="{6DA1319B-AD93-4A42-BCDB-C0213E3D033F}"/>
    <hyperlink ref="ICP94" r:id="rId388" xr:uid="{30D5D3F3-3F01-4AFD-A339-F2A6AB0BBEBE}"/>
    <hyperlink ref="IDF94" r:id="rId389" xr:uid="{190CF6B6-BA99-4C78-9ACD-BEFD6E10DE2D}"/>
    <hyperlink ref="IDV94" r:id="rId390" xr:uid="{04F8B9C2-CF62-4298-8900-F0195435093E}"/>
    <hyperlink ref="IEL94" r:id="rId391" xr:uid="{F372EE83-5D4A-4012-B353-B6982F6FF818}"/>
    <hyperlink ref="IFB94" r:id="rId392" xr:uid="{80DA2EC4-258C-419E-9B9A-C251EDF6E5E6}"/>
    <hyperlink ref="IFR94" r:id="rId393" xr:uid="{0606F12B-DD1E-42AC-A70D-27DAD4F82E11}"/>
    <hyperlink ref="IGH94" r:id="rId394" xr:uid="{DBFDE857-7FAF-4E76-97DA-4F38B71F0C5C}"/>
    <hyperlink ref="IGX94" r:id="rId395" xr:uid="{26993560-C9A9-44CC-80C6-CC6BD7C61A01}"/>
    <hyperlink ref="IHN94" r:id="rId396" xr:uid="{F11AE5BB-CEE3-4EE6-889E-335FFF267BCF}"/>
    <hyperlink ref="IID94" r:id="rId397" xr:uid="{093B0D4D-CAB5-4700-8BAD-CD8689CDBD79}"/>
    <hyperlink ref="IIT94" r:id="rId398" xr:uid="{21F497AC-6D98-43DF-BE21-66E1C4DFFCBE}"/>
    <hyperlink ref="IJJ94" r:id="rId399" xr:uid="{B7E38ABC-656B-4353-8A5E-A87DFED146E5}"/>
    <hyperlink ref="IJZ94" r:id="rId400" xr:uid="{42A65B7A-68A8-494E-95B4-6AF0083F6DB4}"/>
    <hyperlink ref="IKP94" r:id="rId401" xr:uid="{7D29147B-942E-41A1-9196-47B4F4898EC8}"/>
    <hyperlink ref="ILF94" r:id="rId402" xr:uid="{9F516C30-C459-402C-993C-C33022DF6B70}"/>
    <hyperlink ref="ILV94" r:id="rId403" xr:uid="{D8DC184B-490F-47A7-83D7-3C7095CD8A82}"/>
    <hyperlink ref="IML94" r:id="rId404" xr:uid="{D0A5A1C7-0440-4A8F-9DDA-CCA96C7861A8}"/>
    <hyperlink ref="INB94" r:id="rId405" xr:uid="{C7B6EEB4-D116-42AB-9326-03A2086C95A9}"/>
    <hyperlink ref="INR94" r:id="rId406" xr:uid="{0132408A-F1E8-46D9-8180-2FEE8CBAA6EE}"/>
    <hyperlink ref="IOH94" r:id="rId407" xr:uid="{C77751B0-D427-47EB-8BB5-F789F4595E6A}"/>
    <hyperlink ref="IOX94" r:id="rId408" xr:uid="{83B8168C-864D-4163-9B6B-5DD6311F2658}"/>
    <hyperlink ref="IPN94" r:id="rId409" xr:uid="{261B4DDF-9FCA-413B-967C-CBED227772A5}"/>
    <hyperlink ref="IQD94" r:id="rId410" xr:uid="{43FAE256-5E78-45DD-80AF-C27452BFD07E}"/>
    <hyperlink ref="IQT94" r:id="rId411" xr:uid="{9F2E2047-5224-46F1-995F-9E835CA66F45}"/>
    <hyperlink ref="IRJ94" r:id="rId412" xr:uid="{85A248E2-50C8-48AB-A06D-7D86C7E3C5C0}"/>
    <hyperlink ref="IRZ94" r:id="rId413" xr:uid="{8618A456-B25A-4104-89EF-C3D3CD9B1F54}"/>
    <hyperlink ref="ISP94" r:id="rId414" xr:uid="{3E2790CD-A30E-4A82-BD2C-E692F1DBF724}"/>
    <hyperlink ref="ITF94" r:id="rId415" xr:uid="{E4E90BBF-0CC9-459D-9FEB-AFA565CE3EA6}"/>
    <hyperlink ref="ITV94" r:id="rId416" xr:uid="{51AFC425-C55C-4930-B392-6E53A101ED84}"/>
    <hyperlink ref="IUL94" r:id="rId417" xr:uid="{3C4511B0-02E7-4ECA-8934-045738A2CD4B}"/>
    <hyperlink ref="IVB94" r:id="rId418" xr:uid="{E5AEDE87-D6E7-4D1B-AAAE-88947E00B1FE}"/>
    <hyperlink ref="IVR94" r:id="rId419" xr:uid="{A6E71C1D-80A7-4719-891F-5B2904814BBE}"/>
    <hyperlink ref="IWH94" r:id="rId420" xr:uid="{1620C5E1-ED3C-4402-BF22-C2256CE81C70}"/>
    <hyperlink ref="IWX94" r:id="rId421" xr:uid="{0B9061C8-583F-4CD8-B73C-3CA076A012D9}"/>
    <hyperlink ref="IXN94" r:id="rId422" xr:uid="{EE8A837B-4636-40DD-801D-F6521EF56C55}"/>
    <hyperlink ref="IYD94" r:id="rId423" xr:uid="{E56284B3-3901-4702-BC3D-3BA814DDD9AB}"/>
    <hyperlink ref="IYT94" r:id="rId424" xr:uid="{BCFDC636-ED6E-45D0-9436-54B71EDF1FBF}"/>
    <hyperlink ref="IZJ94" r:id="rId425" xr:uid="{AEF63953-DD17-4B8C-8CE4-2D1EA31BE269}"/>
    <hyperlink ref="IZZ94" r:id="rId426" xr:uid="{C574E908-248B-48A2-8D50-525CF05160C8}"/>
    <hyperlink ref="JAP94" r:id="rId427" xr:uid="{D3E12BC3-2D9C-4649-ACFC-D61A237D47EA}"/>
    <hyperlink ref="JBF94" r:id="rId428" xr:uid="{7E7ECA18-5445-464B-8AAA-9E6108628DDD}"/>
    <hyperlink ref="JBV94" r:id="rId429" xr:uid="{34F1AB35-9C5E-4623-947C-704C75BF26C5}"/>
    <hyperlink ref="JCL94" r:id="rId430" xr:uid="{525559BF-061C-4861-9ECB-621C62BD7D09}"/>
    <hyperlink ref="JDB94" r:id="rId431" xr:uid="{B6673157-138D-41A9-AE07-776DB487BF7F}"/>
    <hyperlink ref="JDR94" r:id="rId432" xr:uid="{138A13A3-836F-46B8-A88E-984C51234AE9}"/>
    <hyperlink ref="JEH94" r:id="rId433" xr:uid="{AD5B65C5-684C-43B3-8551-0C69C096ABD1}"/>
    <hyperlink ref="JEX94" r:id="rId434" xr:uid="{20B454CE-C293-4FB0-B701-BF37E3EF2867}"/>
    <hyperlink ref="JFN94" r:id="rId435" xr:uid="{E720571B-EDE4-4976-AD67-FA718A05D981}"/>
    <hyperlink ref="JGD94" r:id="rId436" xr:uid="{D1561B21-9246-4088-BCC4-97C6A081A36B}"/>
    <hyperlink ref="JGT94" r:id="rId437" xr:uid="{38150B80-1962-4ED7-9856-138002476F20}"/>
    <hyperlink ref="JHJ94" r:id="rId438" xr:uid="{1C6F8161-954E-47BB-8C17-0A5678897629}"/>
    <hyperlink ref="JHZ94" r:id="rId439" xr:uid="{BB4D651D-AB67-474C-A557-5265C2E1E5CD}"/>
    <hyperlink ref="JIP94" r:id="rId440" xr:uid="{42E3F4C3-644F-43F1-8989-765E5FA0BC0D}"/>
    <hyperlink ref="JJF94" r:id="rId441" xr:uid="{D38BAFC8-F8B0-4C79-9F5D-364C6ECB548D}"/>
    <hyperlink ref="JJV94" r:id="rId442" xr:uid="{CCD3AC79-6348-4B7E-97AC-2ED409CD8463}"/>
    <hyperlink ref="JKL94" r:id="rId443" xr:uid="{3802781A-6255-48B2-8F09-23C00B25A827}"/>
    <hyperlink ref="JLB94" r:id="rId444" xr:uid="{B6ACDE04-A4A5-4238-8DB0-F4156BCC6C25}"/>
    <hyperlink ref="JLR94" r:id="rId445" xr:uid="{5726C08A-0529-4F1D-89ED-A1560FC329A5}"/>
    <hyperlink ref="JMH94" r:id="rId446" xr:uid="{341093A9-08CA-48D1-AA75-FE1B2C80C220}"/>
    <hyperlink ref="JMX94" r:id="rId447" xr:uid="{5039297F-1EA3-4C5D-A462-92F2A60C9F33}"/>
    <hyperlink ref="JNN94" r:id="rId448" xr:uid="{D9AE36A0-7B7C-4A42-9517-EFEF355A8A7F}"/>
    <hyperlink ref="JOD94" r:id="rId449" xr:uid="{6668DEBA-6CB9-4081-A8D3-C96F094564FB}"/>
    <hyperlink ref="JOT94" r:id="rId450" xr:uid="{EA74EBF3-F31F-4F56-AD50-54DF0C4FDBED}"/>
    <hyperlink ref="JPJ94" r:id="rId451" xr:uid="{67B4A3B0-7A7F-49C0-BDFF-31E97ECD181F}"/>
    <hyperlink ref="JPZ94" r:id="rId452" xr:uid="{53842A9A-BE50-48C7-B718-D1D349E2D4AD}"/>
    <hyperlink ref="JQP94" r:id="rId453" xr:uid="{21656F43-9D9F-4039-9E80-C2ADAAF4DA43}"/>
    <hyperlink ref="JRF94" r:id="rId454" xr:uid="{C2550BAF-381A-41E5-9C0A-5499915B2B2B}"/>
    <hyperlink ref="JRV94" r:id="rId455" xr:uid="{C405D92F-3C62-406F-BFCF-F1F2AF26E2B5}"/>
    <hyperlink ref="JSL94" r:id="rId456" xr:uid="{AA699CBA-21DE-469D-B2D2-920DBA235BEC}"/>
    <hyperlink ref="JTB94" r:id="rId457" xr:uid="{FD83BADD-81D5-43CC-AD71-52D665B7A272}"/>
    <hyperlink ref="JTR94" r:id="rId458" xr:uid="{DD34C70D-801A-40C5-AF2F-C94F034C3F14}"/>
    <hyperlink ref="JUH94" r:id="rId459" xr:uid="{4F517F78-5383-461B-89E1-A1292A17CECD}"/>
    <hyperlink ref="JUX94" r:id="rId460" xr:uid="{C984F989-22EA-4524-80A5-F310BD3CCB01}"/>
    <hyperlink ref="JVN94" r:id="rId461" xr:uid="{5C48A1FE-6EC2-405E-953A-199F82E6959B}"/>
    <hyperlink ref="JWD94" r:id="rId462" xr:uid="{132FA211-A45B-4C7F-9892-B47AB0692345}"/>
    <hyperlink ref="JWT94" r:id="rId463" xr:uid="{ECE674BA-46BC-4254-90D3-E799C276D9B8}"/>
    <hyperlink ref="JXJ94" r:id="rId464" xr:uid="{9587771D-4487-49F8-B8F4-574E51C2F139}"/>
    <hyperlink ref="JXZ94" r:id="rId465" xr:uid="{A840C14E-0A63-43E3-BA60-3BFF30EE169E}"/>
    <hyperlink ref="JYP94" r:id="rId466" xr:uid="{9E01097E-F957-4D37-B9B0-DF9493518E73}"/>
    <hyperlink ref="JZF94" r:id="rId467" xr:uid="{7D447F2E-0482-44FA-BFE7-C8F02A46E75C}"/>
    <hyperlink ref="JZV94" r:id="rId468" xr:uid="{E8F04E8C-A12F-4866-87C3-8C3F769256AA}"/>
    <hyperlink ref="KAL94" r:id="rId469" xr:uid="{E9E90B6F-B134-493A-B5B5-87E59FFCA578}"/>
    <hyperlink ref="KBB94" r:id="rId470" xr:uid="{D19F9368-FA28-48BC-A57A-5982F343D556}"/>
    <hyperlink ref="KBR94" r:id="rId471" xr:uid="{CBECCE1D-9574-4DA7-939B-9D8641DCB51A}"/>
    <hyperlink ref="KCH94" r:id="rId472" xr:uid="{35CA85CF-722E-4FCD-A5F9-B4DE5A6CB877}"/>
    <hyperlink ref="KCX94" r:id="rId473" xr:uid="{DA04DBE0-7E64-4F6B-BFD6-0370456F0EC4}"/>
    <hyperlink ref="KDN94" r:id="rId474" xr:uid="{F0F5A852-FE47-4862-9AF2-D53458929EEA}"/>
    <hyperlink ref="KED94" r:id="rId475" xr:uid="{63C13140-2680-4B49-89BD-F768506607F1}"/>
    <hyperlink ref="KET94" r:id="rId476" xr:uid="{6D82EA8D-EFF4-44BB-9BA8-A1C232716B42}"/>
    <hyperlink ref="KFJ94" r:id="rId477" xr:uid="{7A083C1A-5651-4982-9B9D-A9B99CA2A32C}"/>
    <hyperlink ref="KFZ94" r:id="rId478" xr:uid="{3FC074F5-BB1C-420A-AAF9-D932FE2B04A5}"/>
    <hyperlink ref="KGP94" r:id="rId479" xr:uid="{E54000A3-D70B-44E5-BA04-EA7EFBA4F283}"/>
    <hyperlink ref="KHF94" r:id="rId480" xr:uid="{8B838EDF-90E5-4A1B-BA3C-9F053E0D5728}"/>
    <hyperlink ref="KHV94" r:id="rId481" xr:uid="{38CCBD72-3DDD-4B17-B779-6CC9A181E43E}"/>
    <hyperlink ref="KIL94" r:id="rId482" xr:uid="{7B633D21-D3BB-45D4-92FE-C02FD6DC52DF}"/>
    <hyperlink ref="KJB94" r:id="rId483" xr:uid="{B57D9A77-9C39-4658-AA79-4327B6AFB5A7}"/>
    <hyperlink ref="KJR94" r:id="rId484" xr:uid="{FA4E6968-D6D4-4D29-AC60-004947A66BC6}"/>
    <hyperlink ref="KKH94" r:id="rId485" xr:uid="{7648D4A9-B3F9-4B04-8CFA-FDF119864A6B}"/>
    <hyperlink ref="KKX94" r:id="rId486" xr:uid="{290040E7-36C6-4442-911F-CDE1C4FEAD15}"/>
    <hyperlink ref="KLN94" r:id="rId487" xr:uid="{0C016B85-CC52-404B-BEE5-214DC447564D}"/>
    <hyperlink ref="KMD94" r:id="rId488" xr:uid="{BEE58371-57E4-4F28-9238-B5F5E0141FD9}"/>
    <hyperlink ref="KMT94" r:id="rId489" xr:uid="{F3202668-BECB-405A-8F65-D6298DC3EFB0}"/>
    <hyperlink ref="KNJ94" r:id="rId490" xr:uid="{518C8410-49C0-4CDE-BEBC-A2ADF590CB03}"/>
    <hyperlink ref="KNZ94" r:id="rId491" xr:uid="{E07FD7BC-886E-4A19-8C6F-5D6AC04E7A2E}"/>
    <hyperlink ref="KOP94" r:id="rId492" xr:uid="{E04643CF-A6EC-47FE-A737-7E78729E2387}"/>
    <hyperlink ref="KPF94" r:id="rId493" xr:uid="{F63D3CD8-2EA9-44D2-AEC0-E77A6B27182D}"/>
    <hyperlink ref="KPV94" r:id="rId494" xr:uid="{0091967F-FB91-4D44-AF48-3A1888380351}"/>
    <hyperlink ref="KQL94" r:id="rId495" xr:uid="{08E379D9-804F-4AA5-BDF5-7B509BFC9402}"/>
    <hyperlink ref="KRB94" r:id="rId496" xr:uid="{70A98482-42CB-4285-B7D6-FE97FAEE65B1}"/>
    <hyperlink ref="KRR94" r:id="rId497" xr:uid="{3672A05C-89AB-449B-A2C4-836EE6A21A49}"/>
    <hyperlink ref="KSH94" r:id="rId498" xr:uid="{E0694940-A81B-46D6-A5EA-779C6CDCBC6A}"/>
    <hyperlink ref="KSX94" r:id="rId499" xr:uid="{D9427F25-5A6D-423B-9CDA-B8A57C55A347}"/>
    <hyperlink ref="KTN94" r:id="rId500" xr:uid="{860AFAFD-5B12-4584-8DF2-82A37B6A97A1}"/>
    <hyperlink ref="KUD94" r:id="rId501" xr:uid="{5ADDC289-D3DE-4D29-9B96-C22E88464838}"/>
    <hyperlink ref="KUT94" r:id="rId502" xr:uid="{EFC7B2BD-BD60-4589-B014-634A67E9C996}"/>
    <hyperlink ref="KVJ94" r:id="rId503" xr:uid="{7B98E554-9B9F-41B0-9118-7726FCE6BD72}"/>
    <hyperlink ref="KVZ94" r:id="rId504" xr:uid="{4EF22367-4A67-4593-BC6B-EBA79C2A8E65}"/>
    <hyperlink ref="KWP94" r:id="rId505" xr:uid="{EEF14509-21A8-48B3-B826-0042284BB957}"/>
    <hyperlink ref="KXF94" r:id="rId506" xr:uid="{23961588-CC83-49C8-8670-795457491BD5}"/>
    <hyperlink ref="KXV94" r:id="rId507" xr:uid="{AD501B88-2871-4A36-8C4E-4682EFA99131}"/>
    <hyperlink ref="KYL94" r:id="rId508" xr:uid="{2317EDB9-668E-47EF-88BE-065149106CF3}"/>
    <hyperlink ref="KZB94" r:id="rId509" xr:uid="{014A0BA0-CA21-4EA4-A6D6-176A38D797EA}"/>
    <hyperlink ref="KZR94" r:id="rId510" xr:uid="{091B5F52-E14C-46A6-BD93-384857421473}"/>
    <hyperlink ref="LAH94" r:id="rId511" xr:uid="{EFE9E065-253C-48E0-8B81-65A3F7033243}"/>
    <hyperlink ref="LAX94" r:id="rId512" xr:uid="{F5E8F8B8-BA08-499E-A077-631A0ED28B40}"/>
    <hyperlink ref="LBN94" r:id="rId513" xr:uid="{A5597FDD-58D7-4586-8489-28E2342126C4}"/>
    <hyperlink ref="LCD94" r:id="rId514" xr:uid="{5D7056CC-F053-4AEA-8516-305E056ED308}"/>
    <hyperlink ref="LCT94" r:id="rId515" xr:uid="{4CD6635C-6EFB-47B3-B187-4A29C7ED362E}"/>
    <hyperlink ref="LDJ94" r:id="rId516" xr:uid="{CBF9A934-5CB2-431A-AF7D-9E6F00A2082B}"/>
    <hyperlink ref="LDZ94" r:id="rId517" xr:uid="{BE4B9F3A-8D71-407D-BE72-8723CEAADCDB}"/>
    <hyperlink ref="LEP94" r:id="rId518" xr:uid="{14772918-74BD-4B5B-B22C-C3C8AF1A9BE8}"/>
    <hyperlink ref="LFF94" r:id="rId519" xr:uid="{7B5DFB51-9E0F-4058-BBDB-876AB0E98037}"/>
    <hyperlink ref="LFV94" r:id="rId520" xr:uid="{ED6E8347-15D4-4077-A49A-3F982752934F}"/>
    <hyperlink ref="LGL94" r:id="rId521" xr:uid="{63ED71AB-137B-47B2-B441-FEB3C3D7669E}"/>
    <hyperlink ref="LHB94" r:id="rId522" xr:uid="{5463DF25-C32A-47CE-AB6E-B9ADA939B418}"/>
    <hyperlink ref="LHR94" r:id="rId523" xr:uid="{18032FB7-4C32-450B-8CF3-FB18075738FC}"/>
    <hyperlink ref="LIH94" r:id="rId524" xr:uid="{C42C95D6-C5E4-411E-AF09-81D17260B6F5}"/>
    <hyperlink ref="LIX94" r:id="rId525" xr:uid="{C34F14FD-7431-419D-8A4B-CF7BACA6294B}"/>
    <hyperlink ref="LJN94" r:id="rId526" xr:uid="{4314ABA7-9973-42CC-B2DD-3FD00B110B3A}"/>
    <hyperlink ref="LKD94" r:id="rId527" xr:uid="{68B89A94-06C6-4ED6-8DA7-8D7B69446D91}"/>
    <hyperlink ref="LKT94" r:id="rId528" xr:uid="{A5918370-8C99-4CDA-8470-F65AD0D75293}"/>
    <hyperlink ref="LLJ94" r:id="rId529" xr:uid="{5BE03CB3-53A1-4801-BBE5-B252D7B754AE}"/>
    <hyperlink ref="LLZ94" r:id="rId530" xr:uid="{A5B1CAD9-047B-4AE7-A9F5-F3E2FAA391A9}"/>
    <hyperlink ref="LMP94" r:id="rId531" xr:uid="{36C2773E-A4CB-4C52-A166-7AF6E1DEBF0C}"/>
    <hyperlink ref="LNF94" r:id="rId532" xr:uid="{9249D7A3-02E5-484F-8C44-04A4FB39E423}"/>
    <hyperlink ref="LNV94" r:id="rId533" xr:uid="{F30DBB0B-CA97-4642-A13E-FB573230BB9C}"/>
    <hyperlink ref="LOL94" r:id="rId534" xr:uid="{A9C98E69-10D8-486E-AD3C-4B97B1D7612A}"/>
    <hyperlink ref="LPB94" r:id="rId535" xr:uid="{9DC26788-A938-43C2-98D5-E9859201F8DD}"/>
    <hyperlink ref="LPR94" r:id="rId536" xr:uid="{A63EC566-E294-45D2-B131-0478A08E96E8}"/>
    <hyperlink ref="LQH94" r:id="rId537" xr:uid="{67F640AC-9223-4099-B52F-887794605C5E}"/>
    <hyperlink ref="LQX94" r:id="rId538" xr:uid="{AB438FD8-3EDB-445A-8FB0-3A526CD0C564}"/>
    <hyperlink ref="LRN94" r:id="rId539" xr:uid="{6CC47645-6541-47BD-A876-38D04617171C}"/>
    <hyperlink ref="LSD94" r:id="rId540" xr:uid="{39412C6F-2E06-49BA-B971-E6EFB0861CBB}"/>
    <hyperlink ref="LST94" r:id="rId541" xr:uid="{498BC70D-60A7-42C3-AA1F-69EEC2901925}"/>
    <hyperlink ref="LTJ94" r:id="rId542" xr:uid="{AB1C90C8-C521-4505-ACB7-4A391570F15D}"/>
    <hyperlink ref="LTZ94" r:id="rId543" xr:uid="{26B4369F-6B20-4D34-95DB-CC0CF6618AB4}"/>
    <hyperlink ref="LUP94" r:id="rId544" xr:uid="{DD7D4C03-57C3-4E84-867E-CB0735BC7B86}"/>
    <hyperlink ref="LVF94" r:id="rId545" xr:uid="{15B2A986-E57C-469F-8C26-B07139E7581F}"/>
    <hyperlink ref="LVV94" r:id="rId546" xr:uid="{6BAFA8C9-7591-476A-A7E1-639E7B782436}"/>
    <hyperlink ref="LWL94" r:id="rId547" xr:uid="{228F01AD-8E83-4A74-BB78-C95DCE6B8113}"/>
    <hyperlink ref="LXB94" r:id="rId548" xr:uid="{45FA1971-F9C0-4536-9DC0-353C333F9029}"/>
    <hyperlink ref="LXR94" r:id="rId549" xr:uid="{6F3BDFA8-8705-42C3-803F-8A3B8D8B50BC}"/>
    <hyperlink ref="LYH94" r:id="rId550" xr:uid="{61A5B465-58A9-4459-93BA-2671C1EC578B}"/>
    <hyperlink ref="LYX94" r:id="rId551" xr:uid="{BF807663-69FD-4138-8962-FB66395CEEB3}"/>
    <hyperlink ref="LZN94" r:id="rId552" xr:uid="{1BA04FF0-8BB5-419D-A9E1-2B4C2E7D5C0B}"/>
    <hyperlink ref="MAD94" r:id="rId553" xr:uid="{B5369A2C-A800-4A4A-8314-591C1B172108}"/>
    <hyperlink ref="MAT94" r:id="rId554" xr:uid="{196809C8-6E84-4DC4-8385-A6C1185F76CB}"/>
    <hyperlink ref="MBJ94" r:id="rId555" xr:uid="{79E5ECDA-C36C-432F-AD8C-E7B2CF616582}"/>
    <hyperlink ref="MBZ94" r:id="rId556" xr:uid="{19A3BC69-E6E3-4118-95B8-552D52CFFCEC}"/>
    <hyperlink ref="MCP94" r:id="rId557" xr:uid="{E6231114-B8F9-4721-A8A2-79570D389F2E}"/>
    <hyperlink ref="MDF94" r:id="rId558" xr:uid="{CD77B400-BCCF-4875-8D51-90A6230CB641}"/>
    <hyperlink ref="MDV94" r:id="rId559" xr:uid="{0B2AF5D1-2E54-418B-B547-306F056036DA}"/>
    <hyperlink ref="MEL94" r:id="rId560" xr:uid="{C9B397E2-3D07-4D64-8B3D-4B840C179C00}"/>
    <hyperlink ref="MFB94" r:id="rId561" xr:uid="{3754F7EC-A256-4640-9AA7-9751DE33F9C5}"/>
    <hyperlink ref="MFR94" r:id="rId562" xr:uid="{00059313-79E6-435F-B3B4-A3D62C7DCBD3}"/>
    <hyperlink ref="MGH94" r:id="rId563" xr:uid="{5FFEC11A-ACDB-47F4-988E-6E94FE5763C6}"/>
    <hyperlink ref="MGX94" r:id="rId564" xr:uid="{B23B9867-B097-48C3-9E48-578F4947DC50}"/>
    <hyperlink ref="MHN94" r:id="rId565" xr:uid="{10C5EA0E-3D1B-4EB1-85F7-5077233E5B93}"/>
    <hyperlink ref="MID94" r:id="rId566" xr:uid="{87871331-7568-4428-A9F1-F2AD4B6795D8}"/>
    <hyperlink ref="MIT94" r:id="rId567" xr:uid="{52E68B34-A98D-433D-9240-955D44F15894}"/>
    <hyperlink ref="MJJ94" r:id="rId568" xr:uid="{EB343849-D486-4C63-9C9A-F58B1CFB83F2}"/>
    <hyperlink ref="MJZ94" r:id="rId569" xr:uid="{863C6265-689A-4735-AD3D-7056A231E348}"/>
    <hyperlink ref="MKP94" r:id="rId570" xr:uid="{768AAEE2-5EF9-4D47-8A54-5CF6568B30AB}"/>
    <hyperlink ref="MLF94" r:id="rId571" xr:uid="{0B94340D-7B75-4AC0-ACBC-FC45C8102211}"/>
    <hyperlink ref="MLV94" r:id="rId572" xr:uid="{3805E205-3A58-4DBC-9563-740EC8E94AA1}"/>
    <hyperlink ref="MML94" r:id="rId573" xr:uid="{F5265545-99A8-4B17-BBED-F0EBF729A1C5}"/>
    <hyperlink ref="MNB94" r:id="rId574" xr:uid="{00893CB9-ED91-4A45-AA97-AD8CD236EE82}"/>
    <hyperlink ref="MNR94" r:id="rId575" xr:uid="{81799056-825B-4FD9-B3FB-D41366E031A2}"/>
    <hyperlink ref="MOH94" r:id="rId576" xr:uid="{2C097FCF-8CDC-4836-8656-B61D09B9554A}"/>
    <hyperlink ref="MOX94" r:id="rId577" xr:uid="{65D6E2A7-E7FF-411B-B6E9-CD1EAEDBF7E4}"/>
    <hyperlink ref="MPN94" r:id="rId578" xr:uid="{F1555668-4B89-4268-B342-979338ADAAE4}"/>
    <hyperlink ref="MQD94" r:id="rId579" xr:uid="{BB894358-E25F-4699-B536-C840CBB32FF9}"/>
    <hyperlink ref="MQT94" r:id="rId580" xr:uid="{C36782DE-8ACD-45B3-8F61-D650C7D9F3D8}"/>
    <hyperlink ref="MRJ94" r:id="rId581" xr:uid="{48CD2CC1-4B71-40EC-9E95-8584D43AAEAD}"/>
    <hyperlink ref="MRZ94" r:id="rId582" xr:uid="{3B2E5830-E8CC-4792-9E8D-B2AE3C3D0B04}"/>
    <hyperlink ref="MSP94" r:id="rId583" xr:uid="{B8277E14-C14B-48C6-90B4-5CF9F011166D}"/>
    <hyperlink ref="MTF94" r:id="rId584" xr:uid="{82F26EB3-39B4-4BB8-B3FF-4DA6981A9FC8}"/>
    <hyperlink ref="MTV94" r:id="rId585" xr:uid="{5FF03DBE-B925-433D-BB7D-769DB1B03979}"/>
    <hyperlink ref="MUL94" r:id="rId586" xr:uid="{5FBE5B5E-9ADC-40CB-A0FD-DD9CA847A224}"/>
    <hyperlink ref="MVB94" r:id="rId587" xr:uid="{C6141332-813F-4FEC-ABD5-BA05257AA227}"/>
    <hyperlink ref="MVR94" r:id="rId588" xr:uid="{94ED688B-2770-4C83-8EB9-485F61FEAFA5}"/>
    <hyperlink ref="MWH94" r:id="rId589" xr:uid="{E091333B-018B-4204-B27A-75520CF94E10}"/>
    <hyperlink ref="MWX94" r:id="rId590" xr:uid="{941EA7D4-5617-468C-B7FF-D87AF0E77CAE}"/>
    <hyperlink ref="MXN94" r:id="rId591" xr:uid="{3F075E72-9FB7-4EBD-8FCA-1770E49923B3}"/>
    <hyperlink ref="MYD94" r:id="rId592" xr:uid="{C2CCA043-9C2B-472F-9135-F25395D09A48}"/>
    <hyperlink ref="MYT94" r:id="rId593" xr:uid="{C15FF5AF-E078-4B01-98AF-A718B1BCDBC3}"/>
    <hyperlink ref="MZJ94" r:id="rId594" xr:uid="{CDF9663F-3002-4F02-ACF9-E0A5A9E010A9}"/>
    <hyperlink ref="MZZ94" r:id="rId595" xr:uid="{850DB81F-E902-45C8-96D4-67DFA90718A5}"/>
    <hyperlink ref="NAP94" r:id="rId596" xr:uid="{233C772D-A73D-4E73-AEC4-F0523A424A4D}"/>
    <hyperlink ref="NBF94" r:id="rId597" xr:uid="{6AC894C1-8E2E-4BD7-9A23-5932249134DD}"/>
    <hyperlink ref="NBV94" r:id="rId598" xr:uid="{07ECAF9F-4635-443A-A1C0-29BE46729654}"/>
    <hyperlink ref="NCL94" r:id="rId599" xr:uid="{A34A318F-B432-4D28-81EE-0D095311EFB9}"/>
    <hyperlink ref="NDB94" r:id="rId600" xr:uid="{C0FB5848-29C3-4723-8B55-FEA295E48D61}"/>
    <hyperlink ref="NDR94" r:id="rId601" xr:uid="{C8366413-CCF5-4B41-9BEE-5ED0C3BA52CD}"/>
    <hyperlink ref="NEH94" r:id="rId602" xr:uid="{72F83B4C-6AD7-45FE-AA66-40C1591D0414}"/>
    <hyperlink ref="NEX94" r:id="rId603" xr:uid="{C734D0E2-AFB0-419D-B260-7E41AE0ACF6C}"/>
    <hyperlink ref="NFN94" r:id="rId604" xr:uid="{BCFDA101-5547-4886-9AB9-1C4EDC6BAAA2}"/>
    <hyperlink ref="NGD94" r:id="rId605" xr:uid="{96D51323-F706-4588-B745-34796C64CE4F}"/>
    <hyperlink ref="NGT94" r:id="rId606" xr:uid="{F902D7B5-A6C3-49DA-9923-9F4F13496399}"/>
    <hyperlink ref="NHJ94" r:id="rId607" xr:uid="{595C325E-CED8-47A9-A412-94CF113C7CE3}"/>
    <hyperlink ref="NHZ94" r:id="rId608" xr:uid="{C8BCA4AA-8D21-4ACF-87EB-27497DEA3405}"/>
    <hyperlink ref="NIP94" r:id="rId609" xr:uid="{6EE60F06-2BB3-4CBD-A020-F8A058A47B63}"/>
    <hyperlink ref="NJF94" r:id="rId610" xr:uid="{F17726ED-A77D-40EA-B0D5-32A07C4C7608}"/>
    <hyperlink ref="NJV94" r:id="rId611" xr:uid="{4DD9B7B6-C3A1-4AEB-B5EF-EC3872D15457}"/>
    <hyperlink ref="NKL94" r:id="rId612" xr:uid="{91141ADA-B301-4480-83E6-DC7D183F75C9}"/>
    <hyperlink ref="NLB94" r:id="rId613" xr:uid="{9491068B-7407-4229-860B-6A66C5920FC5}"/>
    <hyperlink ref="NLR94" r:id="rId614" xr:uid="{E37C2A8D-77CC-4923-B592-EFCFEC9CED23}"/>
    <hyperlink ref="NMH94" r:id="rId615" xr:uid="{1A98A945-235B-4525-9B3C-2C456FE1551F}"/>
    <hyperlink ref="NMX94" r:id="rId616" xr:uid="{C573F689-C975-47F3-9FEB-95F0C813574E}"/>
    <hyperlink ref="NNN94" r:id="rId617" xr:uid="{59460988-AFCF-449D-9190-8DC0560E55AA}"/>
    <hyperlink ref="NOD94" r:id="rId618" xr:uid="{00783BD1-838F-44AF-A9B1-D5FB875B1DBA}"/>
    <hyperlink ref="NOT94" r:id="rId619" xr:uid="{6D64D813-3D4D-4BF1-ABF0-D4E05847AA39}"/>
    <hyperlink ref="NPJ94" r:id="rId620" xr:uid="{836F39FE-E393-452E-AC9E-693EE4D5671B}"/>
    <hyperlink ref="NPZ94" r:id="rId621" xr:uid="{EC4F954C-AFD5-4538-96BC-80981E1A3EE3}"/>
    <hyperlink ref="NQP94" r:id="rId622" xr:uid="{D4306792-96F5-42D8-B98F-06B85F3BB2AF}"/>
    <hyperlink ref="NRF94" r:id="rId623" xr:uid="{8FE3B89B-0C5E-4490-9C43-BFC55E8BC095}"/>
    <hyperlink ref="NRV94" r:id="rId624" xr:uid="{1E5CDBF8-8AC8-4473-85B3-63535CBB566C}"/>
    <hyperlink ref="NSL94" r:id="rId625" xr:uid="{B66BF0DA-0577-4AFC-AA4D-31DFA4938CF6}"/>
    <hyperlink ref="NTB94" r:id="rId626" xr:uid="{1D13AAC2-AA99-4700-BBE2-91FDE6E05E58}"/>
    <hyperlink ref="NTR94" r:id="rId627" xr:uid="{C78FA855-0910-4233-A95A-C84967E2D78E}"/>
    <hyperlink ref="NUH94" r:id="rId628" xr:uid="{B579F19F-42CF-45FB-8FCB-B4503C287673}"/>
    <hyperlink ref="NUX94" r:id="rId629" xr:uid="{CAF57FFA-4838-44D1-82A8-B6ADA50139B3}"/>
    <hyperlink ref="NVN94" r:id="rId630" xr:uid="{5A17087C-3564-41BF-9BD1-FDD85EF5A995}"/>
    <hyperlink ref="NWD94" r:id="rId631" xr:uid="{A76136AC-7678-4E4E-8ADB-1A33E2715A1E}"/>
    <hyperlink ref="NWT94" r:id="rId632" xr:uid="{707DE070-BC0A-4121-8D49-2F2435385753}"/>
    <hyperlink ref="NXJ94" r:id="rId633" xr:uid="{43174AFE-240A-4494-879A-9678B14B263C}"/>
    <hyperlink ref="NXZ94" r:id="rId634" xr:uid="{77038CAE-4D8E-4EA2-85A9-84D8D7003FD7}"/>
    <hyperlink ref="NYP94" r:id="rId635" xr:uid="{03F5E00F-A8C6-4510-B78F-831E3A569220}"/>
    <hyperlink ref="NZF94" r:id="rId636" xr:uid="{AB6D2F12-FC74-4B97-A8F4-14741B709315}"/>
    <hyperlink ref="NZV94" r:id="rId637" xr:uid="{17AD8B55-81A7-4428-9A3F-38BAB79014DD}"/>
    <hyperlink ref="OAL94" r:id="rId638" xr:uid="{40849D70-8336-4C9E-8FF4-EC4C5A01F977}"/>
    <hyperlink ref="OBB94" r:id="rId639" xr:uid="{B7F4C4EE-45A6-49D3-9A37-C4A5B18DA327}"/>
    <hyperlink ref="OBR94" r:id="rId640" xr:uid="{9E248A87-30B4-47A6-A3AD-81B31ED1F746}"/>
    <hyperlink ref="OCH94" r:id="rId641" xr:uid="{5409897D-87F3-44C9-AC21-7DD3A4033D9F}"/>
    <hyperlink ref="OCX94" r:id="rId642" xr:uid="{05570460-41A2-47FC-BC7C-A2C022CF0941}"/>
    <hyperlink ref="ODN94" r:id="rId643" xr:uid="{B9E98F1E-E23D-40AF-B985-802944CBA3F2}"/>
    <hyperlink ref="OED94" r:id="rId644" xr:uid="{4A9E2081-592B-4E3A-887D-8AD28A771E5C}"/>
    <hyperlink ref="OET94" r:id="rId645" xr:uid="{0E1A711E-8793-42D0-9398-B245A8F8B0BA}"/>
    <hyperlink ref="OFJ94" r:id="rId646" xr:uid="{9B7E08B2-AC47-41E2-AB28-51B8A1D6B1E1}"/>
    <hyperlink ref="OFZ94" r:id="rId647" xr:uid="{2ED92D39-043F-4B83-9F2D-4FA83D516794}"/>
    <hyperlink ref="OGP94" r:id="rId648" xr:uid="{F5C88195-0736-45F4-99AA-148EC7F4B4CD}"/>
    <hyperlink ref="OHF94" r:id="rId649" xr:uid="{053D09BB-AEA1-44DD-A563-C73D37E51224}"/>
    <hyperlink ref="OHV94" r:id="rId650" xr:uid="{4614077D-2DCB-40AC-A757-4EE1C96FBF09}"/>
    <hyperlink ref="OIL94" r:id="rId651" xr:uid="{E2A2FDA4-A46E-40E5-BF95-CCBF26BFEA6A}"/>
    <hyperlink ref="OJB94" r:id="rId652" xr:uid="{C39ADAD3-64D3-4BDF-94DB-39BA06EF43DF}"/>
    <hyperlink ref="OJR94" r:id="rId653" xr:uid="{F4B9BF1C-7AB7-4A3F-B102-67127754F34D}"/>
    <hyperlink ref="OKH94" r:id="rId654" xr:uid="{F2C77365-4C08-410D-9BFB-765B8E4DE2C9}"/>
    <hyperlink ref="OKX94" r:id="rId655" xr:uid="{3FFFE955-6266-4729-949A-51932FD9D50C}"/>
    <hyperlink ref="OLN94" r:id="rId656" xr:uid="{B86A0420-1CD1-42DC-B295-37C6DF276A55}"/>
    <hyperlink ref="OMD94" r:id="rId657" xr:uid="{DEE72987-9C63-4E5D-BD84-5D4EF3AFAFF4}"/>
    <hyperlink ref="OMT94" r:id="rId658" xr:uid="{2B822B34-47C0-4EF5-B44C-995D4B7E8112}"/>
    <hyperlink ref="ONJ94" r:id="rId659" xr:uid="{642FD13B-361C-4A4F-BDDA-A4BF3E40F5E5}"/>
    <hyperlink ref="ONZ94" r:id="rId660" xr:uid="{0795D386-AECB-480C-9DC6-EF47B40555A8}"/>
    <hyperlink ref="OOP94" r:id="rId661" xr:uid="{DB006DBB-56CB-4BDB-BAB7-0B4D1C3A83A4}"/>
    <hyperlink ref="OPF94" r:id="rId662" xr:uid="{92FF5B4B-6033-479D-9479-3816763205E4}"/>
    <hyperlink ref="OPV94" r:id="rId663" xr:uid="{D33DBBB5-CB6C-4AFE-B4DF-DB4D9FACC305}"/>
    <hyperlink ref="OQL94" r:id="rId664" xr:uid="{33BC9CC6-58A0-4AEC-863B-05548FA0572D}"/>
    <hyperlink ref="ORB94" r:id="rId665" xr:uid="{2CF4E444-3EFD-4864-8F4D-37F1F7D93AFE}"/>
    <hyperlink ref="ORR94" r:id="rId666" xr:uid="{F3EB9B0F-CA17-4875-B26A-B0ACB79698E9}"/>
    <hyperlink ref="OSH94" r:id="rId667" xr:uid="{0BFB601B-013D-45F1-842C-539B2F6238AD}"/>
    <hyperlink ref="OSX94" r:id="rId668" xr:uid="{5710BEAC-10E6-46D9-84CE-B1543F817195}"/>
    <hyperlink ref="OTN94" r:id="rId669" xr:uid="{34383B4C-CCC0-4F11-B69B-2C6A64B98AC1}"/>
    <hyperlink ref="OUD94" r:id="rId670" xr:uid="{7841BC42-D9EE-4881-AC68-5C5ED2D5FB37}"/>
    <hyperlink ref="OUT94" r:id="rId671" xr:uid="{AA2123D6-B4D4-42A5-99DD-27F3FE239896}"/>
    <hyperlink ref="OVJ94" r:id="rId672" xr:uid="{33ADFE50-1852-4EB4-B1F8-11CC841449AE}"/>
    <hyperlink ref="OVZ94" r:id="rId673" xr:uid="{F2599710-6375-46FA-8EB7-534E12712B72}"/>
    <hyperlink ref="OWP94" r:id="rId674" xr:uid="{9A67539C-6E46-4477-80A4-E825E07DA95E}"/>
    <hyperlink ref="OXF94" r:id="rId675" xr:uid="{6847B06C-FF89-4910-BB9C-125A235CDE89}"/>
    <hyperlink ref="OXV94" r:id="rId676" xr:uid="{E64E8C92-0F9E-4C43-9381-060CFF3DCEF8}"/>
    <hyperlink ref="OYL94" r:id="rId677" xr:uid="{65176616-7E9D-411C-87EE-36B17E756862}"/>
    <hyperlink ref="OZB94" r:id="rId678" xr:uid="{146264D8-4EF1-4EF5-9A07-FEBB2438BCD2}"/>
    <hyperlink ref="OZR94" r:id="rId679" xr:uid="{BEB4C03C-6067-41A8-B23B-5E1CFFB8D4D1}"/>
    <hyperlink ref="PAH94" r:id="rId680" xr:uid="{7209D5BA-5E75-4A4C-A313-2A85057871AD}"/>
    <hyperlink ref="PAX94" r:id="rId681" xr:uid="{2A41CE0D-1BB7-4E0D-B641-615C338AD9DC}"/>
    <hyperlink ref="PBN94" r:id="rId682" xr:uid="{1ECD6867-947C-4E87-94CC-B2FCD6DCF022}"/>
    <hyperlink ref="PCD94" r:id="rId683" xr:uid="{DAB0B80C-DF3D-493E-A75A-15363645C3FD}"/>
    <hyperlink ref="PCT94" r:id="rId684" xr:uid="{924FA958-01D5-4EDE-AE27-12BB48456D62}"/>
    <hyperlink ref="PDJ94" r:id="rId685" xr:uid="{0D2F5F98-EDEF-4DA6-968A-12499817D045}"/>
    <hyperlink ref="PDZ94" r:id="rId686" xr:uid="{C999CACF-E3D7-4934-86E5-2C51799F458E}"/>
    <hyperlink ref="PEP94" r:id="rId687" xr:uid="{2295E99A-C42B-4103-820A-CD14B4AC89C6}"/>
    <hyperlink ref="PFF94" r:id="rId688" xr:uid="{5194F4B9-5648-4425-8BBC-F12F0376824F}"/>
    <hyperlink ref="PFV94" r:id="rId689" xr:uid="{4C45A200-0CB9-4237-941C-756EFB1EBEEB}"/>
    <hyperlink ref="PGL94" r:id="rId690" xr:uid="{B57F05AD-B233-449F-9B6A-BC2721D9C63C}"/>
    <hyperlink ref="PHB94" r:id="rId691" xr:uid="{B30E1154-371C-48A1-9FDB-1F7E7DFA07E7}"/>
    <hyperlink ref="PHR94" r:id="rId692" xr:uid="{63565B95-1396-4F65-95E4-5BB75D4084C0}"/>
    <hyperlink ref="PIH94" r:id="rId693" xr:uid="{E7B908DB-D8AF-45AA-9458-A0B7EC718930}"/>
    <hyperlink ref="PIX94" r:id="rId694" xr:uid="{DD76E431-5DF2-4A84-9245-8776E8BBD6EC}"/>
    <hyperlink ref="PJN94" r:id="rId695" xr:uid="{F0446AE9-A0CA-4B90-ADA4-8E4B9F366041}"/>
    <hyperlink ref="PKD94" r:id="rId696" xr:uid="{4B8F0EA0-F897-436B-AAE6-F64BC4372414}"/>
    <hyperlink ref="PKT94" r:id="rId697" xr:uid="{82AF0690-D749-4489-A0BF-0E4DED365F51}"/>
    <hyperlink ref="PLJ94" r:id="rId698" xr:uid="{4F01F722-6881-41BD-828F-55FE08530A90}"/>
    <hyperlink ref="PLZ94" r:id="rId699" xr:uid="{D93C66AF-CC2C-40A7-BE43-21B4C03E5CE1}"/>
    <hyperlink ref="PMP94" r:id="rId700" xr:uid="{448C65D8-2CBB-42C2-8C73-415E224C657D}"/>
    <hyperlink ref="PNF94" r:id="rId701" xr:uid="{15A64255-3BE1-49E5-8BA2-A19A45DF6BF9}"/>
    <hyperlink ref="PNV94" r:id="rId702" xr:uid="{6C277720-EED2-429D-BC31-2B93D1C2B4BA}"/>
    <hyperlink ref="POL94" r:id="rId703" xr:uid="{0561514F-D07F-4DE5-AF70-10F259270A61}"/>
    <hyperlink ref="PPB94" r:id="rId704" xr:uid="{7918FE26-50D6-4757-B8D1-116023A39D01}"/>
    <hyperlink ref="PPR94" r:id="rId705" xr:uid="{3228876E-5390-4A91-BCD8-25EF29E305E9}"/>
    <hyperlink ref="PQH94" r:id="rId706" xr:uid="{95C71C3A-48D8-4013-BD46-1E446D86A7A1}"/>
    <hyperlink ref="PQX94" r:id="rId707" xr:uid="{52978D93-CA18-4D40-B709-5FDA4249ACF8}"/>
    <hyperlink ref="PRN94" r:id="rId708" xr:uid="{E2AFE145-847E-4143-B794-A0FE9844AF7A}"/>
    <hyperlink ref="PSD94" r:id="rId709" xr:uid="{5683FD12-8F9C-4CBF-A40A-8A9C36300356}"/>
    <hyperlink ref="PST94" r:id="rId710" xr:uid="{05C0ADA3-68FE-4B52-8D99-A78F32C066CC}"/>
    <hyperlink ref="PTJ94" r:id="rId711" xr:uid="{E65811A5-DF82-4751-BFB8-4D31C3312D6C}"/>
    <hyperlink ref="PTZ94" r:id="rId712" xr:uid="{5E132B3E-FD90-4AF6-9E48-E997FFE83607}"/>
    <hyperlink ref="PUP94" r:id="rId713" xr:uid="{5EEB4CF3-8179-48C4-A3A5-DF98BFB8E12F}"/>
    <hyperlink ref="PVF94" r:id="rId714" xr:uid="{F597DD07-D588-4DDE-8B9D-30E156B430E9}"/>
    <hyperlink ref="PVV94" r:id="rId715" xr:uid="{A8630F0D-7CC4-4988-8DD9-1AF57EC2FD0F}"/>
    <hyperlink ref="PWL94" r:id="rId716" xr:uid="{9D712DB4-BB03-4669-8C93-02CDFE61AD2C}"/>
    <hyperlink ref="PXB94" r:id="rId717" xr:uid="{5E3A454B-6588-4964-94EE-238EC230A711}"/>
    <hyperlink ref="PXR94" r:id="rId718" xr:uid="{B188D297-8E08-443F-8BF1-75F15949FDD8}"/>
    <hyperlink ref="PYH94" r:id="rId719" xr:uid="{DD3F5169-ADA8-4E8C-8708-4401B405E587}"/>
    <hyperlink ref="PYX94" r:id="rId720" xr:uid="{A5512955-52CB-4511-AD9F-C227D1EC3FA9}"/>
    <hyperlink ref="PZN94" r:id="rId721" xr:uid="{BA0E3553-12E4-45DE-814A-C8EE33FDDEB1}"/>
    <hyperlink ref="QAD94" r:id="rId722" xr:uid="{663C6A35-CD85-4898-8A84-FEADD5A5D349}"/>
    <hyperlink ref="QAT94" r:id="rId723" xr:uid="{1C6C5B8F-7350-4975-B78F-F1BBF52E764B}"/>
    <hyperlink ref="QBJ94" r:id="rId724" xr:uid="{D1A20C14-7D0E-4B90-9B59-71D4C0E1FAF1}"/>
    <hyperlink ref="QBZ94" r:id="rId725" xr:uid="{BA9EAAF9-9224-4FD8-A998-88FE546A97D3}"/>
    <hyperlink ref="QCP94" r:id="rId726" xr:uid="{86E4F114-08EB-4943-B460-0C59570196DE}"/>
    <hyperlink ref="QDF94" r:id="rId727" xr:uid="{515537D5-4C71-4D1F-BCB7-F2DE2E9B7A55}"/>
    <hyperlink ref="QDV94" r:id="rId728" xr:uid="{5F64EAB6-8107-46BD-9543-3D8D13E75A62}"/>
    <hyperlink ref="QEL94" r:id="rId729" xr:uid="{6888F821-84F8-4421-A5CA-EB86C2C60B45}"/>
    <hyperlink ref="QFB94" r:id="rId730" xr:uid="{80F5273A-0419-47EA-8338-526BFF6CF137}"/>
    <hyperlink ref="QFR94" r:id="rId731" xr:uid="{B13CFDE4-DC2D-4C33-80B1-0F4267A16846}"/>
    <hyperlink ref="QGH94" r:id="rId732" xr:uid="{978A8C86-AA83-4E41-9E64-F512AFC86270}"/>
    <hyperlink ref="QGX94" r:id="rId733" xr:uid="{50966F4D-22FF-48BD-9FA5-4F5762F85CEA}"/>
    <hyperlink ref="QHN94" r:id="rId734" xr:uid="{F615AB30-1B4A-43ED-9A67-2B7CA2A0F6FB}"/>
    <hyperlink ref="QID94" r:id="rId735" xr:uid="{17AA4626-97E4-4F6F-BFA9-342ECE1CAA95}"/>
    <hyperlink ref="QIT94" r:id="rId736" xr:uid="{1A9859EF-30AE-4F9A-9F8B-F445C0705FA0}"/>
    <hyperlink ref="QJJ94" r:id="rId737" xr:uid="{114FBECC-0F8A-4600-AC16-951154430725}"/>
    <hyperlink ref="QJZ94" r:id="rId738" xr:uid="{917FD13A-9CB3-4279-A75E-5A6D610C160C}"/>
    <hyperlink ref="QKP94" r:id="rId739" xr:uid="{BDFEDA80-A4FC-43DD-BE4E-D7275EFEBDDF}"/>
    <hyperlink ref="QLF94" r:id="rId740" xr:uid="{F4AE821F-F6C5-4CA7-9777-4319FADC800F}"/>
    <hyperlink ref="QLV94" r:id="rId741" xr:uid="{C0F2B514-FE9A-4460-BF77-C181E0B75986}"/>
    <hyperlink ref="QML94" r:id="rId742" xr:uid="{B58796BE-C4AE-474A-ACAE-E17CCEA6D623}"/>
    <hyperlink ref="QNB94" r:id="rId743" xr:uid="{CA554F60-545E-4938-8E42-44EC8B8065A7}"/>
    <hyperlink ref="QNR94" r:id="rId744" xr:uid="{B540ECB6-807E-413E-B1AA-E1BAEB96B83F}"/>
    <hyperlink ref="QOH94" r:id="rId745" xr:uid="{9FE8F97A-D577-492C-9486-76473B70C9B9}"/>
    <hyperlink ref="QOX94" r:id="rId746" xr:uid="{FD79ECC4-50D3-4799-87B8-9CC981E6B7BF}"/>
    <hyperlink ref="QPN94" r:id="rId747" xr:uid="{BF38C7E7-3D27-4EB5-A066-CE1712CEFA00}"/>
    <hyperlink ref="QQD94" r:id="rId748" xr:uid="{FB19FB7A-9B90-4916-A5E4-F6650BF8461C}"/>
    <hyperlink ref="QQT94" r:id="rId749" xr:uid="{1E0C1E19-8EF2-4E44-9CCC-4CD9A7DFEBC9}"/>
    <hyperlink ref="QRJ94" r:id="rId750" xr:uid="{2B1EAA4B-CF76-492A-ADB1-4A03262DFE20}"/>
    <hyperlink ref="QRZ94" r:id="rId751" xr:uid="{9687526D-E5CA-431C-AA36-AFB58F763B0A}"/>
    <hyperlink ref="QSP94" r:id="rId752" xr:uid="{69294568-6766-4EBA-A226-116E26B50B02}"/>
    <hyperlink ref="QTF94" r:id="rId753" xr:uid="{184114A5-340D-403C-A856-9467875A0DD6}"/>
    <hyperlink ref="QTV94" r:id="rId754" xr:uid="{0AC8500B-9A0A-43DC-A171-22DAD6DF7CA7}"/>
    <hyperlink ref="QUL94" r:id="rId755" xr:uid="{EEA3C89B-1124-4C09-AB5C-3A6318275178}"/>
    <hyperlink ref="QVB94" r:id="rId756" xr:uid="{4A60B4A5-F8A0-40A8-8F17-25B62AAE4B0D}"/>
    <hyperlink ref="QVR94" r:id="rId757" xr:uid="{3938009D-9E59-4EBB-B435-D5DEFD9D4B7D}"/>
    <hyperlink ref="QWH94" r:id="rId758" xr:uid="{9BF5337A-4040-4FFA-8E3D-F442A0906410}"/>
    <hyperlink ref="QWX94" r:id="rId759" xr:uid="{8C4B582B-EE0F-4086-95EE-C90BF2A4AFCB}"/>
    <hyperlink ref="QXN94" r:id="rId760" xr:uid="{1FB08816-6FCE-441F-B446-F45B126E55F4}"/>
    <hyperlink ref="QYD94" r:id="rId761" xr:uid="{DDB0EDA2-3E35-4E93-8B91-15A4B176D452}"/>
    <hyperlink ref="QYT94" r:id="rId762" xr:uid="{64E090F2-9D38-49F7-AB9C-2DAE85CF4CB9}"/>
    <hyperlink ref="QZJ94" r:id="rId763" xr:uid="{C5644F6F-B1BE-435E-A032-3D12D6617061}"/>
    <hyperlink ref="QZZ94" r:id="rId764" xr:uid="{06738647-DEF7-42C2-9640-001CFD044A74}"/>
    <hyperlink ref="RAP94" r:id="rId765" xr:uid="{E438EF43-F1D4-480D-A566-5581D71618E1}"/>
    <hyperlink ref="RBF94" r:id="rId766" xr:uid="{6F959DD4-D67D-42FA-BE44-84DDCAF91105}"/>
    <hyperlink ref="RBV94" r:id="rId767" xr:uid="{834E63ED-1989-4CF6-A5DF-0F4306D7886A}"/>
    <hyperlink ref="RCL94" r:id="rId768" xr:uid="{80516942-684F-44E1-AA39-013A1FE76C77}"/>
    <hyperlink ref="RDB94" r:id="rId769" xr:uid="{983B879E-E0A3-4814-AD09-3A55CFA9DCD0}"/>
    <hyperlink ref="RDR94" r:id="rId770" xr:uid="{320A5FB6-7134-46F6-8698-24730CB0B98D}"/>
    <hyperlink ref="REH94" r:id="rId771" xr:uid="{EE830C21-44F9-4C9B-8341-54BD4F62141F}"/>
    <hyperlink ref="REX94" r:id="rId772" xr:uid="{5E6DD2E2-CF65-4E2B-BD28-EE5E0ED5E4E0}"/>
    <hyperlink ref="RFN94" r:id="rId773" xr:uid="{DEEAB696-89AB-4F08-9E00-725EEED9F85E}"/>
    <hyperlink ref="RGD94" r:id="rId774" xr:uid="{6CEBF114-76DB-4B91-8B21-E28D6D3B9E0F}"/>
    <hyperlink ref="RGT94" r:id="rId775" xr:uid="{1FF8C671-5D6B-43E3-B5E2-E02C185AC6A2}"/>
    <hyperlink ref="RHJ94" r:id="rId776" xr:uid="{67C02580-F108-4421-8315-88F3DD16CD09}"/>
    <hyperlink ref="RHZ94" r:id="rId777" xr:uid="{17585EE9-F38A-431A-9DF3-298EEA183CAF}"/>
    <hyperlink ref="RIP94" r:id="rId778" xr:uid="{BF86C171-C461-43E0-A2F0-01678876FC61}"/>
    <hyperlink ref="RJF94" r:id="rId779" xr:uid="{1460EFAD-B01B-4E3C-941A-E6F33AC6F71D}"/>
    <hyperlink ref="RJV94" r:id="rId780" xr:uid="{9C33E920-CB26-4B0A-993A-5504CAB186E2}"/>
    <hyperlink ref="RKL94" r:id="rId781" xr:uid="{A6CC8964-3C28-4E7E-8644-59B8C3BDB9AD}"/>
    <hyperlink ref="RLB94" r:id="rId782" xr:uid="{FF9AC87E-18F0-4A56-88B9-F60591081E45}"/>
    <hyperlink ref="RLR94" r:id="rId783" xr:uid="{55C44CA2-118F-40C6-A272-F1FFBE620252}"/>
    <hyperlink ref="RMH94" r:id="rId784" xr:uid="{8BA84D45-273E-48E0-AB75-EA1BA313D768}"/>
    <hyperlink ref="RMX94" r:id="rId785" xr:uid="{4D2EBB9E-C67B-4142-977C-C6B7EDF09CF6}"/>
    <hyperlink ref="RNN94" r:id="rId786" xr:uid="{653538BA-6606-45FB-9F10-14422BA965EB}"/>
    <hyperlink ref="ROD94" r:id="rId787" xr:uid="{60135E22-B8CD-4A88-B56C-B5B093C5AE3C}"/>
    <hyperlink ref="ROT94" r:id="rId788" xr:uid="{A0F935F3-2641-4F39-9710-D976BAD32A1B}"/>
    <hyperlink ref="RPJ94" r:id="rId789" xr:uid="{3F2FA08E-A88A-4740-82A0-59905F2B045B}"/>
    <hyperlink ref="RPZ94" r:id="rId790" xr:uid="{2ECE3B73-857D-4F04-9ADE-00F95DD24455}"/>
    <hyperlink ref="RQP94" r:id="rId791" xr:uid="{0EE7C4BC-68F6-4994-BA37-EB492504F3A5}"/>
    <hyperlink ref="RRF94" r:id="rId792" xr:uid="{44CE7E3A-B9D0-49B6-A365-7DA56093A390}"/>
    <hyperlink ref="RRV94" r:id="rId793" xr:uid="{2A35ABB2-A40B-4D01-BDFB-B926D5A99291}"/>
    <hyperlink ref="RSL94" r:id="rId794" xr:uid="{62F5716F-3B6C-4EFD-BAF2-980DB7992785}"/>
    <hyperlink ref="RTB94" r:id="rId795" xr:uid="{EC1886EC-FB8A-42C1-BA50-B92BF01E68FA}"/>
    <hyperlink ref="RTR94" r:id="rId796" xr:uid="{901B1AB0-652F-4D3B-8483-81D25F520CB1}"/>
    <hyperlink ref="RUH94" r:id="rId797" xr:uid="{98FA62E1-02EB-4325-8B72-E767FF7CF849}"/>
    <hyperlink ref="RUX94" r:id="rId798" xr:uid="{CF3485B4-8346-43D8-8765-9C6D0BDFE10A}"/>
    <hyperlink ref="RVN94" r:id="rId799" xr:uid="{CD70DF0C-8F8B-45A4-87A8-9B1B603DD744}"/>
    <hyperlink ref="RWD94" r:id="rId800" xr:uid="{3C91A870-FC1B-4A34-B9BF-0218E7485D38}"/>
    <hyperlink ref="RWT94" r:id="rId801" xr:uid="{CFD08C68-A2F4-4EA0-9343-823E410367BE}"/>
    <hyperlink ref="RXJ94" r:id="rId802" xr:uid="{E5B638C3-3967-4528-819D-45D59E3D01FC}"/>
    <hyperlink ref="RXZ94" r:id="rId803" xr:uid="{6431C910-9954-420C-B81D-20C8483A6174}"/>
    <hyperlink ref="RYP94" r:id="rId804" xr:uid="{928E1231-B447-402A-B81B-851CDBFEBDA3}"/>
    <hyperlink ref="RZF94" r:id="rId805" xr:uid="{9FB8963F-0800-4462-BF56-F855D0B99F82}"/>
    <hyperlink ref="RZV94" r:id="rId806" xr:uid="{C9A02A25-A4BB-4D07-849B-E25A34B71758}"/>
    <hyperlink ref="SAL94" r:id="rId807" xr:uid="{F21CA639-0882-4166-BBC3-45818678A74B}"/>
    <hyperlink ref="SBB94" r:id="rId808" xr:uid="{2E65DC1E-F28D-42EF-9ECD-CB5777627B33}"/>
    <hyperlink ref="SBR94" r:id="rId809" xr:uid="{16C0E83F-5B70-4CBF-8E42-55CD03B9B79A}"/>
    <hyperlink ref="SCH94" r:id="rId810" xr:uid="{6AFA3F09-BFC4-4B47-8EA6-B038D7BC9F4D}"/>
    <hyperlink ref="SCX94" r:id="rId811" xr:uid="{54F8C243-F8E7-4D71-ADB0-A4DECF419417}"/>
    <hyperlink ref="SDN94" r:id="rId812" xr:uid="{AFCBE8EF-0836-4B19-B116-90BB66C634A6}"/>
    <hyperlink ref="SED94" r:id="rId813" xr:uid="{770D3AC4-4465-4D21-BF68-F12403FE5388}"/>
    <hyperlink ref="SET94" r:id="rId814" xr:uid="{D04E379E-70FA-4FC5-A2CC-43EF058B631E}"/>
    <hyperlink ref="SFJ94" r:id="rId815" xr:uid="{4ACA3A80-2F2A-4662-912D-6FFF7C8E5737}"/>
    <hyperlink ref="SFZ94" r:id="rId816" xr:uid="{0C92FE9F-E6A0-4B65-AB18-5B8F409CE81A}"/>
    <hyperlink ref="SGP94" r:id="rId817" xr:uid="{F7549D80-213C-4B30-8C99-C08E75A004D0}"/>
    <hyperlink ref="SHF94" r:id="rId818" xr:uid="{EE434182-82D4-4799-BF16-E8C3AE6029A9}"/>
    <hyperlink ref="SHV94" r:id="rId819" xr:uid="{42C84EA6-C3B3-4AC9-8728-D9F60AE7D4D6}"/>
    <hyperlink ref="SIL94" r:id="rId820" xr:uid="{2AEC09A5-95FF-4A56-B1A6-550B2865CFB2}"/>
    <hyperlink ref="SJB94" r:id="rId821" xr:uid="{4ABEF17F-2BEE-404A-A488-415FB2C9A9DB}"/>
    <hyperlink ref="SJR94" r:id="rId822" xr:uid="{2A173CCC-4C1A-4FFF-BB75-56EEA4B0CA3C}"/>
    <hyperlink ref="SKH94" r:id="rId823" xr:uid="{7B4446B4-FCAF-47F9-97CE-AAE6C81AF937}"/>
    <hyperlink ref="SKX94" r:id="rId824" xr:uid="{1D2470AC-340E-4DF6-8B06-A27106729A3E}"/>
    <hyperlink ref="SLN94" r:id="rId825" xr:uid="{4AC0D37A-A23A-4A46-897C-C2E633F43D97}"/>
    <hyperlink ref="SMD94" r:id="rId826" xr:uid="{BC80FAFD-607B-4F56-BB7A-36EAED5FAC3D}"/>
    <hyperlink ref="SMT94" r:id="rId827" xr:uid="{DEA63387-CE7A-4C5C-AD2C-31FD2A9A2CC6}"/>
    <hyperlink ref="SNJ94" r:id="rId828" xr:uid="{1E00016E-5401-49A9-824A-2084C462EA99}"/>
    <hyperlink ref="SNZ94" r:id="rId829" xr:uid="{ACBC9C7C-701D-44EB-8B7A-3C6C41803B84}"/>
    <hyperlink ref="SOP94" r:id="rId830" xr:uid="{3982A1E2-9155-48ED-9DDC-4305ADABD399}"/>
    <hyperlink ref="SPF94" r:id="rId831" xr:uid="{70D9D351-EA4A-4E64-84F8-265DFCBD5E55}"/>
    <hyperlink ref="SPV94" r:id="rId832" xr:uid="{0785FAA6-057B-45E5-8E42-5464A4917338}"/>
    <hyperlink ref="SQL94" r:id="rId833" xr:uid="{D6E2E96B-8086-470C-BE21-A8524868B9D0}"/>
    <hyperlink ref="SRB94" r:id="rId834" xr:uid="{F64C832B-44BB-42EA-970E-3A7363BA2824}"/>
    <hyperlink ref="SRR94" r:id="rId835" xr:uid="{5EBE7E0D-D67D-4087-8642-B2C266F831DC}"/>
    <hyperlink ref="SSH94" r:id="rId836" xr:uid="{0635E197-8386-40C3-BF19-64BDD2D3D229}"/>
    <hyperlink ref="SSX94" r:id="rId837" xr:uid="{01A9F2A7-8CE7-4BE7-A932-525E5C277F02}"/>
    <hyperlink ref="STN94" r:id="rId838" xr:uid="{E06C0AD4-E8CC-4468-B38E-D90E86A1390C}"/>
    <hyperlink ref="SUD94" r:id="rId839" xr:uid="{70EB94B8-45BF-472F-AB32-04FAA7805AF9}"/>
    <hyperlink ref="SUT94" r:id="rId840" xr:uid="{C45FE05A-953A-405A-82FE-1527AD75B654}"/>
    <hyperlink ref="SVJ94" r:id="rId841" xr:uid="{926D7B7F-AAB8-41A4-BC89-E3CB64338241}"/>
    <hyperlink ref="SVZ94" r:id="rId842" xr:uid="{5CD6861F-11F7-49C3-AE91-A53374D2260D}"/>
    <hyperlink ref="SWP94" r:id="rId843" xr:uid="{376D427D-3831-4E33-9131-C045A201BDD2}"/>
    <hyperlink ref="SXF94" r:id="rId844" xr:uid="{CD478B8B-5B9A-4E5B-A598-670C8F80909F}"/>
    <hyperlink ref="SXV94" r:id="rId845" xr:uid="{36133595-684B-4021-A28A-688DC4A2D67D}"/>
    <hyperlink ref="SYL94" r:id="rId846" xr:uid="{B07920C2-E6FD-4D7C-B42B-E28299F084F2}"/>
    <hyperlink ref="SZB94" r:id="rId847" xr:uid="{1FFDAB98-D67F-4809-A6C2-917A55A3789E}"/>
    <hyperlink ref="SZR94" r:id="rId848" xr:uid="{4B1BE149-F848-45F8-9F2A-16E405B45898}"/>
    <hyperlink ref="TAH94" r:id="rId849" xr:uid="{0BC6C0A9-1A88-463A-8025-749DEB36355A}"/>
    <hyperlink ref="TAX94" r:id="rId850" xr:uid="{E8AB6EAD-BAD2-4AD0-B4DD-9B6F565F3901}"/>
    <hyperlink ref="TBN94" r:id="rId851" xr:uid="{5C4A8E7D-0C8A-4EFE-89AD-4AE080CDFF93}"/>
    <hyperlink ref="TCD94" r:id="rId852" xr:uid="{72F98841-ABB2-4F24-ADD7-4958971CE752}"/>
    <hyperlink ref="TCT94" r:id="rId853" xr:uid="{FDD9BAA7-63C8-4F0B-846D-D8DA1C6ECE60}"/>
    <hyperlink ref="TDJ94" r:id="rId854" xr:uid="{D07B6B1B-BEE8-4877-9CFE-0F839066E2DA}"/>
    <hyperlink ref="TDZ94" r:id="rId855" xr:uid="{03C7AF7A-9C4D-4EF2-929A-D21CE401F553}"/>
    <hyperlink ref="TEP94" r:id="rId856" xr:uid="{76B68261-FA2E-465C-AF46-9F5C8E38B85D}"/>
    <hyperlink ref="TFF94" r:id="rId857" xr:uid="{990ACE9D-E043-4C10-8B73-2ED6B12643F5}"/>
    <hyperlink ref="TFV94" r:id="rId858" xr:uid="{14566E74-0B7F-49A5-B44B-22A9A8482F11}"/>
    <hyperlink ref="TGL94" r:id="rId859" xr:uid="{652B7574-5496-4C98-B5A2-6AEF216E8836}"/>
    <hyperlink ref="THB94" r:id="rId860" xr:uid="{8F4CDF01-56C5-41CF-B998-7E1ECF77D7CD}"/>
    <hyperlink ref="THR94" r:id="rId861" xr:uid="{AEDE9A03-7435-4027-B1F1-1D05B44C1C3B}"/>
    <hyperlink ref="TIH94" r:id="rId862" xr:uid="{F3D90F43-6B5A-4889-8DBB-E7860AA80CD5}"/>
    <hyperlink ref="TIX94" r:id="rId863" xr:uid="{7EC85CB9-098D-417F-9EED-793A9C18B653}"/>
    <hyperlink ref="TJN94" r:id="rId864" xr:uid="{78E187EB-4F98-4530-8D6F-14C5EC6D711C}"/>
    <hyperlink ref="TKD94" r:id="rId865" xr:uid="{C0972F45-88AC-42DF-BB79-424EFA45485C}"/>
    <hyperlink ref="TKT94" r:id="rId866" xr:uid="{02537998-13AF-454B-A8F3-C5DCB2A46F18}"/>
    <hyperlink ref="TLJ94" r:id="rId867" xr:uid="{B6B29A3F-A8DB-4D5D-A839-35184954168D}"/>
    <hyperlink ref="TLZ94" r:id="rId868" xr:uid="{F9D97662-F35E-40A4-93C0-675550A5F056}"/>
    <hyperlink ref="TMP94" r:id="rId869" xr:uid="{48CBCEB2-334A-4A7E-8403-C216F1491235}"/>
    <hyperlink ref="TNF94" r:id="rId870" xr:uid="{B87A4531-3307-4E02-BDB7-B8B279D2FE39}"/>
    <hyperlink ref="TNV94" r:id="rId871" xr:uid="{1350F463-0237-458E-9FDD-556867063A57}"/>
    <hyperlink ref="TOL94" r:id="rId872" xr:uid="{F71412E0-D191-4DA2-8D47-E8CBD8F997C9}"/>
    <hyperlink ref="TPB94" r:id="rId873" xr:uid="{51B74ADA-FBE4-42D1-8F72-320E8FBC6F5D}"/>
    <hyperlink ref="TPR94" r:id="rId874" xr:uid="{A45BBFD7-F6AD-4126-A3C9-3D8F1F350481}"/>
    <hyperlink ref="TQH94" r:id="rId875" xr:uid="{0CD81640-D666-4409-9930-E895DC5CA358}"/>
    <hyperlink ref="TQX94" r:id="rId876" xr:uid="{B3FA07C1-A584-48D4-95A7-FC55E9595891}"/>
    <hyperlink ref="TRN94" r:id="rId877" xr:uid="{EC6890A8-97C8-4EBC-8D52-9E59EEA7971F}"/>
    <hyperlink ref="TSD94" r:id="rId878" xr:uid="{B0F47B48-211B-4230-AD23-5C85EC34B840}"/>
    <hyperlink ref="TST94" r:id="rId879" xr:uid="{000CD4F6-D088-4338-B0DF-9D074886B3B4}"/>
    <hyperlink ref="TTJ94" r:id="rId880" xr:uid="{7D0ED4EE-C080-49E7-978A-696BF0074E0D}"/>
    <hyperlink ref="TTZ94" r:id="rId881" xr:uid="{9FFA0E13-BF4D-4ED3-93A3-F4C33457A73C}"/>
    <hyperlink ref="TUP94" r:id="rId882" xr:uid="{AE4580AD-8788-4A36-9B9D-EAEF1AB4E2E7}"/>
    <hyperlink ref="TVF94" r:id="rId883" xr:uid="{FBF492E7-AC90-4F63-9CEB-B0FFBD60E047}"/>
    <hyperlink ref="TVV94" r:id="rId884" xr:uid="{F20477CC-C95E-4139-976A-1375C68C2AE2}"/>
    <hyperlink ref="TWL94" r:id="rId885" xr:uid="{602A5E5A-093C-4BBF-BDDC-A56752904EF4}"/>
    <hyperlink ref="TXB94" r:id="rId886" xr:uid="{9EE1F429-F6DD-44FD-AD9F-4DB300F9B80D}"/>
    <hyperlink ref="TXR94" r:id="rId887" xr:uid="{D5A83D52-EF70-48EF-ADBD-E72662F0A514}"/>
    <hyperlink ref="TYH94" r:id="rId888" xr:uid="{B11444B1-2067-4D10-A75D-BCA7744351EF}"/>
    <hyperlink ref="TYX94" r:id="rId889" xr:uid="{23D9B92E-D0B6-45C5-BBE2-18091F27FBA9}"/>
    <hyperlink ref="TZN94" r:id="rId890" xr:uid="{9550C6BD-CB64-416A-ABDD-16F3E2F20E40}"/>
    <hyperlink ref="UAD94" r:id="rId891" xr:uid="{98AAE7BB-426F-4A97-B867-D3ED69897258}"/>
    <hyperlink ref="UAT94" r:id="rId892" xr:uid="{A4A403B5-F727-4164-BACF-15FF93FA386A}"/>
    <hyperlink ref="UBJ94" r:id="rId893" xr:uid="{D73AC1C2-48AD-47E1-A51B-AE4EFF20A94C}"/>
    <hyperlink ref="UBZ94" r:id="rId894" xr:uid="{1A5EA56B-2DD9-430B-97F4-95C812978A3C}"/>
    <hyperlink ref="UCP94" r:id="rId895" xr:uid="{0502F023-DDC3-4B7F-B42B-D600F244CFD8}"/>
    <hyperlink ref="UDF94" r:id="rId896" xr:uid="{9886F0DB-B1A3-4B4F-8851-1E4891D861F3}"/>
    <hyperlink ref="UDV94" r:id="rId897" xr:uid="{DF248958-66B4-42C7-8063-2FFE2A579EAE}"/>
    <hyperlink ref="UEL94" r:id="rId898" xr:uid="{70AF3056-2D01-44E5-895D-EE17022C8F97}"/>
    <hyperlink ref="UFB94" r:id="rId899" xr:uid="{878A9865-616B-4E0F-8011-8F4FB10023C3}"/>
    <hyperlink ref="UFR94" r:id="rId900" xr:uid="{9E0B34FD-FE70-471E-B4EA-8D1516D4C710}"/>
    <hyperlink ref="UGH94" r:id="rId901" xr:uid="{A8D40FA0-86E7-472B-A589-97DA982B273C}"/>
    <hyperlink ref="UGX94" r:id="rId902" xr:uid="{3ABF34A3-4C06-46B0-828C-0F8A6F609360}"/>
    <hyperlink ref="UHN94" r:id="rId903" xr:uid="{3A6DC4CB-B1F5-4F9F-A09D-2DD739A4202A}"/>
    <hyperlink ref="UID94" r:id="rId904" xr:uid="{2B932C66-3AE1-4AFD-9AD9-76FFA8946690}"/>
    <hyperlink ref="UIT94" r:id="rId905" xr:uid="{568361DA-29DC-4984-8B5F-C6779F1A783E}"/>
    <hyperlink ref="UJJ94" r:id="rId906" xr:uid="{DE613BA6-4E92-429C-9F33-F60D8B5ADE44}"/>
    <hyperlink ref="UJZ94" r:id="rId907" xr:uid="{6D54274B-C359-4D50-9811-C17A2BB0ABAE}"/>
    <hyperlink ref="UKP94" r:id="rId908" xr:uid="{74879A45-0562-41FE-BD0E-099C5834827A}"/>
    <hyperlink ref="ULF94" r:id="rId909" xr:uid="{85350596-0959-42BB-B10E-C578CF6257B0}"/>
    <hyperlink ref="ULV94" r:id="rId910" xr:uid="{7519D8ED-6D6A-4123-B13F-4B8AE1334BE8}"/>
    <hyperlink ref="UML94" r:id="rId911" xr:uid="{0145AB42-935F-4B06-93BF-160766A0D665}"/>
    <hyperlink ref="UNB94" r:id="rId912" xr:uid="{270C89C8-6731-451C-B3FF-0DA74AAF2896}"/>
    <hyperlink ref="UNR94" r:id="rId913" xr:uid="{603ACF20-A0FF-4856-A2DD-6791F5D2E27D}"/>
    <hyperlink ref="UOH94" r:id="rId914" xr:uid="{BF463E95-E981-49F3-96FA-164D6D36C4B4}"/>
    <hyperlink ref="UOX94" r:id="rId915" xr:uid="{19919E18-9A3F-40B5-917F-8091A9717A57}"/>
    <hyperlink ref="UPN94" r:id="rId916" xr:uid="{F23C1281-ADBE-4274-8BBD-B164649593AF}"/>
    <hyperlink ref="UQD94" r:id="rId917" xr:uid="{A357F434-421B-4922-ACB6-DE3AD59B9CB2}"/>
    <hyperlink ref="UQT94" r:id="rId918" xr:uid="{6EDB1334-42E2-4AA7-8866-10BBB2CEAC86}"/>
    <hyperlink ref="URJ94" r:id="rId919" xr:uid="{FCE57F9C-0C6D-4D05-9E63-B1332FF1E2BB}"/>
    <hyperlink ref="URZ94" r:id="rId920" xr:uid="{C2C39694-7ACB-4DC6-B680-59FBC38BFCEA}"/>
    <hyperlink ref="USP94" r:id="rId921" xr:uid="{0E911BBF-BBB5-4100-AA11-6CF63D307340}"/>
    <hyperlink ref="UTF94" r:id="rId922" xr:uid="{A49108FA-5443-4066-9ED7-D762DDAF6E21}"/>
    <hyperlink ref="UTV94" r:id="rId923" xr:uid="{174595C0-98E4-41A8-B64A-FAD83374C076}"/>
    <hyperlink ref="UUL94" r:id="rId924" xr:uid="{9C0C4558-84D5-4D5A-83DD-A0E05E148870}"/>
    <hyperlink ref="UVB94" r:id="rId925" xr:uid="{AAC67709-7452-4823-BB07-521D37644DC4}"/>
    <hyperlink ref="UVR94" r:id="rId926" xr:uid="{DD6B1CFF-75CB-4667-A653-71F24A0F97AB}"/>
    <hyperlink ref="UWH94" r:id="rId927" xr:uid="{55AF0679-ED88-4BBF-8EC5-574FF4FCDC25}"/>
    <hyperlink ref="UWX94" r:id="rId928" xr:uid="{D277DE74-E7D9-4B31-804E-2D32531C0FE6}"/>
    <hyperlink ref="UXN94" r:id="rId929" xr:uid="{152E0532-DA3C-4391-8B45-719FBC00E816}"/>
    <hyperlink ref="UYD94" r:id="rId930" xr:uid="{91FDDB5D-1B04-4CD4-8B68-BE55B70C7E09}"/>
    <hyperlink ref="UYT94" r:id="rId931" xr:uid="{2BDED2D5-0F5F-4DC9-BA98-729E70E421CF}"/>
    <hyperlink ref="UZJ94" r:id="rId932" xr:uid="{B1A0C88B-9AC5-4367-868E-12E122209A84}"/>
    <hyperlink ref="UZZ94" r:id="rId933" xr:uid="{5BD1FAFE-2F00-4AC5-BE99-412B82777134}"/>
    <hyperlink ref="VAP94" r:id="rId934" xr:uid="{787B444A-F563-4C85-BA7E-4F97E3CEFA4E}"/>
    <hyperlink ref="VBF94" r:id="rId935" xr:uid="{9643FEBD-1021-4737-8918-05701D097FA3}"/>
    <hyperlink ref="VBV94" r:id="rId936" xr:uid="{7E39C9BF-815C-4052-8AA1-B756CD75C5CA}"/>
    <hyperlink ref="VCL94" r:id="rId937" xr:uid="{67D7D272-6057-4F26-A193-1404F39A8472}"/>
    <hyperlink ref="VDB94" r:id="rId938" xr:uid="{1BB064B0-57D3-474D-903D-0C085288917D}"/>
    <hyperlink ref="VDR94" r:id="rId939" xr:uid="{826587B2-6DC1-474D-BB84-92A7ADA17AA9}"/>
    <hyperlink ref="VEH94" r:id="rId940" xr:uid="{37E92DD4-AA61-43EC-8868-55F3AD149E18}"/>
    <hyperlink ref="VEX94" r:id="rId941" xr:uid="{EE116A67-8A95-4B93-B11F-0070ED83E202}"/>
    <hyperlink ref="VFN94" r:id="rId942" xr:uid="{F667576F-261B-4441-BB62-C69492A4FFDF}"/>
    <hyperlink ref="VGD94" r:id="rId943" xr:uid="{EFC5880F-D1CD-416A-9BA9-F6B6327B04B2}"/>
    <hyperlink ref="VGT94" r:id="rId944" xr:uid="{27031D7C-E5CC-46D6-AF0F-E3EC1914894E}"/>
    <hyperlink ref="VHJ94" r:id="rId945" xr:uid="{DCB564BC-E4F1-4AEC-B515-61775E6AAA6C}"/>
    <hyperlink ref="VHZ94" r:id="rId946" xr:uid="{38A4A63A-4FAC-4C9B-911B-A34A8FF7A500}"/>
    <hyperlink ref="VIP94" r:id="rId947" xr:uid="{72550663-E20B-49B7-92A9-425CFDB29023}"/>
    <hyperlink ref="VJF94" r:id="rId948" xr:uid="{DD75EC00-6AFC-41D5-A1C9-3AA683987BD4}"/>
    <hyperlink ref="VJV94" r:id="rId949" xr:uid="{BF448F43-9B68-4F77-A610-3282E1ACCAF4}"/>
    <hyperlink ref="VKL94" r:id="rId950" xr:uid="{64C816A3-DB54-4AFA-ADA3-381AF732D4DA}"/>
    <hyperlink ref="VLB94" r:id="rId951" xr:uid="{7FA299BA-45FE-4071-8DBC-CEA7D0B620FE}"/>
    <hyperlink ref="VLR94" r:id="rId952" xr:uid="{48CDAF67-4254-4931-BBC0-E34C53C062BC}"/>
    <hyperlink ref="VMH94" r:id="rId953" xr:uid="{7398DB1D-DA33-426B-A682-9450F36DEDAF}"/>
    <hyperlink ref="VMX94" r:id="rId954" xr:uid="{D4CBE6F3-F5A6-4D8F-9760-7CA70B03680D}"/>
    <hyperlink ref="VNN94" r:id="rId955" xr:uid="{6A524EE9-5C86-496F-972C-49C73EC0C58F}"/>
    <hyperlink ref="VOD94" r:id="rId956" xr:uid="{2802DC74-77BC-47B9-9378-E804EB8F7BB6}"/>
    <hyperlink ref="VOT94" r:id="rId957" xr:uid="{2BB23057-AC5C-4AC0-BF02-6451533FE028}"/>
    <hyperlink ref="VPJ94" r:id="rId958" xr:uid="{12B15691-C88E-4FE4-BFB2-0F041532EC45}"/>
    <hyperlink ref="VPZ94" r:id="rId959" xr:uid="{47EDBB6D-9ACA-4377-AF3F-186621634EA8}"/>
    <hyperlink ref="VQP94" r:id="rId960" xr:uid="{B3FA1B7A-C4C5-4513-9C2E-B3C6AA448B82}"/>
    <hyperlink ref="VRF94" r:id="rId961" xr:uid="{CAE1A31B-25E2-4332-A85A-8874DCA9A5A5}"/>
    <hyperlink ref="VRV94" r:id="rId962" xr:uid="{D8807486-9A07-4B0A-AD40-DC39FDCD1B19}"/>
    <hyperlink ref="VSL94" r:id="rId963" xr:uid="{2FFB9511-4B56-4198-B179-55FCA45BA3F9}"/>
    <hyperlink ref="VTB94" r:id="rId964" xr:uid="{A1622473-E2C5-4C52-81D9-2DA9E4322988}"/>
    <hyperlink ref="VTR94" r:id="rId965" xr:uid="{5CCD84A3-48F7-4E6A-BB6E-AE57842AB550}"/>
    <hyperlink ref="VUH94" r:id="rId966" xr:uid="{366B902D-D2A9-4CB7-B5BD-0167AC12DDAD}"/>
    <hyperlink ref="VUX94" r:id="rId967" xr:uid="{3C3A0CA8-A516-4329-B856-4E12672EA8D4}"/>
    <hyperlink ref="VVN94" r:id="rId968" xr:uid="{84BDF915-1E90-4F2D-B972-A8DA3BE659F8}"/>
    <hyperlink ref="VWD94" r:id="rId969" xr:uid="{929644C4-4F5D-4960-9563-A720B1E8CE3A}"/>
    <hyperlink ref="VWT94" r:id="rId970" xr:uid="{F78E02D4-88FE-4929-9504-DF3BD374518F}"/>
    <hyperlink ref="VXJ94" r:id="rId971" xr:uid="{9D99037E-A5F8-4ABF-BF33-FF3218D5C657}"/>
    <hyperlink ref="VXZ94" r:id="rId972" xr:uid="{A81309EF-0838-499D-99FB-C6E6B29A7538}"/>
    <hyperlink ref="VYP94" r:id="rId973" xr:uid="{AC8206B2-1A5D-49FA-A24E-DA2DA21D6B87}"/>
    <hyperlink ref="VZF94" r:id="rId974" xr:uid="{FB9E79AA-7863-48E8-8F83-263F03F249AA}"/>
    <hyperlink ref="VZV94" r:id="rId975" xr:uid="{4CDED905-678D-4115-A407-3F9D437C43F1}"/>
    <hyperlink ref="WAL94" r:id="rId976" xr:uid="{BF127CD9-51E4-4418-AD37-794D7FD5E67E}"/>
    <hyperlink ref="WBB94" r:id="rId977" xr:uid="{680DC475-128A-46C0-B281-74B538BCAE1F}"/>
    <hyperlink ref="WBR94" r:id="rId978" xr:uid="{897D5495-F434-4687-8DA9-AF82231EFACB}"/>
    <hyperlink ref="WCH94" r:id="rId979" xr:uid="{E8AE10D0-E7FF-4419-90DE-0E503BD70262}"/>
    <hyperlink ref="WCX94" r:id="rId980" xr:uid="{3D96B039-B96D-4963-8E1E-4507B058A774}"/>
    <hyperlink ref="WDN94" r:id="rId981" xr:uid="{E26C0C8A-8383-4C62-B6E9-073BF6AC914E}"/>
    <hyperlink ref="WED94" r:id="rId982" xr:uid="{C452A0F7-401E-4A0E-A46F-3BB6DB665D3D}"/>
    <hyperlink ref="WET94" r:id="rId983" xr:uid="{EBD47B01-C0F3-4538-A536-CA1FA37D2E0D}"/>
    <hyperlink ref="WFJ94" r:id="rId984" xr:uid="{B5640E1E-66F6-4F79-B3EF-D35F05170D83}"/>
    <hyperlink ref="WFZ94" r:id="rId985" xr:uid="{C521B2C4-0C0B-49DF-A715-5C011B576BEC}"/>
    <hyperlink ref="WGP94" r:id="rId986" xr:uid="{EAE2D8A0-B164-4B56-A965-13028DB984D0}"/>
    <hyperlink ref="WHF94" r:id="rId987" xr:uid="{0C0E2999-953A-4DF3-A33C-BCB3CCEAA328}"/>
    <hyperlink ref="WHV94" r:id="rId988" xr:uid="{674D8951-7CD6-442E-971A-3498D849890D}"/>
    <hyperlink ref="WIL94" r:id="rId989" xr:uid="{B465E345-BFA9-4D27-8AA9-4BFDE333CAE4}"/>
    <hyperlink ref="WJB94" r:id="rId990" xr:uid="{7AD31C0A-1D3A-46A1-BD57-681275C5D5C6}"/>
    <hyperlink ref="WJR94" r:id="rId991" xr:uid="{B58941EB-6CE4-4B5D-87FB-1356B930BDFB}"/>
    <hyperlink ref="WKH94" r:id="rId992" xr:uid="{7FBEA378-14EA-42FF-AB3B-54E8E22C533F}"/>
    <hyperlink ref="WKX94" r:id="rId993" xr:uid="{22D30BA2-C135-4263-B199-5DCF9EF41997}"/>
    <hyperlink ref="WLN94" r:id="rId994" xr:uid="{9D28820A-783F-4ADF-BA71-1188F8EE03B6}"/>
    <hyperlink ref="WMD94" r:id="rId995" xr:uid="{2009FFB6-0300-469C-A11E-AEADB0615F65}"/>
    <hyperlink ref="WMT94" r:id="rId996" xr:uid="{19731E97-48E2-4AA6-BD13-A6773E04BDAE}"/>
    <hyperlink ref="WNJ94" r:id="rId997" xr:uid="{E774B18B-0F13-4AD5-B09E-47BA5A1D21EF}"/>
    <hyperlink ref="WNZ94" r:id="rId998" xr:uid="{7A0E7743-DC91-44F6-AE16-749D78FC0859}"/>
    <hyperlink ref="WOP94" r:id="rId999" xr:uid="{AC73B046-F4E8-4E09-BAA8-D7A8D459A8BC}"/>
    <hyperlink ref="WPF94" r:id="rId1000" xr:uid="{DBBAE6D6-138F-4BC0-B399-74478C96153E}"/>
    <hyperlink ref="WPV94" r:id="rId1001" xr:uid="{DAF2E0A4-DABD-4CDA-B92D-2D39B5C0BDE4}"/>
    <hyperlink ref="WQL94" r:id="rId1002" xr:uid="{9DB6DCB6-2C83-41CB-956D-05DC37CD2AC3}"/>
    <hyperlink ref="WRB94" r:id="rId1003" xr:uid="{5A9DA1E0-940B-4500-BF94-C0E0FC4C05B7}"/>
    <hyperlink ref="WRR94" r:id="rId1004" xr:uid="{E1CADCAF-B91E-4866-9DE2-6E2932281307}"/>
    <hyperlink ref="WSH94" r:id="rId1005" xr:uid="{FC154893-F6B8-4DC3-A07F-7686C8ADE0D2}"/>
    <hyperlink ref="WSX94" r:id="rId1006" xr:uid="{212B6362-B854-4A8D-893A-3025E0E6CE2F}"/>
    <hyperlink ref="WTN94" r:id="rId1007" xr:uid="{B37CBBCA-6A23-4685-9778-1518967B2ABF}"/>
    <hyperlink ref="WUD94" r:id="rId1008" xr:uid="{CA36BF84-B5D8-429A-8322-91EB8831EF3C}"/>
    <hyperlink ref="WUT94" r:id="rId1009" xr:uid="{294F4B82-88DD-4029-95FC-539748FB478F}"/>
    <hyperlink ref="WVJ94" r:id="rId1010" xr:uid="{C7F8D720-DCDE-4C2D-A903-288002249818}"/>
    <hyperlink ref="WVZ94" r:id="rId1011" xr:uid="{CA700964-9C66-47E7-844B-6CFE0A45DC54}"/>
    <hyperlink ref="WWP94" r:id="rId1012" xr:uid="{E587C516-4ACB-43D2-8168-AC96D54D7CC7}"/>
    <hyperlink ref="WXF94" r:id="rId1013" xr:uid="{2E3AEFE0-CEED-412E-BD12-8F5DCFD32826}"/>
    <hyperlink ref="WXV94" r:id="rId1014" xr:uid="{FC01FE56-F13A-4F4B-A741-BC4929AAA27F}"/>
    <hyperlink ref="WYL94" r:id="rId1015" xr:uid="{141FCA0B-220C-416C-A30B-75F0C366B80B}"/>
    <hyperlink ref="WZB94" r:id="rId1016" xr:uid="{924E5854-812A-40B3-927F-C92FB4349EB7}"/>
    <hyperlink ref="WZR94" r:id="rId1017" xr:uid="{AB361881-254E-4967-A354-73F42FDC211B}"/>
    <hyperlink ref="XAH94" r:id="rId1018" xr:uid="{DE4F2BF8-84CB-4267-A37F-5D9499C6FADA}"/>
    <hyperlink ref="XAX94" r:id="rId1019" xr:uid="{3251D48F-4CF0-4071-9CB0-70B03DAA6B7A}"/>
    <hyperlink ref="XBN94" r:id="rId1020" xr:uid="{CC0C971C-0456-4338-AB9D-48DE28D97681}"/>
    <hyperlink ref="XCD94" r:id="rId1021" xr:uid="{0ED57A08-A712-4652-BB3C-1B0533D673F0}"/>
    <hyperlink ref="XCT94" r:id="rId1022" xr:uid="{C4BFB1E5-5ECE-4AD8-AE1D-0E3B5D4871EE}"/>
    <hyperlink ref="XDJ94" r:id="rId1023" xr:uid="{58B2CE08-FA2C-4FE2-AE43-993493A11C1D}"/>
    <hyperlink ref="XDZ94" r:id="rId1024" xr:uid="{E69E5F89-35FA-4115-9CF8-B54347CCAB27}"/>
    <hyperlink ref="XEP94" r:id="rId1025" xr:uid="{BDAB2481-94B4-4362-B758-77D59C4CCC9D}"/>
  </hyperlinks>
  <pageMargins left="0.23622047244094491" right="0.23622047244094491" top="0.74803149606299213" bottom="0.74803149606299213" header="0.31496062992125984" footer="0.31496062992125984"/>
  <pageSetup paperSize="9" scale="42" fitToHeight="2" orientation="portrait" r:id="rId1026"/>
  <headerFooter alignWithMargins="0">
    <oddFooter xml:space="preserve">&amp;L&amp;12
</oddFooter>
  </headerFooter>
  <rowBreaks count="1" manualBreakCount="1">
    <brk id="82" max="16383" man="1"/>
  </rowBreaks>
  <drawing r:id="rId1027"/>
  <legacyDrawing r:id="rId1028"/>
  <oleObjects>
    <mc:AlternateContent xmlns:mc="http://schemas.openxmlformats.org/markup-compatibility/2006">
      <mc:Choice Requires="x14">
        <oleObject progId="Paint.Picture" shapeId="307201" r:id="rId1029">
          <objectPr defaultSize="0" autoPict="0" r:id="rId1030">
            <anchor moveWithCells="1">
              <from>
                <xdr:col>11</xdr:col>
                <xdr:colOff>1076325</xdr:colOff>
                <xdr:row>1</xdr:row>
                <xdr:rowOff>76200</xdr:rowOff>
              </from>
              <to>
                <xdr:col>15</xdr:col>
                <xdr:colOff>171450</xdr:colOff>
                <xdr:row>7</xdr:row>
                <xdr:rowOff>19050</xdr:rowOff>
              </to>
            </anchor>
          </objectPr>
        </oleObject>
      </mc:Choice>
      <mc:Fallback>
        <oleObject progId="Paint.Picture" shapeId="307201" r:id="rId1029"/>
      </mc:Fallback>
    </mc:AlternateContent>
    <mc:AlternateContent xmlns:mc="http://schemas.openxmlformats.org/markup-compatibility/2006">
      <mc:Choice Requires="x14">
        <oleObject progId="Paint.Picture" shapeId="307202" r:id="rId1031">
          <objectPr defaultSize="0" autoPict="0" r:id="rId1030">
            <anchor moveWithCells="1">
              <from>
                <xdr:col>11</xdr:col>
                <xdr:colOff>1076325</xdr:colOff>
                <xdr:row>89</xdr:row>
                <xdr:rowOff>76200</xdr:rowOff>
              </from>
              <to>
                <xdr:col>15</xdr:col>
                <xdr:colOff>171450</xdr:colOff>
                <xdr:row>95</xdr:row>
                <xdr:rowOff>66675</xdr:rowOff>
              </to>
            </anchor>
          </objectPr>
        </oleObject>
      </mc:Choice>
      <mc:Fallback>
        <oleObject progId="Paint.Picture" shapeId="307202" r:id="rId1031"/>
      </mc:Fallback>
    </mc:AlternateContent>
  </oleObjec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FE1E72-4487-4EDB-8CE5-C237895509A7}">
  <dimension ref="A1:H38"/>
  <sheetViews>
    <sheetView showGridLines="0" zoomScale="85" zoomScaleNormal="85" workbookViewId="0">
      <selection activeCell="G19" sqref="G19:H27"/>
    </sheetView>
  </sheetViews>
  <sheetFormatPr defaultColWidth="8.7109375" defaultRowHeight="15" x14ac:dyDescent="0.25"/>
  <cols>
    <col min="1" max="1" width="10" style="257" customWidth="1"/>
    <col min="2" max="2" width="22" style="257" customWidth="1"/>
    <col min="3" max="3" width="18" style="257" customWidth="1"/>
    <col min="4" max="4" width="4" style="257" customWidth="1"/>
    <col min="5" max="5" width="24" style="257" customWidth="1"/>
    <col min="6" max="6" width="18" style="257" customWidth="1"/>
    <col min="7" max="7" width="16" style="257" customWidth="1"/>
    <col min="8" max="8" width="14" style="257" customWidth="1"/>
    <col min="9" max="16384" width="8.7109375" style="257"/>
  </cols>
  <sheetData>
    <row r="1" spans="1:8" ht="21.75" customHeight="1" x14ac:dyDescent="0.25">
      <c r="A1" s="640" t="s">
        <v>1008</v>
      </c>
      <c r="B1" s="640"/>
      <c r="C1" s="640"/>
      <c r="D1" s="640"/>
      <c r="E1" s="640"/>
      <c r="F1" s="640"/>
      <c r="G1" s="640"/>
      <c r="H1" s="640"/>
    </row>
    <row r="3" spans="1:8" ht="19.5" customHeight="1" x14ac:dyDescent="0.25">
      <c r="A3" s="479" t="s">
        <v>1009</v>
      </c>
      <c r="B3" s="447" t="s">
        <v>1010</v>
      </c>
      <c r="C3" s="448" t="str">
        <f>VLOOKUP("product",AUTO!$A$1:$B$1051,2,FALSE)</f>
        <v>LPA3 NAVAIR</v>
      </c>
      <c r="D3" s="449"/>
      <c r="E3" s="447" t="s">
        <v>538</v>
      </c>
      <c r="F3" s="450"/>
      <c r="G3" s="450"/>
      <c r="H3" s="451">
        <f>VLOOKUP("date_",AUTO!$A$1:$B$1051,2,FALSE)</f>
        <v>46190.6</v>
      </c>
    </row>
    <row r="4" spans="1:8" ht="19.5" customHeight="1" x14ac:dyDescent="0.25">
      <c r="A4" s="479"/>
      <c r="B4" s="447" t="s">
        <v>543</v>
      </c>
      <c r="C4" s="448">
        <f>VLOOKUP("serial_number",AUTO!$A$1:$B$1051,2,FALSE)</f>
        <v>63010073</v>
      </c>
      <c r="D4" s="449"/>
      <c r="E4" s="447" t="s">
        <v>1011</v>
      </c>
      <c r="F4" s="450"/>
      <c r="G4" s="450"/>
      <c r="H4" s="450" t="s">
        <v>1012</v>
      </c>
    </row>
    <row r="5" spans="1:8" ht="19.5" customHeight="1" x14ac:dyDescent="0.25">
      <c r="A5" s="479"/>
      <c r="B5" s="447" t="s">
        <v>1010</v>
      </c>
      <c r="C5" s="448" t="str">
        <f>VLOOKUP("product",AUTO!$A$1:$B$1051,2,FALSE)</f>
        <v>LPA3 NAVAIR</v>
      </c>
      <c r="D5" s="449"/>
      <c r="E5" s="452" t="s">
        <v>1013</v>
      </c>
      <c r="F5" s="450"/>
      <c r="G5" s="450"/>
      <c r="H5" s="450" t="s">
        <v>1014</v>
      </c>
    </row>
    <row r="6" spans="1:8" ht="19.5" customHeight="1" x14ac:dyDescent="0.25">
      <c r="A6" s="479"/>
      <c r="B6" s="447" t="s">
        <v>543</v>
      </c>
      <c r="C6" s="448">
        <f>VLOOKUP("serial_number",AUTO!$A$1:$B$1051,2,FALSE)</f>
        <v>63010073</v>
      </c>
      <c r="D6" s="449"/>
      <c r="E6" s="452" t="s">
        <v>1015</v>
      </c>
      <c r="F6" s="450"/>
      <c r="G6" s="450"/>
      <c r="H6" s="450" t="s">
        <v>1016</v>
      </c>
    </row>
    <row r="7" spans="1:8" ht="19.5" customHeight="1" x14ac:dyDescent="0.25">
      <c r="A7" s="467" t="s">
        <v>1017</v>
      </c>
      <c r="B7" s="467"/>
      <c r="C7" s="448">
        <f>VLOOKUP("no_noise_threshold",AUTO!$A$1:$B$1051,2,FALSE)</f>
        <v>31</v>
      </c>
      <c r="D7" s="449"/>
      <c r="E7" s="452" t="s">
        <v>1018</v>
      </c>
      <c r="F7" s="450"/>
      <c r="G7" s="450">
        <v>20000</v>
      </c>
      <c r="H7" s="447" t="s">
        <v>1019</v>
      </c>
    </row>
    <row r="8" spans="1:8" ht="19.5" customHeight="1" x14ac:dyDescent="0.25">
      <c r="A8" s="467" t="s">
        <v>1020</v>
      </c>
      <c r="B8" s="467"/>
      <c r="C8" s="448">
        <f>VLOOKUP("sample_volume_ml",AUTO!$A$1:$B$1051,2,FALSE)</f>
        <v>50</v>
      </c>
      <c r="D8" s="449"/>
      <c r="E8" s="447" t="s">
        <v>1021</v>
      </c>
      <c r="F8" s="450"/>
      <c r="G8" s="450">
        <v>30</v>
      </c>
      <c r="H8" s="447" t="s">
        <v>1022</v>
      </c>
    </row>
    <row r="9" spans="1:8" ht="19.5" customHeight="1" x14ac:dyDescent="0.25">
      <c r="A9" s="467" t="s">
        <v>1023</v>
      </c>
      <c r="B9" s="467"/>
      <c r="C9" s="258">
        <f>STDEV(VLOOKUP("verification_count_1_0",AUTO!$A$1:$B$1051,2,FALSE),VLOOKUP("verification_count_2_0",AUTO!$A$1:$B$1051,2,FALSE),VLOOKUP("verification_count_3_0",AUTO!$A$1:$B$1051,2,FALSE))/AVERAGE(VLOOKUP("verification_count_1_0",AUTO!$A$1:$B$1051,2,FALSE),VLOOKUP("verification_count_2_0",AUTO!$A$1:$B$1051,2,FALSE),VLOOKUP("verification_count_3_0",AUTO!$A$1:$B$1051,2,FALSE))</f>
        <v>0</v>
      </c>
      <c r="D9" s="449"/>
      <c r="E9" s="447" t="s">
        <v>1024</v>
      </c>
      <c r="F9" s="450"/>
      <c r="G9" s="450">
        <v>30</v>
      </c>
      <c r="H9" s="447" t="s">
        <v>1022</v>
      </c>
    </row>
    <row r="10" spans="1:8" ht="18" customHeight="1" x14ac:dyDescent="0.25">
      <c r="A10" s="472" t="s">
        <v>1025</v>
      </c>
      <c r="B10" s="472"/>
      <c r="C10" s="472"/>
      <c r="D10" s="472"/>
      <c r="E10" s="472"/>
      <c r="F10" s="472"/>
      <c r="G10" s="472"/>
      <c r="H10" s="472"/>
    </row>
    <row r="11" spans="1:8" ht="19.5" customHeight="1" x14ac:dyDescent="0.25">
      <c r="A11" s="446" t="s">
        <v>1026</v>
      </c>
      <c r="B11" s="641">
        <v>0.5</v>
      </c>
      <c r="C11" s="641"/>
      <c r="D11" s="446" t="s">
        <v>1027</v>
      </c>
      <c r="E11" s="446" t="s">
        <v>1028</v>
      </c>
      <c r="F11" s="641">
        <v>2.7</v>
      </c>
      <c r="G11" s="641"/>
      <c r="H11" s="446" t="s">
        <v>1029</v>
      </c>
    </row>
    <row r="12" spans="1:8" ht="19.5" customHeight="1" x14ac:dyDescent="0.25">
      <c r="A12" s="446" t="s">
        <v>1030</v>
      </c>
      <c r="B12" s="641">
        <v>0.6</v>
      </c>
      <c r="C12" s="641"/>
      <c r="D12" s="446" t="s">
        <v>1027</v>
      </c>
      <c r="E12" s="446" t="s">
        <v>1031</v>
      </c>
      <c r="F12" s="641">
        <v>8.3000000000000007</v>
      </c>
      <c r="G12" s="641"/>
      <c r="H12" s="446" t="s">
        <v>1029</v>
      </c>
    </row>
    <row r="13" spans="1:8" ht="19.5" customHeight="1" x14ac:dyDescent="0.25">
      <c r="A13" s="446" t="s">
        <v>1032</v>
      </c>
      <c r="B13" s="641">
        <v>10.199999999999999</v>
      </c>
      <c r="C13" s="641"/>
      <c r="D13" s="446" t="s">
        <v>1027</v>
      </c>
      <c r="E13" s="446" t="s">
        <v>1033</v>
      </c>
      <c r="F13" s="641">
        <v>8.3000000000000007</v>
      </c>
      <c r="G13" s="641"/>
      <c r="H13" s="446" t="s">
        <v>1029</v>
      </c>
    </row>
    <row r="16" spans="1:8" ht="30" customHeight="1" x14ac:dyDescent="0.25">
      <c r="A16" s="465" t="s">
        <v>1034</v>
      </c>
      <c r="B16" s="465"/>
      <c r="C16" s="465"/>
      <c r="E16" s="465" t="s">
        <v>1035</v>
      </c>
      <c r="F16" s="465"/>
      <c r="G16" s="465"/>
      <c r="H16" s="465"/>
    </row>
    <row r="17" spans="1:8" ht="42" customHeight="1" x14ac:dyDescent="0.25">
      <c r="A17" s="453" t="s">
        <v>898</v>
      </c>
      <c r="B17" s="453" t="s">
        <v>1036</v>
      </c>
      <c r="C17" s="453" t="s">
        <v>1037</v>
      </c>
      <c r="E17" s="453" t="s">
        <v>898</v>
      </c>
      <c r="F17" s="453" t="s">
        <v>1038</v>
      </c>
      <c r="G17" s="465" t="s">
        <v>1039</v>
      </c>
      <c r="H17" s="465"/>
    </row>
    <row r="18" spans="1:8" ht="18" customHeight="1" x14ac:dyDescent="0.25">
      <c r="A18" s="454" t="s">
        <v>1040</v>
      </c>
      <c r="B18" s="454" t="s">
        <v>1041</v>
      </c>
      <c r="C18" s="454" t="s">
        <v>1041</v>
      </c>
      <c r="E18" s="454" t="s">
        <v>1040</v>
      </c>
      <c r="F18" s="454" t="s">
        <v>1041</v>
      </c>
      <c r="G18" s="462" t="s">
        <v>1042</v>
      </c>
      <c r="H18" s="462"/>
    </row>
    <row r="19" spans="1:8" ht="18" customHeight="1" x14ac:dyDescent="0.25">
      <c r="A19" s="448">
        <f>VLOOKUP("threshold32_0_sz",AUTO!$A$1:$B$1051,2,FALSE)</f>
        <v>4</v>
      </c>
      <c r="B19" s="448">
        <f>VLOOKUP("reference_count_0",AUTO!$A$1:$B$1051,2,FALSE)</f>
        <v>1056340</v>
      </c>
      <c r="C19" s="455">
        <f>'Auto-Calibration record'!$I$68</f>
        <v>1065116</v>
      </c>
      <c r="E19" s="448">
        <f>VLOOKUP("threshold32_0_sz",AUTO!$A$1:$B$1051,2,FALSE)</f>
        <v>4</v>
      </c>
      <c r="F19" s="448">
        <f>VLOOKUP("reference_count_0",AUTO!$A$1:$B$1051,2,FALSE)</f>
        <v>1056340</v>
      </c>
      <c r="G19" s="460">
        <f>VLOOKUP("threshold32_0_value",AUTO!$A$1:$B$1051,2,FALSE)</f>
        <v>80</v>
      </c>
      <c r="H19" s="461">
        <f>VLOOKUP("threshold32_0_sz",AUTO!$A$1:$B$1051,2,FALSE)</f>
        <v>4</v>
      </c>
    </row>
    <row r="20" spans="1:8" ht="18" customHeight="1" x14ac:dyDescent="0.25">
      <c r="A20" s="448">
        <f>VLOOKUP("threshold32_2_sz",AUTO!$A$1:$B$1051,2,FALSE)</f>
        <v>6</v>
      </c>
      <c r="B20" s="448">
        <f>VLOOKUP("reference_count_1",AUTO!$A$1:$B$1051,2,FALSE)</f>
        <v>459350</v>
      </c>
      <c r="C20" s="455">
        <f>'Auto-Calibration record'!$I$69</f>
        <v>459710</v>
      </c>
      <c r="E20" s="448">
        <f>VLOOKUP("threshold32_2_sz",AUTO!$A$1:$B$1051,2,FALSE)</f>
        <v>6</v>
      </c>
      <c r="F20" s="448">
        <f>VLOOKUP("reference_count_1",AUTO!$A$1:$B$1051,2,FALSE)</f>
        <v>459350</v>
      </c>
      <c r="G20" s="460">
        <f>VLOOKUP("threshold32_2_value",AUTO!$A$1:$B$1051,2,FALSE)</f>
        <v>194</v>
      </c>
      <c r="H20" s="461">
        <f>VLOOKUP("threshold32_2_sz",AUTO!$A$1:$B$1051,2,FALSE)</f>
        <v>6</v>
      </c>
    </row>
    <row r="21" spans="1:8" ht="18" customHeight="1" x14ac:dyDescent="0.25">
      <c r="A21" s="448">
        <f>VLOOKUP("threshold32_6_sz",AUTO!$A$1:$B$1051,2,FALSE)</f>
        <v>10</v>
      </c>
      <c r="B21" s="448">
        <f>VLOOKUP("reference_count32_6",AUTO!$A$1:$B$1051,2,FALSE)*100</f>
        <v>106950</v>
      </c>
      <c r="C21" s="455">
        <f>'Auto-Calibration record'!$I$70</f>
        <v>110894</v>
      </c>
      <c r="E21" s="448">
        <f>VLOOKUP("threshold32_6_sz",AUTO!$A$1:$B$1051,2,FALSE)</f>
        <v>10</v>
      </c>
      <c r="F21" s="448">
        <f>VLOOKUP("reference_count32_6",AUTO!$A$1:$B$1051,2,FALSE)*100</f>
        <v>106950</v>
      </c>
      <c r="G21" s="460">
        <f>VLOOKUP("threshold32_6_value",AUTO!$A$1:$B$1051,2,FALSE)</f>
        <v>536</v>
      </c>
      <c r="H21" s="461">
        <f>VLOOKUP("threshold32_6_sz",AUTO!$A$1:$B$1051,2,FALSE)</f>
        <v>10</v>
      </c>
    </row>
    <row r="22" spans="1:8" ht="18" customHeight="1" x14ac:dyDescent="0.25">
      <c r="A22" s="448">
        <f>VLOOKUP("threshold32_10_sz",AUTO!$A$1:$B$1051,2,FALSE)</f>
        <v>14</v>
      </c>
      <c r="B22" s="448">
        <f>VLOOKUP("reference_count_2",AUTO!$A$1:$B$1051,2,FALSE)</f>
        <v>36410</v>
      </c>
      <c r="C22" s="455">
        <f>'Auto-Calibration record'!$I$71</f>
        <v>37720</v>
      </c>
      <c r="E22" s="448">
        <f>VLOOKUP("threshold32_10_sz",AUTO!$A$1:$B$1051,2,FALSE)</f>
        <v>14</v>
      </c>
      <c r="F22" s="448">
        <f>VLOOKUP("reference_count_2",AUTO!$A$1:$B$1051,2,FALSE)</f>
        <v>36410</v>
      </c>
      <c r="G22" s="460">
        <f>VLOOKUP("threshold32_10_value",AUTO!$A$1:$B$1051,2,FALSE)</f>
        <v>1032</v>
      </c>
      <c r="H22" s="461">
        <f>VLOOKUP("threshold32_10_sz",AUTO!$A$1:$B$1051,2,FALSE)</f>
        <v>14</v>
      </c>
    </row>
    <row r="23" spans="1:8" ht="18" customHeight="1" x14ac:dyDescent="0.25">
      <c r="A23" s="448">
        <f>VLOOKUP("threshold32_17_sz",AUTO!$A$1:$B$1051,2,FALSE)</f>
        <v>21</v>
      </c>
      <c r="B23" s="448">
        <f>VLOOKUP("reference_count_3",AUTO!$A$1:$B$1051,2,FALSE)</f>
        <v>10940</v>
      </c>
      <c r="C23" s="455">
        <f>'Auto-Calibration record'!$I$72</f>
        <v>11889</v>
      </c>
      <c r="E23" s="448">
        <f>VLOOKUP("threshold32_17_sz",AUTO!$A$1:$B$1051,2,FALSE)</f>
        <v>21</v>
      </c>
      <c r="F23" s="448">
        <f>VLOOKUP("reference_count_3",AUTO!$A$1:$B$1051,2,FALSE)</f>
        <v>10940</v>
      </c>
      <c r="G23" s="460">
        <f>VLOOKUP("threshold32_17_value",AUTO!$A$1:$B$1051,2,FALSE)</f>
        <v>2064</v>
      </c>
      <c r="H23" s="461">
        <f>VLOOKUP("threshold32_17_sz",AUTO!$A$1:$B$1051,2,FALSE)</f>
        <v>21</v>
      </c>
    </row>
    <row r="24" spans="1:8" ht="18" customHeight="1" x14ac:dyDescent="0.25">
      <c r="A24" s="448">
        <f>VLOOKUP("threshold32_21_sz",AUTO!$A$1:$B$1051,2,FALSE)</f>
        <v>25</v>
      </c>
      <c r="B24" s="448">
        <f>VLOOKUP("reference_count_4",AUTO!$A$1:$B$1051,2,FALSE)</f>
        <v>5210</v>
      </c>
      <c r="C24" s="455">
        <f>'Auto-Calibration record'!$I$73</f>
        <v>5538</v>
      </c>
      <c r="E24" s="448">
        <f>VLOOKUP("threshold32_21_sz",AUTO!$A$1:$B$1051,2,FALSE)</f>
        <v>25</v>
      </c>
      <c r="F24" s="448">
        <f>VLOOKUP("reference_count_4",AUTO!$A$1:$B$1051,2,FALSE)</f>
        <v>5210</v>
      </c>
      <c r="G24" s="460">
        <f>VLOOKUP("threshold32_21_value",AUTO!$A$1:$B$1051,2,FALSE)</f>
        <v>3012</v>
      </c>
      <c r="H24" s="461">
        <f>VLOOKUP("threshold32_21_sz",AUTO!$A$1:$B$1051,2,FALSE)</f>
        <v>25</v>
      </c>
    </row>
    <row r="25" spans="1:8" ht="18" customHeight="1" x14ac:dyDescent="0.25">
      <c r="A25" s="448">
        <f>VLOOKUP("threshold32_27_sz",AUTO!$A$1:$B$1051,2,FALSE)</f>
        <v>38</v>
      </c>
      <c r="B25" s="448">
        <f>VLOOKUP("reference_count_5",AUTO!$A$1:$B$1051,2,FALSE)</f>
        <v>611.721</v>
      </c>
      <c r="C25" s="455">
        <f>'Auto-Calibration record'!$I$74</f>
        <v>525</v>
      </c>
      <c r="E25" s="448">
        <f>VLOOKUP("threshold32_27_sz",AUTO!$A$1:$B$1051,2,FALSE)</f>
        <v>38</v>
      </c>
      <c r="F25" s="448">
        <f>VLOOKUP("reference_count_5",AUTO!$A$1:$B$1051,2,FALSE)</f>
        <v>611.721</v>
      </c>
      <c r="G25" s="460">
        <f>VLOOKUP("threshold32_27_value",AUTO!$A$1:$B$1051,2,FALSE)</f>
        <v>10314</v>
      </c>
      <c r="H25" s="461">
        <f>VLOOKUP("threshold32_27_sz",AUTO!$A$1:$B$1051,2,FALSE)</f>
        <v>38</v>
      </c>
    </row>
    <row r="26" spans="1:8" ht="18" customHeight="1" x14ac:dyDescent="0.25">
      <c r="A26" s="448">
        <f>VLOOKUP("threshold32_28_sz",AUTO!$A$1:$B$1051,2,FALSE)</f>
        <v>50</v>
      </c>
      <c r="B26" s="448">
        <f>VLOOKUP("reference_count_6",AUTO!$A$1:$B$1051,2,FALSE)</f>
        <v>145.303</v>
      </c>
      <c r="C26" s="455">
        <f>'Auto-Calibration record'!$I$75</f>
        <v>112</v>
      </c>
      <c r="E26" s="448">
        <f>VLOOKUP("threshold32_28_sz",AUTO!$A$1:$B$1051,2,FALSE)</f>
        <v>50</v>
      </c>
      <c r="F26" s="448">
        <f>VLOOKUP("reference_count_6",AUTO!$A$1:$B$1051,2,FALSE)</f>
        <v>145.303</v>
      </c>
      <c r="G26" s="460">
        <f>VLOOKUP("threshold32_28_value",AUTO!$A$1:$B$1051,2,FALSE)</f>
        <v>16352</v>
      </c>
      <c r="H26" s="461">
        <f>VLOOKUP("threshold32_28_sz",AUTO!$A$1:$B$1051,2,FALSE)</f>
        <v>50</v>
      </c>
    </row>
    <row r="27" spans="1:8" ht="18" customHeight="1" x14ac:dyDescent="0.25">
      <c r="A27" s="448">
        <f>VLOOKUP("threshold32_29_sz",AUTO!$A$1:$B$1051,2,FALSE)</f>
        <v>70</v>
      </c>
      <c r="B27" s="448">
        <f>VLOOKUP("reference_count_7",AUTO!$A$1:$B$1051,2,FALSE)</f>
        <v>24.939</v>
      </c>
      <c r="C27" s="455">
        <f>'Auto-Calibration record'!$I$76</f>
        <v>18</v>
      </c>
      <c r="E27" s="448">
        <f>VLOOKUP("threshold32_29_sz",AUTO!$A$1:$B$1051,2,FALSE)</f>
        <v>70</v>
      </c>
      <c r="F27" s="448">
        <f>VLOOKUP("reference_count_7",AUTO!$A$1:$B$1051,2,FALSE)</f>
        <v>24.939</v>
      </c>
      <c r="G27" s="460">
        <f>VLOOKUP("threshold32_29_value",AUTO!$A$1:$B$1051,2,FALSE)</f>
        <v>25228</v>
      </c>
      <c r="H27" s="461">
        <f>VLOOKUP("threshold32_29_sz",AUTO!$A$1:$B$1051,2,FALSE)</f>
        <v>70</v>
      </c>
    </row>
    <row r="28" spans="1:8" ht="18" customHeight="1" x14ac:dyDescent="0.25">
      <c r="A28" s="448"/>
      <c r="B28" s="448"/>
      <c r="C28" s="448"/>
      <c r="E28" s="448"/>
      <c r="F28" s="448"/>
      <c r="G28" s="457"/>
      <c r="H28" s="457"/>
    </row>
    <row r="29" spans="1:8" ht="18" customHeight="1" x14ac:dyDescent="0.25">
      <c r="A29" s="448"/>
      <c r="B29" s="448"/>
      <c r="C29" s="448"/>
      <c r="E29" s="448"/>
      <c r="F29" s="448"/>
      <c r="G29" s="457"/>
      <c r="H29" s="457"/>
    </row>
    <row r="30" spans="1:8" ht="18" customHeight="1" x14ac:dyDescent="0.25">
      <c r="A30" s="448"/>
      <c r="B30" s="448"/>
      <c r="C30" s="448"/>
      <c r="E30" s="448"/>
      <c r="F30" s="448"/>
      <c r="G30" s="457"/>
      <c r="H30" s="457"/>
    </row>
    <row r="31" spans="1:8" ht="18" customHeight="1" x14ac:dyDescent="0.25">
      <c r="A31" s="448"/>
      <c r="B31" s="448"/>
      <c r="C31" s="448"/>
      <c r="E31" s="448"/>
      <c r="F31" s="448"/>
      <c r="G31" s="457"/>
      <c r="H31" s="457"/>
    </row>
    <row r="32" spans="1:8" ht="18" customHeight="1" x14ac:dyDescent="0.25">
      <c r="A32" s="448"/>
      <c r="B32" s="448"/>
      <c r="C32" s="448"/>
      <c r="E32" s="448"/>
      <c r="F32" s="448"/>
      <c r="G32" s="457"/>
      <c r="H32" s="457"/>
    </row>
    <row r="33" spans="1:8" ht="18" customHeight="1" x14ac:dyDescent="0.25">
      <c r="A33" s="448"/>
      <c r="B33" s="448"/>
      <c r="C33" s="448"/>
      <c r="E33" s="448"/>
      <c r="F33" s="448"/>
      <c r="G33" s="457"/>
      <c r="H33" s="457"/>
    </row>
    <row r="34" spans="1:8" ht="18" customHeight="1" x14ac:dyDescent="0.25">
      <c r="A34" s="448"/>
      <c r="B34" s="448"/>
      <c r="C34" s="448"/>
      <c r="E34" s="448"/>
      <c r="F34" s="448"/>
      <c r="G34" s="457"/>
      <c r="H34" s="457"/>
    </row>
    <row r="35" spans="1:8" ht="18" customHeight="1" x14ac:dyDescent="0.25">
      <c r="A35" s="448"/>
      <c r="B35" s="448"/>
      <c r="C35" s="448"/>
      <c r="E35" s="448"/>
      <c r="F35" s="448"/>
      <c r="G35" s="457"/>
      <c r="H35" s="457"/>
    </row>
    <row r="36" spans="1:8" ht="18" customHeight="1" x14ac:dyDescent="0.25">
      <c r="A36" s="448"/>
      <c r="B36" s="448"/>
      <c r="C36" s="448"/>
      <c r="E36" s="448"/>
      <c r="F36" s="448"/>
      <c r="G36" s="457"/>
      <c r="H36" s="457"/>
    </row>
    <row r="37" spans="1:8" ht="18" customHeight="1" x14ac:dyDescent="0.25">
      <c r="A37" s="448"/>
      <c r="B37" s="448"/>
      <c r="C37" s="448"/>
      <c r="E37" s="448"/>
      <c r="F37" s="448"/>
      <c r="G37" s="457"/>
      <c r="H37" s="457"/>
    </row>
    <row r="38" spans="1:8" ht="18" customHeight="1" x14ac:dyDescent="0.25">
      <c r="A38" s="448"/>
      <c r="B38" s="448"/>
      <c r="C38" s="448"/>
      <c r="E38" s="448"/>
      <c r="F38" s="448"/>
      <c r="G38" s="457"/>
      <c r="H38" s="457"/>
    </row>
  </sheetData>
  <mergeCells count="36">
    <mergeCell ref="G38:H38"/>
    <mergeCell ref="G27:H27"/>
    <mergeCell ref="G28:H28"/>
    <mergeCell ref="G29:H29"/>
    <mergeCell ref="G30:H30"/>
    <mergeCell ref="G31:H31"/>
    <mergeCell ref="G32:H32"/>
    <mergeCell ref="G33:H33"/>
    <mergeCell ref="G34:H34"/>
    <mergeCell ref="G35:H35"/>
    <mergeCell ref="G36:H36"/>
    <mergeCell ref="G37:H37"/>
    <mergeCell ref="G26:H26"/>
    <mergeCell ref="A16:C16"/>
    <mergeCell ref="E16:H16"/>
    <mergeCell ref="G17:H17"/>
    <mergeCell ref="G18:H18"/>
    <mergeCell ref="G19:H19"/>
    <mergeCell ref="G20:H20"/>
    <mergeCell ref="G21:H21"/>
    <mergeCell ref="G22:H22"/>
    <mergeCell ref="G23:H23"/>
    <mergeCell ref="G24:H24"/>
    <mergeCell ref="G25:H25"/>
    <mergeCell ref="B11:C11"/>
    <mergeCell ref="F11:G11"/>
    <mergeCell ref="B12:C12"/>
    <mergeCell ref="F12:G12"/>
    <mergeCell ref="B13:C13"/>
    <mergeCell ref="F13:G13"/>
    <mergeCell ref="A10:H10"/>
    <mergeCell ref="A1:H1"/>
    <mergeCell ref="A3:A6"/>
    <mergeCell ref="A7:B7"/>
    <mergeCell ref="A8:B8"/>
    <mergeCell ref="A9:B9"/>
  </mergeCells>
  <pageMargins left="0.75" right="0.75" top="1" bottom="1" header="0.511811023622047" footer="0.511811023622047"/>
  <pageSetup paperSize="9" orientation="portrait" horizontalDpi="300" verticalDpi="30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FFD88C-2968-44D4-80B9-8259FF3D97FF}">
  <sheetPr>
    <pageSetUpPr fitToPage="1"/>
  </sheetPr>
  <dimension ref="B2:R53"/>
  <sheetViews>
    <sheetView showGridLines="0" tabSelected="1" zoomScale="90" zoomScaleNormal="90" workbookViewId="0">
      <selection activeCell="D27" sqref="D27"/>
    </sheetView>
  </sheetViews>
  <sheetFormatPr defaultColWidth="9" defaultRowHeight="15" x14ac:dyDescent="0.25"/>
  <cols>
    <col min="1" max="1" width="3.7109375" style="262" customWidth="1"/>
    <col min="2" max="2" width="3.140625" style="262" customWidth="1"/>
    <col min="3" max="3" width="10" style="262" customWidth="1"/>
    <col min="4" max="4" width="16.7109375" style="262" customWidth="1"/>
    <col min="5" max="5" width="25.7109375" style="262" customWidth="1"/>
    <col min="6" max="6" width="4" style="262" customWidth="1"/>
    <col min="7" max="7" width="10" style="262" customWidth="1"/>
    <col min="8" max="8" width="25.7109375" style="262" customWidth="1"/>
    <col min="9" max="9" width="10.140625" style="262" customWidth="1"/>
    <col min="10" max="10" width="10.85546875" style="262" customWidth="1"/>
    <col min="11" max="11" width="3.140625" style="262" customWidth="1"/>
    <col min="12" max="16384" width="9" style="262"/>
  </cols>
  <sheetData>
    <row r="2" spans="2:18" x14ac:dyDescent="0.25">
      <c r="B2" s="259"/>
      <c r="C2" s="260"/>
      <c r="D2" s="260"/>
      <c r="E2" s="260"/>
      <c r="F2" s="260"/>
      <c r="G2" s="260"/>
      <c r="H2" s="260"/>
      <c r="I2" s="260"/>
      <c r="J2" s="260"/>
      <c r="K2" s="261"/>
    </row>
    <row r="3" spans="2:18" x14ac:dyDescent="0.25">
      <c r="B3" s="263"/>
      <c r="C3" s="262" t="s">
        <v>879</v>
      </c>
      <c r="K3" s="264"/>
    </row>
    <row r="4" spans="2:18" x14ac:dyDescent="0.25">
      <c r="B4" s="263"/>
      <c r="C4" s="262" t="s">
        <v>1043</v>
      </c>
      <c r="K4" s="264"/>
    </row>
    <row r="5" spans="2:18" x14ac:dyDescent="0.25">
      <c r="B5" s="263"/>
      <c r="C5" s="262" t="s">
        <v>881</v>
      </c>
      <c r="K5" s="264"/>
    </row>
    <row r="6" spans="2:18" x14ac:dyDescent="0.25">
      <c r="B6" s="263"/>
      <c r="C6" s="262" t="s">
        <v>882</v>
      </c>
      <c r="K6" s="264"/>
    </row>
    <row r="7" spans="2:18" x14ac:dyDescent="0.25">
      <c r="B7" s="263"/>
      <c r="C7" s="262" t="s">
        <v>883</v>
      </c>
      <c r="K7" s="264"/>
    </row>
    <row r="8" spans="2:18" x14ac:dyDescent="0.25">
      <c r="B8" s="263"/>
      <c r="C8" s="265" t="s">
        <v>1044</v>
      </c>
      <c r="K8" s="264"/>
    </row>
    <row r="9" spans="2:18" x14ac:dyDescent="0.25">
      <c r="B9" s="263"/>
      <c r="K9" s="264"/>
    </row>
    <row r="10" spans="2:18" ht="18.399999999999999" customHeight="1" x14ac:dyDescent="0.25">
      <c r="B10" s="263"/>
      <c r="C10" s="473" t="s">
        <v>1008</v>
      </c>
      <c r="D10" s="474"/>
      <c r="E10" s="474"/>
      <c r="F10" s="474"/>
      <c r="G10" s="474"/>
      <c r="H10" s="474"/>
      <c r="I10" s="474"/>
      <c r="J10" s="475"/>
      <c r="K10" s="264"/>
    </row>
    <row r="11" spans="2:18" ht="14.65" customHeight="1" x14ac:dyDescent="0.25">
      <c r="B11" s="263"/>
      <c r="C11" s="476"/>
      <c r="D11" s="477"/>
      <c r="E11" s="477"/>
      <c r="F11" s="477"/>
      <c r="G11" s="477"/>
      <c r="H11" s="477"/>
      <c r="I11" s="477"/>
      <c r="J11" s="478"/>
      <c r="K11" s="264"/>
    </row>
    <row r="12" spans="2:18" ht="14.65" customHeight="1" x14ac:dyDescent="0.25">
      <c r="B12" s="263"/>
      <c r="C12" s="479" t="s">
        <v>1009</v>
      </c>
      <c r="D12" s="447" t="s">
        <v>1010</v>
      </c>
      <c r="E12" s="448" t="str">
        <f>VLOOKUP("product",AUTO!$A$1:$B$1051,2,FALSE)</f>
        <v>LPA3 NAVAIR</v>
      </c>
      <c r="F12" s="449"/>
      <c r="G12" s="470" t="s">
        <v>538</v>
      </c>
      <c r="H12" s="471"/>
      <c r="I12" s="480">
        <v>46147.7</v>
      </c>
      <c r="J12" s="481"/>
      <c r="K12" s="264"/>
    </row>
    <row r="13" spans="2:18" x14ac:dyDescent="0.25">
      <c r="B13" s="263"/>
      <c r="C13" s="479"/>
      <c r="D13" s="447" t="s">
        <v>543</v>
      </c>
      <c r="E13" s="448">
        <f>VLOOKUP("serial_number",AUTO!$A$1:$B$1051,2,FALSE)</f>
        <v>63010073</v>
      </c>
      <c r="F13" s="449"/>
      <c r="G13" s="470" t="s">
        <v>1011</v>
      </c>
      <c r="H13" s="471"/>
      <c r="I13" s="482" t="s">
        <v>1045</v>
      </c>
      <c r="J13" s="483"/>
      <c r="K13" s="264"/>
    </row>
    <row r="14" spans="2:18" ht="14.65" customHeight="1" x14ac:dyDescent="0.25">
      <c r="B14" s="263"/>
      <c r="C14" s="479"/>
      <c r="D14" s="447" t="s">
        <v>1010</v>
      </c>
      <c r="E14" s="448" t="str">
        <f>VLOOKUP("product",AUTO!$A$1:$B$1051,2,FALSE)</f>
        <v>LPA3 NAVAIR</v>
      </c>
      <c r="F14" s="449"/>
      <c r="G14" s="468" t="s">
        <v>1013</v>
      </c>
      <c r="H14" s="469"/>
      <c r="I14" s="482" t="s">
        <v>1014</v>
      </c>
      <c r="J14" s="483"/>
      <c r="K14" s="264"/>
    </row>
    <row r="15" spans="2:18" ht="14.65" customHeight="1" x14ac:dyDescent="0.25">
      <c r="B15" s="263"/>
      <c r="C15" s="479"/>
      <c r="D15" s="447" t="s">
        <v>543</v>
      </c>
      <c r="E15" s="448">
        <f>VLOOKUP("serial_number",AUTO!$A$1:$B$1051,2,FALSE)</f>
        <v>63010073</v>
      </c>
      <c r="F15" s="449"/>
      <c r="G15" s="468" t="s">
        <v>1015</v>
      </c>
      <c r="H15" s="469"/>
      <c r="I15" s="482" t="s">
        <v>1046</v>
      </c>
      <c r="J15" s="483"/>
      <c r="K15" s="264"/>
      <c r="P15" s="266"/>
      <c r="Q15" s="466"/>
      <c r="R15" s="466"/>
    </row>
    <row r="16" spans="2:18" ht="15.4" customHeight="1" x14ac:dyDescent="0.25">
      <c r="B16" s="263"/>
      <c r="C16" s="467" t="s">
        <v>1017</v>
      </c>
      <c r="D16" s="467"/>
      <c r="E16" s="448">
        <f>VLOOKUP("no_noise_threshold",AUTO!$A$1:$B$1051,2,FALSE)</f>
        <v>31</v>
      </c>
      <c r="F16" s="449"/>
      <c r="G16" s="468" t="s">
        <v>1018</v>
      </c>
      <c r="H16" s="469"/>
      <c r="I16" s="450">
        <v>30000</v>
      </c>
      <c r="J16" s="447" t="s">
        <v>1019</v>
      </c>
      <c r="K16" s="264"/>
      <c r="P16" s="267"/>
      <c r="Q16" s="464"/>
      <c r="R16" s="464"/>
    </row>
    <row r="17" spans="2:18" ht="14.65" customHeight="1" x14ac:dyDescent="0.25">
      <c r="B17" s="263"/>
      <c r="C17" s="467" t="s">
        <v>1020</v>
      </c>
      <c r="D17" s="467"/>
      <c r="E17" s="448">
        <f>VLOOKUP("sample_volume_ml",AUTO!$A$1:$B$1051,2,FALSE)</f>
        <v>50</v>
      </c>
      <c r="F17" s="449"/>
      <c r="G17" s="470" t="s">
        <v>1021</v>
      </c>
      <c r="H17" s="471"/>
      <c r="I17" s="450">
        <v>30</v>
      </c>
      <c r="J17" s="447" t="s">
        <v>1022</v>
      </c>
      <c r="K17" s="264"/>
      <c r="P17" s="267"/>
      <c r="Q17" s="464"/>
      <c r="R17" s="464"/>
    </row>
    <row r="18" spans="2:18" ht="14.65" customHeight="1" x14ac:dyDescent="0.25">
      <c r="B18" s="263"/>
      <c r="C18" s="467" t="s">
        <v>1023</v>
      </c>
      <c r="D18" s="467"/>
      <c r="E18" s="258">
        <f>STDEV(VLOOKUP("verification_count_1_0",AUTO!$A$1:$B$1051,2,FALSE),VLOOKUP("verification_count_2_0",AUTO!$A$1:$B$1051,2,FALSE),VLOOKUP("verification_count_3_0",AUTO!$A$1:$B$1051,2,FALSE))/AVERAGE(VLOOKUP("verification_count_1_0",AUTO!$A$1:$B$1051,2,FALSE),VLOOKUP("verification_count_2_0",AUTO!$A$1:$B$1051,2,FALSE),VLOOKUP("verification_count_3_0",AUTO!$A$1:$B$1051,2,FALSE))</f>
        <v>0</v>
      </c>
      <c r="F18" s="449"/>
      <c r="G18" s="470" t="s">
        <v>1024</v>
      </c>
      <c r="H18" s="471"/>
      <c r="I18" s="450">
        <v>30</v>
      </c>
      <c r="J18" s="447" t="s">
        <v>1022</v>
      </c>
      <c r="K18" s="264"/>
      <c r="P18" s="267"/>
      <c r="Q18" s="464"/>
      <c r="R18" s="464"/>
    </row>
    <row r="19" spans="2:18" ht="14.65" customHeight="1" x14ac:dyDescent="0.25">
      <c r="B19" s="263"/>
      <c r="C19" s="472" t="s">
        <v>1025</v>
      </c>
      <c r="D19" s="472"/>
      <c r="E19" s="472"/>
      <c r="F19" s="472"/>
      <c r="G19" s="472"/>
      <c r="H19" s="472"/>
      <c r="I19" s="472"/>
      <c r="J19" s="472"/>
      <c r="K19" s="264"/>
      <c r="P19" s="267"/>
      <c r="Q19" s="464"/>
      <c r="R19" s="464"/>
    </row>
    <row r="20" spans="2:18" x14ac:dyDescent="0.25">
      <c r="B20" s="263"/>
      <c r="C20" s="446" t="s">
        <v>1026</v>
      </c>
      <c r="D20" s="463">
        <v>0.5</v>
      </c>
      <c r="E20" s="463"/>
      <c r="F20" s="446" t="s">
        <v>1027</v>
      </c>
      <c r="G20" s="446" t="s">
        <v>1028</v>
      </c>
      <c r="H20" s="463">
        <v>2.7</v>
      </c>
      <c r="I20" s="463"/>
      <c r="J20" s="446" t="s">
        <v>1029</v>
      </c>
      <c r="K20" s="264"/>
      <c r="P20" s="267"/>
      <c r="Q20" s="464"/>
      <c r="R20" s="464"/>
    </row>
    <row r="21" spans="2:18" x14ac:dyDescent="0.25">
      <c r="B21" s="263"/>
      <c r="C21" s="446" t="s">
        <v>1030</v>
      </c>
      <c r="D21" s="463">
        <v>0.6</v>
      </c>
      <c r="E21" s="463"/>
      <c r="F21" s="446" t="s">
        <v>1027</v>
      </c>
      <c r="G21" s="446" t="s">
        <v>1031</v>
      </c>
      <c r="H21" s="463">
        <v>8.3000000000000007</v>
      </c>
      <c r="I21" s="463"/>
      <c r="J21" s="446" t="s">
        <v>1029</v>
      </c>
      <c r="K21" s="264"/>
      <c r="P21" s="267"/>
      <c r="Q21" s="464"/>
      <c r="R21" s="464"/>
    </row>
    <row r="22" spans="2:18" x14ac:dyDescent="0.25">
      <c r="B22" s="263"/>
      <c r="C22" s="446" t="s">
        <v>1032</v>
      </c>
      <c r="D22" s="463">
        <v>10.199999999999999</v>
      </c>
      <c r="E22" s="463"/>
      <c r="F22" s="446" t="s">
        <v>1027</v>
      </c>
      <c r="G22" s="446" t="s">
        <v>1033</v>
      </c>
      <c r="H22" s="463">
        <v>8.3000000000000007</v>
      </c>
      <c r="I22" s="463"/>
      <c r="J22" s="446" t="s">
        <v>1029</v>
      </c>
      <c r="K22" s="264"/>
      <c r="P22" s="267"/>
      <c r="Q22" s="464"/>
      <c r="R22" s="464"/>
    </row>
    <row r="23" spans="2:18" ht="14.1" customHeight="1" x14ac:dyDescent="0.25">
      <c r="B23" s="263"/>
      <c r="C23" s="257"/>
      <c r="D23" s="257"/>
      <c r="E23" s="257"/>
      <c r="F23" s="257"/>
      <c r="G23" s="257"/>
      <c r="H23" s="257"/>
      <c r="I23" s="257"/>
      <c r="J23" s="257"/>
      <c r="K23" s="264"/>
      <c r="P23" s="267"/>
      <c r="Q23" s="464"/>
      <c r="R23" s="464"/>
    </row>
    <row r="24" spans="2:18" ht="14.65" customHeight="1" x14ac:dyDescent="0.25">
      <c r="B24" s="263"/>
      <c r="C24" s="465" t="s">
        <v>1034</v>
      </c>
      <c r="D24" s="465"/>
      <c r="E24" s="465"/>
      <c r="F24" s="257"/>
      <c r="G24" s="465" t="s">
        <v>1035</v>
      </c>
      <c r="H24" s="465"/>
      <c r="I24" s="465"/>
      <c r="J24" s="465"/>
      <c r="K24" s="264"/>
      <c r="P24" s="267"/>
      <c r="Q24" s="464"/>
      <c r="R24" s="464"/>
    </row>
    <row r="25" spans="2:18" ht="30" x14ac:dyDescent="0.25">
      <c r="B25" s="263"/>
      <c r="C25" s="453" t="s">
        <v>898</v>
      </c>
      <c r="D25" s="453" t="s">
        <v>1036</v>
      </c>
      <c r="E25" s="453" t="s">
        <v>1037</v>
      </c>
      <c r="F25" s="257"/>
      <c r="G25" s="453" t="s">
        <v>898</v>
      </c>
      <c r="H25" s="453" t="s">
        <v>1038</v>
      </c>
      <c r="I25" s="465" t="s">
        <v>1039</v>
      </c>
      <c r="J25" s="465"/>
      <c r="K25" s="264"/>
    </row>
    <row r="26" spans="2:18" x14ac:dyDescent="0.25">
      <c r="B26" s="263"/>
      <c r="C26" s="454" t="s">
        <v>1040</v>
      </c>
      <c r="D26" s="454" t="s">
        <v>1041</v>
      </c>
      <c r="E26" s="454" t="s">
        <v>1041</v>
      </c>
      <c r="F26" s="257"/>
      <c r="G26" s="454" t="s">
        <v>1040</v>
      </c>
      <c r="H26" s="454" t="s">
        <v>1041</v>
      </c>
      <c r="I26" s="462" t="s">
        <v>1042</v>
      </c>
      <c r="J26" s="462"/>
      <c r="K26" s="264"/>
    </row>
    <row r="27" spans="2:18" x14ac:dyDescent="0.25">
      <c r="B27" s="263"/>
      <c r="C27" s="448">
        <f>VLOOKUP("threshold32_0_sz",AUTO!$A$1:$B$1051,2,FALSE)</f>
        <v>4</v>
      </c>
      <c r="D27" s="448">
        <f>VLOOKUP("reference_count_0",AUTO!$A$1:$B$1051,2,FALSE)/100</f>
        <v>10563.4</v>
      </c>
      <c r="E27" s="456">
        <f>1095753/100</f>
        <v>10957.53</v>
      </c>
      <c r="F27" s="257"/>
      <c r="G27" s="448">
        <f>C27</f>
        <v>4</v>
      </c>
      <c r="H27" s="448">
        <f>D27</f>
        <v>10563.4</v>
      </c>
      <c r="I27" s="460">
        <f>VLOOKUP("threshold32_0_value",AUTO!$A$1:$B$1051,2,FALSE)</f>
        <v>80</v>
      </c>
      <c r="J27" s="461">
        <f>VLOOKUP("threshold32_0_sz",AUTO!$A$1:$B$1051,2,FALSE)</f>
        <v>4</v>
      </c>
      <c r="K27" s="264"/>
    </row>
    <row r="28" spans="2:18" x14ac:dyDescent="0.25">
      <c r="B28" s="263"/>
      <c r="C28" s="448">
        <f>VLOOKUP("threshold32_2_sz",AUTO!$A$1:$B$1051,2,FALSE)</f>
        <v>6</v>
      </c>
      <c r="D28" s="448">
        <f>VLOOKUP("reference_count_1",AUTO!$A$1:$B$1051,2,FALSE)/100</f>
        <v>4593.5</v>
      </c>
      <c r="E28" s="456">
        <f>463914/100</f>
        <v>4639.1400000000003</v>
      </c>
      <c r="F28" s="257"/>
      <c r="G28" s="448">
        <f t="shared" ref="G28:H35" si="0">C28</f>
        <v>6</v>
      </c>
      <c r="H28" s="448">
        <f t="shared" si="0"/>
        <v>4593.5</v>
      </c>
      <c r="I28" s="460">
        <f>VLOOKUP("threshold32_2_value",AUTO!$A$1:$B$1051,2,FALSE)</f>
        <v>194</v>
      </c>
      <c r="J28" s="461">
        <f>VLOOKUP("threshold32_2_sz",AUTO!$A$1:$B$1051,2,FALSE)</f>
        <v>6</v>
      </c>
      <c r="K28" s="264"/>
    </row>
    <row r="29" spans="2:18" x14ac:dyDescent="0.25">
      <c r="B29" s="263"/>
      <c r="C29" s="448">
        <f>VLOOKUP("threshold32_6_sz",AUTO!$A$1:$B$1051,2,FALSE)</f>
        <v>10</v>
      </c>
      <c r="D29" s="448">
        <f>VLOOKUP("reference_count32_6",AUTO!$A$1:$B$1051,2,FALSE)</f>
        <v>1069.5</v>
      </c>
      <c r="E29" s="456">
        <f>107953/100</f>
        <v>1079.53</v>
      </c>
      <c r="F29" s="257"/>
      <c r="G29" s="448">
        <f t="shared" si="0"/>
        <v>10</v>
      </c>
      <c r="H29" s="448">
        <f t="shared" si="0"/>
        <v>1069.5</v>
      </c>
      <c r="I29" s="460">
        <f>VLOOKUP("threshold32_6_value",AUTO!$A$1:$B$1051,2,FALSE)</f>
        <v>536</v>
      </c>
      <c r="J29" s="461">
        <f>VLOOKUP("threshold32_6_sz",AUTO!$A$1:$B$1051,2,FALSE)</f>
        <v>10</v>
      </c>
      <c r="K29" s="264"/>
    </row>
    <row r="30" spans="2:18" x14ac:dyDescent="0.25">
      <c r="B30" s="263"/>
      <c r="C30" s="448">
        <f>VLOOKUP("threshold32_10_sz",AUTO!$A$1:$B$1051,2,FALSE)</f>
        <v>14</v>
      </c>
      <c r="D30" s="448">
        <f>VLOOKUP("reference_count_2",AUTO!$A$1:$B$1051,2,FALSE)/100</f>
        <v>364.1</v>
      </c>
      <c r="E30" s="456">
        <f>35860/100</f>
        <v>358.6</v>
      </c>
      <c r="F30" s="257"/>
      <c r="G30" s="448">
        <f t="shared" si="0"/>
        <v>14</v>
      </c>
      <c r="H30" s="448">
        <f t="shared" si="0"/>
        <v>364.1</v>
      </c>
      <c r="I30" s="460">
        <f>VLOOKUP("threshold32_10_value",AUTO!$A$1:$B$1051,2,FALSE)</f>
        <v>1032</v>
      </c>
      <c r="J30" s="461">
        <f>VLOOKUP("threshold32_10_sz",AUTO!$A$1:$B$1051,2,FALSE)</f>
        <v>14</v>
      </c>
      <c r="K30" s="264"/>
    </row>
    <row r="31" spans="2:18" x14ac:dyDescent="0.25">
      <c r="B31" s="263"/>
      <c r="C31" s="448">
        <f>VLOOKUP("threshold32_17_sz",AUTO!$A$1:$B$1051,2,FALSE)</f>
        <v>21</v>
      </c>
      <c r="D31" s="448">
        <f>VLOOKUP("reference_count_3",AUTO!$A$1:$B$1051,2,FALSE)/100</f>
        <v>109.4</v>
      </c>
      <c r="E31" s="456">
        <f>10524/100</f>
        <v>105.24</v>
      </c>
      <c r="F31" s="257"/>
      <c r="G31" s="448">
        <f t="shared" si="0"/>
        <v>21</v>
      </c>
      <c r="H31" s="448">
        <f t="shared" si="0"/>
        <v>109.4</v>
      </c>
      <c r="I31" s="460">
        <f>VLOOKUP("threshold32_17_value",AUTO!$A$1:$B$1051,2,FALSE)</f>
        <v>2064</v>
      </c>
      <c r="J31" s="461">
        <f>VLOOKUP("threshold32_17_sz",AUTO!$A$1:$B$1051,2,FALSE)</f>
        <v>21</v>
      </c>
      <c r="K31" s="264"/>
    </row>
    <row r="32" spans="2:18" x14ac:dyDescent="0.25">
      <c r="B32" s="263"/>
      <c r="C32" s="448">
        <f>VLOOKUP("threshold32_21_sz",AUTO!$A$1:$B$1051,2,FALSE)</f>
        <v>25</v>
      </c>
      <c r="D32" s="448">
        <f>VLOOKUP("reference_count_4",AUTO!$A$1:$B$1051,2,FALSE)/100</f>
        <v>52.1</v>
      </c>
      <c r="E32" s="456">
        <f>4913/100</f>
        <v>49.13</v>
      </c>
      <c r="F32" s="257"/>
      <c r="G32" s="448">
        <f t="shared" si="0"/>
        <v>25</v>
      </c>
      <c r="H32" s="448">
        <f t="shared" si="0"/>
        <v>52.1</v>
      </c>
      <c r="I32" s="460">
        <f>VLOOKUP("threshold32_21_value",AUTO!$A$1:$B$1051,2,FALSE)</f>
        <v>3012</v>
      </c>
      <c r="J32" s="461">
        <f>VLOOKUP("threshold32_21_sz",AUTO!$A$1:$B$1051,2,FALSE)</f>
        <v>25</v>
      </c>
      <c r="K32" s="264"/>
    </row>
    <row r="33" spans="2:11" x14ac:dyDescent="0.25">
      <c r="B33" s="263"/>
      <c r="C33" s="448">
        <f>VLOOKUP("threshold32_27_sz",AUTO!$A$1:$B$1051,2,FALSE)</f>
        <v>38</v>
      </c>
      <c r="D33" s="448" t="s">
        <v>321</v>
      </c>
      <c r="E33" s="456">
        <f>292/100</f>
        <v>2.92</v>
      </c>
      <c r="F33" s="257"/>
      <c r="G33" s="448">
        <f t="shared" si="0"/>
        <v>38</v>
      </c>
      <c r="H33" s="448" t="str">
        <f t="shared" si="0"/>
        <v>-</v>
      </c>
      <c r="I33" s="460">
        <f>VLOOKUP("threshold32_27_value",AUTO!$A$1:$B$1051,2,FALSE)</f>
        <v>10314</v>
      </c>
      <c r="J33" s="461">
        <f>VLOOKUP("threshold32_27_sz",AUTO!$A$1:$B$1051,2,FALSE)</f>
        <v>38</v>
      </c>
      <c r="K33" s="264"/>
    </row>
    <row r="34" spans="2:11" x14ac:dyDescent="0.25">
      <c r="B34" s="263"/>
      <c r="C34" s="448">
        <f>VLOOKUP("threshold32_28_sz",AUTO!$A$1:$B$1051,2,FALSE)</f>
        <v>50</v>
      </c>
      <c r="D34" s="448" t="s">
        <v>321</v>
      </c>
      <c r="E34" s="456">
        <f>71/100</f>
        <v>0.71</v>
      </c>
      <c r="F34" s="257"/>
      <c r="G34" s="448">
        <f t="shared" si="0"/>
        <v>50</v>
      </c>
      <c r="H34" s="448" t="str">
        <f t="shared" si="0"/>
        <v>-</v>
      </c>
      <c r="I34" s="460">
        <f>VLOOKUP("threshold32_28_value",AUTO!$A$1:$B$1051,2,FALSE)</f>
        <v>16352</v>
      </c>
      <c r="J34" s="461">
        <f>VLOOKUP("threshold32_28_sz",AUTO!$A$1:$B$1051,2,FALSE)</f>
        <v>50</v>
      </c>
      <c r="K34" s="264"/>
    </row>
    <row r="35" spans="2:11" x14ac:dyDescent="0.25">
      <c r="B35" s="263"/>
      <c r="C35" s="448">
        <f>VLOOKUP("threshold32_29_sz",AUTO!$A$1:$B$1051,2,FALSE)</f>
        <v>70</v>
      </c>
      <c r="D35" s="448" t="s">
        <v>321</v>
      </c>
      <c r="E35" s="456">
        <f>11/100</f>
        <v>0.11</v>
      </c>
      <c r="F35" s="257"/>
      <c r="G35" s="448">
        <f t="shared" si="0"/>
        <v>70</v>
      </c>
      <c r="H35" s="448" t="str">
        <f t="shared" si="0"/>
        <v>-</v>
      </c>
      <c r="I35" s="460">
        <f>VLOOKUP("threshold32_29_value",AUTO!$A$1:$B$1051,2,FALSE)</f>
        <v>25228</v>
      </c>
      <c r="J35" s="461">
        <f>VLOOKUP("threshold32_29_sz",AUTO!$A$1:$B$1051,2,FALSE)</f>
        <v>70</v>
      </c>
      <c r="K35" s="264"/>
    </row>
    <row r="36" spans="2:11" x14ac:dyDescent="0.25">
      <c r="B36" s="263"/>
      <c r="C36" s="448"/>
      <c r="D36" s="448"/>
      <c r="E36" s="448"/>
      <c r="F36" s="257"/>
      <c r="G36" s="448"/>
      <c r="H36" s="448"/>
      <c r="I36" s="457"/>
      <c r="J36" s="457"/>
      <c r="K36" s="264"/>
    </row>
    <row r="37" spans="2:11" x14ac:dyDescent="0.25">
      <c r="B37" s="263"/>
      <c r="C37" s="448"/>
      <c r="D37" s="448"/>
      <c r="E37" s="448"/>
      <c r="F37" s="257"/>
      <c r="G37" s="448"/>
      <c r="H37" s="448"/>
      <c r="I37" s="457"/>
      <c r="J37" s="457"/>
      <c r="K37" s="264"/>
    </row>
    <row r="38" spans="2:11" x14ac:dyDescent="0.25">
      <c r="B38" s="263"/>
      <c r="C38" s="448"/>
      <c r="D38" s="448"/>
      <c r="E38" s="448"/>
      <c r="F38" s="257"/>
      <c r="G38" s="448"/>
      <c r="H38" s="448"/>
      <c r="I38" s="457"/>
      <c r="J38" s="457"/>
      <c r="K38" s="264"/>
    </row>
    <row r="39" spans="2:11" x14ac:dyDescent="0.25">
      <c r="B39" s="263"/>
      <c r="C39" s="448"/>
      <c r="D39" s="448"/>
      <c r="E39" s="448"/>
      <c r="F39" s="257"/>
      <c r="G39" s="448"/>
      <c r="H39" s="448"/>
      <c r="I39" s="457"/>
      <c r="J39" s="457"/>
      <c r="K39" s="264"/>
    </row>
    <row r="40" spans="2:11" x14ac:dyDescent="0.25">
      <c r="B40" s="263"/>
      <c r="C40" s="448"/>
      <c r="D40" s="448"/>
      <c r="E40" s="448"/>
      <c r="F40" s="257"/>
      <c r="G40" s="448"/>
      <c r="H40" s="448"/>
      <c r="I40" s="457"/>
      <c r="J40" s="457"/>
      <c r="K40" s="264"/>
    </row>
    <row r="41" spans="2:11" x14ac:dyDescent="0.25">
      <c r="B41" s="263"/>
      <c r="C41" s="448"/>
      <c r="D41" s="448"/>
      <c r="E41" s="448"/>
      <c r="F41" s="257"/>
      <c r="G41" s="448"/>
      <c r="H41" s="448"/>
      <c r="I41" s="457"/>
      <c r="J41" s="457"/>
      <c r="K41" s="264"/>
    </row>
    <row r="42" spans="2:11" x14ac:dyDescent="0.25">
      <c r="B42" s="263"/>
      <c r="C42" s="448"/>
      <c r="D42" s="448"/>
      <c r="E42" s="448"/>
      <c r="F42" s="257"/>
      <c r="G42" s="448"/>
      <c r="H42" s="448"/>
      <c r="I42" s="457"/>
      <c r="J42" s="457"/>
      <c r="K42" s="264"/>
    </row>
    <row r="43" spans="2:11" x14ac:dyDescent="0.25">
      <c r="B43" s="263"/>
      <c r="C43" s="448"/>
      <c r="D43" s="448"/>
      <c r="E43" s="448"/>
      <c r="F43" s="257"/>
      <c r="G43" s="448"/>
      <c r="H43" s="448"/>
      <c r="I43" s="457"/>
      <c r="J43" s="457"/>
      <c r="K43" s="264"/>
    </row>
    <row r="44" spans="2:11" x14ac:dyDescent="0.25">
      <c r="B44" s="263"/>
      <c r="C44" s="448"/>
      <c r="D44" s="448"/>
      <c r="E44" s="448"/>
      <c r="F44" s="257"/>
      <c r="G44" s="448"/>
      <c r="H44" s="448"/>
      <c r="I44" s="457"/>
      <c r="J44" s="457"/>
      <c r="K44" s="264"/>
    </row>
    <row r="45" spans="2:11" x14ac:dyDescent="0.25">
      <c r="B45" s="263"/>
      <c r="C45" s="448"/>
      <c r="D45" s="448"/>
      <c r="E45" s="448"/>
      <c r="F45" s="257"/>
      <c r="G45" s="448"/>
      <c r="H45" s="448"/>
      <c r="I45" s="457"/>
      <c r="J45" s="457"/>
      <c r="K45" s="264"/>
    </row>
    <row r="46" spans="2:11" x14ac:dyDescent="0.25">
      <c r="B46" s="263"/>
      <c r="C46" s="448"/>
      <c r="D46" s="448"/>
      <c r="E46" s="448"/>
      <c r="F46" s="257"/>
      <c r="G46" s="448"/>
      <c r="H46" s="448"/>
      <c r="I46" s="457"/>
      <c r="J46" s="457"/>
      <c r="K46" s="264"/>
    </row>
    <row r="47" spans="2:11" x14ac:dyDescent="0.25">
      <c r="B47" s="263"/>
      <c r="K47" s="264"/>
    </row>
    <row r="48" spans="2:11" ht="14.65" customHeight="1" x14ac:dyDescent="0.25">
      <c r="B48" s="263"/>
      <c r="C48" s="458" t="s">
        <v>1047</v>
      </c>
      <c r="D48" s="459"/>
      <c r="E48" s="459"/>
      <c r="F48" s="459"/>
      <c r="G48" s="459"/>
      <c r="H48" s="459"/>
      <c r="I48" s="459"/>
      <c r="J48" s="459"/>
      <c r="K48" s="264"/>
    </row>
    <row r="49" spans="2:11" x14ac:dyDescent="0.25">
      <c r="B49" s="263"/>
      <c r="C49" s="459"/>
      <c r="D49" s="459"/>
      <c r="E49" s="459"/>
      <c r="F49" s="459"/>
      <c r="G49" s="459"/>
      <c r="H49" s="459"/>
      <c r="I49" s="459"/>
      <c r="J49" s="459"/>
      <c r="K49" s="264"/>
    </row>
    <row r="50" spans="2:11" x14ac:dyDescent="0.25">
      <c r="B50" s="263"/>
      <c r="C50" s="459"/>
      <c r="D50" s="459"/>
      <c r="E50" s="459"/>
      <c r="F50" s="459"/>
      <c r="G50" s="459"/>
      <c r="H50" s="459"/>
      <c r="I50" s="459"/>
      <c r="J50" s="459"/>
      <c r="K50" s="264"/>
    </row>
    <row r="51" spans="2:11" x14ac:dyDescent="0.25">
      <c r="B51" s="263"/>
      <c r="C51" s="459"/>
      <c r="D51" s="459"/>
      <c r="E51" s="459"/>
      <c r="F51" s="459"/>
      <c r="G51" s="459"/>
      <c r="H51" s="459"/>
      <c r="I51" s="459"/>
      <c r="J51" s="459"/>
      <c r="K51" s="264"/>
    </row>
    <row r="52" spans="2:11" x14ac:dyDescent="0.25">
      <c r="B52" s="263"/>
      <c r="C52" s="459"/>
      <c r="D52" s="459"/>
      <c r="E52" s="459"/>
      <c r="F52" s="459"/>
      <c r="G52" s="459"/>
      <c r="H52" s="459"/>
      <c r="I52" s="459"/>
      <c r="J52" s="459"/>
      <c r="K52" s="264"/>
    </row>
    <row r="53" spans="2:11" x14ac:dyDescent="0.25">
      <c r="B53" s="268"/>
      <c r="C53" s="269"/>
      <c r="D53" s="269"/>
      <c r="E53" s="269"/>
      <c r="F53" s="269"/>
      <c r="G53" s="269"/>
      <c r="H53" s="269"/>
      <c r="I53" s="269"/>
      <c r="J53" s="269"/>
      <c r="K53" s="270"/>
    </row>
  </sheetData>
  <mergeCells count="58">
    <mergeCell ref="C10:J11"/>
    <mergeCell ref="C12:C15"/>
    <mergeCell ref="G12:H12"/>
    <mergeCell ref="I12:J12"/>
    <mergeCell ref="G13:H13"/>
    <mergeCell ref="I13:J13"/>
    <mergeCell ref="G14:H14"/>
    <mergeCell ref="I14:J14"/>
    <mergeCell ref="G15:H15"/>
    <mergeCell ref="I15:J15"/>
    <mergeCell ref="D20:E20"/>
    <mergeCell ref="H20:I20"/>
    <mergeCell ref="Q20:R20"/>
    <mergeCell ref="Q15:R15"/>
    <mergeCell ref="C16:D16"/>
    <mergeCell ref="G16:H16"/>
    <mergeCell ref="Q16:R16"/>
    <mergeCell ref="C17:D17"/>
    <mergeCell ref="G17:H17"/>
    <mergeCell ref="Q17:R17"/>
    <mergeCell ref="C18:D18"/>
    <mergeCell ref="G18:H18"/>
    <mergeCell ref="Q18:R18"/>
    <mergeCell ref="C19:J19"/>
    <mergeCell ref="Q19:R19"/>
    <mergeCell ref="I26:J26"/>
    <mergeCell ref="D21:E21"/>
    <mergeCell ref="H21:I21"/>
    <mergeCell ref="Q21:R21"/>
    <mergeCell ref="D22:E22"/>
    <mergeCell ref="H22:I22"/>
    <mergeCell ref="Q22:R22"/>
    <mergeCell ref="Q23:R23"/>
    <mergeCell ref="C24:E24"/>
    <mergeCell ref="G24:J24"/>
    <mergeCell ref="Q24:R24"/>
    <mergeCell ref="I25:J25"/>
    <mergeCell ref="I38:J38"/>
    <mergeCell ref="I27:J27"/>
    <mergeCell ref="I28:J28"/>
    <mergeCell ref="I29:J29"/>
    <mergeCell ref="I30:J30"/>
    <mergeCell ref="I31:J31"/>
    <mergeCell ref="I32:J32"/>
    <mergeCell ref="I33:J33"/>
    <mergeCell ref="I34:J34"/>
    <mergeCell ref="I35:J35"/>
    <mergeCell ref="I36:J36"/>
    <mergeCell ref="I37:J37"/>
    <mergeCell ref="I45:J45"/>
    <mergeCell ref="I46:J46"/>
    <mergeCell ref="C48:J52"/>
    <mergeCell ref="I39:J39"/>
    <mergeCell ref="I40:J40"/>
    <mergeCell ref="I41:J41"/>
    <mergeCell ref="I42:J42"/>
    <mergeCell ref="I43:J43"/>
    <mergeCell ref="I44:J44"/>
  </mergeCells>
  <hyperlinks>
    <hyperlink ref="C8" r:id="rId1" xr:uid="{2F61B39F-FCE3-4965-AEA0-7483E31B7299}"/>
  </hyperlinks>
  <pageMargins left="0.25" right="0.25" top="0.75" bottom="0.75" header="0.3" footer="0.3"/>
  <pageSetup scale="91" fitToWidth="0" orientation="portrait" r:id="rId2"/>
  <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5618c633-c8fa-4306-aeb4-38d5faabf3f3" xsi:nil="true"/>
    <lcf76f155ced4ddcb4097134ff3c332f xmlns="572944f8-833f-4c78-98b4-5f94e81f5976">
      <Terms xmlns="http://schemas.microsoft.com/office/infopath/2007/PartnerControls"/>
    </lcf76f155ced4ddcb4097134ff3c332f>
    <_Flow_SignoffStatus xmlns="572944f8-833f-4c78-98b4-5f94e81f5976" xsi:nil="true"/>
    <image_x0020_type xmlns="572944f8-833f-4c78-98b4-5f94e81f5976"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6E6BFFCDBA237041887AF7B2E09114C0" ma:contentTypeVersion="18" ma:contentTypeDescription="Create a new document." ma:contentTypeScope="" ma:versionID="37d18d14b5932431e9be6f64de9f380a">
  <xsd:schema xmlns:xsd="http://www.w3.org/2001/XMLSchema" xmlns:xs="http://www.w3.org/2001/XMLSchema" xmlns:p="http://schemas.microsoft.com/office/2006/metadata/properties" xmlns:ns2="5618c633-c8fa-4306-aeb4-38d5faabf3f3" xmlns:ns3="572944f8-833f-4c78-98b4-5f94e81f5976" targetNamespace="http://schemas.microsoft.com/office/2006/metadata/properties" ma:root="true" ma:fieldsID="f6194e086e7d9179e6720990d5eeb649" ns2:_="" ns3:_="">
    <xsd:import namespace="5618c633-c8fa-4306-aeb4-38d5faabf3f3"/>
    <xsd:import namespace="572944f8-833f-4c78-98b4-5f94e81f5976"/>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ServiceObjectDetectorVersions" minOccurs="0"/>
                <xsd:element ref="ns3:MediaServiceLocation" minOccurs="0"/>
                <xsd:element ref="ns3:MediaLengthInSeconds" minOccurs="0"/>
                <xsd:element ref="ns3:MediaServiceSearchProperties" minOccurs="0"/>
                <xsd:element ref="ns3:_Flow_SignoffStatus" minOccurs="0"/>
                <xsd:element ref="ns3:MediaServiceBillingMetadata" minOccurs="0"/>
                <xsd:element ref="ns3:image_x0020_typ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618c633-c8fa-4306-aeb4-38d5faabf3f3"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4de2638f-72b9-4c49-9aa0-08f5c4d6531e}" ma:internalName="TaxCatchAll" ma:showField="CatchAllData" ma:web="5618c633-c8fa-4306-aeb4-38d5faabf3f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572944f8-833f-4c78-98b4-5f94e81f5976"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21a198dd-8109-40df-88fd-4d3b687262f4"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_Flow_SignoffStatus" ma:index="23" nillable="true" ma:displayName="Sign-off status" ma:internalName="_x0024_Resources_x003a_core_x002c_Signoff_Status">
      <xsd:simpleType>
        <xsd:restriction base="dms:Text"/>
      </xsd:simpleType>
    </xsd:element>
    <xsd:element name="MediaServiceBillingMetadata" ma:index="24" nillable="true" ma:displayName="MediaServiceBillingMetadata" ma:hidden="true" ma:internalName="MediaServiceBillingMetadata" ma:readOnly="true">
      <xsd:simpleType>
        <xsd:restriction base="dms:Note"/>
      </xsd:simpleType>
    </xsd:element>
    <xsd:element name="image_x0020_type" ma:index="25" nillable="true" ma:displayName="image type" ma:internalName="image_x0020_typ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DD8A31C-973F-41F7-AD5F-0FE588061AAB}">
  <ds:schemaRefs>
    <ds:schemaRef ds:uri="http://schemas.microsoft.com/office/2006/metadata/properties"/>
    <ds:schemaRef ds:uri="http://schemas.microsoft.com/office/infopath/2007/PartnerControls"/>
    <ds:schemaRef ds:uri="5618c633-c8fa-4306-aeb4-38d5faabf3f3"/>
    <ds:schemaRef ds:uri="572944f8-833f-4c78-98b4-5f94e81f5976"/>
  </ds:schemaRefs>
</ds:datastoreItem>
</file>

<file path=customXml/itemProps2.xml><?xml version="1.0" encoding="utf-8"?>
<ds:datastoreItem xmlns:ds="http://schemas.openxmlformats.org/officeDocument/2006/customXml" ds:itemID="{E5FBCD1C-62F6-445D-A3B2-E3FF8CEF335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618c633-c8fa-4306-aeb4-38d5faabf3f3"/>
    <ds:schemaRef ds:uri="572944f8-833f-4c78-98b4-5f94e81f597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0BAA5DC-1BCF-4F1E-B1AE-36EAD3F126B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6" baseType="variant">
      <vt:variant>
        <vt:lpstr>Worksheets</vt:lpstr>
      </vt:variant>
      <vt:variant>
        <vt:i4>19</vt:i4>
      </vt:variant>
      <vt:variant>
        <vt:lpstr>Charts</vt:lpstr>
      </vt:variant>
      <vt:variant>
        <vt:i4>2</vt:i4>
      </vt:variant>
      <vt:variant>
        <vt:lpstr>Named Ranges</vt:lpstr>
      </vt:variant>
      <vt:variant>
        <vt:i4>15</vt:i4>
      </vt:variant>
    </vt:vector>
  </HeadingPairs>
  <TitlesOfParts>
    <vt:vector size="36" baseType="lpstr">
      <vt:lpstr>mtd</vt:lpstr>
      <vt:lpstr>AUTO</vt:lpstr>
      <vt:lpstr>Cover Service Sheet</vt:lpstr>
      <vt:lpstr>ss</vt:lpstr>
      <vt:lpstr>Sheet1</vt:lpstr>
      <vt:lpstr>DO NOT USE post cal</vt:lpstr>
      <vt:lpstr>Auto-Calibration record</vt:lpstr>
      <vt:lpstr>MP Calibration Certificate</vt:lpstr>
      <vt:lpstr>Packing Check List</vt:lpstr>
      <vt:lpstr>LasPaCII (Stauff) Cal Cert</vt:lpstr>
      <vt:lpstr>ACE Winches</vt:lpstr>
      <vt:lpstr>Solge</vt:lpstr>
      <vt:lpstr>PLPC (RMF) Cal Cert</vt:lpstr>
      <vt:lpstr>Dutch Holding Cal Cert</vt:lpstr>
      <vt:lpstr>Blank Cal Cert (EatonWearcheck)</vt:lpstr>
      <vt:lpstr>Trescal Cal Cert</vt:lpstr>
      <vt:lpstr>NAVAIR</vt:lpstr>
      <vt:lpstr>11171</vt:lpstr>
      <vt:lpstr>D2</vt:lpstr>
      <vt:lpstr>Chart1</vt:lpstr>
      <vt:lpstr>Chart2</vt:lpstr>
      <vt:lpstr>AUTO!_666.lpacal_1</vt:lpstr>
      <vt:lpstr>AUTO!_666.lpacal_2</vt:lpstr>
      <vt:lpstr>AUTO!LPA1.lpacal_1</vt:lpstr>
      <vt:lpstr>'ACE Winches'!Print_Area</vt:lpstr>
      <vt:lpstr>'Auto-Calibration record'!Print_Area</vt:lpstr>
      <vt:lpstr>'Blank Cal Cert (EatonWearcheck)'!Print_Area</vt:lpstr>
      <vt:lpstr>'Cover Service Sheet'!Print_Area</vt:lpstr>
      <vt:lpstr>'Dutch Holding Cal Cert'!Print_Area</vt:lpstr>
      <vt:lpstr>'LasPaCII (Stauff) Cal Cert'!Print_Area</vt:lpstr>
      <vt:lpstr>'MP Calibration Certificate'!Print_Area</vt:lpstr>
      <vt:lpstr>mtd!Print_Area</vt:lpstr>
      <vt:lpstr>NAVAIR!Print_Area</vt:lpstr>
      <vt:lpstr>'PLPC (RMF) Cal Cert'!Print_Area</vt:lpstr>
      <vt:lpstr>Solge!Print_Area</vt:lpstr>
      <vt:lpstr>'Trescal Cal Cert'!Print_Area</vt:lpstr>
    </vt:vector>
  </TitlesOfParts>
  <Manager/>
  <Company>Plastech Control Systems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John Devereux</dc:creator>
  <cp:keywords/>
  <dc:description/>
  <cp:lastModifiedBy>Emily Hayward</cp:lastModifiedBy>
  <cp:revision/>
  <dcterms:created xsi:type="dcterms:W3CDTF">2002-07-09T10:21:12Z</dcterms:created>
  <dcterms:modified xsi:type="dcterms:W3CDTF">2026-06-17T15:06:21Z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0x0101006E6BFFCDBA237041887AF7B2E09114C0</vt:lpwstr>
  </property>
  <property fmtid="{D5CDD505-2E9C-101B-9397-08002B2CF9AE}" pid="3" name="MediaServiceImageTags">
    <vt:lpwstr/>
  </property>
</Properties>
</file>